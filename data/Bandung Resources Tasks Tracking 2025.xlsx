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r 2025" sheetId="1" r:id="rId5"/>
    <sheet state="visible" name="Haris" sheetId="2" r:id="rId6"/>
    <sheet state="visible" name="Garnis" sheetId="3" r:id="rId7"/>
    <sheet state="hidden" name="May 2025" sheetId="4" r:id="rId8"/>
    <sheet state="visible" name="Kautsar" sheetId="5" r:id="rId9"/>
    <sheet state="visible" name="Ariandi" sheetId="6" r:id="rId10"/>
    <sheet state="visible" name="Ferdinand" sheetId="7" r:id="rId11"/>
    <sheet state="visible" name="Amelia" sheetId="8" r:id="rId12"/>
    <sheet state="visible" name="Taufik" sheetId="9" r:id="rId13"/>
    <sheet state="visible" name="Zaky" sheetId="10" r:id="rId14"/>
    <sheet state="visible" name="Ridho" sheetId="11" r:id="rId15"/>
    <sheet state="visible" name="Irfan" sheetId="12" r:id="rId16"/>
    <sheet state="visible" name="Wahid" sheetId="13" r:id="rId17"/>
    <sheet state="visible" name="Sulthan" sheetId="14" r:id="rId18"/>
    <sheet state="visible" name="Salman" sheetId="15" r:id="rId19"/>
    <sheet state="visible" name="Mayendra" sheetId="16" r:id="rId20"/>
    <sheet state="visible" name="Umi" sheetId="17" r:id="rId21"/>
    <sheet state="visible" name="Johan" sheetId="18" r:id="rId22"/>
    <sheet state="visible" name="Rival" sheetId="19" r:id="rId23"/>
    <sheet state="visible" name="Tia" sheetId="20" r:id="rId24"/>
    <sheet state="visible" name="Kautsar_" sheetId="21" r:id="rId25"/>
    <sheet state="visible" name="Awan" sheetId="22" r:id="rId26"/>
  </sheets>
  <definedNames>
    <definedName hidden="1" localSheetId="0" name="_xlnm._FilterDatabase">'Apr 2025'!$A$3:$H$33</definedName>
    <definedName hidden="1" localSheetId="2" name="_xlnm._FilterDatabase">Garnis!$A$1:$J$1102</definedName>
    <definedName hidden="1" localSheetId="15" name="_xlnm._FilterDatabase">Mayendra!$A$1:$G$1088</definedName>
  </definedNames>
  <calcPr/>
</workbook>
</file>

<file path=xl/sharedStrings.xml><?xml version="1.0" encoding="utf-8"?>
<sst xmlns="http://schemas.openxmlformats.org/spreadsheetml/2006/main" count="5652" uniqueCount="2563">
  <si>
    <r>
      <rPr>
        <rFont val="Arial"/>
        <color rgb="FF5B3F86"/>
      </rPr>
      <t xml:space="preserve">2025, April
Notes:
- If working on KAIZEN, enter exactly: 'KAIZEN'
- If working on project, specify: 'Project: &lt;project name&gt;'     </t>
    </r>
    <r>
      <rPr>
        <rFont val="Arial"/>
        <color rgb="FF666666"/>
      </rPr>
      <t xml:space="preserve">     </t>
    </r>
  </si>
  <si>
    <t>Week</t>
  </si>
  <si>
    <t xml:space="preserve">Date </t>
  </si>
  <si>
    <t>Amelia</t>
  </si>
  <si>
    <t>Ariandi</t>
  </si>
  <si>
    <t>Haris</t>
  </si>
  <si>
    <t>Zaky</t>
  </si>
  <si>
    <t>Ferdinand</t>
  </si>
  <si>
    <t>Notes</t>
  </si>
  <si>
    <t>Week2</t>
  </si>
  <si>
    <t>on leave</t>
  </si>
  <si>
    <t>Project: AI</t>
  </si>
  <si>
    <t>Project: ICA iSmart</t>
  </si>
  <si>
    <t>Project: DigitalID</t>
  </si>
  <si>
    <t>Project: IP4SG</t>
  </si>
  <si>
    <t>Internal Training</t>
  </si>
  <si>
    <t>Week3</t>
  </si>
  <si>
    <t>KAIZEN</t>
  </si>
  <si>
    <t>KAIZEN (0.5 MD), JASINDO (0.5 MD)</t>
  </si>
  <si>
    <t>PH</t>
  </si>
  <si>
    <t>Week4</t>
  </si>
  <si>
    <t>Week5</t>
  </si>
  <si>
    <t>KAIZEN (0.75) IP4SG (0.25)</t>
  </si>
  <si>
    <t>KAIZEN (0.5) IP4SG (0.5)</t>
  </si>
  <si>
    <t>Total (KAIZEN) days:</t>
  </si>
  <si>
    <t>Rework Test Cases MOH (hours)</t>
  </si>
  <si>
    <t>MOH GCC SIT Testing (hours)</t>
  </si>
  <si>
    <t>iSmart Testing (hours)</t>
  </si>
  <si>
    <t>Kaizen (hours)</t>
  </si>
  <si>
    <t>TOPPAN AI Assistant (hours)</t>
  </si>
  <si>
    <t>Digital ID (hours)</t>
  </si>
  <si>
    <t>Non Project
(hours)</t>
  </si>
  <si>
    <t>Task Details</t>
  </si>
  <si>
    <t>Status</t>
  </si>
  <si>
    <t>Links</t>
  </si>
  <si>
    <t>Rework Reports module's test cases</t>
  </si>
  <si>
    <t>Completed</t>
  </si>
  <si>
    <t>Test Cases</t>
  </si>
  <si>
    <t>MOH GCC SIT Testing</t>
  </si>
  <si>
    <t>In Progress</t>
  </si>
  <si>
    <r>
      <rPr>
        <rFont val="Arial"/>
        <strike/>
        <color theme="1"/>
      </rPr>
      <t xml:space="preserve">8
</t>
    </r>
    <r>
      <rPr>
        <rFont val="Arial"/>
        <color theme="1"/>
      </rPr>
      <t>5</t>
    </r>
  </si>
  <si>
    <t>I Smart : Verified Issue on Taiga</t>
  </si>
  <si>
    <r>
      <rPr/>
      <t xml:space="preserve">iSmart : 
1. </t>
    </r>
    <r>
      <rPr>
        <color rgb="FF1155CC"/>
        <u/>
      </rPr>
      <t>taiga #1672</t>
    </r>
    <r>
      <rPr/>
      <t xml:space="preserve">
2. </t>
    </r>
    <r>
      <rPr>
        <color rgb="FF1155CC"/>
        <u/>
      </rPr>
      <t>taiga #1659</t>
    </r>
  </si>
  <si>
    <t>iSmart : 
1. taiga #1672 &gt; pending
2. taiga #1659 &gt; verified</t>
  </si>
  <si>
    <r>
      <rPr>
        <rFont val="Arial"/>
        <strike/>
        <color theme="1"/>
      </rPr>
      <t xml:space="preserve">8
</t>
    </r>
    <r>
      <rPr>
        <rFont val="Arial"/>
        <color theme="1"/>
      </rPr>
      <t>4.5</t>
    </r>
  </si>
  <si>
    <t>1.5</t>
  </si>
  <si>
    <t>Knowledge Sharing AI</t>
  </si>
  <si>
    <r>
      <rPr/>
      <t xml:space="preserve">iSmart : 
1. </t>
    </r>
    <r>
      <rPr>
        <color rgb="FF1155CC"/>
        <u/>
      </rPr>
      <t>taiga #1672</t>
    </r>
    <r>
      <rPr/>
      <t xml:space="preserve"> </t>
    </r>
  </si>
  <si>
    <t>iSmart : 
1. taiga #1672 &gt; verified</t>
  </si>
  <si>
    <t>Will continue test on Monday</t>
  </si>
  <si>
    <t>8</t>
  </si>
  <si>
    <t>TOPPAN AI Assistant : Usage Test</t>
  </si>
  <si>
    <t>test result</t>
  </si>
  <si>
    <t>Kaizen : Create Draft User Manual</t>
  </si>
  <si>
    <r>
      <rPr>
        <rFont val="Arial"/>
        <strike/>
        <color theme="1"/>
      </rPr>
      <t xml:space="preserve">8
</t>
    </r>
    <r>
      <rPr>
        <rFont val="Arial"/>
        <color theme="1"/>
      </rPr>
      <t>6</t>
    </r>
  </si>
  <si>
    <t>Verify Issues iSmart</t>
  </si>
  <si>
    <r>
      <rPr/>
      <t xml:space="preserve">iSmart : 
1. </t>
    </r>
    <r>
      <rPr>
        <color rgb="FF1155CC"/>
        <u/>
      </rPr>
      <t xml:space="preserve">#367
</t>
    </r>
    <r>
      <rPr/>
      <t xml:space="preserve">2. </t>
    </r>
    <r>
      <rPr>
        <color rgb="FF1155CC"/>
        <u/>
      </rPr>
      <t xml:space="preserve">#353
</t>
    </r>
    <r>
      <rPr/>
      <t xml:space="preserve">3. </t>
    </r>
    <r>
      <rPr>
        <color rgb="FF1155CC"/>
        <u/>
      </rPr>
      <t xml:space="preserve">#384
</t>
    </r>
    <r>
      <rPr/>
      <t xml:space="preserve">4. </t>
    </r>
    <r>
      <rPr>
        <color rgb="FF1155CC"/>
        <u/>
      </rPr>
      <t xml:space="preserve">#382
</t>
    </r>
    <r>
      <rPr/>
      <t xml:space="preserve">5. </t>
    </r>
    <r>
      <rPr>
        <color rgb="FF1155CC"/>
        <u/>
      </rPr>
      <t xml:space="preserve">#350
</t>
    </r>
    <r>
      <rPr/>
      <t xml:space="preserve">6. </t>
    </r>
    <r>
      <rPr>
        <color rgb="FF1155CC"/>
        <u/>
      </rPr>
      <t>#341</t>
    </r>
  </si>
  <si>
    <t>iSmart : 
1. #367 &gt; verified
2. #353 &gt; verified
3. #384 &gt; verified
4. #382 &gt; verified
5. #350 &gt; pending
6. #341 &gt; pending</t>
  </si>
  <si>
    <t>1. #350 &gt; verified
2. #341 &gt; verified</t>
  </si>
  <si>
    <r>
      <rPr/>
      <t xml:space="preserve">1. </t>
    </r>
    <r>
      <rPr>
        <color rgb="FF1155CC"/>
        <u/>
      </rPr>
      <t xml:space="preserve">350
</t>
    </r>
    <r>
      <rPr/>
      <t xml:space="preserve">2. </t>
    </r>
    <r>
      <rPr>
        <color rgb="FF1155CC"/>
        <u/>
      </rPr>
      <t>341</t>
    </r>
  </si>
  <si>
    <r>
      <rPr>
        <rFont val="Arial"/>
        <strike/>
        <color theme="1"/>
      </rPr>
      <t>8</t>
    </r>
    <r>
      <rPr>
        <rFont val="Arial"/>
        <color theme="1"/>
      </rPr>
      <t xml:space="preserve">
2</t>
    </r>
  </si>
  <si>
    <t>MOH GCC : 
1. Automation testing in SG SIT2 env
2. Rerun automation script in dev env due to it's not works in SIT</t>
  </si>
  <si>
    <r>
      <rPr/>
      <t xml:space="preserve">iSmart :
</t>
    </r>
    <r>
      <rPr>
        <color rgb="FF1155CC"/>
        <u/>
      </rPr>
      <t>#391</t>
    </r>
  </si>
  <si>
    <t>#391 &gt; verified</t>
  </si>
  <si>
    <r>
      <rPr>
        <rFont val="Arial"/>
        <strike/>
        <color theme="1"/>
      </rPr>
      <t xml:space="preserve">8
</t>
    </r>
    <r>
      <rPr>
        <rFont val="Arial"/>
        <color theme="1"/>
      </rPr>
      <t>2</t>
    </r>
  </si>
  <si>
    <t>6</t>
  </si>
  <si>
    <r>
      <rPr/>
      <t xml:space="preserve">iSmart : 
</t>
    </r>
    <r>
      <rPr>
        <color rgb="FF1155CC"/>
        <u/>
      </rPr>
      <t>#393</t>
    </r>
  </si>
  <si>
    <t xml:space="preserve">Kaizen : Create Draft User Manual
 a) KAIZEN Studio Console - in progress
 b) App Designer - in progress
 c) Theme Designer - 
 d) Database Designer -
 e) Service Designer - 
 f) Workflow Designer - </t>
  </si>
  <si>
    <t xml:space="preserve">Kaizen : Create Draft User Manual
 a) KAIZEN Studio Console - pending
 b) App Designer - done
 c) Theme Designer -  done
 d) Database Designer - done
 e) Service Designer - 
 f) Workflow Designer - </t>
  </si>
  <si>
    <r>
      <rPr>
        <rFont val="Arial"/>
        <strike/>
        <color theme="1"/>
      </rPr>
      <t>8</t>
    </r>
    <r>
      <rPr>
        <rFont val="Arial"/>
        <color theme="1"/>
      </rPr>
      <t xml:space="preserve">
6</t>
    </r>
  </si>
  <si>
    <t>2</t>
  </si>
  <si>
    <t>1682</t>
  </si>
  <si>
    <t xml:space="preserve">Kaizen : Create Draft User Manual
 a) KAIZEN Studio Console - pending
 b) App Designer - done
 c) Theme Designer -  done
 d) Database Designer - done
 e) Service Designer - done
 f) Workflow Designer - </t>
  </si>
  <si>
    <r>
      <rPr>
        <rFont val="Arial"/>
        <strike/>
        <color theme="1"/>
      </rPr>
      <t>8</t>
    </r>
    <r>
      <rPr>
        <rFont val="Arial"/>
        <color theme="1"/>
      </rPr>
      <t xml:space="preserve">
6</t>
    </r>
  </si>
  <si>
    <t>Kaizen : smoket test</t>
  </si>
  <si>
    <t>smoke test sheet</t>
  </si>
  <si>
    <t>363</t>
  </si>
  <si>
    <t>Kaizen : 
- Verify issue from smoke test
- Smoke test</t>
  </si>
  <si>
    <t>Kaizen : 
- Testing User Extension test case
- Create Workflow Designer user manual</t>
  </si>
  <si>
    <t>Kaizen : 
- Create Studio Console user manual</t>
  </si>
  <si>
    <t>Kaizen : 
- Revise the user manual documents based on SG feedback</t>
  </si>
  <si>
    <t>Kaizen : 
Write mobile component testcase</t>
  </si>
  <si>
    <t>DigitalID :
Verify Taiga issues</t>
  </si>
  <si>
    <r>
      <rPr/>
      <t xml:space="preserve">- </t>
    </r>
    <r>
      <rPr>
        <color rgb="FF1155CC"/>
        <u/>
      </rPr>
      <t xml:space="preserve">457
</t>
    </r>
    <r>
      <rPr/>
      <t xml:space="preserve">- </t>
    </r>
    <r>
      <rPr>
        <color rgb="FF1155CC"/>
        <u/>
      </rPr>
      <t xml:space="preserve">459
</t>
    </r>
    <r>
      <rPr/>
      <t xml:space="preserve">- </t>
    </r>
    <r>
      <rPr>
        <color rgb="FF1155CC"/>
        <u/>
      </rPr>
      <t>470</t>
    </r>
  </si>
  <si>
    <t>MOH : Verify mantis SIT issues and update the test case</t>
  </si>
  <si>
    <t>Done</t>
  </si>
  <si>
    <t>Annual Leave</t>
  </si>
  <si>
    <t>MOH : Fixing automation script for GCC SIT</t>
  </si>
  <si>
    <t>- MOH : Fixing automation script for GCC SIT
- Internal Training : Robot Framework</t>
  </si>
  <si>
    <r>
      <rPr>
        <rFont val="Arial"/>
        <strike/>
        <color theme="1"/>
      </rPr>
      <t>Kaizen : 
Write mobile component testcase</t>
    </r>
    <r>
      <rPr>
        <rFont val="Arial"/>
        <color theme="1"/>
      </rPr>
      <t xml:space="preserve">
MOH : Research automation script for GCC SIT to validate generated report</t>
    </r>
  </si>
  <si>
    <r>
      <rPr>
        <rFont val="Arial"/>
        <strike/>
        <color theme="1"/>
      </rPr>
      <t>Kaizen : 
Write mobile component testcase</t>
    </r>
    <r>
      <rPr>
        <rFont val="Arial"/>
        <color theme="1"/>
      </rPr>
      <t xml:space="preserve">
MOH : Research automation script for GCC SIT to validate generated report</t>
    </r>
  </si>
  <si>
    <r>
      <rPr>
        <rFont val="Arial"/>
        <strike/>
        <color theme="1"/>
      </rPr>
      <t>Kaizen : 
Write mobile component testcase</t>
    </r>
    <r>
      <rPr>
        <rFont val="Arial"/>
        <color theme="1"/>
      </rPr>
      <t xml:space="preserve">
MOH : Research automation script for GCC SIT to validate generated report</t>
    </r>
  </si>
  <si>
    <r>
      <rPr>
        <rFont val="Arial"/>
        <strike/>
        <color theme="1"/>
      </rPr>
      <t>Kaizen : 
Write mobile component testcase</t>
    </r>
    <r>
      <rPr>
        <rFont val="Arial"/>
        <color theme="1"/>
      </rPr>
      <t xml:space="preserve">
MOH : Research automation script for GCC SIT to validate generated report</t>
    </r>
  </si>
  <si>
    <r>
      <rPr>
        <rFont val="Arial"/>
        <strike/>
        <color theme="1"/>
      </rPr>
      <t>Kaizen : 
Write mobile component testcase</t>
    </r>
    <r>
      <rPr>
        <rFont val="Arial"/>
        <color theme="1"/>
      </rPr>
      <t xml:space="preserve">
MOH : Research automation script for GCC SIT to validate generated report</t>
    </r>
  </si>
  <si>
    <r>
      <rPr>
        <rFont val="Arial"/>
        <strike/>
        <color theme="1"/>
      </rPr>
      <t>Kaizen : 
Write mob</t>
    </r>
    <r>
      <rPr>
        <rFont val="Arial"/>
        <color theme="1"/>
      </rPr>
      <t>ile component testcase
MOH : Update automation script</t>
    </r>
  </si>
  <si>
    <r>
      <rPr>
        <rFont val="Arial"/>
        <strike/>
        <color theme="1"/>
      </rPr>
      <t>Kaizen : 
Write mob</t>
    </r>
    <r>
      <rPr>
        <rFont val="Arial"/>
        <color theme="1"/>
      </rPr>
      <t>ile component testcase
MOH : Update automation script</t>
    </r>
  </si>
  <si>
    <r>
      <rPr>
        <rFont val="Arial"/>
        <strike/>
        <color theme="1"/>
      </rPr>
      <t>Kaizen : 
Write mob</t>
    </r>
    <r>
      <rPr>
        <rFont val="Arial"/>
        <color theme="1"/>
      </rPr>
      <t>ile component testcase
MOH : Update automation script</t>
    </r>
  </si>
  <si>
    <r>
      <rPr>
        <rFont val="Arial"/>
        <strike/>
        <color theme="1"/>
      </rPr>
      <t>Kaizen : 
Write mob</t>
    </r>
    <r>
      <rPr>
        <rFont val="Arial"/>
        <color theme="1"/>
      </rPr>
      <t>ile component testcase
MOH : Update automation script</t>
    </r>
  </si>
  <si>
    <r>
      <rPr>
        <rFont val="Arial"/>
        <strike/>
        <color theme="1"/>
      </rPr>
      <t>Kaizen : 
Write mob</t>
    </r>
    <r>
      <rPr>
        <rFont val="Arial"/>
        <color theme="1"/>
      </rPr>
      <t>ile component testcase
MOH : Update automation script</t>
    </r>
  </si>
  <si>
    <t>Sick leave</t>
  </si>
  <si>
    <t>Kaizen : 
Testing MAS component 1.7.0</t>
  </si>
  <si>
    <t>Kaizen : 
Write MAS component testcase</t>
  </si>
  <si>
    <t>Kaizen : 
Storybook component testing</t>
  </si>
  <si>
    <t>Kaizen : 
Writing release notes 5.1.0</t>
  </si>
  <si>
    <t>Kaizen : 
Smoke test</t>
  </si>
  <si>
    <t>Kaizen : 
Migration testing</t>
  </si>
  <si>
    <t>Kaizen : Create KAIZEN Test Cases</t>
  </si>
  <si>
    <t>Kaizen : Add test cases based on issue reported in the taiga</t>
  </si>
  <si>
    <t>MOH: run automation script in the GCC SIT</t>
  </si>
  <si>
    <t>Kaizen : Complete release notes 5.1.1</t>
  </si>
  <si>
    <t>https://docs.google.com/spreadsheets/d/1wJL0uSlf7lirIepcNL5aSsGbVtWKHWd0kH6u_8_bn4I/edit?gid=0#gid=0</t>
  </si>
  <si>
    <t>MOH: fixing automation script in the GCC SIT</t>
  </si>
  <si>
    <r>
      <rPr>
        <rFont val="Arial"/>
        <strike/>
        <color theme="1"/>
      </rPr>
      <t xml:space="preserve">Kaizen : Add test cases based on issue reported in the taiga
</t>
    </r>
    <r>
      <rPr>
        <rFont val="Arial"/>
        <color theme="1"/>
      </rPr>
      <t>MOH: fixing automation script in the GCC SIT</t>
    </r>
  </si>
  <si>
    <t>Kaizen : Smoke test</t>
  </si>
  <si>
    <t>KAIZEN Testing Summary with Playwright.xlsx</t>
  </si>
  <si>
    <r>
      <rPr>
        <rFont val="Arial"/>
        <strike/>
        <color theme="1"/>
      </rPr>
      <t xml:space="preserve">Kaizen : Add test cases based on issue reported in the taiga
</t>
    </r>
    <r>
      <rPr>
        <rFont val="Arial"/>
        <color theme="1"/>
      </rPr>
      <t xml:space="preserve">DigitalID: Verify issue in prod </t>
    </r>
  </si>
  <si>
    <r>
      <rPr>
        <rFont val="Arial"/>
        <strike/>
        <color theme="1"/>
      </rPr>
      <t xml:space="preserve">Kaizen : Add test cases based on issue reported in the taiga
</t>
    </r>
    <r>
      <rPr>
        <rFont val="Arial"/>
        <color theme="1"/>
      </rPr>
      <t xml:space="preserve">DigitalID: Verify issue in prod </t>
    </r>
  </si>
  <si>
    <r>
      <rPr>
        <rFont val="Arial"/>
        <strike/>
        <color theme="1"/>
      </rPr>
      <t xml:space="preserve">Kaizen : Add test cases based on issue reported in the taiga
</t>
    </r>
    <r>
      <rPr>
        <rFont val="Arial"/>
        <color theme="1"/>
      </rPr>
      <t xml:space="preserve">DigitalID: Verify issue in prod </t>
    </r>
  </si>
  <si>
    <t xml:space="preserve">Kaizen : 5.2.0 SZ Testing </t>
  </si>
  <si>
    <t>https://docs.google.com/spreadsheets/d/1kmdxj5uEG2YtEaAI1ffPX5sRy03VF5-s/edit?gid=219639326#gid=219639326</t>
  </si>
  <si>
    <t>Kaizen : Generate Code-Mas storybook testing</t>
  </si>
  <si>
    <t>Kaizen : Search feature testing</t>
  </si>
  <si>
    <t>Kaizen: AI Testing, US#6854, US#7319, US#7454</t>
  </si>
  <si>
    <t>KAIZEN: 5.2.0 SZ Testing</t>
  </si>
  <si>
    <t>Pocdex (hours)</t>
  </si>
  <si>
    <t>IDH (hours)</t>
  </si>
  <si>
    <t>MOH (hours)</t>
  </si>
  <si>
    <t>Non Project (hours)</t>
  </si>
  <si>
    <r>
      <rPr>
        <rFont val="Arial"/>
        <strike/>
        <color theme="1"/>
      </rPr>
      <t>8</t>
    </r>
    <r>
      <rPr>
        <rFont val="Arial"/>
        <color theme="1"/>
      </rPr>
      <t xml:space="preserve"> 
2</t>
    </r>
  </si>
  <si>
    <r>
      <rPr>
        <rFont val="Arial"/>
        <color theme="1"/>
      </rPr>
      <t>IDH : Verify mantis issue</t>
    </r>
    <r>
      <rPr>
        <rFont val="Arial"/>
        <strike/>
        <color theme="1"/>
      </rPr>
      <t xml:space="preserve">
</t>
    </r>
    <r>
      <rPr>
        <rFont val="Arial"/>
        <color theme="1"/>
      </rPr>
      <t>Pocdex : HRP Regression Test</t>
    </r>
  </si>
  <si>
    <r>
      <rPr>
        <color rgb="FF434343"/>
        <u/>
      </rPr>
      <t xml:space="preserve">Pocdex: 
</t>
    </r>
    <r>
      <rPr>
        <color rgb="FF1155CC"/>
        <u/>
      </rPr>
      <t>HRP Regression Test Result</t>
    </r>
    <r>
      <rPr>
        <color rgb="FF434343"/>
        <u/>
      </rPr>
      <t xml:space="preserve">
IDH- Mobile: 
1. </t>
    </r>
    <r>
      <rPr>
        <color rgb="FF1155CC"/>
        <u/>
      </rPr>
      <t>Taiga #215</t>
    </r>
    <r>
      <rPr>
        <color rgb="FF434343"/>
        <u/>
      </rPr>
      <t xml:space="preserve">
2. </t>
    </r>
    <r>
      <rPr>
        <color rgb="FF1155CC"/>
        <u/>
      </rPr>
      <t>Taiga #212</t>
    </r>
    <r>
      <rPr>
        <color rgb="FF434343"/>
        <u/>
      </rPr>
      <t xml:space="preserve">
3. </t>
    </r>
    <r>
      <rPr>
        <color rgb="FF1155CC"/>
        <u/>
      </rPr>
      <t>Taiga #217</t>
    </r>
  </si>
  <si>
    <t>Pocdex: Need to work to another priority project : IP4SG 
IDH- Mobile:
1. Completed
2. Pending test on iOS  because the apk not ready yet in testflight
3. Got issue cannot scroll in inbox page, so waiting for the latest apk for this on android and iOS
=&gt; continue on Monday</t>
  </si>
  <si>
    <r>
      <rPr>
        <rFont val="Arial"/>
        <strike/>
        <color theme="1"/>
      </rPr>
      <t xml:space="preserve">8
</t>
    </r>
    <r>
      <rPr>
        <rFont val="Arial"/>
        <color theme="1"/>
      </rPr>
      <t>2</t>
    </r>
  </si>
  <si>
    <r>
      <rPr>
        <rFont val="Arial"/>
        <color theme="1"/>
      </rPr>
      <t>Pocdex : HRP Regression Test</t>
    </r>
    <r>
      <rPr>
        <rFont val="Arial"/>
        <strike/>
        <color theme="1"/>
      </rPr>
      <t xml:space="preserve">
</t>
    </r>
    <r>
      <rPr>
        <rFont val="Arial"/>
        <color theme="1"/>
      </rPr>
      <t>IDH : Verify Mantis Issue</t>
    </r>
  </si>
  <si>
    <r>
      <rPr>
        <color rgb="FF434343"/>
        <u/>
      </rPr>
      <t xml:space="preserve">Pocdex: 
</t>
    </r>
    <r>
      <rPr>
        <color rgb="FF1155CC"/>
        <u/>
      </rPr>
      <t xml:space="preserve">HRP Regression Test Result </t>
    </r>
    <r>
      <rPr>
        <color rgb="FF434343"/>
        <u/>
      </rPr>
      <t xml:space="preserve">
IDH- Mobile: 
1. </t>
    </r>
    <r>
      <rPr>
        <color rgb="FF1155CC"/>
        <u/>
      </rPr>
      <t>Taiga #215</t>
    </r>
    <r>
      <rPr>
        <color rgb="FF434343"/>
        <u/>
      </rPr>
      <t xml:space="preserve">
2. </t>
    </r>
    <r>
      <rPr>
        <color rgb="FF1155CC"/>
        <u/>
      </rPr>
      <t>Taiga #212</t>
    </r>
    <r>
      <rPr>
        <color rgb="FF434343"/>
        <u/>
      </rPr>
      <t xml:space="preserve">
3. </t>
    </r>
    <r>
      <rPr>
        <color rgb="FF1155CC"/>
        <u/>
      </rPr>
      <t>Taiga #217</t>
    </r>
  </si>
  <si>
    <t>IDH-Mobile:
1. Completed
2. Pending test on iOS  because the apk not ready yet in testflight
3. Got issue cannot scroll in inbox page for samsung A51, so waiting for the latest apk for this on android and iOS</t>
  </si>
  <si>
    <r>
      <rPr>
        <rFont val="Arial"/>
        <strike/>
        <color theme="1"/>
      </rPr>
      <t>8</t>
    </r>
    <r>
      <rPr>
        <rFont val="Arial"/>
        <color theme="1"/>
      </rPr>
      <t xml:space="preserve">
5</t>
    </r>
  </si>
  <si>
    <r>
      <rPr>
        <rFont val="Arial"/>
        <strike/>
        <color theme="1"/>
      </rPr>
      <t xml:space="preserve">8
</t>
    </r>
    <r>
      <rPr>
        <rFont val="Arial"/>
        <color theme="1"/>
      </rPr>
      <t>3</t>
    </r>
  </si>
  <si>
    <r>
      <rPr>
        <rFont val="Arial"/>
        <color theme="1"/>
      </rPr>
      <t xml:space="preserve">Pocdex : HRP Regression Test
</t>
    </r>
    <r>
      <rPr>
        <rFont val="Arial"/>
        <strike/>
        <color theme="1"/>
      </rPr>
      <t xml:space="preserve">
</t>
    </r>
    <r>
      <rPr>
        <rFont val="Arial"/>
        <color theme="1"/>
      </rPr>
      <t>IDH : Verify mantis issues</t>
    </r>
  </si>
  <si>
    <t>Pocdex: In Progress
IDH-Mobile: Completed</t>
  </si>
  <si>
    <r>
      <rPr>
        <color rgb="FF434343"/>
        <u/>
      </rPr>
      <t xml:space="preserve">Pocdex: 
</t>
    </r>
    <r>
      <rPr>
        <color rgb="FF1155CC"/>
        <u/>
      </rPr>
      <t>HRP Regression Test Result</t>
    </r>
    <r>
      <rPr>
        <color rgb="FF434343"/>
        <u/>
      </rPr>
      <t xml:space="preserve">
IDH- Mobile: 
1. </t>
    </r>
    <r>
      <rPr>
        <color rgb="FF1155CC"/>
        <u/>
      </rPr>
      <t>Taiga #215</t>
    </r>
    <r>
      <rPr>
        <color rgb="FF434343"/>
        <u/>
      </rPr>
      <t xml:space="preserve">
2. </t>
    </r>
    <r>
      <rPr>
        <color rgb="FF1155CC"/>
        <u/>
      </rPr>
      <t>Taiga #212</t>
    </r>
    <r>
      <rPr>
        <color rgb="FF434343"/>
        <u/>
      </rPr>
      <t xml:space="preserve">
3. </t>
    </r>
    <r>
      <rPr>
        <color rgb="FF1155CC"/>
        <u/>
      </rPr>
      <t>Taiga #217</t>
    </r>
  </si>
  <si>
    <r>
      <rPr>
        <rFont val="Arial"/>
        <strike/>
        <color theme="1"/>
      </rPr>
      <t xml:space="preserve">8
</t>
    </r>
    <r>
      <rPr>
        <rFont val="Arial"/>
        <color theme="1"/>
      </rPr>
      <t>4.5</t>
    </r>
  </si>
  <si>
    <t>Pocdex : HRP Regression Test
IDH-Mobile: smoke test for the scrolling in another module
Non Project: Knowledge Sharing AI</t>
  </si>
  <si>
    <t>Pocdex: In Progress
IDH-Mobile: Completed
Non Project: Completed</t>
  </si>
  <si>
    <r>
      <rPr>
        <color rgb="FF434343"/>
        <u/>
      </rPr>
      <t xml:space="preserve">Pocdex: 
</t>
    </r>
    <r>
      <rPr>
        <color rgb="FF1155CC"/>
        <u/>
      </rPr>
      <t>HRP Regression Test Result</t>
    </r>
    <r>
      <rPr>
        <color rgb="FF434343"/>
        <u/>
      </rPr>
      <t xml:space="preserve">
</t>
    </r>
  </si>
  <si>
    <t>Pocdex : 
1. HRP Regression Test
2. Cumulus Regression Test</t>
  </si>
  <si>
    <t>Pocdex:
1. Completed
2. In Progress</t>
  </si>
  <si>
    <r>
      <rPr>
        <color rgb="FF434343"/>
        <u/>
      </rPr>
      <t xml:space="preserve">Pocdex: 
1. </t>
    </r>
    <r>
      <rPr>
        <color rgb="FF1155CC"/>
        <u/>
      </rPr>
      <t xml:space="preserve">HRP Regression Test Result
</t>
    </r>
    <r>
      <rPr>
        <color rgb="FF434343"/>
        <u/>
      </rPr>
      <t xml:space="preserve">2. </t>
    </r>
    <r>
      <rPr>
        <color rgb="FF1155CC"/>
        <u/>
      </rPr>
      <t>Cumulus Regression Test Result</t>
    </r>
  </si>
  <si>
    <r>
      <rPr>
        <rFont val="Arial"/>
        <color theme="1"/>
      </rPr>
      <t xml:space="preserve">Pocdex : </t>
    </r>
    <r>
      <rPr>
        <rFont val="Arial"/>
        <strike/>
        <color theme="1"/>
      </rPr>
      <t xml:space="preserve">HRP Regression Test
</t>
    </r>
    <r>
      <rPr>
        <rFont val="Arial"/>
        <color theme="1"/>
      </rPr>
      <t>1. Cumulus Regression Test
2. Test ACE- SFTP retry and SFTP Pulling Files</t>
    </r>
  </si>
  <si>
    <t>Pocdex:
1. In Progress
2. Completed</t>
  </si>
  <si>
    <r>
      <rPr>
        <color rgb="FF434343"/>
        <u/>
      </rPr>
      <t xml:space="preserve">Pocdex: </t>
    </r>
    <r>
      <rPr>
        <color rgb="FF1155CC"/>
        <u/>
      </rPr>
      <t xml:space="preserve">
</t>
    </r>
    <r>
      <rPr>
        <color rgb="FF434343"/>
        <u/>
      </rPr>
      <t xml:space="preserve">1. </t>
    </r>
    <r>
      <rPr>
        <color rgb="FF1155CC"/>
        <u/>
      </rPr>
      <t xml:space="preserve">Cumulus Regression Test Result
</t>
    </r>
    <r>
      <rPr>
        <color rgb="FF434343"/>
        <u/>
      </rPr>
      <t xml:space="preserve">2. </t>
    </r>
    <r>
      <rPr>
        <color rgb="FF1155CC"/>
        <u/>
      </rPr>
      <t>Taiga #503</t>
    </r>
  </si>
  <si>
    <t>Pocdex:
1. Need to work on another priority task =&gt; Test POCDEX-ACE : SFTP retry and SFTP Pulling Files</t>
  </si>
  <si>
    <r>
      <rPr>
        <rFont val="Arial"/>
        <strike/>
        <color theme="1"/>
      </rPr>
      <t xml:space="preserve">MOH : Test MOH GCC Mobile App
Digital ID : Testing
</t>
    </r>
    <r>
      <rPr>
        <rFont val="Arial"/>
        <color theme="1"/>
      </rPr>
      <t>Pocdex: Cumulus Regression Test</t>
    </r>
  </si>
  <si>
    <t>Pocdex: Completed</t>
  </si>
  <si>
    <r>
      <rPr>
        <color rgb="FF434343"/>
        <u/>
      </rPr>
      <t xml:space="preserve">Pocdex: </t>
    </r>
    <r>
      <rPr>
        <color rgb="FF1155CC"/>
        <u/>
      </rPr>
      <t xml:space="preserve">
</t>
    </r>
    <r>
      <rPr>
        <color rgb="FF1155CC"/>
        <u/>
      </rPr>
      <t xml:space="preserve">Cumulus Regression Test Result
</t>
    </r>
  </si>
  <si>
    <r>
      <rPr>
        <rFont val="Arial"/>
        <strike/>
        <color theme="1"/>
      </rPr>
      <t xml:space="preserve">MOH : Test MOH GCC Mobile App
Digital ID : Testing
</t>
    </r>
    <r>
      <rPr>
        <rFont val="Arial"/>
        <color theme="1"/>
      </rPr>
      <t xml:space="preserve">
Non Project: 
1. TOPPAN AI Assistant : Usage Test
2. Learning Playwright</t>
    </r>
  </si>
  <si>
    <t>Non Project:
1. Completed
2. In Progress</t>
  </si>
  <si>
    <r>
      <rPr/>
      <t xml:space="preserve">Non Project:
1.  </t>
    </r>
    <r>
      <rPr>
        <color rgb="FF1155CC"/>
        <u/>
      </rPr>
      <t>consolidate issue lists</t>
    </r>
  </si>
  <si>
    <r>
      <rPr>
        <rFont val="Arial"/>
        <strike/>
        <color theme="1"/>
      </rPr>
      <t xml:space="preserve">MOH : Test MOH GCC Mobile App
Digital ID : Testing
</t>
    </r>
    <r>
      <rPr>
        <rFont val="Arial"/>
        <color theme="1"/>
      </rPr>
      <t>Non Project : Learning Playwright</t>
    </r>
  </si>
  <si>
    <t>Non Project:
1. In Progress</t>
  </si>
  <si>
    <r>
      <rPr>
        <rFont val="Arial"/>
        <strike/>
        <color theme="1"/>
      </rPr>
      <t xml:space="preserve">8
</t>
    </r>
    <r>
      <rPr>
        <rFont val="Arial"/>
        <color theme="1"/>
      </rPr>
      <t>5</t>
    </r>
  </si>
  <si>
    <r>
      <rPr>
        <rFont val="Arial"/>
        <strike/>
        <color theme="1"/>
      </rPr>
      <t xml:space="preserve">MOH : Test MOH GCC Mobile App
</t>
    </r>
    <r>
      <rPr>
        <rFont val="Arial"/>
        <color theme="1"/>
      </rPr>
      <t xml:space="preserve">Digital ID : </t>
    </r>
    <r>
      <rPr>
        <rFont val="Arial"/>
        <strike/>
        <color theme="1"/>
      </rPr>
      <t xml:space="preserve">Testing </t>
    </r>
    <r>
      <rPr>
        <rFont val="Arial"/>
        <color theme="1"/>
      </rPr>
      <t xml:space="preserve"> Create Test Case for User Portal
Non Project: Learning Playwright</t>
    </r>
  </si>
  <si>
    <t>Digital ID: In Progress
Non Project:
1. In Progress</t>
  </si>
  <si>
    <r>
      <rPr>
        <rFont val="Arial"/>
        <strike/>
        <color theme="1"/>
      </rPr>
      <t xml:space="preserve">MOH : Test MOH GCC Mobile App
</t>
    </r>
    <r>
      <rPr>
        <rFont val="Arial"/>
        <color theme="1"/>
      </rPr>
      <t xml:space="preserve">Digital ID :  </t>
    </r>
    <r>
      <rPr>
        <rFont val="Arial"/>
        <strike/>
        <color theme="1"/>
      </rPr>
      <t xml:space="preserve">Testing </t>
    </r>
    <r>
      <rPr>
        <rFont val="Arial"/>
        <color theme="1"/>
      </rPr>
      <t xml:space="preserve"> Create Test Case for User Portal</t>
    </r>
  </si>
  <si>
    <t>Digital ID: Completed</t>
  </si>
  <si>
    <r>
      <rPr>
        <rFont val="Arial"/>
        <strike/>
        <color theme="1"/>
      </rPr>
      <t xml:space="preserve">MOH : Test MOH GCC Mobile App
</t>
    </r>
    <r>
      <rPr>
        <rFont val="Arial"/>
        <color theme="1"/>
      </rPr>
      <t xml:space="preserve">Digital ID : </t>
    </r>
    <r>
      <rPr>
        <rFont val="Arial"/>
        <strike/>
        <color theme="1"/>
      </rPr>
      <t>Testing</t>
    </r>
    <r>
      <rPr>
        <rFont val="Arial"/>
        <color theme="1"/>
      </rPr>
      <t xml:space="preserve"> Create Automation Test Script for User Portal using Playwright</t>
    </r>
  </si>
  <si>
    <t>Digital ID: In Progress</t>
  </si>
  <si>
    <t>Using User Portal in server 1.3</t>
  </si>
  <si>
    <r>
      <rPr>
        <rFont val="Arial"/>
        <strike/>
        <color theme="1"/>
      </rPr>
      <t xml:space="preserve">MOH : Test MOH GCC Mobile App
</t>
    </r>
    <r>
      <rPr>
        <rFont val="Arial"/>
        <color theme="1"/>
      </rPr>
      <t xml:space="preserve">Digital ID : </t>
    </r>
    <r>
      <rPr>
        <rFont val="Arial"/>
        <strike/>
        <color theme="1"/>
      </rPr>
      <t>Testing</t>
    </r>
    <r>
      <rPr>
        <rFont val="Arial"/>
        <color theme="1"/>
      </rPr>
      <t xml:space="preserve"> Create Automation Test Script for User Portal using Playwright</t>
    </r>
  </si>
  <si>
    <t>Using User Portal in server 1.3: Landing Page, Login page, Account Recovery page -&gt; done</t>
  </si>
  <si>
    <r>
      <rPr>
        <rFont val="Arial"/>
        <strike/>
        <color theme="1"/>
      </rPr>
      <t xml:space="preserve">MOH : Test MOH GCC Mobile App
</t>
    </r>
    <r>
      <rPr>
        <rFont val="Arial"/>
        <color theme="1"/>
      </rPr>
      <t xml:space="preserve">Digital ID : </t>
    </r>
    <r>
      <rPr>
        <rFont val="Arial"/>
        <strike/>
        <color theme="1"/>
      </rPr>
      <t>Testing</t>
    </r>
    <r>
      <rPr>
        <rFont val="Arial"/>
        <color theme="1"/>
      </rPr>
      <t xml:space="preserve"> Create Automation Test Script for User Portal using Playwright</t>
    </r>
  </si>
  <si>
    <t>Using User Portal in server 1.3 :
failed to input date in Registration page</t>
  </si>
  <si>
    <r>
      <rPr>
        <rFont val="Arial"/>
        <strike/>
        <color theme="1"/>
      </rPr>
      <t xml:space="preserve">MOH : Test MOH GCC Mobile App
</t>
    </r>
    <r>
      <rPr>
        <rFont val="Arial"/>
        <color theme="1"/>
      </rPr>
      <t xml:space="preserve">Digital ID : </t>
    </r>
    <r>
      <rPr>
        <rFont val="Arial"/>
        <strike/>
        <color theme="1"/>
      </rPr>
      <t>Testing</t>
    </r>
    <r>
      <rPr>
        <rFont val="Arial"/>
        <color theme="1"/>
      </rPr>
      <t xml:space="preserve"> 
1. Create Automation Test Script for User Portal using Playwright
2. Testing User Portal</t>
    </r>
  </si>
  <si>
    <t>1. In-Progress
2. In-Progress</t>
  </si>
  <si>
    <t>1. Using User Portal in server 1.3 :
When run Account Registration test, got error when submit Step 1 -&gt; failed to go to next page (Step 2-OTP)
2. Testing User Portal in server 0.200</t>
  </si>
  <si>
    <r>
      <rPr>
        <rFont val="Arial"/>
        <strike/>
        <color theme="1"/>
      </rPr>
      <t xml:space="preserve">MOH : Test MOH GCC Mobile App
</t>
    </r>
    <r>
      <rPr>
        <rFont val="Arial"/>
        <color theme="1"/>
      </rPr>
      <t>Digital ID : Testing User Portal</t>
    </r>
  </si>
  <si>
    <t>In-Progress</t>
  </si>
  <si>
    <t>Testing User Portal in server 0.200</t>
  </si>
  <si>
    <r>
      <rPr>
        <rFont val="Arial"/>
        <strike/>
        <color theme="1"/>
      </rPr>
      <t xml:space="preserve">MOH : Test MOH GCC Mobile App
</t>
    </r>
    <r>
      <rPr>
        <rFont val="Arial"/>
        <color theme="1"/>
      </rPr>
      <t>Digital ID : Testing User Portal and Admin Portal</t>
    </r>
  </si>
  <si>
    <t>Testing in server 0.200</t>
  </si>
  <si>
    <t>Digital ID : 
1. Testing  Admin Portal
2. Verify Issues</t>
  </si>
  <si>
    <t>Taiga #591</t>
  </si>
  <si>
    <t>Taiga #592</t>
  </si>
  <si>
    <r>
      <rPr>
        <rFont val="Arial"/>
        <strike/>
        <color theme="1"/>
      </rPr>
      <t xml:space="preserve">8
</t>
    </r>
    <r>
      <rPr>
        <rFont val="Arial"/>
        <color theme="1"/>
      </rPr>
      <t>4</t>
    </r>
  </si>
  <si>
    <t>Digital ID : 
1. Testing  Admin Portal
2. Verify Issues
IDH-Mobile: Verify Issues</t>
  </si>
  <si>
    <t>Digital ID: 
1. In-Progress
2. In-Progress
IDH-Mobile: In-Progress</t>
  </si>
  <si>
    <r>
      <rPr>
        <rFont val="Arial"/>
      </rPr>
      <t xml:space="preserve">Digital ID:
1. </t>
    </r>
    <r>
      <rPr>
        <rFont val="Arial"/>
        <color rgb="FF1155CC"/>
        <u/>
      </rPr>
      <t xml:space="preserve">Taiga #565
</t>
    </r>
    <r>
      <rPr>
        <rFont val="Arial"/>
      </rPr>
      <t xml:space="preserve">IDH-Mobile:
1. </t>
    </r>
    <r>
      <rPr>
        <rFont val="Arial"/>
        <color rgb="FF1155CC"/>
        <u/>
      </rPr>
      <t xml:space="preserve">Taiga #220
</t>
    </r>
    <r>
      <rPr>
        <rFont val="Arial"/>
      </rPr>
      <t xml:space="preserve">2. </t>
    </r>
    <r>
      <rPr>
        <rFont val="Arial"/>
        <color rgb="FF1155CC"/>
        <u/>
      </rPr>
      <t>Taiga #221</t>
    </r>
  </si>
  <si>
    <t>IDH-Mobile: 
1. Found issues
2. Found new issues</t>
  </si>
  <si>
    <r>
      <rPr>
        <rFont val="Arial"/>
        <strike/>
        <color theme="1"/>
      </rPr>
      <t xml:space="preserve">8
</t>
    </r>
    <r>
      <rPr>
        <rFont val="Arial"/>
        <color theme="1"/>
      </rPr>
      <t>5</t>
    </r>
  </si>
  <si>
    <t>Digital ID : Testing  Admin Portal
IDH-Mobile: Verify Issues</t>
  </si>
  <si>
    <t>Digital ID: In-Progress
IDH-Mobile: Done</t>
  </si>
  <si>
    <r>
      <rPr>
        <rFont val="Arial"/>
      </rPr>
      <t xml:space="preserve">IDH-Mobile:
1. </t>
    </r>
    <r>
      <rPr>
        <rFont val="Arial"/>
        <color rgb="FF1155CC"/>
        <u/>
      </rPr>
      <t xml:space="preserve">Taiga #220
</t>
    </r>
    <r>
      <rPr>
        <rFont val="Arial"/>
      </rPr>
      <t xml:space="preserve">2. </t>
    </r>
    <r>
      <rPr>
        <rFont val="Arial"/>
        <color rgb="FF1155CC"/>
        <u/>
      </rPr>
      <t>Taiga #221</t>
    </r>
  </si>
  <si>
    <r>
      <rPr/>
      <t xml:space="preserve">1. </t>
    </r>
    <r>
      <rPr>
        <color rgb="FF1155CC"/>
        <u/>
      </rPr>
      <t xml:space="preserve">Taiga #482
</t>
    </r>
    <r>
      <rPr/>
      <t xml:space="preserve">2. </t>
    </r>
    <r>
      <rPr>
        <color rgb="FF1155CC"/>
        <u/>
      </rPr>
      <t xml:space="preserve">Taiga #501
</t>
    </r>
    <r>
      <rPr/>
      <t xml:space="preserve">3. </t>
    </r>
    <r>
      <rPr>
        <color rgb="FF1155CC"/>
        <u/>
      </rPr>
      <t>Taiga #602</t>
    </r>
  </si>
  <si>
    <t>Digital ID : 
1. Testing Taiga BD with status "Ready for Test"
2. Verify Issues</t>
  </si>
  <si>
    <r>
      <rPr/>
      <t xml:space="preserve">Testing Taiga BD with status "Ready for Test":
1. </t>
    </r>
    <r>
      <rPr>
        <color rgb="FF1155CC"/>
        <u/>
      </rPr>
      <t>Taiga #386</t>
    </r>
    <r>
      <rPr/>
      <t xml:space="preserve">
2. </t>
    </r>
    <r>
      <rPr>
        <color rgb="FF1155CC"/>
        <u/>
      </rPr>
      <t>Taiga #328</t>
    </r>
    <r>
      <rPr/>
      <t xml:space="preserve">
3. </t>
    </r>
    <r>
      <rPr>
        <color rgb="FF1155CC"/>
        <u/>
      </rPr>
      <t>Taiga #364</t>
    </r>
    <r>
      <rPr/>
      <t xml:space="preserve">
4. </t>
    </r>
    <r>
      <rPr>
        <color rgb="FF1155CC"/>
        <u/>
      </rPr>
      <t>Taiga #385</t>
    </r>
    <r>
      <rPr/>
      <t xml:space="preserve">
Verify issues:
1. </t>
    </r>
    <r>
      <rPr>
        <color rgb="FF1155CC"/>
        <u/>
      </rPr>
      <t>Taiga #553</t>
    </r>
    <r>
      <rPr/>
      <t xml:space="preserve">
2. </t>
    </r>
    <r>
      <rPr>
        <color rgb="FF1155CC"/>
        <u/>
      </rPr>
      <t>Taiga #595</t>
    </r>
  </si>
  <si>
    <r>
      <rPr/>
      <t xml:space="preserve">Testing Taiga BD with status "Ready for Test":
1. </t>
    </r>
    <r>
      <rPr>
        <color rgb="FF1155CC"/>
        <u/>
      </rPr>
      <t>Taiga #376</t>
    </r>
    <r>
      <rPr/>
      <t xml:space="preserve"> =&gt; DONE
2. </t>
    </r>
    <r>
      <rPr>
        <color rgb="FF1155CC"/>
        <u/>
      </rPr>
      <t>Taiga #377</t>
    </r>
    <r>
      <rPr/>
      <t xml:space="preserve"> =&gt; DONE
3. </t>
    </r>
    <r>
      <rPr>
        <color rgb="FF1155CC"/>
        <u/>
      </rPr>
      <t>Taiga #328</t>
    </r>
    <r>
      <rPr/>
      <t xml:space="preserve"> =&gt; DONE
4. </t>
    </r>
    <r>
      <rPr>
        <color rgb="FF1155CC"/>
        <u/>
      </rPr>
      <t>Taiga #327</t>
    </r>
    <r>
      <rPr/>
      <t xml:space="preserve"> =&gt; test in progress
Verify issues:
1. </t>
    </r>
    <r>
      <rPr>
        <color rgb="FF1155CC"/>
        <u/>
      </rPr>
      <t>Taiga #562</t>
    </r>
    <r>
      <rPr/>
      <t xml:space="preserve"> =&gt; VERIFIED
2. </t>
    </r>
    <r>
      <rPr>
        <color rgb="FF1155CC"/>
        <u/>
      </rPr>
      <t>Taiga #556</t>
    </r>
    <r>
      <rPr/>
      <t xml:space="preserve"> =&gt; VERIFIED
3. </t>
    </r>
    <r>
      <rPr>
        <color rgb="FF1155CC"/>
        <u/>
      </rPr>
      <t>Taiga #583</t>
    </r>
    <r>
      <rPr/>
      <t xml:space="preserve"> =&gt; Reopen
4. </t>
    </r>
    <r>
      <rPr>
        <color rgb="FF1155CC"/>
        <u/>
      </rPr>
      <t>Taiga #623</t>
    </r>
    <r>
      <rPr/>
      <t xml:space="preserve"> =&gt; VERIFIED</t>
    </r>
  </si>
  <si>
    <t>Taiga #327: after activate the locked user, the user still cannot login</t>
  </si>
  <si>
    <r>
      <rPr/>
      <t xml:space="preserve">Testing Taiga BD with status "Ready for Test":
1. </t>
    </r>
    <r>
      <rPr>
        <color rgb="FF1155CC"/>
        <u/>
      </rPr>
      <t>Taiga #374</t>
    </r>
    <r>
      <rPr/>
      <t xml:space="preserve"> =&gt; DONE
2. </t>
    </r>
    <r>
      <rPr>
        <color rgb="FF1155CC"/>
        <u/>
      </rPr>
      <t>Taiga #302</t>
    </r>
    <r>
      <rPr/>
      <t xml:space="preserve"> =&gt; DONE
3. </t>
    </r>
    <r>
      <rPr>
        <color rgb="FF1155CC"/>
        <u/>
      </rPr>
      <t>Taiga #308</t>
    </r>
    <r>
      <rPr/>
      <t xml:space="preserve"> =&gt; DONE
4. </t>
    </r>
    <r>
      <rPr>
        <color rgb="FF1155CC"/>
        <u/>
      </rPr>
      <t>Taiga #304</t>
    </r>
    <r>
      <rPr/>
      <t xml:space="preserve"> =&gt; DONE
5. </t>
    </r>
    <r>
      <rPr>
        <color rgb="FF1155CC"/>
        <u/>
      </rPr>
      <t>Taiga #303</t>
    </r>
    <r>
      <rPr/>
      <t xml:space="preserve"> =&gt; DONE
Verify issues:
1. </t>
    </r>
    <r>
      <rPr>
        <color rgb="FF1155CC"/>
        <u/>
      </rPr>
      <t>Taiga #619</t>
    </r>
    <r>
      <rPr/>
      <t xml:space="preserve"> =&gt; VERIFIED
2. </t>
    </r>
    <r>
      <rPr>
        <color rgb="FF1155CC"/>
        <u/>
      </rPr>
      <t>Taiga #618</t>
    </r>
    <r>
      <rPr/>
      <t xml:space="preserve"> =&gt; VERIFIED
3. </t>
    </r>
    <r>
      <rPr>
        <color rgb="FF1155CC"/>
        <u/>
      </rPr>
      <t>Taiga #617</t>
    </r>
    <r>
      <rPr/>
      <t xml:space="preserve"> =&gt; Reopen
4. </t>
    </r>
    <r>
      <rPr>
        <color rgb="FF1155CC"/>
        <u/>
      </rPr>
      <t>Taiga #616</t>
    </r>
    <r>
      <rPr/>
      <t xml:space="preserve"> =&gt; Reopen
5. </t>
    </r>
    <r>
      <rPr>
        <color rgb="FF1155CC"/>
        <u/>
      </rPr>
      <t>Taiga #597</t>
    </r>
    <r>
      <rPr/>
      <t xml:space="preserve"> =&gt; VERIFIED</t>
    </r>
  </si>
  <si>
    <t>Digital ID : 
1.  Verify Issues</t>
  </si>
  <si>
    <t xml:space="preserve"> In-Progress</t>
  </si>
  <si>
    <r>
      <rPr/>
      <t xml:space="preserve">Verify issues:
1. </t>
    </r>
    <r>
      <rPr>
        <color rgb="FF1155CC"/>
        <u/>
      </rPr>
      <t>Taiga #598</t>
    </r>
    <r>
      <rPr/>
      <t xml:space="preserve"> =&gt; VERIFIED
2. </t>
    </r>
    <r>
      <rPr>
        <color rgb="FF1155CC"/>
        <u/>
      </rPr>
      <t>Taiga #599</t>
    </r>
    <r>
      <rPr/>
      <t xml:space="preserve"> =&gt; VERIFIED
3. </t>
    </r>
    <r>
      <rPr>
        <color rgb="FF1155CC"/>
        <u/>
      </rPr>
      <t>Taiga #596</t>
    </r>
    <r>
      <rPr/>
      <t xml:space="preserve"> =&gt; Reopen
4. </t>
    </r>
    <r>
      <rPr>
        <color rgb="FF1155CC"/>
        <u/>
      </rPr>
      <t>Taiga #601</t>
    </r>
    <r>
      <rPr/>
      <t xml:space="preserve"> =&gt; </t>
    </r>
    <r>
      <rPr>
        <b/>
        <i/>
      </rPr>
      <t>Pending Test because failed to create new client</t>
    </r>
    <r>
      <rPr/>
      <t xml:space="preserve">
5. </t>
    </r>
    <r>
      <rPr>
        <color rgb="FF1155CC"/>
        <u/>
      </rPr>
      <t>Taiga #600</t>
    </r>
    <r>
      <rPr/>
      <t xml:space="preserve"> =&gt; VERIFIED
6. </t>
    </r>
    <r>
      <rPr>
        <color rgb="FF1155CC"/>
        <u/>
      </rPr>
      <t>Taiga #567</t>
    </r>
    <r>
      <rPr/>
      <t xml:space="preserve"> =&gt;  </t>
    </r>
    <r>
      <rPr>
        <b/>
        <i/>
      </rPr>
      <t xml:space="preserve">Pending Test because the pagination is not working
</t>
    </r>
    <r>
      <rPr/>
      <t xml:space="preserve">7. </t>
    </r>
    <r>
      <rPr>
        <color rgb="FF1155CC"/>
        <u/>
      </rPr>
      <t>Taiga #594</t>
    </r>
    <r>
      <rPr/>
      <t xml:space="preserve"> =&gt;  VERIFIED
8. </t>
    </r>
    <r>
      <rPr>
        <color rgb="FF1155CC"/>
        <u/>
      </rPr>
      <t>Taiga #620</t>
    </r>
    <r>
      <rPr/>
      <t xml:space="preserve"> =&gt; VERIFIED
9. </t>
    </r>
    <r>
      <rPr>
        <color rgb="FF1155CC"/>
        <u/>
      </rPr>
      <t>Taiga #624</t>
    </r>
    <r>
      <rPr/>
      <t xml:space="preserve"> =&gt; VERIFIED
10. </t>
    </r>
    <r>
      <rPr>
        <color rgb="FF1155CC"/>
        <u/>
      </rPr>
      <t>Taiga #622</t>
    </r>
    <r>
      <rPr/>
      <t xml:space="preserve"> =&gt; Reopen
11. </t>
    </r>
    <r>
      <rPr>
        <color rgb="FF1155CC"/>
        <u/>
      </rPr>
      <t>Taiga #557</t>
    </r>
    <r>
      <rPr/>
      <t xml:space="preserve"> =&gt; VERIFIED</t>
    </r>
  </si>
  <si>
    <t>Digital ID : 
1. Test mobile responsive in User Portal
2. Testing Taiga BD with status "Ready for Test"
3. Verify Issues</t>
  </si>
  <si>
    <t>1. Done
2. In-Progress
3. In-Progress</t>
  </si>
  <si>
    <r>
      <rPr/>
      <t xml:space="preserve">Testing Taiga BD with status "Ready for Test":
1. </t>
    </r>
    <r>
      <rPr>
        <color rgb="FF1155CC"/>
        <u/>
      </rPr>
      <t>Taiga #311</t>
    </r>
    <r>
      <rPr/>
      <t xml:space="preserve"> =&gt; DONE
2.
Verify issues:
1. </t>
    </r>
    <r>
      <rPr>
        <color rgb="FF1155CC"/>
        <u/>
      </rPr>
      <t>Taiga #616</t>
    </r>
    <r>
      <rPr/>
      <t xml:space="preserve"> =&gt; VERIFIED
2. </t>
    </r>
    <r>
      <rPr>
        <color rgb="FF1155CC"/>
        <u/>
      </rPr>
      <t>Taiga #617</t>
    </r>
    <r>
      <rPr/>
      <t xml:space="preserve"> =&gt; VERIFIED
3. </t>
    </r>
    <r>
      <rPr>
        <color rgb="FF1155CC"/>
        <u/>
      </rPr>
      <t>Taiga #563</t>
    </r>
    <r>
      <rPr/>
      <t xml:space="preserve"> =&gt; VERIFIED
4. </t>
    </r>
    <r>
      <rPr>
        <color rgb="FF1155CC"/>
        <u/>
      </rPr>
      <t>Taiga #558</t>
    </r>
    <r>
      <rPr/>
      <t xml:space="preserve"> =&gt; VERIFIED
5. </t>
    </r>
    <r>
      <rPr>
        <color rgb="FF1155CC"/>
        <u/>
      </rPr>
      <t>Taiga #555</t>
    </r>
    <r>
      <rPr/>
      <t xml:space="preserve"> =&gt; VERIFIED</t>
    </r>
  </si>
  <si>
    <t>Digital ID : 
1. Test User Portal
2. Testing Taiga BD with status "Ready for Test"
3. Verify Issues</t>
  </si>
  <si>
    <t>1. Done 
2. In-Progress
3. In-Progress</t>
  </si>
  <si>
    <r>
      <rPr/>
      <t xml:space="preserve">Testing Taiga BD with status "Ready for Test":
1. </t>
    </r>
    <r>
      <rPr>
        <color rgb="FF1155CC"/>
        <u/>
      </rPr>
      <t>Taiga #392</t>
    </r>
    <r>
      <rPr/>
      <t xml:space="preserve"> =&gt; DONE
2. </t>
    </r>
    <r>
      <rPr>
        <color rgb="FF1155CC"/>
        <u/>
      </rPr>
      <t>Taiga #393</t>
    </r>
    <r>
      <rPr/>
      <t xml:space="preserve"> =&gt; DONE
4. </t>
    </r>
    <r>
      <rPr>
        <color rgb="FF1155CC"/>
        <u/>
      </rPr>
      <t>Taiga #285</t>
    </r>
    <r>
      <rPr/>
      <t xml:space="preserve"> =&gt; DONE
5. </t>
    </r>
    <r>
      <rPr>
        <color rgb="FF1155CC"/>
        <u/>
      </rPr>
      <t>Taiga #314</t>
    </r>
    <r>
      <rPr/>
      <t xml:space="preserve"> =&gt; DONE
6. </t>
    </r>
    <r>
      <rPr>
        <color rgb="FF1155CC"/>
        <u/>
      </rPr>
      <t>Taiga #278</t>
    </r>
    <r>
      <rPr/>
      <t xml:space="preserve"> =&gt; DONE
7. </t>
    </r>
    <r>
      <rPr>
        <color rgb="FF1155CC"/>
        <u/>
      </rPr>
      <t>Taiga #275</t>
    </r>
    <r>
      <rPr/>
      <t xml:space="preserve"> =&gt; DONE
Verify issues:
1. </t>
    </r>
    <r>
      <rPr>
        <color rgb="FF1155CC"/>
        <u/>
      </rPr>
      <t>Taiga #537</t>
    </r>
    <r>
      <rPr/>
      <t xml:space="preserve"> =&gt; Reopen
2. </t>
    </r>
    <r>
      <rPr>
        <color rgb="FF1155CC"/>
        <u/>
      </rPr>
      <t>Taiga #590</t>
    </r>
    <r>
      <rPr/>
      <t xml:space="preserve"> =&gt;VERIFIED
3. </t>
    </r>
    <r>
      <rPr>
        <color rgb="FF1155CC"/>
        <u/>
      </rPr>
      <t>Taiga #568</t>
    </r>
    <r>
      <rPr/>
      <t xml:space="preserve"> =&gt; VERIFIED
</t>
    </r>
  </si>
  <si>
    <r>
      <rPr/>
      <t xml:space="preserve">Testing Taiga BD with status "Ready for Test":
1. </t>
    </r>
    <r>
      <rPr>
        <color rgb="FF1155CC"/>
        <u/>
      </rPr>
      <t>Taiga #325</t>
    </r>
    <r>
      <rPr/>
      <t xml:space="preserve"> =&gt; DONE
2. </t>
    </r>
    <r>
      <rPr>
        <color rgb="FF1155CC"/>
        <u/>
      </rPr>
      <t>Taiga #295</t>
    </r>
    <r>
      <rPr/>
      <t xml:space="preserve"> =&gt; DONE
3. </t>
    </r>
    <r>
      <rPr>
        <color rgb="FF1155CC"/>
        <u/>
      </rPr>
      <t>Taiga #287</t>
    </r>
    <r>
      <rPr/>
      <t xml:space="preserve"> =&gt; DONE
4. </t>
    </r>
    <r>
      <rPr>
        <color rgb="FF1155CC"/>
        <u/>
      </rPr>
      <t>Taiga #288</t>
    </r>
    <r>
      <rPr/>
      <t xml:space="preserve"> =&gt; DONE
5. </t>
    </r>
    <r>
      <rPr>
        <color rgb="FF1155CC"/>
        <u/>
      </rPr>
      <t>Taiga #332</t>
    </r>
    <r>
      <rPr/>
      <t xml:space="preserve"> =&gt; DONE
6. </t>
    </r>
    <r>
      <rPr>
        <color rgb="FF1155CC"/>
        <u/>
      </rPr>
      <t>Taiga #444</t>
    </r>
    <r>
      <rPr/>
      <t xml:space="preserve"> =&gt; DONE
7. </t>
    </r>
    <r>
      <rPr>
        <color rgb="FF1155CC"/>
        <u/>
      </rPr>
      <t>Taiga #432</t>
    </r>
    <r>
      <rPr/>
      <t xml:space="preserve"> =&gt; DONE
8. </t>
    </r>
    <r>
      <rPr>
        <color rgb="FF1155CC"/>
        <u/>
      </rPr>
      <t>Taiga #335</t>
    </r>
    <r>
      <rPr/>
      <t xml:space="preserve"> =&gt; DONE
9. </t>
    </r>
    <r>
      <rPr>
        <color rgb="FF1155CC"/>
        <u/>
      </rPr>
      <t>Taiga #279</t>
    </r>
    <r>
      <rPr/>
      <t xml:space="preserve"> =&gt; DONE
10. </t>
    </r>
    <r>
      <rPr>
        <color rgb="FF1155CC"/>
        <u/>
      </rPr>
      <t>Taiga #273</t>
    </r>
    <r>
      <rPr/>
      <t xml:space="preserve"> =&gt; DONE
11. </t>
    </r>
    <r>
      <rPr>
        <color rgb="FF1155CC"/>
        <u/>
      </rPr>
      <t>Taiga #474</t>
    </r>
    <r>
      <rPr/>
      <t xml:space="preserve"> =&gt; DONE
Verify issues:
1. </t>
    </r>
    <r>
      <rPr>
        <color rgb="FF1155CC"/>
        <u/>
      </rPr>
      <t>Taiga #569</t>
    </r>
    <r>
      <rPr/>
      <t xml:space="preserve"> =&gt; Reopen
2. </t>
    </r>
    <r>
      <rPr>
        <color rgb="FF1155CC"/>
        <u/>
      </rPr>
      <t>Taiga #502</t>
    </r>
    <r>
      <rPr/>
      <t xml:space="preserve"> =&gt; VERIFIED
3. Taiga #537 =&gt; still have issues
</t>
    </r>
  </si>
  <si>
    <t>Digital ID : 
1. Testing Taiga SG with status "Ready for Review" that assigned to me as Watcher
2. Test User Portal
3. Test Admin Portal
4. Verify Issues</t>
  </si>
  <si>
    <t>1. Done
2. In-Progress
3. In-Progress
4. In-Progress</t>
  </si>
  <si>
    <r>
      <rPr/>
      <t xml:space="preserve">Testing Taiga SG:
1. </t>
    </r>
    <r>
      <rPr>
        <color rgb="FF1155CC"/>
        <u/>
      </rPr>
      <t>Taiga #656</t>
    </r>
    <r>
      <rPr/>
      <t xml:space="preserve"> =&gt; login page not updated yet
2. </t>
    </r>
    <r>
      <rPr>
        <color rgb="FF1155CC"/>
        <u/>
      </rPr>
      <t>Taiga # 657</t>
    </r>
    <r>
      <rPr/>
      <t xml:space="preserve"> =&gt;login page not updated yet
Test User Portal:
- Account Registration -&gt; not yet to test
Verify issues:
1. </t>
    </r>
    <r>
      <rPr>
        <color rgb="FF1155CC"/>
        <u/>
      </rPr>
      <t>Taiga #554</t>
    </r>
    <r>
      <rPr/>
      <t xml:space="preserve"> =&gt; VERIFIED
2. </t>
    </r>
    <r>
      <rPr>
        <color rgb="FF1155CC"/>
        <u/>
      </rPr>
      <t>Taiga #628</t>
    </r>
    <r>
      <rPr/>
      <t xml:space="preserve"> =&gt; Reopen</t>
    </r>
  </si>
  <si>
    <t>Digital ID : 
1. Testing Admin Portal
2. Testing Taiga BD with status "Ready for SIT"
3. Verify Issues
4. Test User roles based on RBAC document</t>
  </si>
  <si>
    <r>
      <rPr/>
      <t xml:space="preserve">Testing Taiga BD with status "Ready for SIT":
1. </t>
    </r>
    <r>
      <rPr>
        <color rgb="FF1155CC"/>
        <u/>
      </rPr>
      <t>Taiga #378</t>
    </r>
    <r>
      <rPr/>
      <t xml:space="preserve"> =&gt; DONE
2. </t>
    </r>
    <r>
      <rPr>
        <color rgb="FF1155CC"/>
        <u/>
      </rPr>
      <t>Taiga #429</t>
    </r>
    <r>
      <rPr/>
      <t xml:space="preserve"> =&gt; DONE
3. </t>
    </r>
    <r>
      <rPr>
        <color rgb="FF1155CC"/>
        <u/>
      </rPr>
      <t>Taiga #467</t>
    </r>
    <r>
      <rPr/>
      <t xml:space="preserve"> =&gt; DONE
4. </t>
    </r>
    <r>
      <rPr>
        <color rgb="FF1155CC"/>
        <u/>
      </rPr>
      <t>Taiga #435</t>
    </r>
    <r>
      <rPr/>
      <t xml:space="preserve"> =&gt; DONE
Verify issues:
1. </t>
    </r>
    <r>
      <rPr>
        <color rgb="FF1155CC"/>
        <u/>
      </rPr>
      <t>Taiga #626</t>
    </r>
    <r>
      <rPr/>
      <t xml:space="preserve"> =&gt; VERIFIED
2. </t>
    </r>
    <r>
      <rPr>
        <color rgb="FF1155CC"/>
        <u/>
      </rPr>
      <t>Taiga #603</t>
    </r>
    <r>
      <rPr/>
      <t xml:space="preserve"> =&gt; VERIFIED
3. </t>
    </r>
    <r>
      <rPr>
        <color rgb="FF1155CC"/>
        <u/>
      </rPr>
      <t>Taiga #634</t>
    </r>
    <r>
      <rPr/>
      <t xml:space="preserve"> =&gt; VERIFIED
4. </t>
    </r>
    <r>
      <rPr>
        <color rgb="FF1155CC"/>
        <u/>
      </rPr>
      <t>Taiga #567</t>
    </r>
    <r>
      <rPr/>
      <t xml:space="preserve"> =&gt; VERIFIED
5. </t>
    </r>
    <r>
      <rPr>
        <color rgb="FF1155CC"/>
        <u/>
      </rPr>
      <t>Taiga #627</t>
    </r>
    <r>
      <rPr/>
      <t xml:space="preserve"> =&gt; Reopen</t>
    </r>
  </si>
  <si>
    <t>Digital ID : 
1. Testing User roles based on RBAC document
2. Testing Taiga BD with status "Ready for SIT"
3. Verify Issues</t>
  </si>
  <si>
    <r>
      <rPr/>
      <t xml:space="preserve">Testing Taiga BD with status "Ready for SIT":
1. </t>
    </r>
    <r>
      <rPr>
        <color rgb="FF1155CC"/>
        <u/>
      </rPr>
      <t>Taiga # 286</t>
    </r>
    <r>
      <rPr/>
      <t xml:space="preserve">=&gt; DONE
2. </t>
    </r>
    <r>
      <rPr>
        <color rgb="FF1155CC"/>
        <u/>
      </rPr>
      <t>Taiga #296</t>
    </r>
    <r>
      <rPr/>
      <t xml:space="preserve"> =&gt; DONE
Verify issues:
1. </t>
    </r>
    <r>
      <rPr>
        <color rgb="FF1155CC"/>
        <u/>
      </rPr>
      <t>Taiga #693</t>
    </r>
    <r>
      <rPr/>
      <t xml:space="preserve"> =&gt; VERIFIED
2. </t>
    </r>
    <r>
      <rPr>
        <color rgb="FF1155CC"/>
        <u/>
      </rPr>
      <t>Taiga #671</t>
    </r>
    <r>
      <rPr/>
      <t xml:space="preserve"> =&gt; VERIFIED
3. </t>
    </r>
    <r>
      <rPr>
        <color rgb="FF1155CC"/>
        <u/>
      </rPr>
      <t>Taiga #684</t>
    </r>
    <r>
      <rPr/>
      <t xml:space="preserve"> =&gt; VERIFIED
4. </t>
    </r>
    <r>
      <rPr>
        <color rgb="FF1155CC"/>
        <u/>
      </rPr>
      <t>Taiga #629</t>
    </r>
    <r>
      <rPr/>
      <t xml:space="preserve"> =&gt; VERIFIED
5. </t>
    </r>
    <r>
      <rPr>
        <color rgb="FF1155CC"/>
        <u/>
      </rPr>
      <t>Taiga #537</t>
    </r>
    <r>
      <rPr/>
      <t xml:space="preserve"> =&gt; Reopen
6. </t>
    </r>
    <r>
      <rPr>
        <color rgb="FF1155CC"/>
        <u/>
      </rPr>
      <t>Taiga #643</t>
    </r>
    <r>
      <rPr/>
      <t xml:space="preserve"> =&gt; VERIFIED</t>
    </r>
  </si>
  <si>
    <t>Test user role: some function still pending test because there are blocker issue and there is feature that not develop yet.</t>
  </si>
  <si>
    <r>
      <rPr>
        <rFont val="Arial"/>
        <color rgb="FF000000"/>
      </rPr>
      <t xml:space="preserve">Digital ID:
1. Test User Portal in mobile view
2. Testing Taiga BD with status "Ready for SIT"
3. Briefing Haris for Digital ID
</t>
    </r>
    <r>
      <rPr>
        <rFont val="Arial"/>
        <color rgb="FFFF0000"/>
      </rPr>
      <t xml:space="preserve">
Leave: Day Off (2nd half)</t>
    </r>
  </si>
  <si>
    <t>1. Done
2. In-Progress
3. Done</t>
  </si>
  <si>
    <r>
      <rPr/>
      <t xml:space="preserve">Testing Taiga BD with status "Ready for SIT":
1. </t>
    </r>
    <r>
      <rPr>
        <color rgb="FF1155CC"/>
        <u/>
      </rPr>
      <t>Taiga 326</t>
    </r>
    <r>
      <rPr/>
      <t xml:space="preserve"> =&gt;  DONE
</t>
    </r>
  </si>
  <si>
    <t>Leave: Day off(2nd half) -&gt; 4 hours</t>
  </si>
  <si>
    <t>Leave: Day Off</t>
  </si>
  <si>
    <t>Leave: Day off -&gt; 8 hours</t>
  </si>
  <si>
    <t>Public Holiday</t>
  </si>
  <si>
    <t>Public holiday -&gt; 8 hours</t>
  </si>
  <si>
    <t>Digital ID:
1. Verify Issues
2. Testing Taiga BD with status "Ready for SIT (BD)"
3. Testing Taiga BD with status "Ready for SIT (BD to SG)"</t>
  </si>
  <si>
    <t>1. In-Progress
2. In-Progress
3. In-Progress</t>
  </si>
  <si>
    <r>
      <rPr/>
      <t xml:space="preserve">Verify Issues:
1. </t>
    </r>
    <r>
      <rPr>
        <color rgb="FF1155CC"/>
        <u/>
      </rPr>
      <t>Taiga #704</t>
    </r>
    <r>
      <rPr/>
      <t xml:space="preserve"> =&gt; VERIFIED
2. </t>
    </r>
    <r>
      <rPr>
        <color rgb="FF1155CC"/>
        <u/>
      </rPr>
      <t>Taiga #703</t>
    </r>
    <r>
      <rPr/>
      <t xml:space="preserve"> =&gt; VERIFIED
3. </t>
    </r>
    <r>
      <rPr>
        <color rgb="FF1155CC"/>
        <u/>
      </rPr>
      <t>Taiga #701</t>
    </r>
    <r>
      <rPr/>
      <t xml:space="preserve"> =&gt; VERIFIED 
4. </t>
    </r>
    <r>
      <rPr>
        <color rgb="FF1155CC"/>
        <u/>
      </rPr>
      <t>Taiga #692</t>
    </r>
    <r>
      <rPr/>
      <t xml:space="preserve"> =&gt; VERIFIED
5. </t>
    </r>
    <r>
      <rPr>
        <color rgb="FF1155CC"/>
        <u/>
      </rPr>
      <t>Taiga #670</t>
    </r>
    <r>
      <rPr/>
      <t xml:space="preserve"> =&gt; VERIFIED
6. </t>
    </r>
    <r>
      <rPr>
        <color rgb="FF1155CC"/>
        <u/>
      </rPr>
      <t>Taiga #664</t>
    </r>
    <r>
      <rPr/>
      <t xml:space="preserve"> =&gt; VERIFIED
7. </t>
    </r>
    <r>
      <rPr>
        <color rgb="FF1155CC"/>
        <u/>
      </rPr>
      <t>Taiga #686</t>
    </r>
    <r>
      <rPr/>
      <t xml:space="preserve"> =&gt; VERIFIED
8. </t>
    </r>
    <r>
      <rPr>
        <color rgb="FF1155CC"/>
        <u/>
      </rPr>
      <t>Taiga #669</t>
    </r>
    <r>
      <rPr/>
      <t xml:space="preserve"> =&gt; VERIFIED
9. </t>
    </r>
    <r>
      <rPr>
        <color rgb="FF1155CC"/>
        <u/>
      </rPr>
      <t>Taiga #682</t>
    </r>
    <r>
      <rPr/>
      <t xml:space="preserve"> =&gt; VERIFIED
10. </t>
    </r>
    <r>
      <rPr>
        <color rgb="FF1155CC"/>
        <u/>
      </rPr>
      <t>Taiga #685</t>
    </r>
    <r>
      <rPr/>
      <t xml:space="preserve"> =&gt; VERIFIED
11. </t>
    </r>
    <r>
      <rPr>
        <color rgb="FF1155CC"/>
        <u/>
      </rPr>
      <t>Taiga #627</t>
    </r>
    <r>
      <rPr/>
      <t xml:space="preserve"> =&gt; VERIFIED
12. </t>
    </r>
    <r>
      <rPr>
        <color rgb="FF1155CC"/>
        <u/>
      </rPr>
      <t>Taiga #628</t>
    </r>
    <r>
      <rPr/>
      <t xml:space="preserve"> =&gt; VERIFIED
13. </t>
    </r>
    <r>
      <rPr>
        <color rgb="FF1155CC"/>
        <u/>
      </rPr>
      <t>Taiga #680</t>
    </r>
    <r>
      <rPr/>
      <t xml:space="preserve"> =&gt; VERIFIED
Testing Taiga BD with status "Ready for SIT (BD)":
1. </t>
    </r>
    <r>
      <rPr>
        <color rgb="FF1155CC"/>
        <u/>
      </rPr>
      <t>Taiga #443</t>
    </r>
    <r>
      <rPr/>
      <t xml:space="preserve"> =&gt;  In-Progress
2. </t>
    </r>
    <r>
      <rPr>
        <color rgb="FF1155CC"/>
        <u/>
      </rPr>
      <t>Taiga #434</t>
    </r>
    <r>
      <rPr/>
      <t xml:space="preserve"> =&gt; DONE
Testing Taiga BD with status "Ready for SIT (BD to SG)":
1. </t>
    </r>
    <r>
      <rPr>
        <color rgb="FF1155CC"/>
        <u/>
      </rPr>
      <t>Taiga #466</t>
    </r>
    <r>
      <rPr/>
      <t xml:space="preserve"> =&gt; DONE
2. </t>
    </r>
    <r>
      <rPr>
        <color rgb="FF1155CC"/>
        <u/>
      </rPr>
      <t>Taiga #468</t>
    </r>
    <r>
      <rPr/>
      <t xml:space="preserve"> =&gt; DONE</t>
    </r>
  </si>
  <si>
    <t>1. Taiga #443 : #451 - User shouldn't reload to access dashboard to make it change.  -&gt; waiting deployment</t>
  </si>
  <si>
    <t>Digital ID:
1. Test User Portal latest deployment
2. Test Admin Portal latest deployment
3. Verify Issues
4. Testing Taiga BD with status "Ready for SIT (BD)"</t>
  </si>
  <si>
    <t>1. Done
2. Done
3. In-Progress
4. In-Progress</t>
  </si>
  <si>
    <r>
      <rPr/>
      <t xml:space="preserve">Verify Issues:
1. </t>
    </r>
    <r>
      <rPr>
        <color rgb="FF1155CC"/>
        <u/>
      </rPr>
      <t>Taiga #668</t>
    </r>
    <r>
      <rPr/>
      <t xml:space="preserve"> =&gt; VERIFIED
2. </t>
    </r>
    <r>
      <rPr>
        <color rgb="FF1155CC"/>
        <u/>
      </rPr>
      <t>Taiga #666</t>
    </r>
    <r>
      <rPr/>
      <t xml:space="preserve"> =&gt; Reopen
3. </t>
    </r>
    <r>
      <rPr>
        <color rgb="FF1155CC"/>
        <u/>
      </rPr>
      <t>Taiga #559</t>
    </r>
    <r>
      <rPr/>
      <t xml:space="preserve"> =&gt; VERIFIED
4. </t>
    </r>
    <r>
      <rPr>
        <color rgb="FF1155CC"/>
        <u/>
      </rPr>
      <t>Taiga #718</t>
    </r>
    <r>
      <rPr/>
      <t xml:space="preserve"> =&gt; VERIFIED
5. </t>
    </r>
    <r>
      <rPr>
        <color rgb="FF1155CC"/>
        <u/>
      </rPr>
      <t>Taiga #711</t>
    </r>
    <r>
      <rPr/>
      <t xml:space="preserve"> =&gt; VERIFIED
6. </t>
    </r>
    <r>
      <rPr>
        <color rgb="FF1155CC"/>
        <u/>
      </rPr>
      <t>Taiga #710</t>
    </r>
    <r>
      <rPr/>
      <t xml:space="preserve"> =&gt; VERIFIED
7. </t>
    </r>
    <r>
      <rPr>
        <color rgb="FF1155CC"/>
        <u/>
      </rPr>
      <t>Taiga #674</t>
    </r>
    <r>
      <rPr/>
      <t xml:space="preserve"> =&gt; Reopen
8. </t>
    </r>
    <r>
      <rPr>
        <color rgb="FF1155CC"/>
        <u/>
      </rPr>
      <t>Taiga #596</t>
    </r>
    <r>
      <rPr/>
      <t xml:space="preserve"> =&gt; VERIFIED
9. </t>
    </r>
    <r>
      <rPr>
        <color rgb="FF1155CC"/>
        <u/>
      </rPr>
      <t>Taiga #705</t>
    </r>
    <r>
      <rPr/>
      <t xml:space="preserve"> =&gt; VERIFIED
10. </t>
    </r>
    <r>
      <rPr>
        <color rgb="FF1155CC"/>
        <u/>
      </rPr>
      <t>Taiga #700</t>
    </r>
    <r>
      <rPr/>
      <t xml:space="preserve"> =&gt; VERIFIED
11. </t>
    </r>
    <r>
      <rPr>
        <color rgb="FF1155CC"/>
        <u/>
      </rPr>
      <t>Taiga #678</t>
    </r>
    <r>
      <rPr/>
      <t xml:space="preserve"> =&gt; VERIFIED
12. </t>
    </r>
    <r>
      <rPr>
        <color rgb="FF1155CC"/>
        <u/>
      </rPr>
      <t>Taiga #679</t>
    </r>
    <r>
      <rPr/>
      <t xml:space="preserve"> =&gt; VERIFIED
13. </t>
    </r>
    <r>
      <rPr>
        <color rgb="FF1155CC"/>
        <u/>
      </rPr>
      <t>Taiga #676</t>
    </r>
    <r>
      <rPr/>
      <t xml:space="preserve"> =&gt; VERIFIED
14. </t>
    </r>
    <r>
      <rPr>
        <color rgb="FF1155CC"/>
        <u/>
      </rPr>
      <t>Taiga #675</t>
    </r>
    <r>
      <rPr/>
      <t xml:space="preserve"> =&gt; VERIFIED
15. </t>
    </r>
    <r>
      <rPr>
        <color rgb="FF1155CC"/>
        <u/>
      </rPr>
      <t>Taiga #644</t>
    </r>
    <r>
      <rPr/>
      <t xml:space="preserve"> =&gt; VERIFIED
16. </t>
    </r>
    <r>
      <rPr>
        <color rgb="FF1155CC"/>
        <u/>
      </rPr>
      <t>Taiga #601</t>
    </r>
    <r>
      <rPr/>
      <t xml:space="preserve"> =&gt; VERIFIED
17. </t>
    </r>
    <r>
      <rPr>
        <color rgb="FF1155CC"/>
        <u/>
      </rPr>
      <t>Taiga #621</t>
    </r>
    <r>
      <rPr/>
      <t xml:space="preserve"> =&gt; VERIFIED
18. </t>
    </r>
    <r>
      <rPr>
        <color rgb="FF1155CC"/>
        <u/>
      </rPr>
      <t>Taiga #633</t>
    </r>
    <r>
      <rPr/>
      <t xml:space="preserve"> =&gt; VERIFIED
19. </t>
    </r>
    <r>
      <rPr>
        <color rgb="FF1155CC"/>
        <u/>
      </rPr>
      <t>Taiga #596</t>
    </r>
    <r>
      <rPr/>
      <t xml:space="preserve"> =&gt; VERIFIED
20. </t>
    </r>
    <r>
      <rPr>
        <color rgb="FF1155CC"/>
        <u/>
      </rPr>
      <t>Taiga #697</t>
    </r>
    <r>
      <rPr/>
      <t xml:space="preserve"> =&gt; VERIFIED
21. </t>
    </r>
    <r>
      <rPr>
        <color rgb="FF1155CC"/>
        <u/>
      </rPr>
      <t>Taiga #698</t>
    </r>
    <r>
      <rPr/>
      <t xml:space="preserve"> =&gt; VERIFIED
22. </t>
    </r>
    <r>
      <rPr>
        <color rgb="FF1155CC"/>
        <u/>
      </rPr>
      <t>Taiga #380</t>
    </r>
    <r>
      <rPr/>
      <t xml:space="preserve"> =&gt; VERIFIED
23. </t>
    </r>
    <r>
      <rPr>
        <color rgb="FF1155CC"/>
        <u/>
      </rPr>
      <t>Taiga #393</t>
    </r>
    <r>
      <rPr/>
      <t xml:space="preserve"> =&gt; VERIFIED
24. </t>
    </r>
    <r>
      <rPr>
        <color rgb="FF1155CC"/>
        <u/>
      </rPr>
      <t>Taiga #569</t>
    </r>
    <r>
      <rPr/>
      <t xml:space="preserve"> =&gt; VERIFIED
Testing Taiga BD with status "Ready for SIT (BD)":
1. </t>
    </r>
    <r>
      <rPr>
        <color rgb="FF1155CC"/>
        <u/>
      </rPr>
      <t>Taiga #446</t>
    </r>
    <r>
      <rPr/>
      <t xml:space="preserve"> =&gt; DONE
2. </t>
    </r>
    <r>
      <rPr>
        <color rgb="FF1155CC"/>
        <u/>
      </rPr>
      <t>Taiga #449</t>
    </r>
    <r>
      <rPr/>
      <t xml:space="preserve"> =&gt; DONE
3. </t>
    </r>
    <r>
      <rPr>
        <color rgb="FF1155CC"/>
        <u/>
      </rPr>
      <t>Taiga #448</t>
    </r>
    <r>
      <rPr/>
      <t xml:space="preserve"> =&gt; DONE
4. </t>
    </r>
    <r>
      <rPr>
        <color rgb="FF1155CC"/>
        <u/>
      </rPr>
      <t>Taiga #455</t>
    </r>
    <r>
      <rPr/>
      <t xml:space="preserve"> =&gt; DONE
5. </t>
    </r>
    <r>
      <rPr>
        <color rgb="FF1155CC"/>
        <u/>
      </rPr>
      <t>Taiga #464</t>
    </r>
    <r>
      <rPr/>
      <t xml:space="preserve"> =&gt; DONE
6. </t>
    </r>
    <r>
      <rPr>
        <color rgb="FF1155CC"/>
        <u/>
      </rPr>
      <t>Taiga #469</t>
    </r>
    <r>
      <rPr/>
      <t xml:space="preserve"> =&gt; DONE</t>
    </r>
  </si>
  <si>
    <t>Digital ID:
1. Verify Issues
2. Testing Taiga BD with status "Ready for SIT (BD)"</t>
  </si>
  <si>
    <r>
      <rPr/>
      <t xml:space="preserve">Verify Issues:
1. </t>
    </r>
    <r>
      <rPr>
        <color rgb="FF1155CC"/>
        <u/>
      </rPr>
      <t>Taiga #681</t>
    </r>
    <r>
      <rPr/>
      <t xml:space="preserve"> =&gt; VERIFIED
2. </t>
    </r>
    <r>
      <rPr>
        <color rgb="FF1155CC"/>
        <u/>
      </rPr>
      <t>Taiga #727</t>
    </r>
    <r>
      <rPr/>
      <t xml:space="preserve"> =&gt; VERIFIED
3. </t>
    </r>
    <r>
      <rPr>
        <color rgb="FF1155CC"/>
        <u/>
      </rPr>
      <t>Taiga #722</t>
    </r>
    <r>
      <rPr/>
      <t xml:space="preserve"> =&gt; VERIFIED
4. </t>
    </r>
    <r>
      <rPr>
        <color rgb="FF1155CC"/>
        <u/>
      </rPr>
      <t>Taiga #699</t>
    </r>
    <r>
      <rPr/>
      <t xml:space="preserve"> =&gt; Reopen
5. </t>
    </r>
    <r>
      <rPr>
        <color rgb="FF1155CC"/>
        <u/>
      </rPr>
      <t>Taiga #702</t>
    </r>
    <r>
      <rPr/>
      <t xml:space="preserve"> =&gt; Reopen
6. </t>
    </r>
    <r>
      <rPr>
        <color rgb="FF1155CC"/>
        <u/>
      </rPr>
      <t>Taiga #625</t>
    </r>
    <r>
      <rPr/>
      <t xml:space="preserve"> =&gt; Reopen
7. </t>
    </r>
    <r>
      <rPr>
        <color rgb="FF1155CC"/>
        <u/>
      </rPr>
      <t>Taiga #729</t>
    </r>
    <r>
      <rPr/>
      <t xml:space="preserve"> =&gt; VERIFIED
8. </t>
    </r>
    <r>
      <rPr>
        <color rgb="FF1155CC"/>
        <u/>
      </rPr>
      <t>Taiga #691</t>
    </r>
    <r>
      <rPr/>
      <t xml:space="preserve"> =&gt; Reopen
9. </t>
    </r>
    <r>
      <rPr>
        <color rgb="FF1155CC"/>
        <u/>
      </rPr>
      <t>Taiga #673</t>
    </r>
    <r>
      <rPr/>
      <t xml:space="preserve"> =&gt; VERIFIED
10. </t>
    </r>
    <r>
      <rPr>
        <color rgb="FF1155CC"/>
        <u/>
      </rPr>
      <t>Taiga #691</t>
    </r>
    <r>
      <rPr/>
      <t xml:space="preserve"> =&gt; Reopen
11. </t>
    </r>
    <r>
      <rPr>
        <color rgb="FF1155CC"/>
        <u/>
      </rPr>
      <t>Taiga #663</t>
    </r>
    <r>
      <rPr/>
      <t xml:space="preserve"> =&gt; Reopen
12. </t>
    </r>
    <r>
      <rPr>
        <color rgb="FF1155CC"/>
        <u/>
      </rPr>
      <t>Taiga #647</t>
    </r>
    <r>
      <rPr/>
      <t xml:space="preserve"> =&gt; Reopen
Testing Taiga BD with status "Ready for SIT (BD)":
1. </t>
    </r>
    <r>
      <rPr>
        <color rgb="FF1155CC"/>
        <u/>
      </rPr>
      <t>Taiga #459</t>
    </r>
    <r>
      <rPr/>
      <t xml:space="preserve"> =&gt; DONE
2. </t>
    </r>
    <r>
      <rPr>
        <color rgb="FF1155CC"/>
        <u/>
      </rPr>
      <t>Taiga #476</t>
    </r>
    <r>
      <rPr/>
      <t xml:space="preserve"> =&gt; DONE
3. </t>
    </r>
    <r>
      <rPr>
        <color rgb="FF1155CC"/>
        <u/>
      </rPr>
      <t>Taiga #447</t>
    </r>
    <r>
      <rPr/>
      <t xml:space="preserve"> =&gt; DONE
4. </t>
    </r>
    <r>
      <rPr>
        <color rgb="FF1155CC"/>
        <u/>
      </rPr>
      <t>Taiga #475</t>
    </r>
    <r>
      <rPr/>
      <t xml:space="preserve"> =&gt; DONE
5. </t>
    </r>
    <r>
      <rPr>
        <color rgb="FF1155CC"/>
        <u/>
      </rPr>
      <t>Taiga #458</t>
    </r>
    <r>
      <rPr/>
      <t xml:space="preserve"> =&gt; DONE
6. </t>
    </r>
    <r>
      <rPr>
        <color rgb="FF1155CC"/>
        <u/>
      </rPr>
      <t>Taiga #457</t>
    </r>
    <r>
      <rPr/>
      <t xml:space="preserve"> =&gt; DONE
7. </t>
    </r>
    <r>
      <rPr>
        <color rgb="FF1155CC"/>
        <u/>
      </rPr>
      <t>Taiga #529</t>
    </r>
    <r>
      <rPr/>
      <t xml:space="preserve"> =&gt; DONE
8. </t>
    </r>
    <r>
      <rPr>
        <color rgb="FF1155CC"/>
        <u/>
      </rPr>
      <t>Taiga #521</t>
    </r>
    <r>
      <rPr/>
      <t xml:space="preserve"> =&gt; DONE
</t>
    </r>
  </si>
  <si>
    <t>Digital ID:
1. Smoke test User Portal &amp; Admin Dashboard
2. Verify Issues
3. Testing Taiga BD with status "Ready for SIT (BD)"</t>
  </si>
  <si>
    <r>
      <rPr/>
      <t xml:space="preserve">Verify Issues:
1. </t>
    </r>
    <r>
      <rPr>
        <color rgb="FF1155CC"/>
        <u/>
      </rPr>
      <t>Taiga #728</t>
    </r>
    <r>
      <rPr/>
      <t xml:space="preserve"> =&gt; VERIFIED
2. </t>
    </r>
    <r>
      <rPr>
        <color rgb="FF1155CC"/>
        <u/>
      </rPr>
      <t>Taiga #674</t>
    </r>
    <r>
      <rPr/>
      <t xml:space="preserve"> =&gt; VERIFIED
3. </t>
    </r>
    <r>
      <rPr>
        <color rgb="FF1155CC"/>
        <u/>
      </rPr>
      <t>Taiga #739</t>
    </r>
    <r>
      <rPr/>
      <t xml:space="preserve"> =&gt; VERIFIED
4. </t>
    </r>
    <r>
      <rPr>
        <color rgb="FF1155CC"/>
        <u/>
      </rPr>
      <t>Taiga #740</t>
    </r>
    <r>
      <rPr/>
      <t xml:space="preserve"> =&gt; Reopen
5. </t>
    </r>
    <r>
      <rPr>
        <color rgb="FF1155CC"/>
        <u/>
      </rPr>
      <t>Taiga #741</t>
    </r>
    <r>
      <rPr/>
      <t xml:space="preserve"> =&gt; VERIFIED
6. </t>
    </r>
    <r>
      <rPr>
        <color rgb="FF1155CC"/>
        <u/>
      </rPr>
      <t>Taiga #720</t>
    </r>
    <r>
      <rPr/>
      <t xml:space="preserve"> =&gt; Reopen (checked by Alvin, only update the status based on Alvin's comment)
7. </t>
    </r>
    <r>
      <rPr>
        <color rgb="FF1155CC"/>
        <u/>
      </rPr>
      <t>Taiga #665</t>
    </r>
    <r>
      <rPr/>
      <t xml:space="preserve"> =&gt; VERIFIED
8. </t>
    </r>
    <r>
      <rPr>
        <color rgb="FF1155CC"/>
        <u/>
      </rPr>
      <t>Taiga #725</t>
    </r>
    <r>
      <rPr/>
      <t xml:space="preserve"> =&gt; VERIFIED
9. </t>
    </r>
    <r>
      <rPr>
        <color rgb="FF1155CC"/>
        <u/>
      </rPr>
      <t>Taiga #748</t>
    </r>
    <r>
      <rPr/>
      <t xml:space="preserve"> =&gt; VERIFIED
10. </t>
    </r>
    <r>
      <rPr>
        <color rgb="FF1155CC"/>
        <u/>
      </rPr>
      <t>Taiga #663</t>
    </r>
    <r>
      <rPr/>
      <t xml:space="preserve"> =&gt; VERIFIED
11. </t>
    </r>
    <r>
      <rPr>
        <color rgb="FF1155CC"/>
        <u/>
      </rPr>
      <t>Taiga #747</t>
    </r>
    <r>
      <rPr/>
      <t xml:space="preserve"> =&gt; VERIFIED
12. </t>
    </r>
    <r>
      <rPr>
        <color rgb="FF1155CC"/>
        <u/>
      </rPr>
      <t>Taiga #726</t>
    </r>
    <r>
      <rPr/>
      <t xml:space="preserve"> =&gt; VERIFIED
13. </t>
    </r>
    <r>
      <rPr>
        <color rgb="FF1155CC"/>
        <u/>
      </rPr>
      <t>Taiga #677</t>
    </r>
    <r>
      <rPr/>
      <t xml:space="preserve"> =&gt; VERIFIED
14. </t>
    </r>
    <r>
      <rPr>
        <color rgb="FF1155CC"/>
        <u/>
      </rPr>
      <t>Taiga #717</t>
    </r>
    <r>
      <rPr/>
      <t xml:space="preserve"> =&gt; Reopen
Testing Taiga BD with status "Ready for SIT (BD)":
1. </t>
    </r>
    <r>
      <rPr>
        <color rgb="FF1155CC"/>
        <u/>
      </rPr>
      <t>Taiga #443</t>
    </r>
    <r>
      <rPr/>
      <t xml:space="preserve"> =&gt;  Done
2. </t>
    </r>
    <r>
      <rPr>
        <color rgb="FF1155CC"/>
        <u/>
      </rPr>
      <t>Taiga #456</t>
    </r>
    <r>
      <rPr/>
      <t xml:space="preserve"> =&gt; DONE
3. </t>
    </r>
    <r>
      <rPr>
        <color rgb="FF1155CC"/>
        <u/>
      </rPr>
      <t>Taiga #473</t>
    </r>
    <r>
      <rPr/>
      <t xml:space="preserve"> =&gt; DONE
4. </t>
    </r>
    <r>
      <rPr>
        <color rgb="FF1155CC"/>
        <u/>
      </rPr>
      <t>Taiga #462</t>
    </r>
    <r>
      <rPr/>
      <t xml:space="preserve"> =&gt; DONE
5. </t>
    </r>
    <r>
      <rPr>
        <color rgb="FF1155CC"/>
        <u/>
      </rPr>
      <t>Taiga #465</t>
    </r>
    <r>
      <rPr/>
      <t xml:space="preserve"> =&gt; DONE
6. </t>
    </r>
    <r>
      <rPr>
        <color rgb="FF1155CC"/>
        <u/>
      </rPr>
      <t>Taiga #436</t>
    </r>
    <r>
      <rPr/>
      <t xml:space="preserve"> =&gt; DONE
7. </t>
    </r>
    <r>
      <rPr>
        <color rgb="FF1155CC"/>
        <u/>
      </rPr>
      <t>Taiga #428</t>
    </r>
    <r>
      <rPr/>
      <t xml:space="preserve"> =&gt; DONE
8. </t>
    </r>
    <r>
      <rPr>
        <color rgb="FF1155CC"/>
        <u/>
      </rPr>
      <t>Taiga #426</t>
    </r>
    <r>
      <rPr/>
      <t xml:space="preserve"> =&gt; DONE</t>
    </r>
  </si>
  <si>
    <r>
      <rPr>
        <rFont val="Arial"/>
        <color theme="1"/>
      </rPr>
      <t xml:space="preserve">Non Project: 
Sharing session on RF Best Practices
</t>
    </r>
    <r>
      <rPr>
        <rFont val="Arial"/>
        <strike/>
        <color theme="1"/>
      </rPr>
      <t>Digital ID:
1. Verify Issues
2. Testing Taiga BD with status "Ready for SIT (BD)"</t>
    </r>
  </si>
  <si>
    <t>Digital ID:
1. Check user role when create employee and when account registration
2. Verify Issues
3. Testing Taiga BD with status "Ready for SIT (BD)"</t>
  </si>
  <si>
    <r>
      <rPr/>
      <t xml:space="preserve">Verify Issues:
1. </t>
    </r>
    <r>
      <rPr>
        <color rgb="FF1155CC"/>
        <u/>
      </rPr>
      <t>Taiga #753</t>
    </r>
    <r>
      <rPr/>
      <t xml:space="preserve"> =&gt; Closed
Testing Taiga BD with status "Ready for SIT (BD)":
1. </t>
    </r>
    <r>
      <rPr>
        <color rgb="FF1155CC"/>
        <u/>
      </rPr>
      <t>Taiga #427</t>
    </r>
    <r>
      <rPr/>
      <t xml:space="preserve"> =&gt; DONE</t>
    </r>
  </si>
  <si>
    <t>For verifying issues -&gt; waiting for latest deployment</t>
  </si>
  <si>
    <r>
      <rPr>
        <rFont val="Arial"/>
        <strike/>
        <color theme="1"/>
      </rPr>
      <t xml:space="preserve">8
</t>
    </r>
    <r>
      <rPr>
        <rFont val="Arial"/>
        <color theme="1"/>
      </rPr>
      <t>4</t>
    </r>
  </si>
  <si>
    <t>Digital ID:
1. Test Event Portal
2. Verify Issues
3. Testing Taiga BD with status "Ready for SIT (BD)"</t>
  </si>
  <si>
    <r>
      <rPr/>
      <t xml:space="preserve">Verify Issues:
1. </t>
    </r>
    <r>
      <rPr>
        <color rgb="FF1155CC"/>
        <u/>
      </rPr>
      <t>Taiga #719</t>
    </r>
    <r>
      <rPr/>
      <t xml:space="preserve"> =&gt; Reopen
2. </t>
    </r>
    <r>
      <rPr>
        <color rgb="FF1155CC"/>
        <u/>
      </rPr>
      <t>Taiga #717</t>
    </r>
    <r>
      <rPr/>
      <t xml:space="preserve"> =&gt; VERIFIED
3. </t>
    </r>
    <r>
      <rPr>
        <color rgb="FF1155CC"/>
        <u/>
      </rPr>
      <t>Taiga #740</t>
    </r>
    <r>
      <rPr/>
      <t xml:space="preserve"> =&gt; VERIFIED
4. </t>
    </r>
    <r>
      <rPr>
        <color rgb="FF1155CC"/>
        <u/>
      </rPr>
      <t>Taiga #691</t>
    </r>
    <r>
      <rPr/>
      <t xml:space="preserve"> =&gt; VERIFIED
5. </t>
    </r>
    <r>
      <rPr>
        <color rgb="FF1155CC"/>
        <u/>
      </rPr>
      <t>Taiga #702</t>
    </r>
    <r>
      <rPr/>
      <t xml:space="preserve"> =&gt; VERIFIED
6. </t>
    </r>
    <r>
      <rPr>
        <color rgb="FF1155CC"/>
        <u/>
      </rPr>
      <t>Taiga #751</t>
    </r>
    <r>
      <rPr/>
      <t xml:space="preserve"> =&gt; Reopen
7. </t>
    </r>
    <r>
      <rPr>
        <color rgb="FF1155CC"/>
        <u/>
      </rPr>
      <t>Taiga #625</t>
    </r>
    <r>
      <rPr/>
      <t xml:space="preserve"> =&gt; Reopen
Testing Taiga BD with status "Ready for SIT (BD)":
1. </t>
    </r>
    <r>
      <rPr>
        <color rgb="FF1155CC"/>
        <u/>
      </rPr>
      <t>Taiga #315</t>
    </r>
    <r>
      <rPr/>
      <t xml:space="preserve"> =&gt; DONE
2. </t>
    </r>
    <r>
      <rPr>
        <color rgb="FF1155CC"/>
        <u/>
      </rPr>
      <t>Taiga #509</t>
    </r>
    <r>
      <rPr/>
      <t xml:space="preserve"> =&gt; DONE</t>
    </r>
  </si>
  <si>
    <r>
      <rPr>
        <rFont val="Arial"/>
        <color rgb="FFFF0000"/>
      </rPr>
      <t xml:space="preserve">Leave: Annual (1st half) -&gt; 4 hours
</t>
    </r>
    <r>
      <rPr>
        <rFont val="Arial"/>
        <color rgb="FF000000"/>
      </rPr>
      <t>Total card per 15 September morning:
Ready for SIT (BD): 14
Ready for SIT (BD to SG) : 16
Test Event Portal:
1. Create, update, delete event: Done
2. event list : Done
3. Event detail: Done
4. check-in : not yet to test</t>
    </r>
  </si>
  <si>
    <r>
      <rPr>
        <rFont val="Arial"/>
        <strike/>
        <color theme="1"/>
      </rPr>
      <t xml:space="preserve">8
</t>
    </r>
    <r>
      <rPr>
        <rFont val="Arial"/>
        <color theme="1"/>
      </rPr>
      <t>5</t>
    </r>
  </si>
  <si>
    <t>IDH-Mobile: Test App must support 16 KB memory page sizes on android 15
Digital ID:
1.Verify Issues
2. Testing Taiga BD with status "Ready for SIT (BD)"</t>
  </si>
  <si>
    <t>IDH-Mobile: Done
Digital ID:
1. In-Progress
2. In-Progress</t>
  </si>
  <si>
    <r>
      <rPr/>
      <t xml:space="preserve">Verify Issues:
1. </t>
    </r>
    <r>
      <rPr>
        <color rgb="FF1155CC"/>
        <u/>
      </rPr>
      <t>Taiga #647</t>
    </r>
    <r>
      <rPr/>
      <t xml:space="preserve"> =&gt; VERIFIED
2. </t>
    </r>
    <r>
      <rPr>
        <color rgb="FF1155CC"/>
        <u/>
      </rPr>
      <t>Taiga #661</t>
    </r>
    <r>
      <rPr/>
      <t xml:space="preserve"> =&gt; VERIFIED
3. </t>
    </r>
    <r>
      <rPr>
        <color rgb="FF1155CC"/>
        <u/>
      </rPr>
      <t>Taiga #699</t>
    </r>
    <r>
      <rPr/>
      <t xml:space="preserve"> =&gt; VERIFIED
4. </t>
    </r>
    <r>
      <rPr>
        <color rgb="FF1155CC"/>
        <u/>
      </rPr>
      <t>Taiga #662</t>
    </r>
    <r>
      <rPr/>
      <t xml:space="preserve"> =&gt; VERIFIED
Testing Taiga BD with status "Ready for SIT (BD)":
1. </t>
    </r>
    <r>
      <rPr>
        <color rgb="FF1155CC"/>
        <u/>
      </rPr>
      <t>Taiga #544</t>
    </r>
    <r>
      <rPr/>
      <t xml:space="preserve"> =&gt; DONE</t>
    </r>
  </si>
  <si>
    <r>
      <rPr>
        <rFont val="Arial"/>
        <b/>
        <color rgb="FF000000"/>
      </rPr>
      <t xml:space="preserve">IDH_Mobile: 
</t>
    </r>
    <r>
      <rPr>
        <rFont val="Arial"/>
        <color rgb="FF000000"/>
      </rPr>
      <t xml:space="preserve">There are 2 issues:
1. When update country applicant got error "Identical applicant details already exist"
2. Button at the bottom page is overlap with phones button for the phone with resolution 1080x2520 pixels
</t>
    </r>
    <r>
      <rPr>
        <rFont val="Arial"/>
        <b/>
        <color rgb="FF000000"/>
      </rPr>
      <t xml:space="preserve">Digital ID:
</t>
    </r>
    <r>
      <rPr>
        <rFont val="Arial"/>
        <color rgb="FF000000"/>
      </rPr>
      <t>Total card per 16 September morning:
Ready for SIT (BD): 14
Ready for SIT (BD to SG) : 9
Test Event Portal:
1. Create, update, delete event: Done
2. event list : Done
3. Event detail: Done
4. check-in : not yet to test</t>
    </r>
  </si>
  <si>
    <t>Digital ID:
1. Test User Portal
2. Test Admin Portal
3. Test roles in Admin portal and User Portal
4. Verify Issues
5. Testing Taiga BD with status "Ready for SIT (BD)"</t>
  </si>
  <si>
    <t>1. Done
2. Done
3. Done
4. In-Progress
5. In-Progress</t>
  </si>
  <si>
    <r>
      <rPr/>
      <t xml:space="preserve">Verify Issues:
1. </t>
    </r>
    <r>
      <rPr>
        <color rgb="FF1155CC"/>
        <u/>
      </rPr>
      <t>Taiga #719</t>
    </r>
    <r>
      <rPr/>
      <t xml:space="preserve"> =&gt; VERIFIED
2. </t>
    </r>
    <r>
      <rPr>
        <color rgb="FF1155CC"/>
        <u/>
      </rPr>
      <t>Taiga #672</t>
    </r>
    <r>
      <rPr/>
      <t xml:space="preserve"> =&gt; VERIFIED
3. </t>
    </r>
    <r>
      <rPr>
        <color rgb="FF1155CC"/>
        <u/>
      </rPr>
      <t>Taiga #747</t>
    </r>
    <r>
      <rPr/>
      <t xml:space="preserve"> =&gt; Reopen
4. </t>
    </r>
    <r>
      <rPr>
        <color rgb="FF1155CC"/>
        <u/>
      </rPr>
      <t>Taiga #766</t>
    </r>
    <r>
      <rPr/>
      <t xml:space="preserve"> =&gt; Reopen
Testing Taiga BD with status "Ready for SIT (BD)":
1. </t>
    </r>
    <r>
      <rPr>
        <color rgb="FF1155CC"/>
        <u/>
      </rPr>
      <t>Taiga #540</t>
    </r>
    <r>
      <rPr/>
      <t xml:space="preserve"> =&gt; DONE
</t>
    </r>
  </si>
  <si>
    <r>
      <rPr>
        <rFont val="Arial"/>
        <b/>
        <color rgb="FF000000"/>
      </rPr>
      <t xml:space="preserve">Digital ID:
</t>
    </r>
    <r>
      <rPr>
        <rFont val="Arial"/>
        <color rgb="FF000000"/>
      </rPr>
      <t xml:space="preserve">Total card per 17 September morning:
</t>
    </r>
    <r>
      <rPr>
        <rFont val="Arial"/>
        <color rgb="FF000000"/>
        <u/>
      </rPr>
      <t>Taiga BD:</t>
    </r>
    <r>
      <rPr>
        <rFont val="Arial"/>
        <color rgb="FF000000"/>
      </rPr>
      <t xml:space="preserve">
Ready for SIT (BD): 13
Ready for SIT (BD to SG) : 9
</t>
    </r>
    <r>
      <rPr>
        <rFont val="Arial"/>
        <color rgb="FF000000"/>
        <u/>
      </rPr>
      <t>Taiga SG:</t>
    </r>
    <r>
      <rPr>
        <rFont val="Arial"/>
        <color rgb="FF000000"/>
      </rPr>
      <t xml:space="preserve">
Resolved: 4 Admin Portal, 6 User Portal
Reopen: 2 Admin Portal, 1 User Portal
New: 2 Admin Portal, 1 User Portal, 7 Event Portal</t>
    </r>
  </si>
  <si>
    <r>
      <rPr>
        <rFont val="Arial"/>
        <b/>
        <color theme="1"/>
      </rPr>
      <t>IDH-Mobile</t>
    </r>
    <r>
      <rPr>
        <rFont val="Arial"/>
        <color theme="1"/>
      </rPr>
      <t xml:space="preserve">: Verify Issues
</t>
    </r>
    <r>
      <rPr>
        <rFont val="Arial"/>
        <strike/>
        <color theme="1"/>
      </rPr>
      <t>Digital ID:
1. Verify Issues
2. Testing Taiga BD with status "Ready for SIT (BD)":</t>
    </r>
  </si>
  <si>
    <r>
      <rPr>
        <rFont val="Arial"/>
        <color theme="1"/>
      </rPr>
      <t xml:space="preserve">IDH-Mobile: Done
</t>
    </r>
    <r>
      <rPr>
        <rFont val="Arial"/>
        <strike/>
        <color theme="1"/>
      </rPr>
      <t>Digital ID:
1. In-Progress
2. In-Progress</t>
    </r>
  </si>
  <si>
    <r>
      <rPr>
        <b/>
      </rPr>
      <t>IDH-Mobile:</t>
    </r>
    <r>
      <rPr/>
      <t xml:space="preserve">
1. </t>
    </r>
    <r>
      <rPr>
        <color rgb="FF1155CC"/>
        <u/>
      </rPr>
      <t>Taiga #224</t>
    </r>
    <r>
      <rPr/>
      <t xml:space="preserve"> =&gt; still has issues
2. </t>
    </r>
    <r>
      <rPr>
        <color rgb="FF1155CC"/>
        <u/>
      </rPr>
      <t>Taiga 223</t>
    </r>
    <r>
      <rPr/>
      <t xml:space="preserve"> =&gt; DONE
</t>
    </r>
    <r>
      <rPr>
        <b/>
        <strike/>
      </rPr>
      <t>Digital ID:</t>
    </r>
    <r>
      <rPr>
        <strike/>
      </rPr>
      <t xml:space="preserve">
Verify Issues:
1.
Testing Taiga BD with status "Ready for SIT (BD)":
1. </t>
    </r>
  </si>
  <si>
    <r>
      <rPr>
        <rFont val="Arial"/>
        <b/>
        <color rgb="FF000000"/>
      </rPr>
      <t xml:space="preserve">IDH-Mobile: had 2 new issues
Digital ID: waiting deployment
</t>
    </r>
    <r>
      <rPr>
        <rFont val="Arial"/>
        <color rgb="FF000000"/>
      </rPr>
      <t xml:space="preserve">Total card per 18 September 08:24:
</t>
    </r>
    <r>
      <rPr>
        <rFont val="Arial"/>
        <color rgb="FF000000"/>
        <u/>
      </rPr>
      <t>Taiga BD:</t>
    </r>
    <r>
      <rPr>
        <rFont val="Arial"/>
        <color rgb="FF000000"/>
      </rPr>
      <t xml:space="preserve">
Ready for SIT (BD): 13
Ready for SIT (BD to SG) : 9
</t>
    </r>
    <r>
      <rPr>
        <rFont val="Arial"/>
        <color rgb="FF000000"/>
        <u/>
      </rPr>
      <t>Taiga SG:</t>
    </r>
    <r>
      <rPr>
        <rFont val="Arial"/>
        <color rgb="FF000000"/>
      </rPr>
      <t xml:space="preserve">
Resolved: 8 Admin Portal, 2 User Portal
Reopen: 2 Admin Portal, 2 User Portal
New: 4 Admin Portal, 1 User Portal, 7 Event Portal</t>
    </r>
  </si>
  <si>
    <r>
      <rPr>
        <rFont val="Arial"/>
        <b/>
        <color theme="1"/>
      </rPr>
      <t>Digital ID</t>
    </r>
    <r>
      <rPr>
        <rFont val="Arial"/>
        <color theme="1"/>
      </rPr>
      <t>:
1. Verify Issues
2. Test User Portal latest deployment
3. Test User Portal mobile responsive latest deployment</t>
    </r>
  </si>
  <si>
    <t>Digital ID:
1. In-Progress
2. Done
3. Done</t>
  </si>
  <si>
    <r>
      <rPr>
        <b/>
      </rPr>
      <t>Digital ID:</t>
    </r>
    <r>
      <rPr/>
      <t xml:space="preserve">
Verify Issues:
1. </t>
    </r>
    <r>
      <rPr>
        <color rgb="FF1155CC"/>
        <u/>
      </rPr>
      <t>Taiga #766</t>
    </r>
    <r>
      <rPr/>
      <t xml:space="preserve"> =&gt; VERIFIED
2. </t>
    </r>
    <r>
      <rPr>
        <color rgb="FF1155CC"/>
        <u/>
      </rPr>
      <t>Taiga #747</t>
    </r>
    <r>
      <rPr/>
      <t xml:space="preserve"> =&gt; VERIFIED
3. </t>
    </r>
    <r>
      <rPr>
        <color rgb="FF1155CC"/>
        <u/>
      </rPr>
      <t>Taiga #758</t>
    </r>
    <r>
      <rPr/>
      <t xml:space="preserve"> =&gt; VERIFIED
4. </t>
    </r>
    <r>
      <rPr>
        <color rgb="FF1155CC"/>
        <u/>
      </rPr>
      <t>Taiga #787</t>
    </r>
    <r>
      <rPr/>
      <t xml:space="preserve"> =&gt; VERIFIED
5. </t>
    </r>
    <r>
      <rPr>
        <color rgb="FF1155CC"/>
        <u/>
      </rPr>
      <t>Taiga #781</t>
    </r>
    <r>
      <rPr/>
      <t xml:space="preserve"> =&gt; VERIFIED
6. </t>
    </r>
    <r>
      <rPr>
        <color rgb="FF1155CC"/>
        <u/>
      </rPr>
      <t>Taiga #782</t>
    </r>
    <r>
      <rPr/>
      <t xml:space="preserve"> =&gt; VERIFIED
7. </t>
    </r>
    <r>
      <rPr>
        <color rgb="FF1155CC"/>
        <u/>
      </rPr>
      <t>Taiga #763</t>
    </r>
    <r>
      <rPr/>
      <t xml:space="preserve"> =&gt; VERIFIED
8. </t>
    </r>
    <r>
      <rPr>
        <color rgb="FF1155CC"/>
        <u/>
      </rPr>
      <t>Taiga #760</t>
    </r>
    <r>
      <rPr/>
      <t xml:space="preserve"> =&gt; VERIFIED
9. </t>
    </r>
    <r>
      <rPr>
        <color rgb="FF1155CC"/>
        <u/>
      </rPr>
      <t>Taiga #756</t>
    </r>
    <r>
      <rPr/>
      <t xml:space="preserve"> =&gt; VERIFIED
10. </t>
    </r>
    <r>
      <rPr>
        <color rgb="FF1155CC"/>
        <u/>
      </rPr>
      <t>Taiga #702</t>
    </r>
    <r>
      <rPr/>
      <t xml:space="preserve"> =&gt; Reopen</t>
    </r>
  </si>
  <si>
    <r>
      <rPr>
        <rFont val="Arial"/>
        <b/>
        <color rgb="FF000000"/>
      </rPr>
      <t xml:space="preserve">Digital ID: waiting deployment (User portal deployed at 3:11PM)
</t>
    </r>
    <r>
      <rPr>
        <rFont val="Arial"/>
        <color rgb="FF000000"/>
      </rPr>
      <t xml:space="preserve">Total card per 18 September 08:24:
</t>
    </r>
    <r>
      <rPr>
        <rFont val="Arial"/>
        <color rgb="FF000000"/>
        <u/>
      </rPr>
      <t>Taiga BD:</t>
    </r>
    <r>
      <rPr>
        <rFont val="Arial"/>
        <color rgb="FF000000"/>
      </rPr>
      <t xml:space="preserve">
Ready for SIT (BD): 13
Ready for SIT (BD to SG) : 9
</t>
    </r>
    <r>
      <rPr>
        <rFont val="Arial"/>
        <color rgb="FF000000"/>
        <u/>
      </rPr>
      <t>Taiga SG:</t>
    </r>
    <r>
      <rPr>
        <rFont val="Arial"/>
        <color rgb="FF000000"/>
      </rPr>
      <t xml:space="preserve">
Resolved: 8 Admin Portal, 2 User Portal
Reopen: 2 Admin Portal, 2 User Portal
New: 4 Admin Portal, 1 User Portal, 7 Event Portal</t>
    </r>
  </si>
  <si>
    <r>
      <rPr>
        <rFont val="Arial"/>
        <strike/>
        <color rgb="FF000000"/>
      </rPr>
      <t xml:space="preserve">8
</t>
    </r>
    <r>
      <rPr>
        <rFont val="Arial"/>
        <color rgb="FF000000"/>
      </rPr>
      <t>4</t>
    </r>
  </si>
  <si>
    <r>
      <rPr>
        <rFont val="Arial"/>
        <b/>
        <color rgb="FF000000"/>
      </rPr>
      <t>Non Project</t>
    </r>
    <r>
      <rPr>
        <rFont val="Arial"/>
        <color rgb="FF000000"/>
      </rPr>
      <t xml:space="preserve">: Sharing session on Toppan AI Generation Test Cases and Automated Scripts
</t>
    </r>
    <r>
      <rPr>
        <rFont val="Arial"/>
        <b/>
        <color rgb="FF000000"/>
      </rPr>
      <t xml:space="preserve">IDH-Mobile:
</t>
    </r>
    <r>
      <rPr>
        <rFont val="Arial"/>
        <color rgb="FF000000"/>
      </rPr>
      <t xml:space="preserve">1. Verify Issues
</t>
    </r>
    <r>
      <rPr>
        <rFont val="Arial"/>
        <b/>
        <color rgb="FF000000"/>
      </rPr>
      <t>Digital ID</t>
    </r>
    <r>
      <rPr>
        <rFont val="Arial"/>
        <color rgb="FF000000"/>
      </rPr>
      <t>:
1. Verify Issues
2. Test Event Portal mobile responsive
3. Trying login in Digital ID mobile app</t>
    </r>
  </si>
  <si>
    <t>Non Project: Done
IDH-Mobile: Done
Digital ID:
1. In-Progress
2. Done
3. Done</t>
  </si>
  <si>
    <r>
      <rPr>
        <color rgb="FF000000"/>
      </rPr>
      <t xml:space="preserve">Digital ID:
Verify Issues:
1. </t>
    </r>
    <r>
      <rPr>
        <color rgb="FF000000"/>
        <u/>
      </rPr>
      <t>Taiga #787</t>
    </r>
    <r>
      <rPr>
        <color rgb="FF000000"/>
      </rPr>
      <t xml:space="preserve"> =&gt; Reopen
Testing Taiga BD with status "Ready for SIT (BD)":
1. </t>
    </r>
  </si>
  <si>
    <r>
      <rPr>
        <rFont val="Arial"/>
        <b/>
        <color rgb="FF000000"/>
      </rPr>
      <t xml:space="preserve">IDH-Mobile:
</t>
    </r>
    <r>
      <rPr>
        <rFont val="Arial"/>
        <color rgb="FF000000"/>
      </rPr>
      <t xml:space="preserve">- check issue duplicate applicant or error identical applicant in TM4 and D3 -&gt; still had issues
- check overlapping issue -&gt; VERIFIED
</t>
    </r>
    <r>
      <rPr>
        <rFont val="Arial"/>
        <b/>
        <color rgb="FF000000"/>
      </rPr>
      <t xml:space="preserve">Digital ID: waiting latest deployment 
</t>
    </r>
    <r>
      <rPr>
        <rFont val="Arial"/>
        <color rgb="FF000000"/>
      </rPr>
      <t xml:space="preserve">Total card per 19 September 08:29:
</t>
    </r>
    <r>
      <rPr>
        <rFont val="Arial"/>
        <color rgb="FF000000"/>
        <u/>
      </rPr>
      <t>Taiga BD:</t>
    </r>
    <r>
      <rPr>
        <rFont val="Arial"/>
        <color rgb="FF000000"/>
      </rPr>
      <t xml:space="preserve">
Ready for SIT (BD): 15
Ready for SIT (BD to SG) : 16
</t>
    </r>
    <r>
      <rPr>
        <rFont val="Arial"/>
        <color rgb="FF000000"/>
        <u/>
      </rPr>
      <t>Taiga SG:</t>
    </r>
    <r>
      <rPr>
        <rFont val="Arial"/>
        <color rgb="FF000000"/>
      </rPr>
      <t xml:space="preserve">
Resolved: 11 Admin Portal, 1 User Portal, 3 Event Portal
Reopen: 2 Admin Portal, 2 User Portal
New: - Admin Portal, 2 User Portal, 2 Event Portal</t>
    </r>
  </si>
  <si>
    <r>
      <rPr>
        <rFont val="Arial"/>
        <strike/>
        <color rgb="FF000000"/>
      </rPr>
      <t xml:space="preserve">8
</t>
    </r>
    <r>
      <rPr>
        <rFont val="Arial"/>
        <color rgb="FF000000"/>
      </rPr>
      <t>5</t>
    </r>
  </si>
  <si>
    <t>IDH-Mobile:
1. Verify issue button overlapping
2. Check identical applicant in the latest app and in the app version 2.0.0 (216)
Digital ID:
1. Testing Taiga BD with status "Ready for SIT (BD)"</t>
  </si>
  <si>
    <t>IDH-Mobile:
1. DONE
2. DONE
Digital ID:
1. In-Progress</t>
  </si>
  <si>
    <r>
      <rPr>
        <color rgb="FF000000"/>
      </rPr>
      <t xml:space="preserve">IDH-Mobile:
1. </t>
    </r>
    <r>
      <rPr>
        <color rgb="FF1155CC"/>
        <u/>
      </rPr>
      <t>Taiga #224</t>
    </r>
    <r>
      <rPr>
        <color rgb="FF000000"/>
      </rPr>
      <t xml:space="preserve"> =&gt; DONE
Digital ID:
Testing Taiga BD with status "Ready for SIT (BD)":
1. </t>
    </r>
    <r>
      <rPr>
        <color rgb="FF1155CC"/>
        <u/>
      </rPr>
      <t>Taiga #375</t>
    </r>
    <r>
      <rPr>
        <color rgb="FF000000"/>
      </rPr>
      <t xml:space="preserve"> =&gt; DONE
2. </t>
    </r>
    <r>
      <rPr>
        <color rgb="FF1155CC"/>
        <u/>
      </rPr>
      <t>Taiga #520</t>
    </r>
    <r>
      <rPr>
        <color rgb="FF000000"/>
      </rPr>
      <t xml:space="preserve"> =&gt; DONE
3. </t>
    </r>
    <r>
      <rPr>
        <color rgb="FF1155CC"/>
        <u/>
      </rPr>
      <t>Taiga #519</t>
    </r>
    <r>
      <rPr>
        <color rgb="FF000000"/>
      </rPr>
      <t xml:space="preserve"> =&gt; DONE
4. </t>
    </r>
    <r>
      <rPr>
        <color rgb="FF1155CC"/>
        <u/>
      </rPr>
      <t>Taiga #424</t>
    </r>
    <r>
      <rPr>
        <color rgb="FF000000"/>
      </rPr>
      <t xml:space="preserve"> =&gt; DONE</t>
    </r>
  </si>
  <si>
    <r>
      <rPr>
        <rFont val="Arial"/>
        <b/>
        <color rgb="FF000000"/>
      </rPr>
      <t xml:space="preserve">Digital ID: waiting latest deployment </t>
    </r>
    <r>
      <rPr>
        <rFont val="Arial"/>
        <color rgb="FF000000"/>
      </rPr>
      <t xml:space="preserve">
Total card per 22 September 08:37:
</t>
    </r>
    <r>
      <rPr>
        <rFont val="Arial"/>
        <color rgb="FF000000"/>
        <u/>
      </rPr>
      <t>Taiga BD:</t>
    </r>
    <r>
      <rPr>
        <rFont val="Arial"/>
        <color rgb="FF000000"/>
      </rPr>
      <t xml:space="preserve">
Ready for SIT (BD): 17
Ready for SIT (BD to SG) : 22
</t>
    </r>
    <r>
      <rPr>
        <rFont val="Arial"/>
        <color rgb="FF000000"/>
        <u/>
      </rPr>
      <t xml:space="preserve">Taiga SG:
</t>
    </r>
    <r>
      <rPr>
        <rFont val="Arial"/>
        <color rgb="FF000000"/>
      </rPr>
      <t>Resolved: 11 Admin Portal, 5 User Portal, 4 Event Portal
Reopen: 2 Admin Portal, 1 User Portal
New: - Admin Portal, - User Portal, 4 Event Portal</t>
    </r>
  </si>
  <si>
    <r>
      <rPr>
        <rFont val="Arial"/>
        <strike/>
        <color theme="1"/>
      </rPr>
      <t xml:space="preserve">8
</t>
    </r>
    <r>
      <rPr>
        <rFont val="Arial"/>
        <color theme="1"/>
      </rPr>
      <t>6</t>
    </r>
  </si>
  <si>
    <t>IDH-Mobile:
1. Verify issue 
Digital ID:
1. Testing Taiga BD with status "Ready for SIT (BD)"
2. Verify Issues</t>
  </si>
  <si>
    <t>IDH-Mobile: DONE
Digital ID:
1. In-Progress
2. In-Progress</t>
  </si>
  <si>
    <r>
      <rPr>
        <color rgb="FF000000"/>
      </rPr>
      <t xml:space="preserve">IDH-Mobile:
1. </t>
    </r>
    <r>
      <rPr>
        <color rgb="FF1155CC"/>
        <u/>
      </rPr>
      <t>Taiga #225</t>
    </r>
    <r>
      <rPr>
        <color rgb="FF000000"/>
      </rPr>
      <t xml:space="preserve"> =&gt; DONE
2. </t>
    </r>
    <r>
      <rPr>
        <color rgb="FF1155CC"/>
        <u/>
      </rPr>
      <t>Taiga #223</t>
    </r>
    <r>
      <rPr>
        <color rgb="FF000000"/>
      </rPr>
      <t xml:space="preserve"> =&gt; DONE
3. </t>
    </r>
    <r>
      <rPr>
        <color rgb="FF1155CC"/>
        <u/>
      </rPr>
      <t>Taiga #226</t>
    </r>
    <r>
      <rPr>
        <color rgb="FF000000"/>
      </rPr>
      <t xml:space="preserve"> =&gt; DONE
Digital ID:
Testing Taiga BD with status "Ready for SIT (BD)":
1. </t>
    </r>
    <r>
      <rPr>
        <color rgb="FF1155CC"/>
        <u/>
      </rPr>
      <t>Taiga #527</t>
    </r>
    <r>
      <rPr>
        <color rgb="FF000000"/>
      </rPr>
      <t xml:space="preserve"> =&gt; DONE
2. Taiga #526 =&gt; DONE
Verify Issues:
1. </t>
    </r>
    <r>
      <rPr>
        <color rgb="FF1155CC"/>
        <u/>
      </rPr>
      <t>Taiga #702</t>
    </r>
    <r>
      <rPr>
        <color rgb="FF000000"/>
      </rPr>
      <t xml:space="preserve"> =&gt; VERIFIED
2. </t>
    </r>
    <r>
      <rPr>
        <color rgb="FF1155CC"/>
        <u/>
      </rPr>
      <t>Taiga #786</t>
    </r>
    <r>
      <rPr>
        <color rgb="FF000000"/>
      </rPr>
      <t xml:space="preserve"> =&gt; VERIFIED
3. </t>
    </r>
    <r>
      <rPr>
        <color rgb="FF1155CC"/>
        <u/>
      </rPr>
      <t>Taiga #775</t>
    </r>
    <r>
      <rPr>
        <color rgb="FF000000"/>
      </rPr>
      <t xml:space="preserve"> =&gt; VERIFIED
4. </t>
    </r>
    <r>
      <rPr>
        <color rgb="FF1155CC"/>
        <u/>
      </rPr>
      <t>Taiga #787</t>
    </r>
    <r>
      <rPr>
        <color rgb="FF000000"/>
      </rPr>
      <t xml:space="preserve"> =&gt; VERIFIED
5. </t>
    </r>
    <r>
      <rPr>
        <color rgb="FF1155CC"/>
        <u/>
      </rPr>
      <t>Taiga #780</t>
    </r>
    <r>
      <rPr>
        <color rgb="FF000000"/>
      </rPr>
      <t xml:space="preserve"> =&gt; VERIFIED
6. </t>
    </r>
    <r>
      <rPr>
        <color rgb="FF1155CC"/>
        <u/>
      </rPr>
      <t>Taiga #757</t>
    </r>
    <r>
      <rPr>
        <color rgb="FF000000"/>
      </rPr>
      <t xml:space="preserve"> =&gt; VERIFIED
7. </t>
    </r>
    <r>
      <rPr>
        <color rgb="FF1155CC"/>
        <u/>
      </rPr>
      <t>Taiga #778</t>
    </r>
    <r>
      <rPr>
        <color rgb="FF000000"/>
      </rPr>
      <t xml:space="preserve"> =&gt; VERIFIED
8. </t>
    </r>
    <r>
      <rPr>
        <color rgb="FF1155CC"/>
        <u/>
      </rPr>
      <t>Taiga #625</t>
    </r>
    <r>
      <rPr>
        <color rgb="FF000000"/>
      </rPr>
      <t xml:space="preserve"> =&gt; VERIFIED
9. </t>
    </r>
    <r>
      <rPr>
        <color rgb="FF1155CC"/>
        <u/>
      </rPr>
      <t>Taiga #777</t>
    </r>
    <r>
      <rPr>
        <color rgb="FF000000"/>
      </rPr>
      <t xml:space="preserve"> =&gt; VERIFIED</t>
    </r>
  </si>
  <si>
    <r>
      <rPr>
        <rFont val="Arial"/>
        <b/>
        <color rgb="FF000000"/>
      </rPr>
      <t xml:space="preserve">Digital ID: waiting latest deployment </t>
    </r>
    <r>
      <rPr>
        <rFont val="Arial"/>
        <color rgb="FF000000"/>
      </rPr>
      <t xml:space="preserve">
Total card per 23 September 08:22:
</t>
    </r>
    <r>
      <rPr>
        <rFont val="Arial"/>
        <color rgb="FF000000"/>
        <u/>
      </rPr>
      <t>Taiga BD:</t>
    </r>
    <r>
      <rPr>
        <rFont val="Arial"/>
        <color rgb="FF000000"/>
      </rPr>
      <t xml:space="preserve">
Ready for SIT (BD): 15
Ready for SIT (BD to SG) : 20
</t>
    </r>
    <r>
      <rPr>
        <rFont val="Arial"/>
        <color rgb="FF000000"/>
        <u/>
      </rPr>
      <t xml:space="preserve">Taiga SG:
</t>
    </r>
    <r>
      <rPr>
        <rFont val="Arial"/>
        <color rgb="FF000000"/>
      </rPr>
      <t>Resolved: 11 Admin Portal, 5 User Portal, 4 Event Portal
Reopen: 1 Admin&amp;User Portal, 1 User Portal
New: - Admin Portal, - User Portal, 10 Event Portal</t>
    </r>
  </si>
  <si>
    <t>Digital ID:
1. Test Admin Portal
2. Test user Portal
3. Testing Taiga BD with status "Ready for SIT (BD)"</t>
  </si>
  <si>
    <t>Digital ID:
1. Done
2. Done
3. In-Progress</t>
  </si>
  <si>
    <r>
      <rPr>
        <color rgb="FF000000"/>
      </rPr>
      <t xml:space="preserve">Digital ID:
Testing Taiga BD with status "Ready for SIT (BD)":
1. </t>
    </r>
    <r>
      <rPr>
        <color rgb="FF1155CC"/>
        <u/>
      </rPr>
      <t>Taiga #575</t>
    </r>
    <r>
      <rPr>
        <color rgb="FF000000"/>
      </rPr>
      <t xml:space="preserve"> =&gt; DONE
2. </t>
    </r>
    <r>
      <rPr>
        <color rgb="FF1155CC"/>
        <u/>
      </rPr>
      <t>Taiga #568</t>
    </r>
    <r>
      <rPr>
        <color rgb="FF000000"/>
      </rPr>
      <t xml:space="preserve"> =&gt; DONE
3. </t>
    </r>
    <r>
      <rPr>
        <color rgb="FF1155CC"/>
        <u/>
      </rPr>
      <t>Taiga #572</t>
    </r>
    <r>
      <rPr>
        <color rgb="FF000000"/>
      </rPr>
      <t xml:space="preserve"> =&gt; DONE
4. </t>
    </r>
    <r>
      <rPr>
        <color rgb="FF1155CC"/>
        <u/>
      </rPr>
      <t>Taiga #546</t>
    </r>
    <r>
      <rPr>
        <color rgb="FF000000"/>
      </rPr>
      <t xml:space="preserve"> =&gt; DONE
Verify Issues:
1. </t>
    </r>
  </si>
  <si>
    <r>
      <rPr>
        <rFont val="Arial"/>
        <b/>
        <color rgb="FF000000"/>
      </rPr>
      <t>Digital ID: latest deployment - 22 september</t>
    </r>
    <r>
      <rPr>
        <rFont val="Arial"/>
        <color rgb="FF000000"/>
      </rPr>
      <t xml:space="preserve">
Total card per 24 September 08:31:
</t>
    </r>
    <r>
      <rPr>
        <rFont val="Arial"/>
        <color rgb="FF000000"/>
        <u/>
      </rPr>
      <t>Taiga BD:</t>
    </r>
    <r>
      <rPr>
        <rFont val="Arial"/>
        <color rgb="FF000000"/>
      </rPr>
      <t xml:space="preserve">
Ready for SIT (BD): 15
Ready for SIT (BD to SG) : 15
</t>
    </r>
    <r>
      <rPr>
        <rFont val="Arial"/>
        <color rgb="FF000000"/>
        <u/>
      </rPr>
      <t xml:space="preserve">Taiga SG:
</t>
    </r>
    <r>
      <rPr>
        <rFont val="Arial"/>
        <color rgb="FF000000"/>
      </rPr>
      <t>Resolved: 5 Admin Portal, 2 User Portal, 8 Event Portal
Reopen: 1 Admin&amp;User Portal, 1 User Portal
New: - Admin Portal, - User Portal, 6 Event Portal</t>
    </r>
  </si>
  <si>
    <t>Digital ID:
1. Testing Taiga BD with status "Ready for SIT (BD)"
2. Verify Issues</t>
  </si>
  <si>
    <t>Digital ID:
1. In-Progress
2. In-Progress</t>
  </si>
  <si>
    <r>
      <rPr>
        <color rgb="FF000000"/>
      </rPr>
      <t xml:space="preserve">Digital ID:
Testing Taiga BD with status "Ready for SIT (BD)":
1. </t>
    </r>
    <r>
      <rPr>
        <color rgb="FF1155CC"/>
        <u/>
      </rPr>
      <t>Taiga #548</t>
    </r>
    <r>
      <rPr>
        <color rgb="FF000000"/>
      </rPr>
      <t xml:space="preserve"> -&gt; DONE
Verify Issues:
1. </t>
    </r>
    <r>
      <rPr>
        <color rgb="FF1155CC"/>
        <u/>
      </rPr>
      <t>Taiga #751</t>
    </r>
    <r>
      <rPr>
        <color rgb="FF000000"/>
      </rPr>
      <t xml:space="preserve"> =&gt; VERIFIED
2. </t>
    </r>
    <r>
      <rPr>
        <color rgb="FF1155CC"/>
        <u/>
      </rPr>
      <t>Taiga #788</t>
    </r>
    <r>
      <rPr>
        <color rgb="FF000000"/>
      </rPr>
      <t xml:space="preserve"> =&gt; VERIFIED
3. </t>
    </r>
    <r>
      <rPr>
        <color rgb="FF1155CC"/>
        <u/>
      </rPr>
      <t>Taiga #761</t>
    </r>
    <r>
      <rPr>
        <color rgb="FF000000"/>
      </rPr>
      <t xml:space="preserve"> =&gt; VERIFIED
4. </t>
    </r>
    <r>
      <rPr>
        <color rgb="FF1155CC"/>
        <u/>
      </rPr>
      <t>Taiga #764</t>
    </r>
    <r>
      <rPr>
        <color rgb="FF000000"/>
      </rPr>
      <t xml:space="preserve"> =&gt; VERIFIED
5. </t>
    </r>
    <r>
      <rPr>
        <color rgb="FF1155CC"/>
        <u/>
      </rPr>
      <t>Taiga #765</t>
    </r>
    <r>
      <rPr>
        <color rgb="FF000000"/>
      </rPr>
      <t xml:space="preserve"> =&gt; VERIFIED
6. </t>
    </r>
    <r>
      <rPr>
        <color rgb="FF1155CC"/>
        <u/>
      </rPr>
      <t>Taiga #762</t>
    </r>
    <r>
      <rPr>
        <color rgb="FF000000"/>
      </rPr>
      <t xml:space="preserve"> =&gt; VERIFIED
7. </t>
    </r>
    <r>
      <rPr>
        <color rgb="FF1155CC"/>
        <u/>
      </rPr>
      <t>Taiga #789</t>
    </r>
    <r>
      <rPr>
        <color rgb="FF000000"/>
      </rPr>
      <t xml:space="preserve"> =&gt; VERIFIED
8. </t>
    </r>
    <r>
      <rPr>
        <color rgb="FF1155CC"/>
        <u/>
      </rPr>
      <t>Taiga #794</t>
    </r>
    <r>
      <rPr>
        <color rgb="FF000000"/>
      </rPr>
      <t xml:space="preserve"> =&gt; VERIFIED
9. </t>
    </r>
    <r>
      <rPr>
        <color rgb="FF1155CC"/>
        <u/>
      </rPr>
      <t>Taiga #790</t>
    </r>
    <r>
      <rPr>
        <color rgb="FF000000"/>
      </rPr>
      <t xml:space="preserve"> =&gt; VERIFIED
10 </t>
    </r>
    <r>
      <rPr>
        <color rgb="FF1155CC"/>
        <u/>
      </rPr>
      <t>Taiga #779</t>
    </r>
    <r>
      <rPr>
        <color rgb="FF000000"/>
      </rPr>
      <t xml:space="preserve"> =&gt; VERIFIED
11. </t>
    </r>
    <r>
      <rPr>
        <color rgb="FF1155CC"/>
        <u/>
      </rPr>
      <t>Taiga #795</t>
    </r>
    <r>
      <rPr>
        <color rgb="FF000000"/>
      </rPr>
      <t xml:space="preserve"> =&gt; VERIFIED</t>
    </r>
  </si>
  <si>
    <r>
      <rPr>
        <rFont val="Arial"/>
        <b/>
        <color rgb="FF000000"/>
      </rPr>
      <t>Digital ID: latest deployment - 22 september</t>
    </r>
    <r>
      <rPr>
        <rFont val="Arial"/>
        <color rgb="FF000000"/>
      </rPr>
      <t xml:space="preserve">
Total card per 25 September 08:39:
</t>
    </r>
    <r>
      <rPr>
        <rFont val="Arial"/>
        <color rgb="FF000000"/>
        <u/>
      </rPr>
      <t>Taiga BD:</t>
    </r>
    <r>
      <rPr>
        <rFont val="Arial"/>
        <color rgb="FF000000"/>
      </rPr>
      <t xml:space="preserve">
Ready for SIT (BD): 11
Ready for SIT (BD to SG) : 20
</t>
    </r>
    <r>
      <rPr>
        <rFont val="Arial"/>
        <color rgb="FF000000"/>
        <u/>
      </rPr>
      <t xml:space="preserve">Taiga SG:
</t>
    </r>
    <r>
      <rPr>
        <rFont val="Arial"/>
        <color rgb="FF000000"/>
      </rPr>
      <t>Resolved: 5 Admin Portal, 2 User Portal, 12 Event Portal
Reopen: 1 Admin&amp;User Portal, 1 User Portal
New: 4 Admin Portal, 2 User Portal, 4 Event Portal</t>
    </r>
  </si>
  <si>
    <r>
      <rPr>
        <color rgb="FF000000"/>
      </rPr>
      <t xml:space="preserve">Digital ID:
Testing Taiga BD with status "Ready for SIT (BD)":
1. </t>
    </r>
    <r>
      <rPr>
        <color rgb="FF1155CC"/>
        <u/>
      </rPr>
      <t>Taiga #510</t>
    </r>
    <r>
      <rPr>
        <color rgb="FF000000"/>
      </rPr>
      <t xml:space="preserve"> =&gt; DONE
2. </t>
    </r>
    <r>
      <rPr>
        <color rgb="FF1155CC"/>
        <u/>
      </rPr>
      <t>Taiga #573</t>
    </r>
    <r>
      <rPr>
        <color rgb="FF000000"/>
      </rPr>
      <t xml:space="preserve"> =&gt; DONE
Verify Issues:
1. </t>
    </r>
    <r>
      <rPr>
        <color rgb="FF1155CC"/>
        <u/>
      </rPr>
      <t>Taiga #798</t>
    </r>
    <r>
      <rPr>
        <color rgb="FF000000"/>
      </rPr>
      <t xml:space="preserve"> =&gt; VERIFIED
2. </t>
    </r>
    <r>
      <rPr>
        <color rgb="FF1155CC"/>
        <u/>
      </rPr>
      <t>Taiga #796</t>
    </r>
    <r>
      <rPr>
        <color rgb="FF000000"/>
      </rPr>
      <t xml:space="preserve"> =&gt; VERIFIED
3. </t>
    </r>
    <r>
      <rPr>
        <color rgb="FF1155CC"/>
        <u/>
      </rPr>
      <t>Taiga #481</t>
    </r>
    <r>
      <rPr>
        <color rgb="FF000000"/>
      </rPr>
      <t xml:space="preserve"> =&gt; VERIFIED
4. </t>
    </r>
    <r>
      <rPr>
        <color rgb="FF1155CC"/>
        <u/>
      </rPr>
      <t>Taiga #665</t>
    </r>
    <r>
      <rPr>
        <color rgb="FF000000"/>
      </rPr>
      <t xml:space="preserve"> =&gt; VERIFIED
5. </t>
    </r>
    <r>
      <rPr>
        <color rgb="FF1155CC"/>
        <u/>
      </rPr>
      <t>Taiga #779</t>
    </r>
    <r>
      <rPr>
        <color rgb="FF000000"/>
      </rPr>
      <t xml:space="preserve"> =&gt; VERIFIED
6. </t>
    </r>
    <r>
      <rPr>
        <color rgb="FF1155CC"/>
        <u/>
      </rPr>
      <t>Taiga #792</t>
    </r>
    <r>
      <rPr>
        <color rgb="FF000000"/>
      </rPr>
      <t xml:space="preserve"> =&gt; VERIFIED
7. </t>
    </r>
    <r>
      <rPr>
        <color rgb="FF1155CC"/>
        <u/>
      </rPr>
      <t>Taiga #791</t>
    </r>
    <r>
      <rPr>
        <color rgb="FF000000"/>
      </rPr>
      <t xml:space="preserve"> =&gt; VERIFIED
8. </t>
    </r>
    <r>
      <rPr>
        <color rgb="FF1155CC"/>
        <u/>
      </rPr>
      <t>Taiga #799</t>
    </r>
    <r>
      <rPr>
        <color rgb="FF000000"/>
      </rPr>
      <t xml:space="preserve"> =&gt; Reopen
9. </t>
    </r>
    <r>
      <rPr>
        <color rgb="FF1155CC"/>
        <u/>
      </rPr>
      <t>Taiga #797</t>
    </r>
    <r>
      <rPr>
        <color rgb="FF000000"/>
      </rPr>
      <t xml:space="preserve"> =&gt; Reopen
10. </t>
    </r>
    <r>
      <rPr>
        <color rgb="FF1155CC"/>
        <u/>
      </rPr>
      <t>Taiga #630</t>
    </r>
    <r>
      <rPr>
        <color rgb="FF000000"/>
      </rPr>
      <t xml:space="preserve"> =&gt; VERIFIED</t>
    </r>
  </si>
  <si>
    <r>
      <rPr>
        <rFont val="Arial"/>
        <b/>
        <color rgb="FF000000"/>
      </rPr>
      <t>Digital ID: latest deployment - 22 september</t>
    </r>
    <r>
      <rPr>
        <rFont val="Arial"/>
        <color rgb="FF000000"/>
      </rPr>
      <t xml:space="preserve">
Total card per 26 September 08:45:
</t>
    </r>
    <r>
      <rPr>
        <rFont val="Arial"/>
        <color rgb="FF000000"/>
        <u/>
      </rPr>
      <t>Taiga BD:</t>
    </r>
    <r>
      <rPr>
        <rFont val="Arial"/>
        <color rgb="FF000000"/>
      </rPr>
      <t xml:space="preserve">
Ready for SIT (BD): 10
Ready for SIT (BD to SG) : 21
</t>
    </r>
    <r>
      <rPr>
        <rFont val="Arial"/>
        <color rgb="FF000000"/>
        <u/>
      </rPr>
      <t xml:space="preserve">Taiga SG:
</t>
    </r>
    <r>
      <rPr>
        <rFont val="Arial"/>
        <color rgb="FF000000"/>
      </rPr>
      <t>Resolved: 9 Admin Portal, 3 User Portal, 7 Event Portal
Reopen: 1 Admin&amp;User Portal, - User Portal
New: 4 Admin Portal, 3 User Portal, 3 Event Portal</t>
    </r>
  </si>
  <si>
    <t>Digital ID</t>
  </si>
  <si>
    <t>Medical Leave</t>
  </si>
  <si>
    <t>Digital ID:
1. Test Admin Portal &amp; User Portal
2. Verify Issues
3. Testing Taiga BD with status "Ready for SIT (BD)"</t>
  </si>
  <si>
    <t>Digital ID:
1. In-Progress
2. In-Progress
3. In-Progress</t>
  </si>
  <si>
    <r>
      <rPr>
        <color rgb="FF000000"/>
      </rPr>
      <t xml:space="preserve">Digital ID:
Verify Issues:
1. </t>
    </r>
    <r>
      <rPr>
        <color rgb="FF1155CC"/>
        <u/>
      </rPr>
      <t>Taiga #809</t>
    </r>
    <r>
      <rPr>
        <color rgb="FF000000"/>
      </rPr>
      <t xml:space="preserve"> =&gt; VERIFIED
2. </t>
    </r>
    <r>
      <rPr>
        <color rgb="FF1155CC"/>
        <u/>
      </rPr>
      <t>Taiga #804</t>
    </r>
    <r>
      <rPr>
        <color rgb="FF000000"/>
      </rPr>
      <t xml:space="preserve"> =&gt; VERIFIED
3. </t>
    </r>
    <r>
      <rPr>
        <color rgb="FF1155CC"/>
        <u/>
      </rPr>
      <t>Taiga #805</t>
    </r>
    <r>
      <rPr>
        <color rgb="FF000000"/>
      </rPr>
      <t xml:space="preserve"> =&gt; VERIFIED
4. </t>
    </r>
    <r>
      <rPr>
        <color rgb="FF1155CC"/>
        <u/>
      </rPr>
      <t>Taiga #819</t>
    </r>
    <r>
      <rPr>
        <color rgb="FF000000"/>
      </rPr>
      <t xml:space="preserve"> =&gt; VERIFIED
5. </t>
    </r>
    <r>
      <rPr>
        <color rgb="FF1155CC"/>
        <u/>
      </rPr>
      <t>Taiga #742</t>
    </r>
    <r>
      <rPr>
        <color rgb="FF000000"/>
      </rPr>
      <t xml:space="preserve"> =&gt; VERIFIED
6. </t>
    </r>
    <r>
      <rPr>
        <color rgb="FF1155CC"/>
        <u/>
      </rPr>
      <t>Taiga #773</t>
    </r>
    <r>
      <rPr>
        <color rgb="FF000000"/>
      </rPr>
      <t xml:space="preserve"> =&gt; VERIFIED 
7. </t>
    </r>
    <r>
      <rPr>
        <color rgb="FF1155CC"/>
        <u/>
      </rPr>
      <t>Taiga #814</t>
    </r>
    <r>
      <rPr>
        <color rgb="FF000000"/>
      </rPr>
      <t xml:space="preserve"> =&gt; VERIFIED
8. </t>
    </r>
    <r>
      <rPr>
        <color rgb="FF1155CC"/>
        <u/>
      </rPr>
      <t>Taiga #811</t>
    </r>
    <r>
      <rPr>
        <color rgb="FF000000"/>
      </rPr>
      <t xml:space="preserve"> =&gt; Reopen
9. </t>
    </r>
    <r>
      <rPr>
        <color rgb="FF1155CC"/>
        <u/>
      </rPr>
      <t>Taiga #812</t>
    </r>
    <r>
      <rPr>
        <color rgb="FF000000"/>
      </rPr>
      <t xml:space="preserve"> =&gt; Verified
10. </t>
    </r>
    <r>
      <rPr>
        <color rgb="FF1155CC"/>
        <u/>
      </rPr>
      <t>Taiga #726</t>
    </r>
    <r>
      <rPr>
        <color rgb="FF000000"/>
      </rPr>
      <t xml:space="preserve"> =&gt; Reopen
Testing Taiga BD with status "Ready for SIT (BD)":
1. </t>
    </r>
    <r>
      <rPr>
        <color rgb="FF1155CC"/>
        <u/>
      </rPr>
      <t>Taiga #528</t>
    </r>
    <r>
      <rPr>
        <color rgb="FF000000"/>
      </rPr>
      <t xml:space="preserve"> =&gt; DONE
2. </t>
    </r>
    <r>
      <rPr>
        <color rgb="FF1155CC"/>
        <u/>
      </rPr>
      <t>Taiga #574</t>
    </r>
    <r>
      <rPr>
        <color rgb="FF000000"/>
      </rPr>
      <t xml:space="preserve"> =&gt; DONE</t>
    </r>
  </si>
  <si>
    <r>
      <rPr>
        <rFont val="Arial"/>
        <b/>
        <color rgb="FF000000"/>
      </rPr>
      <t>Digital ID: latest deployment - 30 september</t>
    </r>
    <r>
      <rPr>
        <rFont val="Arial"/>
        <color rgb="FF000000"/>
      </rPr>
      <t xml:space="preserve">
Total card per 30 September 08:40:
</t>
    </r>
    <r>
      <rPr>
        <rFont val="Arial"/>
        <color rgb="FF000000"/>
        <u/>
      </rPr>
      <t>Taiga BD:</t>
    </r>
    <r>
      <rPr>
        <rFont val="Arial"/>
        <color rgb="FF000000"/>
      </rPr>
      <t xml:space="preserve">
Ready for SIT (BD): 8
Ready for SIT (BD to SG) : 17
</t>
    </r>
    <r>
      <rPr>
        <rFont val="Arial"/>
        <color rgb="FF000000"/>
        <u/>
      </rPr>
      <t xml:space="preserve">Taiga SG:
</t>
    </r>
    <r>
      <rPr>
        <rFont val="Arial"/>
        <color rgb="FF000000"/>
      </rPr>
      <t>Resolved: 9 Admin Portal, 5 User Portal, 3 Event Portal
Reopen: 1 Admin&amp;User Portal, - User Portal, 2 Event Portal
New: 1 Admin Portal, 1 User Portal, 7 Event Portal
User Portal after login =&gt; not yet to check because cannot login in SIT</t>
    </r>
  </si>
  <si>
    <t>Digital ID:
1. Test Admin Portal &amp; User Portal PROD
2. Verify Issues
3. Testing Admin Portal, User Portal, and Event Portal in SIT</t>
  </si>
  <si>
    <r>
      <rPr>
        <color rgb="FF000000"/>
      </rPr>
      <t xml:space="preserve">Digital ID:
Verify Issues:
1. </t>
    </r>
    <r>
      <rPr>
        <color rgb="FF1155CC"/>
        <u/>
      </rPr>
      <t>Taiga #675</t>
    </r>
    <r>
      <rPr>
        <color rgb="FF000000"/>
      </rPr>
      <t xml:space="preserve"> =&gt; Reopen
2. </t>
    </r>
    <r>
      <rPr>
        <color rgb="FF1155CC"/>
        <u/>
      </rPr>
      <t>Taiga #810</t>
    </r>
    <r>
      <rPr>
        <color rgb="FF000000"/>
      </rPr>
      <t xml:space="preserve"> =&gt; VERIFIED
3. </t>
    </r>
    <r>
      <rPr>
        <color rgb="FF1155CC"/>
        <u/>
      </rPr>
      <t>Taiga #800</t>
    </r>
    <r>
      <rPr>
        <color rgb="FF000000"/>
      </rPr>
      <t xml:space="preserve"> =&gt; VERIFIED
4. </t>
    </r>
    <r>
      <rPr>
        <color rgb="FF1155CC"/>
        <u/>
      </rPr>
      <t>Taiga #807</t>
    </r>
    <r>
      <rPr>
        <color rgb="FF000000"/>
      </rPr>
      <t xml:space="preserve"> =&gt; VERIFIED
5. </t>
    </r>
    <r>
      <rPr>
        <color rgb="FF1155CC"/>
        <u/>
      </rPr>
      <t>Taiga #831</t>
    </r>
    <r>
      <rPr>
        <color rgb="FF000000"/>
      </rPr>
      <t xml:space="preserve"> =&gt; VERIFIED
6. </t>
    </r>
    <r>
      <rPr>
        <color rgb="FF1155CC"/>
        <u/>
      </rPr>
      <t>Taiga #834</t>
    </r>
    <r>
      <rPr>
        <color rgb="FF000000"/>
      </rPr>
      <t xml:space="preserve"> =&gt; VERIFIED
7. </t>
    </r>
    <r>
      <rPr>
        <color rgb="FF1155CC"/>
        <u/>
      </rPr>
      <t>Taiga #850</t>
    </r>
    <r>
      <rPr>
        <color rgb="FF000000"/>
      </rPr>
      <t xml:space="preserve"> =&gt; VERIFIED
8. </t>
    </r>
    <r>
      <rPr>
        <color rgb="FF1155CC"/>
        <u/>
      </rPr>
      <t>Taiga #829</t>
    </r>
    <r>
      <rPr>
        <color rgb="FF000000"/>
      </rPr>
      <t xml:space="preserve"> =&gt; VERIFIED
9. </t>
    </r>
    <r>
      <rPr>
        <color rgb="FF1155CC"/>
        <u/>
      </rPr>
      <t>Taiga #726</t>
    </r>
    <r>
      <rPr>
        <color rgb="FF000000"/>
      </rPr>
      <t xml:space="preserve"> =&gt; VERIFIED
10. </t>
    </r>
    <r>
      <rPr>
        <color rgb="FF1155CC"/>
        <u/>
      </rPr>
      <t>Taiga #812</t>
    </r>
    <r>
      <rPr>
        <color rgb="FF000000"/>
      </rPr>
      <t xml:space="preserve"> =&gt; VERIFIED
11. </t>
    </r>
    <r>
      <rPr>
        <color rgb="FF1155CC"/>
        <u/>
      </rPr>
      <t>Taiga #811</t>
    </r>
    <r>
      <rPr>
        <color rgb="FF000000"/>
      </rPr>
      <t xml:space="preserve"> =&gt; Reopen
12. </t>
    </r>
    <r>
      <rPr>
        <color rgb="FF1155CC"/>
        <u/>
      </rPr>
      <t>Taiga #675</t>
    </r>
    <r>
      <rPr>
        <color rgb="FF000000"/>
      </rPr>
      <t xml:space="preserve"> =&gt; VERIFIED
13. </t>
    </r>
    <r>
      <rPr>
        <color rgb="FF1155CC"/>
        <u/>
      </rPr>
      <t>Taiga #836</t>
    </r>
    <r>
      <rPr>
        <color rgb="FF000000"/>
      </rPr>
      <t xml:space="preserve"> =&gt; VERIFIED
</t>
    </r>
  </si>
  <si>
    <r>
      <rPr>
        <rFont val="Arial"/>
        <b/>
        <color rgb="FF000000"/>
      </rPr>
      <t>Digital ID: latest deployment - 1 October</t>
    </r>
    <r>
      <rPr>
        <rFont val="Arial"/>
        <color rgb="FF000000"/>
      </rPr>
      <t xml:space="preserve">
Total card per 1 Oktober 09:51:
</t>
    </r>
    <r>
      <rPr>
        <rFont val="Arial"/>
        <color rgb="FF000000"/>
        <u/>
      </rPr>
      <t>Taiga BD:</t>
    </r>
    <r>
      <rPr>
        <rFont val="Arial"/>
        <color rgb="FF000000"/>
      </rPr>
      <t xml:space="preserve">
Ready for SIT (BD): 7
Ready for SIT (BD to SG) : 12
</t>
    </r>
    <r>
      <rPr>
        <rFont val="Arial"/>
        <color rgb="FF000000"/>
        <u/>
      </rPr>
      <t xml:space="preserve">Taiga SG:
</t>
    </r>
    <r>
      <rPr>
        <rFont val="Arial"/>
        <color rgb="FF000000"/>
      </rPr>
      <t>Resolved: 6 Admin Portal, 5 User Portal, 3 Event Portal
Reopen: 1 Admin&amp;User Portal, - User Portal, 2 Event Portal, - Admin Portal
New: 2 Admin Portal, 1 User Portal, 6 Event Portal
User Portal after login =&gt; not yet to check because cannot login in SIT</t>
    </r>
  </si>
  <si>
    <t>Digital ID:
1. Test Admin Portal &amp; User Portal SIT
2. Verify Issues
3. Testing Taiga BD with status "Ready for SIT (BD)"
4. Smoke Test User Portal, Admin Portal, Event Portal in PROD</t>
  </si>
  <si>
    <t>Digital ID:
1. Done
2. In-Progress
3. In-Progress
4. Done</t>
  </si>
  <si>
    <r>
      <rPr>
        <color rgb="FF000000"/>
      </rPr>
      <t xml:space="preserve">Digital ID:
Verify Issues:
1. </t>
    </r>
    <r>
      <rPr>
        <color rgb="FF1155CC"/>
        <u/>
      </rPr>
      <t>Taiga #808</t>
    </r>
    <r>
      <rPr>
        <color rgb="FF000000"/>
      </rPr>
      <t xml:space="preserve"> =&gt; VERIFIED
2. </t>
    </r>
    <r>
      <rPr>
        <color rgb="FF1155CC"/>
        <u/>
      </rPr>
      <t>Taiga #835</t>
    </r>
    <r>
      <rPr>
        <color rgb="FF000000"/>
      </rPr>
      <t xml:space="preserve"> =&gt; VERIFIED
3. </t>
    </r>
    <r>
      <rPr>
        <color rgb="FF1155CC"/>
        <u/>
      </rPr>
      <t>Taiga #852</t>
    </r>
    <r>
      <rPr>
        <color rgb="FF000000"/>
      </rPr>
      <t xml:space="preserve"> =&gt; VERIFIED
4. </t>
    </r>
    <r>
      <rPr>
        <color rgb="FF1155CC"/>
        <u/>
      </rPr>
      <t>Taiga #857</t>
    </r>
    <r>
      <rPr>
        <color rgb="FF000000"/>
      </rPr>
      <t xml:space="preserve"> =&gt; VERIFIED
5. </t>
    </r>
    <r>
      <rPr>
        <color rgb="FF1155CC"/>
        <u/>
      </rPr>
      <t>Taiga #853</t>
    </r>
    <r>
      <rPr>
        <color rgb="FF000000"/>
      </rPr>
      <t xml:space="preserve"> =&gt; VERIFIED
6. </t>
    </r>
    <r>
      <rPr>
        <color rgb="FF1155CC"/>
        <u/>
      </rPr>
      <t>Taiga #854</t>
    </r>
    <r>
      <rPr>
        <color rgb="FF000000"/>
      </rPr>
      <t xml:space="preserve"> =&gt; VERIFIED
7. </t>
    </r>
    <r>
      <rPr>
        <color rgb="FF1155CC"/>
        <u/>
      </rPr>
      <t>Taiga #812</t>
    </r>
    <r>
      <rPr>
        <color rgb="FF000000"/>
      </rPr>
      <t xml:space="preserve"> =&gt; VERIFIED
8. </t>
    </r>
    <r>
      <rPr>
        <color rgb="FF1155CC"/>
        <u/>
      </rPr>
      <t>Taiga #851</t>
    </r>
    <r>
      <rPr>
        <color rgb="FF000000"/>
      </rPr>
      <t xml:space="preserve"> =&gt; VERIFIED
9. </t>
    </r>
    <r>
      <rPr>
        <color rgb="FF1155CC"/>
        <u/>
      </rPr>
      <t>Taiga #830</t>
    </r>
    <r>
      <rPr>
        <color rgb="FF000000"/>
      </rPr>
      <t xml:space="preserve"> =&gt; VERIFIED
10. </t>
    </r>
    <r>
      <rPr>
        <color rgb="FF1155CC"/>
        <u/>
      </rPr>
      <t>Taiga #838</t>
    </r>
    <r>
      <rPr>
        <color rgb="FF000000"/>
      </rPr>
      <t xml:space="preserve"> =&gt; VERIFIED
11. </t>
    </r>
    <r>
      <rPr>
        <color rgb="FF1155CC"/>
        <u/>
      </rPr>
      <t>Taiga #817</t>
    </r>
    <r>
      <rPr>
        <color rgb="FF000000"/>
      </rPr>
      <t xml:space="preserve"> =&gt; VERIFIED
12. </t>
    </r>
    <r>
      <rPr>
        <color rgb="FF1155CC"/>
        <u/>
      </rPr>
      <t>Taiga #816</t>
    </r>
    <r>
      <rPr>
        <color rgb="FF000000"/>
      </rPr>
      <t xml:space="preserve"> =&gt; VERIFIED
Testing Taiga BD with status "Ready for SIT (BD)":
1. </t>
    </r>
    <r>
      <rPr>
        <color rgb="FF1155CC"/>
        <u/>
      </rPr>
      <t>Taiga #623</t>
    </r>
    <r>
      <rPr>
        <color rgb="FF000000"/>
      </rPr>
      <t xml:space="preserve"> =&gt; DONE
2. </t>
    </r>
    <r>
      <rPr>
        <color rgb="FF1155CC"/>
        <u/>
      </rPr>
      <t>Taiga #571</t>
    </r>
    <r>
      <rPr>
        <color rgb="FF000000"/>
      </rPr>
      <t xml:space="preserve"> =&gt; DONE
3. </t>
    </r>
    <r>
      <rPr>
        <color rgb="FF1155CC"/>
        <u/>
      </rPr>
      <t>Taiga #537</t>
    </r>
    <r>
      <rPr>
        <color rgb="FF000000"/>
      </rPr>
      <t xml:space="preserve"> =&gt; DONE
4. </t>
    </r>
    <r>
      <rPr>
        <color rgb="FF1155CC"/>
        <u/>
      </rPr>
      <t>Taiga #622</t>
    </r>
    <r>
      <rPr>
        <color rgb="FF000000"/>
      </rPr>
      <t xml:space="preserve"> =&gt; DONE
5. </t>
    </r>
    <r>
      <rPr>
        <color rgb="FF1155CC"/>
        <u/>
      </rPr>
      <t>Taiga #616</t>
    </r>
    <r>
      <rPr>
        <color rgb="FF000000"/>
      </rPr>
      <t xml:space="preserve"> =&gt; DONE</t>
    </r>
  </si>
  <si>
    <r>
      <rPr>
        <rFont val="Arial"/>
        <b/>
        <color rgb="FF000000"/>
      </rPr>
      <t>Digital ID: latest deployment - 2 October</t>
    </r>
    <r>
      <rPr>
        <rFont val="Arial"/>
        <color rgb="FF000000"/>
      </rPr>
      <t xml:space="preserve">
Total card per 2 October 09:37:
</t>
    </r>
    <r>
      <rPr>
        <rFont val="Arial"/>
        <color rgb="FF000000"/>
        <u/>
      </rPr>
      <t>Taiga BD:</t>
    </r>
    <r>
      <rPr>
        <rFont val="Arial"/>
        <color rgb="FF000000"/>
      </rPr>
      <t xml:space="preserve">
Ready for SIT (BD): 9
Ready for SIT (BD to SG) : 14
</t>
    </r>
    <r>
      <rPr>
        <rFont val="Arial"/>
        <color rgb="FF000000"/>
        <u/>
      </rPr>
      <t xml:space="preserve">Taiga SG:
</t>
    </r>
    <r>
      <rPr>
        <rFont val="Arial"/>
        <color rgb="FF000000"/>
      </rPr>
      <t xml:space="preserve">Resolved: 6 Admin Portal, 3 User Portal, 3 Event Portal
Reopen: 1 Admin&amp;User Portal, 1 User Portal, 2 Event Portal, - Admin Portal
New: 2 Admin Portal, 1 User Portal, 8 Event Portal
</t>
    </r>
  </si>
  <si>
    <t>Digital ID:
1. Verify Issues in PROD
2. Update status Task in Taiga SG</t>
  </si>
  <si>
    <r>
      <rPr>
        <color rgb="FF000000"/>
      </rPr>
      <t xml:space="preserve">
Digital ID:
Verify Issues:
1. </t>
    </r>
    <r>
      <rPr>
        <color rgb="FF1155CC"/>
        <u/>
      </rPr>
      <t>Taiga #811</t>
    </r>
    <r>
      <rPr>
        <color rgb="FF000000"/>
      </rPr>
      <t xml:space="preserve"> =&gt; CLOSED
2. </t>
    </r>
    <r>
      <rPr>
        <color rgb="FF1155CC"/>
        <u/>
      </rPr>
      <t>Taiga #851</t>
    </r>
    <r>
      <rPr>
        <color rgb="FF000000"/>
      </rPr>
      <t xml:space="preserve"> =&gt; CLOSED
3. </t>
    </r>
    <r>
      <rPr>
        <color rgb="FF1155CC"/>
        <u/>
      </rPr>
      <t>Taiga #812</t>
    </r>
    <r>
      <rPr>
        <color rgb="FF000000"/>
      </rPr>
      <t xml:space="preserve"> =&gt; CLOSED
4. </t>
    </r>
    <r>
      <rPr>
        <color rgb="FF1155CC"/>
        <u/>
      </rPr>
      <t>Taiga #591</t>
    </r>
    <r>
      <rPr>
        <color rgb="FF000000"/>
      </rPr>
      <t xml:space="preserve"> =&gt; CLOSED
5. </t>
    </r>
    <r>
      <rPr>
        <color rgb="FF1155CC"/>
        <u/>
      </rPr>
      <t>Taiga #592</t>
    </r>
    <r>
      <rPr>
        <color rgb="FF000000"/>
      </rPr>
      <t xml:space="preserve"> =&gt; CLOSED
6. </t>
    </r>
    <r>
      <rPr>
        <color rgb="FF1155CC"/>
        <u/>
      </rPr>
      <t>Taiga #565</t>
    </r>
    <r>
      <rPr>
        <color rgb="FF000000"/>
      </rPr>
      <t xml:space="preserve"> =&gt; CLOSED
7. </t>
    </r>
    <r>
      <rPr>
        <color rgb="FF1155CC"/>
        <u/>
      </rPr>
      <t>Taiga #602</t>
    </r>
    <r>
      <rPr>
        <color rgb="FF000000"/>
      </rPr>
      <t xml:space="preserve"> =&gt; CLOSED
8. </t>
    </r>
    <r>
      <rPr>
        <color rgb="FF1155CC"/>
        <u/>
      </rPr>
      <t>Taiga #595</t>
    </r>
    <r>
      <rPr>
        <color rgb="FF000000"/>
      </rPr>
      <t xml:space="preserve"> =&gt; CLOSED
9. </t>
    </r>
    <r>
      <rPr>
        <color rgb="FF1155CC"/>
        <u/>
      </rPr>
      <t>Taiga #623</t>
    </r>
    <r>
      <rPr>
        <color rgb="FF000000"/>
      </rPr>
      <t xml:space="preserve"> =&gt; CLOSED
10. </t>
    </r>
    <r>
      <rPr>
        <color rgb="FF1155CC"/>
        <u/>
      </rPr>
      <t>Taiga #619</t>
    </r>
    <r>
      <rPr>
        <color rgb="FF000000"/>
      </rPr>
      <t xml:space="preserve"> =&gt; CLOSED
11. </t>
    </r>
    <r>
      <rPr>
        <color rgb="FF1155CC"/>
        <u/>
      </rPr>
      <t>Taiga #618</t>
    </r>
    <r>
      <rPr>
        <color rgb="FF000000"/>
      </rPr>
      <t xml:space="preserve"> =&gt; CLOSED
12. </t>
    </r>
    <r>
      <rPr>
        <color rgb="FF1155CC"/>
        <u/>
      </rPr>
      <t>Taiga #597</t>
    </r>
    <r>
      <rPr>
        <color rgb="FF000000"/>
      </rPr>
      <t xml:space="preserve"> =&gt; CLOSED
13. </t>
    </r>
    <r>
      <rPr>
        <color rgb="FF1155CC"/>
        <u/>
      </rPr>
      <t>Taiga #598</t>
    </r>
    <r>
      <rPr>
        <color rgb="FF000000"/>
      </rPr>
      <t xml:space="preserve"> =&gt; CLOSED
14. </t>
    </r>
    <r>
      <rPr>
        <color rgb="FF1155CC"/>
        <u/>
      </rPr>
      <t>Taiga #599</t>
    </r>
    <r>
      <rPr>
        <color rgb="FF000000"/>
      </rPr>
      <t xml:space="preserve"> =&gt; CLOSED
15. </t>
    </r>
    <r>
      <rPr>
        <color rgb="FF1155CC"/>
        <u/>
      </rPr>
      <t>Taiga #600</t>
    </r>
    <r>
      <rPr>
        <color rgb="FF000000"/>
      </rPr>
      <t xml:space="preserve"> =&gt; CLOSED
16. </t>
    </r>
    <r>
      <rPr>
        <color rgb="FF1155CC"/>
        <u/>
      </rPr>
      <t>Taiga #727</t>
    </r>
    <r>
      <rPr>
        <color rgb="FF000000"/>
      </rPr>
      <t xml:space="preserve"> =&gt; CLOSED
17, </t>
    </r>
    <r>
      <rPr>
        <color rgb="FF1155CC"/>
        <u/>
      </rPr>
      <t>Taiga #857</t>
    </r>
    <r>
      <rPr>
        <color rgb="FF000000"/>
      </rPr>
      <t xml:space="preserve"> =&gt; CLOSED
18. </t>
    </r>
    <r>
      <rPr>
        <color rgb="FF1155CC"/>
        <u/>
      </rPr>
      <t>Taiga #620</t>
    </r>
    <r>
      <rPr>
        <color rgb="FF000000"/>
      </rPr>
      <t xml:space="preserve"> =&gt; CLOSED
19. </t>
    </r>
    <r>
      <rPr>
        <color rgb="FF1155CC"/>
        <u/>
      </rPr>
      <t>Taiga #624</t>
    </r>
    <r>
      <rPr>
        <color rgb="FF000000"/>
      </rPr>
      <t xml:space="preserve"> =&gt; CLOSED
20. </t>
    </r>
    <r>
      <rPr>
        <color rgb="FF1155CC"/>
        <u/>
      </rPr>
      <t>Taiga #617</t>
    </r>
    <r>
      <rPr>
        <color rgb="FF000000"/>
      </rPr>
      <t xml:space="preserve"> =&gt; CLOSED
21. </t>
    </r>
    <r>
      <rPr>
        <color rgb="FF1155CC"/>
        <u/>
      </rPr>
      <t>Taiga #616</t>
    </r>
    <r>
      <rPr>
        <color rgb="FF000000"/>
      </rPr>
      <t xml:space="preserve"> =&gt; CLOSED
22. </t>
    </r>
    <r>
      <rPr>
        <color rgb="FF1155CC"/>
        <u/>
      </rPr>
      <t>Taiga #563</t>
    </r>
    <r>
      <rPr>
        <color rgb="FF000000"/>
      </rPr>
      <t xml:space="preserve"> =&gt; CLOSED
23. </t>
    </r>
    <r>
      <rPr>
        <color rgb="FF1155CC"/>
        <u/>
      </rPr>
      <t>Taiga #558</t>
    </r>
    <r>
      <rPr>
        <color rgb="FF000000"/>
      </rPr>
      <t xml:space="preserve"> =&gt; CLOSED
24. </t>
    </r>
    <r>
      <rPr>
        <color rgb="FF1155CC"/>
        <u/>
      </rPr>
      <t>Taiga #555</t>
    </r>
    <r>
      <rPr>
        <color rgb="FF000000"/>
      </rPr>
      <t xml:space="preserve"> =&gt; CLOSED
25. </t>
    </r>
    <r>
      <rPr>
        <color rgb="FF1155CC"/>
        <u/>
      </rPr>
      <t>Taiga #568</t>
    </r>
    <r>
      <rPr>
        <color rgb="FF000000"/>
      </rPr>
      <t xml:space="preserve"> =&gt; CLOSED
26. </t>
    </r>
    <r>
      <rPr>
        <color rgb="FF1155CC"/>
        <u/>
      </rPr>
      <t>Taiga #693</t>
    </r>
    <r>
      <rPr>
        <color rgb="FF000000"/>
      </rPr>
      <t xml:space="preserve"> =&gt; CLOSED
27. </t>
    </r>
    <r>
      <rPr>
        <color rgb="FF1155CC"/>
        <u/>
      </rPr>
      <t>Taiga #670</t>
    </r>
    <r>
      <rPr>
        <color rgb="FF000000"/>
      </rPr>
      <t xml:space="preserve"> =&gt; CLOSED
28. </t>
    </r>
    <r>
      <rPr>
        <color rgb="FF1155CC"/>
        <u/>
      </rPr>
      <t>Taiga #669</t>
    </r>
    <r>
      <rPr>
        <color rgb="FF000000"/>
      </rPr>
      <t xml:space="preserve"> =&gt; CLOSED
29. </t>
    </r>
    <r>
      <rPr>
        <color rgb="FF1155CC"/>
        <u/>
      </rPr>
      <t>Taiga #668</t>
    </r>
    <r>
      <rPr>
        <color rgb="FF000000"/>
      </rPr>
      <t xml:space="preserve"> =&gt; CLOSED
30. </t>
    </r>
    <r>
      <rPr>
        <color rgb="FF1155CC"/>
        <u/>
      </rPr>
      <t>Taiga #718</t>
    </r>
    <r>
      <rPr>
        <color rgb="FF000000"/>
      </rPr>
      <t xml:space="preserve"> =&gt; CLOSED
31. </t>
    </r>
    <r>
      <rPr>
        <color rgb="FF1155CC"/>
        <u/>
      </rPr>
      <t>Taiga #854</t>
    </r>
    <r>
      <rPr>
        <color rgb="FF000000"/>
      </rPr>
      <t xml:space="preserve"> =&gt; CLOSED
32. </t>
    </r>
    <r>
      <rPr>
        <color rgb="FF1155CC"/>
        <u/>
      </rPr>
      <t>Taiga #672</t>
    </r>
    <r>
      <rPr>
        <color rgb="FF000000"/>
      </rPr>
      <t xml:space="preserve"> =&gt; CLOSED
33. </t>
    </r>
    <r>
      <rPr>
        <color rgb="FF1155CC"/>
        <u/>
      </rPr>
      <t>Taiga #601</t>
    </r>
    <r>
      <rPr>
        <color rgb="FF000000"/>
      </rPr>
      <t xml:space="preserve"> =&gt; CLOSED
34. </t>
    </r>
    <r>
      <rPr>
        <color rgb="FF1155CC"/>
        <u/>
      </rPr>
      <t>Taiga #672</t>
    </r>
    <r>
      <rPr>
        <color rgb="FF000000"/>
      </rPr>
      <t xml:space="preserve"> =&gt; CLOSED
35. </t>
    </r>
    <r>
      <rPr>
        <color rgb="FF1155CC"/>
        <u/>
      </rPr>
      <t>Taiga #810</t>
    </r>
    <r>
      <rPr>
        <color rgb="FF000000"/>
      </rPr>
      <t xml:space="preserve"> =&gt; CLOSED
36. </t>
    </r>
    <r>
      <rPr>
        <color rgb="FF1155CC"/>
        <u/>
      </rPr>
      <t>Taiga #836</t>
    </r>
    <r>
      <rPr>
        <color rgb="FF000000"/>
      </rPr>
      <t xml:space="preserve"> =&gt; CLOSED
37. </t>
    </r>
    <r>
      <rPr>
        <color rgb="FF1155CC"/>
        <u/>
      </rPr>
      <t>Taiga #800</t>
    </r>
    <r>
      <rPr>
        <color rgb="FF000000"/>
      </rPr>
      <t xml:space="preserve"> =&gt; CLOSED
38. </t>
    </r>
    <r>
      <rPr>
        <color rgb="FF1155CC"/>
        <u/>
      </rPr>
      <t>Taiga #788</t>
    </r>
    <r>
      <rPr>
        <color rgb="FF000000"/>
      </rPr>
      <t xml:space="preserve"> =&gt; CLOSED
39. </t>
    </r>
    <r>
      <rPr>
        <color rgb="FF1155CC"/>
        <u/>
      </rPr>
      <t>Taiga #787</t>
    </r>
    <r>
      <rPr>
        <color rgb="FF000000"/>
      </rPr>
      <t xml:space="preserve"> =&gt; CLOSED
40. </t>
    </r>
    <r>
      <rPr>
        <color rgb="FF1155CC"/>
        <u/>
      </rPr>
      <t>Taiga #786</t>
    </r>
    <r>
      <rPr>
        <color rgb="FF000000"/>
      </rPr>
      <t xml:space="preserve"> =&gt; CLOSED
41. </t>
    </r>
    <r>
      <rPr>
        <color rgb="FF1155CC"/>
        <u/>
      </rPr>
      <t>Taiga #766</t>
    </r>
    <r>
      <rPr>
        <color rgb="FF000000"/>
      </rPr>
      <t xml:space="preserve"> =&gt; CLOSED
42. </t>
    </r>
    <r>
      <rPr>
        <color rgb="FF1155CC"/>
        <u/>
      </rPr>
      <t>Taiga #741</t>
    </r>
    <r>
      <rPr>
        <color rgb="FF000000"/>
      </rPr>
      <t xml:space="preserve"> =&gt; CLOSED
43. </t>
    </r>
    <r>
      <rPr>
        <color rgb="FF1155CC"/>
        <u/>
      </rPr>
      <t>Taiga #747</t>
    </r>
    <r>
      <rPr>
        <color rgb="FF000000"/>
      </rPr>
      <t xml:space="preserve"> =&gt; CLOSED
44. </t>
    </r>
    <r>
      <rPr>
        <color rgb="FF1155CC"/>
        <u/>
      </rPr>
      <t>Taiga #673</t>
    </r>
    <r>
      <rPr>
        <color rgb="FF000000"/>
      </rPr>
      <t xml:space="preserve"> =&gt; CLOSED
45. </t>
    </r>
    <r>
      <rPr>
        <color rgb="FF1155CC"/>
        <u/>
      </rPr>
      <t>Taiga #554</t>
    </r>
    <r>
      <rPr>
        <color rgb="FF000000"/>
      </rPr>
      <t xml:space="preserve"> =&gt; CLOSED
46. </t>
    </r>
    <r>
      <rPr>
        <color rgb="FF1155CC"/>
        <u/>
      </rPr>
      <t>Taiga #740</t>
    </r>
    <r>
      <rPr>
        <color rgb="FF000000"/>
      </rPr>
      <t xml:space="preserve"> =&gt; CLOSED
47. </t>
    </r>
    <r>
      <rPr>
        <color rgb="FF1155CC"/>
        <u/>
      </rPr>
      <t>Taiga #729</t>
    </r>
    <r>
      <rPr>
        <color rgb="FF000000"/>
      </rPr>
      <t xml:space="preserve"> =&gt; CLOSED
48. </t>
    </r>
    <r>
      <rPr>
        <color rgb="FF1155CC"/>
        <u/>
      </rPr>
      <t>Taiga #501</t>
    </r>
    <r>
      <rPr>
        <color rgb="FF000000"/>
      </rPr>
      <t xml:space="preserve"> =&gt; CLOSED
49. </t>
    </r>
    <r>
      <rPr>
        <color rgb="FF1155CC"/>
        <u/>
      </rPr>
      <t>Taiga #482</t>
    </r>
    <r>
      <rPr>
        <color rgb="FF000000"/>
      </rPr>
      <t xml:space="preserve"> =&gt; CLOSED
50. </t>
    </r>
    <r>
      <rPr>
        <color rgb="FF1155CC"/>
        <u/>
      </rPr>
      <t>Taiga #719</t>
    </r>
    <r>
      <rPr>
        <color rgb="FF000000"/>
      </rPr>
      <t xml:space="preserve"> =&gt; CLOSED
51. </t>
    </r>
    <r>
      <rPr>
        <color rgb="FF1155CC"/>
        <u/>
      </rPr>
      <t>Taiga #502</t>
    </r>
    <r>
      <rPr>
        <color rgb="FF000000"/>
      </rPr>
      <t xml:space="preserve"> =&gt; CLOSED
52. </t>
    </r>
    <r>
      <rPr>
        <color rgb="FF1155CC"/>
        <u/>
      </rPr>
      <t>Taiga #816</t>
    </r>
    <r>
      <rPr>
        <color rgb="FF000000"/>
      </rPr>
      <t xml:space="preserve"> =&gt; CLOSED
53. </t>
    </r>
    <r>
      <rPr>
        <color rgb="FF1155CC"/>
        <u/>
      </rPr>
      <t>Taiga #808</t>
    </r>
    <r>
      <rPr>
        <color rgb="FF000000"/>
      </rPr>
      <t xml:space="preserve"> =&gt; CLOSED
54. </t>
    </r>
    <r>
      <rPr>
        <color rgb="FF1155CC"/>
        <u/>
      </rPr>
      <t>Taiga #758</t>
    </r>
    <r>
      <rPr>
        <color rgb="FF000000"/>
      </rPr>
      <t xml:space="preserve"> =&gt; CLOSED
55. </t>
    </r>
    <r>
      <rPr>
        <color rgb="FF1155CC"/>
        <u/>
      </rPr>
      <t>Taiga #671</t>
    </r>
    <r>
      <rPr>
        <color rgb="FF000000"/>
      </rPr>
      <t xml:space="preserve"> =&gt; CLOSED
56. </t>
    </r>
    <r>
      <rPr>
        <color rgb="FF1155CC"/>
        <u/>
      </rPr>
      <t>Taiga #748</t>
    </r>
    <r>
      <rPr>
        <color rgb="FF000000"/>
      </rPr>
      <t xml:space="preserve"> =&gt; CLOSED
57. </t>
    </r>
    <r>
      <rPr>
        <color rgb="FF1155CC"/>
        <u/>
      </rPr>
      <t>Taiga #691</t>
    </r>
    <r>
      <rPr>
        <color rgb="FF000000"/>
      </rPr>
      <t xml:space="preserve"> =&gt; CLOSED
58. </t>
    </r>
    <r>
      <rPr>
        <color rgb="FF1155CC"/>
        <u/>
      </rPr>
      <t>Taiga #701</t>
    </r>
    <r>
      <rPr>
        <color rgb="FF000000"/>
      </rPr>
      <t xml:space="preserve"> =&gt; CLOSED
59. </t>
    </r>
    <r>
      <rPr>
        <color rgb="FF1155CC"/>
        <u/>
      </rPr>
      <t>Taiga #703</t>
    </r>
    <r>
      <rPr>
        <color rgb="FF000000"/>
      </rPr>
      <t xml:space="preserve"> =&gt; CLOSED
60. </t>
    </r>
    <r>
      <rPr>
        <color rgb="FF1155CC"/>
        <u/>
      </rPr>
      <t>Taiga #704</t>
    </r>
    <r>
      <rPr>
        <color rgb="FF000000"/>
      </rPr>
      <t xml:space="preserve"> =&gt; CLOSED
61. </t>
    </r>
    <r>
      <rPr>
        <color rgb="FF1155CC"/>
        <u/>
      </rPr>
      <t>Taiga #702</t>
    </r>
    <r>
      <rPr>
        <color rgb="FF000000"/>
      </rPr>
      <t xml:space="preserve"> =&gt; CLOSED
62. </t>
    </r>
    <r>
      <rPr>
        <color rgb="FF1155CC"/>
        <u/>
      </rPr>
      <t>Taiga #553</t>
    </r>
    <r>
      <rPr>
        <color rgb="FF000000"/>
      </rPr>
      <t xml:space="preserve"> =&gt; CLOSED
63. </t>
    </r>
    <r>
      <rPr>
        <color rgb="FF1155CC"/>
        <u/>
      </rPr>
      <t>Taiga #556</t>
    </r>
    <r>
      <rPr>
        <color rgb="FF000000"/>
      </rPr>
      <t xml:space="preserve"> =&gt; CLOSED
64. </t>
    </r>
    <r>
      <rPr>
        <color rgb="FF1155CC"/>
        <u/>
      </rPr>
      <t>Taiga #557</t>
    </r>
    <r>
      <rPr>
        <color rgb="FF000000"/>
      </rPr>
      <t xml:space="preserve"> =&gt; CLOSED
65. </t>
    </r>
    <r>
      <rPr>
        <color rgb="FF1155CC"/>
        <u/>
      </rPr>
      <t>Taiga #562</t>
    </r>
    <r>
      <rPr>
        <color rgb="FF000000"/>
      </rPr>
      <t xml:space="preserve"> =&gt; CLOSED
66. </t>
    </r>
    <r>
      <rPr>
        <color rgb="FF1155CC"/>
        <u/>
      </rPr>
      <t>Taiga #625</t>
    </r>
    <r>
      <rPr>
        <color rgb="FF000000"/>
      </rPr>
      <t xml:space="preserve"> =&gt; CLOSED
67. </t>
    </r>
    <r>
      <rPr>
        <color rgb="FF1155CC"/>
        <u/>
      </rPr>
      <t>Taiga #661</t>
    </r>
    <r>
      <rPr>
        <color rgb="FF000000"/>
      </rPr>
      <t xml:space="preserve"> =&gt; CLOSED
68. </t>
    </r>
    <r>
      <rPr>
        <color rgb="FF1155CC"/>
        <u/>
      </rPr>
      <t>Taiga #674</t>
    </r>
    <r>
      <rPr>
        <color rgb="FF000000"/>
      </rPr>
      <t xml:space="preserve"> =&gt; CLOSED
69. </t>
    </r>
    <r>
      <rPr>
        <color rgb="FF1155CC"/>
        <u/>
      </rPr>
      <t>Taiga #681</t>
    </r>
    <r>
      <rPr>
        <color rgb="FF000000"/>
      </rPr>
      <t xml:space="preserve"> =&gt; CLOSED
70. </t>
    </r>
    <r>
      <rPr>
        <color rgb="FF1155CC"/>
        <u/>
      </rPr>
      <t>Taiga #710</t>
    </r>
    <r>
      <rPr>
        <color rgb="FF000000"/>
      </rPr>
      <t xml:space="preserve"> =&gt; CLOSED
71. </t>
    </r>
    <r>
      <rPr>
        <color rgb="FF1155CC"/>
        <u/>
      </rPr>
      <t>Taiga #711</t>
    </r>
    <r>
      <rPr>
        <color rgb="FF000000"/>
      </rPr>
      <t xml:space="preserve"> =&gt; CLOSED
72. </t>
    </r>
    <r>
      <rPr>
        <color rgb="FF1155CC"/>
        <u/>
      </rPr>
      <t>Taiga #722</t>
    </r>
    <r>
      <rPr>
        <color rgb="FF000000"/>
      </rPr>
      <t xml:space="preserve"> =&gt; CLOSED
73. </t>
    </r>
    <r>
      <rPr>
        <color rgb="FF1155CC"/>
        <u/>
      </rPr>
      <t>Taiga #725</t>
    </r>
    <r>
      <rPr>
        <color rgb="FF000000"/>
      </rPr>
      <t xml:space="preserve"> =&gt; CLOSED
74. </t>
    </r>
    <r>
      <rPr>
        <color rgb="FF1155CC"/>
        <u/>
      </rPr>
      <t>Taiga #726</t>
    </r>
    <r>
      <rPr>
        <color rgb="FF000000"/>
      </rPr>
      <t xml:space="preserve"> =&gt; CLOSED
75. </t>
    </r>
    <r>
      <rPr>
        <color rgb="FF1155CC"/>
        <u/>
      </rPr>
      <t>Taiga #728</t>
    </r>
    <r>
      <rPr>
        <color rgb="FF000000"/>
      </rPr>
      <t xml:space="preserve"> =&gt; CLOSED
76. </t>
    </r>
    <r>
      <rPr>
        <color rgb="FF1155CC"/>
        <u/>
      </rPr>
      <t>Taiga #739</t>
    </r>
    <r>
      <rPr>
        <color rgb="FF000000"/>
      </rPr>
      <t xml:space="preserve"> =&gt; CLOSED
77. </t>
    </r>
    <r>
      <rPr>
        <color rgb="FF1155CC"/>
        <u/>
      </rPr>
      <t>Taiga #751</t>
    </r>
    <r>
      <rPr>
        <color rgb="FF000000"/>
      </rPr>
      <t xml:space="preserve"> =&gt; CLOSED
78. </t>
    </r>
    <r>
      <rPr>
        <color rgb="FF1155CC"/>
        <u/>
      </rPr>
      <t>Taiga #757</t>
    </r>
    <r>
      <rPr>
        <color rgb="FF000000"/>
      </rPr>
      <t xml:space="preserve"> =&gt; CLOSED
79. </t>
    </r>
    <r>
      <rPr>
        <color rgb="FF1155CC"/>
        <u/>
      </rPr>
      <t>Taiga #773</t>
    </r>
    <r>
      <rPr>
        <color rgb="FF000000"/>
      </rPr>
      <t xml:space="preserve"> =&gt; CLOSED
80. </t>
    </r>
    <r>
      <rPr>
        <color rgb="FF1155CC"/>
        <u/>
      </rPr>
      <t>Taiga #775</t>
    </r>
    <r>
      <rPr>
        <color rgb="FF000000"/>
      </rPr>
      <t xml:space="preserve"> =&gt; CLOSED
81. </t>
    </r>
    <r>
      <rPr>
        <color rgb="FF1155CC"/>
        <u/>
      </rPr>
      <t>Taiga #727</t>
    </r>
    <r>
      <rPr>
        <color rgb="FF000000"/>
      </rPr>
      <t xml:space="preserve"> =&gt; CLOSED
82. </t>
    </r>
    <r>
      <rPr>
        <color rgb="FF1155CC"/>
        <u/>
      </rPr>
      <t>Taiga #699</t>
    </r>
    <r>
      <rPr>
        <color rgb="FF000000"/>
      </rPr>
      <t xml:space="preserve"> =&gt; CLOSED
83. </t>
    </r>
    <r>
      <rPr>
        <color rgb="FF1155CC"/>
        <u/>
      </rPr>
      <t>Taiga #777</t>
    </r>
    <r>
      <rPr>
        <color rgb="FF000000"/>
      </rPr>
      <t xml:space="preserve"> =&gt; CLOSED
84. </t>
    </r>
    <r>
      <rPr>
        <color rgb="FF1155CC"/>
        <u/>
      </rPr>
      <t>Taiga #778</t>
    </r>
    <r>
      <rPr>
        <color rgb="FF000000"/>
      </rPr>
      <t xml:space="preserve"> =&gt; CLOSED
85. </t>
    </r>
    <r>
      <rPr>
        <color rgb="FF1155CC"/>
        <u/>
      </rPr>
      <t>Taiga #779</t>
    </r>
    <r>
      <rPr>
        <color rgb="FF000000"/>
      </rPr>
      <t xml:space="preserve"> =&gt; CLOSED
86. </t>
    </r>
    <r>
      <rPr>
        <color rgb="FF1155CC"/>
        <u/>
      </rPr>
      <t>Taiga #780</t>
    </r>
    <r>
      <rPr>
        <color rgb="FF000000"/>
      </rPr>
      <t xml:space="preserve"> =&gt; CLOSED
87. </t>
    </r>
    <r>
      <rPr>
        <color rgb="FF1155CC"/>
        <u/>
      </rPr>
      <t>Taiga #850</t>
    </r>
    <r>
      <rPr>
        <color rgb="FF000000"/>
      </rPr>
      <t xml:space="preserve"> =&gt; CLOSED
88. </t>
    </r>
    <r>
      <rPr>
        <color rgb="FF1155CC"/>
        <u/>
      </rPr>
      <t>Taiga #675</t>
    </r>
    <r>
      <rPr>
        <color rgb="FF000000"/>
      </rPr>
      <t xml:space="preserve"> =&gt; CLOSED
89. </t>
    </r>
    <r>
      <rPr>
        <color rgb="FF1155CC"/>
        <u/>
      </rPr>
      <t>Taiga #805</t>
    </r>
    <r>
      <rPr>
        <color rgb="FF000000"/>
      </rPr>
      <t xml:space="preserve"> =&gt; CLOSED
90. </t>
    </r>
    <r>
      <rPr>
        <color rgb="FF1155CC"/>
        <u/>
      </rPr>
      <t>Taiga #807</t>
    </r>
    <r>
      <rPr>
        <color rgb="FF000000"/>
      </rPr>
      <t xml:space="preserve"> =&gt; CLOSED
91. </t>
    </r>
    <r>
      <rPr>
        <color rgb="FF1155CC"/>
        <u/>
      </rPr>
      <t>Taiga #834</t>
    </r>
    <r>
      <rPr>
        <color rgb="FF000000"/>
      </rPr>
      <t xml:space="preserve"> =&gt; CLOSED
92. </t>
    </r>
    <r>
      <rPr>
        <color rgb="FF1155CC"/>
        <u/>
      </rPr>
      <t>Taiga #679</t>
    </r>
    <r>
      <rPr>
        <color rgb="FF000000"/>
      </rPr>
      <t xml:space="preserve"> =&gt; CLOSED
93. </t>
    </r>
    <r>
      <rPr>
        <color rgb="FF1155CC"/>
        <u/>
      </rPr>
      <t>Taiga #644</t>
    </r>
    <r>
      <rPr>
        <color rgb="FF000000"/>
      </rPr>
      <t xml:space="preserve"> =&gt; CLOSED
94. </t>
    </r>
    <r>
      <rPr>
        <color rgb="FF1155CC"/>
        <u/>
      </rPr>
      <t>Taiga #621</t>
    </r>
    <r>
      <rPr>
        <color rgb="FF000000"/>
      </rPr>
      <t xml:space="preserve"> =&gt; CLOSED
95. </t>
    </r>
    <r>
      <rPr>
        <color rgb="FF1155CC"/>
        <u/>
      </rPr>
      <t>Taiga #663</t>
    </r>
    <r>
      <rPr>
        <color rgb="FF000000"/>
      </rPr>
      <t xml:space="preserve"> =&gt; CLOSED
96. </t>
    </r>
    <r>
      <rPr>
        <color rgb="FF1155CC"/>
        <u/>
      </rPr>
      <t>Taiga #647</t>
    </r>
    <r>
      <rPr>
        <color rgb="FF000000"/>
      </rPr>
      <t xml:space="preserve"> =&gt; CLOSED
97. </t>
    </r>
    <r>
      <rPr>
        <color rgb="FF1155CC"/>
        <u/>
      </rPr>
      <t>Taiga #831</t>
    </r>
    <r>
      <rPr>
        <color rgb="FF000000"/>
      </rPr>
      <t xml:space="preserve"> =&gt; CLOSED
98. </t>
    </r>
    <r>
      <rPr>
        <color rgb="FF1155CC"/>
        <u/>
      </rPr>
      <t>Taiga #685</t>
    </r>
    <r>
      <rPr>
        <color rgb="FF000000"/>
      </rPr>
      <t xml:space="preserve"> =&gt; CLOSED
99. </t>
    </r>
    <r>
      <rPr>
        <color rgb="FF1155CC"/>
        <u/>
      </rPr>
      <t>Taiga #594</t>
    </r>
    <r>
      <rPr>
        <color rgb="FF000000"/>
      </rPr>
      <t xml:space="preserve"> =&gt; CLOSED
100. </t>
    </r>
    <r>
      <rPr>
        <color rgb="FF1155CC"/>
        <u/>
      </rPr>
      <t>Taiga #664</t>
    </r>
    <r>
      <rPr>
        <color rgb="FF000000"/>
      </rPr>
      <t xml:space="preserve"> =&gt; CLOSED
101. </t>
    </r>
    <r>
      <rPr>
        <color rgb="FF1155CC"/>
        <u/>
      </rPr>
      <t>Taiga #684</t>
    </r>
    <r>
      <rPr>
        <color rgb="FF000000"/>
      </rPr>
      <t xml:space="preserve"> =&gt; CLOSED
102. </t>
    </r>
    <r>
      <rPr>
        <color rgb="FF1155CC"/>
        <u/>
      </rPr>
      <t>Taiga #603</t>
    </r>
    <r>
      <rPr>
        <color rgb="FF000000"/>
      </rPr>
      <t xml:space="preserve"> =&gt; CLOSED
103. </t>
    </r>
    <r>
      <rPr>
        <color rgb="FF1155CC"/>
        <u/>
      </rPr>
      <t>Taiga #634</t>
    </r>
    <r>
      <rPr>
        <color rgb="FF000000"/>
      </rPr>
      <t xml:space="preserve"> =&gt; CLOSED
104. </t>
    </r>
    <r>
      <rPr>
        <color rgb="FF1155CC"/>
        <u/>
      </rPr>
      <t>Taiga #682</t>
    </r>
    <r>
      <rPr>
        <color rgb="FF000000"/>
      </rPr>
      <t xml:space="preserve"> =&gt; CLOSED
105. </t>
    </r>
    <r>
      <rPr>
        <color rgb="FF1155CC"/>
        <u/>
      </rPr>
      <t>Taiga #628</t>
    </r>
    <r>
      <rPr>
        <color rgb="FF000000"/>
      </rPr>
      <t xml:space="preserve"> =&gt; CLOSED
106. </t>
    </r>
    <r>
      <rPr>
        <color rgb="FF1155CC"/>
        <u/>
      </rPr>
      <t>Taiga #680</t>
    </r>
    <r>
      <rPr>
        <color rgb="FF000000"/>
      </rPr>
      <t xml:space="preserve"> =&gt; CLOSED
107. </t>
    </r>
    <r>
      <rPr>
        <color rgb="FF1155CC"/>
        <u/>
      </rPr>
      <t>Taiga #705</t>
    </r>
    <r>
      <rPr>
        <color rgb="FF000000"/>
      </rPr>
      <t xml:space="preserve"> =&gt; CLOSED
108. </t>
    </r>
    <r>
      <rPr>
        <color rgb="FF1155CC"/>
        <u/>
      </rPr>
      <t>Taiga #678</t>
    </r>
    <r>
      <rPr>
        <color rgb="FF000000"/>
      </rPr>
      <t xml:space="preserve"> =&gt; CLOSED
109. </t>
    </r>
    <r>
      <rPr>
        <color rgb="FF1155CC"/>
        <u/>
      </rPr>
      <t>Taiga #633</t>
    </r>
    <r>
      <rPr>
        <color rgb="FF000000"/>
      </rPr>
      <t xml:space="preserve"> =&gt; CLOSED
110. </t>
    </r>
    <r>
      <rPr>
        <color rgb="FF1155CC"/>
        <u/>
      </rPr>
      <t>Taiga #596</t>
    </r>
    <r>
      <rPr>
        <color rgb="FF000000"/>
      </rPr>
      <t xml:space="preserve"> =&gt; CLOSED
111. </t>
    </r>
    <r>
      <rPr>
        <color rgb="FF1155CC"/>
        <u/>
      </rPr>
      <t>Taiga #629</t>
    </r>
    <r>
      <rPr>
        <color rgb="FF000000"/>
      </rPr>
      <t xml:space="preserve"> =&gt; CLOSED
112. </t>
    </r>
    <r>
      <rPr>
        <color rgb="FF1155CC"/>
        <u/>
      </rPr>
      <t>Taiga #852</t>
    </r>
    <r>
      <rPr>
        <color rgb="FF000000"/>
      </rPr>
      <t xml:space="preserve"> =&gt; CLOSED
113. </t>
    </r>
    <r>
      <rPr>
        <color rgb="FF1155CC"/>
        <u/>
      </rPr>
      <t>Taiga #814</t>
    </r>
    <r>
      <rPr>
        <color rgb="FF000000"/>
      </rPr>
      <t xml:space="preserve"> =&gt; CLOSED
114. </t>
    </r>
    <r>
      <rPr>
        <color rgb="FF1155CC"/>
        <u/>
      </rPr>
      <t>Taiga #676</t>
    </r>
    <r>
      <rPr>
        <color rgb="FF000000"/>
      </rPr>
      <t xml:space="preserve"> =&gt; CLOSED
115. </t>
    </r>
    <r>
      <rPr>
        <color rgb="FF1155CC"/>
        <u/>
      </rPr>
      <t>Taiga #835</t>
    </r>
    <r>
      <rPr>
        <color rgb="FF000000"/>
      </rPr>
      <t xml:space="preserve"> =&gt; CLOSED
116. </t>
    </r>
    <r>
      <rPr>
        <color rgb="FF1155CC"/>
        <u/>
      </rPr>
      <t>Taiga #567</t>
    </r>
    <r>
      <rPr>
        <color rgb="FF000000"/>
      </rPr>
      <t xml:space="preserve"> =&gt; CLOSED
117. </t>
    </r>
    <r>
      <rPr>
        <color rgb="FF1155CC"/>
        <u/>
      </rPr>
      <t>Taiga #853</t>
    </r>
    <r>
      <rPr>
        <color rgb="FF000000"/>
      </rPr>
      <t xml:space="preserve"> =&gt; CLOSED
118. </t>
    </r>
    <r>
      <rPr>
        <color rgb="FF1155CC"/>
        <u/>
      </rPr>
      <t>Taiga #804</t>
    </r>
    <r>
      <rPr>
        <color rgb="FF000000"/>
      </rPr>
      <t xml:space="preserve"> =&gt; CLOSED
Update status Task in Taiga SG:
1. </t>
    </r>
    <r>
      <rPr>
        <color rgb="FF1155CC"/>
        <u/>
      </rPr>
      <t>Taiga #744</t>
    </r>
    <r>
      <rPr>
        <color rgb="FF000000"/>
      </rPr>
      <t xml:space="preserve"> =&gt; CLOSED
2. </t>
    </r>
    <r>
      <rPr>
        <color rgb="FF1155CC"/>
        <u/>
      </rPr>
      <t>Taiga #498</t>
    </r>
    <r>
      <rPr>
        <color rgb="FF000000"/>
      </rPr>
      <t xml:space="preserve"> =&gt; CLOSED
3. </t>
    </r>
    <r>
      <rPr>
        <color rgb="FF1155CC"/>
        <u/>
      </rPr>
      <t>Taiga #552</t>
    </r>
    <r>
      <rPr>
        <color rgb="FF000000"/>
      </rPr>
      <t xml:space="preserve"> =&gt; </t>
    </r>
  </si>
  <si>
    <r>
      <rPr>
        <rFont val="Arial"/>
        <b/>
        <color rgb="FF000000"/>
      </rPr>
      <t>Digital ID: latest deployment - 2 October</t>
    </r>
    <r>
      <rPr>
        <rFont val="Arial"/>
        <color rgb="FF000000"/>
      </rPr>
      <t xml:space="preserve">
Total card per 3 October 09:10:
</t>
    </r>
    <r>
      <rPr>
        <rFont val="Arial"/>
        <color rgb="FF000000"/>
        <u/>
      </rPr>
      <t>Taiga BD:</t>
    </r>
    <r>
      <rPr>
        <rFont val="Arial"/>
        <color rgb="FF000000"/>
      </rPr>
      <t xml:space="preserve">
Ready for SIT (BD): 4
Ready for SIT (BD to SG) : 15
</t>
    </r>
    <r>
      <rPr>
        <rFont val="Arial"/>
        <color rgb="FF000000"/>
        <u/>
      </rPr>
      <t xml:space="preserve">Taiga SG:
</t>
    </r>
    <r>
      <rPr>
        <rFont val="Arial"/>
        <color rgb="FF000000"/>
      </rPr>
      <t xml:space="preserve">Resolved: - Admin Portal, 1 User Portal, 12 Event Portal
Reopen: 1 Admin&amp;User Portal, - User Portal, - Event Portal, - Admin Portal
New: 4 Admin Portal, 1 User Portal, 2 Event Portal
</t>
    </r>
  </si>
  <si>
    <t>Digital ID:
1. Verify Issues in PROD
2. Update status Task in Taiga SG after test in PROD</t>
  </si>
  <si>
    <r>
      <rPr>
        <color rgb="FF000000"/>
      </rPr>
      <t xml:space="preserve">
Digital ID:
Verify Issues:
1. </t>
    </r>
    <r>
      <rPr>
        <color rgb="FF1155CC"/>
        <u/>
      </rPr>
      <t>Taiga #829</t>
    </r>
    <r>
      <rPr>
        <color rgb="FF000000"/>
      </rPr>
      <t xml:space="preserve"> =&gt; CLOSED
2. </t>
    </r>
    <r>
      <rPr>
        <color rgb="FF1155CC"/>
        <u/>
      </rPr>
      <t>Taiga #643</t>
    </r>
    <r>
      <rPr>
        <color rgb="FF000000"/>
      </rPr>
      <t xml:space="preserve"> =&gt; CLOSED
3. </t>
    </r>
    <r>
      <rPr>
        <color rgb="FF1155CC"/>
        <u/>
      </rPr>
      <t>Taiga #375</t>
    </r>
    <r>
      <rPr>
        <color rgb="FF000000"/>
      </rPr>
      <t xml:space="preserve"> =&gt; CLOSED
4. </t>
    </r>
    <r>
      <rPr>
        <color rgb="FF1155CC"/>
        <u/>
      </rPr>
      <t>Taiga #559</t>
    </r>
    <r>
      <rPr>
        <color rgb="FF000000"/>
      </rPr>
      <t xml:space="preserve"> =&gt; CLOSED
5. </t>
    </r>
    <r>
      <rPr>
        <color rgb="FF1155CC"/>
        <u/>
      </rPr>
      <t>Taiga #601</t>
    </r>
    <r>
      <rPr>
        <color rgb="FF000000"/>
      </rPr>
      <t xml:space="preserve"> =&gt; CLOSED
5. </t>
    </r>
    <r>
      <rPr>
        <color rgb="FF1155CC"/>
        <u/>
      </rPr>
      <t>Taiga #781</t>
    </r>
    <r>
      <rPr>
        <color rgb="FF000000"/>
      </rPr>
      <t xml:space="preserve"> =&gt; CLOSED
6. </t>
    </r>
    <r>
      <rPr>
        <color rgb="FF1155CC"/>
        <u/>
      </rPr>
      <t>Taiga #782</t>
    </r>
    <r>
      <rPr>
        <color rgb="FF000000"/>
      </rPr>
      <t xml:space="preserve"> =&gt; CLOSED
7. </t>
    </r>
    <r>
      <rPr>
        <color rgb="FF1155CC"/>
        <u/>
      </rPr>
      <t>Taiga #697</t>
    </r>
    <r>
      <rPr>
        <color rgb="FF000000"/>
      </rPr>
      <t xml:space="preserve"> =&gt; CLOSED
8. </t>
    </r>
    <r>
      <rPr>
        <color rgb="FF1155CC"/>
        <u/>
      </rPr>
      <t>Taiga #698</t>
    </r>
    <r>
      <rPr>
        <color rgb="FF000000"/>
      </rPr>
      <t xml:space="preserve"> =&gt; CLOSED
9. </t>
    </r>
    <r>
      <rPr>
        <color rgb="FF1155CC"/>
        <u/>
      </rPr>
      <t>Taiga #819</t>
    </r>
    <r>
      <rPr>
        <color rgb="FF000000"/>
      </rPr>
      <t xml:space="preserve"> =&gt; CLOSED
10. </t>
    </r>
    <r>
      <rPr>
        <color rgb="FF1155CC"/>
        <u/>
      </rPr>
      <t>Taiga #817</t>
    </r>
    <r>
      <rPr>
        <color rgb="FF000000"/>
      </rPr>
      <t xml:space="preserve"> =&gt; CLOSED
11. </t>
    </r>
    <r>
      <rPr>
        <color rgb="FF1155CC"/>
        <u/>
      </rPr>
      <t>Taiga #838</t>
    </r>
    <r>
      <rPr>
        <color rgb="FF000000"/>
      </rPr>
      <t xml:space="preserve"> =&gt; CLOSED
12. </t>
    </r>
    <r>
      <rPr>
        <color rgb="FF1155CC"/>
        <u/>
      </rPr>
      <t>Taiga #677</t>
    </r>
    <r>
      <rPr>
        <color rgb="FF000000"/>
      </rPr>
      <t xml:space="preserve"> =&gt; CLOSED
13. </t>
    </r>
    <r>
      <rPr>
        <color rgb="FF1155CC"/>
        <u/>
      </rPr>
      <t>Taiga #742</t>
    </r>
    <r>
      <rPr>
        <color rgb="FF000000"/>
      </rPr>
      <t xml:space="preserve"> =&gt; CLOSED
14. </t>
    </r>
    <r>
      <rPr>
        <color rgb="FF1155CC"/>
        <u/>
      </rPr>
      <t>Taiga #630</t>
    </r>
    <r>
      <rPr>
        <color rgb="FF000000"/>
      </rPr>
      <t xml:space="preserve"> =&gt; CLOSED
15. </t>
    </r>
    <r>
      <rPr>
        <color rgb="FF1155CC"/>
        <u/>
      </rPr>
      <t>Taiga #665</t>
    </r>
    <r>
      <rPr>
        <color rgb="FF000000"/>
      </rPr>
      <t xml:space="preserve"> =&gt; CLOSED
16. </t>
    </r>
    <r>
      <rPr>
        <color rgb="FF1155CC"/>
        <u/>
      </rPr>
      <t>Taiga #683</t>
    </r>
    <r>
      <rPr>
        <color rgb="FF000000"/>
      </rPr>
      <t xml:space="preserve"> =&gt; CLOSED
17. </t>
    </r>
    <r>
      <rPr>
        <color rgb="FF1155CC"/>
        <u/>
      </rPr>
      <t>Taiga #627</t>
    </r>
    <r>
      <rPr>
        <color rgb="FF000000"/>
      </rPr>
      <t xml:space="preserve"> =&gt; CLOSED
18. </t>
    </r>
    <r>
      <rPr>
        <color rgb="FF1155CC"/>
        <u/>
      </rPr>
      <t>Taiga #662</t>
    </r>
    <r>
      <rPr>
        <color rgb="FF000000"/>
      </rPr>
      <t xml:space="preserve"> =&gt; CLOSED
19. </t>
    </r>
    <r>
      <rPr>
        <color rgb="FF1155CC"/>
        <u/>
      </rPr>
      <t>Taiga #762</t>
    </r>
    <r>
      <rPr>
        <color rgb="FF000000"/>
      </rPr>
      <t xml:space="preserve"> =&gt; CLOSED
20. </t>
    </r>
    <r>
      <rPr>
        <color rgb="FF1155CC"/>
        <u/>
      </rPr>
      <t>Taiga #760</t>
    </r>
    <r>
      <rPr>
        <color rgb="FF000000"/>
      </rPr>
      <t xml:space="preserve"> =&gt; CLOSED
21. </t>
    </r>
    <r>
      <rPr>
        <color rgb="FF1155CC"/>
        <u/>
      </rPr>
      <t>Taiga #761</t>
    </r>
    <r>
      <rPr>
        <color rgb="FF000000"/>
      </rPr>
      <t xml:space="preserve"> =&gt; CLOSED
22. </t>
    </r>
    <r>
      <rPr>
        <color rgb="FF1155CC"/>
        <u/>
      </rPr>
      <t>Taiga #763</t>
    </r>
    <r>
      <rPr>
        <color rgb="FF000000"/>
      </rPr>
      <t xml:space="preserve"> =&gt; CLOSED
23. </t>
    </r>
    <r>
      <rPr>
        <color rgb="FF1155CC"/>
        <u/>
      </rPr>
      <t>Taiga #765</t>
    </r>
    <r>
      <rPr>
        <color rgb="FF000000"/>
      </rPr>
      <t xml:space="preserve"> =&gt; CLOSED
Update status Task in Taiga SG:
1. </t>
    </r>
    <r>
      <rPr>
        <color rgb="FF1155CC"/>
        <u/>
      </rPr>
      <t>Taiga #737</t>
    </r>
    <r>
      <rPr>
        <color rgb="FF000000"/>
      </rPr>
      <t xml:space="preserve"> =&gt; CLOSED
2. </t>
    </r>
    <r>
      <rPr>
        <color rgb="FF1155CC"/>
        <u/>
      </rPr>
      <t>Taiga #767</t>
    </r>
    <r>
      <rPr>
        <color rgb="FF000000"/>
      </rPr>
      <t xml:space="preserve"> =&gt; CLOSED
3. </t>
    </r>
    <r>
      <rPr>
        <color rgb="FF1155CC"/>
        <u/>
      </rPr>
      <t>Taiga #768</t>
    </r>
    <r>
      <rPr>
        <color rgb="FF000000"/>
      </rPr>
      <t xml:space="preserve"> =&gt; CLOSED
4. </t>
    </r>
    <r>
      <rPr>
        <color rgb="FF1155CC"/>
        <u/>
      </rPr>
      <t>Taiga #776</t>
    </r>
    <r>
      <rPr>
        <color rgb="FF000000"/>
      </rPr>
      <t xml:space="preserve"> =&gt; CLOSED
5. </t>
    </r>
    <r>
      <rPr>
        <color rgb="FF1155CC"/>
        <u/>
      </rPr>
      <t>Taiga #572</t>
    </r>
    <r>
      <rPr>
        <color rgb="FF000000"/>
      </rPr>
      <t xml:space="preserve"> =&gt; CLOSED
6. </t>
    </r>
    <r>
      <rPr>
        <color rgb="FF1155CC"/>
        <u/>
      </rPr>
      <t>Taiga #579</t>
    </r>
    <r>
      <rPr>
        <color rgb="FF000000"/>
      </rPr>
      <t xml:space="preserve"> =&gt; CLOSED
7. </t>
    </r>
    <r>
      <rPr>
        <color rgb="FF1155CC"/>
        <u/>
      </rPr>
      <t>Taiga #571</t>
    </r>
    <r>
      <rPr>
        <color rgb="FF000000"/>
      </rPr>
      <t xml:space="preserve"> =&gt; CLOSED
8. </t>
    </r>
    <r>
      <rPr>
        <color rgb="FF1155CC"/>
        <u/>
      </rPr>
      <t>Taiga #293</t>
    </r>
    <r>
      <rPr>
        <color rgb="FF000000"/>
      </rPr>
      <t xml:space="preserve"> =&gt; CLOSED
9. </t>
    </r>
    <r>
      <rPr>
        <color rgb="FF1155CC"/>
        <u/>
      </rPr>
      <t>Taiga #294</t>
    </r>
    <r>
      <rPr>
        <color rgb="FF000000"/>
      </rPr>
      <t xml:space="preserve"> =&gt; CLOSED
10.</t>
    </r>
    <r>
      <rPr>
        <color rgb="FF1155CC"/>
        <u/>
      </rPr>
      <t xml:space="preserve"> taiga #491</t>
    </r>
    <r>
      <rPr>
        <color rgb="FF000000"/>
      </rPr>
      <t xml:space="preserve"> =&gt; CLOSED
11. </t>
    </r>
    <r>
      <rPr>
        <color rgb="FF1155CC"/>
        <u/>
      </rPr>
      <t>Taiga #495</t>
    </r>
    <r>
      <rPr>
        <color rgb="FF000000"/>
      </rPr>
      <t xml:space="preserve"> =&gt; CLOSED
12. </t>
    </r>
    <r>
      <rPr>
        <color rgb="FF1155CC"/>
        <u/>
      </rPr>
      <t>Taiga #499</t>
    </r>
    <r>
      <rPr>
        <color rgb="FF000000"/>
      </rPr>
      <t xml:space="preserve"> =&gt; CLOSED
13. </t>
    </r>
    <r>
      <rPr>
        <color rgb="FF1155CC"/>
        <u/>
      </rPr>
      <t>Taiga #505</t>
    </r>
    <r>
      <rPr>
        <color rgb="FF000000"/>
      </rPr>
      <t xml:space="preserve"> =&gt; CLOSED
14. </t>
    </r>
    <r>
      <rPr>
        <color rgb="FF1155CC"/>
        <u/>
      </rPr>
      <t>Taiga #492</t>
    </r>
    <r>
      <rPr>
        <color rgb="FF000000"/>
      </rPr>
      <t xml:space="preserve"> =&gt; CLOSED
15. </t>
    </r>
    <r>
      <rPr>
        <color rgb="FF1155CC"/>
        <u/>
      </rPr>
      <t>Taiga #636</t>
    </r>
    <r>
      <rPr>
        <color rgb="FF000000"/>
      </rPr>
      <t xml:space="preserve"> =&gt; CLOSED
16. </t>
    </r>
    <r>
      <rPr>
        <color rgb="FF1155CC"/>
        <u/>
      </rPr>
      <t>Taiga #645</t>
    </r>
    <r>
      <rPr>
        <color rgb="FF000000"/>
      </rPr>
      <t xml:space="preserve"> =&gt; CLOSED
17. </t>
    </r>
    <r>
      <rPr>
        <color rgb="FF1155CC"/>
        <u/>
      </rPr>
      <t>Taiga #656</t>
    </r>
    <r>
      <rPr>
        <color rgb="FF000000"/>
      </rPr>
      <t xml:space="preserve"> =&gt; CLOSED
18. </t>
    </r>
    <r>
      <rPr>
        <color rgb="FF1155CC"/>
        <u/>
      </rPr>
      <t>Taiga #743</t>
    </r>
    <r>
      <rPr>
        <color rgb="FF000000"/>
      </rPr>
      <t xml:space="preserve"> =&gt; CLOSED
19. </t>
    </r>
    <r>
      <rPr>
        <color rgb="FF1155CC"/>
        <u/>
      </rPr>
      <t>Taiga #750</t>
    </r>
    <r>
      <rPr>
        <color rgb="FF000000"/>
      </rPr>
      <t xml:space="preserve"> =&gt; CLOSED
20. </t>
    </r>
    <r>
      <rPr>
        <color rgb="FF1155CC"/>
        <u/>
      </rPr>
      <t>Taiga #357</t>
    </r>
    <r>
      <rPr>
        <color rgb="FF000000"/>
      </rPr>
      <t xml:space="preserve"> =&gt; CLOSED
21. </t>
    </r>
    <r>
      <rPr>
        <color rgb="FF1155CC"/>
        <u/>
      </rPr>
      <t>Taiga #430</t>
    </r>
    <r>
      <rPr>
        <color rgb="FF000000"/>
      </rPr>
      <t xml:space="preserve"> =&gt; CLOSED
22. </t>
    </r>
    <r>
      <rPr>
        <color rgb="FF1155CC"/>
        <u/>
      </rPr>
      <t>Taiga #638</t>
    </r>
    <r>
      <rPr>
        <color rgb="FF000000"/>
      </rPr>
      <t xml:space="preserve"> =&gt; CLOSED
23. </t>
    </r>
    <r>
      <rPr>
        <color rgb="FF1155CC"/>
        <u/>
      </rPr>
      <t>Taiga #507</t>
    </r>
    <r>
      <rPr>
        <color rgb="FF000000"/>
      </rPr>
      <t xml:space="preserve"> =&gt; CLOSED
24. </t>
    </r>
    <r>
      <rPr>
        <color rgb="FF1155CC"/>
        <u/>
      </rPr>
      <t>Taiga #654</t>
    </r>
    <r>
      <rPr>
        <color rgb="FF000000"/>
      </rPr>
      <t xml:space="preserve"> =&gt; CLOSED
25. </t>
    </r>
    <r>
      <rPr>
        <color rgb="FF1155CC"/>
        <u/>
      </rPr>
      <t>Taiga #571</t>
    </r>
    <r>
      <rPr>
        <color rgb="FF000000"/>
      </rPr>
      <t xml:space="preserve"> =&gt; CLOSED
26. </t>
    </r>
    <r>
      <rPr>
        <color rgb="FF1155CC"/>
        <u/>
      </rPr>
      <t>Taiga #312</t>
    </r>
    <r>
      <rPr>
        <color rgb="FF000000"/>
      </rPr>
      <t xml:space="preserve"> =&gt; CLOSED
27. </t>
    </r>
    <r>
      <rPr>
        <color rgb="FF1155CC"/>
        <u/>
      </rPr>
      <t>Taiga #328</t>
    </r>
    <r>
      <rPr>
        <color rgb="FF000000"/>
      </rPr>
      <t xml:space="preserve"> =&gt; CLOSED
28. </t>
    </r>
    <r>
      <rPr>
        <color rgb="FF1155CC"/>
        <u/>
      </rPr>
      <t>Taiga #587</t>
    </r>
    <r>
      <rPr>
        <color rgb="FF000000"/>
      </rPr>
      <t xml:space="preserve"> =&gt; CLOSED
29. </t>
    </r>
    <r>
      <rPr>
        <color rgb="FF1155CC"/>
        <u/>
      </rPr>
      <t>Taiga #632</t>
    </r>
    <r>
      <rPr>
        <color rgb="FF000000"/>
      </rPr>
      <t xml:space="preserve"> =&gt;  Ready for QA Test (has issue)
30. </t>
    </r>
    <r>
      <rPr>
        <color rgb="FF1155CC"/>
        <u/>
      </rPr>
      <t>Taiga #332</t>
    </r>
    <r>
      <rPr>
        <color rgb="FF000000"/>
      </rPr>
      <t xml:space="preserve"> =&gt; CLOSED</t>
    </r>
  </si>
  <si>
    <r>
      <rPr>
        <rFont val="Arial"/>
        <b/>
        <color rgb="FF000000"/>
      </rPr>
      <t>Digital ID: latest deployment - 2 October</t>
    </r>
    <r>
      <rPr>
        <rFont val="Arial"/>
        <color rgb="FF000000"/>
      </rPr>
      <t xml:space="preserve">
Total card per 6 October 08:35:
</t>
    </r>
    <r>
      <rPr>
        <rFont val="Arial"/>
        <color rgb="FF000000"/>
        <u/>
      </rPr>
      <t>Taiga BD:</t>
    </r>
    <r>
      <rPr>
        <rFont val="Arial"/>
        <color rgb="FF000000"/>
      </rPr>
      <t xml:space="preserve">
Ready for SIT (BD): 4
Ready for SIT (BD to SG) : 17
</t>
    </r>
    <r>
      <rPr>
        <rFont val="Arial"/>
        <color rgb="FF000000"/>
        <u/>
      </rPr>
      <t xml:space="preserve">Taiga SG:
</t>
    </r>
    <r>
      <rPr>
        <rFont val="Arial"/>
        <color rgb="FF000000"/>
      </rPr>
      <t xml:space="preserve">Resolved: 6 Admin Portal, - User Portal, 12 Event Portal
Reopen: 1 Admin&amp;User Portal, - User Portal, - Event Portal, - Admin Portal
New: 2 Admin Portal, 1 User Portal, 4 Event Portal
</t>
    </r>
  </si>
  <si>
    <t xml:space="preserve">Digital ID:
1. Verify Issues in PROD
2. Verify Issues in SIT </t>
  </si>
  <si>
    <r>
      <rPr>
        <color rgb="FF000000"/>
      </rPr>
      <t xml:space="preserve">
Digital ID:
Verify Issues in PROD:
1. </t>
    </r>
    <r>
      <rPr>
        <color rgb="FF1155CC"/>
        <u/>
      </rPr>
      <t>Taiga #789</t>
    </r>
    <r>
      <rPr>
        <color rgb="FF000000"/>
      </rPr>
      <t xml:space="preserve"> =&gt; CLOSED
2. </t>
    </r>
    <r>
      <rPr>
        <color rgb="FF1155CC"/>
        <u/>
      </rPr>
      <t>Taiga #790</t>
    </r>
    <r>
      <rPr>
        <color rgb="FF000000"/>
      </rPr>
      <t xml:space="preserve"> =&gt; Reopen
3. </t>
    </r>
    <r>
      <rPr>
        <color rgb="FF1155CC"/>
        <u/>
      </rPr>
      <t>Taiga #791</t>
    </r>
    <r>
      <rPr>
        <color rgb="FF000000"/>
      </rPr>
      <t xml:space="preserve"> =&gt; CLOSED
4. </t>
    </r>
    <r>
      <rPr>
        <color rgb="FF1155CC"/>
        <u/>
      </rPr>
      <t>Taiga #792</t>
    </r>
    <r>
      <rPr>
        <color rgb="FF000000"/>
      </rPr>
      <t xml:space="preserve"> =&gt; CLOSED
5. </t>
    </r>
    <r>
      <rPr>
        <color rgb="FF1155CC"/>
        <u/>
      </rPr>
      <t>Taiga #794</t>
    </r>
    <r>
      <rPr>
        <color rgb="FF000000"/>
      </rPr>
      <t xml:space="preserve"> =&gt; CLOSED
6. </t>
    </r>
    <r>
      <rPr>
        <color rgb="FF1155CC"/>
        <u/>
      </rPr>
      <t>Taiga #795</t>
    </r>
    <r>
      <rPr>
        <color rgb="FF000000"/>
      </rPr>
      <t xml:space="preserve"> =&gt; CLOSED
7. </t>
    </r>
    <r>
      <rPr>
        <color rgb="FF1155CC"/>
        <u/>
      </rPr>
      <t>Taiga #796</t>
    </r>
    <r>
      <rPr>
        <color rgb="FF000000"/>
      </rPr>
      <t xml:space="preserve"> =&gt; CLOSED
8. </t>
    </r>
    <r>
      <rPr>
        <color rgb="FF1155CC"/>
        <u/>
      </rPr>
      <t>Taiga #798</t>
    </r>
    <r>
      <rPr>
        <color rgb="FF000000"/>
      </rPr>
      <t xml:space="preserve"> =&gt; CLOSED
9. </t>
    </r>
    <r>
      <rPr>
        <color rgb="FF1155CC"/>
        <u/>
      </rPr>
      <t>Taiga #809</t>
    </r>
    <r>
      <rPr>
        <color rgb="FF000000"/>
      </rPr>
      <t xml:space="preserve"> =&gt; CLOSED
10. </t>
    </r>
    <r>
      <rPr>
        <color rgb="FF1155CC"/>
        <u/>
      </rPr>
      <t>Taiga #756</t>
    </r>
    <r>
      <rPr>
        <color rgb="FF000000"/>
      </rPr>
      <t xml:space="preserve"> =&gt; CLOSED
11. </t>
    </r>
    <r>
      <rPr>
        <color rgb="FF1155CC"/>
        <u/>
      </rPr>
      <t>Taiga #764</t>
    </r>
    <r>
      <rPr>
        <color rgb="FF000000"/>
      </rPr>
      <t xml:space="preserve"> =&gt; CLOSED
12. Taiga #
Verify Issues in SIT:
1. </t>
    </r>
    <r>
      <rPr>
        <color rgb="FF1155CC"/>
        <u/>
      </rPr>
      <t>Taiga #861</t>
    </r>
    <r>
      <rPr>
        <color rgb="FF000000"/>
      </rPr>
      <t xml:space="preserve"> =&gt; VERIFIED
2. </t>
    </r>
    <r>
      <rPr>
        <color rgb="FF1155CC"/>
        <u/>
      </rPr>
      <t>Taiga #874</t>
    </r>
    <r>
      <rPr>
        <color rgb="FF000000"/>
      </rPr>
      <t xml:space="preserve"> =&gt; VERIFIED
3. </t>
    </r>
    <r>
      <rPr>
        <color rgb="FF1155CC"/>
        <u/>
      </rPr>
      <t>Taiga #862</t>
    </r>
    <r>
      <rPr>
        <color rgb="FF000000"/>
      </rPr>
      <t xml:space="preserve"> =&gt; VERIFIED
4. </t>
    </r>
    <r>
      <rPr>
        <color rgb="FF1155CC"/>
        <u/>
      </rPr>
      <t>Taiga #875</t>
    </r>
    <r>
      <rPr>
        <color rgb="FF000000"/>
      </rPr>
      <t xml:space="preserve"> =&gt; VERIFIED
5. </t>
    </r>
    <r>
      <rPr>
        <color rgb="FF1155CC"/>
        <u/>
      </rPr>
      <t>Taiga #876</t>
    </r>
    <r>
      <rPr>
        <color rgb="FF000000"/>
      </rPr>
      <t xml:space="preserve"> =&gt; VERIFIED
6. </t>
    </r>
    <r>
      <rPr>
        <color rgb="FF1155CC"/>
        <u/>
      </rPr>
      <t>Taiga #826</t>
    </r>
    <r>
      <rPr>
        <color rgb="FF000000"/>
      </rPr>
      <t xml:space="preserve"> =&gt; VERIFIED
7. </t>
    </r>
    <r>
      <rPr>
        <color rgb="FF1155CC"/>
        <u/>
      </rPr>
      <t>Taiga #823</t>
    </r>
    <r>
      <rPr>
        <color rgb="FF000000"/>
      </rPr>
      <t xml:space="preserve"> =&gt; VERIFIED
8. </t>
    </r>
    <r>
      <rPr>
        <color rgb="FF1155CC"/>
        <u/>
      </rPr>
      <t>Taiga #824</t>
    </r>
    <r>
      <rPr>
        <color rgb="FF000000"/>
      </rPr>
      <t xml:space="preserve"> =&gt; VERIFIED
9. </t>
    </r>
    <r>
      <rPr>
        <color rgb="FF1155CC"/>
        <u/>
      </rPr>
      <t>Taiga #825</t>
    </r>
    <r>
      <rPr>
        <color rgb="FF000000"/>
      </rPr>
      <t xml:space="preserve"> =&gt; Reopen
</t>
    </r>
  </si>
  <si>
    <r>
      <rPr>
        <rFont val="Arial"/>
        <b/>
        <color rgb="FF000000"/>
      </rPr>
      <t>Digital ID: latest deployment - 6 October</t>
    </r>
    <r>
      <rPr>
        <rFont val="Arial"/>
        <color rgb="FF000000"/>
      </rPr>
      <t xml:space="preserve">
Total card per 7 October 08:42:
</t>
    </r>
    <r>
      <rPr>
        <rFont val="Arial"/>
        <color rgb="FF000000"/>
        <u/>
      </rPr>
      <t>Taiga BD:</t>
    </r>
    <r>
      <rPr>
        <rFont val="Arial"/>
        <color rgb="FF000000"/>
      </rPr>
      <t xml:space="preserve">
Ready for SIT (BD): 5
Ready for SIT (BD to SG) : 22
</t>
    </r>
    <r>
      <rPr>
        <rFont val="Arial"/>
        <color rgb="FF000000"/>
        <u/>
      </rPr>
      <t xml:space="preserve">Taiga SG:
</t>
    </r>
    <r>
      <rPr>
        <rFont val="Arial"/>
        <color rgb="FF000000"/>
      </rPr>
      <t xml:space="preserve">Resolved: 6 Admin Portal, 1 User Portal, 12 Event Portal
Reopen: 1 Admin&amp;User Portal, - User Portal, - Event Portal, - Admin Portal
New: 2 Admin Portal, 1 User Portal, 6 Event Portal
</t>
    </r>
  </si>
  <si>
    <r>
      <rPr>
        <color rgb="FF000000"/>
      </rPr>
      <t xml:space="preserve">
Digital ID:
Verify Issues in PROD:
1. </t>
    </r>
    <r>
      <rPr>
        <color rgb="FF1155CC"/>
        <u/>
      </rPr>
      <t>Taiga #849</t>
    </r>
    <r>
      <rPr>
        <color rgb="FF000000"/>
      </rPr>
      <t xml:space="preserve"> =&gt; CLOSED
2. </t>
    </r>
    <r>
      <rPr>
        <color rgb="FF1155CC"/>
        <u/>
      </rPr>
      <t>Taiga #876</t>
    </r>
    <r>
      <rPr>
        <color rgb="FF000000"/>
      </rPr>
      <t xml:space="preserve"> =&gt; CLOSED
3. </t>
    </r>
    <r>
      <rPr>
        <color rgb="FF1155CC"/>
        <u/>
      </rPr>
      <t>Taiga #903</t>
    </r>
    <r>
      <rPr>
        <color rgb="FF000000"/>
      </rPr>
      <t xml:space="preserve"> =&gt; CLOSED
4. </t>
    </r>
    <r>
      <rPr>
        <color rgb="FF1155CC"/>
        <u/>
      </rPr>
      <t xml:space="preserve">Taiga #905 </t>
    </r>
    <r>
      <rPr>
        <color rgb="FF000000"/>
      </rPr>
      <t xml:space="preserve">=&gt; CLOSED
5. </t>
    </r>
    <r>
      <rPr>
        <color rgb="FF1155CC"/>
        <u/>
      </rPr>
      <t>Taiga #692</t>
    </r>
    <r>
      <rPr>
        <color rgb="FF000000"/>
      </rPr>
      <t xml:space="preserve"> =&gt; In-Progress
6. </t>
    </r>
    <r>
      <rPr>
        <color rgb="FF1155CC"/>
        <u/>
      </rPr>
      <t>Taiga #890</t>
    </r>
    <r>
      <rPr>
        <color rgb="FF000000"/>
      </rPr>
      <t xml:space="preserve"> =&gt; CLOSED
7. </t>
    </r>
    <r>
      <rPr>
        <color rgb="FF1155CC"/>
        <u/>
      </rPr>
      <t>Taiga #874</t>
    </r>
    <r>
      <rPr>
        <color rgb="FF000000"/>
      </rPr>
      <t xml:space="preserve"> =&gt; CLOSED
8. </t>
    </r>
    <r>
      <rPr>
        <color rgb="FF1155CC"/>
        <u/>
      </rPr>
      <t>Taiga #855</t>
    </r>
    <r>
      <rPr>
        <color rgb="FF000000"/>
      </rPr>
      <t xml:space="preserve"> =&gt; CLOSED
9. </t>
    </r>
    <r>
      <rPr>
        <color rgb="FF1155CC"/>
        <u/>
      </rPr>
      <t>Taiga #826</t>
    </r>
    <r>
      <rPr>
        <color rgb="FF000000"/>
      </rPr>
      <t xml:space="preserve"> =&gt; CLOSED
10. </t>
    </r>
    <r>
      <rPr>
        <color rgb="FF1155CC"/>
        <u/>
      </rPr>
      <t>Taiga #856</t>
    </r>
    <r>
      <rPr>
        <color rgb="FF000000"/>
      </rPr>
      <t xml:space="preserve"> =&gt; CLOSED
11. </t>
    </r>
    <r>
      <rPr>
        <color rgb="FF1155CC"/>
        <u/>
      </rPr>
      <t>Taiga #824</t>
    </r>
    <r>
      <rPr>
        <color rgb="FF000000"/>
      </rPr>
      <t xml:space="preserve"> =&gt; CLOSED
12. </t>
    </r>
    <r>
      <rPr>
        <color rgb="FF1155CC"/>
        <u/>
      </rPr>
      <t>Taiga #823</t>
    </r>
    <r>
      <rPr>
        <color rgb="FF000000"/>
      </rPr>
      <t xml:space="preserve"> =&gt; CLOSED
13. </t>
    </r>
    <r>
      <rPr>
        <color rgb="FF1155CC"/>
        <u/>
      </rPr>
      <t>Taiga #582</t>
    </r>
    <r>
      <rPr>
        <color rgb="FF000000"/>
      </rPr>
      <t xml:space="preserve"> =&gt; CLOSED
Verify Issues in SIT:
1. </t>
    </r>
    <r>
      <rPr>
        <color rgb="FF1155CC"/>
        <u/>
      </rPr>
      <t>Taiga #856</t>
    </r>
    <r>
      <rPr>
        <color rgb="FF000000"/>
      </rPr>
      <t xml:space="preserve"> =&gt; VERIFIED
2. </t>
    </r>
    <r>
      <rPr>
        <color rgb="FF1155CC"/>
        <u/>
      </rPr>
      <t>Taiga #855</t>
    </r>
    <r>
      <rPr>
        <color rgb="FF000000"/>
      </rPr>
      <t xml:space="preserve"> =&gt; VERIFIED
3. </t>
    </r>
    <r>
      <rPr>
        <color rgb="FF1155CC"/>
        <u/>
      </rPr>
      <t>Taiga #797</t>
    </r>
    <r>
      <rPr>
        <color rgb="FF000000"/>
      </rPr>
      <t xml:space="preserve"> =&gt; Reopen
4. </t>
    </r>
    <r>
      <rPr>
        <color rgb="FF1155CC"/>
        <u/>
      </rPr>
      <t>Taiga #903</t>
    </r>
    <r>
      <rPr>
        <color rgb="FF000000"/>
      </rPr>
      <t xml:space="preserve"> =&gt; VERIFIED
5. </t>
    </r>
    <r>
      <rPr>
        <color rgb="FF1155CC"/>
        <u/>
      </rPr>
      <t>Taiga #890</t>
    </r>
    <r>
      <rPr>
        <color rgb="FF000000"/>
      </rPr>
      <t xml:space="preserve"> =&gt; VERIFIED
6. </t>
    </r>
    <r>
      <rPr>
        <color rgb="FF1155CC"/>
        <u/>
      </rPr>
      <t>Taiga #905</t>
    </r>
    <r>
      <rPr>
        <color rgb="FF000000"/>
      </rPr>
      <t xml:space="preserve"> =&gt; VERIFIED
7. </t>
    </r>
    <r>
      <rPr>
        <color rgb="FF1155CC"/>
        <u/>
      </rPr>
      <t>Taiga #692</t>
    </r>
    <r>
      <rPr>
        <color rgb="FF000000"/>
      </rPr>
      <t xml:space="preserve"> =&gt; VERIFIED
8. </t>
    </r>
    <r>
      <rPr>
        <color rgb="FF1155CC"/>
        <u/>
      </rPr>
      <t>Taiga #895</t>
    </r>
    <r>
      <rPr>
        <color rgb="FF000000"/>
      </rPr>
      <t xml:space="preserve"> =&gt; VERIFIED
9. </t>
    </r>
    <r>
      <rPr>
        <color rgb="FF1155CC"/>
        <u/>
      </rPr>
      <t>Taiga #861</t>
    </r>
    <r>
      <rPr>
        <color rgb="FF000000"/>
      </rPr>
      <t xml:space="preserve"> =&gt; Reopen
10. </t>
    </r>
    <r>
      <rPr>
        <color rgb="FF1155CC"/>
        <u/>
      </rPr>
      <t>Taiga #626</t>
    </r>
    <r>
      <rPr>
        <color rgb="FF000000"/>
      </rPr>
      <t xml:space="preserve"> =&gt; CLOSED
11. </t>
    </r>
    <r>
      <rPr>
        <color rgb="FF1155CC"/>
        <u/>
      </rPr>
      <t>Taiga #700</t>
    </r>
    <r>
      <rPr>
        <color rgb="FF000000"/>
      </rPr>
      <t xml:space="preserve"> =&gt; CLOSED
12. </t>
    </r>
    <r>
      <rPr>
        <color rgb="FF1155CC"/>
        <u/>
      </rPr>
      <t>Taiga #830</t>
    </r>
    <r>
      <rPr>
        <color rgb="FF000000"/>
      </rPr>
      <t xml:space="preserve"> =&gt; CLOSED
13. </t>
    </r>
    <r>
      <rPr>
        <color rgb="FF1155CC"/>
        <u/>
      </rPr>
      <t>Taiga #862</t>
    </r>
    <r>
      <rPr>
        <color rgb="FF000000"/>
      </rPr>
      <t xml:space="preserve"> =&gt; CLOSED
14. </t>
    </r>
    <r>
      <rPr>
        <color rgb="FF1155CC"/>
        <u/>
      </rPr>
      <t>Taiga #875</t>
    </r>
    <r>
      <rPr>
        <color rgb="FF000000"/>
      </rPr>
      <t xml:space="preserve"> =&gt; CLOSED
15. </t>
    </r>
    <r>
      <rPr>
        <color rgb="FF1155CC"/>
        <u/>
      </rPr>
      <t>Taiga #849</t>
    </r>
    <r>
      <rPr>
        <color rgb="FF000000"/>
      </rPr>
      <t xml:space="preserve"> =&gt; VERIFIED</t>
    </r>
  </si>
  <si>
    <r>
      <rPr>
        <rFont val="Arial"/>
        <b/>
        <color rgb="FF000000"/>
      </rPr>
      <t>Digital ID: latest deployment - 6 October</t>
    </r>
    <r>
      <rPr>
        <rFont val="Arial"/>
        <color rgb="FF000000"/>
      </rPr>
      <t xml:space="preserve">
Total card per 8 October 10:27:
</t>
    </r>
    <r>
      <rPr>
        <rFont val="Arial"/>
        <color rgb="FF000000"/>
        <u/>
      </rPr>
      <t>Taiga BD:</t>
    </r>
    <r>
      <rPr>
        <rFont val="Arial"/>
        <color rgb="FF000000"/>
      </rPr>
      <t xml:space="preserve">
Ready for SIT (BD): 6
Ready for SIT (BD to SG) : 12
</t>
    </r>
    <r>
      <rPr>
        <rFont val="Arial"/>
        <color rgb="FF000000"/>
        <u/>
      </rPr>
      <t xml:space="preserve">Taiga SG:
</t>
    </r>
    <r>
      <rPr>
        <rFont val="Arial"/>
        <color rgb="FF000000"/>
      </rPr>
      <t xml:space="preserve">Resolved: 2 Admin Portal, 3 User Portal, 9 Event Portal
Reopen: 1 Admin&amp;User Portal, - User Portal, 2 Event Portal, - Admin Portal
New: 5 Admin Portal, 1 User Portal, 6 Event Portal
</t>
    </r>
  </si>
  <si>
    <r>
      <rPr>
        <color rgb="FF000000"/>
      </rPr>
      <t xml:space="preserve">
Digital ID:
Verify Issues in PROD:
1. </t>
    </r>
    <r>
      <rPr>
        <color rgb="FF1155CC"/>
        <u/>
      </rPr>
      <t>Taiga #895</t>
    </r>
    <r>
      <rPr>
        <color rgb="FF000000"/>
      </rPr>
      <t xml:space="preserve"> =&gt; CLOSED
2. </t>
    </r>
    <r>
      <rPr>
        <color rgb="FF1155CC"/>
        <u/>
      </rPr>
      <t>Taiga #692</t>
    </r>
    <r>
      <rPr>
        <color rgb="FF000000"/>
      </rPr>
      <t xml:space="preserve"> =&gt; CLOSED
3. </t>
    </r>
    <r>
      <rPr>
        <color rgb="FF1155CC"/>
        <u/>
      </rPr>
      <t>Taiga #481</t>
    </r>
    <r>
      <rPr>
        <color rgb="FF000000"/>
      </rPr>
      <t xml:space="preserve"> =&gt; CLOSED
4. </t>
    </r>
    <r>
      <rPr>
        <color rgb="FF1155CC"/>
        <u/>
      </rPr>
      <t>Taiga #686</t>
    </r>
    <r>
      <rPr>
        <color rgb="FF000000"/>
      </rPr>
      <t xml:space="preserve"> =&gt; CLOSED
5. </t>
    </r>
    <r>
      <rPr>
        <color rgb="FF1155CC"/>
        <u/>
      </rPr>
      <t>Taiga #387</t>
    </r>
    <r>
      <rPr>
        <color rgb="FF000000"/>
      </rPr>
      <t xml:space="preserve"> =&gt; CLOSED
6. </t>
    </r>
    <r>
      <rPr>
        <color rgb="FF1155CC"/>
        <u/>
      </rPr>
      <t>Taiga #590</t>
    </r>
    <r>
      <rPr>
        <color rgb="FF000000"/>
      </rPr>
      <t xml:space="preserve"> =&gt; CLOSED
7. </t>
    </r>
    <r>
      <rPr>
        <color rgb="FF1155CC"/>
        <u/>
      </rPr>
      <t>Taiga #717</t>
    </r>
    <r>
      <rPr>
        <color rgb="FF000000"/>
      </rPr>
      <t xml:space="preserve"> =&gt; CLOSED
8. </t>
    </r>
    <r>
      <rPr>
        <color rgb="FF1155CC"/>
        <u/>
      </rPr>
      <t>Taiga #622</t>
    </r>
    <r>
      <rPr>
        <color rgb="FF000000"/>
      </rPr>
      <t xml:space="preserve"> =&gt; CLOSED
9. </t>
    </r>
    <r>
      <rPr>
        <color rgb="FF1155CC"/>
        <u/>
      </rPr>
      <t>Taiga #583</t>
    </r>
    <r>
      <rPr>
        <color rgb="FF000000"/>
      </rPr>
      <t xml:space="preserve"> =&gt; CLOSED
10. </t>
    </r>
    <r>
      <rPr>
        <color rgb="FF1155CC"/>
        <u/>
      </rPr>
      <t>Taiga #569</t>
    </r>
    <r>
      <rPr>
        <color rgb="FF000000"/>
      </rPr>
      <t xml:space="preserve"> =&gt; CLOSED
11. </t>
    </r>
    <r>
      <rPr>
        <color rgb="FF1155CC"/>
        <u/>
      </rPr>
      <t>Taiga #537</t>
    </r>
    <r>
      <rPr>
        <color rgb="FF000000"/>
      </rPr>
      <t xml:space="preserve"> =&gt; CLOSED
12. </t>
    </r>
    <r>
      <rPr>
        <color rgb="FF1155CC"/>
        <u/>
      </rPr>
      <t>Taiga #394</t>
    </r>
    <r>
      <rPr>
        <color rgb="FF000000"/>
      </rPr>
      <t xml:space="preserve"> =&gt; CLOSED
13. </t>
    </r>
    <r>
      <rPr>
        <color rgb="FF1155CC"/>
        <u/>
      </rPr>
      <t>Taiga #393</t>
    </r>
    <r>
      <rPr>
        <color rgb="FF000000"/>
      </rPr>
      <t xml:space="preserve"> =&gt; CLOSED
14. </t>
    </r>
    <r>
      <rPr>
        <color rgb="FF1155CC"/>
        <u/>
      </rPr>
      <t>Taiga #391</t>
    </r>
    <r>
      <rPr>
        <color rgb="FF000000"/>
      </rPr>
      <t xml:space="preserve"> =&gt; CLOSED
15. </t>
    </r>
    <r>
      <rPr>
        <color rgb="FF1155CC"/>
        <u/>
      </rPr>
      <t>Taiga #376</t>
    </r>
    <r>
      <rPr>
        <color rgb="FF000000"/>
      </rPr>
      <t xml:space="preserve"> =&gt; CLOSED
16. </t>
    </r>
    <r>
      <rPr>
        <color rgb="FF1155CC"/>
        <u/>
      </rPr>
      <t>Taiga #377</t>
    </r>
    <r>
      <rPr>
        <color rgb="FF000000"/>
      </rPr>
      <t xml:space="preserve"> =&gt; CLOSED
17. </t>
    </r>
    <r>
      <rPr>
        <color rgb="FF1155CC"/>
        <u/>
      </rPr>
      <t>Taiga #378</t>
    </r>
    <r>
      <rPr>
        <color rgb="FF000000"/>
      </rPr>
      <t xml:space="preserve"> =&gt; CLOSED
18. </t>
    </r>
    <r>
      <rPr>
        <color rgb="FF1155CC"/>
        <u/>
      </rPr>
      <t>Taiga #379</t>
    </r>
    <r>
      <rPr>
        <color rgb="FF000000"/>
      </rPr>
      <t xml:space="preserve"> =&gt; CLOSED
19. </t>
    </r>
    <r>
      <rPr>
        <color rgb="FF1155CC"/>
        <u/>
      </rPr>
      <t>Taiga #380</t>
    </r>
    <r>
      <rPr>
        <color rgb="FF000000"/>
      </rPr>
      <t xml:space="preserve"> =&gt; CLOSED
20. </t>
    </r>
    <r>
      <rPr>
        <color rgb="FF1155CC"/>
        <u/>
      </rPr>
      <t>Taiga #389</t>
    </r>
    <r>
      <rPr>
        <color rgb="FF000000"/>
      </rPr>
      <t xml:space="preserve"> =&gt; CLOSED
21. </t>
    </r>
    <r>
      <rPr>
        <color rgb="FF1155CC"/>
        <u/>
      </rPr>
      <t>Taiga #388</t>
    </r>
    <r>
      <rPr>
        <color rgb="FF000000"/>
      </rPr>
      <t xml:space="preserve"> =&gt; CLOSED
22. </t>
    </r>
    <r>
      <rPr>
        <color rgb="FF1155CC"/>
        <u/>
      </rPr>
      <t>Taiga #374</t>
    </r>
    <r>
      <rPr>
        <color rgb="FF000000"/>
      </rPr>
      <t xml:space="preserve"> =&gt; CLOSED
23. </t>
    </r>
    <r>
      <rPr>
        <color rgb="FF1155CC"/>
        <u/>
      </rPr>
      <t>Taiga #390</t>
    </r>
    <r>
      <rPr>
        <color rgb="FF000000"/>
      </rPr>
      <t xml:space="preserve"> =&gt; CLOSED
24. </t>
    </r>
    <r>
      <rPr>
        <color rgb="FF1155CC"/>
        <u/>
      </rPr>
      <t>Taiga #373</t>
    </r>
    <r>
      <rPr>
        <color rgb="FF000000"/>
      </rPr>
      <t xml:space="preserve"> =&gt; CLOSED
Verify Issues in SIT:
1. </t>
    </r>
    <r>
      <rPr>
        <color rgb="FF1155CC"/>
        <u/>
      </rPr>
      <t>Taiga #799</t>
    </r>
    <r>
      <rPr>
        <color rgb="FF000000"/>
      </rPr>
      <t xml:space="preserve"> =&gt; VERIFIED
2. </t>
    </r>
    <r>
      <rPr>
        <color rgb="FF1155CC"/>
        <u/>
      </rPr>
      <t>Taiga #822</t>
    </r>
    <r>
      <rPr>
        <color rgb="FF000000"/>
      </rPr>
      <t xml:space="preserve"> =&gt; Reopen
3. </t>
    </r>
    <r>
      <rPr>
        <color rgb="FF1155CC"/>
        <u/>
      </rPr>
      <t>Taiga #821</t>
    </r>
    <r>
      <rPr>
        <color rgb="FF000000"/>
      </rPr>
      <t xml:space="preserve"> =&gt; Reopen
</t>
    </r>
  </si>
  <si>
    <r>
      <rPr>
        <rFont val="Arial"/>
        <b/>
        <color rgb="FF000000"/>
      </rPr>
      <t>Digital ID: latest deployment - 8 October</t>
    </r>
    <r>
      <rPr>
        <rFont val="Arial"/>
        <color rgb="FF000000"/>
      </rPr>
      <t xml:space="preserve">
Total card per 9 October 08:50:
</t>
    </r>
    <r>
      <rPr>
        <rFont val="Arial"/>
        <color rgb="FF000000"/>
        <u/>
      </rPr>
      <t>Taiga BD:</t>
    </r>
    <r>
      <rPr>
        <rFont val="Arial"/>
        <color rgb="FF000000"/>
      </rPr>
      <t xml:space="preserve">
Ready for SIT (BD): 15
Ready for SIT (BD to SG) : 12
</t>
    </r>
    <r>
      <rPr>
        <rFont val="Arial"/>
        <color rgb="FF000000"/>
        <u/>
      </rPr>
      <t xml:space="preserve">Taiga SG:
</t>
    </r>
    <r>
      <rPr>
        <rFont val="Arial"/>
        <color rgb="FF000000"/>
      </rPr>
      <t xml:space="preserve">Resolved: 3 Admin Portal, - User Portal, 13 Event Portal
Reopen: 1 Admin&amp;User Portal, - User Portal, 1 Event Portal, 1 Admin Portal
New: 3 Admin Portal, 1 User Portal, 2 Event Portal
</t>
    </r>
  </si>
  <si>
    <t xml:space="preserve">Digital ID:
1. Trying KAIZEN Digital ID SIT mobile app
2. Verify Issues in SIT
3. Test Event Portal SIT 
</t>
  </si>
  <si>
    <r>
      <rPr>
        <color rgb="FF000000"/>
      </rPr>
      <t xml:space="preserve">
Digital ID:
Verify Issues in SIT:
1. </t>
    </r>
    <r>
      <rPr>
        <color rgb="FF1155CC"/>
        <u/>
      </rPr>
      <t>Taiga #820</t>
    </r>
    <r>
      <rPr>
        <color rgb="FF000000"/>
      </rPr>
      <t xml:space="preserve"> =&gt; VERIFIED
2. </t>
    </r>
    <r>
      <rPr>
        <color rgb="FF1155CC"/>
        <u/>
      </rPr>
      <t>Taiga #870</t>
    </r>
    <r>
      <rPr>
        <color rgb="FF000000"/>
      </rPr>
      <t xml:space="preserve"> =&gt; VERIFIED
3. </t>
    </r>
    <r>
      <rPr>
        <color rgb="FF1155CC"/>
        <u/>
      </rPr>
      <t>Taiga #869</t>
    </r>
    <r>
      <rPr>
        <color rgb="FF000000"/>
      </rPr>
      <t xml:space="preserve"> =&gt; Reopen
4. </t>
    </r>
    <r>
      <rPr>
        <color rgb="FF1155CC"/>
        <u/>
      </rPr>
      <t>Taiga #923</t>
    </r>
    <r>
      <rPr>
        <color rgb="FF000000"/>
      </rPr>
      <t xml:space="preserve"> =&gt; VERIFIED
5. </t>
    </r>
    <r>
      <rPr>
        <color rgb="FF1155CC"/>
        <u/>
      </rPr>
      <t>Taiga #910</t>
    </r>
    <r>
      <rPr>
        <color rgb="FF000000"/>
      </rPr>
      <t xml:space="preserve"> =&gt; VERIFIED
6. </t>
    </r>
    <r>
      <rPr>
        <color rgb="FF1155CC"/>
        <u/>
      </rPr>
      <t>Taiga #889</t>
    </r>
    <r>
      <rPr>
        <color rgb="FF000000"/>
      </rPr>
      <t xml:space="preserve"> =&gt; VERIFIED
7. </t>
    </r>
    <r>
      <rPr>
        <color rgb="FF1155CC"/>
        <u/>
      </rPr>
      <t>Taiga #888</t>
    </r>
    <r>
      <rPr>
        <color rgb="FF000000"/>
      </rPr>
      <t xml:space="preserve"> =&gt; VERIFIED
8. </t>
    </r>
    <r>
      <rPr>
        <color rgb="FF1155CC"/>
        <u/>
      </rPr>
      <t>Taiga #825</t>
    </r>
    <r>
      <rPr>
        <color rgb="FF000000"/>
      </rPr>
      <t xml:space="preserve"> =&gt; VERIFIED
9. </t>
    </r>
    <r>
      <rPr>
        <color rgb="FF1155CC"/>
        <u/>
      </rPr>
      <t>Taiga #797</t>
    </r>
    <r>
      <rPr>
        <color rgb="FF000000"/>
      </rPr>
      <t xml:space="preserve"> =&gt; VERIFIED
10. </t>
    </r>
    <r>
      <rPr>
        <color rgb="FF1155CC"/>
        <u/>
      </rPr>
      <t>Taiga #813</t>
    </r>
    <r>
      <rPr>
        <color rgb="FF000000"/>
      </rPr>
      <t xml:space="preserve"> =&gt; VERIFIED
11. </t>
    </r>
    <r>
      <rPr>
        <color rgb="FF1155CC"/>
        <u/>
      </rPr>
      <t>Taiga #395</t>
    </r>
    <r>
      <rPr>
        <color rgb="FF000000"/>
      </rPr>
      <t xml:space="preserve"> =&gt; Reopen</t>
    </r>
  </si>
  <si>
    <r>
      <rPr>
        <rFont val="Arial"/>
        <b/>
        <color rgb="FF000000"/>
      </rPr>
      <t>Digital ID: latest deployment - 8 October</t>
    </r>
    <r>
      <rPr>
        <rFont val="Arial"/>
        <color rgb="FF000000"/>
      </rPr>
      <t xml:space="preserve">
Total card per 10 October 08:50:
</t>
    </r>
    <r>
      <rPr>
        <rFont val="Arial"/>
        <color rgb="FF000000"/>
        <u/>
      </rPr>
      <t>Taiga BD:</t>
    </r>
    <r>
      <rPr>
        <rFont val="Arial"/>
        <color rgb="FF000000"/>
      </rPr>
      <t xml:space="preserve">
Ready for SIT (BD): 10
Ready for SIT (BD to SG) : 14
</t>
    </r>
    <r>
      <rPr>
        <rFont val="Arial"/>
        <color rgb="FF000000"/>
        <u/>
      </rPr>
      <t xml:space="preserve">Taiga SG:
</t>
    </r>
    <r>
      <rPr>
        <rFont val="Arial"/>
        <color rgb="FF000000"/>
      </rPr>
      <t>Resolved: 3 Admin Portal, 2 User Portal, 10 Event Portal
Reopen: 1 Admin&amp;User Portal, - User Portal, 3 Event Portal, 1 Admin Portal
New: 3 Admin Portal, 1 User Portal, 2 Event Portal
Test Event Portal: Add Attendee and Check-In Check-out by Scan QR=&gt; not tested yet, because encounter indefinite loading</t>
    </r>
  </si>
  <si>
    <t xml:space="preserve">Digital ID:
1. Testing Taiga BD with status "Ready for SIT (BD)"
2. Verify Issues in SIT
</t>
  </si>
  <si>
    <r>
      <rPr>
        <color rgb="FF000000"/>
      </rPr>
      <t xml:space="preserve">
Digital ID:
Testing Taiga BD with status "Ready for SIT (BD)":
1. </t>
    </r>
    <r>
      <rPr>
        <color rgb="FF1155CC"/>
        <u/>
      </rPr>
      <t>Taiga #673</t>
    </r>
    <r>
      <rPr>
        <color rgb="FF000000"/>
      </rPr>
      <t xml:space="preserve"> =&gt; DONE
2. </t>
    </r>
    <r>
      <rPr>
        <color rgb="FF1155CC"/>
        <u/>
      </rPr>
      <t>Taiga #674</t>
    </r>
    <r>
      <rPr>
        <color rgb="FF000000"/>
      </rPr>
      <t xml:space="preserve"> =&gt; DONE
3. </t>
    </r>
    <r>
      <rPr>
        <color rgb="FF1155CC"/>
        <u/>
      </rPr>
      <t>Taiga #678</t>
    </r>
    <r>
      <rPr>
        <color rgb="FF000000"/>
      </rPr>
      <t xml:space="preserve"> =&gt; DONE
Verify Issues in SIT:
1. </t>
    </r>
    <r>
      <rPr>
        <color rgb="FF1155CC"/>
        <u/>
      </rPr>
      <t>Taiga #899</t>
    </r>
    <r>
      <rPr>
        <color rgb="FF000000"/>
      </rPr>
      <t xml:space="preserve"> =&gt; VERIFIED
2. </t>
    </r>
    <r>
      <rPr>
        <color rgb="FF1155CC"/>
        <u/>
      </rPr>
      <t>Taiga #897</t>
    </r>
    <r>
      <rPr>
        <color rgb="FF000000"/>
      </rPr>
      <t xml:space="preserve"> =&gt; VERIFIED
3. </t>
    </r>
    <r>
      <rPr>
        <color rgb="FF1155CC"/>
        <u/>
      </rPr>
      <t>Taiga #898</t>
    </r>
    <r>
      <rPr>
        <color rgb="FF000000"/>
      </rPr>
      <t xml:space="preserve"> =&gt; VERIFIED
4. </t>
    </r>
    <r>
      <rPr>
        <color rgb="FF1155CC"/>
        <u/>
      </rPr>
      <t>Taiga #790</t>
    </r>
    <r>
      <rPr>
        <color rgb="FF000000"/>
      </rPr>
      <t xml:space="preserve"> =&gt; Reopen
5. </t>
    </r>
    <r>
      <rPr>
        <color rgb="FF1155CC"/>
        <u/>
      </rPr>
      <t>Taiga #869</t>
    </r>
    <r>
      <rPr>
        <color rgb="FF000000"/>
      </rPr>
      <t xml:space="preserve"> =&gt; VERIFIED
6. </t>
    </r>
    <r>
      <rPr>
        <color rgb="FF1155CC"/>
        <u/>
      </rPr>
      <t>Taiga #933</t>
    </r>
    <r>
      <rPr>
        <color rgb="FF000000"/>
      </rPr>
      <t xml:space="preserve"> =&gt; VERIFIED
7. </t>
    </r>
    <r>
      <rPr>
        <color rgb="FF1155CC"/>
        <u/>
      </rPr>
      <t>Taiga #934</t>
    </r>
    <r>
      <rPr>
        <color rgb="FF000000"/>
      </rPr>
      <t xml:space="preserve"> =&gt; VERIFIED
8. </t>
    </r>
    <r>
      <rPr>
        <color rgb="FF1155CC"/>
        <u/>
      </rPr>
      <t>Taiga #936</t>
    </r>
    <r>
      <rPr>
        <color rgb="FF000000"/>
      </rPr>
      <t xml:space="preserve"> =&gt; VERIFIED
9. </t>
    </r>
    <r>
      <rPr>
        <color rgb="FF1155CC"/>
        <u/>
      </rPr>
      <t>Taiga #900</t>
    </r>
    <r>
      <rPr>
        <color rgb="FF000000"/>
      </rPr>
      <t xml:space="preserve"> =&gt; VERIFIED
10. </t>
    </r>
    <r>
      <rPr>
        <color rgb="FF1155CC"/>
        <u/>
      </rPr>
      <t>Taiga #822</t>
    </r>
    <r>
      <rPr>
        <color rgb="FF000000"/>
      </rPr>
      <t xml:space="preserve"> =&gt; VERIFIED
11. </t>
    </r>
    <r>
      <rPr>
        <color rgb="FF1155CC"/>
        <u/>
      </rPr>
      <t>Taiga #928</t>
    </r>
    <r>
      <rPr>
        <color rgb="FF000000"/>
      </rPr>
      <t xml:space="preserve"> =&gt; Reopen
12. </t>
    </r>
    <r>
      <rPr>
        <color rgb="FF1155CC"/>
        <u/>
      </rPr>
      <t>Taiga #929</t>
    </r>
    <r>
      <rPr>
        <color rgb="FF000000"/>
      </rPr>
      <t xml:space="preserve"> =&gt; Reopen
13. </t>
    </r>
    <r>
      <rPr>
        <color rgb="FF1155CC"/>
        <u/>
      </rPr>
      <t>Taiga #821</t>
    </r>
    <r>
      <rPr>
        <color rgb="FF000000"/>
      </rPr>
      <t xml:space="preserve"> =&gt; VERIFIED</t>
    </r>
  </si>
  <si>
    <r>
      <rPr>
        <rFont val="Arial"/>
        <b/>
        <color rgb="FF000000"/>
      </rPr>
      <t>Digital ID: latest deployment - 10 October</t>
    </r>
    <r>
      <rPr>
        <rFont val="Arial"/>
        <color rgb="FF000000"/>
      </rPr>
      <t xml:space="preserve">
Total card per 13 October 11:30:
</t>
    </r>
    <r>
      <rPr>
        <rFont val="Arial"/>
        <color rgb="FF000000"/>
        <u/>
      </rPr>
      <t>Taiga BD:</t>
    </r>
    <r>
      <rPr>
        <rFont val="Arial"/>
        <color rgb="FF000000"/>
      </rPr>
      <t xml:space="preserve">
Ready for SIT (BD): 14
Ready for SIT (BD to SG) : 11
</t>
    </r>
    <r>
      <rPr>
        <rFont val="Arial"/>
        <color rgb="FF000000"/>
        <u/>
      </rPr>
      <t xml:space="preserve">Taiga SG:
</t>
    </r>
    <r>
      <rPr>
        <rFont val="Arial"/>
        <color rgb="FF000000"/>
      </rPr>
      <t>Resolved: 4 Admin Portal, 2 User Portal, 3 Event Portal
Reopen: 1 Admin&amp;User Portal, 1 User Portal, 3 Event Portal, - Admin Portal
New: 3 Admin Portal, 1 User Portal, 7 Event Portal
Test Event Portal: Add Attendee and Check-In Check-out by Scan QR=&gt; not tested yet, because encounter indefinite loading</t>
    </r>
  </si>
  <si>
    <r>
      <rPr>
        <color rgb="FF000000"/>
      </rPr>
      <t xml:space="preserve">
Digital ID:
Testing Taiga BD with status "Ready for SIT (BD)":
1. </t>
    </r>
    <r>
      <rPr>
        <color rgb="FF1155CC"/>
        <u/>
      </rPr>
      <t>Taiga #396</t>
    </r>
    <r>
      <rPr>
        <color rgb="FF000000"/>
      </rPr>
      <t xml:space="preserve"> =&gt; DONE
2. </t>
    </r>
    <r>
      <rPr>
        <color rgb="FF1155CC"/>
        <u/>
      </rPr>
      <t>Taiga #550</t>
    </r>
    <r>
      <rPr>
        <color rgb="FF000000"/>
      </rPr>
      <t xml:space="preserve"> =&gt; DONE
3. </t>
    </r>
    <r>
      <rPr>
        <color rgb="FF1155CC"/>
        <u/>
      </rPr>
      <t>Taiga #549</t>
    </r>
    <r>
      <rPr>
        <color rgb="FF000000"/>
      </rPr>
      <t xml:space="preserve"> =&gt; DONE
4. </t>
    </r>
    <r>
      <rPr>
        <color rgb="FF1155CC"/>
        <u/>
      </rPr>
      <t>Taiga #658</t>
    </r>
    <r>
      <rPr>
        <color rgb="FF000000"/>
      </rPr>
      <t xml:space="preserve"> =&gt; DONE
5. </t>
    </r>
    <r>
      <rPr>
        <color rgb="FF1155CC"/>
        <u/>
      </rPr>
      <t>Taiga #656</t>
    </r>
    <r>
      <rPr>
        <color rgb="FF000000"/>
      </rPr>
      <t xml:space="preserve"> =&gt; DONE
Verify Issues in SIT:
1. </t>
    </r>
    <r>
      <rPr>
        <color rgb="FF1155CC"/>
        <u/>
      </rPr>
      <t>Taiga #937</t>
    </r>
    <r>
      <rPr>
        <color rgb="FF000000"/>
      </rPr>
      <t xml:space="preserve"> =&gt; VERIFIED
2. </t>
    </r>
    <r>
      <rPr>
        <color rgb="FF1155CC"/>
        <u/>
      </rPr>
      <t>Taiga #691</t>
    </r>
    <r>
      <rPr>
        <color rgb="FF000000"/>
      </rPr>
      <t xml:space="preserve"> =&gt; VERIFIED
3. </t>
    </r>
    <r>
      <rPr>
        <color rgb="FF1155CC"/>
        <u/>
      </rPr>
      <t>Taiga #942</t>
    </r>
    <r>
      <rPr>
        <color rgb="FF000000"/>
      </rPr>
      <t xml:space="preserve"> =&gt; VERIFIED
4. </t>
    </r>
    <r>
      <rPr>
        <color rgb="FF1155CC"/>
        <u/>
      </rPr>
      <t>Taiga #793</t>
    </r>
    <r>
      <rPr>
        <color rgb="FF000000"/>
      </rPr>
      <t xml:space="preserve"> =&gt; Reopen
5. </t>
    </r>
    <r>
      <rPr>
        <color rgb="FF1155CC"/>
        <u/>
      </rPr>
      <t>Taiga #941</t>
    </r>
    <r>
      <rPr>
        <color rgb="FF000000"/>
      </rPr>
      <t xml:space="preserve"> =&gt; VERIFIED</t>
    </r>
  </si>
  <si>
    <r>
      <rPr>
        <rFont val="Arial"/>
        <b/>
        <color rgb="FF000000"/>
      </rPr>
      <t>Digital ID: latest deployment - 13 October for admin portal hot-fix&amp;event portal</t>
    </r>
    <r>
      <rPr>
        <rFont val="Arial"/>
        <color rgb="FF000000"/>
      </rPr>
      <t xml:space="preserve">
Total card per 14 October 08:40:
</t>
    </r>
    <r>
      <rPr>
        <rFont val="Arial"/>
        <color rgb="FF000000"/>
        <u/>
      </rPr>
      <t>Taiga BD:</t>
    </r>
    <r>
      <rPr>
        <rFont val="Arial"/>
        <color rgb="FF000000"/>
      </rPr>
      <t xml:space="preserve">
Ready for SIT (BD): 14
Ready for SIT (BD to SG) : 7
</t>
    </r>
    <r>
      <rPr>
        <rFont val="Arial"/>
        <color rgb="FF000000"/>
        <u/>
      </rPr>
      <t xml:space="preserve">Taiga SG:
</t>
    </r>
    <r>
      <rPr>
        <rFont val="Arial"/>
        <color rgb="FF000000"/>
      </rPr>
      <t xml:space="preserve">Resolved: 4 Admin Portal, 2 User Portal, 3 Event Portal
Reopen: 1 Admin&amp;User Portal, 1 User Portal, 3 Event Portal, - Admin Portal
New: 3 Admin Portal, 1 User Portal, 7 Event Portal
</t>
    </r>
  </si>
  <si>
    <t>Digital ID:
1. Verify Issues in SIT
2. Test Admin Portal SIT
3. Test User Portal SIT</t>
  </si>
  <si>
    <t>Digital ID:
1. In-Progress
2. DONE
3. DONE</t>
  </si>
  <si>
    <r>
      <rPr>
        <color rgb="FF000000"/>
      </rPr>
      <t xml:space="preserve">
Digital ID:
Verify Issues in SIT:
1. </t>
    </r>
    <r>
      <rPr>
        <color rgb="FF1155CC"/>
        <u/>
      </rPr>
      <t>Taiga #943</t>
    </r>
    <r>
      <rPr>
        <color rgb="FF000000"/>
      </rPr>
      <t xml:space="preserve"> =&gt; VERIFIED
2. </t>
    </r>
    <r>
      <rPr>
        <color rgb="FF1155CC"/>
        <u/>
      </rPr>
      <t>Taiga #952</t>
    </r>
    <r>
      <rPr>
        <color rgb="FF000000"/>
      </rPr>
      <t xml:space="preserve"> =&gt; VERIFIED
3. </t>
    </r>
    <r>
      <rPr>
        <color rgb="FF1155CC"/>
        <u/>
      </rPr>
      <t>Taiga #947</t>
    </r>
    <r>
      <rPr>
        <color rgb="FF000000"/>
      </rPr>
      <t xml:space="preserve"> =&gt; VERIFIED
4. </t>
    </r>
    <r>
      <rPr>
        <color rgb="FF1155CC"/>
        <u/>
      </rPr>
      <t>Taiga #955</t>
    </r>
    <r>
      <rPr>
        <color rgb="FF000000"/>
      </rPr>
      <t xml:space="preserve"> =&gt; VERIFIED
5. </t>
    </r>
    <r>
      <rPr>
        <color rgb="FF1155CC"/>
        <u/>
      </rPr>
      <t>Taiga #953</t>
    </r>
    <r>
      <rPr>
        <color rgb="FF000000"/>
      </rPr>
      <t xml:space="preserve"> =&gt; VERIFIED</t>
    </r>
  </si>
  <si>
    <r>
      <rPr>
        <rFont val="Arial"/>
        <b/>
        <color rgb="FF000000"/>
      </rPr>
      <t>Digital ID: latest deployment - 13 October for admin portal hot-fix&amp;event portal</t>
    </r>
    <r>
      <rPr>
        <rFont val="Arial"/>
        <color rgb="FF000000"/>
      </rPr>
      <t xml:space="preserve">
Total card per 15 October 08:40:
</t>
    </r>
    <r>
      <rPr>
        <rFont val="Arial"/>
        <color rgb="FF000000"/>
        <u/>
      </rPr>
      <t>Taiga BD:</t>
    </r>
    <r>
      <rPr>
        <rFont val="Arial"/>
        <color rgb="FF000000"/>
      </rPr>
      <t xml:space="preserve">
Ready for SIT (BD): 14
Ready for SIT (BD to SG) : 7
</t>
    </r>
    <r>
      <rPr>
        <rFont val="Arial"/>
        <color rgb="FF000000"/>
        <u/>
      </rPr>
      <t xml:space="preserve">Taiga SG:
</t>
    </r>
    <r>
      <rPr>
        <rFont val="Arial"/>
        <color rgb="FF000000"/>
      </rPr>
      <t xml:space="preserve">Resolved: 4 Admin Portal, 2 User Portal, 3 Event Portal
Reopen: 1 Admin&amp;User Portal, 1 User Portal, 3 Event Portal, - Admin Portal
New: 3 Admin Portal, 1 User Portal, 7 Event Portal
</t>
    </r>
  </si>
  <si>
    <t>Digital ID:
1. Testing Taiga BD with status "Ready for SIT (BD)"
2. Verify Issues in SIT
Test Event Portal SIT</t>
  </si>
  <si>
    <r>
      <rPr>
        <color rgb="FF000000"/>
      </rPr>
      <t xml:space="preserve">
Digital ID:
Testing Taiga BD with status "Ready for SIT (BD)":
1. </t>
    </r>
    <r>
      <rPr>
        <color rgb="FF1155CC"/>
        <u/>
      </rPr>
      <t>Taiga #693</t>
    </r>
    <r>
      <rPr>
        <color rgb="FF000000"/>
      </rPr>
      <t xml:space="preserve"> =&gt; DONE
2. </t>
    </r>
    <r>
      <rPr>
        <color rgb="FF1155CC"/>
        <u/>
      </rPr>
      <t>Taiga #709</t>
    </r>
    <r>
      <rPr>
        <color rgb="FF000000"/>
      </rPr>
      <t xml:space="preserve"> =&gt; DONE
Verify Issues in SIT:
1. </t>
    </r>
    <r>
      <rPr>
        <color rgb="FF1155CC"/>
        <u/>
      </rPr>
      <t>Taiga #928</t>
    </r>
    <r>
      <rPr>
        <color rgb="FF000000"/>
      </rPr>
      <t xml:space="preserve"> =&gt; VERIFIED
2. </t>
    </r>
    <r>
      <rPr>
        <color rgb="FF1155CC"/>
        <u/>
      </rPr>
      <t>Taiga #929</t>
    </r>
    <r>
      <rPr>
        <color rgb="FF000000"/>
      </rPr>
      <t xml:space="preserve"> =&gt; VERIFIED
3. </t>
    </r>
    <r>
      <rPr>
        <color rgb="FF1155CC"/>
        <u/>
      </rPr>
      <t>Taiga #946</t>
    </r>
    <r>
      <rPr>
        <color rgb="FF000000"/>
      </rPr>
      <t xml:space="preserve"> =&gt; VERIFIED
4. </t>
    </r>
    <r>
      <rPr>
        <color rgb="FF1155CC"/>
        <u/>
      </rPr>
      <t>Taiga #948</t>
    </r>
    <r>
      <rPr>
        <color rgb="FF000000"/>
      </rPr>
      <t xml:space="preserve"> =&gt; VERIFIED
5. </t>
    </r>
    <r>
      <rPr>
        <color rgb="FF1155CC"/>
        <u/>
      </rPr>
      <t>Taiga #957</t>
    </r>
    <r>
      <rPr>
        <color rgb="FF000000"/>
      </rPr>
      <t xml:space="preserve"> =&gt; Reopen
6. </t>
    </r>
    <r>
      <rPr>
        <color rgb="FF1155CC"/>
        <u/>
      </rPr>
      <t>Taiga #958</t>
    </r>
    <r>
      <rPr>
        <color rgb="FF000000"/>
      </rPr>
      <t xml:space="preserve"> =&gt; Reopen
Verify Issues in PROD:
1. </t>
    </r>
    <r>
      <rPr>
        <color rgb="FF1155CC"/>
        <u/>
      </rPr>
      <t>Taiga #898</t>
    </r>
    <r>
      <rPr>
        <color rgb="FF000000"/>
      </rPr>
      <t xml:space="preserve"> =&gt; CLOSED (notification issue)
2. </t>
    </r>
    <r>
      <rPr>
        <color rgb="FF1155CC"/>
        <u/>
      </rPr>
      <t>Taiga #897</t>
    </r>
    <r>
      <rPr>
        <color rgb="FF000000"/>
      </rPr>
      <t xml:space="preserve"> =&gt; CLOSED (notification issue)</t>
    </r>
  </si>
  <si>
    <r>
      <rPr>
        <rFont val="Arial"/>
        <b/>
        <color rgb="FF000000"/>
      </rPr>
      <t xml:space="preserve">Digital ID: latest deployment - 15 October </t>
    </r>
    <r>
      <rPr>
        <rFont val="Arial"/>
        <color rgb="FF000000"/>
      </rPr>
      <t xml:space="preserve">
Total card per 16 October 08:50:
</t>
    </r>
    <r>
      <rPr>
        <rFont val="Arial"/>
        <color rgb="FF000000"/>
        <u/>
      </rPr>
      <t>Taiga BD:</t>
    </r>
    <r>
      <rPr>
        <rFont val="Arial"/>
        <color rgb="FF000000"/>
      </rPr>
      <t xml:space="preserve">
Ready for SIT (BD): 11
Ready for SIT (BD to SG) : 12
</t>
    </r>
    <r>
      <rPr>
        <rFont val="Arial"/>
        <color rgb="FF000000"/>
        <u/>
      </rPr>
      <t xml:space="preserve">Taiga SG:
</t>
    </r>
    <r>
      <rPr>
        <rFont val="Arial"/>
        <color rgb="FF000000"/>
      </rPr>
      <t>Resolved: 2 Admin Portal, 2 User Portal, 7 Event Portal
Reopen: 1 Admin&amp;User Portal, 1 User Portal, 2 Event Portal, - Admin Portal
New: 5 Admin Portal, 1 User Portal, 3 Event Portal
Note:
1. Taiga #693 -&gt; waiting confirmation about pop up auto close when the timeout is set to 0 second -&gt; confirmed to set it to 0 second in the pop up and not set to 3 seconds when user set the timeout to 0 second. =&gt; Deployed to SIT at 16:30</t>
    </r>
  </si>
  <si>
    <t>Digital ID:
1. Testing Taiga BD with status "Ready for SIT (BD)"
2. Verify Issues in SIT
3. Test Event Portal SIT</t>
  </si>
  <si>
    <t>Digital ID:
1. In-Progress
2. In-Progress
3. DONE</t>
  </si>
  <si>
    <r>
      <rPr>
        <color rgb="FF000000"/>
      </rPr>
      <t xml:space="preserve">
Digital ID:
Testing Taiga BD with status "Ready for SIT (BD)":
1. </t>
    </r>
    <r>
      <rPr>
        <color rgb="FF1155CC"/>
        <u/>
      </rPr>
      <t>Taiga #647</t>
    </r>
    <r>
      <rPr>
        <color rgb="FF000000"/>
      </rPr>
      <t xml:space="preserve"> =&gt; DONE
Verify Issues in SIT:
1. </t>
    </r>
    <r>
      <rPr>
        <color rgb="FF1155CC"/>
        <u/>
      </rPr>
      <t>Taiga #960</t>
    </r>
    <r>
      <rPr>
        <color rgb="FF000000"/>
      </rPr>
      <t xml:space="preserve"> =&gt; VERIFIED
</t>
    </r>
  </si>
  <si>
    <r>
      <rPr>
        <rFont val="Arial"/>
        <b/>
        <color rgb="FF000000"/>
      </rPr>
      <t>Digital ID: latest deployment 16 October 2025 - Event Portal</t>
    </r>
    <r>
      <rPr>
        <rFont val="Arial"/>
        <color rgb="FF000000"/>
      </rPr>
      <t xml:space="preserve">
Total card per 17 October 09:13:
</t>
    </r>
    <r>
      <rPr>
        <rFont val="Arial"/>
        <color rgb="FF000000"/>
        <u/>
      </rPr>
      <t>Taiga BD:</t>
    </r>
    <r>
      <rPr>
        <rFont val="Arial"/>
        <color rgb="FF000000"/>
      </rPr>
      <t xml:space="preserve">
Ready for SIT (BD): 13
Ready for SIT (BD to SG) : 8
</t>
    </r>
    <r>
      <rPr>
        <rFont val="Arial"/>
        <color rgb="FF000000"/>
        <u/>
      </rPr>
      <t xml:space="preserve">Taiga SG:
</t>
    </r>
    <r>
      <rPr>
        <rFont val="Arial"/>
        <color rgb="FF000000"/>
      </rPr>
      <t xml:space="preserve">Resolved: 5 Admin Portal, 2 User Portal, 1 Event Portal
Reopen: 1 Admin&amp;User Portal, 1 User Portal, 4 Event Portal, - Admin Portal
New: 3 Admin Portal, 1 User Portal, 5 Event Portal
</t>
    </r>
  </si>
  <si>
    <t xml:space="preserve">Digital ID:
1. Testing Taiga BD with status "Ready for SIT (BD)"
2. Verify Issues in PROD
</t>
  </si>
  <si>
    <r>
      <rPr>
        <color rgb="FF000000"/>
      </rPr>
      <t xml:space="preserve">
Digital ID:
Testing Taiga BD with status "Ready for SIT (BD)":
1. Taiga #
Verify Issues in SIT:
1. Taiga #
Verify Issues in PROD:
1. </t>
    </r>
    <r>
      <rPr>
        <color rgb="FF1155CC"/>
        <u/>
      </rPr>
      <t>Taiga #691</t>
    </r>
    <r>
      <rPr>
        <color rgb="FF000000"/>
      </rPr>
      <t xml:space="preserve"> =&gt; CLOSED
2. </t>
    </r>
    <r>
      <rPr>
        <color rgb="FF1155CC"/>
        <u/>
      </rPr>
      <t>Taiga #574</t>
    </r>
    <r>
      <rPr>
        <color rgb="FF000000"/>
      </rPr>
      <t xml:space="preserve"> =&gt; CLOSED
3. </t>
    </r>
    <r>
      <rPr>
        <color rgb="FF1155CC"/>
        <u/>
      </rPr>
      <t>Taiga #813</t>
    </r>
    <r>
      <rPr>
        <color rgb="FF000000"/>
      </rPr>
      <t xml:space="preserve"> =&gt; CLOSED
4. </t>
    </r>
    <r>
      <rPr>
        <color rgb="FF1155CC"/>
        <u/>
      </rPr>
      <t>Taiga #820</t>
    </r>
    <r>
      <rPr>
        <color rgb="FF000000"/>
      </rPr>
      <t xml:space="preserve"> =&gt; CLOSED
</t>
    </r>
  </si>
  <si>
    <r>
      <rPr>
        <rFont val="Arial"/>
        <b/>
        <color rgb="FF000000"/>
      </rPr>
      <t>Digital ID: waiting latest deployment</t>
    </r>
    <r>
      <rPr>
        <rFont val="Arial"/>
        <color rgb="FF000000"/>
      </rPr>
      <t xml:space="preserve">
Total card per 20 October 08:40:
</t>
    </r>
    <r>
      <rPr>
        <rFont val="Arial"/>
        <b/>
        <color rgb="FF000000"/>
        <u/>
      </rPr>
      <t>Taiga BD</t>
    </r>
    <r>
      <rPr>
        <rFont val="Arial"/>
        <color rgb="FF000000"/>
        <u/>
      </rPr>
      <t>:</t>
    </r>
    <r>
      <rPr>
        <rFont val="Arial"/>
        <color rgb="FF000000"/>
      </rPr>
      <t xml:space="preserve">
Ready for SIT (BD): 12
Ready for SIT (BD to SG) : 14
</t>
    </r>
    <r>
      <rPr>
        <rFont val="Arial"/>
        <b/>
        <color rgb="FF000000"/>
        <u/>
      </rPr>
      <t>Taiga SG</t>
    </r>
    <r>
      <rPr>
        <rFont val="Arial"/>
        <color rgb="FF000000"/>
        <u/>
      </rPr>
      <t xml:space="preserve">:
</t>
    </r>
    <r>
      <rPr>
        <rFont val="Arial"/>
        <color rgb="FF000000"/>
      </rPr>
      <t xml:space="preserve">Resolved: 6 Admin Portal, 2 User Portal, 6 Event Portal
Reopen: 1 Admin&amp;User Portal, 1 User Portal, 2 Event Portal, - Admin Portal
New: 2 Admin Portal, 1 User Portal, 7 Event Portal
</t>
    </r>
  </si>
  <si>
    <t>Digital ID:
1. Testing Taiga BD with status "Ready for SIT (BD)"
2. Verify Issues in SIT
3. Test Event Portal SIT
4. Test Event Portal mobile view</t>
  </si>
  <si>
    <t>Digital ID:
1. In-Progress
2. In-Progress
3. DONE
4. DONE</t>
  </si>
  <si>
    <r>
      <rPr>
        <color rgb="FF000000"/>
      </rPr>
      <t xml:space="preserve">
Digital ID:
Testing Taiga BD with status "Ready for SIT (BD)":
1. Taiga #
Verify Issues in SIT:
1. </t>
    </r>
    <r>
      <rPr>
        <color rgb="FF1155CC"/>
        <u/>
      </rPr>
      <t>Taiga #944</t>
    </r>
    <r>
      <rPr>
        <color rgb="FF000000"/>
      </rPr>
      <t xml:space="preserve"> =&gt; VERIFIED
2. </t>
    </r>
    <r>
      <rPr>
        <color rgb="FF1155CC"/>
        <u/>
      </rPr>
      <t>Taiga #969</t>
    </r>
    <r>
      <rPr>
        <color rgb="FF000000"/>
      </rPr>
      <t xml:space="preserve"> =&gt; VERIFIED
3. </t>
    </r>
    <r>
      <rPr>
        <color rgb="FF1155CC"/>
        <u/>
      </rPr>
      <t>Taiga #971</t>
    </r>
    <r>
      <rPr>
        <color rgb="FF000000"/>
      </rPr>
      <t xml:space="preserve"> =&gt; VERIFIED
4. </t>
    </r>
    <r>
      <rPr>
        <color rgb="FF1155CC"/>
        <u/>
      </rPr>
      <t>Taiga #970</t>
    </r>
    <r>
      <rPr>
        <color rgb="FF000000"/>
      </rPr>
      <t xml:space="preserve"> =&gt; VERIFIED
5. </t>
    </r>
    <r>
      <rPr>
        <color rgb="FF1155CC"/>
        <u/>
      </rPr>
      <t>Taiga #973</t>
    </r>
    <r>
      <rPr>
        <color rgb="FF000000"/>
      </rPr>
      <t xml:space="preserve"> =&gt; VERIFIED
6. </t>
    </r>
    <r>
      <rPr>
        <color rgb="FF1155CC"/>
        <u/>
      </rPr>
      <t>Taiga #972</t>
    </r>
    <r>
      <rPr>
        <color rgb="FF000000"/>
      </rPr>
      <t xml:space="preserve"> =&gt; VERIFIED
7. </t>
    </r>
    <r>
      <rPr>
        <color rgb="FF1155CC"/>
        <u/>
      </rPr>
      <t>Taiga #975</t>
    </r>
    <r>
      <rPr>
        <color rgb="FF000000"/>
      </rPr>
      <t xml:space="preserve"> =&gt; VERIFIED
8. </t>
    </r>
    <r>
      <rPr>
        <color rgb="FF1155CC"/>
        <u/>
      </rPr>
      <t>Taiga #967</t>
    </r>
    <r>
      <rPr>
        <color rgb="FF000000"/>
      </rPr>
      <t xml:space="preserve"> =&gt; Reopen
9. </t>
    </r>
    <r>
      <rPr>
        <color rgb="FF1155CC"/>
        <u/>
      </rPr>
      <t>Taiga #958</t>
    </r>
    <r>
      <rPr>
        <color rgb="FF000000"/>
      </rPr>
      <t xml:space="preserve"> =&gt; VERIFIED
10. </t>
    </r>
    <r>
      <rPr>
        <color rgb="FF1155CC"/>
        <u/>
      </rPr>
      <t>Taiga #957</t>
    </r>
    <r>
      <rPr>
        <color rgb="FF000000"/>
      </rPr>
      <t xml:space="preserve"> =&gt; VERIFIED
</t>
    </r>
  </si>
  <si>
    <r>
      <rPr>
        <rFont val="Arial"/>
        <b/>
        <color rgb="FF000000"/>
      </rPr>
      <t>Digital ID:  latest deployment</t>
    </r>
    <r>
      <rPr>
        <rFont val="Arial"/>
        <color rgb="FF000000"/>
      </rPr>
      <t xml:space="preserve">
Total card per 21 October 08:40:
</t>
    </r>
    <r>
      <rPr>
        <rFont val="Arial"/>
        <b/>
        <color rgb="FF000000"/>
        <u/>
      </rPr>
      <t>Taiga BD</t>
    </r>
    <r>
      <rPr>
        <rFont val="Arial"/>
        <color rgb="FF000000"/>
        <u/>
      </rPr>
      <t>:</t>
    </r>
    <r>
      <rPr>
        <rFont val="Arial"/>
        <color rgb="FF000000"/>
      </rPr>
      <t xml:space="preserve">
Ready for SIT (BD): 12
Ready for SIT (BD to SG) : 14
</t>
    </r>
    <r>
      <rPr>
        <rFont val="Arial"/>
        <b/>
        <color rgb="FF000000"/>
        <u/>
      </rPr>
      <t>Taiga SG</t>
    </r>
    <r>
      <rPr>
        <rFont val="Arial"/>
        <color rgb="FF000000"/>
        <u/>
      </rPr>
      <t xml:space="preserve">:
</t>
    </r>
    <r>
      <rPr>
        <rFont val="Arial"/>
        <color rgb="FF000000"/>
      </rPr>
      <t xml:space="preserve">Resolved: 6 Admin Portal, 2 User Portal, 6 Event Portal
Reopen: 1 Admin&amp;User Portal, 1 User Portal, 2 Event Portal, - Admin Portal
New: 2 Admin Portal, 1 User Portal, 7 Event Portal
</t>
    </r>
  </si>
  <si>
    <t>Digital ID:
1. Testing Taiga BD with status "Ready for SIT (BD)"
2. Verify Issues in SIT</t>
  </si>
  <si>
    <r>
      <rPr>
        <color rgb="FF000000"/>
      </rPr>
      <t xml:space="preserve">
Digital ID:
Testing Taiga BD with status "Ready for SIT (BD)":
1. </t>
    </r>
    <r>
      <rPr>
        <color rgb="FF1155CC"/>
        <u/>
      </rPr>
      <t>Taiga #708</t>
    </r>
    <r>
      <rPr>
        <color rgb="FF000000"/>
      </rPr>
      <t xml:space="preserve"> =&gt; DONE
Verify Issues in SIT:
1. </t>
    </r>
    <r>
      <rPr>
        <color rgb="FF1155CC"/>
        <u/>
      </rPr>
      <t>Taiga #961</t>
    </r>
    <r>
      <rPr>
        <color rgb="FF000000"/>
      </rPr>
      <t xml:space="preserve"> =&gt; Reopen
2. </t>
    </r>
    <r>
      <rPr>
        <color rgb="FF1155CC"/>
        <u/>
      </rPr>
      <t>Taiga #968</t>
    </r>
    <r>
      <rPr>
        <color rgb="FF000000"/>
      </rPr>
      <t xml:space="preserve"> =&gt; Reopen
3. </t>
    </r>
    <r>
      <rPr>
        <color rgb="FF1155CC"/>
        <u/>
      </rPr>
      <t>Taiga #962</t>
    </r>
    <r>
      <rPr>
        <color rgb="FF000000"/>
      </rPr>
      <t xml:space="preserve"> =&gt; Reopen
</t>
    </r>
  </si>
  <si>
    <r>
      <rPr>
        <rFont val="Arial"/>
        <b/>
        <color rgb="FF000000"/>
      </rPr>
      <t xml:space="preserve">Digital ID:  latest deployment 21 October </t>
    </r>
    <r>
      <rPr>
        <rFont val="Arial"/>
        <color rgb="FF000000"/>
      </rPr>
      <t xml:space="preserve">
Total card per 22 October 09:20:
</t>
    </r>
    <r>
      <rPr>
        <rFont val="Arial"/>
        <b/>
        <color rgb="FF000000"/>
        <u/>
      </rPr>
      <t>Taiga BD</t>
    </r>
    <r>
      <rPr>
        <rFont val="Arial"/>
        <color rgb="FF000000"/>
        <u/>
      </rPr>
      <t>:</t>
    </r>
    <r>
      <rPr>
        <rFont val="Arial"/>
        <color rgb="FF000000"/>
      </rPr>
      <t xml:space="preserve">
Ready for SIT (BD): 11
Ready for SIT (BD to SG) : 11
</t>
    </r>
    <r>
      <rPr>
        <rFont val="Arial"/>
        <b/>
        <color rgb="FF000000"/>
        <u/>
      </rPr>
      <t>Taiga SG</t>
    </r>
    <r>
      <rPr>
        <rFont val="Arial"/>
        <color rgb="FF000000"/>
        <u/>
      </rPr>
      <t xml:space="preserve">:
</t>
    </r>
    <r>
      <rPr>
        <rFont val="Arial"/>
        <color rgb="FF000000"/>
      </rPr>
      <t xml:space="preserve">Resolved: 6 Admin Portal, 2 User Portal, 3 Event Portal
Reopen: 1 Admin&amp;User Portal, 1 User Portal, 1 Event Portal, - Admin Portal
New: 2 Admin Portal, 1 User Portal, 9 Event Portal
</t>
    </r>
  </si>
  <si>
    <r>
      <rPr>
        <color rgb="FF000000"/>
      </rPr>
      <t xml:space="preserve">
Digital ID:
Testing Taiga BD with status "Ready for SIT (BD)":
1.</t>
    </r>
    <r>
      <rPr>
        <color rgb="FF1155CC"/>
        <u/>
      </rPr>
      <t>Taiga #741</t>
    </r>
    <r>
      <rPr>
        <color rgb="FF000000"/>
      </rPr>
      <t xml:space="preserve"> =&gt; DONE
Verify Issues in SIT:
1. </t>
    </r>
    <r>
      <rPr>
        <color rgb="FF1155CC"/>
        <u/>
      </rPr>
      <t>Taiga #790</t>
    </r>
    <r>
      <rPr>
        <color rgb="FF000000"/>
      </rPr>
      <t xml:space="preserve"> =&gt; Reopen
2. </t>
    </r>
    <r>
      <rPr>
        <color rgb="FF1155CC"/>
        <u/>
      </rPr>
      <t>Taiga #994</t>
    </r>
    <r>
      <rPr>
        <color rgb="FF000000"/>
      </rPr>
      <t xml:space="preserve"> =&gt; VERIFIED
3. </t>
    </r>
    <r>
      <rPr>
        <color rgb="FF1155CC"/>
        <u/>
      </rPr>
      <t xml:space="preserve">Taiga #979 </t>
    </r>
    <r>
      <rPr>
        <color rgb="FF000000"/>
      </rPr>
      <t xml:space="preserve">=&gt; Reopen
4. </t>
    </r>
    <r>
      <rPr>
        <color rgb="FF1155CC"/>
        <u/>
      </rPr>
      <t>Taiga #977</t>
    </r>
    <r>
      <rPr>
        <color rgb="FF000000"/>
      </rPr>
      <t xml:space="preserve"> =&gt; Reopen
5. </t>
    </r>
    <r>
      <rPr>
        <color rgb="FF1155CC"/>
        <u/>
      </rPr>
      <t>Taiga #978</t>
    </r>
    <r>
      <rPr>
        <color rgb="FF000000"/>
      </rPr>
      <t xml:space="preserve"> =&gt; VERIFIED
6. </t>
    </r>
    <r>
      <rPr>
        <color rgb="FF1155CC"/>
        <u/>
      </rPr>
      <t>Taiga #982</t>
    </r>
    <r>
      <rPr>
        <color rgb="FF000000"/>
      </rPr>
      <t xml:space="preserve"> =&gt; VERIFIED
7. </t>
    </r>
    <r>
      <rPr>
        <color rgb="FF1155CC"/>
        <u/>
      </rPr>
      <t>Taiga #980</t>
    </r>
    <r>
      <rPr>
        <color rgb="FF000000"/>
      </rPr>
      <t xml:space="preserve"> =&gt; VERIFIED
8. </t>
    </r>
    <r>
      <rPr>
        <color rgb="FF1155CC"/>
        <u/>
      </rPr>
      <t>Taiga #967</t>
    </r>
    <r>
      <rPr>
        <color rgb="FF000000"/>
      </rPr>
      <t xml:space="preserve"> =&gt; VERIFIED
9. </t>
    </r>
    <r>
      <rPr>
        <color rgb="FF1155CC"/>
        <u/>
      </rPr>
      <t>Taiga #956</t>
    </r>
    <r>
      <rPr>
        <color rgb="FF000000"/>
      </rPr>
      <t xml:space="preserve"> =&gt; VERIFIED
10. </t>
    </r>
    <r>
      <rPr>
        <color rgb="FF1155CC"/>
        <u/>
      </rPr>
      <t>Taiga #793</t>
    </r>
    <r>
      <rPr>
        <color rgb="FF000000"/>
      </rPr>
      <t xml:space="preserve"> =&gt; VERIFIED
11. </t>
    </r>
    <r>
      <rPr>
        <color rgb="FF1155CC"/>
        <u/>
      </rPr>
      <t>Taiga #992</t>
    </r>
    <r>
      <rPr>
        <color rgb="FF000000"/>
      </rPr>
      <t xml:space="preserve"> =&gt; Reopen
</t>
    </r>
  </si>
  <si>
    <r>
      <rPr>
        <rFont val="Arial"/>
        <b/>
        <color rgb="FF000000"/>
      </rPr>
      <t>Digital ID:  latest deployment 23 October</t>
    </r>
    <r>
      <rPr>
        <rFont val="Arial"/>
        <color rgb="FF000000"/>
      </rPr>
      <t xml:space="preserve">
Total card per 23 October 15:00:
</t>
    </r>
    <r>
      <rPr>
        <rFont val="Arial"/>
        <b/>
        <color rgb="FF000000"/>
        <u/>
      </rPr>
      <t>Taiga BD</t>
    </r>
    <r>
      <rPr>
        <rFont val="Arial"/>
        <color rgb="FF000000"/>
        <u/>
      </rPr>
      <t>:</t>
    </r>
    <r>
      <rPr>
        <rFont val="Arial"/>
        <color rgb="FF000000"/>
      </rPr>
      <t xml:space="preserve">
Ready for SIT (BD): 11
Ready for SIT (BD to SG) : 8
</t>
    </r>
    <r>
      <rPr>
        <rFont val="Arial"/>
        <b/>
        <color rgb="FF000000"/>
        <u/>
      </rPr>
      <t>Taiga SG</t>
    </r>
    <r>
      <rPr>
        <rFont val="Arial"/>
        <color rgb="FF000000"/>
        <u/>
      </rPr>
      <t xml:space="preserve">:
</t>
    </r>
    <r>
      <rPr>
        <rFont val="Arial"/>
        <color rgb="FF000000"/>
      </rPr>
      <t xml:space="preserve">Resolved: 3 Admin Portal, 2 User Portal, 1 Event Portal
Reopen: 1 Admin&amp;User Portal, 1 User Portal, 3 Event Portal, 3 Admin Portal
New: 4 Admin Portal, 2 User Portal, 5 Event Portal
</t>
    </r>
  </si>
  <si>
    <t>Digital ID:
1. Verify Issues in SIT
2. Test Event Portal SIT (desktop web)
3. Test session handling in Event Portal SIT</t>
  </si>
  <si>
    <r>
      <rPr>
        <color rgb="FF000000"/>
      </rPr>
      <t xml:space="preserve">
Digital ID:
Verify Issues in SIT:
1. </t>
    </r>
    <r>
      <rPr>
        <color rgb="FF1155CC"/>
        <u/>
      </rPr>
      <t>Taiga #1003</t>
    </r>
    <r>
      <rPr>
        <color rgb="FF000000"/>
      </rPr>
      <t xml:space="preserve"> =&gt; VERIFIED
2. </t>
    </r>
    <r>
      <rPr>
        <color rgb="FF1155CC"/>
        <u/>
      </rPr>
      <t>Taiga #1004</t>
    </r>
    <r>
      <rPr>
        <color rgb="FF000000"/>
      </rPr>
      <t xml:space="preserve"> =&gt; VERIFIED
3. </t>
    </r>
    <r>
      <rPr>
        <color rgb="FF1155CC"/>
        <u/>
      </rPr>
      <t>Taiga #988</t>
    </r>
    <r>
      <rPr>
        <color rgb="FF000000"/>
      </rPr>
      <t xml:space="preserve"> =&gt; VERIFIED
4. </t>
    </r>
    <r>
      <rPr>
        <color rgb="FF1155CC"/>
        <u/>
      </rPr>
      <t>Taiga #992</t>
    </r>
    <r>
      <rPr>
        <color rgb="FF000000"/>
      </rPr>
      <t xml:space="preserve"> =&gt; VERIFIED
5. </t>
    </r>
    <r>
      <rPr>
        <color rgb="FF1155CC"/>
        <u/>
      </rPr>
      <t>Taiga #987</t>
    </r>
    <r>
      <rPr>
        <color rgb="FF000000"/>
      </rPr>
      <t xml:space="preserve"> =&gt; VERIFIED
6. </t>
    </r>
    <r>
      <rPr>
        <color rgb="FF1155CC"/>
        <u/>
      </rPr>
      <t>Taiga #1005</t>
    </r>
    <r>
      <rPr>
        <color rgb="FF000000"/>
      </rPr>
      <t xml:space="preserve"> =&gt; Reopen
7. </t>
    </r>
    <r>
      <rPr>
        <color rgb="FF1155CC"/>
        <u/>
      </rPr>
      <t>Taiga #961</t>
    </r>
    <r>
      <rPr>
        <color rgb="FF000000"/>
      </rPr>
      <t xml:space="preserve"> =&gt; Reopen
</t>
    </r>
  </si>
  <si>
    <r>
      <rPr>
        <rFont val="Arial"/>
        <b/>
        <color rgb="FF000000"/>
      </rPr>
      <t>Digital ID:  latest deployment 24 October 08:45</t>
    </r>
    <r>
      <rPr>
        <rFont val="Arial"/>
        <color rgb="FF000000"/>
      </rPr>
      <t xml:space="preserve">
Total card per 24 October 08:50:
</t>
    </r>
    <r>
      <rPr>
        <rFont val="Arial"/>
        <b/>
        <color rgb="FF000000"/>
        <u/>
      </rPr>
      <t>Taiga BD</t>
    </r>
    <r>
      <rPr>
        <rFont val="Arial"/>
        <color rgb="FF000000"/>
        <u/>
      </rPr>
      <t>:</t>
    </r>
    <r>
      <rPr>
        <rFont val="Arial"/>
        <color rgb="FF000000"/>
      </rPr>
      <t xml:space="preserve">
Ready for SIT (BD): 12
Ready for SIT (BD to SG) : 12
</t>
    </r>
    <r>
      <rPr>
        <rFont val="Arial"/>
        <b/>
        <color rgb="FF000000"/>
        <u/>
      </rPr>
      <t>Taiga SG</t>
    </r>
    <r>
      <rPr>
        <rFont val="Arial"/>
        <color rgb="FF000000"/>
        <u/>
      </rPr>
      <t xml:space="preserve">:
</t>
    </r>
    <r>
      <rPr>
        <rFont val="Arial"/>
        <color rgb="FF000000"/>
      </rPr>
      <t xml:space="preserve">Resolved: 4 Admin Portal, 2 User Portal, 5 Event Portal
Reopen: 1 Admin&amp;User Portal, 1 User Portal, 3 Event Portal, 2 Admin Portal
New: 4 Admin Portal, 1 User Portal, 4 Event Portal
</t>
    </r>
  </si>
  <si>
    <t>Digital ID:
1. Verify Issues in SIT
2. Verify Issues in PROD
3. Test Event Portal latest deployment
4. Test session in Admin portal, user portal, and Event Portal</t>
  </si>
  <si>
    <r>
      <rPr>
        <color rgb="FF000000"/>
      </rPr>
      <t xml:space="preserve">
Digital ID:
Verify Issues in SIT:
1. </t>
    </r>
    <r>
      <rPr>
        <color rgb="FF1155CC"/>
        <u/>
      </rPr>
      <t>Taiga #953</t>
    </r>
    <r>
      <rPr>
        <color rgb="FF000000"/>
      </rPr>
      <t xml:space="preserve"> =&gt; Need confirmation
2. </t>
    </r>
    <r>
      <rPr>
        <color rgb="FF1155CC"/>
        <u/>
      </rPr>
      <t>Taiga #952</t>
    </r>
    <r>
      <rPr>
        <color rgb="FF000000"/>
      </rPr>
      <t xml:space="preserve"> =&gt; Need confirmation
3. </t>
    </r>
    <r>
      <rPr>
        <color rgb="FF1155CC"/>
        <u/>
      </rPr>
      <t>Taiga #1016</t>
    </r>
    <r>
      <rPr>
        <color rgb="FF000000"/>
      </rPr>
      <t xml:space="preserve"> =&gt; VERIFIED
4. </t>
    </r>
    <r>
      <rPr>
        <color rgb="FF1155CC"/>
        <u/>
      </rPr>
      <t>Taiga #1015</t>
    </r>
    <r>
      <rPr>
        <color rgb="FF000000"/>
      </rPr>
      <t xml:space="preserve"> =&gt; VERIFIED
5. </t>
    </r>
    <r>
      <rPr>
        <color rgb="FF1155CC"/>
        <u/>
      </rPr>
      <t>Taiga #1007</t>
    </r>
    <r>
      <rPr>
        <color rgb="FF000000"/>
      </rPr>
      <t xml:space="preserve"> =&gt; Need confirmation
6. </t>
    </r>
    <r>
      <rPr>
        <color rgb="FF1155CC"/>
        <u/>
      </rPr>
      <t>Taiga #1009</t>
    </r>
    <r>
      <rPr>
        <color rgb="FF000000"/>
      </rPr>
      <t xml:space="preserve"> =&gt; Need confirmation
Verify Issues in PROD:
1. </t>
    </r>
    <r>
      <rPr>
        <color rgb="FF1155CC"/>
        <u/>
      </rPr>
      <t>Taiga #971</t>
    </r>
    <r>
      <rPr>
        <color rgb="FF000000"/>
      </rPr>
      <t xml:space="preserve"> =&gt; CLOSED
2. </t>
    </r>
    <r>
      <rPr>
        <color rgb="FF1155CC"/>
        <u/>
      </rPr>
      <t>Taiga #928</t>
    </r>
    <r>
      <rPr>
        <color rgb="FF000000"/>
      </rPr>
      <t xml:space="preserve"> =&gt; CLOSED
3. </t>
    </r>
    <r>
      <rPr>
        <color rgb="FF1155CC"/>
        <u/>
      </rPr>
      <t>Taiga #929</t>
    </r>
    <r>
      <rPr>
        <color rgb="FF000000"/>
      </rPr>
      <t xml:space="preserve"> =&gt; CLOSED
4. </t>
    </r>
    <r>
      <rPr>
        <color rgb="FF1155CC"/>
        <u/>
      </rPr>
      <t>Taiga #969</t>
    </r>
    <r>
      <rPr>
        <color rgb="FF000000"/>
      </rPr>
      <t xml:space="preserve"> =&gt; CLOSED
5. </t>
    </r>
    <r>
      <rPr>
        <color rgb="FF1155CC"/>
        <u/>
      </rPr>
      <t>Taiga #870</t>
    </r>
    <r>
      <rPr>
        <color rgb="FF000000"/>
      </rPr>
      <t xml:space="preserve"> =&gt; CLOSED
6. </t>
    </r>
    <r>
      <rPr>
        <color rgb="FF1155CC"/>
        <u/>
      </rPr>
      <t>Taiga #923</t>
    </r>
    <r>
      <rPr>
        <color rgb="FF000000"/>
      </rPr>
      <t xml:space="preserve"> =&gt; CLOSED
7. </t>
    </r>
    <r>
      <rPr>
        <color rgb="FF1155CC"/>
        <u/>
      </rPr>
      <t>Taiga #889</t>
    </r>
    <r>
      <rPr>
        <color rgb="FF000000"/>
      </rPr>
      <t xml:space="preserve"> =&gt; CLOSED
8. </t>
    </r>
    <r>
      <rPr>
        <color rgb="FF1155CC"/>
        <u/>
      </rPr>
      <t>Taiga #799</t>
    </r>
    <r>
      <rPr>
        <color rgb="FF000000"/>
      </rPr>
      <t xml:space="preserve"> =&gt; CLOSED
9. </t>
    </r>
    <r>
      <rPr>
        <color rgb="FF1155CC"/>
        <u/>
      </rPr>
      <t>Taiga #869</t>
    </r>
    <r>
      <rPr>
        <color rgb="FF000000"/>
      </rPr>
      <t xml:space="preserve"> =&gt; CLOSED
10. </t>
    </r>
    <r>
      <rPr>
        <color rgb="FF1155CC"/>
        <u/>
      </rPr>
      <t>Taiga #797</t>
    </r>
    <r>
      <rPr>
        <color rgb="FF000000"/>
      </rPr>
      <t xml:space="preserve"> =&gt; CLOSED
11. </t>
    </r>
    <r>
      <rPr>
        <color rgb="FF1155CC"/>
        <u/>
      </rPr>
      <t>Taiga #933</t>
    </r>
    <r>
      <rPr>
        <color rgb="FF000000"/>
      </rPr>
      <t xml:space="preserve"> =&gt; CLOSED
12. </t>
    </r>
    <r>
      <rPr>
        <color rgb="FF1155CC"/>
        <u/>
      </rPr>
      <t>Taiga #900</t>
    </r>
    <r>
      <rPr>
        <color rgb="FF000000"/>
      </rPr>
      <t xml:space="preserve"> =&gt; CLOSED
13. </t>
    </r>
    <r>
      <rPr>
        <color rgb="FF1155CC"/>
        <u/>
      </rPr>
      <t>Taiga #936</t>
    </r>
    <r>
      <rPr>
        <color rgb="FF000000"/>
      </rPr>
      <t xml:space="preserve"> =&gt; CLOSED
14. </t>
    </r>
    <r>
      <rPr>
        <color rgb="FF1155CC"/>
        <u/>
      </rPr>
      <t>Taiga #934</t>
    </r>
    <r>
      <rPr>
        <color rgb="FF000000"/>
      </rPr>
      <t xml:space="preserve"> =&gt; CLOSED
</t>
    </r>
  </si>
  <si>
    <r>
      <rPr>
        <rFont val="Arial"/>
        <b/>
        <color rgb="FF000000"/>
      </rPr>
      <t>Digital ID:  latest deployment 27 October 17:34</t>
    </r>
    <r>
      <rPr>
        <rFont val="Arial"/>
        <color rgb="FF000000"/>
      </rPr>
      <t xml:space="preserve">
Total card per 27 October 08:40:
</t>
    </r>
    <r>
      <rPr>
        <rFont val="Arial"/>
        <b/>
        <color rgb="FF000000"/>
        <u/>
      </rPr>
      <t>Taiga BD</t>
    </r>
    <r>
      <rPr>
        <rFont val="Arial"/>
        <color rgb="FF000000"/>
        <u/>
      </rPr>
      <t>:</t>
    </r>
    <r>
      <rPr>
        <rFont val="Arial"/>
        <color rgb="FF000000"/>
      </rPr>
      <t xml:space="preserve">
Ready for SIT (BD): 12
Ready for SIT (BD to SG) : 9
</t>
    </r>
    <r>
      <rPr>
        <rFont val="Arial"/>
        <b/>
        <color rgb="FF000000"/>
        <u/>
      </rPr>
      <t>Taiga SG</t>
    </r>
    <r>
      <rPr>
        <rFont val="Arial"/>
        <color rgb="FF000000"/>
        <u/>
      </rPr>
      <t xml:space="preserve">:
</t>
    </r>
    <r>
      <rPr>
        <rFont val="Arial"/>
        <color rgb="FF000000"/>
      </rPr>
      <t xml:space="preserve">Resolved: 5 Admin Portal, 4 User Portal, - Event Portal
Reopen: 1 Admin&amp;User Portal, 1 User Portal, 4 Event Portal, 3 Admin Portal
New: 4 Admin Portal, 1 User Portal, 7 Event Portal
</t>
    </r>
  </si>
  <si>
    <t>Digital ID:
1. Testing Taiga BD with status "Ready for SIT (BD)"
2. Verify Issues in SIT
3. Test Event Portal latest deployment
4. Test session in Admin portal, user portal, and Event Portal</t>
  </si>
  <si>
    <r>
      <rPr>
        <color rgb="FF000000"/>
      </rPr>
      <t xml:space="preserve">
Digital ID:
Testing Taiga BD with status "Ready for SIT (BD)":
1. </t>
    </r>
    <r>
      <rPr>
        <color rgb="FF1155CC"/>
        <u/>
      </rPr>
      <t>Taiga #720</t>
    </r>
    <r>
      <rPr>
        <color rgb="FF000000"/>
      </rPr>
      <t xml:space="preserve"> =&gt; DONE
Verify Issues in SIT:
1. </t>
    </r>
    <r>
      <rPr>
        <color rgb="FF1155CC"/>
        <u/>
      </rPr>
      <t>Taiga #953</t>
    </r>
    <r>
      <rPr>
        <color rgb="FF000000"/>
      </rPr>
      <t xml:space="preserve"> =&gt; Reopen
2. </t>
    </r>
    <r>
      <rPr>
        <color rgb="FF1155CC"/>
        <u/>
      </rPr>
      <t>Taiga #952</t>
    </r>
    <r>
      <rPr>
        <color rgb="FF000000"/>
      </rPr>
      <t xml:space="preserve"> =&gt; Reopen
3. </t>
    </r>
    <r>
      <rPr>
        <color rgb="FF1155CC"/>
        <u/>
      </rPr>
      <t>Taiga #1007</t>
    </r>
    <r>
      <rPr>
        <color rgb="FF000000"/>
      </rPr>
      <t xml:space="preserve"> =&gt; VERIFIED
4. </t>
    </r>
    <r>
      <rPr>
        <color rgb="FF1155CC"/>
        <u/>
      </rPr>
      <t>Taiga #1009</t>
    </r>
    <r>
      <rPr>
        <color rgb="FF000000"/>
      </rPr>
      <t xml:space="preserve"> =&gt; Reopen
5. </t>
    </r>
    <r>
      <rPr>
        <color rgb="FF1155CC"/>
        <u/>
      </rPr>
      <t>Taiga #961</t>
    </r>
    <r>
      <rPr>
        <color rgb="FF000000"/>
      </rPr>
      <t xml:space="preserve"> =&gt; VERIFIED
6. </t>
    </r>
    <r>
      <rPr>
        <color rgb="FF1155CC"/>
        <u/>
      </rPr>
      <t>Taiga #962</t>
    </r>
    <r>
      <rPr>
        <color rgb="FF000000"/>
      </rPr>
      <t xml:space="preserve"> =&gt; VERIFIED
7. </t>
    </r>
    <r>
      <rPr>
        <color rgb="FF1155CC"/>
        <u/>
      </rPr>
      <t>Taiga #968</t>
    </r>
    <r>
      <rPr>
        <color rgb="FF000000"/>
      </rPr>
      <t xml:space="preserve"> =&gt; VERIFIED
</t>
    </r>
  </si>
  <si>
    <r>
      <rPr>
        <rFont val="Arial"/>
        <b/>
        <color rgb="FF000000"/>
      </rPr>
      <t>Digital ID:  latest deployment 28 October 08:40 for Event Portal</t>
    </r>
    <r>
      <rPr>
        <rFont val="Arial"/>
        <color rgb="FF000000"/>
      </rPr>
      <t xml:space="preserve">
Total card per 28 October 08:45:
</t>
    </r>
    <r>
      <rPr>
        <rFont val="Arial"/>
        <b/>
        <color rgb="FF000000"/>
        <u/>
      </rPr>
      <t>Taiga BD</t>
    </r>
    <r>
      <rPr>
        <rFont val="Arial"/>
        <color rgb="FF000000"/>
        <u/>
      </rPr>
      <t>:</t>
    </r>
    <r>
      <rPr>
        <rFont val="Arial"/>
        <color rgb="FF000000"/>
      </rPr>
      <t xml:space="preserve">
Ready for SIT (BD): 12
Ready for SIT (BD to SG) : 18
</t>
    </r>
    <r>
      <rPr>
        <rFont val="Arial"/>
        <b/>
        <color rgb="FF000000"/>
        <u/>
      </rPr>
      <t>Taiga SG</t>
    </r>
    <r>
      <rPr>
        <rFont val="Arial"/>
        <color rgb="FF000000"/>
        <u/>
      </rPr>
      <t xml:space="preserve">:
</t>
    </r>
    <r>
      <rPr>
        <rFont val="Arial"/>
        <color rgb="FF000000"/>
      </rPr>
      <t xml:space="preserve">Resolved: 10 Admin Portal, 4 User Portal, 2 Event Portal
Reopen: 1 Admin&amp;User Portal, 1 User Portal, 4 Event Portal, - Admin Portal
New: 4 Admin Portal, 1 User Portal, 9 Event Portal
</t>
    </r>
  </si>
  <si>
    <t>Digital ID:
1. Verify Issues in SIT
2. Test Event Portal latest deployment
3. Test session in Admin portal, user portal, and Event Portal</t>
  </si>
  <si>
    <r>
      <rPr>
        <color rgb="FF000000"/>
      </rPr>
      <t xml:space="preserve">
Digital ID:
Verify Issues in SIT:
1. </t>
    </r>
    <r>
      <rPr>
        <color rgb="FF1155CC"/>
        <u/>
      </rPr>
      <t>Taiga #952</t>
    </r>
    <r>
      <rPr>
        <color rgb="FF000000"/>
      </rPr>
      <t xml:space="preserve"> =&gt; Reopen
2. </t>
    </r>
    <r>
      <rPr>
        <color rgb="FF1155CC"/>
        <u/>
      </rPr>
      <t>Taiga #953</t>
    </r>
    <r>
      <rPr>
        <color rgb="FF000000"/>
      </rPr>
      <t xml:space="preserve"> =&gt; Reopen
3. </t>
    </r>
    <r>
      <rPr>
        <color rgb="FF1155CC"/>
        <u/>
      </rPr>
      <t>Taiga #1019</t>
    </r>
    <r>
      <rPr>
        <color rgb="FF000000"/>
      </rPr>
      <t xml:space="preserve"> =&gt; Reopen
4. </t>
    </r>
    <r>
      <rPr>
        <color rgb="FF1155CC"/>
        <u/>
      </rPr>
      <t>Taiga #979</t>
    </r>
    <r>
      <rPr>
        <color rgb="FF000000"/>
      </rPr>
      <t xml:space="preserve"> =&gt; VERIFIED
Verify Issues in PROD:
1. </t>
    </r>
    <r>
      <rPr>
        <color rgb="FF1155CC"/>
        <u/>
      </rPr>
      <t>Taiga #822</t>
    </r>
    <r>
      <rPr>
        <color rgb="FF000000"/>
      </rPr>
      <t xml:space="preserve"> =&gt; CLOSED
2. </t>
    </r>
    <r>
      <rPr>
        <color rgb="FF1155CC"/>
        <u/>
      </rPr>
      <t>Taiga #821</t>
    </r>
    <r>
      <rPr>
        <color rgb="FF000000"/>
      </rPr>
      <t xml:space="preserve"> =&gt; CLOSED
3. </t>
    </r>
    <r>
      <rPr>
        <color rgb="FF1155CC"/>
        <u/>
      </rPr>
      <t>Taiga #937</t>
    </r>
    <r>
      <rPr>
        <color rgb="FF000000"/>
      </rPr>
      <t xml:space="preserve"> =&gt; CLOSED
4. </t>
    </r>
    <r>
      <rPr>
        <color rgb="FF1155CC"/>
        <u/>
      </rPr>
      <t>Taiga #942</t>
    </r>
    <r>
      <rPr>
        <color rgb="FF000000"/>
      </rPr>
      <t xml:space="preserve"> =&gt; CLOSED
5. </t>
    </r>
    <r>
      <rPr>
        <color rgb="FF1155CC"/>
        <u/>
      </rPr>
      <t>Taiga #941</t>
    </r>
    <r>
      <rPr>
        <color rgb="FF000000"/>
      </rPr>
      <t xml:space="preserve"> =&gt; CLOSED
6. </t>
    </r>
    <r>
      <rPr>
        <color rgb="FF1155CC"/>
        <u/>
      </rPr>
      <t>Taiga #946</t>
    </r>
    <r>
      <rPr>
        <color rgb="FF000000"/>
      </rPr>
      <t xml:space="preserve"> =&gt; CLOSED
7. </t>
    </r>
    <r>
      <rPr>
        <color rgb="FF1155CC"/>
        <u/>
      </rPr>
      <t>Taiga #972</t>
    </r>
    <r>
      <rPr>
        <color rgb="FF000000"/>
      </rPr>
      <t xml:space="preserve"> =&gt; CLOSED
8. </t>
    </r>
    <r>
      <rPr>
        <color rgb="FF1155CC"/>
        <u/>
      </rPr>
      <t>Taiga #970</t>
    </r>
    <r>
      <rPr>
        <color rgb="FF000000"/>
      </rPr>
      <t xml:space="preserve"> =&gt; CLOSED
9. </t>
    </r>
    <r>
      <rPr>
        <color rgb="FF1155CC"/>
        <u/>
      </rPr>
      <t>Taiga #948</t>
    </r>
    <r>
      <rPr>
        <color rgb="FF000000"/>
      </rPr>
      <t xml:space="preserve"> =&gt; CLOSED
10. </t>
    </r>
    <r>
      <rPr>
        <color rgb="FF1155CC"/>
        <u/>
      </rPr>
      <t>Taiga #973</t>
    </r>
    <r>
      <rPr>
        <color rgb="FF000000"/>
      </rPr>
      <t xml:space="preserve"> =&gt; CLOSED
</t>
    </r>
  </si>
  <si>
    <r>
      <rPr>
        <rFont val="Arial"/>
        <b/>
        <color rgb="FF000000"/>
      </rPr>
      <t>Digital ID:  latest deployment 29 October 08:30 for Event Portal</t>
    </r>
    <r>
      <rPr>
        <rFont val="Arial"/>
        <color rgb="FF000000"/>
      </rPr>
      <t xml:space="preserve">
Total card per 29 October 08:35:
</t>
    </r>
    <r>
      <rPr>
        <rFont val="Arial"/>
        <b/>
        <color rgb="FF000000"/>
        <u/>
      </rPr>
      <t>Taiga BD</t>
    </r>
    <r>
      <rPr>
        <rFont val="Arial"/>
        <color rgb="FF000000"/>
        <u/>
      </rPr>
      <t>:</t>
    </r>
    <r>
      <rPr>
        <rFont val="Arial"/>
        <color rgb="FF000000"/>
      </rPr>
      <t xml:space="preserve">
Ready for SIT (BD): 14
Ready for SIT (BD to SG) : 18
</t>
    </r>
    <r>
      <rPr>
        <rFont val="Arial"/>
        <b/>
        <color rgb="FF000000"/>
        <u/>
      </rPr>
      <t>Taiga SG</t>
    </r>
    <r>
      <rPr>
        <rFont val="Arial"/>
        <color rgb="FF000000"/>
        <u/>
      </rPr>
      <t xml:space="preserve">:
</t>
    </r>
    <r>
      <rPr>
        <rFont val="Arial"/>
        <color rgb="FF000000"/>
      </rPr>
      <t xml:space="preserve">Resolved: 9 Admin Portal, 5 User Portal, 3 Event Portal
Reopen: 1 Admin&amp;User Portal, 1 User Portal, 4 Event Portal, - Admin Portal
New: 5 Admin Portal, 2 User Portal, 8 Event Portal
</t>
    </r>
  </si>
  <si>
    <t xml:space="preserve">Digital ID:
1. In-Progress
2. DONE
3. DONE
</t>
  </si>
  <si>
    <r>
      <rPr>
        <color rgb="FF000000"/>
      </rPr>
      <t xml:space="preserve">
Digital ID:
Verify Issues in SIT:
1. </t>
    </r>
    <r>
      <rPr>
        <color rgb="FF1155CC"/>
        <u/>
      </rPr>
      <t>Taiga #952</t>
    </r>
    <r>
      <rPr>
        <color rgb="FF000000"/>
      </rPr>
      <t xml:space="preserve"> =&gt; Reopen
2. </t>
    </r>
    <r>
      <rPr>
        <color rgb="FF1155CC"/>
        <u/>
      </rPr>
      <t>Taiga #953</t>
    </r>
    <r>
      <rPr>
        <color rgb="FF000000"/>
      </rPr>
      <t xml:space="preserve"> =&gt; Reopen
3. </t>
    </r>
    <r>
      <rPr>
        <color rgb="FF1155CC"/>
        <u/>
      </rPr>
      <t>Taiga #1019</t>
    </r>
    <r>
      <rPr>
        <color rgb="FF000000"/>
      </rPr>
      <t xml:space="preserve"> =&gt; VERIFIED
4. </t>
    </r>
    <r>
      <rPr>
        <color rgb="FF1155CC"/>
        <u/>
      </rPr>
      <t>Taiga #1037</t>
    </r>
    <r>
      <rPr>
        <color rgb="FF000000"/>
      </rPr>
      <t xml:space="preserve"> =&gt; VERIFIED
5. </t>
    </r>
    <r>
      <rPr>
        <color rgb="FF1155CC"/>
        <u/>
      </rPr>
      <t>Taiga #1041</t>
    </r>
    <r>
      <rPr>
        <color rgb="FF000000"/>
      </rPr>
      <t xml:space="preserve"> =&gt; VERIFIED
6. </t>
    </r>
    <r>
      <rPr>
        <color rgb="FF1155CC"/>
        <u/>
      </rPr>
      <t>Taiga #1005</t>
    </r>
    <r>
      <rPr>
        <color rgb="FF000000"/>
      </rPr>
      <t xml:space="preserve"> =&gt; VERIFIED
7. </t>
    </r>
    <r>
      <rPr>
        <color rgb="FF1155CC"/>
        <u/>
      </rPr>
      <t>Taiga #1010</t>
    </r>
    <r>
      <rPr>
        <color rgb="FF000000"/>
      </rPr>
      <t xml:space="preserve"> =&gt; VERIFIED
8. Taiga #
</t>
    </r>
  </si>
  <si>
    <r>
      <rPr>
        <rFont val="Arial"/>
        <b/>
        <color rgb="FF000000"/>
      </rPr>
      <t>Digital ID:  latest deployment 29 October 08:30 for Event Portal</t>
    </r>
    <r>
      <rPr>
        <rFont val="Arial"/>
        <color rgb="FF000000"/>
      </rPr>
      <t xml:space="preserve">
Total card per 30 October 08:35:
</t>
    </r>
    <r>
      <rPr>
        <rFont val="Arial"/>
        <b/>
        <color rgb="FF000000"/>
        <u/>
      </rPr>
      <t>Taiga BD</t>
    </r>
    <r>
      <rPr>
        <rFont val="Arial"/>
        <color rgb="FF000000"/>
        <u/>
      </rPr>
      <t>:</t>
    </r>
    <r>
      <rPr>
        <rFont val="Arial"/>
        <color rgb="FF000000"/>
      </rPr>
      <t xml:space="preserve">
Ready for SIT (BD): 16
Ready for SIT (BD to SG) : 23
</t>
    </r>
    <r>
      <rPr>
        <rFont val="Arial"/>
        <b/>
        <color rgb="FF000000"/>
        <u/>
      </rPr>
      <t>Taiga SG</t>
    </r>
    <r>
      <rPr>
        <rFont val="Arial"/>
        <color rgb="FF000000"/>
        <u/>
      </rPr>
      <t xml:space="preserve">:
</t>
    </r>
    <r>
      <rPr>
        <rFont val="Arial"/>
        <color rgb="FF000000"/>
      </rPr>
      <t xml:space="preserve">Resolved: 9 Admin Portal, 5 User Portal, 7 Event Portal
Reopen: 1 Admin&amp;User Portal, 1 User Portal, 1 Event Portal, 1 Admin Portal
New: 3 Admin Portal, 2 User Portal, 6 Event Portal
</t>
    </r>
  </si>
  <si>
    <t>Digital ID:
1. Verify Issues in SIT
2. Test session in Admin portal, user portal
3. Smoke Test Admin Portal and User Portal latest deployment
4. Verify Issues in PROD</t>
  </si>
  <si>
    <r>
      <rPr>
        <color rgb="FF000000"/>
      </rPr>
      <t xml:space="preserve">
Digital ID:
Verify Issues in SIT:
1. </t>
    </r>
    <r>
      <rPr>
        <color rgb="FF1155CC"/>
        <u/>
      </rPr>
      <t>Taiga #952</t>
    </r>
    <r>
      <rPr>
        <color rgb="FF000000"/>
      </rPr>
      <t xml:space="preserve"> =&gt; VERIFIED
2. </t>
    </r>
    <r>
      <rPr>
        <color rgb="FF1155CC"/>
        <u/>
      </rPr>
      <t>Taiga #953</t>
    </r>
    <r>
      <rPr>
        <color rgb="FF000000"/>
      </rPr>
      <t xml:space="preserve"> =&gt; VERIFIED
3. </t>
    </r>
    <r>
      <rPr>
        <color rgb="FF1155CC"/>
        <u/>
      </rPr>
      <t>Taiga #977</t>
    </r>
    <r>
      <rPr>
        <color rgb="FF000000"/>
      </rPr>
      <t xml:space="preserve"> =&gt; VERIFIED
4. </t>
    </r>
    <r>
      <rPr>
        <color rgb="FF1155CC"/>
        <u/>
      </rPr>
      <t>Taiga #981</t>
    </r>
    <r>
      <rPr>
        <color rgb="FF000000"/>
      </rPr>
      <t xml:space="preserve"> =&gt; VERIFIED
5. </t>
    </r>
    <r>
      <rPr>
        <color rgb="FF1155CC"/>
        <u/>
      </rPr>
      <t>Taiga #790</t>
    </r>
    <r>
      <rPr>
        <color rgb="FF000000"/>
      </rPr>
      <t xml:space="preserve"> =&gt; VERIFIED
Verify Issues in PROD:
1. </t>
    </r>
    <r>
      <rPr>
        <color rgb="FF1155CC"/>
        <u/>
      </rPr>
      <t>Taiga #910</t>
    </r>
    <r>
      <rPr>
        <color rgb="FF000000"/>
      </rPr>
      <t xml:space="preserve"> =&gt; CLOSED
2. </t>
    </r>
    <r>
      <rPr>
        <color rgb="FF1155CC"/>
        <u/>
      </rPr>
      <t>Taiga #888</t>
    </r>
    <r>
      <rPr>
        <color rgb="FF000000"/>
      </rPr>
      <t xml:space="preserve"> =&gt; CLOSED
3. </t>
    </r>
    <r>
      <rPr>
        <color rgb="FF1155CC"/>
        <u/>
      </rPr>
      <t>Taiga #992</t>
    </r>
    <r>
      <rPr>
        <color rgb="FF000000"/>
      </rPr>
      <t xml:space="preserve"> =&gt; CLOSED
4. </t>
    </r>
    <r>
      <rPr>
        <color rgb="FF1155CC"/>
        <u/>
      </rPr>
      <t>Taiga #1016</t>
    </r>
    <r>
      <rPr>
        <color rgb="FF000000"/>
      </rPr>
      <t xml:space="preserve"> =&gt; CLOSED
5. </t>
    </r>
    <r>
      <rPr>
        <color rgb="FF1155CC"/>
        <u/>
      </rPr>
      <t>Taiga #1041</t>
    </r>
    <r>
      <rPr>
        <color rgb="FF000000"/>
      </rPr>
      <t xml:space="preserve"> =&gt; CLOSED
6. </t>
    </r>
    <r>
      <rPr>
        <color rgb="FF1155CC"/>
        <u/>
      </rPr>
      <t>Taiga #988</t>
    </r>
    <r>
      <rPr>
        <color rgb="FF000000"/>
      </rPr>
      <t xml:space="preserve"> =&gt; CLOSED
7. </t>
    </r>
    <r>
      <rPr>
        <color rgb="FF1155CC"/>
        <u/>
      </rPr>
      <t>Taiga #994</t>
    </r>
    <r>
      <rPr>
        <color rgb="FF000000"/>
      </rPr>
      <t xml:space="preserve"> =&gt; CLOSED
8. </t>
    </r>
    <r>
      <rPr>
        <color rgb="FF1155CC"/>
        <u/>
      </rPr>
      <t>Taiga #944</t>
    </r>
    <r>
      <rPr>
        <color rgb="FF000000"/>
      </rPr>
      <t xml:space="preserve"> =&gt; CLOSED
9.  </t>
    </r>
    <r>
      <rPr>
        <color rgb="FF1155CC"/>
        <u/>
      </rPr>
      <t>Taiga #987</t>
    </r>
    <r>
      <rPr>
        <color rgb="FF000000"/>
      </rPr>
      <t xml:space="preserve"> =&gt; CLOSED
10. </t>
    </r>
    <r>
      <rPr>
        <color rgb="FF1155CC"/>
        <u/>
      </rPr>
      <t>Taiga #975</t>
    </r>
    <r>
      <rPr>
        <color rgb="FF000000"/>
      </rPr>
      <t xml:space="preserve"> =&gt; CLOSED
11. </t>
    </r>
    <r>
      <rPr>
        <color rgb="FF1155CC"/>
        <u/>
      </rPr>
      <t>Taiga #1003</t>
    </r>
    <r>
      <rPr>
        <color rgb="FF000000"/>
      </rPr>
      <t xml:space="preserve"> =&gt; CLOSED
12. </t>
    </r>
    <r>
      <rPr>
        <color rgb="FF1155CC"/>
        <u/>
      </rPr>
      <t>Taiga #1015</t>
    </r>
    <r>
      <rPr>
        <color rgb="FF000000"/>
      </rPr>
      <t xml:space="preserve"> =&gt; CLOSED
13. </t>
    </r>
    <r>
      <rPr>
        <color rgb="FF1155CC"/>
        <u/>
      </rPr>
      <t>Taiga #1005</t>
    </r>
    <r>
      <rPr>
        <color rgb="FF000000"/>
      </rPr>
      <t xml:space="preserve"> =&gt; CLOSED
14. </t>
    </r>
    <r>
      <rPr>
        <color rgb="FF1155CC"/>
        <u/>
      </rPr>
      <t>Taiga #961</t>
    </r>
    <r>
      <rPr>
        <color rgb="FF000000"/>
      </rPr>
      <t xml:space="preserve"> =&gt; CLOSED
15. </t>
    </r>
    <r>
      <rPr>
        <color rgb="FF1155CC"/>
        <u/>
      </rPr>
      <t>Taiga #943</t>
    </r>
    <r>
      <rPr>
        <color rgb="FF000000"/>
      </rPr>
      <t xml:space="preserve"> =&gt; CLOSED
16. </t>
    </r>
    <r>
      <rPr>
        <color rgb="FF1155CC"/>
        <u/>
      </rPr>
      <t>Taiga #968</t>
    </r>
    <r>
      <rPr>
        <color rgb="FF000000"/>
      </rPr>
      <t xml:space="preserve"> =&gt; CLOSED
17. </t>
    </r>
    <r>
      <rPr>
        <color rgb="FF1155CC"/>
        <u/>
      </rPr>
      <t>Taiga #962</t>
    </r>
    <r>
      <rPr>
        <color rgb="FF000000"/>
      </rPr>
      <t xml:space="preserve"> =&gt; CLOSED
18. </t>
    </r>
    <r>
      <rPr>
        <color rgb="FF1155CC"/>
        <u/>
      </rPr>
      <t>Taiga #899</t>
    </r>
    <r>
      <rPr>
        <color rgb="FF000000"/>
      </rPr>
      <t xml:space="preserve"> =&gt; CLOSED
19. </t>
    </r>
    <r>
      <rPr>
        <color rgb="FF1155CC"/>
        <u/>
      </rPr>
      <t>Taiga #947</t>
    </r>
    <r>
      <rPr>
        <color rgb="FF000000"/>
      </rPr>
      <t xml:space="preserve"> =&gt; CLOSED
20. </t>
    </r>
    <r>
      <rPr>
        <color rgb="FF1155CC"/>
        <u/>
      </rPr>
      <t>Taiga #967</t>
    </r>
    <r>
      <rPr>
        <color rgb="FF000000"/>
      </rPr>
      <t xml:space="preserve"> =&gt; CLOSED</t>
    </r>
  </si>
  <si>
    <r>
      <rPr>
        <rFont val="Arial"/>
        <b/>
        <color rgb="FF000000"/>
      </rPr>
      <t>Digital ID:  latest deployment 30 October 6PM for Admin Portal, 31 October for User Portal</t>
    </r>
    <r>
      <rPr>
        <rFont val="Arial"/>
        <color rgb="FF000000"/>
      </rPr>
      <t xml:space="preserve">
Total card per 31 October 09:40:
</t>
    </r>
    <r>
      <rPr>
        <rFont val="Arial"/>
        <b/>
        <color rgb="FF000000"/>
        <u/>
      </rPr>
      <t>Taiga BD</t>
    </r>
    <r>
      <rPr>
        <rFont val="Arial"/>
        <color rgb="FF000000"/>
        <u/>
      </rPr>
      <t>:</t>
    </r>
    <r>
      <rPr>
        <rFont val="Arial"/>
        <color rgb="FF000000"/>
      </rPr>
      <t xml:space="preserve">
Ready for SIT (BD): 16
Ready for SIT (BD to SG) : 24
</t>
    </r>
    <r>
      <rPr>
        <rFont val="Arial"/>
        <b/>
        <color rgb="FF000000"/>
        <u/>
      </rPr>
      <t>Taiga SG</t>
    </r>
    <r>
      <rPr>
        <rFont val="Arial"/>
        <color rgb="FF000000"/>
        <u/>
      </rPr>
      <t xml:space="preserve">:
</t>
    </r>
    <r>
      <rPr>
        <rFont val="Arial"/>
        <color rgb="FF000000"/>
      </rPr>
      <t xml:space="preserve">Resolved: 9 Admin Portal, 5 User Portal, 6 Event Portal
Reopen: 1 Admin&amp;User Portal, 1 User Portal, - Event Portal, - Admin Portal
New: 3 Admin Portal, 2 User Portal, 7 Event Portal
</t>
    </r>
  </si>
  <si>
    <t>Digital ID:
1. Verify Issues in PROD</t>
  </si>
  <si>
    <t xml:space="preserve">Digital ID:
1. In-Progress
</t>
  </si>
  <si>
    <r>
      <rPr>
        <color rgb="FF000000"/>
      </rPr>
      <t xml:space="preserve">
Digital ID:
Verify Issues in PROD:
1. </t>
    </r>
    <r>
      <rPr>
        <color rgb="FF1155CC"/>
        <u/>
      </rPr>
      <t>Taiga #825</t>
    </r>
    <r>
      <rPr>
        <color rgb="FF000000"/>
      </rPr>
      <t xml:space="preserve"> =&gt; CLOSED
2. </t>
    </r>
    <r>
      <rPr>
        <color rgb="FF1155CC"/>
        <u/>
      </rPr>
      <t>Taiga #956</t>
    </r>
    <r>
      <rPr>
        <color rgb="FF000000"/>
      </rPr>
      <t xml:space="preserve"> =&gt; CLOSED
3. </t>
    </r>
    <r>
      <rPr>
        <color rgb="FF1155CC"/>
        <u/>
      </rPr>
      <t>Taiga #793</t>
    </r>
    <r>
      <rPr>
        <color rgb="FF000000"/>
      </rPr>
      <t xml:space="preserve"> =&gt; CLOSED
4. </t>
    </r>
    <r>
      <rPr>
        <color rgb="FF1155CC"/>
        <u/>
      </rPr>
      <t>Taiga #978</t>
    </r>
    <r>
      <rPr>
        <color rgb="FF000000"/>
      </rPr>
      <t xml:space="preserve"> =&gt; CLOSED
5. </t>
    </r>
    <r>
      <rPr>
        <color rgb="FF1155CC"/>
        <u/>
      </rPr>
      <t>Taiga #977</t>
    </r>
    <r>
      <rPr>
        <color rgb="FF000000"/>
      </rPr>
      <t xml:space="preserve"> =&gt; CLOSED
6. </t>
    </r>
    <r>
      <rPr>
        <color rgb="FF1155CC"/>
        <u/>
      </rPr>
      <t>Taiga #979</t>
    </r>
    <r>
      <rPr>
        <color rgb="FF000000"/>
      </rPr>
      <t xml:space="preserve"> =&gt; CLOSED
7. </t>
    </r>
    <r>
      <rPr>
        <color rgb="FF1155CC"/>
        <u/>
      </rPr>
      <t>Taiga #981</t>
    </r>
    <r>
      <rPr>
        <color rgb="FF000000"/>
      </rPr>
      <t xml:space="preserve"> =&gt; CLOSED
8. </t>
    </r>
    <r>
      <rPr>
        <color rgb="FF1155CC"/>
        <u/>
      </rPr>
      <t>Taiga #980</t>
    </r>
    <r>
      <rPr>
        <color rgb="FF000000"/>
      </rPr>
      <t xml:space="preserve"> =&gt; CLOSED
9. </t>
    </r>
    <r>
      <rPr>
        <color rgb="FF1155CC"/>
        <u/>
      </rPr>
      <t>Taiga #982</t>
    </r>
    <r>
      <rPr>
        <color rgb="FF000000"/>
      </rPr>
      <t xml:space="preserve"> =&gt; CLOSED
10. </t>
    </r>
    <r>
      <rPr>
        <color rgb="FF1155CC"/>
        <u/>
      </rPr>
      <t>Taiga #1004</t>
    </r>
    <r>
      <rPr>
        <color rgb="FF000000"/>
      </rPr>
      <t xml:space="preserve"> =&gt; CLOSED
11. </t>
    </r>
    <r>
      <rPr>
        <color rgb="FF1155CC"/>
        <u/>
      </rPr>
      <t>Taiga #1007</t>
    </r>
    <r>
      <rPr>
        <color rgb="FF000000"/>
      </rPr>
      <t xml:space="preserve"> =&gt; CLOSED
12. </t>
    </r>
    <r>
      <rPr>
        <color rgb="FF1155CC"/>
        <u/>
      </rPr>
      <t>Taiga #1037</t>
    </r>
    <r>
      <rPr>
        <color rgb="FF000000"/>
      </rPr>
      <t xml:space="preserve"> =&gt; CLOSED
13. </t>
    </r>
    <r>
      <rPr>
        <color rgb="FF1155CC"/>
        <u/>
      </rPr>
      <t>Taiga #952</t>
    </r>
    <r>
      <rPr>
        <color rgb="FF000000"/>
      </rPr>
      <t xml:space="preserve"> =&gt; CLOSED
14. </t>
    </r>
    <r>
      <rPr>
        <color rgb="FF1155CC"/>
        <u/>
      </rPr>
      <t>Taiga #1019</t>
    </r>
    <r>
      <rPr>
        <color rgb="FF000000"/>
      </rPr>
      <t xml:space="preserve"> =&gt; CLOSED
15. </t>
    </r>
    <r>
      <rPr>
        <color rgb="FF1155CC"/>
        <u/>
      </rPr>
      <t>Taiga #790</t>
    </r>
    <r>
      <rPr>
        <color rgb="FF000000"/>
      </rPr>
      <t xml:space="preserve"> =&gt; CLOSED
16. </t>
    </r>
    <r>
      <rPr>
        <color rgb="FF1155CC"/>
        <u/>
      </rPr>
      <t>Taiga #957</t>
    </r>
    <r>
      <rPr>
        <color rgb="FF000000"/>
      </rPr>
      <t xml:space="preserve"> =&gt; CLOSED
17. </t>
    </r>
    <r>
      <rPr>
        <color rgb="FF1155CC"/>
        <u/>
      </rPr>
      <t>Taiga #958</t>
    </r>
    <r>
      <rPr>
        <color rgb="FF000000"/>
      </rPr>
      <t xml:space="preserve"> =&gt; CLOSED
18. </t>
    </r>
    <r>
      <rPr>
        <color rgb="FF1155CC"/>
        <u/>
      </rPr>
      <t>Taiga #1010</t>
    </r>
    <r>
      <rPr>
        <color rgb="FF000000"/>
      </rPr>
      <t xml:space="preserve"> =&gt; CLOSED
19. </t>
    </r>
    <r>
      <rPr>
        <color rgb="FF1155CC"/>
        <u/>
      </rPr>
      <t>Taiga #960</t>
    </r>
    <r>
      <rPr>
        <color rgb="FF000000"/>
      </rPr>
      <t xml:space="preserve"> =&gt; CLOSED
20. Taiga #</t>
    </r>
  </si>
  <si>
    <r>
      <rPr>
        <rFont val="Arial"/>
        <b/>
        <color rgb="FF000000"/>
      </rPr>
      <t>Digital ID:  latest deployment 31 October</t>
    </r>
    <r>
      <rPr>
        <rFont val="Arial"/>
        <color rgb="FF000000"/>
      </rPr>
      <t xml:space="preserve">
Total card per 3 November 09:09:
</t>
    </r>
    <r>
      <rPr>
        <rFont val="Arial"/>
        <b/>
        <color rgb="FF000000"/>
        <u/>
      </rPr>
      <t>Taiga BD</t>
    </r>
    <r>
      <rPr>
        <rFont val="Arial"/>
        <color rgb="FF000000"/>
        <u/>
      </rPr>
      <t>:</t>
    </r>
    <r>
      <rPr>
        <rFont val="Arial"/>
        <color rgb="FF000000"/>
      </rPr>
      <t xml:space="preserve">
Ready for SIT (BD): 18
Ready for SIT (BD to SG) : 26
</t>
    </r>
    <r>
      <rPr>
        <rFont val="Arial"/>
        <b/>
        <color rgb="FF000000"/>
        <u/>
      </rPr>
      <t>Taiga SG</t>
    </r>
    <r>
      <rPr>
        <rFont val="Arial"/>
        <color rgb="FF000000"/>
        <u/>
      </rPr>
      <t xml:space="preserve">:
</t>
    </r>
    <r>
      <rPr>
        <rFont val="Arial"/>
        <color rgb="FF000000"/>
      </rPr>
      <t xml:space="preserve">Resolved: 9 Admin Portal, 6 User Portal, 7 Event Portal
Reopen: 1 Admin&amp;User Portal, 1 User Portal, - Event Portal, - Admin Portal
New: 3 Admin Portal, 1 User Portal, 2 Event Portal
</t>
    </r>
  </si>
  <si>
    <t>Digital ID:
1. Verify Issues in SIT
2. Verify Issues in PROD</t>
  </si>
  <si>
    <t xml:space="preserve">Digital ID:
1. In-Progress
2. DONE
</t>
  </si>
  <si>
    <r>
      <rPr>
        <color rgb="FF000000"/>
      </rPr>
      <t xml:space="preserve">
Digital ID:
Verify Issues in SIT:
1. </t>
    </r>
    <r>
      <rPr>
        <color rgb="FF1155CC"/>
        <u/>
      </rPr>
      <t>Taiga #1045</t>
    </r>
    <r>
      <rPr>
        <color rgb="FF000000"/>
      </rPr>
      <t xml:space="preserve"> =&gt; VERIFIED
2. </t>
    </r>
    <r>
      <rPr>
        <color rgb="FF1155CC"/>
        <u/>
      </rPr>
      <t>Taiga #922</t>
    </r>
    <r>
      <rPr>
        <color rgb="FF000000"/>
      </rPr>
      <t xml:space="preserve"> =&gt; VERIFIED
3. </t>
    </r>
    <r>
      <rPr>
        <color rgb="FF1155CC"/>
        <u/>
      </rPr>
      <t>Taiga #925</t>
    </r>
    <r>
      <rPr>
        <color rgb="FF000000"/>
      </rPr>
      <t xml:space="preserve"> =&gt; VERIFIED
4. </t>
    </r>
    <r>
      <rPr>
        <color rgb="FF1155CC"/>
        <u/>
      </rPr>
      <t>Taiga #1018</t>
    </r>
    <r>
      <rPr>
        <color rgb="FF000000"/>
      </rPr>
      <t xml:space="preserve"> =&gt; need confirmation
5. </t>
    </r>
    <r>
      <rPr>
        <color rgb="FF1155CC"/>
        <u/>
      </rPr>
      <t>Taiga #861</t>
    </r>
    <r>
      <rPr>
        <color rgb="FF000000"/>
      </rPr>
      <t xml:space="preserve"> =&gt; VERIFIED
6. </t>
    </r>
    <r>
      <rPr>
        <color rgb="FF1155CC"/>
        <u/>
      </rPr>
      <t>Taiga #984</t>
    </r>
    <r>
      <rPr>
        <color rgb="FF000000"/>
      </rPr>
      <t xml:space="preserve"> =&gt; VERIFIED
7. </t>
    </r>
    <r>
      <rPr>
        <color rgb="FF1155CC"/>
        <u/>
      </rPr>
      <t>Taiga #945</t>
    </r>
    <r>
      <rPr>
        <color rgb="FF000000"/>
      </rPr>
      <t xml:space="preserve"> =&gt; VERIFIED
8. </t>
    </r>
    <r>
      <rPr>
        <color rgb="FF1155CC"/>
        <u/>
      </rPr>
      <t>Taiga #873</t>
    </r>
    <r>
      <rPr>
        <color rgb="FF000000"/>
      </rPr>
      <t xml:space="preserve"> =&gt; VERIFIED
9. </t>
    </r>
    <r>
      <rPr>
        <color rgb="FF1155CC"/>
        <u/>
      </rPr>
      <t>Taiga #985</t>
    </r>
    <r>
      <rPr>
        <color rgb="FF000000"/>
      </rPr>
      <t xml:space="preserve"> =&gt; VERIFIED
Verify Issues in PROD:
1. </t>
    </r>
    <r>
      <rPr>
        <color rgb="FF1155CC"/>
        <u/>
      </rPr>
      <t>Taiga #368</t>
    </r>
    <r>
      <rPr>
        <color rgb="FF000000"/>
      </rPr>
      <t xml:space="preserve"> =&gt; CLOSED
2. </t>
    </r>
    <r>
      <rPr>
        <color rgb="FF1155CC"/>
        <u/>
      </rPr>
      <t>Taiga #955</t>
    </r>
    <r>
      <rPr>
        <color rgb="FF000000"/>
      </rPr>
      <t xml:space="preserve"> =&gt; CLOSED
3. </t>
    </r>
    <r>
      <rPr>
        <color rgb="FF1155CC"/>
        <u/>
      </rPr>
      <t>Taiga #953</t>
    </r>
    <r>
      <rPr>
        <color rgb="FF000000"/>
      </rPr>
      <t xml:space="preserve"> =&gt; CLOSED
4. </t>
    </r>
    <r>
      <rPr>
        <color rgb="FF1155CC"/>
        <u/>
      </rPr>
      <t>Taiga #1011</t>
    </r>
    <r>
      <rPr>
        <color rgb="FF000000"/>
      </rPr>
      <t xml:space="preserve"> =&gt; CLOSED
</t>
    </r>
  </si>
  <si>
    <r>
      <rPr>
        <rFont val="Arial"/>
        <b/>
        <color rgb="FF000000"/>
      </rPr>
      <t xml:space="preserve">Digital ID:  </t>
    </r>
    <r>
      <rPr>
        <rFont val="Arial"/>
        <color rgb="FF000000"/>
      </rPr>
      <t xml:space="preserve">
Total card per 4 November 08:50:
</t>
    </r>
    <r>
      <rPr>
        <rFont val="Arial"/>
        <b/>
        <color rgb="FF000000"/>
        <u/>
      </rPr>
      <t>Taiga BD</t>
    </r>
    <r>
      <rPr>
        <rFont val="Arial"/>
        <color rgb="FF000000"/>
        <u/>
      </rPr>
      <t>:</t>
    </r>
    <r>
      <rPr>
        <rFont val="Arial"/>
        <color rgb="FF000000"/>
      </rPr>
      <t xml:space="preserve">
Ready for SIT (BD): 18
Ready for SIT (BD to SG) : 30
</t>
    </r>
    <r>
      <rPr>
        <rFont val="Arial"/>
        <b/>
        <color rgb="FF000000"/>
        <u/>
      </rPr>
      <t>Taiga SG</t>
    </r>
    <r>
      <rPr>
        <rFont val="Arial"/>
        <color rgb="FF000000"/>
        <u/>
      </rPr>
      <t xml:space="preserve">:
</t>
    </r>
    <r>
      <rPr>
        <rFont val="Arial"/>
        <color rgb="FF000000"/>
      </rPr>
      <t>Resolved: 10 Admin Portal, 6 User Portal, 10 Event Portal
Reopen: 1 Admin&amp;User Portal, 1 User Portal, - Event Portal, - Admin Portal
New: 3 Admin Portal, 1 User Portal, 2 Event Portal
For Verify Issues in PROD: DONE for now, other verified issues in Taiga is not deployed yet. that one for 2.0.0 release.</t>
    </r>
  </si>
  <si>
    <t>Digital ID:
1. Testing Taiga BD with status "Ready for SIT (BD)"
2. Verify Issues in SIT
3. Test Admin Portal SIT version 2.0.0</t>
  </si>
  <si>
    <r>
      <rPr>
        <color rgb="FF000000"/>
      </rPr>
      <t xml:space="preserve">
Digital ID:
Testing Taiga BD with status "Ready for SIT (BD)":
1. </t>
    </r>
    <r>
      <rPr>
        <color rgb="FF1155CC"/>
        <u/>
      </rPr>
      <t>Taiga #792</t>
    </r>
    <r>
      <rPr>
        <color rgb="FF000000"/>
      </rPr>
      <t xml:space="preserve"> =&gt; DONE
2. </t>
    </r>
    <r>
      <rPr>
        <color rgb="FF1155CC"/>
        <u/>
      </rPr>
      <t>Taiga #724</t>
    </r>
    <r>
      <rPr>
        <color rgb="FF000000"/>
      </rPr>
      <t xml:space="preserve"> =&gt; DONE
Verify Issues in SIT:
1. </t>
    </r>
    <r>
      <rPr>
        <color rgb="FF1155CC"/>
        <u/>
      </rPr>
      <t>Taiga #1018</t>
    </r>
    <r>
      <rPr>
        <color rgb="FF000000"/>
      </rPr>
      <t xml:space="preserve"> =&gt; Reopen
</t>
    </r>
  </si>
  <si>
    <r>
      <rPr>
        <rFont val="Arial"/>
        <b/>
        <color rgb="FF000000"/>
      </rPr>
      <t xml:space="preserve">Digital ID:  </t>
    </r>
    <r>
      <rPr>
        <rFont val="Arial"/>
        <color rgb="FF000000"/>
      </rPr>
      <t xml:space="preserve">
Total card per 5 November 08:50:
</t>
    </r>
    <r>
      <rPr>
        <rFont val="Arial"/>
        <b/>
        <color rgb="FF000000"/>
        <u/>
      </rPr>
      <t>Taiga BD</t>
    </r>
    <r>
      <rPr>
        <rFont val="Arial"/>
        <color rgb="FF000000"/>
        <u/>
      </rPr>
      <t>:</t>
    </r>
    <r>
      <rPr>
        <rFont val="Arial"/>
        <color rgb="FF000000"/>
      </rPr>
      <t xml:space="preserve">
Ready for SIT (BD): 19
Ready for SIT (BD to SG) : 28
</t>
    </r>
    <r>
      <rPr>
        <rFont val="Arial"/>
        <b/>
        <color rgb="FF000000"/>
        <u/>
      </rPr>
      <t>Taiga SG</t>
    </r>
    <r>
      <rPr>
        <rFont val="Arial"/>
        <color rgb="FF000000"/>
        <u/>
      </rPr>
      <t xml:space="preserve">:
</t>
    </r>
    <r>
      <rPr>
        <rFont val="Arial"/>
        <color rgb="FF000000"/>
      </rPr>
      <t xml:space="preserve">Resolved: 8 Admin Portal, 4 User Portal, 10 Event Portal
Reopen: 1 Admin&amp;User Portal, 1 User Portal, - Event Portal, - Admin Portal
New: 2 Admin Portal, - User Portal, 2 Event Portal
</t>
    </r>
  </si>
  <si>
    <t>Digital ID:
1. Testing Taiga BD with status "Ready for SIT (BD)"
2. Test Admin Portal SIT version 2.0.0</t>
  </si>
  <si>
    <r>
      <rPr>
        <color rgb="FF000000"/>
      </rPr>
      <t xml:space="preserve">
Digital ID:
Testing Taiga BD with status "Ready for SIT (BD)":
1. </t>
    </r>
    <r>
      <rPr>
        <color rgb="FF1155CC"/>
        <u/>
      </rPr>
      <t>Taiga #684</t>
    </r>
    <r>
      <rPr>
        <color rgb="FF000000"/>
      </rPr>
      <t xml:space="preserve"> =&gt; DONE
2. </t>
    </r>
    <r>
      <rPr>
        <color rgb="FF1155CC"/>
        <u/>
      </rPr>
      <t>Taiga #659</t>
    </r>
    <r>
      <rPr>
        <color rgb="FF000000"/>
      </rPr>
      <t xml:space="preserve"> =&gt; DONE
3. </t>
    </r>
    <r>
      <rPr>
        <color rgb="FF1155CC"/>
        <u/>
      </rPr>
      <t>Taiga #683</t>
    </r>
    <r>
      <rPr>
        <color rgb="FF000000"/>
      </rPr>
      <t xml:space="preserve"> =&gt; DONE
4. </t>
    </r>
    <r>
      <rPr>
        <color rgb="FF1155CC"/>
        <u/>
      </rPr>
      <t>Taiga #624</t>
    </r>
    <r>
      <rPr>
        <color rgb="FF000000"/>
      </rPr>
      <t xml:space="preserve"> =&gt; DONE
5. </t>
    </r>
    <r>
      <rPr>
        <color rgb="FF1155CC"/>
        <u/>
      </rPr>
      <t>Taiga #721</t>
    </r>
    <r>
      <rPr>
        <color rgb="FF000000"/>
      </rPr>
      <t xml:space="preserve"> =&gt; DONE
6. </t>
    </r>
    <r>
      <rPr>
        <color rgb="FF1155CC"/>
        <u/>
      </rPr>
      <t>Taiga #761</t>
    </r>
    <r>
      <rPr>
        <color rgb="FF000000"/>
      </rPr>
      <t xml:space="preserve"> =&gt; DONE
7. </t>
    </r>
    <r>
      <rPr>
        <color rgb="FF1155CC"/>
        <u/>
      </rPr>
      <t>Taiga #604</t>
    </r>
    <r>
      <rPr>
        <color rgb="FF000000"/>
      </rPr>
      <t xml:space="preserve"> =&gt; In-Progress
</t>
    </r>
  </si>
  <si>
    <r>
      <rPr>
        <rFont val="Arial"/>
        <b/>
        <color rgb="FF000000"/>
      </rPr>
      <t xml:space="preserve">Digital ID:  </t>
    </r>
    <r>
      <rPr>
        <rFont val="Arial"/>
        <color rgb="FF000000"/>
      </rPr>
      <t xml:space="preserve">
Total card per 6 November 08:50:
</t>
    </r>
    <r>
      <rPr>
        <rFont val="Arial"/>
        <b/>
        <color rgb="FF000000"/>
        <u/>
      </rPr>
      <t>Taiga BD</t>
    </r>
    <r>
      <rPr>
        <rFont val="Arial"/>
        <color rgb="FF000000"/>
        <u/>
      </rPr>
      <t>:</t>
    </r>
    <r>
      <rPr>
        <rFont val="Arial"/>
        <color rgb="FF000000"/>
      </rPr>
      <t xml:space="preserve">
Ready for SIT (BD): 19
Ready for SIT (BD to SG) : 31
</t>
    </r>
    <r>
      <rPr>
        <rFont val="Arial"/>
        <b/>
        <color rgb="FF000000"/>
        <u/>
      </rPr>
      <t>Taiga SG</t>
    </r>
    <r>
      <rPr>
        <rFont val="Arial"/>
        <color rgb="FF000000"/>
        <u/>
      </rPr>
      <t xml:space="preserve">:
</t>
    </r>
    <r>
      <rPr>
        <rFont val="Arial"/>
        <color rgb="FF000000"/>
      </rPr>
      <t xml:space="preserve">Resolved: 10 Admin Portal, 4 User Portal, 10 Event Portal
Reopen: 1 Admin&amp;User Portal, 1 User Portal, - Event Portal, - Admin Portal
New: 4 Admin Portal, - User Portal, 2 Event Portal
</t>
    </r>
  </si>
  <si>
    <t>Digital ID:
1. Testing Taiga BD with status "Ready for SIT (BD)"
2. Test Admin Portal SIT version 2.0.0
3. Test User Portal SIT version 2.0.0</t>
  </si>
  <si>
    <t>Digital ID:
1. In-Progress
2. DONE
3. In-Progress</t>
  </si>
  <si>
    <r>
      <rPr>
        <color rgb="FF000000"/>
      </rPr>
      <t xml:space="preserve">
Digital ID:
Testing Taiga BD with status "Ready for SIT (BD)":
1. </t>
    </r>
    <r>
      <rPr>
        <color rgb="FF1155CC"/>
        <u/>
      </rPr>
      <t>Taiga #604</t>
    </r>
    <r>
      <rPr>
        <color rgb="FF000000"/>
      </rPr>
      <t xml:space="preserve"> =&gt; DONE
2. </t>
    </r>
    <r>
      <rPr>
        <color rgb="FF1155CC"/>
        <u/>
      </rPr>
      <t>Taiga #605</t>
    </r>
    <r>
      <rPr>
        <color rgb="FF000000"/>
      </rPr>
      <t xml:space="preserve"> =&gt; DONE
3. </t>
    </r>
    <r>
      <rPr>
        <color rgb="FF1155CC"/>
        <u/>
      </rPr>
      <t>Taiga #620</t>
    </r>
    <r>
      <rPr>
        <color rgb="FF000000"/>
      </rPr>
      <t xml:space="preserve"> =&gt; DONE
4. </t>
    </r>
    <r>
      <rPr>
        <color rgb="FF1155CC"/>
        <u/>
      </rPr>
      <t>Taiga #760</t>
    </r>
    <r>
      <rPr>
        <color rgb="FF000000"/>
      </rPr>
      <t xml:space="preserve"> =&gt; DONE
5. </t>
    </r>
    <r>
      <rPr>
        <color rgb="FF1155CC"/>
        <u/>
      </rPr>
      <t>Taiga #719</t>
    </r>
    <r>
      <rPr>
        <color rgb="FF000000"/>
      </rPr>
      <t xml:space="preserve"> =&gt; DONE
</t>
    </r>
  </si>
  <si>
    <r>
      <rPr>
        <rFont val="Arial"/>
        <b/>
        <color rgb="FF000000"/>
      </rPr>
      <t xml:space="preserve">Digital ID:  </t>
    </r>
    <r>
      <rPr>
        <rFont val="Arial"/>
        <color rgb="FF000000"/>
      </rPr>
      <t xml:space="preserve">
Total card per 7 November 08:50:
</t>
    </r>
    <r>
      <rPr>
        <rFont val="Arial"/>
        <b/>
        <color rgb="FF000000"/>
        <u/>
      </rPr>
      <t>Taiga BD</t>
    </r>
    <r>
      <rPr>
        <rFont val="Arial"/>
        <color rgb="FF000000"/>
        <u/>
      </rPr>
      <t>:</t>
    </r>
    <r>
      <rPr>
        <rFont val="Arial"/>
        <color rgb="FF000000"/>
      </rPr>
      <t xml:space="preserve">
Ready for SIT (BD): 15
Ready for SIT (BD to SG) : 36
</t>
    </r>
    <r>
      <rPr>
        <rFont val="Arial"/>
        <b/>
        <color rgb="FF000000"/>
        <u/>
      </rPr>
      <t>Taiga SG</t>
    </r>
    <r>
      <rPr>
        <rFont val="Arial"/>
        <color rgb="FF000000"/>
        <u/>
      </rPr>
      <t xml:space="preserve">:
</t>
    </r>
    <r>
      <rPr>
        <rFont val="Arial"/>
        <color rgb="FF000000"/>
      </rPr>
      <t xml:space="preserve">Resolved: 14 Admin Portal, 5 User Portal, 10 Event Portal
Reopen: 1 Admin&amp;User Portal, 1 User Portal, - Event Portal, - Admin Portal
New: 7 Admin Portal, - User Portal, 2 Event Portal
</t>
    </r>
  </si>
  <si>
    <t>Digital ID:
1. Test User Portal SIT version 2.0.0 - Mobile view and web</t>
  </si>
  <si>
    <t>Digital ID:
1. DONE</t>
  </si>
  <si>
    <r>
      <rPr>
        <rFont val="Arial"/>
        <b/>
        <color rgb="FF000000"/>
      </rPr>
      <t xml:space="preserve">Digital ID:  </t>
    </r>
    <r>
      <rPr>
        <rFont val="Arial"/>
        <color rgb="FF000000"/>
      </rPr>
      <t xml:space="preserve">
Total card per 10 November 08:50:
</t>
    </r>
    <r>
      <rPr>
        <rFont val="Arial"/>
        <b/>
        <color rgb="FF000000"/>
        <u/>
      </rPr>
      <t>Taiga BD</t>
    </r>
    <r>
      <rPr>
        <rFont val="Arial"/>
        <color rgb="FF000000"/>
        <u/>
      </rPr>
      <t>:</t>
    </r>
    <r>
      <rPr>
        <rFont val="Arial"/>
        <color rgb="FF000000"/>
      </rPr>
      <t xml:space="preserve">
Ready for SIT (BD): 11
Ready for SIT (BD to SG) : 40
</t>
    </r>
    <r>
      <rPr>
        <rFont val="Arial"/>
        <b/>
        <color rgb="FF000000"/>
        <u/>
      </rPr>
      <t>Taiga SG</t>
    </r>
    <r>
      <rPr>
        <rFont val="Arial"/>
        <color rgb="FF000000"/>
        <u/>
      </rPr>
      <t xml:space="preserve">:
</t>
    </r>
    <r>
      <rPr>
        <rFont val="Arial"/>
        <color rgb="FF000000"/>
      </rPr>
      <t xml:space="preserve">Resolved: 18 Admin Portal, 5 User Portal, 10 Event Portal
Reopen: 1 Admin&amp;User Portal, 1 User Portal, - Event Portal, - Admin Portal
New: 6 Admin Portal, 2 User Portal, 2 Event Portal
</t>
    </r>
  </si>
  <si>
    <t>Digital ID:
1. Testing Taiga BD with status "Ready for SIT (BD)"
2. Verify Issues in SIT
3. Test Anonymous session in User Portal</t>
  </si>
  <si>
    <r>
      <rPr>
        <color rgb="FF000000"/>
      </rPr>
      <t xml:space="preserve">
Digital ID:
Testing Taiga BD with status "Ready for SIT (BD)":
1. </t>
    </r>
    <r>
      <rPr>
        <color rgb="FF1155CC"/>
        <u/>
      </rPr>
      <t>Taiga #774</t>
    </r>
    <r>
      <rPr>
        <color rgb="FF000000"/>
      </rPr>
      <t xml:space="preserve"> =&gt; DONE
2. </t>
    </r>
    <r>
      <rPr>
        <color rgb="FF1155CC"/>
        <u/>
      </rPr>
      <t>Taiga #776</t>
    </r>
    <r>
      <rPr>
        <color rgb="FF000000"/>
      </rPr>
      <t xml:space="preserve"> =&gt; DONE
Verify Issues in SIT:
1. </t>
    </r>
    <r>
      <rPr>
        <color rgb="FF1155CC"/>
        <u/>
      </rPr>
      <t>Taiga #1025</t>
    </r>
    <r>
      <rPr>
        <color rgb="FF000000"/>
      </rPr>
      <t xml:space="preserve"> =&gt; Reopen
2. </t>
    </r>
    <r>
      <rPr>
        <color rgb="FF1155CC"/>
        <u/>
      </rPr>
      <t>Taiga #1040</t>
    </r>
    <r>
      <rPr>
        <color rgb="FF000000"/>
      </rPr>
      <t xml:space="preserve"> =&gt; VERIFIED
3. </t>
    </r>
    <r>
      <rPr>
        <color rgb="FF1155CC"/>
        <u/>
      </rPr>
      <t>Taiga #1074</t>
    </r>
    <r>
      <rPr>
        <color rgb="FF000000"/>
      </rPr>
      <t xml:space="preserve"> =&gt; VERIFIED
4. </t>
    </r>
    <r>
      <rPr>
        <color rgb="FF1155CC"/>
        <u/>
      </rPr>
      <t>Taiga #1076</t>
    </r>
    <r>
      <rPr>
        <color rgb="FF000000"/>
      </rPr>
      <t xml:space="preserve"> =&gt; VERIFIED
5. </t>
    </r>
    <r>
      <rPr>
        <color rgb="FF1155CC"/>
        <u/>
      </rPr>
      <t>Taiga #1070</t>
    </r>
    <r>
      <rPr>
        <color rgb="FF000000"/>
      </rPr>
      <t xml:space="preserve"> =&gt; VERIFIED
6. </t>
    </r>
    <r>
      <rPr>
        <color rgb="FF1155CC"/>
        <u/>
      </rPr>
      <t>Taiga #1068</t>
    </r>
    <r>
      <rPr>
        <color rgb="FF000000"/>
      </rPr>
      <t xml:space="preserve"> =&gt; VERIFIED
7. </t>
    </r>
    <r>
      <rPr>
        <color rgb="FF1155CC"/>
        <u/>
      </rPr>
      <t>Taiga #1058</t>
    </r>
    <r>
      <rPr>
        <color rgb="FF000000"/>
      </rPr>
      <t xml:space="preserve"> =&gt; VERIFIED
8. </t>
    </r>
    <r>
      <rPr>
        <color rgb="FF1155CC"/>
        <u/>
      </rPr>
      <t>Taiga #1059</t>
    </r>
    <r>
      <rPr>
        <color rgb="FF000000"/>
      </rPr>
      <t xml:space="preserve"> =&gt; VERIFIED
9. </t>
    </r>
    <r>
      <rPr>
        <color rgb="FF1155CC"/>
        <u/>
      </rPr>
      <t>Taiga #1066</t>
    </r>
    <r>
      <rPr>
        <color rgb="FF000000"/>
      </rPr>
      <t xml:space="preserve"> =&gt; VERIFIED
10. </t>
    </r>
    <r>
      <rPr>
        <color rgb="FF1155CC"/>
        <u/>
      </rPr>
      <t>Taiga #1064</t>
    </r>
    <r>
      <rPr>
        <color rgb="FF000000"/>
      </rPr>
      <t xml:space="preserve"> =&gt; VERIFIED
</t>
    </r>
  </si>
  <si>
    <r>
      <rPr>
        <rFont val="Arial"/>
        <b/>
        <color rgb="FF000000"/>
      </rPr>
      <t xml:space="preserve">Digital ID:  latest deployment SIT admin and user portal 11 November 10:50 </t>
    </r>
    <r>
      <rPr>
        <rFont val="Arial"/>
        <color rgb="FF000000"/>
      </rPr>
      <t xml:space="preserve">
Total card per 11 November 11:00:
</t>
    </r>
    <r>
      <rPr>
        <rFont val="Arial"/>
        <b/>
        <color rgb="FF000000"/>
        <u/>
      </rPr>
      <t>Taiga BD</t>
    </r>
    <r>
      <rPr>
        <rFont val="Arial"/>
        <color rgb="FF000000"/>
        <u/>
      </rPr>
      <t>:</t>
    </r>
    <r>
      <rPr>
        <rFont val="Arial"/>
        <color rgb="FF000000"/>
      </rPr>
      <t xml:space="preserve">
Ready for SIT (BD): 19
Ready for SIT (BD to SG) : 39
</t>
    </r>
    <r>
      <rPr>
        <rFont val="Arial"/>
        <b/>
        <color rgb="FF000000"/>
        <u/>
      </rPr>
      <t>Taiga SG</t>
    </r>
    <r>
      <rPr>
        <rFont val="Arial"/>
        <color rgb="FF000000"/>
        <u/>
      </rPr>
      <t xml:space="preserve">:
</t>
    </r>
    <r>
      <rPr>
        <rFont val="Arial"/>
        <color rgb="FF000000"/>
      </rPr>
      <t xml:space="preserve">Resolved: 20 Admin Portal, 9 User Portal, 10 Event Portal
Reopen: 1 Admin&amp;User Portal, 1 User Portal, - Event Portal, - Admin Portal
New: 5 Admin Portal, 5 User Portal, 2 Event Portal
</t>
    </r>
  </si>
  <si>
    <r>
      <rPr>
        <color rgb="FF000000"/>
      </rPr>
      <t xml:space="preserve">
Digital ID:
Testing Taiga BD with status "Ready for SIT (BD)":
1. </t>
    </r>
    <r>
      <rPr>
        <color rgb="FF1155CC"/>
        <u/>
      </rPr>
      <t>Taiga #775</t>
    </r>
    <r>
      <rPr>
        <color rgb="FF000000"/>
      </rPr>
      <t xml:space="preserve"> =&gt; DONE
Verify Issues in SIT:
1. </t>
    </r>
    <r>
      <rPr>
        <color rgb="FF1155CC"/>
        <u/>
      </rPr>
      <t>Taiga #1061</t>
    </r>
    <r>
      <rPr>
        <color rgb="FF000000"/>
      </rPr>
      <t xml:space="preserve"> =&gt; Reopen
2. </t>
    </r>
    <r>
      <rPr>
        <color rgb="FF1155CC"/>
        <u/>
      </rPr>
      <t>Taiga #1065</t>
    </r>
    <r>
      <rPr>
        <color rgb="FF000000"/>
      </rPr>
      <t xml:space="preserve"> =&gt; VERIFIED
3. </t>
    </r>
    <r>
      <rPr>
        <color rgb="FF1155CC"/>
        <u/>
      </rPr>
      <t>Taiga #1069</t>
    </r>
    <r>
      <rPr>
        <color rgb="FF000000"/>
      </rPr>
      <t xml:space="preserve"> =&gt; VERIFIED
4. </t>
    </r>
    <r>
      <rPr>
        <color rgb="FF1155CC"/>
        <u/>
      </rPr>
      <t>Taiga #1067</t>
    </r>
    <r>
      <rPr>
        <color rgb="FF000000"/>
      </rPr>
      <t xml:space="preserve"> =&gt; VERIFIED
5. </t>
    </r>
    <r>
      <rPr>
        <color rgb="FF1155CC"/>
        <u/>
      </rPr>
      <t>Taiga #1071</t>
    </r>
    <r>
      <rPr>
        <color rgb="FF000000"/>
      </rPr>
      <t xml:space="preserve"> =&gt; VERIFIED
6. </t>
    </r>
    <r>
      <rPr>
        <color rgb="FF1155CC"/>
        <u/>
      </rPr>
      <t>Taiga #1024</t>
    </r>
    <r>
      <rPr>
        <color rgb="FF000000"/>
      </rPr>
      <t xml:space="preserve"> =&gt; Reopen
7. </t>
    </r>
    <r>
      <rPr>
        <color rgb="FF1155CC"/>
        <u/>
      </rPr>
      <t>Taiga #1073</t>
    </r>
    <r>
      <rPr>
        <color rgb="FF000000"/>
      </rPr>
      <t xml:space="preserve"> =&gt; Reopen
</t>
    </r>
  </si>
  <si>
    <r>
      <rPr>
        <rFont val="Arial"/>
        <b/>
        <color rgb="FF000000"/>
      </rPr>
      <t xml:space="preserve">Digital ID:  </t>
    </r>
    <r>
      <rPr>
        <rFont val="Arial"/>
        <color rgb="FF000000"/>
      </rPr>
      <t xml:space="preserve">
Total card per 12 November 08:45:
</t>
    </r>
    <r>
      <rPr>
        <rFont val="Arial"/>
        <b/>
        <color rgb="FF000000"/>
        <u/>
      </rPr>
      <t>Taiga BD</t>
    </r>
    <r>
      <rPr>
        <rFont val="Arial"/>
        <color rgb="FF000000"/>
        <u/>
      </rPr>
      <t>:</t>
    </r>
    <r>
      <rPr>
        <rFont val="Arial"/>
        <color rgb="FF000000"/>
      </rPr>
      <t xml:space="preserve">
Ready for SIT (BD): 17
Ready for SIT (BD to SG) : 37
</t>
    </r>
    <r>
      <rPr>
        <rFont val="Arial"/>
        <b/>
        <color rgb="FF000000"/>
        <u/>
      </rPr>
      <t>Taiga SG</t>
    </r>
    <r>
      <rPr>
        <rFont val="Arial"/>
        <color rgb="FF000000"/>
        <u/>
      </rPr>
      <t xml:space="preserve">:
</t>
    </r>
    <r>
      <rPr>
        <rFont val="Arial"/>
        <color rgb="FF000000"/>
      </rPr>
      <t xml:space="preserve">Resolved: 18 Admin Portal, 9 User Portal, 10 Event Portal
Reopen: 1 Admin&amp;User Portal, - User Portal, - Event Portal, - Admin Portal
New: 3 Admin Portal, 1 User Portal, 2 Event Portal
</t>
    </r>
  </si>
  <si>
    <t>Digital ID:
1. Testing Taiga BD with status "Ready for SIT (BD)"
2. Test Tenant 
3. Checking Reset behaviour and upload image in Tenant, Client and Employee Update
4. Test session expired in Admin Portal</t>
  </si>
  <si>
    <t>Digital ID:
1. In-Progress
2. DONE
3. DONE
4. In-Progress</t>
  </si>
  <si>
    <r>
      <rPr>
        <color rgb="FF000000"/>
      </rPr>
      <t xml:space="preserve">
Digital ID:
Testing Taiga BD with status "Ready for SIT (BD)":
1. </t>
    </r>
    <r>
      <rPr>
        <color rgb="FF1155CC"/>
        <u/>
      </rPr>
      <t>Taiga #618</t>
    </r>
    <r>
      <rPr>
        <color rgb="FF000000"/>
      </rPr>
      <t xml:space="preserve"> =&gt; DONE
2. </t>
    </r>
    <r>
      <rPr>
        <color rgb="FF1155CC"/>
        <u/>
      </rPr>
      <t>Taiga #619</t>
    </r>
    <r>
      <rPr>
        <color rgb="FF000000"/>
      </rPr>
      <t xml:space="preserve"> =&gt; DONE</t>
    </r>
  </si>
  <si>
    <r>
      <rPr>
        <rFont val="Arial"/>
        <b/>
        <color rgb="FF000000"/>
      </rPr>
      <t xml:space="preserve">Digital ID:  </t>
    </r>
    <r>
      <rPr>
        <rFont val="Arial"/>
        <color rgb="FF000000"/>
      </rPr>
      <t xml:space="preserve">
Total card per 13 November 08:50:
</t>
    </r>
    <r>
      <rPr>
        <rFont val="Arial"/>
        <b/>
        <color rgb="FF000000"/>
        <u/>
      </rPr>
      <t>Taiga BD</t>
    </r>
    <r>
      <rPr>
        <rFont val="Arial"/>
        <color rgb="FF000000"/>
        <u/>
      </rPr>
      <t>:</t>
    </r>
    <r>
      <rPr>
        <rFont val="Arial"/>
        <color rgb="FF000000"/>
      </rPr>
      <t xml:space="preserve">
Ready for SIT (BD): 16
Ready for SIT (BD to SG) : 31
</t>
    </r>
    <r>
      <rPr>
        <rFont val="Arial"/>
        <b/>
        <color rgb="FF000000"/>
        <u/>
      </rPr>
      <t>Taiga SG</t>
    </r>
    <r>
      <rPr>
        <rFont val="Arial"/>
        <color rgb="FF000000"/>
        <u/>
      </rPr>
      <t xml:space="preserve">:
</t>
    </r>
    <r>
      <rPr>
        <rFont val="Arial"/>
        <color rgb="FF000000"/>
      </rPr>
      <t xml:space="preserve">Resolved: 13 Admin Portal, 9 User Portal, 10 Event Portal
Reopen: 1 Admin&amp;User Portal, - User Portal, - Event Portal, 2 Admin Portal
New: 3 Admin Portal, 1 User Portal, 2 Event Portal
</t>
    </r>
  </si>
  <si>
    <t xml:space="preserve">Digital ID:
1. Testing Taiga BD with status "Ready for SIT (BD)"
2. Verify Issues in SIT
3. Checking issue in Account Registration SIT
4. Test session expired in Admin Portal
</t>
  </si>
  <si>
    <r>
      <rPr>
        <color rgb="FF000000"/>
      </rPr>
      <t xml:space="preserve">
Digital ID:
Testing Taiga BD with status "Ready for SIT (BD)":
1. </t>
    </r>
    <r>
      <rPr>
        <color rgb="FF1155CC"/>
        <u/>
      </rPr>
      <t>Taiga #791</t>
    </r>
    <r>
      <rPr>
        <color rgb="FF000000"/>
      </rPr>
      <t xml:space="preserve"> =&gt; In-Progress
Verify Issues in SIT:
1. </t>
    </r>
    <r>
      <rPr>
        <color rgb="FF1155CC"/>
        <u/>
      </rPr>
      <t>Taiga #912</t>
    </r>
    <r>
      <rPr>
        <color rgb="FF000000"/>
      </rPr>
      <t xml:space="preserve"> =&gt; VERIFIED
2. </t>
    </r>
    <r>
      <rPr>
        <color rgb="FF1155CC"/>
        <u/>
      </rPr>
      <t>Taiga #1023</t>
    </r>
    <r>
      <rPr>
        <color rgb="FF000000"/>
      </rPr>
      <t xml:space="preserve"> =&gt; VERIFIED
3. </t>
    </r>
    <r>
      <rPr>
        <color rgb="FF1155CC"/>
        <u/>
      </rPr>
      <t>Taiga #1022</t>
    </r>
    <r>
      <rPr>
        <color rgb="FF000000"/>
      </rPr>
      <t xml:space="preserve"> =&gt;  Reopen
4. </t>
    </r>
    <r>
      <rPr>
        <color rgb="FF1155CC"/>
        <u/>
      </rPr>
      <t>Taiga #1002</t>
    </r>
    <r>
      <rPr>
        <color rgb="FF000000"/>
      </rPr>
      <t xml:space="preserve"> =&gt;  In-Progress
</t>
    </r>
  </si>
  <si>
    <r>
      <rPr>
        <rFont val="Arial"/>
        <b/>
        <color rgb="FF000000"/>
      </rPr>
      <t>Digital ID:  waiting for latest deployment for Admin and User Portal in SIT</t>
    </r>
    <r>
      <rPr>
        <rFont val="Arial"/>
        <color rgb="FF000000"/>
      </rPr>
      <t xml:space="preserve">
Total card per 14 November 08:50:
</t>
    </r>
    <r>
      <rPr>
        <rFont val="Arial"/>
        <b/>
        <color rgb="FF000000"/>
        <u/>
      </rPr>
      <t>Taiga BD</t>
    </r>
    <r>
      <rPr>
        <rFont val="Arial"/>
        <color rgb="FF000000"/>
        <u/>
      </rPr>
      <t>:</t>
    </r>
    <r>
      <rPr>
        <rFont val="Arial"/>
        <color rgb="FF000000"/>
      </rPr>
      <t xml:space="preserve">
Ready for SIT (BD): 17
Ready for SIT (BD to SG) : 37
</t>
    </r>
    <r>
      <rPr>
        <rFont val="Arial"/>
        <b/>
        <color rgb="FF000000"/>
        <u/>
      </rPr>
      <t>Taiga SG</t>
    </r>
    <r>
      <rPr>
        <rFont val="Arial"/>
        <color rgb="FF000000"/>
        <u/>
      </rPr>
      <t xml:space="preserve">:
</t>
    </r>
    <r>
      <rPr>
        <rFont val="Arial"/>
        <color rgb="FF000000"/>
      </rPr>
      <t xml:space="preserve">Resolved: 16 Admin Portal,  11User Portal, 10 Event Portal
Reopen: 1 Admin&amp;User Portal, - User Portal, - Event Portal, - Admin Portal
New: 9 Admin Portal, - User Portal, 2 Event Portal
</t>
    </r>
  </si>
  <si>
    <r>
      <rPr>
        <color rgb="FF000000"/>
      </rPr>
      <t xml:space="preserve">
Digital ID:
Testing Taiga BD with status "Ready for SIT (BD)":
1. </t>
    </r>
    <r>
      <rPr>
        <color rgb="FF1155CC"/>
        <u/>
      </rPr>
      <t>Taiga #791</t>
    </r>
    <r>
      <rPr>
        <color rgb="FF000000"/>
      </rPr>
      <t xml:space="preserve"> =&gt; DONE
2. Taiga #
Verify Issues in SIT:
1. </t>
    </r>
    <r>
      <rPr>
        <color rgb="FF1155CC"/>
        <u/>
      </rPr>
      <t>Taiga #1002</t>
    </r>
    <r>
      <rPr>
        <color rgb="FF000000"/>
      </rPr>
      <t xml:space="preserve"> =&gt; VERIFIED
2. </t>
    </r>
    <r>
      <rPr>
        <color rgb="FF1155CC"/>
        <u/>
      </rPr>
      <t>Taiga #1097</t>
    </r>
    <r>
      <rPr>
        <color rgb="FF000000"/>
      </rPr>
      <t xml:space="preserve"> =&gt; VERIFIED
3. </t>
    </r>
    <r>
      <rPr>
        <color rgb="FF1155CC"/>
        <u/>
      </rPr>
      <t>Taiga #1098</t>
    </r>
    <r>
      <rPr>
        <color rgb="FF000000"/>
      </rPr>
      <t xml:space="preserve"> =&gt; VERIFIED
4. </t>
    </r>
    <r>
      <rPr>
        <color rgb="FF1155CC"/>
        <u/>
      </rPr>
      <t>Taiga #1092</t>
    </r>
    <r>
      <rPr>
        <color rgb="FF000000"/>
      </rPr>
      <t xml:space="preserve"> =&gt; VERIFIED
5. </t>
    </r>
    <r>
      <rPr>
        <color rgb="FF1155CC"/>
        <u/>
      </rPr>
      <t>Taiga #1091</t>
    </r>
    <r>
      <rPr>
        <color rgb="FF000000"/>
      </rPr>
      <t xml:space="preserve"> =&gt; VERIFIED
6. </t>
    </r>
    <r>
      <rPr>
        <color rgb="FF1155CC"/>
        <u/>
      </rPr>
      <t>Taiga #1090</t>
    </r>
    <r>
      <rPr>
        <color rgb="FF000000"/>
      </rPr>
      <t xml:space="preserve"> =&gt; Reopen
7. </t>
    </r>
    <r>
      <rPr>
        <color rgb="FF1155CC"/>
        <u/>
      </rPr>
      <t>Taiga #1061</t>
    </r>
    <r>
      <rPr>
        <color rgb="FF000000"/>
      </rPr>
      <t xml:space="preserve"> =&gt; VERIFIED
8. </t>
    </r>
    <r>
      <rPr>
        <color rgb="FF1155CC"/>
        <u/>
      </rPr>
      <t>Taiga #1034</t>
    </r>
    <r>
      <rPr>
        <color rgb="FF000000"/>
      </rPr>
      <t xml:space="preserve"> =&gt; VERIFIED
9. </t>
    </r>
    <r>
      <rPr>
        <color rgb="FF1155CC"/>
        <u/>
      </rPr>
      <t>Taiga #1063</t>
    </r>
    <r>
      <rPr>
        <color rgb="FF000000"/>
      </rPr>
      <t xml:space="preserve"> =&gt; VERIFIED
10. Taiga #
</t>
    </r>
  </si>
  <si>
    <r>
      <rPr>
        <rFont val="Arial"/>
        <b/>
        <color rgb="FF000000"/>
      </rPr>
      <t>Digital ID:  latest deployment Admin and User Portal SIT 17 November 14:45</t>
    </r>
    <r>
      <rPr>
        <rFont val="Arial"/>
        <color rgb="FF000000"/>
      </rPr>
      <t xml:space="preserve">
Total card per 17 November 08:40:
</t>
    </r>
    <r>
      <rPr>
        <rFont val="Arial"/>
        <b/>
        <color rgb="FF000000"/>
        <u/>
      </rPr>
      <t>Taiga BD</t>
    </r>
    <r>
      <rPr>
        <rFont val="Arial"/>
        <color rgb="FF000000"/>
        <u/>
      </rPr>
      <t>:</t>
    </r>
    <r>
      <rPr>
        <rFont val="Arial"/>
        <color rgb="FF000000"/>
      </rPr>
      <t xml:space="preserve">
Ready for SIT (BD): 18
Ready for SIT (BD to SG) : 38
</t>
    </r>
    <r>
      <rPr>
        <rFont val="Arial"/>
        <b/>
        <color rgb="FF000000"/>
        <u/>
      </rPr>
      <t>Taiga SG</t>
    </r>
    <r>
      <rPr>
        <rFont val="Arial"/>
        <color rgb="FF000000"/>
        <u/>
      </rPr>
      <t xml:space="preserve">:
</t>
    </r>
    <r>
      <rPr>
        <rFont val="Arial"/>
        <color rgb="FF000000"/>
      </rPr>
      <t xml:space="preserve">Resolved: 15 Admin Portal, 13 User Portal, 10 Event Portal
Reopen: 1 Admin&amp;User Portal, - User Portal, - Event Portal, - Admin Portal
New: 6 Admin Portal,  User Portal, 2 Event Portal
</t>
    </r>
  </si>
  <si>
    <t xml:space="preserve">Digital ID:
1. Testing Taiga BD with status "Ready for SIT (BD)"
2. Verify Issues in SIT
3. Check create and update client
</t>
  </si>
  <si>
    <r>
      <rPr>
        <color rgb="FF000000"/>
      </rPr>
      <t xml:space="preserve">
Digital ID:
Testing Taiga BD with status "Ready for SIT (BD)":
1. </t>
    </r>
    <r>
      <rPr>
        <color rgb="FF1155CC"/>
        <u/>
      </rPr>
      <t>Taiga #834</t>
    </r>
    <r>
      <rPr>
        <color rgb="FF000000"/>
      </rPr>
      <t xml:space="preserve"> =&gt; DONE
Verify Issues in SIT:
1. </t>
    </r>
    <r>
      <rPr>
        <color rgb="FF1155CC"/>
        <u/>
      </rPr>
      <t>Taiga #1082</t>
    </r>
    <r>
      <rPr>
        <color rgb="FF000000"/>
      </rPr>
      <t xml:space="preserve"> =&gt; VERIFIED
2. </t>
    </r>
    <r>
      <rPr>
        <color rgb="FF1155CC"/>
        <u/>
      </rPr>
      <t>Taiga #1062</t>
    </r>
    <r>
      <rPr>
        <color rgb="FF000000"/>
      </rPr>
      <t xml:space="preserve"> =&gt; Reopen
3. </t>
    </r>
    <r>
      <rPr>
        <color rgb="FF1155CC"/>
        <u/>
      </rPr>
      <t>Taiga #1087</t>
    </r>
    <r>
      <rPr>
        <color rgb="FF000000"/>
      </rPr>
      <t xml:space="preserve"> =&gt; VERIFIED
4. </t>
    </r>
    <r>
      <rPr>
        <color rgb="FF1155CC"/>
        <u/>
      </rPr>
      <t>Taiga #1024</t>
    </r>
    <r>
      <rPr>
        <color rgb="FF000000"/>
      </rPr>
      <t xml:space="preserve"> =&gt; VERIFIED
5. </t>
    </r>
    <r>
      <rPr>
        <color rgb="FF1155CC"/>
        <u/>
      </rPr>
      <t>Taiga #1073</t>
    </r>
    <r>
      <rPr>
        <color rgb="FF000000"/>
      </rPr>
      <t xml:space="preserve"> =&gt; Need confirmation
6. </t>
    </r>
    <r>
      <rPr>
        <color rgb="FF1155CC"/>
        <u/>
      </rPr>
      <t>Taiga #1075</t>
    </r>
    <r>
      <rPr>
        <color rgb="FF000000"/>
      </rPr>
      <t xml:space="preserve"> =&gt; VERIFIED
7. </t>
    </r>
    <r>
      <rPr>
        <color rgb="FF1155CC"/>
        <u/>
      </rPr>
      <t>Taiga #1096</t>
    </r>
    <r>
      <rPr>
        <color rgb="FF000000"/>
      </rPr>
      <t xml:space="preserve"> =&gt; Reopen
</t>
    </r>
  </si>
  <si>
    <r>
      <rPr>
        <rFont val="Arial"/>
        <b/>
        <color rgb="FF000000"/>
      </rPr>
      <t>Digital ID:  latest deployment 18 November 2025 at 14:59 for User and Admin Portal</t>
    </r>
    <r>
      <rPr>
        <rFont val="Arial"/>
        <color rgb="FF000000"/>
      </rPr>
      <t xml:space="preserve">
Total card per 18 November 08:45:
</t>
    </r>
    <r>
      <rPr>
        <rFont val="Arial"/>
        <b/>
        <color rgb="FF000000"/>
        <u/>
      </rPr>
      <t>Taiga BD</t>
    </r>
    <r>
      <rPr>
        <rFont val="Arial"/>
        <color rgb="FF000000"/>
        <u/>
      </rPr>
      <t>:</t>
    </r>
    <r>
      <rPr>
        <rFont val="Arial"/>
        <color rgb="FF000000"/>
      </rPr>
      <t xml:space="preserve">
Ready for SIT (BD): 18
Ready for SIT (BD to SG) : 35
</t>
    </r>
    <r>
      <rPr>
        <rFont val="Arial"/>
        <b/>
        <color rgb="FF000000"/>
        <u/>
      </rPr>
      <t>Taiga SG</t>
    </r>
    <r>
      <rPr>
        <rFont val="Arial"/>
        <color rgb="FF000000"/>
        <u/>
      </rPr>
      <t xml:space="preserve">:
</t>
    </r>
    <r>
      <rPr>
        <rFont val="Arial"/>
        <color rgb="FF000000"/>
      </rPr>
      <t xml:space="preserve">Resolved: 11 Admin Portal, 14 User Portal, 10 Event Portal
Reopen: 1 Admin&amp;User Portal, - User Portal, - Event Portal, - Admin Portal
New: 4 Admin Portal, - User Portal, 2 Event Portal
</t>
    </r>
  </si>
  <si>
    <t>Digital ID:
1. Check upload in create employee and update employee
2. Verify Issues in SIT</t>
  </si>
  <si>
    <t>Digital ID:
1. Done
2. In-Progress</t>
  </si>
  <si>
    <r>
      <rPr>
        <color rgb="FF000000"/>
      </rPr>
      <t xml:space="preserve">
Digital ID:
Verify Issues in SIT:
1. </t>
    </r>
    <r>
      <rPr>
        <color rgb="FF1155CC"/>
        <u/>
      </rPr>
      <t>Taiga #1073</t>
    </r>
    <r>
      <rPr>
        <color rgb="FF000000"/>
      </rPr>
      <t xml:space="preserve"> =&gt; Reopen
2. </t>
    </r>
    <r>
      <rPr>
        <color rgb="FF1155CC"/>
        <u/>
      </rPr>
      <t>Taiga #1096</t>
    </r>
    <r>
      <rPr>
        <color rgb="FF000000"/>
      </rPr>
      <t xml:space="preserve"> =&gt; Reopen
3. </t>
    </r>
    <r>
      <rPr>
        <color rgb="FF1155CC"/>
        <u/>
      </rPr>
      <t>Taiga #1090</t>
    </r>
    <r>
      <rPr>
        <color rgb="FF000000"/>
      </rPr>
      <t xml:space="preserve"> =&gt; VERIFIED
4. </t>
    </r>
    <r>
      <rPr>
        <color rgb="FF1155CC"/>
        <u/>
      </rPr>
      <t>Taiga #1105</t>
    </r>
    <r>
      <rPr>
        <color rgb="FF000000"/>
      </rPr>
      <t xml:space="preserve"> =&gt; Reopen because there is some new changes
5. </t>
    </r>
    <r>
      <rPr>
        <color rgb="FF1155CC"/>
        <u/>
      </rPr>
      <t>Taiga #1100</t>
    </r>
    <r>
      <rPr>
        <color rgb="FF000000"/>
      </rPr>
      <t xml:space="preserve"> =&gt; VERIFIED
6. </t>
    </r>
    <r>
      <rPr>
        <color rgb="FF1155CC"/>
        <u/>
      </rPr>
      <t>Taiga #1101</t>
    </r>
    <r>
      <rPr>
        <color rgb="FF000000"/>
      </rPr>
      <t xml:space="preserve"> =&gt; VERIFIED
</t>
    </r>
  </si>
  <si>
    <r>
      <rPr>
        <rFont val="Arial"/>
        <b/>
        <color rgb="FF000000"/>
      </rPr>
      <t xml:space="preserve">Digital ID:  </t>
    </r>
    <r>
      <rPr>
        <rFont val="Arial"/>
        <color rgb="FF000000"/>
      </rPr>
      <t xml:space="preserve">
Total card per 19 November 08:50:
</t>
    </r>
    <r>
      <rPr>
        <rFont val="Arial"/>
        <b/>
        <color rgb="FF000000"/>
        <u/>
      </rPr>
      <t>Taiga BD</t>
    </r>
    <r>
      <rPr>
        <rFont val="Arial"/>
        <color rgb="FF000000"/>
        <u/>
      </rPr>
      <t>:</t>
    </r>
    <r>
      <rPr>
        <rFont val="Arial"/>
        <color rgb="FF000000"/>
      </rPr>
      <t xml:space="preserve">
Ready for SIT (BD): 18
Ready for SIT (BD to SG) : 33
</t>
    </r>
    <r>
      <rPr>
        <rFont val="Arial"/>
        <b/>
        <color rgb="FF000000"/>
        <u/>
      </rPr>
      <t>Taiga SG</t>
    </r>
    <r>
      <rPr>
        <rFont val="Arial"/>
        <color rgb="FF000000"/>
        <u/>
      </rPr>
      <t xml:space="preserve">:
</t>
    </r>
    <r>
      <rPr>
        <rFont val="Arial"/>
        <color rgb="FF000000"/>
      </rPr>
      <t xml:space="preserve">Resolved: 9 Admin Portal, 14 User Portal, 10 Event Portal
Reopen: 1 Admin&amp;User Portal, - User Portal, - Event Portal, 1 Admin Portal
New: 7 Admin Portal, - User Portal, 2 Event Portal
</t>
    </r>
  </si>
  <si>
    <t>Digital ID:
1. Testing Taiga BD with status "Ready for SIT (BD)"
2. Verify Issues in SIT
3. Test Event Portal after deployment for Hot-Fix
4. Verify Event Portal Hot-fix Issue in PROD</t>
  </si>
  <si>
    <r>
      <rPr>
        <color rgb="FF000000"/>
      </rPr>
      <t xml:space="preserve">
Digital ID:
Testing Taiga BD with status "Ready for SIT (BD)":
1. </t>
    </r>
    <r>
      <rPr>
        <color rgb="FF1155CC"/>
        <u/>
      </rPr>
      <t>Taiga #748</t>
    </r>
    <r>
      <rPr>
        <color rgb="FF000000"/>
      </rPr>
      <t xml:space="preserve"> =&gt; DONE
Verify Issues in SIT:
1. </t>
    </r>
    <r>
      <rPr>
        <color rgb="FF1155CC"/>
        <u/>
      </rPr>
      <t>Taiga #1114</t>
    </r>
    <r>
      <rPr>
        <color rgb="FF000000"/>
      </rPr>
      <t xml:space="preserve"> =&gt; VERIFIED
2. </t>
    </r>
    <r>
      <rPr>
        <color rgb="FF1155CC"/>
        <u/>
      </rPr>
      <t>Taiga #1073</t>
    </r>
    <r>
      <rPr>
        <color rgb="FF000000"/>
      </rPr>
      <t xml:space="preserve"> =&gt; VERIFIED
3. </t>
    </r>
    <r>
      <rPr>
        <color rgb="FF1155CC"/>
        <u/>
      </rPr>
      <t>Taiga #1112</t>
    </r>
    <r>
      <rPr>
        <color rgb="FF000000"/>
      </rPr>
      <t xml:space="preserve"> =&gt; VERIFIED
4. </t>
    </r>
    <r>
      <rPr>
        <color rgb="FF1155CC"/>
        <u/>
      </rPr>
      <t>Taiga #1111</t>
    </r>
    <r>
      <rPr>
        <color rgb="FF000000"/>
      </rPr>
      <t xml:space="preserve"> =&gt; waiting confirmation from Ridho as the issue still happened in SIT
5. </t>
    </r>
    <r>
      <rPr>
        <color rgb="FF1155CC"/>
        <u/>
      </rPr>
      <t>Taiga #1081</t>
    </r>
    <r>
      <rPr>
        <color rgb="FF000000"/>
      </rPr>
      <t xml:space="preserve"> =&gt; VERIFIED
6. </t>
    </r>
    <r>
      <rPr>
        <color rgb="FF1155CC"/>
        <u/>
      </rPr>
      <t>Taiga #1096</t>
    </r>
    <r>
      <rPr>
        <color rgb="FF000000"/>
      </rPr>
      <t xml:space="preserve"> =&gt; Reopen
Verify Issues in PROD:
1. </t>
    </r>
    <r>
      <rPr>
        <color rgb="FF1155CC"/>
        <u/>
      </rPr>
      <t>Taiga #1114</t>
    </r>
    <r>
      <rPr>
        <color rgb="FF000000"/>
      </rPr>
      <t xml:space="preserve"> =&gt; CLOSED
</t>
    </r>
  </si>
  <si>
    <r>
      <rPr>
        <rFont val="Arial"/>
        <b/>
        <color rgb="FF000000"/>
      </rPr>
      <t>Digital ID:  latest deployment SIT 20 November 13:20</t>
    </r>
    <r>
      <rPr>
        <rFont val="Arial"/>
        <color rgb="FF000000"/>
      </rPr>
      <t xml:space="preserve">
Total card per 20 November 08:50:
</t>
    </r>
    <r>
      <rPr>
        <rFont val="Arial"/>
        <b/>
        <color rgb="FF000000"/>
        <u/>
      </rPr>
      <t>Taiga BD</t>
    </r>
    <r>
      <rPr>
        <rFont val="Arial"/>
        <color rgb="FF000000"/>
        <u/>
      </rPr>
      <t>:</t>
    </r>
    <r>
      <rPr>
        <rFont val="Arial"/>
        <color rgb="FF000000"/>
      </rPr>
      <t xml:space="preserve">
Ready for SIT (BD): 19
Ready for SIT (BD to SG) : 31
</t>
    </r>
    <r>
      <rPr>
        <rFont val="Arial"/>
        <b/>
        <color rgb="FF000000"/>
        <u/>
      </rPr>
      <t>Taiga SG</t>
    </r>
    <r>
      <rPr>
        <rFont val="Arial"/>
        <color rgb="FF000000"/>
        <u/>
      </rPr>
      <t xml:space="preserve">:
</t>
    </r>
    <r>
      <rPr>
        <rFont val="Arial"/>
        <color rgb="FF000000"/>
      </rPr>
      <t xml:space="preserve">Resolved: 7 Admin Portal, 14 User Portal, 10 Event Portal
Reopen: 1 Admin&amp;User Portal, - User Portal, - Event Portal, 1 Admin Portal
New: 7 Admin Portal, - User Portal, 3 Event Portal
</t>
    </r>
  </si>
  <si>
    <t>Digital ID:
1. Verify Issues in SIT</t>
  </si>
  <si>
    <t>Digital ID:
1. In-Progress</t>
  </si>
  <si>
    <r>
      <rPr>
        <color rgb="FF000000"/>
      </rPr>
      <t xml:space="preserve">
Digital ID:
Verify Issues in SIT:
1. </t>
    </r>
    <r>
      <rPr>
        <color rgb="FF1155CC"/>
        <u/>
      </rPr>
      <t>Taiga #1047</t>
    </r>
    <r>
      <rPr>
        <color rgb="FF000000"/>
      </rPr>
      <t xml:space="preserve"> =&gt; VERIFIED
2. </t>
    </r>
    <r>
      <rPr>
        <color rgb="FF1155CC"/>
        <u/>
      </rPr>
      <t>Taiga #1014</t>
    </r>
    <r>
      <rPr>
        <color rgb="FF000000"/>
      </rPr>
      <t xml:space="preserve"> =&gt; VERIFIED
3. </t>
    </r>
    <r>
      <rPr>
        <color rgb="FF1155CC"/>
        <u/>
      </rPr>
      <t>Taiga #1017</t>
    </r>
    <r>
      <rPr>
        <color rgb="FF000000"/>
      </rPr>
      <t xml:space="preserve"> =&gt; VERIFIED
4. </t>
    </r>
    <r>
      <rPr>
        <color rgb="FF1155CC"/>
        <u/>
      </rPr>
      <t>Taiga #1111</t>
    </r>
    <r>
      <rPr>
        <color rgb="FF000000"/>
      </rPr>
      <t xml:space="preserve"> =&gt; Reopen
5. </t>
    </r>
    <r>
      <rPr>
        <color rgb="FF1155CC"/>
        <u/>
      </rPr>
      <t>Taiga #1013</t>
    </r>
    <r>
      <rPr>
        <color rgb="FF000000"/>
      </rPr>
      <t xml:space="preserve"> =&gt; VERIFIED
6. </t>
    </r>
    <r>
      <rPr>
        <color rgb="FF1155CC"/>
        <u/>
      </rPr>
      <t>Taiga #1000</t>
    </r>
    <r>
      <rPr>
        <color rgb="FF000000"/>
      </rPr>
      <t xml:space="preserve"> =&gt; VERIFIED
7. </t>
    </r>
    <r>
      <rPr>
        <color rgb="FF1155CC"/>
        <u/>
      </rPr>
      <t>Taiga #974</t>
    </r>
    <r>
      <rPr>
        <color rgb="FF000000"/>
      </rPr>
      <t xml:space="preserve"> =&gt; VERIFIED
8. </t>
    </r>
    <r>
      <rPr>
        <color rgb="FF1155CC"/>
        <u/>
      </rPr>
      <t>Taiga #1009</t>
    </r>
    <r>
      <rPr>
        <color rgb="FF000000"/>
      </rPr>
      <t xml:space="preserve"> =&gt; Reopen
9. </t>
    </r>
    <r>
      <rPr>
        <color rgb="FF1155CC"/>
        <u/>
      </rPr>
      <t>Taiga #1008</t>
    </r>
    <r>
      <rPr>
        <color rgb="FF000000"/>
      </rPr>
      <t xml:space="preserve"> =&gt; VERIFIED
10. </t>
    </r>
    <r>
      <rPr>
        <color rgb="FF1155CC"/>
        <u/>
      </rPr>
      <t>Taiga #976</t>
    </r>
    <r>
      <rPr>
        <color rgb="FF000000"/>
      </rPr>
      <t xml:space="preserve"> =&gt; Reopen
11. </t>
    </r>
    <r>
      <rPr>
        <color rgb="FF1155CC"/>
        <u/>
      </rPr>
      <t>Taiga #1038</t>
    </r>
    <r>
      <rPr>
        <color rgb="FF000000"/>
      </rPr>
      <t xml:space="preserve"> =&gt; VERIFIED
12. </t>
    </r>
    <r>
      <rPr>
        <color rgb="FF1155CC"/>
        <u/>
      </rPr>
      <t>Taiga #1096</t>
    </r>
    <r>
      <rPr>
        <color rgb="FF000000"/>
      </rPr>
      <t xml:space="preserve"> =&gt; VERIFIED
13. </t>
    </r>
    <r>
      <rPr>
        <color rgb="FF1155CC"/>
        <u/>
      </rPr>
      <t>Taiga #1080</t>
    </r>
    <r>
      <rPr>
        <color rgb="FF000000"/>
      </rPr>
      <t xml:space="preserve"> =&gt; VERIFIED
14. </t>
    </r>
    <r>
      <rPr>
        <color rgb="FF1155CC"/>
        <u/>
      </rPr>
      <t>Taiga #668</t>
    </r>
    <r>
      <rPr>
        <color rgb="FF000000"/>
      </rPr>
      <t xml:space="preserve"> =&gt; VERIFIED
15. </t>
    </r>
    <r>
      <rPr>
        <color rgb="FF1155CC"/>
        <u/>
      </rPr>
      <t>Taiga #1123</t>
    </r>
    <r>
      <rPr>
        <color rgb="FF000000"/>
      </rPr>
      <t xml:space="preserve"> =&gt; VERIFIED
16. </t>
    </r>
    <r>
      <rPr>
        <color rgb="FF1155CC"/>
        <u/>
      </rPr>
      <t>Taiga #1119</t>
    </r>
    <r>
      <rPr>
        <color rgb="FF000000"/>
      </rPr>
      <t xml:space="preserve"> =&gt; VERIFIED
17. </t>
    </r>
    <r>
      <rPr>
        <color rgb="FF1155CC"/>
        <u/>
      </rPr>
      <t>Taiga #1113</t>
    </r>
    <r>
      <rPr>
        <color rgb="FF000000"/>
      </rPr>
      <t xml:space="preserve"> =&gt; Reopen
</t>
    </r>
  </si>
  <si>
    <r>
      <rPr>
        <rFont val="Arial"/>
        <b/>
        <color rgb="FF000000"/>
      </rPr>
      <t>Digital ID:  latest deployment on 21 November 2025 at 15:24</t>
    </r>
    <r>
      <rPr>
        <rFont val="Arial"/>
        <color rgb="FF000000"/>
      </rPr>
      <t xml:space="preserve">
Total card per 21 November 08:50:
</t>
    </r>
    <r>
      <rPr>
        <rFont val="Arial"/>
        <b/>
        <color rgb="FF000000"/>
        <u/>
      </rPr>
      <t>Taiga BD</t>
    </r>
    <r>
      <rPr>
        <rFont val="Arial"/>
        <color rgb="FF000000"/>
        <u/>
      </rPr>
      <t>:</t>
    </r>
    <r>
      <rPr>
        <rFont val="Arial"/>
        <color rgb="FF000000"/>
      </rPr>
      <t xml:space="preserve">
Ready for SIT (BD): 18
Ready for SIT (BD to SG) : 28
</t>
    </r>
    <r>
      <rPr>
        <rFont val="Arial"/>
        <b/>
        <color rgb="FF000000"/>
        <u/>
      </rPr>
      <t>Taiga SG</t>
    </r>
    <r>
      <rPr>
        <rFont val="Arial"/>
        <color rgb="FF000000"/>
        <u/>
      </rPr>
      <t xml:space="preserve">:
</t>
    </r>
    <r>
      <rPr>
        <rFont val="Arial"/>
        <color rgb="FF000000"/>
      </rPr>
      <t xml:space="preserve">Resolved: 9 Admin Portal, 12 User Portal, 10 Event Portal
Reopen: 1 Admin&amp;User Portal, 1 User Portal, - Event Portal, 1 Admin Portal
New: 5 Admin Portal,  User Portal, 3 Event Portal
</t>
    </r>
  </si>
  <si>
    <r>
      <rPr>
        <color rgb="FF000000"/>
      </rPr>
      <t xml:space="preserve">
Digital ID:
Testing Taiga BD with status "Ready for SIT (BD)":
1. </t>
    </r>
    <r>
      <rPr>
        <color rgb="FF1155CC"/>
        <u/>
      </rPr>
      <t>Taiga #784</t>
    </r>
    <r>
      <rPr>
        <color rgb="FF000000"/>
      </rPr>
      <t xml:space="preserve"> =&gt; DONE
2. Taiga #
Verify Issues in SIT:
1. </t>
    </r>
    <r>
      <rPr>
        <color rgb="FF1155CC"/>
        <u/>
      </rPr>
      <t>Taiga #1078</t>
    </r>
    <r>
      <rPr>
        <color rgb="FF000000"/>
      </rPr>
      <t xml:space="preserve"> =&gt; VERIFIED
2. </t>
    </r>
    <r>
      <rPr>
        <color rgb="FF1155CC"/>
        <u/>
      </rPr>
      <t>Taiga #1077</t>
    </r>
    <r>
      <rPr>
        <color rgb="FF000000"/>
      </rPr>
      <t xml:space="preserve"> =&gt; Reopen
3. </t>
    </r>
    <r>
      <rPr>
        <color rgb="FF1155CC"/>
        <u/>
      </rPr>
      <t>Taiga #1085</t>
    </r>
    <r>
      <rPr>
        <color rgb="FF000000"/>
      </rPr>
      <t xml:space="preserve"> =&gt; VERIFIED
4. </t>
    </r>
    <r>
      <rPr>
        <color rgb="FF1155CC"/>
        <u/>
      </rPr>
      <t>Taiga #1083</t>
    </r>
    <r>
      <rPr>
        <color rgb="FF000000"/>
      </rPr>
      <t xml:space="preserve"> =&gt; VERIFIED
5. </t>
    </r>
    <r>
      <rPr>
        <color rgb="FF1155CC"/>
        <u/>
      </rPr>
      <t>Taiga #1084</t>
    </r>
    <r>
      <rPr>
        <color rgb="FF000000"/>
      </rPr>
      <t xml:space="preserve"> =&gt; VERIFIED
6. </t>
    </r>
    <r>
      <rPr>
        <color rgb="FF1155CC"/>
        <u/>
      </rPr>
      <t>Taiga #1109</t>
    </r>
    <r>
      <rPr>
        <color rgb="FF000000"/>
      </rPr>
      <t xml:space="preserve"> =&gt; VERIFIED
7. </t>
    </r>
    <r>
      <rPr>
        <color rgb="FF1155CC"/>
        <u/>
      </rPr>
      <t>Taiga #1110</t>
    </r>
    <r>
      <rPr>
        <color rgb="FF000000"/>
      </rPr>
      <t xml:space="preserve"> =&gt; VERIFIED
8. Taiga #
</t>
    </r>
  </si>
  <si>
    <r>
      <rPr>
        <rFont val="Arial"/>
        <b/>
        <color rgb="FF000000"/>
      </rPr>
      <t xml:space="preserve">Digital ID:  </t>
    </r>
    <r>
      <rPr>
        <rFont val="Arial"/>
        <color rgb="FF000000"/>
      </rPr>
      <t xml:space="preserve">
Total card per 24 November 08:50:
</t>
    </r>
    <r>
      <rPr>
        <rFont val="Arial"/>
        <b/>
        <color rgb="FF000000"/>
        <u/>
      </rPr>
      <t>Taiga BD</t>
    </r>
    <r>
      <rPr>
        <rFont val="Arial"/>
        <color rgb="FF000000"/>
        <u/>
      </rPr>
      <t>:</t>
    </r>
    <r>
      <rPr>
        <rFont val="Arial"/>
        <color rgb="FF000000"/>
      </rPr>
      <t xml:space="preserve">
Ready for SIT (BD): 18
Ready for SIT (BD to SG) : 22
</t>
    </r>
    <r>
      <rPr>
        <rFont val="Arial"/>
        <b/>
        <color rgb="FF000000"/>
        <u/>
      </rPr>
      <t>Taiga SG</t>
    </r>
    <r>
      <rPr>
        <rFont val="Arial"/>
        <color rgb="FF000000"/>
        <u/>
      </rPr>
      <t xml:space="preserve">:
</t>
    </r>
    <r>
      <rPr>
        <rFont val="Arial"/>
        <color rgb="FF000000"/>
      </rPr>
      <t xml:space="preserve">Resolved: 12 Admin Portal, 10 User Portal, - Event Portal
Reopen: 1 Admin&amp;User Portal, - User Portal, 2 Event Portal, 2 Admin Portal
New: 2 Admin Portal,  User Portal, 4 Event Portal
</t>
    </r>
  </si>
  <si>
    <t>Digital ID:
1. Verify Issues in SIT
2. Test Admin Portal
3. Test User Portal</t>
  </si>
  <si>
    <r>
      <rPr>
        <color rgb="FF000000"/>
      </rPr>
      <t xml:space="preserve">
Digital ID:
Verify Issues in SIT:
1. </t>
    </r>
    <r>
      <rPr>
        <color rgb="FF1155CC"/>
        <u/>
      </rPr>
      <t>Taiga #976</t>
    </r>
    <r>
      <rPr>
        <color rgb="FF000000"/>
      </rPr>
      <t xml:space="preserve"> =&gt; VERIFIED
2. </t>
    </r>
    <r>
      <rPr>
        <color rgb="FF1155CC"/>
        <u/>
      </rPr>
      <t>Taiga #1115</t>
    </r>
    <r>
      <rPr>
        <color rgb="FF000000"/>
      </rPr>
      <t xml:space="preserve"> =&gt; VERIFIED
3. </t>
    </r>
    <r>
      <rPr>
        <color rgb="FF1155CC"/>
        <u/>
      </rPr>
      <t>Taiga #1063</t>
    </r>
    <r>
      <rPr>
        <color rgb="FF000000"/>
      </rPr>
      <t xml:space="preserve"> =&gt; Reopen
4. </t>
    </r>
    <r>
      <rPr>
        <color rgb="FF1155CC"/>
        <u/>
      </rPr>
      <t>Taiga #1128</t>
    </r>
    <r>
      <rPr>
        <color rgb="FF000000"/>
      </rPr>
      <t xml:space="preserve"> =&gt; VERIFIED
5. </t>
    </r>
    <r>
      <rPr>
        <color rgb="FF1155CC"/>
        <u/>
      </rPr>
      <t>Taiga #1111</t>
    </r>
    <r>
      <rPr>
        <color rgb="FF000000"/>
      </rPr>
      <t xml:space="preserve"> =&gt; VERIFIED
6. </t>
    </r>
    <r>
      <rPr>
        <color rgb="FF1155CC"/>
        <u/>
      </rPr>
      <t>Taiga #1022</t>
    </r>
    <r>
      <rPr>
        <color rgb="FF000000"/>
      </rPr>
      <t xml:space="preserve"> =&gt; Reopen
7. </t>
    </r>
    <r>
      <rPr>
        <color rgb="FF1155CC"/>
        <u/>
      </rPr>
      <t>Taiga #1105</t>
    </r>
    <r>
      <rPr>
        <color rgb="FF000000"/>
      </rPr>
      <t xml:space="preserve"> =&gt; VERIFIED
</t>
    </r>
  </si>
  <si>
    <r>
      <rPr>
        <rFont val="Arial"/>
        <b/>
        <color rgb="FF000000"/>
      </rPr>
      <t>Digital ID:  latest deployment in SIT 24 November 2025 at 17:38 &amp; 25 November at 14:30</t>
    </r>
    <r>
      <rPr>
        <rFont val="Arial"/>
        <color rgb="FF000000"/>
      </rPr>
      <t xml:space="preserve">
Total card per 25 November 08:50:
</t>
    </r>
    <r>
      <rPr>
        <rFont val="Arial"/>
        <b/>
        <color rgb="FF000000"/>
        <u/>
      </rPr>
      <t>Taiga BD</t>
    </r>
    <r>
      <rPr>
        <rFont val="Arial"/>
        <color rgb="FF000000"/>
        <u/>
      </rPr>
      <t>:</t>
    </r>
    <r>
      <rPr>
        <rFont val="Arial"/>
        <color rgb="FF000000"/>
      </rPr>
      <t xml:space="preserve">
Ready for SIT (BD): 18
Ready for SIT (BD to SG) : 20
</t>
    </r>
    <r>
      <rPr>
        <rFont val="Arial"/>
        <b/>
        <color rgb="FF000000"/>
        <u/>
      </rPr>
      <t>Taiga SG</t>
    </r>
    <r>
      <rPr>
        <rFont val="Arial"/>
        <color rgb="FF000000"/>
        <u/>
      </rPr>
      <t xml:space="preserve">:
</t>
    </r>
    <r>
      <rPr>
        <rFont val="Arial"/>
        <color rgb="FF000000"/>
      </rPr>
      <t xml:space="preserve">Resolved: 14 Admin Portal, 5 User Portal, 3 Event Portal
Reopen: 1 Admin&amp;User Portal, 1 User Portal, 2 Event Portal, - Admin Portal
New: 2 Admin Portal,  User Portal, 1 Event Portal
</t>
    </r>
  </si>
  <si>
    <t>Digital ID:
1. Testing Taiga BD with status "Ready for SIT (BD)"
2. Verify Issues in SIT
3. Test User Portal
4. Test Event Portal</t>
  </si>
  <si>
    <t>Digital ID:
1. In-Progress
2. In-Progress
3. DONE
4. In-Progress</t>
  </si>
  <si>
    <r>
      <rPr>
        <color rgb="FF000000"/>
      </rPr>
      <t xml:space="preserve">
Digital ID:
Testing Taiga BD with status "Ready for SIT (BD)":
1. </t>
    </r>
    <r>
      <rPr>
        <color rgb="FF1155CC"/>
        <u/>
      </rPr>
      <t>Taiga #846</t>
    </r>
    <r>
      <rPr>
        <color rgb="FF000000"/>
      </rPr>
      <t xml:space="preserve"> =&gt; DONE
2. </t>
    </r>
    <r>
      <rPr>
        <color rgb="FF1155CC"/>
        <u/>
      </rPr>
      <t>Taiga #854</t>
    </r>
    <r>
      <rPr>
        <color rgb="FF000000"/>
      </rPr>
      <t xml:space="preserve"> =&gt; DONE
3. </t>
    </r>
    <r>
      <rPr>
        <color rgb="FF1155CC"/>
        <u/>
      </rPr>
      <t>Taiga #785</t>
    </r>
    <r>
      <rPr>
        <color rgb="FF000000"/>
      </rPr>
      <t xml:space="preserve"> =&gt; DONE
Verify Issues in SIT:
1. </t>
    </r>
    <r>
      <rPr>
        <color rgb="FF1155CC"/>
        <u/>
      </rPr>
      <t>Taiga #1131</t>
    </r>
    <r>
      <rPr>
        <color rgb="FF000000"/>
      </rPr>
      <t xml:space="preserve"> =&gt; VERIFIED
2. </t>
    </r>
    <r>
      <rPr>
        <color rgb="FF1155CC"/>
        <u/>
      </rPr>
      <t>Taiga #1137</t>
    </r>
    <r>
      <rPr>
        <color rgb="FF000000"/>
      </rPr>
      <t xml:space="preserve"> =&gt; VERIFIED
3. </t>
    </r>
    <r>
      <rPr>
        <color rgb="FF1155CC"/>
        <u/>
      </rPr>
      <t>Taiga #1062</t>
    </r>
    <r>
      <rPr>
        <color rgb="FF000000"/>
      </rPr>
      <t xml:space="preserve"> =&gt; VERIFIED
4. </t>
    </r>
    <r>
      <rPr>
        <color rgb="FF1155CC"/>
        <u/>
      </rPr>
      <t>Taiga #1129</t>
    </r>
    <r>
      <rPr>
        <color rgb="FF000000"/>
      </rPr>
      <t xml:space="preserve"> =&gt; VERIFIED
5. </t>
    </r>
    <r>
      <rPr>
        <color rgb="FF1155CC"/>
        <u/>
      </rPr>
      <t>Taiga #1134</t>
    </r>
    <r>
      <rPr>
        <color rgb="FF000000"/>
      </rPr>
      <t xml:space="preserve"> =&gt; VERIFIED
6. </t>
    </r>
    <r>
      <rPr>
        <color rgb="FF1155CC"/>
        <u/>
      </rPr>
      <t>Taiga #1113</t>
    </r>
    <r>
      <rPr>
        <color rgb="FF000000"/>
      </rPr>
      <t xml:space="preserve"> =&gt; VERIFIED
7. </t>
    </r>
    <r>
      <rPr>
        <color rgb="FF1155CC"/>
        <u/>
      </rPr>
      <t>Taiga #1079</t>
    </r>
    <r>
      <rPr>
        <color rgb="FF000000"/>
      </rPr>
      <t xml:space="preserve"> =&gt; VERIFIED
8. </t>
    </r>
    <r>
      <rPr>
        <color rgb="FF1155CC"/>
        <u/>
      </rPr>
      <t>Taiga #1089</t>
    </r>
    <r>
      <rPr>
        <color rgb="FF000000"/>
      </rPr>
      <t xml:space="preserve"> =&gt; VERIFIED
9. </t>
    </r>
    <r>
      <rPr>
        <color rgb="FF1155CC"/>
        <u/>
      </rPr>
      <t>Taiga #1118</t>
    </r>
    <r>
      <rPr>
        <color rgb="FF000000"/>
      </rPr>
      <t xml:space="preserve"> =&gt; VERIFIED
10. </t>
    </r>
    <r>
      <rPr>
        <color rgb="FF1155CC"/>
        <u/>
      </rPr>
      <t>Taiga #1130</t>
    </r>
    <r>
      <rPr>
        <color rgb="FF000000"/>
      </rPr>
      <t xml:space="preserve"> =&gt; VERIFIED
11. </t>
    </r>
    <r>
      <rPr>
        <color rgb="FF1155CC"/>
        <u/>
      </rPr>
      <t>Taiga #1072</t>
    </r>
    <r>
      <rPr>
        <color rgb="FF000000"/>
      </rPr>
      <t xml:space="preserve"> =&gt; VERIFIED
12. Taiga #
</t>
    </r>
  </si>
  <si>
    <r>
      <rPr>
        <rFont val="Arial"/>
        <b/>
        <color rgb="FF000000"/>
      </rPr>
      <t>Digital ID:  latest deployment 26 November 10:32</t>
    </r>
    <r>
      <rPr>
        <rFont val="Arial"/>
        <color rgb="FF000000"/>
      </rPr>
      <t xml:space="preserve">
Total card per 26 November 08:50:
</t>
    </r>
    <r>
      <rPr>
        <rFont val="Arial"/>
        <b/>
        <color rgb="FF000000"/>
        <u/>
      </rPr>
      <t>Taiga BD</t>
    </r>
    <r>
      <rPr>
        <rFont val="Arial"/>
        <color rgb="FF000000"/>
        <u/>
      </rPr>
      <t>:</t>
    </r>
    <r>
      <rPr>
        <rFont val="Arial"/>
        <color rgb="FF000000"/>
      </rPr>
      <t xml:space="preserve">
Ready for SIT (BD): 19
Ready for SIT (BD to SG) : 20
</t>
    </r>
    <r>
      <rPr>
        <rFont val="Arial"/>
        <b/>
        <color rgb="FF000000"/>
        <u/>
      </rPr>
      <t>Taiga SG</t>
    </r>
    <r>
      <rPr>
        <rFont val="Arial"/>
        <color rgb="FF000000"/>
        <u/>
      </rPr>
      <t xml:space="preserve">:
</t>
    </r>
    <r>
      <rPr>
        <rFont val="Arial"/>
        <color rgb="FF000000"/>
      </rPr>
      <t xml:space="preserve">Resolved: 10 Admin Portal, 5 User Portal, 1 Event Portal
Reopen: 1 Admin&amp;User Portal, 1 User Portal, 1 Event Portal, 2 Admin Portal
New: 8 Admin Portal,  User Portal, 2 Event Portal
</t>
    </r>
  </si>
  <si>
    <r>
      <rPr>
        <rFont val="Arial"/>
        <strike/>
        <color theme="1"/>
      </rPr>
      <t xml:space="preserve">8
</t>
    </r>
    <r>
      <rPr>
        <rFont val="Arial"/>
        <color theme="1"/>
      </rPr>
      <t>6</t>
    </r>
  </si>
  <si>
    <t>Digital ID:
1. Testing Taiga BD with status "Ready for SIT (BD)"
2. Verify Issues in SIT
3. Test Event Portal
IDH-Mobile:
1. Verify Issue</t>
  </si>
  <si>
    <t>Digital ID:
1. In-Progress
2. In-Progress
3. In-Progress
IDH-Mobile:
1. DONE</t>
  </si>
  <si>
    <r>
      <rPr>
        <color rgb="FF000000"/>
      </rPr>
      <t xml:space="preserve">
</t>
    </r>
    <r>
      <rPr>
        <b/>
        <color rgb="FF000000"/>
      </rPr>
      <t>Digital ID:</t>
    </r>
    <r>
      <rPr>
        <color rgb="FF000000"/>
      </rPr>
      <t xml:space="preserve">
Testing Taiga BD with status "Ready for SIT (BD)":
1. </t>
    </r>
    <r>
      <rPr>
        <color rgb="FF1155CC"/>
        <u/>
      </rPr>
      <t>Taiga #732</t>
    </r>
    <r>
      <rPr>
        <color rgb="FF000000"/>
      </rPr>
      <t xml:space="preserve"> =&gt; DONE
2. </t>
    </r>
    <r>
      <rPr>
        <color rgb="FF1155CC"/>
        <u/>
      </rPr>
      <t>Taiga #783</t>
    </r>
    <r>
      <rPr>
        <color rgb="FF000000"/>
      </rPr>
      <t xml:space="preserve"> =&gt; DONE
3. Taiga #
Verify Issues in SIT:
1. </t>
    </r>
    <r>
      <rPr>
        <color rgb="FF1155CC"/>
        <u/>
      </rPr>
      <t>Taiga #1120</t>
    </r>
    <r>
      <rPr>
        <color rgb="FF000000"/>
      </rPr>
      <t xml:space="preserve"> =&gt; VERIFIED
2. Taiga #
</t>
    </r>
    <r>
      <rPr>
        <b/>
        <color rgb="FF000000"/>
      </rPr>
      <t>IDH-Mobile:</t>
    </r>
    <r>
      <rPr>
        <color rgb="FF000000"/>
      </rPr>
      <t xml:space="preserve">
1. </t>
    </r>
    <r>
      <rPr>
        <color rgb="FF1155CC"/>
        <u/>
      </rPr>
      <t>Taiga #231</t>
    </r>
    <r>
      <rPr>
        <color rgb="FF000000"/>
      </rPr>
      <t xml:space="preserve"> =&gt; still happened</t>
    </r>
  </si>
  <si>
    <r>
      <rPr>
        <rFont val="Arial"/>
        <b/>
        <color rgb="FF000000"/>
      </rPr>
      <t xml:space="preserve">Digital ID:  </t>
    </r>
    <r>
      <rPr>
        <rFont val="Arial"/>
        <color rgb="FF000000"/>
      </rPr>
      <t xml:space="preserve">
Total card per 27 November 08:50:
</t>
    </r>
    <r>
      <rPr>
        <rFont val="Arial"/>
        <b/>
        <color rgb="FF000000"/>
        <u/>
      </rPr>
      <t>Taiga BD</t>
    </r>
    <r>
      <rPr>
        <rFont val="Arial"/>
        <color rgb="FF000000"/>
        <u/>
      </rPr>
      <t>:</t>
    </r>
    <r>
      <rPr>
        <rFont val="Arial"/>
        <color rgb="FF000000"/>
      </rPr>
      <t xml:space="preserve">
Ready for SIT (BD): 18
Ready for SIT (BD to SG) : 18
</t>
    </r>
    <r>
      <rPr>
        <rFont val="Arial"/>
        <b/>
        <color rgb="FF000000"/>
        <u/>
      </rPr>
      <t>Taiga SG</t>
    </r>
    <r>
      <rPr>
        <rFont val="Arial"/>
        <color rgb="FF000000"/>
        <u/>
      </rPr>
      <t xml:space="preserve">:
</t>
    </r>
    <r>
      <rPr>
        <rFont val="Arial"/>
        <color rgb="FF000000"/>
      </rPr>
      <t xml:space="preserve">Resolved: 10 Admin Portal, 5 User Portal, 1 Event Portal
Reopen: 1 Admin&amp;User Portal, 1 User Portal, 1 Event Portal, 1 Admin Portal
New: 6 Admin Portal, - User Portal, 2 Event Portal
</t>
    </r>
    <r>
      <rPr>
        <rFont val="Arial"/>
        <b/>
        <color rgb="FF000000"/>
      </rPr>
      <t xml:space="preserve">IDH-Mobile:
</t>
    </r>
    <r>
      <rPr>
        <rFont val="Arial"/>
        <color rgb="FF000000"/>
      </rPr>
      <t>app version :  
Android : 2.0.73 (137) 
iOS : 0.1.4 (533)</t>
    </r>
  </si>
  <si>
    <t xml:space="preserve">Digital ID:
1. Testing Taiga BD with status "Ready for SIT (BD)"
2. Test Event Portal
</t>
  </si>
  <si>
    <r>
      <rPr>
        <color rgb="FF000000"/>
      </rPr>
      <t xml:space="preserve">
Digital ID:
Testing Taiga BD with status "Ready for SIT (BD)":
1. </t>
    </r>
    <r>
      <rPr>
        <color rgb="FF1155CC"/>
        <u/>
      </rPr>
      <t>Taiga #781</t>
    </r>
    <r>
      <rPr>
        <color rgb="FF000000"/>
      </rPr>
      <t xml:space="preserve"> =&gt; DONE
2. </t>
    </r>
    <r>
      <rPr>
        <color rgb="FF1155CC"/>
        <u/>
      </rPr>
      <t>Taiga #780</t>
    </r>
    <r>
      <rPr>
        <color rgb="FF000000"/>
      </rPr>
      <t xml:space="preserve"> =&gt; DONE
3. </t>
    </r>
    <r>
      <rPr>
        <color rgb="FF1155CC"/>
        <u/>
      </rPr>
      <t>Taiga #782</t>
    </r>
    <r>
      <rPr>
        <color rgb="FF000000"/>
      </rPr>
      <t xml:space="preserve"> =&gt; DONE
4. </t>
    </r>
    <r>
      <rPr>
        <color rgb="FF1155CC"/>
        <u/>
      </rPr>
      <t>Taiga #786</t>
    </r>
    <r>
      <rPr>
        <color rgb="FF000000"/>
      </rPr>
      <t xml:space="preserve"> =&gt; DONE
</t>
    </r>
  </si>
  <si>
    <r>
      <rPr>
        <rFont val="Arial"/>
        <b/>
        <color rgb="FF000000"/>
      </rPr>
      <t xml:space="preserve">Digital ID:  </t>
    </r>
    <r>
      <rPr>
        <rFont val="Arial"/>
        <color rgb="FF000000"/>
      </rPr>
      <t xml:space="preserve">
Total card per 28 November 08:50:
</t>
    </r>
    <r>
      <rPr>
        <rFont val="Arial"/>
        <b/>
        <color rgb="FF000000"/>
        <u/>
      </rPr>
      <t>Taiga BD</t>
    </r>
    <r>
      <rPr>
        <rFont val="Arial"/>
        <color rgb="FF000000"/>
        <u/>
      </rPr>
      <t>:</t>
    </r>
    <r>
      <rPr>
        <rFont val="Arial"/>
        <color rgb="FF000000"/>
      </rPr>
      <t xml:space="preserve">
Ready for SIT (BD): 16
Ready for SIT (BD to SG) : 18
</t>
    </r>
    <r>
      <rPr>
        <rFont val="Arial"/>
        <b/>
        <color rgb="FF000000"/>
        <u/>
      </rPr>
      <t>Taiga SG</t>
    </r>
    <r>
      <rPr>
        <rFont val="Arial"/>
        <color rgb="FF000000"/>
        <u/>
      </rPr>
      <t xml:space="preserve">:
</t>
    </r>
    <r>
      <rPr>
        <rFont val="Arial"/>
        <color rgb="FF000000"/>
      </rPr>
      <t xml:space="preserve">Resolved: 10 Admin Portal, 5 User Portal,  Event Portal
Reopen: 1 Admin&amp;User Portal, 1 User Portal, 1 Event Portal, 1 Admin Portal
New: 6 Admin Portal,  User Portal, 4 Event Portal
</t>
    </r>
  </si>
  <si>
    <t>Digital ID:
1. Testing Taiga BD with status "Ready for SIT (BD)"
2. Verify Issues in SIT
3. Test Admin Portal</t>
  </si>
  <si>
    <r>
      <rPr>
        <color rgb="FF000000"/>
      </rPr>
      <t xml:space="preserve">
Digital ID:
Testing Taiga BD with status "Ready for SIT (BD)":
1. </t>
    </r>
    <r>
      <rPr>
        <color rgb="FF1155CC"/>
        <u/>
      </rPr>
      <t>Taiga #830</t>
    </r>
    <r>
      <rPr>
        <color rgb="FF000000"/>
      </rPr>
      <t xml:space="preserve"> =&gt; DONE
2. </t>
    </r>
    <r>
      <rPr>
        <color rgb="FF1155CC"/>
        <u/>
      </rPr>
      <t>Taiga #787</t>
    </r>
    <r>
      <rPr>
        <color rgb="FF000000"/>
      </rPr>
      <t xml:space="preserve"> =&gt; DONE
3. </t>
    </r>
    <r>
      <rPr>
        <color rgb="FF1155CC"/>
        <u/>
      </rPr>
      <t>Taiga #677</t>
    </r>
    <r>
      <rPr>
        <color rgb="FF000000"/>
      </rPr>
      <t xml:space="preserve"> =&gt; DONE
4. </t>
    </r>
    <r>
      <rPr>
        <color rgb="FF1155CC"/>
        <u/>
      </rPr>
      <t>Taiga #837</t>
    </r>
    <r>
      <rPr>
        <color rgb="FF000000"/>
      </rPr>
      <t xml:space="preserve"> =&gt; DONE
5. Taiga #
Verify Issues in SIT:
1. </t>
    </r>
    <r>
      <rPr>
        <color rgb="FF1155CC"/>
        <u/>
      </rPr>
      <t>Taiga #1135</t>
    </r>
    <r>
      <rPr>
        <color rgb="FF000000"/>
      </rPr>
      <t xml:space="preserve"> =&gt; VERIFIED
2. </t>
    </r>
    <r>
      <rPr>
        <color rgb="FF1155CC"/>
        <u/>
      </rPr>
      <t>Taiga #1145</t>
    </r>
    <r>
      <rPr>
        <color rgb="FF000000"/>
      </rPr>
      <t xml:space="preserve"> =&gt; VERIFIED
3. </t>
    </r>
    <r>
      <rPr>
        <color rgb="FF1155CC"/>
        <u/>
      </rPr>
      <t>Taiga #1141</t>
    </r>
    <r>
      <rPr>
        <color rgb="FF000000"/>
      </rPr>
      <t xml:space="preserve"> =&gt; VERIFIED
4. Taiga #
</t>
    </r>
  </si>
  <si>
    <r>
      <rPr>
        <rFont val="Arial"/>
        <b/>
        <color rgb="FF000000"/>
      </rPr>
      <t xml:space="preserve">Digital ID:  latest deployment in SIT on 1 December -&gt; version: Admin Portal: Version 2.0.0-20251128 - 2.0.0.20251128, Event Portal: </t>
    </r>
    <r>
      <rPr>
        <rFont val="Arial"/>
        <color rgb="FF000000"/>
      </rPr>
      <t xml:space="preserve">
Total card per 1 December 08:50:
</t>
    </r>
    <r>
      <rPr>
        <rFont val="Arial"/>
        <b/>
        <color rgb="FF000000"/>
        <u/>
      </rPr>
      <t>Taiga BD</t>
    </r>
    <r>
      <rPr>
        <rFont val="Arial"/>
        <color rgb="FF000000"/>
        <u/>
      </rPr>
      <t>:</t>
    </r>
    <r>
      <rPr>
        <rFont val="Arial"/>
        <color rgb="FF000000"/>
      </rPr>
      <t xml:space="preserve">
Ready for SIT (BD): 11
Ready for SIT (BD to SG) : 30
</t>
    </r>
    <r>
      <rPr>
        <rFont val="Arial"/>
        <b/>
        <color rgb="FF000000"/>
        <u/>
      </rPr>
      <t>Taiga SG</t>
    </r>
    <r>
      <rPr>
        <rFont val="Arial"/>
        <color rgb="FF000000"/>
        <u/>
      </rPr>
      <t xml:space="preserve">:
</t>
    </r>
    <r>
      <rPr>
        <rFont val="Arial"/>
        <color rgb="FF000000"/>
      </rPr>
      <t>Resolved: 17 Admin Portal, 6 User Portal, 6 Event Portal
Reopen: 1 Admin&amp;User Portal, - User Portal, - Event Portal, - Admin Portal
New: 2 Admin Portal, 1 User Portal, 6 Event Portal
Taiga #787 =&gt; did not know how to test the recaptcha, just check that in share event page there is recaptcha</t>
    </r>
  </si>
  <si>
    <t>Digital ID:
1. Verify Issues in SIT
2. Test Admin Portal</t>
  </si>
  <si>
    <r>
      <rPr>
        <color rgb="FF000000"/>
      </rPr>
      <t xml:space="preserve">
Digital ID:
Verify Issues in SIT:
1. </t>
    </r>
    <r>
      <rPr>
        <color rgb="FF1155CC"/>
        <u/>
      </rPr>
      <t>Taiga #1136</t>
    </r>
    <r>
      <rPr>
        <color rgb="FF000000"/>
      </rPr>
      <t xml:space="preserve"> =&gt; VERIFIED
2. </t>
    </r>
    <r>
      <rPr>
        <color rgb="FF1155CC"/>
        <u/>
      </rPr>
      <t>Taiga #1093</t>
    </r>
    <r>
      <rPr>
        <color rgb="FF000000"/>
      </rPr>
      <t xml:space="preserve"> =&gt; VERIFIED
3. </t>
    </r>
    <r>
      <rPr>
        <color rgb="FF1155CC"/>
        <u/>
      </rPr>
      <t>Taiga #1095</t>
    </r>
    <r>
      <rPr>
        <color rgb="FF000000"/>
      </rPr>
      <t xml:space="preserve"> =&gt; VERIFIED
4. </t>
    </r>
    <r>
      <rPr>
        <color rgb="FF1155CC"/>
        <u/>
      </rPr>
      <t>Taiga #1143</t>
    </r>
    <r>
      <rPr>
        <color rgb="FF000000"/>
      </rPr>
      <t xml:space="preserve"> =&gt; VERIFIED
5. </t>
    </r>
    <r>
      <rPr>
        <color rgb="FF1155CC"/>
        <u/>
      </rPr>
      <t>Taiga #1133</t>
    </r>
    <r>
      <rPr>
        <color rgb="FF000000"/>
      </rPr>
      <t xml:space="preserve"> =&gt; Reopen
6. </t>
    </r>
    <r>
      <rPr>
        <color rgb="FF1155CC"/>
        <u/>
      </rPr>
      <t>Taiga #1142</t>
    </r>
    <r>
      <rPr>
        <color rgb="FF000000"/>
      </rPr>
      <t xml:space="preserve"> =&gt; VERIFIED
7. </t>
    </r>
    <r>
      <rPr>
        <color rgb="FF1155CC"/>
        <u/>
      </rPr>
      <t>Taiga #1144</t>
    </r>
    <r>
      <rPr>
        <color rgb="FF000000"/>
      </rPr>
      <t xml:space="preserve"> =&gt; Reopen
8. </t>
    </r>
    <r>
      <rPr>
        <color rgb="FF1155CC"/>
        <u/>
      </rPr>
      <t>Taiga #1094</t>
    </r>
    <r>
      <rPr>
        <color rgb="FF000000"/>
      </rPr>
      <t xml:space="preserve"> =&gt; VERIFIED
9. </t>
    </r>
    <r>
      <rPr>
        <color rgb="FF1155CC"/>
        <u/>
      </rPr>
      <t>Taiga #1138</t>
    </r>
    <r>
      <rPr>
        <color rgb="FF000000"/>
      </rPr>
      <t xml:space="preserve"> =&gt; VERIFIED
10. </t>
    </r>
    <r>
      <rPr>
        <color rgb="FF1155CC"/>
        <u/>
      </rPr>
      <t>Taiga #1063</t>
    </r>
    <r>
      <rPr>
        <color rgb="FF000000"/>
      </rPr>
      <t xml:space="preserve"> =&gt; VERIFIED
11. </t>
    </r>
    <r>
      <rPr>
        <color rgb="FF1155CC"/>
        <u/>
      </rPr>
      <t>Taiga #1132</t>
    </r>
    <r>
      <rPr>
        <color rgb="FF000000"/>
      </rPr>
      <t xml:space="preserve"> =&gt; VERIFIED
</t>
    </r>
  </si>
  <si>
    <r>
      <rPr>
        <rFont val="Arial"/>
        <b/>
        <color rgb="FF000000"/>
      </rPr>
      <t xml:space="preserve">Digital ID:  </t>
    </r>
    <r>
      <rPr>
        <rFont val="Arial"/>
        <color rgb="FF000000"/>
      </rPr>
      <t xml:space="preserve">
Total card per 2 December 08:50:
</t>
    </r>
    <r>
      <rPr>
        <rFont val="Arial"/>
        <b/>
        <color rgb="FF000000"/>
        <u/>
      </rPr>
      <t>Taiga BD</t>
    </r>
    <r>
      <rPr>
        <rFont val="Arial"/>
        <color rgb="FF000000"/>
        <u/>
      </rPr>
      <t>:</t>
    </r>
    <r>
      <rPr>
        <rFont val="Arial"/>
        <color rgb="FF000000"/>
      </rPr>
      <t xml:space="preserve">
Ready for SIT (BD): 7
Ready for SIT (BD to SG) : 36
</t>
    </r>
    <r>
      <rPr>
        <rFont val="Arial"/>
        <b/>
        <color rgb="FF000000"/>
        <u/>
      </rPr>
      <t>Taiga SG</t>
    </r>
    <r>
      <rPr>
        <rFont val="Arial"/>
        <color rgb="FF000000"/>
        <u/>
      </rPr>
      <t xml:space="preserve">:
</t>
    </r>
    <r>
      <rPr>
        <rFont val="Arial"/>
        <color rgb="FF000000"/>
      </rPr>
      <t xml:space="preserve">Resolved: 21 Admin Portal, 7 User Portal, 9 Event Portal
Reopen: 1 Admin&amp;User Portal, - User Portal, - Event Portal, - Admin Portal
New: 2 Admin Portal,  User Portal, 3 Event Portal
</t>
    </r>
  </si>
  <si>
    <t xml:space="preserve">Digital ID:
1. Verify Issues in SIT
2. Test Admin Portal SIT </t>
  </si>
  <si>
    <r>
      <rPr>
        <color rgb="FF000000"/>
      </rPr>
      <t xml:space="preserve">
Digital ID:
Verify Issues in SIT:
1. </t>
    </r>
    <r>
      <rPr>
        <color rgb="FF1155CC"/>
        <u/>
      </rPr>
      <t>Taiga #1140</t>
    </r>
    <r>
      <rPr>
        <color rgb="FF000000"/>
      </rPr>
      <t xml:space="preserve"> =&gt; Reopen
2. </t>
    </r>
    <r>
      <rPr>
        <color rgb="FF1155CC"/>
        <u/>
      </rPr>
      <t>Taiga #1175</t>
    </r>
    <r>
      <rPr>
        <color rgb="FF000000"/>
      </rPr>
      <t xml:space="preserve"> =&gt; VERIFIED
3. </t>
    </r>
    <r>
      <rPr>
        <color rgb="FF1155CC"/>
        <u/>
      </rPr>
      <t>Taiga #1166</t>
    </r>
    <r>
      <rPr>
        <color rgb="FF000000"/>
      </rPr>
      <t xml:space="preserve"> =&gt; VERIFIED
4. </t>
    </r>
    <r>
      <rPr>
        <color rgb="FF1155CC"/>
        <u/>
      </rPr>
      <t>Taiga #1170</t>
    </r>
    <r>
      <rPr>
        <color rgb="FF000000"/>
      </rPr>
      <t xml:space="preserve"> =&gt; VERIFIED
5. </t>
    </r>
    <r>
      <rPr>
        <color rgb="FF1155CC"/>
        <u/>
      </rPr>
      <t>Taiga #1171</t>
    </r>
    <r>
      <rPr>
        <color rgb="FF000000"/>
      </rPr>
      <t xml:space="preserve"> =&gt; VERIFIED
6. </t>
    </r>
    <r>
      <rPr>
        <color rgb="FF1155CC"/>
        <u/>
      </rPr>
      <t>Taiga #1167</t>
    </r>
    <r>
      <rPr>
        <color rgb="FF000000"/>
      </rPr>
      <t xml:space="preserve"> =&gt; Reopen
7. </t>
    </r>
    <r>
      <rPr>
        <color rgb="FF1155CC"/>
        <u/>
      </rPr>
      <t>Taiga #1169</t>
    </r>
    <r>
      <rPr>
        <color rgb="FF000000"/>
      </rPr>
      <t xml:space="preserve"> =&gt;  Reopen
8. </t>
    </r>
    <r>
      <rPr>
        <color rgb="FF1155CC"/>
        <u/>
      </rPr>
      <t>Taiga #1168</t>
    </r>
    <r>
      <rPr>
        <color rgb="FF000000"/>
      </rPr>
      <t xml:space="preserve"> =&gt; Reopen
9. </t>
    </r>
    <r>
      <rPr>
        <color rgb="FF1155CC"/>
        <u/>
      </rPr>
      <t>Taiga #1144</t>
    </r>
    <r>
      <rPr>
        <color rgb="FF000000"/>
      </rPr>
      <t xml:space="preserve"> =&gt; VERIFIED
10. </t>
    </r>
    <r>
      <rPr>
        <color rgb="FF1155CC"/>
        <u/>
      </rPr>
      <t>Taiga #1178</t>
    </r>
    <r>
      <rPr>
        <color rgb="FF000000"/>
      </rPr>
      <t xml:space="preserve"> =&gt; VERIFIED
11. </t>
    </r>
    <r>
      <rPr>
        <color rgb="FF1155CC"/>
        <u/>
      </rPr>
      <t>Taiga #1172</t>
    </r>
    <r>
      <rPr>
        <color rgb="FF000000"/>
      </rPr>
      <t xml:space="preserve"> =&gt; VERIFIED
12. </t>
    </r>
    <r>
      <rPr>
        <color rgb="FF1155CC"/>
        <u/>
      </rPr>
      <t>Taiga #963</t>
    </r>
    <r>
      <rPr>
        <color rgb="FF000000"/>
      </rPr>
      <t xml:space="preserve"> =&gt; VERIFIED
13. </t>
    </r>
    <r>
      <rPr>
        <color rgb="FF1155CC"/>
        <u/>
      </rPr>
      <t>Taiga #1139</t>
    </r>
    <r>
      <rPr>
        <color rgb="FF000000"/>
      </rPr>
      <t xml:space="preserve"> =&gt; VERIFIED
14. Taiga #
</t>
    </r>
  </si>
  <si>
    <r>
      <rPr>
        <rFont val="Arial"/>
        <b/>
        <color rgb="FF000000"/>
      </rPr>
      <t xml:space="preserve">Digital ID:  </t>
    </r>
    <r>
      <rPr>
        <rFont val="Arial"/>
        <color rgb="FF000000"/>
      </rPr>
      <t xml:space="preserve">
Total card per 3 December 08:50:
</t>
    </r>
    <r>
      <rPr>
        <rFont val="Arial"/>
        <b/>
        <color rgb="FF000000"/>
        <u/>
      </rPr>
      <t>Taiga BD</t>
    </r>
    <r>
      <rPr>
        <rFont val="Arial"/>
        <color rgb="FF000000"/>
        <u/>
      </rPr>
      <t>:</t>
    </r>
    <r>
      <rPr>
        <rFont val="Arial"/>
        <color rgb="FF000000"/>
      </rPr>
      <t xml:space="preserve">
Ready for SIT (BD): 9
Ready for SIT (BD to SG) : 32
</t>
    </r>
    <r>
      <rPr>
        <rFont val="Arial"/>
        <b/>
        <color rgb="FF000000"/>
        <u/>
      </rPr>
      <t>Taiga SG</t>
    </r>
    <r>
      <rPr>
        <rFont val="Arial"/>
        <color rgb="FF000000"/>
        <u/>
      </rPr>
      <t xml:space="preserve">:
</t>
    </r>
    <r>
      <rPr>
        <rFont val="Arial"/>
        <color rgb="FF000000"/>
      </rPr>
      <t xml:space="preserve">Resolved: 14 Admin Portal, 7 User Portal, 11 Event Portal
Reopen: 1 Admin&amp;User Portal, - User Portal, - Event Portal, 1 Admin Portal
New: 2 Admin Portal, 2 User Portal,  Event Portal
</t>
    </r>
  </si>
  <si>
    <t>Digital ID:
1. Testing Taiga BD with status "Ready for SIT (BD)"
2. Verify Issues in SIT
3. Test SIT Admin and User Portal</t>
  </si>
  <si>
    <r>
      <rPr>
        <color rgb="FF000000"/>
      </rPr>
      <t xml:space="preserve">
Digital ID:
Testing Taiga BD with status "Ready for SIT (BD)":
1. </t>
    </r>
    <r>
      <rPr>
        <color rgb="FF1155CC"/>
        <u/>
      </rPr>
      <t>Taiga #660</t>
    </r>
    <r>
      <rPr>
        <color rgb="FF000000"/>
      </rPr>
      <t xml:space="preserve"> =&gt; DONE
2. </t>
    </r>
    <r>
      <rPr>
        <color rgb="FF1155CC"/>
        <u/>
      </rPr>
      <t>Taiga #733</t>
    </r>
    <r>
      <rPr>
        <color rgb="FF000000"/>
      </rPr>
      <t xml:space="preserve"> =&gt; DONE
3. </t>
    </r>
    <r>
      <rPr>
        <color rgb="FF1155CC"/>
        <u/>
      </rPr>
      <t>Taiga #851</t>
    </r>
    <r>
      <rPr>
        <color rgb="FF000000"/>
      </rPr>
      <t xml:space="preserve"> =&gt; DONE
4. </t>
    </r>
    <r>
      <rPr>
        <color rgb="FF1155CC"/>
        <u/>
      </rPr>
      <t>Taiga #655</t>
    </r>
    <r>
      <rPr>
        <color rgb="FF000000"/>
      </rPr>
      <t xml:space="preserve"> =&gt; DONE (update status)
5. </t>
    </r>
    <r>
      <rPr>
        <color rgb="FF1155CC"/>
        <u/>
      </rPr>
      <t>Taiga #654</t>
    </r>
    <r>
      <rPr>
        <color rgb="FF000000"/>
      </rPr>
      <t xml:space="preserve"> =&gt; DONE
6. </t>
    </r>
    <r>
      <rPr>
        <color rgb="FF1155CC"/>
        <u/>
      </rPr>
      <t>Taiga #900</t>
    </r>
    <r>
      <rPr>
        <color rgb="FF000000"/>
      </rPr>
      <t xml:space="preserve"> =&gt; DONE
7. </t>
    </r>
    <r>
      <rPr>
        <color rgb="FF1155CC"/>
        <u/>
      </rPr>
      <t>Taiga #881</t>
    </r>
    <r>
      <rPr>
        <color rgb="FF000000"/>
      </rPr>
      <t xml:space="preserve"> =&gt; DONE
Verify Issues in SIT:
1. </t>
    </r>
    <r>
      <rPr>
        <color rgb="FF1155CC"/>
        <u/>
      </rPr>
      <t>Taiga #1179</t>
    </r>
    <r>
      <rPr>
        <color rgb="FF000000"/>
      </rPr>
      <t xml:space="preserve"> =&gt; VERIFIED
2. </t>
    </r>
    <r>
      <rPr>
        <color rgb="FF1155CC"/>
        <u/>
      </rPr>
      <t>Taiga #1157</t>
    </r>
    <r>
      <rPr>
        <color rgb="FF000000"/>
      </rPr>
      <t xml:space="preserve"> =&gt; VERIFIED
3. </t>
    </r>
    <r>
      <rPr>
        <color rgb="FF1155CC"/>
        <u/>
      </rPr>
      <t>Taiga #1124</t>
    </r>
    <r>
      <rPr>
        <color rgb="FF000000"/>
      </rPr>
      <t xml:space="preserve"> =&gt; VERIFIED
4. </t>
    </r>
    <r>
      <rPr>
        <color rgb="FF1155CC"/>
        <u/>
      </rPr>
      <t>Taiga #1122</t>
    </r>
    <r>
      <rPr>
        <color rgb="FF000000"/>
      </rPr>
      <t xml:space="preserve"> =&gt; VERIFIED
5. </t>
    </r>
    <r>
      <rPr>
        <color rgb="FF1155CC"/>
        <u/>
      </rPr>
      <t>Taiga #1158</t>
    </r>
    <r>
      <rPr>
        <color rgb="FF000000"/>
      </rPr>
      <t xml:space="preserve"> =&gt; VERIFIED
6. </t>
    </r>
    <r>
      <rPr>
        <color rgb="FF1155CC"/>
        <u/>
      </rPr>
      <t>Taiga #1116</t>
    </r>
    <r>
      <rPr>
        <color rgb="FF000000"/>
      </rPr>
      <t xml:space="preserve"> =&gt; VERIFIED
7. </t>
    </r>
    <r>
      <rPr>
        <color rgb="FF1155CC"/>
        <u/>
      </rPr>
      <t>Taiga #1022</t>
    </r>
    <r>
      <rPr>
        <color rgb="FF000000"/>
      </rPr>
      <t xml:space="preserve"> =&gt; Reopen
</t>
    </r>
  </si>
  <si>
    <r>
      <rPr>
        <rFont val="Arial"/>
        <b/>
        <color rgb="FF000000"/>
      </rPr>
      <t xml:space="preserve">Digital ID:  </t>
    </r>
    <r>
      <rPr>
        <rFont val="Arial"/>
        <color rgb="FF000000"/>
      </rPr>
      <t xml:space="preserve">
Total card per 4 December 08:50:
</t>
    </r>
    <r>
      <rPr>
        <rFont val="Arial"/>
        <b/>
        <color rgb="FF000000"/>
        <u/>
      </rPr>
      <t>Taiga BD</t>
    </r>
    <r>
      <rPr>
        <rFont val="Arial"/>
        <color rgb="FF000000"/>
        <u/>
      </rPr>
      <t>:</t>
    </r>
    <r>
      <rPr>
        <rFont val="Arial"/>
        <color rgb="FF000000"/>
      </rPr>
      <t xml:space="preserve">
Ready for SIT (BD): 9
Ready for SIT (BD to SG) : 31
</t>
    </r>
    <r>
      <rPr>
        <rFont val="Arial"/>
        <b/>
        <color rgb="FF000000"/>
        <u/>
      </rPr>
      <t>Taiga SG</t>
    </r>
    <r>
      <rPr>
        <rFont val="Arial"/>
        <color rgb="FF000000"/>
        <u/>
      </rPr>
      <t xml:space="preserve">:
</t>
    </r>
    <r>
      <rPr>
        <rFont val="Arial"/>
        <color rgb="FF000000"/>
      </rPr>
      <t xml:space="preserve">Resolved: 9 Admin Portal, 10 User Portal, 12 Event Portal
Reopen: 1 Admin&amp;User Portal, - User Portal, - Event Portal, 3 Admin Portal
New: 3 Admin Portal, 1 User Portal, 1 Event Portal
</t>
    </r>
  </si>
  <si>
    <t>Digital ID:
1.  Verify Issues in SIT
2. Test SIT Admin Portal and User Portal</t>
  </si>
  <si>
    <t>Digital ID:
1. In-Progress
2. DONE</t>
  </si>
  <si>
    <r>
      <rPr>
        <color rgb="FF000000"/>
      </rPr>
      <t xml:space="preserve">
Digital ID:
Verify Issues in SIT:
1. </t>
    </r>
    <r>
      <rPr>
        <color rgb="FF1155CC"/>
        <u/>
      </rPr>
      <t>Taiga #1197</t>
    </r>
    <r>
      <rPr>
        <color rgb="FF000000"/>
      </rPr>
      <t xml:space="preserve"> =&gt; VERIFIED
2. </t>
    </r>
    <r>
      <rPr>
        <color rgb="FF1155CC"/>
        <u/>
      </rPr>
      <t>Taiga #1169</t>
    </r>
    <r>
      <rPr>
        <color rgb="FF000000"/>
      </rPr>
      <t xml:space="preserve"> =&gt; VERIFIED
3. </t>
    </r>
    <r>
      <rPr>
        <color rgb="FF1155CC"/>
        <u/>
      </rPr>
      <t>Taiga #1140</t>
    </r>
    <r>
      <rPr>
        <color rgb="FF000000"/>
      </rPr>
      <t xml:space="preserve"> =&gt; VERIFIED
4. </t>
    </r>
    <r>
      <rPr>
        <color rgb="FF1155CC"/>
        <u/>
      </rPr>
      <t>Taiga #1149</t>
    </r>
    <r>
      <rPr>
        <color rgb="FF000000"/>
      </rPr>
      <t xml:space="preserve"> =&gt; VERIFIED
5. Taiga #
</t>
    </r>
  </si>
  <si>
    <r>
      <rPr>
        <rFont val="Arial"/>
        <color rgb="FF000000"/>
      </rPr>
      <t>Digital ID:  
Total card per 5 December 08:50:
Taiga BD:
Ready for SIT (BD): 4
Ready for SIT (BD to SG) : 18
Taiga SG:
Resolved: 4 Admin Portal, 3 User Portal, 12 Event Portal
Reopen: 1 Admin&amp;User Portal, 2 User Portal, - Event Portal, - Admin Portal
New: 3 Admin Portal,  User Portal,  Event Portal</t>
    </r>
    <r>
      <rPr>
        <rFont val="Arial"/>
        <color rgb="FFFF0000"/>
      </rPr>
      <t xml:space="preserve">
Annual Leave: 4 hours (2nd half day)</t>
    </r>
  </si>
  <si>
    <r>
      <rPr>
        <rFont val="Arial"/>
        <strike/>
        <color theme="1"/>
      </rPr>
      <t xml:space="preserve">8
</t>
    </r>
    <r>
      <rPr>
        <rFont val="Arial"/>
        <color theme="1"/>
      </rPr>
      <t>6</t>
    </r>
  </si>
  <si>
    <t xml:space="preserve">Digital ID:
1. Verify Issues in PROD
IDH-Mobile:
1. Verify Issue
</t>
  </si>
  <si>
    <t>Digital ID:
1. In-Progress
IDH-Mobile:
1. DONE</t>
  </si>
  <si>
    <r>
      <rPr>
        <color rgb="FF000000"/>
      </rPr>
      <t xml:space="preserve">
Digital ID:
Verify Issues in PROD:
1. </t>
    </r>
    <r>
      <rPr>
        <color rgb="FF1155CC"/>
        <u/>
      </rPr>
      <t>Taiga #1201</t>
    </r>
    <r>
      <rPr>
        <color rgb="FF000000"/>
      </rPr>
      <t xml:space="preserve"> =&gt; CLOSED
2. </t>
    </r>
    <r>
      <rPr>
        <color rgb="FF1155CC"/>
        <u/>
      </rPr>
      <t>Taiga #1136</t>
    </r>
    <r>
      <rPr>
        <color rgb="FF000000"/>
      </rPr>
      <t xml:space="preserve"> =&gt; CLOSED
3. </t>
    </r>
    <r>
      <rPr>
        <color rgb="FF1155CC"/>
        <u/>
      </rPr>
      <t>Taiga #1062</t>
    </r>
    <r>
      <rPr>
        <color rgb="FF000000"/>
      </rPr>
      <t xml:space="preserve"> =&gt; CLOSED
4. </t>
    </r>
    <r>
      <rPr>
        <color rgb="FF1155CC"/>
        <u/>
      </rPr>
      <t>Taiga #1063</t>
    </r>
    <r>
      <rPr>
        <color rgb="FF000000"/>
      </rPr>
      <t xml:space="preserve"> =&gt; CLOSED
5. </t>
    </r>
    <r>
      <rPr>
        <color rgb="FF1155CC"/>
        <u/>
      </rPr>
      <t>Taiga #1138</t>
    </r>
    <r>
      <rPr>
        <color rgb="FF000000"/>
      </rPr>
      <t xml:space="preserve"> =&gt; CLOSED
6. </t>
    </r>
    <r>
      <rPr>
        <color rgb="FF1155CC"/>
        <u/>
      </rPr>
      <t>Taiga #1109</t>
    </r>
    <r>
      <rPr>
        <color rgb="FF000000"/>
      </rPr>
      <t xml:space="preserve"> =&gt; CLOSED
7. </t>
    </r>
    <r>
      <rPr>
        <color rgb="FF1155CC"/>
        <u/>
      </rPr>
      <t>Taiga #1129</t>
    </r>
    <r>
      <rPr>
        <color rgb="FF000000"/>
      </rPr>
      <t xml:space="preserve"> =&gt; CLOSED
8. </t>
    </r>
    <r>
      <rPr>
        <color rgb="FF1155CC"/>
        <u/>
      </rPr>
      <t>Taiga #1110</t>
    </r>
    <r>
      <rPr>
        <color rgb="FF000000"/>
      </rPr>
      <t xml:space="preserve"> =&gt; CLOSED
9. </t>
    </r>
    <r>
      <rPr>
        <color rgb="FF1155CC"/>
        <u/>
      </rPr>
      <t>Taiga #861</t>
    </r>
    <r>
      <rPr>
        <color rgb="FF000000"/>
      </rPr>
      <t xml:space="preserve"> =&gt; CLOSED
10. </t>
    </r>
    <r>
      <rPr>
        <color rgb="FF1155CC"/>
        <u/>
      </rPr>
      <t>Taiga #1034</t>
    </r>
    <r>
      <rPr>
        <color rgb="FF000000"/>
      </rPr>
      <t xml:space="preserve"> =&gt; CLOSED
11. </t>
    </r>
    <r>
      <rPr>
        <color rgb="FF1155CC"/>
        <u/>
      </rPr>
      <t>Taiga #1089</t>
    </r>
    <r>
      <rPr>
        <color rgb="FF000000"/>
      </rPr>
      <t xml:space="preserve"> =&gt; CLOSED
12. </t>
    </r>
    <r>
      <rPr>
        <color rgb="FF1155CC"/>
        <u/>
      </rPr>
      <t>Taiga #1224</t>
    </r>
    <r>
      <rPr>
        <color rgb="FF000000"/>
      </rPr>
      <t xml:space="preserve"> =&gt; CLOSED
13. </t>
    </r>
    <r>
      <rPr>
        <color rgb="FF1155CC"/>
        <u/>
      </rPr>
      <t>Taiga #1140</t>
    </r>
    <r>
      <rPr>
        <color rgb="FF000000"/>
      </rPr>
      <t xml:space="preserve"> =&gt; CLOSED
14. </t>
    </r>
    <r>
      <rPr>
        <color rgb="FF1155CC"/>
        <u/>
      </rPr>
      <t>Taiga #873</t>
    </r>
    <r>
      <rPr>
        <color rgb="FF000000"/>
      </rPr>
      <t xml:space="preserve"> =&gt; CLOSED
15. </t>
    </r>
    <r>
      <rPr>
        <color rgb="FF1155CC"/>
        <u/>
      </rPr>
      <t>Taiga #1097</t>
    </r>
    <r>
      <rPr>
        <color rgb="FF000000"/>
      </rPr>
      <t xml:space="preserve"> =&gt; CLOSED
16. </t>
    </r>
    <r>
      <rPr>
        <color rgb="FF1155CC"/>
        <u/>
      </rPr>
      <t>Taiga #1059</t>
    </r>
    <r>
      <rPr>
        <color rgb="FF000000"/>
      </rPr>
      <t xml:space="preserve"> =&gt; CLOSED
17. </t>
    </r>
    <r>
      <rPr>
        <color rgb="FF1155CC"/>
        <u/>
      </rPr>
      <t>Taiga #1058</t>
    </r>
    <r>
      <rPr>
        <color rgb="FF000000"/>
      </rPr>
      <t xml:space="preserve"> =&gt; CLOSED
18. </t>
    </r>
    <r>
      <rPr>
        <color rgb="FF1155CC"/>
        <u/>
      </rPr>
      <t>Taiga #1064</t>
    </r>
    <r>
      <rPr>
        <color rgb="FF000000"/>
      </rPr>
      <t xml:space="preserve"> =&gt; CLOSED
19. </t>
    </r>
    <r>
      <rPr>
        <color rgb="FF1155CC"/>
        <u/>
      </rPr>
      <t>Taiga #1066</t>
    </r>
    <r>
      <rPr>
        <color rgb="FF000000"/>
      </rPr>
      <t xml:space="preserve"> =&gt; CLOSED
20. </t>
    </r>
    <r>
      <rPr>
        <color rgb="FF1155CC"/>
        <u/>
      </rPr>
      <t>Taiga #1024</t>
    </r>
    <r>
      <rPr>
        <color rgb="FF000000"/>
      </rPr>
      <t xml:space="preserve"> =&gt; CLOSED
21. </t>
    </r>
    <r>
      <rPr>
        <color rgb="FF1155CC"/>
        <u/>
      </rPr>
      <t>Taiga #1069</t>
    </r>
    <r>
      <rPr>
        <color rgb="FF000000"/>
      </rPr>
      <t xml:space="preserve"> =&gt; CLOSED
22. </t>
    </r>
    <r>
      <rPr>
        <color rgb="FF1155CC"/>
        <u/>
      </rPr>
      <t>Taiga #1087</t>
    </r>
    <r>
      <rPr>
        <color rgb="FF000000"/>
      </rPr>
      <t xml:space="preserve"> =&gt; CLOSED
23. </t>
    </r>
    <r>
      <rPr>
        <color rgb="FF1155CC"/>
        <u/>
      </rPr>
      <t>Taiga #1092</t>
    </r>
    <r>
      <rPr>
        <color rgb="FF000000"/>
      </rPr>
      <t xml:space="preserve"> =&gt; CLOSED
24. </t>
    </r>
    <r>
      <rPr>
        <color rgb="FF1155CC"/>
        <u/>
      </rPr>
      <t>Taiga #1111</t>
    </r>
    <r>
      <rPr>
        <color rgb="FF000000"/>
      </rPr>
      <t xml:space="preserve"> =&gt; CLOSED
25. </t>
    </r>
    <r>
      <rPr>
        <color rgb="FF1155CC"/>
        <u/>
      </rPr>
      <t>Taiga #985</t>
    </r>
    <r>
      <rPr>
        <color rgb="FF000000"/>
      </rPr>
      <t xml:space="preserve"> =&gt; CLOSED
26. </t>
    </r>
    <r>
      <rPr>
        <color rgb="FF1155CC"/>
        <u/>
      </rPr>
      <t>Taiga #984</t>
    </r>
    <r>
      <rPr>
        <color rgb="FF000000"/>
      </rPr>
      <t xml:space="preserve"> =&gt; CLOSED
27. </t>
    </r>
    <r>
      <rPr>
        <color rgb="FF1155CC"/>
        <u/>
      </rPr>
      <t>Taiga #912</t>
    </r>
    <r>
      <rPr>
        <color rgb="FF000000"/>
      </rPr>
      <t xml:space="preserve"> =&gt; CLOSED
28. </t>
    </r>
    <r>
      <rPr>
        <color rgb="FF1155CC"/>
        <u/>
      </rPr>
      <t>Taiga #1074</t>
    </r>
    <r>
      <rPr>
        <color rgb="FF000000"/>
      </rPr>
      <t xml:space="preserve"> =&gt; CLOSED
29. </t>
    </r>
    <r>
      <rPr>
        <color rgb="FF1155CC"/>
        <u/>
      </rPr>
      <t>Taiga #1018</t>
    </r>
    <r>
      <rPr>
        <color rgb="FF000000"/>
      </rPr>
      <t xml:space="preserve"> =&gt; CLOSED
30. </t>
    </r>
    <r>
      <rPr>
        <color rgb="FF1155CC"/>
        <u/>
      </rPr>
      <t>Taiga #1045</t>
    </r>
    <r>
      <rPr>
        <color rgb="FF000000"/>
      </rPr>
      <t xml:space="preserve"> =&gt; CLOSED
31. </t>
    </r>
    <r>
      <rPr>
        <color rgb="FF1155CC"/>
        <u/>
      </rPr>
      <t>Taiga #925</t>
    </r>
    <r>
      <rPr>
        <color rgb="FF000000"/>
      </rPr>
      <t xml:space="preserve"> =&gt; CLOSED
32. </t>
    </r>
    <r>
      <rPr>
        <color rgb="FF1155CC"/>
        <u/>
      </rPr>
      <t>Taiga #922</t>
    </r>
    <r>
      <rPr>
        <color rgb="FF000000"/>
      </rPr>
      <t xml:space="preserve"> =&gt; CLOSED
33. </t>
    </r>
    <r>
      <rPr>
        <color rgb="FF1155CC"/>
        <u/>
      </rPr>
      <t>Taiga #668</t>
    </r>
    <r>
      <rPr>
        <color rgb="FF000000"/>
      </rPr>
      <t xml:space="preserve"> =&gt; CLOSED
34. </t>
    </r>
    <r>
      <rPr>
        <color rgb="FF1155CC"/>
        <u/>
      </rPr>
      <t>Taiga #1133</t>
    </r>
    <r>
      <rPr>
        <color rgb="FF000000"/>
      </rPr>
      <t xml:space="preserve"> =&gt; CLOSED
IDH-Mobile:
1. </t>
    </r>
    <r>
      <rPr>
        <color rgb="FF1155CC"/>
        <u/>
      </rPr>
      <t>Taiga #231</t>
    </r>
    <r>
      <rPr>
        <color rgb="FF000000"/>
      </rPr>
      <t xml:space="preserve"> =&gt; Reopen (issue still happened in SMS)</t>
    </r>
  </si>
  <si>
    <r>
      <rPr>
        <rFont val="Arial"/>
        <b/>
        <color rgb="FF000000"/>
      </rPr>
      <t xml:space="preserve">Digital ID:  </t>
    </r>
    <r>
      <rPr>
        <rFont val="Arial"/>
        <color rgb="FF000000"/>
      </rPr>
      <t xml:space="preserve">
Total card per  December 08:50:
</t>
    </r>
    <r>
      <rPr>
        <rFont val="Arial"/>
        <b/>
        <color rgb="FF000000"/>
        <u/>
      </rPr>
      <t>Taiga BD</t>
    </r>
    <r>
      <rPr>
        <rFont val="Arial"/>
        <color rgb="FF000000"/>
        <u/>
      </rPr>
      <t>:</t>
    </r>
    <r>
      <rPr>
        <rFont val="Arial"/>
        <color rgb="FF000000"/>
      </rPr>
      <t xml:space="preserve">
Ready for SIT (BD): 
Ready for SIT (BD to SG) : 
</t>
    </r>
    <r>
      <rPr>
        <rFont val="Arial"/>
        <b/>
        <color rgb="FF000000"/>
        <u/>
      </rPr>
      <t>Taiga SG</t>
    </r>
    <r>
      <rPr>
        <rFont val="Arial"/>
        <color rgb="FF000000"/>
        <u/>
      </rPr>
      <t xml:space="preserve">:
</t>
    </r>
    <r>
      <rPr>
        <rFont val="Arial"/>
        <color rgb="FF000000"/>
      </rPr>
      <t xml:space="preserve">Resolved:  Admin Portal,  User Portal,  Event Portal
Reopen: 1 Admin&amp;User Portal, - User Portal, - Event Portal, - Admin Portal
New:  Admin Portal,  User Portal,  Event Portal
</t>
    </r>
  </si>
  <si>
    <r>
      <rPr>
        <color rgb="FF000000"/>
      </rPr>
      <t xml:space="preserve">
Digital ID:
Verify Issues in SIT:
1. </t>
    </r>
    <r>
      <rPr>
        <color rgb="FF1155CC"/>
        <u/>
      </rPr>
      <t>Taiga #1084</t>
    </r>
    <r>
      <rPr>
        <color rgb="FF000000"/>
      </rPr>
      <t xml:space="preserve"> =&gt; VERIFIED
Verify Issues in PROD:
1. </t>
    </r>
    <r>
      <rPr>
        <color rgb="FF1155CC"/>
        <u/>
      </rPr>
      <t>Taiga #1157</t>
    </r>
    <r>
      <rPr>
        <color rgb="FF000000"/>
      </rPr>
      <t xml:space="preserve"> =&gt; CLOSED
2. </t>
    </r>
    <r>
      <rPr>
        <color rgb="FF1155CC"/>
        <u/>
      </rPr>
      <t>Taiga #1025</t>
    </r>
    <r>
      <rPr>
        <color rgb="FF000000"/>
      </rPr>
      <t xml:space="preserve"> =&gt; CLOSED
3. </t>
    </r>
    <r>
      <rPr>
        <color rgb="FF1155CC"/>
        <u/>
      </rPr>
      <t>Taiga #1040</t>
    </r>
    <r>
      <rPr>
        <color rgb="FF000000"/>
      </rPr>
      <t xml:space="preserve"> =&gt; CLOSED
4. </t>
    </r>
    <r>
      <rPr>
        <color rgb="FF1155CC"/>
        <u/>
      </rPr>
      <t>Taiga #1091</t>
    </r>
    <r>
      <rPr>
        <color rgb="FF000000"/>
      </rPr>
      <t xml:space="preserve"> =&gt; CLOSED
5. </t>
    </r>
    <r>
      <rPr>
        <color rgb="FF1155CC"/>
        <u/>
      </rPr>
      <t>Taiga #986</t>
    </r>
    <r>
      <rPr>
        <color rgb="FF000000"/>
      </rPr>
      <t xml:space="preserve"> =&gt; CLOSED
6. </t>
    </r>
    <r>
      <rPr>
        <color rgb="FF1155CC"/>
        <u/>
      </rPr>
      <t>Taiga #1094</t>
    </r>
    <r>
      <rPr>
        <color rgb="FF000000"/>
      </rPr>
      <t xml:space="preserve"> =&gt; CLOSED
7. </t>
    </r>
    <r>
      <rPr>
        <color rgb="FF1155CC"/>
        <u/>
      </rPr>
      <t>Taiga #1112</t>
    </r>
    <r>
      <rPr>
        <color rgb="FF000000"/>
      </rPr>
      <t xml:space="preserve"> =&gt; CLOSED
8. </t>
    </r>
    <r>
      <rPr>
        <color rgb="FF1155CC"/>
        <u/>
      </rPr>
      <t>Taiga #1143</t>
    </r>
    <r>
      <rPr>
        <color rgb="FF000000"/>
      </rPr>
      <t xml:space="preserve"> =&gt; CLOSED
9. </t>
    </r>
    <r>
      <rPr>
        <color rgb="FF1155CC"/>
        <u/>
      </rPr>
      <t>Taiga #1132</t>
    </r>
    <r>
      <rPr>
        <color rgb="FF000000"/>
      </rPr>
      <t xml:space="preserve"> =&gt; CLOSED
10. </t>
    </r>
    <r>
      <rPr>
        <color rgb="FF1155CC"/>
        <u/>
      </rPr>
      <t>Taiga #1171</t>
    </r>
    <r>
      <rPr>
        <color rgb="FF000000"/>
      </rPr>
      <t xml:space="preserve"> =&gt; CLOSED
11. </t>
    </r>
    <r>
      <rPr>
        <color rgb="FF1155CC"/>
        <u/>
      </rPr>
      <t>Taiga #1145</t>
    </r>
    <r>
      <rPr>
        <color rgb="FF000000"/>
      </rPr>
      <t xml:space="preserve"> =&gt; CLOSED
12. </t>
    </r>
    <r>
      <rPr>
        <color rgb="FF1155CC"/>
        <u/>
      </rPr>
      <t>Taiga #1082</t>
    </r>
    <r>
      <rPr>
        <color rgb="FF000000"/>
      </rPr>
      <t xml:space="preserve"> =&gt; CLOSED
13. </t>
    </r>
    <r>
      <rPr>
        <color rgb="FF1155CC"/>
        <u/>
      </rPr>
      <t>Taiga #1023</t>
    </r>
    <r>
      <rPr>
        <color rgb="FF000000"/>
      </rPr>
      <t xml:space="preserve"> =&gt; CLOSED
14. </t>
    </r>
    <r>
      <rPr>
        <color rgb="FF1155CC"/>
        <u/>
      </rPr>
      <t>Taiga #1233</t>
    </r>
    <r>
      <rPr>
        <color rgb="FF000000"/>
      </rPr>
      <t xml:space="preserve"> =&gt; CLOSED
15. </t>
    </r>
    <r>
      <rPr>
        <color rgb="FF1155CC"/>
        <u/>
      </rPr>
      <t>Taiga #1078</t>
    </r>
    <r>
      <rPr>
        <color rgb="FF000000"/>
      </rPr>
      <t xml:space="preserve"> =&gt; CLOSED
16. </t>
    </r>
    <r>
      <rPr>
        <color rgb="FF1155CC"/>
        <u/>
      </rPr>
      <t>Taiga #963</t>
    </r>
    <r>
      <rPr>
        <color rgb="FF000000"/>
      </rPr>
      <t xml:space="preserve"> =&gt; CLOSED
17. </t>
    </r>
    <r>
      <rPr>
        <color rgb="FF1155CC"/>
        <u/>
      </rPr>
      <t>Taiga #1185</t>
    </r>
    <r>
      <rPr>
        <color rgb="FF000000"/>
      </rPr>
      <t xml:space="preserve"> =&gt; CLOSED
18. </t>
    </r>
    <r>
      <rPr>
        <color rgb="FF1155CC"/>
        <u/>
      </rPr>
      <t>Taiga #1183</t>
    </r>
    <r>
      <rPr>
        <color rgb="FF000000"/>
      </rPr>
      <t xml:space="preserve"> =&gt; CLOSED
19. </t>
    </r>
    <r>
      <rPr>
        <color rgb="FF1155CC"/>
        <u/>
      </rPr>
      <t>Taiga #1081</t>
    </r>
    <r>
      <rPr>
        <color rgb="FF000000"/>
      </rPr>
      <t xml:space="preserve"> =&gt; CLOSED
20. </t>
    </r>
    <r>
      <rPr>
        <color rgb="FF1155CC"/>
        <u/>
      </rPr>
      <t>Taiga #1124</t>
    </r>
    <r>
      <rPr>
        <color rgb="FF000000"/>
      </rPr>
      <t xml:space="preserve"> =&gt; CLOSED
21. </t>
    </r>
    <r>
      <rPr>
        <color rgb="FF1155CC"/>
        <u/>
      </rPr>
      <t>Taiga #1116</t>
    </r>
    <r>
      <rPr>
        <color rgb="FF000000"/>
      </rPr>
      <t xml:space="preserve"> =&gt; CLOSED
22. </t>
    </r>
    <r>
      <rPr>
        <color rgb="FF1155CC"/>
        <u/>
      </rPr>
      <t>Taiga #1122</t>
    </r>
    <r>
      <rPr>
        <color rgb="FF000000"/>
      </rPr>
      <t xml:space="preserve"> =&gt; CLOSED
23. </t>
    </r>
    <r>
      <rPr>
        <color rgb="FF1155CC"/>
        <u/>
      </rPr>
      <t>Taiga #1085</t>
    </r>
    <r>
      <rPr>
        <color rgb="FF000000"/>
      </rPr>
      <t xml:space="preserve"> =&gt; CLOSED
24. </t>
    </r>
    <r>
      <rPr>
        <color rgb="FF1155CC"/>
        <u/>
      </rPr>
      <t>Taiga #1001</t>
    </r>
    <r>
      <rPr>
        <color rgb="FF000000"/>
      </rPr>
      <t xml:space="preserve"> =&gt; CLOSED
25. </t>
    </r>
    <r>
      <rPr>
        <color rgb="FF1155CC"/>
        <u/>
      </rPr>
      <t>Taiga #1002</t>
    </r>
    <r>
      <rPr>
        <color rgb="FF000000"/>
      </rPr>
      <t xml:space="preserve"> =&gt; CLOSED
26. </t>
    </r>
    <r>
      <rPr>
        <color rgb="FF1155CC"/>
        <u/>
      </rPr>
      <t>Taiga #1130</t>
    </r>
    <r>
      <rPr>
        <color rgb="FF000000"/>
      </rPr>
      <t xml:space="preserve"> =&gt; CLOSED
27. </t>
    </r>
    <r>
      <rPr>
        <color rgb="FF1155CC"/>
        <u/>
      </rPr>
      <t>Taiga #945</t>
    </r>
    <r>
      <rPr>
        <color rgb="FF000000"/>
      </rPr>
      <t xml:space="preserve"> =&gt; CLOSED
28. </t>
    </r>
    <r>
      <rPr>
        <color rgb="FF1155CC"/>
        <u/>
      </rPr>
      <t>Taiga #1212</t>
    </r>
    <r>
      <rPr>
        <color rgb="FF000000"/>
      </rPr>
      <t xml:space="preserve"> =&gt; CLOSED
29. </t>
    </r>
    <r>
      <rPr>
        <color rgb="FF1155CC"/>
        <u/>
      </rPr>
      <t>Taiga #1139</t>
    </r>
    <r>
      <rPr>
        <color rgb="FF000000"/>
      </rPr>
      <t xml:space="preserve"> =&gt; CLOSED
30. </t>
    </r>
    <r>
      <rPr>
        <color rgb="FF1155CC"/>
        <u/>
      </rPr>
      <t>Taiga #1200</t>
    </r>
    <r>
      <rPr>
        <color rgb="FF000000"/>
      </rPr>
      <t xml:space="preserve"> =&gt; CLOSED
31. </t>
    </r>
    <r>
      <rPr>
        <color rgb="FF1155CC"/>
        <u/>
      </rPr>
      <t>Taiga #1084</t>
    </r>
    <r>
      <rPr>
        <color rgb="FF000000"/>
      </rPr>
      <t xml:space="preserve"> =&gt; CLOSED
32. </t>
    </r>
    <r>
      <rPr>
        <color rgb="FF1155CC"/>
        <u/>
      </rPr>
      <t>Taiga #1200</t>
    </r>
    <r>
      <rPr>
        <color rgb="FF000000"/>
      </rPr>
      <t xml:space="preserve"> =&gt; CLOSED
</t>
    </r>
  </si>
  <si>
    <r>
      <rPr>
        <rFont val="Arial"/>
        <b/>
        <color rgb="FF000000"/>
      </rPr>
      <t xml:space="preserve">Digital ID:  </t>
    </r>
    <r>
      <rPr>
        <rFont val="Arial"/>
        <color rgb="FF000000"/>
      </rPr>
      <t xml:space="preserve">
Total card per  December 08:50:
</t>
    </r>
    <r>
      <rPr>
        <rFont val="Arial"/>
        <b/>
        <color rgb="FF000000"/>
        <u/>
      </rPr>
      <t>Taiga BD</t>
    </r>
    <r>
      <rPr>
        <rFont val="Arial"/>
        <color rgb="FF000000"/>
        <u/>
      </rPr>
      <t>:</t>
    </r>
    <r>
      <rPr>
        <rFont val="Arial"/>
        <color rgb="FF000000"/>
      </rPr>
      <t xml:space="preserve">
Ready for SIT (BD): 
Ready for SIT (BD to SG) : 
</t>
    </r>
    <r>
      <rPr>
        <rFont val="Arial"/>
        <b/>
        <color rgb="FF000000"/>
        <u/>
      </rPr>
      <t>Taiga SG</t>
    </r>
    <r>
      <rPr>
        <rFont val="Arial"/>
        <color rgb="FF000000"/>
        <u/>
      </rPr>
      <t xml:space="preserve">:
</t>
    </r>
    <r>
      <rPr>
        <rFont val="Arial"/>
        <color rgb="FF000000"/>
      </rPr>
      <t xml:space="preserve">Resolved:  Admin Portal,  User Portal,  Event Portal
Reopen: 1 Admin&amp;User Portal, - User Portal, - Event Portal, - Admin Portal
New:  Admin Portal,  User Portal,  Event Portal
</t>
    </r>
  </si>
  <si>
    <t>Digital ID:
1. Testing Taiga BD with status "Ready for SIT (BD)"
2. Verify Issues in SIT
3. Test Event Portal version 1.0.0</t>
  </si>
  <si>
    <r>
      <rPr>
        <color rgb="FF000000"/>
      </rPr>
      <t xml:space="preserve">
Digital ID:
Testing Taiga BD with status "Ready for SIT (BD)":
1. </t>
    </r>
    <r>
      <rPr>
        <color rgb="FF1155CC"/>
        <u/>
      </rPr>
      <t>Taiga #778</t>
    </r>
    <r>
      <rPr>
        <color rgb="FF000000"/>
      </rPr>
      <t xml:space="preserve"> =&gt; DONE
2. </t>
    </r>
    <r>
      <rPr>
        <color rgb="FF1155CC"/>
        <u/>
      </rPr>
      <t>Taiga #518</t>
    </r>
    <r>
      <rPr>
        <color rgb="FF000000"/>
      </rPr>
      <t xml:space="preserve"> =&gt; DONE
3. </t>
    </r>
    <r>
      <rPr>
        <color rgb="FF1155CC"/>
        <u/>
      </rPr>
      <t>Taiga #912</t>
    </r>
    <r>
      <rPr>
        <color rgb="FF000000"/>
      </rPr>
      <t xml:space="preserve"> =&gt; DONE
4. Taiga #
5. Taiga #
Verify Issues in SIT:
1. </t>
    </r>
    <r>
      <rPr>
        <color rgb="FF1155CC"/>
        <u/>
      </rPr>
      <t>Taiga #1192</t>
    </r>
    <r>
      <rPr>
        <color rgb="FF000000"/>
      </rPr>
      <t xml:space="preserve"> =&gt; VERIFIED
2. </t>
    </r>
    <r>
      <rPr>
        <color rgb="FF1155CC"/>
        <u/>
      </rPr>
      <t>Taiga #1155</t>
    </r>
    <r>
      <rPr>
        <color rgb="FF000000"/>
      </rPr>
      <t xml:space="preserve"> =&gt; VERIFIED
3. </t>
    </r>
    <r>
      <rPr>
        <color rgb="FF1155CC"/>
        <u/>
      </rPr>
      <t>Taiga #1039</t>
    </r>
    <r>
      <rPr>
        <color rgb="FF000000"/>
      </rPr>
      <t xml:space="preserve"> =&gt; VERIFIED
4. </t>
    </r>
    <r>
      <rPr>
        <color rgb="FF1155CC"/>
        <u/>
      </rPr>
      <t>Taiga #1160</t>
    </r>
    <r>
      <rPr>
        <color rgb="FF000000"/>
      </rPr>
      <t xml:space="preserve"> =&gt; VERIFIED
5. </t>
    </r>
    <r>
      <rPr>
        <color rgb="FF1155CC"/>
        <u/>
      </rPr>
      <t>Taiga #1150</t>
    </r>
    <r>
      <rPr>
        <color rgb="FF000000"/>
      </rPr>
      <t xml:space="preserve"> =&gt; VERIFIED
6. </t>
    </r>
    <r>
      <rPr>
        <color rgb="FF1155CC"/>
        <u/>
      </rPr>
      <t>Taiga #1161</t>
    </r>
    <r>
      <rPr>
        <color rgb="FF000000"/>
      </rPr>
      <t xml:space="preserve"> =&gt; VERIFIED
7. </t>
    </r>
    <r>
      <rPr>
        <color rgb="FF1155CC"/>
        <u/>
      </rPr>
      <t>Taiga #1146</t>
    </r>
    <r>
      <rPr>
        <color rgb="FF000000"/>
      </rPr>
      <t xml:space="preserve"> =&gt; VERIFIED
8. </t>
    </r>
    <r>
      <rPr>
        <color rgb="FF1155CC"/>
        <u/>
      </rPr>
      <t>Taiga #1151</t>
    </r>
    <r>
      <rPr>
        <color rgb="FF000000"/>
      </rPr>
      <t xml:space="preserve"> =&gt; VERIFIED
9. </t>
    </r>
    <r>
      <rPr>
        <color rgb="FF1155CC"/>
        <u/>
      </rPr>
      <t>Taiga #1152</t>
    </r>
    <r>
      <rPr>
        <color rgb="FF000000"/>
      </rPr>
      <t xml:space="preserve"> =&gt; VERIFIED
10. Taiga #
</t>
    </r>
  </si>
  <si>
    <r>
      <rPr>
        <rFont val="Arial"/>
        <b/>
        <color rgb="FF000000"/>
      </rPr>
      <t xml:space="preserve">Digital ID:  </t>
    </r>
    <r>
      <rPr>
        <rFont val="Arial"/>
        <color rgb="FF000000"/>
      </rPr>
      <t xml:space="preserve">
Total card per 15 December 08:40:
</t>
    </r>
    <r>
      <rPr>
        <rFont val="Arial"/>
        <b/>
        <color rgb="FF000000"/>
        <u/>
      </rPr>
      <t>Taiga BD</t>
    </r>
    <r>
      <rPr>
        <rFont val="Arial"/>
        <color rgb="FF000000"/>
        <u/>
      </rPr>
      <t>:</t>
    </r>
    <r>
      <rPr>
        <rFont val="Arial"/>
        <color rgb="FF000000"/>
      </rPr>
      <t xml:space="preserve">
Ready for SIT (BD): 7
Ready for SIT (BD to SG) : 21
</t>
    </r>
    <r>
      <rPr>
        <rFont val="Arial"/>
        <b/>
        <color rgb="FF000000"/>
        <u/>
      </rPr>
      <t>Taiga SG</t>
    </r>
    <r>
      <rPr>
        <rFont val="Arial"/>
        <color rgb="FF000000"/>
        <u/>
      </rPr>
      <t xml:space="preserve">:
</t>
    </r>
    <r>
      <rPr>
        <rFont val="Arial"/>
        <color rgb="FF000000"/>
      </rPr>
      <t xml:space="preserve">Resolved: 7 Admin Portal, 2 User Portal, 12 Event Portal
Reopen: 1 Admin&amp;User Portal, 1 User Portal, - Event Portal, - Admin Portal
New: 1 Admin Portal,  User Portal,  Event Portal
</t>
    </r>
  </si>
  <si>
    <r>
      <rPr>
        <color rgb="FF000000"/>
      </rPr>
      <t xml:space="preserve">
Digital ID:
Verify Issues in SIT:
1. </t>
    </r>
    <r>
      <rPr>
        <color rgb="FF1155CC"/>
        <u/>
      </rPr>
      <t>Taiga #1147</t>
    </r>
    <r>
      <rPr>
        <color rgb="FF000000"/>
      </rPr>
      <t xml:space="preserve"> =&gt; VERIFIED
2. </t>
    </r>
    <r>
      <rPr>
        <color rgb="FF1155CC"/>
        <u/>
      </rPr>
      <t>Taiga #1245</t>
    </r>
    <r>
      <rPr>
        <color rgb="FF000000"/>
      </rPr>
      <t xml:space="preserve"> =&gt; VERIFIED
3. </t>
    </r>
    <r>
      <rPr>
        <color rgb="FF1155CC"/>
        <u/>
      </rPr>
      <t>Taiga #1009</t>
    </r>
    <r>
      <rPr>
        <color rgb="FF000000"/>
      </rPr>
      <t xml:space="preserve"> =&gt; VERIFIED
4. </t>
    </r>
    <r>
      <rPr>
        <color rgb="FF1155CC"/>
        <u/>
      </rPr>
      <t>Taiga #1236</t>
    </r>
    <r>
      <rPr>
        <color rgb="FF000000"/>
      </rPr>
      <t xml:space="preserve"> =&gt; VERIFIED
5. </t>
    </r>
    <r>
      <rPr>
        <color rgb="FF1155CC"/>
        <u/>
      </rPr>
      <t>Taiga #1241</t>
    </r>
    <r>
      <rPr>
        <color rgb="FF000000"/>
      </rPr>
      <t xml:space="preserve"> =&gt; VERIFIED
6. </t>
    </r>
    <r>
      <rPr>
        <color rgb="FF1155CC"/>
        <u/>
      </rPr>
      <t>Taiga #1156</t>
    </r>
    <r>
      <rPr>
        <color rgb="FF000000"/>
      </rPr>
      <t xml:space="preserve"> =&gt; VERIFIED
7. </t>
    </r>
    <r>
      <rPr>
        <color rgb="FF1155CC"/>
        <u/>
      </rPr>
      <t>Taiga #1240</t>
    </r>
    <r>
      <rPr>
        <color rgb="FF000000"/>
      </rPr>
      <t xml:space="preserve"> =&gt; VERIFIED
8. </t>
    </r>
    <r>
      <rPr>
        <color rgb="FF1155CC"/>
        <u/>
      </rPr>
      <t>Taiga #1247</t>
    </r>
    <r>
      <rPr>
        <color rgb="FF000000"/>
      </rPr>
      <t xml:space="preserve"> =&gt; VERIFIED
9. </t>
    </r>
    <r>
      <rPr>
        <color rgb="FF1155CC"/>
        <u/>
      </rPr>
      <t>Taiga #1248</t>
    </r>
    <r>
      <rPr>
        <color rgb="FF000000"/>
      </rPr>
      <t xml:space="preserve"> =&gt; VERIFIED
10. </t>
    </r>
    <r>
      <rPr>
        <color rgb="FF1155CC"/>
        <u/>
      </rPr>
      <t>Taiga #1246</t>
    </r>
    <r>
      <rPr>
        <color rgb="FF000000"/>
      </rPr>
      <t xml:space="preserve"> =&gt; VERIFIED
11. </t>
    </r>
    <r>
      <rPr>
        <color rgb="FF1155CC"/>
        <u/>
      </rPr>
      <t>Taiga #1238</t>
    </r>
    <r>
      <rPr>
        <color rgb="FF000000"/>
      </rPr>
      <t xml:space="preserve"> =&gt; VERIFIED
12. </t>
    </r>
    <r>
      <rPr>
        <color rgb="FF1155CC"/>
        <u/>
      </rPr>
      <t>Taiga #1239</t>
    </r>
    <r>
      <rPr>
        <color rgb="FF000000"/>
      </rPr>
      <t xml:space="preserve"> =&gt; VERIFIED
13. </t>
    </r>
    <r>
      <rPr>
        <color rgb="FF1155CC"/>
        <u/>
      </rPr>
      <t>Taiga #1237</t>
    </r>
    <r>
      <rPr>
        <color rgb="FF000000"/>
      </rPr>
      <t xml:space="preserve"> =&gt; Reopen
14. </t>
    </r>
    <r>
      <rPr>
        <color rgb="FF1155CC"/>
        <u/>
      </rPr>
      <t>Taiga #1209</t>
    </r>
    <r>
      <rPr>
        <color rgb="FF000000"/>
      </rPr>
      <t xml:space="preserve"> =&gt; VERIFIED
15. </t>
    </r>
    <r>
      <rPr>
        <color rgb="FF1155CC"/>
        <u/>
      </rPr>
      <t>Taiga #1254</t>
    </r>
    <r>
      <rPr>
        <color rgb="FF000000"/>
      </rPr>
      <t xml:space="preserve"> =&gt; VERIFIED
16. </t>
    </r>
    <r>
      <rPr>
        <color rgb="FF1155CC"/>
        <u/>
      </rPr>
      <t>Taiga #1253</t>
    </r>
    <r>
      <rPr>
        <color rgb="FF000000"/>
      </rPr>
      <t xml:space="preserve"> =&gt; VERIFIED
17. </t>
    </r>
    <r>
      <rPr>
        <color rgb="FF1155CC"/>
        <u/>
      </rPr>
      <t>Taiga #1252</t>
    </r>
    <r>
      <rPr>
        <color rgb="FF000000"/>
      </rPr>
      <t xml:space="preserve"> =&gt; VERIFIED
18. </t>
    </r>
    <r>
      <rPr>
        <color rgb="FF1155CC"/>
        <u/>
      </rPr>
      <t>Taiga #1249</t>
    </r>
    <r>
      <rPr>
        <color rgb="FF000000"/>
      </rPr>
      <t xml:space="preserve"> =&gt; VERIFIED
19. </t>
    </r>
    <r>
      <rPr>
        <color rgb="FF1155CC"/>
        <u/>
      </rPr>
      <t>Taiga #1250</t>
    </r>
    <r>
      <rPr>
        <color rgb="FF000000"/>
      </rPr>
      <t xml:space="preserve"> =&gt; VERIFIED
20. Taiga #
</t>
    </r>
  </si>
  <si>
    <r>
      <rPr>
        <rFont val="Arial"/>
        <b/>
        <color rgb="FF000000"/>
      </rPr>
      <t xml:space="preserve">Digital ID:  </t>
    </r>
    <r>
      <rPr>
        <rFont val="Arial"/>
        <color rgb="FF000000"/>
      </rPr>
      <t xml:space="preserve">
Total card per 16 December 08:50:
</t>
    </r>
    <r>
      <rPr>
        <rFont val="Arial"/>
        <b/>
        <color rgb="FF000000"/>
        <u/>
      </rPr>
      <t>Taiga BD</t>
    </r>
    <r>
      <rPr>
        <rFont val="Arial"/>
        <color rgb="FF000000"/>
        <u/>
      </rPr>
      <t>:</t>
    </r>
    <r>
      <rPr>
        <rFont val="Arial"/>
        <color rgb="FF000000"/>
      </rPr>
      <t xml:space="preserve">
Ready for SIT (BD): 5
Ready for SIT (BD to SG) : 15
</t>
    </r>
    <r>
      <rPr>
        <rFont val="Arial"/>
        <b/>
        <color rgb="FF000000"/>
        <u/>
      </rPr>
      <t>Taiga SG</t>
    </r>
    <r>
      <rPr>
        <rFont val="Arial"/>
        <color rgb="FF000000"/>
        <u/>
      </rPr>
      <t xml:space="preserve">:
</t>
    </r>
    <r>
      <rPr>
        <rFont val="Arial"/>
        <color rgb="FF000000"/>
      </rPr>
      <t xml:space="preserve">Resolved: 7 Admin Portal, 2 User Portal, 6 Event Portal
Reopen: 1 Admin&amp;User Portal, 1 User Portal, - Event Portal, - Admin Portal
New: 1 Admin Portal,  User Portal, 1 Event Portal
</t>
    </r>
  </si>
  <si>
    <t>Digital ID:
1. Verify Issues in SIT
2. Verify Issue in PROD</t>
  </si>
  <si>
    <r>
      <rPr>
        <color rgb="FF000000"/>
      </rPr>
      <t xml:space="preserve">
Digital ID:
Verify Issues in SIT:
1. </t>
    </r>
    <r>
      <rPr>
        <color rgb="FF1155CC"/>
        <u/>
      </rPr>
      <t>Taiga #1237</t>
    </r>
    <r>
      <rPr>
        <color rgb="FF000000"/>
      </rPr>
      <t xml:space="preserve"> =&gt; VERIFIED
2. </t>
    </r>
    <r>
      <rPr>
        <color rgb="FF1155CC"/>
        <u/>
      </rPr>
      <t>Taiga #1255</t>
    </r>
    <r>
      <rPr>
        <color rgb="FF000000"/>
      </rPr>
      <t xml:space="preserve"> =&gt; VERIFIED
Verify Issues in PROD:
1. </t>
    </r>
    <r>
      <rPr>
        <color rgb="FF1155CC"/>
        <u/>
      </rPr>
      <t>Taiga #1255</t>
    </r>
    <r>
      <rPr>
        <color rgb="FF000000"/>
      </rPr>
      <t xml:space="preserve"> =&gt; CLOSED
2. </t>
    </r>
    <r>
      <rPr>
        <color rgb="FF1155CC"/>
        <u/>
      </rPr>
      <t>Taiga #1039</t>
    </r>
    <r>
      <rPr>
        <color rgb="FF000000"/>
      </rPr>
      <t xml:space="preserve"> =&gt; CLOSED
3. </t>
    </r>
    <r>
      <rPr>
        <color rgb="FF1155CC"/>
        <u/>
      </rPr>
      <t>Taiga #1209</t>
    </r>
    <r>
      <rPr>
        <color rgb="FF000000"/>
      </rPr>
      <t xml:space="preserve"> =&gt; CLOSED
4. </t>
    </r>
    <r>
      <rPr>
        <color rgb="FF1155CC"/>
        <u/>
      </rPr>
      <t>Taiga #1253</t>
    </r>
    <r>
      <rPr>
        <color rgb="FF000000"/>
      </rPr>
      <t xml:space="preserve"> =&gt; CLOSED
5. </t>
    </r>
    <r>
      <rPr>
        <color rgb="FF1155CC"/>
        <u/>
      </rPr>
      <t>Taiga #1237</t>
    </r>
    <r>
      <rPr>
        <color rgb="FF000000"/>
      </rPr>
      <t xml:space="preserve"> =&gt; CLOSED
6. </t>
    </r>
    <r>
      <rPr>
        <color rgb="FF1155CC"/>
        <u/>
      </rPr>
      <t>Taiga #1250</t>
    </r>
    <r>
      <rPr>
        <color rgb="FF000000"/>
      </rPr>
      <t xml:space="preserve"> =&gt; CLOSED
7. </t>
    </r>
    <r>
      <rPr>
        <color rgb="FF1155CC"/>
        <u/>
      </rPr>
      <t>Taiga #1252</t>
    </r>
    <r>
      <rPr>
        <color rgb="FF000000"/>
      </rPr>
      <t xml:space="preserve"> =&gt; CLOSED
8. </t>
    </r>
    <r>
      <rPr>
        <color rgb="FF1155CC"/>
        <u/>
      </rPr>
      <t>Taiga #1047</t>
    </r>
    <r>
      <rPr>
        <color rgb="FF000000"/>
      </rPr>
      <t xml:space="preserve"> =&gt; CLOSED
9. </t>
    </r>
    <r>
      <rPr>
        <color rgb="FF1155CC"/>
        <u/>
      </rPr>
      <t>Taiga #1115</t>
    </r>
    <r>
      <rPr>
        <color rgb="FF000000"/>
      </rPr>
      <t xml:space="preserve"> =&gt; CLOSED
10. </t>
    </r>
    <r>
      <rPr>
        <color rgb="FF1155CC"/>
        <u/>
      </rPr>
      <t>Taiga #1120</t>
    </r>
    <r>
      <rPr>
        <color rgb="FF000000"/>
      </rPr>
      <t xml:space="preserve"> =&gt; CLOSED
11. </t>
    </r>
    <r>
      <rPr>
        <color rgb="FF1155CC"/>
        <u/>
      </rPr>
      <t>Taiga #1038</t>
    </r>
    <r>
      <rPr>
        <color rgb="FF000000"/>
      </rPr>
      <t xml:space="preserve"> =&gt; CLOSED
12. </t>
    </r>
    <r>
      <rPr>
        <color rgb="FF1155CC"/>
        <u/>
      </rPr>
      <t xml:space="preserve">Taiga #1014 </t>
    </r>
    <r>
      <rPr>
        <color rgb="FF000000"/>
      </rPr>
      <t xml:space="preserve">=&gt; CLOSED
13. </t>
    </r>
    <r>
      <rPr>
        <color rgb="FF1155CC"/>
        <u/>
      </rPr>
      <t>Taiga #1192</t>
    </r>
    <r>
      <rPr>
        <color rgb="FF000000"/>
      </rPr>
      <t xml:space="preserve"> =&gt; CLOSED
14. </t>
    </r>
    <r>
      <rPr>
        <color rgb="FF1155CC"/>
        <u/>
      </rPr>
      <t>Taiga #1150</t>
    </r>
    <r>
      <rPr>
        <color rgb="FF000000"/>
      </rPr>
      <t xml:space="preserve"> =&gt; CLOSED
15. </t>
    </r>
    <r>
      <rPr>
        <color rgb="FF1155CC"/>
        <u/>
      </rPr>
      <t>Taiga #1155</t>
    </r>
    <r>
      <rPr>
        <color rgb="FF000000"/>
      </rPr>
      <t xml:space="preserve"> =&gt; CLOSED
16.</t>
    </r>
    <r>
      <rPr>
        <color rgb="FF1155CC"/>
        <u/>
      </rPr>
      <t xml:space="preserve"> Taiga #1013</t>
    </r>
    <r>
      <rPr>
        <color rgb="FF000000"/>
      </rPr>
      <t xml:space="preserve"> =&gt; CLOSED
17. </t>
    </r>
    <r>
      <rPr>
        <color rgb="FF1155CC"/>
        <u/>
      </rPr>
      <t>Taiga #1146</t>
    </r>
    <r>
      <rPr>
        <color rgb="FF000000"/>
      </rPr>
      <t xml:space="preserve"> =&gt; CLOSED
18. </t>
    </r>
    <r>
      <rPr>
        <color rgb="FF1155CC"/>
        <u/>
      </rPr>
      <t>Taiga #1245</t>
    </r>
    <r>
      <rPr>
        <color rgb="FF000000"/>
      </rPr>
      <t xml:space="preserve"> =&gt; CLOSED
19. </t>
    </r>
    <r>
      <rPr>
        <color rgb="FF1155CC"/>
        <u/>
      </rPr>
      <t>Taiga #1249</t>
    </r>
    <r>
      <rPr>
        <color rgb="FF000000"/>
      </rPr>
      <t xml:space="preserve"> =&gt; CLOSED
20. </t>
    </r>
    <r>
      <rPr>
        <color rgb="FF1155CC"/>
        <u/>
      </rPr>
      <t>Taiga #1241</t>
    </r>
    <r>
      <rPr>
        <color rgb="FF000000"/>
      </rPr>
      <t xml:space="preserve"> =&gt; CLOSED
21. </t>
    </r>
    <r>
      <rPr>
        <color rgb="FF1155CC"/>
        <u/>
      </rPr>
      <t>Taiga #1152</t>
    </r>
    <r>
      <rPr>
        <color rgb="FF000000"/>
      </rPr>
      <t xml:space="preserve"> =&gt; CLOSED
</t>
    </r>
  </si>
  <si>
    <r>
      <rPr>
        <rFont val="Arial"/>
        <b/>
        <color rgb="FF000000"/>
      </rPr>
      <t xml:space="preserve">Digital ID:  </t>
    </r>
    <r>
      <rPr>
        <rFont val="Arial"/>
        <color rgb="FF000000"/>
      </rPr>
      <t xml:space="preserve">
Total card per  December 08:50:
</t>
    </r>
    <r>
      <rPr>
        <rFont val="Arial"/>
        <b/>
        <color rgb="FF000000"/>
        <u/>
      </rPr>
      <t>Taiga BD</t>
    </r>
    <r>
      <rPr>
        <rFont val="Arial"/>
        <color rgb="FF000000"/>
        <u/>
      </rPr>
      <t>:</t>
    </r>
    <r>
      <rPr>
        <rFont val="Arial"/>
        <color rgb="FF000000"/>
      </rPr>
      <t xml:space="preserve">
Ready for SIT (BD): 
Ready for SIT (BD to SG) : 
</t>
    </r>
    <r>
      <rPr>
        <rFont val="Arial"/>
        <b/>
        <color rgb="FF000000"/>
        <u/>
      </rPr>
      <t>Taiga SG</t>
    </r>
    <r>
      <rPr>
        <rFont val="Arial"/>
        <color rgb="FF000000"/>
        <u/>
      </rPr>
      <t xml:space="preserve">:
</t>
    </r>
    <r>
      <rPr>
        <rFont val="Arial"/>
        <color rgb="FF000000"/>
      </rPr>
      <t xml:space="preserve">Resolved:  Admin Portal,  User Portal,  Event Portal
Reopen: 1 Admin&amp;User Portal, - User Portal, - Event Portal, - Admin Portal
New:  Admin Portal,  User Portal,  Event Portal
</t>
    </r>
  </si>
  <si>
    <r>
      <rPr>
        <rFont val="Arial"/>
        <strike/>
        <color theme="1"/>
      </rPr>
      <t xml:space="preserve">8
</t>
    </r>
    <r>
      <rPr>
        <rFont val="Arial"/>
        <color theme="1"/>
      </rPr>
      <t>6</t>
    </r>
  </si>
  <si>
    <t>Digital ID:
1. Verify Issues in SIT
2. Verify Issues in PROD
3. Testing Taiga SG with status "Ready for QA Test"
IDH-Mobile:
1. Verify Issue</t>
  </si>
  <si>
    <t>Digital ID:
1. In-Progress
2. In-Progress
IDH-Mobile:
1. DONE</t>
  </si>
  <si>
    <r>
      <rPr>
        <color rgb="FF000000"/>
      </rPr>
      <t xml:space="preserve">
Digital ID:
Verify Issues in SIT:
1. </t>
    </r>
    <r>
      <rPr>
        <color rgb="FF1155CC"/>
        <u/>
      </rPr>
      <t>Taiga #1258</t>
    </r>
    <r>
      <rPr>
        <color rgb="FF000000"/>
      </rPr>
      <t xml:space="preserve"> =&gt; VERIFIED
2. </t>
    </r>
    <r>
      <rPr>
        <color rgb="FF1155CC"/>
        <u/>
      </rPr>
      <t>Taiga #1257</t>
    </r>
    <r>
      <rPr>
        <color rgb="FF000000"/>
      </rPr>
      <t xml:space="preserve"> =&gt; VERIFIED
3. </t>
    </r>
    <r>
      <rPr>
        <color rgb="FF1155CC"/>
        <u/>
      </rPr>
      <t>Taiga #1265</t>
    </r>
    <r>
      <rPr>
        <color rgb="FF000000"/>
      </rPr>
      <t xml:space="preserve"> =&gt; VERIFIED
4. </t>
    </r>
    <r>
      <rPr>
        <color rgb="FF1155CC"/>
        <u/>
      </rPr>
      <t>Taiga #1262</t>
    </r>
    <r>
      <rPr>
        <color rgb="FF000000"/>
      </rPr>
      <t xml:space="preserve"> =&gt; VERIFIED
5. Taiga #
Verify Issue in PROD:
1. </t>
    </r>
    <r>
      <rPr>
        <color rgb="FF1155CC"/>
        <u/>
      </rPr>
      <t>Taiga #1240</t>
    </r>
    <r>
      <rPr>
        <color rgb="FF000000"/>
      </rPr>
      <t xml:space="preserve"> =&gt; CLOSED
2. </t>
    </r>
    <r>
      <rPr>
        <color rgb="FF1155CC"/>
        <u/>
      </rPr>
      <t>Taiga #1151</t>
    </r>
    <r>
      <rPr>
        <color rgb="FF000000"/>
      </rPr>
      <t xml:space="preserve"> =&gt; CLOSED
3. </t>
    </r>
    <r>
      <rPr>
        <color rgb="FF1155CC"/>
        <u/>
      </rPr>
      <t>Taiga #1160</t>
    </r>
    <r>
      <rPr>
        <color rgb="FF000000"/>
      </rPr>
      <t xml:space="preserve"> =&gt; CLOSED
4. </t>
    </r>
    <r>
      <rPr>
        <color rgb="FF1155CC"/>
        <u/>
      </rPr>
      <t>Taiga #1017</t>
    </r>
    <r>
      <rPr>
        <color rgb="FF000000"/>
      </rPr>
      <t xml:space="preserve"> =&gt; CLOSED
5. </t>
    </r>
    <r>
      <rPr>
        <color rgb="FF1155CC"/>
        <u/>
      </rPr>
      <t>Taiga #1008</t>
    </r>
    <r>
      <rPr>
        <color rgb="FF000000"/>
      </rPr>
      <t xml:space="preserve"> =&gt; CLOSED
6. </t>
    </r>
    <r>
      <rPr>
        <color rgb="FF1155CC"/>
        <u/>
      </rPr>
      <t>Taiga #976</t>
    </r>
    <r>
      <rPr>
        <color rgb="FF000000"/>
      </rPr>
      <t xml:space="preserve"> =&gt; CLOSED
7. </t>
    </r>
    <r>
      <rPr>
        <color rgb="FF1155CC"/>
        <u/>
      </rPr>
      <t>Taiga #974</t>
    </r>
    <r>
      <rPr>
        <color rgb="FF000000"/>
      </rPr>
      <t xml:space="preserve"> =&gt; CLOSED
8. </t>
    </r>
    <r>
      <rPr>
        <color rgb="FF1155CC"/>
        <u/>
      </rPr>
      <t>Taiga #1246</t>
    </r>
    <r>
      <rPr>
        <color rgb="FF000000"/>
      </rPr>
      <t xml:space="preserve"> =&gt; CLOSED
9. </t>
    </r>
    <r>
      <rPr>
        <color rgb="FF1155CC"/>
        <u/>
      </rPr>
      <t>Taiga #1147</t>
    </r>
    <r>
      <rPr>
        <color rgb="FF000000"/>
      </rPr>
      <t xml:space="preserve"> =&gt; CLOSED
10. </t>
    </r>
    <r>
      <rPr>
        <color rgb="FF1155CC"/>
        <u/>
      </rPr>
      <t>Taiga #1009</t>
    </r>
    <r>
      <rPr>
        <color rgb="FF000000"/>
      </rPr>
      <t xml:space="preserve"> =&gt; CLOSED
11. </t>
    </r>
    <r>
      <rPr>
        <color rgb="FF1155CC"/>
        <u/>
      </rPr>
      <t>Taiga #1156</t>
    </r>
    <r>
      <rPr>
        <color rgb="FF000000"/>
      </rPr>
      <t xml:space="preserve"> =&gt; CLOSED
12. </t>
    </r>
    <r>
      <rPr>
        <color rgb="FF1155CC"/>
        <u/>
      </rPr>
      <t>Taiga #1247</t>
    </r>
    <r>
      <rPr>
        <color rgb="FF000000"/>
      </rPr>
      <t xml:space="preserve"> =&gt; CLOSED
13. </t>
    </r>
    <r>
      <rPr>
        <color rgb="FF1155CC"/>
        <u/>
      </rPr>
      <t>Taiga #1248</t>
    </r>
    <r>
      <rPr>
        <color rgb="FF000000"/>
      </rPr>
      <t xml:space="preserve"> =&gt; CLOSED
14. </t>
    </r>
    <r>
      <rPr>
        <color rgb="FF1155CC"/>
        <u/>
      </rPr>
      <t>Taiga #1254</t>
    </r>
    <r>
      <rPr>
        <color rgb="FF000000"/>
      </rPr>
      <t xml:space="preserve"> =&gt; CLOSED
15. </t>
    </r>
    <r>
      <rPr>
        <color rgb="FF1155CC"/>
        <u/>
      </rPr>
      <t>Taiga #1242</t>
    </r>
    <r>
      <rPr>
        <color rgb="FF000000"/>
      </rPr>
      <t xml:space="preserve"> =&gt; CLOSED
16. </t>
    </r>
    <r>
      <rPr>
        <color rgb="FF1155CC"/>
        <u/>
      </rPr>
      <t>Taiga #1239</t>
    </r>
    <r>
      <rPr>
        <color rgb="FF000000"/>
      </rPr>
      <t xml:space="preserve"> =&gt; CLOSED
17. </t>
    </r>
    <r>
      <rPr>
        <color rgb="FF1155CC"/>
        <u/>
      </rPr>
      <t>Taiga #1000</t>
    </r>
    <r>
      <rPr>
        <color rgb="FF000000"/>
      </rPr>
      <t xml:space="preserve"> =&gt; CLOSED
18. </t>
    </r>
    <r>
      <rPr>
        <color rgb="FF1155CC"/>
        <u/>
      </rPr>
      <t>Taiga #1161</t>
    </r>
    <r>
      <rPr>
        <color rgb="FF000000"/>
      </rPr>
      <t xml:space="preserve"> =&gt; CLOSED
19. </t>
    </r>
    <r>
      <rPr>
        <color rgb="FF1155CC"/>
        <u/>
      </rPr>
      <t>Taiga #1238</t>
    </r>
    <r>
      <rPr>
        <color rgb="FF000000"/>
      </rPr>
      <t xml:space="preserve"> =&gt; CLOSED
20. </t>
    </r>
    <r>
      <rPr>
        <color rgb="FF1155CC"/>
        <u/>
      </rPr>
      <t>Taiga #1236</t>
    </r>
    <r>
      <rPr>
        <color rgb="FF000000"/>
      </rPr>
      <t xml:space="preserve"> =&gt; CLOSED
Testing Taiga SG with status "Ready for QA Test":
1. </t>
    </r>
    <r>
      <rPr>
        <color rgb="FF1155CC"/>
        <u/>
      </rPr>
      <t>Taiga #1060</t>
    </r>
    <r>
      <rPr>
        <color rgb="FF000000"/>
      </rPr>
      <t xml:space="preserve"> =&gt; CLOSED
2. </t>
    </r>
    <r>
      <rPr>
        <color rgb="FF1155CC"/>
        <u/>
      </rPr>
      <t>Taiga #1088</t>
    </r>
    <r>
      <rPr>
        <color rgb="FF000000"/>
      </rPr>
      <t xml:space="preserve"> =&gt; CLOSED
3. </t>
    </r>
    <r>
      <rPr>
        <color rgb="FF1155CC"/>
        <u/>
      </rPr>
      <t>Taiga #1033</t>
    </r>
    <r>
      <rPr>
        <color rgb="FF000000"/>
      </rPr>
      <t xml:space="preserve"> =&gt; CLOSED
4. </t>
    </r>
    <r>
      <rPr>
        <color rgb="FF1155CC"/>
        <u/>
      </rPr>
      <t>Taiga #1054</t>
    </r>
    <r>
      <rPr>
        <color rgb="FF000000"/>
      </rPr>
      <t xml:space="preserve"> =&gt; CLOSED
5. </t>
    </r>
    <r>
      <rPr>
        <color rgb="FF1155CC"/>
        <u/>
      </rPr>
      <t>Taiga #904</t>
    </r>
    <r>
      <rPr>
        <color rgb="FF000000"/>
      </rPr>
      <t xml:space="preserve"> =&gt; CLOSED
6. </t>
    </r>
    <r>
      <rPr>
        <color rgb="FF1155CC"/>
        <u/>
      </rPr>
      <t>Taiga #1046</t>
    </r>
    <r>
      <rPr>
        <color rgb="FF000000"/>
      </rPr>
      <t xml:space="preserve"> =&gt; CLOSED
7. </t>
    </r>
    <r>
      <rPr>
        <color rgb="FF1155CC"/>
        <u/>
      </rPr>
      <t>Taiga #1048</t>
    </r>
    <r>
      <rPr>
        <color rgb="FF000000"/>
      </rPr>
      <t xml:space="preserve"> =&gt; CLOSED
8. </t>
    </r>
    <r>
      <rPr>
        <color rgb="FF1155CC"/>
        <u/>
      </rPr>
      <t>Taiga #1043</t>
    </r>
    <r>
      <rPr>
        <color rgb="FF000000"/>
      </rPr>
      <t xml:space="preserve"> =&gt; CLOSED
9. </t>
    </r>
    <r>
      <rPr>
        <color rgb="FF1155CC"/>
        <u/>
      </rPr>
      <t>Taiga #938</t>
    </r>
    <r>
      <rPr>
        <color rgb="FF000000"/>
      </rPr>
      <t xml:space="preserve"> =&gt; CLOSED
10. </t>
    </r>
    <r>
      <rPr>
        <color rgb="FF1155CC"/>
        <u/>
      </rPr>
      <t>Taiga #878</t>
    </r>
    <r>
      <rPr>
        <color rgb="FF000000"/>
      </rPr>
      <t xml:space="preserve"> =&gt; CLOSED
11. </t>
    </r>
    <r>
      <rPr>
        <color rgb="FF1155CC"/>
        <u/>
      </rPr>
      <t>Taiga #940</t>
    </r>
    <r>
      <rPr>
        <color rgb="FF000000"/>
      </rPr>
      <t xml:space="preserve"> =&gt; CLOSED
12. </t>
    </r>
    <r>
      <rPr>
        <color rgb="FF1155CC"/>
        <u/>
      </rPr>
      <t>Taiga #939</t>
    </r>
    <r>
      <rPr>
        <color rgb="FF000000"/>
      </rPr>
      <t xml:space="preserve"> =&gt; CLOSED
13. </t>
    </r>
    <r>
      <rPr>
        <color rgb="FF1155CC"/>
        <u/>
      </rPr>
      <t>Taiga #1044</t>
    </r>
    <r>
      <rPr>
        <color rgb="FF000000"/>
      </rPr>
      <t xml:space="preserve"> =&gt; CLOSED
IDH-Mobile:
1. </t>
    </r>
    <r>
      <rPr>
        <color rgb="FF1155CC"/>
        <u/>
      </rPr>
      <t>Taiga #231</t>
    </r>
    <r>
      <rPr>
        <color rgb="FF000000"/>
      </rPr>
      <t xml:space="preserve"> =&gt; DONE</t>
    </r>
  </si>
  <si>
    <r>
      <rPr>
        <rFont val="Arial"/>
        <b/>
        <color rgb="FF000000"/>
      </rPr>
      <t xml:space="preserve">Digital ID:  </t>
    </r>
    <r>
      <rPr>
        <rFont val="Arial"/>
        <color rgb="FF000000"/>
      </rPr>
      <t xml:space="preserve">
Total card per 18 December 10:50:
</t>
    </r>
    <r>
      <rPr>
        <rFont val="Arial"/>
        <b/>
        <color rgb="FF000000"/>
        <u/>
      </rPr>
      <t>Taiga BD</t>
    </r>
    <r>
      <rPr>
        <rFont val="Arial"/>
        <color rgb="FF000000"/>
        <u/>
      </rPr>
      <t>:</t>
    </r>
    <r>
      <rPr>
        <rFont val="Arial"/>
        <color rgb="FF000000"/>
      </rPr>
      <t xml:space="preserve">
Ready for SIT (BD): 7
Ready for SIT (BD to SG) : 11
</t>
    </r>
    <r>
      <rPr>
        <rFont val="Arial"/>
        <b/>
        <color rgb="FF000000"/>
        <u/>
      </rPr>
      <t>Taiga SG</t>
    </r>
    <r>
      <rPr>
        <rFont val="Arial"/>
        <color rgb="FF000000"/>
        <u/>
      </rPr>
      <t xml:space="preserve">:
</t>
    </r>
    <r>
      <rPr>
        <rFont val="Arial"/>
        <color rgb="FF000000"/>
      </rPr>
      <t>Resolved: 8 Admin Portal, 2 User Portal, 1 Event Portal
Reopen: 1 Admin&amp;User Portal, 1 User Portal, - Event Portal, - Admin Portal
New: 1 Admin Portal,  User Portal, 3 Event Portal
IDH-Mobile:
Update app:  
iOS : 0.1.4 (541)  
Android : 2.0.75(139)</t>
    </r>
  </si>
  <si>
    <r>
      <rPr>
        <rFont val="Arial"/>
        <strike/>
        <color theme="1"/>
      </rPr>
      <t xml:space="preserve">8
</t>
    </r>
    <r>
      <rPr>
        <rFont val="Arial"/>
        <color theme="1"/>
      </rPr>
      <t>6</t>
    </r>
  </si>
  <si>
    <r>
      <rPr>
        <rFont val="Arial"/>
        <b/>
        <color rgb="FF000000"/>
      </rPr>
      <t>Digital ID:</t>
    </r>
    <r>
      <rPr>
        <rFont val="Arial"/>
        <color rgb="FF000000"/>
      </rPr>
      <t xml:space="preserve">
1. Testing Taiga SG with status "Ready for QA Test" for Event Portal and Hot-fix
2. Testing Taiga BD with status "Ready for SIT (BD)"
3. Verify Issues in SIT
4. Verify Issues in PROD for Event Portal and Hot-fix
</t>
    </r>
    <r>
      <rPr>
        <rFont val="Arial"/>
        <b/>
        <color rgb="FF000000"/>
      </rPr>
      <t xml:space="preserve">IDH-Mobile:
</t>
    </r>
    <r>
      <rPr>
        <rFont val="Arial"/>
        <color rgb="FF000000"/>
      </rPr>
      <t>1. Verify Issue</t>
    </r>
  </si>
  <si>
    <r>
      <rPr>
        <rFont val="Arial"/>
        <b/>
        <color rgb="FF000000"/>
      </rPr>
      <t>Digital ID:</t>
    </r>
    <r>
      <rPr>
        <rFont val="Arial"/>
        <color rgb="FF000000"/>
      </rPr>
      <t xml:space="preserve">
1. DONE
2. In-Progress
3. In-Progress
4. DONE
</t>
    </r>
    <r>
      <rPr>
        <rFont val="Arial"/>
        <b/>
        <color rgb="FF000000"/>
      </rPr>
      <t xml:space="preserve">IDH-Mobile:
</t>
    </r>
    <r>
      <rPr>
        <rFont val="Arial"/>
        <color rgb="FF000000"/>
      </rPr>
      <t>1. DONE</t>
    </r>
  </si>
  <si>
    <r>
      <rPr>
        <color rgb="FF000000"/>
      </rPr>
      <t xml:space="preserve">
</t>
    </r>
    <r>
      <rPr>
        <b/>
        <color rgb="FF000000"/>
      </rPr>
      <t>Digital ID:</t>
    </r>
    <r>
      <rPr>
        <color rgb="FF000000"/>
      </rPr>
      <t xml:space="preserve">
Testing Taiga SG with status "Ready for QA Test":
1. </t>
    </r>
    <r>
      <rPr>
        <color rgb="FF1155CC"/>
        <u/>
      </rPr>
      <t>Taiga #1188</t>
    </r>
    <r>
      <rPr>
        <color rgb="FF000000"/>
      </rPr>
      <t xml:space="preserve"> =&gt; CLOSED
2. </t>
    </r>
    <r>
      <rPr>
        <color rgb="FF1155CC"/>
        <u/>
      </rPr>
      <t>Taiga #1267</t>
    </r>
    <r>
      <rPr>
        <color rgb="FF000000"/>
      </rPr>
      <t xml:space="preserve"> =&gt; CLOSED
3. </t>
    </r>
    <r>
      <rPr>
        <color rgb="FF1155CC"/>
        <u/>
      </rPr>
      <t>Taiga #1176</t>
    </r>
    <r>
      <rPr>
        <color rgb="FF000000"/>
      </rPr>
      <t xml:space="preserve"> =&gt; CLOSED
Testing Taiga BD with status "Ready for SIT (BD)"
1. </t>
    </r>
    <r>
      <rPr>
        <color rgb="FF1155CC"/>
        <u/>
      </rPr>
      <t>Taiga #625</t>
    </r>
    <r>
      <rPr>
        <color rgb="FF000000"/>
      </rPr>
      <t xml:space="preserve"> =&gt; DONE
Verify Issues in SIT:
1. </t>
    </r>
    <r>
      <rPr>
        <color rgb="FF1155CC"/>
        <u/>
      </rPr>
      <t>Taiga #1176</t>
    </r>
    <r>
      <rPr>
        <color rgb="FF000000"/>
      </rPr>
      <t xml:space="preserve"> =&gt; VERIFIED
2. Taiga #
Verify Issues in PROD:
1. </t>
    </r>
    <r>
      <rPr>
        <color rgb="FF1155CC"/>
        <u/>
      </rPr>
      <t>Taiga #1258</t>
    </r>
    <r>
      <rPr>
        <color rgb="FF000000"/>
      </rPr>
      <t xml:space="preserve"> =&gt; CLOSED
2. </t>
    </r>
    <r>
      <rPr>
        <color rgb="FF1155CC"/>
        <u/>
      </rPr>
      <t>Taiga #1257</t>
    </r>
    <r>
      <rPr>
        <color rgb="FF000000"/>
      </rPr>
      <t xml:space="preserve"> =&gt; CLOSED
3. </t>
    </r>
    <r>
      <rPr>
        <color rgb="FF1155CC"/>
        <u/>
      </rPr>
      <t>Taiga #1262</t>
    </r>
    <r>
      <rPr>
        <color rgb="FF000000"/>
      </rPr>
      <t xml:space="preserve"> =&gt; CLOSED
4. </t>
    </r>
    <r>
      <rPr>
        <color rgb="FF1155CC"/>
        <u/>
      </rPr>
      <t>Taiga #1265</t>
    </r>
    <r>
      <rPr>
        <color rgb="FF000000"/>
      </rPr>
      <t xml:space="preserve"> =&gt; CLOSED
5. Taiga #
</t>
    </r>
    <r>
      <rPr>
        <b/>
        <color rgb="FF000000"/>
      </rPr>
      <t>IDH-Mobile:</t>
    </r>
    <r>
      <rPr>
        <color rgb="FF000000"/>
      </rPr>
      <t xml:space="preserve">
1. </t>
    </r>
    <r>
      <rPr>
        <color rgb="FF1155CC"/>
        <u/>
      </rPr>
      <t>Taiga #232</t>
    </r>
  </si>
  <si>
    <r>
      <rPr>
        <rFont val="Arial"/>
        <b/>
        <color rgb="FF000000"/>
      </rPr>
      <t xml:space="preserve">Digital ID:  </t>
    </r>
    <r>
      <rPr>
        <rFont val="Arial"/>
        <color rgb="FF000000"/>
      </rPr>
      <t xml:space="preserve">
Total card per 19 December 10:14:
</t>
    </r>
    <r>
      <rPr>
        <rFont val="Arial"/>
        <b/>
        <color rgb="FF000000"/>
        <u/>
      </rPr>
      <t>Taiga BD</t>
    </r>
    <r>
      <rPr>
        <rFont val="Arial"/>
        <color rgb="FF000000"/>
        <u/>
      </rPr>
      <t>:</t>
    </r>
    <r>
      <rPr>
        <rFont val="Arial"/>
        <color rgb="FF000000"/>
      </rPr>
      <t xml:space="preserve">
Ready for SIT (BD): 7
Ready for SIT (BD to SG) : 9
</t>
    </r>
    <r>
      <rPr>
        <rFont val="Arial"/>
        <b/>
        <color rgb="FF000000"/>
        <u/>
      </rPr>
      <t>Taiga SG</t>
    </r>
    <r>
      <rPr>
        <rFont val="Arial"/>
        <color rgb="FF000000"/>
        <u/>
      </rPr>
      <t xml:space="preserve">:
</t>
    </r>
    <r>
      <rPr>
        <rFont val="Arial"/>
        <color rgb="FF000000"/>
      </rPr>
      <t xml:space="preserve">Resolved: 7 Admin Portal, 2 User Portal,  Event Portal
Reopen: 1 Admin&amp;User Portal, 1 User Portal, - Event Portal, - Admin Portal
New: 1 Admin Portal,  User Portal, 1 Event Portal
</t>
    </r>
    <r>
      <rPr>
        <rFont val="Arial"/>
        <b/>
        <color rgb="FF000000"/>
      </rPr>
      <t>IDH-Mobile: Tested in Dev env using the following app:</t>
    </r>
    <r>
      <rPr>
        <rFont val="Arial"/>
        <color rgb="FF000000"/>
      </rPr>
      <t xml:space="preserve">
Update app:  
iOS : 0.1.4 (541)  
Android : 2.0.75(139)</t>
    </r>
  </si>
  <si>
    <t>Digital ID:
1. Verify Issues in SIT
2. Verify Issues in PROD
3. Update Status in Taiga BD</t>
  </si>
  <si>
    <t>1. In-Progress
2. DONE
3. DONE</t>
  </si>
  <si>
    <r>
      <rPr>
        <color rgb="FF000000"/>
      </rPr>
      <t xml:space="preserve">
Digital ID:
Verify Issues in SIT:
1. </t>
    </r>
    <r>
      <rPr>
        <color rgb="FF1155CC"/>
        <u/>
      </rPr>
      <t>Taiga #1022</t>
    </r>
    <r>
      <rPr>
        <color rgb="FF000000"/>
      </rPr>
      <t xml:space="preserve"> =&gt; VERIFIED
Verify Issues in PROD:
1. </t>
    </r>
    <r>
      <rPr>
        <color rgb="FF1155CC"/>
        <u/>
      </rPr>
      <t>Taiga #1022</t>
    </r>
    <r>
      <rPr>
        <color rgb="FF000000"/>
      </rPr>
      <t xml:space="preserve"> =&gt; CLOSED
Update Status Taiga BD with status "Ready for Production Deployment (SG)" that already CLOSED in Taiga SG:
1. </t>
    </r>
    <r>
      <rPr>
        <color rgb="FF1155CC"/>
        <u/>
      </rPr>
      <t>Taiga #353</t>
    </r>
    <r>
      <rPr>
        <color rgb="FF000000"/>
      </rPr>
      <t xml:space="preserve"> =&gt; DONE
2. </t>
    </r>
    <r>
      <rPr>
        <color rgb="FF1155CC"/>
        <u/>
      </rPr>
      <t>Taiga #356</t>
    </r>
    <r>
      <rPr>
        <color rgb="FF000000"/>
      </rPr>
      <t xml:space="preserve"> =&gt; DONE
3. </t>
    </r>
    <r>
      <rPr>
        <color rgb="FF1155CC"/>
        <u/>
      </rPr>
      <t>Taiga #355</t>
    </r>
    <r>
      <rPr>
        <color rgb="FF000000"/>
      </rPr>
      <t xml:space="preserve"> =&gt; DONE
4. </t>
    </r>
    <r>
      <rPr>
        <color rgb="FF1155CC"/>
        <u/>
      </rPr>
      <t>Taiga #358</t>
    </r>
    <r>
      <rPr>
        <color rgb="FF000000"/>
      </rPr>
      <t xml:space="preserve"> =&gt; DONE
5. </t>
    </r>
    <r>
      <rPr>
        <color rgb="FF1155CC"/>
        <u/>
      </rPr>
      <t>Taiga #359</t>
    </r>
    <r>
      <rPr>
        <color rgb="FF000000"/>
      </rPr>
      <t xml:space="preserve"> =&gt; DONE
6. </t>
    </r>
    <r>
      <rPr>
        <color rgb="FF1155CC"/>
        <u/>
      </rPr>
      <t>Taiga #357</t>
    </r>
    <r>
      <rPr>
        <color rgb="FF000000"/>
      </rPr>
      <t xml:space="preserve"> =&gt; DONE
7. </t>
    </r>
    <r>
      <rPr>
        <color rgb="FF1155CC"/>
        <u/>
      </rPr>
      <t>Taiga #370</t>
    </r>
    <r>
      <rPr>
        <color rgb="FF000000"/>
      </rPr>
      <t xml:space="preserve"> =&gt; DONE
8. </t>
    </r>
    <r>
      <rPr>
        <color rgb="FF1155CC"/>
        <u/>
      </rPr>
      <t>Taiga #368</t>
    </r>
    <r>
      <rPr>
        <color rgb="FF000000"/>
      </rPr>
      <t xml:space="preserve"> =&gt; DONE
9. </t>
    </r>
    <r>
      <rPr>
        <color rgb="FF1155CC"/>
        <u/>
      </rPr>
      <t>Taiga #369</t>
    </r>
    <r>
      <rPr>
        <color rgb="FF000000"/>
      </rPr>
      <t xml:space="preserve"> =&gt; DONE
10. </t>
    </r>
    <r>
      <rPr>
        <color rgb="FF1155CC"/>
        <u/>
      </rPr>
      <t>Taiga #372</t>
    </r>
    <r>
      <rPr>
        <color rgb="FF000000"/>
      </rPr>
      <t xml:space="preserve"> =&gt; DONE
11. </t>
    </r>
    <r>
      <rPr>
        <color rgb="FF1155CC"/>
        <u/>
      </rPr>
      <t>Taiga #785</t>
    </r>
    <r>
      <rPr>
        <color rgb="FF000000"/>
      </rPr>
      <t xml:space="preserve"> =&gt; DONE</t>
    </r>
  </si>
  <si>
    <r>
      <rPr>
        <rFont val="Arial"/>
        <b/>
        <color rgb="FF000000"/>
      </rPr>
      <t xml:space="preserve">Digital ID:  </t>
    </r>
    <r>
      <rPr>
        <rFont val="Arial"/>
        <color rgb="FF000000"/>
      </rPr>
      <t xml:space="preserve">
Total card per 22 December 11:45:
</t>
    </r>
    <r>
      <rPr>
        <rFont val="Arial"/>
        <b/>
        <color rgb="FF000000"/>
        <u/>
      </rPr>
      <t>Taiga BD</t>
    </r>
    <r>
      <rPr>
        <rFont val="Arial"/>
        <color rgb="FF000000"/>
        <u/>
      </rPr>
      <t>:</t>
    </r>
    <r>
      <rPr>
        <rFont val="Arial"/>
        <color rgb="FF000000"/>
      </rPr>
      <t xml:space="preserve">
Ready for SIT (BD): 8
Ready for SIT (BD to SG) : 8
</t>
    </r>
    <r>
      <rPr>
        <rFont val="Arial"/>
        <b/>
        <color rgb="FF000000"/>
        <u/>
      </rPr>
      <t>Taiga SG</t>
    </r>
    <r>
      <rPr>
        <rFont val="Arial"/>
        <color rgb="FF000000"/>
        <u/>
      </rPr>
      <t xml:space="preserve">:
</t>
    </r>
    <r>
      <rPr>
        <rFont val="Arial"/>
        <color rgb="FF000000"/>
      </rPr>
      <t xml:space="preserve">Resolved: 7 Admin Portal, 1 User Portal,  Event Portal
Reopen: 1 Admin&amp;User Portal, 1User Portal, - Event Portal, - Admin Portal
New:  Admin Portal,  User Portal,  Event Portal
</t>
    </r>
    <r>
      <rPr>
        <rFont val="Arial"/>
        <b/>
        <color rgb="FF000000"/>
      </rPr>
      <t>Note: 
1. The remaining Resolved issues (Ready for SIT (BD to SG)) and tasks (Ready for SIT (BD)) are not deployed yet in SIT.
2. The remaining Verified issues (Ready for Production Deployment (SG)) are pending as it required "System Owner" role to test it, and it will be tested by stakeholder as said by PM</t>
    </r>
  </si>
  <si>
    <t>Digital ID:
1. Update Test Cases for User Portal
2. Update Test Cases for Admin Portal</t>
  </si>
  <si>
    <r>
      <rPr>
        <rFont val="Arial"/>
        <b/>
        <color rgb="FF000000"/>
      </rPr>
      <t xml:space="preserve">Digital ID:  </t>
    </r>
    <r>
      <rPr>
        <rFont val="Arial"/>
        <color rgb="FF000000"/>
      </rPr>
      <t xml:space="preserve">
Total card per 23 December 08:50:
</t>
    </r>
    <r>
      <rPr>
        <rFont val="Arial"/>
        <b/>
        <color rgb="FF000000"/>
        <u/>
      </rPr>
      <t>Taiga BD</t>
    </r>
    <r>
      <rPr>
        <rFont val="Arial"/>
        <color rgb="FF000000"/>
        <u/>
      </rPr>
      <t>:</t>
    </r>
    <r>
      <rPr>
        <rFont val="Arial"/>
        <color rgb="FF000000"/>
      </rPr>
      <t xml:space="preserve">
Ready for SIT (BD): 9
Ready for SIT (BD to SG) : 7
</t>
    </r>
    <r>
      <rPr>
        <rFont val="Arial"/>
        <b/>
        <color rgb="FF000000"/>
        <u/>
      </rPr>
      <t>Taiga SG</t>
    </r>
    <r>
      <rPr>
        <rFont val="Arial"/>
        <color rgb="FF000000"/>
        <u/>
      </rPr>
      <t xml:space="preserve">:
</t>
    </r>
    <r>
      <rPr>
        <rFont val="Arial"/>
        <color rgb="FF000000"/>
      </rPr>
      <t xml:space="preserve">Resolved: 6 Admin Portal, 1 User Portal,  Event Portal
Reopen: 1 Admin&amp;User Portal, 1 User Portal, - Event Portal, - Admin Portal
New:  Admin Portal,  User Portal,  Event Portal
</t>
    </r>
    <r>
      <rPr>
        <rFont val="Arial"/>
        <b/>
        <color rgb="FF000000"/>
      </rPr>
      <t>Note: 
1. The remaining Resolved issues (Ready for SIT (BD to SG)) and tasks (Ready for SIT (BD)) are not deployed yet in SIT.</t>
    </r>
  </si>
  <si>
    <t>Digital ID:
1. Update Test Cases for Admin Portal
2. Testing Taiga BD with status "Ready for SIT (BD)"
3. Test User Portal SIT version 2.1.0
4. Test Admin Portal SIT version 2.1.0</t>
  </si>
  <si>
    <t>1. In-Progress
2. In-Progress
3. In-Progress
4. In-Progress</t>
  </si>
  <si>
    <t xml:space="preserve">
Digital ID:
Testing Taiga BD with status "Ready for SIT (BD)":
1. Taiga #919 =&gt; DONE
2. Taiga #
</t>
  </si>
  <si>
    <r>
      <rPr>
        <rFont val="Arial"/>
        <b/>
        <color rgb="FF000000"/>
      </rPr>
      <t xml:space="preserve">Digital ID:  </t>
    </r>
    <r>
      <rPr>
        <rFont val="Arial"/>
        <color rgb="FF000000"/>
      </rPr>
      <t xml:space="preserve">
Total card per 24 December 08:50:
</t>
    </r>
    <r>
      <rPr>
        <rFont val="Arial"/>
        <b/>
        <color rgb="FF000000"/>
        <u/>
      </rPr>
      <t>Taiga BD</t>
    </r>
    <r>
      <rPr>
        <rFont val="Arial"/>
        <color rgb="FF000000"/>
        <u/>
      </rPr>
      <t>:</t>
    </r>
    <r>
      <rPr>
        <rFont val="Arial"/>
        <color rgb="FF000000"/>
      </rPr>
      <t xml:space="preserve">
Ready for SIT (BD): 9
Ready for SIT (BD to SG) : 8
</t>
    </r>
    <r>
      <rPr>
        <rFont val="Arial"/>
        <b/>
        <color rgb="FF000000"/>
        <u/>
      </rPr>
      <t>Taiga SG</t>
    </r>
    <r>
      <rPr>
        <rFont val="Arial"/>
        <color rgb="FF000000"/>
        <u/>
      </rPr>
      <t xml:space="preserve">:
</t>
    </r>
    <r>
      <rPr>
        <rFont val="Arial"/>
        <color rgb="FF000000"/>
      </rPr>
      <t xml:space="preserve">Resolved: 7 Admin Portal, 1 User Portal,  Event Portal
Reopen: 1 Admin&amp;User Portal, 1 User Portal, - Event Portal, - Admin Portal
New:  Admin Portal,  User Portal,  Event Portal
</t>
    </r>
  </si>
  <si>
    <t xml:space="preserve">PH: Christmas </t>
  </si>
  <si>
    <t>PH: New Year</t>
  </si>
  <si>
    <t xml:space="preserve">Digital ID:
1. Test User Portal SIT version 2.1.0
2. Test Admin Portal SIT version 2.1.0
</t>
  </si>
  <si>
    <t xml:space="preserve">1. In-Progress
2. In-Progress
</t>
  </si>
  <si>
    <r>
      <rPr>
        <rFont val="Arial"/>
        <b/>
        <color rgb="FF000000"/>
      </rPr>
      <t xml:space="preserve">Digital ID:  </t>
    </r>
    <r>
      <rPr>
        <rFont val="Arial"/>
        <color rgb="FF000000"/>
      </rPr>
      <t xml:space="preserve">
Total card per 5 January 08:25:
</t>
    </r>
    <r>
      <rPr>
        <rFont val="Arial"/>
        <b/>
        <color rgb="FF000000"/>
        <u/>
      </rPr>
      <t>Taiga BD</t>
    </r>
    <r>
      <rPr>
        <rFont val="Arial"/>
        <color rgb="FF000000"/>
        <u/>
      </rPr>
      <t>:</t>
    </r>
    <r>
      <rPr>
        <rFont val="Arial"/>
        <color rgb="FF000000"/>
      </rPr>
      <t xml:space="preserve">
Ready for SIT (BD): 13
Ready for SIT (BD to SG) : 14
</t>
    </r>
    <r>
      <rPr>
        <rFont val="Arial"/>
        <b/>
        <color rgb="FF000000"/>
        <u/>
      </rPr>
      <t>Taiga SG</t>
    </r>
    <r>
      <rPr>
        <rFont val="Arial"/>
        <color rgb="FF000000"/>
        <u/>
      </rPr>
      <t xml:space="preserve">:
</t>
    </r>
    <r>
      <rPr>
        <rFont val="Arial"/>
        <color rgb="FF000000"/>
      </rPr>
      <t xml:space="preserve">Resolved: 10 Admin Portal, 2 User Portal, 1 Event Portal
Reopen: 1 Admin&amp;User Portal, 1 User Portal, - Event Portal, - Admin Portal
New:  Admin Portal,  User Portal,  Event Portal
</t>
    </r>
  </si>
  <si>
    <t>Digital ID:
1. Test Admin Portal SIT version 2.1.0
2. Verify Issues in SIT</t>
  </si>
  <si>
    <r>
      <rPr>
        <color rgb="FF000000"/>
      </rPr>
      <t xml:space="preserve">
Digital ID:
Verify Issues in SIT:
1. </t>
    </r>
    <r>
      <rPr>
        <color rgb="FF1155CC"/>
        <u/>
      </rPr>
      <t>Taiga #1318</t>
    </r>
    <r>
      <rPr>
        <color rgb="FF000000"/>
      </rPr>
      <t xml:space="preserve"> =&gt; VERIFIED
2. </t>
    </r>
    <r>
      <rPr>
        <color rgb="FF1155CC"/>
        <u/>
      </rPr>
      <t>Taiga #1317</t>
    </r>
    <r>
      <rPr>
        <color rgb="FF000000"/>
      </rPr>
      <t xml:space="preserve"> =&gt; VERIFIED
3. </t>
    </r>
    <r>
      <rPr>
        <color rgb="FF1155CC"/>
        <u/>
      </rPr>
      <t>Taiga #1320</t>
    </r>
    <r>
      <rPr>
        <color rgb="FF000000"/>
      </rPr>
      <t xml:space="preserve"> =&gt; VERIFIED
4. </t>
    </r>
    <r>
      <rPr>
        <color rgb="FF1155CC"/>
        <u/>
      </rPr>
      <t>Taiga #1319</t>
    </r>
    <r>
      <rPr>
        <color rgb="FF000000"/>
      </rPr>
      <t xml:space="preserve"> =&gt; VERIFIED
5. </t>
    </r>
    <r>
      <rPr>
        <color rgb="FF1155CC"/>
        <u/>
      </rPr>
      <t>Taiga #1321</t>
    </r>
    <r>
      <rPr>
        <color rgb="FF000000"/>
      </rPr>
      <t xml:space="preserve"> =&gt; VERIFIED
6. </t>
    </r>
    <r>
      <rPr>
        <color rgb="FF1155CC"/>
        <u/>
      </rPr>
      <t>Taiga #1324</t>
    </r>
    <r>
      <rPr>
        <color rgb="FF000000"/>
      </rPr>
      <t xml:space="preserve"> =&gt; VERIFIED
7. T</t>
    </r>
    <r>
      <rPr>
        <color rgb="FF1155CC"/>
        <u/>
      </rPr>
      <t>aiga #1327</t>
    </r>
    <r>
      <rPr>
        <color rgb="FF000000"/>
      </rPr>
      <t xml:space="preserve"> =&gt; VERIFIED
8. </t>
    </r>
    <r>
      <rPr>
        <color rgb="FF1155CC"/>
        <u/>
      </rPr>
      <t>Taiga #1322</t>
    </r>
    <r>
      <rPr>
        <color rgb="FF000000"/>
      </rPr>
      <t xml:space="preserve"> =&gt; VERIFIED
9. </t>
    </r>
    <r>
      <rPr>
        <color rgb="FF1155CC"/>
        <u/>
      </rPr>
      <t>Taiga #1328</t>
    </r>
    <r>
      <rPr>
        <color rgb="FF000000"/>
      </rPr>
      <t xml:space="preserve"> =&gt; VERIFIED
10. </t>
    </r>
    <r>
      <rPr>
        <color rgb="FF1155CC"/>
        <u/>
      </rPr>
      <t>Taiga #1329</t>
    </r>
    <r>
      <rPr>
        <color rgb="FF000000"/>
      </rPr>
      <t xml:space="preserve"> =&gt; VERIFIED
11. </t>
    </r>
    <r>
      <rPr>
        <color rgb="FF1155CC"/>
        <u/>
      </rPr>
      <t>Taiga #1326</t>
    </r>
    <r>
      <rPr>
        <color rgb="FF000000"/>
      </rPr>
      <t xml:space="preserve"> =&gt; VERIFIED
12. </t>
    </r>
    <r>
      <rPr>
        <color rgb="FF1155CC"/>
        <u/>
      </rPr>
      <t>Taiga #1208</t>
    </r>
    <r>
      <rPr>
        <color rgb="FF000000"/>
      </rPr>
      <t xml:space="preserve"> =&gt; VERIFIED
13. </t>
    </r>
    <r>
      <rPr>
        <color rgb="FF1155CC"/>
        <u/>
      </rPr>
      <t>Taiga #1325</t>
    </r>
    <r>
      <rPr>
        <color rgb="FF000000"/>
      </rPr>
      <t xml:space="preserve"> =&gt; VERIFIED
14. </t>
    </r>
    <r>
      <rPr>
        <color rgb="FF1155CC"/>
        <u/>
      </rPr>
      <t>Taiga #1211</t>
    </r>
    <r>
      <rPr>
        <color rgb="FF000000"/>
      </rPr>
      <t xml:space="preserve"> =&gt; VERIFIED
15. </t>
    </r>
    <r>
      <rPr>
        <color rgb="FF1155CC"/>
        <u/>
      </rPr>
      <t>Taiga #1235</t>
    </r>
    <r>
      <rPr>
        <color rgb="FF000000"/>
      </rPr>
      <t xml:space="preserve"> =&gt; VERIFIED
</t>
    </r>
  </si>
  <si>
    <r>
      <rPr>
        <rFont val="Arial"/>
        <b/>
        <color rgb="FF000000"/>
      </rPr>
      <t xml:space="preserve">Digital ID:  </t>
    </r>
    <r>
      <rPr>
        <rFont val="Arial"/>
        <color rgb="FF000000"/>
      </rPr>
      <t xml:space="preserve">
Total card per 6 January 08:30:
</t>
    </r>
    <r>
      <rPr>
        <rFont val="Arial"/>
        <b/>
        <color rgb="FF000000"/>
        <u/>
      </rPr>
      <t>Taiga BD</t>
    </r>
    <r>
      <rPr>
        <rFont val="Arial"/>
        <color rgb="FF000000"/>
        <u/>
      </rPr>
      <t>:</t>
    </r>
    <r>
      <rPr>
        <rFont val="Arial"/>
        <color rgb="FF000000"/>
      </rPr>
      <t xml:space="preserve">
Ready for SIT (BD): 12
Ready for SIT (BD to SG) : 20
</t>
    </r>
    <r>
      <rPr>
        <rFont val="Arial"/>
        <b/>
        <color rgb="FF000000"/>
        <u/>
      </rPr>
      <t>Taiga SG</t>
    </r>
    <r>
      <rPr>
        <rFont val="Arial"/>
        <color rgb="FF000000"/>
        <u/>
      </rPr>
      <t xml:space="preserve">:
</t>
    </r>
    <r>
      <rPr>
        <rFont val="Arial"/>
        <color rgb="FF000000"/>
      </rPr>
      <t xml:space="preserve">Resolved: 16 Admin Portal, 2 User Portal, 1 Event Portal
Reopen: 1 Admin&amp;User Portal, 1 User Portal, - Event Portal, - Admin Portal
New: 4 Admin Portal, 1 User Portal,  Event Portal
</t>
    </r>
  </si>
  <si>
    <t>Digital ID:
1. Test SIT Admin Portal and User Portal
2. Testing Taiga BD with status "Ready for SIT (BD)"
3. Verify Issues in SIT</t>
  </si>
  <si>
    <r>
      <rPr>
        <color rgb="FF000000"/>
      </rPr>
      <t xml:space="preserve">
Digital ID:
Testing Taiga BD with status "Ready for SIT (BD)":
1.  </t>
    </r>
    <r>
      <rPr>
        <color rgb="FF1155CC"/>
        <u/>
      </rPr>
      <t>Taiga #939</t>
    </r>
    <r>
      <rPr>
        <color rgb="FF000000"/>
      </rPr>
      <t xml:space="preserve"> =&gt; DONE
Verify Issues in SIT:
1. </t>
    </r>
    <r>
      <rPr>
        <color rgb="FF1155CC"/>
        <u/>
      </rPr>
      <t>Taiga #1194</t>
    </r>
    <r>
      <rPr>
        <color rgb="FF000000"/>
      </rPr>
      <t xml:space="preserve"> =&gt; Reopen
2. </t>
    </r>
    <r>
      <rPr>
        <color rgb="FF1155CC"/>
        <u/>
      </rPr>
      <t>Taiga #1195</t>
    </r>
    <r>
      <rPr>
        <color rgb="FF000000"/>
      </rPr>
      <t xml:space="preserve"> =&gt; VERIFIED
3. </t>
    </r>
    <r>
      <rPr>
        <color rgb="FF1155CC"/>
        <u/>
      </rPr>
      <t>Taiga #1330</t>
    </r>
    <r>
      <rPr>
        <color rgb="FF000000"/>
      </rPr>
      <t xml:space="preserve"> =&gt; VERIFIED
</t>
    </r>
  </si>
  <si>
    <r>
      <rPr>
        <rFont val="Arial"/>
        <b/>
        <color rgb="FF000000"/>
      </rPr>
      <t xml:space="preserve">Digital ID:  </t>
    </r>
    <r>
      <rPr>
        <rFont val="Arial"/>
        <color rgb="FF000000"/>
      </rPr>
      <t xml:space="preserve">
Total card per 7 January 08:20:
</t>
    </r>
    <r>
      <rPr>
        <rFont val="Arial"/>
        <b/>
        <color rgb="FF000000"/>
        <u/>
      </rPr>
      <t>Taiga BD</t>
    </r>
    <r>
      <rPr>
        <rFont val="Arial"/>
        <color rgb="FF000000"/>
        <u/>
      </rPr>
      <t>:</t>
    </r>
    <r>
      <rPr>
        <rFont val="Arial"/>
        <color rgb="FF000000"/>
      </rPr>
      <t xml:space="preserve">
Ready for SIT (BD): 13
Ready for SIT (BD to SG) : 14
</t>
    </r>
    <r>
      <rPr>
        <rFont val="Arial"/>
        <b/>
        <color rgb="FF000000"/>
        <u/>
      </rPr>
      <t>Taiga SG</t>
    </r>
    <r>
      <rPr>
        <rFont val="Arial"/>
        <color rgb="FF000000"/>
        <u/>
      </rPr>
      <t xml:space="preserve">:
</t>
    </r>
    <r>
      <rPr>
        <rFont val="Arial"/>
        <color rgb="FF000000"/>
      </rPr>
      <t xml:space="preserve">Resolved: 7 Admin Portal, 2 User Portal, 1 Event Portal
Reopen: 1 Admin&amp;User Portal, 1 User Portal, - Event Portal, - Admin Portal
New:  Admin Portal,  User Portal,  Event Portal
</t>
    </r>
  </si>
  <si>
    <r>
      <rPr>
        <color rgb="FF000000"/>
      </rPr>
      <t xml:space="preserve">
Digital ID:
Testing Taiga BD with status "Ready for SIT (BD)":
1. </t>
    </r>
    <r>
      <rPr>
        <color rgb="FF1155CC"/>
        <u/>
      </rPr>
      <t>Taiga #926</t>
    </r>
    <r>
      <rPr>
        <color rgb="FF000000"/>
      </rPr>
      <t xml:space="preserve"> =&gt; DONE
2. </t>
    </r>
    <r>
      <rPr>
        <color rgb="FF1155CC"/>
        <u/>
      </rPr>
      <t>Taiga #993</t>
    </r>
    <r>
      <rPr>
        <color rgb="FF000000"/>
      </rPr>
      <t xml:space="preserve"> =&gt; DONE
3. </t>
    </r>
    <r>
      <rPr>
        <color rgb="FF1155CC"/>
        <u/>
      </rPr>
      <t>Taiga #963</t>
    </r>
    <r>
      <rPr>
        <color rgb="FF000000"/>
      </rPr>
      <t xml:space="preserve"> =&gt; DONE
4. Taiga #
Verify Issues in SIT:
1. </t>
    </r>
    <r>
      <rPr>
        <color rgb="FF1155CC"/>
        <u/>
      </rPr>
      <t>Taiga #1180</t>
    </r>
    <r>
      <rPr>
        <color rgb="FF000000"/>
      </rPr>
      <t xml:space="preserve"> =&gt; VERIFIED
2. </t>
    </r>
    <r>
      <rPr>
        <color rgb="FF1155CC"/>
        <u/>
      </rPr>
      <t>Taiga #1331</t>
    </r>
    <r>
      <rPr>
        <color rgb="FF000000"/>
      </rPr>
      <t xml:space="preserve"> =&gt; VERIFIED
3. </t>
    </r>
    <r>
      <rPr>
        <color rgb="FF1155CC"/>
        <u/>
      </rPr>
      <t>Taiga #1335</t>
    </r>
    <r>
      <rPr>
        <color rgb="FF000000"/>
      </rPr>
      <t xml:space="preserve"> =&gt; VERIFIED
4. </t>
    </r>
    <r>
      <rPr>
        <color rgb="FF1155CC"/>
        <u/>
      </rPr>
      <t>Taiga #1231</t>
    </r>
    <r>
      <rPr>
        <color rgb="FF000000"/>
      </rPr>
      <t xml:space="preserve"> =&gt; VERIFIED
5. </t>
    </r>
    <r>
      <rPr>
        <color rgb="FF1155CC"/>
        <u/>
      </rPr>
      <t>Taiga #1333</t>
    </r>
    <r>
      <rPr>
        <color rgb="FF000000"/>
      </rPr>
      <t xml:space="preserve"> =&gt; VERIFIED
6. </t>
    </r>
    <r>
      <rPr>
        <color rgb="FF1155CC"/>
        <u/>
      </rPr>
      <t>Taiga #1332</t>
    </r>
    <r>
      <rPr>
        <color rgb="FF000000"/>
      </rPr>
      <t xml:space="preserve"> =&gt; Reopen
7. </t>
    </r>
    <r>
      <rPr>
        <color rgb="FF1155CC"/>
        <u/>
      </rPr>
      <t>Taiga #1323</t>
    </r>
    <r>
      <rPr>
        <color rgb="FF000000"/>
      </rPr>
      <t xml:space="preserve"> =&gt; VERIFIED
8. </t>
    </r>
    <r>
      <rPr>
        <color rgb="FF1155CC"/>
        <u/>
      </rPr>
      <t>Taiga #1334</t>
    </r>
    <r>
      <rPr>
        <color rgb="FF000000"/>
      </rPr>
      <t xml:space="preserve"> =&gt; VERIFIED
9. Taiga #
10. Taiga #
</t>
    </r>
  </si>
  <si>
    <r>
      <rPr>
        <rFont val="Arial"/>
        <b/>
        <color rgb="FF000000"/>
      </rPr>
      <t xml:space="preserve">Digital ID:  </t>
    </r>
    <r>
      <rPr>
        <rFont val="Arial"/>
        <color rgb="FF000000"/>
      </rPr>
      <t xml:space="preserve">
Total card per 8 January 08:40:
</t>
    </r>
    <r>
      <rPr>
        <rFont val="Arial"/>
        <b/>
        <color rgb="FF000000"/>
        <u/>
      </rPr>
      <t>Taiga BD</t>
    </r>
    <r>
      <rPr>
        <rFont val="Arial"/>
        <color rgb="FF000000"/>
        <u/>
      </rPr>
      <t>:</t>
    </r>
    <r>
      <rPr>
        <rFont val="Arial"/>
        <color rgb="FF000000"/>
      </rPr>
      <t xml:space="preserve">
Ready for SIT (BD): 12
Ready for SIT (BD to SG) : 14
</t>
    </r>
    <r>
      <rPr>
        <rFont val="Arial"/>
        <b/>
        <color rgb="FF000000"/>
        <u/>
      </rPr>
      <t>Taiga SG</t>
    </r>
    <r>
      <rPr>
        <rFont val="Arial"/>
        <color rgb="FF000000"/>
        <u/>
      </rPr>
      <t xml:space="preserve">:
</t>
    </r>
    <r>
      <rPr>
        <rFont val="Arial"/>
        <color rgb="FF000000"/>
      </rPr>
      <t xml:space="preserve">Resolved:  Admin Portal,  User Portal,  Event Portal
Reopen: 1 Admin&amp;User Portal, 1 User Portal, - Event Portal, - Admin Portal
New:  Admin Portal,  User Portal,  Event Portal
</t>
    </r>
  </si>
  <si>
    <t>Digital ID:
1. Test SIT Admin Portal
2. Testing Taiga BD with status "Ready for SIT (BD)"
3. Verify Issues in SIT</t>
  </si>
  <si>
    <t>1. DONE
2. In-Progress
3. In-Progress</t>
  </si>
  <si>
    <r>
      <rPr>
        <color rgb="FF000000"/>
      </rPr>
      <t xml:space="preserve">
Digital ID:
Testing Taiga BD with status "Ready for SIT (BD)":
1. </t>
    </r>
    <r>
      <rPr>
        <color rgb="FF1155CC"/>
        <u/>
      </rPr>
      <t>Taiga #958</t>
    </r>
    <r>
      <rPr>
        <color rgb="FF000000"/>
      </rPr>
      <t xml:space="preserve"> =&gt; DONE
2. </t>
    </r>
    <r>
      <rPr>
        <color rgb="FF1155CC"/>
        <u/>
      </rPr>
      <t>Taiga #993</t>
    </r>
    <r>
      <rPr>
        <color rgb="FF000000"/>
      </rPr>
      <t xml:space="preserve"> =&gt; DONE
3. </t>
    </r>
    <r>
      <rPr>
        <color rgb="FF1155CC"/>
        <u/>
      </rPr>
      <t>Taiga #959</t>
    </r>
    <r>
      <rPr>
        <color rgb="FF000000"/>
      </rPr>
      <t xml:space="preserve"> =&gt; DONE
4. </t>
    </r>
    <r>
      <rPr>
        <color rgb="FF1155CC"/>
        <u/>
      </rPr>
      <t>Taiga #954</t>
    </r>
    <r>
      <rPr>
        <color rgb="FF000000"/>
      </rPr>
      <t xml:space="preserve"> =&gt; DONE
5. </t>
    </r>
    <r>
      <rPr>
        <color rgb="FF1155CC"/>
        <u/>
      </rPr>
      <t>Taiga #994</t>
    </r>
    <r>
      <rPr>
        <color rgb="FF000000"/>
      </rPr>
      <t xml:space="preserve"> =&gt; DONE
6. Taiga #
Verify Issues in SIT:
1. </t>
    </r>
    <r>
      <rPr>
        <color rgb="FF1155CC"/>
        <u/>
      </rPr>
      <t>Taiga #1340</t>
    </r>
    <r>
      <rPr>
        <color rgb="FF000000"/>
      </rPr>
      <t xml:space="preserve"> =&gt; VERIFIED
2. </t>
    </r>
    <r>
      <rPr>
        <color rgb="FF1155CC"/>
        <u/>
      </rPr>
      <t>Taiga #1339</t>
    </r>
    <r>
      <rPr>
        <color rgb="FF000000"/>
      </rPr>
      <t xml:space="preserve"> =&gt; VERIFIED
3. </t>
    </r>
    <r>
      <rPr>
        <color rgb="FF1155CC"/>
        <u/>
      </rPr>
      <t>Taiga #1336</t>
    </r>
    <r>
      <rPr>
        <color rgb="FF000000"/>
      </rPr>
      <t xml:space="preserve"> =&gt; VERIFIED
4. </t>
    </r>
    <r>
      <rPr>
        <color rgb="FF1155CC"/>
        <u/>
      </rPr>
      <t>Taiga #1332</t>
    </r>
    <r>
      <rPr>
        <color rgb="FF000000"/>
      </rPr>
      <t xml:space="preserve"> =&gt; VERIFIED
5. Taiga #
</t>
    </r>
  </si>
  <si>
    <r>
      <rPr>
        <rFont val="Arial"/>
        <b/>
        <color rgb="FF000000"/>
      </rPr>
      <t xml:space="preserve">Digital ID:  </t>
    </r>
    <r>
      <rPr>
        <rFont val="Arial"/>
        <color rgb="FF000000"/>
      </rPr>
      <t xml:space="preserve">
Total card per 9 January 08:20:
</t>
    </r>
    <r>
      <rPr>
        <rFont val="Arial"/>
        <b/>
        <color rgb="FF000000"/>
        <u/>
      </rPr>
      <t>Taiga BD</t>
    </r>
    <r>
      <rPr>
        <rFont val="Arial"/>
        <color rgb="FF000000"/>
        <u/>
      </rPr>
      <t>:</t>
    </r>
    <r>
      <rPr>
        <rFont val="Arial"/>
        <color rgb="FF000000"/>
      </rPr>
      <t xml:space="preserve">
Ready for SIT (BD): 13
Ready for SIT (BD to SG) : 9
</t>
    </r>
    <r>
      <rPr>
        <rFont val="Arial"/>
        <b/>
        <color rgb="FF000000"/>
        <u/>
      </rPr>
      <t>Taiga SG</t>
    </r>
    <r>
      <rPr>
        <rFont val="Arial"/>
        <color rgb="FF000000"/>
        <u/>
      </rPr>
      <t xml:space="preserve">:
</t>
    </r>
    <r>
      <rPr>
        <rFont val="Arial"/>
        <color rgb="FF000000"/>
      </rPr>
      <t xml:space="preserve">Resolved: 4 Admin Portal, 1 User Portal, 1 Event Portal
Reopen: 1 Admin&amp;User Portal, 2 User Portal, - Event Portal, - Admin Portal
New: 1 Admin Portal,  User Portal, 1 Event Portal
</t>
    </r>
  </si>
  <si>
    <t>Digital ID:
1. Testing Taiga BD with status "Ready for SIT (BD)"
2. Verify Issues in SIT
3. Test SIT User Portal
4. Checking date format in Admin Portal
5. Replicate Issue when access Public Business Profile</t>
  </si>
  <si>
    <t>1. In-Progress
2. In-Progress
3. DONE
4. DONE
5. DONE</t>
  </si>
  <si>
    <r>
      <rPr>
        <color rgb="FF000000"/>
      </rPr>
      <t xml:space="preserve">
Digital ID:
Testing Taiga BD with status "Ready for SIT (BD)":
1. </t>
    </r>
    <r>
      <rPr>
        <color rgb="FF1155CC"/>
        <u/>
      </rPr>
      <t>Taiga #723</t>
    </r>
    <r>
      <rPr>
        <color rgb="FF000000"/>
      </rPr>
      <t xml:space="preserve"> =&gt; DONE
2. </t>
    </r>
    <r>
      <rPr>
        <color rgb="FF1155CC"/>
        <u/>
      </rPr>
      <t>Taiga #968</t>
    </r>
    <r>
      <rPr>
        <color rgb="FF000000"/>
      </rPr>
      <t xml:space="preserve"> =&gt; DONE
3. </t>
    </r>
    <r>
      <rPr>
        <color rgb="FF1155CC"/>
        <u/>
      </rPr>
      <t>Taiga #722</t>
    </r>
    <r>
      <rPr>
        <color rgb="FF000000"/>
      </rPr>
      <t xml:space="preserve"> =&gt; tested, but not update the Taiga yet because Taiga cannot be accessed
Verify Issues in SIT:
1. </t>
    </r>
    <r>
      <rPr>
        <color rgb="FF1155CC"/>
        <u/>
      </rPr>
      <t>Taiga #1341</t>
    </r>
    <r>
      <rPr>
        <color rgb="FF000000"/>
      </rPr>
      <t xml:space="preserve"> =&gt; tested, but not update the Taiga yet because Taiga cannot be accessed
</t>
    </r>
  </si>
  <si>
    <r>
      <rPr>
        <rFont val="Arial"/>
        <b/>
        <color rgb="FF000000"/>
      </rPr>
      <t xml:space="preserve">Digital ID:  </t>
    </r>
    <r>
      <rPr>
        <rFont val="Arial"/>
        <color rgb="FF000000"/>
      </rPr>
      <t xml:space="preserve">
Total card per 12 January 08:30:
</t>
    </r>
    <r>
      <rPr>
        <rFont val="Arial"/>
        <b/>
        <color rgb="FF000000"/>
        <u/>
      </rPr>
      <t>Taiga BD</t>
    </r>
    <r>
      <rPr>
        <rFont val="Arial"/>
        <color rgb="FF000000"/>
        <u/>
      </rPr>
      <t>:</t>
    </r>
    <r>
      <rPr>
        <rFont val="Arial"/>
        <color rgb="FF000000"/>
      </rPr>
      <t xml:space="preserve">
Ready for SIT (BD): 7
Ready for SIT (BD to SG) : 13
</t>
    </r>
    <r>
      <rPr>
        <rFont val="Arial"/>
        <b/>
        <color rgb="FF000000"/>
        <u/>
      </rPr>
      <t>Taiga SG</t>
    </r>
    <r>
      <rPr>
        <rFont val="Arial"/>
        <color rgb="FF000000"/>
        <u/>
      </rPr>
      <t xml:space="preserve">:
</t>
    </r>
    <r>
      <rPr>
        <rFont val="Arial"/>
        <color rgb="FF000000"/>
      </rPr>
      <t xml:space="preserve">Resolved: 4 Admin Portal, 1 User Portal, 2 Event Portal
Reopen: 1 Admin&amp;User Portal, 1 User Portal, - Event Portal, - Admin Portal
New:  Admin Portal,  User Portal,  Event Portal
</t>
    </r>
  </si>
  <si>
    <t>Digital ID:
1. Testing Taiga BD with status "Ready for SIT (BD)"
2. Verify Issues in SIT
3. Verify Issue hot-fix in PROD</t>
  </si>
  <si>
    <t>1. In-Progress
2. In-Progress
3. DONE</t>
  </si>
  <si>
    <r>
      <rPr>
        <color rgb="FF000000"/>
      </rPr>
      <t xml:space="preserve">
Digital ID:
Testing Taiga BD with status "Ready for SIT (BD)":
1. </t>
    </r>
    <r>
      <rPr>
        <color rgb="FF1155CC"/>
        <u/>
      </rPr>
      <t>Taiga #722</t>
    </r>
    <r>
      <rPr>
        <color rgb="FF000000"/>
      </rPr>
      <t xml:space="preserve"> =&gt; DONE
2. </t>
    </r>
    <r>
      <rPr>
        <color rgb="FF1155CC"/>
        <u/>
      </rPr>
      <t>Taiga #788</t>
    </r>
    <r>
      <rPr>
        <color rgb="FF000000"/>
      </rPr>
      <t xml:space="preserve"> =&gt; DONE
3. Taiga #
Verify Issues in SIT:
1. </t>
    </r>
    <r>
      <rPr>
        <color rgb="FF1155CC"/>
        <u/>
      </rPr>
      <t>Taiga #1194</t>
    </r>
    <r>
      <rPr>
        <color rgb="FF000000"/>
      </rPr>
      <t xml:space="preserve"> =&gt; VERIFIED
2. </t>
    </r>
    <r>
      <rPr>
        <color rgb="FF1155CC"/>
        <u/>
      </rPr>
      <t>Taiga #1341</t>
    </r>
    <r>
      <rPr>
        <color rgb="FF000000"/>
      </rPr>
      <t xml:space="preserve"> =&gt; VERIFIED
3. </t>
    </r>
    <r>
      <rPr>
        <color rgb="FF1155CC"/>
        <u/>
      </rPr>
      <t>Taiga #1352</t>
    </r>
    <r>
      <rPr>
        <color rgb="FF000000"/>
      </rPr>
      <t xml:space="preserve"> =&gt; VERIFIED
4. Taiga #
Verify Issues in PROD:
1. </t>
    </r>
    <r>
      <rPr>
        <color rgb="FF1155CC"/>
        <u/>
      </rPr>
      <t xml:space="preserve">Taiga #1352 </t>
    </r>
    <r>
      <rPr>
        <color rgb="FF000000"/>
      </rPr>
      <t>=&gt; CLOSED</t>
    </r>
  </si>
  <si>
    <r>
      <rPr>
        <rFont val="Arial"/>
        <b/>
        <color rgb="FF000000"/>
      </rPr>
      <t>Digital ID:  Waiting for the latest deployment</t>
    </r>
    <r>
      <rPr>
        <rFont val="Arial"/>
        <color rgb="FF000000"/>
      </rPr>
      <t xml:space="preserve">
Total card per 13 January 08:30:
</t>
    </r>
    <r>
      <rPr>
        <rFont val="Arial"/>
        <b/>
        <color rgb="FF000000"/>
        <u/>
      </rPr>
      <t>Taiga BD</t>
    </r>
    <r>
      <rPr>
        <rFont val="Arial"/>
        <color rgb="FF000000"/>
        <u/>
      </rPr>
      <t>:</t>
    </r>
    <r>
      <rPr>
        <rFont val="Arial"/>
        <color rgb="FF000000"/>
      </rPr>
      <t xml:space="preserve">
Ready for SIT (BD): 7
Ready for SIT (BD to SG) : 14 
</t>
    </r>
    <r>
      <rPr>
        <rFont val="Arial"/>
        <b/>
        <color rgb="FF000000"/>
        <u/>
      </rPr>
      <t>Taiga SG</t>
    </r>
    <r>
      <rPr>
        <rFont val="Arial"/>
        <color rgb="FF000000"/>
        <u/>
      </rPr>
      <t xml:space="preserve">:
</t>
    </r>
    <r>
      <rPr>
        <rFont val="Arial"/>
        <color rgb="FF000000"/>
      </rPr>
      <t xml:space="preserve">Resolved: 5 Admin Portal, 1 User Portal, 2 Event Portal
Reopen: 1 Admin&amp;User Portal, 1 User Portal, - Event Portal, - Admin Portal
New:  Admin Portal, 3 User Portal, 1 Event Portal
</t>
    </r>
  </si>
  <si>
    <t>Digital ID:
1. Testing Taiga BD with status "Ready for SIT (BD)"
2. Verify Issues in SIT
3. Test Event Portal version 1.1.0 in SIT</t>
  </si>
  <si>
    <r>
      <rPr>
        <color rgb="FF000000"/>
      </rPr>
      <t xml:space="preserve">
Digital ID:
Testing Taiga BD with status "Ready for SIT (BD)":
1. </t>
    </r>
    <r>
      <rPr>
        <color rgb="FF1155CC"/>
        <u/>
      </rPr>
      <t>Taiga #833</t>
    </r>
    <r>
      <rPr>
        <color rgb="FF000000"/>
      </rPr>
      <t xml:space="preserve"> =&gt; DONE
2. </t>
    </r>
    <r>
      <rPr>
        <color rgb="FF1155CC"/>
        <u/>
      </rPr>
      <t>Taiga #969</t>
    </r>
    <r>
      <rPr>
        <color rgb="FF000000"/>
      </rPr>
      <t xml:space="preserve"> =&gt; DONE
Verify Issues in SIT:
1. </t>
    </r>
    <r>
      <rPr>
        <color rgb="FF1155CC"/>
        <u/>
      </rPr>
      <t>Taiga #1024</t>
    </r>
    <r>
      <rPr>
        <color rgb="FF000000"/>
      </rPr>
      <t xml:space="preserve"> =&gt; VERIFIED
2. </t>
    </r>
    <r>
      <rPr>
        <color rgb="FF1155CC"/>
        <u/>
      </rPr>
      <t>Taiga #1343</t>
    </r>
    <r>
      <rPr>
        <color rgb="FF000000"/>
      </rPr>
      <t xml:space="preserve"> =&gt; VERIFIED
3. </t>
    </r>
    <r>
      <rPr>
        <color rgb="FF1155CC"/>
        <u/>
      </rPr>
      <t>Taiga #1342</t>
    </r>
    <r>
      <rPr>
        <color rgb="FF000000"/>
      </rPr>
      <t xml:space="preserve"> =&gt; VERIFIED
4. </t>
    </r>
    <r>
      <rPr>
        <color rgb="FF1155CC"/>
        <u/>
      </rPr>
      <t>Taiga #1256</t>
    </r>
    <r>
      <rPr>
        <color rgb="FF000000"/>
      </rPr>
      <t xml:space="preserve"> =&gt; VERIFIED
</t>
    </r>
  </si>
  <si>
    <r>
      <rPr>
        <rFont val="Arial"/>
        <b/>
        <color rgb="FF000000"/>
      </rPr>
      <t xml:space="preserve">Digital ID:  </t>
    </r>
    <r>
      <rPr>
        <rFont val="Arial"/>
        <color rgb="FF000000"/>
      </rPr>
      <t xml:space="preserve">
Total card per 14 January 08:45:
</t>
    </r>
    <r>
      <rPr>
        <rFont val="Arial"/>
        <b/>
        <color rgb="FF000000"/>
        <u/>
      </rPr>
      <t>Taiga BD</t>
    </r>
    <r>
      <rPr>
        <rFont val="Arial"/>
        <color rgb="FF000000"/>
        <u/>
      </rPr>
      <t>:</t>
    </r>
    <r>
      <rPr>
        <rFont val="Arial"/>
        <color rgb="FF000000"/>
      </rPr>
      <t xml:space="preserve">
Ready for SIT (BD): 6
Ready for SIT (BD to SG) : 12
</t>
    </r>
    <r>
      <rPr>
        <rFont val="Arial"/>
        <b/>
        <color rgb="FF000000"/>
        <u/>
      </rPr>
      <t>Taiga SG</t>
    </r>
    <r>
      <rPr>
        <rFont val="Arial"/>
        <color rgb="FF000000"/>
        <u/>
      </rPr>
      <t xml:space="preserve">:
</t>
    </r>
    <r>
      <rPr>
        <rFont val="Arial"/>
        <color rgb="FF000000"/>
      </rPr>
      <t xml:space="preserve">Resolved: 4 Admin Portal, 1 User Portal, 1 Event Portal
Reopen: 1 Admin&amp;User Portal, 1 User Portal, - Event Portal, - Admin Portal
New:  Admin Portal, 4 User Portal, 2 Event Portal
</t>
    </r>
  </si>
  <si>
    <r>
      <rPr>
        <color rgb="FF000000"/>
      </rPr>
      <t xml:space="preserve">
Digital ID:
Testing Taiga BD with status "Ready for SIT (BD)":
1. </t>
    </r>
    <r>
      <rPr>
        <color rgb="FF1155CC"/>
        <u/>
      </rPr>
      <t>Taiga #1001</t>
    </r>
    <r>
      <rPr>
        <color rgb="FF000000"/>
      </rPr>
      <t xml:space="preserve"> =&gt; DONE
2. Taiga #
3. Taiga #
4. Taiga #
5. Taiga #
6. Taiga #
7. Taiga #
8. Taiga #
9. Taiga #
10. Taiga #
Verify Issues in SIT:
1. Taiga #
2. Taiga #
3. Taiga #
4. Taiga #
5. Taiga #
6. Taiga #
7. Taiga #
8. Taiga #
9. Taiga #
10. Taiga #
</t>
    </r>
  </si>
  <si>
    <r>
      <rPr>
        <rFont val="Arial"/>
        <b/>
        <color rgb="FF000000"/>
      </rPr>
      <t>Digital ID:  waiting for latest deployment</t>
    </r>
    <r>
      <rPr>
        <rFont val="Arial"/>
        <color rgb="FF000000"/>
      </rPr>
      <t xml:space="preserve">
Total card per 15 January 08:30:
</t>
    </r>
    <r>
      <rPr>
        <rFont val="Arial"/>
        <b/>
        <color rgb="FF000000"/>
        <u/>
      </rPr>
      <t>Taiga BD</t>
    </r>
    <r>
      <rPr>
        <rFont val="Arial"/>
        <color rgb="FF000000"/>
        <u/>
      </rPr>
      <t>:</t>
    </r>
    <r>
      <rPr>
        <rFont val="Arial"/>
        <color rgb="FF000000"/>
      </rPr>
      <t xml:space="preserve">
Ready for SIT (BD): 4
Ready for SIT (BD to SG) : 8
</t>
    </r>
    <r>
      <rPr>
        <rFont val="Arial"/>
        <b/>
        <color rgb="FF000000"/>
        <u/>
      </rPr>
      <t>Taiga SG</t>
    </r>
    <r>
      <rPr>
        <rFont val="Arial"/>
        <color rgb="FF000000"/>
        <u/>
      </rPr>
      <t xml:space="preserve">:
</t>
    </r>
    <r>
      <rPr>
        <rFont val="Arial"/>
        <color rgb="FF000000"/>
      </rPr>
      <t xml:space="preserve">Resolved: 1 Admin Portal, 1 User Portal,  Event Portal
Reopen: 1 Admin&amp;User Portal, 1 User Portal, - Event Portal, - Admin Portal
New: 1 Admin Portal, 4 User Portal, 4 Event Portal
</t>
    </r>
  </si>
  <si>
    <t>PH: Prophet's Ascension (Isra' Mi'raj)</t>
  </si>
  <si>
    <t xml:space="preserve">
Digital ID:
Testing Taiga BD with status "Ready for SIT (BD)":
1. Taiga #
2. Taiga #
3. Taiga #
4. Taiga #
5. Taiga #
6. Taiga #
7. Taiga #
8. Taiga #
9. Taiga #
10. Taiga #
Verify Issues in SIT:
1. Taiga #
2. Taiga #
3. Taiga #
4. Taiga #
5. Taiga #
6. Taiga #
7. Taiga #
8. Taiga #
9. Taiga #
10. Taiga #
</t>
  </si>
  <si>
    <r>
      <rPr>
        <rFont val="Arial"/>
        <b/>
        <color rgb="FF000000"/>
      </rPr>
      <t xml:space="preserve">Digital ID:  </t>
    </r>
    <r>
      <rPr>
        <rFont val="Arial"/>
        <color rgb="FF000000"/>
      </rPr>
      <t xml:space="preserve">
Total card per 19 January 08:30:
</t>
    </r>
    <r>
      <rPr>
        <rFont val="Arial"/>
        <b/>
        <color rgb="FF000000"/>
        <u/>
      </rPr>
      <t>Taiga BD</t>
    </r>
    <r>
      <rPr>
        <rFont val="Arial"/>
        <color rgb="FF000000"/>
        <u/>
      </rPr>
      <t>:</t>
    </r>
    <r>
      <rPr>
        <rFont val="Arial"/>
        <color rgb="FF000000"/>
      </rPr>
      <t xml:space="preserve">
Ready for SIT (BD): 9
Ready for SIT (BD to SG) : 14
</t>
    </r>
    <r>
      <rPr>
        <rFont val="Arial"/>
        <b/>
        <color rgb="FF000000"/>
        <u/>
      </rPr>
      <t>Taiga SG</t>
    </r>
    <r>
      <rPr>
        <rFont val="Arial"/>
        <color rgb="FF000000"/>
        <u/>
      </rPr>
      <t xml:space="preserve">:
</t>
    </r>
    <r>
      <rPr>
        <rFont val="Arial"/>
        <color rgb="FF000000"/>
      </rPr>
      <t xml:space="preserve">Resolved: 2 Admin Portal, 3 User Portal, 3 Event Portal
Reopen: 1 Admin&amp;User Portal, 1 User Portal, - Event Portal, - Admin Portal
New: 1 Admin Portal, 2 User Portal, 3 Event Portal
</t>
    </r>
  </si>
  <si>
    <r>
      <rPr>
        <rFont val="Arial"/>
        <b/>
        <color rgb="FF000000"/>
      </rPr>
      <t xml:space="preserve">Digital ID:  </t>
    </r>
    <r>
      <rPr>
        <rFont val="Arial"/>
        <color rgb="FF000000"/>
      </rPr>
      <t xml:space="preserve">
Total card per  January 08:50:
</t>
    </r>
    <r>
      <rPr>
        <rFont val="Arial"/>
        <b/>
        <color rgb="FF000000"/>
        <u/>
      </rPr>
      <t>Taiga BD</t>
    </r>
    <r>
      <rPr>
        <rFont val="Arial"/>
        <color rgb="FF000000"/>
        <u/>
      </rPr>
      <t>:</t>
    </r>
    <r>
      <rPr>
        <rFont val="Arial"/>
        <color rgb="FF000000"/>
      </rPr>
      <t xml:space="preserve">
Ready for SIT (BD): 
Ready for SIT (BD to SG) : 
</t>
    </r>
    <r>
      <rPr>
        <rFont val="Arial"/>
        <b/>
        <color rgb="FF000000"/>
        <u/>
      </rPr>
      <t>Taiga SG</t>
    </r>
    <r>
      <rPr>
        <rFont val="Arial"/>
        <color rgb="FF000000"/>
        <u/>
      </rPr>
      <t xml:space="preserve">:
</t>
    </r>
    <r>
      <rPr>
        <rFont val="Arial"/>
        <color rgb="FF000000"/>
      </rPr>
      <t xml:space="preserve">Resolved:  Admin Portal,  User Portal,  Event Portal
Reopen: 1 Admin&amp;User Portal, 1 User Portal, - Event Portal, - Admin Portal
New:  Admin Portal,  User Portal,  Event Portal
</t>
    </r>
  </si>
  <si>
    <r>
      <rPr>
        <rFont val="Arial"/>
        <b/>
        <color rgb="FF000000"/>
      </rPr>
      <t xml:space="preserve">Digital ID:  </t>
    </r>
    <r>
      <rPr>
        <rFont val="Arial"/>
        <color rgb="FF000000"/>
      </rPr>
      <t xml:space="preserve">
Total card per  January 08:50:
</t>
    </r>
    <r>
      <rPr>
        <rFont val="Arial"/>
        <b/>
        <color rgb="FF000000"/>
        <u/>
      </rPr>
      <t>Taiga BD</t>
    </r>
    <r>
      <rPr>
        <rFont val="Arial"/>
        <color rgb="FF000000"/>
        <u/>
      </rPr>
      <t>:</t>
    </r>
    <r>
      <rPr>
        <rFont val="Arial"/>
        <color rgb="FF000000"/>
      </rPr>
      <t xml:space="preserve">
Ready for SIT (BD): 
Ready for SIT (BD to SG) : 
</t>
    </r>
    <r>
      <rPr>
        <rFont val="Arial"/>
        <b/>
        <color rgb="FF000000"/>
        <u/>
      </rPr>
      <t>Taiga SG</t>
    </r>
    <r>
      <rPr>
        <rFont val="Arial"/>
        <color rgb="FF000000"/>
        <u/>
      </rPr>
      <t xml:space="preserve">:
</t>
    </r>
    <r>
      <rPr>
        <rFont val="Arial"/>
        <color rgb="FF000000"/>
      </rPr>
      <t xml:space="preserve">Resolved:  Admin Portal,  User Portal,  Event Portal
Reopen: 1 Admin&amp;User Portal, 1 User Portal, - Event Portal, - Admin Portal
New:  Admin Portal,  User Portal,  Event Portal
</t>
    </r>
  </si>
  <si>
    <r>
      <rPr>
        <rFont val="Arial"/>
        <b/>
        <color rgb="FF000000"/>
      </rPr>
      <t xml:space="preserve">Digital ID:  </t>
    </r>
    <r>
      <rPr>
        <rFont val="Arial"/>
        <color rgb="FF000000"/>
      </rPr>
      <t xml:space="preserve">
Total card per  January 08:50:
</t>
    </r>
    <r>
      <rPr>
        <rFont val="Arial"/>
        <b/>
        <color rgb="FF000000"/>
        <u/>
      </rPr>
      <t>Taiga BD</t>
    </r>
    <r>
      <rPr>
        <rFont val="Arial"/>
        <color rgb="FF000000"/>
        <u/>
      </rPr>
      <t>:</t>
    </r>
    <r>
      <rPr>
        <rFont val="Arial"/>
        <color rgb="FF000000"/>
      </rPr>
      <t xml:space="preserve">
Ready for SIT (BD): 
Ready for SIT (BD to SG) : 
</t>
    </r>
    <r>
      <rPr>
        <rFont val="Arial"/>
        <b/>
        <color rgb="FF000000"/>
        <u/>
      </rPr>
      <t>Taiga SG</t>
    </r>
    <r>
      <rPr>
        <rFont val="Arial"/>
        <color rgb="FF000000"/>
        <u/>
      </rPr>
      <t xml:space="preserve">:
</t>
    </r>
    <r>
      <rPr>
        <rFont val="Arial"/>
        <color rgb="FF000000"/>
      </rPr>
      <t xml:space="preserve">Resolved:  Admin Portal,  User Portal,  Event Portal
Reopen: 1 Admin&amp;User Portal, 1 User Portal, - Event Portal, - Admin Portal
New:  Admin Portal,  User Portal,  Event Portal
</t>
    </r>
  </si>
  <si>
    <r>
      <rPr>
        <rFont val="Arial"/>
        <b/>
        <color rgb="FF000000"/>
      </rPr>
      <t xml:space="preserve">Digital ID:  </t>
    </r>
    <r>
      <rPr>
        <rFont val="Arial"/>
        <color rgb="FF000000"/>
      </rPr>
      <t xml:space="preserve">
Total card per  January 08:50:
</t>
    </r>
    <r>
      <rPr>
        <rFont val="Arial"/>
        <b/>
        <color rgb="FF000000"/>
        <u/>
      </rPr>
      <t>Taiga BD</t>
    </r>
    <r>
      <rPr>
        <rFont val="Arial"/>
        <color rgb="FF000000"/>
        <u/>
      </rPr>
      <t>:</t>
    </r>
    <r>
      <rPr>
        <rFont val="Arial"/>
        <color rgb="FF000000"/>
      </rPr>
      <t xml:space="preserve">
Ready for SIT (BD): 
Ready for SIT (BD to SG) : 
</t>
    </r>
    <r>
      <rPr>
        <rFont val="Arial"/>
        <b/>
        <color rgb="FF000000"/>
        <u/>
      </rPr>
      <t>Taiga SG</t>
    </r>
    <r>
      <rPr>
        <rFont val="Arial"/>
        <color rgb="FF000000"/>
        <u/>
      </rPr>
      <t xml:space="preserve">:
</t>
    </r>
    <r>
      <rPr>
        <rFont val="Arial"/>
        <color rgb="FF000000"/>
      </rPr>
      <t xml:space="preserve">Resolved:  Admin Portal,  User Portal,  Event Portal
Reopen: 1 Admin&amp;User Portal, 1 User Portal, - Event Portal, - Admin Portal
New:  Admin Portal,  User Portal,  Event Portal
</t>
    </r>
  </si>
  <si>
    <r>
      <rPr>
        <rFont val="Arial"/>
        <color rgb="FF5B3F86"/>
      </rPr>
      <t xml:space="preserve">2025, May
Notes:
- If working on KAIZEN, enter exactly: 'KAIZEN'
- If working on project, specify: 'Project: &lt;project name&gt;'     </t>
    </r>
    <r>
      <rPr>
        <rFont val="Arial"/>
        <color rgb="FF666666"/>
      </rPr>
      <t xml:space="preserve">     </t>
    </r>
  </si>
  <si>
    <t>Week1</t>
  </si>
  <si>
    <t>Leave</t>
  </si>
  <si>
    <t>Project: Digital ID</t>
  </si>
  <si>
    <t>Project: MOS OMEGA</t>
  </si>
  <si>
    <t>KAIZEN (0.5) , IP4SG (0.5)</t>
  </si>
  <si>
    <t>Project: Toppan AI  Agent</t>
  </si>
  <si>
    <t>KAIZEN (0.5) , Project: E-VISA(0.5)</t>
  </si>
  <si>
    <t>Project: Toppan AI  Agent
Project: ICA iSmart</t>
  </si>
  <si>
    <t>Project: E-VISA</t>
  </si>
  <si>
    <t>Project: WRMS</t>
  </si>
  <si>
    <t xml:space="preserve">Project: Nea WRMS </t>
  </si>
  <si>
    <t>Kaizen (Hours)</t>
  </si>
  <si>
    <t>Jasuindo (hours)</t>
  </si>
  <si>
    <t>Column 1</t>
  </si>
  <si>
    <t>Jasuindo:
"- UI bugs
- VPN Troubleshoot"</t>
  </si>
  <si>
    <t>abis-logging-service need to be reviewed</t>
  </si>
  <si>
    <t>Kaizen:
"- Kaizen upload to use base64 in iam R4S1
- Support reset assets json
- Theme Designer support undo (ie. """"Ctrl Z"""")"
Jasuindo:
"- Integrate MBS with ABIS service : Mapping MBS Thales exceptions into Jasuindo
- troubleshoot enum exception"</t>
  </si>
  <si>
    <t>Kaizen : Complete
Jasuindo : In-Progress</t>
  </si>
  <si>
    <r>
      <rPr>
        <color rgb="FF434343"/>
        <u/>
      </rPr>
      <t xml:space="preserve">Kaizen:
1. </t>
    </r>
    <r>
      <rPr>
        <color rgb="FF1155CC"/>
        <u/>
      </rPr>
      <t>Taiga#4387</t>
    </r>
    <r>
      <rPr>
        <color rgb="FF434343"/>
        <u/>
      </rPr>
      <t xml:space="preserve">
2. </t>
    </r>
    <r>
      <rPr>
        <color rgb="FF1155CC"/>
        <u/>
      </rPr>
      <t>Taiga#3962</t>
    </r>
    <r>
      <rPr>
        <color rgb="FF434343"/>
        <u/>
      </rPr>
      <t xml:space="preserve">
3. </t>
    </r>
    <r>
      <rPr>
        <color rgb="FF1155CC"/>
        <u/>
      </rPr>
      <t xml:space="preserve">Taiga#4997
</t>
    </r>
    <r>
      <rPr>
        <color rgb="FF434343"/>
        <u/>
      </rPr>
      <t>Jasuindo:</t>
    </r>
  </si>
  <si>
    <t>Jasuindo: 
Waiting thales answer for TransNo return null when submit biometrics</t>
  </si>
  <si>
    <t xml:space="preserve">Kaizen:
- Deleted Comment enhancement
- Add description for IAM and Common rest api
- Seperate different level for all confirmation dialog in designer
Jasuindo:
- Integrate MBS with ABIS service : Mapping MBS Thales exceptions into Jasuindo
- Followup question for thales MBS
</t>
  </si>
  <si>
    <t xml:space="preserve">kaizen:
1. Taiga#4674
2. Taiga#3513
3. Taiga#5324
Jasuindo:
</t>
  </si>
  <si>
    <t>Kaizen:
- Datapool Services Designer - Searching improvements
- Support select predefined key/input custom key for global setting
- Export all based on search form
Jasuindo:
Integrate MBS with ABIS service : Confirmation of expectation result</t>
  </si>
  <si>
    <t>Kaizen : Complete
Jasuindo : Complete</t>
  </si>
  <si>
    <t>Jasuindo:
Need to implement 1-To-N search before biometric data submission 
Kaizen : 
- kaizen upload to use base64
- Support change component type in designer
- Add description for IAM and Common rest api</t>
  </si>
  <si>
    <t xml:space="preserve">Kaizen:
https://taiga.ecquaria.org/project/tecq-agp/us/4425?milestone=180
https://taiga.ecquaria.org/project/tecq-agp/us/3527?milestone=180
https://taiga.ecquaria.org/project/tecq-agp/us/3513?milestone=180
</t>
  </si>
  <si>
    <t>Jasuindo:
Update logo to Jasuindo and found new issue 
Kaizen : 
- [App Designer] Allow user to organise the display order of the pages in an application
- All fe file upload max size set to 20M, and configurable</t>
  </si>
  <si>
    <t>Kaizen:
https://taiga.ecquaria.org/project/tecq-agp/us/4240?milestone=180
https://taiga.ecquaria.org/project/tecq-agp/us/4527?milestone=180</t>
  </si>
  <si>
    <t>Jasuindo:
Integrate MBS with ABIS service :Handle expiration thales mbs token 
Kaizen : 
?
Medical Leave</t>
  </si>
  <si>
    <t>Jasuindo:
Delete transaction via abis-fe 
Kaizen : 
? 
Medical Leave</t>
  </si>
  <si>
    <t>Kaizen: Training and Explore Playwright
Jasuindo: Create scheduler to retreive latest TX Status</t>
  </si>
  <si>
    <t>Kaizen : In-Progress
Jasuindo : In-Progress</t>
  </si>
  <si>
    <t xml:space="preserve">1. Create scheduler to  retreive latest TX Status
2. Resolve issues on middleware </t>
  </si>
  <si>
    <t>1. Complete
2. Complete</t>
  </si>
  <si>
    <t>https://taiga.ecquaria.org/project/presales/us/393?kanban-include_attachments=1&amp;kanban-include_tasks=1&amp;kanban-status=811</t>
  </si>
  <si>
    <t>Application Role,TC04</t>
  </si>
  <si>
    <t>Kaizen:
Application Role,TC02
Jasuindo:
Delete transaction via abis-fe</t>
  </si>
  <si>
    <t>Kaizen Tc02:Completed
Jasuindo:In-progress</t>
  </si>
  <si>
    <t>Kaizen:
Application Role
Jasuindo:
Delete transaction via abis-fe</t>
  </si>
  <si>
    <t>In-progress</t>
  </si>
  <si>
    <t xml:space="preserve">TC02 - Verify that the user can export privilege assignment on application successfully
TC09 - Verify that user can import privilege assignment that exported from application successfully
</t>
  </si>
  <si>
    <t>tc02 - Completed
tc09 - In Progress</t>
  </si>
  <si>
    <t>TC09 - Verify that user can import privilege assignment that exported from application successfully
TC 01        Verify that user can export a Role successfully
TC 05        Verifiy user can import an application Role without typing Subject Type
TC 01        Verify that user can deactivate a Role
TC 02        Verify that user can activate a Role</t>
  </si>
  <si>
    <t>Kaizen:
Completing Application Role Test Case</t>
  </si>
  <si>
    <t>Jasuindo :
Delete transaction in MBS (triggered when deleting biometric data in Middleware)</t>
  </si>
  <si>
    <t>Pending about 3 hours due to windows upgrade</t>
  </si>
  <si>
    <t>Jasuindo :
Delete transaction in MBS (triggered when deleting biometric data in Middleware)
Kaizen:
Application Navigators</t>
  </si>
  <si>
    <t>Kaizen : In-Progress
Jasuindo : Completed</t>
  </si>
  <si>
    <t>Application Navigators</t>
  </si>
  <si>
    <t>Kaizen:
Application Navigators
Jasuindo:
Deploy</t>
  </si>
  <si>
    <t>4.0.5 SG Testing</t>
  </si>
  <si>
    <t>Joint Leave</t>
  </si>
  <si>
    <t>Kaizen:Completed
Jasuindo:In-progress</t>
  </si>
  <si>
    <t>Export By Domain</t>
  </si>
  <si>
    <t xml:space="preserve">Kaizen:
Export By Domain
Jasuindo:
 Mini Demo
</t>
  </si>
  <si>
    <t xml:space="preserve">Jasuindo:
Fix comments after mini demo
</t>
  </si>
  <si>
    <t xml:space="preserve">Kaizen:
Audit Trail
Jasuindo:
fix transaction doesn't reflect the actual response
</t>
  </si>
  <si>
    <t xml:space="preserve">Kaizen:
Audit Trail
Jasuindo:
View Deleted Transaction
</t>
  </si>
  <si>
    <t>View Deleted Messages on abis-fe and Other Issues</t>
  </si>
  <si>
    <t>Regression Audittrail</t>
  </si>
  <si>
    <t xml:space="preserve">Kaizen:
Audit Trail
Jasuindo:
Internal Demo
</t>
  </si>
  <si>
    <t>Jasuindo
Kaizen:
Regression Audittrail</t>
  </si>
  <si>
    <t>Kaizen
Regression Audittrail</t>
  </si>
  <si>
    <t>Kaizen
Smoke Test p1 application role</t>
  </si>
  <si>
    <t>Kaizen
Smoke Test p1 FIJI api</t>
  </si>
  <si>
    <t>Jasuindo
Login issue 
Submit Without Thumbs received error 500
'</t>
  </si>
  <si>
    <t>Jasuindo
Submit Without IRIS and or Fingers issue</t>
  </si>
  <si>
    <t>Kaizen Regression - AuditTrail</t>
  </si>
  <si>
    <t>Kaizen Regression</t>
  </si>
  <si>
    <t>-</t>
  </si>
  <si>
    <t>Kaizen Tracking Google Sheet : 
KAIZEN SG Smoke Testing Summary
https://docs.google.com/spreadsheets/d/1ToXDoUqvPCOxbF4zrJ-v2VPDQG6uOkv1/edit?gid=1006677209#gid=1006677209 
KAIZEN Playwright Tracking 
https://docs.google.com/spreadsheets/d/1grdBZNtrzp47pwStzHeNCcDNm6dHLB5XpTAdqSdG5TA/edit?gid=0#gid=0</t>
  </si>
  <si>
    <t>Smoke testing</t>
  </si>
  <si>
    <t>on progress</t>
  </si>
  <si>
    <t>https://docs.google.com/spreadsheets/d/1ToXDoUqvPCOxbF4zrJ-v2VPDQG6uOkv1/edit?gid=185916215#gid=185916215</t>
  </si>
  <si>
    <t>https://docs.google.com/spreadsheets/d/1ToXDoUqvPCOxbF4zrJ-v2VPDQG6uOkv1/edit?gid=185916215#gid=185916216</t>
  </si>
  <si>
    <t>https://docs.google.com/spreadsheets/d/1ToXDoUqvPCOxbF4zrJ-v2VPDQG6uOkv1/edit?gid=185916215#gid=185916217</t>
  </si>
  <si>
    <t>https://docs.google.com/spreadsheets/d/1ToXDoUqvPCOxbF4zrJ-v2VPDQG6uOkv1/edit?gid=185916215#gid=185916218</t>
  </si>
  <si>
    <t>https://docs.google.com/spreadsheets/d/1ToXDoUqvPCOxbF4zrJ-v2VPDQG6uOkv1/edit?gid=185916215#gid=185916219</t>
  </si>
  <si>
    <t>take over Kautsar Task</t>
  </si>
  <si>
    <t>Kaizen Playwright Smoke Test</t>
  </si>
  <si>
    <t>https://docs.google.com/spreadsheets/d/1grdBZNtrzp47pwStzHeNCcDNm6dHLB5XpTAdqSdG5TA/edit?gid=1812499697#gid=1812499697</t>
  </si>
  <si>
    <t>https://docs.google.com/spreadsheets/d/1grdBZNtrzp47pwStzHeNCcDNm6dHLB5XpTAdqSdG5TA/edit?gid=1812499697#gid=1812499698</t>
  </si>
  <si>
    <t>https://docs.google.com/spreadsheets/d/1grdBZNtrzp47pwStzHeNCcDNm6dHLB5XpTAdqSdG5TA/edit?gid=1812499697#gid=1812499699</t>
  </si>
  <si>
    <t>https://docs.google.com/spreadsheets/d/1grdBZNtrzp47pwStzHeNCcDNm6dHLB5XpTAdqSdG5TA/edit?gid=1812499697#gid=1812499700</t>
  </si>
  <si>
    <t>https://docs.google.com/spreadsheets/d/1grdBZNtrzp47pwStzHeNCcDNm6dHLB5XpTAdqSdG5TA/edit?gid=1812499697#gid=1812499701</t>
  </si>
  <si>
    <t>https://docs.google.com/spreadsheets/d/1grdBZNtrzp47pwStzHeNCcDNm6dHLB5XpTAdqSdG5TA/edit?gid=1812499697#gid=1812499702</t>
  </si>
  <si>
    <t>https://docs.google.com/spreadsheets/d/1grdBZNtrzp47pwStzHeNCcDNm6dHLB5XpTAdqSdG5TA/edit?gid=1812499697#gid=1812499703</t>
  </si>
  <si>
    <t>https://docs.google.com/spreadsheets/d/1grdBZNtrzp47pwStzHeNCcDNm6dHLB5XpTAdqSdG5TA/edit?gid=1812499697#gid=1812499704</t>
  </si>
  <si>
    <t>https://docs.google.com/spreadsheets/d/1grdBZNtrzp47pwStzHeNCcDNm6dHLB5XpTAdqSdG5TA/edit?gid=1812499697#gid=1812499705</t>
  </si>
  <si>
    <t>https://docs.google.com/spreadsheets/d/1grdBZNtrzp47pwStzHeNCcDNm6dHLB5XpTAdqSdG5TA/edit?gid=1812499697#gid=1812499706</t>
  </si>
  <si>
    <t>https://docs.google.com/spreadsheets/d/1grdBZNtrzp47pwStzHeNCcDNm6dHLB5XpTAdqSdG5TA/edit?gid=1812499697#gid=1812499707</t>
  </si>
  <si>
    <t>https://docs.google.com/spreadsheets/d/1grdBZNtrzp47pwStzHeNCcDNm6dHLB5XpTAdqSdG5TA/edit?gid=1812499697#gid=1812499708</t>
  </si>
  <si>
    <t>https://docs.google.com/spreadsheets/d/1grdBZNtrzp47pwStzHeNCcDNm6dHLB5XpTAdqSdG5TA/edit?gid=1812499697#gid=1812499709</t>
  </si>
  <si>
    <t>https://docs.google.com/spreadsheets/d/1grdBZNtrzp47pwStzHeNCcDNm6dHLB5XpTAdqSdG5TA/edit?gid=1812499697#gid=1812499710</t>
  </si>
  <si>
    <t>https://docs.google.com/spreadsheets/d/1grdBZNtrzp47pwStzHeNCcDNm6dHLB5XpTAdqSdG5TA/edit?gid=1812499697#gid=1812499711</t>
  </si>
  <si>
    <t>https://docs.google.com/spreadsheets/d/1grdBZNtrzp47pwStzHeNCcDNm6dHLB5XpTAdqSdG5TA/edit?gid=1812499697#gid=1812499712</t>
  </si>
  <si>
    <t>https://docs.google.com/spreadsheets/d/1grdBZNtrzp47pwStzHeNCcDNm6dHLB5XpTAdqSdG5TA/edit?gid=1812499697#gid=1812499713</t>
  </si>
  <si>
    <t>https://docs.google.com/spreadsheets/d/1grdBZNtrzp47pwStzHeNCcDNm6dHLB5XpTAdqSdG5TA/edit?gid=1812499697#gid=1812499714</t>
  </si>
  <si>
    <t>https://docs.google.com/spreadsheets/d/1grdBZNtrzp47pwStzHeNCcDNm6dHLB5XpTAdqSdG5TA/edit?gid=1812499697#gid=1812499715</t>
  </si>
  <si>
    <t>https://docs.google.com/spreadsheets/d/1grdBZNtrzp47pwStzHeNCcDNm6dHLB5XpTAdqSdG5TA/edit?gid=1812499697#gid=1812499716</t>
  </si>
  <si>
    <t>https://docs.google.com/spreadsheets/d/1grdBZNtrzp47pwStzHeNCcDNm6dHLB5XpTAdqSdG5TA/edit?gid=1812499697#gid=1812499717</t>
  </si>
  <si>
    <t>https://docs.google.com/spreadsheets/d/1grdBZNtrzp47pwStzHeNCcDNm6dHLB5XpTAdqSdG5TA/edit?gid=1812499697#gid=1812499718</t>
  </si>
  <si>
    <t>https://docs.google.com/spreadsheets/d/1grdBZNtrzp47pwStzHeNCcDNm6dHLB5XpTAdqSdG5TA/edit?gid=1812499697#gid=1812499719</t>
  </si>
  <si>
    <t>complete</t>
  </si>
  <si>
    <t>https://docs.google.com/spreadsheets/d/1grdBZNtrzp47pwStzHeNCcDNm6dHLB5XpTAdqSdG5TA/edit?gid=1812499697#gid=1812499720</t>
  </si>
  <si>
    <t>Kaizen Playwright Regression Test</t>
  </si>
  <si>
    <t>https://docs.google.com/spreadsheets/d/1grdBZNtrzp47pwStzHeNCcDNm6dHLB5XpTAdqSdG5TA/edit?gid=1032390457#gid=1032390457</t>
  </si>
  <si>
    <t>https://docs.google.com/spreadsheets/d/1grdBZNtrzp47pwStzHeNCcDNm6dHLB5XpTAdqSdG5TA/edit?gid=1032390457#gid=1032390458</t>
  </si>
  <si>
    <t>https://docs.google.com/spreadsheets/d/1grdBZNtrzp47pwStzHeNCcDNm6dHLB5XpTAdqSdG5TA/edit?gid=1032390457#gid=1032390459</t>
  </si>
  <si>
    <t>https://docs.google.com/spreadsheets/d/1grdBZNtrzp47pwStzHeNCcDNm6dHLB5XpTAdqSdG5TA/edit?gid=1032390457#gid=1032390460</t>
  </si>
  <si>
    <t>Kaizen Playwright Smok test - 5.0.0 Smoke Testcase (P1)</t>
  </si>
  <si>
    <t>https://docs.google.com/spreadsheets/d/1grdBZNtrzp47pwStzHeNCcDNm6dHLB5XpTAdqSdG5TA/edit?gid=1231407674#gid=1231407674</t>
  </si>
  <si>
    <t>Kaizen Playwright Regression</t>
  </si>
  <si>
    <t>On Progress</t>
  </si>
  <si>
    <t>https://docs.google.com/spreadsheets/d/1grdBZNtrzp47pwStzHeNCcDNm6dHLB5XpTAdqSdG5TA/edit?gid=1231407674#gid=1231407685</t>
  </si>
  <si>
    <t>https://docs.google.com/spreadsheets/d/1grdBZNtrzp47pwStzHeNCcDNm6dHLB5XpTAdqSdG5TA/edit?gid=1231407674#gid=1231407686</t>
  </si>
  <si>
    <t>https://docs.google.com/spreadsheets/d/1grdBZNtrzp47pwStzHeNCcDNm6dHLB5XpTAdqSdG5TA/edit?gid=1231407674#gid=1231407687</t>
  </si>
  <si>
    <t>https://docs.google.com/spreadsheets/d/1grdBZNtrzp47pwStzHeNCcDNm6dHLB5XpTAdqSdG5TA/edit?gid=1231407674#gid=1231407688</t>
  </si>
  <si>
    <t>https://docs.google.com/spreadsheets/d/1grdBZNtrzp47pwStzHeNCcDNm6dHLB5XpTAdqSdG5TA/edit?gid=1231407674#gid=1231407689</t>
  </si>
  <si>
    <t>https://docs.google.com/spreadsheets/d/1grdBZNtrzp47pwStzHeNCcDNm6dHLB5XpTAdqSdG5TA/edit?gid=1231407674#gid=1231407690</t>
  </si>
  <si>
    <t>https://docs.google.com/spreadsheets/d/1grdBZNtrzp47pwStzHeNCcDNm6dHLB5XpTAdqSdG5TA/edit?gid=1231407674#gid=1231407691</t>
  </si>
  <si>
    <t>https://docs.google.com/spreadsheets/d/1grdBZNtrzp47pwStzHeNCcDNm6dHLB5XpTAdqSdG5TA/edit?gid=1231407674#gid=1231407692</t>
  </si>
  <si>
    <t>https://docs.google.com/spreadsheets/d/1grdBZNtrzp47pwStzHeNCcDNm6dHLB5XpTAdqSdG5TA/edit?gid=1231407674#gid=1231407693</t>
  </si>
  <si>
    <t>https://docs.google.com/spreadsheets/d/1grdBZNtrzp47pwStzHeNCcDNm6dHLB5XpTAdqSdG5TA/edit?gid=1231407674#gid=1231407694</t>
  </si>
  <si>
    <t>https://docs.google.com/spreadsheets/d/1grdBZNtrzp47pwStzHeNCcDNm6dHLB5XpTAdqSdG5TA/edit?gid=1231407674#gid=1231407695</t>
  </si>
  <si>
    <t>https://docs.google.com/spreadsheets/d/1grdBZNtrzp47pwStzHeNCcDNm6dHLB5XpTAdqSdG5TA/edit?gid=1231407674#gid=1231407696</t>
  </si>
  <si>
    <t>https://docs.google.com/spreadsheets/d/1grdBZNtrzp47pwStzHeNCcDNm6dHLB5XpTAdqSdG5TA/edit?gid=1231407674#gid=1231407697</t>
  </si>
  <si>
    <t>https://docs.google.com/spreadsheets/d/1grdBZNtrzp47pwStzHeNCcDNm6dHLB5XpTAdqSdG5TA/edit?gid=1231407674#gid=1231407698</t>
  </si>
  <si>
    <t>https://docs.google.com/spreadsheets/d/1grdBZNtrzp47pwStzHeNCcDNm6dHLB5XpTAdqSdG5TA/edit?gid=1231407674#gid=1231407699</t>
  </si>
  <si>
    <t>https://docs.google.com/spreadsheets/d/1grdBZNtrzp47pwStzHeNCcDNm6dHLB5XpTAdqSdG5TA/edit?gid=1231407674#gid=1231407700</t>
  </si>
  <si>
    <t>https://docs.google.com/spreadsheets/d/1grdBZNtrzp47pwStzHeNCcDNm6dHLB5XpTAdqSdG5TA/edit?gid=1231407674#gid=1231407701</t>
  </si>
  <si>
    <t>https://docs.google.com/spreadsheets/d/1grdBZNtrzp47pwStzHeNCcDNm6dHLB5XpTAdqSdG5TA/edit?gid=1231407674#gid=1231407702</t>
  </si>
  <si>
    <t>https://docs.google.com/spreadsheets/d/1grdBZNtrzp47pwStzHeNCcDNm6dHLB5XpTAdqSdG5TA/edit?gid=1231407674#gid=1231407703</t>
  </si>
  <si>
    <t>https://docs.google.com/spreadsheets/d/1grdBZNtrzp47pwStzHeNCcDNm6dHLB5XpTAdqSdG5TA/edit?gid=1231407674#gid=1231407704</t>
  </si>
  <si>
    <t>https://docs.google.com/spreadsheets/d/1grdBZNtrzp47pwStzHeNCcDNm6dHLB5XpTAdqSdG5TA/edit?gid=1231407674#gid=1231407705</t>
  </si>
  <si>
    <t>https://docs.google.com/spreadsheets/d/1grdBZNtrzp47pwStzHeNCcDNm6dHLB5XpTAdqSdG5TA/edit?gid=1231407674#gid=1231407706</t>
  </si>
  <si>
    <t>https://docs.google.com/spreadsheets/d/1grdBZNtrzp47pwStzHeNCcDNm6dHLB5XpTAdqSdG5TA/edit?gid=1231407674#gid=1231407707</t>
  </si>
  <si>
    <t>https://docs.google.com/spreadsheets/d/1grdBZNtrzp47pwStzHeNCcDNm6dHLB5XpTAdqSdG5TA/edit?gid=1231407674#gid=1231407708</t>
  </si>
  <si>
    <t>https://docs.google.com/spreadsheets/d/1grdBZNtrzp47pwStzHeNCcDNm6dHLB5XpTAdqSdG5TA/edit?gid=1231407674#gid=1231407709</t>
  </si>
  <si>
    <t>Kaizen verify bug + smoke testing</t>
  </si>
  <si>
    <t>https://docs.google.com/spreadsheets/d/1ToXDoUqvPCOxbF4zrJ-v2VPDQG6uOkv1/edit?gid=976686498#gid=976686498</t>
  </si>
  <si>
    <t>https://docs.google.com/spreadsheets/d/1ToXDoUqvPCOxbF4zrJ-v2VPDQG6uOkv1/edit?gid=976686498#gid=976686499</t>
  </si>
  <si>
    <t>https://docs.google.com/spreadsheets/d/1ToXDoUqvPCOxbF4zrJ-v2VPDQG6uOkv1/edit?gid=976686498#gid=976686500</t>
  </si>
  <si>
    <t>https://docs.google.com/spreadsheets/d/1ToXDoUqvPCOxbF4zrJ-v2VPDQG6uOkv1/edit?gid=976686498#gid=976686501</t>
  </si>
  <si>
    <t>https://docs.google.com/spreadsheets/d/1ToXDoUqvPCOxbF4zrJ-v2VPDQG6uOkv1/edit?gid=976686498#gid=976686502</t>
  </si>
  <si>
    <t>https://docs.google.com/spreadsheets/d/1ToXDoUqvPCOxbF4zrJ-v2VPDQG6uOkv1/edit?gid=976686498#gid=976686503</t>
  </si>
  <si>
    <t>takeover kautsar smoke test task</t>
  </si>
  <si>
    <t xml:space="preserve">Kaizen Playwright </t>
  </si>
  <si>
    <t>https://docs.google.com/spreadsheets/d/1grdBZNtrzp47pwStzHeNCcDNm6dHLB5XpTAdqSdG5TA/edit?gid=1854407253#gid=1854407253</t>
  </si>
  <si>
    <t>Module : Service Designer</t>
  </si>
  <si>
    <t>https://docs.google.com/spreadsheets/d/1grdBZNtrzp47pwStzHeNCcDNm6dHLB5XpTAdqSdG5TA/edit?gid=1854407253#gid=1854407254</t>
  </si>
  <si>
    <t>Module : 
Service Designer -&gt; Service (completed)
                                -&gt; Git Connect (on progress)
                                -&gt; Manage Branch (on progress)</t>
  </si>
  <si>
    <t>https://docs.google.com/spreadsheets/d/1grdBZNtrzp47pwStzHeNCcDNm6dHLB5XpTAdqSdG5TA/edit?gid=1854407253#gid=1854407255</t>
  </si>
  <si>
    <t>Module : 
Service Designer -&gt; Service (completed)
                                -&gt; Git Connect (completed)
                                -&gt; Manage Branch (completed)
                                -&gt; Generate Code (completed)
                                -&gt; Merge Into Branch (completed)
                                -&gt; Release Service (completed)</t>
  </si>
  <si>
    <t>https://docs.google.com/spreadsheets/d/1grdBZNtrzp47pwStzHeNCcDNm6dHLB5XpTAdqSdG5TA/edit?gid=1854407253#gid=1854407256</t>
  </si>
  <si>
    <t>Module : 
Service Designer -&gt; Service (completed)
                                -&gt; Git Connect (completed)
                                -&gt; Manage Branch (completed)
                                -&gt; Generate Code (completed)
                                -&gt; Merge Into Branch (completed)
                                -&gt; Release Service (completed)
                                -&gt; Switch Branch (on progress)
                                -&gt; Privileges (on progress)</t>
  </si>
  <si>
    <t>https://docs.google.com/spreadsheets/d/1grdBZNtrzp47pwStzHeNCcDNm6dHLB5XpTAdqSdG5TA/edit?gid=1854407253#gid=1854407257</t>
  </si>
  <si>
    <t>Module : 
Service Designer -&gt; Service (completed)
                                -&gt; Git Connect (completed)
                                -&gt; Manage Branch (completed)
                                -&gt; Generate Code (completed)
                                -&gt; Merge Into Branch (completed)
                                -&gt; Release Service (completed)
                                -&gt; Switch Branch (completed)
                                -&gt; Privileges (completed)
                                -&gt; Commit (on progress)
                                -&gt; API Document (on progress)</t>
  </si>
  <si>
    <t>https://docs.google.com/spreadsheets/d/1grdBZNtrzp47pwStzHeNCcDNm6dHLB5XpTAdqSdG5TA/edit?gid=1854407253#gid=1854407258</t>
  </si>
  <si>
    <t>"Module : 
Service Designer -&gt; Service (completed)
                                -&gt; Git Connect (completed)
                                -&gt; Manage Branch (completed)
                                -&gt; Generate Code (completed)
                                -&gt; Merge Into Branch (completed)
                                -&gt; Release Service (completed)
                                -&gt; Switch Branch (completed)
                                -&gt; Privileges (completed)
                                -&gt; Commit (completed)
                                -&gt; API Document (completed)
Service                   -&gt; Service (on progress)
                                -&gt; Database (on progress)</t>
  </si>
  <si>
    <t>https://docs.google.com/spreadsheets/d/1grdBZNtrzp47pwStzHeNCcDNm6dHLB5XpTAdqSdG5TA/edit?gid=1854407253#gid=1854407259</t>
  </si>
  <si>
    <t>Module : 
Service                   -&gt; Service (completed)
                                -&gt; Database (completed)
                                -&gt; Controller (on progress)
                                -&gt; Export Endpoint (on progress)</t>
  </si>
  <si>
    <t>https://docs.google.com/spreadsheets/d/1grdBZNtrzp47pwStzHeNCcDNm6dHLB5XpTAdqSdG5TA/edit?gid=1854407253#gid=1854407260</t>
  </si>
  <si>
    <t>https://docs.google.com/spreadsheets/d/1grdBZNtrzp47pwStzHeNCcDNm6dHLB5XpTAdqSdG5TA/edit?gid=1854407253#gid=1854407261</t>
  </si>
  <si>
    <t>Module : 
Service                   -&gt; Completed</t>
  </si>
  <si>
    <t>IP$SG</t>
  </si>
  <si>
    <t>https://taiga.ecquaria.org/project/ip4sg-mobile/us/220</t>
  </si>
  <si>
    <t>Add validation for adding applicant(s) to avoid data being duplicated, fixing data issue and UI for applicant with the same name</t>
  </si>
  <si>
    <t>https://docs.google.com/spreadsheets/d/1grdBZNtrzp47pwStzHeNCcDNm6dHLB5XpTAdqSdG5TA/edit?gid=1854407253#gid=1854407263</t>
  </si>
  <si>
    <t>Module:
Assets                      -&gt; image/css/icon/audio (on progress)</t>
  </si>
  <si>
    <t>https://docs.google.com/spreadsheets/d/1grdBZNtrzp47pwStzHeNCcDNm6dHLB5XpTAdqSdG5TA/edit?gid=1854407253#gid=1854407264</t>
  </si>
  <si>
    <t>0.5 IPSG
0.5 Kaizen Playwright</t>
  </si>
  <si>
    <t>https://docs.google.com/spreadsheets/d/1grdBZNtrzp47pwStzHeNCcDNm6dHLB5XpTAdqSdG5TA/edit?gid=1854407253#gid=1854407265</t>
  </si>
  <si>
    <t>0.25 IP4SG
0.75 Kaizen Smoke Testing (192.168.0.200:8050 v4.0.5)</t>
  </si>
  <si>
    <t>Kaizen</t>
  </si>
  <si>
    <t>https://docs.google.com/spreadsheets/d/1ToXDoUqvPCOxbF4zrJ-v2VPDQG6uOkv1/edit?gid=337168106#gid=337168106</t>
  </si>
  <si>
    <t>Kaizen Smoke Testing (192.168.0.200:8050 v4.0.5) &amp; verify bugs</t>
  </si>
  <si>
    <t>https://docs.google.com/spreadsheets/d/1grdBZNtrzp47pwStzHeNCcDNm6dHLB5XpTAdqSdG5TA/edit?gid=1854407253#gid=1854407266</t>
  </si>
  <si>
    <t>https://docs.google.com/spreadsheets/d/1grdBZNtrzp47pwStzHeNCcDNm6dHLB5XpTAdqSdG5TA/edit?gid=1854407253#gid=1854407267</t>
  </si>
  <si>
    <t>https://docs.google.com/spreadsheets/d/1grdBZNtrzp47pwStzHeNCcDNm6dHLB5XpTAdqSdG5TA/edit?gid=1854407253#gid=1854407268</t>
  </si>
  <si>
    <t>https://docs.google.com/spreadsheets/d/1grdBZNtrzp47pwStzHeNCcDNm6dHLB5XpTAdqSdG5TA/edit?gid=1854407253#gid=1854407269</t>
  </si>
  <si>
    <t>https://docs.google.com/spreadsheets/d/1grdBZNtrzp47pwStzHeNCcDNm6dHLB5XpTAdqSdG5TA/edit?gid=1854407253#gid=1854407270</t>
  </si>
  <si>
    <t>https://docs.google.com/spreadsheets/d/1grdBZNtrzp47pwStzHeNCcDNm6dHLB5XpTAdqSdG5TA/edit?gid=1854407253#gid=1854407271</t>
  </si>
  <si>
    <t>https://docs.google.com/spreadsheets/d/1grdBZNtrzp47pwStzHeNCcDNm6dHLB5XpTAdqSdG5TA/edit?gid=1854407253#gid=1854407272</t>
  </si>
  <si>
    <t>https://docs.google.com/spreadsheets/d/1grdBZNtrzp47pwStzHeNCcDNm6dHLB5XpTAdqSdG5TA/edit?gid=1854407253#gid=1854407273</t>
  </si>
  <si>
    <t>https://docs.google.com/spreadsheets/d/1grdBZNtrzp47pwStzHeNCcDNm6dHLB5XpTAdqSdG5TA/edit?gid=1854407253#gid=1854407274</t>
  </si>
  <si>
    <t>Module : Templates</t>
  </si>
  <si>
    <t>https://docs.google.com/spreadsheets/d/1grdBZNtrzp47pwStzHeNCcDNm6dHLB5XpTAdqSdG5TA/edit?gid=1854407253#gid=1854407275</t>
  </si>
  <si>
    <t>https://docs.google.com/spreadsheets/d/1grdBZNtrzp47pwStzHeNCcDNm6dHLB5XpTAdqSdG5TA/edit?gid=1854407253#gid=1854407276</t>
  </si>
  <si>
    <t>https://docs.google.com/spreadsheets/d/1grdBZNtrzp47pwStzHeNCcDNm6dHLB5XpTAdqSdG5TA/edit?gid=1854407253#gid=1854407277</t>
  </si>
  <si>
    <t>Module : Home Templates</t>
  </si>
  <si>
    <t>Kaizem Smoke Test (5.0.0)</t>
  </si>
  <si>
    <t>https://docs.google.com/spreadsheets/d/1ToXDoUqvPCOxbF4zrJ-v2VPDQG6uOkv1/edit?gid=1685918422#gid=1685918422</t>
  </si>
  <si>
    <t>Smoke Test</t>
  </si>
  <si>
    <t>https://docs.google.com/spreadsheets/d/1grdBZNtrzp47pwStzHeNCcDNm6dHLB5XpTAdqSdG5TA/edit?gid=1231407674#gid=1231407675</t>
  </si>
  <si>
    <t>https://docs.google.com/spreadsheets/d/1grdBZNtrzp47pwStzHeNCcDNm6dHLB5XpTAdqSdG5TA/edit?gid=1231407674#gid=1231407676</t>
  </si>
  <si>
    <t>Module : Service &amp; Service Designer</t>
  </si>
  <si>
    <t>https://docs.google.com/spreadsheets/d/1grdBZNtrzp47pwStzHeNCcDNm6dHLB5XpTAdqSdG5TA/edit?gid=1231407674#gid=1231407677</t>
  </si>
  <si>
    <t>Smoke Test (5.0.0)</t>
  </si>
  <si>
    <t>Kaizen Playwright Smoke Test (5.0.0)</t>
  </si>
  <si>
    <t>https://docs.google.com/spreadsheets/d/1grdBZNtrzp47pwStzHeNCcDNm6dHLB5XpTAdqSdG5TA/edit?gid=1231407674#gid=1231407680</t>
  </si>
  <si>
    <t>https://docs.google.com/spreadsheets/d/1grdBZNtrzp47pwStzHeNCcDNm6dHLB5XpTAdqSdG5TA/edit?gid=1231407674#gid=1231407681</t>
  </si>
  <si>
    <t>https://docs.google.com/spreadsheets/d/1grdBZNtrzp47pwStzHeNCcDNm6dHLB5XpTAdqSdG5TA/edit?gid=1231407674#gid=1231407682</t>
  </si>
  <si>
    <t>Module: Service Designer</t>
  </si>
  <si>
    <t>https://docs.google.com/spreadsheets/d/1grdBZNtrzp47pwStzHeNCcDNm6dHLB5XpTAdqSdG5TA/edit?gid=1231407674#gid=1231407683</t>
  </si>
  <si>
    <t>https://docs.google.com/spreadsheets/d/1grdBZNtrzp47pwStzHeNCcDNm6dHLB5XpTAdqSdG5TA/edit?gid=1231407674#gid=1231407684</t>
  </si>
  <si>
    <t>IDH Mobile (Hours)</t>
  </si>
  <si>
    <t>MOH</t>
  </si>
  <si>
    <t>IDH : Fixing Android cannot build after update flutter and issue</t>
  </si>
  <si>
    <t>https://taiga.ecquaria.org/project/ip4sg-mobile/us/219?kanban-status=515</t>
  </si>
  <si>
    <t>IDH : Fixing ios cannot build after update flutter</t>
  </si>
  <si>
    <t xml:space="preserve">IDH : fixing inbox issue and build SIT /UAT </t>
  </si>
  <si>
    <t>https://taiga.ecquaria.org/project/ip4sg-mobile/us/217?kanban-status=605</t>
  </si>
  <si>
    <t xml:space="preserve">Build App for SIT/UAT in tech-refresh version  2.0.66
v2025.07.22-1711
android : 2.0.66 ( 129 )
iOS: 2.0.67 (1) / 0.1.4 (147)   include issue : 0155394
related 0155428 scrolling
0155391
0155393
0153836
0155396 
0155395
0155392
0155390
0155389
And changes Update API Level to 35 for android and Upgrade flutter t0 3.32.6 </t>
  </si>
  <si>
    <t>Kaizen : Smoke test 5.0.0</t>
  </si>
  <si>
    <t>Kaizen : Playwirght Test Script</t>
  </si>
  <si>
    <t>https://docs.google.com/spreadsheets/d/1grdBZNtrzp47pwStzHeNCcDNm6dHLB5XpTAdqSdG5TA/edit?gid=0#gid=0</t>
  </si>
  <si>
    <r>
      <rPr>
        <rFont val="Arial"/>
        <strike/>
        <color theme="1"/>
      </rPr>
      <t>8</t>
    </r>
    <r>
      <rPr>
        <rFont val="Arial"/>
        <color theme="1"/>
      </rPr>
      <t xml:space="preserve">
4</t>
    </r>
  </si>
  <si>
    <r>
      <rPr>
        <rFont val="Arial"/>
        <color theme="1"/>
      </rPr>
      <t xml:space="preserve">Kaizen : Playwirght Test Script
</t>
    </r>
    <r>
      <rPr>
        <rFont val="Arial"/>
        <strike/>
        <color theme="1"/>
      </rPr>
      <t xml:space="preserve">
</t>
    </r>
    <r>
      <rPr>
        <rFont val="Arial"/>
        <color theme="1"/>
      </rPr>
      <t xml:space="preserve">IDH : Merge and fixing conflict issue </t>
    </r>
  </si>
  <si>
    <t>Kaizen : In Progress
IDH-Mobile: Completed</t>
  </si>
  <si>
    <r>
      <rPr>
        <rFont val="Arial"/>
        <strike/>
        <color theme="1"/>
      </rPr>
      <t>8</t>
    </r>
    <r>
      <rPr>
        <rFont val="Arial"/>
        <color theme="1"/>
      </rPr>
      <t xml:space="preserve">
4</t>
    </r>
  </si>
  <si>
    <r>
      <rPr>
        <rFont val="Arial"/>
        <color theme="1"/>
      </rPr>
      <t xml:space="preserve">Kaizen : Playwirght Test Script
</t>
    </r>
    <r>
      <rPr>
        <rFont val="Arial"/>
        <strike/>
        <color theme="1"/>
      </rPr>
      <t xml:space="preserve">
</t>
    </r>
    <r>
      <rPr>
        <rFont val="Arial"/>
        <color theme="1"/>
      </rPr>
      <t>IDH : Build for production</t>
    </r>
  </si>
  <si>
    <t>Kaizen : Playwirght Test Script Regression</t>
  </si>
  <si>
    <r>
      <rPr>
        <rFont val="Arial"/>
        <color theme="1"/>
      </rPr>
      <t xml:space="preserve">Kaizen : Playwirght Test Script Regression
</t>
    </r>
    <r>
      <rPr>
        <rFont val="Arial"/>
        <strike/>
        <color theme="1"/>
      </rPr>
      <t xml:space="preserve">
</t>
    </r>
    <r>
      <rPr>
        <rFont val="Arial"/>
        <color theme="1"/>
      </rPr>
      <t>Half Leave</t>
    </r>
  </si>
  <si>
    <t>Kaizen : sit env Smoke Test - 2025/9/4
(Version: 5.0.0)</t>
  </si>
  <si>
    <r>
      <rPr>
        <rFont val="Arial"/>
        <color theme="1"/>
      </rPr>
      <t xml:space="preserve">Kaizen : sit env Smoke Test - 2025/9/4
(Version: 5.0.0)
</t>
    </r>
    <r>
      <rPr>
        <rFont val="Arial"/>
        <strike/>
        <color theme="1"/>
      </rPr>
      <t xml:space="preserve">
</t>
    </r>
    <r>
      <rPr>
        <rFont val="Arial"/>
        <color theme="1"/>
      </rPr>
      <t>IDH : Fixing issue Google Play's 16 KB page size requirements</t>
    </r>
  </si>
  <si>
    <t>Kaizen : Complete
IDH : In progress</t>
  </si>
  <si>
    <t>KAIZEN SG Smoke Testing Summary.xlsx</t>
  </si>
  <si>
    <t>IDH : Fixing issue Google Play's 16 KB page size requirements</t>
  </si>
  <si>
    <t>https://taiga.ecquaria.org/project/ip4sg-mobile/us/222</t>
  </si>
  <si>
    <t>Complete</t>
  </si>
  <si>
    <t>Kaizen : Playwirght Test Script Smoke Test New Feature</t>
  </si>
  <si>
    <r>
      <rPr>
        <rFont val="Arial"/>
        <strike/>
        <color theme="1"/>
      </rPr>
      <t>8</t>
    </r>
    <r>
      <rPr>
        <rFont val="Arial"/>
        <color theme="1"/>
      </rPr>
      <t xml:space="preserve">
4</t>
    </r>
  </si>
  <si>
    <r>
      <rPr>
        <rFont val="Arial"/>
        <color theme="1"/>
      </rPr>
      <t xml:space="preserve">Kaizen : Playwirght Test Script Smoke Test New Feature
</t>
    </r>
    <r>
      <rPr>
        <rFont val="Arial"/>
        <strike/>
        <color theme="1"/>
      </rPr>
      <t xml:space="preserve">
</t>
    </r>
    <r>
      <rPr>
        <rFont val="Arial"/>
        <color theme="1"/>
      </rPr>
      <t>IDH : new issue affected Google Play's 16 KB page size requirements</t>
    </r>
  </si>
  <si>
    <t>IDH : new issue affected Google Play's 16 KB page size requirements</t>
  </si>
  <si>
    <t>IDH : another new issue affected Google Play's 16 KB page size requirements</t>
  </si>
  <si>
    <t>https://docs.google.com/spreadsheets/d/1grdBZNtrzp47pwStzHeNCcDNm6dHLB5XpTAdqSdG5TA/edit?gid=0#gid=1</t>
  </si>
  <si>
    <t>https://docs.google.com/spreadsheets/d/1grdBZNtrzp47pwStzHeNCcDNm6dHLB5XpTAdqSdG5TA/edit?gid=0#gid=2</t>
  </si>
  <si>
    <t>https://docs.google.com/spreadsheets/d/1grdBZNtrzp47pwStzHeNCcDNm6dHLB5XpTAdqSdG5TA/edit?gid=0#gid=3</t>
  </si>
  <si>
    <t>https://docs.google.com/spreadsheets/d/1grdBZNtrzp47pwStzHeNCcDNm6dHLB5XpTAdqSdG5TA/edit?gid=0#gid=4</t>
  </si>
  <si>
    <t>https://docs.google.com/spreadsheets/d/1grdBZNtrzp47pwStzHeNCcDNm6dHLB5XpTAdqSdG5TA/edit?gid=0#gid=5</t>
  </si>
  <si>
    <t>https://docs.google.com/spreadsheets/d/1grdBZNtrzp47pwStzHeNCcDNm6dHLB5XpTAdqSdG5TA/edit?gid=0#gid=6</t>
  </si>
  <si>
    <t>https://docs.google.com/spreadsheets/d/1grdBZNtrzp47pwStzHeNCcDNm6dHLB5XpTAdqSdG5TA/edit?gid=0#gid=7</t>
  </si>
  <si>
    <t>https://docs.google.com/spreadsheets/d/1grdBZNtrzp47pwStzHeNCcDNm6dHLB5XpTAdqSdG5TA/edit?gid=0#gid=8</t>
  </si>
  <si>
    <r>
      <rPr>
        <rFont val="Arial"/>
        <strike/>
        <color theme="1"/>
      </rPr>
      <t>8</t>
    </r>
    <r>
      <rPr>
        <rFont val="Arial"/>
        <color theme="1"/>
      </rPr>
      <t xml:space="preserve">
4</t>
    </r>
  </si>
  <si>
    <r>
      <rPr>
        <rFont val="Arial"/>
        <color theme="1"/>
      </rPr>
      <t xml:space="preserve">Kaizen : Playwirght Test Script Regression
</t>
    </r>
    <r>
      <rPr>
        <rFont val="Arial"/>
        <strike/>
        <color theme="1"/>
      </rPr>
      <t xml:space="preserve">
</t>
    </r>
    <r>
      <rPr>
        <rFont val="Arial"/>
        <color theme="1"/>
      </rPr>
      <t>IDH : Adding Text Estimate in tm4 submission</t>
    </r>
  </si>
  <si>
    <t>Kaizen : In progress
IDH : Complete</t>
  </si>
  <si>
    <t>https://docs.google.com/spreadsheets/d/1grdBZNtrzp47pwStzHeNCcDNm6dHLB5XpTAdqSdG5TA/edit?gid=0#gid=10</t>
  </si>
  <si>
    <t>https://docs.google.com/spreadsheets/d/1grdBZNtrzp47pwStzHeNCcDNm6dHLB5XpTAdqSdG5TA/edit?gid=0#gid=11</t>
  </si>
  <si>
    <r>
      <rPr>
        <rFont val="Arial"/>
        <strike/>
        <color theme="1"/>
      </rPr>
      <t>8</t>
    </r>
    <r>
      <rPr>
        <rFont val="Arial"/>
        <color theme="1"/>
      </rPr>
      <t xml:space="preserve">
4</t>
    </r>
  </si>
  <si>
    <r>
      <rPr>
        <rFont val="Arial"/>
        <color theme="1"/>
      </rPr>
      <t xml:space="preserve">Kaizen : Playwirght Test Script Regression
</t>
    </r>
    <r>
      <rPr>
        <rFont val="Arial"/>
        <strike/>
        <color theme="1"/>
      </rPr>
      <t xml:space="preserve">
</t>
    </r>
    <r>
      <rPr>
        <rFont val="Arial"/>
        <color theme="1"/>
      </rPr>
      <t>IDH : Fixing Issue cert UAT</t>
    </r>
  </si>
  <si>
    <r>
      <rPr>
        <rFont val="Arial"/>
        <color theme="1"/>
      </rPr>
      <t xml:space="preserve">MOH : Assist Khant for fixing build issue 
</t>
    </r>
    <r>
      <rPr>
        <rFont val="Arial"/>
        <strike/>
        <color theme="1"/>
      </rPr>
      <t xml:space="preserve">
</t>
    </r>
    <r>
      <rPr>
        <rFont val="Arial"/>
        <color theme="1"/>
      </rPr>
      <t>IDH : Adding some UI text in tm4 submission</t>
    </r>
  </si>
  <si>
    <t>MOH: Complete
IDH : In Progress</t>
  </si>
  <si>
    <r>
      <rPr>
        <rFont val="Arial"/>
        <color theme="1"/>
      </rPr>
      <t xml:space="preserve">Kaizen : Playwirght Test Script Regression
</t>
    </r>
    <r>
      <rPr>
        <rFont val="Arial"/>
        <strike/>
        <color theme="1"/>
      </rPr>
      <t xml:space="preserve">
</t>
    </r>
    <r>
      <rPr>
        <rFont val="Arial"/>
        <color theme="1"/>
      </rPr>
      <t>IDH : Adding some UI text in tm4 submission</t>
    </r>
  </si>
  <si>
    <t>Kaizen : In Progress
IDH : Complete</t>
  </si>
  <si>
    <t>Digital ID (MD)</t>
  </si>
  <si>
    <t>IDH Mobile (MD)</t>
  </si>
  <si>
    <t>Nietha Noted</t>
  </si>
  <si>
    <t>AdminPortal: Assign user role from KAIZEN role/privilege</t>
  </si>
  <si>
    <r>
      <rPr>
        <color rgb="FF434343"/>
        <u/>
      </rPr>
      <t xml:space="preserve">Taiga:
1. </t>
    </r>
    <r>
      <rPr>
        <color rgb="FF1155CC"/>
        <u/>
      </rPr>
      <t>https://taiga.ecquaria.org/project/presales-mccy-ioms/us/257</t>
    </r>
  </si>
  <si>
    <t>1. Testing Admin Portal
2. UserPortal: User Password recover - NEW KAIZEN DigitalID OAuth API</t>
  </si>
  <si>
    <r>
      <rPr>
        <color rgb="FF434343"/>
        <u/>
      </rPr>
      <t xml:space="preserve">Taiga:
1. </t>
    </r>
    <r>
      <rPr>
        <color rgb="FF1155CC"/>
        <u/>
      </rPr>
      <t>https://taiga.ecquaria.org/project/presales-mccy-ioms/us/278</t>
    </r>
  </si>
  <si>
    <t>IP4SG Mobile Tech Refresh Issue
Overtime:
17.00 - 18.00</t>
  </si>
  <si>
    <t>1. AdminPortal: Assign user role from KAIZEN role/privilege (Add RBAC for UI Side)
2. UserPortal: User Password recover - NEW KAIZEN DigitalID OAuth API</t>
  </si>
  <si>
    <r>
      <rPr>
        <color rgb="FF434343"/>
        <u/>
      </rPr>
      <t xml:space="preserve">Taiga:
1. </t>
    </r>
    <r>
      <rPr>
        <color rgb="FF1155CC"/>
        <u/>
      </rPr>
      <t>https://taiga.ecquaria.org/project/presales-mccy-ioms/us/257</t>
    </r>
    <r>
      <rPr>
        <color rgb="FF434343"/>
        <u/>
      </rPr>
      <t xml:space="preserve">
2. </t>
    </r>
    <r>
      <rPr>
        <color rgb="FF1155CC"/>
        <u/>
      </rPr>
      <t>https://taiga.ecquaria.org/project/presales-mccy-ioms/us/278</t>
    </r>
  </si>
  <si>
    <t>IP4SG Mobile Tech Refresh Issue
Overtime:
17.00 - 19.00</t>
  </si>
  <si>
    <t>1. UserPortal: User Password recover - NEW KAIZEN DigitalID OAuth API</t>
  </si>
  <si>
    <r>
      <rPr>
        <color rgb="FF434343"/>
        <u/>
      </rPr>
      <t xml:space="preserve">Taiga:
1. </t>
    </r>
    <r>
      <rPr>
        <color rgb="FF1155CC"/>
        <u/>
      </rPr>
      <t>https://taiga.ecquaria.org/project/presales-mccy-ioms/us/278</t>
    </r>
  </si>
  <si>
    <r>
      <rPr>
        <color rgb="FF434343"/>
        <u/>
      </rPr>
      <t xml:space="preserve">Taiga:
1. </t>
    </r>
    <r>
      <rPr>
        <color rgb="FF1155CC"/>
        <u/>
      </rPr>
      <t>https://taiga.ecquaria.org/project/presales-mccy-ioms/us/278</t>
    </r>
  </si>
  <si>
    <t>1. AdminPortal: Combine Oauth endpoint into one
2. AdminPortal: Oauth Integration -&gt;  NEW KAIZEN DigitalID OAuth (192.168.1.3:5656)</t>
  </si>
  <si>
    <r>
      <rPr>
        <color rgb="FF434343"/>
        <u/>
      </rPr>
      <t xml:space="preserve">Taiga:
1. </t>
    </r>
    <r>
      <rPr>
        <color rgb="FF1155CC"/>
        <u/>
      </rPr>
      <t xml:space="preserve">https://taiga.ecquaria.org/project/presales-mccy-ioms/us/281
</t>
    </r>
    <r>
      <rPr>
        <color rgb="FF434343"/>
        <u/>
      </rPr>
      <t xml:space="preserve">2. </t>
    </r>
    <r>
      <rPr>
        <color rgb="FF1155CC"/>
        <u/>
      </rPr>
      <t>https://taiga.ecquaria.org/project/presales-mccy-ioms/us/283</t>
    </r>
  </si>
  <si>
    <t>UserPortal: User Password recover - NEW KAIZEN DigitalID OAuth API
Overtime:
17.00 - 19.00</t>
  </si>
  <si>
    <t>1. AdminPortal: Change of structure User Profile details to KAIZEN DB</t>
  </si>
  <si>
    <r>
      <rPr>
        <color rgb="FF434343"/>
        <u/>
      </rPr>
      <t xml:space="preserve">Taiga:
1. </t>
    </r>
    <r>
      <rPr>
        <color rgb="FF1155CC"/>
        <u/>
      </rPr>
      <t>https://taiga.ecquaria.org/project/presales-mccy-ioms/us/284</t>
    </r>
  </si>
  <si>
    <t>Remaining Task on Digital ID  (Taiga : Kaban) Weekly updated as of July 28  : 
New :  2 
Pending SG : 2   
On Hold : 
In Progress : 2 
Ready for Test (Bdg QA): 6
To Be check with SG on July 28</t>
  </si>
  <si>
    <t>1. UserPortal: Assign user role from KAIZEN role/privilege</t>
  </si>
  <si>
    <r>
      <rPr>
        <color rgb="FF434343"/>
        <u/>
      </rPr>
      <t xml:space="preserve">Taiga:
1. </t>
    </r>
    <r>
      <rPr>
        <color rgb="FF1155CC"/>
        <u/>
      </rPr>
      <t>https://taiga.ecquaria.org/project/presales-mccy-ioms/us/286</t>
    </r>
  </si>
  <si>
    <t>1. AdminPortal: Change of structure Employee Profile details to KAIZEN DB</t>
  </si>
  <si>
    <r>
      <rPr>
        <color rgb="FF434343"/>
        <u/>
      </rPr>
      <t xml:space="preserve">Taiga:
1. </t>
    </r>
    <r>
      <rPr>
        <color rgb="FF1155CC"/>
        <u/>
      </rPr>
      <t>https://taiga.ecquaria.org/project/presales-mccy-ioms/us/289</t>
    </r>
  </si>
  <si>
    <r>
      <rPr>
        <color rgb="FF434343"/>
        <u/>
      </rPr>
      <t xml:space="preserve">Taiga:
1. </t>
    </r>
    <r>
      <rPr>
        <color rgb="FF1155CC"/>
        <u/>
      </rPr>
      <t>https://taiga.ecquaria.org/project/presales-mccy-ioms/us/289</t>
    </r>
  </si>
  <si>
    <t>Overtime:
17.00 - 20.30</t>
  </si>
  <si>
    <r>
      <rPr>
        <color rgb="FF434343"/>
        <u/>
      </rPr>
      <t xml:space="preserve">Taiga:
1. </t>
    </r>
    <r>
      <rPr>
        <color rgb="FF1155CC"/>
        <u/>
      </rPr>
      <t>https://taiga.ecquaria.org/project/presales-mccy-ioms/us/286</t>
    </r>
  </si>
  <si>
    <t>Overtime:
17.00 - 20.00</t>
  </si>
  <si>
    <t>1. Admin Portal / User Portal : Endpoint Assignment</t>
  </si>
  <si>
    <r>
      <rPr>
        <color rgb="FF434343"/>
        <u/>
      </rPr>
      <t xml:space="preserve">Taiga:
1. </t>
    </r>
    <r>
      <rPr>
        <color rgb="FF1155CC"/>
        <u/>
      </rPr>
      <t>https://taiga.ecquaria.org/project/presales-mccy-ioms/us/312</t>
    </r>
  </si>
  <si>
    <t>1. UserPortal: Merge BD update
2. AdminPortal: Demo RBAC mechanism
3. UserPortal: Modify &lt;tid-server&gt; service using proxy
4. UserPortal: Configurable &lt;tid-server&gt; hostname</t>
  </si>
  <si>
    <r>
      <rPr>
        <color rgb="FF434343"/>
        <u/>
      </rPr>
      <t xml:space="preserve">Taiga:
1. </t>
    </r>
    <r>
      <rPr>
        <color rgb="FF1155CC"/>
        <u/>
      </rPr>
      <t>https://taiga.ecquaria.org/project/presales-mccy-ioms/us/321</t>
    </r>
  </si>
  <si>
    <t>Overtime:
17.00 - 19.30</t>
  </si>
  <si>
    <t>1. UserPortal : set copyright year dynamically
2. AdminPortal: set copyright year dynamically
3. AdminPortal : Employee Profile Creation with workflow for handling distributed transaction (KAIZEN IAM API + TID Database)</t>
  </si>
  <si>
    <r>
      <rPr>
        <color rgb="FF434343"/>
        <u/>
      </rPr>
      <t xml:space="preserve">Taiga:
1. </t>
    </r>
    <r>
      <rPr>
        <color rgb="FF1155CC"/>
        <u/>
      </rPr>
      <t xml:space="preserve">https://taiga.ecquaria.org/project/presales-mccy-ioms/us/318
</t>
    </r>
    <r>
      <rPr>
        <color rgb="FF434343"/>
        <u/>
      </rPr>
      <t xml:space="preserve">2. </t>
    </r>
    <r>
      <rPr>
        <color rgb="FF1155CC"/>
        <u/>
      </rPr>
      <t xml:space="preserve">https://taiga.ecquaria.org/project/presales-mccy-ioms/us/320
</t>
    </r>
    <r>
      <rPr>
        <color rgb="FF434343"/>
        <u/>
      </rPr>
      <t>3. https://taiga.ecquaria.org/project/presales-mccy-ioms/us/321</t>
    </r>
  </si>
  <si>
    <t>1. AdminPortal : Employee Profile Creation with workflow for handling distributed transaction (KAIZEN IAM API + TID Database)</t>
  </si>
  <si>
    <r>
      <rPr>
        <color rgb="FF434343"/>
        <u/>
      </rPr>
      <t xml:space="preserve">Taiga:
1. </t>
    </r>
    <r>
      <rPr>
        <color rgb="FF1155CC"/>
        <u/>
      </rPr>
      <t>https://taiga.ecquaria.org/project/presales-mccy-ioms/us/321</t>
    </r>
  </si>
  <si>
    <t>Overtime:
17.00 - 18.30</t>
  </si>
  <si>
    <t>1. AdminPortal : Integrate Notification with firebase</t>
  </si>
  <si>
    <r>
      <rPr>
        <color rgb="FF434343"/>
        <u/>
      </rPr>
      <t xml:space="preserve">Taiga:
1. </t>
    </r>
    <r>
      <rPr>
        <color rgb="FF1155CC"/>
        <u/>
      </rPr>
      <t>https://taiga.ecquaria.org/project/presales-mccy-ioms/us/269</t>
    </r>
  </si>
  <si>
    <r>
      <rPr>
        <color rgb="FF434343"/>
        <u/>
      </rPr>
      <t xml:space="preserve">Taiga:
1. </t>
    </r>
    <r>
      <rPr>
        <color rgb="FF1155CC"/>
        <u/>
      </rPr>
      <t>https://taiga.ecquaria.org/project/presales-mccy-ioms/us/321</t>
    </r>
  </si>
  <si>
    <t>1. AdminPortal : Additional Update from current Admin Portal: Client Profile + Client-Initiated Backchannel Authentication (CIBA)</t>
  </si>
  <si>
    <r>
      <rPr>
        <color rgb="FF434343"/>
        <u/>
      </rPr>
      <t xml:space="preserve">Taiga:
1. </t>
    </r>
    <r>
      <rPr>
        <color rgb="FF1155CC"/>
        <u/>
      </rPr>
      <t>https://taiga.ecquaria.org/project/presales-mccy-ioms/us/374</t>
    </r>
  </si>
  <si>
    <r>
      <rPr>
        <color rgb="FF434343"/>
        <u/>
      </rPr>
      <t xml:space="preserve">Taiga:
1. </t>
    </r>
    <r>
      <rPr>
        <color rgb="FF1155CC"/>
        <u/>
      </rPr>
      <t>https://taiga.ecquaria.org/project/presales-mccy-ioms/us/374</t>
    </r>
  </si>
  <si>
    <r>
      <rPr>
        <color rgb="FF434343"/>
        <u/>
      </rPr>
      <t xml:space="preserve">Taiga:
1. </t>
    </r>
    <r>
      <rPr>
        <color rgb="FF1155CC"/>
        <u/>
      </rPr>
      <t>https://taiga.ecquaria.org/project/presales-mccy-ioms/us/321</t>
    </r>
  </si>
  <si>
    <r>
      <rPr>
        <rFont val="Roboto"/>
        <color rgb="FF434343"/>
        <u/>
      </rPr>
      <t xml:space="preserve">Taiga:
1. </t>
    </r>
    <r>
      <rPr>
        <rFont val="Roboto"/>
        <color rgb="FF1155CC"/>
        <u/>
      </rPr>
      <t>https://taiga.ecquaria.org/project/presales-mccy-ioms/us/321</t>
    </r>
  </si>
  <si>
    <t>On Leave</t>
  </si>
  <si>
    <r>
      <rPr>
        <rFont val="Roboto"/>
        <color rgb="FF434343"/>
        <u/>
      </rPr>
      <t xml:space="preserve">Taiga:
1. </t>
    </r>
    <r>
      <rPr>
        <rFont val="Roboto"/>
        <color rgb="FF1155CC"/>
        <u/>
      </rPr>
      <t>https://taiga.ecquaria.org/project/presales-mccy-ioms/us/321</t>
    </r>
  </si>
  <si>
    <r>
      <rPr>
        <rFont val="Roboto"/>
        <color rgb="FF434343"/>
        <u/>
      </rPr>
      <t xml:space="preserve">Taiga:
1. </t>
    </r>
    <r>
      <rPr>
        <rFont val="Roboto"/>
        <color rgb="FF1155CC"/>
        <u/>
      </rPr>
      <t>https://taiga.ecquaria.org/project/presales-mccy-ioms/us/321</t>
    </r>
  </si>
  <si>
    <r>
      <rPr>
        <rFont val="Roboto"/>
        <color rgb="FF434343"/>
        <u/>
      </rPr>
      <t xml:space="preserve">Taiga:
1. </t>
    </r>
    <r>
      <rPr>
        <rFont val="Roboto"/>
        <color rgb="FF1155CC"/>
        <u/>
      </rPr>
      <t>https://taiga.ecquaria.org/project/presales-mccy-ioms/us/321</t>
    </r>
  </si>
  <si>
    <t>1. AdminPortal : UserPortal: CIBA integration</t>
  </si>
  <si>
    <r>
      <rPr>
        <rFont val="Roboto"/>
        <color rgb="FF434343"/>
        <u/>
      </rPr>
      <t xml:space="preserve">Taiga:
1. </t>
    </r>
    <r>
      <rPr>
        <rFont val="Roboto"/>
        <color rgb="FF1155CC"/>
        <u/>
      </rPr>
      <t>https://taiga.ecquaria.org/project/tecq-digital-id/task/646</t>
    </r>
  </si>
  <si>
    <r>
      <rPr>
        <rFont val="Roboto"/>
        <color rgb="FF434343"/>
        <u/>
      </rPr>
      <t xml:space="preserve">Taiga:
1. </t>
    </r>
    <r>
      <rPr>
        <rFont val="Roboto"/>
        <color rgb="FF1155CC"/>
        <u/>
      </rPr>
      <t>https://taiga.ecquaria.org/project/tecq-digital-id/task/646</t>
    </r>
  </si>
  <si>
    <r>
      <rPr>
        <rFont val="Roboto"/>
        <color rgb="FF434343"/>
        <u/>
      </rPr>
      <t xml:space="preserve">Taiga:
1. </t>
    </r>
    <r>
      <rPr>
        <rFont val="Roboto"/>
        <color rgb="FF1155CC"/>
        <u/>
      </rPr>
      <t>https://taiga.ecquaria.org/project/tecq-digital-id/task/646</t>
    </r>
  </si>
  <si>
    <t>Kaizen Internal Training</t>
  </si>
  <si>
    <t xml:space="preserve">1. AdminPortal : UserPortal: CIBA integration
2. Admin Portal: Missing full stop in the Important text in the Client Registration Successful page
</t>
  </si>
  <si>
    <r>
      <rPr>
        <rFont val="Roboto"/>
        <color rgb="FF434343"/>
        <u/>
      </rPr>
      <t xml:space="preserve">Taiga:
1. </t>
    </r>
    <r>
      <rPr>
        <rFont val="Roboto"/>
        <color rgb="FF1155CC"/>
        <u/>
      </rPr>
      <t>https://taiga.ecquaria.org/project/tecq-digital-id/task/646</t>
    </r>
    <r>
      <rPr>
        <rFont val="Roboto"/>
        <color rgb="FF434343"/>
        <u/>
      </rPr>
      <t xml:space="preserve">
2. </t>
    </r>
    <r>
      <rPr>
        <rFont val="Roboto"/>
        <color rgb="FF1155CC"/>
        <u/>
      </rPr>
      <t>https://taiga.ecquaria.org/project/tecq-digital-id/issue/551</t>
    </r>
  </si>
  <si>
    <t xml:space="preserve">1. AdminPortal : UserPortal: CIBA integration
2. AdminPortal: Update Logo changes
</t>
  </si>
  <si>
    <r>
      <rPr>
        <rFont val="Roboto"/>
        <color rgb="FF434343"/>
        <u/>
      </rPr>
      <t xml:space="preserve">Taiga:
1. </t>
    </r>
    <r>
      <rPr>
        <rFont val="Roboto"/>
        <color rgb="FF1155CC"/>
        <u/>
      </rPr>
      <t>https://taiga.ecquaria.org/project/tecq-digital-id/task/646</t>
    </r>
    <r>
      <rPr>
        <rFont val="Roboto"/>
        <color rgb="FF434343"/>
        <u/>
      </rPr>
      <t xml:space="preserve">
2. </t>
    </r>
    <r>
      <rPr>
        <rFont val="Roboto"/>
        <color rgb="FF1155CC"/>
        <u/>
      </rPr>
      <t>https://taiga.ecquaria.org/project/tecq-digital-id/task/637</t>
    </r>
  </si>
  <si>
    <t xml:space="preserve">1. Admin Portal: Success create new employee but the newly employee is not displayed in Employee Profile list and did not receive the email
2. User Portal: There is no records displayed in Transaction History page
3. Admin Portal: User does not thoroughly sign out after click logout from the portal
</t>
  </si>
  <si>
    <r>
      <rPr>
        <rFont val="Roboto"/>
        <color rgb="FF434343"/>
        <u/>
      </rPr>
      <t xml:space="preserve">Taiga:
1. </t>
    </r>
    <r>
      <rPr>
        <rFont val="Roboto"/>
        <color rgb="FF1155CC"/>
        <u/>
      </rPr>
      <t>https://taiga.ecquaria.org/project/tecq-digital-id/issue/680</t>
    </r>
    <r>
      <rPr>
        <rFont val="Roboto"/>
        <color rgb="FF434343"/>
        <u/>
      </rPr>
      <t xml:space="preserve">
2. </t>
    </r>
    <r>
      <rPr>
        <rFont val="Roboto"/>
        <color rgb="FF1155CC"/>
        <u/>
      </rPr>
      <t>https://taiga.ecquaria.org/project/tecq-digital-id/issue/668</t>
    </r>
    <r>
      <rPr>
        <rFont val="Roboto"/>
        <color rgb="FF434343"/>
        <u/>
      </rPr>
      <t xml:space="preserve">
3. </t>
    </r>
    <r>
      <rPr>
        <rFont val="Roboto"/>
        <color rgb="FF1155CC"/>
        <u/>
      </rPr>
      <t>https://taiga.ecquaria.org/project/tecq-digital-id/issue/677</t>
    </r>
  </si>
  <si>
    <r>
      <rPr>
        <rFont val="Roboto"/>
        <color rgb="FF434343"/>
        <u/>
      </rPr>
      <t xml:space="preserve">Taiga:
1. </t>
    </r>
    <r>
      <rPr>
        <rFont val="Roboto"/>
        <color rgb="FF1155CC"/>
        <u/>
      </rPr>
      <t>https://taiga.ecquaria.org/project/tecq-digital-id/issue/680</t>
    </r>
    <r>
      <rPr>
        <rFont val="Roboto"/>
        <color rgb="FF434343"/>
        <u/>
      </rPr>
      <t xml:space="preserve">
2. </t>
    </r>
    <r>
      <rPr>
        <rFont val="Roboto"/>
        <color rgb="FF1155CC"/>
        <u/>
      </rPr>
      <t>https://taiga.ecquaria.org/project/tecq-digital-id/issue/668</t>
    </r>
    <r>
      <rPr>
        <rFont val="Roboto"/>
        <color rgb="FF434343"/>
        <u/>
      </rPr>
      <t xml:space="preserve">
3. </t>
    </r>
    <r>
      <rPr>
        <rFont val="Roboto"/>
        <color rgb="FF1155CC"/>
        <u/>
      </rPr>
      <t>https://taiga.ecquaria.org/project/tecq-digital-id/issue/677</t>
    </r>
  </si>
  <si>
    <t>1. Retest Admin Portal and User Portal
2. Admin Portal: User does not thoroughly sign out after click logout from the portal. Taufik. TG-677</t>
  </si>
  <si>
    <r>
      <rPr>
        <rFont val="Roboto"/>
        <color rgb="FF434343"/>
        <u/>
      </rPr>
      <t xml:space="preserve">Taiga:
2. </t>
    </r>
    <r>
      <rPr>
        <rFont val="Roboto"/>
        <color rgb="FF1155CC"/>
        <u/>
      </rPr>
      <t>https://taiga.ecquaria.org/project/tecq-digital-id/issue/677</t>
    </r>
  </si>
  <si>
    <t>1. Admin Portal: Different value for date of Joining in Employee Profile.
2. Admin Portal: Failed to create employee but no error displayed.
3. UserPortal: Removed Sensitive information all logs</t>
  </si>
  <si>
    <r>
      <rPr>
        <rFont val="Roboto"/>
        <color rgb="FF434343"/>
        <u/>
      </rPr>
      <t xml:space="preserve">Taiga:
1. </t>
    </r>
    <r>
      <rPr>
        <rFont val="Roboto"/>
        <color rgb="FF1155CC"/>
        <u/>
      </rPr>
      <t>https://taiga.ecquaria.org/project/tecq-digital-id/issue/663</t>
    </r>
    <r>
      <rPr>
        <rFont val="Roboto"/>
        <color rgb="FF434343"/>
        <u/>
      </rPr>
      <t xml:space="preserve">
2. </t>
    </r>
    <r>
      <rPr>
        <rFont val="Roboto"/>
        <color rgb="FF1155CC"/>
        <u/>
      </rPr>
      <t>https://taiga.ecquaria.org/project/tecq-digital-id/issue/722</t>
    </r>
    <r>
      <rPr>
        <rFont val="Roboto"/>
        <color rgb="FF434343"/>
        <u/>
      </rPr>
      <t xml:space="preserve">
3. </t>
    </r>
    <r>
      <rPr>
        <rFont val="Roboto"/>
        <color rgb="FF1155CC"/>
        <u/>
      </rPr>
      <t>https://taiga.ecquaria.org/project/tecq-digital-id/issue/720</t>
    </r>
  </si>
  <si>
    <t>Overtime:
17.00 - 21.00</t>
  </si>
  <si>
    <t>1. Admin Portal: Indefinite loading and cannot access any page when deactivate their own account.</t>
  </si>
  <si>
    <r>
      <rPr>
        <rFont val="Roboto"/>
        <color rgb="FF434343"/>
        <u/>
      </rPr>
      <t xml:space="preserve">Taiga:
1. </t>
    </r>
    <r>
      <rPr>
        <rFont val="Roboto"/>
        <color rgb="FF1155CC"/>
        <u/>
      </rPr>
      <t>https://taiga.ecquaria.org/project/tecq-digital-id/issue/739</t>
    </r>
  </si>
  <si>
    <t>1. User Portal: After refresh page, there are Event Portal menus displayed in the header</t>
  </si>
  <si>
    <r>
      <rPr>
        <rFont val="Roboto"/>
        <color rgb="FF434343"/>
        <u/>
      </rPr>
      <t xml:space="preserve">Taiga:
1. </t>
    </r>
    <r>
      <rPr>
        <rFont val="Roboto"/>
        <color rgb="FF1155CC"/>
        <u/>
      </rPr>
      <t>https://taiga.ecquaria.org/project/tecq-digital-id/issue/740</t>
    </r>
  </si>
  <si>
    <t>1. Admin Portal: Cannot edit roles in Employee Update.</t>
  </si>
  <si>
    <r>
      <rPr>
        <rFont val="Roboto"/>
        <color rgb="FF434343"/>
        <u/>
      </rPr>
      <t xml:space="preserve">Taiga:
1. </t>
    </r>
    <r>
      <rPr>
        <rFont val="Roboto"/>
        <color rgb="FF1155CC"/>
        <u/>
      </rPr>
      <t>https://taiga.ecquaria.org/project/tecq-digital-id/issue/661</t>
    </r>
  </si>
  <si>
    <r>
      <rPr>
        <rFont val="Roboto"/>
        <color rgb="FF434343"/>
        <u/>
      </rPr>
      <t xml:space="preserve">Taiga:
1. </t>
    </r>
    <r>
      <rPr>
        <rFont val="Roboto"/>
        <color rgb="FF1155CC"/>
        <u/>
      </rPr>
      <t>https://taiga.ecquaria.org/project/tecq-digital-id/issue/661</t>
    </r>
  </si>
  <si>
    <t>1. User Portal: Failed to Update Profile because got error when verify the OTP</t>
  </si>
  <si>
    <r>
      <rPr>
        <rFont val="Roboto"/>
        <color rgb="FF434343"/>
        <u/>
      </rPr>
      <t xml:space="preserve">Taiga:
1. </t>
    </r>
    <r>
      <rPr>
        <rFont val="Roboto"/>
        <color rgb="FF1155CC"/>
        <u/>
      </rPr>
      <t>https://taiga.ecquaria.org/project/tecq-digital-id/issue/719</t>
    </r>
  </si>
  <si>
    <r>
      <rPr>
        <rFont val="Roboto"/>
        <color rgb="FF434343"/>
        <u/>
      </rPr>
      <t xml:space="preserve">Taiga:
1. </t>
    </r>
    <r>
      <rPr>
        <rFont val="Roboto"/>
        <color rgb="FF1155CC"/>
        <u/>
      </rPr>
      <t>https://taiga.ecquaria.org/project/tecq-digital-id/issue/719</t>
    </r>
  </si>
  <si>
    <t>Overtime:
17.00 - 19.00</t>
  </si>
  <si>
    <t>1. AdminPortal: Employee  CRUD add new column  - tenant_id dropdown list based on BD</t>
  </si>
  <si>
    <r>
      <rPr>
        <rFont val="Roboto"/>
        <color rgb="FF434343"/>
        <u/>
      </rPr>
      <t xml:space="preserve">Taiga:
1. </t>
    </r>
    <r>
      <rPr>
        <rFont val="Roboto"/>
        <color rgb="FF1155CC"/>
        <u/>
      </rPr>
      <t>https://taiga.ecquaria.org/project/tecq-digital-id/task/737</t>
    </r>
  </si>
  <si>
    <t>1. Admin Portal: Missing login alias in Employee Profile after update profile in User Portal so failed to update employee
2. User Portal: Error when set the password in Account Registration</t>
  </si>
  <si>
    <r>
      <rPr>
        <rFont val="Roboto"/>
        <color rgb="FF434343"/>
        <u/>
      </rPr>
      <t xml:space="preserve">Taiga:
1. </t>
    </r>
    <r>
      <rPr>
        <rFont val="Roboto"/>
        <color rgb="FF1155CC"/>
        <u/>
      </rPr>
      <t>https://taiga.ecquaria.org/project/tecq-digital-id/issue/781</t>
    </r>
    <r>
      <rPr>
        <rFont val="Roboto"/>
        <color rgb="FF434343"/>
        <u/>
      </rPr>
      <t xml:space="preserve">
2. </t>
    </r>
    <r>
      <rPr>
        <rFont val="Roboto"/>
        <color rgb="FF1155CC"/>
        <u/>
      </rPr>
      <t>https://taiga.ecquaria.org/project/tecq-digital-id/issue/747</t>
    </r>
  </si>
  <si>
    <t>1. AdminPortal: Client CRUD add new column  - tenant_id dropdown list based on BD</t>
  </si>
  <si>
    <r>
      <rPr>
        <rFont val="Roboto"/>
        <color rgb="FF434343"/>
        <u/>
      </rPr>
      <t xml:space="preserve">Taiga:
1. </t>
    </r>
    <r>
      <rPr>
        <rFont val="Roboto"/>
        <color rgb="FF1155CC"/>
        <u/>
      </rPr>
      <t>https://taiga.ecquaria.org/project/tecq-digital-id/task/776</t>
    </r>
  </si>
  <si>
    <r>
      <rPr>
        <rFont val="Roboto"/>
        <color rgb="FF434343"/>
        <u/>
      </rPr>
      <t xml:space="preserve">Taiga:
1. </t>
    </r>
    <r>
      <rPr>
        <rFont val="Roboto"/>
        <color rgb="FF1155CC"/>
        <u/>
      </rPr>
      <t>https://taiga.ecquaria.org/project/tecq-digital-id/task/646</t>
    </r>
  </si>
  <si>
    <r>
      <rPr>
        <rFont val="Roboto"/>
        <color rgb="FF434343"/>
        <u/>
      </rPr>
      <t xml:space="preserve">Taiga:
1. </t>
    </r>
    <r>
      <rPr>
        <rFont val="Roboto"/>
        <color rgb="FF1155CC"/>
        <u/>
      </rPr>
      <t>https://taiga.ecquaria.org/project/tecq-digital-id/task/646</t>
    </r>
  </si>
  <si>
    <r>
      <rPr>
        <rFont val="Roboto"/>
        <color rgb="FF434343"/>
        <u/>
      </rPr>
      <t xml:space="preserve">Taiga:
1. </t>
    </r>
    <r>
      <rPr>
        <rFont val="Roboto"/>
        <color rgb="FF1155CC"/>
        <u/>
      </rPr>
      <t>https://taiga.ecquaria.org/project/tecq-digital-id/task/646</t>
    </r>
  </si>
  <si>
    <t>1. AdminPortal: MutilTenant Filter for Employee Profile and Client Profile</t>
  </si>
  <si>
    <r>
      <rPr>
        <rFont val="Roboto"/>
        <color rgb="FF434343"/>
        <u/>
      </rPr>
      <t xml:space="preserve">Taiga:
1. </t>
    </r>
    <r>
      <rPr>
        <rFont val="Roboto"/>
        <color rgb="FF1155CC"/>
        <u/>
      </rPr>
      <t>https://taiga.ecquaria.org/project/tecq-digital-id/task/815</t>
    </r>
  </si>
  <si>
    <t>1. User Portal: after user click login via UserPortal Domain Toppan NEXT it get redirected to callback to what ever endpoint configured in the application.properties (UserPortal - TECQ domain)
2. User Portal: Domain should be dynamic instead of hardcoded
3. Admin Portal: Domain should be dynamic instead of hardcoded</t>
  </si>
  <si>
    <r>
      <rPr>
        <rFont val="Roboto"/>
        <color rgb="FF434343"/>
        <u/>
      </rPr>
      <t xml:space="preserve">Taiga:
1. </t>
    </r>
    <r>
      <rPr>
        <rFont val="Roboto"/>
        <color rgb="FF1155CC"/>
        <u/>
      </rPr>
      <t>https://taiga.ecquaria.org/project/tecq-digital-id/issue/808</t>
    </r>
    <r>
      <rPr>
        <rFont val="Roboto"/>
        <color rgb="FF434343"/>
        <u/>
      </rPr>
      <t xml:space="preserve">
2. </t>
    </r>
    <r>
      <rPr>
        <rFont val="Roboto"/>
        <color rgb="FF1155CC"/>
        <u/>
      </rPr>
      <t>https://taiga.ecquaria.org/project/tecq-digital-id/issue/816</t>
    </r>
    <r>
      <rPr>
        <rFont val="Roboto"/>
        <color rgb="FF434343"/>
        <u/>
      </rPr>
      <t xml:space="preserve">
3. </t>
    </r>
    <r>
      <rPr>
        <rFont val="Roboto"/>
        <color rgb="FF1155CC"/>
        <u/>
      </rPr>
      <t>https://taiga.ecquaria.org/project/tecq-digital-id/issue/817</t>
    </r>
  </si>
  <si>
    <t>1. User Portal: after user click login via UserPortal Domain Toppan NEXT it get redirected to callback to what ever endpoint configured in the application.properties (UserPortal - TECQ domain)</t>
  </si>
  <si>
    <r>
      <rPr>
        <rFont val="Roboto"/>
        <color rgb="FF434343"/>
        <u/>
      </rPr>
      <t xml:space="preserve">Taiga:
1. </t>
    </r>
    <r>
      <rPr>
        <rFont val="Roboto"/>
        <color rgb="FF1155CC"/>
        <u/>
      </rPr>
      <t>https://taiga.ecquaria.org/project/tecq-digital-id/issue/808</t>
    </r>
  </si>
  <si>
    <t>Overtime:
17.00 - 22.00</t>
  </si>
  <si>
    <r>
      <rPr>
        <rFont val="Roboto"/>
        <color rgb="FF434343"/>
        <u/>
      </rPr>
      <t xml:space="preserve">Taiga:
1. </t>
    </r>
    <r>
      <rPr>
        <rFont val="Roboto"/>
        <color rgb="FF1155CC"/>
        <u/>
      </rPr>
      <t>https://taiga.ecquaria.org/project/tecq-digital-id/issue/808</t>
    </r>
  </si>
  <si>
    <t>1. User Portal : Session Handling</t>
  </si>
  <si>
    <r>
      <rPr>
        <rFont val="Roboto"/>
        <color rgb="FF434343"/>
        <u/>
      </rPr>
      <t xml:space="preserve">Taiga:
1. </t>
    </r>
    <r>
      <rPr>
        <rFont val="Roboto"/>
        <color rgb="FF1155CC"/>
        <u/>
      </rPr>
      <t>https://taiga.ecquaria.org/project/tecq-digital-id/issue/692</t>
    </r>
  </si>
  <si>
    <r>
      <rPr>
        <rFont val="Roboto"/>
        <color rgb="FF434343"/>
        <u/>
      </rPr>
      <t xml:space="preserve">Taiga:
1. </t>
    </r>
    <r>
      <rPr>
        <rFont val="Roboto"/>
        <color rgb="FF1155CC"/>
        <u/>
      </rPr>
      <t>https://taiga.ecquaria.org/project/tecq-digital-id/issue/808</t>
    </r>
  </si>
  <si>
    <t>1. User Portal: Failed login into User Portal using email as username</t>
  </si>
  <si>
    <r>
      <rPr>
        <rFont val="Roboto"/>
        <color rgb="FF434343"/>
        <u/>
      </rPr>
      <t xml:space="preserve">Taiga:
1. </t>
    </r>
    <r>
      <rPr>
        <rFont val="Roboto"/>
        <color rgb="FF1155CC"/>
        <u/>
      </rPr>
      <t>https://taiga.ecquaria.org/project/tecq-digital-id/issue/692</t>
    </r>
  </si>
  <si>
    <t>1. Admin Portal: Missing Message and Notification Id in Notification Details
2. Admin Portal : Missing Group in Notification Details
3. Admin Portal: Change default login alias into email when create new employee</t>
  </si>
  <si>
    <r>
      <rPr>
        <rFont val="Roboto"/>
        <color rgb="FF434343"/>
        <u/>
      </rPr>
      <t xml:space="preserve">Taiga:
1. </t>
    </r>
    <r>
      <rPr>
        <rFont val="Roboto"/>
        <color rgb="FF1155CC"/>
        <u/>
      </rPr>
      <t>https://taiga.ecquaria.org/project/tecq-digital-id/issue/898</t>
    </r>
    <r>
      <rPr>
        <rFont val="Roboto"/>
        <color rgb="FF434343"/>
        <u/>
      </rPr>
      <t xml:space="preserve">
2. </t>
    </r>
    <r>
      <rPr>
        <rFont val="Roboto"/>
        <color rgb="FF1155CC"/>
        <u/>
      </rPr>
      <t>https://taiga.ecquaria.org/project/tecq-digital-id/issue/897</t>
    </r>
    <r>
      <rPr>
        <rFont val="Roboto"/>
        <color rgb="FF434343"/>
        <u/>
      </rPr>
      <t xml:space="preserve">
3. </t>
    </r>
    <r>
      <rPr>
        <rFont val="Roboto"/>
        <color rgb="FF1155CC"/>
        <u/>
      </rPr>
      <t>https://taiga.ecquaria.org/project/tecq-digital-id/issue/895</t>
    </r>
  </si>
  <si>
    <t>1. User Portal: Error message display blank when update profile with already exist username
2. Admin Portal: Change default login alias into email when create new employee
3. User Portal: Change "TID" to "KAIZEN Digital ID" in Update Profile
4. User Portal: User should only allowed to update username with lowercase alphanumeric unique username or email address</t>
  </si>
  <si>
    <r>
      <rPr>
        <rFont val="Roboto"/>
        <color rgb="FF434343"/>
        <u/>
      </rPr>
      <t xml:space="preserve">Taiga:
1. </t>
    </r>
    <r>
      <rPr>
        <rFont val="Roboto"/>
        <color rgb="FF1155CC"/>
        <u/>
      </rPr>
      <t>https://taiga.ecquaria.org/project/tecq-digital-id/issue/890</t>
    </r>
    <r>
      <rPr>
        <rFont val="Roboto"/>
        <color rgb="FF434343"/>
        <u/>
      </rPr>
      <t xml:space="preserve">
2. </t>
    </r>
    <r>
      <rPr>
        <rFont val="Roboto"/>
        <color rgb="FF1155CC"/>
        <u/>
      </rPr>
      <t>https://taiga.ecquaria.org/project/tecq-digital-id/issue/895</t>
    </r>
    <r>
      <rPr>
        <rFont val="Roboto"/>
        <color rgb="FF434343"/>
        <u/>
      </rPr>
      <t xml:space="preserve">
3. </t>
    </r>
    <r>
      <rPr>
        <rFont val="Roboto"/>
        <color rgb="FF1155CC"/>
        <u/>
      </rPr>
      <t>https://taiga.ecquaria.org/project/tecq-digital-id/issue/903</t>
    </r>
    <r>
      <rPr>
        <rFont val="Roboto"/>
        <color rgb="FF434343"/>
        <u/>
      </rPr>
      <t xml:space="preserve">
4. </t>
    </r>
    <r>
      <rPr>
        <rFont val="Roboto"/>
        <color rgb="FF1155CC"/>
        <u/>
      </rPr>
      <t>https://taiga.ecquaria.org/project/tecq-digital-id/issue/905</t>
    </r>
  </si>
  <si>
    <t>1. User Portal: Typo in error message Change Password</t>
  </si>
  <si>
    <r>
      <rPr>
        <rFont val="Roboto"/>
        <color rgb="FF434343"/>
        <u/>
      </rPr>
      <t xml:space="preserve">Taiga:
1. </t>
    </r>
    <r>
      <rPr>
        <rFont val="Roboto"/>
        <color rgb="FF1155CC"/>
        <u/>
      </rPr>
      <t>https://taiga.ecquaria.org/project/tecq-digital-id/issue/925</t>
    </r>
  </si>
  <si>
    <t>1. User Portal: User Portal still showing version 0.1.1.1</t>
  </si>
  <si>
    <r>
      <rPr>
        <rFont val="Roboto"/>
        <color rgb="FF434343"/>
        <u/>
      </rPr>
      <t xml:space="preserve">Taiga:
1. </t>
    </r>
    <r>
      <rPr>
        <rFont val="Roboto"/>
        <color rgb="FF1155CC"/>
        <u/>
      </rPr>
      <t>https://taiga.ecquaria.org/project/tecq-digital-id/issue/922</t>
    </r>
  </si>
  <si>
    <t>Maternity Leave</t>
  </si>
  <si>
    <t>1. CR Assess Change .com Brand Search from Go Daddy to tdlspy.com and domainnr.com
2. User Portal : Session Handling</t>
  </si>
  <si>
    <r>
      <rPr>
        <rFont val="Roboto"/>
        <color rgb="FF434343"/>
        <u/>
      </rPr>
      <t xml:space="preserve">Taiga:
1. </t>
    </r>
    <r>
      <rPr>
        <rFont val="Roboto"/>
        <color rgb="FF1155CC"/>
        <u/>
      </rPr>
      <t>https://taiga.ecquaria.org/project/ip4sg-mobile/us/230</t>
    </r>
    <r>
      <rPr>
        <rFont val="Roboto"/>
        <color rgb="FF434343"/>
        <u/>
      </rPr>
      <t xml:space="preserve">
2. </t>
    </r>
    <r>
      <rPr>
        <rFont val="Roboto"/>
        <color rgb="FF1155CC"/>
        <u/>
      </rPr>
      <t>https://taiga.ecquaria.org/project/tecq-digital-id/task/839</t>
    </r>
  </si>
  <si>
    <t>1. Merging Admin Portal and User Portal into 2.0.0-release</t>
  </si>
  <si>
    <t>1. User Portal : Session Handling
2. Admin Portal : Session Handling
3. Event Portal : Session Handling</t>
  </si>
  <si>
    <r>
      <rPr>
        <rFont val="Roboto"/>
        <color rgb="FF434343"/>
        <u/>
      </rPr>
      <t xml:space="preserve">Taiga:
1. </t>
    </r>
    <r>
      <rPr>
        <rFont val="Roboto"/>
        <color rgb="FF1155CC"/>
        <u/>
      </rPr>
      <t>https://taiga.ecquaria.org/project/tecq-digital-id/task/839</t>
    </r>
  </si>
  <si>
    <t>1. Approval workflow: Employee(user) onboarding</t>
  </si>
  <si>
    <r>
      <rPr>
        <rFont val="Roboto"/>
        <color rgb="FF434343"/>
        <u/>
      </rPr>
      <t xml:space="preserve">Taiga:
1. </t>
    </r>
    <r>
      <rPr>
        <rFont val="Roboto"/>
        <color rgb="FF1155CC"/>
        <u/>
      </rPr>
      <t>https://taiga.ecquaria.org/project/presales-mccy-ioms/us/660</t>
    </r>
  </si>
  <si>
    <t>1. Admin Portal: Remove “Admin: Client - all notification access”</t>
  </si>
  <si>
    <r>
      <rPr>
        <rFont val="Roboto"/>
        <color rgb="FF434343"/>
        <u/>
      </rPr>
      <t xml:space="preserve">Taiga:
1. </t>
    </r>
    <r>
      <rPr>
        <rFont val="Roboto"/>
        <color rgb="FF1155CC"/>
        <u/>
      </rPr>
      <t>https://taiga.ecquaria.org/project/presales-mccy-ioms/us/748</t>
    </r>
  </si>
  <si>
    <r>
      <rPr>
        <rFont val="Roboto"/>
        <color rgb="FF434343"/>
        <u/>
      </rPr>
      <t xml:space="preserve">Taiga:
1. </t>
    </r>
    <r>
      <rPr>
        <rFont val="Roboto"/>
        <color rgb="FF1155CC"/>
        <u/>
      </rPr>
      <t>https://taiga.ecquaria.org/project/presales-mccy-ioms/us/660</t>
    </r>
  </si>
  <si>
    <t>1. UserPortal: Anonymous Cookie session expired
2. Admin Portal : Anonymous Cookie session expired</t>
  </si>
  <si>
    <r>
      <rPr>
        <rFont val="Roboto"/>
        <color rgb="FF434343"/>
        <u/>
      </rPr>
      <t xml:space="preserve">Taiga:
1. </t>
    </r>
    <r>
      <rPr>
        <rFont val="Roboto"/>
        <color rgb="FF1155CC"/>
        <u/>
      </rPr>
      <t>https://taiga.ecquaria.org/project/tecq-digital-id/issue/953</t>
    </r>
    <r>
      <rPr>
        <rFont val="Roboto"/>
        <color rgb="FF434343"/>
        <u/>
      </rPr>
      <t xml:space="preserve">
2. </t>
    </r>
    <r>
      <rPr>
        <rFont val="Roboto"/>
        <color rgb="FF1155CC"/>
        <u/>
      </rPr>
      <t>https://taiga.ecquaria.org/project/tecq-digital-id/issue/952</t>
    </r>
  </si>
  <si>
    <r>
      <rPr>
        <rFont val="Roboto"/>
        <color rgb="FF434343"/>
        <u/>
      </rPr>
      <t xml:space="preserve">Taiga:
1. </t>
    </r>
    <r>
      <rPr>
        <rFont val="Roboto"/>
        <color rgb="FF1155CC"/>
        <u/>
      </rPr>
      <t>https://taiga.ecquaria.org/project/tecq-digital-id/issue/953</t>
    </r>
    <r>
      <rPr>
        <rFont val="Roboto"/>
        <color rgb="FF434343"/>
        <u/>
      </rPr>
      <t xml:space="preserve">
2. </t>
    </r>
    <r>
      <rPr>
        <rFont val="Roboto"/>
        <color rgb="FF1155CC"/>
        <u/>
      </rPr>
      <t>https://taiga.ecquaria.org/project/tecq-digital-id/issue/952</t>
    </r>
  </si>
  <si>
    <t>1. UserPortal: Anonymous Cookie session expired
2. Admin Portal : Anonymous Cookie session expired
3. User Portal: Transaction History - including CIBA transaction and all user login related transaction</t>
  </si>
  <si>
    <r>
      <rPr>
        <rFont val="Roboto"/>
        <color rgb="FF434343"/>
        <u/>
      </rPr>
      <t xml:space="preserve">Taiga:
1. </t>
    </r>
    <r>
      <rPr>
        <rFont val="Roboto"/>
        <color rgb="FF1155CC"/>
        <u/>
      </rPr>
      <t>https://taiga.ecquaria.org/project/tecq-digital-id/issue/953
2. https://taiga.ecquaria.org/project/tecq-digital-id/issue/952
3. https://taiga.ecquaria.org/project/presales-mccy-ioms/us/762</t>
    </r>
  </si>
  <si>
    <t>1. User Portal: Transaction History - including CIBA transaction and all user login related transaction
2. Bugfix User Portal: get data from KAIZEN DB and not from user_profile unless there is no field in KAIZEN DB</t>
  </si>
  <si>
    <r>
      <rPr>
        <rFont val="Roboto"/>
        <color rgb="FF434343"/>
        <u/>
      </rPr>
      <t xml:space="preserve">Taiga:
1. </t>
    </r>
    <r>
      <rPr>
        <rFont val="Roboto"/>
        <color rgb="FF1155CC"/>
        <u/>
      </rPr>
      <t>https://taiga.ecquaria.org/project/presales-mccy-ioms/us/762</t>
    </r>
    <r>
      <rPr>
        <rFont val="Roboto"/>
        <color rgb="FF434343"/>
        <u/>
      </rPr>
      <t xml:space="preserve">
2. </t>
    </r>
    <r>
      <rPr>
        <rFont val="Roboto"/>
        <color rgb="FF1155CC"/>
        <u/>
      </rPr>
      <t>https://taiga.ecquaria.org/project/tecq-digital-id/issue/1001</t>
    </r>
  </si>
  <si>
    <r>
      <rPr>
        <rFont val="Roboto"/>
        <color rgb="FF434343"/>
        <u/>
      </rPr>
      <t xml:space="preserve">Taiga:
1. </t>
    </r>
    <r>
      <rPr>
        <rFont val="Roboto"/>
        <color rgb="FF1155CC"/>
        <u/>
      </rPr>
      <t>https://taiga.ecquaria.org/project/presales-mccy-ioms/us/660</t>
    </r>
  </si>
  <si>
    <t>1. Approval workflow: Employee(user) onboarding
2. UserPortal: Footer add "Powered by KAIZEN"
3. AdminPortal: Footer add "Powered by KAIZEN"</t>
  </si>
  <si>
    <r>
      <rPr>
        <rFont val="Roboto"/>
        <color rgb="FF434343"/>
        <u/>
      </rPr>
      <t xml:space="preserve">Taiga:
1. </t>
    </r>
    <r>
      <rPr>
        <rFont val="Roboto"/>
        <color rgb="FF1155CC"/>
        <u/>
      </rPr>
      <t>https://taiga.ecquaria.org/project/tecq-digital-id/task/548</t>
    </r>
    <r>
      <rPr>
        <rFont val="Roboto"/>
        <color rgb="FF434343"/>
        <u/>
      </rPr>
      <t xml:space="preserve">
2. </t>
    </r>
    <r>
      <rPr>
        <rFont val="Roboto"/>
        <color rgb="FF1155CC"/>
        <u/>
      </rPr>
      <t>https://taiga.ecquaria.org/project/tecq-digital-id/task/1031</t>
    </r>
    <r>
      <rPr>
        <rFont val="Roboto"/>
        <color rgb="FF434343"/>
        <u/>
      </rPr>
      <t xml:space="preserve">
3. </t>
    </r>
    <r>
      <rPr>
        <rFont val="Roboto"/>
        <color rgb="FF1155CC"/>
        <u/>
      </rPr>
      <t>https://taiga.ecquaria.org/project/tecq-digital-id/task/1032</t>
    </r>
  </si>
  <si>
    <t>1. UserPortal: Access Control based on tenant domain to services</t>
  </si>
  <si>
    <r>
      <rPr>
        <rFont val="Roboto"/>
        <color rgb="FF434343"/>
        <u/>
      </rPr>
      <t xml:space="preserve">Taiga:
1. </t>
    </r>
    <r>
      <rPr>
        <rFont val="Roboto"/>
        <color rgb="FF1155CC"/>
        <u/>
      </rPr>
      <t>https://taiga.ecquaria.org/project/tecq-digital-id/task/893</t>
    </r>
  </si>
  <si>
    <t>1. User Portal: Transaction History - including CIBA transaction and all user login related transaction</t>
  </si>
  <si>
    <r>
      <rPr>
        <rFont val="Roboto"/>
        <color rgb="FF434343"/>
        <u/>
      </rPr>
      <t xml:space="preserve">Taiga:
1. </t>
    </r>
    <r>
      <rPr>
        <rFont val="Roboto"/>
        <color rgb="FF1155CC"/>
        <u/>
      </rPr>
      <t>https://taiga.ecquaria.org/project/tecq-digital-id/issue/1018</t>
    </r>
  </si>
  <si>
    <t>1. User Portal: Wrong NRIC value in Update Profile page
2. User Portal: In Update Profile, edit NRIC field will also edit mobile number field, vice versa</t>
  </si>
  <si>
    <r>
      <rPr>
        <rFont val="Roboto"/>
        <color rgb="FF434343"/>
        <u/>
      </rPr>
      <t xml:space="preserve">Taiga:
1. </t>
    </r>
    <r>
      <rPr>
        <rFont val="Roboto"/>
        <color rgb="FF1155CC"/>
        <u/>
      </rPr>
      <t>https://taiga.ecquaria.org/project/tecq-digital-id/issue/1074</t>
    </r>
    <r>
      <rPr>
        <rFont val="Roboto"/>
        <color rgb="FF434343"/>
        <u/>
      </rPr>
      <t xml:space="preserve">
2. </t>
    </r>
    <r>
      <rPr>
        <rFont val="Roboto"/>
        <color rgb="FF1155CC"/>
        <u/>
      </rPr>
      <t>https://taiga.ecquaria.org/project/tecq-digital-id/issue/1076</t>
    </r>
  </si>
  <si>
    <t>1. Approval workflow: Employee(user) onboarding
2. User Portal: There is no records displayed in Transaction History page</t>
  </si>
  <si>
    <r>
      <rPr>
        <rFont val="Roboto"/>
        <color rgb="FF434343"/>
        <u/>
      </rPr>
      <t xml:space="preserve">Taiga:
1. </t>
    </r>
    <r>
      <rPr>
        <rFont val="Roboto"/>
        <color rgb="FF1155CC"/>
        <u/>
      </rPr>
      <t>https://taiga.ecquaria.org/project/tecq-digital-id/task/548</t>
    </r>
    <r>
      <rPr>
        <rFont val="Roboto"/>
        <color rgb="FF434343"/>
        <u/>
      </rPr>
      <t xml:space="preserve">
2. </t>
    </r>
    <r>
      <rPr>
        <rFont val="Roboto"/>
        <color rgb="FF1155CC"/>
        <u/>
      </rPr>
      <t>https://taiga.ecquaria.org/project/tecq-digital-id/issue/668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</si>
  <si>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</si>
  <si>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</si>
  <si>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</si>
  <si>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t>1. Approval workflow: Employee(user) onboarding
2. Admin Portal: System should not block port assigned to URL domain in Create Tenant and Update Tenant. Taufik. TG-1100</t>
  </si>
  <si>
    <r>
      <rPr>
        <rFont val="Roboto"/>
        <color rgb="FF434343"/>
        <u/>
      </rPr>
      <t xml:space="preserve">Taiga:
1. </t>
    </r>
    <r>
      <rPr>
        <rFont val="Roboto"/>
        <color rgb="FF1155CC"/>
        <u/>
      </rPr>
      <t>https://taiga.ecquaria.org/project/tecq-digital-id/task/548</t>
    </r>
    <r>
      <rPr>
        <rFont val="Roboto"/>
        <color rgb="FF434343"/>
        <u/>
      </rPr>
      <t xml:space="preserve">
2. </t>
    </r>
    <r>
      <rPr>
        <rFont val="Roboto"/>
        <color rgb="FF1155CC"/>
        <u/>
      </rPr>
      <t>https://taiga.ecquaria.org/project/tecq-digital-id/issue/1100</t>
    </r>
  </si>
  <si>
    <t>1. Admin Portal: System should not block port assigned to URL domain in Create Tenant and Update Tenant. Taufik. TG-1100
2. User Portal: Cannot login into User Portal</t>
  </si>
  <si>
    <r>
      <rPr>
        <rFont val="Roboto"/>
        <color rgb="FF434343"/>
        <u/>
      </rPr>
      <t xml:space="preserve">Taiga:
1. </t>
    </r>
    <r>
      <rPr>
        <rFont val="Roboto"/>
        <color rgb="FF1155CC"/>
        <u/>
      </rPr>
      <t>https://taiga.ecquaria.org/project/tecq-digital-id/task/548</t>
    </r>
    <r>
      <rPr>
        <rFont val="Roboto"/>
        <color rgb="FF434343"/>
        <u/>
      </rPr>
      <t xml:space="preserve">
2. </t>
    </r>
    <r>
      <rPr>
        <rFont val="Roboto"/>
        <color rgb="FF1155CC"/>
        <u/>
      </rPr>
      <t>https://taiga.ecquaria.org/project/tecq-digital-id/issue/1096</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</si>
  <si>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</si>
  <si>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</si>
  <si>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</si>
  <si>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</si>
  <si>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</si>
  <si>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</si>
  <si>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</si>
  <si>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</si>
  <si>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</si>
  <si>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</si>
  <si>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</si>
  <si>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</si>
  <si>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r>
      <rPr>
        <rFont val="Roboto"/>
        <color rgb="FF434343"/>
        <u/>
      </rPr>
      <t xml:space="preserve">Taiga:
1. </t>
    </r>
    <r>
      <rPr>
        <rFont val="Roboto"/>
        <color rgb="FF1155CC"/>
        <u/>
      </rPr>
      <t>https://taiga.ecquaria.org/project/tecq-digital-id/task/548</t>
    </r>
  </si>
  <si>
    <t>WRMS (hours)</t>
  </si>
  <si>
    <t>Pre Sales (hours)</t>
  </si>
  <si>
    <t>UserPortal: Change Password -&gt;  NEW KAIZEN DigitalID OAuth API
Enchancing Admin Portal design and message</t>
  </si>
  <si>
    <t>Inprogress</t>
  </si>
  <si>
    <r>
      <rPr>
        <color rgb="FF434343"/>
        <u/>
      </rPr>
      <t xml:space="preserve">https://taiga.ecquaria.org/project/presales-mccy-ioms/us/275?kanban-include_attachments=1&amp;kanban-include_tasks=1&amp;kanban-status=550
</t>
    </r>
    <r>
      <rPr>
        <color rgb="FF1155CC"/>
        <u/>
      </rPr>
      <t>https://taiga.ecquaria.org/project/presales-mccy-ioms/us/273?kanban-include_attachments=1&amp;kanban-include_tasks=1&amp;kanban-status=550</t>
    </r>
  </si>
  <si>
    <r>
      <rPr>
        <color rgb="FF434343"/>
        <u/>
      </rPr>
      <t xml:space="preserve">https://taiga.ecquaria.org/project/presales-mccy-ioms/us/275?kanban-include_attachments=1&amp;kanban-include_tasks=1&amp;kanban-status=550
</t>
    </r>
    <r>
      <rPr>
        <color rgb="FF1155CC"/>
        <u/>
      </rPr>
      <t>https://taiga.ecquaria.org/project/presales-mccy-ioms/us/273?kanban-include_attachments=1&amp;kanban-include_tasks=1&amp;kanban-status=550</t>
    </r>
  </si>
  <si>
    <t>Inprogress,
Complete</t>
  </si>
  <si>
    <r>
      <rPr>
        <color rgb="FF434343"/>
        <u/>
      </rPr>
      <t xml:space="preserve">https://taiga.ecquaria.org/project/presales-mccy-ioms/us/275?kanban-include_attachments=1&amp;kanban-include_tasks=1&amp;kanban-status=550
</t>
    </r>
    <r>
      <rPr>
        <color rgb="FF1155CC"/>
        <u/>
      </rPr>
      <t>https://taiga.ecquaria.org/project/presales-mccy-ioms/us/273?kanban-include_attachments=1&amp;kanban-include_tasks=1&amp;kanban-status=550</t>
    </r>
  </si>
  <si>
    <t>Waiting for iam documentation from alvin to complete userportal change password,
Global design already complete</t>
  </si>
  <si>
    <t>UserPortal: Change Password -&gt;  NEW KAIZEN DigitalID OAuth API
UserPortal: Change of structure User Profile details to KAIZEN DB</t>
  </si>
  <si>
    <r>
      <rPr>
        <color rgb="FF434343"/>
        <u/>
      </rPr>
      <t xml:space="preserve">https://taiga.ecquaria.org/project/presales-mccy-ioms/us/275?kanban-include_attachments=1&amp;kanban-include_tasks=1&amp;kanban-status=550
</t>
    </r>
    <r>
      <rPr>
        <color rgb="FF1155CC"/>
        <u/>
      </rPr>
      <t>https://taiga.ecquaria.org/project/tecq-digital-id/task/495</t>
    </r>
  </si>
  <si>
    <t>User Portal
Fix adminPortal and userPortal Issue</t>
  </si>
  <si>
    <t>1 MD</t>
  </si>
  <si>
    <t>Fix AdminPortal and UserPortal Issue</t>
  </si>
  <si>
    <t>9,5</t>
  </si>
  <si>
    <t>10,5</t>
  </si>
  <si>
    <t>Digital ID - Login Redirect</t>
  </si>
  <si>
    <t>https://taiga.ecquaria.org/project/presales-mccy-ioms/us/332?kanban-include_attachments=1&amp;kanban-include_tasks=1&amp;kanban-status=550</t>
  </si>
  <si>
    <t>11,5</t>
  </si>
  <si>
    <t>Digital ID - Design and Relayout</t>
  </si>
  <si>
    <r>
      <rPr/>
      <t xml:space="preserve">Pre-sales, </t>
    </r>
    <r>
      <rPr>
        <color rgb="FF1155CC"/>
      </rPr>
      <t>GOV.bn</t>
    </r>
    <r>
      <rPr/>
      <t xml:space="preserve"> birth application
Digital ID</t>
    </r>
  </si>
  <si>
    <t>Inprogress, 
Inprogress</t>
  </si>
  <si>
    <t>https://taiga.ecquaria.org/project/presales/us/406
https://taiga.ecquaria.org/project/presales-mccy-ioms/us/424</t>
  </si>
  <si>
    <t>3,5</t>
  </si>
  <si>
    <r>
      <rPr/>
      <t xml:space="preserve">Pre-sales, </t>
    </r>
    <r>
      <rPr>
        <color rgb="FF1155CC"/>
      </rPr>
      <t>GOV.bn</t>
    </r>
    <r>
      <rPr/>
      <t xml:space="preserve"> birth application
Fix bugs on digital ID</t>
    </r>
  </si>
  <si>
    <t>https://taiga.ecquaria.org/project/presales/us/406</t>
  </si>
  <si>
    <t>2,5</t>
  </si>
  <si>
    <r>
      <rPr/>
      <t xml:space="preserve">Pre-sales, </t>
    </r>
    <r>
      <rPr>
        <color rgb="FF1155CC"/>
      </rPr>
      <t>GOV.bn</t>
    </r>
    <r>
      <rPr/>
      <t xml:space="preserve"> birth application
DigitalD fix scanner issue on event portal</t>
    </r>
  </si>
  <si>
    <r>
      <rPr/>
      <t xml:space="preserve">Pre-sales, </t>
    </r>
    <r>
      <rPr>
        <color rgb="FF1155CC"/>
      </rPr>
      <t>GOV.bn</t>
    </r>
    <r>
      <rPr/>
      <t xml:space="preserve"> birth application
DigitalID Fix bug and details</t>
    </r>
  </si>
  <si>
    <t>Done, Inprogress</t>
  </si>
  <si>
    <r>
      <rPr/>
      <t xml:space="preserve">Pre-sales, </t>
    </r>
    <r>
      <rPr>
        <color rgb="FF1155CC"/>
      </rPr>
      <t>GOV.bn</t>
    </r>
    <r>
      <rPr/>
      <t xml:space="preserve"> birth application</t>
    </r>
  </si>
  <si>
    <t>KAIZEN TRAINING</t>
  </si>
  <si>
    <r>
      <rPr>
        <color rgb="FF1155CC"/>
        <u/>
      </rPr>
      <t>GOV.BN</t>
    </r>
    <r>
      <rPr/>
      <t xml:space="preserve"> UPDATE AND REVISION</t>
    </r>
    <r>
      <rPr>
        <color rgb="FF000000"/>
      </rPr>
      <t xml:space="preserve"> 
Fix bug on DIGITAL ID</t>
    </r>
  </si>
  <si>
    <t>https://taiga.ecquaria.org/project/presales/us/415</t>
  </si>
  <si>
    <r>
      <rPr>
        <color rgb="FF1155CC"/>
        <u/>
      </rPr>
      <t>GOV.BN</t>
    </r>
    <r>
      <rPr/>
      <t xml:space="preserve"> UPDATE AND REVISION</t>
    </r>
    <r>
      <rPr>
        <color rgb="FF000000"/>
      </rPr>
      <t xml:space="preserve"> 
Fix bug on DIGITAL ID</t>
    </r>
  </si>
  <si>
    <r>
      <rPr>
        <color rgb="FF1155CC"/>
        <u/>
      </rPr>
      <t>GOV.BN</t>
    </r>
    <r>
      <rPr/>
      <t xml:space="preserve"> Adjust page and modify items,
Fix bug on DIGITAL ID</t>
    </r>
  </si>
  <si>
    <r>
      <rPr>
        <color rgb="FF1155CC"/>
        <u/>
      </rPr>
      <t>GOV.BN</t>
    </r>
    <r>
      <rPr/>
      <t xml:space="preserve"> Adjust page and modify items,
Fix bug on DIGITAL ID</t>
    </r>
  </si>
  <si>
    <t>DIGITAL ID</t>
  </si>
  <si>
    <t>DIGITAL ID - User Portal: When scroll down and scroll up in Landing/Overview page in mobile view then it is messed up</t>
  </si>
  <si>
    <t>https://taiga.ecquaria.org/project/presales-mccy-ioms/us/511?kanban-include_attachments=1&amp;kanban-include_tasks=1&amp;kanban-assigned_users=268&amp;kanban-status=858</t>
  </si>
  <si>
    <t>DIGITAL ID - Transaction History: Remaining of the timing to be hidden away</t>
  </si>
  <si>
    <t>https://taiga.ecquaria.org/project/presales-mccy-ioms/us/352?kanban-include_attachments=1&amp;kanban-include_tasks=1&amp;kanban-assigned_users=268&amp;kanban-status=858</t>
  </si>
  <si>
    <t xml:space="preserve">DIGITAL ID - User Session expire redirect to wrong login (KAIZEN Portal login)
</t>
  </si>
  <si>
    <t>https://taiga.ecquaria.org/project/presales-mccy-ioms/us/348?kanban-include_attachments=1&amp;kanban-include_tasks=1&amp;kanban-status=857</t>
  </si>
  <si>
    <t>DIGITAL ID - Event Portal - Redesign Error Page</t>
  </si>
  <si>
    <t>https://taiga.ecquaria.org/project/presales-mccy-ioms/us/526?kanban-include_attachments=1&amp;kanban-include_tasks=1&amp;kanban-status=551</t>
  </si>
  <si>
    <t>DIGITAL ID - UserPortal: Dynamic Logo and Company brand name based on Domain.
UserPortal: User Portal: Missing header after refresh page on all pages except the Welcome page</t>
  </si>
  <si>
    <t>In-progress, Done</t>
  </si>
  <si>
    <r>
      <rPr>
        <color rgb="FF434343"/>
        <u/>
      </rPr>
      <t>https://taiga.ecquaria.org/project/presales-mccy-ioms/us/546?kanban-include_attachments=1&amp;kanban-include_tasks=1&amp;kanban-status=550</t>
    </r>
    <r>
      <rPr>
        <color rgb="FF000000"/>
      </rPr>
      <t xml:space="preserve">, </t>
    </r>
    <r>
      <rPr>
        <color rgb="FF1155CC"/>
        <u/>
      </rPr>
      <t>https://taiga.ecquaria.org/project/presales-mccy-ioms/us/558?kanban-include_attachments=1&amp;kanban-include_tasks=1&amp;kanban-status=857</t>
    </r>
  </si>
  <si>
    <t>DIGITAL ID - UserPortal: Dynamic Logo and Company brand name based on Domain</t>
  </si>
  <si>
    <t>https://taiga.ecquaria.org/project/presales-mccy-ioms/us/546?kanban-include_attachments=1&amp;kanban-include_tasks=1&amp;kanban-status=550</t>
  </si>
  <si>
    <t>DIGITAL ID - UserPortal: Dynamic Logo and Company brand name based on Domain
User Portal: Missing header after refresh page on all pages except the Welcome page</t>
  </si>
  <si>
    <t>Done, Done</t>
  </si>
  <si>
    <r>
      <rPr>
        <color rgb="FF434343"/>
        <u/>
      </rPr>
      <t xml:space="preserve">https://taiga.ecquaria.org/project/presales-mccy-ioms/us/546?kanban-include_attachments=1&amp;kanban-include_tasks=1&amp;kanban-status=550
</t>
    </r>
    <r>
      <rPr>
        <color rgb="FF1155CC"/>
        <u/>
      </rPr>
      <t>https://taiga.ecquaria.org/project/tecq-digital-id/issue/766</t>
    </r>
  </si>
  <si>
    <t>DIGITAL ID:
Admin Portal: After refresh page, the name is not displayed in the header on other pages except the Admin Dashboard page
Admin Portal: Got error 401 when logout
Admin Portal: When back to previous page after logout, there are 2 error message displayed</t>
  </si>
  <si>
    <t>Inprogress, Inprogress,Inprogress</t>
  </si>
  <si>
    <r>
      <rPr>
        <color rgb="FF434343"/>
        <u/>
      </rPr>
      <t xml:space="preserve">https://taiga.ecquaria.org/project/presales-mccy-ioms/us/545
</t>
    </r>
    <r>
      <rPr>
        <color rgb="FF1155CC"/>
        <u/>
      </rPr>
      <t>https://taiga.ecquaria.org/project/presales-mccy-ioms/us/563
https://taiga.ecquaria.org/project/presales-mccy-ioms/us/564</t>
    </r>
  </si>
  <si>
    <t>DIGITAL ID: Admin Portal: After refresh page, the name is not displayed in the header on other pages except the Admin Dashboard page</t>
  </si>
  <si>
    <t>https://taiga.ecquaria.org/project/presales-mccy-ioms/us/545</t>
  </si>
  <si>
    <t>Done,
Done</t>
  </si>
  <si>
    <r>
      <rPr>
        <color rgb="FF434343"/>
        <u/>
      </rPr>
      <t>https://taiga.ecquaria.org/project/presales-mccy-ioms/us/545</t>
    </r>
    <r>
      <rPr>
        <color rgb="FF000000"/>
      </rPr>
      <t xml:space="preserve">,
</t>
    </r>
    <r>
      <rPr>
        <color rgb="FF1155CC"/>
        <u/>
      </rPr>
      <t>https://taiga.ecquaria.org/project/presales-mccy-ioms/us/608</t>
    </r>
  </si>
  <si>
    <t>Admin Portal: Click Return to Home in Access Denied dialog, did not redirect to any page and only refresh the Access Denied page,
Admin Portal: When login into Admin Portal and user no access need to go to error page</t>
  </si>
  <si>
    <t>Done, 
Done</t>
  </si>
  <si>
    <t>https://taiga.ecquaria.org/project/presales-mccy-ioms/us/541</t>
  </si>
  <si>
    <t>Event Portal: Attendees list in Check In page is messed up in mobile view when there is no list,
Open console, click any button in Userportal, errors shows</t>
  </si>
  <si>
    <r>
      <rPr>
        <color rgb="FF434343"/>
        <u/>
      </rPr>
      <t>https://taiga.ecquaria.org/project/presales-mccy-ioms/us/582</t>
    </r>
    <r>
      <rPr>
        <color rgb="FF000000"/>
      </rPr>
      <t xml:space="preserve">, 
</t>
    </r>
    <r>
      <rPr>
        <color rgb="FF1155CC"/>
        <u/>
      </rPr>
      <t>https://taiga.ecquaria.org/project/presales-mccy-ioms/us/351</t>
    </r>
  </si>
  <si>
    <t>UserPortal: Logo too small
User Portal: Brand name in footer User Portal after login is not follow the domain</t>
  </si>
  <si>
    <t>https://taiga.ecquaria.org/project/presales-mccy-ioms/us/590</t>
  </si>
  <si>
    <t>Event Portal: Make the event card in same size and trim wording</t>
  </si>
  <si>
    <t>https://taiga.ecquaria.org/project/presales-mccy-ioms/us/609</t>
  </si>
  <si>
    <t>Event Portal: Change /gateway/ to /public/ for all non-authenticate endpoints
Event Portal: Change /gateway/ to /public/ for all non-authenticate endpoints
Event Portal: Change /gateway/ to /public/ for all non-authenticate endpoints</t>
  </si>
  <si>
    <t>https://taiga.ecquaria.org/project/presales-mccy-ioms/us/600</t>
  </si>
  <si>
    <t>Re-test and check:
Event Portal: Change /gateway/ to /public/ for all non-authenticate endpoints
Event Portal: Change /gateway/ to /public/ for all non-authenticate endpoints
Event Portal: Change /gateway/ to /public/ for all non-authenticate endpoints</t>
  </si>
  <si>
    <t>Event Portal: Typo in Check-In page
Event Portal: Check-in and Check-out time fields in Edit Attendee</t>
  </si>
  <si>
    <t>https://taiga.ecquaria.org/project/presales-mccy-ioms/us/589</t>
  </si>
  <si>
    <t>Event Portal: Got error 400 when access Event Portal Default page</t>
  </si>
  <si>
    <t>https://taiga.ecquaria.org/project/presales-mccy-ioms/us/636</t>
  </si>
  <si>
    <t>ISmart (hours)</t>
  </si>
  <si>
    <t>Digital ID:
1. Admin Portal sends welcome onboarding email to new user after registration by Admin</t>
  </si>
  <si>
    <r>
      <rPr/>
      <t xml:space="preserve">Taiga:
1. </t>
    </r>
    <r>
      <rPr>
        <color rgb="FF1155CC"/>
        <u/>
      </rPr>
      <t>https://taiga.ecquaria.org/project/presales-mccy-ioms/us/247</t>
    </r>
  </si>
  <si>
    <t>Digital ID:
1. Fix search reference for Client and Employee Table</t>
  </si>
  <si>
    <r>
      <rPr/>
      <t xml:space="preserve">Taiga:
1. </t>
    </r>
    <r>
      <rPr>
        <color rgb="FF1155CC"/>
        <u/>
      </rPr>
      <t xml:space="preserve">https://taiga.ecquaria.org/project/presales-mccy-ioms/task/274
</t>
    </r>
    <r>
      <rPr/>
      <t xml:space="preserve">2. </t>
    </r>
    <r>
      <rPr>
        <color rgb="FF1155CC"/>
        <u/>
      </rPr>
      <t>https://taiga.ecquaria.org/project/presales-mccy-ioms/task/276</t>
    </r>
  </si>
  <si>
    <t>I-Smart
1. Alerts page unable to search with spaces</t>
  </si>
  <si>
    <r>
      <rPr/>
      <t xml:space="preserve">Taiga:
1. </t>
    </r>
    <r>
      <rPr>
        <color rgb="FF1155CC"/>
        <u/>
      </rPr>
      <t>https://taiga.ecquaria.org/project/i-smart-report/us/365</t>
    </r>
  </si>
  <si>
    <t>Digital ID:
1. UserPortal: Change Password -&gt; NEW KAIZEN DigitalID OAuth API</t>
  </si>
  <si>
    <r>
      <rPr/>
      <t xml:space="preserve">Taiga:
1. </t>
    </r>
    <r>
      <rPr>
        <color rgb="FF1155CC"/>
        <u/>
      </rPr>
      <t>https://taiga.ecquaria.org/project/presales-mccy-ioms/us/275</t>
    </r>
  </si>
  <si>
    <r>
      <rPr/>
      <t xml:space="preserve">Taiga:
1. </t>
    </r>
    <r>
      <rPr>
        <color rgb="FF1155CC"/>
        <u/>
      </rPr>
      <t>https://taiga.ecquaria.org/project/presales-mccy-ioms/us/275</t>
    </r>
  </si>
  <si>
    <t>Digital ID:
1. UserPortal: User Password recover - NEW KAIZEN DigitalID OAuth API</t>
  </si>
  <si>
    <r>
      <rPr/>
      <t xml:space="preserve">Taiga:
1. </t>
    </r>
    <r>
      <rPr>
        <color rgb="FF1155CC"/>
        <u/>
      </rPr>
      <t>https://taiga.ecquaria.org/project/presales-mccy-ioms/us/278</t>
    </r>
  </si>
  <si>
    <t>Digital ID:
1. #287
UserPortal: User - Register (Activate) User -&gt; Using Tid API</t>
  </si>
  <si>
    <r>
      <rPr/>
      <t xml:space="preserve">Taiga:
1. </t>
    </r>
    <r>
      <rPr>
        <color rgb="FF1155CC"/>
        <u/>
      </rPr>
      <t>https://taiga.ecquaria.org/project/presales-mccy-ioms/us/287</t>
    </r>
  </si>
  <si>
    <r>
      <rPr/>
      <t xml:space="preserve">Taiga:
1. </t>
    </r>
    <r>
      <rPr>
        <color rgb="FF1155CC"/>
        <u/>
      </rPr>
      <t>https://taiga.ecquaria.org/project/presales-mccy-ioms/us/287</t>
    </r>
  </si>
  <si>
    <t>Digital ID:
1. #287 UserPortal: User - Register (Activate) User -&gt; Using Tid API
2. #288 UserPortal: User - Recover Password -&gt; Using Tid API</t>
  </si>
  <si>
    <r>
      <rPr/>
      <t xml:space="preserve">Taiga:
1. </t>
    </r>
    <r>
      <rPr>
        <color rgb="FF1155CC"/>
        <u/>
      </rPr>
      <t>https://taiga.ecquaria.org/project/presales-mccy-ioms/us/287</t>
    </r>
    <r>
      <rPr/>
      <t xml:space="preserve">
2. </t>
    </r>
    <r>
      <rPr>
        <color rgb="FF1155CC"/>
        <u/>
      </rPr>
      <t>https://taiga.ecquaria.org/project/presales-mccy-ioms/us/288</t>
    </r>
  </si>
  <si>
    <t>Digital ID:
1. #287 UserPortal: User - Register (Activate) User -&gt; Using Tid API
2. #288 UserPortal: User - Recover Password -&gt; Using Tid API
3. #308 Admin Portal : Read Employe Migrate into Kaizen DB</t>
  </si>
  <si>
    <t>1. Completed
2. Completed
3. In Progress</t>
  </si>
  <si>
    <r>
      <rPr/>
      <t xml:space="preserve">Taiga:
1. </t>
    </r>
    <r>
      <rPr>
        <color rgb="FF1155CC"/>
        <u/>
      </rPr>
      <t>https://taiga.ecquaria.org/project/presales-mccy-ioms/us/287</t>
    </r>
    <r>
      <rPr/>
      <t xml:space="preserve">
2. </t>
    </r>
    <r>
      <rPr>
        <color rgb="FF1155CC"/>
        <u/>
      </rPr>
      <t xml:space="preserve">https://taiga.ecquaria.org/project/presales-mccy-ioms/us/288
</t>
    </r>
    <r>
      <rPr/>
      <t xml:space="preserve">3. </t>
    </r>
    <r>
      <rPr>
        <color rgb="FF1155CC"/>
        <u/>
      </rPr>
      <t>https://taiga.ecquaria.org/project/presales-mccy-ioms/us/308</t>
    </r>
  </si>
  <si>
    <r>
      <rPr>
        <rFont val="Arial"/>
        <color theme="1"/>
      </rPr>
      <t xml:space="preserve">Digital ID:
</t>
    </r>
    <r>
      <rPr>
        <rFont val="Arial"/>
        <strike/>
        <color theme="1"/>
      </rPr>
      <t>1. #308 Admin Portal : Read Employe Migrate into Kaizen DB</t>
    </r>
    <r>
      <rPr>
        <rFont val="Arial"/>
        <color theme="1"/>
      </rPr>
      <t xml:space="preserve">
2. #302 Admin Portal - Migrate Employee Create
</t>
    </r>
  </si>
  <si>
    <t>2. In Progress</t>
  </si>
  <si>
    <r>
      <rPr/>
      <t xml:space="preserve">Taiga:
</t>
    </r>
    <r>
      <rPr>
        <strike/>
      </rPr>
      <t xml:space="preserve">1. </t>
    </r>
    <r>
      <rPr>
        <strike/>
        <color rgb="FF1155CC"/>
        <u/>
      </rPr>
      <t>https://taiga.ecquaria.org/project/presales-mccy-ioms/us/308</t>
    </r>
    <r>
      <rPr/>
      <t xml:space="preserve">
2. </t>
    </r>
    <r>
      <rPr>
        <color rgb="FF1155CC"/>
        <u/>
      </rPr>
      <t>https://taiga.ecquaria.org/project/presales-mccy-ioms/us/302</t>
    </r>
  </si>
  <si>
    <r>
      <rPr>
        <rFont val="Arial"/>
        <color theme="1"/>
      </rPr>
      <t xml:space="preserve">Digital ID:
</t>
    </r>
    <r>
      <rPr>
        <rFont val="Arial"/>
        <strike/>
        <color theme="1"/>
      </rPr>
      <t>1. #308 Admin Portal : Read Employe Migrate into Kaizen DB</t>
    </r>
    <r>
      <rPr>
        <rFont val="Arial"/>
        <color theme="1"/>
      </rPr>
      <t xml:space="preserve">
2. #302 Admin Portal - Migrate Employee Create
</t>
    </r>
  </si>
  <si>
    <r>
      <rPr/>
      <t xml:space="preserve">Taiga:
</t>
    </r>
    <r>
      <rPr>
        <strike/>
      </rPr>
      <t xml:space="preserve">1. </t>
    </r>
    <r>
      <rPr>
        <strike/>
        <color rgb="FF1155CC"/>
        <u/>
      </rPr>
      <t>https://taiga.ecquaria.org/project/presales-mccy-ioms/us/308</t>
    </r>
    <r>
      <rPr/>
      <t xml:space="preserve">
2. </t>
    </r>
    <r>
      <rPr>
        <color rgb="FF1155CC"/>
        <u/>
      </rPr>
      <t>https://taiga.ecquaria.org/project/presales-mccy-ioms/us/302</t>
    </r>
  </si>
  <si>
    <r>
      <rPr>
        <rFont val="Arial"/>
        <color theme="1"/>
      </rPr>
      <t xml:space="preserve">Digital ID:
</t>
    </r>
    <r>
      <rPr>
        <rFont val="Arial"/>
        <strike/>
        <color theme="1"/>
      </rPr>
      <t>1. #303 Admin Portal : Read Employe Migrate into Kaizen DB</t>
    </r>
    <r>
      <rPr>
        <rFont val="Arial"/>
        <color theme="1"/>
      </rPr>
      <t xml:space="preserve">
2. #302 Admin Portal - Migrate Employee Create
3. #303 Admin Portal - Migrate Employee Update</t>
    </r>
  </si>
  <si>
    <t>2. In Progress
3. Starting</t>
  </si>
  <si>
    <r>
      <rPr/>
      <t xml:space="preserve">Taiga:
</t>
    </r>
    <r>
      <rPr>
        <strike/>
      </rPr>
      <t xml:space="preserve">1. </t>
    </r>
    <r>
      <rPr>
        <strike/>
        <color rgb="FF1155CC"/>
        <u/>
      </rPr>
      <t>https://taiga.ecquaria.org/project/presales-mccy-ioms/us/308</t>
    </r>
    <r>
      <rPr/>
      <t xml:space="preserve">
2. </t>
    </r>
    <r>
      <rPr>
        <color rgb="FF1155CC"/>
        <u/>
      </rPr>
      <t xml:space="preserve">https://taiga.ecquaria.org/project/presales-mccy-ioms/us/302
</t>
    </r>
    <r>
      <rPr/>
      <t>3. https://taiga.ecquaria.org/project/presales-mccy-ioms/us/303</t>
    </r>
  </si>
  <si>
    <t>Digital ID:
1. #303 Admin Portal : Read Employe Migrate into Kaizen DB
2. #303 Admin Portal - Migrate Employee Update
3. #308 Admin Portal : List Employee Migrate into Kaizen DB - #316 Search list
4. #327 Admin Portal - Add "unlock/reactive" employee function
5. #304 Admin Portal - Migrate Employee Detail
6. #311 Admin Portal : Deactive Employe Migrate into Kaizen DB</t>
  </si>
  <si>
    <t>1. Completed
2. Completed
3. Completed
4. Completed
5. Completed
6. Completed</t>
  </si>
  <si>
    <r>
      <rPr/>
      <t xml:space="preserve">Taiga:
1. </t>
    </r>
    <r>
      <rPr>
        <color rgb="FF1155CC"/>
        <u/>
      </rPr>
      <t>https://taiga.ecquaria.org/project/presales-mccy-ioms/us/308</t>
    </r>
    <r>
      <rPr/>
      <t xml:space="preserve">
2. </t>
    </r>
    <r>
      <rPr>
        <color rgb="FF1155CC"/>
        <u/>
      </rPr>
      <t xml:space="preserve">https://taiga.ecquaria.org/project/presales-mccy-ioms/us/303
</t>
    </r>
    <r>
      <rPr/>
      <t xml:space="preserve">3. </t>
    </r>
    <r>
      <rPr>
        <color rgb="FF1155CC"/>
        <u/>
      </rPr>
      <t xml:space="preserve">https://taiga.ecquaria.org/project/presales-mccy-ioms/task/316
</t>
    </r>
    <r>
      <rPr/>
      <t xml:space="preserve">4. </t>
    </r>
    <r>
      <rPr>
        <color rgb="FF1155CC"/>
        <u/>
      </rPr>
      <t>https://taiga.ecquaria.org/project/presales-mccy-ioms/us/327</t>
    </r>
    <r>
      <rPr/>
      <t xml:space="preserve">
5. </t>
    </r>
    <r>
      <rPr>
        <color rgb="FF1155CC"/>
        <u/>
      </rPr>
      <t>https://taiga.ecquaria.org/project/presales-mccy-ioms/us/304</t>
    </r>
    <r>
      <rPr/>
      <t xml:space="preserve">
6. </t>
    </r>
    <r>
      <rPr>
        <color rgb="FF1155CC"/>
        <u/>
      </rPr>
      <t>https://taiga.ecquaria.org/project/presales-mccy-ioms/us/311</t>
    </r>
  </si>
  <si>
    <t>Overtime:
17.00 - 20.15</t>
  </si>
  <si>
    <t>Digital ID:
1. #328 Client and Employee Profile List pagination control list of view per page missing</t>
  </si>
  <si>
    <t>1. Completed</t>
  </si>
  <si>
    <r>
      <rPr/>
      <t xml:space="preserve">Taiga:
1. </t>
    </r>
    <r>
      <rPr>
        <color rgb="FF1155CC"/>
        <u/>
      </rPr>
      <t>https://taiga.ecquaria.org/project/presales-mccy-ioms/us/328</t>
    </r>
  </si>
  <si>
    <t>Digital ID:
1. User Portal: Password reset need better Error handling.
2. AdminPortal: Remove Photo upload mandatory field for user CREATE and profile EDIT
3. User Portal: Typo in Profile Updated Successfully page
4. Admin Portal: Typo in Employee Profile page
5. Admin Portal: Typo in Client Profile page</t>
  </si>
  <si>
    <t>Taiga:
1. In Progress
2. Completed
3. Completed
4. Completed
5. Completed</t>
  </si>
  <si>
    <r>
      <rPr/>
      <t xml:space="preserve">Taiga:
1. </t>
    </r>
    <r>
      <rPr>
        <color rgb="FF1155CC"/>
        <u/>
      </rPr>
      <t>https://taiga.ecquaria.org/project/tecq-digital-id/issue/559</t>
    </r>
    <r>
      <rPr/>
      <t xml:space="preserve">
2. </t>
    </r>
    <r>
      <rPr>
        <color rgb="FF1155CC"/>
        <u/>
      </rPr>
      <t>https://taiga.ecquaria.org/project/tecq-digital-id/issue/562</t>
    </r>
    <r>
      <rPr/>
      <t xml:space="preserve">
3. </t>
    </r>
    <r>
      <rPr>
        <color rgb="FF1155CC"/>
        <u/>
      </rPr>
      <t xml:space="preserve">https://taiga.ecquaria.org/project/tecq-digital-id/issue/565
</t>
    </r>
    <r>
      <rPr/>
      <t xml:space="preserve">4. </t>
    </r>
    <r>
      <rPr>
        <color rgb="FF1155CC"/>
        <u/>
      </rPr>
      <t>https://taiga.ecquaria.org/project/tecq-digital-id/issue/592</t>
    </r>
    <r>
      <rPr/>
      <t xml:space="preserve">
5. </t>
    </r>
    <r>
      <rPr>
        <color rgb="FF1155CC"/>
        <u/>
      </rPr>
      <t>https://taiga.ecquaria.org/project/tecq-digital-id/issue/591</t>
    </r>
  </si>
  <si>
    <t>Digital ID:
1. #559 User Portal: Password reset need better Error handling.
2. #568 User Portal: Edit fields in Account Registration page and in Account Recovery
3. #537 User Portal: No OTP sent when click Resend OTP in Change Password
4. #563 User Portal: There is no countdown timer after click Resend OTP in Account Recovery
5. #565 User Portal: Typo in Profile Updated Successfully page</t>
  </si>
  <si>
    <t>Taiga:
1. In Progress
2. In Progress
3. In Progress
4. Completed
5. Completed</t>
  </si>
  <si>
    <r>
      <rPr/>
      <t xml:space="preserve">Taiga:
1. </t>
    </r>
    <r>
      <rPr>
        <color rgb="FF1155CC"/>
        <u/>
      </rPr>
      <t>https://taiga.ecquaria.org/project/tecq-digital-id/issue/559</t>
    </r>
    <r>
      <rPr/>
      <t xml:space="preserve">
2. </t>
    </r>
    <r>
      <rPr>
        <color rgb="FF1155CC"/>
        <u/>
      </rPr>
      <t>https://taiga.ecquaria.org/project/tecq-digital-id/issue/568</t>
    </r>
    <r>
      <rPr/>
      <t xml:space="preserve">
3. </t>
    </r>
    <r>
      <rPr>
        <color rgb="FF1155CC"/>
        <u/>
      </rPr>
      <t xml:space="preserve">https://taiga.ecquaria.org/project/tecq-digital-id/issue/537
</t>
    </r>
    <r>
      <rPr/>
      <t xml:space="preserve">4. </t>
    </r>
    <r>
      <rPr>
        <color rgb="FF1155CC"/>
        <u/>
      </rPr>
      <t xml:space="preserve">https://taiga.ecquaria.org/project/tecq-digital-id/issue/563
</t>
    </r>
    <r>
      <rPr/>
      <t xml:space="preserve">5. </t>
    </r>
    <r>
      <rPr>
        <color rgb="FF1155CC"/>
        <u/>
      </rPr>
      <t>https://taiga.ecquaria.org/project/tecq-digital-id/issue/565</t>
    </r>
  </si>
  <si>
    <t>1. Changes to Pending since there is an API changes that makes the issue can't be replicated
2. Changes to pending, Account Registration page still need Display Name
3. Changes to Pending, the resend OTP API will be set in TID Server side
Overtime:
17.00 - 20.15</t>
  </si>
  <si>
    <t>Digital ID:
1. #572 AdminPortal: Add Fix suggestion Employee create and update - Department field
2. #575 AdminPortal: Add "Notify" button for each employee who KAIZEN status 'INACTIVE'
3.#579 AdminPortal: Create UI for Employe Add/Update with additional field: Grade.
4. #553 AdminPortal: Navigation Issue for Client Profile.
5. #557 AdminPortal: Wrong User Naming - Logout and User Name should be global element share to all pages
6. #562 AdminPortal: Remove Photo upload mandatory field for user CREATE and profile EDIT
7. #567 Admin Portal: The search result in Client Profile page is not correct
8. #594 Admin Portal: Go to Client profile page will redirect to the Client Profile Detail page
9. #595 Admin Portal: Typo in Client Detail page
10. #597 Admin Portal: Typo in footer message in Client Registration Successful page
11. #600 Admin Portal: The changes are displayed in Client Detail page when go back to Client Detail page without save the changes
12. #601 Admin Portal: Click "Return to Client Profile" in Client Registration Successful page redirect to Client Detail page instead of Client Profile page
13. #602 User Portal: When go to Account Registration page, it redirect to "Step 2-OTP Verification" page instead of "Step 1-Verify Personal Information" page</t>
  </si>
  <si>
    <t>Taiga:
1. In Progress
2. In Progress
3. In Progress
4. Completed
5. Completed
6. Completed
7. Completed
8. Completed
9. Completed
10. Completed
11. Completed
12. Completed
13. Completed</t>
  </si>
  <si>
    <r>
      <rPr/>
      <t xml:space="preserve">Taiga:
1. </t>
    </r>
    <r>
      <rPr>
        <color rgb="FF1155CC"/>
        <u/>
      </rPr>
      <t>https://taiga.ecquaria.org/project/tecq-digital-id/task/572</t>
    </r>
    <r>
      <rPr/>
      <t xml:space="preserve">
2. </t>
    </r>
    <r>
      <rPr>
        <color rgb="FF1155CC"/>
        <u/>
      </rPr>
      <t>https://taiga.ecquaria.org/project/tecq-digital-id/task/575</t>
    </r>
    <r>
      <rPr/>
      <t xml:space="preserve">
3. </t>
    </r>
    <r>
      <rPr>
        <color rgb="FF1155CC"/>
        <u/>
      </rPr>
      <t xml:space="preserve">https://taiga.ecquaria.org/project/tecq-digital-id/task/579
</t>
    </r>
    <r>
      <rPr/>
      <t xml:space="preserve">4. </t>
    </r>
    <r>
      <rPr>
        <color rgb="FF1155CC"/>
        <u/>
      </rPr>
      <t xml:space="preserve">https://taiga.ecquaria.org/project/tecq-digital-id/issue/553
</t>
    </r>
    <r>
      <rPr/>
      <t xml:space="preserve">5. </t>
    </r>
    <r>
      <rPr>
        <color rgb="FF1155CC"/>
        <u/>
      </rPr>
      <t xml:space="preserve">https://taiga.ecquaria.org/project/tecq-digital-id/issue/557
</t>
    </r>
    <r>
      <rPr/>
      <t xml:space="preserve">6. </t>
    </r>
    <r>
      <rPr>
        <color rgb="FF1155CC"/>
        <u/>
      </rPr>
      <t xml:space="preserve">https://taiga.ecquaria.org/project/tecq-digital-id/issue/562
</t>
    </r>
    <r>
      <rPr/>
      <t xml:space="preserve">7. </t>
    </r>
    <r>
      <rPr>
        <color rgb="FF1155CC"/>
        <u/>
      </rPr>
      <t xml:space="preserve">https://taiga.ecquaria.org/project/tecq-digital-id/issue/567
</t>
    </r>
    <r>
      <rPr/>
      <t xml:space="preserve">8. </t>
    </r>
    <r>
      <rPr>
        <color rgb="FF1155CC"/>
        <u/>
      </rPr>
      <t xml:space="preserve">https://taiga.ecquaria.org/project/tecq-digital-id/issue/594
</t>
    </r>
    <r>
      <rPr/>
      <t xml:space="preserve">9. </t>
    </r>
    <r>
      <rPr>
        <color rgb="FF1155CC"/>
        <u/>
      </rPr>
      <t xml:space="preserve">https://taiga.ecquaria.org/project/tecq-digital-id/issue/595
</t>
    </r>
    <r>
      <rPr/>
      <t xml:space="preserve">10. </t>
    </r>
    <r>
      <rPr>
        <color rgb="FF1155CC"/>
        <u/>
      </rPr>
      <t xml:space="preserve">https://taiga.ecquaria.org/project/tecq-digital-id/issue/597
</t>
    </r>
    <r>
      <rPr/>
      <t xml:space="preserve">11. </t>
    </r>
    <r>
      <rPr>
        <color rgb="FF1155CC"/>
        <u/>
      </rPr>
      <t xml:space="preserve">https://taiga.ecquaria.org/project/tecq-digital-id/issue/600
</t>
    </r>
    <r>
      <rPr/>
      <t xml:space="preserve">12. </t>
    </r>
    <r>
      <rPr>
        <color rgb="FF1155CC"/>
        <u/>
      </rPr>
      <t xml:space="preserve">https://taiga.ecquaria.org/project/tecq-digital-id/issue/601
</t>
    </r>
    <r>
      <rPr/>
      <t xml:space="preserve">13. </t>
    </r>
    <r>
      <rPr>
        <color rgb="FF1155CC"/>
        <u/>
      </rPr>
      <t>https://taiga.ecquaria.org/project/tecq-digital-id/issue/602</t>
    </r>
  </si>
  <si>
    <t>2. Changes to pending, waiting for fixed email sent to user
3. Changes to pending, need to clarify place, save the database patch, database, etc
13. This issue happens when the developer is fixing the page while deploying to the SIT side.
Overtime:
17.00 - 20.15</t>
  </si>
  <si>
    <t>Digital ID:
1. #568 User Portal: Edit fields in Account Registration page and in Account Recovery
2. #596 Admin Portal: Successfully Update Client when the mandatory fields are empty
3. #616 Admin Portal: Success upload gif file which is not included in Supported formats for upload files in Register New Employee page
4. #617 Admin Portal: Success upload file more than the maximum size (1MB) in the Register New Employee
5. #618 Admin Portal: Success upload gif file which is not included in Supported formats for upload files in Employee Update page
6. #619 Admin Portal: Success upload file more than the maximum size (1MB) in the Employee Update
7. #620 Admin Portal: Missing data in Employee Detail when go back to Employee Detail from Employee Update page
8. #623 Admin Portal: The search result in Notification History page is not correct when search in page 2
9. #572 AdminPortal: Add Fix suggestion Employee create and update - Department field
10. #579 AdminPortal: Create UI for Employe Add/Update with additional field: Grade.</t>
  </si>
  <si>
    <t>Taiga:
1. Completed
2. Completed
3. Completed
4. Completed
5. Completed
6. Completed
7. Completed
8. Completed
9. Completed
10. Pending -&gt; Completed</t>
  </si>
  <si>
    <r>
      <rPr/>
      <t xml:space="preserve">Taiga:
1. </t>
    </r>
    <r>
      <rPr>
        <color rgb="FF1155CC"/>
        <u/>
      </rPr>
      <t xml:space="preserve">https://taiga.ecquaria.org/project/tecq-digital-id/issue/568
</t>
    </r>
    <r>
      <rPr/>
      <t xml:space="preserve">2. </t>
    </r>
    <r>
      <rPr>
        <color rgb="FF1155CC"/>
        <u/>
      </rPr>
      <t xml:space="preserve">https://taiga.ecquaria.org/project/tecq-digital-id/issue/596
</t>
    </r>
    <r>
      <rPr/>
      <t xml:space="preserve">3. </t>
    </r>
    <r>
      <rPr>
        <color rgb="FF1155CC"/>
        <u/>
      </rPr>
      <t xml:space="preserve">https://taiga.ecquaria.org/project/tecq-digital-id/issue/616
</t>
    </r>
    <r>
      <rPr/>
      <t xml:space="preserve">4. </t>
    </r>
    <r>
      <rPr>
        <color rgb="FF1155CC"/>
        <u/>
      </rPr>
      <t xml:space="preserve">https://taiga.ecquaria.org/project/tecq-digital-id/issue/617
</t>
    </r>
    <r>
      <rPr/>
      <t xml:space="preserve">5. </t>
    </r>
    <r>
      <rPr>
        <color rgb="FF1155CC"/>
        <u/>
      </rPr>
      <t xml:space="preserve">https://taiga.ecquaria.org/project/tecq-digital-id/issue/618
</t>
    </r>
    <r>
      <rPr/>
      <t xml:space="preserve">6. </t>
    </r>
    <r>
      <rPr>
        <color rgb="FF1155CC"/>
        <u/>
      </rPr>
      <t xml:space="preserve">https://taiga.ecquaria.org/project/tecq-digital-id/issue/619
</t>
    </r>
    <r>
      <rPr/>
      <t xml:space="preserve">7. </t>
    </r>
    <r>
      <rPr>
        <color rgb="FF1155CC"/>
        <u/>
      </rPr>
      <t xml:space="preserve">https://taiga.ecquaria.org/project/tecq-digital-id/issue/620
</t>
    </r>
    <r>
      <rPr/>
      <t xml:space="preserve">8. </t>
    </r>
    <r>
      <rPr>
        <color rgb="FF1155CC"/>
        <u/>
      </rPr>
      <t xml:space="preserve">https://taiga.ecquaria.org/project/tecq-digital-id/issue/623
</t>
    </r>
    <r>
      <rPr/>
      <t xml:space="preserve">9. </t>
    </r>
    <r>
      <rPr>
        <color rgb="FF1155CC"/>
        <u/>
      </rPr>
      <t xml:space="preserve">https://taiga.ecquaria.org/project/tecq-digital-id/task/572
</t>
    </r>
    <r>
      <rPr/>
      <t xml:space="preserve">10. </t>
    </r>
    <r>
      <rPr>
        <color rgb="FF1155CC"/>
        <u/>
      </rPr>
      <t>https://taiga.ecquaria.org/project/tecq-digital-id/task/579</t>
    </r>
  </si>
  <si>
    <t>Digital ID:
1. #598 Admin Portal: Upload files is not working in Register New Client
2. #599 Admin Portal: Upload files is not working in Client Update
3. #621 Admin Portal: Some data are not displayed in Employee Detail and got error "ERR_BAD_REQUEST"</t>
  </si>
  <si>
    <t>Taiga:
1. Completed
2. Completed
3. Completed</t>
  </si>
  <si>
    <r>
      <rPr/>
      <t xml:space="preserve">Taiga:
1. </t>
    </r>
    <r>
      <rPr>
        <color rgb="FF1155CC"/>
        <u/>
      </rPr>
      <t xml:space="preserve">https://taiga.ecquaria.org/project/tecq-digital-id/issue/598
</t>
    </r>
    <r>
      <rPr/>
      <t xml:space="preserve">2. </t>
    </r>
    <r>
      <rPr>
        <color rgb="FF1155CC"/>
        <u/>
      </rPr>
      <t xml:space="preserve">https://taiga.ecquaria.org/project/tecq-digital-id/issue/599
</t>
    </r>
    <r>
      <rPr/>
      <t xml:space="preserve">3. </t>
    </r>
    <r>
      <rPr>
        <color rgb="FF1155CC"/>
        <u/>
      </rPr>
      <t>https://taiga.ecquaria.org/project/tecq-digital-id/issue/621</t>
    </r>
  </si>
  <si>
    <t>Digital ID:
1. #624 Admin Portal: In Employee Detail page, the header displays "Admin Dashboard" instead of "Employee Profile"
2. #628 Admin Portal: Error message when input email with already existing email</t>
  </si>
  <si>
    <t>Taiga:
1. Completed
2. Completed</t>
  </si>
  <si>
    <r>
      <rPr/>
      <t xml:space="preserve">Taiga:
1. </t>
    </r>
    <r>
      <rPr>
        <color rgb="FF1155CC"/>
        <u/>
      </rPr>
      <t xml:space="preserve">https://taiga.ecquaria.org/project/tecq-digital-id/issue/624
</t>
    </r>
    <r>
      <rPr/>
      <t xml:space="preserve">2. </t>
    </r>
    <r>
      <rPr>
        <color rgb="FF1155CC"/>
        <u/>
      </rPr>
      <t>https://taiga.ecquaria.org/project/tecq-digital-id/issue/628</t>
    </r>
  </si>
  <si>
    <t>Digital ID:
1. #627 Admin Portal: When failed to update employee, there is indefinite loading icon and the page is stuck
2. #629 Admin Portal: There is off screen prompt box with message that failed update in Employee Update even though the update is success
3. #590 UserPortal: OTP not resent after clicking "Resend OTP" in account recovery
4. #558 User Portal: Got error "invalid OTP" when enter the new OTP in Account Recovery</t>
  </si>
  <si>
    <t>Taiga:
1. Completed
2. Completed
3. In progress</t>
  </si>
  <si>
    <r>
      <rPr/>
      <t xml:space="preserve">Taiga:
1. </t>
    </r>
    <r>
      <rPr>
        <color rgb="FF1155CC"/>
        <u/>
      </rPr>
      <t xml:space="preserve">https://taiga.ecquaria.org/project/tecq-digital-id/issue/627
</t>
    </r>
    <r>
      <rPr/>
      <t xml:space="preserve">2. </t>
    </r>
    <r>
      <rPr>
        <color rgb="FF1155CC"/>
        <u/>
      </rPr>
      <t xml:space="preserve">https://taiga.ecquaria.org/project/tecq-digital-id/issue/629
</t>
    </r>
    <r>
      <rPr/>
      <t xml:space="preserve">3. </t>
    </r>
    <r>
      <rPr>
        <color rgb="FF1155CC"/>
        <u/>
      </rPr>
      <t xml:space="preserve">https://taiga.ecquaria.org/project/tecq-digital-id/issue/590
</t>
    </r>
    <r>
      <rPr/>
      <t xml:space="preserve">4. </t>
    </r>
    <r>
      <rPr>
        <color rgb="FF1155CC"/>
        <u/>
      </rPr>
      <t>https://taiga.ecquaria.org/project/tecq-digital-id/issue/558</t>
    </r>
  </si>
  <si>
    <t>Digital ID:
1. #555 User Portal: got error "ERR_BAD_REQUEST" when click "Resend OTP" in Update Profile
2. #431 UserPortal: Pickup latest update of API changes (OTP and "authId")</t>
  </si>
  <si>
    <r>
      <rPr/>
      <t xml:space="preserve">Taiga:
1. </t>
    </r>
    <r>
      <rPr>
        <color rgb="FF1155CC"/>
        <u/>
      </rPr>
      <t xml:space="preserve">https://taiga.ecquaria.org/project/tecq-digital-id/issue/555
</t>
    </r>
    <r>
      <rPr/>
      <t xml:space="preserve">2. </t>
    </r>
    <r>
      <rPr>
        <color rgb="FF1155CC"/>
        <u/>
      </rPr>
      <t>https://taiga.ecquaria.org/project/tecq-digital-id/task/638</t>
    </r>
  </si>
  <si>
    <t>Digital ID:
1. #439 Remove all words "Kaizen"
2. #440 Nationality DO NOT use KAIZEN Country; Need to use Nationality instead.</t>
  </si>
  <si>
    <r>
      <rPr/>
      <t xml:space="preserve">Taiga:
1. </t>
    </r>
    <r>
      <rPr>
        <color rgb="FF1155CC"/>
        <u/>
      </rPr>
      <t xml:space="preserve">https://taiga.ecquaria.org/project/presales-mccy-ioms/task/439
</t>
    </r>
    <r>
      <rPr/>
      <t xml:space="preserve">2. </t>
    </r>
    <r>
      <rPr>
        <color rgb="FF1155CC"/>
        <u/>
      </rPr>
      <t>https://taiga.ecquaria.org/project/presales-mccy-ioms/task/440</t>
    </r>
  </si>
  <si>
    <t>Digital ID:
1. #434 Admin Portal: Got error "Failed to Update" even though the employee data is updated</t>
  </si>
  <si>
    <t>Taiga:
1. Completed</t>
  </si>
  <si>
    <r>
      <rPr/>
      <t xml:space="preserve">Taiga:
1. </t>
    </r>
    <r>
      <rPr>
        <color rgb="FF1155CC"/>
        <u/>
      </rPr>
      <t>https://taiga.ecquaria.org/project/presales-mccy-ioms/us/434</t>
    </r>
  </si>
  <si>
    <t>Digital ID:
1. #433 Admin Portal: Error message in Employee Update</t>
  </si>
  <si>
    <r>
      <rPr/>
      <t xml:space="preserve">Taiga:
1. </t>
    </r>
    <r>
      <rPr>
        <color rgb="FF1155CC"/>
        <u/>
      </rPr>
      <t>https://taiga.ecquaria.org/project/presales-mccy-ioms/us/433</t>
    </r>
  </si>
  <si>
    <t>Digital ID:
1. #647 Admin Portal: Missing some data in Employee Detail and Employee Update page
2. #633 Admin Portal: There is no error message displayed when no OAuth Scope option selected in Client Update
3. #596 Admin Portal: Successfully Update Client when the mandatory fields are empty
4. #559 User Portal: Password reset need better Error handling.
5. #634 Admin Portal: The name and profile picture are not displayed in My Profile
6. #383 Admin Portal: Successfully Update Client when the mandatory fields are empty
7. #468 User Portal: User successfully registration but failed when login
8. #427 Admin Portal: Display indefinite loading in Client Profile page when click Back to Client Profile after update Client</t>
  </si>
  <si>
    <t>Taiga:
1. Completed
2. Completed
3. Completed
4. Completed
5. Completed
6. Completed
7. Completed
8. Completed</t>
  </si>
  <si>
    <r>
      <rPr/>
      <t xml:space="preserve">Taiga:
1. </t>
    </r>
    <r>
      <rPr>
        <color rgb="FF1155CC"/>
        <u/>
      </rPr>
      <t xml:space="preserve">https://taiga.ecquaria.org/project/tecq-digital-id/issue/647
</t>
    </r>
    <r>
      <rPr/>
      <t xml:space="preserve">2. </t>
    </r>
    <r>
      <rPr>
        <color rgb="FF1155CC"/>
        <u/>
      </rPr>
      <t xml:space="preserve">https://taiga.ecquaria.org/project/tecq-digital-id/issue/633
</t>
    </r>
    <r>
      <rPr/>
      <t xml:space="preserve">3. </t>
    </r>
    <r>
      <rPr>
        <color rgb="FF1155CC"/>
        <u/>
      </rPr>
      <t xml:space="preserve">https://taiga.ecquaria.org/project/tecq-digital-id/issue/596
</t>
    </r>
    <r>
      <rPr/>
      <t xml:space="preserve">4. </t>
    </r>
    <r>
      <rPr>
        <color rgb="FF1155CC"/>
        <u/>
      </rPr>
      <t xml:space="preserve">https://taiga.ecquaria.org/project/tecq-digital-id/issue/559
</t>
    </r>
    <r>
      <rPr/>
      <t xml:space="preserve">5. </t>
    </r>
    <r>
      <rPr>
        <color rgb="FF1155CC"/>
        <u/>
      </rPr>
      <t xml:space="preserve">https://taiga.ecquaria.org/project/tecq-digital-id/issue/634
</t>
    </r>
    <r>
      <rPr/>
      <t xml:space="preserve">6. </t>
    </r>
    <r>
      <rPr>
        <color rgb="FF1155CC"/>
        <u/>
      </rPr>
      <t xml:space="preserve">https://taiga.ecquaria.org/project/presales-mccy-ioms/us/383
</t>
    </r>
    <r>
      <rPr/>
      <t xml:space="preserve">7. </t>
    </r>
    <r>
      <rPr>
        <color rgb="FF1155CC"/>
        <u/>
      </rPr>
      <t xml:space="preserve">https://taiga.ecquaria.org/project/presales-mccy-ioms/us/468
</t>
    </r>
    <r>
      <rPr/>
      <t xml:space="preserve">8. </t>
    </r>
    <r>
      <rPr>
        <color rgb="FF1155CC"/>
        <u/>
      </rPr>
      <t>https://taiga.ecquaria.org/project/presales-mccy-ioms/us/427</t>
    </r>
  </si>
  <si>
    <t>Digital ID:
1. #626 Admin Portal: Failed to create notification
2. #444 Admin Portal: Account status between active and inactive status has the same colour
3. #429 Admin Portal: The pagination in Client Profile is not working
4. #467 User Portal: Wrong error message for empty mandatory fields in Account Registration
5. #435 Admin Portal: Typo in Department dropdown list
6. #474 User Portal: Wrong field name in Update Profile
7. #466 Admin Portal: Got error 406 and system display indefinite loading when send registration email
8. #428 Admin Portal: After successfully update client, the updated data are not displayed in Client Detail page
9. #426 Admin Portal: Display indefinite loading in Client Profile page
10. #457 Admin Portal: There is pop up error message when input userID that already used in Employee Registration
11. #459 Admin Portal: Error message when input email that already used in Employee Registration</t>
  </si>
  <si>
    <t>Taiga:
1. Completed
2. Completed
3. Completed
4. Completed
5. Completed
6. Completed
7. Completed
8. Completed
9. Completed
10. Completed
11. Completed</t>
  </si>
  <si>
    <r>
      <rPr/>
      <t xml:space="preserve">Taiga:
1. </t>
    </r>
    <r>
      <rPr>
        <color rgb="FF1155CC"/>
        <u/>
      </rPr>
      <t xml:space="preserve">https://taiga.ecquaria.org/project/tecq-digital-id/issue/626
</t>
    </r>
    <r>
      <rPr/>
      <t xml:space="preserve">2. </t>
    </r>
    <r>
      <rPr>
        <color rgb="FF1155CC"/>
        <u/>
      </rPr>
      <t xml:space="preserve">https://taiga.ecquaria.org/project/presales-mccy-ioms/us/444
</t>
    </r>
    <r>
      <rPr/>
      <t xml:space="preserve">3. </t>
    </r>
    <r>
      <rPr>
        <color rgb="FF1155CC"/>
        <u/>
      </rPr>
      <t xml:space="preserve">https://taiga.ecquaria.org/project/presales-mccy-ioms/us/429
</t>
    </r>
    <r>
      <rPr/>
      <t xml:space="preserve">4. </t>
    </r>
    <r>
      <rPr>
        <color rgb="FF1155CC"/>
        <u/>
      </rPr>
      <t xml:space="preserve">https://taiga.ecquaria.org/project/presales-mccy-ioms/us/467
</t>
    </r>
    <r>
      <rPr/>
      <t xml:space="preserve">5. </t>
    </r>
    <r>
      <rPr>
        <color rgb="FF1155CC"/>
        <u/>
      </rPr>
      <t xml:space="preserve">https://taiga.ecquaria.org/project/presales-mccy-ioms/us/435
</t>
    </r>
    <r>
      <rPr/>
      <t xml:space="preserve">6. </t>
    </r>
    <r>
      <rPr>
        <color rgb="FF1155CC"/>
        <u/>
      </rPr>
      <t xml:space="preserve">https://taiga.ecquaria.org/project/presales-mccy-ioms/us/474
</t>
    </r>
    <r>
      <rPr/>
      <t xml:space="preserve">7. </t>
    </r>
    <r>
      <rPr>
        <color rgb="FF1155CC"/>
        <u/>
      </rPr>
      <t xml:space="preserve">https://taiga.ecquaria.org/project/presales-mccy-ioms/us/466
</t>
    </r>
    <r>
      <rPr/>
      <t xml:space="preserve">8. </t>
    </r>
    <r>
      <rPr>
        <color rgb="FF1155CC"/>
        <u/>
      </rPr>
      <t xml:space="preserve">https://taiga.ecquaria.org/project/presales-mccy-ioms/us/428
</t>
    </r>
    <r>
      <rPr/>
      <t xml:space="preserve">9. </t>
    </r>
    <r>
      <rPr>
        <color rgb="FF1155CC"/>
        <u/>
      </rPr>
      <t xml:space="preserve">https://taiga.ecquaria.org/project/presales-mccy-ioms/us/426
</t>
    </r>
    <r>
      <rPr/>
      <t xml:space="preserve">10. </t>
    </r>
    <r>
      <rPr>
        <color rgb="FF1155CC"/>
        <u/>
      </rPr>
      <t xml:space="preserve">https://taiga.ecquaria.org/project/presales-mccy-ioms/us/457
</t>
    </r>
    <r>
      <rPr/>
      <t xml:space="preserve">11. </t>
    </r>
    <r>
      <rPr>
        <color rgb="FF1155CC"/>
        <u/>
      </rPr>
      <t>https://taiga.ecquaria.org/project/presales-mccy-ioms/us/459</t>
    </r>
  </si>
  <si>
    <t>Kaizen Training</t>
  </si>
  <si>
    <t>Digital ID:
1. #686 Admin Portal: Got error when unlock employee
2. #685 Admin Portal: Got error when activate employee
3. #682 Admin Portal: Failed to deactivate employee
4. #627 Admin Portal: When failed to update employee, there is indefinite loading icon and the page is stuck
5. #628 Admin Portal: Error message when input email with already existing email
6. #684 Admin Portal: Got error when click on Notify in Employee Profile
7. #643 Admin Portal: Jump to page feature in Client and Employee Profile Issue</t>
  </si>
  <si>
    <t>Taiga:
1. Completed
2. Completed
3. Completed
4. Completed
5. Completed
6. Completed
7. Completed</t>
  </si>
  <si>
    <r>
      <rPr/>
      <t xml:space="preserve">Taiga:
1. </t>
    </r>
    <r>
      <rPr>
        <color rgb="FF1155CC"/>
        <u/>
      </rPr>
      <t xml:space="preserve">https://taiga.ecquaria.org/project/tecq-digital-id/issue/686
</t>
    </r>
    <r>
      <rPr/>
      <t xml:space="preserve">2. </t>
    </r>
    <r>
      <rPr>
        <color rgb="FF1155CC"/>
        <u/>
      </rPr>
      <t xml:space="preserve">https://taiga.ecquaria.org/project/tecq-digital-id/issue/685
</t>
    </r>
    <r>
      <rPr/>
      <t xml:space="preserve">3. </t>
    </r>
    <r>
      <rPr>
        <color rgb="FF1155CC"/>
        <u/>
      </rPr>
      <t xml:space="preserve">https://taiga.ecquaria.org/project/tecq-digital-id/issue/682
</t>
    </r>
    <r>
      <rPr/>
      <t xml:space="preserve">4. </t>
    </r>
    <r>
      <rPr>
        <color rgb="FF1155CC"/>
        <u/>
      </rPr>
      <t xml:space="preserve">https://taiga.ecquaria.org/project/tecq-digital-id/issue/627
</t>
    </r>
    <r>
      <rPr/>
      <t xml:space="preserve">5. </t>
    </r>
    <r>
      <rPr>
        <color rgb="FF1155CC"/>
        <u/>
      </rPr>
      <t xml:space="preserve">https://taiga.ecquaria.org/project/tecq-digital-id/issue/628
</t>
    </r>
    <r>
      <rPr/>
      <t xml:space="preserve">6. </t>
    </r>
    <r>
      <rPr>
        <color rgb="FF1155CC"/>
        <u/>
      </rPr>
      <t xml:space="preserve">https://taiga.ecquaria.org/project/tecq-digital-id/issue/684
</t>
    </r>
    <r>
      <rPr/>
      <t xml:space="preserve">7. </t>
    </r>
    <r>
      <rPr>
        <color rgb="FF1155CC"/>
        <u/>
      </rPr>
      <t>https://taiga.ecquaria.org/project/tecq-digital-id/issue/643</t>
    </r>
  </si>
  <si>
    <t>Digital ID:
1. #670 User Portal : No default photo displayed in My Profile
2. #683 Admin Portal: Failed to update employee
3. #678 Admin Portal: Client Detail is displayed below Client Profile list
4. #669 User Portal: Typo in Password Updated Successfully page
5. #569 UserPortal: OTP resent after clicking "Resend OTP" but invalid in account recovery. The previous OTP not invalidated.
6. #537 User Portal: Edit fields in Account Registration page and in Account Recovery</t>
  </si>
  <si>
    <t>Taiga:
1. Completed
2. Completed
3. Completed
4. Completed
5. Completed
6. Completed</t>
  </si>
  <si>
    <r>
      <rPr/>
      <t xml:space="preserve">Taiga:
1. </t>
    </r>
    <r>
      <rPr>
        <color rgb="FF1155CC"/>
        <u/>
      </rPr>
      <t xml:space="preserve">https://taiga.ecquaria.org/project/tecq-digital-id/issue/670
</t>
    </r>
    <r>
      <rPr/>
      <t xml:space="preserve">2. </t>
    </r>
    <r>
      <rPr>
        <color rgb="FF1155CC"/>
        <u/>
      </rPr>
      <t xml:space="preserve">https://taiga.ecquaria.org/project/tecq-digital-id/issue/683
</t>
    </r>
    <r>
      <rPr/>
      <t xml:space="preserve">3. </t>
    </r>
    <r>
      <rPr>
        <color rgb="FF1155CC"/>
        <u/>
      </rPr>
      <t xml:space="preserve">https://taiga.ecquaria.org/project/tecq-digital-id/issue/678
</t>
    </r>
    <r>
      <rPr/>
      <t xml:space="preserve">4. </t>
    </r>
    <r>
      <rPr>
        <color rgb="FF1155CC"/>
        <u/>
      </rPr>
      <t xml:space="preserve">https://taiga.ecquaria.org/project/tecq-digital-id/issue/669
</t>
    </r>
    <r>
      <rPr/>
      <t xml:space="preserve">5. </t>
    </r>
    <r>
      <rPr>
        <color rgb="FF1155CC"/>
        <u/>
      </rPr>
      <t xml:space="preserve">https://taiga.ecquaria.org/project/tecq-digital-id/issue/569
</t>
    </r>
    <r>
      <rPr/>
      <t xml:space="preserve">6. </t>
    </r>
    <r>
      <rPr>
        <color rgb="FF1155CC"/>
        <u/>
      </rPr>
      <t>https://taiga.ecquaria.org/project/tecq-digital-id/issue/537</t>
    </r>
  </si>
  <si>
    <t>Digital ID:
1. #700 Admin Portal: When create notifications successfully, there will be 2 notifications in Sent Notifications page
2. #676 Admin Portal: Got error "Internal Server Error" when create new client
3. #679 Admin Portal: Error when click View Detail in Client Profile
4. #448 Admin Portal: Successfully update client when unselect all options OAuth Scope in Client Update
5. #455 Admin Portal: Got error for OAuth Scope when Update Client even though the OAuth Scope options are selected
6. #672 User Portal: Missing data in My Profile after update profile
7. #705 Admin Portal: Wording issue in Employee Profile</t>
  </si>
  <si>
    <r>
      <rPr/>
      <t xml:space="preserve">Taiga:
1. </t>
    </r>
    <r>
      <rPr>
        <color rgb="FF1155CC"/>
        <u/>
      </rPr>
      <t xml:space="preserve">https://taiga.ecquaria.org/project/tecq-digital-id/issue/700
</t>
    </r>
    <r>
      <rPr/>
      <t xml:space="preserve">2. </t>
    </r>
    <r>
      <rPr>
        <color rgb="FF1155CC"/>
        <u/>
      </rPr>
      <t xml:space="preserve">https://taiga.ecquaria.org/project/tecq-digital-id/issue/676
</t>
    </r>
    <r>
      <rPr/>
      <t xml:space="preserve">3. </t>
    </r>
    <r>
      <rPr>
        <color rgb="FF1155CC"/>
        <u/>
      </rPr>
      <t xml:space="preserve">https://taiga.ecquaria.org/project/tecq-digital-id/issue/679
</t>
    </r>
    <r>
      <rPr/>
      <t xml:space="preserve">4. </t>
    </r>
    <r>
      <rPr>
        <color rgb="FF1155CC"/>
        <u/>
      </rPr>
      <t xml:space="preserve">https://taiga.ecquaria.org/project/presales-mccy-ioms/us/448
</t>
    </r>
    <r>
      <rPr/>
      <t xml:space="preserve">5. </t>
    </r>
    <r>
      <rPr>
        <color rgb="FF1155CC"/>
        <u/>
      </rPr>
      <t xml:space="preserve">https://taiga.ecquaria.org/project/presales-mccy-ioms/us/455
</t>
    </r>
    <r>
      <rPr/>
      <t xml:space="preserve">6. </t>
    </r>
    <r>
      <rPr>
        <color rgb="FF1155CC"/>
        <u/>
      </rPr>
      <t xml:space="preserve">https://taiga.ecquaria.org/project/tecq-digital-id/issue/672
</t>
    </r>
    <r>
      <rPr/>
      <t xml:space="preserve">7. </t>
    </r>
    <r>
      <rPr>
        <color rgb="FF1155CC"/>
        <u/>
      </rPr>
      <t>https://taiga.ecquaria.org/project/tecq-digital-id/issue/705</t>
    </r>
  </si>
  <si>
    <t>Digital ID:
1. #679 Admin Portal: Error when click View Detail in Client Profile
2. #710 AdminPortal: Missing EDIT of address in Employee profile
3. #569 UserPortal: OTP resent after clicking "Resend OTP" but invalid in account recovery. The previous OTP not invalidated.
4. #698 Admin Portal: Got error "Internal Server Error" when access My Profile for some roles</t>
  </si>
  <si>
    <t>Taiga:
1. Completed
2. Completed
3. Completed
4. Completed</t>
  </si>
  <si>
    <r>
      <rPr/>
      <t xml:space="preserve">Taiga:
1. </t>
    </r>
    <r>
      <rPr>
        <color rgb="FF1155CC"/>
        <u/>
      </rPr>
      <t xml:space="preserve">https://taiga.ecquaria.org/project/tecq-digital-id/issue/679
</t>
    </r>
    <r>
      <rPr/>
      <t xml:space="preserve">2. </t>
    </r>
    <r>
      <rPr>
        <color rgb="FF1155CC"/>
        <u/>
      </rPr>
      <t xml:space="preserve">https://taiga.ecquaria.org/project/tecq-digital-id/issue/710
</t>
    </r>
    <r>
      <rPr/>
      <t xml:space="preserve">3. </t>
    </r>
    <r>
      <rPr>
        <color rgb="FF1155CC"/>
        <u/>
      </rPr>
      <t xml:space="preserve">https://taiga.ecquaria.org/project/tecq-digital-id/issue/569
</t>
    </r>
    <r>
      <rPr/>
      <t xml:space="preserve">4. </t>
    </r>
    <r>
      <rPr>
        <color rgb="FF1155CC"/>
        <u/>
      </rPr>
      <t>https://taiga.ecquaria.org/project/tecq-digital-id/issue/698</t>
    </r>
  </si>
  <si>
    <t>National Public Holiday</t>
  </si>
  <si>
    <t>Digital ID:
1. #699 Admin Portal: The registered client when login as client owner and when login as other role will display the same records
2. #447 Admin Portal - Add address on employee
3. #675 Admin Portal: There is no info displayed when hover on icon information beside "eKYC Basic" and "eKYC Full" OAuth Scope options in Client Registration and Client Update page
4. #469 Admin Portal: There is no placeholder for empty photo
5. #458 Admin Portal: Error message when input invalid mobile number in Employee Registration
6. #718 User Portal: Edit field in My Profile</t>
  </si>
  <si>
    <r>
      <rPr/>
      <t xml:space="preserve">Taiga:
1. </t>
    </r>
    <r>
      <rPr>
        <color rgb="FF1155CC"/>
        <u/>
      </rPr>
      <t xml:space="preserve">https://taiga.ecquaria.org/project/tecq-digital-id/issue/699
</t>
    </r>
    <r>
      <rPr/>
      <t xml:space="preserve">2. </t>
    </r>
    <r>
      <rPr>
        <color rgb="FF1155CC"/>
        <u/>
      </rPr>
      <t xml:space="preserve">https://taiga.ecquaria.org/project/presales-mccy-ioms/us/447
</t>
    </r>
    <r>
      <rPr/>
      <t xml:space="preserve">3. </t>
    </r>
    <r>
      <rPr>
        <color rgb="FF1155CC"/>
        <u/>
      </rPr>
      <t xml:space="preserve">https://taiga.ecquaria.org/project/tecq-digital-id/issue/675
</t>
    </r>
    <r>
      <rPr/>
      <t xml:space="preserve">4. </t>
    </r>
    <r>
      <rPr>
        <color rgb="FF1155CC"/>
        <u/>
      </rPr>
      <t xml:space="preserve">https://taiga.ecquaria.org/project/presales-mccy-ioms/us/469
</t>
    </r>
    <r>
      <rPr/>
      <t xml:space="preserve">5. </t>
    </r>
    <r>
      <rPr>
        <color rgb="FF1155CC"/>
        <u/>
      </rPr>
      <t xml:space="preserve">https://taiga.ecquaria.org/project/presales-mccy-ioms/us/458
</t>
    </r>
    <r>
      <rPr/>
      <t xml:space="preserve">6. </t>
    </r>
    <r>
      <rPr>
        <color rgb="FF1155CC"/>
        <u/>
      </rPr>
      <t>https://taiga.ecquaria.org/project/tecq-digital-id/issue/718</t>
    </r>
  </si>
  <si>
    <t>Digital ID:
1. #727 Admin Portal: There is no client records displayed when login as system admin
2. #681 Admin Portal: The error message did not display correctly when input the already exist employee ID in Employee Registration
3. #457 Admin Portal: There is pop up error message when input userID that already used in Employee Registration
4. #457 Admin Portal: There is pop up error message when input userID that already used in Employee Registration
5. #729 User Portal: Failed to registration because got error when input the joined date</t>
  </si>
  <si>
    <r>
      <rPr/>
      <t xml:space="preserve">Taiga:
1. </t>
    </r>
    <r>
      <rPr>
        <color rgb="FF1155CC"/>
        <u/>
      </rPr>
      <t xml:space="preserve">https://taiga.ecquaria.org/project/tecq-digital-id/issue/727
</t>
    </r>
    <r>
      <rPr/>
      <t xml:space="preserve">2. </t>
    </r>
    <r>
      <rPr>
        <color rgb="FF1155CC"/>
        <u/>
      </rPr>
      <t xml:space="preserve">https://taiga.ecquaria.org/project/tecq-digital-id/issue/681
</t>
    </r>
    <r>
      <rPr/>
      <t xml:space="preserve">3. </t>
    </r>
    <r>
      <rPr>
        <color rgb="FF1155CC"/>
        <u/>
      </rPr>
      <t xml:space="preserve">https://taiga.ecquaria.org/project/presales-mccy-ioms/us/457
</t>
    </r>
    <r>
      <rPr/>
      <t xml:space="preserve">4. </t>
    </r>
    <r>
      <rPr>
        <color rgb="FF1155CC"/>
        <u/>
      </rPr>
      <t xml:space="preserve">https://taiga.ecquaria.org/project/presales-mccy-ioms/us/459
</t>
    </r>
    <r>
      <rPr/>
      <t xml:space="preserve">5. </t>
    </r>
    <r>
      <rPr>
        <color rgb="FF1155CC"/>
        <u/>
      </rPr>
      <t>https://taiga.ecquaria.org/project/tecq-digital-id/issue/729</t>
    </r>
  </si>
  <si>
    <t>Overtime:
17.00 - 21.30</t>
  </si>
  <si>
    <t>Digital ID:
1. #725 Admin Portal: redirect issue when click Back to Client Detail or cancel button
2. #726 Admin Portal: When click reset button in Employee Update, some fields are cleared and not go back to the original values
3. #473 User Portal: Error message when recovery password using inactive account
4. #717 User Portal: Change Password, error messages not intuitive
5. #741 User Portal: Error message when input wrong current password
6. #747 User Portal: Error when set the password in Account Registration
7. #719 User Portal: Failed to Update Profile because got error when verify the OTP
8. #699 Admin Portal: The registered client when login as client owner and when login as other role will display the same records</t>
  </si>
  <si>
    <t>Taiga:
1. Completed
2. Completed
3. Completed
4. Completed
5. Completed
6. In Progress
7. In Progress
8. In Progress</t>
  </si>
  <si>
    <r>
      <rPr/>
      <t xml:space="preserve">Taiga:
1. </t>
    </r>
    <r>
      <rPr>
        <color rgb="FF1155CC"/>
        <u/>
      </rPr>
      <t xml:space="preserve">https://taiga.ecquaria.org/project/tecq-digital-id/issue/725
</t>
    </r>
    <r>
      <rPr/>
      <t xml:space="preserve">2. </t>
    </r>
    <r>
      <rPr>
        <color rgb="FF1155CC"/>
        <u/>
      </rPr>
      <t xml:space="preserve">https://taiga.ecquaria.org/project/tecq-digital-id/issue/726
</t>
    </r>
    <r>
      <rPr/>
      <t xml:space="preserve">3. </t>
    </r>
    <r>
      <rPr>
        <color rgb="FF1155CC"/>
        <u/>
      </rPr>
      <t xml:space="preserve">https://taiga.ecquaria.org/project/presales-mccy-ioms/us/473
</t>
    </r>
    <r>
      <rPr/>
      <t xml:space="preserve">4. </t>
    </r>
    <r>
      <rPr>
        <color rgb="FF1155CC"/>
        <u/>
      </rPr>
      <t xml:space="preserve">https://taiga.ecquaria.org/project/tecq-digital-id/issue/717
</t>
    </r>
    <r>
      <rPr/>
      <t xml:space="preserve">5. </t>
    </r>
    <r>
      <rPr>
        <color rgb="FF1155CC"/>
        <u/>
      </rPr>
      <t xml:space="preserve">https://taiga.ecquaria.org/project/tecq-digital-id/issue/741
</t>
    </r>
    <r>
      <rPr/>
      <t xml:space="preserve">6. </t>
    </r>
    <r>
      <rPr>
        <color rgb="FF1155CC"/>
        <u/>
      </rPr>
      <t xml:space="preserve">https://taiga.ecquaria.org/project/tecq-digital-id/issue/747
</t>
    </r>
    <r>
      <rPr/>
      <t xml:space="preserve">7. </t>
    </r>
    <r>
      <rPr>
        <color rgb="FF1155CC"/>
        <u/>
      </rPr>
      <t xml:space="preserve">https://taiga.ecquaria.org/project/tecq-digital-id/issue/719
</t>
    </r>
    <r>
      <rPr/>
      <t xml:space="preserve">8. </t>
    </r>
    <r>
      <rPr>
        <color rgb="FF1155CC"/>
        <u/>
      </rPr>
      <t>https://taiga.ecquaria.org/project/tecq-digital-id/issue/699</t>
    </r>
  </si>
  <si>
    <t>Digital ID:
1. #747 User Portal: Error when set the password in Account Registration
2. #719 User Portal: Failed to Update Profile because got error when verify the OTP
3. #699 Admin Portal: The registered client when login as client owner and when login as other role will display the same records
4. #544 Admin Portal &amp; User Portal: make Phone Number Mandatory Field
5. #717 User Portal: Change Password, error messages not intuitive
6. #647 Admin Portal: Missing some data in Employee Detail and Employee Update page</t>
  </si>
  <si>
    <r>
      <rPr/>
      <t xml:space="preserve">Taiga:
1. </t>
    </r>
    <r>
      <rPr>
        <color rgb="FF1155CC"/>
        <u/>
      </rPr>
      <t xml:space="preserve">https://taiga.ecquaria.org/project/tecq-digital-id/issue/747
</t>
    </r>
    <r>
      <rPr/>
      <t xml:space="preserve">2. </t>
    </r>
    <r>
      <rPr>
        <color rgb="FF1155CC"/>
        <u/>
      </rPr>
      <t xml:space="preserve">https://taiga.ecquaria.org/project/tecq-digital-id/issue/719
</t>
    </r>
    <r>
      <rPr/>
      <t xml:space="preserve">3. </t>
    </r>
    <r>
      <rPr>
        <color rgb="FF1155CC"/>
        <u/>
      </rPr>
      <t xml:space="preserve">https://taiga.ecquaria.org/project/tecq-digital-id/issue/699
</t>
    </r>
    <r>
      <rPr/>
      <t xml:space="preserve">4. </t>
    </r>
    <r>
      <rPr>
        <color rgb="FF1155CC"/>
        <u/>
      </rPr>
      <t xml:space="preserve">https://taiga.ecquaria.org/project/presales-mccy-ioms/us/544
</t>
    </r>
    <r>
      <rPr/>
      <t xml:space="preserve">5. </t>
    </r>
    <r>
      <rPr>
        <color rgb="FF1155CC"/>
        <u/>
      </rPr>
      <t xml:space="preserve">https://taiga.ecquaria.org/project/tecq-digital-id/issue/717
</t>
    </r>
    <r>
      <rPr/>
      <t xml:space="preserve">6. </t>
    </r>
    <r>
      <rPr>
        <color rgb="FF1155CC"/>
        <u/>
      </rPr>
      <t>https://taiga.ecquaria.org/project/tecq-digital-id/issue/647</t>
    </r>
  </si>
  <si>
    <t>Overtime:
18.30 - 21.00</t>
  </si>
  <si>
    <t>Digital ID:
1. #719 User Portal: Failed to Update Profile because got error when verify the OTP</t>
  </si>
  <si>
    <t>Taiga:
1. In Progress</t>
  </si>
  <si>
    <r>
      <rPr/>
      <t xml:space="preserve">Taiga:
1. </t>
    </r>
    <r>
      <rPr>
        <color rgb="FF1155CC"/>
        <u/>
      </rPr>
      <t>https://taiga.ecquaria.org/project/tecq-digital-id/issue/719</t>
    </r>
  </si>
  <si>
    <t>Overtime:
17.00 - 20.00
Note:
1. reopened by Alvin during afternoon
2. missing some data when using old API
3. got error when using API /users/updateUser (should have the same class as parameter)
4. using API for saving data in KAIZEN: PATCH users/user, but can't test since the login portal is down</t>
  </si>
  <si>
    <t>Digital ID:
1. #757 Admin Portal: Make Common User role as mandatory
2. #775 Admin Portal: Duplicate roles in the Employee Registration and Employee Update page
3. #778 Admin Portal: Phone number in Employee Update is not set as mandatory field
4. #777 Admin Portal: Total Client displayed in Admin Dashboard page is not tally with total Client in Client Profile when login as Client Owner
5. #773 Admin Portal: the image is broken and no email displayed in the email sent after click Notify in Admin Portal</t>
  </si>
  <si>
    <t>Taiga:
1. Completed
2. Completed
3. Completed
4. Completed
5. In Progress</t>
  </si>
  <si>
    <r>
      <rPr/>
      <t xml:space="preserve">Taiga:
1. </t>
    </r>
    <r>
      <rPr>
        <color rgb="FF1155CC"/>
        <u/>
      </rPr>
      <t xml:space="preserve">https://taiga.ecquaria.org/project/tecq-digital-id/issue/757
</t>
    </r>
    <r>
      <rPr/>
      <t xml:space="preserve">2. </t>
    </r>
    <r>
      <rPr>
        <color rgb="FF1155CC"/>
        <u/>
      </rPr>
      <t xml:space="preserve">https://taiga.ecquaria.org/project/tecq-digital-id/issue/775
</t>
    </r>
    <r>
      <rPr/>
      <t xml:space="preserve">3. </t>
    </r>
    <r>
      <rPr>
        <color rgb="FF1155CC"/>
        <u/>
      </rPr>
      <t xml:space="preserve">https://taiga.ecquaria.org/project/tecq-digital-id/issue/778
</t>
    </r>
    <r>
      <rPr/>
      <t xml:space="preserve">4. </t>
    </r>
    <r>
      <rPr>
        <color rgb="FF1155CC"/>
        <u/>
      </rPr>
      <t xml:space="preserve">https://taiga.ecquaria.org/project/tecq-digital-id/issue/777
</t>
    </r>
    <r>
      <rPr/>
      <t xml:space="preserve">5. </t>
    </r>
    <r>
      <rPr>
        <color rgb="FF1155CC"/>
        <u/>
      </rPr>
      <t>https://taiga.ecquaria.org/project/tecq-digital-id/issue/773</t>
    </r>
  </si>
  <si>
    <t>Digital ID:
1. #773 Admin Portal: the image is broken and no email displayed in the email sent after click Notify in Admin Portal
2. #782 Admin Portal: Event Operator role still can access Admin Portal
3. #747 User Portal: Error when set the password in Account Registration
4. #767 AdminPortal: Email Blasting after new registration APP store and Android Store URL change based on Tenant profile
5. #768 AdminPortal: 'Notify' trigger to send email - content of APP store and Android Store URL change based on Tenant profile</t>
  </si>
  <si>
    <t>Taiga:
1. Completed
2. Completed
3. Completed
4. Completed
5. Completed</t>
  </si>
  <si>
    <r>
      <rPr/>
      <t xml:space="preserve">Taiga:
1. </t>
    </r>
    <r>
      <rPr>
        <color rgb="FF1155CC"/>
        <u/>
      </rPr>
      <t xml:space="preserve">https://taiga.ecquaria.org/project/tecq-digital-id/issue/773
</t>
    </r>
    <r>
      <rPr/>
      <t xml:space="preserve">2. </t>
    </r>
    <r>
      <rPr>
        <color rgb="FF1155CC"/>
        <u/>
      </rPr>
      <t xml:space="preserve">https://taiga.ecquaria.org/project/tecq-digital-id/issue/782
</t>
    </r>
    <r>
      <rPr/>
      <t xml:space="preserve">3. </t>
    </r>
    <r>
      <rPr>
        <color rgb="FF1155CC"/>
        <u/>
      </rPr>
      <t xml:space="preserve">https://taiga.ecquaria.org/project/tecq-digital-id/issue/747
</t>
    </r>
    <r>
      <rPr/>
      <t xml:space="preserve">4. </t>
    </r>
    <r>
      <rPr>
        <color rgb="FF1155CC"/>
        <u/>
      </rPr>
      <t xml:space="preserve">https://taiga.ecquaria.org/project/tecq-digital-id/task/767
</t>
    </r>
    <r>
      <rPr/>
      <t xml:space="preserve">5. </t>
    </r>
    <r>
      <rPr>
        <color rgb="FF1155CC"/>
        <u/>
      </rPr>
      <t>https://taiga.ecquaria.org/project/tecq-digital-id/task/768</t>
    </r>
  </si>
  <si>
    <t>Digital ID:
1. #654 AdminPortal: Search engine enhancement and Filter</t>
  </si>
  <si>
    <r>
      <rPr/>
      <t xml:space="preserve">Taiga:
1. </t>
    </r>
    <r>
      <rPr>
        <color rgb="FF1155CC"/>
        <u/>
      </rPr>
      <t>https://taiga.ecquaria.org/project/tecq-digital-id/task/654</t>
    </r>
  </si>
  <si>
    <t>Impendiment:
- Kaizen can't sort by birthday (treated as joined date)</t>
  </si>
  <si>
    <r>
      <rPr/>
      <t xml:space="preserve">Taiga:
1. </t>
    </r>
    <r>
      <rPr>
        <color rgb="FF1155CC"/>
        <u/>
      </rPr>
      <t>https://taiga.ecquaria.org/project/tecq-digital-id/task/654</t>
    </r>
  </si>
  <si>
    <r>
      <rPr/>
      <t xml:space="preserve">Taiga:
1. </t>
    </r>
    <r>
      <rPr>
        <color rgb="FF1155CC"/>
        <u/>
      </rPr>
      <t>https://taiga.ecquaria.org/project/tecq-digital-id/task/654</t>
    </r>
  </si>
  <si>
    <t>Digital ID:
1. #804 Admin Portal: Create employee did not redirect to success page and no email sent
2. #805 Admin Portal: Change the logo in email that sent by "Notify" trigger to the logo with color
3. #807 Admin Portal: URL/Link in the email did not redirect to the respective page</t>
  </si>
  <si>
    <t>Taiga:
1. In Progress
2. In Progress
3. In Progress</t>
  </si>
  <si>
    <r>
      <rPr/>
      <t xml:space="preserve">Taiga:
1. </t>
    </r>
    <r>
      <rPr>
        <color rgb="FF1155CC"/>
        <u/>
      </rPr>
      <t xml:space="preserve">https://taiga.ecquaria.org/project/tecq-digital-id/issue/804
</t>
    </r>
    <r>
      <rPr/>
      <t xml:space="preserve">2. </t>
    </r>
    <r>
      <rPr>
        <color rgb="FF1155CC"/>
        <u/>
      </rPr>
      <t xml:space="preserve">https://taiga.ecquaria.org/project/tecq-digital-id/issue/805
</t>
    </r>
    <r>
      <rPr/>
      <t xml:space="preserve">3. </t>
    </r>
    <r>
      <rPr>
        <color rgb="FF1155CC"/>
        <u/>
      </rPr>
      <t>https://taiga.ecquaria.org/project/tecq-digital-id/issue/807</t>
    </r>
  </si>
  <si>
    <t>Digital ID:
1. #804 Admin Portal: Create employee did not redirect to success page and no email sent
2. #805 Admin Portal: Change the logo in email that sent by "Notify" trigger to the logo with color
3. #807 Admin Portal: URL/Link in the email did not redirect to the respective page
4. #814 Admin Portal: Wrong format of scope while creating new client profile</t>
  </si>
  <si>
    <t>Taiga:
1. In Progress
2. In Progress
3. In Progress
4. Completed</t>
  </si>
  <si>
    <r>
      <rPr/>
      <t xml:space="preserve">Taiga:
1. </t>
    </r>
    <r>
      <rPr>
        <color rgb="FF1155CC"/>
        <u/>
      </rPr>
      <t xml:space="preserve">https://taiga.ecquaria.org/project/tecq-digital-id/issue/804
</t>
    </r>
    <r>
      <rPr/>
      <t xml:space="preserve">2. </t>
    </r>
    <r>
      <rPr>
        <color rgb="FF1155CC"/>
        <u/>
      </rPr>
      <t xml:space="preserve">https://taiga.ecquaria.org/project/tecq-digital-id/issue/805
</t>
    </r>
    <r>
      <rPr/>
      <t xml:space="preserve">3. </t>
    </r>
    <r>
      <rPr>
        <color rgb="FF1155CC"/>
        <u/>
      </rPr>
      <t xml:space="preserve">https://taiga.ecquaria.org/project/tecq-digital-id/issue/807
</t>
    </r>
    <r>
      <rPr/>
      <t xml:space="preserve">4. </t>
    </r>
    <r>
      <rPr>
        <color rgb="FF1155CC"/>
        <u/>
      </rPr>
      <t>https://taiga.ecquaria.org/project/tecq-digital-id/issue/814</t>
    </r>
  </si>
  <si>
    <t>Digital ID:
1. Retest the Issue #804, #805, #807, and #814
2. #616 AdminPortal: Search engine enhancement and Filter (Version 2 - Client Profile)
3. #617 AdminPortal: Search engine enhancement and Filter (Version 2 - Employee Profile)</t>
  </si>
  <si>
    <t>Taiga:
1. Done
2. In Progress
3. In Progress</t>
  </si>
  <si>
    <r>
      <rPr/>
      <t xml:space="preserve">Taiga:
1a. </t>
    </r>
    <r>
      <rPr>
        <color rgb="FF1155CC"/>
        <u/>
      </rPr>
      <t>https://taiga.ecquaria.org/project/tecq-digital-id/issue/804</t>
    </r>
    <r>
      <rPr/>
      <t xml:space="preserve">
1b. </t>
    </r>
    <r>
      <rPr>
        <color rgb="FF1155CC"/>
        <u/>
      </rPr>
      <t>https://taiga.ecquaria.org/project/tecq-digital-id/issue/805</t>
    </r>
    <r>
      <rPr/>
      <t xml:space="preserve">
1c. </t>
    </r>
    <r>
      <rPr>
        <color rgb="FF1155CC"/>
        <u/>
      </rPr>
      <t>https://taiga.ecquaria.org/project/tecq-digital-id/issue/807</t>
    </r>
    <r>
      <rPr/>
      <t xml:space="preserve">
1d. </t>
    </r>
    <r>
      <rPr>
        <color rgb="FF1155CC"/>
        <u/>
      </rPr>
      <t>https://taiga.ecquaria.org/project/tecq-digital-id/issue/814</t>
    </r>
    <r>
      <rPr/>
      <t xml:space="preserve">
2. </t>
    </r>
    <r>
      <rPr>
        <color rgb="FF1155CC"/>
        <u/>
      </rPr>
      <t>https://taiga.ecquaria.org/project/presales-mccy-ioms/us/616</t>
    </r>
    <r>
      <rPr/>
      <t xml:space="preserve">
3. </t>
    </r>
    <r>
      <rPr>
        <color rgb="FF1155CC"/>
        <u/>
      </rPr>
      <t>https://taiga.ecquaria.org/project/presales-mccy-ioms/us/617</t>
    </r>
  </si>
  <si>
    <t>Digital ID:
1. #616 AdminPortal: Search engine enhancement and Filter (Version 2 - Client Profile)
2. #617 AdminPortal: Search engine enhancement and Filter (Version 2 - Employee Profile)
3. Hotfix: Hardcoded schema (admin-portal-be-error-PROD-063829092025)
4. Hotfix: bad value for int (admin-portal-be-error-062920250929)
5. Bugfix: Search and filter on Client and Employee Profile Page</t>
  </si>
  <si>
    <t>Taiga:
1. In Progress
2. In Progress
3. Completed
4. Completed
5. Completed</t>
  </si>
  <si>
    <r>
      <rPr/>
      <t xml:space="preserve">Taiga:
1. </t>
    </r>
    <r>
      <rPr>
        <color rgb="FF1155CC"/>
        <u/>
      </rPr>
      <t>https://taiga.ecquaria.org/project/presales-mccy-ioms/us/616</t>
    </r>
    <r>
      <rPr/>
      <t xml:space="preserve">
2. </t>
    </r>
    <r>
      <rPr>
        <color rgb="FF1155CC"/>
        <u/>
      </rPr>
      <t>https://taiga.ecquaria.org/project/presales-mccy-ioms/us/617</t>
    </r>
  </si>
  <si>
    <t>Digital ID:
1. #616 AdminPortal: Search engine enhancement and Filter (Version 2 - Client Profile)
2. #617 AdminPortal: Search engine enhancement and Filter (Version 2 - Employee Profile)
3. #829 Admin Portal: Allow to support URN endpoint in Client
4. #834 Admin Portal: Change the Product page link in the Welcome email to the FIX URL
5. #831 Admin Portal: Welcome email content that sent after create employee and that sent by Notify is different
6. #830 Admin Portal: In Notification, the "Sent At" value is incorrect and remove the "Sent By"
7. #726 Admin Portal: When click reset button in Employee Update, some fields are cleared and not go back to the original values
8. #807 Admin Portal: URL/Link in the email did not redirect to the respective page</t>
  </si>
  <si>
    <t>Taiga:
1. In Progress
2. In Progress
3. Completed
4. Completed
5. Completed
6. Completed
7. In Progress
8. Completed</t>
  </si>
  <si>
    <r>
      <rPr/>
      <t xml:space="preserve">Taiga:
1. </t>
    </r>
    <r>
      <rPr>
        <color rgb="FF1155CC"/>
        <u/>
      </rPr>
      <t>https://taiga.ecquaria.org/project/presales-mccy-ioms/us/616</t>
    </r>
    <r>
      <rPr/>
      <t xml:space="preserve">
2. </t>
    </r>
    <r>
      <rPr>
        <color rgb="FF1155CC"/>
        <u/>
      </rPr>
      <t xml:space="preserve">https://taiga.ecquaria.org/project/presales-mccy-ioms/us/617
</t>
    </r>
    <r>
      <rPr/>
      <t xml:space="preserve">3. </t>
    </r>
    <r>
      <rPr>
        <color rgb="FF1155CC"/>
        <u/>
      </rPr>
      <t xml:space="preserve">https://taiga.ecquaria.org/project/tecq-digital-id/issue/829
</t>
    </r>
    <r>
      <rPr/>
      <t xml:space="preserve">4. </t>
    </r>
    <r>
      <rPr>
        <color rgb="FF1155CC"/>
        <u/>
      </rPr>
      <t xml:space="preserve">https://taiga.ecquaria.org/project/tecq-digital-id/issue/834
</t>
    </r>
    <r>
      <rPr/>
      <t xml:space="preserve">5. </t>
    </r>
    <r>
      <rPr>
        <color rgb="FF1155CC"/>
        <u/>
      </rPr>
      <t xml:space="preserve">https://taiga.ecquaria.org/project/tecq-digital-id/issue/831
</t>
    </r>
    <r>
      <rPr/>
      <t xml:space="preserve">6. </t>
    </r>
    <r>
      <rPr>
        <color rgb="FF1155CC"/>
        <u/>
      </rPr>
      <t xml:space="preserve">https://taiga.ecquaria.org/project/tecq-digital-id/issue/830
</t>
    </r>
    <r>
      <rPr/>
      <t xml:space="preserve">7. </t>
    </r>
    <r>
      <rPr>
        <color rgb="FF1155CC"/>
        <u/>
      </rPr>
      <t xml:space="preserve">https://taiga.ecquaria.org/project/tecq-digital-id/issue/726
</t>
    </r>
    <r>
      <rPr/>
      <t xml:space="preserve">8. </t>
    </r>
    <r>
      <rPr>
        <color rgb="FF1155CC"/>
        <u/>
      </rPr>
      <t>https://taiga.ecquaria.org/project/tecq-digital-id/issue/807</t>
    </r>
  </si>
  <si>
    <t>Digital ID:
1. #616 AdminPortal: Search engine enhancement and Filter (Version 2 - Client Profile)
2. #617 AdminPortal: Search engine enhancement and Filter (Version 2 - Employee Profile)
3. #837 Admin Portal-PROD: Edit existing Client Profile for mobile app will throw error
4. #852 Admin Portal: Missing placeholder for photo when empty in Client Update page
5. #851 Admin Portal: When update client successfully, then there are some data that not updated in Client Detail page
6. #675 Admin Portal: There is no info displayed when hover on icon information beside "eKYC Basic" and "eKYC Full" OAuth Scope options in Client Registration and Client Update page
7. #726 Admin Portal: When click reset button in Employee Update, some fields are cleared and not go back to the original values</t>
  </si>
  <si>
    <t>Taiga:
1. Completed
2. In Progress
3. No action required (Accepted)
4. Completed
5. Completed
6. Completed
7. Completed</t>
  </si>
  <si>
    <r>
      <rPr/>
      <t xml:space="preserve">Taiga:
1. </t>
    </r>
    <r>
      <rPr>
        <color rgb="FF1155CC"/>
        <u/>
      </rPr>
      <t>https://taiga.ecquaria.org/project/presales-mccy-ioms/us/616</t>
    </r>
    <r>
      <rPr/>
      <t xml:space="preserve">
2. </t>
    </r>
    <r>
      <rPr>
        <color rgb="FF1155CC"/>
        <u/>
      </rPr>
      <t xml:space="preserve">https://taiga.ecquaria.org/project/presales-mccy-ioms/us/617
</t>
    </r>
    <r>
      <rPr/>
      <t xml:space="preserve">3. </t>
    </r>
    <r>
      <rPr>
        <color rgb="FF1155CC"/>
        <u/>
      </rPr>
      <t xml:space="preserve">https://taiga.ecquaria.org/project/tecq-digital-id/issue/837
</t>
    </r>
    <r>
      <rPr/>
      <t xml:space="preserve">4. </t>
    </r>
    <r>
      <rPr>
        <color rgb="FF1155CC"/>
        <u/>
      </rPr>
      <t xml:space="preserve">https://taiga.ecquaria.org/project/tecq-digital-id/issue/852
</t>
    </r>
    <r>
      <rPr/>
      <t xml:space="preserve">5. </t>
    </r>
    <r>
      <rPr>
        <color rgb="FF1155CC"/>
        <u/>
      </rPr>
      <t xml:space="preserve">https://taiga.ecquaria.org/project/tecq-digital-id/issue/851
</t>
    </r>
    <r>
      <rPr/>
      <t xml:space="preserve">6. </t>
    </r>
    <r>
      <rPr>
        <color rgb="FF1155CC"/>
        <u/>
      </rPr>
      <t xml:space="preserve">https://taiga.ecquaria.org/project/tecq-digital-id/issue/675
</t>
    </r>
    <r>
      <rPr/>
      <t xml:space="preserve">7. </t>
    </r>
    <r>
      <rPr>
        <color rgb="FF1155CC"/>
        <u/>
      </rPr>
      <t>https://taiga.ecquaria.org/project/tecq-digital-id/issue/726</t>
    </r>
  </si>
  <si>
    <t>Digital ID:
1. #617 AdminPortal: Search engine enhancement and Filter (Version 2 - Employee Profile)
2. #838 Admin Portal: Error handling missing when created user email already in used.
3. #849 Admin Portal-PROD: Failed to create new user when address is empty
4. #857 Admin Portal: After delete client, the Client Profile will be filtered by the deleted clientID automatically</t>
  </si>
  <si>
    <t>Taiga:
1. Postponed
2. Completed
3. Completed
4. Completed</t>
  </si>
  <si>
    <r>
      <rPr/>
      <t xml:space="preserve">Taiga:
1. </t>
    </r>
    <r>
      <rPr>
        <color rgb="FF1155CC"/>
        <u/>
      </rPr>
      <t>https://taiga.ecquaria.org/project/presales-mccy-ioms/us/617</t>
    </r>
    <r>
      <rPr/>
      <t xml:space="preserve">
2. </t>
    </r>
    <r>
      <rPr>
        <color rgb="FF1155CC"/>
        <u/>
      </rPr>
      <t xml:space="preserve">https://taiga.ecquaria.org/project/tecq-digital-id/issue/838
</t>
    </r>
    <r>
      <rPr/>
      <t xml:space="preserve">3. </t>
    </r>
    <r>
      <rPr>
        <color rgb="FF1155CC"/>
        <u/>
      </rPr>
      <t xml:space="preserve">https://taiga.ecquaria.org/project/tecq-digital-id/issue/849
</t>
    </r>
    <r>
      <rPr/>
      <t xml:space="preserve">4. </t>
    </r>
    <r>
      <rPr>
        <color rgb="FF1155CC"/>
        <u/>
      </rPr>
      <t>https://taiga.ecquaria.org/project/tecq-digital-id/issue/857</t>
    </r>
  </si>
  <si>
    <t>Digital ID:
1. #617 AdminPortal: Search engine enhancement and Filter (Version 2 - Employee Profile)
2. #861 Admin Portal: When show the Client Secret for Client with CIBA then the content layout in Client Registration Successful is messed up
3. #862 Admin Portal: The Notification Sent Successfully card size should be bigger
4. #874 Admin Portal: Rename the label in Client Profile filter to follow as in Client Registration
5. #876 Admin Portal: Add Group column in the Sent Notification list
6. #875 Admin Portal: Missing Group info in Notification Sent Successfully card</t>
  </si>
  <si>
    <t>Taiga:
1. In Research
2. Completed
3. Completed
4. Completed
5. Completed
6. Completed</t>
  </si>
  <si>
    <r>
      <rPr/>
      <t xml:space="preserve">Taiga:
1. </t>
    </r>
    <r>
      <rPr>
        <color rgb="FF1155CC"/>
        <u/>
      </rPr>
      <t>https://taiga.ecquaria.org/project/presales-mccy-ioms/us/617</t>
    </r>
    <r>
      <rPr/>
      <t xml:space="preserve">
2. </t>
    </r>
    <r>
      <rPr>
        <color rgb="FF1155CC"/>
        <u/>
      </rPr>
      <t xml:space="preserve">https://taiga.ecquaria.org/project/tecq-digital-id/issue/861
</t>
    </r>
    <r>
      <rPr/>
      <t xml:space="preserve">3. </t>
    </r>
    <r>
      <rPr>
        <color rgb="FF1155CC"/>
        <u/>
      </rPr>
      <t xml:space="preserve">https://taiga.ecquaria.org/project/tecq-digital-id/issue/862
</t>
    </r>
    <r>
      <rPr/>
      <t xml:space="preserve">4. </t>
    </r>
    <r>
      <rPr>
        <color rgb="FF1155CC"/>
        <u/>
      </rPr>
      <t xml:space="preserve">https://taiga.ecquaria.org/project/tecq-digital-id/issue/874
</t>
    </r>
    <r>
      <rPr/>
      <t xml:space="preserve">5. </t>
    </r>
    <r>
      <rPr>
        <color rgb="FF1155CC"/>
        <u/>
      </rPr>
      <t xml:space="preserve">https://taiga.ecquaria.org/project/tecq-digital-id/issue/876
</t>
    </r>
    <r>
      <rPr/>
      <t xml:space="preserve">6. </t>
    </r>
    <r>
      <rPr>
        <color rgb="FF1155CC"/>
        <u/>
      </rPr>
      <t>https://taiga.ecquaria.org/project/tecq-digital-id/issue/875</t>
    </r>
  </si>
  <si>
    <t>Overtime:
17.00 - 22.00
Note:
1. Need to research since the simplest way can't be reached</t>
  </si>
  <si>
    <t>Digital ID:
1. #617 AdminPortal: Search engine enhancement and Filter (Version 2 - Employee Profile)</t>
  </si>
  <si>
    <r>
      <rPr/>
      <t xml:space="preserve">Taiga:
1. </t>
    </r>
    <r>
      <rPr>
        <color rgb="FF1155CC"/>
        <u/>
      </rPr>
      <t>https://taiga.ecquaria.org/project/presales-mccy-ioms/us/617</t>
    </r>
  </si>
  <si>
    <t>Overtime:
18.30 - 21.30</t>
  </si>
  <si>
    <r>
      <rPr/>
      <t xml:space="preserve">Taiga:
1. </t>
    </r>
    <r>
      <rPr>
        <color rgb="FF1155CC"/>
        <u/>
      </rPr>
      <t>https://taiga.ecquaria.org/project/presales-mccy-ioms/us/617</t>
    </r>
  </si>
  <si>
    <r>
      <rPr/>
      <t xml:space="preserve">Taiga:
1. </t>
    </r>
    <r>
      <rPr>
        <color rgb="FF1155CC"/>
        <u/>
      </rPr>
      <t>https://taiga.ecquaria.org/project/presales-mccy-ioms/us/617</t>
    </r>
  </si>
  <si>
    <t>Overtime:
18.30 - 20.30</t>
  </si>
  <si>
    <t>Digital ID:
1. #815 AdminPortal: MutilTenant Filter for Employee Profile and Client Profile</t>
  </si>
  <si>
    <r>
      <rPr/>
      <t xml:space="preserve">Taiga:
1. </t>
    </r>
    <r>
      <rPr>
        <color rgb="FF1155CC"/>
        <u/>
      </rPr>
      <t>https://taiga.ecquaria.org/project/tecq-digital-id/task/815</t>
    </r>
  </si>
  <si>
    <t>Digital ID:
1. #861 Admin Portal: When show the Client Secret for Client with CIBA then the content layout in Client Registration Successful is messed up
2. #896 AdminPortal: MutilTenant Filter for Notification list (Sent Notification)</t>
  </si>
  <si>
    <r>
      <rPr/>
      <t xml:space="preserve">Taiga:
1. </t>
    </r>
    <r>
      <rPr>
        <color rgb="FF1155CC"/>
        <u/>
      </rPr>
      <t xml:space="preserve">https://taiga.ecquaria.org/project/tecq-digital-id/issue/861
</t>
    </r>
    <r>
      <rPr/>
      <t xml:space="preserve">2. </t>
    </r>
    <r>
      <rPr>
        <color rgb="FF1155CC"/>
        <u/>
      </rPr>
      <t>https://taiga.ecquaria.org/project/tecq-digital-id/task/896</t>
    </r>
  </si>
  <si>
    <t>Digital ID:
1. #735 AdminPortal: Create "Tenant Profile" Page
2. #620 Admin Portal - Create "Delete Tenant" Function</t>
  </si>
  <si>
    <r>
      <rPr/>
      <t xml:space="preserve">Taiga:
1. </t>
    </r>
    <r>
      <rPr>
        <color rgb="FF1155CC"/>
        <u/>
      </rPr>
      <t>https://taiga.ecquaria.org/project/tecq-digital-id/task/735</t>
    </r>
    <r>
      <rPr/>
      <t xml:space="preserve">
2. </t>
    </r>
    <r>
      <rPr>
        <color rgb="FF1155CC"/>
        <u/>
      </rPr>
      <t>https://taiga.ecquaria.org/project/presales-mccy-ioms/us/620</t>
    </r>
  </si>
  <si>
    <t>Digital ID:
1. #945 Admin Portal: Notification ID in Notification Details is not sync
2. #947 AdminPortal: User Feedback on 0.0 Hotfix
3. #618 Admin Portal - Create "Detail Tenant" Page
4. #955 Admin Portal: Update Client with unselect CIBA but the client still given to client_secret_post that cause failed login authentication</t>
  </si>
  <si>
    <t>Taiga:
1. Completed
2. Completed
3. Completed
4. In Progress</t>
  </si>
  <si>
    <r>
      <rPr/>
      <t xml:space="preserve">Taiga:
1. </t>
    </r>
    <r>
      <rPr>
        <color rgb="FF1155CC"/>
        <u/>
      </rPr>
      <t>https://taiga.ecquaria.org/project/tecq-digital-id/issue/945</t>
    </r>
    <r>
      <rPr/>
      <t xml:space="preserve">
2. </t>
    </r>
    <r>
      <rPr>
        <color rgb="FF1155CC"/>
        <u/>
      </rPr>
      <t xml:space="preserve">https://taiga.ecquaria.org/project/tecq-digital-id/issue/947
</t>
    </r>
    <r>
      <rPr/>
      <t xml:space="preserve">3. </t>
    </r>
    <r>
      <rPr>
        <color rgb="FF1155CC"/>
        <u/>
      </rPr>
      <t xml:space="preserve">https://taiga.ecquaria.org/project/presales-mccy-ioms/us/618
</t>
    </r>
    <r>
      <rPr/>
      <t xml:space="preserve">4. </t>
    </r>
    <r>
      <rPr>
        <color rgb="FF1155CC"/>
        <u/>
      </rPr>
      <t>https://taiga.ecquaria.org/project/tecq-digital-id/issue/955</t>
    </r>
  </si>
  <si>
    <t>Digital ID:
1. #955 Admin Portal: Update Client with unselect CIBA but the client still given to client_secret_post that cause failed login authentication
2. #963 Admin Portal: Cannot create new user because email as the login alias already exist
3. #734 AdminPortal: Create "Register Tenant" Page (Linking FE &amp; BE)
4. #619 Admin Portal - Create "Edit Tenant" Page (Linking FE &amp; BE)</t>
  </si>
  <si>
    <t>Taiga:
1. Completed
2. In Progress
3. In Progress
4. In Progress</t>
  </si>
  <si>
    <r>
      <rPr/>
      <t xml:space="preserve">Taiga:
1. </t>
    </r>
    <r>
      <rPr>
        <color rgb="FF1155CC"/>
        <u/>
      </rPr>
      <t xml:space="preserve">https://taiga.ecquaria.org/project/tecq-digital-id/issue/955
</t>
    </r>
    <r>
      <rPr/>
      <t xml:space="preserve">2. </t>
    </r>
    <r>
      <rPr>
        <color rgb="FF1155CC"/>
        <u/>
      </rPr>
      <t>https://taiga.ecquaria.org/project/tecq-digital-id/issue/963</t>
    </r>
    <r>
      <rPr/>
      <t xml:space="preserve">
3. </t>
    </r>
    <r>
      <rPr>
        <color rgb="FF1155CC"/>
        <u/>
      </rPr>
      <t xml:space="preserve">https://taiga.ecquaria.org/project/tecq-digital-id/task/734
</t>
    </r>
    <r>
      <rPr/>
      <t xml:space="preserve">4. </t>
    </r>
    <r>
      <rPr>
        <color rgb="FF1155CC"/>
        <u/>
      </rPr>
      <t>https://taiga.ecquaria.org/project/presales-mccy-ioms/us/619</t>
    </r>
  </si>
  <si>
    <t>Digital ID:
1. #963 Admin Portal: Cannot create new user because email as the login alias already exist
2. #734 AdminPortal: Create "Register Tenant" Page (Linking FE &amp; BE)
3. #619 Admin Portal - Create "Edit Tenant" Page (Linking FE &amp; BE)
4. #966 Register User - Company details are hardcoded
5. #964 Change Binding of Date of Joining from dateofissue to dateofbirth</t>
  </si>
  <si>
    <r>
      <rPr/>
      <t xml:space="preserve">Taiga:
1. </t>
    </r>
    <r>
      <rPr>
        <color rgb="FF1155CC"/>
        <u/>
      </rPr>
      <t>https://taiga.ecquaria.org/project/tecq-digital-id/issue/963</t>
    </r>
    <r>
      <rPr/>
      <t xml:space="preserve">
2. </t>
    </r>
    <r>
      <rPr>
        <color rgb="FF1155CC"/>
        <u/>
      </rPr>
      <t xml:space="preserve">https://taiga.ecquaria.org/project/tecq-digital-id/task/734
</t>
    </r>
    <r>
      <rPr/>
      <t xml:space="preserve">3. </t>
    </r>
    <r>
      <rPr>
        <color rgb="FF1155CC"/>
        <u/>
      </rPr>
      <t xml:space="preserve">https://taiga.ecquaria.org/project/presales-mccy-ioms/us/619
</t>
    </r>
    <r>
      <rPr/>
      <t xml:space="preserve">4. </t>
    </r>
    <r>
      <rPr>
        <color rgb="FF1155CC"/>
        <u/>
      </rPr>
      <t xml:space="preserve">https://taiga.ecquaria.org/project/tecq-digital-id/task/966
</t>
    </r>
    <r>
      <rPr/>
      <t xml:space="preserve">5. </t>
    </r>
    <r>
      <rPr>
        <color rgb="FF1155CC"/>
        <u/>
      </rPr>
      <t>https://taiga.ecquaria.org/project/tecq-digital-id/task/964</t>
    </r>
  </si>
  <si>
    <t>Digital ID:
1. #963 Admin Portal: Cannot create new user because email as the login alias already exist
2. #734 AdminPortal: Create "Register Tenant" Page (Linking FE &amp; BE)
3. #619 Admin Portal - Create "Edit Tenant" Page (Linking FE &amp; BE)</t>
  </si>
  <si>
    <t>Taiga:
1. In Progress
2. Completed
3. Completed</t>
  </si>
  <si>
    <r>
      <rPr/>
      <t xml:space="preserve">Taiga:
1. </t>
    </r>
    <r>
      <rPr>
        <color rgb="FF1155CC"/>
        <u/>
      </rPr>
      <t>https://taiga.ecquaria.org/project/tecq-digital-id/issue/963</t>
    </r>
    <r>
      <rPr/>
      <t xml:space="preserve">
2. </t>
    </r>
    <r>
      <rPr>
        <color rgb="FF1155CC"/>
        <u/>
      </rPr>
      <t xml:space="preserve">https://taiga.ecquaria.org/project/tecq-digital-id/task/734
</t>
    </r>
    <r>
      <rPr/>
      <t xml:space="preserve">3. </t>
    </r>
    <r>
      <rPr>
        <color rgb="FF1155CC"/>
        <u/>
      </rPr>
      <t>https://taiga.ecquaria.org/project/presales-mccy-ioms/us/619</t>
    </r>
  </si>
  <si>
    <t>Digital ID:
1. #963 Admin Portal: Cannot create new user because email as the login alias already exist
2. #894 UserPortal: Restructure My Profile and add more information</t>
  </si>
  <si>
    <t>Taiga:
1. In Progress
2. In Progress</t>
  </si>
  <si>
    <r>
      <rPr/>
      <t xml:space="preserve">Taiga:
1. </t>
    </r>
    <r>
      <rPr>
        <color rgb="FF1155CC"/>
        <u/>
      </rPr>
      <t xml:space="preserve">https://taiga.ecquaria.org/project/tecq-digital-id/issue/963
</t>
    </r>
    <r>
      <rPr/>
      <t xml:space="preserve">2. </t>
    </r>
    <r>
      <rPr>
        <color rgb="FF1155CC"/>
        <u/>
      </rPr>
      <t>https://taiga.ecquaria.org/project/tecq-digital-id/task/894</t>
    </r>
  </si>
  <si>
    <t>Taiga:
1. In Progress
2. Completed</t>
  </si>
  <si>
    <r>
      <rPr/>
      <t xml:space="preserve">Taiga:
1. </t>
    </r>
    <r>
      <rPr>
        <color rgb="FF1155CC"/>
        <u/>
      </rPr>
      <t xml:space="preserve">https://taiga.ecquaria.org/project/tecq-digital-id/issue/963
</t>
    </r>
    <r>
      <rPr/>
      <t xml:space="preserve">2. </t>
    </r>
    <r>
      <rPr>
        <color rgb="FF1155CC"/>
        <u/>
      </rPr>
      <t>https://taiga.ecquaria.org/project/tecq-digital-id/task/894</t>
    </r>
  </si>
  <si>
    <t>Digital ID:
1. #963 Admin Portal: Cannot create new user because email as the login alias already exist
2. #959 AdminPortal: Remove TID wording in role selection
3. #984 Admin Portal: Year in Employee Detail only display the last 2 digit
4. #985 Admin Portal: Remove Company field in Employee Update</t>
  </si>
  <si>
    <t>Taiga:
1. In Progress
2. In Progress
3. In Progress
4. In Progress</t>
  </si>
  <si>
    <r>
      <rPr/>
      <t xml:space="preserve">Taiga:
1. </t>
    </r>
    <r>
      <rPr>
        <color rgb="FF1155CC"/>
        <u/>
      </rPr>
      <t xml:space="preserve">https://taiga.ecquaria.org/project/tecq-digital-id/issue/963
</t>
    </r>
    <r>
      <rPr/>
      <t xml:space="preserve">2. </t>
    </r>
    <r>
      <rPr>
        <color rgb="FF1155CC"/>
        <u/>
      </rPr>
      <t xml:space="preserve">https://taiga.ecquaria.org/project/tecq-digital-id/task/959
</t>
    </r>
    <r>
      <rPr/>
      <t xml:space="preserve">3. </t>
    </r>
    <r>
      <rPr>
        <color rgb="FF1155CC"/>
        <u/>
      </rPr>
      <t>https://taiga.ecquaria.org/project/tecq-digital-id/issue/984</t>
    </r>
    <r>
      <rPr/>
      <t xml:space="preserve">
4. </t>
    </r>
    <r>
      <rPr>
        <color rgb="FF1155CC"/>
        <u/>
      </rPr>
      <t>https://taiga.ecquaria.org/project/tecq-digital-id/issue/985</t>
    </r>
  </si>
  <si>
    <r>
      <rPr/>
      <t xml:space="preserve">Taiga:
1. </t>
    </r>
    <r>
      <rPr>
        <color rgb="FF1155CC"/>
        <u/>
      </rPr>
      <t xml:space="preserve">https://taiga.ecquaria.org/project/tecq-digital-id/issue/963
</t>
    </r>
    <r>
      <rPr/>
      <t xml:space="preserve">2. </t>
    </r>
    <r>
      <rPr>
        <color rgb="FF1155CC"/>
        <u/>
      </rPr>
      <t xml:space="preserve">https://taiga.ecquaria.org/project/tecq-digital-id/task/959
</t>
    </r>
    <r>
      <rPr/>
      <t xml:space="preserve">3. </t>
    </r>
    <r>
      <rPr>
        <color rgb="FF1155CC"/>
        <u/>
      </rPr>
      <t>https://taiga.ecquaria.org/project/tecq-digital-id/issue/984</t>
    </r>
    <r>
      <rPr/>
      <t xml:space="preserve">
4. </t>
    </r>
    <r>
      <rPr>
        <color rgb="FF1155CC"/>
        <u/>
      </rPr>
      <t>https://taiga.ecquaria.org/project/tecq-digital-id/issue/985</t>
    </r>
  </si>
  <si>
    <t>Digital ID:
1. #963 Admin Portal: Cannot create new user because email as the login alias already exist
2. #959 AdminPortal: Remove TID wording in role selection
3. #984 Admin Portal: Year in Employee Detail only display the last 2 digit
4. #985 Admin Portal: Remove Company field in Employee Update
5. #1001 User Portal: get data from KAIZEN DB and not from user_profile unless there is no field in KAIZEN DB</t>
  </si>
  <si>
    <t>Taiga:
1. Completed
2. In Progress
3. In Progress
4. In Progress
5. Completed</t>
  </si>
  <si>
    <r>
      <rPr/>
      <t xml:space="preserve">Taiga:
1. </t>
    </r>
    <r>
      <rPr>
        <color rgb="FF1155CC"/>
        <u/>
      </rPr>
      <t xml:space="preserve">https://taiga.ecquaria.org/project/tecq-digital-id/issue/963
</t>
    </r>
    <r>
      <rPr/>
      <t xml:space="preserve">2. </t>
    </r>
    <r>
      <rPr>
        <color rgb="FF1155CC"/>
        <u/>
      </rPr>
      <t xml:space="preserve">https://taiga.ecquaria.org/project/tecq-digital-id/task/959
</t>
    </r>
    <r>
      <rPr/>
      <t xml:space="preserve">3. </t>
    </r>
    <r>
      <rPr>
        <color rgb="FF1155CC"/>
        <u/>
      </rPr>
      <t>https://taiga.ecquaria.org/project/tecq-digital-id/issue/984</t>
    </r>
    <r>
      <rPr/>
      <t xml:space="preserve">
4. </t>
    </r>
    <r>
      <rPr>
        <color rgb="FF1155CC"/>
        <u/>
      </rPr>
      <t xml:space="preserve">https://taiga.ecquaria.org/project/tecq-digital-id/issue/985
</t>
    </r>
    <r>
      <rPr/>
      <t xml:space="preserve">5. </t>
    </r>
    <r>
      <rPr>
        <color rgb="FF1155CC"/>
        <u/>
      </rPr>
      <t>https://taiga.ecquaria.org/project/tecq-digital-id/issue/1001</t>
    </r>
  </si>
  <si>
    <t>Digital ID:
1. #959 AdminPortal: Remove TID wording in role selection
2. #984 Admin Portal: Year in Employee Detail only display the last 2 digit
3. #985 Admin Portal: Remove Company field in Employee Update</t>
  </si>
  <si>
    <r>
      <rPr/>
      <t xml:space="preserve">Taiga:
1. </t>
    </r>
    <r>
      <rPr>
        <color rgb="FF1155CC"/>
        <u/>
      </rPr>
      <t xml:space="preserve">https://taiga.ecquaria.org/project/tecq-digital-id/task/959
</t>
    </r>
    <r>
      <rPr/>
      <t xml:space="preserve">2. </t>
    </r>
    <r>
      <rPr>
        <color rgb="FF1155CC"/>
        <u/>
      </rPr>
      <t>https://taiga.ecquaria.org/project/tecq-digital-id/issue/984</t>
    </r>
    <r>
      <rPr/>
      <t xml:space="preserve">
3. </t>
    </r>
    <r>
      <rPr>
        <color rgb="FF1155CC"/>
        <u/>
      </rPr>
      <t>https://taiga.ecquaria.org/project/tecq-digital-id/issue/985</t>
    </r>
  </si>
  <si>
    <t>Digital ID:
1. AdminPortal: Remove TID wording in role selection
2. AdminPortal: Add additional field - 'NRIC' for employee
3. User Portal: Cannot logout when session expired
4. Admin Portal: Display internal server error when session expired
5. Admin Portal: Cannot logout when session expired
6. Admin Portal: Indefinite loading when session expired</t>
  </si>
  <si>
    <t>Taiga:
1. Completed
2. In Progress
3. In Progress
4. In Progress
5. In Progress
6. In Progress</t>
  </si>
  <si>
    <r>
      <rPr/>
      <t xml:space="preserve">Taiga:
1. https://taiga.ecquaria.org/project/presales-mccy-ioms/us/724
2. </t>
    </r>
    <r>
      <rPr>
        <color rgb="FF1155CC"/>
        <u/>
      </rPr>
      <t>https://taiga.ecquaria.org/project/presales-mccy-ioms/us/761</t>
    </r>
    <r>
      <rPr/>
      <t xml:space="preserve">
3. </t>
    </r>
    <r>
      <rPr>
        <color rgb="FF1155CC"/>
        <u/>
      </rPr>
      <t>https://taiga.ecquaria.org/project/presales-mccy-ioms/us/764</t>
    </r>
    <r>
      <rPr/>
      <t xml:space="preserve">
4. </t>
    </r>
    <r>
      <rPr>
        <color rgb="FF1155CC"/>
        <u/>
      </rPr>
      <t>https://taiga.ecquaria.org/project/presales-mccy-ioms/us/767</t>
    </r>
    <r>
      <rPr/>
      <t xml:space="preserve">
5. </t>
    </r>
    <r>
      <rPr>
        <color rgb="FF1155CC"/>
        <u/>
      </rPr>
      <t>https://taiga.ecquaria.org/project/presales-mccy-ioms/us/765</t>
    </r>
    <r>
      <rPr/>
      <t xml:space="preserve">
6. </t>
    </r>
    <r>
      <rPr>
        <color rgb="FF1155CC"/>
        <u/>
      </rPr>
      <t>https://taiga.ecquaria.org/project/presales-mccy-ioms/us/766</t>
    </r>
  </si>
  <si>
    <t>Digital ID:
1. UserPortal: Add additional field - "NRIC"
2. Admin Portal: Get data from KAIZEN DB and not from user_profile unless there is no field in KAIZEN DB
3. User Portal: Cannot logout when session expired
4. Admin Portal: Display internal server error when session expired
5. Admin Portal: Cannot logout when session expired
6. Admin Portal: Indefinite loading when session expired</t>
  </si>
  <si>
    <r>
      <rPr/>
      <t xml:space="preserve">Taiga:
1. </t>
    </r>
    <r>
      <rPr>
        <color rgb="FF1155CC"/>
        <u/>
      </rPr>
      <t>https://taiga.ecquaria.org/project/presales-mccy-ioms/us/760</t>
    </r>
    <r>
      <rPr/>
      <t xml:space="preserve">
2. </t>
    </r>
    <r>
      <rPr>
        <color rgb="FF1155CC"/>
        <u/>
      </rPr>
      <t>https://taiga.ecquaria.org/project/presales-mccy-ioms/us/744</t>
    </r>
    <r>
      <rPr/>
      <t xml:space="preserve">
3. </t>
    </r>
    <r>
      <rPr>
        <color rgb="FF1155CC"/>
        <u/>
      </rPr>
      <t>https://taiga.ecquaria.org/project/presales-mccy-ioms/us/764</t>
    </r>
    <r>
      <rPr/>
      <t xml:space="preserve">
4. https://taiga.ecquaria.org/project/presales-mccy-ioms/us/767
5. </t>
    </r>
    <r>
      <rPr>
        <color rgb="FF1155CC"/>
        <u/>
      </rPr>
      <t>https://taiga.ecquaria.org/project/presales-mccy-ioms/us/765</t>
    </r>
    <r>
      <rPr/>
      <t xml:space="preserve">
6. </t>
    </r>
    <r>
      <rPr>
        <color rgb="FF1155CC"/>
        <u/>
      </rPr>
      <t>https://taiga.ecquaria.org/project/presales-mccy-ioms/us/766</t>
    </r>
  </si>
  <si>
    <t>Digital ID:
1. Admin Portal: Get data from KAIZEN DB and not from user_profile unless there is no field in KAIZEN DB
2. User Portal: Cannot logout when session expired
3. Admin Portal: Display internal server error when session expired
4. Admin Portal: Cannot logout when session expired
5. Admin Portal: Indefinite loading when session expired</t>
  </si>
  <si>
    <t>Taiga:
1. In Progress
2. In Progress
3. In Progress
4. In Progress
5. In Progress</t>
  </si>
  <si>
    <r>
      <rPr/>
      <t xml:space="preserve">Taiga:
1. </t>
    </r>
    <r>
      <rPr>
        <color rgb="FF1155CC"/>
        <u/>
      </rPr>
      <t>https://taiga.ecquaria.org/project/presales-mccy-ioms/us/744</t>
    </r>
    <r>
      <rPr/>
      <t xml:space="preserve">
2. </t>
    </r>
    <r>
      <rPr>
        <color rgb="FF1155CC"/>
        <u/>
      </rPr>
      <t>https://taiga.ecquaria.org/project/presales-mccy-ioms/us/764</t>
    </r>
    <r>
      <rPr/>
      <t xml:space="preserve">
3. </t>
    </r>
    <r>
      <rPr>
        <color rgb="FF1155CC"/>
        <u/>
      </rPr>
      <t>https://taiga.ecquaria.org/project/presales-mccy-ioms/us/767</t>
    </r>
    <r>
      <rPr/>
      <t xml:space="preserve">
4. </t>
    </r>
    <r>
      <rPr>
        <color rgb="FF1155CC"/>
        <u/>
      </rPr>
      <t>https://taiga.ecquaria.org/project/presales-mccy-ioms/us/765</t>
    </r>
    <r>
      <rPr/>
      <t xml:space="preserve">
5. </t>
    </r>
    <r>
      <rPr>
        <color rgb="FF1155CC"/>
        <u/>
      </rPr>
      <t>https://taiga.ecquaria.org/project/presales-mccy-ioms/us/766</t>
    </r>
  </si>
  <si>
    <r>
      <rPr/>
      <t xml:space="preserve">Taiga:
1. </t>
    </r>
    <r>
      <rPr>
        <color rgb="FF1155CC"/>
        <u/>
      </rPr>
      <t>https://taiga.ecquaria.org/project/presales-mccy-ioms/us/744</t>
    </r>
    <r>
      <rPr/>
      <t xml:space="preserve">
2. </t>
    </r>
    <r>
      <rPr>
        <color rgb="FF1155CC"/>
        <u/>
      </rPr>
      <t>https://taiga.ecquaria.org/project/presales-mccy-ioms/us/764</t>
    </r>
    <r>
      <rPr/>
      <t xml:space="preserve">
3. </t>
    </r>
    <r>
      <rPr>
        <color rgb="FF1155CC"/>
        <u/>
      </rPr>
      <t>https://taiga.ecquaria.org/project/presales-mccy-ioms/us/767</t>
    </r>
    <r>
      <rPr/>
      <t xml:space="preserve">
4. </t>
    </r>
    <r>
      <rPr>
        <color rgb="FF1155CC"/>
        <u/>
      </rPr>
      <t>https://taiga.ecquaria.org/project/presales-mccy-ioms/us/765</t>
    </r>
    <r>
      <rPr/>
      <t xml:space="preserve">
5. </t>
    </r>
    <r>
      <rPr>
        <color rgb="FF1155CC"/>
        <u/>
      </rPr>
      <t>https://taiga.ecquaria.org/project/presales-mccy-ioms/us/766</t>
    </r>
  </si>
  <si>
    <t>Digital ID:
1. Admin Portal: Get data from KAIZEN DB and not from user_profile unless there is no field in KAIZEN DB
2. User Portal: Cannot logout when session expired
3. Admin Portal: Display internal server error when session expired
4. User Portal: When set password, user got error weak password but the message is not clear enough
5. Admin Portal: Cannot logout when session expired
6. Admin Portal: Indefinite loading when session expired</t>
  </si>
  <si>
    <t>Taiga:
1. In Progress
2. In Progress
3. In Progress
4. In Progress
5. In Progress
6. In Progress</t>
  </si>
  <si>
    <r>
      <rPr/>
      <t xml:space="preserve">Taiga:
1. </t>
    </r>
    <r>
      <rPr>
        <color rgb="FF1155CC"/>
        <u/>
      </rPr>
      <t>https://taiga.ecquaria.org/project/presales-mccy-ioms/us/744</t>
    </r>
    <r>
      <rPr/>
      <t xml:space="preserve">
2. </t>
    </r>
    <r>
      <rPr>
        <color rgb="FF1155CC"/>
        <u/>
      </rPr>
      <t>https://taiga.ecquaria.org/project/presales-mccy-ioms/us/764</t>
    </r>
    <r>
      <rPr/>
      <t xml:space="preserve">
3. </t>
    </r>
    <r>
      <rPr>
        <color rgb="FF1155CC"/>
        <u/>
      </rPr>
      <t>https://taiga.ecquaria.org/project/presales-mccy-ioms/us/767</t>
    </r>
    <r>
      <rPr/>
      <t xml:space="preserve">
4. </t>
    </r>
    <r>
      <rPr>
        <color rgb="FF1155CC"/>
        <u/>
      </rPr>
      <t>https://taiga.ecquaria.org/project/presales-mccy-ioms/us/770</t>
    </r>
    <r>
      <rPr/>
      <t xml:space="preserve">
5. https://taiga.ecquaria.org/project/presales-mccy-ioms/us/765
6. </t>
    </r>
    <r>
      <rPr>
        <color rgb="FF1155CC"/>
        <u/>
      </rPr>
      <t>https://taiga.ecquaria.org/project/presales-mccy-ioms/us/766</t>
    </r>
  </si>
  <si>
    <t>Taiga:
1. Completed
2. Completed
3. Completed
4. In Progress
5. Completed
6. Completed</t>
  </si>
  <si>
    <r>
      <rPr/>
      <t xml:space="preserve">Taiga:
1. </t>
    </r>
    <r>
      <rPr>
        <color rgb="FF1155CC"/>
        <u/>
      </rPr>
      <t>https://taiga.ecquaria.org/project/presales-mccy-ioms/us/744</t>
    </r>
    <r>
      <rPr/>
      <t xml:space="preserve">
2. </t>
    </r>
    <r>
      <rPr>
        <color rgb="FF1155CC"/>
        <u/>
      </rPr>
      <t>https://taiga.ecquaria.org/project/presales-mccy-ioms/us/764</t>
    </r>
    <r>
      <rPr/>
      <t xml:space="preserve">
3. </t>
    </r>
    <r>
      <rPr>
        <color rgb="FF1155CC"/>
        <u/>
      </rPr>
      <t>https://taiga.ecquaria.org/project/presales-mccy-ioms/us/767</t>
    </r>
    <r>
      <rPr/>
      <t xml:space="preserve">
4. </t>
    </r>
    <r>
      <rPr>
        <color rgb="FF1155CC"/>
        <u/>
      </rPr>
      <t>https://taiga.ecquaria.org/project/presales-mccy-ioms/us/770</t>
    </r>
    <r>
      <rPr/>
      <t xml:space="preserve">
5. </t>
    </r>
    <r>
      <rPr>
        <color rgb="FF1155CC"/>
        <u/>
      </rPr>
      <t>https://taiga.ecquaria.org/project/presales-mccy-ioms/us/765</t>
    </r>
    <r>
      <rPr/>
      <t xml:space="preserve">
6. </t>
    </r>
    <r>
      <rPr>
        <color rgb="FF1155CC"/>
        <u/>
      </rPr>
      <t>https://taiga.ecquaria.org/project/presales-mccy-ioms/us/766</t>
    </r>
  </si>
  <si>
    <t>Digital ID:
1. Admin Portal: Close button in Notification Details is not working
2. User Portal: When set password, user got error weak password but the message is not clear enough
3. Admin Portal: Close button in Notification Details is not working
4. Admin Portal: "View Details" button in Notification History is not working for second time</t>
  </si>
  <si>
    <t>Taiga:
1. In Progress
2. Completed
3. In Progress
4. In Progress</t>
  </si>
  <si>
    <r>
      <rPr/>
      <t xml:space="preserve">Taiga:
1. https://taiga.ecquaria.org/project/presales-mccy-ioms/us/790
2. </t>
    </r>
    <r>
      <rPr>
        <color rgb="FF1155CC"/>
        <u/>
      </rPr>
      <t>https://taiga.ecquaria.org/project/presales-mccy-ioms/us/770</t>
    </r>
    <r>
      <rPr/>
      <t xml:space="preserve">
3. </t>
    </r>
    <r>
      <rPr>
        <color rgb="FF1155CC"/>
        <u/>
      </rPr>
      <t>https://taiga.ecquaria.org/project/presales-mccy-ioms/us/790</t>
    </r>
    <r>
      <rPr/>
      <t xml:space="preserve">
4. </t>
    </r>
    <r>
      <rPr>
        <color rgb="FF1155CC"/>
        <u/>
      </rPr>
      <t>https://taiga.ecquaria.org/project/presales-mccy-ioms/us/789</t>
    </r>
  </si>
  <si>
    <t>Digital ID:
1. Admin Portal: Display No Data in Employee Profile when search full name that has space in name
2. Admin Portal: Close button in Notification Details is not working
3. Admin Portal: Total records in Admin Dashboard page and the respective pages are different
4. Admin Portal: "View Details" button in Notification History is not working for second time
5. Admin Portal: Pagination issue in Employee Profile
6. Admin Portal: Remove TID wording in role selection in Employee Update
7. Admin Portal: Display No Data in Employee Profile when search full name that has space in name</t>
  </si>
  <si>
    <t>Taiga:
1. In Progress
2. Completed
3. Completed
4. Completed
5. Completed
6. Completed
7. In Progress</t>
  </si>
  <si>
    <r>
      <rPr/>
      <t xml:space="preserve">Taiga:
1. </t>
    </r>
    <r>
      <rPr>
        <color rgb="FF1155CC"/>
        <u/>
      </rPr>
      <t>https://taiga.ecquaria.org/project/presales-mccy-ioms/us/793</t>
    </r>
    <r>
      <rPr/>
      <t xml:space="preserve">
2. </t>
    </r>
    <r>
      <rPr>
        <color rgb="FF1155CC"/>
        <u/>
      </rPr>
      <t>https://taiga.ecquaria.org/project/presales-mccy-ioms/us/790</t>
    </r>
    <r>
      <rPr/>
      <t xml:space="preserve">
3. </t>
    </r>
    <r>
      <rPr>
        <color rgb="FF1155CC"/>
        <u/>
      </rPr>
      <t>https://taiga.ecquaria.org/project/presales-mccy-ioms/us/798</t>
    </r>
    <r>
      <rPr/>
      <t xml:space="preserve">
4. </t>
    </r>
    <r>
      <rPr>
        <color rgb="FF1155CC"/>
        <u/>
      </rPr>
      <t>https://taiga.ecquaria.org/project/presales-mccy-ioms/us/789</t>
    </r>
    <r>
      <rPr/>
      <t xml:space="preserve">
5. </t>
    </r>
    <r>
      <rPr>
        <color rgb="FF1155CC"/>
        <u/>
      </rPr>
      <t>https://taiga.ecquaria.org/project/presales-mccy-ioms/us/794</t>
    </r>
    <r>
      <rPr/>
      <t xml:space="preserve">
6. </t>
    </r>
    <r>
      <rPr>
        <color rgb="FF1155CC"/>
        <u/>
      </rPr>
      <t xml:space="preserve">https://taiga.ecquaria.org/project/presales-mccy-ioms/us/797
</t>
    </r>
    <r>
      <rPr/>
      <t xml:space="preserve">7. </t>
    </r>
    <r>
      <rPr>
        <color rgb="FF1155CC"/>
        <u/>
      </rPr>
      <t>https://taiga.ecquaria.org/project/presales-mccy-ioms/us/793</t>
    </r>
  </si>
  <si>
    <t>Digital ID:
1. Admin Portal: Display No Data in Employee Profile when search full name that has space in name
2. AdminPortal: Customizable Department list based on Tenant
3. #1070 Admin Portal: broken image in Create tenant
4. #1071 Admin Portal: Indefinite loading when open Tenant Detail page
5. #1067 Admin Portal: System owner cannot edit tenant in Employee Update
6. #1069 Admin Portal: Missing NRIC value in Employee Update</t>
  </si>
  <si>
    <t>Taiga:
1. Completed
2. In Progress
3. Completed
4. Completed
5. Completed
6. Completed</t>
  </si>
  <si>
    <r>
      <rPr/>
      <t xml:space="preserve">Taiga:
1. </t>
    </r>
    <r>
      <rPr>
        <color rgb="FF1155CC"/>
        <u/>
      </rPr>
      <t>https://taiga.ecquaria.org/project/presales-mccy-ioms/us/793</t>
    </r>
    <r>
      <rPr/>
      <t xml:space="preserve">
2. </t>
    </r>
    <r>
      <rPr>
        <color rgb="FF1155CC"/>
        <u/>
      </rPr>
      <t>https://taiga.ecquaria.org/project/presales-mccy-ioms/us/791</t>
    </r>
    <r>
      <rPr/>
      <t xml:space="preserve">
3. </t>
    </r>
    <r>
      <rPr>
        <color rgb="FF1155CC"/>
        <u/>
      </rPr>
      <t>https://taiga.ecquaria.org/project/tecq-digital-id/issue/1070</t>
    </r>
    <r>
      <rPr/>
      <t xml:space="preserve">
4. </t>
    </r>
    <r>
      <rPr>
        <color rgb="FF1155CC"/>
        <u/>
      </rPr>
      <t>https://taiga.ecquaria.org/project/tecq-digital-id/issue/1071</t>
    </r>
    <r>
      <rPr/>
      <t xml:space="preserve">
5. </t>
    </r>
    <r>
      <rPr>
        <color rgb="FF1155CC"/>
        <u/>
      </rPr>
      <t>https://taiga.ecquaria.org/project/tecq-digital-id/issue/1067</t>
    </r>
    <r>
      <rPr/>
      <t xml:space="preserve">
6. </t>
    </r>
    <r>
      <rPr>
        <color rgb="FF1155CC"/>
        <u/>
      </rPr>
      <t>https://taiga.ecquaria.org/project/tecq-digital-id/issue/1069</t>
    </r>
  </si>
  <si>
    <t>Digital ID:
1. AdminPortal: Customizable Department list based on Tenant
2. #1073 Admin Portal: Error message when delete tenant that already used
3. #1068 Admin Portal: Confirm button in Account Termination Dialog is active when email text box is empty</t>
  </si>
  <si>
    <r>
      <rPr/>
      <t xml:space="preserve">Taiga:
1. </t>
    </r>
    <r>
      <rPr>
        <color rgb="FF1155CC"/>
        <u/>
      </rPr>
      <t>https://taiga.ecquaria.org/project/presales-mccy-ioms/us/791</t>
    </r>
    <r>
      <rPr/>
      <t xml:space="preserve">
2. </t>
    </r>
    <r>
      <rPr>
        <color rgb="FF1155CC"/>
        <u/>
      </rPr>
      <t>https://taiga.ecquaria.org/project/tecq-digital-id/issue/1073</t>
    </r>
    <r>
      <rPr/>
      <t xml:space="preserve">
3. </t>
    </r>
    <r>
      <rPr>
        <color rgb="FF1155CC"/>
        <u/>
      </rPr>
      <t>https://taiga.ecquaria.org/project/tecq-digital-id/issue/1068</t>
    </r>
  </si>
  <si>
    <t>Digital ID:
1. #1034 Admin Portal: Remove "{noop}" from Client Secret value in Client Registration Successful
2. #1082 Admin Portal: Click "To Portal Page" in Access Denied page kept redirect to Access Denied page
3. #1025 User Portal: Cannot logout when session expired
4. #1080 User Portal: Date of Joining should be displayed under Business Information section in My Profile</t>
  </si>
  <si>
    <r>
      <rPr/>
      <t xml:space="preserve">Taiga:
1. </t>
    </r>
    <r>
      <rPr>
        <color rgb="FF1155CC"/>
        <u/>
      </rPr>
      <t xml:space="preserve">https://taiga.ecquaria.org/project/tecq-digital-id/issue/1034
</t>
    </r>
    <r>
      <rPr/>
      <t xml:space="preserve">2. </t>
    </r>
    <r>
      <rPr>
        <color rgb="FF1155CC"/>
        <u/>
      </rPr>
      <t xml:space="preserve">https://taiga.ecquaria.org/project/tecq-digital-id/issue/1082
</t>
    </r>
    <r>
      <rPr/>
      <t xml:space="preserve">3. </t>
    </r>
    <r>
      <rPr>
        <color rgb="FF1155CC"/>
        <u/>
      </rPr>
      <t xml:space="preserve">https://taiga.ecquaria.org/project/tecq-digital-id/issue/1025
</t>
    </r>
    <r>
      <rPr/>
      <t xml:space="preserve">4. </t>
    </r>
    <r>
      <rPr>
        <color rgb="FF1155CC"/>
        <u/>
      </rPr>
      <t>https://taiga.ecquaria.org/project/tecq-digital-id/issue/1080</t>
    </r>
  </si>
  <si>
    <t>Digital ID:
1. #1087 Admin Portal: The client secret is blank in Client Registration Successful when create non CIBA client
2. #1061 Admin Portal: Total records in Admin Dashboard page and the respective pages are different
3. #1024 Admin Portal: Cannot logout when session expired</t>
  </si>
  <si>
    <t>Taiga:
1. Completed
2. Completed
3. In Progress</t>
  </si>
  <si>
    <r>
      <rPr/>
      <t xml:space="preserve">Taiga:
1. </t>
    </r>
    <r>
      <rPr>
        <color rgb="FF1155CC"/>
        <u/>
      </rPr>
      <t xml:space="preserve">https://taiga.ecquaria.org/project/tecq-digital-id/issue/1087
</t>
    </r>
    <r>
      <rPr/>
      <t xml:space="preserve">2. </t>
    </r>
    <r>
      <rPr>
        <color rgb="FF1155CC"/>
        <u/>
      </rPr>
      <t xml:space="preserve">https://taiga.ecquaria.org/project/tecq-digital-id/issue/1061
</t>
    </r>
    <r>
      <rPr/>
      <t xml:space="preserve">3. </t>
    </r>
    <r>
      <rPr>
        <color rgb="FF1155CC"/>
        <u/>
      </rPr>
      <t>https://taiga.ecquaria.org/project/tecq-digital-id/issue/1024</t>
    </r>
  </si>
  <si>
    <t>Digital ID:
1. #1024 Admin Portal: Cannot logout when session expired
2. #1073 Admin Portal: Error message when delete tenant that already used
3. #1090 Admin Portal: Cannot input Department with space in Create Tenant and Update Tenant
4. #1084 User Portal: Cannot login after session expired
5. #1083 User Portal: After session expired, it redirect to KAIZEN login instead of User Landing page</t>
  </si>
  <si>
    <r>
      <rPr/>
      <t xml:space="preserve">Taiga:
1. </t>
    </r>
    <r>
      <rPr>
        <color rgb="FF1155CC"/>
        <u/>
      </rPr>
      <t>https://taiga.ecquaria.org/project/tecq-digital-id/issue/1024</t>
    </r>
    <r>
      <rPr/>
      <t xml:space="preserve">
2. </t>
    </r>
    <r>
      <rPr>
        <color rgb="FF1155CC"/>
        <u/>
      </rPr>
      <t xml:space="preserve">https://taiga.ecquaria.org/project/tecq-digital-id/issue/1073
</t>
    </r>
    <r>
      <rPr/>
      <t xml:space="preserve">3. </t>
    </r>
    <r>
      <rPr>
        <color rgb="FF1155CC"/>
        <u/>
      </rPr>
      <t>https://taiga.ecquaria.org/project/tecq-digital-id/issue/1090</t>
    </r>
    <r>
      <rPr/>
      <t xml:space="preserve">
4. </t>
    </r>
    <r>
      <rPr>
        <color rgb="FF1155CC"/>
        <u/>
      </rPr>
      <t>https://taiga.ecquaria.org/project/tecq-digital-id/issue/1084</t>
    </r>
    <r>
      <rPr/>
      <t xml:space="preserve">
5. </t>
    </r>
    <r>
      <rPr>
        <color rgb="FF1155CC"/>
        <u/>
      </rPr>
      <t>https://taiga.ecquaria.org/project/tecq-digital-id/issue/1083</t>
    </r>
  </si>
  <si>
    <t>Digital ID:
1. #1081 User Portal: Got error "Please login" when input invalid OTP in Account Registration page
2. #1085 User Portal: Got error "Please login" when click Next in Account Registration after session expired
3. #1091 Admin Portal: Reset behaviour in Update Tenant did not clear the error message
4. #1092 Admin Portal: Reset behaviour in Update Client did not clear the error message</t>
  </si>
  <si>
    <r>
      <rPr/>
      <t xml:space="preserve">Taiga:
1. </t>
    </r>
    <r>
      <rPr>
        <color rgb="FF1155CC"/>
        <u/>
      </rPr>
      <t>https://taiga.ecquaria.org/project/tecq-digital-id/issue/1081</t>
    </r>
    <r>
      <rPr/>
      <t xml:space="preserve">
2. </t>
    </r>
    <r>
      <rPr>
        <color rgb="FF1155CC"/>
        <u/>
      </rPr>
      <t>https://taiga.ecquaria.org/project/tecq-digital-id/issue/1085</t>
    </r>
    <r>
      <rPr/>
      <t xml:space="preserve">
3. </t>
    </r>
    <r>
      <rPr>
        <color rgb="FF1155CC"/>
        <u/>
      </rPr>
      <t>https://taiga.ecquaria.org/project/tecq-digital-id/issue/1091</t>
    </r>
    <r>
      <rPr/>
      <t xml:space="preserve">
4. </t>
    </r>
    <r>
      <rPr>
        <color rgb="FF1155CC"/>
        <u/>
      </rPr>
      <t>https://taiga.ecquaria.org/project/tecq-digital-id/issue/1092</t>
    </r>
  </si>
  <si>
    <t>Digital ID:
1. #1097 Admin Portal: Department list is not displayed in Employee Registration
2. #1096 User Portal: Cannot login because got error 500
3. #1098 Admin Portal: Department list displayed in Employee Update page is not based on the tenant
4. #834 Admin Portal: Move Create and Profile Tenant Into the Top
5. #1075 Admin Portal: Delete button colour is not standardized
6. #1090 Admin Portal: Cannot input Department with space in Create Tenant and Update Tenant
7. #1022 Admin Portal: Display internal server error when session expired</t>
  </si>
  <si>
    <t>Taiga:
1. Completed
2. Completed
3. Completed
4. Completed
5. Completed
6. Completed
7. In Progress</t>
  </si>
  <si>
    <r>
      <rPr/>
      <t xml:space="preserve">Taiga:
1. </t>
    </r>
    <r>
      <rPr>
        <color rgb="FF1155CC"/>
        <u/>
      </rPr>
      <t xml:space="preserve">https://taiga.ecquaria.org/project/tecq-digital-id/issue/1097
</t>
    </r>
    <r>
      <rPr/>
      <t xml:space="preserve">2. </t>
    </r>
    <r>
      <rPr>
        <color rgb="FF1155CC"/>
        <u/>
      </rPr>
      <t>https://taiga.ecquaria.org/project/tecq-digital-id/issue/1096</t>
    </r>
    <r>
      <rPr/>
      <t xml:space="preserve">
3. </t>
    </r>
    <r>
      <rPr>
        <color rgb="FF1155CC"/>
        <u/>
      </rPr>
      <t xml:space="preserve">https://taiga.ecquaria.org/project/tecq-digital-id/issue/1098
</t>
    </r>
    <r>
      <rPr/>
      <t xml:space="preserve">4. </t>
    </r>
    <r>
      <rPr>
        <color rgb="FF1155CC"/>
        <u/>
      </rPr>
      <t xml:space="preserve">https://taiga.ecquaria.org/project/presales-mccy-ioms/us/834
</t>
    </r>
    <r>
      <rPr/>
      <t xml:space="preserve">5. </t>
    </r>
    <r>
      <rPr>
        <color rgb="FF1155CC"/>
        <u/>
      </rPr>
      <t xml:space="preserve">https://taiga.ecquaria.org/project/tecq-digital-id/issue/1075
</t>
    </r>
    <r>
      <rPr/>
      <t xml:space="preserve">6. </t>
    </r>
    <r>
      <rPr>
        <color rgb="FF1155CC"/>
        <u/>
      </rPr>
      <t>https://taiga.ecquaria.org/project/tecq-digital-id/issue/1090</t>
    </r>
    <r>
      <rPr/>
      <t xml:space="preserve">
7. </t>
    </r>
    <r>
      <rPr>
        <color rgb="FF1155CC"/>
        <u/>
      </rPr>
      <t>https://taiga.ecquaria.org/project/tecq-digital-id/issue/1022</t>
    </r>
  </si>
  <si>
    <t xml:space="preserve">Digital ID:
1. #1105 Admin Portal: Remove System Owner role in Employee Registration and Employee Update
2. #1101 Admin Portal: Wrong error message and wrong placeholder text for Client Name in Client Update
3. #1096 User Portal: Cannot login into User Portal
4. #1022 Admin Portal: Display internal server error when session expired
</t>
  </si>
  <si>
    <r>
      <rPr/>
      <t xml:space="preserve">Taiga:
1. </t>
    </r>
    <r>
      <rPr>
        <color rgb="FF1155CC"/>
        <u/>
      </rPr>
      <t>https://taiga.ecquaria.org/project/tecq-digital-id/issue/1105</t>
    </r>
    <r>
      <rPr/>
      <t xml:space="preserve">
2. </t>
    </r>
    <r>
      <rPr>
        <color rgb="FF1155CC"/>
        <u/>
      </rPr>
      <t>https://taiga.ecquaria.org/project/tecq-digital-id/issue/1101</t>
    </r>
    <r>
      <rPr/>
      <t xml:space="preserve">
3. </t>
    </r>
    <r>
      <rPr>
        <color rgb="FF1155CC"/>
        <u/>
      </rPr>
      <t>https://taiga.ecquaria.org/project/tecq-digital-id/issue/1096</t>
    </r>
    <r>
      <rPr/>
      <t xml:space="preserve">
4. </t>
    </r>
    <r>
      <rPr>
        <color rgb="FF1155CC"/>
        <u/>
      </rPr>
      <t>https://taiga.ecquaria.org/project/tecq-digital-id/issue/1022</t>
    </r>
  </si>
  <si>
    <t>Digital ID:
1. #1073 Admin Portal: Error message when delete tenant that already used
2. #837 Admin Portal: Each Tenant Should Have Different Domain
3. #1112 Admin Portal: Increate 'Issuer Code' allow char to 100
4. #1111 Admin Portal: User got error 500 when update employee data, but the data is updated
5. #1022 Admin Portal: Display internal server error when session expired</t>
  </si>
  <si>
    <r>
      <rPr/>
      <t xml:space="preserve">Taiga:
1. </t>
    </r>
    <r>
      <rPr>
        <color rgb="FF1155CC"/>
        <u/>
      </rPr>
      <t xml:space="preserve">https://taiga.ecquaria.org/project/tecq-digital-id/issue/1073
</t>
    </r>
    <r>
      <rPr/>
      <t xml:space="preserve">2. </t>
    </r>
    <r>
      <rPr>
        <color rgb="FF1155CC"/>
        <u/>
      </rPr>
      <t>https://taiga.ecquaria.org/project/presales-mccy-ioms/us/837</t>
    </r>
    <r>
      <rPr/>
      <t xml:space="preserve">
3. </t>
    </r>
    <r>
      <rPr>
        <color rgb="FF1155CC"/>
        <u/>
      </rPr>
      <t>https://taiga.ecquaria.org/project/tecq-digital-id/issue/1112</t>
    </r>
    <r>
      <rPr/>
      <t xml:space="preserve">
4. </t>
    </r>
    <r>
      <rPr>
        <color rgb="FF1155CC"/>
        <u/>
      </rPr>
      <t>https://taiga.ecquaria.org/project/tecq-digital-id/issue/1111</t>
    </r>
    <r>
      <rPr/>
      <t xml:space="preserve">
5. </t>
    </r>
    <r>
      <rPr>
        <color rgb="FF1155CC"/>
        <u/>
      </rPr>
      <t>https://taiga.ecquaria.org/project/tecq-digital-id/issue/1022</t>
    </r>
  </si>
  <si>
    <t>Digital ID:
1. #1118 Admin Portal: Change "Tenant User Portal Client Id" field to non-mandatory in Tenant Registration and Tenant Update
2. #1119 Admin Portal: Change "Tenant User Portal Client Id" field from dropdown list to textbox in Tenant Registration page
3. #1022 Admin Portal: Display internal server error when session expired
4. #1117 Admin Portal: Add TIPS for images upload
5. #1105 Admin Portal: Remove System Owner role in Employee Registration and Employee Update</t>
  </si>
  <si>
    <t>Taiga:
1. Completed
2. Completed
3. In Progress
4. In Progress
5. In Progress</t>
  </si>
  <si>
    <r>
      <rPr/>
      <t xml:space="preserve">Taiga:
1. </t>
    </r>
    <r>
      <rPr>
        <color rgb="FF1155CC"/>
        <u/>
      </rPr>
      <t>https://taiga.ecquaria.org/project/tecq-digital-id/issue/1118</t>
    </r>
    <r>
      <rPr/>
      <t xml:space="preserve">
2. </t>
    </r>
    <r>
      <rPr>
        <color rgb="FF1155CC"/>
        <u/>
      </rPr>
      <t>https://taiga.ecquaria.org/project/tecq-digital-id/issue/1119</t>
    </r>
    <r>
      <rPr/>
      <t xml:space="preserve">
3. </t>
    </r>
    <r>
      <rPr>
        <color rgb="FF1155CC"/>
        <u/>
      </rPr>
      <t xml:space="preserve">https://taiga.ecquaria.org/project/tecq-digital-id/issue/1022
</t>
    </r>
    <r>
      <rPr/>
      <t xml:space="preserve">4. </t>
    </r>
    <r>
      <rPr>
        <color rgb="FF1155CC"/>
        <u/>
      </rPr>
      <t xml:space="preserve">https://taiga.ecquaria.org/project/tecq-digital-id/task/1117
</t>
    </r>
    <r>
      <rPr/>
      <t xml:space="preserve">5. </t>
    </r>
    <r>
      <rPr>
        <color rgb="FF1155CC"/>
        <u/>
      </rPr>
      <t>https://taiga.ecquaria.org/project/tecq-digital-id/issue/1105</t>
    </r>
  </si>
  <si>
    <t>Digital ID:
1. #1089 Admin Portal: Issues in Tenant Detail page
2. #1022 Admin Portal: Display internal server error when session expired
3. #1117 Admin Portal: Add TIPS for images upload
4. #1105 Admin Portal: Remove System Owner role in Employee Registration and Employee Update
5. #1111 Admin Portal: User got error 500 when update employee data, but the data is updated
6. #1123 Admin Portal: Load data in the next page in Tenant Profile takes time</t>
  </si>
  <si>
    <t>Taiga:
1. Completed
2. Completed
3. In Progress
4. Completed
5. Completed
6. Completed</t>
  </si>
  <si>
    <r>
      <rPr/>
      <t xml:space="preserve">Taiga:
1. </t>
    </r>
    <r>
      <rPr>
        <color rgb="FF1155CC"/>
        <u/>
      </rPr>
      <t>https://taiga.ecquaria.org/project/tecq-digital-id/issue/1089</t>
    </r>
    <r>
      <rPr/>
      <t xml:space="preserve">
2. https://taiga.ecquaria.org/project/tecq-digital-id/issue/1022
3. https://taiga.ecquaria.org/project/tecq-digital-id/task/1117
4. https://taiga.ecquaria.org/project/tecq-digital-id/issue/1105
5. https://taiga.ecquaria.org/project/tecq-digital-id/issue/1111
6. </t>
    </r>
    <r>
      <rPr>
        <color rgb="FF1155CC"/>
        <u/>
      </rPr>
      <t>https://taiga.ecquaria.org/project/tecq-digital-id/issue/1123</t>
    </r>
  </si>
  <si>
    <t>Digital ID:
1. #1128 Admin Portal: Got error when click edit in Employee Detail
2. #1117 Admin Portal: Add TIPS for images upload</t>
  </si>
  <si>
    <t>Taiga:
1. Completed
2. In Progress</t>
  </si>
  <si>
    <r>
      <rPr/>
      <t xml:space="preserve">Taiga:
1. </t>
    </r>
    <r>
      <rPr>
        <color rgb="FF1155CC"/>
        <u/>
      </rPr>
      <t>https://taiga.ecquaria.org/project/tecq-digital-id/issue/1128</t>
    </r>
    <r>
      <rPr/>
      <t xml:space="preserve">
2. </t>
    </r>
    <r>
      <rPr>
        <color rgb="FF1155CC"/>
        <u/>
      </rPr>
      <t>https://taiga.ecquaria.org/project/tecq-digital-id/task/1117</t>
    </r>
  </si>
  <si>
    <t>Digital ID:
1. #1117 Admin Portal: Add TIPS for images upload
2. #1127 Admin Portal: Add upload image with corporate badge under tenant
3. #1131 Admin Portal: Indefinite loading when access Tenant Registration page
4. #1094 Admin Portal: Delete the new selected logo in Update Tenant will display broken image instead of display the previous logo
5. #1137 Admin Portal: Cannot input or select any option in Client Registration page</t>
  </si>
  <si>
    <r>
      <rPr/>
      <t xml:space="preserve">Taiga:
1. </t>
    </r>
    <r>
      <rPr>
        <color rgb="FF1155CC"/>
        <u/>
      </rPr>
      <t>https://taiga.ecquaria.org/project/tecq-digital-id/task/1117</t>
    </r>
    <r>
      <rPr/>
      <t xml:space="preserve">
2. </t>
    </r>
    <r>
      <rPr>
        <color rgb="FF1155CC"/>
        <u/>
      </rPr>
      <t>https://taiga.ecquaria.org/project/tecq-digital-id/task/1127</t>
    </r>
    <r>
      <rPr/>
      <t xml:space="preserve">
3. </t>
    </r>
    <r>
      <rPr>
        <color rgb="FF1155CC"/>
        <u/>
      </rPr>
      <t>https://taiga.ecquaria.org/project/tecq-digital-id/issue/1131</t>
    </r>
    <r>
      <rPr/>
      <t xml:space="preserve">
4. </t>
    </r>
    <r>
      <rPr>
        <color rgb="FF1155CC"/>
        <u/>
      </rPr>
      <t>https://taiga.ecquaria.org/project/tecq-digital-id/issue/1094</t>
    </r>
    <r>
      <rPr/>
      <t xml:space="preserve">
5. </t>
    </r>
    <r>
      <rPr>
        <color rgb="FF1155CC"/>
        <u/>
      </rPr>
      <t>https://taiga.ecquaria.org/project/tecq-digital-id/issue/1137</t>
    </r>
  </si>
  <si>
    <t>Digital ID:
1. #1134 Admin Portal : Error message is not displayed when upload invalid logo in Create Tenant
2. #1143 Admin Portal: When logo is big, then the logo displayed in Tenant Detail is messed up
3. #1093 Admin Portal: Profile picture display blank after click Reset button in Update Employee
4. #1136 Admin Portal: Missing placeholder for photo in Create Employee and Update employee
5. #1022 Admin Portal: Display internal server error when session expired
6. #1145 Admin Portal: Display broken image for Logo Badges in Tenant Profile
7. #1142 Admin Portal: WEBP file is not displayed in photo selection dialog when user click Upload Image in Create and Update Tenant
8. #1095 Admin Portal: Delete the new selected profile picture in Update Employee will display blank instead of display the previous picture</t>
  </si>
  <si>
    <r>
      <rPr/>
      <t xml:space="preserve">Taiga:
1. </t>
    </r>
    <r>
      <rPr>
        <color rgb="FF1155CC"/>
        <u/>
      </rPr>
      <t>https://taiga.ecquaria.org/project/tecq-digital-id/issue/11</t>
    </r>
    <r>
      <rPr/>
      <t xml:space="preserve">34
2. </t>
    </r>
    <r>
      <rPr>
        <color rgb="FF1155CC"/>
        <u/>
      </rPr>
      <t>https://taiga.ecquaria.org/project/tecq-digital-id/issue/11</t>
    </r>
    <r>
      <rPr/>
      <t xml:space="preserve">43
3. </t>
    </r>
    <r>
      <rPr>
        <color rgb="FF1155CC"/>
        <u/>
      </rPr>
      <t>https://taiga.ecquaria.org/project/tecq-digital-id/issue/1</t>
    </r>
    <r>
      <rPr/>
      <t xml:space="preserve">093
4. </t>
    </r>
    <r>
      <rPr>
        <color rgb="FF1155CC"/>
        <u/>
      </rPr>
      <t>https://taiga.ecquaria.org/project/tecq-digital-id/issue/1</t>
    </r>
    <r>
      <rPr/>
      <t xml:space="preserve">136
5. </t>
    </r>
    <r>
      <rPr>
        <color rgb="FF1155CC"/>
        <u/>
      </rPr>
      <t>https://taiga.ecquaria.org/project/tecq-digital-id/issue/1</t>
    </r>
    <r>
      <rPr/>
      <t xml:space="preserve">022
6. https://taiga.ecquaria.org/project/tecq-digital-id/issue/1145
7. https://taiga.ecquaria.org/project/tecq-digital-id/issue/1142
8. </t>
    </r>
    <r>
      <rPr>
        <color rgb="FF1155CC"/>
        <u/>
      </rPr>
      <t>https://taiga.ecquaria.org/project/tecq-digital-id/issue/1095</t>
    </r>
  </si>
  <si>
    <t>Digital ID:
1. #1132 Admin Portal: Error message is not displayed when upload more than 2MB in Tenant Update
2. #1133 Admin Portal: Success upload gif file in Tenant Update
3. #1094 Admin Portal: Delete the new selected logo in Update Tenant will display broken image instead of display the previous logo</t>
  </si>
  <si>
    <t>Taiga:
1. In Progress
2. In Progress 
3. In Progress</t>
  </si>
  <si>
    <r>
      <rPr/>
      <t xml:space="preserve">Taiga:
1. </t>
    </r>
    <r>
      <rPr>
        <color rgb="FF1155CC"/>
        <u/>
      </rPr>
      <t>https://taiga.ecquaria.org/project/tecq-digital-id/issue/11</t>
    </r>
    <r>
      <rPr/>
      <t xml:space="preserve">32
2. </t>
    </r>
    <r>
      <rPr>
        <color rgb="FF1155CC"/>
        <u/>
      </rPr>
      <t>https://taiga.ecquaria.org/project/tecq-digital-id/issue/11</t>
    </r>
    <r>
      <rPr/>
      <t xml:space="preserve">33
3. </t>
    </r>
    <r>
      <rPr>
        <color rgb="FF1155CC"/>
        <u/>
      </rPr>
      <t>https://taiga.ecquaria.org/project/tecq-digital-id/issue/1094</t>
    </r>
  </si>
  <si>
    <t>Digital ID:
1. #1132 Admin Portal: Error message is not displayed when upload more than 2MB in Tenant Update
2. #1133 Admin Portal: Success upload gif file in Tenant Update
3. #1094 Admin Portal: Delete the new selected logo in Update Tenant will display broken image instead of display the previous logo
4. #1144 Admin Portal: Only allow png file for Tenant Logo Badges in Create and Update Tenant
5. #1141 Admin Portal: Got error when did not upload logo Badges in Create Tenant
6. #1135 Admin Portal: Failed to Create new tenant
7. #1157 User Portal: unauthorised - Tenant TECQ user to Tenant NEXT - showing login page before rejected</t>
  </si>
  <si>
    <r>
      <rPr/>
      <t xml:space="preserve">Taiga:
1. </t>
    </r>
    <r>
      <rPr>
        <color rgb="FF1155CC"/>
        <u/>
      </rPr>
      <t>https://taiga.ecquaria.org/project/tecq-digital-id/issue/11</t>
    </r>
    <r>
      <rPr/>
      <t xml:space="preserve">32
2. </t>
    </r>
    <r>
      <rPr>
        <color rgb="FF1155CC"/>
        <u/>
      </rPr>
      <t>https://taiga.ecquaria.org/project/tecq-digital-id/issue/11</t>
    </r>
    <r>
      <rPr/>
      <t xml:space="preserve">33
3. </t>
    </r>
    <r>
      <rPr>
        <color rgb="FF1155CC"/>
        <u/>
      </rPr>
      <t>https://taiga.ecquaria.org/project/tecq-digital-id/issue/1</t>
    </r>
    <r>
      <rPr/>
      <t xml:space="preserve">094
4. </t>
    </r>
    <r>
      <rPr>
        <color rgb="FF1155CC"/>
        <u/>
      </rPr>
      <t>https://taiga.ecquaria.org/project/tecq-digital-id/issue/1</t>
    </r>
    <r>
      <rPr/>
      <t xml:space="preserve">144
5. </t>
    </r>
    <r>
      <rPr>
        <color rgb="FF1155CC"/>
        <u/>
      </rPr>
      <t>https://taiga.ecquaria.org/project/tecq-digital-id/issue/1</t>
    </r>
    <r>
      <rPr/>
      <t xml:space="preserve">141
6. https://taiga.ecquaria.org/project/tecq-digital-id/issue/1135
7. </t>
    </r>
    <r>
      <rPr>
        <color rgb="FF1155CC"/>
        <u/>
      </rPr>
      <t>https://taiga.ecquaria.org/project/tecq-digital-id/issue/1157</t>
    </r>
  </si>
  <si>
    <t>Digital ID:
1. #1159 Admin Portal: Front Page Copy changes
2. #1166 Admin Portal: When user clear the Tenant User Portal Client Id Ciba field in Tenant Registration and Update, system will display error message
3. #1170 Admin Portal: There is broken image beside filename logo in Create Tenant page after select logo
4. #1171 Admin Portal: There is broken image beside filename logo in Update Tenant page after select logo</t>
  </si>
  <si>
    <r>
      <rPr/>
      <t xml:space="preserve">Taiga:
1. </t>
    </r>
    <r>
      <rPr>
        <color rgb="FF1155CC"/>
        <u/>
      </rPr>
      <t>https://taiga.ecquaria.org/project/tecq-digital-id/task/1159</t>
    </r>
    <r>
      <rPr/>
      <t xml:space="preserve">
2. </t>
    </r>
    <r>
      <rPr>
        <color rgb="FF1155CC"/>
        <u/>
      </rPr>
      <t>https://taiga.ecquaria.org/project/tecq-digital-id/issue/1166</t>
    </r>
    <r>
      <rPr/>
      <t xml:space="preserve">
3. </t>
    </r>
    <r>
      <rPr>
        <color rgb="FF1155CC"/>
        <u/>
      </rPr>
      <t>https://taiga.ecquaria.org/project/tecq-digital-id/issue/1170</t>
    </r>
    <r>
      <rPr/>
      <t xml:space="preserve">
4. </t>
    </r>
    <r>
      <rPr>
        <color rgb="FF1155CC"/>
        <u/>
      </rPr>
      <t>https://taiga.ecquaria.org/project/tecq-digital-id/issue/1171</t>
    </r>
  </si>
  <si>
    <t>Digital ID:
1. #1172 Admin Portal: Got error 500 when delete tenant
2. #1175 Admin Portal: Admin Approval role is not displayed in Employee Detail and My Profile
3. #1144 Admin Portal: Only allow png file for Tenant Logo Badges in Create and Update Tenant
4. #1173 Admin Portal: Roles are not reset when user click reset in Employee Update
5. #1157 User Portal: unauthorised - Tenant TECQ user to Tenant NEXT - showing login page before rejected</t>
  </si>
  <si>
    <t>Taiga:
1. Completed
2. Completed
3. Completed
4. In Progress
5. Completed</t>
  </si>
  <si>
    <r>
      <rPr/>
      <t xml:space="preserve">Taiga:
1. </t>
    </r>
    <r>
      <rPr>
        <color rgb="FF1155CC"/>
        <u/>
      </rPr>
      <t>https://taiga.ecquaria.org/project/tecq-digital-id/issue/1172</t>
    </r>
    <r>
      <rPr/>
      <t xml:space="preserve">
2. </t>
    </r>
    <r>
      <rPr>
        <color rgb="FF1155CC"/>
        <u/>
      </rPr>
      <t>https://taiga.ecquaria.org/project/tecq-digital-id/issue/1175</t>
    </r>
    <r>
      <rPr/>
      <t xml:space="preserve">
3. </t>
    </r>
    <r>
      <rPr>
        <color rgb="FF1155CC"/>
        <u/>
      </rPr>
      <t>https://taiga.ecquaria.org/project/tecq-digital-id/issue/1144</t>
    </r>
    <r>
      <rPr/>
      <t xml:space="preserve">
4. </t>
    </r>
    <r>
      <rPr>
        <color rgb="FF1155CC"/>
        <u/>
      </rPr>
      <t>https://taiga.ecquaria.org/project/tecq-digital-id/issue/1172</t>
    </r>
    <r>
      <rPr/>
      <t xml:space="preserve">
5. </t>
    </r>
    <r>
      <rPr>
        <color rgb="FF1155CC"/>
        <u/>
      </rPr>
      <t>https://taiga.ecquaria.org/project/tecq-digital-id/issue/1157</t>
    </r>
  </si>
  <si>
    <t>Digital ID:
1. #1173 Admin Portal: Roles are not reset when user click reset in Employee Update
2. #1133 Admin Portal: Success upload gif file in Tenant Update
3. #1181 Admin Portal: Missing Name, email and user Id in My Profile
4. #1187 Admin Portal: Got error "tempEmp is not defined" when click Reset in Employee Update
5. #1182 Admin Portal: HR reported issue</t>
  </si>
  <si>
    <r>
      <rPr/>
      <t xml:space="preserve">Taiga:
1. </t>
    </r>
    <r>
      <rPr>
        <color rgb="FF1155CC"/>
        <u/>
      </rPr>
      <t>https://taiga.ecquaria.org/project/tecq-digital-id/issue/1173</t>
    </r>
    <r>
      <rPr/>
      <t xml:space="preserve">
2. </t>
    </r>
    <r>
      <rPr>
        <color rgb="FF1155CC"/>
        <u/>
      </rPr>
      <t>https://taiga.ecquaria.org/project/tecq-digital-id/issue/1133</t>
    </r>
    <r>
      <rPr/>
      <t xml:space="preserve">
3. </t>
    </r>
    <r>
      <rPr>
        <color rgb="FF1155CC"/>
        <u/>
      </rPr>
      <t>https://taiga.ecquaria.org/project/tecq-digital-id/issue/1181</t>
    </r>
    <r>
      <rPr/>
      <t xml:space="preserve">
4. </t>
    </r>
    <r>
      <rPr>
        <color rgb="FF1155CC"/>
        <u/>
      </rPr>
      <t>https://taiga.ecquaria.org/project/tecq-digital-id/issue/1187</t>
    </r>
    <r>
      <rPr/>
      <t xml:space="preserve">
5. </t>
    </r>
    <r>
      <rPr>
        <color rgb="FF1155CC"/>
        <u/>
      </rPr>
      <t>https://taiga.ecquaria.org/project/tecq-digital-id/issue/1182</t>
    </r>
  </si>
  <si>
    <t>Digital ID:
1. #1189 Admin Portal: REmove OAuth Logo in Tenant Profile as mandatory field
2. #1185 Admin Portal: Got user id already used error even though the same user id is not exist
3. #1197 Admin Portal: Indefinite loading in Notification History
4. #1022 Admin Portal: Display internal server error when session expired
5. #1140 Admin Portal: Missing logo in Client Detail and Client Update after create new client with logo</t>
  </si>
  <si>
    <r>
      <rPr/>
      <t xml:space="preserve">Taiga:
1. </t>
    </r>
    <r>
      <rPr>
        <color rgb="FF1155CC"/>
        <u/>
      </rPr>
      <t>https://taiga.ecquaria.org/project/tecq-digital-id/issue/1189</t>
    </r>
    <r>
      <rPr/>
      <t xml:space="preserve">
2. </t>
    </r>
    <r>
      <rPr>
        <color rgb="FF1155CC"/>
        <u/>
      </rPr>
      <t>https://taiga.ecquaria.org/project/tecq-digital-id/issue/1185</t>
    </r>
    <r>
      <rPr/>
      <t xml:space="preserve">
3. </t>
    </r>
    <r>
      <rPr>
        <color rgb="FF1155CC"/>
        <u/>
      </rPr>
      <t>https://taiga.ecquaria.org/project/tecq-digital-id/issue/1197</t>
    </r>
    <r>
      <rPr/>
      <t xml:space="preserve">
4. </t>
    </r>
    <r>
      <rPr>
        <color rgb="FF1155CC"/>
        <u/>
      </rPr>
      <t>https://taiga.ecquaria.org/project/tecq-digital-id/issue/1022</t>
    </r>
    <r>
      <rPr/>
      <t xml:space="preserve">
5. </t>
    </r>
    <r>
      <rPr>
        <color rgb="FF1155CC"/>
        <u/>
      </rPr>
      <t>https://taiga.ecquaria.org/project/tecq-digital-id/issue/1140</t>
    </r>
  </si>
  <si>
    <t>Digital ID:
1. #1199 Admin Portal: Employee creation misleading header
2. Add changes on documentation</t>
  </si>
  <si>
    <r>
      <rPr/>
      <t xml:space="preserve">Taiga:
1. </t>
    </r>
    <r>
      <rPr>
        <color rgb="FF1155CC"/>
        <u/>
      </rPr>
      <t>https://taiga.ecquaria.org/project/tecq-digital-id/issue/1199</t>
    </r>
  </si>
  <si>
    <t>Digital ID:
1. #891 UserPortal: Public accessible Business Profile</t>
  </si>
  <si>
    <r>
      <rPr/>
      <t xml:space="preserve">Taiga:
1. </t>
    </r>
    <r>
      <rPr>
        <color rgb="FF1155CC"/>
        <u/>
      </rPr>
      <t>https://taiga.ecquaria.org/project/tecq-digital-id/task/891</t>
    </r>
  </si>
  <si>
    <t>Digital ID:
1. #1201 Admin Portal: System Admin - OWN Tenant Profile Update
2. #891 UserPortal: Public accessible Business Profile
3. #1174 Admin Portal: Relayout Navigator Bar
4. #1126 Admin Portal: Tenant RBAC update</t>
  </si>
  <si>
    <r>
      <rPr/>
      <t xml:space="preserve">Taiga:
1. </t>
    </r>
    <r>
      <rPr>
        <color rgb="FF1155CC"/>
        <u/>
      </rPr>
      <t>https://taiga.ecquaria.org/project/tecq-digital-id/issue/1201</t>
    </r>
    <r>
      <rPr/>
      <t xml:space="preserve">
2. </t>
    </r>
    <r>
      <rPr>
        <color rgb="FF1155CC"/>
        <u/>
      </rPr>
      <t>https://taiga.ecquaria.org/project/tecq-digital-id/task/891</t>
    </r>
    <r>
      <rPr/>
      <t xml:space="preserve">
3. </t>
    </r>
    <r>
      <rPr>
        <color rgb="FF1155CC"/>
        <u/>
      </rPr>
      <t>https://taiga.ecquaria.org/project/tecq-digital-id/task/1174</t>
    </r>
    <r>
      <rPr/>
      <t xml:space="preserve">
4. </t>
    </r>
    <r>
      <rPr>
        <color rgb="FF1155CC"/>
        <u/>
      </rPr>
      <t>https://taiga.ecquaria.org/project/tecq-digital-id/task/1126</t>
    </r>
  </si>
  <si>
    <t>Taiga:
1. Completed
2. In Progress
3. In Progress (Move to Zaky)
4. On Hold</t>
  </si>
  <si>
    <r>
      <rPr/>
      <t xml:space="preserve">Taiga:
1. </t>
    </r>
    <r>
      <rPr>
        <color rgb="FF1155CC"/>
        <u/>
      </rPr>
      <t>https://taiga.ecquaria.org/project/tecq-digital-id/issue/1201</t>
    </r>
    <r>
      <rPr/>
      <t xml:space="preserve">
2. </t>
    </r>
    <r>
      <rPr>
        <color rgb="FF1155CC"/>
        <u/>
      </rPr>
      <t>https://taiga.ecquaria.org/project/tecq-digital-id/task/891</t>
    </r>
    <r>
      <rPr/>
      <t xml:space="preserve">
3. </t>
    </r>
    <r>
      <rPr>
        <color rgb="FF1155CC"/>
        <u/>
      </rPr>
      <t>https://taiga.ecquaria.org/project/tecq-digital-id/task/1174</t>
    </r>
    <r>
      <rPr/>
      <t xml:space="preserve">
4. </t>
    </r>
    <r>
      <rPr>
        <color rgb="FF1155CC"/>
        <u/>
      </rPr>
      <t>https://taiga.ecquaria.org/project/tecq-digital-id/task/1126</t>
    </r>
  </si>
  <si>
    <t>Digital ID:
1. #1209 Admin Portal: Error message need to improve when register new employee use email already been used
2. #1231 Admin Portal: Dashboard exluding terminated user
3. #1211 Issue: System Owner: Loop hole fix</t>
  </si>
  <si>
    <r>
      <rPr/>
      <t xml:space="preserve">Taiga:
1. </t>
    </r>
    <r>
      <rPr>
        <color rgb="FF1155CC"/>
        <u/>
      </rPr>
      <t>https://taiga.ecquaria.org/project/tecq-digital-id/issue/1209</t>
    </r>
    <r>
      <rPr/>
      <t xml:space="preserve">
2. </t>
    </r>
    <r>
      <rPr>
        <color rgb="FF1155CC"/>
        <u/>
      </rPr>
      <t>https://taiga.ecquaria.org/project/tecq-digital-id/issue/1231</t>
    </r>
    <r>
      <rPr/>
      <t xml:space="preserve">
3. </t>
    </r>
    <r>
      <rPr>
        <color rgb="FF1155CC"/>
        <u/>
      </rPr>
      <t>https://taiga.ecquaria.org/project/tecq-digital-id/issue/1211</t>
    </r>
  </si>
  <si>
    <t>Digital ID:
1. #1211 Issue: System Owner: Loop hole fix</t>
  </si>
  <si>
    <r>
      <rPr/>
      <t xml:space="preserve">Taiga:
1. </t>
    </r>
    <r>
      <rPr>
        <color rgb="FF1155CC"/>
        <u/>
      </rPr>
      <t>https://taiga.ecquaria.org/project/tecq-digital-id/issue/1211</t>
    </r>
  </si>
  <si>
    <t>Digital ID:
1. #1211 Issue: System Owner: Loop hole fix
2. #1237 Admin Portal: Update user guide copy - 2.0.3
3. #1234 Admin Portal: Sent Notification enhancement</t>
  </si>
  <si>
    <t>Taiga:
1. In Progress
2. In Progress
3. Completed</t>
  </si>
  <si>
    <r>
      <rPr/>
      <t xml:space="preserve">Taiga:
1. </t>
    </r>
    <r>
      <rPr>
        <color rgb="FF1155CC"/>
        <u/>
      </rPr>
      <t>https://taiga.ecquaria.org/project/tecq-digital-id/issue/1211</t>
    </r>
    <r>
      <rPr/>
      <t xml:space="preserve">
2. </t>
    </r>
    <r>
      <rPr>
        <color rgb="FF1155CC"/>
        <u/>
      </rPr>
      <t>https://taiga.ecquaria.org/project/tecq-digital-id/issue/1237</t>
    </r>
    <r>
      <rPr/>
      <t xml:space="preserve">
3. </t>
    </r>
    <r>
      <rPr>
        <color rgb="FF1155CC"/>
        <u/>
      </rPr>
      <t>https://taiga.ecquaria.org/project/tecq-digital-id/task/1234</t>
    </r>
  </si>
  <si>
    <t>Digital ID:
1. #1211 Issue: System Owner: Loop hole fix
2. #1237 Admin Portal: Update user guide copy - 2.0.3</t>
  </si>
  <si>
    <r>
      <rPr/>
      <t xml:space="preserve">Taiga:
1. </t>
    </r>
    <r>
      <rPr>
        <color rgb="FF1155CC"/>
        <u/>
      </rPr>
      <t>https://taiga.ecquaria.org/project/tecq-digital-id/issue/1211</t>
    </r>
    <r>
      <rPr/>
      <t xml:space="preserve">
2. </t>
    </r>
    <r>
      <rPr>
        <color rgb="FF1155CC"/>
        <u/>
      </rPr>
      <t>https://taiga.ecquaria.org/project/tecq-digital-id/issue/1237</t>
    </r>
  </si>
  <si>
    <t>Digital ID:
1. #1211 Issue: System Owner: Loop hole fix
2. #1258 Admin Portal: User Guide Anchor link does not work</t>
  </si>
  <si>
    <r>
      <rPr/>
      <t xml:space="preserve">Taiga:
1. </t>
    </r>
    <r>
      <rPr>
        <color rgb="FF1155CC"/>
        <u/>
      </rPr>
      <t>https://taiga.ecquaria.org/project/tecq-digital-id/issue/1211</t>
    </r>
    <r>
      <rPr/>
      <t xml:space="preserve">
2. </t>
    </r>
    <r>
      <rPr>
        <color rgb="FF1155CC"/>
        <u/>
      </rPr>
      <t>https://taiga.ecquaria.org/project/tecq-digital-id/issue/1258</t>
    </r>
  </si>
  <si>
    <r>
      <rPr/>
      <t xml:space="preserve">Taiga:
1. </t>
    </r>
    <r>
      <rPr>
        <color rgb="FF1155CC"/>
        <u/>
      </rPr>
      <t>https://taiga.ecquaria.org/project/tecq-digital-id/issue/1211</t>
    </r>
  </si>
  <si>
    <r>
      <rPr/>
      <t xml:space="preserve">Taiga:
1. </t>
    </r>
    <r>
      <rPr>
        <color rgb="FF1155CC"/>
        <u/>
      </rPr>
      <t>https://taiga.ecquaria.org/project/tecq-digital-id/issue/1211</t>
    </r>
  </si>
  <si>
    <r>
      <rPr/>
      <t xml:space="preserve">Taiga:
1. </t>
    </r>
    <r>
      <rPr>
        <color rgb="FF1155CC"/>
        <u/>
      </rPr>
      <t>https://taiga.ecquaria.org/project/tecq-digital-id/issue/1211</t>
    </r>
  </si>
  <si>
    <r>
      <rPr/>
      <t xml:space="preserve">Taiga:
1. </t>
    </r>
    <r>
      <rPr>
        <color rgb="FF1155CC"/>
        <u/>
      </rPr>
      <t>https://taiga.ecquaria.org/project/tecq-digital-id/issue/1211</t>
    </r>
  </si>
  <si>
    <t>Digital ID:
1. #1211 Issue: System Owner: Loop hole fix
2. #1318 User Portal: Missing tenant logo and tenant name in User portal</t>
  </si>
  <si>
    <r>
      <rPr/>
      <t xml:space="preserve">Taiga:
1. </t>
    </r>
    <r>
      <rPr>
        <color rgb="FF1155CC"/>
        <u/>
      </rPr>
      <t>https://taiga.ecquaria.org/project/tecq-digital-id/issue/1211</t>
    </r>
    <r>
      <rPr/>
      <t xml:space="preserve">
2. </t>
    </r>
    <r>
      <rPr>
        <color rgb="FF1155CC"/>
        <u/>
      </rPr>
      <t>https://taiga.ecquaria.org/project/tecq-digital-id/issue/1318</t>
    </r>
  </si>
  <si>
    <t>Digital ID:
1. #1211 Issue: System Owner: Loop hole fix
2. #1229 Admin Portal: Terminate Process - User requirement
3. #891 UserPortal: Public accessible Business Profile</t>
  </si>
  <si>
    <r>
      <rPr/>
      <t xml:space="preserve">Taiga:
1. </t>
    </r>
    <r>
      <rPr>
        <color rgb="FF1155CC"/>
        <u/>
      </rPr>
      <t>https://taiga.ecquaria.org/project/tecq-digital-id/issue/1211</t>
    </r>
    <r>
      <rPr/>
      <t xml:space="preserve">
2. </t>
    </r>
    <r>
      <rPr>
        <color rgb="FF1155CC"/>
        <u/>
      </rPr>
      <t>https://taiga.ecquaria.org/project/tecq-digital-id/task/1229</t>
    </r>
    <r>
      <rPr/>
      <t xml:space="preserve">
3. </t>
    </r>
    <r>
      <rPr>
        <color rgb="FF1155CC"/>
        <u/>
      </rPr>
      <t>https://taiga.ecquaria.org/project/tecq-digital-id/task/891</t>
    </r>
  </si>
  <si>
    <r>
      <rPr/>
      <t xml:space="preserve">Taiga:
1. </t>
    </r>
    <r>
      <rPr>
        <color rgb="FF1155CC"/>
        <u/>
      </rPr>
      <t>https://taiga.ecquaria.org/project/tecq-digital-id/issue/1211</t>
    </r>
    <r>
      <rPr/>
      <t xml:space="preserve">
2. </t>
    </r>
    <r>
      <rPr>
        <color rgb="FF1155CC"/>
        <u/>
      </rPr>
      <t>https://taiga.ecquaria.org/project/tecq-digital-id/task/1229</t>
    </r>
    <r>
      <rPr/>
      <t xml:space="preserve">
3. </t>
    </r>
    <r>
      <rPr>
        <color rgb="FF1155CC"/>
        <u/>
      </rPr>
      <t>https://taiga.ecquaria.org/project/tecq-digital-id/task/891</t>
    </r>
  </si>
  <si>
    <r>
      <rPr/>
      <t xml:space="preserve">Taiga:
1. </t>
    </r>
    <r>
      <rPr>
        <color rgb="FF1155CC"/>
        <u/>
      </rPr>
      <t>https://taiga.ecquaria.org/project/tecq-digital-id/issue/1211</t>
    </r>
    <r>
      <rPr/>
      <t xml:space="preserve">
2. </t>
    </r>
    <r>
      <rPr>
        <color rgb="FF1155CC"/>
        <u/>
      </rPr>
      <t>https://taiga.ecquaria.org/project/tecq-digital-id/task/1229</t>
    </r>
    <r>
      <rPr/>
      <t xml:space="preserve">
3. </t>
    </r>
    <r>
      <rPr>
        <color rgb="FF1155CC"/>
        <u/>
      </rPr>
      <t>https://taiga.ecquaria.org/project/tecq-digital-id/task/891</t>
    </r>
  </si>
  <si>
    <t>Digital ID:
1. #891 UserPortal: Public accessible Business Profile
2. #1317 Admin Portal: Update the menu in navigator bar
3. #1232 User Portal: Data display handling</t>
  </si>
  <si>
    <r>
      <rPr/>
      <t xml:space="preserve">Taiga:
1. </t>
    </r>
    <r>
      <rPr>
        <color rgb="FF1155CC"/>
        <u/>
      </rPr>
      <t xml:space="preserve">https://taiga.ecquaria.org/project/tecq-digital-id/task/891
</t>
    </r>
    <r>
      <rPr/>
      <t xml:space="preserve">2. </t>
    </r>
    <r>
      <rPr>
        <color rgb="FF1155CC"/>
        <u/>
      </rPr>
      <t>https://taiga.ecquaria.org/project/tecq-digital-id/issue/1317</t>
    </r>
    <r>
      <rPr/>
      <t xml:space="preserve">
3. </t>
    </r>
    <r>
      <rPr>
        <color rgb="FF1155CC"/>
        <u/>
      </rPr>
      <t>https://taiga.ecquaria.org/project/tecq-digital-id/task/1232</t>
    </r>
  </si>
  <si>
    <t>Digital ID:
1. #1228 Admin Portal: Misc User feedback
2. #1243 Admin Portal: Add Event Portal logo in Tenant Profile</t>
  </si>
  <si>
    <t xml:space="preserve">Taiga:
1. </t>
  </si>
  <si>
    <t>Digital ID:
1. #1228 Admin Portal: Misc User feedback
2. #1319 Admin Portal: Got error when access Client Profile page
3. #1321 Admin Portal: Search function in Employee Profile does not work
4. #1326 Admin Portal: Failed to update employee with error "UserId does not exist"
5. #1327 Admin Portal: Got error "Tenant ID could not be found" when create notification
6. #1324 Admin Portal: Typo error message for empty Tenant ID in Client Registration
7. #1325 Admin Portal: Failed to Update tenant
8. #1243 Admin Portal: Add Event Portal logo in Tenant Profile</t>
  </si>
  <si>
    <t>Digital ID:
1. #1323 User Portal: Indefinite loading when change password with previously used password
2. #1330 Admin Portal: Got error 500 when create new employee
3. #1243 Admin Portal: Add Event Portal logo in Tenant Profile
4. #1331 Admin Portal: Indefinite loading when System Admin access Audit log</t>
  </si>
  <si>
    <t>Digital ID:
1. #1333 Admin Portal: Got error "No user found" when click Notify in Employee Profile
2. #1228 Admin Portal: Misc User feedback
3. #1229 Admin Portal: Terminate Process - User requirement
4. #1234 Admin Portal: Sent Notification enhancement
5. #1332 User Portal: In My Profile, Education and Certificate Information section should be hidden when there is no data
6. #1334 User Portal: Got error "Invalidate data" when register
7. #1230 Admin Portal: Bulk Update for existing user information</t>
  </si>
  <si>
    <t>Digital ID:
1. #1335 Admin Portal: Issue Reset in Update Tenant
2. #1339 Admin Portal: Missing company address in Employee Update when company details is taken from tenant profile
3. #1230 Admin Portal: Bulk Update for existing user information</t>
  </si>
  <si>
    <t>Digital ID:
1. #1343 Admin Portal: Issues in Employee Appeal Task page
2. #1342 Admin Portal: Issues in Employee Approval Task page
3. #1230 Admin Portal: Bulk Update for existing user information</t>
  </si>
  <si>
    <t>Digital ID:
1. #1343 Admin Portal: Issues in Employee Appeal Task page
2. #1230 Admin Portal: Bulk Update for existing user information</t>
  </si>
  <si>
    <t xml:space="preserve">Digital ID:
1. </t>
  </si>
  <si>
    <t>Digital ID:
1. #1346 Admin Portal: Tenant Profile add Social Media links
2. #1351 User Portal: Address is not displayed in Business profile VCF file
3. #1357 Admin Portal: Cannot input in Search text box Tenant Profile</t>
  </si>
  <si>
    <t>Ifams (hours)</t>
  </si>
  <si>
    <t>Nietha Notes</t>
  </si>
  <si>
    <r>
      <rPr>
        <rFont val="Arial"/>
        <strike/>
        <color theme="1"/>
      </rPr>
      <t>iFAMS Support</t>
    </r>
    <r>
      <rPr>
        <rFont val="Arial"/>
        <color theme="1"/>
      </rPr>
      <t xml:space="preserve">
On Leave</t>
    </r>
  </si>
  <si>
    <t>iFAMS Support</t>
  </si>
  <si>
    <t>iFAMS :Complete</t>
  </si>
  <si>
    <t>Taiga #355</t>
  </si>
  <si>
    <t>Taiga #340</t>
  </si>
  <si>
    <t>iFAMS Support:
-Report Support</t>
  </si>
  <si>
    <t>Taiga #343</t>
  </si>
  <si>
    <r>
      <rPr>
        <rFont val="Arial"/>
        <strike/>
        <color rgb="FFFF0000"/>
      </rPr>
      <t>iFAMS Support</t>
    </r>
    <r>
      <rPr>
        <rFont val="Arial"/>
        <color rgb="FFFF0000"/>
      </rPr>
      <t xml:space="preserve">
On Leave</t>
    </r>
  </si>
  <si>
    <r>
      <rPr>
        <color rgb="FF434343"/>
        <u/>
      </rPr>
      <t xml:space="preserve">Taiga #340
</t>
    </r>
    <r>
      <rPr>
        <color rgb="FF434343"/>
        <u/>
      </rPr>
      <t xml:space="preserve">
</t>
    </r>
    <r>
      <rPr>
        <color rgb="FF1155CC"/>
        <u/>
      </rPr>
      <t>Taiga #377</t>
    </r>
  </si>
  <si>
    <t>Warming Up Digital ID</t>
  </si>
  <si>
    <t>Remaining Task on Ifams (Taiga : Kaban) Weekly updated as of July 28 
Pending SG : 4
On Hold : 1
To Be check with SG on July 28</t>
  </si>
  <si>
    <t>iFAMS :In Progress</t>
  </si>
  <si>
    <t>Taiga #347</t>
  </si>
  <si>
    <r>
      <rPr>
        <color rgb="FF1155CC"/>
        <u/>
      </rPr>
      <t>Taiga #347</t>
    </r>
    <r>
      <rPr/>
      <t xml:space="preserve">
</t>
    </r>
    <r>
      <rPr>
        <color rgb="FF1155CC"/>
        <u/>
      </rPr>
      <t>Taiga #340</t>
    </r>
  </si>
  <si>
    <t>Incoming Task : Chat</t>
  </si>
  <si>
    <r>
      <rPr>
        <rFont val="Arial"/>
        <strike/>
        <color theme="1"/>
      </rPr>
      <t xml:space="preserve">iFAMS Support
</t>
    </r>
    <r>
      <rPr>
        <rFont val="Arial"/>
        <color theme="1"/>
      </rPr>
      <t>Digital ID</t>
    </r>
  </si>
  <si>
    <t>https://taiga.ecquaria.org/project/presales-mccy-ioms/us/315?kanban-include_attachments=1&amp;kanban-include_tasks=1&amp;kanban-status=549</t>
  </si>
  <si>
    <r>
      <rPr>
        <rFont val="Arial"/>
        <strike/>
        <color theme="1"/>
      </rPr>
      <t xml:space="preserve">iFAMS Support
</t>
    </r>
    <r>
      <rPr>
        <rFont val="Arial"/>
        <color theme="1"/>
      </rPr>
      <t>Digital ID</t>
    </r>
  </si>
  <si>
    <t>https://taiga.ecquaria.org/project/ifams2/us/360?kanban-include_attachments=1&amp;kanban-include_tasks=1&amp;kanban-status=538</t>
  </si>
  <si>
    <r>
      <rPr>
        <rFont val="Arial"/>
        <color theme="1"/>
      </rPr>
      <t xml:space="preserve">4
</t>
    </r>
    <r>
      <rPr>
        <rFont val="Arial"/>
        <color rgb="FFFF0000"/>
      </rPr>
      <t>4</t>
    </r>
  </si>
  <si>
    <r>
      <rPr>
        <rFont val="Arial"/>
        <strike/>
        <color theme="1"/>
      </rPr>
      <t xml:space="preserve">iFAMS Support
</t>
    </r>
    <r>
      <rPr>
        <rFont val="Arial"/>
        <color theme="1"/>
      </rPr>
      <t>Digital ID</t>
    </r>
  </si>
  <si>
    <r>
      <rPr>
        <rFont val="Arial"/>
        <color theme="1"/>
      </rPr>
      <t xml:space="preserve">Digital ID: In Progress
</t>
    </r>
    <r>
      <rPr>
        <rFont val="Arial"/>
        <color rgb="FFFF0000"/>
      </rPr>
      <t>Leave PM</t>
    </r>
  </si>
  <si>
    <t>Leave PM</t>
  </si>
  <si>
    <r>
      <rPr>
        <rFont val="Arial"/>
        <strike/>
        <color theme="1"/>
      </rPr>
      <t xml:space="preserve">Digital ID
</t>
    </r>
    <r>
      <rPr>
        <rFont val="Arial"/>
        <color theme="1"/>
      </rPr>
      <t>iFAMS Support</t>
    </r>
  </si>
  <si>
    <r>
      <rPr>
        <rFont val="Arial"/>
        <strike/>
        <color theme="1"/>
      </rPr>
      <t xml:space="preserve">iFAMS Support
</t>
    </r>
    <r>
      <rPr>
        <rFont val="Arial"/>
        <color theme="1"/>
      </rPr>
      <t>Digital ID</t>
    </r>
  </si>
  <si>
    <r>
      <rPr>
        <rFont val="Arial"/>
        <strike/>
        <color theme="1"/>
      </rPr>
      <t xml:space="preserve">Digital ID
</t>
    </r>
    <r>
      <rPr>
        <rFont val="Arial"/>
        <color theme="1"/>
      </rPr>
      <t>iFAMS Support</t>
    </r>
  </si>
  <si>
    <t>https://taiga.ecquaria.org/project/ifams2/us/361?kanban-include_attachments=1&amp;kanban-include_tasks=1&amp;kanban-status=537</t>
  </si>
  <si>
    <r>
      <rPr>
        <rFont val="Arial"/>
        <strike/>
        <color theme="1"/>
      </rPr>
      <t xml:space="preserve">iFAMS Support
</t>
    </r>
    <r>
      <rPr>
        <rFont val="Arial"/>
        <color theme="1"/>
      </rPr>
      <t>Digital ID</t>
    </r>
  </si>
  <si>
    <r>
      <rPr>
        <rFont val="Arial"/>
        <strike/>
        <color theme="1"/>
      </rPr>
      <t xml:space="preserve">Digital ID
iFAMS Support
</t>
    </r>
    <r>
      <rPr>
        <rFont val="Arial"/>
        <b/>
        <strike val="0"/>
        <color rgb="FFFF0000"/>
      </rPr>
      <t>On Leave</t>
    </r>
  </si>
  <si>
    <r>
      <rPr>
        <rFont val="Arial"/>
        <strike/>
        <color theme="1"/>
      </rPr>
      <t xml:space="preserve">iFAMS Support
</t>
    </r>
    <r>
      <rPr>
        <rFont val="Arial"/>
        <color theme="1"/>
      </rPr>
      <t>Digital ID</t>
    </r>
  </si>
  <si>
    <r>
      <rPr>
        <rFont val="Arial"/>
        <strike/>
        <color theme="1"/>
      </rPr>
      <t xml:space="preserve">iFAMS Support
</t>
    </r>
    <r>
      <rPr>
        <rFont val="Arial"/>
        <color theme="1"/>
      </rPr>
      <t>Digital ID</t>
    </r>
  </si>
  <si>
    <r>
      <rPr>
        <rFont val="Arial"/>
        <strike/>
        <color theme="1"/>
      </rPr>
      <t xml:space="preserve">iFAMS Support
</t>
    </r>
    <r>
      <rPr>
        <rFont val="Arial"/>
        <color theme="1"/>
      </rPr>
      <t>Digital ID</t>
    </r>
  </si>
  <si>
    <r>
      <rPr>
        <rFont val="Arial"/>
        <strike/>
        <color theme="1"/>
      </rPr>
      <t xml:space="preserve">iFAMS Support
</t>
    </r>
    <r>
      <rPr>
        <rFont val="Arial"/>
        <color theme="1"/>
      </rPr>
      <t>Digital ID</t>
    </r>
  </si>
  <si>
    <t>Digital ID
-Check-In Page Reset Checkin
-Events Page Status</t>
  </si>
  <si>
    <r>
      <rPr>
        <rFont val="Arial"/>
        <strike/>
        <color theme="1"/>
      </rPr>
      <t xml:space="preserve">iFAMS Support
</t>
    </r>
    <r>
      <rPr>
        <rFont val="Arial"/>
        <color theme="1"/>
      </rPr>
      <t>Digital ID
- Check-In Page Searching And Sorting</t>
    </r>
  </si>
  <si>
    <r>
      <rPr>
        <rFont val="Arial"/>
        <strike/>
        <color theme="1"/>
      </rPr>
      <t xml:space="preserve">Digital ID
</t>
    </r>
    <r>
      <rPr>
        <rFont val="Arial"/>
        <color rgb="FFFF0000"/>
      </rPr>
      <t>ON Leave</t>
    </r>
  </si>
  <si>
    <t>Training Kaizen Day 1</t>
  </si>
  <si>
    <t>Training Kaizen Day 2</t>
  </si>
  <si>
    <r>
      <rPr>
        <rFont val="Arial"/>
        <strike/>
        <color theme="1"/>
      </rPr>
      <t xml:space="preserve">iFAMS Support
</t>
    </r>
    <r>
      <rPr>
        <rFont val="Arial"/>
        <color theme="1"/>
      </rPr>
      <t>Digital ID
- CheckIn Page Add Attendance
- Searching Events Page</t>
    </r>
  </si>
  <si>
    <t>Digital ID
-Share Event</t>
  </si>
  <si>
    <t>Digital ID
-Popup Message
-Fix Validation</t>
  </si>
  <si>
    <r>
      <rPr>
        <rFont val="Arial"/>
        <color theme="1"/>
      </rPr>
      <t xml:space="preserve">4
</t>
    </r>
    <r>
      <rPr>
        <rFont val="Arial"/>
        <color rgb="FFFF0000"/>
      </rPr>
      <t>4</t>
    </r>
  </si>
  <si>
    <r>
      <rPr>
        <rFont val="Arial"/>
        <color rgb="FF000000"/>
      </rPr>
      <t xml:space="preserve">Digital ID
-RBAC
</t>
    </r>
    <r>
      <rPr>
        <rFont val="Arial"/>
        <color rgb="FFFF0000"/>
      </rPr>
      <t>On Leave</t>
    </r>
  </si>
  <si>
    <r>
      <rPr>
        <rFont val="Arial"/>
        <color rgb="FF000000"/>
      </rPr>
      <t xml:space="preserve">Digital ID: In Progress
</t>
    </r>
    <r>
      <rPr>
        <rFont val="Arial"/>
        <color rgb="FFFF0000"/>
      </rPr>
      <t>On Leave</t>
    </r>
  </si>
  <si>
    <t>Digital ID
-RBAC</t>
  </si>
  <si>
    <t>https://taiga.ecquaria.org/project/presales-mccy-ioms/us/510?kanban-include_attachments=1&amp;kanban-include_tasks=1&amp;kanban-status=549</t>
  </si>
  <si>
    <t>Digital ID
-Check IN and Check out data column
-Check IN and Check out Pop up handler</t>
  </si>
  <si>
    <r>
      <rPr>
        <color rgb="FF434343"/>
        <u/>
      </rPr>
      <t xml:space="preserve">https://taiga.ecquaria.org/project/presales-mccy-ioms/us/527?kanban-include_attachments=1&amp;kanban-include_tasks=1&amp;kanban-status=551
</t>
    </r>
    <r>
      <rPr>
        <u/>
      </rPr>
      <t xml:space="preserve">
</t>
    </r>
    <r>
      <rPr>
        <color rgb="FF1155CC"/>
        <u/>
      </rPr>
      <t>https://taiga.ecquaria.org/project/presales-mccy-ioms/us/528?kanban-include_attachments=1&amp;kanban-include_tasks=1&amp;kanban-status=551</t>
    </r>
  </si>
  <si>
    <t>https://taiga.ecquaria.org/project/presales-mccy-ioms/us/527?kanban-include_attachments=1&amp;kanban-include_tasks=1&amp;kanban-status=551
https://taiga.ecquaria.org/project/presales-mccy-ioms/us/528?kanban-include_attachments=1&amp;kanban-include_tasks=1&amp;kanban-status=551</t>
  </si>
  <si>
    <t>Digital ID
-Change QR Code lib
-Unable to Save Event Profil</t>
  </si>
  <si>
    <t>https://taiga.ecquaria.org/project/presales-mccy-ioms/us/543?kanban-include_attachments=1&amp;kanban-include_tasks=1&amp;kanban-status=551
https://taiga.ecquaria.org/project/presales-mccy-ioms/us/551?kanban-include_attachments=1&amp;kanban-include_tasks=1&amp;kanban-status=550</t>
  </si>
  <si>
    <r>
      <rPr>
        <rFont val="Arial"/>
        <color theme="1"/>
      </rPr>
      <t xml:space="preserve">4
</t>
    </r>
    <r>
      <rPr>
        <rFont val="Arial"/>
        <color rgb="FFFF0000"/>
      </rPr>
      <t>4</t>
    </r>
  </si>
  <si>
    <r>
      <rPr>
        <rFont val="Arial"/>
        <color theme="1"/>
      </rPr>
      <t xml:space="preserve">Digital ID
- Event Profile Client ID logic handler for TOTP validation
-Print out Error return from OAuth to UI for better troubleshooting
</t>
    </r>
    <r>
      <rPr>
        <rFont val="Arial"/>
        <color rgb="FFFF0000"/>
      </rPr>
      <t>On Leave PM</t>
    </r>
  </si>
  <si>
    <r>
      <rPr>
        <rFont val="Arial"/>
        <color theme="1"/>
      </rPr>
      <t xml:space="preserve">Digital ID: In Progress
</t>
    </r>
    <r>
      <rPr>
        <rFont val="Arial"/>
        <color rgb="FFFF0000"/>
      </rPr>
      <t>On Leave PM</t>
    </r>
  </si>
  <si>
    <t>https://taiga.ecquaria.org/project/presales-mccy-ioms/us/550?kanban-include_attachments=1&amp;kanban-include_tasks=1&amp;kanban-status=550
https://taiga.ecquaria.org/project/presales-mccy-ioms/us/549?kanban-include_attachments=1&amp;kanban-include_tasks=1&amp;kanban-status=550</t>
  </si>
  <si>
    <t xml:space="preserve">Digital ID
-Print out Error return from OAuth to UI for better troubleshooting
-Share event Via TID Client ID
</t>
  </si>
  <si>
    <t>https://taiga.ecquaria.org/project/presales-mccy-ioms/us/550?kanban-include_attachments=1&amp;kanban-include_tasks=1&amp;kanban-status=550
https://taiga.ecquaria.org/project/presales-mccy-ioms/us/548?kanban-include_attachments=1&amp;kanban-include_tasks=1&amp;kanban-status=550</t>
  </si>
  <si>
    <t>4
4</t>
  </si>
  <si>
    <r>
      <rPr>
        <rFont val="Arial"/>
        <color rgb="FFFF0000"/>
      </rPr>
      <t>On Leave AM</t>
    </r>
    <r>
      <rPr>
        <rFont val="Arial"/>
        <color theme="1"/>
      </rPr>
      <t xml:space="preserve">
Digital ID
-Share Event Via TID Client</t>
    </r>
  </si>
  <si>
    <r>
      <rPr>
        <rFont val="Arial"/>
        <color rgb="FFFF0000"/>
      </rPr>
      <t xml:space="preserve">On Leave AM
</t>
    </r>
    <r>
      <rPr>
        <rFont val="Arial"/>
        <color theme="1"/>
      </rPr>
      <t>Digital ID: In Progress</t>
    </r>
  </si>
  <si>
    <t>https://taiga.ecquaria.org/project/presales-mccy-ioms/us/548?kanban-include_attachments=1&amp;kanban-include_tasks=1&amp;kanban-status=551</t>
  </si>
  <si>
    <t>On Leave AM</t>
  </si>
  <si>
    <t>Digital ID
-Share Event Via TID Client</t>
  </si>
  <si>
    <t>Digital ID
-User registration completion Email notification</t>
  </si>
  <si>
    <t>https://taiga.ecquaria.org/project/presales-mccy-ioms/us/574?kanban-include_attachments=1&amp;kanban-include_tasks=1&amp;kanban-status=551</t>
  </si>
  <si>
    <t>Digital ID
-Statistis Page</t>
  </si>
  <si>
    <t>https://taiga.ecquaria.org/project/presales-mccy-ioms/us/518?kanban-include_attachments=1&amp;kanban-include_tasks=1&amp;kanban-status=550</t>
  </si>
  <si>
    <t>https://taiga.ecquaria.org/project/presales-mccy-ioms/us/612?kanban-include_attachments=1&amp;kanban-include_tasks=1&amp;kanban-status=857</t>
  </si>
  <si>
    <t>https://taiga.ecquaria.org/project/presales-mccy-ioms/us/611?kanban-include_attachments=1&amp;kanban-include_tasks=1&amp;kanban-status=857</t>
  </si>
  <si>
    <t>https://taiga.ecquaria.org/project/presales-mccy-ioms/us/585?kanban-include_attachments=1&amp;kanban-include_tasks=1&amp;kanban-status=857</t>
  </si>
  <si>
    <t>https://taiga.ecquaria.org/project/presales-mccy-ioms/us/603?kanban-include_attachments=1&amp;kanban-include_tasks=1&amp;kanban-status=858</t>
  </si>
  <si>
    <t xml:space="preserve">Digital ID
EventPortal: Able to support both user check in via Mobile APP OTP and Static QR code
</t>
  </si>
  <si>
    <r>
      <rPr>
        <color rgb="FF1155CC"/>
        <u/>
      </rPr>
      <t>https://taiga.ecquaria.org/project/tecq-digital-id/task/866</t>
    </r>
  </si>
  <si>
    <t>Digital ID
EventPortal: New user registration generate Static QR for checking purpose via email blasting &amp; web UI</t>
  </si>
  <si>
    <r>
      <rPr>
        <color rgb="FF1155CC"/>
        <u/>
      </rPr>
      <t>https://taiga.ecquaria.org/project/tecq-digital-id/task/865</t>
    </r>
  </si>
  <si>
    <t xml:space="preserve">Digital ID
EventPortal: Event Attendees List refresh button
</t>
  </si>
  <si>
    <r>
      <rPr>
        <color rgb="FF1155CC"/>
        <u/>
      </rPr>
      <t>https://taiga.ecquaria.org/project/tecq-digital-id/task/882</t>
    </r>
  </si>
  <si>
    <t>Digital ID
Event Portal Changes - Based on User Feedback</t>
  </si>
  <si>
    <t>https://taiga.ecquaria.org/project/tecq-digital-id/task/911</t>
  </si>
  <si>
    <t xml:space="preserve">Digital ID
Event Portal: Different Check-In and Check-out time between Edit Attendee and in Attendees List
</t>
  </si>
  <si>
    <t>https://taiga.ecquaria.org/project/tecq-digital-id/issue/822</t>
  </si>
  <si>
    <t>Digital ID
EventPortal: Event Creation extended configurable option
Event Portal: Issues in Edit Event page
Event Portal: Issue in Event Registration page
User story
Event Portal: System display "Page not found" when delete all filter in Attendees list
Event Portal: Indefinite loading after scan QR and no check-in pop up displayed</t>
  </si>
  <si>
    <r>
      <rPr>
        <color rgb="FF434343"/>
        <u/>
      </rPr>
      <t xml:space="preserve">https://taiga.ecquaria.org/project/tecq-digital-id/task/927
</t>
    </r>
    <r>
      <rPr>
        <color rgb="FF1155CC"/>
        <u/>
      </rPr>
      <t xml:space="preserve">https://taiga.ecquaria.org/project/tecq-digital-id/issue/929
https://taiga.ecquaria.org/project/tecq-digital-id/issue/928
https://taiga.ecquaria.org/project/tecq-digital-id/issue/942
</t>
    </r>
    <r>
      <rPr/>
      <t>https://taiga.ecquaria.org/project/tecq-digital-id/issue/937</t>
    </r>
  </si>
  <si>
    <t>Digital ID
EventPortal: Event Creation extended configurable option</t>
  </si>
  <si>
    <t>https://taiga.ecquaria.org/project/tecq-digital-id/task/927</t>
  </si>
  <si>
    <t>Digital ID
EventPortal: Event Creation extended configurable option
Event Portal: The rights to delete event not based on RBAC document
Event Portal: Cannot scan QR for second time in mobile browser
Event Portal: Check-in time and check-out time displayed in mobile browser is not correct</t>
  </si>
  <si>
    <r>
      <rPr>
        <color rgb="FF434343"/>
        <u/>
      </rPr>
      <t xml:space="preserve">https://taiga.ecquaria.org/project/tecq-digital-id/task/927
</t>
    </r>
    <r>
      <rPr>
        <color rgb="FF1155CC"/>
        <u/>
      </rPr>
      <t xml:space="preserve">https://taiga.ecquaria.org/project/tecq-digital-id/issue/960
</t>
    </r>
    <r>
      <rPr/>
      <t xml:space="preserve">https://taiga.ecquaria.org/project/tecq-digital-id/issue/948
</t>
    </r>
    <r>
      <rPr>
        <color rgb="FF1155CC"/>
        <u/>
      </rPr>
      <t>https://taiga.ecquaria.org/project/tecq-digital-id/issue/946</t>
    </r>
  </si>
  <si>
    <t xml:space="preserve">Digital ID
Event Portal Changes - Based on User Feedback 2
</t>
  </si>
  <si>
    <t>https://taiga.ecquaria.org/project/tecq-digital-id/task/965</t>
  </si>
  <si>
    <t xml:space="preserve">Digital ID
Event Portal Changes - Based on User Feedback 2
Event Portal: Event Owner role can access event of another user via url
Event Portal: Event Owner can access check-in page of event that belongs to another user via url
Event Portal: Reset behaviour in Register Attendee page did not clear the error message
Event Portal: Typo in Register Attendee page
Event Portal: Check-in and check-out time in exported pdf and excel are different from the check-in and check-out time in Check-in page
Event Portal: Typo error message for full name in Add Attendee
</t>
  </si>
  <si>
    <r>
      <rPr>
        <color rgb="FF434343"/>
        <u/>
      </rPr>
      <t xml:space="preserve">https://taiga.ecquaria.org/project/tecq-digital-id/task/965
</t>
    </r>
    <r>
      <rPr>
        <color rgb="FF1155CC"/>
        <u/>
      </rPr>
      <t>https://taiga.ecquaria.org/project/tecq-digital-id/issue/957
https://taiga.ecquaria.org/project/tecq-digital-id/issue/958
https://taiga.ecquaria.org/project/tecq-digital-id/issue/970
https://taiga.ecquaria.org/project/tecq-digital-id/issue/971
https://taiga.ecquaria.org/project/tecq-digital-id/issue/967
https://taiga.ecquaria.org/project/tecq-digital-id/issue/969</t>
    </r>
  </si>
  <si>
    <t xml:space="preserve">Digital ID
</t>
  </si>
  <si>
    <t xml:space="preserve">https://taiga.ecquaria.org/project/tecq-digital-id/issue/987
</t>
  </si>
  <si>
    <t>Digital ID
EventPortal: CIBA integration in mobile APP</t>
  </si>
  <si>
    <t>https://taiga.ecquaria.org/project/tecq-digital-id/task/902</t>
  </si>
  <si>
    <t>Digital ID
Event Portal: Fix BE wrong user payload - from ID TOKEN instead from Old User Profile DB
Event Portal: Email blast user feedback
Event Portal: Delete button in Attendee Delete Confirmation is not working
Event Portal: the font format is not standardize for the confirmation pop up
Event Portal: Check-in and check-out time in exported pdf and excel are different from the check-in and check-out time in Check-in page
Event Portal: TEMPORARY fix. Open up Phone field to be editable after ekyc
Event Time not reflected correctly
Event Portal: Remove the suggestion text when click Search text box</t>
  </si>
  <si>
    <r>
      <rPr>
        <color rgb="FF434343"/>
        <u/>
      </rPr>
      <t xml:space="preserve">https://taiga.ecquaria.org/project/tecq-digital-id/issue/992
</t>
    </r>
    <r>
      <rPr>
        <color rgb="FF1155CC"/>
        <u/>
      </rPr>
      <t xml:space="preserve">https://taiga.ecquaria.org/project/tecq-digital-id/issue/988
</t>
    </r>
    <r>
      <rPr/>
      <t xml:space="preserve">https://taiga.ecquaria.org/project/tecq-digital-id/issue/1003
</t>
    </r>
    <r>
      <rPr>
        <color rgb="FF1155CC"/>
        <u/>
      </rPr>
      <t xml:space="preserve">https://taiga.ecquaria.org/project/tecq-digital-id/issue/1004
https://taiga.ecquaria.org/project/tecq-digital-id/issue/967
https://taiga.ecquaria.org/project/tecq-digital-id/issue/994
https://taiga.ecquaria.org/project/tecq-digital-id/task/989
</t>
    </r>
    <r>
      <rPr/>
      <t>https://taiga.ecquaria.org/project/tecq-digital-id/issue/1005</t>
    </r>
  </si>
  <si>
    <t>Digital ID
Event Portal: Change the default button for Delete Confirmation to No or Cancel</t>
  </si>
  <si>
    <t>https://taiga.ecquaria.org/project/tecq-digital-id/issue/987</t>
  </si>
  <si>
    <t>Digital ID
EventPortal: CIBA integration in mobile APP
Event Portal: QR Scanning performance issues</t>
  </si>
  <si>
    <r>
      <rPr>
        <color rgb="FF434343"/>
        <u/>
      </rPr>
      <t xml:space="preserve">https://taiga.ecquaria.org/project/tecq-digital-id/task/902
</t>
    </r>
    <r>
      <rPr>
        <color rgb="FF1155CC"/>
        <u/>
      </rPr>
      <t>https://taiga.ecquaria.org/project/tecq-digital-id/issue/1015</t>
    </r>
  </si>
  <si>
    <t>Digital ID
Event Portal: Remove and optimize console log instead of let it overflow
Event Portal: Redirect to Page Not Found when refresh attendee list, search and filter in Check-in page after session expired</t>
  </si>
  <si>
    <r>
      <rPr>
        <color rgb="FF434343"/>
        <u/>
      </rPr>
      <t xml:space="preserve">https://taiga.ecquaria.org/project/tecq-digital-id/issue/1016
</t>
    </r>
    <r>
      <rPr>
        <color rgb="FF1155CC"/>
        <u/>
      </rPr>
      <t>https://taiga.ecquaria.org/project/tecq-digital-id/issue/1008</t>
    </r>
  </si>
  <si>
    <t xml:space="preserve">Digital ID
Event Portal: Unauthorised user able to login to service but blank page
EventPortal: Anonymous Cookie session expired
</t>
  </si>
  <si>
    <r>
      <rPr>
        <color rgb="FF434343"/>
        <u/>
      </rPr>
      <t xml:space="preserve">https://taiga.ecquaria.org/project/tecq-digital-id/issue/1010
</t>
    </r>
    <r>
      <rPr>
        <color rgb="FF1155CC"/>
        <u/>
      </rPr>
      <t>https://taiga.ecquaria.org/project/tecq-digital-id/issue/1019</t>
    </r>
  </si>
  <si>
    <t>Digital ID
Event Portal: Add Phone number in exported excel and pdf file
Event Portal: Remove the suggestion text when click Search text box
Event Portal: Got error already registered when register via share event page but the attendee is added successfully to attendee list
Event Portal: When user access page that they did not have access by url, it did not display error</t>
  </si>
  <si>
    <r>
      <rPr>
        <color rgb="FF434343"/>
        <u/>
      </rPr>
      <t xml:space="preserve">https://taiga.ecquaria.org/project/tecq-digital-id/issue/1041
</t>
    </r>
    <r>
      <rPr>
        <color rgb="FF1155CC"/>
        <u/>
      </rPr>
      <t>https://taiga.ecquaria.org/project/tecq-digital-id/issue/1005
https://taiga.ecquaria.org/project/tecq-digital-id/issue/1037
https://taiga.ecquaria.org/project/tecq-digital-id/issue/974</t>
    </r>
  </si>
  <si>
    <t>Digital ID
Event Portal: Search event when session expired, it will display Page not Found
Event Portal: Number of Check-in is not updated in real time
Event Portal: When open the event detail by url, the page is not displayed correctly and need to refresh page
Event Portal: Indefinite loading when do some action due to session expired</t>
  </si>
  <si>
    <r>
      <rPr>
        <color rgb="FF434343"/>
        <u/>
      </rPr>
      <t xml:space="preserve">https://taiga.ecquaria.org/project/tecq-digital-id/issue/1017
</t>
    </r>
    <r>
      <rPr>
        <color rgb="FF1155CC"/>
        <u/>
      </rPr>
      <t>https://taiga.ecquaria.org/project/tecq-digital-id/issue/1013
https://taiga.ecquaria.org/project/tecq-digital-id/issue/976
https://taiga.ecquaria.org/project/tecq-digital-id/issue/1009</t>
    </r>
  </si>
  <si>
    <t xml:space="preserve">Digital ID
Event Portal: Missing total checked out in Check-in page
Event Portal: After register via KID, when refresh the share event page then the previous data will be displayed
EventPortal: Share Event Ownership of the event to different user
</t>
  </si>
  <si>
    <r>
      <rPr>
        <color rgb="FF434343"/>
        <u/>
      </rPr>
      <t xml:space="preserve">https://taiga.ecquaria.org/project/tecq-digital-id/issue/1014
</t>
    </r>
    <r>
      <rPr>
        <color rgb="FF1155CC"/>
        <u/>
      </rPr>
      <t>https://taiga.ecquaria.org/project/tecq-digital-id/issue/1038
https://taiga.ecquaria.org/project/tecq-digital-id/task/904</t>
    </r>
  </si>
  <si>
    <t>Digital ID
EventPortal: Create session under event profile</t>
  </si>
  <si>
    <t>https://taiga.ecquaria.org/project/tecq-digital-id/task/938</t>
  </si>
  <si>
    <t>Digital ID
[Event Portal] - Change default sort from createdAt only to adding a secondary default sort column</t>
  </si>
  <si>
    <t>https://taiga.ecquaria.org/project/tecq-digital-id/task/1060</t>
  </si>
  <si>
    <t>Digital ID
EventPortal: Check IN/OUT pre-select today date in form
EventPortal: Check IN and Check Out separation
EventPortal: Add toggle button for TOTP validation (Enable / Disable)</t>
  </si>
  <si>
    <r>
      <rPr>
        <color rgb="FF434343"/>
        <u/>
      </rPr>
      <t xml:space="preserve">https://taiga.ecquaria.org/project/tecq-digital-id/task/1046
</t>
    </r>
    <r>
      <rPr>
        <color rgb="FF1155CC"/>
        <u/>
      </rPr>
      <t>https://taiga.ecquaria.org/project/tecq-digital-id/task/1043
https://taiga.ecquaria.org/project/tecq-digital-id/task/1044</t>
    </r>
  </si>
  <si>
    <r>
      <rPr>
        <rFont val="Arial"/>
        <color theme="1"/>
      </rPr>
      <t xml:space="preserve">4
</t>
    </r>
    <r>
      <rPr>
        <rFont val="Arial"/>
        <color rgb="FFFF0000"/>
      </rPr>
      <t>4</t>
    </r>
  </si>
  <si>
    <r>
      <rPr>
        <rFont val="Arial"/>
        <color theme="1"/>
      </rPr>
      <t xml:space="preserve">Digital ID
EventPortal: Create session under event profile
</t>
    </r>
    <r>
      <rPr>
        <rFont val="Arial"/>
        <color rgb="FFFF0000"/>
      </rPr>
      <t>Leave PM</t>
    </r>
  </si>
  <si>
    <t>Digital ID
EventPortal: User Feedbacks
EventPortal: Share pages enhancement</t>
  </si>
  <si>
    <r>
      <rPr>
        <color rgb="FF434343"/>
        <u/>
      </rPr>
      <t xml:space="preserve">https://taiga.ecquaria.org/project/tecq-digital-id/task/1048
</t>
    </r>
    <r>
      <rPr>
        <color rgb="FF1155CC"/>
        <u/>
      </rPr>
      <t>https://taiga.ecquaria.org/project/tecq-digital-id/task/1054</t>
    </r>
  </si>
  <si>
    <t>Digital ID
EventPortal: Session in User Registration
EventPortal: QR scanning check IN/OUT for each session
EventPortal: Create session under event profile</t>
  </si>
  <si>
    <r>
      <rPr>
        <color rgb="FF434343"/>
        <u/>
      </rPr>
      <t xml:space="preserve">https://taiga.ecquaria.org/project/tecq-digital-id/task/1048
</t>
    </r>
    <r>
      <rPr>
        <color rgb="FF000000"/>
      </rPr>
      <t xml:space="preserve">https://taiga.ecquaria.org/project/tecq-digital-id/task/939
https://taiga.ecquaria.org/project/tecq-digital-id/task/940
</t>
    </r>
    <r>
      <rPr>
        <color rgb="FF1155CC"/>
        <u/>
      </rPr>
      <t>https://taiga.ecquaria.org/project/tecq-digital-id/task/938</t>
    </r>
  </si>
  <si>
    <r>
      <rPr/>
      <t xml:space="preserve">https://taiga.ecquaria.org/project/tecq-digital-id/task/939
https://taiga.ecquaria.org/project/tecq-digital-id/task/940
</t>
    </r>
    <r>
      <rPr>
        <color rgb="FF1155CC"/>
        <u/>
      </rPr>
      <t>https://taiga.ecquaria.org/project/tecq-digital-id/task/938</t>
    </r>
  </si>
  <si>
    <r>
      <rPr>
        <color rgb="FF1155CC"/>
        <u/>
      </rPr>
      <t>https://taiga.ecquaria.org/project/tecq-digital-id/task/939</t>
    </r>
    <r>
      <rPr/>
      <t xml:space="preserve">
https://taiga.ecquaria.org/project/tecq-digital-id/task/940
https://taiga.ecquaria.org/project/tecq-digital-id/task/938</t>
    </r>
  </si>
  <si>
    <t>Digital ID
EventPortal: Statistic Data</t>
  </si>
  <si>
    <t>https://taiga.ecquaria.org/project/tecq-digital-id/task/878</t>
  </si>
  <si>
    <t>Digital ID
EventPortal: Share pages enhancement
EventPortal: Statistic Data</t>
  </si>
  <si>
    <t>Digital ID: Done</t>
  </si>
  <si>
    <t>Digital ID
EventPortal: Share pages enhancement</t>
  </si>
  <si>
    <t>https://taiga.ecquaria.org/project/tecq-digital-id/task/1054</t>
  </si>
  <si>
    <t>Digital ID
[Event Portal] Hotfix Excel Import to inlcude "Remarks" column</t>
  </si>
  <si>
    <t>https://taiga.ecquaria.org/project/tecq-digital-id/issue/1114</t>
  </si>
  <si>
    <t>Digital ID
[Event Portal] - Mass User Registration
[Event Portal] Hotfix Excel Import to inlcude "Remarks" column</t>
  </si>
  <si>
    <t>Digital ID
[Event Portal] - Mass User Registration</t>
  </si>
  <si>
    <t>https://taiga.ecquaria.org/project/tecq-digital-id/task/1088</t>
  </si>
  <si>
    <t>Digital ID
[Event Portal] - Mass User Registration
Event Portal: Add instructions textbox for registration page
Event Portal: Change text for Login message</t>
  </si>
  <si>
    <r>
      <rPr>
        <color rgb="FF434343"/>
        <u/>
      </rPr>
      <t xml:space="preserve">https://taiga.ecquaria.org/project/tecq-digital-id/task/1088
</t>
    </r>
    <r>
      <rPr>
        <color rgb="FF1155CC"/>
        <u/>
      </rPr>
      <t>https://taiga.ecquaria.org/project/tecq-digital-id/issue/1120
https://taiga.ecquaria.org/project/tecq-digital-id/issue/1115</t>
    </r>
  </si>
  <si>
    <t>Digital ID
[Event Portal] - Mass User Registration
Event Portal: When open the event detail by url, the page is not displayed correctly and need to refresh page</t>
  </si>
  <si>
    <r>
      <rPr>
        <color rgb="FF434343"/>
        <u/>
      </rPr>
      <t xml:space="preserve">https://taiga.ecquaria.org/project/tecq-digital-id/issue/976
</t>
    </r>
    <r>
      <rPr>
        <color rgb="FF1155CC"/>
        <u/>
      </rPr>
      <t>https://taiga.ecquaria.org/project/tecq-digital-id/task/1088</t>
    </r>
  </si>
  <si>
    <t>Digital ID
EventPortal: Add banner images for event creation</t>
  </si>
  <si>
    <t>https://taiga.ecquaria.org/project/tecq-digital-id/task/1057</t>
  </si>
  <si>
    <t>Digital ID
Event Portal: Different naming for Session Description in Edit Event
Event Portal: Failed to create event when session description is empty
Event Portal: Add validation for at least select 1 session when Register Attendee
Event Portal: Display indefinite loading when add session with empty session detail in Event Detail
Event Portal: The previous session data is displayed when click Add Session in Event Detail
Event Portal: Indefinite loading when do some action due to session expired</t>
  </si>
  <si>
    <r>
      <rPr>
        <color rgb="FF434343"/>
        <u/>
      </rPr>
      <t xml:space="preserve">https://taiga.ecquaria.org/project/tecq-digital-id/issue/1146
</t>
    </r>
    <r>
      <rPr>
        <color rgb="FF1155CC"/>
        <u/>
      </rPr>
      <t>https://taiga.ecquaria.org/project/tecq-digital-id/issue/1151
https://taiga.ecquaria.org/project/tecq-digital-id/issue/1147
https://taiga.ecquaria.org/project/tecq-digital-id/issue/1152
https://taiga.ecquaria.org/project/tecq-digital-id/issue/1009</t>
    </r>
  </si>
  <si>
    <t>Date</t>
  </si>
  <si>
    <t>I Smart (hours)</t>
  </si>
  <si>
    <t>1
7</t>
  </si>
  <si>
    <t>WRMS:
- T8 PTM - Required to Join PRS is empty
- BPC UC24 issue - missing record on the second page
- 0155417: CS0529155 [NEA] : Report 'Outstanding Receivables from Refuse Disposal Fees (STMT008)' in Cognos</t>
  </si>
  <si>
    <t>WRMS:
Ready for Test
Ready for Test
In Progress</t>
  </si>
  <si>
    <t>iSmart:
- Merge and provide data for QA to test an issue
WRMS:
- 0155417: CS0529155 [NEA] : Report 'Outstanding Receivables from Refuse Disposal Fees (STMT008)' in Cognos</t>
  </si>
  <si>
    <t>iSmart:
Done
WRMS:
In Progress</t>
  </si>
  <si>
    <r>
      <rPr>
        <rFont val="Arial"/>
        <strike/>
        <color theme="1"/>
      </rPr>
      <t xml:space="preserve">2
</t>
    </r>
    <r>
      <rPr>
        <rFont val="Arial"/>
        <color theme="1"/>
      </rPr>
      <t>0</t>
    </r>
  </si>
  <si>
    <r>
      <rPr>
        <rFont val="Arial"/>
        <strike/>
        <color theme="1"/>
      </rPr>
      <t xml:space="preserve">6
</t>
    </r>
    <r>
      <rPr>
        <rFont val="Arial"/>
        <color theme="1"/>
      </rPr>
      <t>8</t>
    </r>
  </si>
  <si>
    <t>WRMS:
- 0155417: CS0529155 [NEA] : Report 'Outstanding Receivables from Refuse Disposal Fees (STMT008)' in Cognos</t>
  </si>
  <si>
    <t>WRMS:
In Progress</t>
  </si>
  <si>
    <r>
      <rPr>
        <rFont val="Arial"/>
        <strike/>
        <color theme="1"/>
      </rPr>
      <t xml:space="preserve">2
</t>
    </r>
    <r>
      <rPr>
        <rFont val="Arial"/>
        <color theme="1"/>
      </rPr>
      <t>0</t>
    </r>
  </si>
  <si>
    <r>
      <rPr>
        <rFont val="Arial"/>
        <strike/>
        <color theme="1"/>
      </rPr>
      <t xml:space="preserve">6
</t>
    </r>
    <r>
      <rPr>
        <rFont val="Arial"/>
        <color theme="1"/>
      </rPr>
      <t>8</t>
    </r>
  </si>
  <si>
    <r>
      <rPr>
        <rFont val="Arial"/>
        <strike/>
        <color theme="1"/>
      </rPr>
      <t xml:space="preserve">2
</t>
    </r>
    <r>
      <rPr>
        <rFont val="Arial"/>
        <color theme="1"/>
      </rPr>
      <t>0</t>
    </r>
  </si>
  <si>
    <r>
      <rPr>
        <rFont val="Arial"/>
        <strike/>
        <color theme="1"/>
      </rPr>
      <t xml:space="preserve">6
</t>
    </r>
    <r>
      <rPr>
        <rFont val="Arial"/>
        <color theme="1"/>
      </rPr>
      <t>8</t>
    </r>
  </si>
  <si>
    <t>WRMS:
Ready for Tests</t>
  </si>
  <si>
    <t>iSmart:
ICA0008 Checked Out Documents Report Issues
WRMS:
T2 issue: rechecking the DM as requested</t>
  </si>
  <si>
    <t>iSmart:
In Progress
WMRS:
Done</t>
  </si>
  <si>
    <t>Remaining Task on I Smart  (Taiga : Kaban) Weekly updated as of July 28  : 
New :  3
Pending SG / Need Info :    
On Hold : 1 
In Progress :  
Ready for Test (Bdg QA): 3  
Ready Test for SG : 14
To Be check with SG on July 28</t>
  </si>
  <si>
    <t>Remaining Task on WRMS  (Taiga : Kaban) Weekly updated as of July 28  : 
New :  
Pending SG :    
On Hold : 1
In Progress :  
Ready for Test (SQ): 4 
To Be check with SG on July 28</t>
  </si>
  <si>
    <t>iSmart:
#1587 ICA0016 Daily Document Reconciliation Report Issues
WRMS:
standby supporting Ananth to double check the fixes</t>
  </si>
  <si>
    <t xml:space="preserve">iSmart:
Ready for Test BD
</t>
  </si>
  <si>
    <t>iSmart:
#1596 ICA0008 Checked Out Documents Report Issues
WRMS:
standby supporting Ananth to double check the fixes</t>
  </si>
  <si>
    <r>
      <rPr>
        <rFont val="Arial"/>
        <strike/>
        <color theme="1"/>
      </rPr>
      <t>4</t>
    </r>
    <r>
      <rPr>
        <rFont val="Arial"/>
        <color theme="1"/>
      </rPr>
      <t xml:space="preserve">
8</t>
    </r>
  </si>
  <si>
    <r>
      <rPr>
        <rFont val="Arial"/>
        <strike/>
        <color theme="1"/>
      </rPr>
      <t>4</t>
    </r>
    <r>
      <rPr>
        <rFont val="Arial"/>
        <color theme="1"/>
      </rPr>
      <t xml:space="preserve">
0</t>
    </r>
  </si>
  <si>
    <t>iSmart:
- support testing: #1587 ICA0016 Daily Document Reconciliation Report Issues
- support testing: #1596 ICA0008 Checked Out Documents Report Issues</t>
  </si>
  <si>
    <t>iSmart:
Testing BD
Done</t>
  </si>
  <si>
    <r>
      <rPr>
        <rFont val="Arial"/>
        <strike/>
        <color theme="1"/>
      </rPr>
      <t xml:space="preserve">4
</t>
    </r>
    <r>
      <rPr>
        <rFont val="Arial"/>
        <color theme="1"/>
      </rPr>
      <t>8</t>
    </r>
  </si>
  <si>
    <r>
      <rPr>
        <rFont val="Arial"/>
        <strike/>
        <color theme="1"/>
      </rPr>
      <t>4</t>
    </r>
    <r>
      <rPr>
        <rFont val="Arial"/>
        <color theme="1"/>
      </rPr>
      <t xml:space="preserve">
0</t>
    </r>
  </si>
  <si>
    <t>iSmart:
- support testing: #1587 ICA0016 Daily Document Reconciliation Report Issues</t>
  </si>
  <si>
    <t>iSmart:
Done</t>
  </si>
  <si>
    <r>
      <rPr>
        <rFont val="Arial"/>
        <strike/>
        <color theme="1"/>
      </rPr>
      <t xml:space="preserve">4
</t>
    </r>
    <r>
      <rPr>
        <rFont val="Arial"/>
        <color theme="1"/>
      </rPr>
      <t>8</t>
    </r>
  </si>
  <si>
    <r>
      <rPr>
        <rFont val="Arial"/>
        <strike/>
        <color theme="1"/>
      </rPr>
      <t>4</t>
    </r>
    <r>
      <rPr>
        <rFont val="Arial"/>
        <color theme="1"/>
      </rPr>
      <t xml:space="preserve">
0</t>
    </r>
  </si>
  <si>
    <t>iSmart:
- Logging Module: adding stacktrace to the log message</t>
  </si>
  <si>
    <t>iSmart:
In Progress -&gt; On Hold</t>
  </si>
  <si>
    <t>iSmart:
Fixing rejected task: incorrect payload is used for userstory 59 regarding ICA00012 report</t>
  </si>
  <si>
    <t>iSmart:
In Progress</t>
  </si>
  <si>
    <t>iSmart:
In Progress -&gt; Ready for Test BD</t>
  </si>
  <si>
    <t>iSmart:
- Support testing issue: incorrect payload is used for userstory 59 regarding ICA00012 report
- Bandung env setup: ibm mq with SSL support</t>
  </si>
  <si>
    <t>iSmart:
- Ready for Test
- In Progress</t>
  </si>
  <si>
    <t>iSmart:
Bandung env setup: ibm mq with SSL support</t>
  </si>
  <si>
    <r>
      <rPr>
        <rFont val="Arial"/>
        <strike/>
        <color theme="1"/>
      </rPr>
      <t>4</t>
    </r>
    <r>
      <rPr>
        <rFont val="Arial"/>
        <color theme="1"/>
      </rPr>
      <t xml:space="preserve">
0</t>
    </r>
  </si>
  <si>
    <r>
      <rPr>
        <rFont val="Arial"/>
        <strike/>
        <color theme="1"/>
      </rPr>
      <t>4</t>
    </r>
    <r>
      <rPr>
        <rFont val="Arial"/>
        <color theme="1"/>
      </rPr>
      <t xml:space="preserve">
0</t>
    </r>
  </si>
  <si>
    <t>iSmart:
In Progress -&gt; Ready for Test</t>
  </si>
  <si>
    <t>iSmart:
- continue to handle task 1628: load last population time from db instead of memory to make it HA ready
WRMS:
- T7 MPR to show absolute annual turnover value instead of short version</t>
  </si>
  <si>
    <t>iSmart:
- In Progress -&gt; Ready for test BD
WRMS:
- New -&gt; In progress</t>
  </si>
  <si>
    <r>
      <rPr>
        <rFont val="Arial"/>
        <strike/>
        <color theme="1"/>
      </rPr>
      <t>4</t>
    </r>
    <r>
      <rPr>
        <rFont val="Arial"/>
        <color theme="1"/>
      </rPr>
      <t xml:space="preserve">
0</t>
    </r>
  </si>
  <si>
    <r>
      <rPr>
        <rFont val="Arial"/>
        <strike/>
        <color theme="1"/>
      </rPr>
      <t>4</t>
    </r>
    <r>
      <rPr>
        <rFont val="Arial"/>
        <color theme="1"/>
      </rPr>
      <t xml:space="preserve">
8</t>
    </r>
  </si>
  <si>
    <t>WRMS:
- T7 MPR to show absolute annual turnover value instead of short version</t>
  </si>
  <si>
    <t>WRMS:
- In progress -&gt; Needs Info (dev done, SG team is confirming with user about several things)</t>
  </si>
  <si>
    <r>
      <rPr>
        <rFont val="Arial"/>
        <strike/>
        <color theme="1"/>
      </rPr>
      <t>4</t>
    </r>
    <r>
      <rPr>
        <rFont val="Arial"/>
        <color theme="1"/>
      </rPr>
      <t xml:space="preserve">
8</t>
    </r>
  </si>
  <si>
    <r>
      <rPr>
        <rFont val="Arial"/>
        <strike/>
        <color theme="1"/>
      </rPr>
      <t>4</t>
    </r>
    <r>
      <rPr>
        <rFont val="Arial"/>
        <color theme="1"/>
      </rPr>
      <t xml:space="preserve">
0</t>
    </r>
  </si>
  <si>
    <t>iSmart:
- support testing old issue: sorting in ASC schedule and ASC blocked dates</t>
  </si>
  <si>
    <t>iSmart:
- Testing BD (got some findings in the query on release branch)</t>
  </si>
  <si>
    <t>WRMS:
- Vulnerability Issue fixing</t>
  </si>
  <si>
    <r>
      <rPr>
        <rFont val="Arial"/>
        <strike/>
        <color theme="1"/>
      </rPr>
      <t>4</t>
    </r>
    <r>
      <rPr>
        <rFont val="Arial"/>
        <color theme="1"/>
      </rPr>
      <t xml:space="preserve">
8</t>
    </r>
  </si>
  <si>
    <r>
      <rPr>
        <rFont val="Arial"/>
        <strike/>
        <color theme="1"/>
      </rPr>
      <t>4</t>
    </r>
    <r>
      <rPr>
        <rFont val="Arial"/>
        <color theme="1"/>
      </rPr>
      <t xml:space="preserve">
0</t>
    </r>
  </si>
  <si>
    <t>iSmart</t>
  </si>
  <si>
    <r>
      <rPr>
        <rFont val="Arial"/>
        <strike/>
        <color theme="1"/>
      </rPr>
      <t>4</t>
    </r>
    <r>
      <rPr>
        <rFont val="Arial"/>
        <color theme="1"/>
      </rPr>
      <t xml:space="preserve">
8</t>
    </r>
  </si>
  <si>
    <r>
      <rPr>
        <rFont val="Arial"/>
        <strike/>
        <color theme="1"/>
      </rPr>
      <t>4</t>
    </r>
    <r>
      <rPr>
        <rFont val="Arial"/>
        <color theme="1"/>
      </rPr>
      <t xml:space="preserve">
0</t>
    </r>
  </si>
  <si>
    <t>iSmart
WRMS</t>
  </si>
  <si>
    <t>WRMS:
CR 092 PTM E Waste</t>
  </si>
  <si>
    <t>WRMS:
CR 092 PTM E Waste
iSmart:
----</t>
  </si>
  <si>
    <t>Non-project:
Doing research for ismart iccs-qa</t>
  </si>
  <si>
    <t>4
8</t>
  </si>
  <si>
    <t>4
0</t>
  </si>
  <si>
    <t>iSmart:
Checking all reports due to end date is adjusted by SG Team</t>
  </si>
  <si>
    <t>MC Leave</t>
  </si>
  <si>
    <t>iSmart:
In Progress -&gt; Ready for Test (BD to SG)</t>
  </si>
  <si>
    <t>WRMS:
MPR UC5 Fixing feedback from SG Team</t>
  </si>
  <si>
    <t>WRMS:
- Upgrade dependencies (https://taiga.ecquaria.org/project/wrms-1/us/65)
- CR 092 PTM E Waste</t>
  </si>
  <si>
    <t>WRMS:
- Ready for Test (BD to SG)
- In Progress</t>
  </si>
  <si>
    <t>iSmart:
Migration of Report SQL to View: simplify ds queries
WRMS:
MPR UC5 Fixing feedback from SG Team</t>
  </si>
  <si>
    <t>iSmart:
In Progress -&gt; Ready for Test (BD to SG)
WRMS:
In Progress -&gt; Ready for Test (BD to SG)</t>
  </si>
  <si>
    <t>WRMS:
- refining WRMS deployment bandung side: setup sftp server, deploy etl extraction, azure batchjob service, etl loader, and azurite in bandung VM</t>
  </si>
  <si>
    <t>iSmart:
- Helping Clement on fixing CollectionDocumentsCounter issue</t>
  </si>
  <si>
    <t>iSmart:
- In Progress</t>
  </si>
  <si>
    <t>iSmart:
- Helping Clement on fixing CollectionDocumentsCounter issue
WRMS:
- refining WRMS deployment bandung side: setup sftp server, deploy etl extraction, azure batchjob service, etl loader, and azurite in bandung VM</t>
  </si>
  <si>
    <t>iSmart:
- In Progress -&gt; Done
WRMS:
- In Progress -&gt; Done</t>
  </si>
  <si>
    <t>WRMS:
- Preparing MPR UC5 UAT Deployment
- Checking BPC UC15 SIT version</t>
  </si>
  <si>
    <t>WRMS:
Done
In Progress</t>
  </si>
  <si>
    <t>iSmart:
- compacting ica00005 query</t>
  </si>
  <si>
    <t>WRMS:
- Checking BPC UC15 SIT version and fix it
- 0157013: [NEA] CS0634530 Statement Generation on 1-Oct-2025</t>
  </si>
  <si>
    <t>WRMS:
- In Progress -&gt; Ready for Test
- In Progress</t>
  </si>
  <si>
    <t>WRMS:
- 0157013: [NEA] CS0634530 Statement Generation on 1-Oct-2025</t>
  </si>
  <si>
    <t>WRMS:
- In Progress</t>
  </si>
  <si>
    <t>WRMS:
- In Progress -&gt; Ready for Test</t>
  </si>
  <si>
    <t>iSmart:
- Preparing report enhancement</t>
  </si>
  <si>
    <t>iSmart:
- Done</t>
  </si>
  <si>
    <t>iSmart:
- [REPORT-ENHANCEMENT] ICA0012 (Unsuccessful iKiosk Collections)</t>
  </si>
  <si>
    <t>iSmart:
- In Progress -&gt; Postponed (need failed reasons confirmation)</t>
  </si>
  <si>
    <t>iSmart:
[REPORT-ENHANCEMENT] ICA0001 (Summary of Total Successful and Unsuccessful Collection)
WRMS:
Discuss with Ananth regarding 0157013: [NEA] CS0634530 Statement Generation on 1-Oct-2025</t>
  </si>
  <si>
    <t>iSmart:
In Progress
WRMS:
Ready for Test</t>
  </si>
  <si>
    <t>iSmart:
In Progress -&gt; Ready for Test
WRMS:
Ready for Test</t>
  </si>
  <si>
    <t>iSmart:
[REPORT-ENHANCEMENT] ICA0012 (Unsuccessful iKiosk Collections)
WRMS:
Discuss with Ananth regarding 0157013: [NEA] CS0634530 Statement Generation on 1-Oct-2025</t>
  </si>
  <si>
    <t>iSmart:
Postponed -&gt; In Progress
WRMS:
Ready for Test -&gt; UAT In Progress</t>
  </si>
  <si>
    <t>iSmart:
[REPORT-ENHANCEMENT] ICA0012 (Unsuccessful iKiosk Collections)
WRMS:
Discuss with Ananth Regarding 2 issues:
- BPC UC24 issue - missing record on the second page
- 0155417: CS0529155 [NEA] : Report 'Outstanding Receivables from Refuse Disposal Fees (STMT008)' in Cognos</t>
  </si>
  <si>
    <t>iSmart:
In Progress -&gt; Ready for Test
WRMS:
UAT In Progress</t>
  </si>
  <si>
    <t>iSmart:
[REPORT-ENHANCEMENT] ICA0003 (Summary of Kiosk Collections)</t>
  </si>
  <si>
    <t>WRMS:
- extractor: To extract IPWB and BPC at the beginning of week (Monday)
- loader: To make loader not to do anything in case the informix is not accessable.</t>
  </si>
  <si>
    <t>WRMS:
- loader: To make loader not to do anything in case the informix is not accessable.
- BPC UC24 fix based on Ananth suggested query</t>
  </si>
  <si>
    <t>WRMS:
- In Progress -&gt; Ready for Test
- UAT In Progress</t>
  </si>
  <si>
    <t>WRMS:
- BPC UC29 fix based on Ananth suggested query
iSmart:
- fixing ICA00001 enhanced report datasource query</t>
  </si>
  <si>
    <t>WRMS:
- UAT In Progress
iSmart:
- Ready for Test</t>
  </si>
  <si>
    <t>WRMS:
preparing UAT deployment</t>
  </si>
  <si>
    <t>WRMS:
- Done</t>
  </si>
  <si>
    <t>iSmart:
- [REPORT-ENHANCEMENT] ICA0003 (Summary of Kiosk Collections)</t>
  </si>
  <si>
    <t>iSmart:
- In Progress -&gt; Ready for Test</t>
  </si>
  <si>
    <r>
      <rPr/>
      <t xml:space="preserve">iSmart:
- </t>
    </r>
    <r>
      <rPr>
        <color rgb="FF1155CC"/>
        <u/>
      </rPr>
      <t>https://taiga.ecquaria.org/project/ica-ismart-backend/issue/1707</t>
    </r>
  </si>
  <si>
    <t>iSmart:
[REPORT-ENHANCEMENT] ICA0012 (Unsuccessful iKiosk Collections)</t>
  </si>
  <si>
    <r>
      <rPr/>
      <t xml:space="preserve">iSmart:
- </t>
    </r>
    <r>
      <rPr>
        <color rgb="FF1155CC"/>
        <u/>
      </rPr>
      <t>https://taiga.ecquaria.org/project/ica-ismart-backend/issue/1709</t>
    </r>
  </si>
  <si>
    <r>
      <rPr/>
      <t xml:space="preserve">iSmart:
- </t>
    </r>
    <r>
      <rPr>
        <color rgb="FF1155CC"/>
        <u/>
      </rPr>
      <t>https://taiga.ecquaria.org/project/ica-ismart-backend/issue/1709</t>
    </r>
  </si>
  <si>
    <t>iSmart:
- ICA00024 Enhancement</t>
  </si>
  <si>
    <r>
      <rPr/>
      <t>iSmart:</t>
    </r>
    <r>
      <rPr>
        <color rgb="FF1155CC"/>
        <u/>
      </rPr>
      <t xml:space="preserve">
</t>
    </r>
    <r>
      <rPr/>
      <t xml:space="preserve">- </t>
    </r>
    <r>
      <rPr>
        <color rgb="FF1155CC"/>
        <u/>
      </rPr>
      <t>https://taiga.ecquaria.org/project/ica-ismart-backend/issue/1710</t>
    </r>
  </si>
  <si>
    <r>
      <rPr/>
      <t>iSmart:</t>
    </r>
    <r>
      <rPr>
        <color rgb="FF1155CC"/>
        <u/>
      </rPr>
      <t xml:space="preserve">
</t>
    </r>
    <r>
      <rPr/>
      <t xml:space="preserve">- </t>
    </r>
    <r>
      <rPr>
        <color rgb="FF1155CC"/>
        <u/>
      </rPr>
      <t>https://taiga.ecquaria.org/project/ica-ismart-backend/issue/1710</t>
    </r>
  </si>
  <si>
    <t>iSmart:
- ICA00002 Enhancement</t>
  </si>
  <si>
    <r>
      <rPr/>
      <t xml:space="preserve">iSmart:
- </t>
    </r>
    <r>
      <rPr>
        <color rgb="FF1155CC"/>
        <u/>
      </rPr>
      <t>https://taiga.ecquaria.org/project/ica-ismart-backend/issue/1706</t>
    </r>
  </si>
  <si>
    <t>iSmart:
- Deployment day for report enhancement part 1 (1, 3, 4, 12, 24) -&gt; get feedback below
- To Add ICA00012 Summary Table
- To Add ICA00024 Summary Table
- To Fix ICA00003 wrong counting</t>
  </si>
  <si>
    <t>iSmart:
- Deployment support
- New
- New
- In Progress</t>
  </si>
  <si>
    <r>
      <rPr/>
      <t xml:space="preserve">iSmart:
- Support
- </t>
    </r>
    <r>
      <rPr>
        <color rgb="FF1155CC"/>
        <u/>
      </rPr>
      <t>https://taiga.ecquaria.org/project/ica-ismart-backend/issue/1709</t>
    </r>
    <r>
      <rPr/>
      <t xml:space="preserve">
- </t>
    </r>
    <r>
      <rPr>
        <color rgb="FF1155CC"/>
        <u/>
      </rPr>
      <t xml:space="preserve">https://taiga.ecquaria.org/project/ica-ismart-backend/issue/1710
</t>
    </r>
    <r>
      <rPr/>
      <t xml:space="preserve">- </t>
    </r>
    <r>
      <rPr>
        <color rgb="FF1155CC"/>
        <u/>
      </rPr>
      <t>https://taiga.ecquaria.org/project/ica-ismart-backend/issue/1707</t>
    </r>
  </si>
  <si>
    <t>iSmart:
- To Add ICA00012 Summary Table
- To Add ICA00024 Summary Table
- To Fix ICA00003 wrong counting</t>
  </si>
  <si>
    <t>iSmart:
- New -&gt; In Progress
- New -&gt; In Progress
- In Progress -&gt; Ready for Test</t>
  </si>
  <si>
    <r>
      <rPr/>
      <t xml:space="preserve">iSmart:
- </t>
    </r>
    <r>
      <rPr>
        <color rgb="FF1155CC"/>
        <u/>
      </rPr>
      <t>https://taiga.ecquaria.org/project/ica-ismart-backend/issue/1709</t>
    </r>
    <r>
      <rPr/>
      <t xml:space="preserve">
- </t>
    </r>
    <r>
      <rPr>
        <color rgb="FF1155CC"/>
        <u/>
      </rPr>
      <t xml:space="preserve">https://taiga.ecquaria.org/project/ica-ismart-backend/issue/1710
</t>
    </r>
    <r>
      <rPr/>
      <t xml:space="preserve">- </t>
    </r>
    <r>
      <rPr>
        <color rgb="FF1155CC"/>
        <u/>
      </rPr>
      <t>https://taiga.ecquaria.org/project/ica-ismart-backend/issue/1707</t>
    </r>
  </si>
  <si>
    <t>iSmart:
- To Add ICA00012 Summary Table
- To Add ICA00024 Summary Table</t>
  </si>
  <si>
    <t>iSmart:
- In Progress
- In Progress</t>
  </si>
  <si>
    <r>
      <rPr/>
      <t xml:space="preserve">iSmart:
- </t>
    </r>
    <r>
      <rPr>
        <color rgb="FF1155CC"/>
        <u/>
      </rPr>
      <t>https://taiga.ecquaria.org/project/ica-ismart-backend/issue/1709</t>
    </r>
    <r>
      <rPr/>
      <t xml:space="preserve">
- </t>
    </r>
    <r>
      <rPr>
        <color rgb="FF1155CC"/>
        <u/>
      </rPr>
      <t>https://taiga.ecquaria.org/project/ica-ismart-backend/issue/1710</t>
    </r>
  </si>
  <si>
    <t>iSmart:
- To Add ICA00012 Summary Table
- To Add ICA00024 Summary Table
WRMS:
- Preparing sql to remove informix sql to remove loaded ipwb app side duplicated records</t>
  </si>
  <si>
    <t>iSmart:
- In Progress -&gt; Ready for Test
- In Progress -&gt; Ready for Test
WRMS:
- In Progress</t>
  </si>
  <si>
    <r>
      <rPr/>
      <t xml:space="preserve">- </t>
    </r>
    <r>
      <rPr>
        <color rgb="FF1155CC"/>
        <u/>
      </rPr>
      <t xml:space="preserve">https://taiga.ecquaria.org/project/ica-ismart-backend/issue/1709
</t>
    </r>
    <r>
      <rPr/>
      <t xml:space="preserve">- </t>
    </r>
    <r>
      <rPr>
        <color rgb="FF1155CC"/>
        <u/>
      </rPr>
      <t>https://taiga.ecquaria.org/project/ica-ismart-backend/issue/1710</t>
    </r>
  </si>
  <si>
    <t>iSmart:
- discuss with SG team regarding new required changes for report 17 and 18: to add auto filter in the output excel file
WRMS:
- fixing sonarqube and Fod scan result</t>
  </si>
  <si>
    <t>WRMS:
Done</t>
  </si>
  <si>
    <t>iSmart:
Refactoring iccs-be-rpt</t>
  </si>
  <si>
    <t>iSmart:
- ICA00016 report enhancement</t>
  </si>
  <si>
    <t>iSmart:
- Refactoring iccs-be-rpt
- ICA00016 report enhancement</t>
  </si>
  <si>
    <t>WRMS:
- continuing PTM CR092</t>
  </si>
  <si>
    <t>WRMS:
- Ready for Test (SIT)</t>
  </si>
  <si>
    <t>WRMS:
cognos SDK research</t>
  </si>
  <si>
    <t>we can finally get
- report description in xml format
- data module in json format
later we put these files in git
we still need to find a way how to put back these files into cognos in case Roy didnt give us permission to buy MotioCI</t>
  </si>
  <si>
    <t>AI (Hours)</t>
  </si>
  <si>
    <t>1. Create Architecture Diagram fo MOH, QA, BA
2. Refactor Code</t>
  </si>
  <si>
    <t>1. Completed
2. Completed</t>
  </si>
  <si>
    <t>1. Arch Diagram 
2. Refactor Code</t>
  </si>
  <si>
    <t>1. Implement Microsoft SSO for QA, BA, MOH helpdesk
2. AWS AI Practitioner Certification</t>
  </si>
  <si>
    <t>1. In Progress
2. In Progress</t>
  </si>
  <si>
    <r>
      <rPr>
        <color rgb="FF1155CC"/>
        <u/>
      </rPr>
      <t>1. Implement SSO Microsoft</t>
    </r>
    <r>
      <rPr/>
      <t xml:space="preserve">
</t>
    </r>
    <r>
      <rPr>
        <color rgb="FF1155CC"/>
        <u/>
      </rPr>
      <t>2. AWS AI Practitioner</t>
    </r>
  </si>
  <si>
    <t>1. Ready for test
2. In Progress</t>
  </si>
  <si>
    <r>
      <rPr>
        <color rgb="FF1155CC"/>
        <u/>
      </rPr>
      <t>1. Implement SSO Microsoft</t>
    </r>
    <r>
      <rPr/>
      <t xml:space="preserve">
</t>
    </r>
    <r>
      <rPr>
        <color rgb="FF1155CC"/>
        <u/>
      </rPr>
      <t>2. AWS AI Practitioner</t>
    </r>
  </si>
  <si>
    <t>1. SIT Preparation for MOH Helpdesk APP
2. AWS AI Practitioner Certification</t>
  </si>
  <si>
    <r>
      <rPr>
        <color rgb="FF1155CC"/>
        <u/>
      </rPr>
      <t>1. SIT Preparation for MOH Helpdesk APP</t>
    </r>
    <r>
      <rPr/>
      <t xml:space="preserve">
</t>
    </r>
    <r>
      <rPr>
        <color rgb="FF1155CC"/>
        <u/>
      </rPr>
      <t>2. AWS AI Practitioner</t>
    </r>
  </si>
  <si>
    <r>
      <rPr>
        <color rgb="FF1155CC"/>
        <u/>
      </rPr>
      <t>1. SIT Preparation for MOH Helpdesk APP</t>
    </r>
    <r>
      <rPr/>
      <t xml:space="preserve">
</t>
    </r>
    <r>
      <rPr>
        <color rgb="FF1155CC"/>
        <u/>
      </rPr>
      <t>2. AWS AI Practitioner</t>
    </r>
  </si>
  <si>
    <t>1. Done
2. In Progress</t>
  </si>
  <si>
    <r>
      <rPr>
        <color rgb="FF1155CC"/>
        <u/>
      </rPr>
      <t>1. SIT Preparation for MOH Helpdesk APP</t>
    </r>
    <r>
      <rPr/>
      <t xml:space="preserve">
</t>
    </r>
    <r>
      <rPr>
        <color rgb="FF1155CC"/>
        <u/>
      </rPr>
      <t>2. AWS AI Practitioner</t>
    </r>
  </si>
  <si>
    <t>1. Setup UAT Environment
2. AWS AI Practitioner Certification</t>
  </si>
  <si>
    <r>
      <rPr>
        <color rgb="FF1155CC"/>
        <u/>
      </rPr>
      <t>1. Setup UAT Environment</t>
    </r>
    <r>
      <rPr/>
      <t xml:space="preserve">
</t>
    </r>
    <r>
      <rPr>
        <color rgb="FF1155CC"/>
        <u/>
      </rPr>
      <t>2. AWS AI Practitioner</t>
    </r>
  </si>
  <si>
    <t>Setup UAT env if server ready</t>
  </si>
  <si>
    <r>
      <rPr>
        <rFont val="Arial"/>
        <strike/>
        <color theme="1"/>
      </rPr>
      <t>1. Move to separate Gitlab Repo</t>
    </r>
    <r>
      <rPr>
        <rFont val="Arial"/>
        <color theme="1"/>
      </rPr>
      <t xml:space="preserve">
2. AWS AI Practitioner Certification
3. Setup UAT Environment</t>
    </r>
  </si>
  <si>
    <t>1. On Hold
2. In Progress
3. In Progress</t>
  </si>
  <si>
    <r>
      <rPr>
        <color rgb="FF1155CC"/>
        <u/>
      </rPr>
      <t>1. Move project to separate gitlab repo</t>
    </r>
    <r>
      <rPr/>
      <t xml:space="preserve">
</t>
    </r>
    <r>
      <rPr>
        <color rgb="FF1155CC"/>
        <u/>
      </rPr>
      <t>2. AWS AI Practitioner</t>
    </r>
  </si>
  <si>
    <t>1. After assesment it better not to separate repo
3. Adding ci-cd process</t>
  </si>
  <si>
    <r>
      <rPr>
        <rFont val="Arial"/>
        <strike/>
        <color theme="1"/>
      </rPr>
      <t>1. Improve App Security
2. AWS AI Practitioner Certification</t>
    </r>
    <r>
      <rPr>
        <rFont val="Arial"/>
        <color theme="1"/>
      </rPr>
      <t xml:space="preserve">
3. Annual Leave</t>
    </r>
  </si>
  <si>
    <r>
      <rPr>
        <rFont val="Arial"/>
        <strike/>
        <color theme="1"/>
      </rPr>
      <t>1. In Progress
2. In Progress</t>
    </r>
    <r>
      <rPr>
        <rFont val="Arial"/>
        <color theme="1"/>
      </rPr>
      <t xml:space="preserve">
3. Done</t>
    </r>
  </si>
  <si>
    <r>
      <rPr>
        <color rgb="FF1155CC"/>
        <u/>
      </rPr>
      <t>1. Improve app security</t>
    </r>
    <r>
      <rPr/>
      <t xml:space="preserve">
</t>
    </r>
    <r>
      <rPr>
        <color rgb="FF1155CC"/>
        <u/>
      </rPr>
      <t>2. AWS AI Practitioner</t>
    </r>
  </si>
  <si>
    <t>1. Improve App Security
2. AWS AI Practitioner Certification
3. Setup UAT Environment</t>
  </si>
  <si>
    <t>1. Done
2. In Progress
3. In Progress</t>
  </si>
  <si>
    <r>
      <rPr>
        <color rgb="FF1155CC"/>
        <u/>
      </rPr>
      <t>1. Improve app security</t>
    </r>
    <r>
      <rPr/>
      <t xml:space="preserve">
</t>
    </r>
    <r>
      <rPr>
        <color rgb="FF1155CC"/>
        <u/>
      </rPr>
      <t>2. AWS AI Practitioner</t>
    </r>
  </si>
  <si>
    <t>1. Improve app security for be using bandit check</t>
  </si>
  <si>
    <r>
      <rPr>
        <color rgb="FF1155CC"/>
        <u/>
      </rPr>
      <t>1. Setup UAT Environment</t>
    </r>
    <r>
      <rPr/>
      <t xml:space="preserve">
</t>
    </r>
    <r>
      <rPr>
        <color rgb="FF1155CC"/>
        <u/>
      </rPr>
      <t>2. AWS AI Practitioner</t>
    </r>
  </si>
  <si>
    <r>
      <rPr>
        <color rgb="FF1155CC"/>
        <u/>
      </rPr>
      <t>1. Setup UAT Environment</t>
    </r>
    <r>
      <rPr/>
      <t xml:space="preserve">
</t>
    </r>
    <r>
      <rPr>
        <color rgb="FF1155CC"/>
        <u/>
      </rPr>
      <t>2. AWS AI Practitioner</t>
    </r>
  </si>
  <si>
    <r>
      <rPr>
        <color rgb="FF1155CC"/>
        <u/>
      </rPr>
      <t>1. Setup UAT Environment</t>
    </r>
    <r>
      <rPr/>
      <t xml:space="preserve">
</t>
    </r>
    <r>
      <rPr>
        <color rgb="FF1155CC"/>
        <u/>
      </rPr>
      <t>2. AWS AI Practitioner</t>
    </r>
  </si>
  <si>
    <r>
      <rPr>
        <color rgb="FF1155CC"/>
        <u/>
      </rPr>
      <t>1. Setup UAT Environment</t>
    </r>
    <r>
      <rPr/>
      <t xml:space="preserve">
</t>
    </r>
    <r>
      <rPr>
        <color rgb="FF1155CC"/>
        <u/>
      </rPr>
      <t>2. AWS AI Practitioner</t>
    </r>
  </si>
  <si>
    <r>
      <rPr>
        <color rgb="FF1155CC"/>
        <u/>
      </rPr>
      <t>1. Setup UAT Environment</t>
    </r>
    <r>
      <rPr/>
      <t xml:space="preserve">
</t>
    </r>
    <r>
      <rPr>
        <color rgb="FF1155CC"/>
        <u/>
      </rPr>
      <t>2. AWS AI Practitioner</t>
    </r>
  </si>
  <si>
    <r>
      <rPr>
        <color rgb="FF1155CC"/>
        <u/>
      </rPr>
      <t>1. Setup UAT Environment</t>
    </r>
    <r>
      <rPr/>
      <t xml:space="preserve">
</t>
    </r>
    <r>
      <rPr>
        <color rgb="FF1155CC"/>
        <u/>
      </rPr>
      <t>2. AWS AI Practitioner</t>
    </r>
  </si>
  <si>
    <r>
      <rPr>
        <rFont val="Arial"/>
        <color theme="1"/>
      </rPr>
      <t xml:space="preserve">1. Setup UAT Environment
</t>
    </r>
    <r>
      <rPr>
        <rFont val="Arial"/>
        <strike/>
        <color theme="1"/>
      </rPr>
      <t>2. AWS AI Practitioner Certification</t>
    </r>
    <r>
      <rPr>
        <rFont val="Arial"/>
        <color theme="1"/>
      </rPr>
      <t xml:space="preserve">
3. Standby to create additional AI Knowledge Bases</t>
    </r>
  </si>
  <si>
    <t>1. In Progress
2. In Progress
3. In Progress</t>
  </si>
  <si>
    <r>
      <rPr>
        <color rgb="FF1155CC"/>
        <u/>
      </rPr>
      <t>1. Setup UAT Environment</t>
    </r>
    <r>
      <rPr/>
      <t xml:space="preserve">
</t>
    </r>
    <r>
      <rPr>
        <color rgb="FF1155CC"/>
        <u/>
      </rPr>
      <t>2. AWS AI Practitioner
3. Standby to create additional AI Knowledge Base</t>
    </r>
  </si>
  <si>
    <r>
      <rPr>
        <rFont val="Arial"/>
        <color theme="1"/>
      </rPr>
      <t xml:space="preserve">1. Setup UAT Environment
</t>
    </r>
    <r>
      <rPr>
        <rFont val="Arial"/>
        <strike/>
        <color theme="1"/>
      </rPr>
      <t>2. AWS AI Practitioner Certification</t>
    </r>
    <r>
      <rPr>
        <rFont val="Arial"/>
        <color theme="1"/>
      </rPr>
      <t xml:space="preserve">
3. Standby to create additional AI Knowledge Bases</t>
    </r>
  </si>
  <si>
    <r>
      <rPr>
        <color rgb="FF1155CC"/>
        <u/>
      </rPr>
      <t>1. Setup UAT Environment</t>
    </r>
    <r>
      <rPr/>
      <t xml:space="preserve">
</t>
    </r>
    <r>
      <rPr>
        <color rgb="FF1155CC"/>
        <u/>
      </rPr>
      <t>2. AWS AI Practitioner
3. Standby to create additional AI Knowledge Base</t>
    </r>
  </si>
  <si>
    <r>
      <rPr>
        <rFont val="Roboto"/>
        <color rgb="FF434343"/>
      </rPr>
      <t xml:space="preserve">1. Setup UAT Environment
</t>
    </r>
    <r>
      <rPr>
        <rFont val="Roboto"/>
        <strike/>
        <color rgb="FF434343"/>
      </rPr>
      <t>2. AWS AI Practitioner Certification</t>
    </r>
    <r>
      <rPr>
        <rFont val="Roboto"/>
        <color rgb="FF434343"/>
      </rPr>
      <t xml:space="preserve">
3. Standby to create additional AI Knowledge Bases</t>
    </r>
  </si>
  <si>
    <r>
      <rPr>
        <rFont val="Roboto"/>
        <color rgb="FF1155CC"/>
        <u/>
      </rPr>
      <t>1. Setup UAT Environment</t>
    </r>
    <r>
      <rPr>
        <rFont val="Roboto"/>
        <color rgb="FF434343"/>
      </rPr>
      <t xml:space="preserve">
</t>
    </r>
    <r>
      <rPr>
        <rFont val="Roboto"/>
        <color rgb="FF1155CC"/>
        <u/>
      </rPr>
      <t>2. AWS AI Practitioner
3. Standby to create additional AI Knowledge Base</t>
    </r>
  </si>
  <si>
    <t>1. Setup UAT Environment
2. AWS AI Practitioner Certification
3. Standby to create additional AI Knowledge Bases</t>
  </si>
  <si>
    <r>
      <rPr>
        <rFont val="Roboto"/>
        <color rgb="FF1155CC"/>
        <u/>
      </rPr>
      <t>1. Setup UAT Environment</t>
    </r>
    <r>
      <rPr>
        <rFont val="Roboto"/>
        <color rgb="FF434343"/>
      </rPr>
      <t xml:space="preserve">
</t>
    </r>
    <r>
      <rPr>
        <rFont val="Roboto"/>
        <color rgb="FF1155CC"/>
        <u/>
      </rPr>
      <t>2. AWS AI Practitioner
3. Standby to create additional AI Knowledge Base</t>
    </r>
  </si>
  <si>
    <r>
      <rPr>
        <rFont val="Roboto"/>
        <color rgb="FF434343"/>
      </rPr>
      <t xml:space="preserve">1. Setup UAT Environment
</t>
    </r>
    <r>
      <rPr>
        <rFont val="Roboto"/>
        <strike/>
        <color rgb="FF434343"/>
      </rPr>
      <t>2. AWS AI Practitioner Certification</t>
    </r>
    <r>
      <rPr>
        <rFont val="Roboto"/>
        <color rgb="FF434343"/>
      </rPr>
      <t xml:space="preserve">
3. Standby to create additional AI Knowledge Bases</t>
    </r>
  </si>
  <si>
    <r>
      <rPr>
        <rFont val="Roboto"/>
        <color rgb="FF1155CC"/>
        <u/>
      </rPr>
      <t>1. Setup UAT Environment</t>
    </r>
    <r>
      <rPr>
        <rFont val="Roboto"/>
        <color rgb="FF434343"/>
      </rPr>
      <t xml:space="preserve">
</t>
    </r>
    <r>
      <rPr>
        <rFont val="Roboto"/>
        <color rgb="FF1155CC"/>
        <u/>
      </rPr>
      <t>2. AWS AI Practitioner
3. Standby to create additional AI Knowledge Base</t>
    </r>
  </si>
  <si>
    <r>
      <rPr>
        <rFont val="Roboto"/>
        <color rgb="FF434343"/>
      </rPr>
      <t xml:space="preserve">1. Setup UAT Environment
</t>
    </r>
    <r>
      <rPr>
        <rFont val="Roboto"/>
        <strike/>
        <color rgb="FF434343"/>
      </rPr>
      <t>2. AWS AI Practitioner Certification</t>
    </r>
    <r>
      <rPr>
        <rFont val="Roboto"/>
        <color rgb="FF434343"/>
      </rPr>
      <t xml:space="preserve">
3. Standby to create additional AI Knowledge Bases</t>
    </r>
  </si>
  <si>
    <r>
      <rPr>
        <rFont val="Roboto"/>
        <color rgb="FF1155CC"/>
        <u/>
      </rPr>
      <t>1. Setup UAT Environment</t>
    </r>
    <r>
      <rPr>
        <rFont val="Roboto"/>
        <color rgb="FF434343"/>
      </rPr>
      <t xml:space="preserve">
</t>
    </r>
    <r>
      <rPr>
        <rFont val="Roboto"/>
        <color rgb="FF1155CC"/>
        <u/>
      </rPr>
      <t>2. AWS AI Practitioner
3. Standby to create additional AI Knowledge Base</t>
    </r>
  </si>
  <si>
    <r>
      <rPr>
        <rFont val="Roboto"/>
        <color rgb="FF434343"/>
      </rPr>
      <t xml:space="preserve">1. Setup UAT Environment
</t>
    </r>
    <r>
      <rPr>
        <rFont val="Roboto"/>
        <strike/>
        <color rgb="FF434343"/>
      </rPr>
      <t>2. AWS AI Practitioner Certification</t>
    </r>
    <r>
      <rPr>
        <rFont val="Roboto"/>
        <color rgb="FF434343"/>
      </rPr>
      <t xml:space="preserve">
3. Standby to create additional AI Knowledge Bases</t>
    </r>
  </si>
  <si>
    <t>1. Completed
2. In Progress
3. In Progress</t>
  </si>
  <si>
    <r>
      <rPr>
        <rFont val="Roboto"/>
        <color rgb="FF1155CC"/>
        <u/>
      </rPr>
      <t>1. Setup UAT Environment</t>
    </r>
    <r>
      <rPr>
        <rFont val="Roboto"/>
        <color rgb="FF434343"/>
      </rPr>
      <t xml:space="preserve">
</t>
    </r>
    <r>
      <rPr>
        <rFont val="Roboto"/>
        <color rgb="FF1155CC"/>
        <u/>
      </rPr>
      <t>2. AWS AI Practitioner
3. Standby to create additional AI Knowledge Base</t>
    </r>
  </si>
  <si>
    <r>
      <rPr>
        <rFont val="Roboto"/>
        <strike/>
        <color rgb="FF434343"/>
      </rPr>
      <t>1. AWS AI Practitioner Certification</t>
    </r>
    <r>
      <rPr>
        <rFont val="Roboto"/>
        <color rgb="FF434343"/>
      </rPr>
      <t xml:space="preserve">
2. Standby to create additional AI Knowledge Bases
3. Improve RAG</t>
    </r>
  </si>
  <si>
    <r>
      <rPr>
        <rFont val="Roboto"/>
        <color rgb="FF1155CC"/>
        <u/>
      </rPr>
      <t>1</t>
    </r>
    <r>
      <rPr>
        <rFont val="Roboto"/>
        <color rgb="FF1155CC"/>
        <u/>
      </rPr>
      <t xml:space="preserve">. AWS AI Practitioner
</t>
    </r>
    <r>
      <rPr>
        <rFont val="Roboto"/>
        <color rgb="FF1155CC"/>
        <u/>
      </rPr>
      <t>2</t>
    </r>
    <r>
      <rPr>
        <rFont val="Roboto"/>
        <color rgb="FF1155CC"/>
        <u/>
      </rPr>
      <t>. Standby to create additional AI Knowledge Base
3. Improve Rag</t>
    </r>
  </si>
  <si>
    <r>
      <rPr>
        <rFont val="Roboto"/>
        <strike/>
        <color rgb="FF434343"/>
      </rPr>
      <t>1. AWS AI Practitioner Certification</t>
    </r>
    <r>
      <rPr>
        <rFont val="Roboto"/>
        <color rgb="FF434343"/>
      </rPr>
      <t xml:space="preserve">
2. Standby to create additional AI Knowledge Bases
3. Improve RAG</t>
    </r>
  </si>
  <si>
    <r>
      <rPr>
        <rFont val="Roboto"/>
        <color rgb="FF1155CC"/>
        <u/>
      </rPr>
      <t>1</t>
    </r>
    <r>
      <rPr>
        <rFont val="Roboto"/>
        <color rgb="FF1155CC"/>
        <u/>
      </rPr>
      <t xml:space="preserve">. AWS AI Practitioner
</t>
    </r>
    <r>
      <rPr>
        <rFont val="Roboto"/>
        <color rgb="FF1155CC"/>
        <u/>
      </rPr>
      <t>2</t>
    </r>
    <r>
      <rPr>
        <rFont val="Roboto"/>
        <color rgb="FF1155CC"/>
        <u/>
      </rPr>
      <t>. Standby to create additional AI Knowledge Base
3. Improve Rag</t>
    </r>
  </si>
  <si>
    <r>
      <rPr>
        <rFont val="Roboto"/>
        <strike/>
        <color rgb="FF434343"/>
      </rPr>
      <t>1. AWS AI Practitioner Certification</t>
    </r>
    <r>
      <rPr>
        <rFont val="Roboto"/>
        <color rgb="FF434343"/>
      </rPr>
      <t xml:space="preserve">
2. Standby to create additional AI Knowledge Bases
3. Improve RAG</t>
    </r>
  </si>
  <si>
    <r>
      <rPr>
        <rFont val="Roboto"/>
        <color rgb="FF1155CC"/>
        <u/>
      </rPr>
      <t>1</t>
    </r>
    <r>
      <rPr>
        <rFont val="Roboto"/>
        <color rgb="FF1155CC"/>
        <u/>
      </rPr>
      <t xml:space="preserve">. AWS AI Practitioner
</t>
    </r>
    <r>
      <rPr>
        <rFont val="Roboto"/>
        <color rgb="FF1155CC"/>
        <u/>
      </rPr>
      <t>2</t>
    </r>
    <r>
      <rPr>
        <rFont val="Roboto"/>
        <color rgb="FF1155CC"/>
        <u/>
      </rPr>
      <t>. Standby to create additional AI Knowledge Base
3. Improve Rag</t>
    </r>
  </si>
  <si>
    <t>2. Deployed toppan-nexus</t>
  </si>
  <si>
    <r>
      <rPr>
        <rFont val="Roboto"/>
        <strike/>
        <color rgb="FF434343"/>
      </rPr>
      <t>1. AWS AI Practitioner Certification</t>
    </r>
    <r>
      <rPr>
        <rFont val="Roboto"/>
        <color rgb="FF434343"/>
      </rPr>
      <t xml:space="preserve">
2. Standby to create additional AI Knowledge Bases
3. Improve RAG</t>
    </r>
  </si>
  <si>
    <t>1. In Progress
2. In Progress
3. Completed</t>
  </si>
  <si>
    <r>
      <rPr>
        <rFont val="Roboto"/>
        <color rgb="FF1155CC"/>
        <u/>
      </rPr>
      <t>1</t>
    </r>
    <r>
      <rPr>
        <rFont val="Roboto"/>
        <color rgb="FF1155CC"/>
        <u/>
      </rPr>
      <t xml:space="preserve">. AWS AI Practitioner
</t>
    </r>
    <r>
      <rPr>
        <rFont val="Roboto"/>
        <color rgb="FF1155CC"/>
        <u/>
      </rPr>
      <t>2</t>
    </r>
    <r>
      <rPr>
        <rFont val="Roboto"/>
        <color rgb="FF1155CC"/>
        <u/>
      </rPr>
      <t>. Standby to create additional AI Knowledge Base
3. Improve Rag</t>
    </r>
  </si>
  <si>
    <r>
      <rPr>
        <rFont val="Roboto"/>
        <strike/>
        <color rgb="FF434343"/>
      </rPr>
      <t>1. AWS AI Practitioner Certification</t>
    </r>
    <r>
      <rPr>
        <rFont val="Roboto"/>
        <color rgb="FF434343"/>
      </rPr>
      <t xml:space="preserve">
2. Standby to create additional AI Knowledge Bases
3. Scan code in Gemini Pro and fix high and medium vulnerabilities</t>
    </r>
  </si>
  <si>
    <r>
      <rPr>
        <rFont val="Roboto"/>
        <color rgb="FF1155CC"/>
        <u/>
      </rPr>
      <t>1</t>
    </r>
    <r>
      <rPr>
        <rFont val="Roboto"/>
        <color rgb="FF1155CC"/>
        <u/>
      </rPr>
      <t xml:space="preserve">. AWS AI Practitioner
</t>
    </r>
    <r>
      <rPr>
        <rFont val="Roboto"/>
        <color rgb="FF1155CC"/>
        <u/>
      </rPr>
      <t>2</t>
    </r>
    <r>
      <rPr>
        <rFont val="Roboto"/>
        <color rgb="FF1155CC"/>
        <u/>
      </rPr>
      <t>. Standby to create additional AI Knowledge Base</t>
    </r>
  </si>
  <si>
    <r>
      <rPr>
        <rFont val="Roboto"/>
        <strike/>
        <color rgb="FF434343"/>
      </rPr>
      <t>1. AWS AI Practitioner Certification</t>
    </r>
    <r>
      <rPr>
        <rFont val="Roboto"/>
        <color rgb="FF434343"/>
      </rPr>
      <t xml:space="preserve">
2. Standby to create additional AI Knowledge Bases
</t>
    </r>
    <r>
      <rPr>
        <rFont val="Roboto"/>
        <strike/>
        <color rgb="FF434343"/>
      </rPr>
      <t xml:space="preserve">3. Scan code in Gemini Pro and fix high and medium vulnerabilities
</t>
    </r>
    <r>
      <rPr>
        <rFont val="Roboto"/>
        <color rgb="FF434343"/>
      </rPr>
      <t>4. fixing document upload issue</t>
    </r>
  </si>
  <si>
    <t>1. In Progress
2. In Progress
3. On Hold
4. Completed</t>
  </si>
  <si>
    <r>
      <rPr>
        <rFont val="Roboto"/>
        <color rgb="FF1155CC"/>
        <u/>
      </rPr>
      <t>1</t>
    </r>
    <r>
      <rPr>
        <rFont val="Roboto"/>
        <color rgb="FF1155CC"/>
        <u/>
      </rPr>
      <t xml:space="preserve">. AWS AI Practitioner
</t>
    </r>
    <r>
      <rPr>
        <rFont val="Roboto"/>
        <color rgb="FF1155CC"/>
        <u/>
      </rPr>
      <t>2</t>
    </r>
    <r>
      <rPr>
        <rFont val="Roboto"/>
        <color rgb="FF1155CC"/>
        <u/>
      </rPr>
      <t>. Standby to create additional AI Knowledge Base
3. Scan vulnerability</t>
    </r>
  </si>
  <si>
    <r>
      <rPr>
        <rFont val="Roboto"/>
        <strike/>
        <color rgb="FF434343"/>
      </rPr>
      <t>1. AWS AI Practitioner Certification</t>
    </r>
    <r>
      <rPr>
        <rFont val="Roboto"/>
        <color rgb="FF434343"/>
      </rPr>
      <t xml:space="preserve">
2. Standby to create additional AI Knowledge Bases
</t>
    </r>
    <r>
      <rPr>
        <rFont val="Roboto"/>
        <strike/>
        <color rgb="FF434343"/>
      </rPr>
      <t>3. Scan code in Gemini Pro and fix high and medium vulnerabilities</t>
    </r>
  </si>
  <si>
    <t>1. In Progress
2. In Progress
3. On Hold</t>
  </si>
  <si>
    <r>
      <rPr>
        <rFont val="Roboto"/>
        <color rgb="FF1155CC"/>
        <u/>
      </rPr>
      <t>1</t>
    </r>
    <r>
      <rPr>
        <rFont val="Roboto"/>
        <color rgb="FF1155CC"/>
        <u/>
      </rPr>
      <t xml:space="preserve">. AWS AI Practitioner
</t>
    </r>
    <r>
      <rPr>
        <rFont val="Roboto"/>
        <color rgb="FF1155CC"/>
        <u/>
      </rPr>
      <t>2</t>
    </r>
    <r>
      <rPr>
        <rFont val="Roboto"/>
        <color rgb="FF1155CC"/>
        <u/>
      </rPr>
      <t>. Standby to create additional AI Knowledge Base
3. Scan vulnerability</t>
    </r>
  </si>
  <si>
    <r>
      <rPr>
        <rFont val="Roboto"/>
        <strike/>
        <color rgb="FF434343"/>
      </rPr>
      <t>1. AWS AI Practitioner Certification</t>
    </r>
    <r>
      <rPr>
        <rFont val="Roboto"/>
        <color rgb="FF434343"/>
      </rPr>
      <t xml:space="preserve">
2. Standby to create additional AI Knowledge Bases
</t>
    </r>
    <r>
      <rPr>
        <rFont val="Roboto"/>
        <strike/>
        <color rgb="FF434343"/>
      </rPr>
      <t>3. Scan code in Gemini Pro and fix high and medium vulnerabilities</t>
    </r>
  </si>
  <si>
    <t>1. In Progress
2. Completed
3. On Hold</t>
  </si>
  <si>
    <r>
      <rPr>
        <rFont val="Roboto"/>
        <color rgb="FF1155CC"/>
        <u/>
      </rPr>
      <t>1</t>
    </r>
    <r>
      <rPr>
        <rFont val="Roboto"/>
        <color rgb="FF1155CC"/>
        <u/>
      </rPr>
      <t xml:space="preserve">. AWS AI Practitioner
</t>
    </r>
    <r>
      <rPr>
        <rFont val="Roboto"/>
        <color rgb="FF1155CC"/>
        <u/>
      </rPr>
      <t>2</t>
    </r>
    <r>
      <rPr>
        <rFont val="Roboto"/>
        <color rgb="FF1155CC"/>
        <u/>
      </rPr>
      <t>. Standby to create additional AI Knowledge Base
3. Scan vulnerability</t>
    </r>
  </si>
  <si>
    <r>
      <rPr>
        <rFont val="Roboto"/>
        <color rgb="FF434343"/>
      </rPr>
      <t xml:space="preserve">1. AWS AI Practitioner Certification
</t>
    </r>
    <r>
      <rPr>
        <rFont val="Roboto"/>
        <strike/>
        <color rgb="FF434343"/>
      </rPr>
      <t>2. Standby to create additional AI Knowledge Bases</t>
    </r>
    <r>
      <rPr>
        <rFont val="Roboto"/>
        <color rgb="FF434343"/>
      </rPr>
      <t xml:space="preserve">
</t>
    </r>
    <r>
      <rPr>
        <rFont val="Roboto"/>
        <strike/>
        <color rgb="FF434343"/>
      </rPr>
      <t xml:space="preserve">3. Scan code in Gemini Pro and fix high and medium vulnerabilities
</t>
    </r>
    <r>
      <rPr>
        <rFont val="Roboto"/>
        <color rgb="FF434343"/>
      </rPr>
      <t>4. Knowledge Base - Update unathorized user login message</t>
    </r>
  </si>
  <si>
    <t>1. In Progress
2. Completed
3. On Hold
4. Completed</t>
  </si>
  <si>
    <r>
      <rPr>
        <rFont val="Roboto"/>
        <color rgb="FF1155CC"/>
        <u/>
      </rPr>
      <t>1</t>
    </r>
    <r>
      <rPr>
        <rFont val="Roboto"/>
        <color rgb="FF1155CC"/>
        <u/>
      </rPr>
      <t xml:space="preserve">. AWS AI Practitioner
</t>
    </r>
    <r>
      <rPr>
        <rFont val="Roboto"/>
        <color rgb="FF1155CC"/>
        <u/>
      </rPr>
      <t>2</t>
    </r>
    <r>
      <rPr>
        <rFont val="Roboto"/>
        <color rgb="FF1155CC"/>
        <u/>
      </rPr>
      <t xml:space="preserve">. Standby to create additional AI Knowledge Base
3. Scan vulnerability
</t>
    </r>
    <r>
      <rPr>
        <rFont val="Roboto"/>
        <color rgb="FF1155CC"/>
        <u/>
      </rPr>
      <t xml:space="preserve">4. </t>
    </r>
    <r>
      <rPr>
        <rFont val="Roboto"/>
        <color rgb="FF1155CC"/>
        <u/>
      </rPr>
      <t>https://taiga.ecquaria.org/project/tecq-ai-bd/us/204</t>
    </r>
  </si>
  <si>
    <r>
      <rPr>
        <rFont val="Arial"/>
        <strike/>
        <color theme="1"/>
      </rPr>
      <t xml:space="preserve">1. AWS AI Practitioner Certification
2. Scan code in Gemini Pro and fix high and medium vulnerabilities
</t>
    </r>
    <r>
      <rPr>
        <rFont val="Arial"/>
        <color theme="1"/>
      </rPr>
      <t>3. QA- revamp ui for seminar</t>
    </r>
  </si>
  <si>
    <t>1. In Progress
2. On Hold
3. Completed</t>
  </si>
  <si>
    <r>
      <rPr>
        <rFont val="Roboto"/>
        <color rgb="FF1155CC"/>
        <u/>
      </rPr>
      <t>1</t>
    </r>
    <r>
      <rPr>
        <rFont val="Roboto"/>
        <color rgb="FF1155CC"/>
        <u/>
      </rPr>
      <t xml:space="preserve">. AWS AI Practitioner
</t>
    </r>
    <r>
      <rPr>
        <rFont val="Roboto"/>
        <color rgb="FF1155CC"/>
        <u/>
      </rPr>
      <t>2</t>
    </r>
    <r>
      <rPr>
        <rFont val="Roboto"/>
        <color rgb="FF1155CC"/>
        <u/>
      </rPr>
      <t xml:space="preserve">. Scan vulnerability
</t>
    </r>
    <r>
      <rPr>
        <rFont val="Roboto"/>
        <color rgb="FF1155CC"/>
        <u/>
      </rPr>
      <t xml:space="preserve">3. </t>
    </r>
    <r>
      <rPr>
        <rFont val="Roboto"/>
        <color rgb="FF1155CC"/>
        <u/>
      </rPr>
      <t>https://taiga.ecquaria.org/project/tecq-ai-bd/us/206</t>
    </r>
  </si>
  <si>
    <r>
      <rPr>
        <rFont val="Arial"/>
        <strike/>
        <color theme="1"/>
      </rPr>
      <t>1. AWS AI Practitioner Certification</t>
    </r>
    <r>
      <rPr>
        <rFont val="Arial"/>
        <color theme="1"/>
      </rPr>
      <t xml:space="preserve">
</t>
    </r>
    <r>
      <rPr>
        <rFont val="Arial"/>
        <strike/>
        <color theme="1"/>
      </rPr>
      <t xml:space="preserve">2. Scan code in Gemini Pro and fix high and medium vulnerabilities
</t>
    </r>
    <r>
      <rPr>
        <rFont val="Arial"/>
        <color theme="1"/>
      </rPr>
      <t>3. Create knowledge base  for TOPPAN Next CFO  on UAT and Prod
4. Presentation for QA-Agent</t>
    </r>
  </si>
  <si>
    <t>1. In Progress
2. On Hold
3. Completed
4. In progress</t>
  </si>
  <si>
    <r>
      <rPr>
        <rFont val="Roboto"/>
        <color rgb="FF1155CC"/>
        <u/>
      </rPr>
      <t>1</t>
    </r>
    <r>
      <rPr>
        <rFont val="Roboto"/>
        <color rgb="FF1155CC"/>
        <u/>
      </rPr>
      <t xml:space="preserve">. AWS AI Practitioner
</t>
    </r>
    <r>
      <rPr>
        <rFont val="Roboto"/>
        <color rgb="FF1155CC"/>
        <u/>
      </rPr>
      <t>2</t>
    </r>
    <r>
      <rPr>
        <rFont val="Roboto"/>
        <color rgb="FF1155CC"/>
        <u/>
      </rPr>
      <t xml:space="preserve">. Scan vulnerability
</t>
    </r>
    <r>
      <rPr>
        <rFont val="Roboto"/>
        <color rgb="FF1155CC"/>
        <u/>
      </rPr>
      <t xml:space="preserve">3. </t>
    </r>
    <r>
      <rPr>
        <rFont val="Roboto"/>
        <color rgb="FF1155CC"/>
        <u/>
      </rPr>
      <t>https://taiga.ecquaria.org/project/tecq-ai-bd/us/212</t>
    </r>
  </si>
  <si>
    <r>
      <rPr>
        <rFont val="Arial"/>
        <strike/>
        <color theme="1"/>
      </rPr>
      <t>1. AWS AI Practitioner Certification
2. Scan code in Gemini Pro and fix high and medium vulnerabilities</t>
    </r>
    <r>
      <rPr>
        <rFont val="Arial"/>
        <color theme="1"/>
      </rPr>
      <t xml:space="preserve">
3. Presentation for QA-Agent</t>
    </r>
  </si>
  <si>
    <t>1. In Progress
2. On Hold
3. In progress</t>
  </si>
  <si>
    <r>
      <rPr>
        <rFont val="Roboto"/>
        <color rgb="FF1155CC"/>
        <u/>
      </rPr>
      <t>1</t>
    </r>
    <r>
      <rPr>
        <rFont val="Roboto"/>
        <color rgb="FF1155CC"/>
        <u/>
      </rPr>
      <t xml:space="preserve">. AWS AI Practitioner
</t>
    </r>
    <r>
      <rPr>
        <rFont val="Roboto"/>
        <color rgb="FF1155CC"/>
        <u/>
      </rPr>
      <t>2</t>
    </r>
    <r>
      <rPr>
        <rFont val="Roboto"/>
        <color rgb="FF1155CC"/>
        <u/>
      </rPr>
      <t xml:space="preserve">. Scan vulnerability
</t>
    </r>
    <r>
      <rPr>
        <rFont val="Roboto"/>
        <color rgb="FF1155CC"/>
        <u/>
      </rPr>
      <t xml:space="preserve">3. </t>
    </r>
    <r>
      <rPr>
        <rFont val="Roboto"/>
        <color rgb="FF1155CC"/>
        <u/>
      </rPr>
      <t>https://taiga.ecquaria.org/project/tecq-ai-bd/us/212</t>
    </r>
  </si>
  <si>
    <t>3. Presentation for QA-Agent</t>
  </si>
  <si>
    <t>3. https://taiga.ecquaria.org/project/tecq-ai-bd/us/212</t>
  </si>
  <si>
    <t>Make separate llm call UAT and Prod for azure
Microsoft AzureAD login</t>
  </si>
  <si>
    <t xml:space="preserve">1. Completed
2. In progress
Summarize this table
</t>
  </si>
  <si>
    <t>https://taiga.ecquaria.org/project/tecq-ai-bd/us/219
https://taiga.ecquaria.org/project/tecq-ai-bd/us/218</t>
  </si>
  <si>
    <t xml:space="preserve">Microsoft AzureAD login
Implement HDB KB Testbed (UAT only) - up to 100,000 documents
</t>
  </si>
  <si>
    <t>Completed
In Progress</t>
  </si>
  <si>
    <t>https://taiga.ecquaria.org/project/tecq-ai-bd/us/218
https://taiga.ecquaria.org/project/tecq-ai-bd/us/227</t>
  </si>
  <si>
    <t xml:space="preserve">Implement HDB KB Testbed (UAT only) - up to 100,000 documents
</t>
  </si>
  <si>
    <t>In progress</t>
  </si>
  <si>
    <t>https://taiga.ecquaria.org/project/tecq-ai-bd/us/227</t>
  </si>
  <si>
    <t>Implement HDB KB Testbed (UAT only) - up to 100,000 documents
QA Agent - Implement Expanded Test Case Writeup</t>
  </si>
  <si>
    <t>1. Canceled
2. In Progress</t>
  </si>
  <si>
    <t>https://taiga.ecquaria.org/project/tecq-ai-bd/us/227
https://taiga.ecquaria.org/project/tecq-ai-bd/us/223</t>
  </si>
  <si>
    <t>QA Agent - Implement Expanded Test Case Writeup</t>
  </si>
  <si>
    <t xml:space="preserve">Completed </t>
  </si>
  <si>
    <t>https://taiga.ecquaria.org/project/tecq-ai-bd/us/223</t>
  </si>
  <si>
    <t>My part complete, fo the rest Assigned to mayendra</t>
  </si>
  <si>
    <t>QA - Implement Kill Switch for Agent Based AI Apps (4MD)</t>
  </si>
  <si>
    <t>https://taiga.ecquaria.org/project/tecq-ai-bd/us/224</t>
  </si>
  <si>
    <t>QA Agent - Implement Select Top 20% of most important Test Cases only (2MD)</t>
  </si>
  <si>
    <t>On Hold</t>
  </si>
  <si>
    <t>https://taiga.ecquaria.org/project/tecq-ai-bd/us/237</t>
  </si>
  <si>
    <t>Learn AWS AI Practitioner (2MD)</t>
  </si>
  <si>
    <t xml:space="preserve">https://taiga.ecquaria.org/project/tecq-ai-bd/us/59 </t>
  </si>
  <si>
    <r>
      <rPr>
        <color rgb="FF1155CC"/>
        <u/>
      </rPr>
      <t>Move new copy of KB Embedding code to All UAT &amp; Prod KBs in a controlled manner</t>
    </r>
    <r>
      <rPr/>
      <t xml:space="preserve"> (2MD)</t>
    </r>
    <r>
      <rPr>
        <color rgb="FF1155CC"/>
        <u/>
      </rPr>
      <t xml:space="preserve">
</t>
    </r>
    <r>
      <rPr/>
      <t>QA Agent - Implement Select Top 20% of most important Test Cases only (2MD)</t>
    </r>
  </si>
  <si>
    <t>1. Completed for UAT
2. On Hold</t>
  </si>
  <si>
    <r>
      <rPr>
        <color rgb="FF434343"/>
        <u/>
      </rPr>
      <t xml:space="preserve">https://taiga.ecquaria.org/project/tecq-ai-bd/us/248?
</t>
    </r>
    <r>
      <rPr>
        <color rgb="FF1155CC"/>
        <u/>
      </rPr>
      <t>https://taiga.ecquaria.org/project/tecq-ai-bd/us/237</t>
    </r>
  </si>
  <si>
    <t>1. Pending approval for deploy at production</t>
  </si>
  <si>
    <t>QA Agent - Implement Select Top 20% of most important Test Cases only (2MD)
QA -Agent: handle concurency process</t>
  </si>
  <si>
    <t>https://taiga.ecquaria.org/project/tecq-ai-bd/us/237
https://taiga.ecquaria.org/project/tecq-ai-bd/us/260</t>
  </si>
  <si>
    <t>QA -Agent: handle concurency process</t>
  </si>
  <si>
    <t>https://taiga.ecquaria.org/project/tecq-ai-bd/us/260</t>
  </si>
  <si>
    <t>KB-As-A-Service : Folder structure for uploading files</t>
  </si>
  <si>
    <t>https://taiga.ecquaria.org/project/tecq-ai-bd/us/266</t>
  </si>
  <si>
    <r>
      <rPr>
        <rFont val="Arial"/>
        <strike/>
        <color theme="1"/>
      </rPr>
      <t>KB-As-A-Service : Folder structure for uploading files</t>
    </r>
    <r>
      <rPr>
        <rFont val="Arial"/>
        <color theme="1"/>
      </rPr>
      <t xml:space="preserve">
KB - Troubleshoot on next legal issue - user cannot see chat result</t>
    </r>
  </si>
  <si>
    <t>Completed
Completed</t>
  </si>
  <si>
    <r>
      <rPr>
        <color rgb="FF434343"/>
        <u/>
      </rPr>
      <t xml:space="preserve">https://taiga.ecquaria.org/project/tecq-ai-bd/us/266
</t>
    </r>
    <r>
      <rPr>
        <color rgb="FF1155CC"/>
        <u/>
      </rPr>
      <t>https://taiga.ecquaria.org/project/tecq-ai-bd/us/269</t>
    </r>
  </si>
  <si>
    <t>Automated Smoke Testing - review test cases</t>
  </si>
  <si>
    <t>https://taiga.ecquaria.org/project/tecq-ai-bd/us/261</t>
  </si>
  <si>
    <t>Learn AWS AI practitioner</t>
  </si>
  <si>
    <t>https://taiga.ecquaria.org/project/tecq-ai-bd/us/59</t>
  </si>
  <si>
    <t>KB - New Architecture</t>
  </si>
  <si>
    <t>https://taiga.ecquaria.org/project/tecq-ai-bd/us/281</t>
  </si>
  <si>
    <t>Scan code in Gemini Pro and fix high and medium vulnerabilities</t>
  </si>
  <si>
    <t>https://taiga.ecquaria.org/project/tecq-ai-bd/us/186</t>
  </si>
  <si>
    <t>KB - New Architecture
Setup TDL Knowledge Bases</t>
  </si>
  <si>
    <t>In progress
In Progress</t>
  </si>
  <si>
    <r>
      <rPr>
        <color rgb="FF434343"/>
        <u/>
      </rPr>
      <t xml:space="preserve">https://taiga.ecquaria.org/project/tecq-ai-bd/us/281
</t>
    </r>
    <r>
      <rPr>
        <color rgb="FF1155CC"/>
        <u/>
      </rPr>
      <t>https://taiga.ecquaria.org/project/tecq-ai-bd/us/301</t>
    </r>
  </si>
  <si>
    <t>On Hold
In Progress</t>
  </si>
  <si>
    <r>
      <rPr>
        <color rgb="FF434343"/>
        <u/>
      </rPr>
      <t xml:space="preserve">https://taiga.ecquaria.org/project/tecq-ai-bd/us/281
</t>
    </r>
    <r>
      <rPr>
        <color rgb="FF1155CC"/>
        <u/>
      </rPr>
      <t>https://taiga.ecquaria.org/project/tecq-ai-bd/us/301</t>
    </r>
  </si>
  <si>
    <t>Model Context Protocol (MCP) Server capability
Learn AWS AI practitioner</t>
  </si>
  <si>
    <t>https://taiga.ecquaria.org/project/tecq-ai-bd/us/300
https://taiga.ecquaria.org/project/tecq-ai-bd/us/59</t>
  </si>
  <si>
    <t>Model Context Protocol (MCP) Server capability</t>
  </si>
  <si>
    <t>https://taiga.ecquaria.org/project/tecq-ai-bd/us/300</t>
  </si>
  <si>
    <t>Improve on AI KB based on MON HALP feedback - Start with Response withi 10-15 seconds</t>
  </si>
  <si>
    <t>https://taiga.ecquaria.org/project/tecq-ai-bd/us/325</t>
  </si>
  <si>
    <t>4.5.1 KB Settings - user invitation</t>
  </si>
  <si>
    <t>https://taiga.ecquaria.org/project/tecq-ai-bd/us/337</t>
  </si>
  <si>
    <t>4.5.2 KB Settings - user privilege setup</t>
  </si>
  <si>
    <t>https://taiga.ecquaria.org/project/tecq-ai-bd/us/333</t>
  </si>
  <si>
    <t>4.5.1 KB Settings - user invitation
4.5.2 KB Settings - user privilege setup</t>
  </si>
  <si>
    <r>
      <rPr/>
      <t xml:space="preserve"> </t>
    </r>
    <r>
      <rPr>
        <color rgb="FF1155CC"/>
        <u/>
      </rPr>
      <t>https://taiga.ecquaria.org/project/tecq-ai-bd/us/337</t>
    </r>
    <r>
      <rPr/>
      <t xml:space="preserve">
</t>
    </r>
    <r>
      <rPr>
        <color rgb="FF1155CC"/>
        <u/>
      </rPr>
      <t>https://taiga.ecquaria.org/project/tecq-ai-bd/us/333</t>
    </r>
  </si>
  <si>
    <t>4.7.1 Super Admin - workspace registration
Scan code in Claude Code and fix high and medium vulnerabilities</t>
  </si>
  <si>
    <t>In progress
In progress</t>
  </si>
  <si>
    <t xml:space="preserve">https://taiga.ecquaria.org/project/tecq-ai-bd/us/339
https://taiga.ecquaria.org/project/tecq-ai-bd/us/343
</t>
  </si>
  <si>
    <t>On Hold
Completed</t>
  </si>
  <si>
    <t>4.7.2 Super Admin - mcp registration
4.7.1 Super Admin - workspace registration</t>
  </si>
  <si>
    <t>On Hold
In progress</t>
  </si>
  <si>
    <r>
      <rPr>
        <color rgb="FF434343"/>
        <u/>
      </rPr>
      <t xml:space="preserve">https://taiga.ecquaria.org/project/tecq-ai-bd/us/352
</t>
    </r>
    <r>
      <rPr>
        <color rgb="FF1155CC"/>
        <u/>
      </rPr>
      <t>https://taiga.ecquaria.org/project/tecq-ai-bd/us/339</t>
    </r>
  </si>
  <si>
    <t>4.7.2 Super Admin - mcp registration</t>
  </si>
  <si>
    <t>https://taiga.ecquaria.org/project/tecq-ai-bd/us/352</t>
  </si>
  <si>
    <r>
      <rPr>
        <rFont val="Arial"/>
        <strike/>
        <color theme="1"/>
      </rPr>
      <t>4.7.2 Super Admin - mcp registration</t>
    </r>
    <r>
      <rPr>
        <rFont val="Arial"/>
        <color theme="1"/>
      </rPr>
      <t xml:space="preserve">
Dashboard demo</t>
    </r>
  </si>
  <si>
    <t>In progress
Completed</t>
  </si>
  <si>
    <r>
      <rPr>
        <rFont val="Arial"/>
        <strike/>
        <color theme="1"/>
      </rPr>
      <t>4.7.2 Super Admin - mcp registration</t>
    </r>
    <r>
      <rPr>
        <rFont val="Arial"/>
        <color theme="1"/>
      </rPr>
      <t xml:space="preserve">
Apa preparation</t>
    </r>
  </si>
  <si>
    <r>
      <rPr>
        <rFont val="Arial"/>
        <strike/>
        <color theme="1"/>
      </rPr>
      <t>4.7.2 Super Admin - mcp registration</t>
    </r>
    <r>
      <rPr>
        <rFont val="Arial"/>
        <color theme="1"/>
      </rPr>
      <t xml:space="preserve">
Apa preparation</t>
    </r>
  </si>
  <si>
    <t>Apa preparation
Dashboard qa check</t>
  </si>
  <si>
    <t>Dashboard qa check
Hdb KB preparation</t>
  </si>
  <si>
    <t>HDB KB Rag improvement</t>
  </si>
  <si>
    <t>https://taiga.ecquaria.org/project/tecq-ai-bd/us/356</t>
  </si>
  <si>
    <t>schedule backup for Knowledge base app</t>
  </si>
  <si>
    <t>https://taiga.ecquaria.org/project/tecq-ai-bd/us/360</t>
  </si>
  <si>
    <t>KB- Vulnerability fix deployment
Kb - multitenant deployment</t>
  </si>
  <si>
    <t>In Progress
In Progress</t>
  </si>
  <si>
    <r>
      <rPr>
        <color rgb="FF1155CC"/>
        <u/>
      </rPr>
      <t>https://taiga.ecquaria.org/project/tecq-ai-bd/us/362</t>
    </r>
    <r>
      <rPr/>
      <t xml:space="preserve"> 
</t>
    </r>
    <r>
      <rPr>
        <color rgb="FF1155CC"/>
        <u/>
      </rPr>
      <t>https://taiga.ecquaria.org/project/tecq-ai-bd/us/363</t>
    </r>
  </si>
  <si>
    <t>Kb - multitenant deployment</t>
  </si>
  <si>
    <t>https://taiga.ecquaria.org/project/tecq-ai-bd/us/363</t>
  </si>
  <si>
    <t>Annual Leave (4)
Kb - multitenant deployment</t>
  </si>
  <si>
    <t>Public Holiday (8)</t>
  </si>
  <si>
    <t>KB - fix download on chinese document</t>
  </si>
  <si>
    <t>https://taiga.ecquaria.org/project/tecq-ai-bd/us/374</t>
  </si>
  <si>
    <t>kb - moh helpdesk result comparison</t>
  </si>
  <si>
    <t>https://taiga.ecquaria.org/project/tecq-ai-bd/us/377</t>
  </si>
  <si>
    <t>AI (hours)</t>
  </si>
  <si>
    <t xml:space="preserve">QA Agent – Upload Test Cases Sample Format
- Save file to Local </t>
  </si>
  <si>
    <r>
      <rPr>
        <color rgb="FF434343"/>
        <u/>
      </rPr>
      <t xml:space="preserve">1. </t>
    </r>
    <r>
      <rPr>
        <color rgb="FF1155CC"/>
        <u/>
      </rPr>
      <t>Upload Test Case template</t>
    </r>
    <r>
      <rPr>
        <color rgb="FF1155CC"/>
        <u/>
      </rPr>
      <t xml:space="preserve">
</t>
    </r>
    <r>
      <rPr>
        <color rgb="FF434343"/>
        <u/>
      </rPr>
      <t xml:space="preserve">2. </t>
    </r>
    <r>
      <rPr>
        <color rgb="FF1155CC"/>
        <u/>
      </rPr>
      <t>Learn AWS</t>
    </r>
  </si>
  <si>
    <t>QA Agent – Upload Test Cases Sample Format
- Extract file sample
- Generate Test Case based on sample format</t>
  </si>
  <si>
    <r>
      <rPr>
        <color rgb="FF434343"/>
        <u/>
      </rPr>
      <t xml:space="preserve">1. </t>
    </r>
    <r>
      <rPr>
        <color rgb="FF1155CC"/>
        <u/>
      </rPr>
      <t>Upload Test Case template</t>
    </r>
    <r>
      <rPr>
        <color rgb="FF1155CC"/>
        <u/>
      </rPr>
      <t xml:space="preserve">
</t>
    </r>
    <r>
      <rPr>
        <color rgb="FF434343"/>
        <u/>
      </rPr>
      <t xml:space="preserve">2. </t>
    </r>
    <r>
      <rPr>
        <color rgb="FF1155CC"/>
        <u/>
      </rPr>
      <t>Learn AWS</t>
    </r>
  </si>
  <si>
    <t xml:space="preserve">QA Agent – Upload Test Cases Sample Format
- Export Test Cases for xlsx </t>
  </si>
  <si>
    <t>in-progress</t>
  </si>
  <si>
    <r>
      <rPr>
        <color rgb="FF434343"/>
        <u/>
      </rPr>
      <t xml:space="preserve">1. </t>
    </r>
    <r>
      <rPr>
        <color rgb="FF1155CC"/>
        <u/>
      </rPr>
      <t>Upload Test Case template</t>
    </r>
    <r>
      <rPr>
        <color rgb="FF1155CC"/>
        <u/>
      </rPr>
      <t xml:space="preserve">
</t>
    </r>
    <r>
      <rPr>
        <color rgb="FF434343"/>
        <u/>
      </rPr>
      <t xml:space="preserve">2. </t>
    </r>
    <r>
      <rPr>
        <color rgb="FF1155CC"/>
        <u/>
      </rPr>
      <t>Learn AWS</t>
    </r>
  </si>
  <si>
    <t>QA Agent – Upload Test Cases Sample Format
Learn AWS AI practitioner</t>
  </si>
  <si>
    <r>
      <rPr>
        <color rgb="FF434343"/>
        <u/>
      </rPr>
      <t xml:space="preserve">1. </t>
    </r>
    <r>
      <rPr>
        <color rgb="FF1155CC"/>
        <u/>
      </rPr>
      <t>Upload Test Case template</t>
    </r>
    <r>
      <rPr>
        <color rgb="FF1155CC"/>
        <u/>
      </rPr>
      <t xml:space="preserve">
</t>
    </r>
    <r>
      <rPr>
        <color rgb="FF434343"/>
        <u/>
      </rPr>
      <t xml:space="preserve">2. </t>
    </r>
    <r>
      <rPr>
        <color rgb="FF1155CC"/>
        <u/>
      </rPr>
      <t>Learn AWS</t>
    </r>
  </si>
  <si>
    <t>1. QA Agent – Upload Test Cases Sample Format
2. Learn AWS AI practitioner</t>
  </si>
  <si>
    <r>
      <rPr>
        <color rgb="FF434343"/>
        <u/>
      </rPr>
      <t xml:space="preserve">1. </t>
    </r>
    <r>
      <rPr>
        <color rgb="FF1155CC"/>
        <u/>
      </rPr>
      <t>Upload Test Case template</t>
    </r>
    <r>
      <rPr>
        <color rgb="FF1155CC"/>
        <u/>
      </rPr>
      <t xml:space="preserve">
</t>
    </r>
    <r>
      <rPr>
        <color rgb="FF434343"/>
        <u/>
      </rPr>
      <t xml:space="preserve">2. </t>
    </r>
    <r>
      <rPr>
        <color rgb="FF1155CC"/>
        <u/>
      </rPr>
      <t>Learn AWS</t>
    </r>
  </si>
  <si>
    <t>1.completed
2. in-progress</t>
  </si>
  <si>
    <r>
      <rPr>
        <color rgb="FF434343"/>
        <u/>
      </rPr>
      <t xml:space="preserve">1. </t>
    </r>
    <r>
      <rPr>
        <color rgb="FF1155CC"/>
        <u/>
      </rPr>
      <t>Upload Test Case template</t>
    </r>
    <r>
      <rPr>
        <color rgb="FF1155CC"/>
        <u/>
      </rPr>
      <t xml:space="preserve">
</t>
    </r>
    <r>
      <rPr>
        <color rgb="FF434343"/>
        <u/>
      </rPr>
      <t xml:space="preserve">2. </t>
    </r>
    <r>
      <rPr>
        <color rgb="FF1155CC"/>
        <u/>
      </rPr>
      <t>Learn AWS</t>
    </r>
  </si>
  <si>
    <r>
      <rPr>
        <rFont val="Arial"/>
        <strike/>
        <color theme="1"/>
      </rPr>
      <t xml:space="preserve">1. QA Agent – Upload Test Cases Sample Format
</t>
    </r>
    <r>
      <rPr>
        <rFont val="Arial"/>
        <color theme="1"/>
      </rPr>
      <t>2. Learn AWS AI practitioner
3. BA Agent: Upload Functional Specs Sample Format</t>
    </r>
  </si>
  <si>
    <t>1.completed
2. in-progress
3. in-progress</t>
  </si>
  <si>
    <r>
      <rPr>
        <color rgb="FF434343"/>
        <u/>
      </rPr>
      <t xml:space="preserve">1. </t>
    </r>
    <r>
      <rPr>
        <color rgb="FF1155CC"/>
        <u/>
      </rPr>
      <t>Upload Test Case template</t>
    </r>
    <r>
      <rPr>
        <color rgb="FF1155CC"/>
        <u/>
      </rPr>
      <t xml:space="preserve">
</t>
    </r>
    <r>
      <rPr>
        <color rgb="FF434343"/>
        <u/>
      </rPr>
      <t xml:space="preserve">2. </t>
    </r>
    <r>
      <rPr>
        <color rgb="FF1155CC"/>
        <u/>
      </rPr>
      <t>Learn AWS</t>
    </r>
  </si>
  <si>
    <r>
      <rPr>
        <rFont val="Arial"/>
        <strike/>
        <color theme="1"/>
      </rPr>
      <t xml:space="preserve">1. QA Agent – Upload Test Cases Sample Format
</t>
    </r>
    <r>
      <rPr>
        <rFont val="Arial"/>
        <color theme="1"/>
      </rPr>
      <t>2. Learn AWS AI practitioner
3. BA Agent: Upload Functional Specs Sample Format</t>
    </r>
  </si>
  <si>
    <r>
      <rPr>
        <color rgb="FF434343"/>
        <u/>
      </rPr>
      <t xml:space="preserve">1. </t>
    </r>
    <r>
      <rPr>
        <color rgb="FF1155CC"/>
        <u/>
      </rPr>
      <t>Upload Test Case template</t>
    </r>
    <r>
      <rPr>
        <color rgb="FF1155CC"/>
        <u/>
      </rPr>
      <t xml:space="preserve">
</t>
    </r>
    <r>
      <rPr>
        <color rgb="FF434343"/>
        <u/>
      </rPr>
      <t xml:space="preserve">2. </t>
    </r>
    <r>
      <rPr>
        <color rgb="FF1155CC"/>
        <u/>
      </rPr>
      <t>Learn AWS</t>
    </r>
  </si>
  <si>
    <r>
      <rPr>
        <rFont val="Arial"/>
        <strike/>
        <color theme="1"/>
      </rPr>
      <t xml:space="preserve">1. QA Agent – Upload Test Cases Sample Format
</t>
    </r>
    <r>
      <rPr>
        <rFont val="Arial"/>
        <color theme="1"/>
      </rPr>
      <t>2. Learn AWS AI practitioner
3. BA Agent: Upload Functional Specs Sample Format</t>
    </r>
  </si>
  <si>
    <r>
      <rPr>
        <color rgb="FF434343"/>
        <u/>
      </rPr>
      <t xml:space="preserve">1. </t>
    </r>
    <r>
      <rPr>
        <color rgb="FF1155CC"/>
        <u/>
      </rPr>
      <t>Upload Test Case template</t>
    </r>
    <r>
      <rPr>
        <color rgb="FF1155CC"/>
        <u/>
      </rPr>
      <t xml:space="preserve">
</t>
    </r>
    <r>
      <rPr>
        <color rgb="FF434343"/>
        <u/>
      </rPr>
      <t xml:space="preserve">2. </t>
    </r>
    <r>
      <rPr>
        <color rgb="FF1155CC"/>
        <u/>
      </rPr>
      <t>Learn AWS</t>
    </r>
  </si>
  <si>
    <r>
      <rPr>
        <rFont val="Arial"/>
        <strike/>
        <color theme="1"/>
      </rPr>
      <t xml:space="preserve">1. QA Agent – Upload Test Cases Sample Format
</t>
    </r>
    <r>
      <rPr>
        <rFont val="Arial"/>
        <color theme="1"/>
      </rPr>
      <t>2. Learn AWS AI practitioner
3. BA Agent: Upload Functional Specs Sample Format</t>
    </r>
  </si>
  <si>
    <r>
      <rPr>
        <color rgb="FF434343"/>
        <u/>
      </rPr>
      <t xml:space="preserve">1. </t>
    </r>
    <r>
      <rPr>
        <color rgb="FF1155CC"/>
        <u/>
      </rPr>
      <t>Upload Test Case template</t>
    </r>
    <r>
      <rPr>
        <color rgb="FF1155CC"/>
        <u/>
      </rPr>
      <t xml:space="preserve">
</t>
    </r>
    <r>
      <rPr>
        <color rgb="FF434343"/>
        <u/>
      </rPr>
      <t xml:space="preserve">2. </t>
    </r>
    <r>
      <rPr>
        <color rgb="FF1155CC"/>
        <u/>
      </rPr>
      <t>Learn AWS</t>
    </r>
  </si>
  <si>
    <t>1. Learn AWS AI practitioner
2. BA Agent: Upload Functional Specs Sample Format</t>
  </si>
  <si>
    <t>1. in-progress
2. in-progress</t>
  </si>
  <si>
    <r>
      <rPr/>
      <t xml:space="preserve">1. </t>
    </r>
    <r>
      <rPr>
        <color rgb="FF1155CC"/>
        <u/>
      </rPr>
      <t>Learn AWS AI Practicioner</t>
    </r>
    <r>
      <rPr/>
      <t xml:space="preserve">
2. </t>
    </r>
    <r>
      <rPr>
        <color rgb="FF1155CC"/>
        <u/>
      </rPr>
      <t>## 87 BA Agent – Upload Functional Specs Sample Format</t>
    </r>
  </si>
  <si>
    <r>
      <rPr/>
      <t xml:space="preserve">1. </t>
    </r>
    <r>
      <rPr>
        <color rgb="FF1155CC"/>
        <u/>
      </rPr>
      <t>Learn AWS AI Practicioner</t>
    </r>
    <r>
      <rPr/>
      <t xml:space="preserve">
2. </t>
    </r>
    <r>
      <rPr>
        <color rgb="FF1155CC"/>
        <u/>
      </rPr>
      <t>## 87 BA Agent – Upload Functional Specs Sample Format</t>
    </r>
  </si>
  <si>
    <r>
      <rPr/>
      <t xml:space="preserve">1. </t>
    </r>
    <r>
      <rPr>
        <color rgb="FF1155CC"/>
        <u/>
      </rPr>
      <t>Learn AWS AI Practicioner</t>
    </r>
    <r>
      <rPr/>
      <t xml:space="preserve">
2. </t>
    </r>
    <r>
      <rPr>
        <color rgb="FF1155CC"/>
        <u/>
      </rPr>
      <t>## 87 BA Agent – Upload Functional Specs Sample Format</t>
    </r>
  </si>
  <si>
    <r>
      <rPr/>
      <t xml:space="preserve">1. </t>
    </r>
    <r>
      <rPr>
        <color rgb="FF1155CC"/>
        <u/>
      </rPr>
      <t>Learn AWS AI Practicioner</t>
    </r>
    <r>
      <rPr/>
      <t xml:space="preserve">
2. </t>
    </r>
    <r>
      <rPr>
        <color rgb="FF1155CC"/>
        <u/>
      </rPr>
      <t>## 87 BA Agent – Upload Functional Specs Sample Format</t>
    </r>
  </si>
  <si>
    <r>
      <rPr/>
      <t xml:space="preserve">1. </t>
    </r>
    <r>
      <rPr>
        <color rgb="FF1155CC"/>
        <u/>
      </rPr>
      <t>Learn AWS AI Practicioner</t>
    </r>
    <r>
      <rPr/>
      <t xml:space="preserve">
2. </t>
    </r>
    <r>
      <rPr>
        <color rgb="FF1155CC"/>
        <u/>
      </rPr>
      <t>## 87 BA Agent – Upload Functional Specs Sample Format</t>
    </r>
  </si>
  <si>
    <t>1. in-progress
2. completed development</t>
  </si>
  <si>
    <r>
      <rPr/>
      <t xml:space="preserve">1. </t>
    </r>
    <r>
      <rPr>
        <color rgb="FF1155CC"/>
        <u/>
      </rPr>
      <t>Learn AWS AI Practicioner</t>
    </r>
    <r>
      <rPr/>
      <t xml:space="preserve">
2. </t>
    </r>
    <r>
      <rPr>
        <color rgb="FF1155CC"/>
        <u/>
      </rPr>
      <t>## 87 BA Agent – Upload Functional Specs Sample Format</t>
    </r>
  </si>
  <si>
    <t>1. in-progress
2. Ready for Deploy</t>
  </si>
  <si>
    <r>
      <rPr/>
      <t xml:space="preserve">1. </t>
    </r>
    <r>
      <rPr>
        <color rgb="FF1155CC"/>
        <u/>
      </rPr>
      <t>Learn AWS AI Practicioner</t>
    </r>
    <r>
      <rPr/>
      <t xml:space="preserve">
2. </t>
    </r>
    <r>
      <rPr>
        <color rgb="FF1155CC"/>
        <u/>
      </rPr>
      <t>## 87 BA Agent – Upload Functional Specs Sample Format</t>
    </r>
  </si>
  <si>
    <t>1. Learn AWS AI practitioner
2. Content Analyzer AI Assistant-Terminology extraction Agent
3. Content Analyzer AI Assistant-Glossary creation Agen</t>
  </si>
  <si>
    <t>1. in-progress
2. in-progress
3. ready for development</t>
  </si>
  <si>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Content Analyzer AI Assistant-Glossary creation Agen</t>
    </r>
  </si>
  <si>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Content Analyzer AI Assistant-Glossary creation Agen</t>
    </r>
  </si>
  <si>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Content Analyzer AI Assistant-Glossary creation Agen</t>
    </r>
  </si>
  <si>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Content Analyzer AI Assistant-Glossary creation Agen</t>
    </r>
  </si>
  <si>
    <t>1. Learn AWS AI practitioner
2. Content Analyzer AI Assistant-Terminology extraction Agent
3. Content Analyzer AI Assistant-Glossary creation Agen
4. Content Analyzer AI Assistant-Automatic DNT identification</t>
  </si>
  <si>
    <t>1. in-progress
2. in-progress
3. in-progress
4.  in-progress</t>
  </si>
  <si>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 xml:space="preserve">Content Analyzer AI Assistant-Glossary creation Agen
</t>
    </r>
    <r>
      <rPr/>
      <t xml:space="preserve">4. </t>
    </r>
    <r>
      <rPr>
        <color rgb="FF1155CC"/>
        <u/>
      </rPr>
      <t>Content Analyzer AI Assistant-Automatic DNT identification</t>
    </r>
  </si>
  <si>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 xml:space="preserve">Content Analyzer AI Assistant-Glossary creation Agen
</t>
    </r>
    <r>
      <rPr/>
      <t xml:space="preserve">4. </t>
    </r>
    <r>
      <rPr>
        <color rgb="FF1155CC"/>
        <u/>
      </rPr>
      <t>Content Analyzer AI Assistant-Automatic DNT identification</t>
    </r>
  </si>
  <si>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 xml:space="preserve">Content Analyzer AI Assistant-Glossary creation Agen
</t>
    </r>
    <r>
      <rPr/>
      <t xml:space="preserve">4. </t>
    </r>
    <r>
      <rPr>
        <color rgb="FF1155CC"/>
        <u/>
      </rPr>
      <t>Content Analyzer AI Assistant-Automatic DNT identification</t>
    </r>
  </si>
  <si>
    <t>1. Learn AWS AI practitioner
2. Content Analyzer AI Assistant-Terminology extraction Agent
3. Content Analyzer AI Assistant-Glossary creation Agen
4. Content Analyzer AI Assistant-Automatic DNT identification
5. MOH Halp - Report an Issue link 
6. Create Schedule Restart Apps</t>
  </si>
  <si>
    <t>1. in-progress
2. in-progress
3. in-progress
4. in-progress
5. in-progress
6. in-progress</t>
  </si>
  <si>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 xml:space="preserve">Content Analyzer AI Assistant-Glossary creation Agen
</t>
    </r>
    <r>
      <rPr/>
      <t xml:space="preserve">4. </t>
    </r>
    <r>
      <rPr>
        <color rgb="FF1155CC"/>
        <u/>
      </rPr>
      <t xml:space="preserve">Content Analyzer AI Assistant-Automatic DNT identification
</t>
    </r>
    <r>
      <rPr/>
      <t xml:space="preserve">5. https://taiga.ecquaria.org/project/tecq-ai-bd/us/183?kanban-status=760
6. </t>
    </r>
    <r>
      <rPr>
        <color rgb="FF1155CC"/>
        <u/>
      </rPr>
      <t>https://taiga.ecquaria.org/project/tecq-ai-bd/us/184?kanban-status=757</t>
    </r>
  </si>
  <si>
    <r>
      <rPr>
        <rFont val="Arial"/>
        <color theme="1"/>
      </rPr>
      <t xml:space="preserve">1. Learn AWS AI practitioner
2. Content Analyzer AI Assistant-Terminology extraction Agent
3. Content Analyzer AI Assistant-Glossary creation Agen
4. Content Analyzer AI Assistant-Automatic DNT identification
</t>
    </r>
    <r>
      <rPr>
        <rFont val="Arial"/>
        <strike/>
        <color theme="1"/>
      </rPr>
      <t xml:space="preserve">5. MOH Halp - Report an Issue link 
</t>
    </r>
    <r>
      <rPr>
        <rFont val="Arial"/>
        <color theme="1"/>
      </rPr>
      <t>6. Create Schedule Restart Apps</t>
    </r>
  </si>
  <si>
    <t>1. in-progress
2. in-progress
3. in-progress
4. in-progress
5. Ready for UAT
6. in-progress</t>
  </si>
  <si>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 xml:space="preserve">Content Analyzer AI Assistant-Glossary creation Agen
</t>
    </r>
    <r>
      <rPr/>
      <t xml:space="preserve">4. </t>
    </r>
    <r>
      <rPr>
        <color rgb="FF1155CC"/>
        <u/>
      </rPr>
      <t xml:space="preserve">Content Analyzer AI Assistant-Automatic DNT identification
</t>
    </r>
    <r>
      <rPr/>
      <t xml:space="preserve">5. https://taiga.ecquaria.org/project/tecq-ai-bd/us/183?kanban-status=760
6. </t>
    </r>
    <r>
      <rPr>
        <color rgb="FF1155CC"/>
        <u/>
      </rPr>
      <t>https://taiga.ecquaria.org/project/tecq-ai-bd/us/184?kanban-status=757</t>
    </r>
  </si>
  <si>
    <r>
      <rPr>
        <rFont val="Arial"/>
        <color theme="1"/>
      </rPr>
      <t xml:space="preserve">1. Learn AWS AI practitioner
</t>
    </r>
    <r>
      <rPr>
        <rFont val="Arial"/>
        <color rgb="FF0000FF"/>
      </rPr>
      <t xml:space="preserve">2. Content Analyzer AI Assistant-Terminology extraction Agent
3. Content Analyzer AI Assistant-Glossary creation Agen
4. Content Analyzer AI Assistant-Automatic DNT identification
</t>
    </r>
    <r>
      <rPr>
        <rFont val="Arial"/>
        <strike/>
        <color theme="1"/>
      </rPr>
      <t>5. MOH Halp - Report an Issue link 
6. Create Schedule Restart Apps</t>
    </r>
    <r>
      <rPr>
        <rFont val="Arial"/>
        <color theme="1"/>
      </rPr>
      <t xml:space="preserve">
7. Executable deployment package</t>
    </r>
  </si>
  <si>
    <r>
      <rPr>
        <rFont val="Arial"/>
        <color theme="1"/>
      </rPr>
      <t xml:space="preserve">1. in-progress
</t>
    </r>
    <r>
      <rPr>
        <rFont val="Arial"/>
        <color rgb="FF0000FF"/>
      </rPr>
      <t>2 .on-hold
3. on-hold
4. on-hold</t>
    </r>
    <r>
      <rPr>
        <rFont val="Arial"/>
        <color theme="1"/>
      </rPr>
      <t xml:space="preserve">
5. Ready for UAT
6. Ready for UAT
7. in-progress</t>
    </r>
  </si>
  <si>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 xml:space="preserve">Content Analyzer AI Assistant-Glossary creation Agen
</t>
    </r>
    <r>
      <rPr/>
      <t xml:space="preserve">4. </t>
    </r>
    <r>
      <rPr>
        <color rgb="FF1155CC"/>
        <u/>
      </rPr>
      <t xml:space="preserve">Content Analyzer AI Assistant-Automatic DNT identification
</t>
    </r>
    <r>
      <rPr/>
      <t xml:space="preserve">5. https://taiga.ecquaria.org/project/tecq-ai-bd/us/183?kanban-status=760
6. </t>
    </r>
    <r>
      <rPr>
        <color rgb="FF1155CC"/>
        <u/>
      </rPr>
      <t xml:space="preserve">https://taiga.ecquaria.org/project/tecq-ai-bd/us/184?kanban-status=757
</t>
    </r>
    <r>
      <rPr/>
      <t xml:space="preserve">7. </t>
    </r>
    <r>
      <rPr>
        <color rgb="FF1155CC"/>
        <u/>
      </rPr>
      <t>https://taiga.ecquaria.org/project/tecq-ai-bd/us/185?kanban-status=757</t>
    </r>
  </si>
  <si>
    <r>
      <rPr>
        <rFont val="Arial"/>
        <color theme="1"/>
      </rPr>
      <t xml:space="preserve">1. Learn AWS AI practitioner
</t>
    </r>
    <r>
      <rPr>
        <rFont val="Arial"/>
        <color rgb="FF0000FF"/>
      </rPr>
      <t>2. Content Analyzer AI Assistant-Terminology extraction Agent
3. Content Analyzer AI Assistant-Glossary creation Agen
4. Content Analyzer AI Assistant-Automatic DNT identification</t>
    </r>
    <r>
      <rPr>
        <rFont val="Arial"/>
        <color theme="1"/>
      </rPr>
      <t xml:space="preserve">
5. Executable deployment package</t>
    </r>
  </si>
  <si>
    <r>
      <rPr>
        <rFont val="Arial"/>
        <color theme="1"/>
      </rPr>
      <t xml:space="preserve">1. in-progress
</t>
    </r>
    <r>
      <rPr>
        <rFont val="Arial"/>
        <color rgb="FF0000FF"/>
      </rPr>
      <t xml:space="preserve">2 .on-hold
3. on-hold
4. on-hold
</t>
    </r>
    <r>
      <rPr>
        <rFont val="Arial"/>
        <color theme="1"/>
      </rPr>
      <t>5. in-progress</t>
    </r>
  </si>
  <si>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 xml:space="preserve">Content Analyzer AI Assistant-Glossary creation Agen
</t>
    </r>
    <r>
      <rPr/>
      <t xml:space="preserve">4. </t>
    </r>
    <r>
      <rPr>
        <color rgb="FF1155CC"/>
        <u/>
      </rPr>
      <t xml:space="preserve">Content Analyzer AI Assistant-Automatic DNT identification
</t>
    </r>
    <r>
      <rPr/>
      <t xml:space="preserve">5. https://taiga.ecquaria.org/project/tecq-ai-bd/us/183?kanban-status=760
6. </t>
    </r>
    <r>
      <rPr>
        <color rgb="FF1155CC"/>
        <u/>
      </rPr>
      <t xml:space="preserve">https://taiga.ecquaria.org/project/tecq-ai-bd/us/184?kanban-status=757
</t>
    </r>
    <r>
      <rPr/>
      <t xml:space="preserve">7. </t>
    </r>
    <r>
      <rPr>
        <color rgb="FF1155CC"/>
        <u/>
      </rPr>
      <t>https://taiga.ecquaria.org/project/tecq-ai-bd/us/185?kanban-status=757</t>
    </r>
  </si>
  <si>
    <r>
      <rPr>
        <rFont val="Arial"/>
        <color theme="1"/>
      </rPr>
      <t xml:space="preserve">1. Learn AWS AI practitioner
</t>
    </r>
    <r>
      <rPr>
        <rFont val="Arial"/>
        <color rgb="FF0000FF"/>
      </rPr>
      <t>2. Content Analyzer AI Assistant-Terminology extraction Agent
3. Content Analyzer AI Assistant-Glossary creation Agen
4. Content Analyzer AI Assistant-Automatic DNT identification</t>
    </r>
    <r>
      <rPr>
        <rFont val="Arial"/>
        <color theme="1"/>
      </rPr>
      <t xml:space="preserve">
5. Executable deployment package</t>
    </r>
  </si>
  <si>
    <r>
      <rPr>
        <rFont val="Arial"/>
        <color theme="1"/>
      </rPr>
      <t xml:space="preserve">1. in-progress
</t>
    </r>
    <r>
      <rPr>
        <rFont val="Arial"/>
        <color rgb="FF0000FF"/>
      </rPr>
      <t xml:space="preserve">2 .on-hold
3. on-hold
4. on-hold
</t>
    </r>
    <r>
      <rPr>
        <rFont val="Arial"/>
        <color theme="1"/>
      </rPr>
      <t>5. in-progress</t>
    </r>
  </si>
  <si>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 xml:space="preserve">Content Analyzer AI Assistant-Glossary creation Agen
</t>
    </r>
    <r>
      <rPr/>
      <t xml:space="preserve">4. </t>
    </r>
    <r>
      <rPr>
        <color rgb="FF1155CC"/>
        <u/>
      </rPr>
      <t xml:space="preserve">Content Analyzer AI Assistant-Automatic DNT identification
</t>
    </r>
    <r>
      <rPr/>
      <t xml:space="preserve">5. </t>
    </r>
    <r>
      <rPr>
        <color rgb="FF1155CC"/>
        <u/>
      </rPr>
      <t>https://taiga.ecquaria.org/project/tecq-ai-bd/us/185?kanban-status=757</t>
    </r>
  </si>
  <si>
    <r>
      <rPr>
        <rFont val="Arial"/>
        <color theme="1"/>
      </rPr>
      <t xml:space="preserve">1. Learn AWS AI practitioner
</t>
    </r>
    <r>
      <rPr>
        <rFont val="Arial"/>
        <color rgb="FF0000FF"/>
      </rPr>
      <t>2. Content Analyzer AI Assistant-Terminology extraction Agent
3. Content Analyzer AI Assistant-Glossary creation Agen
4. Content Analyzer AI Assistant-Automatic DNT identification</t>
    </r>
    <r>
      <rPr>
        <rFont val="Arial"/>
        <color theme="1"/>
      </rPr>
      <t xml:space="preserve">
5. Executable deployment package</t>
    </r>
  </si>
  <si>
    <r>
      <rPr>
        <rFont val="Arial"/>
        <color theme="1"/>
      </rPr>
      <t xml:space="preserve">1. in-progress
</t>
    </r>
    <r>
      <rPr>
        <rFont val="Arial"/>
        <color rgb="FF0000FF"/>
      </rPr>
      <t xml:space="preserve">2 .on-hold
3. on-hold
4. on-hold
</t>
    </r>
    <r>
      <rPr>
        <rFont val="Arial"/>
        <color theme="1"/>
      </rPr>
      <t>5. in-progress</t>
    </r>
  </si>
  <si>
    <r>
      <rPr/>
      <t xml:space="preserve">1. </t>
    </r>
    <r>
      <rPr>
        <color rgb="FF1155CC"/>
        <u/>
      </rPr>
      <t>Learn AWS AI Practicioner</t>
    </r>
    <r>
      <rPr/>
      <t xml:space="preserve">
2. </t>
    </r>
    <r>
      <rPr>
        <color rgb="FF1155CC"/>
        <u/>
      </rPr>
      <t xml:space="preserve">Content Analyzer AI Assistant-Terminology extraction Agent
</t>
    </r>
    <r>
      <rPr/>
      <t xml:space="preserve">3. </t>
    </r>
    <r>
      <rPr>
        <color rgb="FF1155CC"/>
        <u/>
      </rPr>
      <t xml:space="preserve">Content Analyzer AI Assistant-Glossary creation Agen
</t>
    </r>
    <r>
      <rPr/>
      <t xml:space="preserve">4. </t>
    </r>
    <r>
      <rPr>
        <color rgb="FF1155CC"/>
        <u/>
      </rPr>
      <t xml:space="preserve">Content Analyzer AI Assistant-Automatic DNT identification
</t>
    </r>
    <r>
      <rPr/>
      <t xml:space="preserve">5. </t>
    </r>
    <r>
      <rPr>
        <color rgb="FF1155CC"/>
        <u/>
      </rPr>
      <t>https://taiga.ecquaria.org/project/tecq-ai-bd/us/185?kanban-status=757</t>
    </r>
  </si>
  <si>
    <r>
      <rPr>
        <rFont val="Arial"/>
        <color theme="1"/>
      </rPr>
      <t xml:space="preserve">1. Learn AWS AI practitioner
</t>
    </r>
    <r>
      <rPr>
        <rFont val="Arial"/>
        <strike/>
        <color rgb="FF0000FF"/>
      </rPr>
      <t>2. Content Analyzer AI Assistant-Terminology extraction Agent
3. Content Analyzer AI Assistant-Glossary creation Agen
4. Content Analyzer AI Assistant-Automatic DNT identification</t>
    </r>
    <r>
      <rPr>
        <rFont val="Arial"/>
        <strike/>
        <color theme="1"/>
      </rPr>
      <t xml:space="preserve">
</t>
    </r>
    <r>
      <rPr>
        <rFont val="Arial"/>
        <color theme="1"/>
      </rPr>
      <t>5. Executable deployment package</t>
    </r>
  </si>
  <si>
    <r>
      <rPr>
        <rFont val="Arial"/>
        <color theme="1"/>
      </rPr>
      <t xml:space="preserve">1. in-progress
</t>
    </r>
    <r>
      <rPr>
        <rFont val="Arial"/>
        <color rgb="FF0000FF"/>
      </rPr>
      <t xml:space="preserve">2 .done
3. done
4. done
</t>
    </r>
    <r>
      <rPr>
        <rFont val="Arial"/>
        <color theme="1"/>
      </rPr>
      <t>5. in-progress</t>
    </r>
  </si>
  <si>
    <r>
      <rPr/>
      <t xml:space="preserve">1. </t>
    </r>
    <r>
      <rPr>
        <color rgb="FF1155CC"/>
        <u/>
      </rPr>
      <t>Learn AWS AI Practicioner</t>
    </r>
    <r>
      <rPr/>
      <t xml:space="preserve">
</t>
    </r>
    <r>
      <rPr>
        <strike/>
      </rPr>
      <t xml:space="preserve">2. </t>
    </r>
    <r>
      <rPr>
        <strike/>
        <color rgb="FF1155CC"/>
        <u/>
      </rPr>
      <t xml:space="preserve">Content Analyzer AI Assistant-Terminology extraction Agent
</t>
    </r>
    <r>
      <rPr>
        <strike/>
      </rPr>
      <t xml:space="preserve">3. </t>
    </r>
    <r>
      <rPr>
        <strike/>
        <color rgb="FF1155CC"/>
        <u/>
      </rPr>
      <t xml:space="preserve">Content Analyzer AI Assistant-Glossary creation Agen
</t>
    </r>
    <r>
      <rPr>
        <strike/>
      </rPr>
      <t xml:space="preserve">4. </t>
    </r>
    <r>
      <rPr>
        <strike/>
        <color rgb="FF1155CC"/>
        <u/>
      </rPr>
      <t xml:space="preserve">Content Analyzer AI Assistant-Automatic DNT identification
</t>
    </r>
    <r>
      <rPr/>
      <t xml:space="preserve">5. </t>
    </r>
    <r>
      <rPr>
        <color rgb="FF1155CC"/>
        <u/>
      </rPr>
      <t>https://taiga.ecquaria.org/project/tecq-ai-bd/us/185?kanban-status=757</t>
    </r>
  </si>
  <si>
    <r>
      <rPr>
        <rFont val="Arial"/>
        <color theme="1"/>
      </rPr>
      <t>1. Learn AWS AI practitioner</t>
    </r>
    <r>
      <rPr>
        <rFont val="Arial"/>
        <strike/>
        <color theme="1"/>
      </rPr>
      <t xml:space="preserve">
2. Executable deployment package
</t>
    </r>
    <r>
      <rPr>
        <rFont val="Arial"/>
        <color theme="1"/>
      </rPr>
      <t>3. RAG - process ppt old
4. RAG - process doc old</t>
    </r>
  </si>
  <si>
    <t>1. in-progress
2. done
3. in-progress
4. ready for development</t>
  </si>
  <si>
    <r>
      <rPr/>
      <t xml:space="preserve">1. Learn AWS AI Practicioner
</t>
    </r>
    <r>
      <rPr>
        <strike/>
      </rPr>
      <t xml:space="preserve">2. https://taiga.ecquaria.org/project/tecq-ai-bd/us/185?kanban-status=757
</t>
    </r>
    <r>
      <rPr/>
      <t xml:space="preserve">3. </t>
    </r>
    <r>
      <rPr>
        <color rgb="FF1155CC"/>
        <u/>
      </rPr>
      <t xml:space="preserve">https://taiga.ecquaria.org/project/tecq-ai-bd/us/201?kanban-status=759
</t>
    </r>
    <r>
      <rPr/>
      <t xml:space="preserve">4. </t>
    </r>
    <r>
      <rPr>
        <color rgb="FF1155CC"/>
        <u/>
      </rPr>
      <t>https://taiga.ecquaria.org/project/tecq-ai-bd/us/200?kanban-assigned_users=271&amp;kanban-status=758</t>
    </r>
  </si>
  <si>
    <r>
      <rPr>
        <rFont val="Arial"/>
        <color theme="1"/>
      </rPr>
      <t>1. Learn AWS AI practitioner</t>
    </r>
    <r>
      <rPr>
        <rFont val="Arial"/>
        <strike/>
        <color theme="1"/>
      </rPr>
      <t xml:space="preserve">
2. Executable deployment package
</t>
    </r>
    <r>
      <rPr>
        <rFont val="Arial"/>
        <color theme="1"/>
      </rPr>
      <t>3. RAG - process ppt old
4. RAG - process doc old
5. Setup - Grafana on Azure</t>
    </r>
  </si>
  <si>
    <t>1. in-progress
2. done
3. in-progress
4. in-progress
5. in-progress</t>
  </si>
  <si>
    <r>
      <rPr/>
      <t xml:space="preserve">1. Learn AWS AI Practicioner
</t>
    </r>
    <r>
      <rPr>
        <strike/>
      </rPr>
      <t xml:space="preserve">2. https://taiga.ecquaria.org/project/tecq-ai-bd/us/185?kanban-status=757
</t>
    </r>
    <r>
      <rPr/>
      <t xml:space="preserve">3. </t>
    </r>
    <r>
      <rPr>
        <color rgb="FF1155CC"/>
        <u/>
      </rPr>
      <t xml:space="preserve">https://taiga.ecquaria.org/project/tecq-ai-bd/us/201?kanban-status=759
</t>
    </r>
    <r>
      <rPr/>
      <t xml:space="preserve">4. </t>
    </r>
    <r>
      <rPr>
        <color rgb="FF1155CC"/>
        <u/>
      </rPr>
      <t xml:space="preserve">https://taiga.ecquaria.org/project/tecq-ai-bd/us/200?kanban-assigned_users=271&amp;kanban-status=758
</t>
    </r>
    <r>
      <rPr/>
      <t>5. https://taiga.ecquaria.org/project/tecq-ai-bd/us/210?kanban-status=759</t>
    </r>
  </si>
  <si>
    <r>
      <rPr>
        <rFont val="Arial"/>
        <color theme="1"/>
      </rPr>
      <t>1. Learn AWS AI practitioner</t>
    </r>
    <r>
      <rPr>
        <rFont val="Arial"/>
        <strike/>
        <color theme="1"/>
      </rPr>
      <t xml:space="preserve">
</t>
    </r>
    <r>
      <rPr>
        <rFont val="Arial"/>
        <color theme="1"/>
      </rPr>
      <t>2. RAG - process ppt old
3. RAG - process doc old
4. Setup - Grafana on Azure</t>
    </r>
  </si>
  <si>
    <t xml:space="preserve">1. in-progress
2. in-progress
3. in-progress
4. done </t>
  </si>
  <si>
    <r>
      <rPr/>
      <t xml:space="preserve">1. Learn AWS AI Practicioner
2. </t>
    </r>
    <r>
      <rPr>
        <color rgb="FF1155CC"/>
        <u/>
      </rPr>
      <t xml:space="preserve">https://taiga.ecquaria.org/project/tecq-ai-bd/us/201?kanban-status=759
</t>
    </r>
    <r>
      <rPr/>
      <t xml:space="preserve">3. </t>
    </r>
    <r>
      <rPr>
        <color rgb="FF1155CC"/>
        <u/>
      </rPr>
      <t xml:space="preserve">https://taiga.ecquaria.org/project/tecq-ai-bd/us/200?kanban-assigned_users=271&amp;kanban-status=758
</t>
    </r>
    <r>
      <rPr/>
      <t xml:space="preserve">4. </t>
    </r>
    <r>
      <rPr>
        <color rgb="FF1155CC"/>
        <u/>
      </rPr>
      <t>https://taiga.ecquaria.org/project/tecq-ai-bd/us/210?kanban-status=759</t>
    </r>
  </si>
  <si>
    <r>
      <rPr>
        <rFont val="Arial"/>
        <color theme="1"/>
      </rPr>
      <t>1. Learn AWS AI practitioner</t>
    </r>
    <r>
      <rPr>
        <rFont val="Arial"/>
        <strike/>
        <color theme="1"/>
      </rPr>
      <t xml:space="preserve">
2. RAG - process ppt old
3. RAG - process doc old</t>
    </r>
    <r>
      <rPr>
        <rFont val="Arial"/>
        <color theme="1"/>
      </rPr>
      <t xml:space="preserve">
4. Microsoft Azure AD login</t>
    </r>
  </si>
  <si>
    <t>1. in-progress
2. done
3. done
4. in-progress</t>
  </si>
  <si>
    <r>
      <rPr/>
      <t xml:space="preserve">1. Learn AWS AI Practicioner
</t>
    </r>
    <r>
      <rPr>
        <strike/>
      </rPr>
      <t xml:space="preserve">2. </t>
    </r>
    <r>
      <rPr>
        <strike/>
        <color rgb="FF1155CC"/>
        <u/>
      </rPr>
      <t>https://taiga.ecquaria.org/project/tecq-ai-bd/us/201?kanban-status=759</t>
    </r>
    <r>
      <rPr>
        <color rgb="FF1155CC"/>
        <u/>
      </rPr>
      <t xml:space="preserve">
</t>
    </r>
    <r>
      <rPr>
        <strike/>
      </rPr>
      <t xml:space="preserve">3. </t>
    </r>
    <r>
      <rPr>
        <strike/>
        <color rgb="FF1155CC"/>
        <u/>
      </rPr>
      <t>https://taiga.ecquaria.org/project/tecq-ai-bd/us/200?kanban-assigned_users=271&amp;kanban-status=758</t>
    </r>
    <r>
      <rPr>
        <color rgb="FF1155CC"/>
        <u/>
      </rPr>
      <t xml:space="preserve">
</t>
    </r>
    <r>
      <rPr/>
      <t xml:space="preserve">4. </t>
    </r>
    <r>
      <rPr>
        <color rgb="FF1155CC"/>
        <u/>
      </rPr>
      <t>https://taiga.ecquaria.org/project/tecq-ai-bd/us/218?kanban-status=759</t>
    </r>
    <r>
      <rPr/>
      <t xml:space="preserve"> </t>
    </r>
  </si>
  <si>
    <r>
      <rPr>
        <rFont val="Arial"/>
        <color theme="1"/>
      </rPr>
      <t xml:space="preserve">1. Learn AWS AI practitioner
</t>
    </r>
    <r>
      <rPr>
        <rFont val="Arial"/>
        <strike/>
        <color theme="1"/>
      </rPr>
      <t xml:space="preserve">2. Microsoft Azure AD login
</t>
    </r>
    <r>
      <rPr>
        <rFont val="Arial"/>
        <color theme="1"/>
      </rPr>
      <t>3. AI Knowledge Bases - Explore implementing OCR to Markdown for images</t>
    </r>
  </si>
  <si>
    <r>
      <rPr>
        <rFont val="Arial"/>
        <color theme="1"/>
      </rPr>
      <t xml:space="preserve">1. in-progress
</t>
    </r>
    <r>
      <rPr>
        <rFont val="Arial"/>
        <strike/>
        <color theme="1"/>
      </rPr>
      <t xml:space="preserve">2. in-progress
</t>
    </r>
    <r>
      <rPr>
        <rFont val="Arial"/>
        <color theme="1"/>
      </rPr>
      <t>3. in-progress</t>
    </r>
  </si>
  <si>
    <r>
      <rPr/>
      <t xml:space="preserve">1. Learn AWS AI Practicioner
</t>
    </r>
    <r>
      <rPr>
        <strike/>
      </rPr>
      <t xml:space="preserve">2. </t>
    </r>
    <r>
      <rPr>
        <strike/>
        <color rgb="FF1155CC"/>
        <u/>
      </rPr>
      <t>https://taiga.ecquaria.org/project/tecq-ai-bd/us/218?kanban-status=759</t>
    </r>
    <r>
      <rPr>
        <strike/>
      </rPr>
      <t xml:space="preserve"> 
</t>
    </r>
    <r>
      <rPr/>
      <t xml:space="preserve">3. </t>
    </r>
    <r>
      <rPr>
        <color rgb="FF1155CC"/>
        <u/>
      </rPr>
      <t>https://taiga.ecquaria.org/project/tecq-ai-bd/us/226?kanban-status=758</t>
    </r>
    <r>
      <rPr/>
      <t xml:space="preserve"> </t>
    </r>
  </si>
  <si>
    <t>2. done by sulthan on 08/09/2025</t>
  </si>
  <si>
    <t>1. Learn AWS AI practitioner
2. AI Knowledge Bases - Explore implementing OCR to Markdown for images</t>
  </si>
  <si>
    <r>
      <rPr/>
      <t xml:space="preserve">1. Learn AWS AI Practicioner
2. </t>
    </r>
    <r>
      <rPr>
        <color rgb="FF1155CC"/>
        <u/>
      </rPr>
      <t>https://taiga.ecquaria.org/project/tecq-ai-bd/us/226?kanban-status=758</t>
    </r>
    <r>
      <rPr/>
      <t xml:space="preserve"> </t>
    </r>
  </si>
  <si>
    <r>
      <rPr/>
      <t xml:space="preserve">1. Learn AWS AI Practicioner
2. </t>
    </r>
    <r>
      <rPr>
        <color rgb="FF1155CC"/>
        <u/>
      </rPr>
      <t>https://taiga.ecquaria.org/project/tecq-ai-bd/us/226?kanban-status=758</t>
    </r>
    <r>
      <rPr/>
      <t xml:space="preserve"> </t>
    </r>
  </si>
  <si>
    <t>1. Learn AWS AI practitioner
2. AI Knowledge Bases - Explore implementing OCR to Markdown for images
3. setup PROD -Toppan Nexus KB</t>
  </si>
  <si>
    <t>1. in-progress
2. in-progress
3. in-progress</t>
  </si>
  <si>
    <r>
      <rPr/>
      <t xml:space="preserve">1. Learn AWS AI Practicioner
2. </t>
    </r>
    <r>
      <rPr>
        <color rgb="FF1155CC"/>
        <u/>
      </rPr>
      <t>https://taiga.ecquaria.org/project/tecq-ai-bd/us/226?kanban-status=758</t>
    </r>
    <r>
      <rPr/>
      <t xml:space="preserve"> 
3. </t>
    </r>
    <r>
      <rPr>
        <color rgb="FF1155CC"/>
        <u/>
      </rPr>
      <t>https://taiga.ecquaria.org/project/tecq-ai-bd/us/231?kanban-status=759</t>
    </r>
  </si>
  <si>
    <t>1. Learn AWS AI practitioner
2. AI Knowledge Bases - Explore implementing OCR to Markdown for images
3. setup PROD -Toppan Nexus KB
4. setup qa agent prod
5. Getting logged out automatically with page not found error</t>
  </si>
  <si>
    <t>1. in-progress
2. done
3. done
4. in-progress
5. in-progress</t>
  </si>
  <si>
    <r>
      <rPr/>
      <t xml:space="preserve">1. Learn AWS AI Practicioner
2. https://taiga.ecquaria.org/project/tecq-ai-bd/us/226?kanban-status=758 
3. https://taiga.ecquaria.org/project/tecq-ai-bd/us/231?kanban-status=759
4. https://taiga.ecquaria.org/project/tecq-ai-bd/us/236?kanban-status=759
5. </t>
    </r>
    <r>
      <rPr>
        <color rgb="FF1155CC"/>
        <u/>
      </rPr>
      <t>issue from SG moh</t>
    </r>
  </si>
  <si>
    <r>
      <rPr>
        <rFont val="Arial"/>
        <color theme="1"/>
      </rPr>
      <t xml:space="preserve">1. Learn AWS AI practitioner (2 MD)
</t>
    </r>
    <r>
      <rPr>
        <rFont val="Arial"/>
        <strike/>
        <color theme="1"/>
      </rPr>
      <t xml:space="preserve">2. setup qa agent prod
3. Getting logged out automatically with page not found error
</t>
    </r>
    <r>
      <rPr>
        <rFont val="Arial"/>
        <color theme="1"/>
      </rPr>
      <t>4. ProdPlus -  setting grafana (5 md)
5. ProdPlus - setting deployment QA-Agent (5 md)</t>
    </r>
  </si>
  <si>
    <r>
      <rPr>
        <rFont val="Arial"/>
        <color theme="1"/>
      </rPr>
      <t xml:space="preserve">1. in-progress
</t>
    </r>
    <r>
      <rPr>
        <rFont val="Arial"/>
        <strike/>
        <color theme="1"/>
      </rPr>
      <t xml:space="preserve">2. done
3. done
</t>
    </r>
    <r>
      <rPr>
        <rFont val="Arial"/>
        <color theme="1"/>
      </rPr>
      <t>4. in-progress
5. in-progress</t>
    </r>
  </si>
  <si>
    <r>
      <rPr/>
      <t xml:space="preserve">1. Learn AWS AI Practicioner
</t>
    </r>
    <r>
      <rPr>
        <strike/>
      </rPr>
      <t xml:space="preserve">2. https://taiga.ecquaria.org/project/tecq-ai-bd/us/236?kanban-status=759
3. </t>
    </r>
    <r>
      <rPr>
        <strike/>
        <color rgb="FF1155CC"/>
        <u/>
      </rPr>
      <t xml:space="preserve">issue from SG moh
</t>
    </r>
    <r>
      <rPr/>
      <t xml:space="preserve">4. </t>
    </r>
    <r>
      <rPr>
        <color rgb="FF1155CC"/>
        <u/>
      </rPr>
      <t xml:space="preserve">ProdPlus - setting grafana
</t>
    </r>
    <r>
      <rPr/>
      <t xml:space="preserve">5. </t>
    </r>
    <r>
      <rPr>
        <color rgb="FF1155CC"/>
        <u/>
      </rPr>
      <t>ProdPlus - setting deployment QA-Agent</t>
    </r>
  </si>
  <si>
    <t>1. Learn AWS AI practitioner(2 MD)
2. ProdPlus -  setting grafana (5 md)
3. ProdPlus - setting deployment QA-Agent (5 md)</t>
  </si>
  <si>
    <r>
      <rPr>
        <rFont val="Arial"/>
        <color theme="1"/>
      </rPr>
      <t>1. in-progress</t>
    </r>
    <r>
      <rPr>
        <rFont val="Arial"/>
        <strike/>
        <color theme="1"/>
      </rPr>
      <t xml:space="preserve">
</t>
    </r>
    <r>
      <rPr>
        <rFont val="Arial"/>
        <color theme="1"/>
      </rPr>
      <t>2. in-progress
3. in-progress</t>
    </r>
  </si>
  <si>
    <r>
      <rPr/>
      <t>1. Learn AWS AI Practicioner</t>
    </r>
    <r>
      <rPr>
        <strike/>
        <color rgb="FF1155CC"/>
        <u/>
      </rPr>
      <t xml:space="preserve">
</t>
    </r>
    <r>
      <rPr/>
      <t xml:space="preserve">2. </t>
    </r>
    <r>
      <rPr>
        <color rgb="FF1155CC"/>
        <u/>
      </rPr>
      <t xml:space="preserve">ProdPlus - setting grafana
</t>
    </r>
    <r>
      <rPr/>
      <t xml:space="preserve">3. </t>
    </r>
    <r>
      <rPr>
        <color rgb="FF1155CC"/>
        <u/>
      </rPr>
      <t>ProdPlus - setting deployment QA-Agent</t>
    </r>
  </si>
  <si>
    <t>1. Learn AWS AI practitioner (2 MD)
2. ProdPlus -  setting grafana (5 md)
3. ProdPlus - setting deployment QA-Agent (5 md)</t>
  </si>
  <si>
    <r>
      <rPr>
        <rFont val="Arial"/>
        <color theme="1"/>
      </rPr>
      <t>1. in-progress</t>
    </r>
    <r>
      <rPr>
        <rFont val="Arial"/>
        <strike/>
        <color theme="1"/>
      </rPr>
      <t xml:space="preserve">
</t>
    </r>
    <r>
      <rPr>
        <rFont val="Arial"/>
        <color theme="1"/>
      </rPr>
      <t>2. in-progress
3. in-progress</t>
    </r>
  </si>
  <si>
    <r>
      <rPr/>
      <t xml:space="preserve">1. Learn AWS AI Practicioner
2. </t>
    </r>
    <r>
      <rPr>
        <color rgb="FF1155CC"/>
        <u/>
      </rPr>
      <t xml:space="preserve">ProdPlus - setting grafana
</t>
    </r>
    <r>
      <rPr/>
      <t xml:space="preserve">3. </t>
    </r>
    <r>
      <rPr>
        <color rgb="FF1155CC"/>
        <u/>
      </rPr>
      <t>ProdPlus - setting deployment QA-Agent</t>
    </r>
  </si>
  <si>
    <r>
      <rPr>
        <rFont val="Arial"/>
        <color theme="1"/>
      </rPr>
      <t xml:space="preserve">1. Learn AWS AI practitioner (2 MD)
</t>
    </r>
    <r>
      <rPr>
        <rFont val="Arial"/>
        <strike/>
        <color theme="1"/>
      </rPr>
      <t>2. ProdPlus -  setting grafana (5 md)
3. ProdPlus - setting deployment QA-Agent (5 md)</t>
    </r>
  </si>
  <si>
    <r>
      <rPr>
        <rFont val="Arial"/>
        <color theme="1"/>
      </rPr>
      <t>1. in-progress</t>
    </r>
    <r>
      <rPr>
        <rFont val="Arial"/>
        <strike/>
        <color theme="1"/>
      </rPr>
      <t xml:space="preserve">
</t>
    </r>
    <r>
      <rPr>
        <rFont val="Arial"/>
        <color theme="1"/>
      </rPr>
      <t>2. done
3. done</t>
    </r>
  </si>
  <si>
    <r>
      <rPr/>
      <t xml:space="preserve">1. Learn AWS AI Practicioner
</t>
    </r>
    <r>
      <rPr>
        <strike/>
      </rPr>
      <t xml:space="preserve">2. </t>
    </r>
    <r>
      <rPr>
        <strike/>
        <color rgb="FF1155CC"/>
        <u/>
      </rPr>
      <t xml:space="preserve">ProdPlus - setting grafana
</t>
    </r>
    <r>
      <rPr>
        <strike/>
      </rPr>
      <t xml:space="preserve">3. </t>
    </r>
    <r>
      <rPr>
        <strike/>
        <color rgb="FF1155CC"/>
        <u/>
      </rPr>
      <t>ProdPlus - setting deployment QA-Agent</t>
    </r>
  </si>
  <si>
    <t>1. Learn AWS AI practitioner (2 MD)</t>
  </si>
  <si>
    <t>1. in-progress</t>
  </si>
  <si>
    <r>
      <rPr/>
      <t xml:space="preserve">1. </t>
    </r>
    <r>
      <rPr>
        <color rgb="FF1155CC"/>
        <u/>
      </rPr>
      <t>Learn AWS AI Practicioner</t>
    </r>
    <r>
      <rPr/>
      <t xml:space="preserve"> </t>
    </r>
  </si>
  <si>
    <t>1. Learn AWS AI practitioner (2 MD)
2. KB - add application field to the helpdesk email (5MD)
3. KB - Remove Log Out on public page</t>
  </si>
  <si>
    <r>
      <rPr/>
      <t xml:space="preserve">1. Learn AWS AI Pracitioner
2. </t>
    </r>
    <r>
      <rPr>
        <color rgb="FF1155CC"/>
        <u/>
      </rPr>
      <t xml:space="preserve">KB - Add Application field to the helpdesk email do that we know from which App the email is send
</t>
    </r>
    <r>
      <rPr/>
      <t xml:space="preserve">3. </t>
    </r>
    <r>
      <rPr>
        <color rgb="FF1155CC"/>
        <u/>
      </rPr>
      <t>KB - Remove Log Out on public page</t>
    </r>
  </si>
  <si>
    <r>
      <rPr>
        <rFont val="Arial"/>
        <color theme="1"/>
      </rPr>
      <t xml:space="preserve">1. Learn AWS AI practitioner (2 MD)
</t>
    </r>
    <r>
      <rPr>
        <rFont val="Arial"/>
        <strike/>
        <color theme="1"/>
      </rPr>
      <t xml:space="preserve">2. KB - add application field to the helpdesk email (5MD)
</t>
    </r>
    <r>
      <rPr>
        <rFont val="Arial"/>
        <color theme="1"/>
      </rPr>
      <t>3. KB - Remove Log Out on public page</t>
    </r>
  </si>
  <si>
    <t>1. in-progress
2. done
3. in-progress</t>
  </si>
  <si>
    <r>
      <rPr/>
      <t xml:space="preserve">1. Learn AWS AI Pracitioner
</t>
    </r>
    <r>
      <rPr>
        <strike/>
      </rPr>
      <t xml:space="preserve">2. </t>
    </r>
    <r>
      <rPr>
        <strike/>
        <color rgb="FF1155CC"/>
        <u/>
      </rPr>
      <t xml:space="preserve">KB - Add Application field to the helpdesk email do that we know from which App the email is send
</t>
    </r>
    <r>
      <rPr/>
      <t xml:space="preserve">3. </t>
    </r>
    <r>
      <rPr>
        <color rgb="FF1155CC"/>
        <u/>
      </rPr>
      <t>KB - Remove Log Out on public page</t>
    </r>
  </si>
  <si>
    <t>1. Learn AWS AI practitioner (2 MD)
2. KB - Remove Log Out on public page
3. Elit AI Knowledge Base - setup UAT and Prod (1MD)
4. KB - Fix versioning logic
5. KB - Add toppangravity.com to AI Apps Whitelist</t>
  </si>
  <si>
    <t>1. in-progress
2. in-progress
3. in-progress (Priority High)
4. not started yet
5. post-poned</t>
  </si>
  <si>
    <r>
      <rPr/>
      <t xml:space="preserve">1. Learn AWS AI Pracitioner
2. </t>
    </r>
    <r>
      <rPr>
        <color rgb="FF1155CC"/>
        <u/>
      </rPr>
      <t xml:space="preserve">KB - Remove Log Out on public page
</t>
    </r>
    <r>
      <rPr/>
      <t xml:space="preserve">3. </t>
    </r>
    <r>
      <rPr>
        <color rgb="FF1155CC"/>
        <u/>
      </rPr>
      <t xml:space="preserve">Elit AI KB - Setup UAT and Prod
</t>
    </r>
    <r>
      <rPr/>
      <t xml:space="preserve">4. </t>
    </r>
    <r>
      <rPr>
        <color rgb="FF1155CC"/>
        <u/>
      </rPr>
      <t xml:space="preserve">KB - fix versioning logic
</t>
    </r>
    <r>
      <rPr/>
      <t xml:space="preserve">5. </t>
    </r>
    <r>
      <rPr>
        <color rgb="FF1155CC"/>
        <u/>
      </rPr>
      <t>KB - Add toppangravity.com to AI Apps Whitelist</t>
    </r>
  </si>
  <si>
    <r>
      <rPr>
        <rFont val="Arial"/>
        <color theme="1"/>
      </rPr>
      <t xml:space="preserve">1. Learn AWS AI practitioner (2 MD)
</t>
    </r>
    <r>
      <rPr>
        <rFont val="Arial"/>
        <strike/>
        <color theme="1"/>
      </rPr>
      <t xml:space="preserve">2. KB - Remove Log Out on public page
3. Elit AI Knowledge Base - setup UAT and Prod (1MD)
</t>
    </r>
    <r>
      <rPr>
        <rFont val="Arial"/>
        <color theme="1"/>
      </rPr>
      <t>4. KB - Fix versioning logic
5. KB - Add toppangravity.com to AI Apps Whitelist
6. KB - Automated Smoke Testing</t>
    </r>
  </si>
  <si>
    <t>1. in-progress
2. done
3. done
4. not started yet
5. post-poned
6. in-progress</t>
  </si>
  <si>
    <r>
      <rPr/>
      <t xml:space="preserve">1. Learn AWS AI Pracitioner
</t>
    </r>
    <r>
      <rPr>
        <strike/>
      </rPr>
      <t xml:space="preserve">2. </t>
    </r>
    <r>
      <rPr>
        <strike/>
        <color rgb="FF1155CC"/>
        <u/>
      </rPr>
      <t xml:space="preserve">KB - Remove Log Out on public page
</t>
    </r>
    <r>
      <rPr>
        <strike/>
      </rPr>
      <t xml:space="preserve">3. </t>
    </r>
    <r>
      <rPr>
        <strike/>
        <color rgb="FF1155CC"/>
        <u/>
      </rPr>
      <t xml:space="preserve">Elit AI KB - Setup UAT and Prod
</t>
    </r>
    <r>
      <rPr/>
      <t xml:space="preserve">4. </t>
    </r>
    <r>
      <rPr>
        <color rgb="FF1155CC"/>
        <u/>
      </rPr>
      <t xml:space="preserve">KB - fix versioning logic
</t>
    </r>
    <r>
      <rPr/>
      <t xml:space="preserve">5. </t>
    </r>
    <r>
      <rPr>
        <color rgb="FF1155CC"/>
        <u/>
      </rPr>
      <t xml:space="preserve">KB - Add toppangravity.com to AI Apps Whitelist
</t>
    </r>
    <r>
      <rPr/>
      <t xml:space="preserve">6. </t>
    </r>
    <r>
      <rPr>
        <color rgb="FF1155CC"/>
        <u/>
      </rPr>
      <t>KB - Automated Smoke Test</t>
    </r>
  </si>
  <si>
    <r>
      <rPr/>
      <t>1. Learn AWS AI practitioner (2 MD)</t>
    </r>
    <r>
      <rPr>
        <strike/>
      </rPr>
      <t xml:space="preserve">
</t>
    </r>
    <r>
      <rPr/>
      <t xml:space="preserve">2. KB - Fix versioning logic
3. KB - Add </t>
    </r>
    <r>
      <rPr>
        <color rgb="FF1155CC"/>
        <u/>
      </rPr>
      <t>toppangravity.com</t>
    </r>
    <r>
      <rPr/>
      <t xml:space="preserve"> to AI Apps Whitelist
4. KB - Automated Smoke Testing</t>
    </r>
  </si>
  <si>
    <t>1. in-progress
2. not started yet
3. in-progress
4. in-progress</t>
  </si>
  <si>
    <r>
      <rPr/>
      <t>1. Learn AWS AI Pracitioner</t>
    </r>
    <r>
      <rPr>
        <strike/>
        <color rgb="FF1155CC"/>
        <u/>
      </rPr>
      <t xml:space="preserve">
</t>
    </r>
    <r>
      <rPr/>
      <t xml:space="preserve">2. </t>
    </r>
    <r>
      <rPr>
        <color rgb="FF1155CC"/>
        <u/>
      </rPr>
      <t xml:space="preserve">KB - fix versioning logic
</t>
    </r>
    <r>
      <rPr/>
      <t xml:space="preserve">3. </t>
    </r>
    <r>
      <rPr>
        <color rgb="FF1155CC"/>
        <u/>
      </rPr>
      <t xml:space="preserve">KB - Add toppangravity.com to AI Apps Whitelist
</t>
    </r>
    <r>
      <rPr/>
      <t xml:space="preserve">4. </t>
    </r>
    <r>
      <rPr>
        <color rgb="FF1155CC"/>
        <u/>
      </rPr>
      <t>KB - Automated Smoke Test</t>
    </r>
  </si>
  <si>
    <r>
      <rPr/>
      <t>1. Learn AWS AI practitioner (2 MD)</t>
    </r>
    <r>
      <rPr>
        <strike/>
      </rPr>
      <t xml:space="preserve">
</t>
    </r>
    <r>
      <rPr/>
      <t xml:space="preserve">2. KB - Fix versioning logic
</t>
    </r>
    <r>
      <rPr>
        <strike/>
      </rPr>
      <t xml:space="preserve">3. KB - Add </t>
    </r>
    <r>
      <rPr>
        <strike/>
        <color rgb="FF1155CC"/>
        <u/>
      </rPr>
      <t>toppangravity.com</t>
    </r>
    <r>
      <rPr>
        <strike/>
      </rPr>
      <t xml:space="preserve"> to AI Apps Whitelist
</t>
    </r>
    <r>
      <rPr/>
      <t>4. KB - Automated Smoke Testing</t>
    </r>
  </si>
  <si>
    <t>1. in-progress
2. not started yet
3. done
4. in-progress</t>
  </si>
  <si>
    <r>
      <rPr/>
      <t>1. Learn AWS AI Pracitioner</t>
    </r>
    <r>
      <rPr>
        <strike/>
        <color rgb="FF1155CC"/>
        <u/>
      </rPr>
      <t xml:space="preserve">
</t>
    </r>
    <r>
      <rPr/>
      <t xml:space="preserve">2. </t>
    </r>
    <r>
      <rPr>
        <color rgb="FF1155CC"/>
        <u/>
      </rPr>
      <t xml:space="preserve">KB - fix versioning logic
</t>
    </r>
    <r>
      <rPr>
        <strike/>
      </rPr>
      <t xml:space="preserve">3. </t>
    </r>
    <r>
      <rPr>
        <strike/>
        <color rgb="FF1155CC"/>
        <u/>
      </rPr>
      <t xml:space="preserve">KB - Add toppangravity.com to AI Apps Whitelist
</t>
    </r>
    <r>
      <rPr/>
      <t xml:space="preserve">4. </t>
    </r>
    <r>
      <rPr>
        <color rgb="FF1155CC"/>
        <u/>
      </rPr>
      <t>KB - Automated Smoke Test</t>
    </r>
  </si>
  <si>
    <r>
      <rPr>
        <rFont val="Arial"/>
        <color theme="1"/>
      </rPr>
      <t>1. Learn AWS AI practitioner (2 MD)</t>
    </r>
    <r>
      <rPr>
        <rFont val="Arial"/>
        <strike/>
        <color theme="1"/>
      </rPr>
      <t xml:space="preserve">
</t>
    </r>
    <r>
      <rPr>
        <rFont val="Arial"/>
        <color theme="1"/>
      </rPr>
      <t>2. KB - Fix versioning logic
3. KB - Automated Smoke Testing</t>
    </r>
  </si>
  <si>
    <r>
      <rPr/>
      <t>1. Learn AWS AI Pracitioner</t>
    </r>
    <r>
      <rPr>
        <strike/>
        <color rgb="FF1155CC"/>
        <u/>
      </rPr>
      <t xml:space="preserve">
</t>
    </r>
    <r>
      <rPr/>
      <t xml:space="preserve">2. </t>
    </r>
    <r>
      <rPr>
        <color rgb="FF1155CC"/>
        <u/>
      </rPr>
      <t xml:space="preserve">KB - fix versioning logic
</t>
    </r>
    <r>
      <rPr/>
      <t xml:space="preserve">3. </t>
    </r>
    <r>
      <rPr>
        <color rgb="FF1155CC"/>
        <u/>
      </rPr>
      <t>KB - Automated Smoke Test</t>
    </r>
  </si>
  <si>
    <r>
      <rPr>
        <rFont val="Arial"/>
        <color theme="1"/>
      </rPr>
      <t>1. Learn AWS AI practitioner (2 MD)</t>
    </r>
    <r>
      <rPr>
        <rFont val="Arial"/>
        <strike/>
        <color theme="1"/>
      </rPr>
      <t xml:space="preserve">
</t>
    </r>
    <r>
      <rPr>
        <rFont val="Arial"/>
        <color theme="1"/>
      </rPr>
      <t>2. KB - Fix versioning logic
3. KB - Automated Smoke Testing</t>
    </r>
  </si>
  <si>
    <t>1. in-progress
2. not started yet
3. in-progress</t>
  </si>
  <si>
    <r>
      <rPr/>
      <t>1. Learn AWS AI Pracitioner</t>
    </r>
    <r>
      <rPr>
        <strike/>
        <color rgb="FF1155CC"/>
        <u/>
      </rPr>
      <t xml:space="preserve">
</t>
    </r>
    <r>
      <rPr/>
      <t xml:space="preserve">2. </t>
    </r>
    <r>
      <rPr>
        <color rgb="FF1155CC"/>
        <u/>
      </rPr>
      <t xml:space="preserve">KB - fix versioning logic
</t>
    </r>
    <r>
      <rPr/>
      <t xml:space="preserve">3. </t>
    </r>
    <r>
      <rPr>
        <color rgb="FF1155CC"/>
        <u/>
      </rPr>
      <t>KB - Automated Smoke Test</t>
    </r>
  </si>
  <si>
    <r>
      <rPr>
        <rFont val="Arial"/>
        <color theme="1"/>
      </rPr>
      <t>1. Learn AWS AI practitioner (2 MD)</t>
    </r>
    <r>
      <rPr>
        <rFont val="Arial"/>
        <strike/>
        <color theme="1"/>
      </rPr>
      <t xml:space="preserve">
</t>
    </r>
    <r>
      <rPr>
        <rFont val="Arial"/>
        <color theme="1"/>
      </rPr>
      <t>2. KB - Fix versioning logic
3. KB - Automated Smoke Testing</t>
    </r>
  </si>
  <si>
    <r>
      <rPr/>
      <t>1. Learn AWS AI Pracitioner</t>
    </r>
    <r>
      <rPr>
        <strike/>
        <color rgb="FF1155CC"/>
        <u/>
      </rPr>
      <t xml:space="preserve">
</t>
    </r>
    <r>
      <rPr/>
      <t xml:space="preserve">2. </t>
    </r>
    <r>
      <rPr>
        <color rgb="FF1155CC"/>
        <u/>
      </rPr>
      <t xml:space="preserve">KB - fix versioning logic
</t>
    </r>
    <r>
      <rPr/>
      <t xml:space="preserve">3. </t>
    </r>
    <r>
      <rPr>
        <color rgb="FF1155CC"/>
        <u/>
      </rPr>
      <t>KB - Automated Smoke Test</t>
    </r>
  </si>
  <si>
    <t>6-8 Oct 2025</t>
  </si>
  <si>
    <r>
      <rPr>
        <rFont val="Arial"/>
        <color theme="1"/>
      </rPr>
      <t>1. Learn AWS AI practitioner (2 MD)</t>
    </r>
    <r>
      <rPr>
        <rFont val="Arial"/>
        <strike/>
        <color theme="1"/>
      </rPr>
      <t xml:space="preserve">
</t>
    </r>
    <r>
      <rPr>
        <rFont val="Arial"/>
        <color theme="1"/>
      </rPr>
      <t>2. KB - Fix versioning logic
3. KB - Automated Smoke Testing</t>
    </r>
  </si>
  <si>
    <r>
      <rPr/>
      <t>1. Learn AWS AI Pracitioner</t>
    </r>
    <r>
      <rPr>
        <strike/>
        <color rgb="FF1155CC"/>
        <u/>
      </rPr>
      <t xml:space="preserve">
</t>
    </r>
    <r>
      <rPr/>
      <t xml:space="preserve">2. </t>
    </r>
    <r>
      <rPr>
        <color rgb="FF1155CC"/>
        <u/>
      </rPr>
      <t xml:space="preserve">KB - fix versioning logic
</t>
    </r>
    <r>
      <rPr/>
      <t xml:space="preserve">3. </t>
    </r>
    <r>
      <rPr>
        <color rgb="FF1155CC"/>
        <u/>
      </rPr>
      <t>KB - Automated Smoke Test</t>
    </r>
  </si>
  <si>
    <r>
      <rPr>
        <rFont val="Arial"/>
        <color theme="1"/>
      </rPr>
      <t>1. Learn AWS AI practitioner (2 MD)</t>
    </r>
    <r>
      <rPr>
        <rFont val="Arial"/>
        <strike/>
        <color theme="1"/>
      </rPr>
      <t xml:space="preserve">
</t>
    </r>
    <r>
      <rPr>
        <rFont val="Arial"/>
        <color theme="1"/>
      </rPr>
      <t>2. KB - Fix versioning logic
3. KB - Automated Smoke Testing</t>
    </r>
  </si>
  <si>
    <r>
      <rPr/>
      <t>1. Learn AWS AI Pracitioner</t>
    </r>
    <r>
      <rPr>
        <strike/>
        <color rgb="FF1155CC"/>
        <u/>
      </rPr>
      <t xml:space="preserve">
</t>
    </r>
    <r>
      <rPr/>
      <t xml:space="preserve">2. </t>
    </r>
    <r>
      <rPr>
        <color rgb="FF1155CC"/>
        <u/>
      </rPr>
      <t xml:space="preserve">KB - fix versioning logic
</t>
    </r>
    <r>
      <rPr/>
      <t xml:space="preserve">3. </t>
    </r>
    <r>
      <rPr>
        <color rgb="FF1155CC"/>
        <u/>
      </rPr>
      <t>KB - Automated Smoke Test</t>
    </r>
  </si>
  <si>
    <r>
      <rPr>
        <rFont val="Arial"/>
        <color theme="1"/>
      </rPr>
      <t>1. Learn AWS AI practitioner (2 MD)</t>
    </r>
    <r>
      <rPr>
        <rFont val="Arial"/>
        <strike/>
        <color theme="1"/>
      </rPr>
      <t xml:space="preserve">
</t>
    </r>
    <r>
      <rPr>
        <rFont val="Arial"/>
        <color theme="1"/>
      </rPr>
      <t>2. KB - Fix versioning logic
3. KB - Automated Smoke Testing
4. Implement daily restart for AI Apps on AWS &amp; Azure Env</t>
    </r>
  </si>
  <si>
    <r>
      <rPr/>
      <t>1. Learn AWS AI Pracitioner</t>
    </r>
    <r>
      <rPr>
        <strike/>
        <color rgb="FF1155CC"/>
        <u/>
      </rPr>
      <t xml:space="preserve">
</t>
    </r>
    <r>
      <rPr/>
      <t xml:space="preserve">2. </t>
    </r>
    <r>
      <rPr>
        <color rgb="FF1155CC"/>
        <u/>
      </rPr>
      <t xml:space="preserve">KB - fix versioning logic
</t>
    </r>
    <r>
      <rPr/>
      <t xml:space="preserve">3. </t>
    </r>
    <r>
      <rPr>
        <color rgb="FF1155CC"/>
        <u/>
      </rPr>
      <t xml:space="preserve">KB - Automated Smoke Test
</t>
    </r>
    <r>
      <rPr/>
      <t xml:space="preserve">4. </t>
    </r>
    <r>
      <rPr>
        <color rgb="FF1155CC"/>
        <u/>
      </rPr>
      <t>Implement daily restart for AI Apps on AWS &amp; Azure Env</t>
    </r>
  </si>
  <si>
    <r>
      <rPr>
        <rFont val="Arial"/>
        <color theme="1"/>
      </rPr>
      <t>1. Learn AWS AI practitioner (2 MD)</t>
    </r>
    <r>
      <rPr>
        <rFont val="Arial"/>
        <strike/>
        <color theme="1"/>
      </rPr>
      <t xml:space="preserve">
</t>
    </r>
    <r>
      <rPr>
        <rFont val="Arial"/>
        <color theme="1"/>
      </rPr>
      <t>2. KB - Fix versioning logic
3. KB - Automated Smoke Testing
4. Implement daily restart for AI Apps on AWS &amp; Azure Env</t>
    </r>
  </si>
  <si>
    <t>1. in-progress
2. cancel
3. in-progress
4. done</t>
  </si>
  <si>
    <r>
      <rPr/>
      <t>1. Learn AWS AI Pracitioner</t>
    </r>
    <r>
      <rPr>
        <strike/>
        <color rgb="FF1155CC"/>
        <u/>
      </rPr>
      <t xml:space="preserve">
</t>
    </r>
    <r>
      <rPr/>
      <t xml:space="preserve">2. </t>
    </r>
    <r>
      <rPr>
        <color rgb="FF1155CC"/>
        <u/>
      </rPr>
      <t xml:space="preserve">KB - fix versioning logic
</t>
    </r>
    <r>
      <rPr/>
      <t xml:space="preserve">3. </t>
    </r>
    <r>
      <rPr>
        <color rgb="FF1155CC"/>
        <u/>
      </rPr>
      <t xml:space="preserve">KB - Automated Smoke Test
</t>
    </r>
    <r>
      <rPr/>
      <t xml:space="preserve">4. </t>
    </r>
    <r>
      <rPr>
        <color rgb="FF1155CC"/>
        <u/>
      </rPr>
      <t>Implement daily restart for AI Apps on AWS &amp; Azure Env</t>
    </r>
  </si>
  <si>
    <r>
      <rPr>
        <rFont val="Arial"/>
        <color theme="1"/>
      </rPr>
      <t>1. Learn AWS AI practitioner (2 MD)</t>
    </r>
    <r>
      <rPr>
        <rFont val="Arial"/>
        <strike/>
        <color theme="1"/>
      </rPr>
      <t xml:space="preserve">
</t>
    </r>
    <r>
      <rPr>
        <rFont val="Arial"/>
        <color theme="1"/>
      </rPr>
      <t>2. KB - Automated Smoke Testing</t>
    </r>
  </si>
  <si>
    <r>
      <rPr/>
      <t>1. Learn AWS AI Pracitioner</t>
    </r>
    <r>
      <rPr>
        <strike/>
        <color rgb="FF1155CC"/>
        <u/>
      </rPr>
      <t xml:space="preserve">
</t>
    </r>
    <r>
      <rPr/>
      <t xml:space="preserve">2. </t>
    </r>
    <r>
      <rPr>
        <color rgb="FF1155CC"/>
        <u/>
      </rPr>
      <t>KB - Automated Smoke Test</t>
    </r>
  </si>
  <si>
    <r>
      <rPr>
        <rFont val="Arial"/>
        <color theme="1"/>
      </rPr>
      <t>1. Learn AWS AI practitioner (2 MD)</t>
    </r>
    <r>
      <rPr>
        <rFont val="Arial"/>
        <strike/>
        <color theme="1"/>
      </rPr>
      <t xml:space="preserve">
</t>
    </r>
    <r>
      <rPr>
        <rFont val="Arial"/>
        <color theme="1"/>
      </rPr>
      <t>2. KB - Automated Smoke Testing</t>
    </r>
  </si>
  <si>
    <r>
      <rPr/>
      <t>1. Learn AWS AI Pracitioner</t>
    </r>
    <r>
      <rPr>
        <strike/>
        <color rgb="FF1155CC"/>
        <u/>
      </rPr>
      <t xml:space="preserve">
</t>
    </r>
    <r>
      <rPr/>
      <t xml:space="preserve">2. </t>
    </r>
    <r>
      <rPr>
        <color rgb="FF1155CC"/>
        <u/>
      </rPr>
      <t>KB - Automated Smoke Test</t>
    </r>
  </si>
  <si>
    <r>
      <rPr>
        <rFont val="Arial"/>
        <color theme="1"/>
      </rPr>
      <t>1. Learn AWS AI practitioner (2 MD)</t>
    </r>
    <r>
      <rPr>
        <rFont val="Arial"/>
        <strike/>
        <color theme="1"/>
      </rPr>
      <t xml:space="preserve">
</t>
    </r>
    <r>
      <rPr>
        <rFont val="Arial"/>
        <color theme="1"/>
      </rPr>
      <t>2. KB - Automated Smoke Testing</t>
    </r>
  </si>
  <si>
    <r>
      <rPr/>
      <t>1. Learn AWS AI Pracitioner</t>
    </r>
    <r>
      <rPr>
        <strike/>
        <color rgb="FF1155CC"/>
        <u/>
      </rPr>
      <t xml:space="preserve">
</t>
    </r>
    <r>
      <rPr/>
      <t xml:space="preserve">2. </t>
    </r>
    <r>
      <rPr>
        <color rgb="FF1155CC"/>
        <u/>
      </rPr>
      <t>KB - Automated Smoke Test</t>
    </r>
  </si>
  <si>
    <r>
      <rPr>
        <rFont val="Arial"/>
        <color theme="1"/>
      </rPr>
      <t>1. Learn AWS AI practitioner (2 MD)</t>
    </r>
    <r>
      <rPr>
        <rFont val="Arial"/>
        <strike/>
        <color theme="1"/>
      </rPr>
      <t xml:space="preserve">
</t>
    </r>
    <r>
      <rPr>
        <rFont val="Arial"/>
        <color theme="1"/>
      </rPr>
      <t>2. KB - Automated Smoke Testing
3. SLM skill enablement</t>
    </r>
  </si>
  <si>
    <r>
      <rPr/>
      <t>1. Learn AWS AI Pracitioner</t>
    </r>
    <r>
      <rPr>
        <strike/>
        <color rgb="FF1155CC"/>
        <u/>
      </rPr>
      <t xml:space="preserve">
</t>
    </r>
    <r>
      <rPr/>
      <t xml:space="preserve">2. </t>
    </r>
    <r>
      <rPr>
        <color rgb="FF1155CC"/>
        <u/>
      </rPr>
      <t xml:space="preserve">KB - Automated Smoke Test
</t>
    </r>
    <r>
      <rPr/>
      <t xml:space="preserve">3. </t>
    </r>
    <r>
      <rPr>
        <color rgb="FF1155CC"/>
        <u/>
      </rPr>
      <t>SLM skill Enablement</t>
    </r>
  </si>
  <si>
    <r>
      <rPr>
        <rFont val="Arial"/>
        <color theme="1"/>
      </rPr>
      <t>1. Learn AWS AI practitioner (2 MD)</t>
    </r>
    <r>
      <rPr>
        <rFont val="Arial"/>
        <strike/>
        <color theme="1"/>
      </rPr>
      <t xml:space="preserve">
</t>
    </r>
    <r>
      <rPr>
        <rFont val="Arial"/>
        <color theme="1"/>
      </rPr>
      <t>2. KB - Automated Smoke Testing
3. SLM skill enablement</t>
    </r>
  </si>
  <si>
    <r>
      <rPr/>
      <t>1. Learn AWS AI Pracitioner</t>
    </r>
    <r>
      <rPr>
        <strike/>
        <color rgb="FF1155CC"/>
        <u/>
      </rPr>
      <t xml:space="preserve">
</t>
    </r>
    <r>
      <rPr/>
      <t xml:space="preserve">2. </t>
    </r>
    <r>
      <rPr>
        <color rgb="FF1155CC"/>
        <u/>
      </rPr>
      <t xml:space="preserve">KB - Automated Smoke Test
</t>
    </r>
    <r>
      <rPr/>
      <t xml:space="preserve">3. </t>
    </r>
    <r>
      <rPr>
        <color rgb="FF1155CC"/>
        <u/>
      </rPr>
      <t>SLM skill Enablement</t>
    </r>
  </si>
  <si>
    <r>
      <rPr>
        <rFont val="Arial"/>
        <color theme="1"/>
      </rPr>
      <t>1. Learn AWS AI practitioner (2 MD)</t>
    </r>
    <r>
      <rPr>
        <rFont val="Arial"/>
        <strike/>
        <color theme="1"/>
      </rPr>
      <t xml:space="preserve">
</t>
    </r>
    <r>
      <rPr>
        <rFont val="Arial"/>
        <color theme="1"/>
      </rPr>
      <t>2. KB - Automated Smoke Testing
3. SLM skill enablement</t>
    </r>
  </si>
  <si>
    <r>
      <rPr/>
      <t>1. Learn AWS AI Pracitioner</t>
    </r>
    <r>
      <rPr>
        <strike/>
        <color rgb="FF1155CC"/>
        <u/>
      </rPr>
      <t xml:space="preserve">
</t>
    </r>
    <r>
      <rPr/>
      <t xml:space="preserve">2. </t>
    </r>
    <r>
      <rPr>
        <color rgb="FF1155CC"/>
        <u/>
      </rPr>
      <t xml:space="preserve">KB - Automated Smoke Test
</t>
    </r>
    <r>
      <rPr/>
      <t xml:space="preserve">3. </t>
    </r>
    <r>
      <rPr>
        <color rgb="FF1155CC"/>
        <u/>
      </rPr>
      <t>SLM skill Enablement</t>
    </r>
  </si>
  <si>
    <r>
      <rPr>
        <rFont val="Arial"/>
        <color theme="1"/>
      </rPr>
      <t>1. Learn AWS AI practitioner (2 MD)</t>
    </r>
    <r>
      <rPr>
        <rFont val="Arial"/>
        <strike/>
        <color theme="1"/>
      </rPr>
      <t xml:space="preserve">
</t>
    </r>
    <r>
      <rPr>
        <rFont val="Arial"/>
        <color theme="1"/>
      </rPr>
      <t>2. KB - Automated Smoke Testing
3. SLM skill enablement</t>
    </r>
  </si>
  <si>
    <r>
      <rPr/>
      <t>1. Learn AWS AI Pracitioner</t>
    </r>
    <r>
      <rPr>
        <strike/>
        <color rgb="FF1155CC"/>
        <u/>
      </rPr>
      <t xml:space="preserve">
</t>
    </r>
    <r>
      <rPr/>
      <t xml:space="preserve">2. </t>
    </r>
    <r>
      <rPr>
        <color rgb="FF1155CC"/>
        <u/>
      </rPr>
      <t xml:space="preserve">KB - Automated Smoke Test
</t>
    </r>
    <r>
      <rPr/>
      <t xml:space="preserve">3. </t>
    </r>
    <r>
      <rPr>
        <color rgb="FF1155CC"/>
        <u/>
      </rPr>
      <t>SLM skill Enablement</t>
    </r>
  </si>
  <si>
    <r>
      <rPr>
        <rFont val="Arial"/>
        <color theme="1"/>
      </rPr>
      <t>1. Learn AWS AI practitioner (2 MD)</t>
    </r>
    <r>
      <rPr>
        <rFont val="Arial"/>
        <strike/>
        <color theme="1"/>
      </rPr>
      <t xml:space="preserve">
</t>
    </r>
    <r>
      <rPr>
        <rFont val="Arial"/>
        <color theme="1"/>
      </rPr>
      <t>2. KB - Automated Smoke Testing
3. SLM skill enablement</t>
    </r>
  </si>
  <si>
    <r>
      <rPr/>
      <t>1. Learn AWS AI Pracitioner</t>
    </r>
    <r>
      <rPr>
        <strike/>
        <color rgb="FF1155CC"/>
        <u/>
      </rPr>
      <t xml:space="preserve">
</t>
    </r>
    <r>
      <rPr/>
      <t xml:space="preserve">2. </t>
    </r>
    <r>
      <rPr>
        <color rgb="FF1155CC"/>
        <u/>
      </rPr>
      <t xml:space="preserve">KB - Automated Smoke Test
</t>
    </r>
    <r>
      <rPr/>
      <t xml:space="preserve">3. </t>
    </r>
    <r>
      <rPr>
        <color rgb="FF1155CC"/>
        <u/>
      </rPr>
      <t>SLM skill Enablement</t>
    </r>
  </si>
  <si>
    <r>
      <rPr>
        <rFont val="Arial"/>
        <color theme="1"/>
      </rPr>
      <t>1. Learn AWS AI practitioner (2 MD)</t>
    </r>
    <r>
      <rPr>
        <rFont val="Arial"/>
        <strike/>
        <color theme="1"/>
      </rPr>
      <t xml:space="preserve">
</t>
    </r>
    <r>
      <rPr>
        <rFont val="Arial"/>
        <color theme="1"/>
      </rPr>
      <t>2. KB - Automated Smoke Testing
3. SLM skill enablement</t>
    </r>
  </si>
  <si>
    <r>
      <rPr/>
      <t>1. Learn AWS AI Pracitioner</t>
    </r>
    <r>
      <rPr>
        <strike/>
        <color rgb="FF1155CC"/>
        <u/>
      </rPr>
      <t xml:space="preserve">
</t>
    </r>
    <r>
      <rPr/>
      <t xml:space="preserve">2. </t>
    </r>
    <r>
      <rPr>
        <color rgb="FF1155CC"/>
        <u/>
      </rPr>
      <t xml:space="preserve">KB - Automated Smoke Test
</t>
    </r>
    <r>
      <rPr/>
      <t xml:space="preserve">3. </t>
    </r>
    <r>
      <rPr>
        <color rgb="FF1155CC"/>
        <u/>
      </rPr>
      <t>SLM skill Enablement</t>
    </r>
  </si>
  <si>
    <r>
      <rPr>
        <rFont val="Arial"/>
        <color theme="1"/>
      </rPr>
      <t>1. Learn AWS AI practitioner (2 MD)</t>
    </r>
    <r>
      <rPr>
        <rFont val="Arial"/>
        <strike/>
        <color theme="1"/>
      </rPr>
      <t xml:space="preserve">
</t>
    </r>
    <r>
      <rPr>
        <rFont val="Arial"/>
        <color theme="1"/>
      </rPr>
      <t>2. KB - Automated Smoke Testing
3. SLM skill enablement</t>
    </r>
  </si>
  <si>
    <r>
      <rPr/>
      <t>1. Learn AWS AI Pracitioner</t>
    </r>
    <r>
      <rPr>
        <strike/>
        <color rgb="FF1155CC"/>
        <u/>
      </rPr>
      <t xml:space="preserve">
</t>
    </r>
    <r>
      <rPr/>
      <t xml:space="preserve">2. </t>
    </r>
    <r>
      <rPr>
        <color rgb="FF1155CC"/>
        <u/>
      </rPr>
      <t xml:space="preserve">KB - Automated Smoke Test
</t>
    </r>
    <r>
      <rPr/>
      <t xml:space="preserve">3. </t>
    </r>
    <r>
      <rPr>
        <color rgb="FF1155CC"/>
        <u/>
      </rPr>
      <t>SLM skill Enablement</t>
    </r>
  </si>
  <si>
    <t>1. Learn AWS AI practitioner (2 MD)
2. SLM skill enablement</t>
  </si>
  <si>
    <r>
      <rPr/>
      <t>1. Learn AWS AI Pracitioner</t>
    </r>
    <r>
      <rPr>
        <strike/>
        <color rgb="FF1155CC"/>
        <u/>
      </rPr>
      <t xml:space="preserve">
</t>
    </r>
    <r>
      <rPr/>
      <t xml:space="preserve">2. </t>
    </r>
    <r>
      <rPr>
        <color rgb="FF1155CC"/>
        <u/>
      </rPr>
      <t>SLM skill Enablement</t>
    </r>
  </si>
  <si>
    <r>
      <rPr/>
      <t>1. Learn AWS AI Pracitioner</t>
    </r>
    <r>
      <rPr>
        <color rgb="FF1155CC"/>
        <u/>
      </rPr>
      <t xml:space="preserve">
</t>
    </r>
    <r>
      <rPr/>
      <t xml:space="preserve">2. </t>
    </r>
    <r>
      <rPr>
        <color rgb="FF1155CC"/>
        <u/>
      </rPr>
      <t>SLM skill Enablement</t>
    </r>
  </si>
  <si>
    <t>1. SLM skill enablement</t>
  </si>
  <si>
    <r>
      <rPr/>
      <t xml:space="preserve">1. </t>
    </r>
    <r>
      <rPr>
        <color rgb="FF1155CC"/>
        <u/>
      </rPr>
      <t>SLM skill Enablement</t>
    </r>
  </si>
  <si>
    <r>
      <rPr/>
      <t xml:space="preserve">1. </t>
    </r>
    <r>
      <rPr>
        <color rgb="FF1155CC"/>
        <u/>
      </rPr>
      <t>SLM skill Enablement</t>
    </r>
  </si>
  <si>
    <r>
      <rPr/>
      <t xml:space="preserve">1. </t>
    </r>
    <r>
      <rPr>
        <color rgb="FF1155CC"/>
        <u/>
      </rPr>
      <t>SLM skill Enablement</t>
    </r>
  </si>
  <si>
    <r>
      <rPr/>
      <t xml:space="preserve">1. </t>
    </r>
    <r>
      <rPr>
        <color rgb="FF1155CC"/>
        <u/>
      </rPr>
      <t>SLM skill Enablement</t>
    </r>
  </si>
  <si>
    <r>
      <rPr/>
      <t xml:space="preserve">1. </t>
    </r>
    <r>
      <rPr>
        <color rgb="FF1155CC"/>
        <u/>
      </rPr>
      <t>SLM skill Enablement</t>
    </r>
  </si>
  <si>
    <t>1. create dynamic multiple agent for create dashboard</t>
  </si>
  <si>
    <r>
      <rPr/>
      <t xml:space="preserve">1. </t>
    </r>
    <r>
      <rPr>
        <color rgb="FF1155CC"/>
        <u/>
      </rPr>
      <t>create dynamic multiple agent for create dashboard</t>
    </r>
  </si>
  <si>
    <r>
      <rPr/>
      <t xml:space="preserve">1. </t>
    </r>
    <r>
      <rPr>
        <color rgb="FF1155CC"/>
        <u/>
      </rPr>
      <t>create dynamic multiple agent for create dashboard</t>
    </r>
  </si>
  <si>
    <r>
      <rPr/>
      <t xml:space="preserve">1. </t>
    </r>
    <r>
      <rPr>
        <color rgb="FF1155CC"/>
        <u/>
      </rPr>
      <t>create dynamic multiple agent for create dashboard</t>
    </r>
  </si>
  <si>
    <r>
      <rPr/>
      <t xml:space="preserve">1. </t>
    </r>
    <r>
      <rPr>
        <color rgb="FF1155CC"/>
        <u/>
      </rPr>
      <t>create dynamic multiple agent for create dashboard</t>
    </r>
  </si>
  <si>
    <r>
      <rPr/>
      <t xml:space="preserve">1. </t>
    </r>
    <r>
      <rPr>
        <color rgb="FF1155CC"/>
        <u/>
      </rPr>
      <t>create dynamic multiple agent for create dashboard</t>
    </r>
  </si>
  <si>
    <t>1. QA Agent – Refine Specs generated based on human feedback
2. AWS AI Practitioner Certification</t>
  </si>
  <si>
    <r>
      <rPr>
        <color rgb="FF434343"/>
        <u/>
      </rPr>
      <t xml:space="preserve">Taiga #88
</t>
    </r>
    <r>
      <rPr>
        <color rgb="FF1155CC"/>
        <u/>
      </rPr>
      <t>Taiga #59</t>
    </r>
  </si>
  <si>
    <r>
      <rPr>
        <color rgb="FF434343"/>
        <u/>
      </rPr>
      <t xml:space="preserve">Taiga #88
</t>
    </r>
    <r>
      <rPr>
        <color rgb="FF1155CC"/>
        <u/>
      </rPr>
      <t>Taiga #59</t>
    </r>
  </si>
  <si>
    <t>1. QA Agent – Refine Specs generated based on human feedback
2. AWS AI Practitioner Certification
3. QA Azure Deployment</t>
  </si>
  <si>
    <t>1. Ready for Test
2. In Progress
3. In Progress</t>
  </si>
  <si>
    <r>
      <rPr>
        <color rgb="FF434343"/>
        <u/>
      </rPr>
      <t xml:space="preserve">Taiga #88
</t>
    </r>
    <r>
      <rPr>
        <color rgb="FF1155CC"/>
        <u/>
      </rPr>
      <t>Taiga #59</t>
    </r>
  </si>
  <si>
    <r>
      <rPr>
        <rFont val="Arial"/>
        <color theme="1"/>
      </rPr>
      <t>1. QA Agent – Refine Specs generated based on human feedback</t>
    </r>
    <r>
      <rPr>
        <rFont val="Arial"/>
        <strike/>
        <color theme="1"/>
      </rPr>
      <t xml:space="preserve">
</t>
    </r>
    <r>
      <rPr>
        <rFont val="Arial"/>
        <color theme="1"/>
      </rPr>
      <t>- Refine QA UI\UX feedback feature
2. AWS AI Practitioner Certification
3. QA Azure Deployment</t>
    </r>
  </si>
  <si>
    <r>
      <rPr>
        <color rgb="FF434343"/>
        <u/>
      </rPr>
      <t xml:space="preserve">Taiga #164
Taiga #88
</t>
    </r>
    <r>
      <rPr>
        <color rgb="FF1155CC"/>
        <u/>
      </rPr>
      <t>Taiga #59</t>
    </r>
  </si>
  <si>
    <r>
      <rPr>
        <rFont val="Arial"/>
        <color theme="1"/>
      </rPr>
      <t>1. QA Agent – Refine Specs generated based on human feedback</t>
    </r>
    <r>
      <rPr>
        <rFont val="Arial"/>
        <strike/>
        <color theme="1"/>
      </rPr>
      <t xml:space="preserve">
</t>
    </r>
    <r>
      <rPr>
        <rFont val="Arial"/>
        <color theme="1"/>
      </rPr>
      <t>- Refine QA UI\UX feedback feature
2. AWS AI Practitioner Certification
3. QA Azure Deployment</t>
    </r>
  </si>
  <si>
    <t>1. Completed
2. In Progress
3. Completed</t>
  </si>
  <si>
    <r>
      <rPr>
        <color rgb="FF434343"/>
        <u/>
      </rPr>
      <t xml:space="preserve">Taiga #88
</t>
    </r>
    <r>
      <rPr>
        <color rgb="FF1155CC"/>
        <u/>
      </rPr>
      <t>Taiga #59</t>
    </r>
  </si>
  <si>
    <r>
      <rPr>
        <rFont val="Arial"/>
        <strike/>
        <color theme="1"/>
      </rPr>
      <t xml:space="preserve">QA Agent – Refine Specs generated based on human feedback
</t>
    </r>
    <r>
      <rPr>
        <rFont val="Arial"/>
        <color theme="1"/>
      </rPr>
      <t>1. AWS AI Practitioner Certification</t>
    </r>
  </si>
  <si>
    <t>1. In Progress</t>
  </si>
  <si>
    <r>
      <rPr>
        <color rgb="FF434343"/>
        <u/>
      </rPr>
      <t xml:space="preserve">Taiga #88
</t>
    </r>
    <r>
      <rPr>
        <color rgb="FF1155CC"/>
        <u/>
      </rPr>
      <t>Taiga #59</t>
    </r>
  </si>
  <si>
    <r>
      <rPr>
        <rFont val="Arial"/>
        <strike/>
        <color theme="1"/>
      </rPr>
      <t xml:space="preserve">QA Agent – Refine Specs generated based on human feedback
</t>
    </r>
    <r>
      <rPr>
        <rFont val="Arial"/>
        <color theme="1"/>
      </rPr>
      <t>1. AWS AI Practitioner Certification</t>
    </r>
  </si>
  <si>
    <r>
      <rPr>
        <color rgb="FF434343"/>
        <u/>
      </rPr>
      <t xml:space="preserve">Taiga #88
</t>
    </r>
    <r>
      <rPr>
        <color rgb="FF1155CC"/>
        <u/>
      </rPr>
      <t>Taiga #59</t>
    </r>
  </si>
  <si>
    <r>
      <rPr>
        <rFont val="Arial"/>
        <strike/>
        <color theme="1"/>
      </rPr>
      <t xml:space="preserve">QA Agent – Refine Specs generated based on human feedback
</t>
    </r>
    <r>
      <rPr>
        <rFont val="Arial"/>
        <color theme="1"/>
      </rPr>
      <t>1. AWS AI Practitioner Certification</t>
    </r>
  </si>
  <si>
    <r>
      <rPr>
        <color rgb="FF434343"/>
        <u/>
      </rPr>
      <t xml:space="preserve">Taiga #88
</t>
    </r>
    <r>
      <rPr>
        <color rgb="FF1155CC"/>
        <u/>
      </rPr>
      <t>Taiga #59</t>
    </r>
  </si>
  <si>
    <r>
      <rPr>
        <rFont val="Arial"/>
        <strike/>
        <color theme="1"/>
      </rPr>
      <t xml:space="preserve">QA Agent – Refine Specs generated based on human feedback
</t>
    </r>
    <r>
      <rPr>
        <rFont val="Arial"/>
        <color theme="1"/>
      </rPr>
      <t>1. AWS AI Practitioner Certification</t>
    </r>
  </si>
  <si>
    <r>
      <rPr>
        <color rgb="FF434343"/>
        <u/>
      </rPr>
      <t xml:space="preserve">Taiga #88
</t>
    </r>
    <r>
      <rPr>
        <color rgb="FF1155CC"/>
        <u/>
      </rPr>
      <t>Taiga #59</t>
    </r>
  </si>
  <si>
    <r>
      <rPr>
        <rFont val="Arial"/>
        <strike/>
        <color theme="1"/>
      </rPr>
      <t xml:space="preserve">QA Agent – Refine Specs generated based on human feedback
</t>
    </r>
    <r>
      <rPr>
        <rFont val="Arial"/>
        <color theme="1"/>
      </rPr>
      <t>1. AWS AI Practitioner Certification</t>
    </r>
  </si>
  <si>
    <r>
      <rPr>
        <color rgb="FF434343"/>
        <u/>
      </rPr>
      <t xml:space="preserve">Taiga #88
</t>
    </r>
    <r>
      <rPr>
        <color rgb="FF1155CC"/>
        <u/>
      </rPr>
      <t>Taiga #59</t>
    </r>
  </si>
  <si>
    <t>1. Implement CI/CD MOH HELPDESK FE AWS</t>
  </si>
  <si>
    <t>CI/CD Setup</t>
  </si>
  <si>
    <t>1. Implement CI/CD MOH HELPDESK FE AWS
2. UI/UX R5 MOH HELPDESK</t>
  </si>
  <si>
    <t>Taiga #165</t>
  </si>
  <si>
    <r>
      <rPr>
        <rFont val="Arial"/>
        <strike/>
        <color theme="1"/>
      </rPr>
      <t>1. Implement CI/CD MOH HELPDESK FE AWS</t>
    </r>
    <r>
      <rPr>
        <rFont val="Arial"/>
        <color theme="1"/>
      </rPr>
      <t xml:space="preserve">
</t>
    </r>
    <r>
      <rPr>
        <rFont val="Arial"/>
        <strike/>
        <color theme="1"/>
      </rPr>
      <t xml:space="preserve">2. UI/UX R5 MOH HELPDESK
</t>
    </r>
    <r>
      <rPr>
        <rFont val="Arial"/>
        <color theme="1"/>
      </rPr>
      <t xml:space="preserve">3. MOH HELPDESK: Implement Multilingual
</t>
    </r>
    <r>
      <rPr>
        <rFont val="Arial"/>
        <strike/>
        <color theme="1"/>
      </rPr>
      <t>4. QA AI Agent: Implement Multilingual</t>
    </r>
  </si>
  <si>
    <t>1. Completed
2. Completed
3. In Progress
4. On Hold</t>
  </si>
  <si>
    <t>Taiga #174</t>
  </si>
  <si>
    <r>
      <rPr>
        <rFont val="Arial"/>
        <strike/>
        <color theme="1"/>
      </rPr>
      <t>1. MOH HELPDESK: Implement Multilingual</t>
    </r>
    <r>
      <rPr>
        <rFont val="Arial"/>
        <color theme="1"/>
      </rPr>
      <t xml:space="preserve">
2. QA AI Agent: Implement Multilingual</t>
    </r>
  </si>
  <si>
    <t>1. Completed
2. In Progress</t>
  </si>
  <si>
    <t>Taiga #175</t>
  </si>
  <si>
    <t>1. QA AI Agent: Implement Multilingual</t>
  </si>
  <si>
    <r>
      <rPr>
        <rFont val="Arial"/>
        <color theme="1"/>
      </rPr>
      <t xml:space="preserve">1. QA AI Agent: Refine test cases result
</t>
    </r>
    <r>
      <rPr>
        <rFont val="Arial"/>
        <strike/>
        <color theme="1"/>
      </rPr>
      <t>2. AWS AI Practitioner Certification</t>
    </r>
  </si>
  <si>
    <r>
      <rPr>
        <rFont val="Arial"/>
        <color theme="1"/>
      </rPr>
      <t xml:space="preserve">1. In Progress
</t>
    </r>
    <r>
      <rPr>
        <rFont val="Arial"/>
        <strike/>
        <color theme="1"/>
      </rPr>
      <t>2. In Progress</t>
    </r>
  </si>
  <si>
    <t xml:space="preserve">Taiga #177
Taiga #59
</t>
  </si>
  <si>
    <r>
      <rPr>
        <rFont val="Arial"/>
        <color theme="1"/>
      </rPr>
      <t xml:space="preserve">1. QA AI Agent: Refine test cases result
</t>
    </r>
    <r>
      <rPr>
        <rFont val="Arial"/>
        <strike/>
        <color theme="1"/>
      </rPr>
      <t>2. AWS AI Practitioner Certification</t>
    </r>
  </si>
  <si>
    <r>
      <rPr>
        <rFont val="Arial"/>
        <color theme="1"/>
      </rPr>
      <t xml:space="preserve">1. In Progress
</t>
    </r>
    <r>
      <rPr>
        <rFont val="Arial"/>
        <strike/>
        <color theme="1"/>
      </rPr>
      <t>2. In Progress</t>
    </r>
  </si>
  <si>
    <r>
      <rPr>
        <rFont val="Arial"/>
        <color theme="1"/>
      </rPr>
      <t xml:space="preserve">1. QA AI Agent: Refine test cases result
</t>
    </r>
    <r>
      <rPr>
        <rFont val="Arial"/>
        <strike/>
        <color theme="1"/>
      </rPr>
      <t>2. AWS AI Practitioner Certification</t>
    </r>
  </si>
  <si>
    <r>
      <rPr>
        <rFont val="Arial"/>
        <color theme="1"/>
      </rPr>
      <t xml:space="preserve">1. In Progress
</t>
    </r>
    <r>
      <rPr>
        <rFont val="Arial"/>
        <strike/>
        <color theme="1"/>
      </rPr>
      <t>2. In Progress</t>
    </r>
  </si>
  <si>
    <r>
      <rPr>
        <rFont val="Arial"/>
        <color theme="1"/>
      </rPr>
      <t xml:space="preserve">1. QA AI Agent: Refine test cases result
</t>
    </r>
    <r>
      <rPr>
        <rFont val="Arial"/>
        <strike/>
        <color theme="1"/>
      </rPr>
      <t>2. AWS AI Practitioner Certification</t>
    </r>
  </si>
  <si>
    <r>
      <rPr>
        <rFont val="Arial"/>
        <color theme="1"/>
      </rPr>
      <t xml:space="preserve">1. In Progress
</t>
    </r>
    <r>
      <rPr>
        <rFont val="Arial"/>
        <strike/>
        <color theme="1"/>
      </rPr>
      <t>2. In Progress</t>
    </r>
  </si>
  <si>
    <r>
      <rPr>
        <rFont val="Arial"/>
        <color theme="1"/>
      </rPr>
      <t xml:space="preserve">1. QA AI Agent: Refine test cases result
</t>
    </r>
    <r>
      <rPr>
        <rFont val="Arial"/>
        <strike/>
        <color theme="1"/>
      </rPr>
      <t xml:space="preserve">2. AWS AI Practitioner Certification
</t>
    </r>
    <r>
      <rPr>
        <rFont val="Arial"/>
        <color rgb="FFEA4335"/>
      </rPr>
      <t>3. Annual Leave (PM)</t>
    </r>
  </si>
  <si>
    <r>
      <rPr>
        <rFont val="Arial"/>
        <color theme="1"/>
      </rPr>
      <t xml:space="preserve">1. In Progress
</t>
    </r>
    <r>
      <rPr>
        <rFont val="Arial"/>
        <strike/>
        <color theme="1"/>
      </rPr>
      <t>2. In Progress</t>
    </r>
  </si>
  <si>
    <t>0.5 MD</t>
  </si>
  <si>
    <t>1. QA AI Agent: Refine test cases result
2. AWS AI Practitioner Certification</t>
  </si>
  <si>
    <r>
      <rPr>
        <rFont val="Arial"/>
        <color theme="1"/>
      </rPr>
      <t xml:space="preserve">1. QA AI Agent: Refine test cases result
</t>
    </r>
    <r>
      <rPr>
        <rFont val="Arial"/>
        <strike/>
        <color theme="1"/>
      </rPr>
      <t>2. AWS AI Practitioner Certification</t>
    </r>
  </si>
  <si>
    <r>
      <rPr>
        <rFont val="Arial"/>
        <color theme="1"/>
      </rPr>
      <t xml:space="preserve">1. In Progress
</t>
    </r>
    <r>
      <rPr>
        <rFont val="Arial"/>
        <strike/>
        <color theme="1"/>
      </rPr>
      <t>2. In Progress</t>
    </r>
  </si>
  <si>
    <r>
      <rPr>
        <rFont val="Roboto"/>
        <color rgb="FF434343"/>
      </rPr>
      <t xml:space="preserve">1. QA AI Agent: Refine test cases result
</t>
    </r>
    <r>
      <rPr>
        <rFont val="Roboto"/>
        <strike/>
        <color rgb="FF434343"/>
      </rPr>
      <t>2. AWS AI Practitioner Certification</t>
    </r>
  </si>
  <si>
    <r>
      <rPr>
        <rFont val="Roboto"/>
        <color rgb="FF434343"/>
      </rPr>
      <t xml:space="preserve">1. In Progress
</t>
    </r>
    <r>
      <rPr>
        <rFont val="Roboto"/>
        <strike/>
        <color rgb="FF434343"/>
      </rPr>
      <t>2. In Progress</t>
    </r>
  </si>
  <si>
    <r>
      <rPr>
        <rFont val="Roboto"/>
        <color rgb="FF434343"/>
      </rPr>
      <t xml:space="preserve">1. QA AI Agent: Refine test cases result
</t>
    </r>
    <r>
      <rPr>
        <rFont val="Roboto"/>
        <strike/>
        <color rgb="FF434343"/>
      </rPr>
      <t>2. AWS AI Practitioner Certification</t>
    </r>
  </si>
  <si>
    <r>
      <rPr>
        <rFont val="Roboto"/>
        <color rgb="FF434343"/>
      </rPr>
      <t xml:space="preserve">1. In Progress
</t>
    </r>
    <r>
      <rPr>
        <rFont val="Roboto"/>
        <strike/>
        <color rgb="FF434343"/>
      </rPr>
      <t>2. In Progress</t>
    </r>
  </si>
  <si>
    <r>
      <rPr>
        <rFont val="Roboto"/>
        <color rgb="FF434343"/>
      </rPr>
      <t xml:space="preserve">1. QA AI Agent: Refine test cases result
</t>
    </r>
    <r>
      <rPr>
        <rFont val="Roboto"/>
        <strike/>
        <color rgb="FF434343"/>
      </rPr>
      <t>2. AWS AI Practitioner Certification</t>
    </r>
  </si>
  <si>
    <r>
      <rPr>
        <rFont val="Roboto"/>
        <color rgb="FF434343"/>
      </rPr>
      <t xml:space="preserve">1. In Progress
</t>
    </r>
    <r>
      <rPr>
        <rFont val="Roboto"/>
        <strike/>
        <color rgb="FF434343"/>
      </rPr>
      <t>2. In Progress</t>
    </r>
  </si>
  <si>
    <r>
      <rPr>
        <rFont val="Roboto"/>
        <color rgb="FF434343"/>
      </rPr>
      <t xml:space="preserve">1. QA AI Agent: Refine test cases result
</t>
    </r>
    <r>
      <rPr>
        <rFont val="Roboto"/>
        <strike/>
        <color rgb="FF434343"/>
      </rPr>
      <t xml:space="preserve">2. AWS AI Practitioner Certification
</t>
    </r>
    <r>
      <rPr>
        <rFont val="Roboto"/>
        <color rgb="FF434343"/>
      </rPr>
      <t>3. Support QA AI</t>
    </r>
  </si>
  <si>
    <r>
      <rPr>
        <rFont val="Roboto"/>
        <color rgb="FF434343"/>
      </rPr>
      <t xml:space="preserve">1. In Progress
</t>
    </r>
    <r>
      <rPr>
        <rFont val="Roboto"/>
        <strike/>
        <color rgb="FF434343"/>
      </rPr>
      <t>2. In Progress</t>
    </r>
  </si>
  <si>
    <r>
      <rPr>
        <rFont val="Roboto"/>
        <color rgb="FF434343"/>
      </rPr>
      <t xml:space="preserve">1. QA AI Agent: Refine test cases result
</t>
    </r>
    <r>
      <rPr>
        <rFont val="Roboto"/>
        <strike/>
        <color rgb="FF434343"/>
      </rPr>
      <t xml:space="preserve">2. AWS AI Practitioner Certification
</t>
    </r>
    <r>
      <rPr>
        <rFont val="Roboto"/>
        <color rgb="FF434343"/>
      </rPr>
      <t>3. Support QA AI</t>
    </r>
  </si>
  <si>
    <r>
      <rPr>
        <rFont val="Roboto"/>
        <color rgb="FF434343"/>
      </rPr>
      <t xml:space="preserve">1. In Progress
</t>
    </r>
    <r>
      <rPr>
        <rFont val="Roboto"/>
        <strike/>
        <color rgb="FF434343"/>
      </rPr>
      <t>2. In Progress</t>
    </r>
  </si>
  <si>
    <r>
      <rPr>
        <rFont val="Roboto"/>
        <strike/>
        <color rgb="FF434343"/>
      </rPr>
      <t>1. QA AI Agent: Refine test cases result</t>
    </r>
    <r>
      <rPr>
        <rFont val="Roboto"/>
        <color rgb="FF434343"/>
      </rPr>
      <t xml:space="preserve">
2. AWS AI Practitioner Certification</t>
    </r>
    <r>
      <rPr>
        <rFont val="Roboto"/>
        <strike/>
        <color rgb="FF434343"/>
      </rPr>
      <t xml:space="preserve">
3. Support QA AI</t>
    </r>
  </si>
  <si>
    <r>
      <rPr>
        <rFont val="Roboto"/>
        <strike/>
        <color rgb="FF434343"/>
      </rPr>
      <t>1. UAT</t>
    </r>
    <r>
      <rPr>
        <rFont val="Roboto"/>
        <color rgb="FF434343"/>
      </rPr>
      <t xml:space="preserve">
2. In Progress</t>
    </r>
  </si>
  <si>
    <r>
      <rPr>
        <rFont val="Roboto"/>
        <strike/>
        <color rgb="FF434343"/>
      </rPr>
      <t>1. QA AI Agent: Refine test cases result</t>
    </r>
    <r>
      <rPr>
        <rFont val="Roboto"/>
        <color rgb="FF434343"/>
      </rPr>
      <t xml:space="preserve">
</t>
    </r>
    <r>
      <rPr>
        <rFont val="Roboto"/>
        <strike/>
        <color rgb="FF434343"/>
      </rPr>
      <t xml:space="preserve">2. AWS AI Practitioner Certification
</t>
    </r>
    <r>
      <rPr>
        <rFont val="Roboto"/>
        <color rgb="FF434343"/>
      </rPr>
      <t>3. Issue QA Agent
4. Optimize QA Agent</t>
    </r>
  </si>
  <si>
    <r>
      <rPr>
        <rFont val="Roboto"/>
        <strike/>
        <color rgb="FF434343"/>
      </rPr>
      <t>1. UAT</t>
    </r>
    <r>
      <rPr>
        <rFont val="Roboto"/>
        <color rgb="FF434343"/>
      </rPr>
      <t xml:space="preserve">
</t>
    </r>
    <r>
      <rPr>
        <rFont val="Roboto"/>
        <strike/>
        <color rgb="FF434343"/>
      </rPr>
      <t xml:space="preserve">2. In Progress
</t>
    </r>
    <r>
      <rPr>
        <rFont val="Roboto"/>
        <color rgb="FF434343"/>
      </rPr>
      <t>3. In Progress</t>
    </r>
  </si>
  <si>
    <r>
      <rPr>
        <color rgb="FF1155CC"/>
        <u/>
      </rPr>
      <t>Taiga #177</t>
    </r>
    <r>
      <rPr>
        <color rgb="FF1155CC"/>
        <u/>
      </rPr>
      <t xml:space="preserve">
</t>
    </r>
    <r>
      <rPr>
        <color rgb="FF1155CC"/>
        <u/>
      </rPr>
      <t>Taiga #59</t>
    </r>
    <r>
      <rPr>
        <color rgb="FF1155CC"/>
        <u/>
      </rPr>
      <t xml:space="preserve">
</t>
    </r>
    <r>
      <rPr>
        <color rgb="FF1155CC"/>
        <u/>
      </rPr>
      <t>Taiga #202</t>
    </r>
  </si>
  <si>
    <r>
      <rPr>
        <rFont val="Roboto"/>
        <strike/>
        <color rgb="FF434343"/>
      </rPr>
      <t>1. QA AI Agent: Refine test cases result</t>
    </r>
    <r>
      <rPr>
        <rFont val="Roboto"/>
        <color rgb="FF434343"/>
      </rPr>
      <t xml:space="preserve">
</t>
    </r>
    <r>
      <rPr>
        <rFont val="Roboto"/>
        <strike/>
        <color rgb="FF434343"/>
      </rPr>
      <t xml:space="preserve">2. AWS AI Practitioner Certification
</t>
    </r>
    <r>
      <rPr>
        <rFont val="Roboto"/>
        <color rgb="FF434343"/>
      </rPr>
      <t>3. Issue QA Agent:
#18 No module found when using part 2 document - ready for test
#17 Not able to upload any file, getting red banner error message - closed
#16 Unable to generate Testcase after functional spec uploaded - ready for test
4. Optimize QA Agent</t>
    </r>
  </si>
  <si>
    <r>
      <rPr>
        <rFont val="Roboto"/>
        <strike/>
        <color rgb="FF434343"/>
      </rPr>
      <t>1. UAT</t>
    </r>
    <r>
      <rPr>
        <rFont val="Roboto"/>
        <color rgb="FF434343"/>
      </rPr>
      <t xml:space="preserve">
</t>
    </r>
    <r>
      <rPr>
        <rFont val="Roboto"/>
        <strike/>
        <color rgb="FF434343"/>
      </rPr>
      <t xml:space="preserve">2. In Progress
</t>
    </r>
    <r>
      <rPr>
        <rFont val="Roboto"/>
        <color rgb="FF434343"/>
      </rPr>
      <t>3. UAT</t>
    </r>
  </si>
  <si>
    <r>
      <rPr>
        <color rgb="FF1155CC"/>
        <u/>
      </rPr>
      <t>Taiga #177</t>
    </r>
    <r>
      <rPr>
        <color rgb="FF1155CC"/>
        <u/>
      </rPr>
      <t xml:space="preserve">
</t>
    </r>
    <r>
      <rPr>
        <color rgb="FF1155CC"/>
        <u/>
      </rPr>
      <t>Taiga #59</t>
    </r>
    <r>
      <rPr>
        <color rgb="FF1155CC"/>
        <u/>
      </rPr>
      <t xml:space="preserve">
</t>
    </r>
    <r>
      <rPr>
        <color rgb="FF1155CC"/>
        <u/>
      </rPr>
      <t>Taiga #202
https://taiga.ecquaria.org/project/tecq-ai/issues</t>
    </r>
  </si>
  <si>
    <r>
      <rPr>
        <rFont val="Roboto"/>
        <strike/>
        <color rgb="FF434343"/>
      </rPr>
      <t>1. QA AI Agent: Refine test cases result</t>
    </r>
    <r>
      <rPr>
        <rFont val="Roboto"/>
        <color rgb="FF434343"/>
      </rPr>
      <t xml:space="preserve">
</t>
    </r>
    <r>
      <rPr>
        <rFont val="Roboto"/>
        <strike/>
        <color rgb="FF434343"/>
      </rPr>
      <t>2. AWS AI Practitioner Certification</t>
    </r>
    <r>
      <rPr>
        <rFont val="Roboto"/>
        <color rgb="FF434343"/>
      </rPr>
      <t xml:space="preserve">
3. Optimize QA Agent
4. QA- revamp ui for seminar</t>
    </r>
  </si>
  <si>
    <r>
      <rPr>
        <rFont val="Roboto"/>
        <strike/>
        <color rgb="FF434343"/>
      </rPr>
      <t>1. UAT</t>
    </r>
    <r>
      <rPr>
        <rFont val="Roboto"/>
        <color rgb="FF434343"/>
      </rPr>
      <t xml:space="preserve">
</t>
    </r>
    <r>
      <rPr>
        <rFont val="Roboto"/>
        <strike/>
        <color rgb="FF434343"/>
      </rPr>
      <t xml:space="preserve">2. In Progress
</t>
    </r>
    <r>
      <rPr>
        <rFont val="Roboto"/>
        <color rgb="FF434343"/>
      </rPr>
      <t>3. UAT
4. In Progress</t>
    </r>
  </si>
  <si>
    <r>
      <rPr>
        <color rgb="FF1155CC"/>
        <u/>
      </rPr>
      <t>Taiga #177</t>
    </r>
    <r>
      <rPr>
        <color rgb="FF1155CC"/>
        <u/>
      </rPr>
      <t xml:space="preserve">
</t>
    </r>
    <r>
      <rPr>
        <color rgb="FF1155CC"/>
        <u/>
      </rPr>
      <t>Taiga #59</t>
    </r>
    <r>
      <rPr>
        <color rgb="FF1155CC"/>
        <u/>
      </rPr>
      <t xml:space="preserve">
</t>
    </r>
    <r>
      <rPr>
        <color rgb="FF1155CC"/>
        <u/>
      </rPr>
      <t>Taiga #202
https://taiga.ecquaria.org/project/tecq-ai-bd/us/206?kanban-include_attachments=1&amp;kanban-include_tasks=1&amp;kanban-status=759</t>
    </r>
  </si>
  <si>
    <r>
      <rPr>
        <rFont val="Roboto"/>
        <strike/>
        <color rgb="FF434343"/>
      </rPr>
      <t>1. QA AI Agent: Refine test cases result</t>
    </r>
    <r>
      <rPr>
        <rFont val="Roboto"/>
        <color rgb="FF434343"/>
      </rPr>
      <t xml:space="preserve">
</t>
    </r>
    <r>
      <rPr>
        <rFont val="Roboto"/>
        <strike/>
        <color rgb="FF434343"/>
      </rPr>
      <t>2. AWS AI Practitioner Certification</t>
    </r>
    <r>
      <rPr>
        <rFont val="Roboto"/>
        <color rgb="FF434343"/>
      </rPr>
      <t xml:space="preserve">
3. Optimize QA Agent
4. QA- revamp ui for seminar</t>
    </r>
  </si>
  <si>
    <r>
      <rPr>
        <rFont val="Roboto"/>
        <strike/>
        <color rgb="FF434343"/>
      </rPr>
      <t>1. UAT</t>
    </r>
    <r>
      <rPr>
        <rFont val="Roboto"/>
        <color rgb="FF434343"/>
      </rPr>
      <t xml:space="preserve">
</t>
    </r>
    <r>
      <rPr>
        <rFont val="Roboto"/>
        <strike/>
        <color rgb="FF434343"/>
      </rPr>
      <t xml:space="preserve">2. In Progress
</t>
    </r>
    <r>
      <rPr>
        <rFont val="Roboto"/>
        <color rgb="FF434343"/>
      </rPr>
      <t>3. In Progress
4. In Progress</t>
    </r>
  </si>
  <si>
    <r>
      <rPr>
        <color rgb="FF1155CC"/>
        <u/>
      </rPr>
      <t>Taiga #177</t>
    </r>
    <r>
      <rPr>
        <color rgb="FF1155CC"/>
        <u/>
      </rPr>
      <t xml:space="preserve">
</t>
    </r>
    <r>
      <rPr>
        <color rgb="FF1155CC"/>
        <u/>
      </rPr>
      <t>Taiga #59</t>
    </r>
    <r>
      <rPr>
        <color rgb="FF1155CC"/>
        <u/>
      </rPr>
      <t xml:space="preserve">
</t>
    </r>
    <r>
      <rPr>
        <color rgb="FF1155CC"/>
        <u/>
      </rPr>
      <t>Taiga #202
https://taiga.ecquaria.org/project/tecq-ai-bd/us/206?kanban-include_attachments=1&amp;kanban-include_tasks=1&amp;kanban-status=759</t>
    </r>
  </si>
  <si>
    <r>
      <rPr>
        <rFont val="Roboto"/>
        <strike/>
        <color rgb="FF434343"/>
      </rPr>
      <t>1. QA AI Agent: Refine test cases result</t>
    </r>
    <r>
      <rPr>
        <rFont val="Roboto"/>
        <color rgb="FF434343"/>
      </rPr>
      <t xml:space="preserve">
</t>
    </r>
    <r>
      <rPr>
        <rFont val="Roboto"/>
        <strike/>
        <color rgb="FF434343"/>
      </rPr>
      <t>2. AWS AI Practitioner Certification</t>
    </r>
    <r>
      <rPr>
        <rFont val="Roboto"/>
        <color rgb="FF434343"/>
      </rPr>
      <t xml:space="preserve">
3. Optimize QA Agent
4. QA- revamp ui for seminar
5. resolve QA Issues - all closed</t>
    </r>
  </si>
  <si>
    <r>
      <rPr>
        <rFont val="Roboto"/>
        <strike/>
        <color rgb="FF434343"/>
      </rPr>
      <t>1. UAT</t>
    </r>
    <r>
      <rPr>
        <rFont val="Roboto"/>
        <color rgb="FF434343"/>
      </rPr>
      <t xml:space="preserve">
</t>
    </r>
    <r>
      <rPr>
        <rFont val="Roboto"/>
        <strike/>
        <color rgb="FF434343"/>
      </rPr>
      <t xml:space="preserve">2. In Progress
</t>
    </r>
    <r>
      <rPr>
        <rFont val="Roboto"/>
        <color rgb="FF434343"/>
      </rPr>
      <t>3. In Progress
4. Done
5. Done</t>
    </r>
  </si>
  <si>
    <r>
      <rPr>
        <rFont val="Roboto"/>
        <color rgb="FF1155CC"/>
        <u/>
      </rPr>
      <t>Taiga #177</t>
    </r>
    <r>
      <rPr>
        <rFont val="Roboto"/>
        <color rgb="FF1155CC"/>
        <u/>
      </rPr>
      <t xml:space="preserve">
</t>
    </r>
    <r>
      <rPr>
        <rFont val="Roboto"/>
        <color rgb="FF1155CC"/>
        <u/>
      </rPr>
      <t>Taiga #59</t>
    </r>
    <r>
      <rPr>
        <rFont val="Roboto"/>
        <color rgb="FF1155CC"/>
        <u/>
      </rPr>
      <t xml:space="preserve">
</t>
    </r>
    <r>
      <rPr>
        <rFont val="Roboto"/>
        <color rgb="FF1155CC"/>
        <u/>
      </rPr>
      <t>Taiga #202
https://taiga.ecquaria.org/project/tecq-ai-bd/us/206?kanban-include_attachments=1&amp;kanban-include_tasks=1&amp;kanban-status=759</t>
    </r>
  </si>
  <si>
    <r>
      <rPr>
        <rFont val="Arial"/>
        <color theme="1"/>
      </rPr>
      <t xml:space="preserve">1. </t>
    </r>
    <r>
      <rPr>
        <rFont val="Arial"/>
        <strike/>
        <color theme="1"/>
      </rPr>
      <t>AWS AI Practitioner</t>
    </r>
    <r>
      <rPr>
        <rFont val="Arial"/>
        <color theme="1"/>
      </rPr>
      <t xml:space="preserve">
2. Implement logging</t>
    </r>
  </si>
  <si>
    <r>
      <rPr>
        <rFont val="Arial"/>
        <color theme="1"/>
      </rPr>
      <t xml:space="preserve">1. </t>
    </r>
    <r>
      <rPr>
        <rFont val="Arial"/>
        <strike/>
        <color theme="1"/>
      </rPr>
      <t>In Progress</t>
    </r>
    <r>
      <rPr>
        <rFont val="Arial"/>
        <color theme="1"/>
      </rPr>
      <t xml:space="preserve">
2. UAT</t>
    </r>
  </si>
  <si>
    <t>1
2</t>
  </si>
  <si>
    <r>
      <rPr>
        <rFont val="Arial"/>
        <color theme="1"/>
      </rPr>
      <t xml:space="preserve">1. </t>
    </r>
    <r>
      <rPr>
        <rFont val="Arial"/>
        <strike/>
        <color theme="1"/>
      </rPr>
      <t>AWS AI Practitioner</t>
    </r>
    <r>
      <rPr>
        <rFont val="Arial"/>
        <color theme="1"/>
      </rPr>
      <t xml:space="preserve">
2. Implement logging</t>
    </r>
  </si>
  <si>
    <r>
      <rPr>
        <rFont val="Arial"/>
        <color theme="1"/>
      </rPr>
      <t xml:space="preserve">1. </t>
    </r>
    <r>
      <rPr>
        <rFont val="Arial"/>
        <strike/>
        <color theme="1"/>
      </rPr>
      <t>In Progress</t>
    </r>
    <r>
      <rPr>
        <rFont val="Arial"/>
        <color theme="1"/>
      </rPr>
      <t xml:space="preserve">
2. UAT</t>
    </r>
  </si>
  <si>
    <r>
      <rPr>
        <rFont val="Arial"/>
        <color theme="1"/>
      </rPr>
      <t xml:space="preserve">1. </t>
    </r>
    <r>
      <rPr>
        <rFont val="Arial"/>
        <strike/>
        <color theme="1"/>
      </rPr>
      <t xml:space="preserve">AWS AI Practitioner
</t>
    </r>
    <r>
      <rPr>
        <rFont val="Arial"/>
        <color theme="1"/>
      </rPr>
      <t>2. QA Agent - Implement Expanded Test Case Writeup
3.</t>
    </r>
    <r>
      <rPr>
        <rFont val="Arial"/>
        <strike/>
        <color theme="1"/>
      </rPr>
      <t xml:space="preserve"> QA Agent - Implement Select Top 20% of most important Test Cases only</t>
    </r>
  </si>
  <si>
    <r>
      <rPr>
        <rFont val="Arial"/>
        <color theme="1"/>
      </rPr>
      <t xml:space="preserve">1. </t>
    </r>
    <r>
      <rPr>
        <rFont val="Arial"/>
        <strike/>
        <color theme="1"/>
      </rPr>
      <t xml:space="preserve">In Progress
</t>
    </r>
    <r>
      <rPr>
        <rFont val="Arial"/>
        <color theme="1"/>
      </rPr>
      <t xml:space="preserve">2. In Progress
3. </t>
    </r>
    <r>
      <rPr>
        <rFont val="Arial"/>
        <strike/>
        <color theme="1"/>
      </rPr>
      <t>in Progress</t>
    </r>
  </si>
  <si>
    <t>1
2
3</t>
  </si>
  <si>
    <r>
      <rPr>
        <rFont val="Arial"/>
        <color theme="1"/>
      </rPr>
      <t xml:space="preserve">1. </t>
    </r>
    <r>
      <rPr>
        <rFont val="Arial"/>
        <strike/>
        <color theme="1"/>
      </rPr>
      <t xml:space="preserve">AWS AI Practitioner
</t>
    </r>
    <r>
      <rPr>
        <rFont val="Arial"/>
        <color theme="1"/>
      </rPr>
      <t>2. QA Agent - Implement Expanded Test Case Writeup
3.</t>
    </r>
    <r>
      <rPr>
        <rFont val="Arial"/>
        <strike/>
        <color theme="1"/>
      </rPr>
      <t xml:space="preserve"> QA Agent - Implement Select Top 20% of most important Test Cases only</t>
    </r>
  </si>
  <si>
    <r>
      <rPr>
        <rFont val="Arial"/>
        <color theme="1"/>
      </rPr>
      <t xml:space="preserve">1. </t>
    </r>
    <r>
      <rPr>
        <rFont val="Arial"/>
        <strike/>
        <color theme="1"/>
      </rPr>
      <t xml:space="preserve">In Progress
</t>
    </r>
    <r>
      <rPr>
        <rFont val="Arial"/>
        <color theme="1"/>
      </rPr>
      <t xml:space="preserve">2. In Progress
3. </t>
    </r>
    <r>
      <rPr>
        <rFont val="Arial"/>
        <strike/>
        <color theme="1"/>
      </rPr>
      <t>in Progress</t>
    </r>
  </si>
  <si>
    <r>
      <rPr>
        <rFont val="Arial"/>
        <color theme="1"/>
      </rPr>
      <t xml:space="preserve">1. </t>
    </r>
    <r>
      <rPr>
        <rFont val="Arial"/>
        <strike/>
        <color theme="1"/>
      </rPr>
      <t xml:space="preserve">AWS AI Practitioner
</t>
    </r>
    <r>
      <rPr>
        <rFont val="Arial"/>
        <color theme="1"/>
      </rPr>
      <t>2. QA Agent - Implement Expanded Test Case Writeup
3.</t>
    </r>
    <r>
      <rPr>
        <rFont val="Arial"/>
        <strike/>
        <color theme="1"/>
      </rPr>
      <t xml:space="preserve"> QA Agent - Implement Select Top 20% of most important Test Cases only</t>
    </r>
  </si>
  <si>
    <r>
      <rPr>
        <rFont val="Arial"/>
        <color theme="1"/>
      </rPr>
      <t xml:space="preserve">1. </t>
    </r>
    <r>
      <rPr>
        <rFont val="Arial"/>
        <strike/>
        <color theme="1"/>
      </rPr>
      <t xml:space="preserve">In Progress
</t>
    </r>
    <r>
      <rPr>
        <rFont val="Arial"/>
        <color theme="1"/>
      </rPr>
      <t xml:space="preserve">2. In Progress
3. </t>
    </r>
    <r>
      <rPr>
        <rFont val="Arial"/>
        <strike/>
        <color theme="1"/>
      </rPr>
      <t>in Progress</t>
    </r>
  </si>
  <si>
    <r>
      <rPr>
        <rFont val="Arial"/>
        <color theme="1"/>
      </rPr>
      <t xml:space="preserve">1. </t>
    </r>
    <r>
      <rPr>
        <rFont val="Arial"/>
        <strike/>
        <color theme="1"/>
      </rPr>
      <t xml:space="preserve">AWS AI Practitioner
</t>
    </r>
    <r>
      <rPr>
        <rFont val="Arial"/>
        <color theme="1"/>
      </rPr>
      <t>2. QA Agent - Implement Expanded Test Case Writeup
3.</t>
    </r>
    <r>
      <rPr>
        <rFont val="Arial"/>
        <strike/>
        <color theme="1"/>
      </rPr>
      <t xml:space="preserve"> QA Agent - Implement Select Top 20% of most important Test Cases only</t>
    </r>
  </si>
  <si>
    <r>
      <rPr>
        <rFont val="Arial"/>
        <color theme="1"/>
      </rPr>
      <t xml:space="preserve">1. </t>
    </r>
    <r>
      <rPr>
        <rFont val="Arial"/>
        <strike/>
        <color theme="1"/>
      </rPr>
      <t xml:space="preserve">In Progress
</t>
    </r>
    <r>
      <rPr>
        <rFont val="Arial"/>
        <color theme="1"/>
      </rPr>
      <t xml:space="preserve">2. In Progress
3. </t>
    </r>
    <r>
      <rPr>
        <rFont val="Arial"/>
        <strike/>
        <color theme="1"/>
      </rPr>
      <t>in Progress</t>
    </r>
  </si>
  <si>
    <r>
      <rPr>
        <rFont val="Arial"/>
        <color theme="1"/>
      </rPr>
      <t xml:space="preserve">1. </t>
    </r>
    <r>
      <rPr>
        <rFont val="Arial"/>
        <strike/>
        <color theme="1"/>
      </rPr>
      <t xml:space="preserve">AWS AI Practitioner
</t>
    </r>
    <r>
      <rPr>
        <rFont val="Arial"/>
        <color theme="1"/>
      </rPr>
      <t>2. QA Agent - Implement Expanded Test Case Writeup (5 MD)
3.</t>
    </r>
    <r>
      <rPr>
        <rFont val="Arial"/>
        <strike/>
        <color theme="1"/>
      </rPr>
      <t xml:space="preserve"> QA Agent - Implement Select Top 20% of most important Test Cases only</t>
    </r>
  </si>
  <si>
    <r>
      <rPr>
        <rFont val="Arial"/>
        <color theme="1"/>
      </rPr>
      <t xml:space="preserve">1. </t>
    </r>
    <r>
      <rPr>
        <rFont val="Arial"/>
        <strike/>
        <color theme="1"/>
      </rPr>
      <t xml:space="preserve">In Progress
</t>
    </r>
    <r>
      <rPr>
        <rFont val="Arial"/>
        <color theme="1"/>
      </rPr>
      <t xml:space="preserve">2. In Progress
3. </t>
    </r>
    <r>
      <rPr>
        <rFont val="Arial"/>
        <strike/>
        <color theme="1"/>
      </rPr>
      <t>in Progress</t>
    </r>
  </si>
  <si>
    <r>
      <rPr>
        <rFont val="Arial"/>
        <color theme="1"/>
      </rPr>
      <t xml:space="preserve">1. </t>
    </r>
    <r>
      <rPr>
        <rFont val="Arial"/>
        <strike/>
        <color theme="1"/>
      </rPr>
      <t xml:space="preserve">AWS AI Practitioner
</t>
    </r>
    <r>
      <rPr>
        <rFont val="Arial"/>
        <color theme="1"/>
      </rPr>
      <t>2. QA Agent - Implement Expanded Test Case Writeup (5 MD)
3.</t>
    </r>
    <r>
      <rPr>
        <rFont val="Arial"/>
        <strike/>
        <color theme="1"/>
      </rPr>
      <t xml:space="preserve"> QA Agent - Implement Select Top 20% of most important Test Cases only</t>
    </r>
  </si>
  <si>
    <r>
      <rPr>
        <rFont val="Arial"/>
        <color theme="1"/>
      </rPr>
      <t xml:space="preserve">1. </t>
    </r>
    <r>
      <rPr>
        <rFont val="Arial"/>
        <strike/>
        <color theme="1"/>
      </rPr>
      <t xml:space="preserve">In Progress
</t>
    </r>
    <r>
      <rPr>
        <rFont val="Arial"/>
        <color theme="1"/>
      </rPr>
      <t xml:space="preserve">2. Done
3. </t>
    </r>
    <r>
      <rPr>
        <rFont val="Arial"/>
        <strike/>
        <color theme="1"/>
      </rPr>
      <t>in Progress</t>
    </r>
  </si>
  <si>
    <r>
      <rPr>
        <rFont val="Arial"/>
        <color theme="1"/>
      </rPr>
      <t>1. AWS AI Practitioner</t>
    </r>
    <r>
      <rPr>
        <rFont val="Arial"/>
        <strike/>
        <color theme="1"/>
      </rPr>
      <t xml:space="preserve">
</t>
    </r>
    <r>
      <rPr>
        <rFont val="Arial"/>
        <color theme="1"/>
      </rPr>
      <t xml:space="preserve">2. </t>
    </r>
    <r>
      <rPr>
        <rFont val="Arial"/>
        <strike/>
        <color theme="1"/>
      </rPr>
      <t>QA Agent - Implement Expanded Test Case Writeup (5 MD)</t>
    </r>
    <r>
      <rPr>
        <rFont val="Arial"/>
        <color theme="1"/>
      </rPr>
      <t xml:space="preserve">
3.</t>
    </r>
    <r>
      <rPr>
        <rFont val="Arial"/>
        <strike/>
        <color theme="1"/>
      </rPr>
      <t xml:space="preserve"> QA Agent - Implement Select Top 20% of most important Test Cases only</t>
    </r>
  </si>
  <si>
    <r>
      <rPr>
        <rFont val="Arial"/>
        <color theme="1"/>
      </rPr>
      <t>1. In Progress</t>
    </r>
    <r>
      <rPr>
        <rFont val="Arial"/>
        <strike/>
        <color theme="1"/>
      </rPr>
      <t xml:space="preserve">
</t>
    </r>
    <r>
      <rPr>
        <rFont val="Arial"/>
        <color theme="1"/>
      </rPr>
      <t xml:space="preserve">2. </t>
    </r>
    <r>
      <rPr>
        <rFont val="Arial"/>
        <strike/>
        <color theme="1"/>
      </rPr>
      <t>Done</t>
    </r>
    <r>
      <rPr>
        <rFont val="Arial"/>
        <color theme="1"/>
      </rPr>
      <t xml:space="preserve">
3. </t>
    </r>
    <r>
      <rPr>
        <rFont val="Arial"/>
        <strike/>
        <color theme="1"/>
      </rPr>
      <t>in Progress</t>
    </r>
  </si>
  <si>
    <r>
      <rPr>
        <rFont val="Arial"/>
        <color theme="1"/>
      </rPr>
      <t>1. AWS AI Practitioner</t>
    </r>
    <r>
      <rPr>
        <rFont val="Arial"/>
        <strike/>
        <color theme="1"/>
      </rPr>
      <t xml:space="preserve">
</t>
    </r>
    <r>
      <rPr>
        <rFont val="Arial"/>
        <color theme="1"/>
      </rPr>
      <t xml:space="preserve">2. </t>
    </r>
    <r>
      <rPr>
        <rFont val="Arial"/>
        <strike/>
        <color theme="1"/>
      </rPr>
      <t>QA Agent - Implement Expanded Test Case Writeup (5 MD)</t>
    </r>
    <r>
      <rPr>
        <rFont val="Arial"/>
        <color theme="1"/>
      </rPr>
      <t xml:space="preserve">
3.</t>
    </r>
    <r>
      <rPr>
        <rFont val="Arial"/>
        <strike/>
        <color theme="1"/>
      </rPr>
      <t xml:space="preserve"> QA Agent - Implement Select Top 20% of most important Test Cases only</t>
    </r>
  </si>
  <si>
    <r>
      <rPr>
        <rFont val="Arial"/>
        <color theme="1"/>
      </rPr>
      <t>1. In Progress</t>
    </r>
    <r>
      <rPr>
        <rFont val="Arial"/>
        <strike/>
        <color theme="1"/>
      </rPr>
      <t xml:space="preserve">
</t>
    </r>
    <r>
      <rPr>
        <rFont val="Arial"/>
        <color theme="1"/>
      </rPr>
      <t xml:space="preserve">2. </t>
    </r>
    <r>
      <rPr>
        <rFont val="Arial"/>
        <strike/>
        <color theme="1"/>
      </rPr>
      <t>Done</t>
    </r>
    <r>
      <rPr>
        <rFont val="Arial"/>
        <color theme="1"/>
      </rPr>
      <t xml:space="preserve">
3. </t>
    </r>
    <r>
      <rPr>
        <rFont val="Arial"/>
        <strike/>
        <color theme="1"/>
      </rPr>
      <t>in Progress</t>
    </r>
  </si>
  <si>
    <r>
      <rPr>
        <rFont val="Arial"/>
        <color theme="1"/>
      </rPr>
      <t>1. AWS AI Practitioner</t>
    </r>
    <r>
      <rPr>
        <rFont val="Arial"/>
        <strike/>
        <color theme="1"/>
      </rPr>
      <t xml:space="preserve">
</t>
    </r>
    <r>
      <rPr>
        <rFont val="Arial"/>
        <color theme="1"/>
      </rPr>
      <t xml:space="preserve">2. </t>
    </r>
    <r>
      <rPr>
        <rFont val="Arial"/>
        <strike/>
        <color theme="1"/>
      </rPr>
      <t>QA Agent - Implement Expanded Test Case Writeup (5 MD)</t>
    </r>
    <r>
      <rPr>
        <rFont val="Arial"/>
        <color theme="1"/>
      </rPr>
      <t xml:space="preserve">
3.</t>
    </r>
    <r>
      <rPr>
        <rFont val="Arial"/>
        <strike/>
        <color theme="1"/>
      </rPr>
      <t xml:space="preserve"> QA Agent - Implement Select Top 20% of most important Test Cases only</t>
    </r>
  </si>
  <si>
    <r>
      <rPr>
        <rFont val="Arial"/>
        <color theme="1"/>
      </rPr>
      <t>1. In Progress</t>
    </r>
    <r>
      <rPr>
        <rFont val="Arial"/>
        <strike/>
        <color theme="1"/>
      </rPr>
      <t xml:space="preserve">
</t>
    </r>
    <r>
      <rPr>
        <rFont val="Arial"/>
        <color theme="1"/>
      </rPr>
      <t xml:space="preserve">2. </t>
    </r>
    <r>
      <rPr>
        <rFont val="Arial"/>
        <strike/>
        <color theme="1"/>
      </rPr>
      <t>Done</t>
    </r>
    <r>
      <rPr>
        <rFont val="Arial"/>
        <color theme="1"/>
      </rPr>
      <t xml:space="preserve">
3. </t>
    </r>
    <r>
      <rPr>
        <rFont val="Arial"/>
        <strike/>
        <color theme="1"/>
      </rPr>
      <t>in Progress</t>
    </r>
  </si>
  <si>
    <t>1. AWS AI practitioner
2. QA - add application fieldto the helpdesk email
3. QA - Remove Log Out on public page</t>
  </si>
  <si>
    <t>1. In Progress
2. In Progress
3. Ready For Development</t>
  </si>
  <si>
    <t xml:space="preserve">1
2
3
</t>
  </si>
  <si>
    <r>
      <rPr>
        <rFont val="Arial"/>
        <color theme="1"/>
      </rPr>
      <t xml:space="preserve">1. AWS AI practitioner
2. </t>
    </r>
    <r>
      <rPr>
        <rFont val="Arial"/>
        <strike/>
        <color theme="1"/>
      </rPr>
      <t>QA - add application fieldto the helpdesk email</t>
    </r>
    <r>
      <rPr>
        <rFont val="Arial"/>
        <color theme="1"/>
      </rPr>
      <t xml:space="preserve">
3. QA - Remove Log Out on public page</t>
    </r>
  </si>
  <si>
    <t>1. In Progress
2. Done
3. In Progress</t>
  </si>
  <si>
    <r>
      <rPr>
        <rFont val="Arial"/>
        <color theme="1"/>
      </rPr>
      <t xml:space="preserve">1. AWS AI practitioner
2. </t>
    </r>
    <r>
      <rPr>
        <rFont val="Arial"/>
        <strike/>
        <color theme="1"/>
      </rPr>
      <t>QA - add application fieldto the helpdesk email</t>
    </r>
    <r>
      <rPr>
        <rFont val="Arial"/>
        <color theme="1"/>
      </rPr>
      <t xml:space="preserve">
3. </t>
    </r>
    <r>
      <rPr>
        <rFont val="Arial"/>
        <strike/>
        <color theme="1"/>
      </rPr>
      <t xml:space="preserve">QA - Remove Log Out on public page
</t>
    </r>
    <r>
      <rPr>
        <rFont val="Arial"/>
        <color theme="1"/>
      </rPr>
      <t>4. QA Agent - Implement Select Top 20% of most important Test Cases only</t>
    </r>
  </si>
  <si>
    <t>1. In Progress
2. Done
3. Done
4. In Progress</t>
  </si>
  <si>
    <r>
      <rPr>
        <color rgb="FF1155CC"/>
        <u/>
      </rPr>
      <t>1</t>
    </r>
    <r>
      <rPr>
        <color rgb="FF1155CC"/>
        <u/>
      </rPr>
      <t xml:space="preserve">
</t>
    </r>
    <r>
      <rPr>
        <color rgb="FF1155CC"/>
        <u/>
      </rPr>
      <t>2</t>
    </r>
    <r>
      <rPr>
        <color rgb="FF1155CC"/>
        <u/>
      </rPr>
      <t xml:space="preserve">
</t>
    </r>
    <r>
      <rPr>
        <color rgb="FF1155CC"/>
        <u/>
      </rPr>
      <t>3</t>
    </r>
    <r>
      <rPr>
        <color rgb="FF1155CC"/>
        <u/>
      </rPr>
      <t xml:space="preserve">
</t>
    </r>
    <r>
      <rPr>
        <color rgb="FF1155CC"/>
        <u/>
      </rPr>
      <t>4</t>
    </r>
  </si>
  <si>
    <r>
      <rPr>
        <rFont val="Arial"/>
        <color theme="1"/>
      </rPr>
      <t>1. AWS AI practitioner</t>
    </r>
    <r>
      <rPr>
        <rFont val="Arial"/>
        <strike/>
        <color theme="1"/>
      </rPr>
      <t xml:space="preserve">
</t>
    </r>
    <r>
      <rPr>
        <rFont val="Arial"/>
        <color theme="1"/>
      </rPr>
      <t xml:space="preserve">2. </t>
    </r>
    <r>
      <rPr>
        <rFont val="Arial"/>
        <strike/>
        <color theme="1"/>
      </rPr>
      <t xml:space="preserve">QA Agent - Implement Select Top 20% of most important Test Cases only
</t>
    </r>
    <r>
      <rPr>
        <rFont val="Arial"/>
        <color theme="1"/>
      </rPr>
      <t>3. QA Agent: add versioning on deployment
4. QA Agent - Automated Smoke Testing
5. Deployment QA REWORK to UAT - configure azure resources, etc</t>
    </r>
  </si>
  <si>
    <t>1. In Progress
2. Done
3. New
4. New
5. In Progress</t>
  </si>
  <si>
    <r>
      <rPr>
        <color rgb="FF1155CC"/>
        <u/>
      </rPr>
      <t>1</t>
    </r>
    <r>
      <rPr>
        <color rgb="FF1155CC"/>
        <u/>
      </rPr>
      <t xml:space="preserve">
</t>
    </r>
    <r>
      <rPr>
        <color rgb="FF1155CC"/>
        <u/>
      </rPr>
      <t>2</t>
    </r>
    <r>
      <rPr>
        <color rgb="FF1155CC"/>
        <u/>
      </rPr>
      <t xml:space="preserve">
</t>
    </r>
    <r>
      <rPr>
        <color rgb="FF1155CC"/>
        <u/>
      </rPr>
      <t>3</t>
    </r>
    <r>
      <rPr>
        <color rgb="FF1155CC"/>
        <u/>
      </rPr>
      <t xml:space="preserve">
</t>
    </r>
    <r>
      <rPr>
        <color rgb="FF1155CC"/>
        <u/>
      </rPr>
      <t>4</t>
    </r>
  </si>
  <si>
    <r>
      <rPr>
        <rFont val="Arial"/>
        <color theme="1"/>
      </rPr>
      <t>1. AWS AI practitioner</t>
    </r>
    <r>
      <rPr>
        <rFont val="Arial"/>
        <strike/>
        <color theme="1"/>
      </rPr>
      <t xml:space="preserve">
</t>
    </r>
    <r>
      <rPr>
        <rFont val="Arial"/>
        <color theme="1"/>
      </rPr>
      <t>2. QA Agent: add versioning on deployment
3. QA Agent - Automated Smoke Testing
4.</t>
    </r>
    <r>
      <rPr>
        <rFont val="Arial"/>
        <strike/>
        <color theme="1"/>
      </rPr>
      <t xml:space="preserve"> Deployment QA REWORK to UAT - configure azure resources, etc
</t>
    </r>
    <r>
      <rPr>
        <rFont val="Arial"/>
        <color theme="1"/>
      </rPr>
      <t>5. Prepare issue on websocket
6. Add agent activity</t>
    </r>
  </si>
  <si>
    <t>1. In Progress
2. In Progress
3. New
4. Done
5. Postpone
6. Postpone</t>
  </si>
  <si>
    <r>
      <rPr>
        <color rgb="FF1155CC"/>
        <u/>
      </rPr>
      <t>1</t>
    </r>
    <r>
      <rPr>
        <color rgb="FF1155CC"/>
        <u/>
      </rPr>
      <t xml:space="preserve">
</t>
    </r>
    <r>
      <rPr>
        <color rgb="FF1155CC"/>
        <u/>
      </rPr>
      <t>2</t>
    </r>
    <r>
      <rPr>
        <color rgb="FF1155CC"/>
        <u/>
      </rPr>
      <t xml:space="preserve">
</t>
    </r>
    <r>
      <rPr>
        <color rgb="FF1155CC"/>
        <u/>
      </rPr>
      <t>3
5
6</t>
    </r>
  </si>
  <si>
    <r>
      <rPr>
        <rFont val="Arial"/>
        <color theme="1"/>
      </rPr>
      <t>1. AWS AI practitioner</t>
    </r>
    <r>
      <rPr>
        <rFont val="Arial"/>
        <strike/>
        <color theme="1"/>
      </rPr>
      <t xml:space="preserve">
</t>
    </r>
    <r>
      <rPr>
        <rFont val="Arial"/>
        <color theme="1"/>
      </rPr>
      <t>2. QA Agent: add versioning on deployment
3. QA Agent - Automated Smoke Testing</t>
    </r>
    <r>
      <rPr>
        <rFont val="Arial"/>
        <strike/>
        <color theme="1"/>
      </rPr>
      <t xml:space="preserve">
</t>
    </r>
    <r>
      <rPr>
        <rFont val="Arial"/>
        <color theme="1"/>
      </rPr>
      <t>4. Prepare issue on websocket
5. Add agent activity</t>
    </r>
  </si>
  <si>
    <t>1. In Progress
2. In Progress
3. New
4. Postpone
5. Postpone</t>
  </si>
  <si>
    <r>
      <rPr>
        <color rgb="FF1155CC"/>
        <u/>
      </rPr>
      <t>1</t>
    </r>
    <r>
      <rPr>
        <color rgb="FF1155CC"/>
        <u/>
      </rPr>
      <t xml:space="preserve">
</t>
    </r>
    <r>
      <rPr>
        <color rgb="FF1155CC"/>
        <u/>
      </rPr>
      <t>2</t>
    </r>
    <r>
      <rPr>
        <color rgb="FF1155CC"/>
        <u/>
      </rPr>
      <t xml:space="preserve">
</t>
    </r>
    <r>
      <rPr>
        <color rgb="FF1155CC"/>
        <u/>
      </rPr>
      <t>3
4
5</t>
    </r>
  </si>
  <si>
    <r>
      <rPr>
        <rFont val="Arial"/>
        <color theme="1"/>
      </rPr>
      <t>1. AWS AI practitioner</t>
    </r>
    <r>
      <rPr>
        <rFont val="Arial"/>
        <strike/>
        <color theme="1"/>
      </rPr>
      <t xml:space="preserve">
</t>
    </r>
    <r>
      <rPr>
        <rFont val="Arial"/>
        <color theme="1"/>
      </rPr>
      <t>2. QA Agent: add versioning on deployment
- docker FE: Done
- docker BE: Done
- versioning api: In Progress
- dynamic releases notes FE: In Progress
3. QA Agent - Automated Smoke Testing</t>
    </r>
    <r>
      <rPr>
        <rFont val="Arial"/>
        <strike/>
        <color theme="1"/>
      </rPr>
      <t xml:space="preserve">
</t>
    </r>
    <r>
      <rPr>
        <rFont val="Arial"/>
        <color theme="1"/>
      </rPr>
      <t>4. Prepare issue on websocket
5. Add agent activity
6. QA - Agent : multiple app session</t>
    </r>
  </si>
  <si>
    <t>1. In Progress
2. In Progress
3. New
4. Postpone
5. Postpone
6. In Progress</t>
  </si>
  <si>
    <r>
      <rPr>
        <color rgb="FF1155CC"/>
        <u/>
      </rPr>
      <t>1</t>
    </r>
    <r>
      <rPr>
        <color rgb="FF1155CC"/>
        <u/>
      </rPr>
      <t xml:space="preserve">
</t>
    </r>
    <r>
      <rPr>
        <color rgb="FF1155CC"/>
        <u/>
      </rPr>
      <t>2</t>
    </r>
    <r>
      <rPr>
        <color rgb="FF1155CC"/>
        <u/>
      </rPr>
      <t xml:space="preserve">
</t>
    </r>
    <r>
      <rPr>
        <color rgb="FF1155CC"/>
        <u/>
      </rPr>
      <t>3
4
5
6</t>
    </r>
  </si>
  <si>
    <r>
      <rPr>
        <rFont val="Arial"/>
        <color theme="1"/>
      </rPr>
      <t>1. AWS AI practitioner</t>
    </r>
    <r>
      <rPr>
        <rFont val="Arial"/>
        <strike/>
        <color theme="1"/>
      </rPr>
      <t xml:space="preserve">
2. QA Agent: add versioning on deployment
- docker FE: Done
- docker BE: Done
- versioning api: Done
- dynamic releases notes FE: Done</t>
    </r>
    <r>
      <rPr>
        <rFont val="Arial"/>
        <color theme="1"/>
      </rPr>
      <t xml:space="preserve">
3. QA Agent - Automated Smoke Testing</t>
    </r>
    <r>
      <rPr>
        <rFont val="Arial"/>
        <strike/>
        <color theme="1"/>
      </rPr>
      <t xml:space="preserve">
</t>
    </r>
    <r>
      <rPr>
        <rFont val="Arial"/>
        <color theme="1"/>
      </rPr>
      <t>4. Prepare issue on websocket
5. Add agent activity
6. QA - Agent : multiple app session</t>
    </r>
  </si>
  <si>
    <t>1. In Progress
2.Done
3. New
4. Postpone
5. Postpone
6. In Progress</t>
  </si>
  <si>
    <r>
      <rPr>
        <color rgb="FF1155CC"/>
        <u/>
      </rPr>
      <t>1</t>
    </r>
    <r>
      <rPr>
        <color rgb="FF1155CC"/>
        <u/>
      </rPr>
      <t xml:space="preserve">
</t>
    </r>
    <r>
      <rPr>
        <color rgb="FF1155CC"/>
        <u/>
      </rPr>
      <t>2</t>
    </r>
    <r>
      <rPr>
        <color rgb="FF1155CC"/>
        <u/>
      </rPr>
      <t xml:space="preserve">
</t>
    </r>
    <r>
      <rPr>
        <color rgb="FF1155CC"/>
        <u/>
      </rPr>
      <t>3
4
5
6</t>
    </r>
  </si>
  <si>
    <r>
      <rPr>
        <rFont val="Arial"/>
        <color theme="1"/>
      </rPr>
      <t>1. AWS AI practitioner</t>
    </r>
    <r>
      <rPr>
        <rFont val="Arial"/>
        <strike/>
        <color theme="1"/>
      </rPr>
      <t xml:space="preserve">
2. QA Agent: add versioning on deployment
- docker FE: Done
- docker BE: Done
- versioning api: Done
- dynamic releases notes FE: Done</t>
    </r>
    <r>
      <rPr>
        <rFont val="Arial"/>
        <color theme="1"/>
      </rPr>
      <t xml:space="preserve">
3. QA Agent - Automated Smoke Testing</t>
    </r>
    <r>
      <rPr>
        <rFont val="Arial"/>
        <strike/>
        <color theme="1"/>
      </rPr>
      <t xml:space="preserve">
</t>
    </r>
    <r>
      <rPr>
        <rFont val="Arial"/>
        <color theme="1"/>
      </rPr>
      <t>4. Prepare issue on websocket
5. Add agent activity
6. QA - Agent : multiple app session</t>
    </r>
  </si>
  <si>
    <t>1. In Progress
2.Done
3. New
4. In Progress
5. Postpone
6. Postpone</t>
  </si>
  <si>
    <r>
      <rPr>
        <color rgb="FF1155CC"/>
        <u/>
      </rPr>
      <t>1</t>
    </r>
    <r>
      <rPr>
        <color rgb="FF1155CC"/>
        <u/>
      </rPr>
      <t xml:space="preserve">
</t>
    </r>
    <r>
      <rPr>
        <color rgb="FF1155CC"/>
        <u/>
      </rPr>
      <t>2</t>
    </r>
    <r>
      <rPr>
        <color rgb="FF1155CC"/>
        <u/>
      </rPr>
      <t xml:space="preserve">
</t>
    </r>
    <r>
      <rPr>
        <color rgb="FF1155CC"/>
        <u/>
      </rPr>
      <t>3
4
5
6</t>
    </r>
  </si>
  <si>
    <r>
      <rPr>
        <rFont val="Arial"/>
        <color theme="1"/>
      </rPr>
      <t>1. AWS AI practitioner</t>
    </r>
    <r>
      <rPr>
        <rFont val="Arial"/>
        <strike/>
        <color theme="1"/>
      </rPr>
      <t xml:space="preserve">
</t>
    </r>
    <r>
      <rPr>
        <rFont val="Arial"/>
        <color theme="1"/>
      </rPr>
      <t>2. QA -Agent : Add Application field to the helpdesk email do that we know from which App the email is send to
3. QA Agent - Automated Smoke Testing</t>
    </r>
    <r>
      <rPr>
        <rFont val="Arial"/>
        <strike/>
        <color theme="1"/>
      </rPr>
      <t xml:space="preserve">
</t>
    </r>
    <r>
      <rPr>
        <rFont val="Arial"/>
        <color theme="1"/>
      </rPr>
      <t>4. Make the User login page more visible to see
5. Add agent activity
6. QA - Agent : multiple app session
7. QA - Agent: Improve Result</t>
    </r>
  </si>
  <si>
    <t>1. In Progress
2.Done
3. Postpone
4. Done
5. Postpone
6. Deployed to UAT
7. In Progress</t>
  </si>
  <si>
    <r>
      <rPr>
        <color rgb="FF1155CC"/>
        <u/>
      </rPr>
      <t>1</t>
    </r>
    <r>
      <rPr>
        <color rgb="FF1155CC"/>
        <u/>
      </rPr>
      <t xml:space="preserve">
</t>
    </r>
    <r>
      <rPr>
        <color rgb="FF1155CC"/>
        <u/>
      </rPr>
      <t>2</t>
    </r>
    <r>
      <rPr>
        <color rgb="FF1155CC"/>
        <u/>
      </rPr>
      <t xml:space="preserve">
</t>
    </r>
    <r>
      <rPr>
        <color rgb="FF1155CC"/>
        <u/>
      </rPr>
      <t>3
4
5
6
7</t>
    </r>
  </si>
  <si>
    <r>
      <rPr>
        <rFont val="Arial"/>
        <color theme="1"/>
      </rPr>
      <t>1. AWS AI practitioner</t>
    </r>
    <r>
      <rPr>
        <rFont val="Arial"/>
        <strike/>
        <color theme="1"/>
      </rPr>
      <t xml:space="preserve">
</t>
    </r>
    <r>
      <rPr>
        <rFont val="Arial"/>
        <color theme="1"/>
      </rPr>
      <t>2. QA -Agent : Add Application field to the helpdesk email do that we know from which App the email is send to
3. QA Agent - Automated Smoke Testing</t>
    </r>
    <r>
      <rPr>
        <rFont val="Arial"/>
        <strike/>
        <color theme="1"/>
      </rPr>
      <t xml:space="preserve">
</t>
    </r>
    <r>
      <rPr>
        <rFont val="Arial"/>
        <color theme="1"/>
      </rPr>
      <t>4. Make the User login page more visible to see
5. Add agent activity
6. QA - Agent : multiple app session
7. QA - Agent: Improve Result</t>
    </r>
  </si>
  <si>
    <r>
      <rPr>
        <color rgb="FF1155CC"/>
        <u/>
      </rPr>
      <t>1</t>
    </r>
    <r>
      <rPr>
        <color rgb="FF1155CC"/>
        <u/>
      </rPr>
      <t xml:space="preserve">
</t>
    </r>
    <r>
      <rPr>
        <color rgb="FF1155CC"/>
        <u/>
      </rPr>
      <t>2</t>
    </r>
    <r>
      <rPr>
        <color rgb="FF1155CC"/>
        <u/>
      </rPr>
      <t xml:space="preserve">
</t>
    </r>
    <r>
      <rPr>
        <color rgb="FF1155CC"/>
        <u/>
      </rPr>
      <t>3
4
5
6
7</t>
    </r>
  </si>
  <si>
    <r>
      <rPr>
        <rFont val="Arial"/>
        <color theme="1"/>
      </rPr>
      <t>1. AWS AI practitioner</t>
    </r>
    <r>
      <rPr>
        <rFont val="Arial"/>
        <strike/>
        <color theme="1"/>
      </rPr>
      <t xml:space="preserve">
</t>
    </r>
    <r>
      <rPr>
        <rFont val="Arial"/>
        <color theme="1"/>
      </rPr>
      <t>2. QA -Agent : Add Application field to the helpdesk email do that we know from which App the email is send to
3. QA Agent - Automated Smoke Testing</t>
    </r>
    <r>
      <rPr>
        <rFont val="Arial"/>
        <strike/>
        <color theme="1"/>
      </rPr>
      <t xml:space="preserve">
</t>
    </r>
    <r>
      <rPr>
        <rFont val="Arial"/>
        <color theme="1"/>
      </rPr>
      <t>4. Make the User login page more visible to see
5. Add agent activity
6. QA - Agent : multiple app session
7. QA - Agent: Improve Result</t>
    </r>
  </si>
  <si>
    <r>
      <rPr>
        <color rgb="FF1155CC"/>
        <u/>
      </rPr>
      <t>1</t>
    </r>
    <r>
      <rPr>
        <color rgb="FF1155CC"/>
        <u/>
      </rPr>
      <t xml:space="preserve">
</t>
    </r>
    <r>
      <rPr>
        <color rgb="FF1155CC"/>
        <u/>
      </rPr>
      <t>2</t>
    </r>
    <r>
      <rPr>
        <color rgb="FF1155CC"/>
        <u/>
      </rPr>
      <t xml:space="preserve">
</t>
    </r>
    <r>
      <rPr>
        <color rgb="FF1155CC"/>
        <u/>
      </rPr>
      <t>3
4
5
6
7</t>
    </r>
  </si>
  <si>
    <r>
      <rPr>
        <rFont val="Arial"/>
        <color theme="1"/>
      </rPr>
      <t>1. AWS AI practitioner</t>
    </r>
    <r>
      <rPr>
        <rFont val="Arial"/>
        <strike/>
        <color theme="1"/>
      </rPr>
      <t xml:space="preserve">
</t>
    </r>
    <r>
      <rPr>
        <rFont val="Arial"/>
        <color theme="1"/>
      </rPr>
      <t>2. QA -Agent : Add Application field to the helpdesk email do that we know from which App the email is send to
3. QA Agent - Automated Smoke Testing</t>
    </r>
    <r>
      <rPr>
        <rFont val="Arial"/>
        <strike/>
        <color theme="1"/>
      </rPr>
      <t xml:space="preserve">
</t>
    </r>
    <r>
      <rPr>
        <rFont val="Arial"/>
        <color theme="1"/>
      </rPr>
      <t>4. Make the User login page more visible to see
5. Add agent activity
6. QA - Agent : multiple app session
7. QA - Agent: Improve Result</t>
    </r>
  </si>
  <si>
    <r>
      <rPr>
        <color rgb="FF1155CC"/>
        <u/>
      </rPr>
      <t>1</t>
    </r>
    <r>
      <rPr>
        <color rgb="FF1155CC"/>
        <u/>
      </rPr>
      <t xml:space="preserve">
</t>
    </r>
    <r>
      <rPr>
        <color rgb="FF1155CC"/>
        <u/>
      </rPr>
      <t>2</t>
    </r>
    <r>
      <rPr>
        <color rgb="FF1155CC"/>
        <u/>
      </rPr>
      <t xml:space="preserve">
</t>
    </r>
    <r>
      <rPr>
        <color rgb="FF1155CC"/>
        <u/>
      </rPr>
      <t>3
4
5
6
7</t>
    </r>
  </si>
  <si>
    <r>
      <rPr>
        <rFont val="Arial"/>
        <color theme="1"/>
      </rPr>
      <t>1. AWS AI practitioner</t>
    </r>
    <r>
      <rPr>
        <rFont val="Arial"/>
        <strike/>
        <color theme="1"/>
      </rPr>
      <t xml:space="preserve">
</t>
    </r>
    <r>
      <rPr>
        <rFont val="Arial"/>
        <color theme="1"/>
      </rPr>
      <t>2. QA -Agent : Add Application field to the helpdesk email do that we know from which App the email is send to
3. QA Agent - Automated Smoke Testing</t>
    </r>
    <r>
      <rPr>
        <rFont val="Arial"/>
        <strike/>
        <color theme="1"/>
      </rPr>
      <t xml:space="preserve">
</t>
    </r>
    <r>
      <rPr>
        <rFont val="Arial"/>
        <color theme="1"/>
      </rPr>
      <t>4. Make the User login page more visible to see
5. Add agent activity
6. QA - Agent : multiple app session
7. QA - Agent: Improve Result</t>
    </r>
  </si>
  <si>
    <t>1. In Progress
2.Done
3. Postpone
4. Done
5. Postpone
6. Done
7. Deployed to UAT</t>
  </si>
  <si>
    <r>
      <rPr>
        <color rgb="FF1155CC"/>
        <u/>
      </rPr>
      <t>1</t>
    </r>
    <r>
      <rPr>
        <color rgb="FF1155CC"/>
        <u/>
      </rPr>
      <t xml:space="preserve">
</t>
    </r>
    <r>
      <rPr>
        <color rgb="FF1155CC"/>
        <u/>
      </rPr>
      <t>2</t>
    </r>
    <r>
      <rPr>
        <color rgb="FF1155CC"/>
        <u/>
      </rPr>
      <t xml:space="preserve">
</t>
    </r>
    <r>
      <rPr>
        <color rgb="FF1155CC"/>
        <u/>
      </rPr>
      <t>3
4
5
6
7</t>
    </r>
  </si>
  <si>
    <t>1. AWS AI practitioner
2. QA -Agent : Add Application field to the helpdesk email do that we know from which App the email is send to
3. QA Agent - Automated Smoke Testing
4. Make the User login page more visible to see
5. Add agent activity
6. QA - Agent : multiple app session
7. QA - Agent: Improve Result
8. Support Priya</t>
  </si>
  <si>
    <r>
      <rPr>
        <color rgb="FF1155CC"/>
        <u/>
      </rPr>
      <t>1</t>
    </r>
    <r>
      <rPr>
        <color rgb="FF1155CC"/>
        <u/>
      </rPr>
      <t xml:space="preserve">
</t>
    </r>
    <r>
      <rPr>
        <color rgb="FF1155CC"/>
        <u/>
      </rPr>
      <t>2</t>
    </r>
    <r>
      <rPr>
        <color rgb="FF1155CC"/>
        <u/>
      </rPr>
      <t xml:space="preserve">
</t>
    </r>
    <r>
      <rPr>
        <color rgb="FF1155CC"/>
        <u/>
      </rPr>
      <t>3
4
5
6
7</t>
    </r>
  </si>
  <si>
    <r>
      <rPr>
        <color rgb="FF1155CC"/>
        <u/>
      </rPr>
      <t>1</t>
    </r>
    <r>
      <rPr>
        <color rgb="FF1155CC"/>
        <u/>
      </rPr>
      <t xml:space="preserve">
</t>
    </r>
    <r>
      <rPr>
        <color rgb="FF1155CC"/>
        <u/>
      </rPr>
      <t>2</t>
    </r>
    <r>
      <rPr>
        <color rgb="FF1155CC"/>
        <u/>
      </rPr>
      <t xml:space="preserve">
</t>
    </r>
    <r>
      <rPr>
        <color rgb="FF1155CC"/>
        <u/>
      </rPr>
      <t>3
4
5
6
7</t>
    </r>
  </si>
  <si>
    <r>
      <rPr>
        <color rgb="FF1155CC"/>
        <u/>
      </rPr>
      <t>1</t>
    </r>
    <r>
      <rPr>
        <color rgb="FF1155CC"/>
        <u/>
      </rPr>
      <t xml:space="preserve">
</t>
    </r>
    <r>
      <rPr>
        <color rgb="FF1155CC"/>
        <u/>
      </rPr>
      <t>2</t>
    </r>
    <r>
      <rPr>
        <color rgb="FF1155CC"/>
        <u/>
      </rPr>
      <t xml:space="preserve">
</t>
    </r>
    <r>
      <rPr>
        <color rgb="FF1155CC"/>
        <u/>
      </rPr>
      <t>3
4
5
6
7</t>
    </r>
  </si>
  <si>
    <r>
      <rPr>
        <color rgb="FF1155CC"/>
        <u/>
      </rPr>
      <t>1</t>
    </r>
    <r>
      <rPr>
        <color rgb="FF1155CC"/>
        <u/>
      </rPr>
      <t xml:space="preserve">
</t>
    </r>
    <r>
      <rPr>
        <color rgb="FF1155CC"/>
        <u/>
      </rPr>
      <t>2</t>
    </r>
    <r>
      <rPr>
        <color rgb="FF1155CC"/>
        <u/>
      </rPr>
      <t xml:space="preserve">
</t>
    </r>
    <r>
      <rPr>
        <color rgb="FF1155CC"/>
        <u/>
      </rPr>
      <t>3
4
5
6
7</t>
    </r>
  </si>
  <si>
    <t>1. AWS AI practitioner
2. QA Agent - Automated Smoke Testing
3. Add agent activity</t>
  </si>
  <si>
    <t>1. In Progress
2. Postpone
3. Postpone</t>
  </si>
  <si>
    <t>1. AWS AI practitioner
2. QA Agent - Automated Smoke Testing
3. Add agent activity
4. Report &amp; Dashboard generation from Natural Language
5. QA-Agent : Upload template</t>
  </si>
  <si>
    <t>1. In Progress
2. Ready for development
3. Postpone
4. New
5. In Progress</t>
  </si>
  <si>
    <t>1
2
3
4
5</t>
  </si>
  <si>
    <t>1. Done
2. Done
3. Postpone
4. In Progress
5. Done</t>
  </si>
  <si>
    <t>1. Report &amp; Dashboard generation from Natural Language</t>
  </si>
  <si>
    <t>4.1.1 Manage content - upload from computer</t>
  </si>
  <si>
    <t>1. Manage content - upload from computer
2. Browse KB - view files</t>
  </si>
  <si>
    <r>
      <rPr>
        <color rgb="FF434343"/>
        <u/>
      </rPr>
      <t xml:space="preserve">1
</t>
    </r>
    <r>
      <rPr>
        <color rgb="FF1155CC"/>
        <u/>
      </rPr>
      <t>2</t>
    </r>
  </si>
  <si>
    <t>1. Manage content - upload from computer
2. Browse KB - view files
3. Browse KB - download file</t>
  </si>
  <si>
    <t>1. Done
2. Done
3. In Progress</t>
  </si>
  <si>
    <r>
      <rPr>
        <color rgb="FF434343"/>
        <u/>
      </rPr>
      <t xml:space="preserve">1
</t>
    </r>
    <r>
      <rPr>
        <color rgb="FF1155CC"/>
        <u/>
      </rPr>
      <t>2
3</t>
    </r>
  </si>
  <si>
    <t>1. Manage content - upload from computer
2. Browse KB - view files
3. Browse KB - download file
4. Browse KB - view PDF content</t>
  </si>
  <si>
    <t>1. Done
2. Done
3. Done
4. In Progress</t>
  </si>
  <si>
    <r>
      <rPr>
        <color rgb="FF434343"/>
        <u/>
      </rPr>
      <t xml:space="preserve">1
</t>
    </r>
    <r>
      <rPr>
        <color rgb="FF1155CC"/>
        <u/>
      </rPr>
      <t>2
3</t>
    </r>
  </si>
  <si>
    <t>1. Manage content - upload from computer
2. Browse KB - view files
3. Browse KB - download file
4. Browse KB - view PDF content
5. Browse KB - view docx, doc, txt, md and other text files content</t>
  </si>
  <si>
    <t>1. Done
2. Done
3. Done
4. Done
5. In Progress</t>
  </si>
  <si>
    <r>
      <rPr>
        <color rgb="FF434343"/>
        <u/>
      </rPr>
      <t xml:space="preserve">1
</t>
    </r>
    <r>
      <rPr>
        <color rgb="FF1155CC"/>
        <u/>
      </rPr>
      <t>2
3
4</t>
    </r>
  </si>
  <si>
    <t>1. Manage content - upload from computer
2. Browse KB - view files
3. Browse KB - download file
4. Browse KB - view PDF content
5. Browse KB - view docx, doc, txt, md and other text files content
6. Browse KB - Clean Code</t>
  </si>
  <si>
    <t>1. Done
2. Done
3. Done
4. Done
5. Done
6. In Progress</t>
  </si>
  <si>
    <r>
      <rPr>
        <color rgb="FF434343"/>
        <u/>
      </rPr>
      <t xml:space="preserve">1
</t>
    </r>
    <r>
      <rPr>
        <color rgb="FF1155CC"/>
        <u/>
      </rPr>
      <t xml:space="preserve">2
3
4
5
</t>
    </r>
    <r>
      <rPr/>
      <t xml:space="preserve">
</t>
    </r>
    <r>
      <rPr>
        <color rgb="FF1155CC"/>
        <u/>
      </rPr>
      <t>6</t>
    </r>
  </si>
  <si>
    <r>
      <rPr/>
      <t xml:space="preserve">- BA Agent: Generate User Story Based on uploaded requirement (task </t>
    </r>
    <r>
      <rPr>
        <color rgb="FF1155CC"/>
        <u/>
      </rPr>
      <t xml:space="preserve">#AI86 ):
</t>
    </r>
    <r>
      <rPr/>
      <t>update code based on feedback on weekly meeting 
create merge request to git:
FE: https://hub.ecquaria.com/gitlab/inov8/toppangpt-fe/-/merge_requests/13 ( MR to devel )
BE: https://hub.ecquaria.com/gitlab/inov8/toppangpt-be/-/merge_requests/43 (MR to feat/refactor)</t>
    </r>
  </si>
  <si>
    <r>
      <rPr/>
      <t xml:space="preserve">- BA Agent: Generate User Story Based on uploaded requirement (task </t>
    </r>
    <r>
      <rPr>
        <color rgb="FF1155CC"/>
        <u/>
      </rPr>
      <t xml:space="preserve">#AI86 </t>
    </r>
    <r>
      <rPr/>
      <t>)
improve prompts to get better result from llm
- Deploy to azure</t>
    </r>
  </si>
  <si>
    <t>Ready for Deploy</t>
  </si>
  <si>
    <r>
      <rPr/>
      <t xml:space="preserve">- BA Agent: Refine Specs generated based on human feedback (task </t>
    </r>
    <r>
      <rPr>
        <color rgb="FF1155CC"/>
        <u/>
      </rPr>
      <t>#AI89</t>
    </r>
    <r>
      <rPr/>
      <t xml:space="preserve"> )
There is no standard/rules to generate user feedback. </t>
    </r>
  </si>
  <si>
    <r>
      <rPr/>
      <t xml:space="preserve">- BA Agent: Refine Specs generated based on human feedback (task </t>
    </r>
    <r>
      <rPr>
        <color rgb="FF1155CC"/>
        <u/>
      </rPr>
      <t>#AI89</t>
    </r>
    <r>
      <rPr/>
      <t xml:space="preserve"> )
Backend update</t>
    </r>
  </si>
  <si>
    <r>
      <rPr/>
      <t>-</t>
    </r>
    <r>
      <rPr>
        <strike/>
      </rPr>
      <t xml:space="preserve"> BA Agent: Upload Functional Specs Sample Format </t>
    </r>
    <r>
      <rPr/>
      <t xml:space="preserve">(task </t>
    </r>
    <r>
      <rPr>
        <color rgb="FF1155CC"/>
        <u/>
      </rPr>
      <t>#AI87</t>
    </r>
    <r>
      <rPr/>
      <t xml:space="preserve">  )
- BA Agent: Refine Specs generated based on human feedback (task </t>
    </r>
    <r>
      <rPr>
        <color rgb="FF1155CC"/>
        <u/>
      </rPr>
      <t>#AI89</t>
    </r>
    <r>
      <rPr/>
      <t xml:space="preserve"> )
Backend + frontend update: user can update/improve the content via UI (not using LLM)</t>
    </r>
  </si>
  <si>
    <t>change : move to salman</t>
  </si>
  <si>
    <r>
      <rPr>
        <strike/>
      </rPr>
      <t xml:space="preserve">- BA Agent: Upload Functional Specs Sample Format (task </t>
    </r>
    <r>
      <rPr>
        <strike/>
        <color rgb="FF1155CC"/>
        <u/>
      </rPr>
      <t>#AI87</t>
    </r>
    <r>
      <rPr>
        <strike/>
      </rPr>
      <t xml:space="preserve">  )
</t>
    </r>
    <r>
      <rPr/>
      <t xml:space="preserve">- BA Agent: Refine Specs generated based on human feedback (task </t>
    </r>
    <r>
      <rPr>
        <color rgb="FF1155CC"/>
        <u/>
      </rPr>
      <t>#AI89</t>
    </r>
    <r>
      <rPr/>
      <t xml:space="preserve"> )
The yesterday's solution is not approved. Need to change the logic in the backend  + frontend to use LLM. 
Backend change: finished. </t>
    </r>
  </si>
  <si>
    <r>
      <rPr>
        <strike/>
      </rPr>
      <t xml:space="preserve">- BA Agent: Upload Functional Specs Sample Format (task </t>
    </r>
    <r>
      <rPr>
        <strike/>
        <color rgb="FF1155CC"/>
        <u/>
      </rPr>
      <t>#AI87</t>
    </r>
    <r>
      <rPr>
        <strike/>
      </rPr>
      <t xml:space="preserve">  )
</t>
    </r>
    <r>
      <rPr/>
      <t xml:space="preserve">- BA Agent: Refine Specs generated based on human feedback (task </t>
    </r>
    <r>
      <rPr>
        <color rgb="FF1155CC"/>
        <u/>
      </rPr>
      <t xml:space="preserve">#AI89 </t>
    </r>
    <r>
      <rPr/>
      <t>)
Frontend change: finished</t>
    </r>
  </si>
  <si>
    <r>
      <rPr/>
      <t xml:space="preserve">- Learn AWS AI Practitioner (task </t>
    </r>
    <r>
      <rPr>
        <color rgb="FF1155CC"/>
        <u/>
      </rPr>
      <t>#AI59</t>
    </r>
    <r>
      <rPr/>
      <t xml:space="preserve"> )
up to: Amazon Q
- BA Agent: Refine Specs generated based on human feedback (task </t>
    </r>
    <r>
      <rPr>
        <color rgb="FF1155CC"/>
        <u/>
      </rPr>
      <t xml:space="preserve">#AI89 </t>
    </r>
    <r>
      <rPr/>
      <t>):
1. demo to Sulthan
2. update code based on Sulthan's feedback
3. demo to Sulthan part 2: approved
4. deploy to Azure beta</t>
    </r>
  </si>
  <si>
    <r>
      <rPr/>
      <t xml:space="preserve">Learn AWS AI Practitioner (task </t>
    </r>
    <r>
      <rPr>
        <color rgb="FF1155CC"/>
        <u/>
      </rPr>
      <t>#AI59</t>
    </r>
    <r>
      <rPr/>
      <t xml:space="preserve"> )
- up to: Amazon SageMaker</t>
    </r>
  </si>
  <si>
    <r>
      <rPr/>
      <t xml:space="preserve">- Learn AWS AI Practitioner (task </t>
    </r>
    <r>
      <rPr>
        <color rgb="FF1155CC"/>
        <u/>
      </rPr>
      <t>#AI59</t>
    </r>
    <r>
      <rPr/>
      <t xml:space="preserve"> )
up to: AI Challenge and Responsibility
- BA Agent: Upload Functional Specs Sample Format (task </t>
    </r>
    <r>
      <rPr>
        <color rgb="FF1155CC"/>
        <u/>
      </rPr>
      <t>#AI87</t>
    </r>
    <r>
      <rPr/>
      <t xml:space="preserve"> )
extract uploaded fs sample</t>
    </r>
  </si>
  <si>
    <r>
      <rPr/>
      <t xml:space="preserve">Learn AWS AI Practitioner (task </t>
    </r>
    <r>
      <rPr>
        <color rgb="FF1155CC"/>
        <u/>
      </rPr>
      <t>#AI59</t>
    </r>
    <r>
      <rPr/>
      <t xml:space="preserve"> )
up to: AWS Security practice and more (1st half)
- BA Agent: Upload Functional Specs Sample Format (task </t>
    </r>
    <r>
      <rPr>
        <color rgb="FF1155CC"/>
        <u/>
      </rPr>
      <t>#AI87</t>
    </r>
    <r>
      <rPr/>
      <t xml:space="preserve"> )
simplify the extracted fs</t>
    </r>
  </si>
  <si>
    <r>
      <rPr/>
      <t xml:space="preserve">- BA Agent: Upload Functional Specs Sample Format (task </t>
    </r>
    <r>
      <rPr>
        <color rgb="FF1155CC"/>
        <u/>
      </rPr>
      <t>#AI87</t>
    </r>
    <r>
      <rPr/>
      <t xml:space="preserve"> )
update prompt based on template</t>
    </r>
  </si>
  <si>
    <r>
      <rPr/>
      <t xml:space="preserve">- BA Agent: Multilingual Support (task </t>
    </r>
    <r>
      <rPr>
        <color rgb="FF1155CC"/>
        <u/>
      </rPr>
      <t>#AI173</t>
    </r>
    <r>
      <rPr/>
      <t>)
using branch main: backend complete</t>
    </r>
  </si>
  <si>
    <r>
      <rPr/>
      <t xml:space="preserve">- BA Agent: Multilingual Support (task </t>
    </r>
    <r>
      <rPr>
        <color rgb="FF1155CC"/>
        <u/>
      </rPr>
      <t>#AI173</t>
    </r>
    <r>
      <rPr/>
      <t>)
using branch main: frontend complete</t>
    </r>
  </si>
  <si>
    <r>
      <rPr/>
      <t xml:space="preserve">- BA Agent: Multilingual Support (task </t>
    </r>
    <r>
      <rPr>
        <color rgb="FF1155CC"/>
        <u/>
      </rPr>
      <t>#AI173</t>
    </r>
    <r>
      <rPr/>
      <t>)
merge source to branch feat/upload-template-ba (update frontend and backend): in progress</t>
    </r>
  </si>
  <si>
    <r>
      <rPr/>
      <t xml:space="preserve">- BA Agent: Multilingual Support (task </t>
    </r>
    <r>
      <rPr>
        <color rgb="FF1155CC"/>
        <u/>
      </rPr>
      <t>#AI173</t>
    </r>
    <r>
      <rPr/>
      <t>)
merge source to branch feat/upload-template-ba (update frontend and backend): completed
- deploy to UAT Azure:
1. learn ci/cd deployment
2. deploy to UAT server
on hold due to unable to connect to Gitlab</t>
    </r>
  </si>
  <si>
    <r>
      <rPr/>
      <t xml:space="preserve">- BA Agent: Multilingual Support (task </t>
    </r>
    <r>
      <rPr>
        <color rgb="FF1155CC"/>
        <u/>
      </rPr>
      <t>#AI173</t>
    </r>
    <r>
      <rPr/>
      <t>)
1. continue to deploy to UAT server</t>
    </r>
  </si>
  <si>
    <r>
      <rPr/>
      <t xml:space="preserve">1. Merge latest source from feat/upload-sample-file-ba to staging branch (ba_agent_stg), protect staging branch
2. Deploy to UAT server after merging
3. BA Assistant – Refine specs to be more useful instead of just copying from req (task </t>
    </r>
    <r>
      <rPr>
        <color rgb="FF1155CC"/>
        <u/>
      </rPr>
      <t>#AI178</t>
    </r>
    <r>
      <rPr/>
      <t>)
a. try using the updated prompts from Hanafi. The overall quality is similar to the existing result. Need more tweak the prompt to get better result
b. the processMap generated from LLM is in Mermaid style. Need to change the parsing logic to generate flowchart.</t>
    </r>
  </si>
  <si>
    <r>
      <rPr/>
      <t xml:space="preserve">- finish ci/cd to UAT env. All update/push to staging branch on gitlab will trigger redeployment to Azure UAT server
- BA Assistant – Refine specs to be more useful instead of just copying from req (task </t>
    </r>
    <r>
      <rPr>
        <color rgb="FF1155CC"/>
        <u/>
      </rPr>
      <t>#AI178</t>
    </r>
    <r>
      <rPr/>
      <t>) :
1. update prompts: there are improvement in the 'business_rules' and 'data' fields. The business_rules now have sections and the 'data' has additional info for remarks, validation, format (length) etc
2. update temperature: no significant changes so far. 
3. creating new class to generate flowchart</t>
    </r>
  </si>
  <si>
    <r>
      <rPr/>
      <t xml:space="preserve">- BA Assistant – Refine specs to be more useful instead of just copying from req (task </t>
    </r>
    <r>
      <rPr>
        <color rgb="FF1155CC"/>
        <u/>
      </rPr>
      <t>#AI178</t>
    </r>
    <r>
      <rPr/>
      <t xml:space="preserve">) :
update prompts for requirements detail. There are improvent: `data` now have sections, instead of only one. The `post_condition` now also have sections.
There are difference in the requirement result and the document uploaded. Some requirements in the document are not covered in the req output. Upon investigation it turns out the problem was in the 'context' itself.
by 'context' here is the user story. User story is generated by LLM thus the problem is in the prompt for user story. We tried to get the detailed user story from the document but somehow LLM skips a certain content. After investigation we found that the LLM is constrained by its section title; e.g. the section titled "billing &amp; payment" and they have 10 content lines. 7 of them talked about billing but the 3 of them other things. The LLM will assume the actor will be related to billing  manager and payment thus skip the other 3 content. 
The solution for this scenario is by change the prompt to asking "content over format" Do not be constrained by section titles.
After the changes, the user story is more detailed and as for the generated requirement we get around 50 modules instead of only 10 modules previously with the same document. 
There are things to consider with this solutions:
1. token limitation. The more detailed the prompts, the more detailed the result it generates. The bigger chance it gets token limitation error
2. qdrant payload: the current size of qdrant payload for the collection is already ideal. If there is a plan to increase it, it means more data for context -&gt; the more chance it gets token limitation error
3. as the number of module generated is 5x from before, it means the time needed to generate functional specs is longer
</t>
    </r>
  </si>
  <si>
    <t>- BA Assistant – Refine specs to be more useful instead of just copying from req (task #AI178) :
today's testing we found that for the same user story as yesterday we get 60+ modules and the time execution to get the requirements for all modules is more than 30+ minutes
ask gemini to improve the result but also reducing the time execution. They give some suggestion but not all of them applicable for our case problem. 
we conclude the strategy we will be implement is:
1. module sumarization/grouping module into main module and sub modules. This 'main-module' is what we use for looping to get the detailed requirement
2. use module description as context instead of the whole document for each loop
gruoping modules (50+) into main modules and its sub module. Next week I plan to use description for all the module as context, instead of using the whole document.</t>
  </si>
  <si>
    <t xml:space="preserve">- BA Assistant – Refine specs to be more useful instead of just copying from req (task #AI178) :
1. continue working on grouping modules into main-module and sub-modules
- update multilang support for feedback and help page
- update release notes
</t>
  </si>
  <si>
    <t>medical leave</t>
  </si>
  <si>
    <r>
      <rPr/>
      <t xml:space="preserve">1. continue update multilang support for feedback and help page  </t>
    </r>
    <r>
      <rPr>
        <color rgb="FF1155CC"/>
        <u/>
      </rPr>
      <t>#TaskAI173</t>
    </r>
    <r>
      <rPr/>
      <t xml:space="preserve"> and </t>
    </r>
    <r>
      <rPr>
        <color rgb="FF1155CC"/>
        <u/>
      </rPr>
      <t>#TaskAI157</t>
    </r>
    <r>
      <rPr/>
      <t xml:space="preserve">
2. deploying fixes taiga findings to UAT for :  </t>
    </r>
    <r>
      <rPr>
        <color rgb="FF1155CC"/>
        <u/>
      </rPr>
      <t>#TaskAI173</t>
    </r>
    <r>
      <rPr/>
      <t xml:space="preserve"> and </t>
    </r>
    <r>
      <rPr>
        <color rgb="FF1155CC"/>
        <u/>
      </rPr>
      <t>#TaskAI157</t>
    </r>
    <r>
      <rPr/>
      <t xml:space="preserve">
3. testing the issue mentioned in the email: can not reproduce the issue with the same scenario on UAT. All works fine.
The issue mentioned in the email was regarding error timeout on 19/08 (yesterday) but we don't store any logs in the UAT. 
</t>
    </r>
  </si>
  <si>
    <t>Ready for UAT (SG)</t>
  </si>
  <si>
    <r>
      <rPr/>
      <t xml:space="preserve">- BA Assistant – Refine specs to be more useful instead of just copying from req (task </t>
    </r>
    <r>
      <rPr>
        <color rgb="FF1155CC"/>
        <u/>
      </rPr>
      <t>#AI178</t>
    </r>
    <r>
      <rPr/>
      <t xml:space="preserve">) :
1. testing with upload doc only billing-related input. We get 10 modules out of it and it covers all the rrequirement mentioned in the doc.
2. update backend : in progress
</t>
    </r>
  </si>
  <si>
    <r>
      <rPr/>
      <t>- BA Assistant – Refine specs to be more useful instead of just copying from req (task</t>
    </r>
    <r>
      <rPr>
        <color rgb="FF1155CC"/>
        <u/>
      </rPr>
      <t xml:space="preserve"> #AI178</t>
    </r>
    <r>
      <rPr/>
      <t xml:space="preserve">) :
1. update prompt to get detail business_rules. 
for some module, it works; Others having weird output. For example:
normal output:
"business_rules":[{"rule_key":"Advance Payment Processing","rule_detail":["1. Finance Staff selects 'Record Advance Payment' from the module.","2. Finance Staff enters payment details including date and amount.","3. System validates the data and records the transaction.","4. System updates the patient's bill and account balance accordingly."]},{"rule_key":"Refund Processing","rule_detail":["1. Finance Staff selects 'Process Refund' from the module.","2. Finance Staff enters refund details and obtains necessary authorization.","3. System validates the data and processes the refund.","4. System updates the patient's bill and account balance.","5. System ensures accurate financial reporting for the transaction."]}]
weird output:
business_rules":[{"rule_key":"Payment Processing","rule_detail":100},{"rule_key":"Payment Confirmation","rule_detail":101}]   =&gt; weird output.
</t>
    </r>
  </si>
  <si>
    <r>
      <rPr/>
      <t xml:space="preserve">- BA Assistant – Refine specs to be more useful instead of just copying from req (task </t>
    </r>
    <r>
      <rPr>
        <color rgb="FF1155CC"/>
        <u/>
      </rPr>
      <t>#AI178</t>
    </r>
    <r>
      <rPr/>
      <t xml:space="preserve">) :
1. fixes the weird output in the business_process by updating the prompts and change ‘context’. Now all the modules get complete business_rules.
2. finish download fs
</t>
    </r>
  </si>
  <si>
    <r>
      <rPr/>
      <t xml:space="preserve">- BA Assistant – Refine specs to be more useful instead of just copying from req (task </t>
    </r>
    <r>
      <rPr>
        <color rgb="FF1155CC"/>
        <u/>
      </rPr>
      <t>#AI178</t>
    </r>
    <r>
      <rPr/>
      <t>) :
1. Front end: make pagination in in the UI for functional spec preview 
2. Support Priya</t>
    </r>
  </si>
  <si>
    <r>
      <rPr/>
      <t xml:space="preserve">- BA Assistant – Refine specs to be more useful instead of just copying from req (task </t>
    </r>
    <r>
      <rPr>
        <color rgb="FF1155CC"/>
        <u/>
      </rPr>
      <t>#AI178</t>
    </r>
    <r>
      <rPr/>
      <t xml:space="preserve">) :
1. Frontend: finish update for module, requirements and fs preview
-.Support Priya:
- fix issues: 
1. </t>
    </r>
    <r>
      <rPr>
        <color rgb="FF1155CC"/>
        <u/>
      </rPr>
      <t>https://taiga.ecquaria.org/project/tecq-ai/issue/14</t>
    </r>
    <r>
      <rPr/>
      <t xml:space="preserve"> 
2. </t>
    </r>
    <r>
      <rPr>
        <color rgb="FF1155CC"/>
        <u/>
      </rPr>
      <t>https://taiga.ecquaria.org/project/tecq-ai/issue/15</t>
    </r>
  </si>
  <si>
    <t>Ready for SIT (BD to SG)</t>
  </si>
  <si>
    <r>
      <rPr/>
      <t xml:space="preserve">- BA Assistant – Refine specs to be more useful instead of just copying from req (task </t>
    </r>
    <r>
      <rPr>
        <color rgb="FF1155CC"/>
        <u/>
      </rPr>
      <t>#AI178</t>
    </r>
    <r>
      <rPr/>
      <t>) :
1. merge to staging branch and deploy to UAT</t>
    </r>
  </si>
  <si>
    <r>
      <rPr/>
      <t xml:space="preserve">BA Assistant: Optimize the Execution Time (task </t>
    </r>
    <r>
      <rPr>
        <color rgb="FF1155CC"/>
        <u/>
      </rPr>
      <t>#AI205</t>
    </r>
    <r>
      <rPr/>
      <t xml:space="preserve">)
- Support Priya
1. fix issue: 
</t>
    </r>
    <r>
      <rPr>
        <color rgb="FF1155CC"/>
        <u/>
      </rPr>
      <t>https://taiga.ecquaria.org/project/tecq-ai/issue/14</t>
    </r>
    <r>
      <rPr/>
      <t xml:space="preserve"> (issue on Friday, due to deployment on UAT server)</t>
    </r>
  </si>
  <si>
    <r>
      <rPr/>
      <t>1. Fix multi-session issue and refresh on generate fs  (</t>
    </r>
    <r>
      <rPr>
        <b/>
      </rPr>
      <t>no taiga</t>
    </r>
    <r>
      <rPr/>
      <t xml:space="preserve">)
2. BA Assistant: Optimize the Execution Time (task </t>
    </r>
    <r>
      <rPr>
        <color rgb="FF1155CC"/>
        <u/>
      </rPr>
      <t>#AI205</t>
    </r>
    <r>
      <rPr/>
      <t>)
-  add retry if getting RateLimitError. Generate 80 module takes less than 1 hour</t>
    </r>
  </si>
  <si>
    <t>Revamp UI</t>
  </si>
  <si>
    <r>
      <rPr/>
      <t xml:space="preserve">1, BA Assistant: Optimize the Execution Time (task </t>
    </r>
    <r>
      <rPr>
        <color rgb="FF1155CC"/>
        <u/>
      </rPr>
      <t>#AI205</t>
    </r>
    <r>
      <rPr/>
      <t xml:space="preserve">)
- elapsed time: 17 mins for 60 modules
2. BA Agent-  Flow chart disable (task </t>
    </r>
    <r>
      <rPr>
        <color rgb="FF1155CC"/>
        <u/>
      </rPr>
      <t>#AI216</t>
    </r>
    <r>
      <rPr/>
      <t>)
-finished</t>
    </r>
  </si>
  <si>
    <t>public holiday</t>
  </si>
  <si>
    <r>
      <rPr/>
      <t xml:space="preserve">1, BA Assistant: Optimize the Execution Time (task </t>
    </r>
    <r>
      <rPr>
        <color rgb="FF1155CC"/>
        <u/>
      </rPr>
      <t>#AI205</t>
    </r>
    <r>
      <rPr/>
      <t xml:space="preserve">)
- on hold
2. Presentation for BA-Agent (task </t>
    </r>
    <r>
      <rPr>
        <color rgb="FF1155CC"/>
        <u/>
      </rPr>
      <t>#AI213</t>
    </r>
    <r>
      <rPr/>
      <t xml:space="preserve">)
 - done
3. BA Log llm call and total per generate FS (task </t>
    </r>
    <r>
      <rPr>
        <color rgb="FF1155CC"/>
        <u/>
      </rPr>
      <t>#AI220</t>
    </r>
    <r>
      <rPr/>
      <t>)
- deployed to UAT</t>
    </r>
  </si>
  <si>
    <r>
      <rPr/>
      <t xml:space="preserve">1, BA Assistant: Optimize the Execution Time (task </t>
    </r>
    <r>
      <rPr>
        <color rgb="FF1155CC"/>
        <u/>
      </rPr>
      <t>#AI205</t>
    </r>
    <r>
      <rPr/>
      <t xml:space="preserve">)
- on hold
</t>
    </r>
    <r>
      <rPr>
        <strike/>
      </rPr>
      <t xml:space="preserve">2. Presentation for BA-Agent (task </t>
    </r>
    <r>
      <rPr>
        <strike/>
        <color rgb="FF1155CC"/>
        <u/>
      </rPr>
      <t>#AI213</t>
    </r>
    <r>
      <rPr>
        <strike/>
      </rPr>
      <t>)</t>
    </r>
    <r>
      <rPr/>
      <t xml:space="preserve">
3. BA Agent-  Flow chart offline process (task </t>
    </r>
    <r>
      <rPr>
        <color rgb="FF1155CC"/>
        <u/>
      </rPr>
      <t>#AI215</t>
    </r>
    <r>
      <rPr/>
      <t xml:space="preserve">)
- setup local env with docker: in progress
4. BA Agent - Bugs new chat still got previous data (task </t>
    </r>
    <r>
      <rPr>
        <color rgb="FF1155CC"/>
        <u/>
      </rPr>
      <t>#AI228</t>
    </r>
    <r>
      <rPr/>
      <t xml:space="preserve">)
- done. deployed to UAT
5. Support Priya </t>
    </r>
  </si>
  <si>
    <r>
      <rPr/>
      <t xml:space="preserve">1, BA Assistant: Optimize the Execution Time (task </t>
    </r>
    <r>
      <rPr>
        <color rgb="FF1155CC"/>
        <u/>
      </rPr>
      <t>#AI205</t>
    </r>
    <r>
      <rPr/>
      <t xml:space="preserve">)
-on hold
</t>
    </r>
    <r>
      <rPr>
        <strike/>
      </rPr>
      <t xml:space="preserve">2. Presentation for BA-Agent (task </t>
    </r>
    <r>
      <rPr>
        <strike/>
        <color rgb="FF1155CC"/>
        <u/>
      </rPr>
      <t>#AI213</t>
    </r>
    <r>
      <rPr>
        <strike/>
      </rPr>
      <t>)</t>
    </r>
    <r>
      <rPr/>
      <t xml:space="preserve">
3. BA Agent-  Flow chart offline process (task </t>
    </r>
    <r>
      <rPr>
        <color rgb="FF1155CC"/>
        <u/>
      </rPr>
      <t>#AI215</t>
    </r>
    <r>
      <rPr/>
      <t>)
- setup local env with docker: completed
the mermaid-cli installed in the same container as backend
- deployed to UAT
4. Support Priya
.</t>
    </r>
  </si>
  <si>
    <r>
      <rPr/>
      <t xml:space="preserve">1, BA Assistant: Optimize the Execution Time (task </t>
    </r>
    <r>
      <rPr>
        <color rgb="FF1155CC"/>
        <u/>
      </rPr>
      <t>#AI205</t>
    </r>
    <r>
      <rPr/>
      <t xml:space="preserve">)
-on hold
</t>
    </r>
    <r>
      <rPr>
        <strike/>
      </rPr>
      <t xml:space="preserve">2. Presentation for BA-Agent (task </t>
    </r>
    <r>
      <rPr>
        <strike/>
        <color rgb="FF1155CC"/>
        <u/>
      </rPr>
      <t>#AI213</t>
    </r>
    <r>
      <rPr>
        <strike/>
      </rPr>
      <t>)</t>
    </r>
    <r>
      <rPr/>
      <t xml:space="preserve">
3. BA Agent-  Flow chart offline process (task </t>
    </r>
    <r>
      <rPr>
        <color rgb="FF1155CC"/>
        <u/>
      </rPr>
      <t>#AI215</t>
    </r>
    <r>
      <rPr/>
      <t>)
-revert commit. It is decided on standup meeting to setup mermaid-cli on different container.
-setup mermaid-server container: completed. Deployed to UAT. Now BA Agent no longer calling mermaid.ink API to render flowchart but from the new mermaid-server
4. Support Priya</t>
    </r>
  </si>
  <si>
    <r>
      <rPr/>
      <t xml:space="preserve">1, BA Assistant: Optimize the Execution Time (task </t>
    </r>
    <r>
      <rPr>
        <color rgb="FF1155CC"/>
        <u/>
      </rPr>
      <t>#AI205</t>
    </r>
    <r>
      <rPr/>
      <t xml:space="preserve">)
-on hold
</t>
    </r>
    <r>
      <rPr>
        <strike/>
      </rPr>
      <t xml:space="preserve">2. Presentation for BA-Agent (task </t>
    </r>
    <r>
      <rPr>
        <strike/>
        <color rgb="FF1155CC"/>
        <u/>
      </rPr>
      <t>#AI213</t>
    </r>
    <r>
      <rPr>
        <strike/>
      </rPr>
      <t>)</t>
    </r>
    <r>
      <rPr/>
      <t xml:space="preserve">
</t>
    </r>
    <r>
      <rPr>
        <strike/>
      </rPr>
      <t xml:space="preserve">3. BA Agent-  Flow chart offline process (task </t>
    </r>
    <r>
      <rPr>
        <strike/>
        <color rgb="FF1155CC"/>
        <u/>
      </rPr>
      <t>#AI215</t>
    </r>
    <r>
      <rPr>
        <strike/>
      </rPr>
      <t xml:space="preserve">)
</t>
    </r>
    <r>
      <rPr/>
      <t xml:space="preserve">4. BA Agent: Download User Story (task </t>
    </r>
    <r>
      <rPr>
        <color rgb="FF1155CC"/>
        <u/>
      </rPr>
      <t>#AI229</t>
    </r>
    <r>
      <rPr/>
      <t xml:space="preserve">) 
done. Deployed to UAT
5. BA Agent: Download module + descriptions (task </t>
    </r>
    <r>
      <rPr>
        <color rgb="FF1155CC"/>
        <u/>
      </rPr>
      <t>#AI230</t>
    </r>
    <r>
      <rPr/>
      <t>)</t>
    </r>
    <r>
      <rPr>
        <strike/>
      </rPr>
      <t xml:space="preserve">
</t>
    </r>
    <r>
      <rPr/>
      <t>done. Deployed to UAT</t>
    </r>
    <r>
      <rPr>
        <strike/>
      </rPr>
      <t xml:space="preserve">
</t>
    </r>
  </si>
  <si>
    <r>
      <rPr/>
      <t xml:space="preserve">1, BA Assistant: Optimize the Execution Time (task </t>
    </r>
    <r>
      <rPr>
        <color rgb="FF1155CC"/>
        <u/>
      </rPr>
      <t>#AI205</t>
    </r>
    <r>
      <rPr/>
      <t xml:space="preserve">)
-on hold
2. BA Agent - make title bigger and deploy to production (task </t>
    </r>
    <r>
      <rPr>
        <color rgb="FF1155CC"/>
        <u/>
      </rPr>
      <t>#AI239</t>
    </r>
    <r>
      <rPr/>
      <t>)
- unable to login ad-azure
.status  in progress</t>
    </r>
  </si>
  <si>
    <r>
      <rPr/>
      <t xml:space="preserve">1, BA Assistant: Optimize the Execution Time (task </t>
    </r>
    <r>
      <rPr>
        <color rgb="FF1155CC"/>
        <u/>
      </rPr>
      <t>#AI205</t>
    </r>
    <r>
      <rPr/>
      <t xml:space="preserve">)
-on hold
2. BA Agent - make title bigger and deploy to production (task </t>
    </r>
    <r>
      <rPr>
        <color rgb="FF1155CC"/>
        <u/>
      </rPr>
      <t>#AI239</t>
    </r>
    <r>
      <rPr/>
      <t xml:space="preserve">) ( 2 MD)
- done. Deployed to UAT and Production
3. BA Agent- Handling error - rate limit (task </t>
    </r>
    <r>
      <rPr>
        <color rgb="FF1155CC"/>
        <u/>
      </rPr>
      <t>#AI238</t>
    </r>
    <r>
      <rPr/>
      <t xml:space="preserve"> ) ( 4 MD)
- done. Deployed to UAT
4. BA Agent - Implement De-duplication of Requirements before entering pipeline (task </t>
    </r>
    <r>
      <rPr>
        <color rgb="FF1155CC"/>
        <u/>
      </rPr>
      <t>#AI241</t>
    </r>
    <r>
      <rPr/>
      <t xml:space="preserve">) (2 MD)
-
5. BA- Implement Kill Switch for Agent Based AI Apps (task </t>
    </r>
    <r>
      <rPr>
        <color rgb="FF1155CC"/>
        <u/>
      </rPr>
      <t>#AI225</t>
    </r>
    <r>
      <rPr/>
      <t xml:space="preserve">)  (3 MD)
-
6. TECQ-AI: Not able to generate Functional Spec even after 1 hour of  generating process (task </t>
    </r>
    <r>
      <rPr>
        <color rgb="FF1155CC"/>
        <u/>
      </rPr>
      <t>#TECQ-AI19</t>
    </r>
    <r>
      <rPr/>
      <t xml:space="preserve">) 
-done. Ready for test by SG QA (Priya)
</t>
    </r>
  </si>
  <si>
    <r>
      <rPr/>
      <t xml:space="preserve">1, BA Assistant: Optimize the Execution Time (task </t>
    </r>
    <r>
      <rPr>
        <color rgb="FF1155CC"/>
        <u/>
      </rPr>
      <t>#AI205</t>
    </r>
    <r>
      <rPr/>
      <t xml:space="preserve">)
-on hold
</t>
    </r>
    <r>
      <rPr>
        <strike/>
      </rPr>
      <t xml:space="preserve">2. BA Agent - make title bigger and deploy to production (task </t>
    </r>
    <r>
      <rPr>
        <strike/>
        <color rgb="FF1155CC"/>
        <u/>
      </rPr>
      <t>#AI239</t>
    </r>
    <r>
      <rPr>
        <strike/>
      </rPr>
      <t>) ( 2 MD)</t>
    </r>
    <r>
      <rPr/>
      <t xml:space="preserve">
</t>
    </r>
    <r>
      <rPr>
        <strike/>
      </rPr>
      <t xml:space="preserve">3. BA Agent- Handling error - rate limit (task </t>
    </r>
    <r>
      <rPr>
        <strike/>
        <color rgb="FF1155CC"/>
        <u/>
      </rPr>
      <t>#AI238</t>
    </r>
    <r>
      <rPr>
        <strike/>
      </rPr>
      <t xml:space="preserve"> ) ( 4 MD)</t>
    </r>
    <r>
      <rPr/>
      <t xml:space="preserve">
4. BA Agent - Implement De-duplication of Requirements before entering pipeline (task </t>
    </r>
    <r>
      <rPr>
        <color rgb="FF1155CC"/>
        <u/>
      </rPr>
      <t>#AI241</t>
    </r>
    <r>
      <rPr/>
      <t xml:space="preserve">) (2 MD)
-
5. BA- Implement Kill Switch for Agent Based AI Apps (task </t>
    </r>
    <r>
      <rPr>
        <color rgb="FF1155CC"/>
        <u/>
      </rPr>
      <t>#AI225</t>
    </r>
    <r>
      <rPr/>
      <t xml:space="preserve"> ) (3 MD)
in progress
</t>
    </r>
    <r>
      <rPr>
        <strike/>
      </rPr>
      <t xml:space="preserve">6. TECQ-AI: Not able to generate Functional Spec even after 1 hour of  generating process (task </t>
    </r>
    <r>
      <rPr>
        <strike/>
        <color rgb="FF1155CC"/>
        <u/>
      </rPr>
      <t>#TECQ-AI19</t>
    </r>
    <r>
      <rPr>
        <strike/>
      </rPr>
      <t xml:space="preserve">) </t>
    </r>
    <r>
      <rPr/>
      <t xml:space="preserve">
</t>
    </r>
  </si>
  <si>
    <r>
      <rPr/>
      <t xml:space="preserve">1, BA Assistant: Optimize the Execution Time (task </t>
    </r>
    <r>
      <rPr>
        <color rgb="FF1155CC"/>
        <u/>
      </rPr>
      <t>#AI205</t>
    </r>
    <r>
      <rPr/>
      <t xml:space="preserve">)
-on hold
2. BA Agent - Implement De-duplication of Requirements before entering pipeline (task </t>
    </r>
    <r>
      <rPr>
        <color rgb="FF1155CC"/>
        <u/>
      </rPr>
      <t>#AI241</t>
    </r>
    <r>
      <rPr/>
      <t xml:space="preserve">) (2 MD)
-
3. BA- Implement Kill Switch for Agent Based AI Apps (task </t>
    </r>
    <r>
      <rPr>
        <color rgb="FF1155CC"/>
        <u/>
      </rPr>
      <t>#AI225</t>
    </r>
    <r>
      <rPr/>
      <t xml:space="preserve"> ) (3 MD)
done. deployed to UAT
</t>
    </r>
  </si>
  <si>
    <r>
      <rPr/>
      <t xml:space="preserve">1, BA Assistant: Optimize the Execution Time (task </t>
    </r>
    <r>
      <rPr>
        <color rgb="FF1155CC"/>
        <u/>
      </rPr>
      <t>#AI205</t>
    </r>
    <r>
      <rPr/>
      <t xml:space="preserve">)
-on hold
2. BA Agent - Implement De-duplication of Requirements before entering pipeline (task </t>
    </r>
    <r>
      <rPr>
        <color rgb="FF1155CC"/>
        <u/>
      </rPr>
      <t>#AI241</t>
    </r>
    <r>
      <rPr/>
      <t xml:space="preserve">) (2 MD)
- in progress
</t>
    </r>
    <r>
      <rPr>
        <strike/>
      </rPr>
      <t xml:space="preserve">3. BA- Implement Kill Switch for Agent Based AI Apps (task </t>
    </r>
    <r>
      <rPr>
        <strike/>
        <color rgb="FF1155CC"/>
        <u/>
      </rPr>
      <t>#AI225</t>
    </r>
    <r>
      <rPr>
        <strike/>
      </rPr>
      <t xml:space="preserve"> ) (3 MD)</t>
    </r>
    <r>
      <rPr/>
      <t xml:space="preserve">
</t>
    </r>
  </si>
  <si>
    <r>
      <rPr>
        <strike/>
      </rPr>
      <t xml:space="preserve">1, BA Assistant: Optimize the Execution Time (task </t>
    </r>
    <r>
      <rPr>
        <strike/>
        <color rgb="FF1155CC"/>
        <u/>
      </rPr>
      <t>#AI205</t>
    </r>
    <r>
      <rPr>
        <strike/>
      </rPr>
      <t>)</t>
    </r>
    <r>
      <rPr/>
      <t xml:space="preserve">
-cancelled
2. BA Agent - Implement De-duplication of Requirements before entering pipeline (task </t>
    </r>
    <r>
      <rPr>
        <color rgb="FF1155CC"/>
        <u/>
      </rPr>
      <t>#AI241</t>
    </r>
    <r>
      <rPr/>
      <t>) 
status: in progress
Document context no longer from looping and chunking per page but retrieve directly from qdrant with embedding model (top K = 30). The number of generated module is quite small and the execution time is faster.</t>
    </r>
  </si>
  <si>
    <r>
      <rPr/>
      <t xml:space="preserve">1. BA Agent - Implement De-duplication of Requirements before entering pipeline (task </t>
    </r>
    <r>
      <rPr>
        <color rgb="FF1155CC"/>
        <u/>
      </rPr>
      <t>#AI241</t>
    </r>
    <r>
      <rPr/>
      <t xml:space="preserve">) 
rollback yesterday's changes. Further testing we found the result is not consistent. Back to chunking per page to get all modules.
We ended up using semantic clustering to summarize the module. More detail in the tracker.
2. BA Agent: Add Application field to the helpdesk email do that we know from which App the email is send (task </t>
    </r>
    <r>
      <rPr>
        <color rgb="FF1155CC"/>
        <u/>
      </rPr>
      <t>#AI257</t>
    </r>
    <r>
      <rPr/>
      <t>)
done. deployed to UAT</t>
    </r>
  </si>
  <si>
    <r>
      <rPr/>
      <t xml:space="preserve">1. BA Agent - Implement De-duplication of Requirements before entering pipeline (task </t>
    </r>
    <r>
      <rPr>
        <color rgb="FF1155CC"/>
        <u/>
      </rPr>
      <t>#AI241</t>
    </r>
    <r>
      <rPr/>
      <t xml:space="preserve">) 
-done. deploy to UAT
</t>
    </r>
    <r>
      <rPr>
        <strike/>
      </rPr>
      <t xml:space="preserve">2. BA Agent: Add Application field to the helpdesk email do that we know from which App the email is send (task </t>
    </r>
    <r>
      <rPr>
        <strike/>
        <color rgb="FF1155CC"/>
        <u/>
      </rPr>
      <t>#AI257</t>
    </r>
    <r>
      <rPr>
        <strike/>
      </rPr>
      <t>)</t>
    </r>
  </si>
  <si>
    <r>
      <rPr>
        <strike/>
      </rPr>
      <t xml:space="preserve">1. BA Agent - Implement De-duplication of Requirements before entering pipeline (task #AI241) </t>
    </r>
    <r>
      <rPr/>
      <t xml:space="preserve">
2. BA -Agent: handle concurency process (task </t>
    </r>
    <r>
      <rPr>
        <color rgb="FF1155CC"/>
        <u/>
      </rPr>
      <t>#AI264</t>
    </r>
    <r>
      <rPr/>
      <t xml:space="preserve"> )
done. Concurrency test in UAT successful.
3. TECQ AI: BA agent generating Functional Spec that has random content apart from the user requirement (</t>
    </r>
    <r>
      <rPr>
        <color rgb="FF1155CC"/>
        <u/>
      </rPr>
      <t>#TECQ-AI22</t>
    </r>
    <r>
      <rPr/>
      <t xml:space="preserve">)
-done. Ready for test by SG QA (Priya)
</t>
    </r>
  </si>
  <si>
    <r>
      <rPr/>
      <t xml:space="preserve">1. BA Agent - Automated Smoke Test (task </t>
    </r>
    <r>
      <rPr>
        <color rgb="FF1155CC"/>
        <u/>
      </rPr>
      <t>#AI263</t>
    </r>
    <r>
      <rPr/>
      <t xml:space="preserve">)
- on hold
2. BA Agent: Remove Log Out on public page (task </t>
    </r>
    <r>
      <rPr>
        <color rgb="FF1155CC"/>
        <u/>
      </rPr>
      <t>#AI254</t>
    </r>
    <r>
      <rPr/>
      <t xml:space="preserve">)
-done. Deployed to UAT
3. BA Agent: UAT test feedback (task </t>
    </r>
    <r>
      <rPr>
        <color rgb="FF1155CC"/>
        <u/>
      </rPr>
      <t>#AI270</t>
    </r>
    <r>
      <rPr/>
      <t>)
-done. Deployed to UAT
4. fix mermaid parsing issue (</t>
    </r>
    <r>
      <rPr>
        <b/>
      </rPr>
      <t>no tracker number</t>
    </r>
    <r>
      <rPr/>
      <t>) 
 -done. Deployed to UAT</t>
    </r>
  </si>
  <si>
    <r>
      <rPr/>
      <t xml:space="preserve">1. BA Agent - Automated Smoke Test (task </t>
    </r>
    <r>
      <rPr>
        <color rgb="FF1155CC"/>
        <u/>
      </rPr>
      <t>#AI263</t>
    </r>
    <r>
      <rPr/>
      <t xml:space="preserve">)
- finish 1 flow test scenario. Waiting for the next instruction
</t>
    </r>
    <r>
      <rPr>
        <strike/>
      </rPr>
      <t xml:space="preserve">2. BA Agent: Remove Log Out on public page (task </t>
    </r>
    <r>
      <rPr>
        <strike/>
        <color rgb="FF1155CC"/>
        <u/>
      </rPr>
      <t>#AI254</t>
    </r>
    <r>
      <rPr>
        <strike/>
      </rPr>
      <t>)</t>
    </r>
    <r>
      <rPr/>
      <t xml:space="preserve">
</t>
    </r>
    <r>
      <rPr>
        <strike/>
      </rPr>
      <t xml:space="preserve">3. BA Agent: UAT test feedback (task </t>
    </r>
    <r>
      <rPr>
        <strike/>
        <color rgb="FF1155CC"/>
        <u/>
      </rPr>
      <t>#AI270</t>
    </r>
    <r>
      <rPr>
        <strike/>
      </rPr>
      <t>)</t>
    </r>
    <r>
      <rPr/>
      <t xml:space="preserve">
</t>
    </r>
  </si>
  <si>
    <r>
      <rPr/>
      <t xml:space="preserve">1. BA Agent - Automated Smoke Test (task </t>
    </r>
    <r>
      <rPr>
        <color rgb="FF1155CC"/>
        <u/>
      </rPr>
      <t>#AI263</t>
    </r>
    <r>
      <rPr/>
      <t xml:space="preserve">)
- in progress: update the test flow and report output according to scenario docs
</t>
    </r>
  </si>
  <si>
    <r>
      <rPr/>
      <t xml:space="preserve">1. BA Agent - Automated Smoke Test (task </t>
    </r>
    <r>
      <rPr>
        <color rgb="FF1155CC"/>
        <u/>
      </rPr>
      <t>#AI263</t>
    </r>
    <r>
      <rPr/>
      <t xml:space="preserve">)
- in progress:  finish daily_automation and post_deployment scenario. Waiting for the next instruction
</t>
    </r>
  </si>
  <si>
    <r>
      <rPr/>
      <t xml:space="preserve">1. BA Agent - Automated Smoke Test (task </t>
    </r>
    <r>
      <rPr>
        <color rgb="FF1155CC"/>
        <u/>
      </rPr>
      <t>#AI263</t>
    </r>
    <r>
      <rPr/>
      <t>)
- in progress: Updating the test case according to new format + send email</t>
    </r>
  </si>
  <si>
    <r>
      <rPr/>
      <t xml:space="preserve">1. BA Agent - Automated Smoke Test (task </t>
    </r>
    <r>
      <rPr>
        <color rgb="FF1155CC"/>
        <u/>
      </rPr>
      <t>#AI263</t>
    </r>
    <r>
      <rPr/>
      <t xml:space="preserve">)
- in progress: Updating the test case according to new format + send email. Waiting for feedback
2. BA - Agent : multiple app session (task </t>
    </r>
    <r>
      <rPr>
        <color rgb="FF1155CC"/>
        <u/>
      </rPr>
      <t xml:space="preserve">#AI271 </t>
    </r>
    <r>
      <rPr/>
      <t xml:space="preserve">) 
- done. deployed to UAT but the status still ready for test BD because I'm still waiting for QA Agent implementation
3. BA - Update ai apps feedback email - UAT + PROD (task </t>
    </r>
    <r>
      <rPr>
        <color rgb="FF1155CC"/>
        <u/>
      </rPr>
      <t>#AI278</t>
    </r>
    <r>
      <rPr/>
      <t>)
-done</t>
    </r>
  </si>
  <si>
    <r>
      <rPr/>
      <t xml:space="preserve">1. BA Agent - Automated Smoke Test (task </t>
    </r>
    <r>
      <rPr>
        <color rgb="FF1155CC"/>
        <u/>
      </rPr>
      <t>#AI263</t>
    </r>
    <r>
      <rPr/>
      <t xml:space="preserve">)
- done updating the test case  by follow up yesterday's feedback for 'smoke', 'light' and 'heavy' scenarios. Waiting for the next instruction
</t>
    </r>
    <r>
      <rPr>
        <strike/>
      </rPr>
      <t xml:space="preserve">2. BA - Agent : multiple app session (task </t>
    </r>
    <r>
      <rPr>
        <strike/>
        <color rgb="FF1155CC"/>
        <u/>
      </rPr>
      <t xml:space="preserve">#AI271 </t>
    </r>
    <r>
      <rPr>
        <strike/>
      </rPr>
      <t xml:space="preserve">) </t>
    </r>
    <r>
      <rPr/>
      <t xml:space="preserve">
</t>
    </r>
    <r>
      <rPr>
        <strike/>
      </rPr>
      <t xml:space="preserve">3. BA - Update ai apps feedback email - UAT + PROD (task </t>
    </r>
    <r>
      <rPr>
        <strike/>
        <color rgb="FF1155CC"/>
        <u/>
      </rPr>
      <t>#AI278</t>
    </r>
    <r>
      <rPr>
        <strike/>
      </rPr>
      <t>)</t>
    </r>
  </si>
  <si>
    <r>
      <rPr>
        <strike/>
      </rPr>
      <t xml:space="preserve">1. BA Agent - Automated Smoke Test (task </t>
    </r>
    <r>
      <rPr>
        <strike/>
        <color rgb="FF1155CC"/>
        <u/>
      </rPr>
      <t>#AI263</t>
    </r>
    <r>
      <rPr>
        <strike/>
      </rPr>
      <t>)</t>
    </r>
    <r>
      <rPr/>
      <t xml:space="preserve">
2. Research on LiteLLM routing to multiple LLM providers (task </t>
    </r>
    <r>
      <rPr>
        <color rgb="FF1155CC"/>
        <u/>
      </rPr>
      <t>#AI296</t>
    </r>
    <r>
      <rPr/>
      <t>)
- implement routing</t>
    </r>
  </si>
  <si>
    <r>
      <rPr/>
      <t xml:space="preserve">1. Research on LiteLLM routing to multiple LLM providers (task </t>
    </r>
    <r>
      <rPr>
        <color rgb="FF1155CC"/>
        <u/>
      </rPr>
      <t>#AI296</t>
    </r>
    <r>
      <rPr/>
      <t xml:space="preserve">)
- on hold
2. BA Agent: fix upload template (task </t>
    </r>
    <r>
      <rPr>
        <color rgb="FF1155CC"/>
        <u/>
      </rPr>
      <t>#AI297</t>
    </r>
    <r>
      <rPr/>
      <t>)
- in progress: ui design + extract template</t>
    </r>
  </si>
  <si>
    <r>
      <rPr/>
      <t xml:space="preserve">1. Research on LiteLLM routing to multiple LLM providers (task </t>
    </r>
    <r>
      <rPr>
        <color rgb="FF1155CC"/>
        <u/>
      </rPr>
      <t>#AI296</t>
    </r>
    <r>
      <rPr/>
      <t xml:space="preserve">)
- on hold
2. BA Agent: fix upload template (task </t>
    </r>
    <r>
      <rPr>
        <color rgb="FF1155CC"/>
        <u/>
      </rPr>
      <t>#AI297</t>
    </r>
    <r>
      <rPr/>
      <t>)
- in progress: reconstruct JSON on processing</t>
    </r>
  </si>
  <si>
    <r>
      <rPr/>
      <t xml:space="preserve">1. Research on LiteLLM routing to multiple LLM providers (task </t>
    </r>
    <r>
      <rPr>
        <color rgb="FF1155CC"/>
        <u/>
      </rPr>
      <t>#AI296</t>
    </r>
    <r>
      <rPr/>
      <t xml:space="preserve">)
- on hold
2. BA Agent: fix upload template (task </t>
    </r>
    <r>
      <rPr>
        <color rgb="FF1155CC"/>
        <u/>
      </rPr>
      <t>#AI297</t>
    </r>
    <r>
      <rPr/>
      <t>)
- in progress: reconstruct JSON for download</t>
    </r>
  </si>
  <si>
    <r>
      <rPr/>
      <t xml:space="preserve">1. Research on LiteLLM routing to multiple LLM providers (task </t>
    </r>
    <r>
      <rPr>
        <color rgb="FF1155CC"/>
        <u/>
      </rPr>
      <t>#AI296</t>
    </r>
    <r>
      <rPr/>
      <t xml:space="preserve">)
- on hold
2. BA Agent: fix upload template (task </t>
    </r>
    <r>
      <rPr>
        <color rgb="FF1155CC"/>
        <u/>
      </rPr>
      <t>#AI297</t>
    </r>
    <r>
      <rPr/>
      <t>)
- in progress: download fs</t>
    </r>
  </si>
  <si>
    <r>
      <rPr>
        <rFont val="Roboto"/>
        <color rgb="FF434343"/>
      </rPr>
      <t xml:space="preserve">1. Research on LiteLLM routing to multiple LLM providers (task </t>
    </r>
    <r>
      <rPr>
        <rFont val="Roboto"/>
        <color rgb="FF1155CC"/>
        <u/>
      </rPr>
      <t>#AI296</t>
    </r>
    <r>
      <rPr>
        <rFont val="Roboto"/>
        <color rgb="FF434343"/>
      </rPr>
      <t xml:space="preserve">)
- on hold
2. BA Agent: fix upload template (task </t>
    </r>
    <r>
      <rPr>
        <rFont val="Roboto"/>
        <color rgb="FF1155CC"/>
        <u/>
      </rPr>
      <t>#AI297</t>
    </r>
    <r>
      <rPr>
        <rFont val="Roboto"/>
        <color rgb="FF434343"/>
      </rPr>
      <t>)
- in progress: fixing frontend
3. Support Priya (QA)</t>
    </r>
  </si>
  <si>
    <r>
      <rPr>
        <rFont val="Roboto"/>
        <color rgb="FF434343"/>
      </rPr>
      <t xml:space="preserve">1. Research on LiteLLM routing to multiple LLM providers (task </t>
    </r>
    <r>
      <rPr>
        <rFont val="Roboto"/>
        <color rgb="FF1155CC"/>
        <u/>
      </rPr>
      <t>#AI296</t>
    </r>
    <r>
      <rPr>
        <rFont val="Roboto"/>
        <color rgb="FF434343"/>
      </rPr>
      <t xml:space="preserve">)
- on hold
2. BA Agent: fix upload template (task </t>
    </r>
    <r>
      <rPr>
        <rFont val="Roboto"/>
        <color rgb="FF1155CC"/>
        <u/>
      </rPr>
      <t>#AI297</t>
    </r>
    <r>
      <rPr>
        <rFont val="Roboto"/>
        <color rgb="FF434343"/>
      </rPr>
      <t>)
- in progress: integration frontend + backend</t>
    </r>
  </si>
  <si>
    <r>
      <rPr>
        <rFont val="Roboto"/>
        <color rgb="FF434343"/>
      </rPr>
      <t xml:space="preserve">1. Research on LiteLLM routing to multiple LLM providers (task </t>
    </r>
    <r>
      <rPr>
        <rFont val="Roboto"/>
        <color rgb="FF1155CC"/>
        <u/>
      </rPr>
      <t>#AI296</t>
    </r>
    <r>
      <rPr>
        <rFont val="Roboto"/>
        <color rgb="FF434343"/>
      </rPr>
      <t xml:space="preserve">)
- on hold
2. BA Agent: fix upload template (task </t>
    </r>
    <r>
      <rPr>
        <rFont val="Roboto"/>
        <color rgb="FF1155CC"/>
        <u/>
      </rPr>
      <t>#AI297</t>
    </r>
    <r>
      <rPr>
        <rFont val="Roboto"/>
        <color rgb="FF434343"/>
      </rPr>
      <t>)
- in progress: integration frontend + backend</t>
    </r>
  </si>
  <si>
    <r>
      <rPr>
        <rFont val="Roboto"/>
        <color rgb="FF434343"/>
      </rPr>
      <t xml:space="preserve">1. Research on LiteLLM routing to multiple LLM providers (task </t>
    </r>
    <r>
      <rPr>
        <rFont val="Roboto"/>
        <color rgb="FF1155CC"/>
        <u/>
      </rPr>
      <t>#AI296</t>
    </r>
    <r>
      <rPr>
        <rFont val="Roboto"/>
        <color rgb="FF434343"/>
      </rPr>
      <t xml:space="preserve">)
- on hold
2. BA Agent: fix upload template (task </t>
    </r>
    <r>
      <rPr>
        <rFont val="Roboto"/>
        <color rgb="FF1155CC"/>
        <u/>
      </rPr>
      <t>#AI297</t>
    </r>
    <r>
      <rPr>
        <rFont val="Roboto"/>
        <color rgb="FF434343"/>
      </rPr>
      <t>)
- in progress: integration frontend + backend</t>
    </r>
  </si>
  <si>
    <r>
      <rPr>
        <rFont val="Roboto"/>
        <color rgb="FF434343"/>
      </rPr>
      <t xml:space="preserve">1. Research on LiteLLM routing to multiple LLM providers (task </t>
    </r>
    <r>
      <rPr>
        <rFont val="Roboto"/>
        <color rgb="FF1155CC"/>
        <u/>
      </rPr>
      <t>#AI296</t>
    </r>
    <r>
      <rPr>
        <rFont val="Roboto"/>
        <color rgb="FF434343"/>
      </rPr>
      <t xml:space="preserve">)
- on hold
2. BA Agent: fix upload template (task </t>
    </r>
    <r>
      <rPr>
        <rFont val="Roboto"/>
        <color rgb="FF1155CC"/>
        <u/>
      </rPr>
      <t>#AI297</t>
    </r>
    <r>
      <rPr>
        <rFont val="Roboto"/>
        <color rgb="FF434343"/>
      </rPr>
      <t>)
- in progress: testing</t>
    </r>
  </si>
  <si>
    <r>
      <rPr>
        <rFont val="Roboto"/>
        <color rgb="FF434343"/>
      </rPr>
      <t xml:space="preserve">1. Research on LiteLLM routing to multiple LLM providers (task </t>
    </r>
    <r>
      <rPr>
        <rFont val="Roboto"/>
        <color rgb="FF1155CC"/>
        <u/>
      </rPr>
      <t>#AI296</t>
    </r>
    <r>
      <rPr>
        <rFont val="Roboto"/>
        <color rgb="FF434343"/>
      </rPr>
      <t xml:space="preserve">)
- on hold
2. BA Agent: fix upload template (task </t>
    </r>
    <r>
      <rPr>
        <rFont val="Roboto"/>
        <color rgb="FF1155CC"/>
        <u/>
      </rPr>
      <t>#AI297</t>
    </r>
    <r>
      <rPr>
        <rFont val="Roboto"/>
        <color rgb="FF434343"/>
      </rPr>
      <t>)
- in progress: deployment to UAT. Issue on nginx routing</t>
    </r>
  </si>
  <si>
    <r>
      <rPr>
        <rFont val="Roboto"/>
        <color rgb="FF434343"/>
      </rPr>
      <t xml:space="preserve">1. Research on LiteLLM routing to multiple LLM providers (task </t>
    </r>
    <r>
      <rPr>
        <rFont val="Roboto"/>
        <color rgb="FF1155CC"/>
        <u/>
      </rPr>
      <t>#AI296</t>
    </r>
    <r>
      <rPr>
        <rFont val="Roboto"/>
        <color rgb="FF434343"/>
      </rPr>
      <t xml:space="preserve">)
- on hold
2. BA Agent: fix upload template (task </t>
    </r>
    <r>
      <rPr>
        <rFont val="Roboto"/>
        <color rgb="FF1155CC"/>
        <u/>
      </rPr>
      <t>#AI297</t>
    </r>
    <r>
      <rPr>
        <rFont val="Roboto"/>
        <color rgb="FF434343"/>
      </rPr>
      <t xml:space="preserve">)
- done: complete deployment to UAT
3. BA Agent - Documentation handover (task </t>
    </r>
    <r>
      <rPr>
        <rFont val="Roboto"/>
        <color rgb="FF1155CC"/>
        <u/>
      </rPr>
      <t>#AI302</t>
    </r>
    <r>
      <rPr>
        <rFont val="Roboto"/>
        <color rgb="FF434343"/>
      </rPr>
      <t xml:space="preserve">)
- in progress: create arch diagram </t>
    </r>
  </si>
  <si>
    <r>
      <rPr>
        <rFont val="Roboto"/>
        <color rgb="FF434343"/>
      </rPr>
      <t xml:space="preserve">1. Research on LiteLLM routing to multiple LLM providers (task </t>
    </r>
    <r>
      <rPr>
        <rFont val="Roboto"/>
        <color rgb="FF1155CC"/>
        <u/>
      </rPr>
      <t>#AI296</t>
    </r>
    <r>
      <rPr>
        <rFont val="Roboto"/>
        <color rgb="FF434343"/>
      </rPr>
      <t xml:space="preserve">)
- on hold
</t>
    </r>
    <r>
      <rPr>
        <rFont val="Roboto"/>
        <strike/>
        <color rgb="FF434343"/>
      </rPr>
      <t xml:space="preserve">2. BA Agent: fix upload template (task </t>
    </r>
    <r>
      <rPr>
        <rFont val="Roboto"/>
        <strike/>
        <color rgb="FF1155CC"/>
        <u/>
      </rPr>
      <t>#AI297</t>
    </r>
    <r>
      <rPr>
        <rFont val="Roboto"/>
        <strike/>
        <color rgb="FF434343"/>
      </rPr>
      <t>)</t>
    </r>
    <r>
      <rPr>
        <rFont val="Roboto"/>
        <color rgb="FF434343"/>
      </rPr>
      <t xml:space="preserve">
3. BA Agent - Documentation handover (task </t>
    </r>
    <r>
      <rPr>
        <rFont val="Roboto"/>
        <color rgb="FF1155CC"/>
        <u/>
      </rPr>
      <t>#AI302</t>
    </r>
    <r>
      <rPr>
        <rFont val="Roboto"/>
        <color rgb="FF434343"/>
      </rPr>
      <t xml:space="preserve">)
- in progress: create detail flow diagram
4. BA Agent: Update TOC + Document Acceptance (task </t>
    </r>
    <r>
      <rPr>
        <rFont val="Roboto"/>
        <color rgb="FF1155CC"/>
        <u/>
      </rPr>
      <t>#AI305</t>
    </r>
    <r>
      <rPr>
        <rFont val="Roboto"/>
        <color rgb="FF434343"/>
      </rPr>
      <t>)
- done: deployed to UAT</t>
    </r>
  </si>
  <si>
    <r>
      <rPr>
        <rFont val="Roboto"/>
        <color rgb="FF434343"/>
      </rPr>
      <t xml:space="preserve">1. Research on LiteLLM routing to multiple LLM providers (task </t>
    </r>
    <r>
      <rPr>
        <rFont val="Roboto"/>
        <color rgb="FF1155CC"/>
        <u/>
      </rPr>
      <t>#AI296</t>
    </r>
    <r>
      <rPr>
        <rFont val="Roboto"/>
        <color rgb="FF434343"/>
      </rPr>
      <t xml:space="preserve">)
- on hold
2. BA Agent - Documentation handover (task </t>
    </r>
    <r>
      <rPr>
        <rFont val="Roboto"/>
        <color rgb="FF1155CC"/>
        <u/>
      </rPr>
      <t>#AI302</t>
    </r>
    <r>
      <rPr>
        <rFont val="Roboto"/>
        <color rgb="FF434343"/>
      </rPr>
      <t xml:space="preserve">)
- in progress: deploy Ba Agent to production and testing
</t>
    </r>
    <r>
      <rPr>
        <rFont val="Roboto"/>
        <strike/>
        <color rgb="FF434343"/>
      </rPr>
      <t xml:space="preserve">4. BA Agent: Update TOC + Document Acceptance (task </t>
    </r>
    <r>
      <rPr>
        <rFont val="Roboto"/>
        <strike/>
        <color rgb="FF1155CC"/>
        <u/>
      </rPr>
      <t>#AI305</t>
    </r>
    <r>
      <rPr>
        <rFont val="Roboto"/>
        <strike/>
        <color rgb="FF434343"/>
      </rPr>
      <t>)</t>
    </r>
  </si>
  <si>
    <r>
      <rPr>
        <rFont val="Roboto"/>
        <color rgb="FF434343"/>
      </rPr>
      <t xml:space="preserve">1. Research on LiteLLM routing to multiple LLM providers (task </t>
    </r>
    <r>
      <rPr>
        <rFont val="Roboto"/>
        <color rgb="FF1155CC"/>
        <u/>
      </rPr>
      <t>#AI296</t>
    </r>
    <r>
      <rPr>
        <rFont val="Roboto"/>
        <color rgb="FF434343"/>
      </rPr>
      <t xml:space="preserve">)
- on hold
2. BA Agent - Documentation handover (task </t>
    </r>
    <r>
      <rPr>
        <rFont val="Roboto"/>
        <color rgb="FF1155CC"/>
        <u/>
      </rPr>
      <t>#AI302</t>
    </r>
    <r>
      <rPr>
        <rFont val="Roboto"/>
        <color rgb="FF434343"/>
      </rPr>
      <t>)
- done:  finishing documentation</t>
    </r>
  </si>
  <si>
    <r>
      <rPr>
        <rFont val="Roboto"/>
        <color rgb="FF434343"/>
      </rPr>
      <t xml:space="preserve">1. Research on LiteLLM routing to multiple LLM providers (task </t>
    </r>
    <r>
      <rPr>
        <rFont val="Roboto"/>
        <color rgb="FF1155CC"/>
        <u/>
      </rPr>
      <t>#AI296</t>
    </r>
    <r>
      <rPr>
        <rFont val="Roboto"/>
        <color rgb="FF434343"/>
      </rPr>
      <t xml:space="preserve">)
- on hold
</t>
    </r>
    <r>
      <rPr>
        <rFont val="Roboto"/>
        <strike/>
        <color rgb="FF434343"/>
      </rPr>
      <t xml:space="preserve">2. BA Agent - Documentation handover (task </t>
    </r>
    <r>
      <rPr>
        <rFont val="Roboto"/>
        <strike/>
        <color rgb="FF1155CC"/>
        <u/>
      </rPr>
      <t>#AI302</t>
    </r>
    <r>
      <rPr>
        <rFont val="Roboto"/>
        <strike/>
        <color rgb="FF434343"/>
      </rPr>
      <t>)</t>
    </r>
    <r>
      <rPr>
        <rFont val="Roboto"/>
        <color rgb="FF434343"/>
      </rPr>
      <t xml:space="preserve">
3. BA Agent - Automated Smoke Test (task </t>
    </r>
    <r>
      <rPr>
        <rFont val="Roboto"/>
        <color rgb="FF1155CC"/>
        <u/>
      </rPr>
      <t>#AI263</t>
    </r>
    <r>
      <rPr>
        <rFont val="Roboto"/>
        <color rgb="FF434343"/>
      </rPr>
      <t>)
- done: already commit to GIT</t>
    </r>
  </si>
  <si>
    <r>
      <rPr>
        <rFont val="Roboto"/>
        <color rgb="FF434343"/>
      </rPr>
      <t xml:space="preserve">1. Research on LiteLLM routing to multiple LLM providers (task </t>
    </r>
    <r>
      <rPr>
        <rFont val="Roboto"/>
        <color rgb="FF1155CC"/>
        <u/>
      </rPr>
      <t>#AI296</t>
    </r>
    <r>
      <rPr>
        <rFont val="Roboto"/>
        <color rgb="FF434343"/>
      </rPr>
      <t xml:space="preserve">)
- in progress:  add failover scenarios
</t>
    </r>
    <r>
      <rPr>
        <rFont val="Roboto"/>
        <strike/>
        <color rgb="FF434343"/>
      </rPr>
      <t xml:space="preserve">2. BA Agent - Automated Smoke Test (task </t>
    </r>
    <r>
      <rPr>
        <rFont val="Roboto"/>
        <strike/>
        <color rgb="FF1155CC"/>
        <u/>
      </rPr>
      <t>#AI263</t>
    </r>
    <r>
      <rPr>
        <rFont val="Roboto"/>
        <strike/>
        <color rgb="FF434343"/>
      </rPr>
      <t>)</t>
    </r>
  </si>
  <si>
    <r>
      <rPr>
        <rFont val="Roboto"/>
        <color rgb="FF434343"/>
      </rPr>
      <t xml:space="preserve">1. Research on LiteLLM routing to multiple LLM providers (task </t>
    </r>
    <r>
      <rPr>
        <rFont val="Roboto"/>
        <color rgb="FF1155CC"/>
        <u/>
      </rPr>
      <t>#AI296</t>
    </r>
    <r>
      <rPr>
        <rFont val="Roboto"/>
        <color rgb="FF434343"/>
      </rPr>
      <t xml:space="preserve">)
-done: writing documentation
</t>
    </r>
  </si>
  <si>
    <r>
      <rPr>
        <rFont val="Roboto"/>
        <strike/>
        <color rgb="FF434343"/>
      </rPr>
      <t xml:space="preserve">1. Research on LiteLLM routing to multiple LLM providers (task </t>
    </r>
    <r>
      <rPr>
        <rFont val="Roboto"/>
        <strike/>
        <color rgb="FF1155CC"/>
        <u/>
      </rPr>
      <t>#AI296</t>
    </r>
    <r>
      <rPr>
        <rFont val="Roboto"/>
        <strike/>
        <color rgb="FF434343"/>
      </rPr>
      <t>)</t>
    </r>
    <r>
      <rPr>
        <rFont val="Roboto"/>
        <color rgb="FF434343"/>
      </rPr>
      <t xml:space="preserve">
2. BA Agent- Add versioning on deployment (task </t>
    </r>
    <r>
      <rPr>
        <rFont val="Roboto"/>
        <color rgb="FF1155CC"/>
        <u/>
      </rPr>
      <t>#AI252</t>
    </r>
    <r>
      <rPr>
        <rFont val="Roboto"/>
        <color rgb="FF434343"/>
      </rPr>
      <t xml:space="preserve">)
</t>
    </r>
  </si>
  <si>
    <t>Ready for DEV</t>
  </si>
  <si>
    <t xml:space="preserve">11/4/2025 - 11/17/2025 </t>
  </si>
  <si>
    <t xml:space="preserve">ANNUAL LEAVE </t>
  </si>
  <si>
    <r>
      <rPr/>
      <t xml:space="preserve">1. off (1st half day: not feeling well)
2. BA Agent- Add versioning on deployment (task </t>
    </r>
    <r>
      <rPr>
        <color rgb="FF1155CC"/>
        <u/>
      </rPr>
      <t>#AI252</t>
    </r>
    <r>
      <rPr/>
      <t>)</t>
    </r>
  </si>
  <si>
    <r>
      <rPr>
        <strike/>
      </rPr>
      <t xml:space="preserve">1. BA Agent- Add versioning on deployment (task </t>
    </r>
    <r>
      <rPr>
        <strike/>
        <color rgb="FF1155CC"/>
        <u/>
      </rPr>
      <t>#AI252</t>
    </r>
    <r>
      <rPr>
        <strike/>
      </rPr>
      <t xml:space="preserve">)
</t>
    </r>
    <r>
      <rPr/>
      <t xml:space="preserve">2. BA Agent: Upload storage to blob storage (task </t>
    </r>
    <r>
      <rPr>
        <color rgb="FF1155CC"/>
        <u/>
      </rPr>
      <t>#AI335</t>
    </r>
    <r>
      <rPr/>
      <t xml:space="preserve">)
- done: ready for SIT. Waiting for the next instruction whether we need to deploy to UAT or not
3. BA Agent: Single docker image for UAT and production (task </t>
    </r>
    <r>
      <rPr>
        <color rgb="FF1155CC"/>
        <u/>
      </rPr>
      <t>#AI334</t>
    </r>
    <r>
      <rPr/>
      <t>)
- on hold</t>
    </r>
  </si>
  <si>
    <r>
      <rPr>
        <strike/>
      </rPr>
      <t xml:space="preserve">1. BA Agent: Upload storage to blob storage (task </t>
    </r>
    <r>
      <rPr>
        <strike/>
        <color rgb="FF1155CC"/>
        <u/>
      </rPr>
      <t>#AI335</t>
    </r>
    <r>
      <rPr>
        <strike/>
      </rPr>
      <t>)</t>
    </r>
    <r>
      <rPr/>
      <t xml:space="preserve">
2. BA Agent: Single docker image for UAT and production (task </t>
    </r>
    <r>
      <rPr>
        <color rgb="FF1155CC"/>
        <u/>
      </rPr>
      <t>#AI334</t>
    </r>
    <r>
      <rPr/>
      <t>)
- in progress</t>
    </r>
  </si>
  <si>
    <r>
      <rPr/>
      <t xml:space="preserve">1. BA Agent: Single docker image for UAT and production (task </t>
    </r>
    <r>
      <rPr>
        <color rgb="FF1155CC"/>
        <u/>
      </rPr>
      <t>#AI334</t>
    </r>
    <r>
      <rPr/>
      <t>)
-done. ready for SIT.
 Waiting for the next instruction whether we need to deploy to UAT or not</t>
    </r>
  </si>
  <si>
    <r>
      <rPr/>
      <t xml:space="preserve">1. KB New Arc: Manage content - upload from google drive (task </t>
    </r>
    <r>
      <rPr>
        <color rgb="FF1155CC"/>
        <u/>
      </rPr>
      <t>#AI344</t>
    </r>
    <r>
      <rPr/>
      <t xml:space="preserve"> )
- in progress</t>
    </r>
  </si>
  <si>
    <r>
      <rPr/>
      <t xml:space="preserve">1. KB New Arc: Manage content - upload from google drive (task </t>
    </r>
    <r>
      <rPr>
        <color rgb="FF1155CC"/>
        <u/>
      </rPr>
      <t>#AI344</t>
    </r>
    <r>
      <rPr/>
      <t xml:space="preserve"> )
- in progress</t>
    </r>
  </si>
  <si>
    <r>
      <rPr/>
      <t xml:space="preserve">1. KB New Arc: Manage content - upload from google drive (task </t>
    </r>
    <r>
      <rPr>
        <color rgb="FF1155CC"/>
        <u/>
      </rPr>
      <t>#AI344</t>
    </r>
    <r>
      <rPr/>
      <t xml:space="preserve"> )
-done. Already commit to git</t>
    </r>
  </si>
  <si>
    <r>
      <rPr/>
      <t xml:space="preserve">1. KB New Arc: Manage content - upload from google drive (task </t>
    </r>
    <r>
      <rPr>
        <color rgb="FF1155CC"/>
        <u/>
      </rPr>
      <t>#AI344</t>
    </r>
    <r>
      <rPr/>
      <t xml:space="preserve"> )
-in progress: additional request to handle login from microsoft</t>
    </r>
  </si>
  <si>
    <r>
      <rPr/>
      <t xml:space="preserve">1. KB New Arc: Manage content - upload from google drive (task </t>
    </r>
    <r>
      <rPr>
        <color rgb="FF1155CC"/>
        <u/>
      </rPr>
      <t>#AI344</t>
    </r>
    <r>
      <rPr/>
      <t xml:space="preserve"> )
-in progress: additional request to handle login from microsoft</t>
    </r>
  </si>
  <si>
    <r>
      <rPr/>
      <t xml:space="preserve">1. KB New Arc: Manage content - upload from google drive (task </t>
    </r>
    <r>
      <rPr>
        <color rgb="FF1155CC"/>
        <u/>
      </rPr>
      <t>#AI344</t>
    </r>
    <r>
      <rPr/>
      <t xml:space="preserve"> )
-done: already commit to git.
2. APA 2026</t>
    </r>
  </si>
  <si>
    <r>
      <rPr>
        <strike/>
      </rPr>
      <t xml:space="preserve">1. KB New Arc: Manage content - upload from google drive (task </t>
    </r>
    <r>
      <rPr>
        <strike/>
        <color rgb="FF1155CC"/>
        <u/>
      </rPr>
      <t>#AI344</t>
    </r>
    <r>
      <rPr>
        <strike/>
      </rPr>
      <t xml:space="preserve"> )</t>
    </r>
    <r>
      <rPr/>
      <t xml:space="preserve">
2. Learn AWS
3. Investigate issue production: image not shown: done (no tracker yet)
</t>
    </r>
  </si>
  <si>
    <r>
      <rPr/>
      <t xml:space="preserve">1. BA-Agent : Add  agent to create mockup secreen (task </t>
    </r>
    <r>
      <rPr>
        <color rgb="FF1155CC"/>
        <u/>
      </rPr>
      <t>#AI354</t>
    </r>
    <r>
      <rPr/>
      <t xml:space="preserve"> )
in progress: research on how to implement according to Hanafi's reqs</t>
    </r>
  </si>
  <si>
    <r>
      <rPr/>
      <t xml:space="preserve">1. BA-Agent : Add  agent to create mockup secreen (task </t>
    </r>
    <r>
      <rPr>
        <color rgb="FF1155CC"/>
        <u/>
      </rPr>
      <t>#AI354</t>
    </r>
    <r>
      <rPr/>
      <t xml:space="preserve"> )
in progress:  create mockups</t>
    </r>
  </si>
  <si>
    <r>
      <rPr/>
      <t xml:space="preserve">1. BA-Agent : Add  agent to create mockup secreen (task </t>
    </r>
    <r>
      <rPr>
        <color rgb="FF1155CC"/>
        <u/>
      </rPr>
      <t>#AI354</t>
    </r>
    <r>
      <rPr/>
      <t xml:space="preserve"> )
in progress:  create mockups</t>
    </r>
  </si>
  <si>
    <r>
      <rPr/>
      <t xml:space="preserve">1. BA-Agent : Add  agent to create mockup secreen (task </t>
    </r>
    <r>
      <rPr>
        <color rgb="FF1155CC"/>
        <u/>
      </rPr>
      <t>#AI354</t>
    </r>
    <r>
      <rPr/>
      <t xml:space="preserve"> )
in progress:  create mockups</t>
    </r>
  </si>
  <si>
    <r>
      <rPr/>
      <t xml:space="preserve">1. BA-Agent : Add  agent to create mockup secreen (task </t>
    </r>
    <r>
      <rPr>
        <color rgb="FF1155CC"/>
        <u/>
      </rPr>
      <t>#AI354</t>
    </r>
    <r>
      <rPr/>
      <t xml:space="preserve"> )
in progress:  create mockups</t>
    </r>
  </si>
  <si>
    <r>
      <rPr/>
      <t xml:space="preserve">1. BA-Agent : Add  agent to create mockup secreen (task </t>
    </r>
    <r>
      <rPr>
        <color rgb="FF1155CC"/>
        <u/>
      </rPr>
      <t>#AI354</t>
    </r>
    <r>
      <rPr/>
      <t xml:space="preserve"> )
in progress:  create mockups</t>
    </r>
  </si>
  <si>
    <r>
      <rPr/>
      <t xml:space="preserve">1. BA-Agent : Add  agent to create mockup secreen (task </t>
    </r>
    <r>
      <rPr>
        <color rgb="FF1155CC"/>
        <u/>
      </rPr>
      <t>#AI354</t>
    </r>
    <r>
      <rPr/>
      <t xml:space="preserve"> )
in progress:  create mockups</t>
    </r>
  </si>
  <si>
    <r>
      <rPr/>
      <t xml:space="preserve">1. BA-Agent : Add  agent to create mockup secreen (task </t>
    </r>
    <r>
      <rPr>
        <color rgb="FF1155CC"/>
        <u/>
      </rPr>
      <t>#AI354</t>
    </r>
    <r>
      <rPr/>
      <t xml:space="preserve"> )
done:  deployed to UAT</t>
    </r>
  </si>
  <si>
    <r>
      <rPr/>
      <t xml:space="preserve">1. BA-Agent : Add  agent to create mockup secreen (task </t>
    </r>
    <r>
      <rPr>
        <color rgb="FF1155CC"/>
        <u/>
      </rPr>
      <t>#AI354</t>
    </r>
    <r>
      <rPr/>
      <t xml:space="preserve"> )
done:  deployed to UAT</t>
    </r>
  </si>
  <si>
    <r>
      <rPr/>
      <t xml:space="preserve">1. BA-Agent - enable user to give feedback to the screen created (task </t>
    </r>
    <r>
      <rPr>
        <color rgb="FF1155CC"/>
        <u/>
      </rPr>
      <t>#AI355</t>
    </r>
    <r>
      <rPr/>
      <t xml:space="preserve"> )
in progress</t>
    </r>
  </si>
  <si>
    <r>
      <rPr/>
      <t xml:space="preserve">1. BA-Agent - enable user to give feedback to the screen created (task </t>
    </r>
    <r>
      <rPr>
        <color rgb="FF1155CC"/>
        <u/>
      </rPr>
      <t>#AI355</t>
    </r>
    <r>
      <rPr/>
      <t xml:space="preserve"> )
in progress</t>
    </r>
  </si>
  <si>
    <r>
      <rPr/>
      <t xml:space="preserve">1. BA-Agent - enable user to give feedback to the screen created (task </t>
    </r>
    <r>
      <rPr>
        <color rgb="FF1155CC"/>
        <u/>
      </rPr>
      <t>#AI355</t>
    </r>
    <r>
      <rPr/>
      <t xml:space="preserve"> )
in progress</t>
    </r>
  </si>
  <si>
    <r>
      <rPr/>
      <t xml:space="preserve">1. BA-Agent - enable user to give feedback to the screen created (task </t>
    </r>
    <r>
      <rPr>
        <color rgb="FF1155CC"/>
        <u/>
      </rPr>
      <t>#AI355</t>
    </r>
    <r>
      <rPr/>
      <t xml:space="preserve"> )
done: deployed to UAT</t>
    </r>
  </si>
  <si>
    <t>Standby support</t>
  </si>
  <si>
    <r>
      <rPr/>
      <t xml:space="preserve">1. BA Agent: Embed Generated Screen to FS document ( task </t>
    </r>
    <r>
      <rPr>
        <color rgb="FF1155CC"/>
        <u/>
      </rPr>
      <t>#AI375</t>
    </r>
    <r>
      <rPr/>
      <t xml:space="preserve"> )</t>
    </r>
  </si>
  <si>
    <r>
      <rPr/>
      <t xml:space="preserve">1. BA Agent: Embed Generated Screen to FS document ( task </t>
    </r>
    <r>
      <rPr>
        <color rgb="FF1155CC"/>
        <u/>
      </rPr>
      <t>#AI375</t>
    </r>
    <r>
      <rPr/>
      <t xml:space="preserve"> )</t>
    </r>
  </si>
  <si>
    <r>
      <rPr/>
      <t xml:space="preserve">1. BA Agent: Embed Generated Screen to FS document ( task </t>
    </r>
    <r>
      <rPr>
        <color rgb="FF1155CC"/>
        <u/>
      </rPr>
      <t>#AI375</t>
    </r>
    <r>
      <rPr/>
      <t xml:space="preserve"> )</t>
    </r>
  </si>
  <si>
    <r>
      <rPr/>
      <t xml:space="preserve">1. BA Agent: Embed Generated Screen to FS document ( task </t>
    </r>
    <r>
      <rPr>
        <color rgb="FF1155CC"/>
        <u/>
      </rPr>
      <t>#AI375</t>
    </r>
    <r>
      <rPr/>
      <t xml:space="preserve"> )</t>
    </r>
  </si>
  <si>
    <t>1. deploy single-docker image + azure blob storage support to UAT</t>
  </si>
  <si>
    <r>
      <rPr/>
      <t xml:space="preserve">1. create  BA Agent ppt for presentation
output: </t>
    </r>
    <r>
      <rPr>
        <color rgb="FF1155CC"/>
        <u/>
      </rPr>
      <t>https://docs.google.com/presentation/d/18s7AnV3euetCVRjYvrjupxSgufjnuIA3/edit?slide=id.g3b282cd95db_0_0#slide=id.g3b282cd95db_0_0</t>
    </r>
    <r>
      <rPr/>
      <t xml:space="preserve"> 
</t>
    </r>
  </si>
  <si>
    <t>POCDEX BD Task Tracker 2025 
https://docs.google.com/spreadsheets/d/1th96EXc3htSiWsQP0y--ltUrhOhqwa-UZG4RV4rjwSo/edit?gid=753734854#gid=753734854</t>
  </si>
  <si>
    <r>
      <rPr/>
      <t xml:space="preserve">Do IA for the SQL solutioning using permutation
</t>
    </r>
    <r>
      <rPr>
        <color rgb="FF1155CC"/>
        <u/>
      </rPr>
      <t>https://docs.google.com/spreadsheets/d/170tq4_5ECXO8_-LD21wU6xKxeTNvJVbVyYyqHgydYCA/edit?gid=1493043243#gid=1493043243</t>
    </r>
  </si>
  <si>
    <t>https://taiga.ecquaria.org/project/pocdex/us/465?kanban-status=426&amp;kanban-swimlane=37</t>
  </si>
  <si>
    <r>
      <rPr/>
      <t xml:space="preserve">Do IA for the SQL solutioning using permutation
</t>
    </r>
    <r>
      <rPr>
        <color rgb="FF1155CC"/>
        <u/>
      </rPr>
      <t>https://docs.google.com/spreadsheets/d/170tq4_5ECXO8_-LD21wU6xKxeTNvJVbVyYyqHgydYCA/edit?gid=1493043243#gid=1493043243</t>
    </r>
  </si>
  <si>
    <r>
      <rPr/>
      <t xml:space="preserve">Do IA for the SQL solutioning using permutation
</t>
    </r>
    <r>
      <rPr>
        <color rgb="FF1155CC"/>
        <u/>
      </rPr>
      <t>https://docs.google.com/spreadsheets/d/170tq4_5ECXO8_-LD21wU6xKxeTNvJVbVyYyqHgydYCA/edit?gid=1493043243#gid=1493043243</t>
    </r>
  </si>
  <si>
    <r>
      <rPr/>
      <t xml:space="preserve">Fixing language IA for the SQL solutioning using permutation
</t>
    </r>
    <r>
      <rPr>
        <color rgb="FF1155CC"/>
        <u/>
      </rPr>
      <t xml:space="preserve">https://docs.google.com/spreadsheets/d/170tq4_5ECXO8_-LD21wU6xKxeTNvJVbVyYyqHgydYCA/edit?gid=1493043243#gid=1493043243
</t>
    </r>
    <r>
      <rPr/>
      <t>Hand over taiga task</t>
    </r>
  </si>
  <si>
    <t>1 MD 
Taiga #465 - IA on CAM Monthly update sql 
Cover ny Rival</t>
  </si>
  <si>
    <t>Taiga 503 - Development - Completed
Support HDB investigation</t>
  </si>
  <si>
    <t>503: BD SIT in progress
HDB investigation: Completed</t>
  </si>
  <si>
    <r>
      <rPr>
        <color rgb="FF434343"/>
        <u/>
      </rPr>
      <t xml:space="preserve">https://taiga.ecquaria.org/project/pocdex/us/503?kanban-q=503&amp;kanban-status=324&amp;kanban-swimlane=37
</t>
    </r>
    <r>
      <rPr>
        <color rgb="FF000000"/>
      </rPr>
      <t>Email: [POCDEX-FAQ] Under which situation will this warning message appear?</t>
    </r>
  </si>
  <si>
    <r>
      <rPr>
        <rFont val="Arial"/>
        <strike/>
        <color theme="1"/>
      </rPr>
      <t xml:space="preserve">Stand by + Read HDB Flow, add detail if needed
</t>
    </r>
    <r>
      <rPr>
        <rFont val="Arial"/>
        <color theme="1"/>
      </rPr>
      <t>Learn HRP Leave</t>
    </r>
  </si>
  <si>
    <r>
      <rPr>
        <rFont val="Arial"/>
        <strike/>
        <color theme="1"/>
      </rPr>
      <t xml:space="preserve">Stand by + Read HDB Flow, add detail if needed
</t>
    </r>
    <r>
      <rPr>
        <rFont val="Arial"/>
        <color theme="1"/>
      </rPr>
      <t>Create Test Plan HRP 394</t>
    </r>
  </si>
  <si>
    <t>https://taiga.ecquaria.org/project/pocdex/issue/394</t>
  </si>
  <si>
    <r>
      <rPr>
        <rFont val="Arial"/>
        <strike/>
        <color theme="1"/>
      </rPr>
      <t xml:space="preserve">Stand by + Collect HDB Regresion Test
</t>
    </r>
    <r>
      <rPr>
        <rFont val="Arial"/>
        <color theme="1"/>
      </rPr>
      <t>1. Ace Investigation
- Status: In progress (still learning ACE process flow)
2. Support: Quick Check Pocdex-Core
- Status: Done</t>
    </r>
  </si>
  <si>
    <r>
      <rPr>
        <rFont val="Arial"/>
        <strike/>
        <color theme="1"/>
      </rPr>
      <t>Stand by + Collect HDB Regresion Test</t>
    </r>
    <r>
      <rPr>
        <rFont val="Arial"/>
        <color theme="1"/>
      </rPr>
      <t xml:space="preserve">
1. Ace Investigation
- Status: In progress (still learning ACE process flow)</t>
    </r>
  </si>
  <si>
    <t>Taiga 498 - Read Email and Excel
Ace Behaviour KT with Jonathan</t>
  </si>
  <si>
    <t xml:space="preserve">HRP 394 Test Plan - Update base on Tia Review
How core handle emp email change
</t>
  </si>
  <si>
    <t>Taiga 498 - Propose Soulutioning</t>
  </si>
  <si>
    <t>https://taiga.ecquaria.org/project/pocdex/issue/498</t>
  </si>
  <si>
    <t>Taiga 498 - Test Plan</t>
  </si>
  <si>
    <t>Taiga 515 - Check Behaviour</t>
  </si>
  <si>
    <t>https://taiga.ecquaria.org/project/pocdex/issue/515</t>
  </si>
  <si>
    <t>Taiga 515 - IA &amp; Propose Solutioning</t>
  </si>
  <si>
    <r>
      <rPr>
        <rFont val="Arial"/>
        <strike/>
        <color theme="1"/>
      </rPr>
      <t xml:space="preserve">Taiga 515 - IA &amp; Propose Solutioning </t>
    </r>
    <r>
      <rPr>
        <rFont val="Arial"/>
        <color theme="1"/>
      </rPr>
      <t xml:space="preserve"> Hand over to Rival</t>
    </r>
  </si>
  <si>
    <r>
      <rPr>
        <rFont val="Arial"/>
        <strike/>
        <color theme="1"/>
      </rPr>
      <t xml:space="preserve">Taiga 515 - IA &amp; Propose Solutioning </t>
    </r>
    <r>
      <rPr>
        <rFont val="Arial"/>
        <color theme="1"/>
      </rPr>
      <t xml:space="preserve"> Hand over to Rival
Taiga 498 - IA</t>
    </r>
  </si>
  <si>
    <t>Taiga 498 - IA</t>
  </si>
  <si>
    <t>Taiga 498 - Wrap Up
Taiga 521 - Completed
Taiga 192 - In progress</t>
  </si>
  <si>
    <t>Wrap Up</t>
  </si>
  <si>
    <r>
      <rPr>
        <color rgb="FF434343"/>
        <u/>
      </rPr>
      <t xml:space="preserve">https://taiga.ecquaria.org/project/pocdex/issue/498
</t>
    </r>
    <r>
      <rPr>
        <color rgb="FF1155CC"/>
        <u/>
      </rPr>
      <t>https://taiga.ecquaria.org/project/pocdex/issue/521</t>
    </r>
    <r>
      <rPr>
        <color rgb="FF434343"/>
        <u/>
      </rPr>
      <t xml:space="preserve">
</t>
    </r>
    <r>
      <rPr>
        <color rgb="FF1155CC"/>
        <u/>
      </rPr>
      <t>https://taiga.ecquaria.org/project/pocdex/us/192?kanban-q=192&amp;kanban-status=476&amp;kanban-swimlane=37</t>
    </r>
  </si>
  <si>
    <t>Taiga 192 - In progress
HDB KT - In Progress</t>
  </si>
  <si>
    <t>https://taiga.ecquaria.org/project/pocdex/us/192?kanban-q=192&amp;kanban-status=476&amp;kanban-swimlane=37</t>
  </si>
  <si>
    <t>Taiga 192 - Completed
HDB KT - In Progress</t>
  </si>
  <si>
    <t>Taiga 521 - Re-check
HDB KT - In Progress</t>
  </si>
  <si>
    <t>https://taiga.ecquaria.org/project/pocdex/issue/521</t>
  </si>
  <si>
    <t>Taiga 524 - &lt;POCDEX-CUMULUS&gt; To assess the high level changes required to process Multiple Worker Nodes
HRP KT - In Progress</t>
  </si>
  <si>
    <t>https://taiga.ecquaria.org/project/pocdex/us/524?kanban-q=524&amp;kanban-status=831&amp;kanban-swimlane=37</t>
  </si>
  <si>
    <t>Taiga 525 - &lt;POCDEX-CUMULUS&gt; To assess the high level changes required to process Multiple scenario in a single delta file. [Arises from CUMULUS GVT deployed workers request]
HRP KT - In Progress</t>
  </si>
  <si>
    <t>https://taiga.ecquaria.org/project/pocdex/us/525?kanban-q=525&amp;kanban-status=649&amp;kanban-swimlane=37</t>
  </si>
  <si>
    <t>OT Acknowlege by Fitra for KT Assesment</t>
  </si>
  <si>
    <t>POCDEX-Support
HRP KT - In Progress</t>
  </si>
  <si>
    <t>POCDEX-Support</t>
  </si>
  <si>
    <t>Pocdex (MD)</t>
  </si>
  <si>
    <t>HRP Knowledge transfer
1. Documentation 
2. Diagram
3. Code</t>
  </si>
  <si>
    <t>HRP flow chart diagram</t>
  </si>
  <si>
    <t>Create mock itsm API in BD EDS - Support https</t>
  </si>
  <si>
    <t>HRP Knowledge transfer
1. Documentation 
2. Diagram
3. Code
Taiga Handover</t>
  </si>
  <si>
    <r>
      <rPr>
        <rFont val="Arial"/>
        <color rgb="FF434343"/>
      </rPr>
      <t xml:space="preserve">HRP Knowledge transfer
1. Documentation 
2. Diagram
3. Code
HRP Excercise
</t>
    </r>
    <r>
      <rPr>
        <rFont val="Arial"/>
        <strike/>
        <color rgb="FF434343"/>
      </rPr>
      <t>Taiga Handover</t>
    </r>
  </si>
  <si>
    <t>HRP flow chart diagram
HRP documentation</t>
  </si>
  <si>
    <r>
      <rPr>
        <rFont val="Arial"/>
        <color rgb="FF434343"/>
      </rPr>
      <t xml:space="preserve">Maintain and update /psdirecovery endpoint
</t>
    </r>
    <r>
      <rPr>
        <rFont val="Arial"/>
        <strike/>
        <color rgb="FF434343"/>
      </rPr>
      <t>HRP Knowledge transfer
1. Documentation 
2. Diagram
3. Code
HRP Excercise</t>
    </r>
    <r>
      <rPr>
        <rFont val="Arial"/>
        <color rgb="FF434343"/>
      </rPr>
      <t xml:space="preserve">
</t>
    </r>
    <r>
      <rPr>
        <rFont val="Arial"/>
        <strike/>
        <color rgb="FF434343"/>
      </rPr>
      <t>HRP Regression Test</t>
    </r>
  </si>
  <si>
    <t>Waiting for final requirement for /psdirecovery encpoint</t>
  </si>
  <si>
    <r>
      <rPr>
        <rFont val="Arial"/>
        <color rgb="FF434343"/>
      </rPr>
      <t xml:space="preserve">HRP Knowledge transfer
1. Documentation 
2. Diagram
3. Code
HRP Excercise
</t>
    </r>
    <r>
      <rPr>
        <rFont val="Arial"/>
        <strike/>
        <color rgb="FF434343"/>
      </rPr>
      <t>HRP Regression Test</t>
    </r>
  </si>
  <si>
    <r>
      <rPr>
        <rFont val="Arial"/>
        <color rgb="FF434343"/>
      </rPr>
      <t xml:space="preserve">CAM Jira 858 - IA &amp; Bug Fix &amp; Test
</t>
    </r>
    <r>
      <rPr>
        <rFont val="Arial"/>
        <strike/>
        <color rgb="FF434343"/>
      </rPr>
      <t>HRP Knowledge transfer
1. Documentation 
2. Diagram
3. Code
HRP Excercise
HRP Regression Test</t>
    </r>
  </si>
  <si>
    <t>Email issue</t>
  </si>
  <si>
    <r>
      <rPr>
        <rFont val="Arial"/>
        <color rgb="FF434343"/>
      </rPr>
      <t xml:space="preserve">CAM Jira 858 - IA &amp; Bug Fix &amp; Test
</t>
    </r>
    <r>
      <rPr>
        <rFont val="Arial"/>
        <strike/>
        <color rgb="FF434343"/>
      </rPr>
      <t>HRP Knowledge transfer
1. Documentation 
2. Diagram
3. Code
HRP Excercise
HRP Regression Test</t>
    </r>
  </si>
  <si>
    <t>Pushed the fix to the GL_CAM_2025_08_EmailFix branch</t>
  </si>
  <si>
    <r>
      <rPr>
        <rFont val="Arial"/>
        <color rgb="FF434343"/>
      </rPr>
      <t xml:space="preserve">Create new /psdiRecovery endpoint flow chart
</t>
    </r>
    <r>
      <rPr>
        <rFont val="Arial"/>
        <strike/>
        <color rgb="FF434343"/>
      </rPr>
      <t>HRP Regression Test</t>
    </r>
  </si>
  <si>
    <t>/psdiRecoevery flow chart diagram</t>
  </si>
  <si>
    <t>Pending Gene Review</t>
  </si>
  <si>
    <t>Taiga #298 - Create test plan</t>
  </si>
  <si>
    <t>Taiga #298</t>
  </si>
  <si>
    <t>Update based on Tia's review</t>
  </si>
  <si>
    <t>HRP Knowledge transfer
1. Documentation 
2. Diagram
3. Code
HRP Excercise</t>
  </si>
  <si>
    <t>Annual leave</t>
  </si>
  <si>
    <t>Taiga #298 - Create test plan
Taiga Handover</t>
  </si>
  <si>
    <t>Update based on Jessica's review</t>
  </si>
  <si>
    <r>
      <rPr>
        <rFont val="Arial"/>
        <color rgb="FF434343"/>
      </rPr>
      <t xml:space="preserve">Taiga #298 - Update test plan and test files so that AEDTM must be at least -1 of the file date
HRP Excercise
</t>
    </r>
    <r>
      <rPr>
        <rFont val="Arial"/>
        <strike/>
        <color rgb="FF434343"/>
      </rPr>
      <t>HDB Knowledge transfer
1. Documentation 
2. Diagram
3. Code</t>
    </r>
  </si>
  <si>
    <t>Taiga #298 - Update test plan based on Jessica's review
HDB Knowledge transfer
1. Documentation 
2. Diagram
3. Code</t>
  </si>
  <si>
    <t>HDB Knowledge transfer
1. Documentation 
2. Diagram
3. Code</t>
  </si>
  <si>
    <t>Taiga 515 - IA &amp; Propose Solutioning
HDB Knowledge transfer
1. Documentation 
2. Diagram
3. Code</t>
  </si>
  <si>
    <t>Taiga #515</t>
  </si>
  <si>
    <t>Done (Pending SG Review)</t>
  </si>
  <si>
    <r>
      <rPr>
        <rFont val="Arial"/>
        <color rgb="FF434343"/>
      </rPr>
      <t xml:space="preserve">Taiga 423 - Document for new /psdirecovery endpoint
</t>
    </r>
    <r>
      <rPr>
        <rFont val="Arial"/>
        <strike/>
        <color rgb="FF434343"/>
      </rPr>
      <t>HDB Knowledge transfer
1. Documentation 
2. Diagram
3. Code</t>
    </r>
  </si>
  <si>
    <t>Tiaga #423</t>
  </si>
  <si>
    <t>HDB Knowledge transfer
1. Exercise
HRP Knowledge transfer
1. Code breakdown</t>
  </si>
  <si>
    <t>HDB Knowledge transfer
1. Exercise
Check/verification of the RO email logic in pocdex-core
HRP Knowledge transfer
1. Code breakdown</t>
  </si>
  <si>
    <t>Taiga #433 - Check the rest of the jobcomp code (logic 1-4) for potential NULL value
HRP Knowledge transfer
1. Code breakdown</t>
  </si>
  <si>
    <t>Taiga #433</t>
  </si>
  <si>
    <t>Taiga #433 - Update based on Jessica's review
HRP Knowledge transfer
1. Code breakdown</t>
  </si>
  <si>
    <t>Taiga #433 - Update based on Jessica's review
HRP Knowledge transfer
1. Code breakdown
Check deployment type for some scenario in pocdex-cumulus</t>
  </si>
  <si>
    <t>Check deployment type for some scenario in pocdex-cumulus
HRP Knowledge transfer
1. Exercise From Tia</t>
  </si>
  <si>
    <t>Taiga 527 - Deployment Type Logic for Various Upstreams
HRP Knowledge transfer
1. Exercise From Tia</t>
  </si>
  <si>
    <t>Taiga #527</t>
  </si>
  <si>
    <t>Taiga 527 - Deployment Type Logic for Various Upstreams
HRP Knowledge transfer
1. Exercise From SG</t>
  </si>
  <si>
    <t>Taiga 400 - Update Test plan and test files
HRP Knowledge transfer
1. Exercise From SG</t>
  </si>
  <si>
    <t>Taiga #400</t>
  </si>
  <si>
    <t>Taiga 400 - Update  Flow chart,Test plan and test files
Check taiga list from Tia</t>
  </si>
  <si>
    <t>Taiga 505 - Differentiate initial load and delta files
Check taiga list from Tia</t>
  </si>
  <si>
    <t>Taiga #505</t>
  </si>
  <si>
    <t>Taiga 480 - Check logback.xml</t>
  </si>
  <si>
    <t>Taiga #480</t>
  </si>
  <si>
    <t>Taiga 546 - Update POCDEX code values in BD database</t>
  </si>
  <si>
    <t>Taiga #546</t>
  </si>
  <si>
    <t>Taiga 538 - Create SQL Script</t>
  </si>
  <si>
    <t>Taiga #538</t>
  </si>
  <si>
    <t>Taiga 538 - Create Test case and Test files</t>
  </si>
  <si>
    <t>Taiga 538 - SIT on local and create release notes</t>
  </si>
  <si>
    <t>Taiga 538 - Update based on Jonathan's review</t>
  </si>
  <si>
    <t>Taiga 385 - Check condition for the current file logic</t>
  </si>
  <si>
    <t>Taiga #385</t>
  </si>
  <si>
    <t>Taiga 544 - Update based on Jonathan's review</t>
  </si>
  <si>
    <t>Taiga #544</t>
  </si>
  <si>
    <t>Taiga 378 - Add CL and UI results</t>
  </si>
  <si>
    <t>Taiga #378</t>
  </si>
  <si>
    <t>Taiga 482 - Check cumulus branches</t>
  </si>
  <si>
    <t>Taiga #482</t>
  </si>
  <si>
    <t>Taiga 298 - Check extracted PRD data</t>
  </si>
  <si>
    <t>Taiga 549 - Check Jessica's review</t>
  </si>
  <si>
    <t>Taiga #549</t>
  </si>
  <si>
    <t>Taiga 482 - Check whether the changes for each branches are exists in cumulus-prod</t>
  </si>
  <si>
    <t>Taiga 385 - Check current file flowchart</t>
  </si>
  <si>
    <t>Taiga 565 - Initial Load Timeline Fix Flowchart</t>
  </si>
  <si>
    <t>Taiga #565</t>
  </si>
  <si>
    <t>Taiga 565 - SIT on local</t>
  </si>
  <si>
    <t>Taiga 565 - Update test plan</t>
  </si>
  <si>
    <t>Taiga 526 - Changelog effective date flowchart</t>
  </si>
  <si>
    <t>Taiga #526</t>
  </si>
  <si>
    <t>Taiga 496 - Update based on User's reveiw</t>
  </si>
  <si>
    <t>Taiga #496</t>
  </si>
  <si>
    <t>Taiga 496 - Create flowchart</t>
  </si>
  <si>
    <t>Taiga 251 - Create flowchart</t>
  </si>
  <si>
    <t>Taiga #251</t>
  </si>
  <si>
    <t>Taiga 569 - Check lines of codes</t>
  </si>
  <si>
    <t>Taiga #569</t>
  </si>
  <si>
    <t>Taiga 491 - Check pocdex-psdi gitlab branches</t>
  </si>
  <si>
    <t>Taiga #491</t>
  </si>
  <si>
    <t>Taiga 481 - Check if any differences in gitlab branch sheet with gitlab</t>
  </si>
  <si>
    <t>Taiga #481</t>
  </si>
  <si>
    <t>Taiga 471 - Maintain list for Library version sheet</t>
  </si>
  <si>
    <t>Taiga #471</t>
  </si>
  <si>
    <t>Taiga 571 - Create SQL and new test cases</t>
  </si>
  <si>
    <t>Taiga #571</t>
  </si>
  <si>
    <t>Taiga 571 - Test file &amp; test plan enhancements - existing test cases</t>
  </si>
  <si>
    <t>Taiga 571 - Day 2 &amp; SIT Testing</t>
  </si>
  <si>
    <t>Taiga 571 - Support</t>
  </si>
  <si>
    <t>Taiga 571 - Standby support testing</t>
  </si>
  <si>
    <t>Taiga 564 - Documentation Tidy Up</t>
  </si>
  <si>
    <t>Taiga #564</t>
  </si>
  <si>
    <t>Taiga 572 - Change job update to ADD operation</t>
  </si>
  <si>
    <t>Taiga #572</t>
  </si>
  <si>
    <t>Taiga 572 - Try job update ADD in Cumulus and HDB</t>
  </si>
  <si>
    <t>Taiga 572 - Check update employment logic in pocdex-core</t>
  </si>
  <si>
    <t xml:space="preserve">Taiga 572 - Check sapSystemHandlingForStartDate logic and try update Emp </t>
  </si>
  <si>
    <t>Taiga 572 - Check sapSystemHandlingForStartDate logic and try solution in pocdex-core</t>
  </si>
  <si>
    <t>Taiga 573 - Try maven-enforcer-plugin to pocdex-ace</t>
  </si>
  <si>
    <t>Taiga #573</t>
  </si>
  <si>
    <t>Taiga 573 - SIT testing for pocdex-ace</t>
  </si>
  <si>
    <t>Taiga 572 - Check Jessica's review</t>
  </si>
  <si>
    <t>Taiga 496 - Create mock up and test plan</t>
  </si>
  <si>
    <t>Taiga #572 - Generate onboarding payloads for job update ADD</t>
  </si>
  <si>
    <t>Taiga 572 - Generate onboarding ITSM payloads for job update ADD after Terminate corrected from CLA</t>
  </si>
  <si>
    <t>Taiga 482 - Update gitlab branch sheet for pocdex-cumulus</t>
  </si>
  <si>
    <t>Taiga 484 - Update gitlab branch sheet for pocdex-hrp</t>
  </si>
  <si>
    <t>Taiga #484</t>
  </si>
  <si>
    <t>Taiga 573 - Create test plan and mock up files for pocdex-tivo</t>
  </si>
  <si>
    <t>Try to replicate jobcomp issue</t>
  </si>
  <si>
    <t>Taiga 573 - Check latest pocdex-ace code scanning results</t>
  </si>
  <si>
    <t>Check Unable to retrieve employment scenario Error message in pocdex-hrp</t>
  </si>
  <si>
    <t>Taiga 576 - Check Cumulus phase 3</t>
  </si>
  <si>
    <t>Taiga #576</t>
  </si>
  <si>
    <t>Taiga 576 - Create test plan sample</t>
  </si>
  <si>
    <t>Taiga 576 - Create test steps, check regression test, update test plan</t>
  </si>
  <si>
    <t>Check Secondment job error and file error count level in pocdex-hrp</t>
  </si>
  <si>
    <t>Draw diagram for file error count level in pocdex-hrp</t>
  </si>
  <si>
    <t>Taiga 496 - Try to implement updated solution</t>
  </si>
  <si>
    <t>Update RCA</t>
  </si>
  <si>
    <t>Pending SG Review</t>
  </si>
  <si>
    <t>Taiga #292</t>
  </si>
  <si>
    <t>Prepare Regresion test for CUMULUS</t>
  </si>
  <si>
    <t>Taiga #513</t>
  </si>
  <si>
    <t>Prepare Regresion test for CUMULUS
Taiga Handover</t>
  </si>
  <si>
    <r>
      <rPr>
        <rFont val="Arial"/>
        <color theme="1"/>
      </rPr>
      <t xml:space="preserve">Prepare Regresion test for CUMULUS
</t>
    </r>
    <r>
      <rPr>
        <rFont val="Arial"/>
        <strike/>
        <color theme="1"/>
      </rPr>
      <t>Taiga Handover</t>
    </r>
  </si>
  <si>
    <t xml:space="preserve">1 MD 
Taiga #513 - Preparation of the Cumulus Regression Test  : Covered by : Garnis/ Johan / Rival       </t>
  </si>
  <si>
    <r>
      <rPr>
        <rFont val="Arial"/>
        <strike/>
        <color rgb="FF000000"/>
      </rPr>
      <t>Annual Leave</t>
    </r>
    <r>
      <rPr>
        <rFont val="Arial"/>
        <color rgb="FF000000"/>
      </rPr>
      <t xml:space="preserve"> 
WFH
Development, creating test plan and test files.</t>
    </r>
  </si>
  <si>
    <r>
      <rPr>
        <rFont val="Arial"/>
        <strike/>
        <color theme="1"/>
      </rPr>
      <t xml:space="preserve">Standby
</t>
    </r>
    <r>
      <rPr>
        <rFont val="Arial"/>
        <color theme="1"/>
      </rPr>
      <t xml:space="preserve">
1. Development, creating test plan and test files
2. Re-solutioning and adjust the permutation</t>
    </r>
  </si>
  <si>
    <r>
      <rPr>
        <color rgb="FF434343"/>
      </rPr>
      <t xml:space="preserve">1. </t>
    </r>
    <r>
      <rPr>
        <color rgb="FF434343"/>
        <u/>
      </rPr>
      <t xml:space="preserve">Taiga #251
</t>
    </r>
    <r>
      <rPr>
        <color rgb="FF434343"/>
      </rPr>
      <t xml:space="preserve">2. </t>
    </r>
    <r>
      <rPr>
        <color rgb="FF434343"/>
        <u/>
      </rPr>
      <t>Taiga #401</t>
    </r>
  </si>
  <si>
    <r>
      <rPr>
        <rFont val="Arial"/>
        <strike/>
        <color theme="1"/>
      </rPr>
      <t xml:space="preserve">Standby
</t>
    </r>
    <r>
      <rPr>
        <rFont val="Arial"/>
        <color theme="1"/>
      </rPr>
      <t xml:space="preserve">
Review:
1. Test Plan for Taiga #394 by Johan
2. Remarks on HRP Regression by Garnis
3. Remarks on Cumulus Regression by Garnis</t>
    </r>
  </si>
  <si>
    <r>
      <rPr>
        <color rgb="FF434343"/>
      </rPr>
      <t xml:space="preserve">1. </t>
    </r>
    <r>
      <rPr>
        <color rgb="FF434343"/>
        <u/>
      </rPr>
      <t xml:space="preserve">Taiga #394
</t>
    </r>
    <r>
      <rPr>
        <color rgb="FF434343"/>
      </rPr>
      <t xml:space="preserve">2. </t>
    </r>
    <r>
      <rPr>
        <color rgb="FF434343"/>
        <u/>
      </rPr>
      <t xml:space="preserve">Taiga #456
</t>
    </r>
    <r>
      <rPr>
        <color rgb="FF434343"/>
      </rPr>
      <t xml:space="preserve">3. </t>
    </r>
    <r>
      <rPr>
        <color rgb="FF434343"/>
        <u/>
      </rPr>
      <t>Taiga #513</t>
    </r>
  </si>
  <si>
    <t>1. Adjust the test plan based on Garnis's remarks
2. IA for new solution from Jessica"</t>
  </si>
  <si>
    <t>Taiga #513
In Progress
Taiga #496
Completed</t>
  </si>
  <si>
    <r>
      <rPr>
        <color rgb="FF434343"/>
      </rPr>
      <t xml:space="preserve">
1. </t>
    </r>
    <r>
      <rPr>
        <color rgb="FF434343"/>
        <u/>
      </rPr>
      <t xml:space="preserve">Taiga #513
</t>
    </r>
    <r>
      <rPr>
        <color rgb="FF434343"/>
      </rPr>
      <t xml:space="preserve">2. </t>
    </r>
    <r>
      <rPr>
        <color rgb="FF434343"/>
        <u/>
      </rPr>
      <t>Taiga #496</t>
    </r>
  </si>
  <si>
    <t>1. Adjust the test plan based on Garnis's remarks
2. Review
    - Test Plan for Taiga #298 by Rival
    - Test Plan for Taiga #394 by Johan
3. Ace Investigation: Further Investigation base on Email Review</t>
  </si>
  <si>
    <r>
      <rPr>
        <color rgb="FF434343"/>
      </rPr>
      <t xml:space="preserve">1. </t>
    </r>
    <r>
      <rPr>
        <color rgb="FF434343"/>
        <u/>
      </rPr>
      <t>Taiga #513</t>
    </r>
    <r>
      <rPr>
        <color rgb="FF434343"/>
      </rPr>
      <t xml:space="preserve">
2a. </t>
    </r>
    <r>
      <rPr>
        <color rgb="FF434343"/>
        <u/>
      </rPr>
      <t>Taiga #298
2b. Taiga #394</t>
    </r>
    <r>
      <rPr>
        <color rgb="FF434343"/>
        <u/>
      </rPr>
      <t xml:space="preserve">
</t>
    </r>
    <r>
      <rPr>
        <color rgb="FF434343"/>
      </rPr>
      <t>3. No Taiga - only reply by email
    Email Subject: &lt;POCDEX-ACE&gt; Checking of behaviour in pocdex-ace</t>
    </r>
    <r>
      <rPr>
        <color rgb="FF434343"/>
        <u/>
      </rPr>
      <t xml:space="preserve">
</t>
    </r>
  </si>
  <si>
    <t>1. IA and possible code change fot adding new error message.
2. Checking all upstream behaviour when filling the email field to downstream</t>
  </si>
  <si>
    <r>
      <rPr>
        <color rgb="FF434343"/>
      </rPr>
      <t xml:space="preserve">1. </t>
    </r>
    <r>
      <rPr>
        <color rgb="FF434343"/>
        <u/>
      </rPr>
      <t xml:space="preserve">Taiga #251
</t>
    </r>
    <r>
      <rPr>
        <color rgb="FF434343"/>
      </rPr>
      <t xml:space="preserve">2. No Taiga
    Link to gsheet: </t>
    </r>
    <r>
      <rPr>
        <color rgb="FF434343"/>
        <u/>
      </rPr>
      <t>https://docs.google.com/spreadsheets/d/1cK6a3hiP0_LD-ZJWf0rO3fBPlf_qLiB2FqYcSl3VuMY/edit?gid=0#gid=0</t>
    </r>
  </si>
  <si>
    <r>
      <rPr>
        <rFont val="Arial"/>
        <strike/>
        <color theme="1"/>
      </rPr>
      <t>1. Adjust the diagram, based on Rival's remarks</t>
    </r>
    <r>
      <rPr>
        <rFont val="Arial"/>
        <color theme="1"/>
      </rPr>
      <t xml:space="preserve">
</t>
    </r>
    <r>
      <rPr>
        <rFont val="Arial"/>
        <strike/>
        <color theme="1"/>
      </rPr>
      <t xml:space="preserve">2. Adjust original test plan, based on Garnis's remarks
</t>
    </r>
    <r>
      <rPr>
        <rFont val="Arial"/>
        <color theme="1"/>
      </rPr>
      <t>3. Creating document for Changelog - Upstream variable mapping</t>
    </r>
  </si>
  <si>
    <r>
      <rPr>
        <strike/>
        <color rgb="FF434343"/>
      </rPr>
      <t>1.</t>
    </r>
    <r>
      <rPr>
        <strike/>
        <color rgb="FF434343"/>
        <u/>
      </rPr>
      <t xml:space="preserve"> Taiga #407</t>
    </r>
    <r>
      <rPr>
        <color rgb="FF434343"/>
        <u/>
      </rPr>
      <t xml:space="preserve">
</t>
    </r>
    <r>
      <rPr>
        <strike/>
        <color rgb="FF434343"/>
      </rPr>
      <t xml:space="preserve">2. </t>
    </r>
    <r>
      <rPr>
        <strike/>
        <color rgb="FF434343"/>
        <u/>
      </rPr>
      <t xml:space="preserve">Taiga #456
</t>
    </r>
    <r>
      <rPr>
        <color rgb="FF434343"/>
      </rPr>
      <t xml:space="preserve">2. </t>
    </r>
    <r>
      <rPr>
        <color rgb="FF434343"/>
        <u/>
      </rPr>
      <t>Taiga #516</t>
    </r>
  </si>
  <si>
    <r>
      <rPr>
        <rFont val="Arial"/>
        <strike/>
        <color theme="1"/>
      </rPr>
      <t xml:space="preserve">1. Adjust original test plan, based on Garnis's remarks
</t>
    </r>
    <r>
      <rPr>
        <rFont val="Arial"/>
        <color theme="1"/>
      </rPr>
      <t>1. Adjust the diagram, based on Rival's remarks
2. Creating document for Changelog - Upstream variable mapping</t>
    </r>
  </si>
  <si>
    <r>
      <rPr>
        <color rgb="FF434343"/>
        <u/>
      </rPr>
      <t xml:space="preserve">
</t>
    </r>
    <r>
      <rPr>
        <strike/>
        <color rgb="FF434343"/>
      </rPr>
      <t xml:space="preserve">1. </t>
    </r>
    <r>
      <rPr>
        <strike/>
        <color rgb="FF434343"/>
      </rPr>
      <t xml:space="preserve">Taiga #456
</t>
    </r>
    <r>
      <rPr>
        <color rgb="FF434343"/>
        <u/>
      </rPr>
      <t>1. Taiga #407</t>
    </r>
    <r>
      <rPr>
        <strike/>
        <color rgb="FF434343"/>
      </rPr>
      <t xml:space="preserve">
</t>
    </r>
    <r>
      <rPr>
        <color rgb="FF434343"/>
      </rPr>
      <t xml:space="preserve">2. </t>
    </r>
    <r>
      <rPr>
        <color rgb="FF434343"/>
        <u/>
      </rPr>
      <t>Taiga #516</t>
    </r>
  </si>
  <si>
    <t>1. Adjust original test plan, based on Garnis's remarks</t>
  </si>
  <si>
    <r>
      <rPr>
        <color rgb="FF434343"/>
      </rPr>
      <t xml:space="preserve">1. </t>
    </r>
    <r>
      <rPr>
        <color rgb="FF434343"/>
        <u/>
      </rPr>
      <t>Taiga #456</t>
    </r>
  </si>
  <si>
    <t>1. Adjust original test plan, based on Garnis's remarks
2. Answer Jessica question for IA</t>
  </si>
  <si>
    <r>
      <rPr>
        <color rgb="FF434343"/>
      </rPr>
      <t xml:space="preserve">1. </t>
    </r>
    <r>
      <rPr>
        <color rgb="FF434343"/>
        <u/>
      </rPr>
      <t xml:space="preserve">Taiga #456
</t>
    </r>
    <r>
      <rPr>
        <color rgb="FF434343"/>
      </rPr>
      <t xml:space="preserve">2. </t>
    </r>
    <r>
      <rPr>
        <color rgb="FF434343"/>
        <u/>
      </rPr>
      <t>Taiga #496</t>
    </r>
  </si>
  <si>
    <r>
      <rPr>
        <color rgb="FF434343"/>
      </rPr>
      <t xml:space="preserve">1. </t>
    </r>
    <r>
      <rPr>
        <color rgb="FF434343"/>
        <u/>
      </rPr>
      <t xml:space="preserve">Taiga #456
</t>
    </r>
    <r>
      <rPr>
        <color rgb="FF434343"/>
      </rPr>
      <t xml:space="preserve">2. </t>
    </r>
    <r>
      <rPr>
        <color rgb="FF434343"/>
        <u/>
      </rPr>
      <t>Taiga #496</t>
    </r>
  </si>
  <si>
    <r>
      <rPr>
        <color rgb="FF434343"/>
      </rPr>
      <t xml:space="preserve">1. </t>
    </r>
    <r>
      <rPr>
        <color rgb="FF434343"/>
        <u/>
      </rPr>
      <t>Taiga #456</t>
    </r>
  </si>
  <si>
    <t>1. List our taiga's item
2. Tidy-up online documentation</t>
  </si>
  <si>
    <t>1. Documenting Error Message
2. Warning/Error Message Analysis</t>
  </si>
  <si>
    <r>
      <rPr>
        <color rgb="FF434343"/>
      </rPr>
      <t xml:space="preserve">1. </t>
    </r>
    <r>
      <rPr>
        <color rgb="FF434343"/>
        <u/>
      </rPr>
      <t xml:space="preserve">Taiga #514
</t>
    </r>
    <r>
      <rPr>
        <color rgb="FF434343"/>
      </rPr>
      <t xml:space="preserve">2. </t>
    </r>
    <r>
      <rPr>
        <color rgb="FF434343"/>
        <u/>
      </rPr>
      <t>Taiga #517</t>
    </r>
  </si>
  <si>
    <r>
      <rPr>
        <color rgb="FF434343"/>
      </rPr>
      <t xml:space="preserve">1. </t>
    </r>
    <r>
      <rPr>
        <color rgb="FF434343"/>
        <u/>
      </rPr>
      <t xml:space="preserve">Taiga #514
</t>
    </r>
    <r>
      <rPr>
        <color rgb="FF434343"/>
      </rPr>
      <t xml:space="preserve">2. </t>
    </r>
    <r>
      <rPr>
        <color rgb="FF434343"/>
        <u/>
      </rPr>
      <t>Taiga #517</t>
    </r>
  </si>
  <si>
    <t>1. Documenting Error Message
2. Warning/Error Message Analysis
3. Update SQL + SIT
4. Fixing the sheet based on Jessica's feedback</t>
  </si>
  <si>
    <t>1. Completed
2. Completed
3. In Progress
4. In Progress</t>
  </si>
  <si>
    <r>
      <rPr>
        <color rgb="FF434343"/>
      </rPr>
      <t xml:space="preserve">1. </t>
    </r>
    <r>
      <rPr>
        <color rgb="FF434343"/>
        <u/>
      </rPr>
      <t xml:space="preserve">Taiga #514
</t>
    </r>
    <r>
      <rPr>
        <color rgb="FF434343"/>
      </rPr>
      <t xml:space="preserve">2. </t>
    </r>
    <r>
      <rPr>
        <color rgb="FF434343"/>
        <u/>
      </rPr>
      <t xml:space="preserve">Taiga #517
</t>
    </r>
    <r>
      <rPr>
        <color rgb="FF434343"/>
      </rPr>
      <t xml:space="preserve">3. </t>
    </r>
    <r>
      <rPr>
        <color rgb="FF434343"/>
        <u/>
      </rPr>
      <t xml:space="preserve">Taiga #519
</t>
    </r>
    <r>
      <rPr>
        <color rgb="FF434343"/>
      </rPr>
      <t>4.</t>
    </r>
    <r>
      <rPr>
        <color rgb="FF434343"/>
        <u/>
      </rPr>
      <t xml:space="preserve"> Taiga #516</t>
    </r>
  </si>
  <si>
    <t>1. Update SQL + SIT
2. Fixing the sheet based on Jessica's feedback
3. Checking of behaviour of employment_type
4. Fixing the sheet based on Jessica's feedback</t>
  </si>
  <si>
    <r>
      <rPr>
        <color rgb="FF666666"/>
      </rPr>
      <t xml:space="preserve">1. </t>
    </r>
    <r>
      <rPr>
        <color rgb="FF666666"/>
        <u/>
      </rPr>
      <t>Taiga #519</t>
    </r>
    <r>
      <rPr>
        <color rgb="FF666666"/>
        <u/>
      </rPr>
      <t xml:space="preserve">
</t>
    </r>
    <r>
      <rPr>
        <color rgb="FF666666"/>
      </rPr>
      <t>2.</t>
    </r>
    <r>
      <rPr>
        <color rgb="FF666666"/>
        <u/>
      </rPr>
      <t xml:space="preserve"> Taiga #516
</t>
    </r>
    <r>
      <rPr>
        <color rgb="FF666666"/>
      </rPr>
      <t xml:space="preserve">3. </t>
    </r>
    <r>
      <rPr>
        <color rgb="FF666666"/>
        <u/>
      </rPr>
      <t xml:space="preserve">Taiga #520
</t>
    </r>
    <r>
      <rPr>
        <color rgb="FF666666"/>
      </rPr>
      <t xml:space="preserve">4. </t>
    </r>
    <r>
      <rPr>
        <color rgb="FF666666"/>
        <u/>
      </rPr>
      <t xml:space="preserve">Taiga #517
</t>
    </r>
  </si>
  <si>
    <t>1. Completed
2. Completed
3. Completed
4. In Progress</t>
  </si>
  <si>
    <r>
      <rPr>
        <color rgb="FF666666"/>
      </rPr>
      <t xml:space="preserve">1. </t>
    </r>
    <r>
      <rPr>
        <color rgb="FF666666"/>
        <u/>
      </rPr>
      <t>Taiga #519</t>
    </r>
    <r>
      <rPr>
        <color rgb="FF666666"/>
        <u/>
      </rPr>
      <t xml:space="preserve">
</t>
    </r>
    <r>
      <rPr>
        <color rgb="FF666666"/>
      </rPr>
      <t>2.</t>
    </r>
    <r>
      <rPr>
        <color rgb="FF666666"/>
        <u/>
      </rPr>
      <t xml:space="preserve"> Taiga #516
</t>
    </r>
    <r>
      <rPr>
        <color rgb="FF666666"/>
      </rPr>
      <t xml:space="preserve">3. </t>
    </r>
    <r>
      <rPr>
        <color rgb="FF666666"/>
        <u/>
      </rPr>
      <t xml:space="preserve">Taiga #520
</t>
    </r>
    <r>
      <rPr>
        <color rgb="FF666666"/>
      </rPr>
      <t xml:space="preserve">4. </t>
    </r>
    <r>
      <rPr>
        <color rgb="FF666666"/>
        <u/>
      </rPr>
      <t xml:space="preserve">Taiga #517
</t>
    </r>
  </si>
  <si>
    <t>1. Fixing the sheet based on Jessica's feedback
2. Update code based on Gene's feedback</t>
  </si>
  <si>
    <r>
      <rPr>
        <color rgb="FF666666"/>
      </rPr>
      <t xml:space="preserve">1. </t>
    </r>
    <r>
      <rPr>
        <color rgb="FF666666"/>
        <u/>
      </rPr>
      <t>Taiga #517
2. Taiga #519</t>
    </r>
    <r>
      <rPr>
        <color rgb="FF666666"/>
        <u/>
      </rPr>
      <t xml:space="preserve">
</t>
    </r>
  </si>
  <si>
    <t>1. Update code based on Gene's feedback</t>
  </si>
  <si>
    <r>
      <rPr>
        <color rgb="FF666666"/>
      </rPr>
      <t>1</t>
    </r>
    <r>
      <rPr>
        <color rgb="FF666666"/>
        <u/>
      </rPr>
      <t>. Taiga #519</t>
    </r>
    <r>
      <rPr>
        <color rgb="FF666666"/>
        <u/>
      </rPr>
      <t xml:space="preserve">
</t>
    </r>
  </si>
  <si>
    <t>1. Update code based on Gene &amp; Yong Jia feedback
2. IA using #515 solution
3. Bug on generateExtraChangelogFromScenarioChanges method</t>
  </si>
  <si>
    <r>
      <rPr>
        <color rgb="FF666666"/>
      </rPr>
      <t>1</t>
    </r>
    <r>
      <rPr>
        <color rgb="FF666666"/>
        <u/>
      </rPr>
      <t>. Taiga #519</t>
    </r>
    <r>
      <rPr>
        <color rgb="FF666666"/>
        <u/>
      </rPr>
      <t xml:space="preserve">
</t>
    </r>
    <r>
      <rPr>
        <color rgb="FF666666"/>
      </rPr>
      <t xml:space="preserve">2. </t>
    </r>
    <r>
      <rPr>
        <color rgb="FF666666"/>
        <u/>
      </rPr>
      <t>Taiga #401</t>
    </r>
    <r>
      <rPr>
        <color rgb="FF666666"/>
      </rPr>
      <t xml:space="preserve">
3.</t>
    </r>
    <r>
      <rPr>
        <color rgb="FF666666"/>
        <u/>
      </rPr>
      <t xml:space="preserve"> Taiga #522</t>
    </r>
  </si>
  <si>
    <t>1. Bug on generateExtraChangelogFromScenarioChanges method
2. HDB Handover - Code Breakdown
3. List Out &amp; Update All Taiga Tickets
4. Check the issue</t>
  </si>
  <si>
    <t>1. Completed
2. In Progress
3. In Progress
4. In Progress</t>
  </si>
  <si>
    <r>
      <rPr>
        <color rgb="FF434343"/>
      </rPr>
      <t xml:space="preserve">1. </t>
    </r>
    <r>
      <rPr>
        <color rgb="FF434343"/>
        <u/>
      </rPr>
      <t>Taiga #522</t>
    </r>
    <r>
      <rPr>
        <color rgb="FF434343"/>
      </rPr>
      <t xml:space="preserve">
2. -
3. -
4. </t>
    </r>
    <r>
      <rPr>
        <color rgb="FF434343"/>
        <u/>
      </rPr>
      <t>Taiga #273</t>
    </r>
  </si>
  <si>
    <t>1 HDB Handover - Code Breakdown
2. List Out All Taiga Tickets
3. Taiga #351 - Write the Taiga Description
4. Taiga #352 - Write the Taiga Description
5. Taiga #353 - Write the Taiga Description
6. Taiga #355 - Write the Taiga Description</t>
  </si>
  <si>
    <t>1. Postponed
2. In Progress
3. In Progress
4. In Progress
5. In Progress
6. In Progress</t>
  </si>
  <si>
    <r>
      <rPr>
        <color rgb="FF434343"/>
      </rPr>
      <t xml:space="preserve">1. - 
2. -
3. </t>
    </r>
    <r>
      <rPr>
        <color rgb="FF434343"/>
        <u/>
      </rPr>
      <t xml:space="preserve">Taiga #351
</t>
    </r>
    <r>
      <rPr>
        <color rgb="FF434343"/>
      </rPr>
      <t xml:space="preserve">4. </t>
    </r>
    <r>
      <rPr>
        <color rgb="FF434343"/>
        <u/>
      </rPr>
      <t xml:space="preserve">Taiga #352
</t>
    </r>
    <r>
      <rPr>
        <color rgb="FF434343"/>
      </rPr>
      <t xml:space="preserve">5. </t>
    </r>
    <r>
      <rPr>
        <color rgb="FF434343"/>
        <u/>
      </rPr>
      <t>Taiga #353</t>
    </r>
    <r>
      <rPr>
        <color rgb="FF434343"/>
      </rPr>
      <t xml:space="preserve">
6. </t>
    </r>
    <r>
      <rPr>
        <color rgb="FF434343"/>
        <u/>
      </rPr>
      <t>Taiga #355</t>
    </r>
  </si>
  <si>
    <t>1. HDB Handover - Code Breakdown
2. List Out All Taiga Tickets
3. Write the Taiga Description
4. Write the Taiga Description
5. Write the Taiga Description
6. Write the Taiga Description
7. Write the Taiga Description
8. Write the Taiga Description</t>
  </si>
  <si>
    <t>1. In Progress
2. Completed
3. Completed
4. Completed
5. Completed
6. Completed
7. In Progress
8. In Progress</t>
  </si>
  <si>
    <r>
      <rPr>
        <color rgb="FF434343"/>
      </rPr>
      <t xml:space="preserve">1. - 
2. -
3. </t>
    </r>
    <r>
      <rPr>
        <color rgb="FF434343"/>
        <u/>
      </rPr>
      <t xml:space="preserve">Taiga #351
</t>
    </r>
    <r>
      <rPr>
        <color rgb="FF434343"/>
      </rPr>
      <t xml:space="preserve">4. </t>
    </r>
    <r>
      <rPr>
        <color rgb="FF434343"/>
        <u/>
      </rPr>
      <t xml:space="preserve">Taiga #352
</t>
    </r>
    <r>
      <rPr>
        <color rgb="FF434343"/>
      </rPr>
      <t xml:space="preserve">5. </t>
    </r>
    <r>
      <rPr>
        <color rgb="FF434343"/>
        <u/>
      </rPr>
      <t>Taiga #353</t>
    </r>
    <r>
      <rPr>
        <color rgb="FF434343"/>
      </rPr>
      <t xml:space="preserve">
6. </t>
    </r>
    <r>
      <rPr>
        <color rgb="FF434343"/>
        <u/>
      </rPr>
      <t xml:space="preserve">Taiga #355
</t>
    </r>
    <r>
      <rPr>
        <color rgb="FF434343"/>
      </rPr>
      <t xml:space="preserve">7. </t>
    </r>
    <r>
      <rPr>
        <color rgb="FF434343"/>
        <u/>
      </rPr>
      <t xml:space="preserve">Taiga #356
</t>
    </r>
    <r>
      <rPr>
        <color rgb="FF434343"/>
      </rPr>
      <t xml:space="preserve">8. </t>
    </r>
    <r>
      <rPr>
        <color rgb="FF434343"/>
        <u/>
      </rPr>
      <t>Taiga #358</t>
    </r>
  </si>
  <si>
    <t>1. HDB Handover - Code Breakdown
2. Write the Taiga Description
3. Write the Taiga Description
4. Fix based on Jessica's feedback
5. Fix based on Jessica's feedback</t>
  </si>
  <si>
    <t>1. In Progress
2. Completed
3. Completed
4. In Progress
5. In Progress</t>
  </si>
  <si>
    <r>
      <rPr>
        <color rgb="FF434343"/>
      </rPr>
      <t xml:space="preserve">1. - </t>
    </r>
    <r>
      <rPr>
        <color rgb="FF434343"/>
        <u/>
      </rPr>
      <t xml:space="preserve">
</t>
    </r>
    <r>
      <rPr>
        <color rgb="FF434343"/>
      </rPr>
      <t xml:space="preserve">2. </t>
    </r>
    <r>
      <rPr>
        <color rgb="FF434343"/>
        <u/>
      </rPr>
      <t xml:space="preserve">Taiga #356
</t>
    </r>
    <r>
      <rPr>
        <color rgb="FF434343"/>
      </rPr>
      <t xml:space="preserve">3. </t>
    </r>
    <r>
      <rPr>
        <color rgb="FF434343"/>
        <u/>
      </rPr>
      <t xml:space="preserve">Taiga #358
</t>
    </r>
    <r>
      <rPr>
        <color rgb="FF434343"/>
      </rPr>
      <t xml:space="preserve">4. </t>
    </r>
    <r>
      <rPr>
        <color rgb="FF434343"/>
        <u/>
      </rPr>
      <t xml:space="preserve">Taiga #512
</t>
    </r>
    <r>
      <rPr>
        <color rgb="FF434343"/>
      </rPr>
      <t xml:space="preserve">5. </t>
    </r>
    <r>
      <rPr>
        <color rgb="FF434343"/>
        <u/>
      </rPr>
      <t>Taiga #407</t>
    </r>
  </si>
  <si>
    <t>1. HDB Handover - Code Breakdown
2. Fix based on Jessica's feedback
3. Fix based on Jessica's feedback</t>
  </si>
  <si>
    <t>1. Completed
2. Completed
3. Completed</t>
  </si>
  <si>
    <r>
      <rPr>
        <color rgb="FF434343"/>
      </rPr>
      <t xml:space="preserve">1. - </t>
    </r>
    <r>
      <rPr>
        <color rgb="FF434343"/>
        <u/>
      </rPr>
      <t xml:space="preserve">
</t>
    </r>
    <r>
      <rPr>
        <color rgb="FF434343"/>
      </rPr>
      <t xml:space="preserve">2. </t>
    </r>
    <r>
      <rPr>
        <color rgb="FF434343"/>
        <u/>
      </rPr>
      <t>Taiga #512</t>
    </r>
    <r>
      <rPr>
        <color rgb="FF434343"/>
        <u/>
      </rPr>
      <t xml:space="preserve">
</t>
    </r>
    <r>
      <rPr>
        <color rgb="FF434343"/>
      </rPr>
      <t xml:space="preserve">3. </t>
    </r>
    <r>
      <rPr>
        <color rgb="FF434343"/>
        <u/>
      </rPr>
      <t>Taiga #407</t>
    </r>
  </si>
  <si>
    <t>4 
4</t>
  </si>
  <si>
    <t>1. HRP Handover - Code Breakdown
2. Standby support</t>
  </si>
  <si>
    <t xml:space="preserve">     Public Holiday</t>
  </si>
  <si>
    <r>
      <rPr>
        <rFont val="Arial"/>
        <strike/>
        <color theme="1"/>
      </rPr>
      <t xml:space="preserve">HRP Handover - Code Breakdown
</t>
    </r>
    <r>
      <rPr>
        <rFont val="Arial"/>
        <color theme="1"/>
      </rPr>
      <t>Medical Leave</t>
    </r>
  </si>
  <si>
    <r>
      <rPr>
        <rFont val="Arial"/>
        <strike/>
        <color theme="1"/>
      </rPr>
      <t xml:space="preserve">Reviewing HDB and HRP exercise by Johan &amp; Rival
</t>
    </r>
    <r>
      <rPr>
        <rFont val="Arial"/>
        <color theme="1"/>
      </rPr>
      <t>1. Standby support</t>
    </r>
  </si>
  <si>
    <t>1. Reviewing HDB and HRP exercise by Johan &amp; Rival
2. Compile logic on how different values found in various upstream files determine each of this deployment type value</t>
  </si>
  <si>
    <r>
      <rPr>
        <color rgb="FF434343"/>
      </rPr>
      <t xml:space="preserve">1. -
2. </t>
    </r>
    <r>
      <rPr>
        <color rgb="FF434343"/>
        <u/>
      </rPr>
      <t>Taiga #527</t>
    </r>
  </si>
  <si>
    <t>1. Reviewing HDB and HRP exercise by Johan &amp; Rival
2. Assessment on the code change required</t>
  </si>
  <si>
    <r>
      <rPr>
        <color rgb="FF434343"/>
      </rPr>
      <t xml:space="preserve">1. -
2. </t>
    </r>
    <r>
      <rPr>
        <color rgb="FF434343"/>
        <u/>
      </rPr>
      <t xml:space="preserve">Taiga #528
</t>
    </r>
    <r>
      <rPr>
        <color rgb="FF434343"/>
      </rPr>
      <t>3.</t>
    </r>
    <r>
      <rPr>
        <color rgb="FF434343"/>
        <u/>
      </rPr>
      <t xml:space="preserve"> Taiga #529</t>
    </r>
  </si>
  <si>
    <r>
      <rPr>
        <rFont val="Arial"/>
        <color theme="1"/>
      </rPr>
      <t>1. Reviewing HDB and HRP exercise by Johan &amp; Rival</t>
    </r>
    <r>
      <rPr>
        <rFont val="Arial"/>
        <strike/>
        <color theme="1"/>
      </rPr>
      <t xml:space="preserve">
</t>
    </r>
    <r>
      <rPr>
        <rFont val="Arial"/>
        <color theme="1"/>
      </rPr>
      <t>2. Assessment on the code change required
3. Create pocdex-ace diagram when changing the scenario</t>
    </r>
  </si>
  <si>
    <r>
      <rPr>
        <color rgb="FF434343"/>
      </rPr>
      <t xml:space="preserve">1. -
2. </t>
    </r>
    <r>
      <rPr>
        <color rgb="FF434343"/>
        <u/>
      </rPr>
      <t xml:space="preserve">Taiga #528
</t>
    </r>
    <r>
      <rPr>
        <color rgb="FF434343"/>
      </rPr>
      <t>3.</t>
    </r>
    <r>
      <rPr>
        <color rgb="FF434343"/>
        <u/>
      </rPr>
      <t xml:space="preserve"> Taiga #529</t>
    </r>
  </si>
  <si>
    <r>
      <rPr>
        <rFont val="Arial"/>
        <strike/>
        <color theme="1"/>
      </rPr>
      <t xml:space="preserve">Reviewing HDB and HRP exercise by Johan &amp; Rival
</t>
    </r>
    <r>
      <rPr>
        <rFont val="Arial"/>
        <color theme="1"/>
      </rPr>
      <t>1. Assessment on the code change required
2. Create pocdex-ace diagram when changing the scenario</t>
    </r>
  </si>
  <si>
    <r>
      <rPr>
        <color rgb="FF434343"/>
      </rPr>
      <t xml:space="preserve">1. </t>
    </r>
    <r>
      <rPr>
        <color rgb="FF434343"/>
        <u/>
      </rPr>
      <t xml:space="preserve">Taiga #528
</t>
    </r>
    <r>
      <rPr>
        <color rgb="FF434343"/>
      </rPr>
      <t>2.</t>
    </r>
    <r>
      <rPr>
        <color rgb="FF434343"/>
        <u/>
      </rPr>
      <t xml:space="preserve"> Taiga #529</t>
    </r>
  </si>
  <si>
    <r>
      <rPr>
        <rFont val="Arial"/>
        <color theme="1"/>
      </rPr>
      <t xml:space="preserve">1. Create pocdex-ace diagram when changing the scenario
</t>
    </r>
    <r>
      <rPr>
        <rFont val="Arial"/>
        <strike/>
        <color theme="1"/>
      </rPr>
      <t>2. Discussion for any question about HDB, HRP, or related taiga issue if any</t>
    </r>
    <r>
      <rPr>
        <rFont val="Arial"/>
        <color theme="1"/>
      </rPr>
      <t xml:space="preserve">
3. Assessment on the code change required (“change job - MODIFY”)</t>
    </r>
  </si>
  <si>
    <r>
      <rPr>
        <rFont val="Arial"/>
        <color theme="1"/>
      </rPr>
      <t xml:space="preserve">1. Completed
</t>
    </r>
    <r>
      <rPr>
        <rFont val="Arial"/>
        <strike/>
        <color theme="1"/>
      </rPr>
      <t>2. In Progress</t>
    </r>
    <r>
      <rPr>
        <rFont val="Arial"/>
        <color theme="1"/>
      </rPr>
      <t xml:space="preserve">
3. In Progress</t>
    </r>
  </si>
  <si>
    <r>
      <rPr>
        <color rgb="FF434343"/>
      </rPr>
      <t>1.</t>
    </r>
    <r>
      <rPr>
        <color rgb="FF434343"/>
        <u/>
      </rPr>
      <t xml:space="preserve"> Taiga #529
</t>
    </r>
    <r>
      <rPr>
        <strike/>
        <color rgb="FF434343"/>
      </rPr>
      <t>2. -</t>
    </r>
    <r>
      <rPr>
        <color rgb="FF434343"/>
      </rPr>
      <t xml:space="preserve">
3. </t>
    </r>
    <r>
      <rPr>
        <color rgb="FF434343"/>
        <u/>
      </rPr>
      <t>Taiga #530</t>
    </r>
  </si>
  <si>
    <r>
      <rPr>
        <rFont val="Arial"/>
        <strike/>
        <color theme="1"/>
      </rPr>
      <t>1. Discussion for any question about HDB, HRP, or related taiga issue if any</t>
    </r>
    <r>
      <rPr>
        <rFont val="Arial"/>
        <color theme="1"/>
      </rPr>
      <t xml:space="preserve">
2. Assessment on the code change required (“change job - MODIFY”)</t>
    </r>
  </si>
  <si>
    <t>Taiga #530</t>
  </si>
  <si>
    <t>5
3</t>
  </si>
  <si>
    <t>1. Discussion for any question about HDB, HRP, or related taiga issue if any
2. Standby Support</t>
  </si>
  <si>
    <r>
      <rPr>
        <rFont val="Arial"/>
        <strike/>
        <color theme="1"/>
      </rPr>
      <t>Discussion for any question about HDB, HRP, or related taiga issue if any</t>
    </r>
    <r>
      <rPr>
        <rFont val="Arial"/>
        <color theme="1"/>
      </rPr>
      <t xml:space="preserve">
1. Phone Number Discrepancies between Initial Load &amp; Delta Processors
2. Standby support</t>
    </r>
  </si>
  <si>
    <r>
      <rPr>
        <color rgb="FF434343"/>
      </rPr>
      <t xml:space="preserve">1. </t>
    </r>
    <r>
      <rPr>
        <color rgb="FF434343"/>
        <u/>
      </rPr>
      <t xml:space="preserve">Taiga #549
</t>
    </r>
    <r>
      <rPr>
        <color rgb="FF434343"/>
      </rPr>
      <t>2. -</t>
    </r>
  </si>
  <si>
    <t>1. Discussion for any question about HDB, HRP, or related taiga issue if any
2. Phone Number Discrepancies between Initial Load &amp; Delta Processors</t>
  </si>
  <si>
    <t>1. In Progress
2. Completed</t>
  </si>
  <si>
    <r>
      <rPr>
        <color rgb="FF434343"/>
      </rPr>
      <t xml:space="preserve">1. -
2. </t>
    </r>
    <r>
      <rPr>
        <color rgb="FF434343"/>
        <u/>
      </rPr>
      <t>Taiga #549</t>
    </r>
  </si>
  <si>
    <t>1. Discussion for any question about HDB, HRP, or related taiga issue if any
2. Standby support</t>
  </si>
  <si>
    <r>
      <rPr>
        <rFont val="Roboto"/>
        <strike/>
        <color rgb="FF434343"/>
      </rPr>
      <t xml:space="preserve">Discussion for any question about HDB, HRP, or related taiga issue if any
</t>
    </r>
    <r>
      <rPr>
        <rFont val="Roboto"/>
        <color rgb="FF434343"/>
      </rPr>
      <t>Standby support</t>
    </r>
  </si>
  <si>
    <t xml:space="preserve">Covered by : Johan / Rival       </t>
  </si>
  <si>
    <t>Sycn-up with Johan</t>
  </si>
  <si>
    <t>1. Sycn-up with Johan
2. Create Cumulus Diagram</t>
  </si>
  <si>
    <r>
      <rPr>
        <color rgb="FF434343"/>
      </rPr>
      <t xml:space="preserve">1. -
2. </t>
    </r>
    <r>
      <rPr>
        <color rgb="FF434343"/>
        <u/>
      </rPr>
      <t>Taiga #577</t>
    </r>
  </si>
  <si>
    <t>Create Cumulus Diagram</t>
  </si>
  <si>
    <t>Taiga #577</t>
  </si>
  <si>
    <t>1. Create Cumulus Diagram
2. Double check HRP issue for Terminate Rescinded</t>
  </si>
  <si>
    <t>1. In Progress
2. To Start</t>
  </si>
  <si>
    <r>
      <rPr>
        <color rgb="FF434343"/>
      </rPr>
      <t xml:space="preserve">1. </t>
    </r>
    <r>
      <rPr>
        <color rgb="FF434343"/>
        <u/>
      </rPr>
      <t xml:space="preserve">Taiga #577
</t>
    </r>
    <r>
      <rPr>
        <color rgb="FF434343"/>
      </rPr>
      <t>2. -</t>
    </r>
  </si>
  <si>
    <t>1. Create Cumulus Diagram
2. Double check HRP issue for Terminate Rescinded
3. Creating Documentation to Setup Mermaid.js in Local Machine
4.  Assess the high level changes required to process Multiple scenario in a single delta file</t>
  </si>
  <si>
    <t>1. Completed
2. Completed
3. To Start
4. To Start</t>
  </si>
  <si>
    <r>
      <rPr>
        <color rgb="FF434343"/>
      </rPr>
      <t xml:space="preserve">1. </t>
    </r>
    <r>
      <rPr>
        <color rgb="FF434343"/>
        <u/>
      </rPr>
      <t xml:space="preserve">Taiga #577
</t>
    </r>
    <r>
      <rPr>
        <color rgb="FF434343"/>
      </rPr>
      <t xml:space="preserve">2. -
3. -
4. </t>
    </r>
    <r>
      <rPr>
        <color rgb="FF434343"/>
        <u/>
      </rPr>
      <t>Taiga #525</t>
    </r>
  </si>
  <si>
    <t>1. Assess the high level changes required to process Multiple scenario in a single delta file
2. Creating Documentation to Setup Mermaid.js in Local Machine</t>
  </si>
  <si>
    <r>
      <rPr>
        <color rgb="FF434343"/>
      </rPr>
      <t xml:space="preserve">1. </t>
    </r>
    <r>
      <rPr>
        <color rgb="FF434343"/>
        <u/>
      </rPr>
      <t xml:space="preserve">Taiga #525
</t>
    </r>
    <r>
      <rPr>
        <color rgb="FF434343"/>
      </rPr>
      <t>2. -</t>
    </r>
  </si>
  <si>
    <t>1. Assess the high level changes required to process Multiple scenario in a single delta file
2. Create cumulus "loa update" scenario for regression test</t>
  </si>
  <si>
    <r>
      <rPr>
        <color rgb="FF000000"/>
      </rPr>
      <t xml:space="preserve">1. </t>
    </r>
    <r>
      <rPr>
        <color rgb="FF434343"/>
        <u/>
      </rPr>
      <t xml:space="preserve">Taiga #525
</t>
    </r>
    <r>
      <rPr>
        <color rgb="FF000000"/>
      </rPr>
      <t>2. -</t>
    </r>
  </si>
  <si>
    <t>1. Assess the high level changes required to process Multiple scenario in a single delta file
2. Create cumulus "loa update" scenario for regression test
3. Check expectation result on cumulus phase 3 test plan</t>
  </si>
  <si>
    <t>1. Completed
2. Completed
3. To Start</t>
  </si>
  <si>
    <r>
      <rPr>
        <color rgb="FF000000"/>
      </rPr>
      <t xml:space="preserve">1. </t>
    </r>
    <r>
      <rPr>
        <color rgb="FF434343"/>
        <u/>
      </rPr>
      <t xml:space="preserve">Taiga #525
</t>
    </r>
    <r>
      <rPr>
        <color rgb="FF000000"/>
      </rPr>
      <t xml:space="preserve">2. -
</t>
    </r>
    <r>
      <rPr>
        <color rgb="FF434343"/>
      </rPr>
      <t>3. -</t>
    </r>
  </si>
  <si>
    <t>Project</t>
  </si>
  <si>
    <t>MD</t>
  </si>
  <si>
    <t>Total MD</t>
  </si>
  <si>
    <t>Due Date</t>
  </si>
  <si>
    <t>MOH/DigitalID/Other (hours)</t>
  </si>
  <si>
    <t xml:space="preserve">iFams: PROD Support </t>
  </si>
  <si>
    <r>
      <rPr>
        <rFont val="Arial"/>
        <strike/>
        <color theme="1"/>
      </rPr>
      <t xml:space="preserve">4
</t>
    </r>
    <r>
      <rPr>
        <rFont val="Arial"/>
        <color theme="1"/>
      </rPr>
      <t>3</t>
    </r>
  </si>
  <si>
    <r>
      <rPr>
        <rFont val="Arial"/>
        <strike/>
        <color theme="1"/>
      </rPr>
      <t xml:space="preserve">4
</t>
    </r>
    <r>
      <rPr>
        <rFont val="Arial"/>
        <color theme="1"/>
      </rPr>
      <t>3</t>
    </r>
  </si>
  <si>
    <r>
      <rPr>
        <rFont val="Arial"/>
        <strike/>
        <color theme="1"/>
      </rPr>
      <t xml:space="preserve">0
</t>
    </r>
    <r>
      <rPr>
        <rFont val="Arial"/>
        <color theme="1"/>
      </rPr>
      <t>2</t>
    </r>
  </si>
  <si>
    <t>iFams:
- EI Support
- ODR CR research
iSmart: Warm-up
MOH: deploy apps in local bandung</t>
  </si>
  <si>
    <t>iFams:
- pending external
iSmart: in-progress
MOH: completed</t>
  </si>
  <si>
    <r>
      <rPr>
        <color rgb="FF000000"/>
      </rPr>
      <t xml:space="preserve">iFAMS: </t>
    </r>
    <r>
      <rPr>
        <color rgb="FF1155CC"/>
        <u/>
      </rPr>
      <t>taiga #356</t>
    </r>
  </si>
  <si>
    <t>MOH: 
Incoming-task -&gt; chat</t>
  </si>
  <si>
    <r>
      <rPr>
        <rFont val="Arial"/>
        <strike/>
        <color theme="1"/>
      </rPr>
      <t xml:space="preserve">8
</t>
    </r>
    <r>
      <rPr>
        <rFont val="Arial"/>
        <color theme="1"/>
      </rPr>
      <t>7.5</t>
    </r>
  </si>
  <si>
    <t>0.5</t>
  </si>
  <si>
    <t>iSmart:
- Warm-up
- fix issue
MOH: deploy apps in local bandung</t>
  </si>
  <si>
    <t>iSmart: code pushed, in-progress test
MOH: completed</t>
  </si>
  <si>
    <r>
      <rPr/>
      <t xml:space="preserve">iSmart: </t>
    </r>
    <r>
      <rPr>
        <color rgb="FF1155CC"/>
        <u/>
      </rPr>
      <t>taiga link#1</t>
    </r>
  </si>
  <si>
    <r>
      <rPr>
        <rFont val="Arial"/>
        <strike/>
        <color theme="1"/>
      </rPr>
      <t>8</t>
    </r>
    <r>
      <rPr>
        <rFont val="Arial"/>
        <color theme="1"/>
      </rPr>
      <t xml:space="preserve">
0</t>
    </r>
  </si>
  <si>
    <r>
      <rPr>
        <rFont val="Arial"/>
        <strike/>
        <color theme="1"/>
      </rPr>
      <t xml:space="preserve">iSmart:
- Warm-up
</t>
    </r>
    <r>
      <rPr>
        <rFont val="Arial"/>
        <color theme="1"/>
      </rPr>
      <t>iFams: PROD Support</t>
    </r>
  </si>
  <si>
    <r>
      <rPr>
        <rFont val="Arial"/>
        <strike/>
        <color theme="1"/>
      </rPr>
      <t xml:space="preserve">iSmart: in-progress
</t>
    </r>
    <r>
      <rPr>
        <rFont val="Arial"/>
        <color theme="1"/>
      </rPr>
      <t>iFams: in-progress</t>
    </r>
  </si>
  <si>
    <t>Incoming-task: chat</t>
  </si>
  <si>
    <r>
      <rPr>
        <rFont val="Arial"/>
        <strike/>
        <color rgb="FFFF0000"/>
      </rPr>
      <t xml:space="preserve">8
</t>
    </r>
    <r>
      <rPr>
        <rFont val="Arial"/>
        <color rgb="FFFF0000"/>
      </rPr>
      <t>0</t>
    </r>
  </si>
  <si>
    <t>annual leaves</t>
  </si>
  <si>
    <t>iFams: in-progress</t>
  </si>
  <si>
    <r>
      <rPr>
        <color rgb="FF000000"/>
      </rPr>
      <t>iFams:</t>
    </r>
    <r>
      <rPr>
        <color rgb="FF000000"/>
        <u/>
      </rPr>
      <t xml:space="preserve">
</t>
    </r>
    <r>
      <rPr>
        <color rgb="FF1155CC"/>
        <u/>
      </rPr>
      <t xml:space="preserve">https://taiga.ecquaria.org/project/ifams2/us/358?kanban-include_attachments=1&amp;kanban-include_tasks=1&amp;kanban-status=537
</t>
    </r>
    <r>
      <rPr>
        <color rgb="FF434343"/>
      </rPr>
      <t xml:space="preserve">https://taiga.ecquaria.org/project/ifams2/us/356?kanban-include_attachments=1&amp;kanban-include_tasks=1&amp;kanban-status=599
</t>
    </r>
    <r>
      <rPr>
        <color rgb="FF1155CC"/>
        <u/>
      </rPr>
      <t>https://taiga.ecquaria.org/project/ifams2/us/347?kanban-include_attachments=1&amp;kanban-include_tasks=1&amp;kanban-status=599</t>
    </r>
  </si>
  <si>
    <t>there are additional incoming-tasks: chat, other than the taiga card</t>
  </si>
  <si>
    <t>iSmart: Support</t>
  </si>
  <si>
    <t>iSmart: completed</t>
  </si>
  <si>
    <t>https://taiga.ecquaria.org/project/i-smart-report/us/382</t>
  </si>
  <si>
    <r>
      <rPr>
        <rFont val="Arial"/>
        <strike/>
        <color theme="1"/>
      </rPr>
      <t>8</t>
    </r>
    <r>
      <rPr>
        <rFont val="Arial"/>
        <color theme="1"/>
      </rPr>
      <t xml:space="preserve">
0</t>
    </r>
  </si>
  <si>
    <t>iSmart: in-progress</t>
  </si>
  <si>
    <t>https://taiga.ecquaria.org/project/ica-ismart-backend/issue/1678</t>
  </si>
  <si>
    <r>
      <rPr>
        <rFont val="Arial"/>
        <strike/>
        <color theme="1"/>
      </rPr>
      <t>8</t>
    </r>
    <r>
      <rPr>
        <rFont val="Arial"/>
        <color theme="1"/>
      </rPr>
      <t xml:space="preserve">
0</t>
    </r>
  </si>
  <si>
    <t>iFams: status ready for test in UAT</t>
  </si>
  <si>
    <r>
      <rPr>
        <rFont val="Arial"/>
        <strike/>
        <color theme="1"/>
      </rPr>
      <t>8</t>
    </r>
    <r>
      <rPr>
        <rFont val="Arial"/>
        <color theme="1"/>
      </rPr>
      <t xml:space="preserve">
0</t>
    </r>
  </si>
  <si>
    <t>iSmart: status ready for test UAT</t>
  </si>
  <si>
    <r>
      <rPr>
        <rFont val="Arial"/>
        <strike/>
        <color theme="1"/>
      </rPr>
      <t>8</t>
    </r>
    <r>
      <rPr>
        <rFont val="Arial"/>
        <color theme="1"/>
      </rPr>
      <t xml:space="preserve">
0</t>
    </r>
  </si>
  <si>
    <t>iFams: completed</t>
  </si>
  <si>
    <r>
      <rPr>
        <rFont val="Arial"/>
        <strike/>
        <color theme="1"/>
      </rPr>
      <t>8</t>
    </r>
    <r>
      <rPr>
        <rFont val="Arial"/>
        <color theme="1"/>
      </rPr>
      <t xml:space="preserve">
0</t>
    </r>
  </si>
  <si>
    <r>
      <rPr>
        <color rgb="FF434343"/>
        <u/>
      </rPr>
      <t xml:space="preserve">https://taiga.ecquaria.org/project/ica-ismart-backend/issue/1677
</t>
    </r>
    <r>
      <rPr>
        <color rgb="FF1155CC"/>
        <u/>
      </rPr>
      <t>https://taiga.ecquaria.org/project/i-smart-report/us/394?kanban-include_attachments=1&amp;kanban-include_tasks=1&amp;kanban-status=499</t>
    </r>
  </si>
  <si>
    <t>https://taiga.ecquaria.org/project/i-smart-report/us/394?kanban-include_attachments=1&amp;kanban-include_tasks=1&amp;kanban-status=501</t>
  </si>
  <si>
    <t>Incoming-task: chat &amp; email</t>
  </si>
  <si>
    <r>
      <rPr>
        <rFont val="Arial"/>
        <strike/>
        <color theme="1"/>
      </rPr>
      <t>8</t>
    </r>
    <r>
      <rPr>
        <rFont val="Arial"/>
        <color theme="1"/>
      </rPr>
      <t xml:space="preserve">
0</t>
    </r>
  </si>
  <si>
    <r>
      <rPr>
        <rFont val="Arial"/>
        <strike/>
        <color theme="1"/>
      </rPr>
      <t xml:space="preserve">iSmart: Support
</t>
    </r>
    <r>
      <rPr>
        <rFont val="Arial"/>
        <color theme="1"/>
      </rPr>
      <t>iFams: Support</t>
    </r>
  </si>
  <si>
    <r>
      <rPr>
        <rFont val="Arial"/>
        <strike/>
        <color theme="1"/>
      </rPr>
      <t>8</t>
    </r>
    <r>
      <rPr>
        <rFont val="Arial"/>
        <color theme="1"/>
      </rPr>
      <t xml:space="preserve">
0</t>
    </r>
  </si>
  <si>
    <r>
      <rPr>
        <rFont val="Arial"/>
        <strike/>
        <color theme="1"/>
      </rPr>
      <t xml:space="preserve">iSmart: Support
</t>
    </r>
    <r>
      <rPr>
        <rFont val="Arial"/>
        <color theme="1"/>
      </rPr>
      <t>iFams: Support</t>
    </r>
  </si>
  <si>
    <r>
      <rPr>
        <rFont val="Arial"/>
        <strike/>
        <color theme="1"/>
      </rPr>
      <t>8</t>
    </r>
    <r>
      <rPr>
        <rFont val="Arial"/>
        <color theme="1"/>
      </rPr>
      <t xml:space="preserve">
4</t>
    </r>
  </si>
  <si>
    <t>iSmart: Support
iFams: Support</t>
  </si>
  <si>
    <t>iSmart: in-progress
iFams: completed</t>
  </si>
  <si>
    <r>
      <rPr>
        <color rgb="FF000000"/>
      </rPr>
      <t xml:space="preserve">iSmart:
- </t>
    </r>
    <r>
      <rPr>
        <color rgb="FF1155CC"/>
        <u/>
      </rPr>
      <t xml:space="preserve">https://taiga.ecquaria.org/project/i-smart-report/us/394?kanban-include_attachments=1&amp;kanban-include_tasks=1&amp;kanban-status=501
</t>
    </r>
    <r>
      <rPr>
        <color rgb="FF000000"/>
      </rPr>
      <t xml:space="preserve">iFams:
- </t>
    </r>
    <r>
      <rPr>
        <color rgb="FF434343"/>
        <u/>
      </rPr>
      <t xml:space="preserve">https://taiga.ecquaria.org/project/ifams2/us/362?kanban-include_attachments=1&amp;kanban-include_tasks=1&amp;kanban-status=537
</t>
    </r>
    <r>
      <rPr/>
      <t>- incoming chat &amp; email</t>
    </r>
  </si>
  <si>
    <r>
      <rPr>
        <rFont val="Arial"/>
        <strike/>
        <color theme="1"/>
      </rPr>
      <t>8</t>
    </r>
    <r>
      <rPr>
        <rFont val="Arial"/>
        <color theme="1"/>
      </rPr>
      <t xml:space="preserve">
4</t>
    </r>
  </si>
  <si>
    <r>
      <rPr/>
      <t xml:space="preserve">iSmart:
- </t>
    </r>
    <r>
      <rPr>
        <color rgb="FF1155CC"/>
        <u/>
      </rPr>
      <t xml:space="preserve">https://taiga.ecquaria.org/project/i-smart-report/us/394?kanban-include_attachments=1&amp;kanban-include_tasks=1&amp;kanban-status=501
</t>
    </r>
    <r>
      <rPr/>
      <t>iFams:
- Incoming chat &amp; email</t>
    </r>
  </si>
  <si>
    <r>
      <rPr>
        <rFont val="Arial"/>
        <strike/>
        <color theme="1"/>
      </rPr>
      <t>8</t>
    </r>
    <r>
      <rPr>
        <rFont val="Arial"/>
        <color theme="1"/>
      </rPr>
      <t xml:space="preserve">
0</t>
    </r>
  </si>
  <si>
    <r>
      <rPr>
        <rFont val="Arial"/>
        <strike/>
        <color theme="1"/>
      </rPr>
      <t xml:space="preserve">iSmart: Support
</t>
    </r>
    <r>
      <rPr>
        <rFont val="Arial"/>
        <color theme="1"/>
      </rPr>
      <t>iFams: Support</t>
    </r>
  </si>
  <si>
    <t>iFams:
- https://taiga.ecquaria.org/project/ifams2/us/362?kanban-include_attachments=1&amp;kanban-include_tasks=1&amp;kanban-status=537
- incoming chat &amp; email</t>
  </si>
  <si>
    <r>
      <rPr>
        <rFont val="Arial"/>
        <strike/>
        <color theme="1"/>
      </rPr>
      <t>8</t>
    </r>
    <r>
      <rPr>
        <rFont val="Arial"/>
        <color theme="1"/>
      </rPr>
      <t xml:space="preserve">
0</t>
    </r>
  </si>
  <si>
    <r>
      <rPr>
        <rFont val="Arial"/>
        <strike/>
        <color theme="1"/>
      </rPr>
      <t xml:space="preserve">iSmart: Support
</t>
    </r>
    <r>
      <rPr>
        <rFont val="Arial"/>
        <color theme="1"/>
      </rPr>
      <t>iFams: Support</t>
    </r>
  </si>
  <si>
    <r>
      <rPr>
        <rFont val="Arial"/>
        <strike/>
        <color theme="1"/>
      </rPr>
      <t>8</t>
    </r>
    <r>
      <rPr>
        <rFont val="Arial"/>
        <color theme="1"/>
      </rPr>
      <t xml:space="preserve">
0</t>
    </r>
  </si>
  <si>
    <r>
      <rPr>
        <rFont val="Arial"/>
        <strike/>
        <color theme="1"/>
      </rPr>
      <t xml:space="preserve">iSmart: Support
</t>
    </r>
    <r>
      <rPr>
        <rFont val="Arial"/>
        <color theme="1"/>
      </rPr>
      <t>iFams: Support</t>
    </r>
  </si>
  <si>
    <r>
      <rPr>
        <rFont val="Arial"/>
        <strike/>
        <color theme="1"/>
      </rPr>
      <t>8</t>
    </r>
    <r>
      <rPr>
        <rFont val="Arial"/>
        <color theme="1"/>
      </rPr>
      <t xml:space="preserve">
0</t>
    </r>
  </si>
  <si>
    <r>
      <rPr>
        <rFont val="Arial"/>
        <strike/>
        <color theme="1"/>
      </rPr>
      <t xml:space="preserve">iFams: PROD Support 
</t>
    </r>
    <r>
      <rPr>
        <rFont val="Arial"/>
        <color theme="1"/>
      </rPr>
      <t>TRAINING KAIZEN</t>
    </r>
  </si>
  <si>
    <r>
      <rPr>
        <rFont val="Arial"/>
        <strike/>
        <color theme="1"/>
      </rPr>
      <t>8</t>
    </r>
    <r>
      <rPr>
        <rFont val="Arial"/>
        <color theme="1"/>
      </rPr>
      <t xml:space="preserve">
0</t>
    </r>
  </si>
  <si>
    <r>
      <rPr>
        <rFont val="Arial"/>
        <strike/>
        <color theme="1"/>
      </rPr>
      <t xml:space="preserve">iSmart: Support
</t>
    </r>
    <r>
      <rPr>
        <rFont val="Arial"/>
        <color theme="1"/>
      </rPr>
      <t>TRAINING KAIZEN</t>
    </r>
  </si>
  <si>
    <r>
      <rPr>
        <color rgb="FF434343"/>
        <u/>
      </rPr>
      <t xml:space="preserve">https://taiga.ecquaria.org/project/ifams2/us/371?kanban-include_attachments=1&amp;kanban-include_tasks=1&amp;kanban-status=538
</t>
    </r>
    <r>
      <rPr>
        <color rgb="FF1155CC"/>
        <u/>
      </rPr>
      <t>https://taiga.ecquaria.org/project/ifams2/us/370?kanban-include_attachments=1&amp;kanban-include_tasks=1&amp;kanban-status=537</t>
    </r>
  </si>
  <si>
    <r>
      <rPr>
        <color rgb="FF434343"/>
        <u/>
      </rPr>
      <t xml:space="preserve">https://taiga.ecquaria.org/project/ifams2/us/371?kanban-include_attachments=1&amp;kanban-include_tasks=1&amp;kanban-status=538
</t>
    </r>
    <r>
      <rPr>
        <color rgb="FF1155CC"/>
        <u/>
      </rPr>
      <t>https://taiga.ecquaria.org/project/ifams2/us/370?kanban-include_attachments=1&amp;kanban-include_tasks=1&amp;kanban-status=537</t>
    </r>
  </si>
  <si>
    <r>
      <rPr>
        <color rgb="FF434343"/>
        <u/>
      </rPr>
      <t xml:space="preserve">https://taiga.ecquaria.org/project/ifams2/us/371?kanban-include_attachments=1&amp;kanban-include_tasks=1&amp;kanban-status=538
</t>
    </r>
    <r>
      <rPr>
        <color rgb="FF1155CC"/>
        <u/>
      </rPr>
      <t>https://taiga.ecquaria.org/project/ifams2/us/370?kanban-include_attachments=1&amp;kanban-include_tasks=1&amp;kanban-status=537</t>
    </r>
  </si>
  <si>
    <r>
      <rPr>
        <color rgb="FF434343"/>
        <u/>
      </rPr>
      <t xml:space="preserve">https://taiga.ecquaria.org/project/ifams2/us/371?kanban-include_attachments=1&amp;kanban-include_tasks=1&amp;kanban-status=538
</t>
    </r>
    <r>
      <rPr>
        <color rgb="FF1155CC"/>
        <u/>
      </rPr>
      <t>https://taiga.ecquaria.org/project/ifams2/us/370?kanban-include_attachments=1&amp;kanban-include_tasks=1&amp;kanban-status=537</t>
    </r>
  </si>
  <si>
    <r>
      <rPr>
        <color rgb="FF434343"/>
        <u/>
      </rPr>
      <t xml:space="preserve">https://taiga.ecquaria.org/project/ifams2/us/371?kanban-include_attachments=1&amp;kanban-include_tasks=1&amp;kanban-status=538
</t>
    </r>
    <r>
      <rPr>
        <color rgb="FF1155CC"/>
        <u/>
      </rPr>
      <t>https://taiga.ecquaria.org/project/ifams2/us/370?kanban-include_attachments=1&amp;kanban-include_tasks=1&amp;kanban-status=537</t>
    </r>
  </si>
  <si>
    <r>
      <rPr>
        <color rgb="FF434343"/>
        <u/>
      </rPr>
      <t xml:space="preserve">https://taiga.ecquaria.org/project/ifams2/us/371?kanban-include_attachments=1&amp;kanban-include_tasks=1&amp;kanban-status=538
</t>
    </r>
    <r>
      <rPr>
        <color rgb="FF1155CC"/>
        <u/>
      </rPr>
      <t>https://taiga.ecquaria.org/project/ifams2/us/370?kanban-include_attachments=1&amp;kanban-include_tasks=1&amp;kanban-status=537</t>
    </r>
  </si>
  <si>
    <t>https://taiga.ecquaria.org/project/ifams2/us/371?kanban-include_attachments=1&amp;kanban-include_tasks=1&amp;kanban-status=538
https://taiga.ecquaria.org/project/ifams2/us/370?kanban-include_attachments=1&amp;kanban-include_tasks=1&amp;kanban-status=537</t>
  </si>
  <si>
    <t>https://taiga.ecquaria.org/project/ifams2/us/370?kanban-include_attachments=1&amp;kanban-include_tasks=1&amp;kanban-status=537</t>
  </si>
  <si>
    <t>https://taiga.ecquaria.org/project/ifams2/us/383?kanban-include_attachments=1&amp;kanban-include_tasks=1&amp;kanban-status=539</t>
  </si>
  <si>
    <t>https://taiga.ecquaria.org/project/ifams2/us/388?kanban-include_attachments=1&amp;kanban-include_tasks=1&amp;kanban-status=539</t>
  </si>
  <si>
    <t>https://taiga.ecquaria.org/project/ifams2/us/393?kanban-include_attachments=1&amp;kanban-include_tasks=1&amp;kanban-status=853</t>
  </si>
  <si>
    <t>https://taiga.ecquaria.org/project/ifams2/us/392?kanban-include_attachments=1&amp;kanban-include_tasks=1&amp;kanban-status=539</t>
  </si>
  <si>
    <t>https://taiga.ecquaria.org/project/ifams2/us/384?kanban-include_attachments=1&amp;kanban-include_tasks=1&amp;kanban-status=538</t>
  </si>
  <si>
    <t>https://taiga.ecquaria.org/project/ica-ismart-backend/issue/1708</t>
  </si>
  <si>
    <t>Report Enhancement ICA004</t>
  </si>
  <si>
    <t>https://taiga.ecquaria.org/project/ica-ismart-backend/issue/1711</t>
  </si>
  <si>
    <t>Report Enhancement ICA025</t>
  </si>
  <si>
    <t>Ready For Test</t>
  </si>
  <si>
    <t>https://taiga.ecquaria.org/project/ica-ismart-backend/issue/1712</t>
  </si>
  <si>
    <t>Report Enhancement ICA026</t>
  </si>
  <si>
    <t>https://taiga.ecquaria.org/project/ica-ismart-backend/issue/1727</t>
  </si>
  <si>
    <t>Report Enhancement ICA027</t>
  </si>
  <si>
    <t>DigitalID</t>
  </si>
  <si>
    <t>DigitalID: Support Statistic Page</t>
  </si>
  <si>
    <t>DigitalID
iSmart: Support</t>
  </si>
  <si>
    <t>https://taiga.ecquaria.org/project/ica-ismart-backend/issue/1730</t>
  </si>
  <si>
    <t>DigitalID: Support Statistic Page
iSmart: Taiga 1730</t>
  </si>
  <si>
    <t>iSmart: Taiga 1730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</si>
</sst>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2">
    <font>
      <sz val="10.0"/>
      <color rgb="FF000000"/>
      <name val="Arial"/>
      <scheme val="minor"/>
    </font>
    <font>
      <color rgb="FF666666"/>
      <name val="Arial"/>
      <scheme val="minor"/>
    </font>
    <font>
      <color theme="1"/>
      <name val="Arial"/>
      <scheme val="minor"/>
    </font>
    <font>
      <color rgb="FF3E4186"/>
      <name val="Arial"/>
      <scheme val="minor"/>
    </font>
    <font>
      <color rgb="FF674EA7"/>
      <name val="Arial"/>
      <scheme val="minor"/>
    </font>
    <font>
      <color rgb="FF423671"/>
      <name val="Arial"/>
      <scheme val="minor"/>
    </font>
    <font>
      <color rgb="FF4B3C74"/>
      <name val="Arial"/>
      <scheme val="minor"/>
    </font>
    <font>
      <color rgb="FF5B3F86"/>
      <name val="Arial"/>
      <scheme val="minor"/>
    </font>
    <font>
      <b/>
      <color theme="1"/>
      <name val="Arial"/>
      <scheme val="minor"/>
    </font>
    <font>
      <b/>
      <color rgb="FF980000"/>
      <name val="Arial"/>
      <scheme val="minor"/>
    </font>
    <font>
      <b/>
      <color rgb="FF674EA7"/>
      <name val="Arial"/>
      <scheme val="minor"/>
    </font>
    <font>
      <u/>
      <color rgb="FF0000FF"/>
      <name val="Roboto"/>
    </font>
    <font>
      <u/>
      <color rgb="FF434343"/>
      <name val="Roboto"/>
    </font>
    <font>
      <strike/>
      <color theme="1"/>
      <name val="Arial"/>
      <scheme val="minor"/>
    </font>
    <font>
      <u/>
      <color rgb="FF0000FF"/>
      <name val="Roboto"/>
    </font>
    <font>
      <u/>
      <color rgb="FF0000FF"/>
      <name val="Roboto"/>
    </font>
    <font>
      <u/>
      <color rgb="FF0000FF"/>
      <name val="Roboto"/>
    </font>
    <font>
      <u/>
      <color rgb="FF0000FF"/>
      <name val="Roboto"/>
    </font>
    <font>
      <u/>
      <color theme="1"/>
      <name val="Arial"/>
      <scheme val="minor"/>
    </font>
    <font>
      <u/>
      <color theme="1"/>
      <name val="Arial"/>
      <scheme val="minor"/>
    </font>
    <font>
      <u/>
      <color rgb="FF0000FF"/>
      <name val="Roboto"/>
    </font>
    <font>
      <color rgb="FF434343"/>
      <name val="Roboto"/>
    </font>
    <font>
      <u/>
      <color rgb="FF0000FF"/>
      <name val="Arial"/>
    </font>
    <font>
      <u/>
      <color rgb="FF434343"/>
      <name val="Arial"/>
      <scheme val="minor"/>
    </font>
    <font>
      <color rgb="FFFF0000"/>
      <name val="Arial"/>
      <scheme val="minor"/>
    </font>
    <font>
      <u/>
      <color rgb="FF0000FF"/>
      <name val="Roboto"/>
    </font>
    <font>
      <color rgb="FF000000"/>
      <name val="Arial"/>
      <scheme val="minor"/>
    </font>
    <font>
      <u/>
      <color rgb="FF000000"/>
      <name val="Roboto"/>
    </font>
    <font>
      <u/>
      <color rgb="FF000000"/>
      <name val="Roboto"/>
    </font>
    <font>
      <b/>
      <color rgb="FFFF0000"/>
      <name val="Arial"/>
      <scheme val="minor"/>
    </font>
    <font>
      <sz val="9.0"/>
      <color theme="1"/>
      <name val="Arial"/>
    </font>
    <font>
      <u/>
      <color rgb="FF434343"/>
      <name val="Roboto"/>
    </font>
    <font>
      <u/>
      <color rgb="FF0000FF"/>
      <name val="Roboto"/>
    </font>
    <font>
      <color rgb="FF1C4587"/>
      <name val="Roboto"/>
    </font>
    <font>
      <u/>
      <color rgb="FF0000FF"/>
      <name val="Roboto"/>
    </font>
    <font>
      <u/>
      <color rgb="FF0000FF"/>
      <name val="Roboto"/>
    </font>
    <font>
      <u/>
      <color rgb="FF434343"/>
      <name val="Roboto"/>
    </font>
    <font>
      <u/>
      <color theme="1"/>
      <name val="Arial"/>
      <scheme val="minor"/>
    </font>
    <font>
      <u/>
      <color rgb="FF434343"/>
      <name val="Roboto"/>
    </font>
    <font>
      <u/>
      <color rgb="FF434343"/>
      <name val="Roboto"/>
    </font>
    <font>
      <color theme="1"/>
      <name val="Arial"/>
    </font>
    <font>
      <u/>
      <color rgb="FF0000FF"/>
      <name val="Roboto"/>
    </font>
    <font>
      <u/>
      <color rgb="FF0000FF"/>
      <name val="Roboto"/>
    </font>
    <font>
      <u/>
      <color rgb="FF0000FF"/>
      <name val="Roboto"/>
    </font>
    <font>
      <color rgb="FF0000FF"/>
      <name val="Roboto"/>
    </font>
    <font>
      <strike/>
      <color rgb="FFFF0000"/>
      <name val="Arial"/>
      <scheme val="minor"/>
    </font>
    <font>
      <u/>
      <color rgb="FF0000FF"/>
      <name val="Roboto"/>
    </font>
    <font>
      <u/>
      <color rgb="FF434343"/>
      <name val="Arial"/>
      <scheme val="minor"/>
    </font>
    <font>
      <color rgb="FF000000"/>
      <name val="Roboto"/>
    </font>
    <font>
      <u/>
      <color rgb="FF0000FF"/>
      <name val="Roboto"/>
    </font>
    <font>
      <u/>
      <color rgb="FF0000FF"/>
      <name val="Roboto"/>
    </font>
    <font>
      <u/>
      <color rgb="FF1155CC"/>
      <name val="Roboto"/>
    </font>
    <font>
      <u/>
      <color rgb="FF0000FF"/>
      <name val="Roboto"/>
    </font>
    <font>
      <u/>
      <color rgb="FF434343"/>
      <name val="Roboto"/>
    </font>
    <font>
      <u/>
      <color rgb="FF1155CC"/>
      <name val="Roboto"/>
    </font>
    <font>
      <u/>
      <color rgb="FF0000FF"/>
      <name val="Roboto"/>
    </font>
    <font>
      <u/>
      <color rgb="FF434343"/>
      <name val="Roboto"/>
    </font>
    <font>
      <u/>
      <color rgb="FF0000FF"/>
      <name val="Roboto"/>
    </font>
    <font>
      <color rgb="FFFF0000"/>
      <name val="Roboto"/>
    </font>
    <font>
      <u/>
      <color rgb="FF1155CC"/>
      <name val="Roboto"/>
    </font>
    <font>
      <u/>
      <color rgb="FF1155CC"/>
      <name val="Roboto"/>
    </font>
    <font>
      <color rgb="FFEA4335"/>
      <name val="Arial"/>
      <scheme val="minor"/>
    </font>
    <font>
      <u/>
      <color rgb="FF1155CC"/>
      <name val="Roboto"/>
    </font>
    <font>
      <u/>
      <color rgb="FF1155CC"/>
      <name val="Roboto"/>
    </font>
    <font>
      <u/>
      <color rgb="FF0000FF"/>
      <name val="Roboto"/>
    </font>
    <font>
      <u/>
      <color rgb="FF0000FF"/>
      <name val="Roboto"/>
    </font>
    <font>
      <b/>
      <color rgb="FF674EA7"/>
      <name val="Roboto"/>
    </font>
    <font>
      <u/>
      <color rgb="FF434343"/>
      <name val="Roboto"/>
    </font>
    <font>
      <u/>
      <color rgb="FF434343"/>
      <name val="Roboto"/>
    </font>
    <font>
      <u/>
      <color rgb="FF0000FF"/>
      <name val="Roboto"/>
    </font>
    <font>
      <u/>
      <color rgb="FF0000FF"/>
      <name val="Roboto"/>
    </font>
    <font>
      <u/>
      <color rgb="FF434343"/>
      <name val="Roboto"/>
    </font>
    <font>
      <color rgb="FF434343"/>
      <name val="Arial"/>
      <scheme val="minor"/>
    </font>
    <font>
      <u/>
      <color rgb="FF434343"/>
      <name val="Roboto"/>
    </font>
    <font>
      <u/>
      <color rgb="FF434343"/>
      <name val="Roboto"/>
    </font>
    <font>
      <u/>
      <color rgb="FF434343"/>
      <name val="Roboto"/>
    </font>
    <font>
      <u/>
      <color rgb="FF434343"/>
      <name val="Roboto"/>
    </font>
    <font>
      <u/>
      <color rgb="FF0000FF"/>
      <name val="Roboto"/>
    </font>
    <font>
      <u/>
      <color rgb="FF434343"/>
      <name val="Roboto"/>
    </font>
    <font>
      <u/>
      <color rgb="FF666666"/>
      <name val="Roboto"/>
    </font>
    <font>
      <u/>
      <color rgb="FF434343"/>
      <name val="Roboto"/>
    </font>
    <font>
      <u/>
      <color rgb="FF434343"/>
      <name val="Arial"/>
      <scheme val="minor"/>
    </font>
  </fonts>
  <fills count="11">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3F3F3"/>
        <bgColor rgb="FFF3F3F3"/>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FCE5CD"/>
        <bgColor rgb="FFFCE5CD"/>
      </patternFill>
    </fill>
    <fill>
      <patternFill patternType="solid">
        <fgColor rgb="FFFF0000"/>
        <bgColor rgb="FFFF0000"/>
      </patternFill>
    </fill>
    <fill>
      <patternFill patternType="solid">
        <fgColor theme="0"/>
        <bgColor theme="0"/>
      </patternFill>
    </fill>
  </fills>
  <borders count="6">
    <border/>
    <border>
      <left style="thin">
        <color rgb="FFCCCCCC"/>
      </left>
      <right style="thin">
        <color rgb="FFCCCCCC"/>
      </right>
      <top style="thin">
        <color rgb="FFCCCCCC"/>
      </top>
      <bottom style="thin">
        <color rgb="FFCCCCCC"/>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334">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shrinkToFit="0" vertical="center" wrapText="1"/>
    </xf>
    <xf borderId="1" fillId="2" fontId="3" numFmtId="0" xfId="0" applyAlignment="1" applyBorder="1" applyFill="1" applyFont="1">
      <alignment readingOrder="0" shrinkToFit="0" vertical="center" wrapText="0"/>
    </xf>
    <xf borderId="1" fillId="2" fontId="4" numFmtId="164" xfId="0" applyAlignment="1" applyBorder="1" applyFont="1" applyNumberFormat="1">
      <alignment horizontal="left" readingOrder="0" shrinkToFit="0" vertical="center" wrapText="0"/>
    </xf>
    <xf borderId="1" fillId="2" fontId="2" numFmtId="0" xfId="0" applyAlignment="1" applyBorder="1" applyFont="1">
      <alignment horizontal="left" readingOrder="0" shrinkToFit="0" vertical="center" wrapText="0"/>
    </xf>
    <xf borderId="1" fillId="2" fontId="2" numFmtId="49" xfId="0" applyAlignment="1" applyBorder="1" applyFont="1" applyNumberFormat="1">
      <alignment horizontal="left" shrinkToFit="0" vertical="center" wrapText="0"/>
    </xf>
    <xf borderId="1" fillId="2" fontId="2" numFmtId="49" xfId="0" applyAlignment="1" applyBorder="1" applyFont="1" applyNumberFormat="1">
      <alignment horizontal="left" readingOrder="0" shrinkToFit="0" vertical="center" wrapText="0"/>
    </xf>
    <xf borderId="1" fillId="3" fontId="5" numFmtId="0" xfId="0" applyAlignment="1" applyBorder="1" applyFill="1" applyFont="1">
      <alignment readingOrder="0" shrinkToFit="0" vertical="center" wrapText="0"/>
    </xf>
    <xf borderId="1" fillId="3" fontId="4" numFmtId="164" xfId="0" applyAlignment="1" applyBorder="1" applyFont="1" applyNumberFormat="1">
      <alignment horizontal="left" readingOrder="0" shrinkToFit="0" vertical="center" wrapText="0"/>
    </xf>
    <xf borderId="1" fillId="3" fontId="2" numFmtId="0" xfId="0" applyAlignment="1" applyBorder="1" applyFont="1">
      <alignment horizontal="left" readingOrder="0" shrinkToFit="0" vertical="center" wrapText="0"/>
    </xf>
    <xf borderId="1" fillId="4" fontId="2" numFmtId="0" xfId="0" applyAlignment="1" applyBorder="1" applyFill="1" applyFont="1">
      <alignment horizontal="left" readingOrder="0" shrinkToFit="0" vertical="center" wrapText="0"/>
    </xf>
    <xf borderId="1" fillId="3" fontId="2" numFmtId="49" xfId="0" applyAlignment="1" applyBorder="1" applyFont="1" applyNumberFormat="1">
      <alignment horizontal="left" shrinkToFit="0" vertical="center" wrapText="0"/>
    </xf>
    <xf borderId="1" fillId="2" fontId="6" numFmtId="0" xfId="0" applyAlignment="1" applyBorder="1" applyFont="1">
      <alignment readingOrder="0" shrinkToFit="0" vertical="center" wrapText="0"/>
    </xf>
    <xf borderId="1" fillId="3" fontId="7"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1" fillId="0" fontId="2" numFmtId="164" xfId="0" applyAlignment="1" applyBorder="1" applyFont="1" applyNumberFormat="1">
      <alignment horizontal="left" shrinkToFit="0" vertical="center" wrapText="0"/>
    </xf>
    <xf borderId="1" fillId="0" fontId="9" numFmtId="0" xfId="0" applyAlignment="1" applyBorder="1" applyFont="1">
      <alignment horizontal="left" readingOrder="0" shrinkToFit="0" vertical="center" wrapText="0"/>
    </xf>
    <xf borderId="1" fillId="0" fontId="2" numFmtId="49" xfId="0" applyAlignment="1" applyBorder="1" applyFont="1" applyNumberFormat="1">
      <alignment horizontal="left" shrinkToFit="0" vertical="center" wrapText="0"/>
    </xf>
    <xf borderId="1" fillId="0" fontId="10" numFmtId="49" xfId="0" applyAlignment="1" applyBorder="1" applyFont="1" applyNumberFormat="1">
      <alignment readingOrder="0" shrinkToFit="0" vertical="center" wrapText="0"/>
    </xf>
    <xf borderId="1" fillId="0" fontId="10" numFmtId="164" xfId="0" applyAlignment="1" applyBorder="1" applyFont="1" applyNumberFormat="1">
      <alignment horizontal="left" readingOrder="0" shrinkToFit="0" vertical="center" wrapText="0"/>
    </xf>
    <xf borderId="1" fillId="0" fontId="2" numFmtId="0" xfId="0" applyAlignment="1" applyBorder="1" applyFont="1">
      <alignment horizontal="left" shrinkToFit="0" vertical="center" wrapText="0"/>
    </xf>
    <xf borderId="1" fillId="0" fontId="2" numFmtId="49" xfId="0" applyAlignment="1" applyBorder="1" applyFont="1" applyNumberFormat="1">
      <alignment shrinkToFit="0" vertical="center" wrapText="0"/>
    </xf>
    <xf borderId="0" fillId="0" fontId="2" numFmtId="164" xfId="0" applyAlignment="1" applyFont="1" applyNumberFormat="1">
      <alignment horizontal="left" shrinkToFit="0" vertical="center" wrapText="0"/>
    </xf>
    <xf borderId="0" fillId="0" fontId="2" numFmtId="0" xfId="0" applyAlignment="1" applyFont="1">
      <alignment horizontal="left" shrinkToFit="0" vertical="center" wrapText="0"/>
    </xf>
    <xf borderId="0" fillId="0" fontId="2" numFmtId="49" xfId="0" applyAlignment="1" applyFont="1" applyNumberFormat="1">
      <alignment horizontal="left" shrinkToFit="0" vertical="center" wrapText="0"/>
    </xf>
    <xf borderId="0" fillId="0" fontId="2" numFmtId="0" xfId="0" applyAlignment="1" applyFont="1">
      <alignment horizontal="center" readingOrder="0" shrinkToFit="0" vertical="center" wrapText="1"/>
    </xf>
    <xf borderId="1" fillId="2" fontId="2" numFmtId="0" xfId="0" applyAlignment="1" applyBorder="1" applyFont="1">
      <alignment horizontal="center" readingOrder="0" shrinkToFit="0" vertical="center" wrapText="0"/>
    </xf>
    <xf borderId="1" fillId="2" fontId="2" numFmtId="49" xfId="0" applyAlignment="1" applyBorder="1" applyFont="1" applyNumberFormat="1">
      <alignment horizontal="left" readingOrder="0" shrinkToFit="0" vertical="center" wrapText="1"/>
    </xf>
    <xf borderId="1" fillId="2" fontId="11" numFmtId="49" xfId="0" applyAlignment="1" applyBorder="1" applyFont="1" applyNumberFormat="1">
      <alignment horizontal="left" readingOrder="0" shrinkToFit="0" vertical="center" wrapText="1"/>
    </xf>
    <xf borderId="1" fillId="2" fontId="2" numFmtId="49" xfId="0" applyAlignment="1" applyBorder="1" applyFont="1" applyNumberFormat="1">
      <alignment horizontal="left" shrinkToFit="0" vertical="center" wrapText="1"/>
    </xf>
    <xf borderId="1" fillId="2" fontId="12" numFmtId="49" xfId="0" applyAlignment="1" applyBorder="1" applyFont="1" applyNumberFormat="1">
      <alignment horizontal="left" readingOrder="0" shrinkToFit="0" vertical="center" wrapText="1"/>
    </xf>
    <xf borderId="1" fillId="3" fontId="2" numFmtId="0" xfId="0" applyAlignment="1" applyBorder="1" applyFont="1">
      <alignment horizontal="center" readingOrder="0" shrinkToFit="0" vertical="center" wrapText="0"/>
    </xf>
    <xf borderId="1" fillId="2" fontId="2" numFmtId="49" xfId="0" applyAlignment="1" applyBorder="1" applyFont="1" applyNumberFormat="1">
      <alignment horizontal="center" readingOrder="0" shrinkToFit="0" vertical="center" wrapText="1"/>
    </xf>
    <xf borderId="1" fillId="2" fontId="2" numFmtId="49" xfId="0" applyAlignment="1" applyBorder="1" applyFont="1" applyNumberFormat="1">
      <alignment horizontal="left" readingOrder="0" shrinkToFit="0" vertical="center" wrapText="1"/>
    </xf>
    <xf borderId="1" fillId="3" fontId="2" numFmtId="49" xfId="0" applyAlignment="1" applyBorder="1" applyFont="1" applyNumberFormat="1">
      <alignment horizontal="left" shrinkToFit="0" vertical="center" wrapText="1"/>
    </xf>
    <xf borderId="1" fillId="3" fontId="2" numFmtId="49" xfId="0" applyAlignment="1" applyBorder="1" applyFont="1" applyNumberFormat="1">
      <alignment horizontal="left" readingOrder="0" shrinkToFit="0" vertical="center" wrapText="1"/>
    </xf>
    <xf borderId="1" fillId="2" fontId="13" numFmtId="0" xfId="0" applyAlignment="1" applyBorder="1" applyFont="1">
      <alignment horizontal="center" readingOrder="0" shrinkToFit="0" vertical="center" wrapText="0"/>
    </xf>
    <xf borderId="1" fillId="2" fontId="13" numFmtId="0" xfId="0" applyAlignment="1" applyBorder="1" applyFont="1">
      <alignment horizontal="center" readingOrder="0" shrinkToFit="0" vertical="center" wrapText="0"/>
    </xf>
    <xf borderId="1" fillId="3" fontId="14" numFmtId="49" xfId="0" applyAlignment="1" applyBorder="1" applyFont="1" applyNumberFormat="1">
      <alignment horizontal="left" readingOrder="0" shrinkToFit="0" vertical="center" wrapText="1"/>
    </xf>
    <xf borderId="1" fillId="3" fontId="2" numFmtId="49" xfId="0" applyAlignment="1" applyBorder="1" applyFont="1" applyNumberFormat="1">
      <alignment horizontal="left" readingOrder="0" shrinkToFit="0" vertical="center" wrapText="1"/>
    </xf>
    <xf borderId="1" fillId="4" fontId="2" numFmtId="0" xfId="0" applyAlignment="1" applyBorder="1" applyFont="1">
      <alignment horizontal="center" readingOrder="0" shrinkToFit="0" vertical="center" wrapText="0"/>
    </xf>
    <xf borderId="1" fillId="4" fontId="13" numFmtId="0" xfId="0" applyAlignment="1" applyBorder="1" applyFont="1">
      <alignment horizontal="center" readingOrder="0" shrinkToFit="0" vertical="center" wrapText="0"/>
    </xf>
    <xf borderId="1" fillId="2" fontId="13" numFmtId="49" xfId="0" applyAlignment="1" applyBorder="1" applyFont="1" applyNumberFormat="1">
      <alignment horizontal="left" readingOrder="0" shrinkToFit="0" vertical="center" wrapText="1"/>
    </xf>
    <xf borderId="1" fillId="3" fontId="2" numFmtId="0" xfId="0" applyAlignment="1" applyBorder="1" applyFont="1">
      <alignment horizontal="left" shrinkToFit="0" vertical="center" wrapText="0"/>
    </xf>
    <xf borderId="1" fillId="3" fontId="2" numFmtId="49" xfId="0" applyAlignment="1" applyBorder="1" applyFont="1" applyNumberFormat="1">
      <alignment horizontal="center" shrinkToFit="0" vertical="center" wrapText="0"/>
    </xf>
    <xf borderId="1" fillId="3" fontId="2" numFmtId="0" xfId="0" applyAlignment="1" applyBorder="1" applyFont="1">
      <alignment horizontal="left" shrinkToFit="0" vertical="center" wrapText="1"/>
    </xf>
    <xf borderId="1" fillId="3" fontId="2" numFmtId="49" xfId="0" applyAlignment="1" applyBorder="1" applyFont="1" applyNumberFormat="1">
      <alignment horizontal="center" readingOrder="0" shrinkToFit="0" vertical="center" wrapText="0"/>
    </xf>
    <xf borderId="1" fillId="3" fontId="2" numFmtId="0" xfId="0" applyAlignment="1" applyBorder="1" applyFont="1">
      <alignment horizontal="left" readingOrder="0" shrinkToFit="0" vertical="center" wrapText="1"/>
    </xf>
    <xf borderId="1" fillId="0" fontId="2" numFmtId="49" xfId="0" applyAlignment="1" applyBorder="1" applyFont="1" applyNumberFormat="1">
      <alignment horizontal="center" readingOrder="0" shrinkToFit="0" vertical="center" wrapText="0"/>
    </xf>
    <xf borderId="1" fillId="0" fontId="2" numFmtId="0" xfId="0" applyAlignment="1" applyBorder="1" applyFont="1">
      <alignment horizontal="left" shrinkToFit="0" vertical="center" wrapText="1"/>
    </xf>
    <xf borderId="1" fillId="0" fontId="15" numFmtId="49" xfId="0" applyAlignment="1" applyBorder="1" applyFont="1" applyNumberFormat="1">
      <alignment horizontal="left" readingOrder="0" shrinkToFit="0" vertical="center" wrapText="1"/>
    </xf>
    <xf borderId="1" fillId="0" fontId="2" numFmtId="49" xfId="0" applyAlignment="1" applyBorder="1" applyFont="1" applyNumberFormat="1">
      <alignment horizontal="left" shrinkToFit="0" vertical="center" wrapText="1"/>
    </xf>
    <xf borderId="1" fillId="0" fontId="2" numFmtId="49" xfId="0" applyAlignment="1" applyBorder="1" applyFont="1" applyNumberFormat="1">
      <alignment horizontal="center" shrinkToFit="0" vertical="center" wrapText="0"/>
    </xf>
    <xf borderId="1" fillId="0" fontId="2" numFmtId="0" xfId="0" applyAlignment="1" applyBorder="1" applyFont="1">
      <alignment horizontal="left" readingOrder="0" shrinkToFit="0" vertical="center" wrapText="1"/>
    </xf>
    <xf borderId="1" fillId="3" fontId="13" numFmtId="0" xfId="0" applyAlignment="1" applyBorder="1" applyFont="1">
      <alignment horizontal="center" readingOrder="0" shrinkToFit="0" vertical="center" wrapText="0"/>
    </xf>
    <xf borderId="1" fillId="0" fontId="13"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1" fillId="3" fontId="13" numFmtId="0" xfId="0" applyAlignment="1" applyBorder="1" applyFont="1">
      <alignment horizontal="center" readingOrder="0" shrinkToFit="0" vertical="center" wrapText="0"/>
    </xf>
    <xf borderId="1" fillId="0" fontId="2" numFmtId="49" xfId="0" applyAlignment="1" applyBorder="1" applyFont="1" applyNumberFormat="1">
      <alignment horizontal="left"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left" readingOrder="0" shrinkToFit="0" vertical="center" wrapText="0"/>
    </xf>
    <xf borderId="1" fillId="0" fontId="17" numFmtId="49" xfId="0" applyAlignment="1" applyBorder="1" applyFont="1" applyNumberFormat="1">
      <alignment horizontal="left" readingOrder="0" shrinkToFit="0" vertical="center" wrapText="0"/>
    </xf>
    <xf borderId="1" fillId="0" fontId="18" numFmtId="49" xfId="0" applyAlignment="1" applyBorder="1" applyFont="1" applyNumberFormat="1">
      <alignment horizontal="left" readingOrder="0" shrinkToFit="0" vertical="center" wrapText="0"/>
    </xf>
    <xf borderId="1" fillId="0" fontId="2" numFmtId="0" xfId="0" applyAlignment="1" applyBorder="1" applyFont="1">
      <alignment horizontal="center" shrinkToFit="0" vertical="center" wrapText="0"/>
    </xf>
    <xf borderId="1" fillId="2" fontId="2" numFmtId="0" xfId="0" applyAlignment="1" applyBorder="1" applyFont="1">
      <alignment horizontal="left" readingOrder="0" shrinkToFit="0" vertical="center" wrapText="1"/>
    </xf>
    <xf borderId="1" fillId="0" fontId="19" numFmtId="49" xfId="0" applyAlignment="1" applyBorder="1" applyFont="1" applyNumberFormat="1">
      <alignment horizontal="left" readingOrder="0" shrinkToFit="0" vertical="center" wrapText="0"/>
    </xf>
    <xf borderId="0" fillId="0" fontId="2" numFmtId="49" xfId="0" applyAlignment="1" applyFont="1" applyNumberFormat="1">
      <alignment horizontal="center" shrinkToFit="0" vertical="center" wrapText="0"/>
    </xf>
    <xf borderId="0" fillId="0" fontId="2" numFmtId="0" xfId="0" applyAlignment="1" applyFont="1">
      <alignment horizontal="center" shrinkToFit="0" vertical="center" wrapText="0"/>
    </xf>
    <xf borderId="1" fillId="4" fontId="2" numFmtId="0" xfId="0" applyAlignment="1" applyBorder="1" applyFont="1">
      <alignment horizontal="left" readingOrder="0" shrinkToFit="0" vertical="center" wrapText="1"/>
    </xf>
    <xf borderId="1" fillId="3" fontId="2" numFmtId="0" xfId="0" applyAlignment="1" applyBorder="1" applyFont="1">
      <alignment horizontal="center" shrinkToFit="0" vertical="center" wrapText="0"/>
    </xf>
    <xf borderId="1" fillId="3" fontId="20" numFmtId="0" xfId="0" applyAlignment="1" applyBorder="1" applyFont="1">
      <alignment horizontal="left" readingOrder="0" shrinkToFit="0" vertical="center" wrapText="1"/>
    </xf>
    <xf borderId="1" fillId="3" fontId="21" numFmtId="0" xfId="0" applyAlignment="1" applyBorder="1" applyFont="1">
      <alignment readingOrder="0" shrinkToFit="0" vertical="center" wrapText="1"/>
    </xf>
    <xf borderId="1" fillId="3" fontId="22" numFmtId="49" xfId="0" applyAlignment="1" applyBorder="1" applyFont="1" applyNumberFormat="1">
      <alignment readingOrder="0" shrinkToFit="0" vertical="center" wrapText="0"/>
    </xf>
    <xf borderId="1" fillId="3" fontId="21" numFmtId="49" xfId="0" applyAlignment="1" applyBorder="1" applyFont="1" applyNumberFormat="1">
      <alignment readingOrder="0" shrinkToFit="0" vertical="center" wrapText="1"/>
    </xf>
    <xf borderId="1" fillId="3" fontId="21" numFmtId="49" xfId="0" applyAlignment="1" applyBorder="1" applyFont="1" applyNumberFormat="1">
      <alignment shrinkToFit="0" vertical="center" wrapText="1"/>
    </xf>
    <xf borderId="1" fillId="0" fontId="2" numFmtId="49" xfId="0" applyAlignment="1" applyBorder="1" applyFont="1" applyNumberFormat="1">
      <alignment horizontal="left" readingOrder="0" shrinkToFit="0" vertical="center" wrapText="1"/>
    </xf>
    <xf borderId="1" fillId="0" fontId="23" numFmtId="49" xfId="0" applyAlignment="1" applyBorder="1" applyFont="1" applyNumberFormat="1">
      <alignment horizontal="left" readingOrder="0" shrinkToFit="0" vertical="center" wrapText="1"/>
    </xf>
    <xf borderId="1" fillId="5" fontId="24" numFmtId="164" xfId="0" applyAlignment="1" applyBorder="1" applyFill="1" applyFont="1" applyNumberFormat="1">
      <alignment horizontal="left" readingOrder="0" shrinkToFit="0" vertical="center" wrapText="0"/>
    </xf>
    <xf borderId="1" fillId="5" fontId="2" numFmtId="0" xfId="0" applyAlignment="1" applyBorder="1" applyFont="1">
      <alignment horizontal="center" shrinkToFit="0" vertical="center" wrapText="0"/>
    </xf>
    <xf borderId="1" fillId="5" fontId="2" numFmtId="49" xfId="0" applyAlignment="1" applyBorder="1" applyFont="1" applyNumberFormat="1">
      <alignment horizontal="left" shrinkToFit="0" vertical="center" wrapText="0"/>
    </xf>
    <xf borderId="1" fillId="5" fontId="2" numFmtId="0" xfId="0" applyAlignment="1" applyBorder="1" applyFont="1">
      <alignment horizontal="center" readingOrder="0" shrinkToFit="0" vertical="center" wrapText="0"/>
    </xf>
    <xf borderId="1" fillId="5" fontId="24" numFmtId="0" xfId="0" applyAlignment="1" applyBorder="1" applyFont="1">
      <alignment horizontal="left" readingOrder="0" shrinkToFit="0" vertical="center" wrapText="1"/>
    </xf>
    <xf borderId="1" fillId="5" fontId="2" numFmtId="0" xfId="0" applyAlignment="1" applyBorder="1" applyFont="1">
      <alignment horizontal="left" readingOrder="0" shrinkToFit="0" vertical="center" wrapText="1"/>
    </xf>
    <xf borderId="1" fillId="5" fontId="25" numFmtId="0" xfId="0" applyAlignment="1" applyBorder="1" applyFont="1">
      <alignment horizontal="left" readingOrder="0" shrinkToFit="0" vertical="center" wrapText="1"/>
    </xf>
    <xf borderId="1" fillId="5" fontId="24" numFmtId="49" xfId="0" applyAlignment="1" applyBorder="1" applyFont="1" applyNumberFormat="1">
      <alignment horizontal="left" readingOrder="0" shrinkToFit="0" vertical="center" wrapText="1"/>
    </xf>
    <xf borderId="1" fillId="6" fontId="24" numFmtId="164" xfId="0" applyAlignment="1" applyBorder="1" applyFill="1" applyFont="1" applyNumberFormat="1">
      <alignment horizontal="left" readingOrder="0" shrinkToFit="0" vertical="center" wrapText="0"/>
    </xf>
    <xf borderId="1" fillId="6" fontId="24" numFmtId="0" xfId="0" applyAlignment="1" applyBorder="1" applyFont="1">
      <alignment horizontal="center" shrinkToFit="0" vertical="center" wrapText="0"/>
    </xf>
    <xf borderId="1" fillId="6" fontId="24" numFmtId="49" xfId="0" applyAlignment="1" applyBorder="1" applyFont="1" applyNumberFormat="1">
      <alignment horizontal="left" shrinkToFit="0" vertical="center" wrapText="0"/>
    </xf>
    <xf borderId="1" fillId="6" fontId="24" numFmtId="0" xfId="0" applyAlignment="1" applyBorder="1" applyFont="1">
      <alignment horizontal="left" readingOrder="0" shrinkToFit="0" vertical="center" wrapText="1"/>
    </xf>
    <xf borderId="1" fillId="6" fontId="2" numFmtId="0" xfId="0" applyAlignment="1" applyBorder="1" applyFont="1">
      <alignment horizontal="left" shrinkToFit="0" vertical="center" wrapText="1"/>
    </xf>
    <xf borderId="1" fillId="6" fontId="24" numFmtId="49" xfId="0" applyAlignment="1" applyBorder="1" applyFont="1" applyNumberFormat="1">
      <alignment horizontal="left" readingOrder="0" shrinkToFit="0" vertical="center" wrapText="1"/>
    </xf>
    <xf borderId="1" fillId="2" fontId="26" numFmtId="164" xfId="0" applyAlignment="1" applyBorder="1" applyFont="1" applyNumberFormat="1">
      <alignment horizontal="left" readingOrder="0" shrinkToFit="0" vertical="center" wrapText="0"/>
    </xf>
    <xf borderId="1" fillId="0" fontId="13" numFmtId="0" xfId="0" applyAlignment="1" applyBorder="1" applyFont="1">
      <alignment horizontal="center" readingOrder="0" shrinkToFit="0" vertical="center" wrapText="0"/>
    </xf>
    <xf borderId="1" fillId="0" fontId="24" numFmtId="49" xfId="0" applyAlignment="1" applyBorder="1" applyFont="1" applyNumberFormat="1">
      <alignment horizontal="left" readingOrder="0" shrinkToFit="0" vertical="center" wrapText="1"/>
    </xf>
    <xf borderId="1" fillId="0" fontId="26" numFmtId="49" xfId="0" applyAlignment="1" applyBorder="1" applyFont="1" applyNumberFormat="1">
      <alignment horizontal="left" readingOrder="0" shrinkToFit="0" vertical="center" wrapText="1"/>
    </xf>
    <xf borderId="1" fillId="0" fontId="26" numFmtId="0" xfId="0" applyAlignment="1" applyBorder="1" applyFont="1">
      <alignment horizontal="center" shrinkToFit="0" vertical="center" wrapText="0"/>
    </xf>
    <xf borderId="1" fillId="0" fontId="26" numFmtId="0" xfId="0" applyAlignment="1" applyBorder="1" applyFont="1">
      <alignment horizontal="center" readingOrder="0" shrinkToFit="0" vertical="center" wrapText="0"/>
    </xf>
    <xf borderId="1" fillId="0" fontId="26" numFmtId="49" xfId="0" applyAlignment="1" applyBorder="1" applyFont="1" applyNumberFormat="1">
      <alignment horizontal="left" shrinkToFit="0" vertical="center" wrapText="0"/>
    </xf>
    <xf borderId="1" fillId="0" fontId="26" numFmtId="0" xfId="0" applyAlignment="1" applyBorder="1" applyFont="1">
      <alignment horizontal="left" readingOrder="0" shrinkToFit="0" vertical="center" wrapText="1"/>
    </xf>
    <xf borderId="1" fillId="0" fontId="27" numFmtId="0" xfId="0" applyAlignment="1" applyBorder="1" applyFont="1">
      <alignment horizontal="left" readingOrder="0" shrinkToFit="0" vertical="center" wrapText="1"/>
    </xf>
    <xf borderId="0" fillId="0" fontId="26" numFmtId="0" xfId="0" applyFont="1"/>
    <xf borderId="1" fillId="6" fontId="26" numFmtId="164" xfId="0" applyAlignment="1" applyBorder="1" applyFont="1" applyNumberFormat="1">
      <alignment horizontal="left" readingOrder="0" shrinkToFit="0" vertical="center" wrapText="0"/>
    </xf>
    <xf borderId="1" fillId="6" fontId="2" numFmtId="0" xfId="0" applyAlignment="1" applyBorder="1" applyFont="1">
      <alignment horizontal="center" shrinkToFit="0" vertical="center" wrapText="0"/>
    </xf>
    <xf borderId="1" fillId="6" fontId="2" numFmtId="49" xfId="0" applyAlignment="1" applyBorder="1" applyFont="1" applyNumberFormat="1">
      <alignment horizontal="left" shrinkToFit="0" vertical="center" wrapText="0"/>
    </xf>
    <xf borderId="1" fillId="6" fontId="24" numFmtId="0" xfId="0" applyAlignment="1" applyBorder="1" applyFont="1">
      <alignment horizontal="center" readingOrder="0" shrinkToFit="0" vertical="center" wrapText="0"/>
    </xf>
    <xf borderId="1" fillId="6" fontId="24" numFmtId="0" xfId="0" applyAlignment="1" applyBorder="1" applyFont="1">
      <alignment horizontal="left" shrinkToFit="0" vertical="center" wrapText="1"/>
    </xf>
    <xf borderId="1" fillId="0" fontId="26" numFmtId="0" xfId="0" applyAlignment="1" applyBorder="1" applyFont="1">
      <alignment horizontal="left" readingOrder="0" shrinkToFit="0" vertical="center" wrapText="1"/>
    </xf>
    <xf borderId="1" fillId="5" fontId="26" numFmtId="164" xfId="0" applyAlignment="1" applyBorder="1" applyFont="1" applyNumberFormat="1">
      <alignment horizontal="left" readingOrder="0" shrinkToFit="0" vertical="center" wrapText="0"/>
    </xf>
    <xf borderId="1" fillId="5" fontId="26" numFmtId="0" xfId="0" applyAlignment="1" applyBorder="1" applyFont="1">
      <alignment horizontal="left" readingOrder="0" shrinkToFit="0" vertical="center" wrapText="1"/>
    </xf>
    <xf borderId="1" fillId="5" fontId="28" numFmtId="0" xfId="0" applyAlignment="1" applyBorder="1" applyFont="1">
      <alignment horizontal="left" readingOrder="0" shrinkToFit="0" vertical="center" wrapText="1"/>
    </xf>
    <xf borderId="1" fillId="6" fontId="24" numFmtId="0" xfId="0" applyAlignment="1" applyBorder="1" applyFont="1">
      <alignment horizontal="left" readingOrder="0" shrinkToFit="0" vertical="center" wrapText="1"/>
    </xf>
    <xf borderId="1" fillId="6" fontId="29" numFmtId="49" xfId="0" applyAlignment="1" applyBorder="1" applyFont="1" applyNumberFormat="1">
      <alignment horizontal="left" readingOrder="0" shrinkToFit="0" vertical="center" wrapText="1"/>
    </xf>
    <xf borderId="0" fillId="2" fontId="26" numFmtId="164"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1"/>
    </xf>
    <xf borderId="0" fillId="0" fontId="2" numFmtId="49" xfId="0" applyAlignment="1" applyFont="1" applyNumberFormat="1">
      <alignment horizontal="left" shrinkToFit="0" vertical="center" wrapText="1"/>
    </xf>
    <xf borderId="0" fillId="0" fontId="2" numFmtId="0" xfId="0" applyAlignment="1" applyFont="1">
      <alignment horizontal="left" readingOrder="0" shrinkToFit="0" vertical="center" wrapText="1"/>
    </xf>
    <xf borderId="1" fillId="2" fontId="30" numFmtId="0" xfId="0" applyAlignment="1" applyBorder="1" applyFont="1">
      <alignment horizontal="center" readingOrder="0" shrinkToFit="0" vertical="center" wrapText="0"/>
    </xf>
    <xf borderId="0" fillId="2" fontId="2" numFmtId="0" xfId="0" applyAlignment="1" applyFont="1">
      <alignment horizontal="left" shrinkToFit="0" vertical="center" wrapText="1"/>
    </xf>
    <xf borderId="0" fillId="0" fontId="2" numFmtId="0" xfId="0" applyAlignment="1" applyFont="1">
      <alignment readingOrder="0"/>
    </xf>
    <xf borderId="1" fillId="2" fontId="30" numFmtId="0" xfId="0" applyAlignment="1" applyBorder="1" applyFont="1">
      <alignment horizontal="center" readingOrder="0" shrinkToFit="0" vertical="center" wrapText="1"/>
    </xf>
    <xf borderId="1" fillId="2" fontId="31" numFmtId="49" xfId="0" applyAlignment="1" applyBorder="1" applyFont="1" applyNumberFormat="1">
      <alignment horizontal="left" readingOrder="0" shrinkToFit="0" vertical="center" wrapText="0"/>
    </xf>
    <xf borderId="0" fillId="2" fontId="2" numFmtId="0" xfId="0" applyAlignment="1" applyFont="1">
      <alignment horizontal="left" readingOrder="0" shrinkToFit="0" vertical="center" wrapText="1"/>
    </xf>
    <xf borderId="1" fillId="7" fontId="2" numFmtId="49" xfId="0" applyAlignment="1" applyBorder="1" applyFill="1" applyFont="1" applyNumberFormat="1">
      <alignment horizontal="left" readingOrder="0" shrinkToFit="0" vertical="center" wrapText="0"/>
    </xf>
    <xf borderId="1" fillId="7" fontId="2" numFmtId="0" xfId="0" applyAlignment="1" applyBorder="1" applyFont="1">
      <alignment horizontal="left" readingOrder="0" shrinkToFit="0" vertical="center" wrapText="0"/>
    </xf>
    <xf borderId="0" fillId="3" fontId="2" numFmtId="0" xfId="0" applyAlignment="1" applyFont="1">
      <alignment horizontal="left" shrinkToFit="0" vertical="center" wrapText="1"/>
    </xf>
    <xf borderId="0" fillId="7" fontId="2" numFmtId="0" xfId="0" applyAlignment="1" applyFont="1">
      <alignment readingOrder="0" shrinkToFit="0" vertical="center" wrapText="0"/>
    </xf>
    <xf borderId="1" fillId="2" fontId="24" numFmtId="164" xfId="0" applyAlignment="1" applyBorder="1" applyFont="1" applyNumberFormat="1">
      <alignment horizontal="left" readingOrder="0" shrinkToFit="0" vertical="center" wrapText="0"/>
    </xf>
    <xf borderId="1" fillId="2" fontId="24" numFmtId="0" xfId="0" applyAlignment="1" applyBorder="1" applyFont="1">
      <alignment horizontal="center" readingOrder="0" shrinkToFit="0" vertical="center" wrapText="0"/>
    </xf>
    <xf borderId="1" fillId="2" fontId="24" numFmtId="0" xfId="0" applyAlignment="1" applyBorder="1" applyFont="1">
      <alignment horizontal="left" readingOrder="0" shrinkToFit="0" vertical="center" wrapText="0"/>
    </xf>
    <xf borderId="1" fillId="2" fontId="32" numFmtId="49" xfId="0" applyAlignment="1" applyBorder="1" applyFont="1" applyNumberFormat="1">
      <alignment horizontal="left" readingOrder="0" shrinkToFit="0" vertical="center" wrapText="0"/>
    </xf>
    <xf borderId="1" fillId="3" fontId="33" numFmtId="0" xfId="0" applyAlignment="1" applyBorder="1" applyFont="1">
      <alignment readingOrder="0" shrinkToFit="0" vertical="center" wrapText="1"/>
    </xf>
    <xf borderId="0" fillId="3" fontId="2" numFmtId="0" xfId="0" applyAlignment="1" applyFont="1">
      <alignment horizontal="left" readingOrder="0" shrinkToFit="0" vertical="center" wrapText="1"/>
    </xf>
    <xf borderId="1" fillId="3" fontId="2" numFmtId="49" xfId="0" applyAlignment="1" applyBorder="1" applyFont="1" applyNumberFormat="1">
      <alignment horizontal="left" readingOrder="0" shrinkToFit="0" vertical="center" wrapText="0"/>
    </xf>
    <xf borderId="0" fillId="0" fontId="2" numFmtId="0" xfId="0" applyAlignment="1" applyFont="1">
      <alignment horizontal="left" shrinkToFit="0" vertical="center" wrapText="1"/>
    </xf>
    <xf borderId="0" fillId="2" fontId="4" numFmtId="164" xfId="0" applyAlignment="1" applyFont="1" applyNumberFormat="1">
      <alignment horizontal="left" readingOrder="0" shrinkToFit="0" vertical="center" wrapText="0"/>
    </xf>
    <xf borderId="0" fillId="0" fontId="2" numFmtId="0" xfId="0" applyAlignment="1" applyFont="1">
      <alignment readingOrder="0" vertical="center"/>
    </xf>
    <xf borderId="1" fillId="2" fontId="4" numFmtId="164" xfId="0" applyAlignment="1" applyBorder="1" applyFont="1" applyNumberFormat="1">
      <alignment horizontal="left" readingOrder="0" shrinkToFit="0" vertical="center" wrapText="1"/>
    </xf>
    <xf borderId="1" fillId="2" fontId="2" numFmtId="0" xfId="0" applyAlignment="1" applyBorder="1" applyFont="1">
      <alignment horizontal="center" readingOrder="0" shrinkToFit="0" vertical="center" wrapText="1"/>
    </xf>
    <xf borderId="1" fillId="0" fontId="34" numFmtId="0" xfId="0" applyAlignment="1" applyBorder="1" applyFont="1">
      <alignment horizontal="left" readingOrder="0" shrinkToFit="0" vertical="center" wrapText="1"/>
    </xf>
    <xf borderId="1" fillId="0" fontId="10" numFmtId="164" xfId="0" applyAlignment="1" applyBorder="1" applyFont="1" applyNumberFormat="1">
      <alignment horizontal="left" readingOrder="0" shrinkToFit="0" vertical="center" wrapText="1"/>
    </xf>
    <xf borderId="0" fillId="0" fontId="2" numFmtId="164" xfId="0" applyAlignment="1" applyFont="1" applyNumberFormat="1">
      <alignment horizontal="left" shrinkToFit="0" vertical="center" wrapText="1"/>
    </xf>
    <xf borderId="0" fillId="0" fontId="2" numFmtId="0" xfId="0" applyAlignment="1" applyFont="1">
      <alignment shrinkToFit="0" wrapText="1"/>
    </xf>
    <xf borderId="1" fillId="2" fontId="35" numFmtId="49" xfId="0" applyAlignment="1" applyBorder="1" applyFont="1" applyNumberFormat="1">
      <alignment horizontal="left" readingOrder="0" shrinkToFit="0" vertical="center" wrapText="1"/>
    </xf>
    <xf borderId="1" fillId="3" fontId="2"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center" wrapText="1"/>
    </xf>
    <xf borderId="1" fillId="3"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36" numFmtId="0" xfId="0" applyAlignment="1" applyBorder="1" applyFont="1">
      <alignment horizontal="left" readingOrder="0" shrinkToFit="0" vertical="center" wrapText="1"/>
    </xf>
    <xf borderId="0" fillId="0" fontId="37" numFmtId="0" xfId="0" applyAlignment="1" applyFont="1">
      <alignment readingOrder="0" shrinkToFit="0" vertical="center" wrapText="0"/>
    </xf>
    <xf borderId="0" fillId="0" fontId="2" numFmtId="0" xfId="0" applyAlignment="1" applyFont="1">
      <alignment horizontal="center" shrinkToFit="0" vertical="center" wrapText="1"/>
    </xf>
    <xf borderId="0" fillId="0" fontId="2" numFmtId="0" xfId="0" applyAlignment="1" applyFont="1">
      <alignment vertical="center"/>
    </xf>
    <xf borderId="1" fillId="2" fontId="2" numFmtId="49" xfId="0" applyAlignment="1" applyBorder="1" applyFont="1" applyNumberFormat="1">
      <alignment horizontal="left" readingOrder="0" shrinkToFit="0" wrapText="1"/>
    </xf>
    <xf borderId="0" fillId="0" fontId="2" numFmtId="0" xfId="0" applyAlignment="1" applyFont="1">
      <alignment readingOrder="0" shrinkToFit="0" vertical="center" wrapText="1"/>
    </xf>
    <xf borderId="1" fillId="2" fontId="21" numFmtId="49" xfId="0" applyAlignment="1" applyBorder="1" applyFont="1" applyNumberFormat="1">
      <alignment shrinkToFit="0" vertical="center" wrapText="1"/>
    </xf>
    <xf borderId="1" fillId="3" fontId="21" numFmtId="0" xfId="0" applyAlignment="1" applyBorder="1" applyFont="1">
      <alignment shrinkToFit="0" vertical="center" wrapText="0"/>
    </xf>
    <xf borderId="1" fillId="2" fontId="38" numFmtId="49" xfId="0" applyAlignment="1" applyBorder="1" applyFont="1" applyNumberFormat="1">
      <alignment shrinkToFit="0" vertical="center" wrapText="1"/>
    </xf>
    <xf borderId="1" fillId="3" fontId="21" numFmtId="0" xfId="0" applyAlignment="1" applyBorder="1" applyFont="1">
      <alignment shrinkToFit="0" vertical="center" wrapText="0"/>
    </xf>
    <xf borderId="1" fillId="3" fontId="21" numFmtId="0" xfId="0" applyAlignment="1" applyBorder="1" applyFont="1">
      <alignment readingOrder="0" shrinkToFit="0" vertical="center" wrapText="0"/>
    </xf>
    <xf borderId="1" fillId="2" fontId="21" numFmtId="49" xfId="0" applyAlignment="1" applyBorder="1" applyFont="1" applyNumberFormat="1">
      <alignment readingOrder="0" shrinkToFit="0" vertical="center" wrapText="1"/>
    </xf>
    <xf borderId="1" fillId="2" fontId="39" numFmtId="49" xfId="0" applyAlignment="1" applyBorder="1" applyFont="1" applyNumberFormat="1">
      <alignment readingOrder="0" shrinkToFit="0" vertical="center" wrapText="1"/>
    </xf>
    <xf borderId="1" fillId="2" fontId="21" numFmtId="0" xfId="0" applyAlignment="1" applyBorder="1" applyFont="1">
      <alignment shrinkToFit="0" vertical="center" wrapText="0"/>
    </xf>
    <xf borderId="1" fillId="3" fontId="40" numFmtId="0" xfId="0" applyAlignment="1" applyBorder="1" applyFont="1">
      <alignment shrinkToFit="0" vertical="center" wrapText="0"/>
    </xf>
    <xf borderId="1" fillId="3" fontId="40" numFmtId="49" xfId="0" applyAlignment="1" applyBorder="1" applyFont="1" applyNumberFormat="1">
      <alignment shrinkToFit="0" vertical="center" wrapText="0"/>
    </xf>
    <xf borderId="0" fillId="0" fontId="2" numFmtId="49" xfId="0" applyAlignment="1" applyFont="1" applyNumberFormat="1">
      <alignment shrinkToFit="0" vertical="center" wrapText="0"/>
    </xf>
    <xf borderId="1" fillId="2" fontId="2" numFmtId="49" xfId="0" applyAlignment="1" applyBorder="1" applyFont="1" applyNumberForma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 numFmtId="49" xfId="0" applyAlignment="1" applyBorder="1" applyFont="1" applyNumberFormat="1">
      <alignment horizontal="center" readingOrder="0" shrinkToFit="0" vertical="center" wrapText="0"/>
    </xf>
    <xf borderId="1" fillId="0" fontId="2" numFmtId="49" xfId="0" applyAlignment="1" applyBorder="1" applyFont="1" applyNumberFormat="1">
      <alignment horizontal="left" readingOrder="0" shrinkToFit="0" vertical="center" wrapText="1"/>
    </xf>
    <xf borderId="1" fillId="0" fontId="2" numFmtId="49" xfId="0" applyAlignment="1" applyBorder="1" applyFont="1" applyNumberFormat="1">
      <alignment horizontal="left" readingOrder="0" shrinkToFit="0" vertical="center" wrapText="0"/>
    </xf>
    <xf borderId="1" fillId="0" fontId="2" numFmtId="49" xfId="0" applyAlignment="1" applyBorder="1" applyFont="1" applyNumberFormat="1">
      <alignment horizontal="left" shrinkToFit="0" vertical="center" wrapText="0"/>
    </xf>
    <xf borderId="1" fillId="0" fontId="2" numFmtId="0" xfId="0" applyAlignment="1" applyBorder="1" applyFont="1">
      <alignment horizontal="left" readingOrder="0" shrinkToFit="0" vertical="center" wrapText="0"/>
    </xf>
    <xf borderId="1" fillId="0" fontId="24" numFmtId="0" xfId="0" applyAlignment="1" applyBorder="1" applyFont="1">
      <alignment horizontal="center" readingOrder="0" shrinkToFit="0" vertical="center" wrapText="0"/>
    </xf>
    <xf borderId="1" fillId="0" fontId="24" numFmtId="0" xfId="0" applyAlignment="1" applyBorder="1" applyFont="1">
      <alignment horizontal="left" readingOrder="0" shrinkToFit="0" vertical="center" wrapText="1"/>
    </xf>
    <xf borderId="1" fillId="0" fontId="24" numFmtId="0" xfId="0" applyAlignment="1" applyBorder="1" applyFont="1">
      <alignment horizontal="left" readingOrder="0" shrinkToFit="0" vertical="center" wrapText="0"/>
    </xf>
    <xf borderId="1" fillId="0" fontId="24" numFmtId="49" xfId="0" applyAlignment="1" applyBorder="1" applyFont="1" applyNumberFormat="1">
      <alignment horizontal="left" readingOrder="0" shrinkToFit="0" vertical="center" wrapText="1"/>
    </xf>
    <xf borderId="1" fillId="0" fontId="24" numFmtId="49" xfId="0" applyAlignment="1" applyBorder="1" applyFont="1" applyNumberFormat="1">
      <alignment horizontal="left" readingOrder="0" shrinkToFit="0" vertical="center" wrapText="0"/>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shrinkToFit="0" vertical="center" wrapText="0"/>
    </xf>
    <xf borderId="1" fillId="0" fontId="2" numFmtId="0" xfId="0" applyAlignment="1" applyBorder="1" applyFont="1">
      <alignment horizontal="left" shrinkToFit="0" vertical="center" wrapText="0"/>
    </xf>
    <xf borderId="1" fillId="0" fontId="2" numFmtId="0" xfId="0" applyAlignment="1" applyBorder="1" applyFont="1">
      <alignment horizontal="left" shrinkToFit="0" vertical="center" wrapText="1"/>
    </xf>
    <xf borderId="1" fillId="0" fontId="41" numFmtId="0" xfId="0" applyAlignment="1" applyBorder="1" applyFont="1">
      <alignment horizontal="left" readingOrder="0" shrinkToFit="0" vertical="center" wrapText="1"/>
    </xf>
    <xf borderId="1" fillId="0" fontId="42" numFmtId="0" xfId="0" applyAlignment="1" applyBorder="1" applyFont="1">
      <alignment horizontal="left" readingOrder="0" shrinkToFit="0" vertical="center" wrapText="1"/>
    </xf>
    <xf borderId="0" fillId="0" fontId="2" numFmtId="0" xfId="0" applyAlignment="1" applyFont="1">
      <alignment horizontal="center" readingOrder="0" shrinkToFit="0" vertical="center" wrapText="0"/>
    </xf>
    <xf borderId="0" fillId="0" fontId="43" numFmtId="0" xfId="0" applyAlignment="1" applyFont="1">
      <alignment readingOrder="0" shrinkToFit="0" vertical="center" wrapText="0"/>
    </xf>
    <xf borderId="1" fillId="4" fontId="24" numFmtId="0" xfId="0" applyAlignment="1" applyBorder="1" applyFont="1">
      <alignment horizontal="left" readingOrder="0" shrinkToFit="0" vertical="center" wrapText="0"/>
    </xf>
    <xf borderId="1" fillId="2" fontId="24" numFmtId="49" xfId="0" applyAlignment="1" applyBorder="1" applyFont="1" applyNumberFormat="1">
      <alignment horizontal="left" readingOrder="0" shrinkToFit="0" vertical="center" wrapText="1"/>
    </xf>
    <xf borderId="1" fillId="3" fontId="24" numFmtId="49" xfId="0" applyAlignment="1" applyBorder="1" applyFont="1" applyNumberFormat="1">
      <alignment horizontal="left" readingOrder="0" shrinkToFit="0" vertical="center" wrapText="1"/>
    </xf>
    <xf borderId="1" fillId="3" fontId="24" numFmtId="0" xfId="0" applyAlignment="1" applyBorder="1" applyFont="1">
      <alignment horizontal="center" readingOrder="0" shrinkToFit="0" vertical="center" wrapText="0"/>
    </xf>
    <xf borderId="1" fillId="3" fontId="24" numFmtId="0" xfId="0" applyAlignment="1" applyBorder="1" applyFont="1">
      <alignment horizontal="left" readingOrder="0" shrinkToFit="0" vertical="center" wrapText="0"/>
    </xf>
    <xf borderId="1" fillId="0" fontId="24" numFmtId="0" xfId="0" applyAlignment="1" applyBorder="1" applyFont="1">
      <alignment horizontal="left" readingOrder="0" shrinkToFit="0" vertical="center" wrapText="1"/>
    </xf>
    <xf borderId="1" fillId="3" fontId="44" numFmtId="49" xfId="0" applyAlignment="1" applyBorder="1" applyFont="1" applyNumberFormat="1">
      <alignment horizontal="left" readingOrder="0" shrinkToFit="0" vertical="center" wrapText="1"/>
    </xf>
    <xf borderId="1" fillId="0" fontId="24" numFmtId="0" xfId="0" applyAlignment="1" applyBorder="1" applyFont="1">
      <alignment horizontal="left" shrinkToFit="0" vertical="center" wrapText="0"/>
    </xf>
    <xf borderId="1" fillId="3" fontId="24" numFmtId="49" xfId="0" applyAlignment="1" applyBorder="1" applyFont="1" applyNumberFormat="1">
      <alignment horizontal="left" readingOrder="0" shrinkToFit="0" vertical="center" wrapText="1"/>
    </xf>
    <xf borderId="1" fillId="0" fontId="24" numFmtId="49" xfId="0" applyAlignment="1" applyBorder="1" applyFont="1" applyNumberFormat="1">
      <alignment horizontal="left" shrinkToFit="0" vertical="center" wrapText="1"/>
    </xf>
    <xf borderId="0" fillId="2" fontId="2" numFmtId="0" xfId="0" applyAlignment="1" applyFont="1">
      <alignment horizontal="center" readingOrder="0" shrinkToFit="0" vertical="center" wrapText="0"/>
    </xf>
    <xf borderId="0" fillId="0" fontId="2" numFmtId="0" xfId="0" applyAlignment="1" applyFont="1">
      <alignment shrinkToFit="0" vertical="center" wrapText="1"/>
    </xf>
    <xf borderId="1" fillId="3" fontId="45" numFmtId="0" xfId="0" applyAlignment="1" applyBorder="1" applyFont="1">
      <alignment horizontal="center" readingOrder="0" shrinkToFit="0" vertical="center" wrapText="0"/>
    </xf>
    <xf borderId="1" fillId="2" fontId="24" numFmtId="49" xfId="0" applyAlignment="1" applyBorder="1" applyFont="1" applyNumberFormat="1">
      <alignment horizontal="left" readingOrder="0" shrinkToFit="0" vertical="center" wrapText="0"/>
    </xf>
    <xf borderId="1" fillId="3" fontId="24" numFmtId="49" xfId="0" applyAlignment="1" applyBorder="1" applyFont="1" applyNumberFormat="1">
      <alignment horizontal="left" readingOrder="0" shrinkToFit="0" vertical="center" wrapText="0"/>
    </xf>
    <xf borderId="0" fillId="0" fontId="24" numFmtId="49" xfId="0" applyAlignment="1" applyFont="1" applyNumberFormat="1">
      <alignment readingOrder="0" shrinkToFit="0" vertical="center" wrapText="0"/>
    </xf>
    <xf borderId="1" fillId="3" fontId="46" numFmtId="0" xfId="0" applyAlignment="1" applyBorder="1" applyFont="1">
      <alignment horizontal="left" readingOrder="0" shrinkToFit="0" vertical="center" wrapText="1"/>
    </xf>
    <xf borderId="1" fillId="2" fontId="47" numFmtId="49" xfId="0" applyAlignment="1" applyBorder="1" applyFont="1" applyNumberFormat="1">
      <alignment horizontal="left" readingOrder="0" shrinkToFit="0" vertical="center" wrapText="1"/>
    </xf>
    <xf borderId="1" fillId="0" fontId="24" numFmtId="49" xfId="0" applyAlignment="1" applyBorder="1" applyFont="1" applyNumberFormat="1">
      <alignment horizontal="left" readingOrder="0" shrinkToFit="0" vertical="center" wrapText="0"/>
    </xf>
    <xf borderId="1" fillId="0" fontId="48" numFmtId="0" xfId="0" applyAlignment="1" applyBorder="1" applyFont="1">
      <alignment horizontal="left" readingOrder="0" shrinkToFit="0" vertical="center" wrapText="1"/>
    </xf>
    <xf borderId="1" fillId="2" fontId="24" numFmtId="0" xfId="0" applyAlignment="1" applyBorder="1" applyFont="1">
      <alignment horizontal="left" readingOrder="0" shrinkToFit="0" vertical="center" wrapText="1"/>
    </xf>
    <xf borderId="1" fillId="0" fontId="24" numFmtId="0" xfId="0" applyAlignment="1" applyBorder="1" applyFont="1">
      <alignment horizontal="center" readingOrder="0" shrinkToFit="0" vertical="center" wrapText="0"/>
    </xf>
    <xf borderId="1" fillId="2" fontId="21" numFmtId="0" xfId="0" applyAlignment="1" applyBorder="1" applyFont="1">
      <alignment horizontal="center" shrinkToFit="0" vertical="center" wrapText="0"/>
    </xf>
    <xf borderId="1" fillId="2" fontId="40" numFmtId="0" xfId="0" applyAlignment="1" applyBorder="1" applyFont="1">
      <alignment shrinkToFit="0" vertical="center" wrapText="0"/>
    </xf>
    <xf borderId="1" fillId="2" fontId="21" numFmtId="0" xfId="0" applyAlignment="1" applyBorder="1" applyFont="1">
      <alignment readingOrder="0" shrinkToFit="0" vertical="center" wrapText="1"/>
    </xf>
    <xf borderId="0" fillId="0" fontId="49" numFmtId="0" xfId="0" applyAlignment="1" applyFont="1">
      <alignment readingOrder="0" shrinkToFit="0" vertical="center" wrapText="0"/>
    </xf>
    <xf borderId="1" fillId="0" fontId="2" numFmtId="49" xfId="0" applyAlignment="1" applyBorder="1" applyFont="1" applyNumberFormat="1">
      <alignment horizontal="left" readingOrder="0" shrinkToFit="0" vertical="center" wrapText="0"/>
    </xf>
    <xf borderId="0" fillId="0" fontId="2" numFmtId="0" xfId="0" applyAlignment="1" applyFont="1">
      <alignment readingOrder="0" shrinkToFit="0" vertical="center" wrapText="0"/>
    </xf>
    <xf borderId="1" fillId="2" fontId="2" numFmtId="49" xfId="0" applyAlignment="1" applyBorder="1" applyFont="1" applyNumberFormat="1">
      <alignment horizontal="left" readingOrder="0" shrinkToFit="0" vertical="top" wrapText="1"/>
    </xf>
    <xf borderId="1" fillId="0" fontId="4" numFmtId="164" xfId="0" applyAlignment="1" applyBorder="1" applyFont="1" applyNumberFormat="1">
      <alignment horizontal="left" readingOrder="0" shrinkToFit="0" vertical="center" wrapText="0"/>
    </xf>
    <xf borderId="1" fillId="0" fontId="4" numFmtId="164" xfId="0" applyAlignment="1" applyBorder="1" applyFont="1" applyNumberFormat="1">
      <alignment horizontal="left" readingOrder="0" shrinkToFit="0" vertical="center" wrapText="0"/>
    </xf>
    <xf borderId="1" fillId="8" fontId="4" numFmtId="164" xfId="0" applyAlignment="1" applyBorder="1" applyFill="1" applyFont="1" applyNumberFormat="1">
      <alignment horizontal="left" readingOrder="0" shrinkToFit="0" vertical="center" wrapText="0"/>
    </xf>
    <xf borderId="1" fillId="8" fontId="2" numFmtId="0" xfId="0" applyAlignment="1" applyBorder="1" applyFont="1">
      <alignment horizontal="center" readingOrder="0" shrinkToFit="0" vertical="center" wrapText="0"/>
    </xf>
    <xf borderId="1" fillId="8" fontId="2" numFmtId="0" xfId="0" applyAlignment="1" applyBorder="1" applyFont="1">
      <alignment horizontal="center" shrinkToFit="0" vertical="center" wrapText="0"/>
    </xf>
    <xf borderId="1" fillId="8" fontId="2" numFmtId="0" xfId="0" applyAlignment="1" applyBorder="1" applyFont="1">
      <alignment horizontal="left" readingOrder="0" shrinkToFit="0" vertical="center" wrapText="1"/>
    </xf>
    <xf borderId="1" fillId="8" fontId="2" numFmtId="0" xfId="0" applyAlignment="1" applyBorder="1" applyFont="1">
      <alignment horizontal="left" shrinkToFit="0" vertical="center" wrapText="0"/>
    </xf>
    <xf borderId="1" fillId="8" fontId="2" numFmtId="49" xfId="0" applyAlignment="1" applyBorder="1" applyFont="1" applyNumberFormat="1">
      <alignment horizontal="left" shrinkToFit="0" vertical="center" wrapText="0"/>
    </xf>
    <xf borderId="1" fillId="8" fontId="2" numFmtId="0" xfId="0" applyAlignment="1" applyBorder="1" applyFont="1">
      <alignment horizontal="left" shrinkToFit="0" vertical="center" wrapText="1"/>
    </xf>
    <xf borderId="1" fillId="0" fontId="50"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0" fillId="0" fontId="10" numFmtId="164" xfId="0" applyAlignment="1" applyFont="1" applyNumberFormat="1">
      <alignment horizontal="left" readingOrder="0" shrinkToFit="0" vertical="center" wrapText="0"/>
    </xf>
    <xf borderId="1" fillId="2" fontId="51" numFmtId="49" xfId="0" applyAlignment="1" applyBorder="1" applyFont="1" applyNumberFormat="1">
      <alignment horizontal="left" readingOrder="0" shrinkToFit="0" vertical="center" wrapText="0"/>
    </xf>
    <xf borderId="1" fillId="2" fontId="52" numFmtId="49" xfId="0" applyAlignment="1" applyBorder="1" applyFont="1" applyNumberFormat="1">
      <alignment horizontal="left" readingOrder="0" shrinkToFit="0" vertical="center" wrapText="0"/>
    </xf>
    <xf borderId="1" fillId="4" fontId="21" numFmtId="0" xfId="0" applyAlignment="1" applyBorder="1" applyFont="1">
      <alignment readingOrder="0" shrinkToFit="0" vertical="center" wrapText="1"/>
    </xf>
    <xf borderId="1" fillId="4" fontId="21" numFmtId="0" xfId="0" applyAlignment="1" applyBorder="1" applyFont="1">
      <alignment shrinkToFit="0" vertical="center" wrapText="0"/>
    </xf>
    <xf borderId="1" fillId="2" fontId="53" numFmtId="49" xfId="0" applyAlignment="1" applyBorder="1" applyFont="1" applyNumberFormat="1">
      <alignment shrinkToFit="0" vertical="center" wrapText="0"/>
    </xf>
    <xf borderId="1" fillId="4" fontId="21" numFmtId="0" xfId="0" applyAlignment="1" applyBorder="1" applyFont="1">
      <alignment shrinkToFit="0" vertical="center" wrapText="1"/>
    </xf>
    <xf borderId="1" fillId="4" fontId="21" numFmtId="0" xfId="0" applyAlignment="1" applyBorder="1" applyFont="1">
      <alignment shrinkToFit="0" vertical="center" wrapText="0"/>
    </xf>
    <xf borderId="1" fillId="4" fontId="21" numFmtId="0" xfId="0" applyAlignment="1" applyBorder="1" applyFont="1">
      <alignment readingOrder="0" shrinkToFit="0" vertical="center" wrapText="0"/>
    </xf>
    <xf borderId="1" fillId="2" fontId="54" numFmtId="49" xfId="0" applyAlignment="1" applyBorder="1" applyFont="1" applyNumberFormat="1">
      <alignment readingOrder="0" shrinkToFit="0" vertical="center" wrapText="0"/>
    </xf>
    <xf borderId="1" fillId="0" fontId="55" numFmtId="0" xfId="0" applyAlignment="1" applyBorder="1" applyFont="1">
      <alignment horizontal="left" readingOrder="0" shrinkToFit="0" vertical="center" wrapText="0"/>
    </xf>
    <xf borderId="1" fillId="0" fontId="56" numFmtId="0" xfId="0" applyAlignment="1" applyBorder="1" applyFont="1">
      <alignment horizontal="left" readingOrder="0" shrinkToFit="0" vertical="center" wrapText="0"/>
    </xf>
    <xf borderId="1" fillId="0" fontId="26" numFmtId="0" xfId="0" applyAlignment="1" applyBorder="1" applyFont="1">
      <alignment horizontal="left" readingOrder="0" shrinkToFit="0" vertical="center" wrapText="1"/>
    </xf>
    <xf borderId="1" fillId="3" fontId="57" numFmtId="0" xfId="0" applyAlignment="1" applyBorder="1" applyFont="1">
      <alignment horizontal="left" readingOrder="0" shrinkToFit="0" vertical="center" wrapText="0"/>
    </xf>
    <xf borderId="1" fillId="3" fontId="2" numFmtId="0" xfId="0" applyAlignment="1" applyBorder="1" applyFont="1">
      <alignment horizontal="left" readingOrder="0" shrinkToFit="0" vertical="center" wrapText="0"/>
    </xf>
    <xf borderId="1" fillId="2" fontId="58" numFmtId="0" xfId="0" applyAlignment="1" applyBorder="1" applyFont="1">
      <alignment shrinkToFit="0" vertical="center" wrapText="1"/>
    </xf>
    <xf borderId="1" fillId="3" fontId="21" numFmtId="0" xfId="0" applyAlignment="1" applyBorder="1" applyFont="1">
      <alignment shrinkToFit="0" vertical="center" wrapText="1"/>
    </xf>
    <xf borderId="0" fillId="0" fontId="2" numFmtId="164" xfId="0" applyAlignment="1" applyFont="1" applyNumberFormat="1">
      <alignment horizontal="left" readingOrder="0" shrinkToFit="0" vertical="center" wrapText="0"/>
    </xf>
    <xf borderId="0" fillId="0" fontId="24" numFmtId="0" xfId="0" applyAlignment="1" applyFont="1">
      <alignment horizontal="left" readingOrder="0" shrinkToFit="0" vertical="center" wrapText="0"/>
    </xf>
    <xf borderId="1" fillId="3" fontId="59" numFmtId="0" xfId="0" applyAlignment="1" applyBorder="1" applyFont="1">
      <alignment horizontal="left" readingOrder="0" shrinkToFit="0" vertical="center" wrapText="1"/>
    </xf>
    <xf borderId="1" fillId="3" fontId="21" numFmtId="0" xfId="0" applyAlignment="1" applyBorder="1" applyFont="1">
      <alignment horizontal="center" shrinkToFit="0" vertical="center" wrapText="0"/>
    </xf>
    <xf borderId="1" fillId="2" fontId="21" numFmtId="0" xfId="0" applyAlignment="1" applyBorder="1" applyFont="1">
      <alignment readingOrder="0" shrinkToFit="0" vertical="center" wrapText="0"/>
    </xf>
    <xf borderId="1" fillId="3" fontId="60" numFmtId="0" xfId="0" applyAlignment="1" applyBorder="1" applyFont="1">
      <alignment shrinkToFit="0" vertical="center" wrapText="1"/>
    </xf>
    <xf borderId="1" fillId="0" fontId="61" numFmtId="0" xfId="0" applyAlignment="1" applyBorder="1" applyFont="1">
      <alignment horizontal="left" readingOrder="0" shrinkToFit="0" vertical="center" wrapText="1"/>
    </xf>
    <xf borderId="1" fillId="0" fontId="62" numFmtId="0" xfId="0" applyAlignment="1" applyBorder="1" applyFont="1">
      <alignment horizontal="left" readingOrder="0" shrinkToFit="0" vertical="center" wrapText="1"/>
    </xf>
    <xf borderId="1" fillId="2" fontId="40" numFmtId="49" xfId="0" applyAlignment="1" applyBorder="1" applyFont="1" applyNumberFormat="1">
      <alignment shrinkToFit="0" vertical="center" wrapText="0"/>
    </xf>
    <xf borderId="1" fillId="2" fontId="58" numFmtId="49" xfId="0" applyAlignment="1" applyBorder="1" applyFont="1" applyNumberFormat="1">
      <alignment shrinkToFit="0" vertical="center" wrapText="1"/>
    </xf>
    <xf borderId="1" fillId="2" fontId="21" numFmtId="0" xfId="0" applyAlignment="1" applyBorder="1" applyFont="1">
      <alignment horizontal="center" shrinkToFit="0" vertical="center" wrapText="0"/>
    </xf>
    <xf borderId="2" fillId="2" fontId="21" numFmtId="0" xfId="0" applyAlignment="1" applyBorder="1" applyFont="1">
      <alignment readingOrder="0" shrinkToFit="0" vertical="center" wrapText="0"/>
    </xf>
    <xf borderId="1" fillId="2" fontId="63" numFmtId="0" xfId="0" applyAlignment="1" applyBorder="1" applyFont="1">
      <alignment readingOrder="0" shrinkToFit="0" vertical="center" wrapText="1"/>
    </xf>
    <xf borderId="1" fillId="2" fontId="58" numFmtId="0" xfId="0" applyAlignment="1" applyBorder="1" applyFont="1">
      <alignment readingOrder="0" shrinkToFit="0" vertical="center" wrapText="1"/>
    </xf>
    <xf borderId="1" fillId="7" fontId="64" numFmtId="49" xfId="0" applyAlignment="1" applyBorder="1" applyFont="1" applyNumberFormat="1">
      <alignment horizontal="left" readingOrder="0" shrinkToFit="0" vertical="center" wrapText="1"/>
    </xf>
    <xf borderId="1" fillId="4" fontId="65" numFmtId="0" xfId="0" applyAlignment="1" applyBorder="1" applyFont="1">
      <alignment horizontal="left" readingOrder="0" shrinkToFit="0" vertical="center" wrapText="1"/>
    </xf>
    <xf borderId="1" fillId="3" fontId="66" numFmtId="164" xfId="0" applyAlignment="1" applyBorder="1" applyFont="1" applyNumberFormat="1">
      <alignment horizontal="left" readingOrder="0" shrinkToFit="0" vertical="center" wrapText="1"/>
    </xf>
    <xf borderId="1" fillId="3" fontId="21" numFmtId="0" xfId="0" applyAlignment="1" applyBorder="1" applyFont="1">
      <alignment horizontal="center" shrinkToFit="0" vertical="center" wrapText="1"/>
    </xf>
    <xf borderId="1" fillId="3" fontId="67" numFmtId="0" xfId="0" applyAlignment="1" applyBorder="1" applyFont="1">
      <alignment readingOrder="0" shrinkToFit="0" vertical="center" wrapText="1"/>
    </xf>
    <xf borderId="1" fillId="3" fontId="21" numFmtId="0" xfId="0" applyAlignment="1" applyBorder="1" applyFont="1">
      <alignment shrinkToFit="0" vertical="center" wrapText="1"/>
    </xf>
    <xf borderId="1" fillId="3" fontId="40" numFmtId="0" xfId="0" applyAlignment="1" applyBorder="1" applyFont="1">
      <alignment horizontal="left" shrinkToFit="0" vertical="center" wrapText="0"/>
    </xf>
    <xf borderId="1" fillId="3" fontId="68" numFmtId="0" xfId="0" applyAlignment="1" applyBorder="1" applyFont="1">
      <alignment horizontal="left" readingOrder="0" shrinkToFit="0" vertical="center" wrapText="1"/>
    </xf>
    <xf borderId="1" fillId="3" fontId="21" numFmtId="0" xfId="0" applyAlignment="1" applyBorder="1" applyFont="1">
      <alignment horizontal="left" shrinkToFit="0" vertical="center" wrapText="1"/>
    </xf>
    <xf borderId="1" fillId="9" fontId="66" numFmtId="0" xfId="0" applyAlignment="1" applyBorder="1" applyFill="1" applyFont="1">
      <alignment horizontal="left" readingOrder="0" shrinkToFit="0" vertical="center" wrapText="1"/>
    </xf>
    <xf borderId="1" fillId="9" fontId="2" numFmtId="0" xfId="0" applyAlignment="1" applyBorder="1" applyFont="1">
      <alignment horizontal="center" shrinkToFit="0" vertical="center" wrapText="1"/>
    </xf>
    <xf borderId="1" fillId="9" fontId="2" numFmtId="0" xfId="0" applyAlignment="1" applyBorder="1" applyFont="1">
      <alignment horizontal="left" shrinkToFit="0" vertical="center" wrapText="1"/>
    </xf>
    <xf borderId="1" fillId="9" fontId="2" numFmtId="0" xfId="0" applyAlignment="1" applyBorder="1" applyFont="1">
      <alignment horizontal="left" readingOrder="0" shrinkToFit="0" vertical="center" wrapText="1"/>
    </xf>
    <xf borderId="1" fillId="9" fontId="2" numFmtId="49" xfId="0" applyAlignment="1" applyBorder="1" applyFont="1" applyNumberFormat="1">
      <alignment horizontal="left" shrinkToFit="0" vertical="center" wrapText="1"/>
    </xf>
    <xf borderId="0" fillId="0" fontId="2" numFmtId="0" xfId="0" applyAlignment="1" applyFont="1">
      <alignment horizontal="center" readingOrder="0" shrinkToFit="0" vertical="center" wrapText="1"/>
    </xf>
    <xf borderId="0" fillId="0" fontId="69"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1" fillId="2" fontId="70" numFmtId="0" xfId="0" applyAlignment="1" applyBorder="1" applyFont="1">
      <alignment horizontal="left" readingOrder="0" shrinkToFit="0" vertical="center" wrapText="1"/>
    </xf>
    <xf borderId="1" fillId="3" fontId="26" numFmtId="49" xfId="0" applyAlignment="1" applyBorder="1" applyFont="1" applyNumberFormat="1">
      <alignment horizontal="left" readingOrder="0" shrinkToFit="0" vertical="center" wrapText="1"/>
    </xf>
    <xf borderId="3" fillId="0" fontId="2" numFmtId="0" xfId="0" applyAlignment="1" applyBorder="1" applyFont="1">
      <alignment readingOrder="0" shrinkToFit="0" vertical="center" wrapText="1"/>
    </xf>
    <xf borderId="1" fillId="3" fontId="71" numFmtId="0" xfId="0" applyAlignment="1" applyBorder="1" applyFont="1">
      <alignment horizontal="left" readingOrder="0" shrinkToFit="0" vertical="center" wrapText="1"/>
    </xf>
    <xf borderId="0" fillId="0" fontId="72" numFmtId="0" xfId="0" applyAlignment="1" applyFont="1">
      <alignment horizontal="left" readingOrder="0" shrinkToFit="0" vertical="center" wrapText="1"/>
    </xf>
    <xf borderId="0" fillId="0" fontId="72" numFmtId="0" xfId="0" applyAlignment="1" applyFont="1">
      <alignment horizontal="center" readingOrder="0" shrinkToFit="0" vertical="center" wrapText="1"/>
    </xf>
    <xf borderId="1" fillId="2" fontId="72" numFmtId="164" xfId="0" applyAlignment="1" applyBorder="1" applyFont="1" applyNumberFormat="1">
      <alignment horizontal="left" readingOrder="0" shrinkToFit="0" vertical="center" wrapText="1"/>
    </xf>
    <xf borderId="1" fillId="2" fontId="72" numFmtId="0" xfId="0" applyAlignment="1" applyBorder="1" applyFont="1">
      <alignment horizontal="center" readingOrder="0" shrinkToFit="0" vertical="center" wrapText="1"/>
    </xf>
    <xf borderId="1" fillId="2" fontId="72" numFmtId="0" xfId="0" applyAlignment="1" applyBorder="1" applyFont="1">
      <alignment horizontal="left" readingOrder="0" shrinkToFit="0" vertical="center" wrapText="1"/>
    </xf>
    <xf borderId="1" fillId="2" fontId="72" numFmtId="49" xfId="0" applyAlignment="1" applyBorder="1" applyFont="1" applyNumberFormat="1">
      <alignment horizontal="left" readingOrder="0" shrinkToFit="0" vertical="center" wrapText="1"/>
    </xf>
    <xf borderId="1" fillId="2" fontId="72" numFmtId="49" xfId="0" applyAlignment="1" applyBorder="1" applyFont="1" applyNumberFormat="1">
      <alignment horizontal="left" shrinkToFit="0" vertical="center" wrapText="1"/>
    </xf>
    <xf borderId="1" fillId="10" fontId="72" numFmtId="49" xfId="0" applyAlignment="1" applyBorder="1" applyFill="1" applyFont="1" applyNumberFormat="1">
      <alignment horizontal="left" shrinkToFit="0" vertical="center" wrapText="1"/>
    </xf>
    <xf borderId="1" fillId="2" fontId="72" numFmtId="49" xfId="0" applyAlignment="1" applyBorder="1" applyFont="1" applyNumberFormat="1">
      <alignment horizontal="left" readingOrder="0" shrinkToFit="0" vertical="center" wrapText="1"/>
    </xf>
    <xf borderId="1" fillId="10" fontId="72" numFmtId="49" xfId="0" applyAlignment="1" applyBorder="1" applyFont="1" applyNumberFormat="1">
      <alignment horizontal="left" readingOrder="0" shrinkToFit="0" vertical="center" wrapText="1"/>
    </xf>
    <xf borderId="1" fillId="10" fontId="72" numFmtId="0" xfId="0" applyAlignment="1" applyBorder="1" applyFont="1">
      <alignment horizontal="left" readingOrder="0" shrinkToFit="0" vertical="center" wrapText="1"/>
    </xf>
    <xf borderId="1" fillId="10" fontId="72" numFmtId="164" xfId="0" applyAlignment="1" applyBorder="1" applyFont="1" applyNumberFormat="1">
      <alignment horizontal="left" readingOrder="0" shrinkToFit="0" vertical="center" wrapText="1"/>
    </xf>
    <xf borderId="1" fillId="10" fontId="72" numFmtId="0" xfId="0" applyAlignment="1" applyBorder="1" applyFont="1">
      <alignment horizontal="center" readingOrder="0" shrinkToFit="0" vertical="center" wrapText="1"/>
    </xf>
    <xf borderId="1" fillId="10" fontId="73" numFmtId="49" xfId="0" applyAlignment="1" applyBorder="1" applyFont="1" applyNumberFormat="1">
      <alignment horizontal="left" readingOrder="0" shrinkToFit="0" vertical="center" wrapText="1"/>
    </xf>
    <xf borderId="1" fillId="10" fontId="21" numFmtId="0" xfId="0" applyAlignment="1" applyBorder="1" applyFont="1">
      <alignment shrinkToFit="0" vertical="center" wrapText="1"/>
    </xf>
    <xf borderId="1" fillId="10" fontId="74" numFmtId="49" xfId="0" applyAlignment="1" applyBorder="1" applyFont="1" applyNumberFormat="1">
      <alignment shrinkToFit="0" vertical="center" wrapText="1"/>
    </xf>
    <xf borderId="1" fillId="10" fontId="21" numFmtId="49" xfId="0" applyAlignment="1" applyBorder="1" applyFont="1" applyNumberFormat="1">
      <alignment shrinkToFit="0" vertical="center" wrapText="1"/>
    </xf>
    <xf borderId="1" fillId="10" fontId="72" numFmtId="0" xfId="0" applyAlignment="1" applyBorder="1" applyFont="1">
      <alignment horizontal="left" shrinkToFit="0" vertical="center" wrapText="1"/>
    </xf>
    <xf borderId="1" fillId="10" fontId="75" numFmtId="49" xfId="0" applyAlignment="1" applyBorder="1" applyFont="1" applyNumberFormat="1">
      <alignment readingOrder="0" shrinkToFit="0" vertical="center" wrapText="1"/>
    </xf>
    <xf borderId="1" fillId="10" fontId="76" numFmtId="0" xfId="0" applyAlignment="1" applyBorder="1" applyFont="1">
      <alignment horizontal="left" readingOrder="0" shrinkToFit="0" vertical="center" wrapText="1"/>
    </xf>
    <xf borderId="1" fillId="0" fontId="72" numFmtId="0" xfId="0" applyAlignment="1" applyBorder="1" applyFont="1">
      <alignment horizontal="left" shrinkToFit="0" vertical="center" wrapText="1"/>
    </xf>
    <xf borderId="1" fillId="2" fontId="72" numFmtId="164" xfId="0" applyAlignment="1" applyBorder="1" applyFont="1" applyNumberFormat="1">
      <alignment horizontal="left" readingOrder="0" shrinkToFit="0" vertical="center" wrapText="0"/>
    </xf>
    <xf borderId="1" fillId="10" fontId="77" numFmtId="0" xfId="0" applyAlignment="1" applyBorder="1" applyFont="1">
      <alignment horizontal="left" readingOrder="0" shrinkToFit="0" vertical="center" wrapText="1"/>
    </xf>
    <xf borderId="1" fillId="0" fontId="72" numFmtId="164" xfId="0" applyAlignment="1" applyBorder="1" applyFont="1" applyNumberFormat="1">
      <alignment horizontal="left" readingOrder="0" shrinkToFit="0" vertical="center" wrapText="0"/>
    </xf>
    <xf borderId="0" fillId="0" fontId="72" numFmtId="0" xfId="0" applyAlignment="1" applyFont="1">
      <alignment horizontal="left" shrinkToFit="0" vertical="center" wrapText="1"/>
    </xf>
    <xf borderId="0" fillId="0" fontId="72" numFmtId="0" xfId="0" applyAlignment="1" applyFont="1">
      <alignment horizontal="left" readingOrder="0" shrinkToFit="0" vertical="center" wrapText="1"/>
    </xf>
    <xf borderId="0" fillId="0" fontId="72" numFmtId="49" xfId="0" applyAlignment="1" applyFont="1" applyNumberFormat="1">
      <alignment horizontal="left" shrinkToFit="0" vertical="center" wrapText="1"/>
    </xf>
    <xf borderId="0" fillId="2" fontId="72" numFmtId="164" xfId="0" applyAlignment="1" applyFont="1" applyNumberFormat="1">
      <alignment horizontal="left" readingOrder="0" shrinkToFit="0" vertical="center" wrapText="1"/>
    </xf>
    <xf borderId="1" fillId="2" fontId="24" numFmtId="164" xfId="0" applyAlignment="1" applyBorder="1" applyFont="1" applyNumberFormat="1">
      <alignment horizontal="left" readingOrder="0" shrinkToFit="0" vertical="center" wrapText="1"/>
    </xf>
    <xf borderId="1" fillId="3" fontId="24" numFmtId="0" xfId="0" applyAlignment="1" applyBorder="1" applyFont="1">
      <alignment horizontal="center" readingOrder="0" shrinkToFit="0" vertical="center" wrapText="1"/>
    </xf>
    <xf borderId="1" fillId="4" fontId="24" numFmtId="0" xfId="0" applyAlignment="1" applyBorder="1" applyFont="1">
      <alignment horizontal="left" readingOrder="0" shrinkToFit="0" vertical="center" wrapText="1"/>
    </xf>
    <xf borderId="1" fillId="3" fontId="26" numFmtId="0" xfId="0" applyAlignment="1" applyBorder="1" applyFont="1">
      <alignment horizontal="center" readingOrder="0" shrinkToFit="0" vertical="center" wrapText="1"/>
    </xf>
    <xf borderId="1" fillId="2" fontId="26" numFmtId="0" xfId="0" applyAlignment="1" applyBorder="1" applyFont="1">
      <alignment horizontal="left" readingOrder="0" shrinkToFit="0" vertical="center" wrapText="1"/>
    </xf>
    <xf borderId="1" fillId="4" fontId="26" numFmtId="0" xfId="0" applyAlignment="1" applyBorder="1" applyFont="1">
      <alignment horizontal="left" readingOrder="0" shrinkToFit="0" vertical="center" wrapText="1"/>
    </xf>
    <xf borderId="1" fillId="3" fontId="72" numFmtId="0" xfId="0" applyAlignment="1" applyBorder="1" applyFont="1">
      <alignment horizontal="left" readingOrder="0" shrinkToFit="0" vertical="center" wrapText="1"/>
    </xf>
    <xf borderId="1" fillId="3" fontId="78" numFmtId="49" xfId="0" applyAlignment="1" applyBorder="1" applyFont="1" applyNumberFormat="1">
      <alignment horizontal="left" readingOrder="0" shrinkToFit="0" vertical="center" wrapText="1"/>
    </xf>
    <xf borderId="1" fillId="3" fontId="79" numFmtId="49" xfId="0" applyAlignment="1" applyBorder="1" applyFont="1" applyNumberFormat="1">
      <alignment horizontal="left" readingOrder="0" shrinkToFit="0" vertical="center" wrapText="1"/>
    </xf>
    <xf borderId="4" fillId="2" fontId="4" numFmtId="164" xfId="0" applyAlignment="1" applyBorder="1" applyFont="1" applyNumberFormat="1">
      <alignment horizontal="left" readingOrder="0" shrinkToFit="0" vertical="center" wrapText="1"/>
    </xf>
    <xf borderId="5" fillId="0" fontId="2" numFmtId="49" xfId="0" applyAlignment="1" applyBorder="1" applyFont="1" applyNumberFormat="1">
      <alignment horizontal="left" shrinkToFit="0" vertical="center" wrapText="1"/>
    </xf>
    <xf borderId="5" fillId="0" fontId="2" numFmtId="0" xfId="0" applyAlignment="1" applyBorder="1" applyFont="1">
      <alignment horizontal="left" shrinkToFit="0" vertical="center" wrapText="1"/>
    </xf>
    <xf borderId="5" fillId="0" fontId="2" numFmtId="0" xfId="0" applyAlignment="1" applyBorder="1" applyFont="1">
      <alignment horizontal="left" readingOrder="0" shrinkToFit="0" vertical="center" wrapText="1"/>
    </xf>
    <xf borderId="1" fillId="2" fontId="21" numFmtId="0" xfId="0" applyAlignment="1" applyBorder="1" applyFont="1">
      <alignment horizontal="center" shrinkToFit="0" vertical="center" wrapText="1"/>
    </xf>
    <xf borderId="5" fillId="2" fontId="40" numFmtId="0" xfId="0" applyAlignment="1" applyBorder="1" applyFont="1">
      <alignment shrinkToFit="0" vertical="center" wrapText="0"/>
    </xf>
    <xf borderId="5" fillId="2" fontId="21" numFmtId="0" xfId="0" applyAlignment="1" applyBorder="1" applyFont="1">
      <alignment readingOrder="0" shrinkToFit="0" vertical="center" wrapText="1"/>
    </xf>
    <xf borderId="1" fillId="2" fontId="21" numFmtId="0" xfId="0" applyAlignment="1" applyBorder="1" applyFont="1">
      <alignment shrinkToFit="0" vertical="center" wrapText="1"/>
    </xf>
    <xf borderId="5" fillId="0" fontId="2" numFmtId="0" xfId="0" applyAlignment="1" applyBorder="1" applyFont="1">
      <alignment horizontal="center" readingOrder="0" shrinkToFit="0" vertical="center" wrapText="1"/>
    </xf>
    <xf borderId="5" fillId="0" fontId="2" numFmtId="49" xfId="0" applyAlignment="1" applyBorder="1" applyFont="1" applyNumberFormat="1">
      <alignment horizontal="left" readingOrder="0" shrinkToFit="0" vertical="center" wrapText="1"/>
    </xf>
    <xf borderId="5" fillId="0" fontId="80" numFmtId="0" xfId="0" applyAlignment="1" applyBorder="1" applyFont="1">
      <alignment horizontal="left" readingOrder="0" shrinkToFit="0" vertical="center" wrapText="1"/>
    </xf>
    <xf borderId="0" fillId="2" fontId="4" numFmtId="164" xfId="0" applyAlignment="1" applyFont="1" applyNumberFormat="1">
      <alignment horizontal="left" readingOrder="0" shrinkToFit="0" vertical="center" wrapText="1"/>
    </xf>
    <xf borderId="0" fillId="0" fontId="2" numFmtId="49" xfId="0" applyAlignment="1" applyFont="1" applyNumberFormat="1">
      <alignment horizontal="left" readingOrder="0" shrinkToFit="0" vertical="center" wrapText="1"/>
    </xf>
    <xf borderId="1" fillId="4" fontId="24" numFmtId="0" xfId="0" applyAlignment="1" applyBorder="1" applyFont="1">
      <alignment horizontal="center" readingOrder="0" shrinkToFit="0" vertical="center" wrapText="0"/>
    </xf>
    <xf borderId="1" fillId="2" fontId="21" numFmtId="49" xfId="0" applyAlignment="1" applyBorder="1" applyFont="1" applyNumberFormat="1">
      <alignment horizontal="left" readingOrder="0" shrinkToFit="0" vertical="center" wrapText="1"/>
    </xf>
    <xf borderId="1" fillId="0" fontId="81" numFmtId="0" xfId="0" applyAlignment="1" applyBorder="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border>
    </dxf>
  </dxfs>
  <tableStyles count="22">
    <tableStyle count="4" pivot="0" name="Apr 2025-style">
      <tableStyleElement dxfId="1" type="headerRow"/>
      <tableStyleElement dxfId="2" type="firstRowStripe"/>
      <tableStyleElement dxfId="3" type="secondRowStripe"/>
      <tableStyleElement dxfId="4" size="0" type="wholeTable"/>
    </tableStyle>
    <tableStyle count="4" pivot="0" name="Haris-style">
      <tableStyleElement dxfId="1" type="headerRow"/>
      <tableStyleElement dxfId="2" type="firstRowStripe"/>
      <tableStyleElement dxfId="3" type="secondRowStripe"/>
      <tableStyleElement dxfId="4" size="0" type="wholeTable"/>
    </tableStyle>
    <tableStyle count="4" pivot="0" name="Garnis-style">
      <tableStyleElement dxfId="1" type="headerRow"/>
      <tableStyleElement dxfId="2" type="firstRowStripe"/>
      <tableStyleElement dxfId="3" type="secondRowStripe"/>
      <tableStyleElement dxfId="4" size="0" type="wholeTable"/>
    </tableStyle>
    <tableStyle count="4" pivot="0" name="May 2025-style">
      <tableStyleElement dxfId="1" type="headerRow"/>
      <tableStyleElement dxfId="2" type="firstRowStripe"/>
      <tableStyleElement dxfId="3" type="secondRowStripe"/>
      <tableStyleElement dxfId="4" size="0" type="wholeTable"/>
    </tableStyle>
    <tableStyle count="4" pivot="0" name="Kautsar-style">
      <tableStyleElement dxfId="1" type="headerRow"/>
      <tableStyleElement dxfId="2" type="firstRowStripe"/>
      <tableStyleElement dxfId="3" type="secondRowStripe"/>
      <tableStyleElement dxfId="4" size="0" type="wholeTable"/>
    </tableStyle>
    <tableStyle count="4" pivot="0" name="Ariandi-style">
      <tableStyleElement dxfId="1" type="headerRow"/>
      <tableStyleElement dxfId="2" type="firstRowStripe"/>
      <tableStyleElement dxfId="3" type="secondRowStripe"/>
      <tableStyleElement dxfId="4" size="0" type="wholeTable"/>
    </tableStyle>
    <tableStyle count="4" pivot="0" name="Ferdinand-style">
      <tableStyleElement dxfId="1" type="headerRow"/>
      <tableStyleElement dxfId="2" type="firstRowStripe"/>
      <tableStyleElement dxfId="3" type="secondRowStripe"/>
      <tableStyleElement dxfId="4" size="0" type="wholeTable"/>
    </tableStyle>
    <tableStyle count="4" pivot="0" name="Amelia-style">
      <tableStyleElement dxfId="1" type="headerRow"/>
      <tableStyleElement dxfId="2" type="firstRowStripe"/>
      <tableStyleElement dxfId="3" type="secondRowStripe"/>
      <tableStyleElement dxfId="4" size="0" type="wholeTable"/>
    </tableStyle>
    <tableStyle count="4" pivot="0" name="Taufik-style">
      <tableStyleElement dxfId="1" type="headerRow"/>
      <tableStyleElement dxfId="2" type="firstRowStripe"/>
      <tableStyleElement dxfId="3" type="secondRowStripe"/>
      <tableStyleElement dxfId="4" size="0" type="wholeTable"/>
    </tableStyle>
    <tableStyle count="4" pivot="0" name="Zaky-style">
      <tableStyleElement dxfId="1" type="headerRow"/>
      <tableStyleElement dxfId="2" type="firstRowStripe"/>
      <tableStyleElement dxfId="3" type="secondRowStripe"/>
      <tableStyleElement dxfId="4" size="0" type="wholeTable"/>
    </tableStyle>
    <tableStyle count="4" pivot="0" name="Ridho-style">
      <tableStyleElement dxfId="1" type="headerRow"/>
      <tableStyleElement dxfId="2" type="firstRowStripe"/>
      <tableStyleElement dxfId="3" type="secondRowStripe"/>
      <tableStyleElement dxfId="4" size="0" type="wholeTable"/>
    </tableStyle>
    <tableStyle count="4" pivot="0" name="Irfan-style">
      <tableStyleElement dxfId="1" type="headerRow"/>
      <tableStyleElement dxfId="2" type="firstRowStripe"/>
      <tableStyleElement dxfId="3" type="secondRowStripe"/>
      <tableStyleElement dxfId="4" size="0" type="wholeTable"/>
    </tableStyle>
    <tableStyle count="4" pivot="0" name="Wahid-style">
      <tableStyleElement dxfId="1" type="headerRow"/>
      <tableStyleElement dxfId="2" type="firstRowStripe"/>
      <tableStyleElement dxfId="3" type="secondRowStripe"/>
      <tableStyleElement dxfId="4" size="0" type="wholeTable"/>
    </tableStyle>
    <tableStyle count="4" pivot="0" name="Sulthan-style">
      <tableStyleElement dxfId="1" type="headerRow"/>
      <tableStyleElement dxfId="2" type="firstRowStripe"/>
      <tableStyleElement dxfId="3" type="secondRowStripe"/>
      <tableStyleElement dxfId="4" size="0" type="wholeTable"/>
    </tableStyle>
    <tableStyle count="4" pivot="0" name="Salman-style">
      <tableStyleElement dxfId="1" type="headerRow"/>
      <tableStyleElement dxfId="2" type="firstRowStripe"/>
      <tableStyleElement dxfId="3" type="secondRowStripe"/>
      <tableStyleElement dxfId="4" size="0" type="wholeTable"/>
    </tableStyle>
    <tableStyle count="4" pivot="0" name="Mayendra-style">
      <tableStyleElement dxfId="1" type="headerRow"/>
      <tableStyleElement dxfId="2" type="firstRowStripe"/>
      <tableStyleElement dxfId="3" type="secondRowStripe"/>
      <tableStyleElement dxfId="4" size="0" type="wholeTable"/>
    </tableStyle>
    <tableStyle count="4" pivot="0" name="Umi-style">
      <tableStyleElement dxfId="1" type="headerRow"/>
      <tableStyleElement dxfId="2" type="firstRowStripe"/>
      <tableStyleElement dxfId="3" type="secondRowStripe"/>
      <tableStyleElement dxfId="4" size="0" type="wholeTable"/>
    </tableStyle>
    <tableStyle count="4" pivot="0" name="Johan-style">
      <tableStyleElement dxfId="1" type="headerRow"/>
      <tableStyleElement dxfId="2" type="firstRowStripe"/>
      <tableStyleElement dxfId="3" type="secondRowStripe"/>
      <tableStyleElement dxfId="4" size="0" type="wholeTable"/>
    </tableStyle>
    <tableStyle count="4" pivot="0" name="Rival-style">
      <tableStyleElement dxfId="1" type="headerRow"/>
      <tableStyleElement dxfId="2" type="firstRowStripe"/>
      <tableStyleElement dxfId="3" type="secondRowStripe"/>
      <tableStyleElement dxfId="4" size="0" type="wholeTable"/>
    </tableStyle>
    <tableStyle count="4" pivot="0" name="Tia-style">
      <tableStyleElement dxfId="1" type="headerRow"/>
      <tableStyleElement dxfId="2" type="firstRowStripe"/>
      <tableStyleElement dxfId="3" type="secondRowStripe"/>
      <tableStyleElement dxfId="4" size="0" type="wholeTable"/>
    </tableStyle>
    <tableStyle count="4" pivot="0" name="Kautsar_-style">
      <tableStyleElement dxfId="1" type="headerRow"/>
      <tableStyleElement dxfId="2" type="firstRowStripe"/>
      <tableStyleElement dxfId="3" type="secondRowStripe"/>
      <tableStyleElement dxfId="4" size="0" type="wholeTable"/>
    </tableStyle>
    <tableStyle count="4" pivot="0" name="Awa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33" displayName="BD_Team_Tracking_April" name="BD_Team_Tracking_April" id="1">
  <autoFilter ref="$A$3:$H$33"/>
  <tableColumns count="8">
    <tableColumn name="Week" id="1"/>
    <tableColumn name="Date " id="2"/>
    <tableColumn name="Amelia" id="3"/>
    <tableColumn name="Ariandi" id="4"/>
    <tableColumn name="Haris" id="5"/>
    <tableColumn name="Zaky" id="6"/>
    <tableColumn name="Ferdinand" id="7"/>
    <tableColumn name="Notes" id="8"/>
  </tableColumns>
  <tableStyleInfo name="Apr 2025-style" showColumnStripes="0" showFirstColumn="1" showLastColumn="1" showRowStripes="1"/>
</table>
</file>

<file path=xl/tables/table2.xml><?xml version="1.0" encoding="utf-8"?>
<table xmlns="http://schemas.openxmlformats.org/spreadsheetml/2006/main" ref="A1:L191" displayName="Haris" name="Haris" id="2">
  <tableColumns count="12">
    <tableColumn name="Date " id="1"/>
    <tableColumn name="Rework Test Cases MOH (hours)" id="2"/>
    <tableColumn name="MOH GCC SIT Testing (hours)" id="3"/>
    <tableColumn name="iSmart Testing (hours)" id="4"/>
    <tableColumn name="Kaizen (hours)" id="5"/>
    <tableColumn name="TOPPAN AI Assistant (hours)" id="6"/>
    <tableColumn name="Digital ID (hours)" id="7"/>
    <tableColumn name="Non Project_x000a_(hours)" id="8"/>
    <tableColumn name="Task Details" id="9"/>
    <tableColumn name="Status" id="10"/>
    <tableColumn name="Links" id="11"/>
    <tableColumn name="Notes" id="12"/>
  </tableColumns>
  <tableStyleInfo name="Haris-style" showColumnStripes="0" showFirstColumn="1" showLastColumn="1" showRowStripes="1"/>
</table>
</file>

<file path=xl/tables/table3.xml><?xml version="1.0" encoding="utf-8"?>
<table xmlns="http://schemas.openxmlformats.org/spreadsheetml/2006/main" ref="A1:J1102" displayName="Garnis_" name="Garnis_" id="3">
  <autoFilter ref="$A$1:$J$1102"/>
  <tableColumns count="10">
    <tableColumn name="8" id="1"/>
    <tableColumn name="Pocdex (hours)" id="2"/>
    <tableColumn name="IDH (hours)" id="3"/>
    <tableColumn name="MOH (hours)" id="4"/>
    <tableColumn name="Digital ID (hours)" id="5"/>
    <tableColumn name="Non Project (hours)" id="6"/>
    <tableColumn name="Task Details" id="7"/>
    <tableColumn name="Status" id="8"/>
    <tableColumn name="Links" id="9"/>
    <tableColumn name="Notes" id="10"/>
  </tableColumns>
  <tableStyleInfo name="Garnis-style" showColumnStripes="0" showFirstColumn="1" showLastColumn="1" showRowStripes="1"/>
</table>
</file>

<file path=xl/tables/table4.xml><?xml version="1.0" encoding="utf-8"?>
<table xmlns="http://schemas.openxmlformats.org/spreadsheetml/2006/main" ref="A3:H38" displayName="BD_Team_Tracking_May" name="BD_Team_Tracking_May" id="4">
  <tableColumns count="8">
    <tableColumn name="Week" id="1"/>
    <tableColumn name="Date " id="2"/>
    <tableColumn name="Amelia" id="3"/>
    <tableColumn name="Ariandi" id="4"/>
    <tableColumn name="Haris" id="5"/>
    <tableColumn name="Zaky" id="6"/>
    <tableColumn name="Ferdinand" id="7"/>
    <tableColumn name="Notes" id="8"/>
  </tableColumns>
  <tableStyleInfo name="May 2025-style" showColumnStripes="0" showFirstColumn="1" showLastColumn="1" showRowStripes="1"/>
</table>
</file>

<file path=xl/tables/table5.xml><?xml version="1.0" encoding="utf-8"?>
<table xmlns="http://schemas.openxmlformats.org/spreadsheetml/2006/main" ref="A1:H1128" displayName="Kautsar" name="Kautsar" id="5">
  <tableColumns count="8">
    <tableColumn name="Date " id="1"/>
    <tableColumn name="Kaizen (Hours)" id="2"/>
    <tableColumn name="Jasuindo (hours)" id="3"/>
    <tableColumn name="Task Details" id="4"/>
    <tableColumn name="Status" id="5"/>
    <tableColumn name="Links" id="6"/>
    <tableColumn name="Notes" id="7"/>
    <tableColumn name="Column 1" id="8"/>
  </tableColumns>
  <tableStyleInfo name="Kautsar-style" showColumnStripes="0" showFirstColumn="1" showLastColumn="1" showRowStripes="1"/>
</table>
</file>

<file path=xl/tables/table6.xml><?xml version="1.0" encoding="utf-8"?>
<table xmlns="http://schemas.openxmlformats.org/spreadsheetml/2006/main" ref="A1:G1085" displayName="Ariandi" name="Ariandi" id="6">
  <tableColumns count="7">
    <tableColumn name="Date " id="1"/>
    <tableColumn name="Kaizen (Hours)" id="2"/>
    <tableColumn name="-" id="3"/>
    <tableColumn name="Task Details" id="4"/>
    <tableColumn name="Status" id="5"/>
    <tableColumn name="Links" id="6"/>
    <tableColumn name="Notes" id="7"/>
  </tableColumns>
  <tableStyleInfo name="Ariandi-style" showColumnStripes="0" showFirstColumn="1" showLastColumn="1" showRowStripes="1"/>
</table>
</file>

<file path=xl/tables/table7.xml><?xml version="1.0" encoding="utf-8"?>
<table xmlns="http://schemas.openxmlformats.org/spreadsheetml/2006/main" ref="A1:G112" displayName="Ferdinand" name="Ferdinand" id="7">
  <tableColumns count="7">
    <tableColumn name="Date " id="1"/>
    <tableColumn name="Kaizen (Hours)" id="2"/>
    <tableColumn name="-" id="3"/>
    <tableColumn name="Task Details" id="4"/>
    <tableColumn name="Status" id="5"/>
    <tableColumn name="Links" id="6"/>
    <tableColumn name="Notes" id="7"/>
  </tableColumns>
  <tableStyleInfo name="Ferdinand-style" showColumnStripes="0" showFirstColumn="1" showLastColumn="1" showRowStripes="1"/>
</table>
</file>

<file path=xl/tables/table8.xml><?xml version="1.0" encoding="utf-8"?>
<table xmlns="http://schemas.openxmlformats.org/spreadsheetml/2006/main" ref="A1:H1076" displayName="Amelia" name="Amelia" id="8">
  <tableColumns count="8">
    <tableColumn name="Date " id="1"/>
    <tableColumn name="Kaizen (Hours)" id="2"/>
    <tableColumn name="IDH Mobile (Hours)" id="3"/>
    <tableColumn name="MOH" id="4"/>
    <tableColumn name="Task Details" id="5"/>
    <tableColumn name="Status" id="6"/>
    <tableColumn name="Links" id="7"/>
    <tableColumn name="Notes" id="8"/>
  </tableColumns>
  <tableStyleInfo name="Amelia-style" showColumnStripes="0" showFirstColumn="1" showLastColumn="1" showRowStripes="1"/>
</table>
</file>

<file path=xl/tables/table9.xml><?xml version="1.0" encoding="utf-8"?>
<table xmlns="http://schemas.openxmlformats.org/spreadsheetml/2006/main" ref="A1:H1079" displayName="Taufik" name="Taufik" id="9">
  <tableColumns count="8">
    <tableColumn name="Date " id="1"/>
    <tableColumn name="Digital ID (MD)" id="2"/>
    <tableColumn name="IDH Mobile (MD)" id="3"/>
    <tableColumn name="-" id="4"/>
    <tableColumn name="Task Details" id="5"/>
    <tableColumn name="Status" id="6"/>
    <tableColumn name="Links" id="7"/>
    <tableColumn name="Notes" id="8"/>
  </tableColumns>
  <tableStyleInfo name="Taufik-style" showColumnStripes="0" showFirstColumn="1" showLastColumn="1" showRowStripes="1"/>
</table>
</file>

<file path=xl/tables/table10.xml><?xml version="1.0" encoding="utf-8"?>
<table xmlns="http://schemas.openxmlformats.org/spreadsheetml/2006/main" ref="A1:H1104" displayName="Zaky" name="Zaky" id="10">
  <tableColumns count="8">
    <tableColumn name="Date " id="1"/>
    <tableColumn name="Digital ID (hours)" id="2"/>
    <tableColumn name="WRMS (hours)" id="3"/>
    <tableColumn name="Pre Sales (hours)" id="4"/>
    <tableColumn name="Task Details" id="5"/>
    <tableColumn name="Status" id="6"/>
    <tableColumn name="Links" id="7"/>
    <tableColumn name="Notes" id="8"/>
  </tableColumns>
  <tableStyleInfo name="Zaky-style" showColumnStripes="0" showFirstColumn="1" showLastColumn="1" showRowStripes="1"/>
</table>
</file>

<file path=xl/tables/table11.xml><?xml version="1.0" encoding="utf-8"?>
<table xmlns="http://schemas.openxmlformats.org/spreadsheetml/2006/main" ref="A1:H238" displayName="Ridho" name="Ridho" id="11">
  <tableColumns count="8">
    <tableColumn name="Date " id="1"/>
    <tableColumn name="Digital ID (hours)" id="2"/>
    <tableColumn name="ISmart (hours)" id="3"/>
    <tableColumn name="-" id="4"/>
    <tableColumn name="Task Details" id="5"/>
    <tableColumn name="Status" id="6"/>
    <tableColumn name="Links" id="7"/>
    <tableColumn name="Notes" id="8"/>
  </tableColumns>
  <tableStyleInfo name="Ridho-style" showColumnStripes="0" showFirstColumn="1" showLastColumn="1" showRowStripes="1"/>
</table>
</file>

<file path=xl/tables/table12.xml><?xml version="1.0" encoding="utf-8"?>
<table xmlns="http://schemas.openxmlformats.org/spreadsheetml/2006/main" ref="A1:H1050" displayName="Irfan" name="Irfan" id="12">
  <tableColumns count="8">
    <tableColumn name="Date " id="1"/>
    <tableColumn name="Ifams (hours)" id="2"/>
    <tableColumn name="Digital ID (hours)" id="3"/>
    <tableColumn name="-" id="4"/>
    <tableColumn name="Task Details" id="5"/>
    <tableColumn name="Status" id="6"/>
    <tableColumn name="Links" id="7"/>
    <tableColumn name="Notes" id="8"/>
  </tableColumns>
  <tableStyleInfo name="Irfan-style" showColumnStripes="0" showFirstColumn="1" showLastColumn="1" showRowStripes="1"/>
</table>
</file>

<file path=xl/tables/table13.xml><?xml version="1.0" encoding="utf-8"?>
<table xmlns="http://schemas.openxmlformats.org/spreadsheetml/2006/main" ref="A1:H1126" displayName="Wahid" name="Wahid" id="13">
  <tableColumns count="8">
    <tableColumn name="Date" id="1"/>
    <tableColumn name="I Smart (hours)" id="2"/>
    <tableColumn name="WRMS (hours)" id="3"/>
    <tableColumn name="Digital ID (hours)" id="4"/>
    <tableColumn name="Task Details" id="5"/>
    <tableColumn name="Status" id="6"/>
    <tableColumn name="Links" id="7"/>
    <tableColumn name="Notes" id="8"/>
  </tableColumns>
  <tableStyleInfo name="Wahid-style" showColumnStripes="0" showFirstColumn="1" showLastColumn="1" showRowStripes="1"/>
</table>
</file>

<file path=xl/tables/table14.xml><?xml version="1.0" encoding="utf-8"?>
<table xmlns="http://schemas.openxmlformats.org/spreadsheetml/2006/main" ref="A1:G1072" displayName="Sulthan" name="Sulthan" id="14">
  <tableColumns count="7">
    <tableColumn name="Date" id="1"/>
    <tableColumn name="AI (Hours)" id="2"/>
    <tableColumn name="-" id="3"/>
    <tableColumn name="Task Details" id="4"/>
    <tableColumn name="Status" id="5"/>
    <tableColumn name="Links" id="6"/>
    <tableColumn name="Notes" id="7"/>
  </tableColumns>
  <tableStyleInfo name="Sulthan-style" showColumnStripes="0" showFirstColumn="1" showLastColumn="1" showRowStripes="1"/>
</table>
</file>

<file path=xl/tables/table15.xml><?xml version="1.0" encoding="utf-8"?>
<table xmlns="http://schemas.openxmlformats.org/spreadsheetml/2006/main" ref="A1:G1082" displayName="Salman" name="Salman" id="15">
  <tableColumns count="7">
    <tableColumn name="Date" id="1"/>
    <tableColumn name="AI (hours)" id="2"/>
    <tableColumn name="-" id="3"/>
    <tableColumn name="Task Details" id="4"/>
    <tableColumn name="Status" id="5"/>
    <tableColumn name="Links" id="6"/>
    <tableColumn name="Notes" id="7"/>
  </tableColumns>
  <tableStyleInfo name="Salman-style" showColumnStripes="0" showFirstColumn="1" showLastColumn="1" showRowStripes="1"/>
</table>
</file>

<file path=xl/tables/table16.xml><?xml version="1.0" encoding="utf-8"?>
<table xmlns="http://schemas.openxmlformats.org/spreadsheetml/2006/main" ref="A1:G1088" displayName="Mayendra" name="Mayendra" id="16">
  <autoFilter ref="$A$1:$G$1088"/>
  <tableColumns count="7">
    <tableColumn name="Date" id="1"/>
    <tableColumn name="AI (Hours)" id="2"/>
    <tableColumn name="-" id="3"/>
    <tableColumn name="Task Details" id="4"/>
    <tableColumn name="Status" id="5"/>
    <tableColumn name="Links" id="6"/>
    <tableColumn name="Notes" id="7"/>
  </tableColumns>
  <tableStyleInfo name="Mayendra-style" showColumnStripes="0" showFirstColumn="1" showLastColumn="1" showRowStripes="1"/>
</table>
</file>

<file path=xl/tables/table17.xml><?xml version="1.0" encoding="utf-8"?>
<table xmlns="http://schemas.openxmlformats.org/spreadsheetml/2006/main" ref="A1:G1080" displayName="Umi" name="Umi" id="17">
  <tableColumns count="7">
    <tableColumn name="Date" id="1"/>
    <tableColumn name="AI (hours)" id="2"/>
    <tableColumn name="-" id="3"/>
    <tableColumn name="Task Details" id="4"/>
    <tableColumn name="Status" id="5"/>
    <tableColumn name="Links" id="6"/>
    <tableColumn name="Notes" id="7"/>
  </tableColumns>
  <tableStyleInfo name="Umi-style" showColumnStripes="0" showFirstColumn="1" showLastColumn="1" showRowStripes="1"/>
</table>
</file>

<file path=xl/tables/table18.xml><?xml version="1.0" encoding="utf-8"?>
<table xmlns="http://schemas.openxmlformats.org/spreadsheetml/2006/main" ref="A1:G1105" displayName="Johan" name="Johan" id="18">
  <tableColumns count="7">
    <tableColumn name="Date" id="1"/>
    <tableColumn name="Pocdex (hours)" id="2"/>
    <tableColumn name="-" id="3"/>
    <tableColumn name="Task Details" id="4"/>
    <tableColumn name="Status" id="5"/>
    <tableColumn name="Links" id="6"/>
    <tableColumn name="Notes" id="7"/>
  </tableColumns>
  <tableStyleInfo name="Johan-style" showColumnStripes="0" showFirstColumn="1" showLastColumn="1" showRowStripes="1"/>
</table>
</file>

<file path=xl/tables/table19.xml><?xml version="1.0" encoding="utf-8"?>
<table xmlns="http://schemas.openxmlformats.org/spreadsheetml/2006/main" ref="A1:G1039" displayName="Rival" name="Rival" id="19">
  <tableColumns count="7">
    <tableColumn name="Date" id="1"/>
    <tableColumn name="Pocdex (MD)" id="2"/>
    <tableColumn name="-" id="3"/>
    <tableColumn name="Task Details" id="4"/>
    <tableColumn name="Status" id="5"/>
    <tableColumn name="Links" id="6"/>
    <tableColumn name="Notes" id="7"/>
  </tableColumns>
  <tableStyleInfo name="Rival-style" showColumnStripes="0" showFirstColumn="1" showLastColumn="1" showRowStripes="1"/>
</table>
</file>

<file path=xl/tables/table20.xml><?xml version="1.0" encoding="utf-8"?>
<table xmlns="http://schemas.openxmlformats.org/spreadsheetml/2006/main" ref="A1:G1229" displayName="Tia" name="Tia" id="20">
  <tableColumns count="7">
    <tableColumn name="Date" id="1"/>
    <tableColumn name="Pocdex (MD)" id="2"/>
    <tableColumn name="-" id="3"/>
    <tableColumn name="Task Details" id="4"/>
    <tableColumn name="Status" id="5"/>
    <tableColumn name="Links" id="6"/>
    <tableColumn name="Notes" id="7"/>
  </tableColumns>
  <tableStyleInfo name="Tia-style" showColumnStripes="0" showFirstColumn="1" showLastColumn="1" showRowStripes="1"/>
</table>
</file>

<file path=xl/tables/table21.xml><?xml version="1.0" encoding="utf-8"?>
<table xmlns="http://schemas.openxmlformats.org/spreadsheetml/2006/main" ref="A1:J40" displayName="Kautsar_" name="Kautsar_" id="21">
  <tableColumns count="10">
    <tableColumn name="Date " id="1"/>
    <tableColumn name="Project" id="2"/>
    <tableColumn name="MD" id="3"/>
    <tableColumn name="Total MD" id="4"/>
    <tableColumn name="Due Date" id="5"/>
    <tableColumn name="-" id="6"/>
    <tableColumn name="Task Details" id="7"/>
    <tableColumn name="Status" id="8"/>
    <tableColumn name="Links" id="9"/>
    <tableColumn name="Notes" id="10"/>
  </tableColumns>
  <tableStyleInfo name="Kautsar_-style" showColumnStripes="0" showFirstColumn="1" showLastColumn="1" showRowStripes="1"/>
</table>
</file>

<file path=xl/tables/table22.xml><?xml version="1.0" encoding="utf-8"?>
<table xmlns="http://schemas.openxmlformats.org/spreadsheetml/2006/main" ref="A1:H1066" displayName="Awan" name="Awan" id="22">
  <tableColumns count="8">
    <tableColumn name="Date " id="1"/>
    <tableColumn name="Ifams (hours)" id="2"/>
    <tableColumn name="I Smart (hours)" id="3"/>
    <tableColumn name="MOH/DigitalID/Other (hours)" id="4"/>
    <tableColumn name="Task Details" id="5"/>
    <tableColumn name="Status" id="6"/>
    <tableColumn name="Links" id="7"/>
    <tableColumn name="Notes" id="8"/>
  </tableColumns>
  <tableStyleInfo name="Aw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spreadsheets/d/1ToXDoUqvPCOxbF4zrJ-v2VPDQG6uOkv1/edit?gid=337168106" TargetMode="External"/><Relationship Id="rId22" Type="http://schemas.openxmlformats.org/officeDocument/2006/relationships/hyperlink" Target="https://taiga.ecquaria.org/project/presales-mccy-ioms/us/457?kanban-status=862" TargetMode="External"/><Relationship Id="rId21" Type="http://schemas.openxmlformats.org/officeDocument/2006/relationships/hyperlink" Target="https://docs.google.com/spreadsheets/d/1ToXDoUqvPCOxbF4zrJ-v2VPDQG6uOkv1/edit?gid=337168106" TargetMode="External"/><Relationship Id="rId24" Type="http://schemas.openxmlformats.org/officeDocument/2006/relationships/hyperlink" Target="https://docs.google.com/spreadsheets/d/1kmdxj5uEG2YtEaAI1ffPX5sRy03VF5-s/edit?gid=1742868326" TargetMode="External"/><Relationship Id="rId23" Type="http://schemas.openxmlformats.org/officeDocument/2006/relationships/hyperlink" Target="https://docs.google.com/spreadsheets/d/1wJL0uSlf7lirIepcNL5aSsGbVtWKHWd0kH6u_8_bn4I/edit?gid=0" TargetMode="External"/><Relationship Id="rId1" Type="http://schemas.openxmlformats.org/officeDocument/2006/relationships/hyperlink" Target="https://docs.google.com/spreadsheets/d/1YDzpZ7xp-_NDS0lBJh044Hegz6ridCDcuTSX9E7ylsE/edit?usp=drive_link" TargetMode="External"/><Relationship Id="rId2" Type="http://schemas.openxmlformats.org/officeDocument/2006/relationships/hyperlink" Target="https://docs.google.com/spreadsheets/d/1YDzpZ7xp-_NDS0lBJh044Hegz6ridCDcuTSX9E7ylsE/edit?usp=drive_link" TargetMode="External"/><Relationship Id="rId3" Type="http://schemas.openxmlformats.org/officeDocument/2006/relationships/hyperlink" Target="https://docs.google.com/spreadsheets/d/1YDzpZ7xp-_NDS0lBJh044Hegz6ridCDcuTSX9E7ylsE/edit?usp=drive_link" TargetMode="External"/><Relationship Id="rId4" Type="http://schemas.openxmlformats.org/officeDocument/2006/relationships/hyperlink" Target="https://taiga.ecquaria.org/project/ica-ismart-backend/issue/1672" TargetMode="External"/><Relationship Id="rId9" Type="http://schemas.openxmlformats.org/officeDocument/2006/relationships/hyperlink" Target="https://docs.google.com/spreadsheets/d/1YDzpZ7xp-_NDS0lBJh044Hegz6ridCDcuTSX9E7ylsE/edit?usp=drive_link" TargetMode="External"/><Relationship Id="rId26" Type="http://schemas.openxmlformats.org/officeDocument/2006/relationships/hyperlink" Target="https://docs.google.com/spreadsheets/d/1kmdxj5uEG2YtEaAI1ffPX5sRy03VF5-s/edit?gid=219639326" TargetMode="External"/><Relationship Id="rId25" Type="http://schemas.openxmlformats.org/officeDocument/2006/relationships/hyperlink" Target="https://docs.google.com/spreadsheets/d/1kmdxj5uEG2YtEaAI1ffPX5sRy03VF5-s/edit?gid=219639326" TargetMode="External"/><Relationship Id="rId28" Type="http://schemas.openxmlformats.org/officeDocument/2006/relationships/hyperlink" Target="https://docs.google.com/spreadsheets/d/1kmdxj5uEG2YtEaAI1ffPX5sRy03VF5-s/edit?gid=1188606151" TargetMode="External"/><Relationship Id="rId27" Type="http://schemas.openxmlformats.org/officeDocument/2006/relationships/hyperlink" Target="https://docs.google.com/spreadsheets/d/1kmdxj5uEG2YtEaAI1ffPX5sRy03VF5-s/edit?gid=1188606151" TargetMode="External"/><Relationship Id="rId5" Type="http://schemas.openxmlformats.org/officeDocument/2006/relationships/hyperlink" Target="https://docs.google.com/spreadsheets/d/1YDzpZ7xp-_NDS0lBJh044Hegz6ridCDcuTSX9E7ylsE/edit?usp=drive_link" TargetMode="External"/><Relationship Id="rId6" Type="http://schemas.openxmlformats.org/officeDocument/2006/relationships/hyperlink" Target="https://taiga.ecquaria.org/project/ica-ismart-backend/issue/1672" TargetMode="External"/><Relationship Id="rId29" Type="http://schemas.openxmlformats.org/officeDocument/2006/relationships/hyperlink" Target="https://docs.google.com/spreadsheets/d/1kmdxj5uEG2YtEaAI1ffPX5sRy03VF5-s/edit?gid=1188606151" TargetMode="External"/><Relationship Id="rId7" Type="http://schemas.openxmlformats.org/officeDocument/2006/relationships/hyperlink" Target="https://docs.google.com/spreadsheets/d/1YDzpZ7xp-_NDS0lBJh044Hegz6ridCDcuTSX9E7ylsE/edit?usp=drive_link" TargetMode="External"/><Relationship Id="rId8" Type="http://schemas.openxmlformats.org/officeDocument/2006/relationships/hyperlink" Target="https://docs.google.com/spreadsheets/d/1YDzpZ7xp-_NDS0lBJh044Hegz6ridCDcuTSX9E7ylsE/edit?usp=drive_link" TargetMode="External"/><Relationship Id="rId31" Type="http://schemas.openxmlformats.org/officeDocument/2006/relationships/hyperlink" Target="https://docs.google.com/spreadsheets/d/1kmdxj5uEG2YtEaAI1ffPX5sRy03VF5-s/edit?gid=1188606151" TargetMode="External"/><Relationship Id="rId30" Type="http://schemas.openxmlformats.org/officeDocument/2006/relationships/hyperlink" Target="https://docs.google.com/spreadsheets/d/1kmdxj5uEG2YtEaAI1ffPX5sRy03VF5-s/edit?gid=1188606151" TargetMode="External"/><Relationship Id="rId11" Type="http://schemas.openxmlformats.org/officeDocument/2006/relationships/hyperlink" Target="https://taiga.ecquaria.org/project/i-smart-report/us/367?kanban-status=502" TargetMode="External"/><Relationship Id="rId33" Type="http://schemas.openxmlformats.org/officeDocument/2006/relationships/hyperlink" Target="https://docs.google.com/spreadsheets/d/1kmdxj5uEG2YtEaAI1ffPX5sRy03VF5-s/edit?gid=219639326" TargetMode="External"/><Relationship Id="rId10" Type="http://schemas.openxmlformats.org/officeDocument/2006/relationships/hyperlink" Target="https://docs.google.com/document/d/10wqyBzol-1pa9_kSLP2PehW3w785EbtzLX8kcPeccFQ/edit?tab=t.0" TargetMode="External"/><Relationship Id="rId32" Type="http://schemas.openxmlformats.org/officeDocument/2006/relationships/hyperlink" Target="https://docs.google.com/spreadsheets/d/1kmdxj5uEG2YtEaAI1ffPX5sRy03VF5-s/edit?gid=1188606151" TargetMode="External"/><Relationship Id="rId13" Type="http://schemas.openxmlformats.org/officeDocument/2006/relationships/hyperlink" Target="https://taiga.ecquaria.org/project/i-smart-report/us/350?kanban-status=854" TargetMode="External"/><Relationship Id="rId12" Type="http://schemas.openxmlformats.org/officeDocument/2006/relationships/hyperlink" Target="https://docs.google.com/spreadsheets/d/1YDzpZ7xp-_NDS0lBJh044Hegz6ridCDcuTSX9E7ylsE/edit?usp=drive_link" TargetMode="External"/><Relationship Id="rId34" Type="http://schemas.openxmlformats.org/officeDocument/2006/relationships/drawing" Target="../drawings/drawing2.xml"/><Relationship Id="rId15" Type="http://schemas.openxmlformats.org/officeDocument/2006/relationships/hyperlink" Target="https://taiga.ecquaria.org/project/i-smart-report/us/393?kanban-status=502" TargetMode="External"/><Relationship Id="rId14" Type="http://schemas.openxmlformats.org/officeDocument/2006/relationships/hyperlink" Target="https://taiga.ecquaria.org/project/i-smart-report/us/391?kanban-status=502" TargetMode="External"/><Relationship Id="rId36" Type="http://schemas.openxmlformats.org/officeDocument/2006/relationships/table" Target="../tables/table2.xml"/><Relationship Id="rId17" Type="http://schemas.openxmlformats.org/officeDocument/2006/relationships/hyperlink" Target="https://docs.google.com/spreadsheets/d/1ToXDoUqvPCOxbF4zrJ-v2VPDQG6uOkv1/edit?gid=337168106" TargetMode="External"/><Relationship Id="rId16" Type="http://schemas.openxmlformats.org/officeDocument/2006/relationships/hyperlink" Target="https://taiga.ecquaria.org/project/ica-ismart-backend/issue/1682" TargetMode="External"/><Relationship Id="rId19" Type="http://schemas.openxmlformats.org/officeDocument/2006/relationships/hyperlink" Target="https://docs.google.com/spreadsheets/d/1ToXDoUqvPCOxbF4zrJ-v2VPDQG6uOkv1/edit?gid=337168106" TargetMode="External"/><Relationship Id="rId18" Type="http://schemas.openxmlformats.org/officeDocument/2006/relationships/hyperlink" Target="https://taiga.ecquaria.org/project/i-smart-report/us/363"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taiga.ecquaria.org/project/presales-mccy-ioms/us/548?kanban-status=551" TargetMode="External"/><Relationship Id="rId42" Type="http://schemas.openxmlformats.org/officeDocument/2006/relationships/hyperlink" Target="https://taiga.ecquaria.org/project/tecq-digital-id/issue/809" TargetMode="External"/><Relationship Id="rId41" Type="http://schemas.openxmlformats.org/officeDocument/2006/relationships/hyperlink" Target="https://taiga.ecquaria.org/project/presales-mccy-ioms/us/510?kanban-status=551" TargetMode="External"/><Relationship Id="rId44" Type="http://schemas.openxmlformats.org/officeDocument/2006/relationships/hyperlink" Target="https://taiga.ecquaria.org/project/tecq-digital-id/issue/808" TargetMode="External"/><Relationship Id="rId43" Type="http://schemas.openxmlformats.org/officeDocument/2006/relationships/hyperlink" Target="https://taiga.ecquaria.org/project/tecq-digital-id/issue/675" TargetMode="External"/><Relationship Id="rId46" Type="http://schemas.openxmlformats.org/officeDocument/2006/relationships/hyperlink" Target="https://taiga.ecquaria.org/project/tecq-digital-id/issue/829" TargetMode="External"/><Relationship Id="rId45" Type="http://schemas.openxmlformats.org/officeDocument/2006/relationships/hyperlink" Target="https://taiga.ecquaria.org/project/tecq-digital-id/issue/811" TargetMode="External"/><Relationship Id="rId106" Type="http://schemas.openxmlformats.org/officeDocument/2006/relationships/drawing" Target="../drawings/drawing3.xml"/><Relationship Id="rId105" Type="http://schemas.openxmlformats.org/officeDocument/2006/relationships/hyperlink" Target="https://taiga.ecquaria.org/project/presales-mccy-ioms/us/1001?kanban-status=552" TargetMode="External"/><Relationship Id="rId104" Type="http://schemas.openxmlformats.org/officeDocument/2006/relationships/hyperlink" Target="https://taiga.ecquaria.org/project/presales-mccy-ioms/us/833?kanban-status=551" TargetMode="External"/><Relationship Id="rId108" Type="http://schemas.openxmlformats.org/officeDocument/2006/relationships/table" Target="../tables/table3.xml"/><Relationship Id="rId48" Type="http://schemas.openxmlformats.org/officeDocument/2006/relationships/hyperlink" Target="https://taiga.ecquaria.org/project/tecq-digital-id/issue/849" TargetMode="External"/><Relationship Id="rId47" Type="http://schemas.openxmlformats.org/officeDocument/2006/relationships/hyperlink" Target="https://taiga.ecquaria.org/project/tecq-digital-id/issue/789" TargetMode="External"/><Relationship Id="rId49" Type="http://schemas.openxmlformats.org/officeDocument/2006/relationships/hyperlink" Target="https://taiga.ecquaria.org/project/tecq-digital-id/issue/895" TargetMode="External"/><Relationship Id="rId103" Type="http://schemas.openxmlformats.org/officeDocument/2006/relationships/hyperlink" Target="https://taiga.ecquaria.org/project/presales-mccy-ioms/us/722?kanban-status=551" TargetMode="External"/><Relationship Id="rId102" Type="http://schemas.openxmlformats.org/officeDocument/2006/relationships/hyperlink" Target="https://taiga.ecquaria.org/project/presales-mccy-ioms/us/723?kanban-status=551" TargetMode="External"/><Relationship Id="rId101" Type="http://schemas.openxmlformats.org/officeDocument/2006/relationships/hyperlink" Target="https://taiga.ecquaria.org/project/presales-mccy-ioms/us/958?kanban-status=551" TargetMode="External"/><Relationship Id="rId100" Type="http://schemas.openxmlformats.org/officeDocument/2006/relationships/hyperlink" Target="https://taiga.ecquaria.org/project/presales-mccy-ioms/us/926?kanban-status=551" TargetMode="External"/><Relationship Id="rId31" Type="http://schemas.openxmlformats.org/officeDocument/2006/relationships/hyperlink" Target="https://taiga.ecquaria.org/project/tecq-digital-id/issue/719" TargetMode="External"/><Relationship Id="rId30" Type="http://schemas.openxmlformats.org/officeDocument/2006/relationships/hyperlink" Target="https://taiga.ecquaria.org/project/tecq-digital-id/issue/753" TargetMode="External"/><Relationship Id="rId33" Type="http://schemas.openxmlformats.org/officeDocument/2006/relationships/hyperlink" Target="https://taiga.ecquaria.org/project/tecq-digital-id/issue/719" TargetMode="External"/><Relationship Id="rId32" Type="http://schemas.openxmlformats.org/officeDocument/2006/relationships/hyperlink" Target="https://taiga.ecquaria.org/project/tecq-digital-id/issue/647" TargetMode="External"/><Relationship Id="rId35" Type="http://schemas.openxmlformats.org/officeDocument/2006/relationships/hyperlink" Target="https://taiga.ecquaria.org/project/tecq-digital-id/issue/766" TargetMode="External"/><Relationship Id="rId34" Type="http://schemas.openxmlformats.org/officeDocument/2006/relationships/hyperlink" Target="https://taiga.ecquaria.org/project/ip4sg-mobile/us/224?kanban-status=514" TargetMode="External"/><Relationship Id="rId37" Type="http://schemas.openxmlformats.org/officeDocument/2006/relationships/hyperlink" Target="https://taiga.ecquaria.org/project/ip4sg-mobile/us/224?kanban-status=514" TargetMode="External"/><Relationship Id="rId36" Type="http://schemas.openxmlformats.org/officeDocument/2006/relationships/hyperlink" Target="https://taiga.ecquaria.org/project/tecq-digital-id/issue/787" TargetMode="External"/><Relationship Id="rId39" Type="http://schemas.openxmlformats.org/officeDocument/2006/relationships/hyperlink" Target="https://taiga.ecquaria.org/project/presales-mccy-ioms/us/575?kanban-status=551" TargetMode="External"/><Relationship Id="rId38" Type="http://schemas.openxmlformats.org/officeDocument/2006/relationships/hyperlink" Target="https://taiga.ecquaria.org/project/ip4sg-mobile/us/225?kanban-status=514" TargetMode="External"/><Relationship Id="rId20" Type="http://schemas.openxmlformats.org/officeDocument/2006/relationships/hyperlink" Target="https://taiga.ecquaria.org/project/presales-mccy-ioms/us/392?kanban-status=551" TargetMode="External"/><Relationship Id="rId22" Type="http://schemas.openxmlformats.org/officeDocument/2006/relationships/hyperlink" Target="https://taiga.ecquaria.org/project/tecq-digital-id/task/656" TargetMode="External"/><Relationship Id="rId21" Type="http://schemas.openxmlformats.org/officeDocument/2006/relationships/hyperlink" Target="https://taiga.ecquaria.org/project/presales-mccy-ioms/us/325?kanban-status=551" TargetMode="External"/><Relationship Id="rId24" Type="http://schemas.openxmlformats.org/officeDocument/2006/relationships/hyperlink" Target="https://taiga.ecquaria.org/project/presales-mccy-ioms/us/286?kanban-status=551" TargetMode="External"/><Relationship Id="rId23" Type="http://schemas.openxmlformats.org/officeDocument/2006/relationships/hyperlink" Target="https://taiga.ecquaria.org/project/presales-mccy-ioms/us/378?kanban-status=857" TargetMode="External"/><Relationship Id="rId26" Type="http://schemas.openxmlformats.org/officeDocument/2006/relationships/hyperlink" Target="https://taiga.ecquaria.org/project/tecq-digital-id/issue/704" TargetMode="External"/><Relationship Id="rId25" Type="http://schemas.openxmlformats.org/officeDocument/2006/relationships/hyperlink" Target="https://taiga.ecquaria.org/project/presales-mccy-ioms/us/326?kanban-status=551" TargetMode="External"/><Relationship Id="rId28" Type="http://schemas.openxmlformats.org/officeDocument/2006/relationships/hyperlink" Target="https://taiga.ecquaria.org/project/tecq-digital-id/issue/681" TargetMode="External"/><Relationship Id="rId27" Type="http://schemas.openxmlformats.org/officeDocument/2006/relationships/hyperlink" Target="https://taiga.ecquaria.org/project/tecq-digital-id/issue/668" TargetMode="External"/><Relationship Id="rId29" Type="http://schemas.openxmlformats.org/officeDocument/2006/relationships/hyperlink" Target="https://taiga.ecquaria.org/project/tecq-digital-id/issue/728" TargetMode="External"/><Relationship Id="rId95" Type="http://schemas.openxmlformats.org/officeDocument/2006/relationships/hyperlink" Target="https://taiga.ecquaria.org/project/tecq-digital-id/issue/1258" TargetMode="External"/><Relationship Id="rId94" Type="http://schemas.openxmlformats.org/officeDocument/2006/relationships/hyperlink" Target="https://taiga.ecquaria.org/project/tecq-digital-id/issue/1237" TargetMode="External"/><Relationship Id="rId97" Type="http://schemas.openxmlformats.org/officeDocument/2006/relationships/hyperlink" Target="https://taiga.ecquaria.org/project/tecq-digital-id/issue/1022" TargetMode="External"/><Relationship Id="rId96" Type="http://schemas.openxmlformats.org/officeDocument/2006/relationships/hyperlink" Target="https://taiga.ecquaria.org/project/tecq-digital-id/task/1188" TargetMode="External"/><Relationship Id="rId11" Type="http://schemas.openxmlformats.org/officeDocument/2006/relationships/hyperlink" Target="https://taiga.ecquaria.org/project/tecq-digital-id/issue/592" TargetMode="External"/><Relationship Id="rId99" Type="http://schemas.openxmlformats.org/officeDocument/2006/relationships/hyperlink" Target="https://taiga.ecquaria.org/project/presales-mccy-ioms/us/939?kanban-status=551" TargetMode="External"/><Relationship Id="rId10" Type="http://schemas.openxmlformats.org/officeDocument/2006/relationships/hyperlink" Target="https://taiga.ecquaria.org/project/tecq-digital-id/issue/591" TargetMode="External"/><Relationship Id="rId98" Type="http://schemas.openxmlformats.org/officeDocument/2006/relationships/hyperlink" Target="https://taiga.ecquaria.org/project/tecq-digital-id/issue/1318" TargetMode="External"/><Relationship Id="rId13" Type="http://schemas.openxmlformats.org/officeDocument/2006/relationships/hyperlink" Target="https://taiga.ecquaria.org/project/ip4sg-mobile/us/220?kanban-status=605" TargetMode="External"/><Relationship Id="rId12" Type="http://schemas.openxmlformats.org/officeDocument/2006/relationships/hyperlink" Target="https://taiga.ecquaria.org/project/tecq-digital-id/issue/565" TargetMode="External"/><Relationship Id="rId91" Type="http://schemas.openxmlformats.org/officeDocument/2006/relationships/hyperlink" Target="https://taiga.ecquaria.org/project/tecq-digital-id/issue/1084" TargetMode="External"/><Relationship Id="rId90" Type="http://schemas.openxmlformats.org/officeDocument/2006/relationships/hyperlink" Target="https://taiga.ecquaria.org/project/tecq-digital-id/issue/1201" TargetMode="External"/><Relationship Id="rId93" Type="http://schemas.openxmlformats.org/officeDocument/2006/relationships/hyperlink" Target="https://taiga.ecquaria.org/project/tecq-digital-id/issue/1147" TargetMode="External"/><Relationship Id="rId92" Type="http://schemas.openxmlformats.org/officeDocument/2006/relationships/hyperlink" Target="https://taiga.ecquaria.org/project/presales-mccy-ioms/us/778?kanban-status=551" TargetMode="External"/><Relationship Id="rId15" Type="http://schemas.openxmlformats.org/officeDocument/2006/relationships/hyperlink" Target="https://taiga.ecquaria.org/project/presales-mccy-ioms/us/386" TargetMode="External"/><Relationship Id="rId14" Type="http://schemas.openxmlformats.org/officeDocument/2006/relationships/hyperlink" Target="https://taiga.ecquaria.org/project/tecq-digital-id/issue/482" TargetMode="External"/><Relationship Id="rId17" Type="http://schemas.openxmlformats.org/officeDocument/2006/relationships/hyperlink" Target="https://taiga.ecquaria.org/project/presales-mccy-ioms/us/374?kanban-status=552" TargetMode="External"/><Relationship Id="rId16" Type="http://schemas.openxmlformats.org/officeDocument/2006/relationships/hyperlink" Target="https://taiga.ecquaria.org/project/presales-mccy-ioms/us/376?kanban-status=552" TargetMode="External"/><Relationship Id="rId19" Type="http://schemas.openxmlformats.org/officeDocument/2006/relationships/hyperlink" Target="https://taiga.ecquaria.org/project/presales-mccy-ioms/us/311?kanban-status=551" TargetMode="External"/><Relationship Id="rId18" Type="http://schemas.openxmlformats.org/officeDocument/2006/relationships/hyperlink" Target="https://taiga.ecquaria.org/project/tecq-digital-id/issue/598" TargetMode="External"/><Relationship Id="rId84" Type="http://schemas.openxmlformats.org/officeDocument/2006/relationships/hyperlink" Target="https://taiga.ecquaria.org/project/presales-mccy-ioms/us/781?kanban-status=551" TargetMode="External"/><Relationship Id="rId83" Type="http://schemas.openxmlformats.org/officeDocument/2006/relationships/hyperlink" Target="https://taiga.ecquaria.org/project/presales-mccy-ioms/us/732?kanban-status=551" TargetMode="External"/><Relationship Id="rId86" Type="http://schemas.openxmlformats.org/officeDocument/2006/relationships/hyperlink" Target="https://taiga.ecquaria.org/project/tecq-digital-id/issue/1136" TargetMode="External"/><Relationship Id="rId85" Type="http://schemas.openxmlformats.org/officeDocument/2006/relationships/hyperlink" Target="https://taiga.ecquaria.org/project/presales-mccy-ioms/us/830?kanban-status=551" TargetMode="External"/><Relationship Id="rId88" Type="http://schemas.openxmlformats.org/officeDocument/2006/relationships/hyperlink" Target="https://taiga.ecquaria.org/project/presales-mccy-ioms/us/660?kanban-status=551" TargetMode="External"/><Relationship Id="rId87" Type="http://schemas.openxmlformats.org/officeDocument/2006/relationships/hyperlink" Target="https://taiga.ecquaria.org/project/tecq-digital-id/issue/1140" TargetMode="External"/><Relationship Id="rId89" Type="http://schemas.openxmlformats.org/officeDocument/2006/relationships/hyperlink" Target="https://taiga.ecquaria.org/project/tecq-digital-id/issue/1197" TargetMode="External"/><Relationship Id="rId80" Type="http://schemas.openxmlformats.org/officeDocument/2006/relationships/hyperlink" Target="https://taiga.ecquaria.org/project/presales-mccy-ioms/us/784?kanban-status=551" TargetMode="External"/><Relationship Id="rId82" Type="http://schemas.openxmlformats.org/officeDocument/2006/relationships/hyperlink" Target="https://taiga.ecquaria.org/project/presales-mccy-ioms/us/846?kanban-status=551" TargetMode="External"/><Relationship Id="rId81" Type="http://schemas.openxmlformats.org/officeDocument/2006/relationships/hyperlink" Target="https://taiga.ecquaria.org/project/tecq-digital-id/issue/976" TargetMode="External"/><Relationship Id="rId1" Type="http://schemas.openxmlformats.org/officeDocument/2006/relationships/hyperlink" Target="https://docs.google.com/spreadsheets/u/0/d/19dQrjD3ZZrpQBxNRv1D1FH32iqWHJAM6ARDS2htKGhQ/edit" TargetMode="External"/><Relationship Id="rId2" Type="http://schemas.openxmlformats.org/officeDocument/2006/relationships/hyperlink" Target="https://docs.google.com/spreadsheets/u/0/d/19dQrjD3ZZrpQBxNRv1D1FH32iqWHJAM6ARDS2htKGhQ/edit" TargetMode="External"/><Relationship Id="rId3" Type="http://schemas.openxmlformats.org/officeDocument/2006/relationships/hyperlink" Target="https://docs.google.com/spreadsheets/u/0/d/19dQrjD3ZZrpQBxNRv1D1FH32iqWHJAM6ARDS2htKGhQ/edit" TargetMode="External"/><Relationship Id="rId4" Type="http://schemas.openxmlformats.org/officeDocument/2006/relationships/hyperlink" Target="https://docs.google.com/spreadsheets/u/0/d/19dQrjD3ZZrpQBxNRv1D1FH32iqWHJAM6ARDS2htKGhQ/edit" TargetMode="External"/><Relationship Id="rId9" Type="http://schemas.openxmlformats.org/officeDocument/2006/relationships/hyperlink" Target="https://docs.google.com/spreadsheets/d/1vyyg-JBVgytBnQh_1L6mrr4aVVmpKbGMaHI1n5KkD2s/edit?gid=0" TargetMode="External"/><Relationship Id="rId5" Type="http://schemas.openxmlformats.org/officeDocument/2006/relationships/hyperlink" Target="https://docs.google.com/spreadsheets/u/0/d/19dQrjD3ZZrpQBxNRv1D1FH32iqWHJAM6ARDS2htKGhQ/edit" TargetMode="External"/><Relationship Id="rId6" Type="http://schemas.openxmlformats.org/officeDocument/2006/relationships/hyperlink" Target="https://docs.google.com/spreadsheets/d/1UfwIRDhEqepcMtyZ8W6ZAT82HzEMPfzdNJf9a5SX0pE/edit?gid=0" TargetMode="External"/><Relationship Id="rId7" Type="http://schemas.openxmlformats.org/officeDocument/2006/relationships/hyperlink" Target="https://docs.google.com/spreadsheets/d/1UfwIRDhEqepcMtyZ8W6ZAT82HzEMPfzdNJf9a5SX0pE/edit?gid=0" TargetMode="External"/><Relationship Id="rId8" Type="http://schemas.openxmlformats.org/officeDocument/2006/relationships/hyperlink" Target="https://docs.google.com/document/d/10wqyBzol-1pa9_kSLP2PehW3w785EbtzLX8kcPeccFQ/edit?tab=t.0" TargetMode="External"/><Relationship Id="rId73" Type="http://schemas.openxmlformats.org/officeDocument/2006/relationships/hyperlink" Target="https://taiga.ecquaria.org/project/presales-mccy-ioms/us/618?kanban-status=551" TargetMode="External"/><Relationship Id="rId72" Type="http://schemas.openxmlformats.org/officeDocument/2006/relationships/hyperlink" Target="https://taiga.ecquaria.org/project/presales-mccy-ioms/us/775?kanban-status=551" TargetMode="External"/><Relationship Id="rId75" Type="http://schemas.openxmlformats.org/officeDocument/2006/relationships/hyperlink" Target="https://taiga.ecquaria.org/project/presales-mccy-ioms/us/791?kanban-status=551" TargetMode="External"/><Relationship Id="rId74" Type="http://schemas.openxmlformats.org/officeDocument/2006/relationships/hyperlink" Target="https://taiga.ecquaria.org/project/presales-mccy-ioms/us/791?kanban-status=551" TargetMode="External"/><Relationship Id="rId77" Type="http://schemas.openxmlformats.org/officeDocument/2006/relationships/hyperlink" Target="https://taiga.ecquaria.org/project/tecq-digital-id/issue/1073" TargetMode="External"/><Relationship Id="rId76" Type="http://schemas.openxmlformats.org/officeDocument/2006/relationships/hyperlink" Target="https://taiga.ecquaria.org/project/presales-mccy-ioms/us/834?kanban-status=551" TargetMode="External"/><Relationship Id="rId79" Type="http://schemas.openxmlformats.org/officeDocument/2006/relationships/hyperlink" Target="https://taiga.ecquaria.org/project/tecq-digital-id/issue/1047" TargetMode="External"/><Relationship Id="rId78" Type="http://schemas.openxmlformats.org/officeDocument/2006/relationships/hyperlink" Target="https://taiga.ecquaria.org/project/presales-mccy-ioms/us/748?kanban-status=551" TargetMode="External"/><Relationship Id="rId71" Type="http://schemas.openxmlformats.org/officeDocument/2006/relationships/hyperlink" Target="https://taiga.ecquaria.org/project/presales-mccy-ioms/us/774?kanban-status=551" TargetMode="External"/><Relationship Id="rId70" Type="http://schemas.openxmlformats.org/officeDocument/2006/relationships/hyperlink" Target="https://taiga.ecquaria.org/project/presales-mccy-ioms/us/604?kanban-status=551" TargetMode="External"/><Relationship Id="rId62" Type="http://schemas.openxmlformats.org/officeDocument/2006/relationships/hyperlink" Target="https://taiga.ecquaria.org/project/presales-mccy-ioms/us/720?kanban-status=551" TargetMode="External"/><Relationship Id="rId61" Type="http://schemas.openxmlformats.org/officeDocument/2006/relationships/hyperlink" Target="https://taiga.ecquaria.org/project/tecq-digital-id/issue/953" TargetMode="External"/><Relationship Id="rId64" Type="http://schemas.openxmlformats.org/officeDocument/2006/relationships/hyperlink" Target="https://taiga.ecquaria.org/project/tecq-digital-id/issue/952" TargetMode="External"/><Relationship Id="rId63" Type="http://schemas.openxmlformats.org/officeDocument/2006/relationships/hyperlink" Target="https://taiga.ecquaria.org/project/tecq-digital-id/issue/952" TargetMode="External"/><Relationship Id="rId66" Type="http://schemas.openxmlformats.org/officeDocument/2006/relationships/hyperlink" Target="https://taiga.ecquaria.org/project/tecq-digital-id/issue/825" TargetMode="External"/><Relationship Id="rId65" Type="http://schemas.openxmlformats.org/officeDocument/2006/relationships/hyperlink" Target="https://taiga.ecquaria.org/project/tecq-digital-id/issue/952" TargetMode="External"/><Relationship Id="rId68" Type="http://schemas.openxmlformats.org/officeDocument/2006/relationships/hyperlink" Target="https://taiga.ecquaria.org/project/presales-mccy-ioms/us/792?kanban-status=551" TargetMode="External"/><Relationship Id="rId67" Type="http://schemas.openxmlformats.org/officeDocument/2006/relationships/hyperlink" Target="https://taiga.ecquaria.org/project/tecq-digital-id/issue/1045" TargetMode="External"/><Relationship Id="rId60" Type="http://schemas.openxmlformats.org/officeDocument/2006/relationships/hyperlink" Target="https://taiga.ecquaria.org/project/tecq-digital-id/issue/1003" TargetMode="External"/><Relationship Id="rId69" Type="http://schemas.openxmlformats.org/officeDocument/2006/relationships/hyperlink" Target="https://taiga.ecquaria.org/project/presales-mccy-ioms/us/684?kanban-status=551" TargetMode="External"/><Relationship Id="rId51" Type="http://schemas.openxmlformats.org/officeDocument/2006/relationships/hyperlink" Target="https://taiga.ecquaria.org/project/presales-mccy-ioms/us/673?kanban-status=551" TargetMode="External"/><Relationship Id="rId50" Type="http://schemas.openxmlformats.org/officeDocument/2006/relationships/hyperlink" Target="https://taiga.ecquaria.org/project/tecq-digital-id/issue/820" TargetMode="External"/><Relationship Id="rId53" Type="http://schemas.openxmlformats.org/officeDocument/2006/relationships/hyperlink" Target="https://taiga.ecquaria.org/project/tecq-digital-id/issue/943" TargetMode="External"/><Relationship Id="rId52" Type="http://schemas.openxmlformats.org/officeDocument/2006/relationships/hyperlink" Target="https://taiga.ecquaria.org/project/presales-mccy-ioms/us/396?kanban-status=551" TargetMode="External"/><Relationship Id="rId55" Type="http://schemas.openxmlformats.org/officeDocument/2006/relationships/hyperlink" Target="https://taiga.ecquaria.org/project/presales-mccy-ioms/us/647?kanban-status=551" TargetMode="External"/><Relationship Id="rId54" Type="http://schemas.openxmlformats.org/officeDocument/2006/relationships/hyperlink" Target="https://taiga.ecquaria.org/project/presales-mccy-ioms/us/693?kanban-status=551" TargetMode="External"/><Relationship Id="rId57" Type="http://schemas.openxmlformats.org/officeDocument/2006/relationships/hyperlink" Target="https://taiga.ecquaria.org/project/tecq-digital-id/issue/944" TargetMode="External"/><Relationship Id="rId56" Type="http://schemas.openxmlformats.org/officeDocument/2006/relationships/hyperlink" Target="https://taiga.ecquaria.org/project/tecq-digital-id/issue/691" TargetMode="External"/><Relationship Id="rId59" Type="http://schemas.openxmlformats.org/officeDocument/2006/relationships/hyperlink" Target="https://taiga.ecquaria.org/project/presales-mccy-ioms/us/741?kanban-status=551" TargetMode="External"/><Relationship Id="rId58" Type="http://schemas.openxmlformats.org/officeDocument/2006/relationships/hyperlink" Target="https://taiga.ecquaria.org/project/presales-mccy-ioms/us/708?kanban-status=55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taiga.ecquaria.org/project/tecq-agp/us/4387?milestone=180" TargetMode="External"/><Relationship Id="rId2" Type="http://schemas.openxmlformats.org/officeDocument/2006/relationships/hyperlink" Target="https://taiga.ecquaria.org/project/presales/us/393?kanban-include_attachments=1&amp;kanban-include_tasks=1&amp;kanban-status=811" TargetMode="External"/><Relationship Id="rId3" Type="http://schemas.openxmlformats.org/officeDocument/2006/relationships/drawing" Target="../drawings/drawing5.xml"/><Relationship Id="rId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1" Type="http://schemas.openxmlformats.org/officeDocument/2006/relationships/table" Target="../tables/table6.xml"/><Relationship Id="rId1" Type="http://schemas.openxmlformats.org/officeDocument/2006/relationships/hyperlink" Target="https://docs.google.com/spreadsheets/d/1ToXDoUqvPCOxbF4zrJ-v2VPDQG6uOkv1/edit?gid=185916215" TargetMode="External"/><Relationship Id="rId2" Type="http://schemas.openxmlformats.org/officeDocument/2006/relationships/hyperlink" Target="https://docs.google.com/spreadsheets/d/1ToXDoUqvPCOxbF4zrJ-v2VPDQG6uOkv1/edit?gid=185916215" TargetMode="External"/><Relationship Id="rId3" Type="http://schemas.openxmlformats.org/officeDocument/2006/relationships/hyperlink" Target="https://docs.google.com/spreadsheets/d/1grdBZNtrzp47pwStzHeNCcDNm6dHLB5XpTAdqSdG5TA/edit?gid=1812499697" TargetMode="External"/><Relationship Id="rId4" Type="http://schemas.openxmlformats.org/officeDocument/2006/relationships/hyperlink" Target="https://docs.google.com/spreadsheets/d/1grdBZNtrzp47pwStzHeNCcDNm6dHLB5XpTAdqSdG5TA/edit?gid=1032390457" TargetMode="External"/><Relationship Id="rId9" Type="http://schemas.openxmlformats.org/officeDocument/2006/relationships/drawing" Target="../drawings/drawing6.xml"/><Relationship Id="rId5" Type="http://schemas.openxmlformats.org/officeDocument/2006/relationships/hyperlink" Target="https://docs.google.com/spreadsheets/d/1grdBZNtrzp47pwStzHeNCcDNm6dHLB5XpTAdqSdG5TA/edit?gid=1231407674" TargetMode="External"/><Relationship Id="rId6" Type="http://schemas.openxmlformats.org/officeDocument/2006/relationships/hyperlink" Target="https://docs.google.com/spreadsheets/d/1grdBZNtrzp47pwStzHeNCcDNm6dHLB5XpTAdqSdG5TA/edit?gid=1231407674" TargetMode="External"/><Relationship Id="rId7" Type="http://schemas.openxmlformats.org/officeDocument/2006/relationships/hyperlink" Target="https://docs.google.com/spreadsheets/d/1grdBZNtrzp47pwStzHeNCcDNm6dHLB5XpTAdqSdG5TA/edit?gid=1231407674" TargetMode="External"/><Relationship Id="rId8" Type="http://schemas.openxmlformats.org/officeDocument/2006/relationships/hyperlink" Target="https://docs.google.com/spreadsheets/d/1grdBZNtrzp47pwStzHeNCcDNm6dHLB5XpTAdqSdG5TA/edit?gid=1231407674" TargetMode="External"/></Relationships>
</file>

<file path=xl/worksheets/_rels/sheet7.xml.rels><?xml version="1.0" encoding="UTF-8" standalone="yes"?><Relationships xmlns="http://schemas.openxmlformats.org/package/2006/relationships"><Relationship Id="rId11" Type="http://schemas.openxmlformats.org/officeDocument/2006/relationships/table" Target="../tables/table7.xml"/><Relationship Id="rId1" Type="http://schemas.openxmlformats.org/officeDocument/2006/relationships/hyperlink" Target="https://docs.google.com/spreadsheets/d/1ToXDoUqvPCOxbF4zrJ-v2VPDQG6uOkv1/edit?gid=976686498" TargetMode="External"/><Relationship Id="rId2" Type="http://schemas.openxmlformats.org/officeDocument/2006/relationships/hyperlink" Target="https://docs.google.com/spreadsheets/d/1grdBZNtrzp47pwStzHeNCcDNm6dHLB5XpTAdqSdG5TA/edit?gid=1854407253" TargetMode="External"/><Relationship Id="rId3" Type="http://schemas.openxmlformats.org/officeDocument/2006/relationships/hyperlink" Target="https://docs.google.com/spreadsheets/d/1grdBZNtrzp47pwStzHeNCcDNm6dHLB5XpTAdqSdG5TA/edit?gid=1854407253" TargetMode="External"/><Relationship Id="rId4" Type="http://schemas.openxmlformats.org/officeDocument/2006/relationships/hyperlink" Target="https://taiga.ecquaria.org/project/ip4sg-mobile/us/220" TargetMode="External"/><Relationship Id="rId9" Type="http://schemas.openxmlformats.org/officeDocument/2006/relationships/drawing" Target="../drawings/drawing7.xml"/><Relationship Id="rId5" Type="http://schemas.openxmlformats.org/officeDocument/2006/relationships/hyperlink" Target="https://docs.google.com/spreadsheets/d/1ToXDoUqvPCOxbF4zrJ-v2VPDQG6uOkv1/edit?gid=337168106" TargetMode="External"/><Relationship Id="rId6" Type="http://schemas.openxmlformats.org/officeDocument/2006/relationships/hyperlink" Target="https://docs.google.com/spreadsheets/d/1ToXDoUqvPCOxbF4zrJ-v2VPDQG6uOkv1/edit?gid=1685918422" TargetMode="External"/><Relationship Id="rId7" Type="http://schemas.openxmlformats.org/officeDocument/2006/relationships/hyperlink" Target="https://docs.google.com/spreadsheets/d/1grdBZNtrzp47pwStzHeNCcDNm6dHLB5XpTAdqSdG5TA/edit?gid=1231407674" TargetMode="External"/><Relationship Id="rId8" Type="http://schemas.openxmlformats.org/officeDocument/2006/relationships/hyperlink" Target="https://docs.google.com/spreadsheets/d/1grdBZNtrzp47pwStzHeNCcDNm6dHLB5XpTAdqSdG5TA/edit?gid=1231407674"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taiga.ecquaria.org/project/ip4sg-mobile/us/222" TargetMode="External"/><Relationship Id="rId42" Type="http://schemas.openxmlformats.org/officeDocument/2006/relationships/hyperlink" Target="https://taiga.ecquaria.org/project/ip4sg-mobile/us/222" TargetMode="External"/><Relationship Id="rId41" Type="http://schemas.openxmlformats.org/officeDocument/2006/relationships/hyperlink" Target="https://taiga.ecquaria.org/project/ip4sg-mobile/us/222" TargetMode="External"/><Relationship Id="rId44" Type="http://schemas.openxmlformats.org/officeDocument/2006/relationships/drawing" Target="../drawings/drawing8.xml"/><Relationship Id="rId43" Type="http://schemas.openxmlformats.org/officeDocument/2006/relationships/hyperlink" Target="https://docs.google.com/spreadsheets/d/1grdBZNtrzp47pwStzHeNCcDNm6dHLB5XpTAdqSdG5TA/edit?gid=0" TargetMode="External"/><Relationship Id="rId46" Type="http://schemas.openxmlformats.org/officeDocument/2006/relationships/table" Target="../tables/table8.xml"/><Relationship Id="rId31" Type="http://schemas.openxmlformats.org/officeDocument/2006/relationships/hyperlink" Target="https://docs.google.com/spreadsheets/d/1grdBZNtrzp47pwStzHeNCcDNm6dHLB5XpTAdqSdG5TA/edit?gid=0" TargetMode="External"/><Relationship Id="rId30" Type="http://schemas.openxmlformats.org/officeDocument/2006/relationships/hyperlink" Target="https://docs.google.com/spreadsheets/d/1grdBZNtrzp47pwStzHeNCcDNm6dHLB5XpTAdqSdG5TA/edit?gid=0" TargetMode="External"/><Relationship Id="rId33" Type="http://schemas.openxmlformats.org/officeDocument/2006/relationships/hyperlink" Target="https://docs.google.com/spreadsheets/d/1grdBZNtrzp47pwStzHeNCcDNm6dHLB5XpTAdqSdG5TA/edit?gid=0" TargetMode="External"/><Relationship Id="rId32" Type="http://schemas.openxmlformats.org/officeDocument/2006/relationships/hyperlink" Target="https://docs.google.com/spreadsheets/d/1grdBZNtrzp47pwStzHeNCcDNm6dHLB5XpTAdqSdG5TA/edit?gid=0" TargetMode="External"/><Relationship Id="rId35" Type="http://schemas.openxmlformats.org/officeDocument/2006/relationships/hyperlink" Target="https://docs.google.com/spreadsheets/d/1grdBZNtrzp47pwStzHeNCcDNm6dHLB5XpTAdqSdG5TA/edit?gid=0" TargetMode="External"/><Relationship Id="rId34" Type="http://schemas.openxmlformats.org/officeDocument/2006/relationships/hyperlink" Target="https://docs.google.com/spreadsheets/d/1grdBZNtrzp47pwStzHeNCcDNm6dHLB5XpTAdqSdG5TA/edit?gid=0" TargetMode="External"/><Relationship Id="rId37" Type="http://schemas.openxmlformats.org/officeDocument/2006/relationships/hyperlink" Target="https://docs.google.com/spreadsheets/d/1ToXDoUqvPCOxbF4zrJ-v2VPDQG6uOkv1/edit?gid=1685918422" TargetMode="External"/><Relationship Id="rId36" Type="http://schemas.openxmlformats.org/officeDocument/2006/relationships/hyperlink" Target="https://docs.google.com/spreadsheets/d/1grdBZNtrzp47pwStzHeNCcDNm6dHLB5XpTAdqSdG5TA/edit?gid=0" TargetMode="External"/><Relationship Id="rId39" Type="http://schemas.openxmlformats.org/officeDocument/2006/relationships/hyperlink" Target="https://docs.google.com/spreadsheets/d/1ToXDoUqvPCOxbF4zrJ-v2VPDQG6uOkv1/edit?gid=1685918422" TargetMode="External"/><Relationship Id="rId38" Type="http://schemas.openxmlformats.org/officeDocument/2006/relationships/hyperlink" Target="https://taiga.ecquaria.org/project/ip4sg-mobile/us/222" TargetMode="External"/><Relationship Id="rId20" Type="http://schemas.openxmlformats.org/officeDocument/2006/relationships/hyperlink" Target="https://docs.google.com/spreadsheets/d/1grdBZNtrzp47pwStzHeNCcDNm6dHLB5XpTAdqSdG5TA/edit?gid=0" TargetMode="External"/><Relationship Id="rId22" Type="http://schemas.openxmlformats.org/officeDocument/2006/relationships/hyperlink" Target="https://docs.google.com/spreadsheets/d/1grdBZNtrzp47pwStzHeNCcDNm6dHLB5XpTAdqSdG5TA/edit?gid=0" TargetMode="External"/><Relationship Id="rId21" Type="http://schemas.openxmlformats.org/officeDocument/2006/relationships/hyperlink" Target="https://docs.google.com/spreadsheets/d/1grdBZNtrzp47pwStzHeNCcDNm6dHLB5XpTAdqSdG5TA/edit?gid=0" TargetMode="External"/><Relationship Id="rId24" Type="http://schemas.openxmlformats.org/officeDocument/2006/relationships/hyperlink" Target="https://docs.google.com/spreadsheets/d/1grdBZNtrzp47pwStzHeNCcDNm6dHLB5XpTAdqSdG5TA/edit?gid=0" TargetMode="External"/><Relationship Id="rId23" Type="http://schemas.openxmlformats.org/officeDocument/2006/relationships/hyperlink" Target="https://docs.google.com/spreadsheets/d/1grdBZNtrzp47pwStzHeNCcDNm6dHLB5XpTAdqSdG5TA/edit?gid=0" TargetMode="External"/><Relationship Id="rId26" Type="http://schemas.openxmlformats.org/officeDocument/2006/relationships/hyperlink" Target="https://docs.google.com/spreadsheets/d/1grdBZNtrzp47pwStzHeNCcDNm6dHLB5XpTAdqSdG5TA/edit?gid=0" TargetMode="External"/><Relationship Id="rId25" Type="http://schemas.openxmlformats.org/officeDocument/2006/relationships/hyperlink" Target="https://docs.google.com/spreadsheets/d/1grdBZNtrzp47pwStzHeNCcDNm6dHLB5XpTAdqSdG5TA/edit?gid=0" TargetMode="External"/><Relationship Id="rId28" Type="http://schemas.openxmlformats.org/officeDocument/2006/relationships/hyperlink" Target="https://docs.google.com/spreadsheets/d/1grdBZNtrzp47pwStzHeNCcDNm6dHLB5XpTAdqSdG5TA/edit?gid=0" TargetMode="External"/><Relationship Id="rId27" Type="http://schemas.openxmlformats.org/officeDocument/2006/relationships/hyperlink" Target="https://docs.google.com/spreadsheets/d/1grdBZNtrzp47pwStzHeNCcDNm6dHLB5XpTAdqSdG5TA/edit?gid=0" TargetMode="External"/><Relationship Id="rId29" Type="http://schemas.openxmlformats.org/officeDocument/2006/relationships/hyperlink" Target="https://docs.google.com/spreadsheets/d/1grdBZNtrzp47pwStzHeNCcDNm6dHLB5XpTAdqSdG5TA/edit?gid=0" TargetMode="External"/><Relationship Id="rId11" Type="http://schemas.openxmlformats.org/officeDocument/2006/relationships/hyperlink" Target="https://docs.google.com/spreadsheets/d/1grdBZNtrzp47pwStzHeNCcDNm6dHLB5XpTAdqSdG5TA/edit?gid=0" TargetMode="External"/><Relationship Id="rId10" Type="http://schemas.openxmlformats.org/officeDocument/2006/relationships/hyperlink" Target="https://docs.google.com/spreadsheets/d/1grdBZNtrzp47pwStzHeNCcDNm6dHLB5XpTAdqSdG5TA/edit?gid=0" TargetMode="External"/><Relationship Id="rId13" Type="http://schemas.openxmlformats.org/officeDocument/2006/relationships/hyperlink" Target="https://docs.google.com/spreadsheets/d/1grdBZNtrzp47pwStzHeNCcDNm6dHLB5XpTAdqSdG5TA/edit?gid=0" TargetMode="External"/><Relationship Id="rId12" Type="http://schemas.openxmlformats.org/officeDocument/2006/relationships/hyperlink" Target="https://docs.google.com/spreadsheets/d/1grdBZNtrzp47pwStzHeNCcDNm6dHLB5XpTAdqSdG5TA/edit?gid=0" TargetMode="External"/><Relationship Id="rId15" Type="http://schemas.openxmlformats.org/officeDocument/2006/relationships/hyperlink" Target="https://docs.google.com/spreadsheets/d/1grdBZNtrzp47pwStzHeNCcDNm6dHLB5XpTAdqSdG5TA/edit?gid=0" TargetMode="External"/><Relationship Id="rId14" Type="http://schemas.openxmlformats.org/officeDocument/2006/relationships/hyperlink" Target="https://docs.google.com/spreadsheets/d/1grdBZNtrzp47pwStzHeNCcDNm6dHLB5XpTAdqSdG5TA/edit?gid=0" TargetMode="External"/><Relationship Id="rId17" Type="http://schemas.openxmlformats.org/officeDocument/2006/relationships/hyperlink" Target="https://docs.google.com/spreadsheets/d/1grdBZNtrzp47pwStzHeNCcDNm6dHLB5XpTAdqSdG5TA/edit?gid=0" TargetMode="External"/><Relationship Id="rId16" Type="http://schemas.openxmlformats.org/officeDocument/2006/relationships/hyperlink" Target="https://docs.google.com/spreadsheets/d/1grdBZNtrzp47pwStzHeNCcDNm6dHLB5XpTAdqSdG5TA/edit?gid=0" TargetMode="External"/><Relationship Id="rId19" Type="http://schemas.openxmlformats.org/officeDocument/2006/relationships/hyperlink" Target="https://docs.google.com/spreadsheets/d/1grdBZNtrzp47pwStzHeNCcDNm6dHLB5XpTAdqSdG5TA/edit?gid=0" TargetMode="External"/><Relationship Id="rId18" Type="http://schemas.openxmlformats.org/officeDocument/2006/relationships/hyperlink" Target="https://docs.google.com/spreadsheets/d/1grdBZNtrzp47pwStzHeNCcDNm6dHLB5XpTAdqSdG5TA/edit?gid=0" TargetMode="External"/><Relationship Id="rId1" Type="http://schemas.openxmlformats.org/officeDocument/2006/relationships/hyperlink" Target="https://taiga.ecquaria.org/project/ip4sg-mobile/us/219?kanban-status=515" TargetMode="External"/><Relationship Id="rId2" Type="http://schemas.openxmlformats.org/officeDocument/2006/relationships/hyperlink" Target="https://taiga.ecquaria.org/project/ip4sg-mobile/us/219?kanban-status=515" TargetMode="External"/><Relationship Id="rId3" Type="http://schemas.openxmlformats.org/officeDocument/2006/relationships/hyperlink" Target="https://taiga.ecquaria.org/project/ip4sg-mobile/us/217?kanban-status=605" TargetMode="External"/><Relationship Id="rId4" Type="http://schemas.openxmlformats.org/officeDocument/2006/relationships/hyperlink" Target="https://docs.google.com/spreadsheets/d/1ToXDoUqvPCOxbF4zrJ-v2VPDQG6uOkv1/edit?gid=976686498" TargetMode="External"/><Relationship Id="rId9" Type="http://schemas.openxmlformats.org/officeDocument/2006/relationships/hyperlink" Target="https://docs.google.com/spreadsheets/d/1grdBZNtrzp47pwStzHeNCcDNm6dHLB5XpTAdqSdG5TA/edit?gid=0" TargetMode="External"/><Relationship Id="rId5" Type="http://schemas.openxmlformats.org/officeDocument/2006/relationships/hyperlink" Target="https://docs.google.com/spreadsheets/d/1ToXDoUqvPCOxbF4zrJ-v2VPDQG6uOkv1/edit?gid=976686498" TargetMode="External"/><Relationship Id="rId6" Type="http://schemas.openxmlformats.org/officeDocument/2006/relationships/hyperlink" Target="https://docs.google.com/spreadsheets/d/1ToXDoUqvPCOxbF4zrJ-v2VPDQG6uOkv1/edit?gid=976686498" TargetMode="External"/><Relationship Id="rId7" Type="http://schemas.openxmlformats.org/officeDocument/2006/relationships/hyperlink" Target="https://docs.google.com/spreadsheets/d/1ToXDoUqvPCOxbF4zrJ-v2VPDQG6uOkv1/edit?gid=976686498" TargetMode="External"/><Relationship Id="rId8" Type="http://schemas.openxmlformats.org/officeDocument/2006/relationships/hyperlink" Target="https://docs.google.com/spreadsheets/d/1grdBZNtrzp47pwStzHeNCcDNm6dHLB5XpTAdqSdG5TA/edit?gid=0"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taiga.ecquaria.org/project/tecq-digital-id/task/737" TargetMode="External"/><Relationship Id="rId42" Type="http://schemas.openxmlformats.org/officeDocument/2006/relationships/hyperlink" Target="https://taiga.ecquaria.org/project/tecq-digital-id/task/776" TargetMode="External"/><Relationship Id="rId41" Type="http://schemas.openxmlformats.org/officeDocument/2006/relationships/hyperlink" Target="https://taiga.ecquaria.org/project/tecq-digital-id/issue/781" TargetMode="External"/><Relationship Id="rId44" Type="http://schemas.openxmlformats.org/officeDocument/2006/relationships/hyperlink" Target="https://taiga.ecquaria.org/project/tecq-digital-id/task/646" TargetMode="External"/><Relationship Id="rId43" Type="http://schemas.openxmlformats.org/officeDocument/2006/relationships/hyperlink" Target="https://taiga.ecquaria.org/project/tecq-digital-id/task/646" TargetMode="External"/><Relationship Id="rId46" Type="http://schemas.openxmlformats.org/officeDocument/2006/relationships/hyperlink" Target="https://taiga.ecquaria.org/project/tecq-digital-id/task/815" TargetMode="External"/><Relationship Id="rId45" Type="http://schemas.openxmlformats.org/officeDocument/2006/relationships/hyperlink" Target="https://taiga.ecquaria.org/project/tecq-digital-id/task/646" TargetMode="External"/><Relationship Id="rId48" Type="http://schemas.openxmlformats.org/officeDocument/2006/relationships/hyperlink" Target="https://taiga.ecquaria.org/project/tecq-digital-id/issue/808" TargetMode="External"/><Relationship Id="rId47" Type="http://schemas.openxmlformats.org/officeDocument/2006/relationships/hyperlink" Target="https://taiga.ecquaria.org/project/tecq-digital-id/issue/808" TargetMode="External"/><Relationship Id="rId49" Type="http://schemas.openxmlformats.org/officeDocument/2006/relationships/hyperlink" Target="https://taiga.ecquaria.org/project/tecq-digital-id/issue/808" TargetMode="External"/><Relationship Id="rId31" Type="http://schemas.openxmlformats.org/officeDocument/2006/relationships/hyperlink" Target="https://taiga.ecquaria.org/project/tecq-digital-id/issue/680" TargetMode="External"/><Relationship Id="rId30" Type="http://schemas.openxmlformats.org/officeDocument/2006/relationships/hyperlink" Target="https://taiga.ecquaria.org/project/tecq-digital-id/issue/680" TargetMode="External"/><Relationship Id="rId33" Type="http://schemas.openxmlformats.org/officeDocument/2006/relationships/hyperlink" Target="https://taiga.ecquaria.org/project/tecq-digital-id/issue/663" TargetMode="External"/><Relationship Id="rId32" Type="http://schemas.openxmlformats.org/officeDocument/2006/relationships/hyperlink" Target="https://taiga.ecquaria.org/project/tecq-digital-id/issue/677" TargetMode="External"/><Relationship Id="rId35" Type="http://schemas.openxmlformats.org/officeDocument/2006/relationships/hyperlink" Target="https://taiga.ecquaria.org/project/tecq-digital-id/issue/740" TargetMode="External"/><Relationship Id="rId34" Type="http://schemas.openxmlformats.org/officeDocument/2006/relationships/hyperlink" Target="https://taiga.ecquaria.org/project/tecq-digital-id/issue/739" TargetMode="External"/><Relationship Id="rId37" Type="http://schemas.openxmlformats.org/officeDocument/2006/relationships/hyperlink" Target="https://taiga.ecquaria.org/project/tecq-digital-id/issue/661" TargetMode="External"/><Relationship Id="rId36" Type="http://schemas.openxmlformats.org/officeDocument/2006/relationships/hyperlink" Target="https://taiga.ecquaria.org/project/tecq-digital-id/issue/661" TargetMode="External"/><Relationship Id="rId39" Type="http://schemas.openxmlformats.org/officeDocument/2006/relationships/hyperlink" Target="https://taiga.ecquaria.org/project/tecq-digital-id/issue/719" TargetMode="External"/><Relationship Id="rId38" Type="http://schemas.openxmlformats.org/officeDocument/2006/relationships/hyperlink" Target="https://taiga.ecquaria.org/project/tecq-digital-id/issue/719" TargetMode="External"/><Relationship Id="rId20" Type="http://schemas.openxmlformats.org/officeDocument/2006/relationships/hyperlink" Target="https://taiga.ecquaria.org/project/presales-mccy-ioms/us/257?kanban-include_attachments=1&amp;kanban-include_tasks=1&amp;kanban-status=552" TargetMode="External"/><Relationship Id="rId22" Type="http://schemas.openxmlformats.org/officeDocument/2006/relationships/hyperlink" Target="https://taiga.ecquaria.org/project/presales-mccy-ioms/us/257?kanban-include_attachments=1&amp;kanban-include_tasks=1&amp;kanban-status=552" TargetMode="External"/><Relationship Id="rId21" Type="http://schemas.openxmlformats.org/officeDocument/2006/relationships/hyperlink" Target="https://taiga.ecquaria.org/project/presales-mccy-ioms/us/257?kanban-include_attachments=1&amp;kanban-include_tasks=1&amp;kanban-status=552" TargetMode="External"/><Relationship Id="rId24" Type="http://schemas.openxmlformats.org/officeDocument/2006/relationships/hyperlink" Target="https://taiga.ecquaria.org/project/presales-mccy-ioms/us/257?kanban-include_attachments=1&amp;kanban-include_tasks=1&amp;kanban-status=552" TargetMode="External"/><Relationship Id="rId23" Type="http://schemas.openxmlformats.org/officeDocument/2006/relationships/hyperlink" Target="https://taiga.ecquaria.org/project/presales-mccy-ioms/us/257?kanban-include_attachments=1&amp;kanban-include_tasks=1&amp;kanban-status=552" TargetMode="External"/><Relationship Id="rId26" Type="http://schemas.openxmlformats.org/officeDocument/2006/relationships/hyperlink" Target="https://taiga.ecquaria.org/project/tecq-digital-id/task/646" TargetMode="External"/><Relationship Id="rId25" Type="http://schemas.openxmlformats.org/officeDocument/2006/relationships/hyperlink" Target="https://taiga.ecquaria.org/project/tecq-digital-id/task/646" TargetMode="External"/><Relationship Id="rId28" Type="http://schemas.openxmlformats.org/officeDocument/2006/relationships/hyperlink" Target="https://taiga.ecquaria.org/project/tecq-digital-id/task/646" TargetMode="External"/><Relationship Id="rId27" Type="http://schemas.openxmlformats.org/officeDocument/2006/relationships/hyperlink" Target="https://taiga.ecquaria.org/project/tecq-digital-id/task/646" TargetMode="External"/><Relationship Id="rId29" Type="http://schemas.openxmlformats.org/officeDocument/2006/relationships/hyperlink" Target="https://taiga.ecquaria.org/project/tecq-digital-id/task/646" TargetMode="External"/><Relationship Id="rId11" Type="http://schemas.openxmlformats.org/officeDocument/2006/relationships/hyperlink" Target="https://taiga.ecquaria.org/project/presales-mccy-ioms/us/257?kanban-include_attachments=1&amp;kanban-include_tasks=1&amp;kanban-status=552" TargetMode="External"/><Relationship Id="rId10" Type="http://schemas.openxmlformats.org/officeDocument/2006/relationships/hyperlink" Target="https://taiga.ecquaria.org/project/presales-mccy-ioms/us/257?kanban-include_attachments=1&amp;kanban-include_tasks=1&amp;kanban-status=552" TargetMode="External"/><Relationship Id="rId13" Type="http://schemas.openxmlformats.org/officeDocument/2006/relationships/hyperlink" Target="https://taiga.ecquaria.org/project/presales-mccy-ioms/us/257?kanban-include_attachments=1&amp;kanban-include_tasks=1&amp;kanban-status=552" TargetMode="External"/><Relationship Id="rId12" Type="http://schemas.openxmlformats.org/officeDocument/2006/relationships/hyperlink" Target="https://taiga.ecquaria.org/project/presales-mccy-ioms/us/257?kanban-include_attachments=1&amp;kanban-include_tasks=1&amp;kanban-status=552" TargetMode="External"/><Relationship Id="rId90" Type="http://schemas.openxmlformats.org/officeDocument/2006/relationships/drawing" Target="../drawings/drawing9.xml"/><Relationship Id="rId92" Type="http://schemas.openxmlformats.org/officeDocument/2006/relationships/table" Target="../tables/table9.xml"/><Relationship Id="rId15" Type="http://schemas.openxmlformats.org/officeDocument/2006/relationships/hyperlink" Target="https://taiga.ecquaria.org/project/presales-mccy-ioms/us/257?kanban-include_attachments=1&amp;kanban-include_tasks=1&amp;kanban-status=552" TargetMode="External"/><Relationship Id="rId14" Type="http://schemas.openxmlformats.org/officeDocument/2006/relationships/hyperlink" Target="https://taiga.ecquaria.org/project/presales-mccy-ioms/us/257?kanban-include_attachments=1&amp;kanban-include_tasks=1&amp;kanban-status=552" TargetMode="External"/><Relationship Id="rId17" Type="http://schemas.openxmlformats.org/officeDocument/2006/relationships/hyperlink" Target="https://taiga.ecquaria.org/project/presales-mccy-ioms/us/257?kanban-include_attachments=1&amp;kanban-include_tasks=1&amp;kanban-status=552" TargetMode="External"/><Relationship Id="rId16" Type="http://schemas.openxmlformats.org/officeDocument/2006/relationships/hyperlink" Target="https://taiga.ecquaria.org/project/presales-mccy-ioms/us/269" TargetMode="External"/><Relationship Id="rId19" Type="http://schemas.openxmlformats.org/officeDocument/2006/relationships/hyperlink" Target="https://taiga.ecquaria.org/project/presales-mccy-ioms/us/257?kanban-include_attachments=1&amp;kanban-include_tasks=1&amp;kanban-status=552" TargetMode="External"/><Relationship Id="rId18" Type="http://schemas.openxmlformats.org/officeDocument/2006/relationships/hyperlink" Target="https://taiga.ecquaria.org/project/presales-mccy-ioms/us/257?kanban-include_attachments=1&amp;kanban-include_tasks=1&amp;kanban-status=552" TargetMode="External"/><Relationship Id="rId84" Type="http://schemas.openxmlformats.org/officeDocument/2006/relationships/hyperlink" Target="https://taiga.ecquaria.org/project/tecq-digital-id/task/548" TargetMode="External"/><Relationship Id="rId83" Type="http://schemas.openxmlformats.org/officeDocument/2006/relationships/hyperlink" Target="https://taiga.ecquaria.org/project/tecq-digital-id/task/548" TargetMode="External"/><Relationship Id="rId86" Type="http://schemas.openxmlformats.org/officeDocument/2006/relationships/hyperlink" Target="https://taiga.ecquaria.org/project/tecq-digital-id/task/548" TargetMode="External"/><Relationship Id="rId85" Type="http://schemas.openxmlformats.org/officeDocument/2006/relationships/hyperlink" Target="https://taiga.ecquaria.org/project/tecq-digital-id/task/548" TargetMode="External"/><Relationship Id="rId88" Type="http://schemas.openxmlformats.org/officeDocument/2006/relationships/hyperlink" Target="https://taiga.ecquaria.org/project/tecq-digital-id/task/548" TargetMode="External"/><Relationship Id="rId87" Type="http://schemas.openxmlformats.org/officeDocument/2006/relationships/hyperlink" Target="https://taiga.ecquaria.org/project/tecq-digital-id/task/548" TargetMode="External"/><Relationship Id="rId89" Type="http://schemas.openxmlformats.org/officeDocument/2006/relationships/hyperlink" Target="https://taiga.ecquaria.org/project/tecq-digital-id/task/548" TargetMode="External"/><Relationship Id="rId80" Type="http://schemas.openxmlformats.org/officeDocument/2006/relationships/hyperlink" Target="https://taiga.ecquaria.org/project/tecq-digital-id/task/548" TargetMode="External"/><Relationship Id="rId82" Type="http://schemas.openxmlformats.org/officeDocument/2006/relationships/hyperlink" Target="https://taiga.ecquaria.org/project/tecq-digital-id/task/548" TargetMode="External"/><Relationship Id="rId81" Type="http://schemas.openxmlformats.org/officeDocument/2006/relationships/hyperlink" Target="https://taiga.ecquaria.org/project/tecq-digital-id/task/548" TargetMode="External"/><Relationship Id="rId1" Type="http://schemas.openxmlformats.org/officeDocument/2006/relationships/hyperlink" Target="https://taiga.ecquaria.org/project/presales-mccy-ioms/us/257?kanban-include_attachments=1&amp;kanban-include_tasks=1&amp;kanban-status=552" TargetMode="External"/><Relationship Id="rId2" Type="http://schemas.openxmlformats.org/officeDocument/2006/relationships/hyperlink" Target="https://taiga.ecquaria.org/project/presales-mccy-ioms/us/278?kanban-include_attachments=1&amp;kanban-include_tasks=1&amp;kanban-status=550" TargetMode="External"/><Relationship Id="rId3" Type="http://schemas.openxmlformats.org/officeDocument/2006/relationships/hyperlink" Target="https://taiga.ecquaria.org/project/presales-mccy-ioms/us/257?kanban-include_attachments=1&amp;kanban-include_tasks=1&amp;kanban-status=552" TargetMode="External"/><Relationship Id="rId4" Type="http://schemas.openxmlformats.org/officeDocument/2006/relationships/hyperlink" Target="https://taiga.ecquaria.org/project/presales-mccy-ioms/us/278?kanban-include_attachments=1&amp;kanban-include_tasks=1&amp;kanban-status=550" TargetMode="External"/><Relationship Id="rId9" Type="http://schemas.openxmlformats.org/officeDocument/2006/relationships/hyperlink" Target="https://taiga.ecquaria.org/project/presales-mccy-ioms/us/257?kanban-include_attachments=1&amp;kanban-include_tasks=1&amp;kanban-status=552" TargetMode="External"/><Relationship Id="rId5" Type="http://schemas.openxmlformats.org/officeDocument/2006/relationships/hyperlink" Target="https://taiga.ecquaria.org/project/presales-mccy-ioms/us/278?kanban-include_attachments=1&amp;kanban-include_tasks=1&amp;kanban-status=550" TargetMode="External"/><Relationship Id="rId6" Type="http://schemas.openxmlformats.org/officeDocument/2006/relationships/hyperlink" Target="https://taiga.ecquaria.org/project/presales-mccy-ioms/us/257?kanban-include_attachments=1&amp;kanban-include_tasks=1&amp;kanban-status=552" TargetMode="External"/><Relationship Id="rId7" Type="http://schemas.openxmlformats.org/officeDocument/2006/relationships/hyperlink" Target="https://taiga.ecquaria.org/project/presales-mccy-ioms/us/257?kanban-include_attachments=1&amp;kanban-include_tasks=1&amp;kanban-status=552" TargetMode="External"/><Relationship Id="rId8" Type="http://schemas.openxmlformats.org/officeDocument/2006/relationships/hyperlink" Target="https://taiga.ecquaria.org/project/presales-mccy-ioms/us/257?kanban-include_attachments=1&amp;kanban-include_tasks=1&amp;kanban-status=552" TargetMode="External"/><Relationship Id="rId73" Type="http://schemas.openxmlformats.org/officeDocument/2006/relationships/hyperlink" Target="https://taiga.ecquaria.org/project/tecq-digital-id/task/548" TargetMode="External"/><Relationship Id="rId72" Type="http://schemas.openxmlformats.org/officeDocument/2006/relationships/hyperlink" Target="https://taiga.ecquaria.org/project/tecq-digital-id/task/548" TargetMode="External"/><Relationship Id="rId75" Type="http://schemas.openxmlformats.org/officeDocument/2006/relationships/hyperlink" Target="https://taiga.ecquaria.org/project/tecq-digital-id/task/548" TargetMode="External"/><Relationship Id="rId74" Type="http://schemas.openxmlformats.org/officeDocument/2006/relationships/hyperlink" Target="https://taiga.ecquaria.org/project/tecq-digital-id/task/548" TargetMode="External"/><Relationship Id="rId77" Type="http://schemas.openxmlformats.org/officeDocument/2006/relationships/hyperlink" Target="https://taiga.ecquaria.org/project/tecq-digital-id/task/548" TargetMode="External"/><Relationship Id="rId76" Type="http://schemas.openxmlformats.org/officeDocument/2006/relationships/hyperlink" Target="https://taiga.ecquaria.org/project/tecq-digital-id/task/548" TargetMode="External"/><Relationship Id="rId79" Type="http://schemas.openxmlformats.org/officeDocument/2006/relationships/hyperlink" Target="https://taiga.ecquaria.org/project/tecq-digital-id/task/548" TargetMode="External"/><Relationship Id="rId78" Type="http://schemas.openxmlformats.org/officeDocument/2006/relationships/hyperlink" Target="https://taiga.ecquaria.org/project/tecq-digital-id/task/548" TargetMode="External"/><Relationship Id="rId71" Type="http://schemas.openxmlformats.org/officeDocument/2006/relationships/hyperlink" Target="https://taiga.ecquaria.org/project/tecq-digital-id/task/548" TargetMode="External"/><Relationship Id="rId70" Type="http://schemas.openxmlformats.org/officeDocument/2006/relationships/hyperlink" Target="https://taiga.ecquaria.org/project/tecq-digital-id/issue/1074" TargetMode="External"/><Relationship Id="rId62" Type="http://schemas.openxmlformats.org/officeDocument/2006/relationships/hyperlink" Target="https://taiga.ecquaria.org/project/tecq-digital-id/issue/953" TargetMode="External"/><Relationship Id="rId61" Type="http://schemas.openxmlformats.org/officeDocument/2006/relationships/hyperlink" Target="https://taiga.ecquaria.org/project/presales-mccy-ioms/us/660" TargetMode="External"/><Relationship Id="rId64" Type="http://schemas.openxmlformats.org/officeDocument/2006/relationships/hyperlink" Target="https://taiga.ecquaria.org/project/tecq-digital-id/issue/953" TargetMode="External"/><Relationship Id="rId63" Type="http://schemas.openxmlformats.org/officeDocument/2006/relationships/hyperlink" Target="https://taiga.ecquaria.org/project/tecq-digital-id/issue/953" TargetMode="External"/><Relationship Id="rId66" Type="http://schemas.openxmlformats.org/officeDocument/2006/relationships/hyperlink" Target="https://taiga.ecquaria.org/project/presales-mccy-ioms/us/660" TargetMode="External"/><Relationship Id="rId65" Type="http://schemas.openxmlformats.org/officeDocument/2006/relationships/hyperlink" Target="https://taiga.ecquaria.org/project/presales-mccy-ioms/us/762" TargetMode="External"/><Relationship Id="rId68" Type="http://schemas.openxmlformats.org/officeDocument/2006/relationships/hyperlink" Target="https://taiga.ecquaria.org/project/tecq-digital-id/task/893" TargetMode="External"/><Relationship Id="rId67" Type="http://schemas.openxmlformats.org/officeDocument/2006/relationships/hyperlink" Target="https://taiga.ecquaria.org/project/tecq-digital-id/task/548" TargetMode="External"/><Relationship Id="rId60" Type="http://schemas.openxmlformats.org/officeDocument/2006/relationships/hyperlink" Target="https://taiga.ecquaria.org/project/presales-mccy-ioms/us/748" TargetMode="External"/><Relationship Id="rId69" Type="http://schemas.openxmlformats.org/officeDocument/2006/relationships/hyperlink" Target="https://taiga.ecquaria.org/project/tecq-digital-id/issue/1018" TargetMode="External"/><Relationship Id="rId51" Type="http://schemas.openxmlformats.org/officeDocument/2006/relationships/hyperlink" Target="https://taiga.ecquaria.org/project/tecq-digital-id/issue/808" TargetMode="External"/><Relationship Id="rId50" Type="http://schemas.openxmlformats.org/officeDocument/2006/relationships/hyperlink" Target="https://taiga.ecquaria.org/project/tecq-digital-id/issue/692" TargetMode="External"/><Relationship Id="rId53" Type="http://schemas.openxmlformats.org/officeDocument/2006/relationships/hyperlink" Target="https://taiga.ecquaria.org/project/tecq-digital-id/issue/898" TargetMode="External"/><Relationship Id="rId52" Type="http://schemas.openxmlformats.org/officeDocument/2006/relationships/hyperlink" Target="https://taiga.ecquaria.org/project/tecq-digital-id/issue/692" TargetMode="External"/><Relationship Id="rId55" Type="http://schemas.openxmlformats.org/officeDocument/2006/relationships/hyperlink" Target="https://taiga.ecquaria.org/project/tecq-digital-id/issue/925" TargetMode="External"/><Relationship Id="rId54" Type="http://schemas.openxmlformats.org/officeDocument/2006/relationships/hyperlink" Target="https://taiga.ecquaria.org/project/tecq-digital-id/issue/890" TargetMode="External"/><Relationship Id="rId57" Type="http://schemas.openxmlformats.org/officeDocument/2006/relationships/hyperlink" Target="https://taiga.ecquaria.org/project/ip4sg-mobile/us/230" TargetMode="External"/><Relationship Id="rId56" Type="http://schemas.openxmlformats.org/officeDocument/2006/relationships/hyperlink" Target="https://taiga.ecquaria.org/project/tecq-digital-id/issue/922" TargetMode="External"/><Relationship Id="rId59" Type="http://schemas.openxmlformats.org/officeDocument/2006/relationships/hyperlink" Target="https://taiga.ecquaria.org/project/presales-mccy-ioms/us/660" TargetMode="External"/><Relationship Id="rId58" Type="http://schemas.openxmlformats.org/officeDocument/2006/relationships/hyperlink" Target="https://taiga.ecquaria.org/project/tecq-digital-id/task/839"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taiga.ecquaria.org/project/presales-mccy-ioms/us/600" TargetMode="External"/><Relationship Id="rId42" Type="http://schemas.openxmlformats.org/officeDocument/2006/relationships/hyperlink" Target="https://taiga.ecquaria.org/project/presales-mccy-ioms/us/636" TargetMode="External"/><Relationship Id="rId41" Type="http://schemas.openxmlformats.org/officeDocument/2006/relationships/hyperlink" Target="https://taiga.ecquaria.org/project/presales-mccy-ioms/us/589" TargetMode="External"/><Relationship Id="rId43" Type="http://schemas.openxmlformats.org/officeDocument/2006/relationships/drawing" Target="../drawings/drawing10.xml"/><Relationship Id="rId45" Type="http://schemas.openxmlformats.org/officeDocument/2006/relationships/table" Target="../tables/table10.xml"/><Relationship Id="rId31" Type="http://schemas.openxmlformats.org/officeDocument/2006/relationships/hyperlink" Target="https://taiga.ecquaria.org/project/presales-mccy-ioms/us/545" TargetMode="External"/><Relationship Id="rId30" Type="http://schemas.openxmlformats.org/officeDocument/2006/relationships/hyperlink" Target="https://taiga.ecquaria.org/project/presales-mccy-ioms/us/546?kanban-include_attachments=1&amp;kanban-include_tasks=1&amp;kanban-status=550" TargetMode="External"/><Relationship Id="rId33" Type="http://schemas.openxmlformats.org/officeDocument/2006/relationships/hyperlink" Target="https://taiga.ecquaria.org/project/presales-mccy-ioms/us/545" TargetMode="External"/><Relationship Id="rId32" Type="http://schemas.openxmlformats.org/officeDocument/2006/relationships/hyperlink" Target="https://taiga.ecquaria.org/project/presales-mccy-ioms/us/545" TargetMode="External"/><Relationship Id="rId35" Type="http://schemas.openxmlformats.org/officeDocument/2006/relationships/hyperlink" Target="https://taiga.ecquaria.org/project/presales-mccy-ioms/us/541" TargetMode="External"/><Relationship Id="rId34" Type="http://schemas.openxmlformats.org/officeDocument/2006/relationships/hyperlink" Target="https://taiga.ecquaria.org/project/presales-mccy-ioms/us/545" TargetMode="External"/><Relationship Id="rId37" Type="http://schemas.openxmlformats.org/officeDocument/2006/relationships/hyperlink" Target="https://taiga.ecquaria.org/project/presales-mccy-ioms/us/590" TargetMode="External"/><Relationship Id="rId36" Type="http://schemas.openxmlformats.org/officeDocument/2006/relationships/hyperlink" Target="https://taiga.ecquaria.org/project/presales-mccy-ioms/us/582" TargetMode="External"/><Relationship Id="rId39" Type="http://schemas.openxmlformats.org/officeDocument/2006/relationships/hyperlink" Target="https://taiga.ecquaria.org/project/presales-mccy-ioms/us/600" TargetMode="External"/><Relationship Id="rId38" Type="http://schemas.openxmlformats.org/officeDocument/2006/relationships/hyperlink" Target="https://taiga.ecquaria.org/project/presales-mccy-ioms/us/609" TargetMode="External"/><Relationship Id="rId20" Type="http://schemas.openxmlformats.org/officeDocument/2006/relationships/hyperlink" Target="http://gov.bn/" TargetMode="External"/><Relationship Id="rId22" Type="http://schemas.openxmlformats.org/officeDocument/2006/relationships/hyperlink" Target="http://gov.bn/" TargetMode="External"/><Relationship Id="rId21" Type="http://schemas.openxmlformats.org/officeDocument/2006/relationships/hyperlink" Target="https://taiga.ecquaria.org/project/presales/us/415" TargetMode="External"/><Relationship Id="rId24" Type="http://schemas.openxmlformats.org/officeDocument/2006/relationships/hyperlink" Target="https://taiga.ecquaria.org/project/presales-mccy-ioms/us/511?kanban-include_attachments=1&amp;kanban-include_tasks=1&amp;kanban-assigned_users=268&amp;kanban-status=858" TargetMode="External"/><Relationship Id="rId23" Type="http://schemas.openxmlformats.org/officeDocument/2006/relationships/hyperlink" Target="https://taiga.ecquaria.org/project/presales/us/415" TargetMode="External"/><Relationship Id="rId26" Type="http://schemas.openxmlformats.org/officeDocument/2006/relationships/hyperlink" Target="https://taiga.ecquaria.org/project/presales-mccy-ioms/us/348?kanban-include_attachments=1&amp;kanban-include_tasks=1&amp;kanban-status=857" TargetMode="External"/><Relationship Id="rId25" Type="http://schemas.openxmlformats.org/officeDocument/2006/relationships/hyperlink" Target="https://taiga.ecquaria.org/project/presales-mccy-ioms/us/352?kanban-include_attachments=1&amp;kanban-include_tasks=1&amp;kanban-assigned_users=268&amp;kanban-status=858" TargetMode="External"/><Relationship Id="rId28" Type="http://schemas.openxmlformats.org/officeDocument/2006/relationships/hyperlink" Target="https://taiga.ecquaria.org/project/presales-mccy-ioms/us/546?kanban-include_attachments=1&amp;kanban-include_tasks=1&amp;kanban-status=550" TargetMode="External"/><Relationship Id="rId27" Type="http://schemas.openxmlformats.org/officeDocument/2006/relationships/hyperlink" Target="https://taiga.ecquaria.org/project/presales-mccy-ioms/us/526?kanban-include_attachments=1&amp;kanban-include_tasks=1&amp;kanban-status=551" TargetMode="External"/><Relationship Id="rId29" Type="http://schemas.openxmlformats.org/officeDocument/2006/relationships/hyperlink" Target="https://taiga.ecquaria.org/project/presales-mccy-ioms/us/546?kanban-include_attachments=1&amp;kanban-include_tasks=1&amp;kanban-status=550" TargetMode="External"/><Relationship Id="rId11" Type="http://schemas.openxmlformats.org/officeDocument/2006/relationships/hyperlink" Target="http://gov.bn/" TargetMode="External"/><Relationship Id="rId10" Type="http://schemas.openxmlformats.org/officeDocument/2006/relationships/hyperlink" Target="https://taiga.ecquaria.org/project/presales/us/406" TargetMode="External"/><Relationship Id="rId13" Type="http://schemas.openxmlformats.org/officeDocument/2006/relationships/hyperlink" Target="http://gov.bn/" TargetMode="External"/><Relationship Id="rId12" Type="http://schemas.openxmlformats.org/officeDocument/2006/relationships/hyperlink" Target="https://taiga.ecquaria.org/project/presales/us/406" TargetMode="External"/><Relationship Id="rId15" Type="http://schemas.openxmlformats.org/officeDocument/2006/relationships/hyperlink" Target="http://gov.bn/" TargetMode="External"/><Relationship Id="rId14" Type="http://schemas.openxmlformats.org/officeDocument/2006/relationships/hyperlink" Target="https://taiga.ecquaria.org/project/presales/us/406" TargetMode="External"/><Relationship Id="rId17" Type="http://schemas.openxmlformats.org/officeDocument/2006/relationships/hyperlink" Target="https://taiga.ecquaria.org/project/presales/us/415" TargetMode="External"/><Relationship Id="rId16" Type="http://schemas.openxmlformats.org/officeDocument/2006/relationships/hyperlink" Target="http://gov.bn/" TargetMode="External"/><Relationship Id="rId19" Type="http://schemas.openxmlformats.org/officeDocument/2006/relationships/hyperlink" Target="https://taiga.ecquaria.org/project/presales/us/415" TargetMode="External"/><Relationship Id="rId18" Type="http://schemas.openxmlformats.org/officeDocument/2006/relationships/hyperlink" Target="http://gov.bn/" TargetMode="External"/><Relationship Id="rId1" Type="http://schemas.openxmlformats.org/officeDocument/2006/relationships/hyperlink" Target="https://taiga.ecquaria.org/project/presales-mccy-ioms/us/275?kanban-include_attachments=1&amp;kanban-include_tasks=1&amp;kanban-status=550" TargetMode="External"/><Relationship Id="rId2" Type="http://schemas.openxmlformats.org/officeDocument/2006/relationships/hyperlink" Target="https://taiga.ecquaria.org/project/presales-mccy-ioms/us/275?kanban-include_attachments=1&amp;kanban-include_tasks=1&amp;kanban-status=550" TargetMode="External"/><Relationship Id="rId3" Type="http://schemas.openxmlformats.org/officeDocument/2006/relationships/hyperlink" Target="https://taiga.ecquaria.org/project/presales-mccy-ioms/us/275?kanban-include_attachments=1&amp;kanban-include_tasks=1&amp;kanban-status=550" TargetMode="External"/><Relationship Id="rId4" Type="http://schemas.openxmlformats.org/officeDocument/2006/relationships/hyperlink" Target="https://taiga.ecquaria.org/project/presales-mccy-ioms/us/275?kanban-include_attachments=1&amp;kanban-include_tasks=1&amp;kanban-status=550" TargetMode="External"/><Relationship Id="rId9" Type="http://schemas.openxmlformats.org/officeDocument/2006/relationships/hyperlink" Target="http://gov.bn/" TargetMode="External"/><Relationship Id="rId5" Type="http://schemas.openxmlformats.org/officeDocument/2006/relationships/hyperlink" Target="https://taiga.ecquaria.org/project/presales-mccy-ioms/us/332?kanban-include_attachments=1&amp;kanban-include_tasks=1&amp;kanban-status=550" TargetMode="External"/><Relationship Id="rId6" Type="http://schemas.openxmlformats.org/officeDocument/2006/relationships/hyperlink" Target="https://taiga.ecquaria.org/project/presales-mccy-ioms/us/332?kanban-include_attachments=1&amp;kanban-include_tasks=1&amp;kanban-status=550" TargetMode="External"/><Relationship Id="rId7" Type="http://schemas.openxmlformats.org/officeDocument/2006/relationships/hyperlink" Target="http://gov.bn/" TargetMode="External"/><Relationship Id="rId8" Type="http://schemas.openxmlformats.org/officeDocument/2006/relationships/hyperlink" Target="https://taiga.ecquaria.org/project/presales-mccy-ioms/us/424"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taiga.ecquaria.org/project/tecq-digital-id/task/654" TargetMode="External"/><Relationship Id="rId42" Type="http://schemas.openxmlformats.org/officeDocument/2006/relationships/hyperlink" Target="https://taiga.ecquaria.org/project/tecq-digital-id/task/654" TargetMode="External"/><Relationship Id="rId41" Type="http://schemas.openxmlformats.org/officeDocument/2006/relationships/hyperlink" Target="https://taiga.ecquaria.org/project/tecq-digital-id/task/654" TargetMode="External"/><Relationship Id="rId44" Type="http://schemas.openxmlformats.org/officeDocument/2006/relationships/hyperlink" Target="https://taiga.ecquaria.org/project/tecq-digital-id/issue/804" TargetMode="External"/><Relationship Id="rId43" Type="http://schemas.openxmlformats.org/officeDocument/2006/relationships/hyperlink" Target="https://taiga.ecquaria.org/project/tecq-digital-id/issue/804" TargetMode="External"/><Relationship Id="rId46" Type="http://schemas.openxmlformats.org/officeDocument/2006/relationships/hyperlink" Target="https://taiga.ecquaria.org/project/presales-mccy-ioms/us/616" TargetMode="External"/><Relationship Id="rId45" Type="http://schemas.openxmlformats.org/officeDocument/2006/relationships/hyperlink" Target="https://taiga.ecquaria.org/project/tecq-digital-id/issue/804" TargetMode="External"/><Relationship Id="rId107" Type="http://schemas.openxmlformats.org/officeDocument/2006/relationships/hyperlink" Target="https://taiga.ecquaria.org/project/tecq-digital-id/issue/1211" TargetMode="External"/><Relationship Id="rId106" Type="http://schemas.openxmlformats.org/officeDocument/2006/relationships/hyperlink" Target="https://taiga.ecquaria.org/project/tecq-digital-id/issue/1211" TargetMode="External"/><Relationship Id="rId105" Type="http://schemas.openxmlformats.org/officeDocument/2006/relationships/hyperlink" Target="https://taiga.ecquaria.org/project/tecq-digital-id/issue/1211" TargetMode="External"/><Relationship Id="rId104" Type="http://schemas.openxmlformats.org/officeDocument/2006/relationships/hyperlink" Target="https://taiga.ecquaria.org/project/tecq-digital-id/issue/1211" TargetMode="External"/><Relationship Id="rId109" Type="http://schemas.openxmlformats.org/officeDocument/2006/relationships/hyperlink" Target="https://taiga.ecquaria.org/project/tecq-digital-id/issue/1211" TargetMode="External"/><Relationship Id="rId108" Type="http://schemas.openxmlformats.org/officeDocument/2006/relationships/hyperlink" Target="https://taiga.ecquaria.org/project/tecq-digital-id/issue/1211" TargetMode="External"/><Relationship Id="rId48" Type="http://schemas.openxmlformats.org/officeDocument/2006/relationships/hyperlink" Target="https://taiga.ecquaria.org/project/presales-mccy-ioms/us/616" TargetMode="External"/><Relationship Id="rId47" Type="http://schemas.openxmlformats.org/officeDocument/2006/relationships/hyperlink" Target="https://taiga.ecquaria.org/project/presales-mccy-ioms/us/616" TargetMode="External"/><Relationship Id="rId49" Type="http://schemas.openxmlformats.org/officeDocument/2006/relationships/hyperlink" Target="https://taiga.ecquaria.org/project/presales-mccy-ioms/us/617" TargetMode="External"/><Relationship Id="rId103" Type="http://schemas.openxmlformats.org/officeDocument/2006/relationships/hyperlink" Target="https://taiga.ecquaria.org/project/tecq-digital-id/issue/1211" TargetMode="External"/><Relationship Id="rId102" Type="http://schemas.openxmlformats.org/officeDocument/2006/relationships/hyperlink" Target="https://taiga.ecquaria.org/project/tecq-digital-id/issue/1211" TargetMode="External"/><Relationship Id="rId101" Type="http://schemas.openxmlformats.org/officeDocument/2006/relationships/hyperlink" Target="https://taiga.ecquaria.org/project/tecq-digital-id/issue/1211" TargetMode="External"/><Relationship Id="rId100" Type="http://schemas.openxmlformats.org/officeDocument/2006/relationships/hyperlink" Target="https://taiga.ecquaria.org/project/tecq-digital-id/issue/1211" TargetMode="External"/><Relationship Id="rId31" Type="http://schemas.openxmlformats.org/officeDocument/2006/relationships/hyperlink" Target="https://taiga.ecquaria.org/project/tecq-digital-id/issue/700" TargetMode="External"/><Relationship Id="rId30" Type="http://schemas.openxmlformats.org/officeDocument/2006/relationships/hyperlink" Target="https://taiga.ecquaria.org/project/tecq-digital-id/issue/670" TargetMode="External"/><Relationship Id="rId33" Type="http://schemas.openxmlformats.org/officeDocument/2006/relationships/hyperlink" Target="https://taiga.ecquaria.org/project/tecq-digital-id/issue/699" TargetMode="External"/><Relationship Id="rId32" Type="http://schemas.openxmlformats.org/officeDocument/2006/relationships/hyperlink" Target="https://taiga.ecquaria.org/project/tecq-digital-id/issue/679" TargetMode="External"/><Relationship Id="rId35" Type="http://schemas.openxmlformats.org/officeDocument/2006/relationships/hyperlink" Target="https://taiga.ecquaria.org/project/tecq-digital-id/issue/725" TargetMode="External"/><Relationship Id="rId34" Type="http://schemas.openxmlformats.org/officeDocument/2006/relationships/hyperlink" Target="https://taiga.ecquaria.org/project/tecq-digital-id/issue/727" TargetMode="External"/><Relationship Id="rId37" Type="http://schemas.openxmlformats.org/officeDocument/2006/relationships/hyperlink" Target="https://taiga.ecquaria.org/project/tecq-digital-id/issue/719" TargetMode="External"/><Relationship Id="rId36" Type="http://schemas.openxmlformats.org/officeDocument/2006/relationships/hyperlink" Target="https://taiga.ecquaria.org/project/tecq-digital-id/issue/747" TargetMode="External"/><Relationship Id="rId39" Type="http://schemas.openxmlformats.org/officeDocument/2006/relationships/hyperlink" Target="https://taiga.ecquaria.org/project/tecq-digital-id/issue/773" TargetMode="External"/><Relationship Id="rId38" Type="http://schemas.openxmlformats.org/officeDocument/2006/relationships/hyperlink" Target="https://taiga.ecquaria.org/project/tecq-digital-id/issue/757" TargetMode="External"/><Relationship Id="rId20" Type="http://schemas.openxmlformats.org/officeDocument/2006/relationships/hyperlink" Target="https://taiga.ecquaria.org/project/tecq-digital-id/issue/598" TargetMode="External"/><Relationship Id="rId22" Type="http://schemas.openxmlformats.org/officeDocument/2006/relationships/hyperlink" Target="https://taiga.ecquaria.org/project/tecq-digital-id/issue/627" TargetMode="External"/><Relationship Id="rId21" Type="http://schemas.openxmlformats.org/officeDocument/2006/relationships/hyperlink" Target="https://taiga.ecquaria.org/project/tecq-digital-id/issue/624" TargetMode="External"/><Relationship Id="rId24" Type="http://schemas.openxmlformats.org/officeDocument/2006/relationships/hyperlink" Target="https://taiga.ecquaria.org/project/presales-mccy-ioms/task/439" TargetMode="External"/><Relationship Id="rId23" Type="http://schemas.openxmlformats.org/officeDocument/2006/relationships/hyperlink" Target="https://taiga.ecquaria.org/project/tecq-digital-id/issue/555" TargetMode="External"/><Relationship Id="rId26" Type="http://schemas.openxmlformats.org/officeDocument/2006/relationships/hyperlink" Target="https://taiga.ecquaria.org/project/presales-mccy-ioms/us/433" TargetMode="External"/><Relationship Id="rId25" Type="http://schemas.openxmlformats.org/officeDocument/2006/relationships/hyperlink" Target="https://taiga.ecquaria.org/project/presales-mccy-ioms/us/434" TargetMode="External"/><Relationship Id="rId28" Type="http://schemas.openxmlformats.org/officeDocument/2006/relationships/hyperlink" Target="https://taiga.ecquaria.org/project/tecq-digital-id/issue/626" TargetMode="External"/><Relationship Id="rId27" Type="http://schemas.openxmlformats.org/officeDocument/2006/relationships/hyperlink" Target="https://taiga.ecquaria.org/project/tecq-digital-id/issue/647" TargetMode="External"/><Relationship Id="rId29" Type="http://schemas.openxmlformats.org/officeDocument/2006/relationships/hyperlink" Target="https://taiga.ecquaria.org/project/tecq-digital-id/issue/686" TargetMode="External"/><Relationship Id="rId95" Type="http://schemas.openxmlformats.org/officeDocument/2006/relationships/hyperlink" Target="https://taiga.ecquaria.org/project/tecq-digital-id/issue/1199" TargetMode="External"/><Relationship Id="rId94" Type="http://schemas.openxmlformats.org/officeDocument/2006/relationships/hyperlink" Target="https://taiga.ecquaria.org/project/tecq-digital-id/issue/1189" TargetMode="External"/><Relationship Id="rId97" Type="http://schemas.openxmlformats.org/officeDocument/2006/relationships/hyperlink" Target="https://taiga.ecquaria.org/project/tecq-digital-id/issue/1201" TargetMode="External"/><Relationship Id="rId96" Type="http://schemas.openxmlformats.org/officeDocument/2006/relationships/hyperlink" Target="https://taiga.ecquaria.org/project/tecq-digital-id/task/891" TargetMode="External"/><Relationship Id="rId11" Type="http://schemas.openxmlformats.org/officeDocument/2006/relationships/hyperlink" Target="https://taiga.ecquaria.org/project/presales-mccy-ioms/us/308" TargetMode="External"/><Relationship Id="rId99" Type="http://schemas.openxmlformats.org/officeDocument/2006/relationships/hyperlink" Target="https://taiga.ecquaria.org/project/tecq-digital-id/issue/1209" TargetMode="External"/><Relationship Id="rId10" Type="http://schemas.openxmlformats.org/officeDocument/2006/relationships/hyperlink" Target="https://taiga.ecquaria.org/project/presales-mccy-ioms/us/287" TargetMode="External"/><Relationship Id="rId98" Type="http://schemas.openxmlformats.org/officeDocument/2006/relationships/hyperlink" Target="https://taiga.ecquaria.org/project/tecq-digital-id/issue/1201" TargetMode="External"/><Relationship Id="rId13" Type="http://schemas.openxmlformats.org/officeDocument/2006/relationships/hyperlink" Target="https://taiga.ecquaria.org/project/presales-mccy-ioms/us/308" TargetMode="External"/><Relationship Id="rId12" Type="http://schemas.openxmlformats.org/officeDocument/2006/relationships/hyperlink" Target="https://taiga.ecquaria.org/project/presales-mccy-ioms/us/308" TargetMode="External"/><Relationship Id="rId91" Type="http://schemas.openxmlformats.org/officeDocument/2006/relationships/hyperlink" Target="https://taiga.ecquaria.org/project/tecq-digital-id/task/1159" TargetMode="External"/><Relationship Id="rId90" Type="http://schemas.openxmlformats.org/officeDocument/2006/relationships/hyperlink" Target="https://taiga.ecquaria.org/project/tecq-digital-id/issue/1117" TargetMode="External"/><Relationship Id="rId93" Type="http://schemas.openxmlformats.org/officeDocument/2006/relationships/hyperlink" Target="https://taiga.ecquaria.org/project/tecq-digital-id/issue/1173" TargetMode="External"/><Relationship Id="rId92" Type="http://schemas.openxmlformats.org/officeDocument/2006/relationships/hyperlink" Target="https://taiga.ecquaria.org/project/tecq-digital-id/issue/1172" TargetMode="External"/><Relationship Id="rId115" Type="http://schemas.openxmlformats.org/officeDocument/2006/relationships/table" Target="../tables/table11.xml"/><Relationship Id="rId15" Type="http://schemas.openxmlformats.org/officeDocument/2006/relationships/hyperlink" Target="https://taiga.ecquaria.org/project/presales-mccy-ioms/us/328" TargetMode="External"/><Relationship Id="rId110" Type="http://schemas.openxmlformats.org/officeDocument/2006/relationships/hyperlink" Target="https://taiga.ecquaria.org/project/tecq-digital-id/issue/1211" TargetMode="External"/><Relationship Id="rId14" Type="http://schemas.openxmlformats.org/officeDocument/2006/relationships/hyperlink" Target="https://taiga.ecquaria.org/project/presales-mccy-ioms/us/308" TargetMode="External"/><Relationship Id="rId17" Type="http://schemas.openxmlformats.org/officeDocument/2006/relationships/hyperlink" Target="https://taiga.ecquaria.org/project/tecq-digital-id/issue/559" TargetMode="External"/><Relationship Id="rId16" Type="http://schemas.openxmlformats.org/officeDocument/2006/relationships/hyperlink" Target="https://taiga.ecquaria.org/project/tecq-digital-id/issue/559" TargetMode="External"/><Relationship Id="rId19" Type="http://schemas.openxmlformats.org/officeDocument/2006/relationships/hyperlink" Target="https://taiga.ecquaria.org/project/tecq-digital-id/issue/568" TargetMode="External"/><Relationship Id="rId18" Type="http://schemas.openxmlformats.org/officeDocument/2006/relationships/hyperlink" Target="https://taiga.ecquaria.org/project/tecq-digital-id/task/572" TargetMode="External"/><Relationship Id="rId113" Type="http://schemas.openxmlformats.org/officeDocument/2006/relationships/drawing" Target="../drawings/drawing11.xml"/><Relationship Id="rId112" Type="http://schemas.openxmlformats.org/officeDocument/2006/relationships/hyperlink" Target="https://taiga.ecquaria.org/project/tecq-digital-id/task/891" TargetMode="External"/><Relationship Id="rId111" Type="http://schemas.openxmlformats.org/officeDocument/2006/relationships/hyperlink" Target="https://taiga.ecquaria.org/project/tecq-digital-id/issue/1211" TargetMode="External"/><Relationship Id="rId84" Type="http://schemas.openxmlformats.org/officeDocument/2006/relationships/hyperlink" Target="https://taiga.ecquaria.org/project/tecq-digital-id/issue/1118" TargetMode="External"/><Relationship Id="rId83" Type="http://schemas.openxmlformats.org/officeDocument/2006/relationships/hyperlink" Target="https://taiga.ecquaria.org/project/tecq-digital-id/issue/1073" TargetMode="External"/><Relationship Id="rId86" Type="http://schemas.openxmlformats.org/officeDocument/2006/relationships/hyperlink" Target="https://taiga.ecquaria.org/project/tecq-digital-id/issue/1128" TargetMode="External"/><Relationship Id="rId85" Type="http://schemas.openxmlformats.org/officeDocument/2006/relationships/hyperlink" Target="https://taiga.ecquaria.org/project/tecq-digital-id/issue/1089" TargetMode="External"/><Relationship Id="rId88" Type="http://schemas.openxmlformats.org/officeDocument/2006/relationships/hyperlink" Target="https://taiga.ecquaria.org/project/tecq-digital-id/issue/1117" TargetMode="External"/><Relationship Id="rId87" Type="http://schemas.openxmlformats.org/officeDocument/2006/relationships/hyperlink" Target="https://taiga.ecquaria.org/project/tecq-digital-id/task/1117" TargetMode="External"/><Relationship Id="rId89" Type="http://schemas.openxmlformats.org/officeDocument/2006/relationships/hyperlink" Target="https://taiga.ecquaria.org/project/tecq-digital-id/issue/1117" TargetMode="External"/><Relationship Id="rId80" Type="http://schemas.openxmlformats.org/officeDocument/2006/relationships/hyperlink" Target="https://taiga.ecquaria.org/project/tecq-digital-id/issue/1081" TargetMode="External"/><Relationship Id="rId82" Type="http://schemas.openxmlformats.org/officeDocument/2006/relationships/hyperlink" Target="https://taiga.ecquaria.org/project/tecq-digital-id/issue/1105" TargetMode="External"/><Relationship Id="rId81" Type="http://schemas.openxmlformats.org/officeDocument/2006/relationships/hyperlink" Target="https://taiga.ecquaria.org/project/tecq-digital-id/issue/1097" TargetMode="External"/><Relationship Id="rId1" Type="http://schemas.openxmlformats.org/officeDocument/2006/relationships/hyperlink" Target="https://taiga.ecquaria.org/project/presales-mccy-ioms/us/247?kanban-status=552" TargetMode="External"/><Relationship Id="rId2" Type="http://schemas.openxmlformats.org/officeDocument/2006/relationships/hyperlink" Target="https://taiga.ecquaria.org/project/presales-mccy-ioms/task/274" TargetMode="External"/><Relationship Id="rId3" Type="http://schemas.openxmlformats.org/officeDocument/2006/relationships/hyperlink" Target="https://taiga.ecquaria.org/project/i-smart-report/us/365" TargetMode="External"/><Relationship Id="rId4" Type="http://schemas.openxmlformats.org/officeDocument/2006/relationships/hyperlink" Target="https://taiga.ecquaria.org/project/i-smart-report/us/365" TargetMode="External"/><Relationship Id="rId9" Type="http://schemas.openxmlformats.org/officeDocument/2006/relationships/hyperlink" Target="https://taiga.ecquaria.org/project/presales-mccy-ioms/us/287" TargetMode="External"/><Relationship Id="rId5" Type="http://schemas.openxmlformats.org/officeDocument/2006/relationships/hyperlink" Target="https://taiga.ecquaria.org/project/i-smart-report/us/365" TargetMode="External"/><Relationship Id="rId6" Type="http://schemas.openxmlformats.org/officeDocument/2006/relationships/hyperlink" Target="https://taiga.ecquaria.org/project/i-smart-report/us/365" TargetMode="External"/><Relationship Id="rId7" Type="http://schemas.openxmlformats.org/officeDocument/2006/relationships/hyperlink" Target="https://taiga.ecquaria.org/project/presales-mccy-ioms/us/287" TargetMode="External"/><Relationship Id="rId8" Type="http://schemas.openxmlformats.org/officeDocument/2006/relationships/hyperlink" Target="https://taiga.ecquaria.org/project/presales-mccy-ioms/us/287" TargetMode="External"/><Relationship Id="rId73" Type="http://schemas.openxmlformats.org/officeDocument/2006/relationships/hyperlink" Target="https://taiga.ecquaria.org/project/presales-mccy-ioms/us/770" TargetMode="External"/><Relationship Id="rId72" Type="http://schemas.openxmlformats.org/officeDocument/2006/relationships/hyperlink" Target="https://taiga.ecquaria.org/project/presales-mccy-ioms/us/744" TargetMode="External"/><Relationship Id="rId75" Type="http://schemas.openxmlformats.org/officeDocument/2006/relationships/hyperlink" Target="https://taiga.ecquaria.org/project/presales-mccy-ioms/us/793" TargetMode="External"/><Relationship Id="rId74" Type="http://schemas.openxmlformats.org/officeDocument/2006/relationships/hyperlink" Target="https://taiga.ecquaria.org/project/presales-mccy-ioms/us/793" TargetMode="External"/><Relationship Id="rId77" Type="http://schemas.openxmlformats.org/officeDocument/2006/relationships/hyperlink" Target="https://taiga.ecquaria.org/project/tecq-digital-id/issue/1034" TargetMode="External"/><Relationship Id="rId76" Type="http://schemas.openxmlformats.org/officeDocument/2006/relationships/hyperlink" Target="https://taiga.ecquaria.org/project/presales-mccy-ioms/us/791" TargetMode="External"/><Relationship Id="rId79" Type="http://schemas.openxmlformats.org/officeDocument/2006/relationships/hyperlink" Target="https://taiga.ecquaria.org/project/tecq-digital-id/issue/1024" TargetMode="External"/><Relationship Id="rId78" Type="http://schemas.openxmlformats.org/officeDocument/2006/relationships/hyperlink" Target="https://taiga.ecquaria.org/project/tecq-digital-id/issue/1087" TargetMode="External"/><Relationship Id="rId71" Type="http://schemas.openxmlformats.org/officeDocument/2006/relationships/hyperlink" Target="https://taiga.ecquaria.org/project/presales-mccy-ioms/us/744" TargetMode="External"/><Relationship Id="rId70" Type="http://schemas.openxmlformats.org/officeDocument/2006/relationships/hyperlink" Target="https://taiga.ecquaria.org/project/presales-mccy-ioms/us/744" TargetMode="External"/><Relationship Id="rId62" Type="http://schemas.openxmlformats.org/officeDocument/2006/relationships/hyperlink" Target="https://taiga.ecquaria.org/project/tecq-digital-id/issue/963" TargetMode="External"/><Relationship Id="rId61" Type="http://schemas.openxmlformats.org/officeDocument/2006/relationships/hyperlink" Target="https://taiga.ecquaria.org/project/tecq-digital-id/issue/963" TargetMode="External"/><Relationship Id="rId64" Type="http://schemas.openxmlformats.org/officeDocument/2006/relationships/hyperlink" Target="https://taiga.ecquaria.org/project/tecq-digital-id/issue/963" TargetMode="External"/><Relationship Id="rId63" Type="http://schemas.openxmlformats.org/officeDocument/2006/relationships/hyperlink" Target="https://taiga.ecquaria.org/project/tecq-digital-id/issue/963" TargetMode="External"/><Relationship Id="rId66" Type="http://schemas.openxmlformats.org/officeDocument/2006/relationships/hyperlink" Target="https://taiga.ecquaria.org/project/tecq-digital-id/task/959" TargetMode="External"/><Relationship Id="rId65" Type="http://schemas.openxmlformats.org/officeDocument/2006/relationships/hyperlink" Target="https://taiga.ecquaria.org/project/tecq-digital-id/issue/963" TargetMode="External"/><Relationship Id="rId68" Type="http://schemas.openxmlformats.org/officeDocument/2006/relationships/hyperlink" Target="https://taiga.ecquaria.org/project/presales-mccy-ioms/us/760" TargetMode="External"/><Relationship Id="rId67" Type="http://schemas.openxmlformats.org/officeDocument/2006/relationships/hyperlink" Target="https://taiga.ecquaria.org/project/presales-mccy-ioms/us/761" TargetMode="External"/><Relationship Id="rId60" Type="http://schemas.openxmlformats.org/officeDocument/2006/relationships/hyperlink" Target="https://taiga.ecquaria.org/project/tecq-digital-id/issue/963" TargetMode="External"/><Relationship Id="rId69" Type="http://schemas.openxmlformats.org/officeDocument/2006/relationships/hyperlink" Target="https://taiga.ecquaria.org/project/presales-mccy-ioms/us/744" TargetMode="External"/><Relationship Id="rId51" Type="http://schemas.openxmlformats.org/officeDocument/2006/relationships/hyperlink" Target="https://taiga.ecquaria.org/project/presales-mccy-ioms/us/617" TargetMode="External"/><Relationship Id="rId50" Type="http://schemas.openxmlformats.org/officeDocument/2006/relationships/hyperlink" Target="https://taiga.ecquaria.org/project/presales-mccy-ioms/us/617" TargetMode="External"/><Relationship Id="rId53" Type="http://schemas.openxmlformats.org/officeDocument/2006/relationships/hyperlink" Target="https://taiga.ecquaria.org/project/presales-mccy-ioms/us/617" TargetMode="External"/><Relationship Id="rId52" Type="http://schemas.openxmlformats.org/officeDocument/2006/relationships/hyperlink" Target="https://taiga.ecquaria.org/project/presales-mccy-ioms/us/617" TargetMode="External"/><Relationship Id="rId55" Type="http://schemas.openxmlformats.org/officeDocument/2006/relationships/hyperlink" Target="https://taiga.ecquaria.org/project/tecq-digital-id/issue/861" TargetMode="External"/><Relationship Id="rId54" Type="http://schemas.openxmlformats.org/officeDocument/2006/relationships/hyperlink" Target="https://taiga.ecquaria.org/project/tecq-digital-id/task/815" TargetMode="External"/><Relationship Id="rId57" Type="http://schemas.openxmlformats.org/officeDocument/2006/relationships/hyperlink" Target="https://taiga.ecquaria.org/project/tecq-digital-id/issue/945" TargetMode="External"/><Relationship Id="rId56" Type="http://schemas.openxmlformats.org/officeDocument/2006/relationships/hyperlink" Target="https://taiga.ecquaria.org/project/tecq-digital-id/task/735" TargetMode="External"/><Relationship Id="rId59" Type="http://schemas.openxmlformats.org/officeDocument/2006/relationships/hyperlink" Target="https://taiga.ecquaria.org/project/tecq-digital-id/issue/963" TargetMode="External"/><Relationship Id="rId58" Type="http://schemas.openxmlformats.org/officeDocument/2006/relationships/hyperlink" Target="https://taiga.ecquaria.org/project/tecq-digital-id/issue/955"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taiga.ecquaria.org/project/tecq-digital-id/issue/822" TargetMode="External"/><Relationship Id="rId42" Type="http://schemas.openxmlformats.org/officeDocument/2006/relationships/hyperlink" Target="https://taiga.ecquaria.org/project/tecq-digital-id/task/927" TargetMode="External"/><Relationship Id="rId41" Type="http://schemas.openxmlformats.org/officeDocument/2006/relationships/hyperlink" Target="https://taiga.ecquaria.org/project/tecq-digital-id/task/927" TargetMode="External"/><Relationship Id="rId44" Type="http://schemas.openxmlformats.org/officeDocument/2006/relationships/hyperlink" Target="https://taiga.ecquaria.org/project/tecq-digital-id/task/965" TargetMode="External"/><Relationship Id="rId43" Type="http://schemas.openxmlformats.org/officeDocument/2006/relationships/hyperlink" Target="https://taiga.ecquaria.org/project/tecq-digital-id/task/927" TargetMode="External"/><Relationship Id="rId46" Type="http://schemas.openxmlformats.org/officeDocument/2006/relationships/hyperlink" Target="https://taiga.ecquaria.org/project/tecq-digital-id/issue/987" TargetMode="External"/><Relationship Id="rId45" Type="http://schemas.openxmlformats.org/officeDocument/2006/relationships/hyperlink" Target="https://taiga.ecquaria.org/project/tecq-digital-id/task/965" TargetMode="External"/><Relationship Id="rId48" Type="http://schemas.openxmlformats.org/officeDocument/2006/relationships/hyperlink" Target="https://taiga.ecquaria.org/project/tecq-digital-id/task/902" TargetMode="External"/><Relationship Id="rId47" Type="http://schemas.openxmlformats.org/officeDocument/2006/relationships/hyperlink" Target="https://taiga.ecquaria.org/project/tecq-digital-id/task/902" TargetMode="External"/><Relationship Id="rId49" Type="http://schemas.openxmlformats.org/officeDocument/2006/relationships/hyperlink" Target="https://taiga.ecquaria.org/project/tecq-digital-id/issue/992" TargetMode="External"/><Relationship Id="rId31" Type="http://schemas.openxmlformats.org/officeDocument/2006/relationships/hyperlink" Target="https://taiga.ecquaria.org/project/presales-mccy-ioms/us/518?kanban-include_attachments=1&amp;kanban-include_tasks=1&amp;kanban-status=550" TargetMode="External"/><Relationship Id="rId30" Type="http://schemas.openxmlformats.org/officeDocument/2006/relationships/hyperlink" Target="https://taiga.ecquaria.org/project/presales-mccy-ioms/us/574?kanban-include_attachments=1&amp;kanban-include_tasks=1&amp;kanban-status=551" TargetMode="External"/><Relationship Id="rId33" Type="http://schemas.openxmlformats.org/officeDocument/2006/relationships/hyperlink" Target="https://taiga.ecquaria.org/project/presales-mccy-ioms/us/611?kanban-include_attachments=1&amp;kanban-include_tasks=1&amp;kanban-status=857" TargetMode="External"/><Relationship Id="rId32" Type="http://schemas.openxmlformats.org/officeDocument/2006/relationships/hyperlink" Target="https://taiga.ecquaria.org/project/presales-mccy-ioms/us/612?kanban-include_attachments=1&amp;kanban-include_tasks=1&amp;kanban-status=857" TargetMode="External"/><Relationship Id="rId35" Type="http://schemas.openxmlformats.org/officeDocument/2006/relationships/hyperlink" Target="https://taiga.ecquaria.org/project/presales-mccy-ioms/us/603?kanban-include_attachments=1&amp;kanban-include_tasks=1&amp;kanban-status=858" TargetMode="External"/><Relationship Id="rId34" Type="http://schemas.openxmlformats.org/officeDocument/2006/relationships/hyperlink" Target="https://taiga.ecquaria.org/project/presales-mccy-ioms/us/585?kanban-include_attachments=1&amp;kanban-include_tasks=1&amp;kanban-status=857" TargetMode="External"/><Relationship Id="rId37" Type="http://schemas.openxmlformats.org/officeDocument/2006/relationships/hyperlink" Target="https://taiga.ecquaria.org/project/tecq-digital-id/task/865" TargetMode="External"/><Relationship Id="rId36" Type="http://schemas.openxmlformats.org/officeDocument/2006/relationships/hyperlink" Target="https://taiga.ecquaria.org/project/tecq-digital-id/task/866" TargetMode="External"/><Relationship Id="rId39" Type="http://schemas.openxmlformats.org/officeDocument/2006/relationships/hyperlink" Target="https://taiga.ecquaria.org/project/tecq-digital-id/task/911" TargetMode="External"/><Relationship Id="rId38" Type="http://schemas.openxmlformats.org/officeDocument/2006/relationships/hyperlink" Target="https://taiga.ecquaria.org/project/tecq-digital-id/task/882" TargetMode="External"/><Relationship Id="rId20" Type="http://schemas.openxmlformats.org/officeDocument/2006/relationships/hyperlink" Target="https://taiga.ecquaria.org/project/presales-mccy-ioms/us/315?kanban-include_attachments=1&amp;kanban-include_tasks=1&amp;kanban-status=549" TargetMode="External"/><Relationship Id="rId22" Type="http://schemas.openxmlformats.org/officeDocument/2006/relationships/hyperlink" Target="https://taiga.ecquaria.org/project/presales-mccy-ioms/us/315?kanban-include_attachments=1&amp;kanban-include_tasks=1&amp;kanban-status=549" TargetMode="External"/><Relationship Id="rId21" Type="http://schemas.openxmlformats.org/officeDocument/2006/relationships/hyperlink" Target="https://taiga.ecquaria.org/project/presales-mccy-ioms/us/315?kanban-include_attachments=1&amp;kanban-include_tasks=1&amp;kanban-status=549" TargetMode="External"/><Relationship Id="rId24" Type="http://schemas.openxmlformats.org/officeDocument/2006/relationships/hyperlink" Target="https://taiga.ecquaria.org/project/presales-mccy-ioms/us/315?kanban-include_attachments=1&amp;kanban-include_tasks=1&amp;kanban-status=549" TargetMode="External"/><Relationship Id="rId23" Type="http://schemas.openxmlformats.org/officeDocument/2006/relationships/hyperlink" Target="https://taiga.ecquaria.org/project/presales-mccy-ioms/us/315?kanban-include_attachments=1&amp;kanban-include_tasks=1&amp;kanban-status=549" TargetMode="External"/><Relationship Id="rId26" Type="http://schemas.openxmlformats.org/officeDocument/2006/relationships/hyperlink" Target="https://taiga.ecquaria.org/project/presales-mccy-ioms/us/510?kanban-include_attachments=1&amp;kanban-include_tasks=1&amp;kanban-status=549" TargetMode="External"/><Relationship Id="rId25" Type="http://schemas.openxmlformats.org/officeDocument/2006/relationships/hyperlink" Target="https://taiga.ecquaria.org/project/presales-mccy-ioms/us/315?kanban-include_attachments=1&amp;kanban-include_tasks=1&amp;kanban-status=549" TargetMode="External"/><Relationship Id="rId28" Type="http://schemas.openxmlformats.org/officeDocument/2006/relationships/hyperlink" Target="https://taiga.ecquaria.org/project/presales-mccy-ioms/us/548?kanban-include_attachments=1&amp;kanban-include_tasks=1&amp;kanban-status=551" TargetMode="External"/><Relationship Id="rId27" Type="http://schemas.openxmlformats.org/officeDocument/2006/relationships/hyperlink" Target="https://taiga.ecquaria.org/project/presales-mccy-ioms/us/527?kanban-include_attachments=1&amp;kanban-include_tasks=1&amp;kanban-status=551" TargetMode="External"/><Relationship Id="rId29" Type="http://schemas.openxmlformats.org/officeDocument/2006/relationships/hyperlink" Target="https://taiga.ecquaria.org/project/presales-mccy-ioms/us/548?kanban-include_attachments=1&amp;kanban-include_tasks=1&amp;kanban-status=551" TargetMode="External"/><Relationship Id="rId11" Type="http://schemas.openxmlformats.org/officeDocument/2006/relationships/hyperlink" Target="https://taiga.ecquaria.org/project/presales-mccy-ioms/us/315?kanban-include_attachments=1&amp;kanban-include_tasks=1&amp;kanban-status=549" TargetMode="External"/><Relationship Id="rId10" Type="http://schemas.openxmlformats.org/officeDocument/2006/relationships/hyperlink" Target="https://taiga.ecquaria.org/project/ifams2/us/360?kanban-include_attachments=1&amp;kanban-include_tasks=1&amp;kanban-status=538" TargetMode="External"/><Relationship Id="rId13" Type="http://schemas.openxmlformats.org/officeDocument/2006/relationships/hyperlink" Target="https://taiga.ecquaria.org/project/presales-mccy-ioms/us/315?kanban-include_attachments=1&amp;kanban-include_tasks=1&amp;kanban-status=549" TargetMode="External"/><Relationship Id="rId12" Type="http://schemas.openxmlformats.org/officeDocument/2006/relationships/hyperlink" Target="https://taiga.ecquaria.org/project/ifams2/us/361?kanban-include_attachments=1&amp;kanban-include_tasks=1&amp;kanban-status=537" TargetMode="External"/><Relationship Id="rId15" Type="http://schemas.openxmlformats.org/officeDocument/2006/relationships/hyperlink" Target="https://taiga.ecquaria.org/project/presales-mccy-ioms/us/315?kanban-include_attachments=1&amp;kanban-include_tasks=1&amp;kanban-status=549" TargetMode="External"/><Relationship Id="rId14" Type="http://schemas.openxmlformats.org/officeDocument/2006/relationships/hyperlink" Target="https://taiga.ecquaria.org/project/presales-mccy-ioms/us/315?kanban-include_attachments=1&amp;kanban-include_tasks=1&amp;kanban-status=549" TargetMode="External"/><Relationship Id="rId17" Type="http://schemas.openxmlformats.org/officeDocument/2006/relationships/hyperlink" Target="https://taiga.ecquaria.org/project/presales-mccy-ioms/us/315?kanban-include_attachments=1&amp;kanban-include_tasks=1&amp;kanban-status=549" TargetMode="External"/><Relationship Id="rId16" Type="http://schemas.openxmlformats.org/officeDocument/2006/relationships/hyperlink" Target="https://taiga.ecquaria.org/project/presales-mccy-ioms/us/315?kanban-include_attachments=1&amp;kanban-include_tasks=1&amp;kanban-status=549" TargetMode="External"/><Relationship Id="rId19" Type="http://schemas.openxmlformats.org/officeDocument/2006/relationships/hyperlink" Target="https://taiga.ecquaria.org/project/presales-mccy-ioms/us/315?kanban-include_attachments=1&amp;kanban-include_tasks=1&amp;kanban-status=549" TargetMode="External"/><Relationship Id="rId18" Type="http://schemas.openxmlformats.org/officeDocument/2006/relationships/hyperlink" Target="https://taiga.ecquaria.org/project/presales-mccy-ioms/us/315?kanban-include_attachments=1&amp;kanban-include_tasks=1&amp;kanban-status=549" TargetMode="External"/><Relationship Id="rId1" Type="http://schemas.openxmlformats.org/officeDocument/2006/relationships/hyperlink" Target="https://taiga.ecquaria.org/project/ifams2/us/355?kanban-include_attachments=1&amp;kanban-include_tasks=1&amp;kanban-status=538" TargetMode="External"/><Relationship Id="rId2" Type="http://schemas.openxmlformats.org/officeDocument/2006/relationships/hyperlink" Target="https://taiga.ecquaria.org/project/ifams2/us/347?kanban-include_attachments=1&amp;kanban-include_tasks=1&amp;kanban-status=537" TargetMode="External"/><Relationship Id="rId3" Type="http://schemas.openxmlformats.org/officeDocument/2006/relationships/hyperlink" Target="https://taiga.ecquaria.org/project/ifams2/us/349?kanban-include_attachments=1&amp;kanban-include_tasks=1&amp;kanban-status=853" TargetMode="External"/><Relationship Id="rId4" Type="http://schemas.openxmlformats.org/officeDocument/2006/relationships/hyperlink" Target="https://taiga.ecquaria.org/project/ifams2/us/340?kanban-include_attachments=1&amp;kanban-include_tasks=1&amp;kanban-status=599" TargetMode="External"/><Relationship Id="rId9" Type="http://schemas.openxmlformats.org/officeDocument/2006/relationships/hyperlink" Target="https://taiga.ecquaria.org/project/presales-mccy-ioms/us/315?kanban-include_attachments=1&amp;kanban-include_tasks=1&amp;kanban-status=549" TargetMode="External"/><Relationship Id="rId5" Type="http://schemas.openxmlformats.org/officeDocument/2006/relationships/hyperlink" Target="https://taiga.ecquaria.org/project/ifams2/us/347?kanban-include_attachments=1&amp;kanban-include_tasks=1&amp;kanban-status=537" TargetMode="External"/><Relationship Id="rId6" Type="http://schemas.openxmlformats.org/officeDocument/2006/relationships/hyperlink" Target="https://taiga.ecquaria.org/project/ifams2/us/347?kanban-include_attachments=1&amp;kanban-include_tasks=1&amp;kanban-status=537" TargetMode="External"/><Relationship Id="rId7" Type="http://schemas.openxmlformats.org/officeDocument/2006/relationships/hyperlink" Target="https://taiga.ecquaria.org/project/presales-mccy-ioms/us/315?kanban-include_attachments=1&amp;kanban-include_tasks=1&amp;kanban-status=549" TargetMode="External"/><Relationship Id="rId8" Type="http://schemas.openxmlformats.org/officeDocument/2006/relationships/hyperlink" Target="https://taiga.ecquaria.org/project/ifams2/us/360?kanban-include_attachments=1&amp;kanban-include_tasks=1&amp;kanban-status=538" TargetMode="External"/><Relationship Id="rId73" Type="http://schemas.openxmlformats.org/officeDocument/2006/relationships/hyperlink" Target="https://taiga.ecquaria.org/project/tecq-digital-id/task/1057" TargetMode="External"/><Relationship Id="rId72" Type="http://schemas.openxmlformats.org/officeDocument/2006/relationships/hyperlink" Target="https://taiga.ecquaria.org/project/tecq-digital-id/issue/976" TargetMode="External"/><Relationship Id="rId75" Type="http://schemas.openxmlformats.org/officeDocument/2006/relationships/hyperlink" Target="https://taiga.ecquaria.org/project/tecq-digital-id/issue/1150" TargetMode="External"/><Relationship Id="rId74" Type="http://schemas.openxmlformats.org/officeDocument/2006/relationships/hyperlink" Target="https://taiga.ecquaria.org/project/tecq-digital-id/task/1057" TargetMode="External"/><Relationship Id="rId76" Type="http://schemas.openxmlformats.org/officeDocument/2006/relationships/drawing" Target="../drawings/drawing12.xml"/><Relationship Id="rId78" Type="http://schemas.openxmlformats.org/officeDocument/2006/relationships/table" Target="../tables/table12.xml"/><Relationship Id="rId71" Type="http://schemas.openxmlformats.org/officeDocument/2006/relationships/hyperlink" Target="https://taiga.ecquaria.org/project/tecq-digital-id/task/1088" TargetMode="External"/><Relationship Id="rId70" Type="http://schemas.openxmlformats.org/officeDocument/2006/relationships/hyperlink" Target="https://taiga.ecquaria.org/project/tecq-digital-id/task/1088" TargetMode="External"/><Relationship Id="rId62" Type="http://schemas.openxmlformats.org/officeDocument/2006/relationships/hyperlink" Target="https://taiga.ecquaria.org/project/tecq-digital-id/task/1048" TargetMode="External"/><Relationship Id="rId61" Type="http://schemas.openxmlformats.org/officeDocument/2006/relationships/hyperlink" Target="https://taiga.ecquaria.org/project/tecq-digital-id/task/1048" TargetMode="External"/><Relationship Id="rId64" Type="http://schemas.openxmlformats.org/officeDocument/2006/relationships/hyperlink" Target="https://taiga.ecquaria.org/project/tecq-digital-id/task/939" TargetMode="External"/><Relationship Id="rId63" Type="http://schemas.openxmlformats.org/officeDocument/2006/relationships/hyperlink" Target="https://taiga.ecquaria.org/project/tecq-digital-id/task/938" TargetMode="External"/><Relationship Id="rId66" Type="http://schemas.openxmlformats.org/officeDocument/2006/relationships/hyperlink" Target="https://taiga.ecquaria.org/project/tecq-digital-id/task/878" TargetMode="External"/><Relationship Id="rId65" Type="http://schemas.openxmlformats.org/officeDocument/2006/relationships/hyperlink" Target="https://taiga.ecquaria.org/project/tecq-digital-id/task/878" TargetMode="External"/><Relationship Id="rId68" Type="http://schemas.openxmlformats.org/officeDocument/2006/relationships/hyperlink" Target="https://taiga.ecquaria.org/project/tecq-digital-id/issue/1114" TargetMode="External"/><Relationship Id="rId67" Type="http://schemas.openxmlformats.org/officeDocument/2006/relationships/hyperlink" Target="https://taiga.ecquaria.org/project/tecq-digital-id/task/1054" TargetMode="External"/><Relationship Id="rId60" Type="http://schemas.openxmlformats.org/officeDocument/2006/relationships/hyperlink" Target="https://taiga.ecquaria.org/project/tecq-digital-id/task/938" TargetMode="External"/><Relationship Id="rId69" Type="http://schemas.openxmlformats.org/officeDocument/2006/relationships/hyperlink" Target="https://taiga.ecquaria.org/project/tecq-digital-id/issue/1114" TargetMode="External"/><Relationship Id="rId51" Type="http://schemas.openxmlformats.org/officeDocument/2006/relationships/hyperlink" Target="https://taiga.ecquaria.org/project/tecq-digital-id/task/902" TargetMode="External"/><Relationship Id="rId50" Type="http://schemas.openxmlformats.org/officeDocument/2006/relationships/hyperlink" Target="https://taiga.ecquaria.org/project/tecq-digital-id/issue/987" TargetMode="External"/><Relationship Id="rId53" Type="http://schemas.openxmlformats.org/officeDocument/2006/relationships/hyperlink" Target="https://taiga.ecquaria.org/project/tecq-digital-id/issue/1010" TargetMode="External"/><Relationship Id="rId52" Type="http://schemas.openxmlformats.org/officeDocument/2006/relationships/hyperlink" Target="https://taiga.ecquaria.org/project/tecq-digital-id/issue/1016" TargetMode="External"/><Relationship Id="rId55" Type="http://schemas.openxmlformats.org/officeDocument/2006/relationships/hyperlink" Target="https://taiga.ecquaria.org/project/tecq-digital-id/issue/1017" TargetMode="External"/><Relationship Id="rId54" Type="http://schemas.openxmlformats.org/officeDocument/2006/relationships/hyperlink" Target="https://taiga.ecquaria.org/project/tecq-digital-id/issue/1041" TargetMode="External"/><Relationship Id="rId57" Type="http://schemas.openxmlformats.org/officeDocument/2006/relationships/hyperlink" Target="https://taiga.ecquaria.org/project/tecq-digital-id/task/938" TargetMode="External"/><Relationship Id="rId56" Type="http://schemas.openxmlformats.org/officeDocument/2006/relationships/hyperlink" Target="https://taiga.ecquaria.org/project/tecq-digital-id/issue/1014" TargetMode="External"/><Relationship Id="rId59" Type="http://schemas.openxmlformats.org/officeDocument/2006/relationships/hyperlink" Target="https://taiga.ecquaria.org/project/tecq-digital-id/task/1046" TargetMode="External"/><Relationship Id="rId58" Type="http://schemas.openxmlformats.org/officeDocument/2006/relationships/hyperlink" Target="https://taiga.ecquaria.org/project/tecq-digital-id/task/1060" TargetMode="External"/></Relationships>
</file>

<file path=xl/worksheets/_rels/sheet13.xml.rels><?xml version="1.0" encoding="UTF-8" standalone="yes"?><Relationships xmlns="http://schemas.openxmlformats.org/package/2006/relationships"><Relationship Id="rId11" Type="http://schemas.openxmlformats.org/officeDocument/2006/relationships/drawing" Target="../drawings/drawing13.xml"/><Relationship Id="rId10" Type="http://schemas.openxmlformats.org/officeDocument/2006/relationships/hyperlink" Target="https://taiga.ecquaria.org/project/ica-ismart-backend/issue/1709" TargetMode="External"/><Relationship Id="rId13" Type="http://schemas.openxmlformats.org/officeDocument/2006/relationships/table" Target="../tables/table13.xml"/><Relationship Id="rId1" Type="http://schemas.openxmlformats.org/officeDocument/2006/relationships/hyperlink" Target="https://taiga.ecquaria.org/project/ica-ismart-backend/issue/1707" TargetMode="External"/><Relationship Id="rId2" Type="http://schemas.openxmlformats.org/officeDocument/2006/relationships/hyperlink" Target="https://taiga.ecquaria.org/project/ica-ismart-backend/issue/1707" TargetMode="External"/><Relationship Id="rId3" Type="http://schemas.openxmlformats.org/officeDocument/2006/relationships/hyperlink" Target="https://taiga.ecquaria.org/project/ica-ismart-backend/issue/1707" TargetMode="External"/><Relationship Id="rId4" Type="http://schemas.openxmlformats.org/officeDocument/2006/relationships/hyperlink" Target="https://taiga.ecquaria.org/project/ica-ismart-backend/issue/1706" TargetMode="External"/><Relationship Id="rId9" Type="http://schemas.openxmlformats.org/officeDocument/2006/relationships/hyperlink" Target="https://taiga.ecquaria.org/project/ica-ismart-backend/issue/1709" TargetMode="External"/><Relationship Id="rId5" Type="http://schemas.openxmlformats.org/officeDocument/2006/relationships/hyperlink" Target="https://taiga.ecquaria.org/project/ica-ismart-backend/issue/1706" TargetMode="External"/><Relationship Id="rId6" Type="http://schemas.openxmlformats.org/officeDocument/2006/relationships/hyperlink" Target="https://taiga.ecquaria.org/project/ica-ismart-backend/issue/1706" TargetMode="External"/><Relationship Id="rId7" Type="http://schemas.openxmlformats.org/officeDocument/2006/relationships/hyperlink" Target="https://taiga.ecquaria.org/project/ica-ismart-backend/issue/1709" TargetMode="External"/><Relationship Id="rId8" Type="http://schemas.openxmlformats.org/officeDocument/2006/relationships/hyperlink" Target="https://taiga.ecquaria.org/project/ica-ismart-backend/issue/1709"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taiga.ecquaria.org/project/tecq-ai-bd/us/237" TargetMode="External"/><Relationship Id="rId42" Type="http://schemas.openxmlformats.org/officeDocument/2006/relationships/hyperlink" Target="https://taiga.ecquaria.org/project/tecq-ai-bd/us/237" TargetMode="External"/><Relationship Id="rId41" Type="http://schemas.openxmlformats.org/officeDocument/2006/relationships/hyperlink" Target="https://taiga.ecquaria.org/project/tecq-ai-bd/us/59" TargetMode="External"/><Relationship Id="rId44" Type="http://schemas.openxmlformats.org/officeDocument/2006/relationships/hyperlink" Target="https://taiga.ecquaria.org/project/tecq-ai-bd/us/248?" TargetMode="External"/><Relationship Id="rId43" Type="http://schemas.openxmlformats.org/officeDocument/2006/relationships/hyperlink" Target="https://taiga.ecquaria.org/project/tecq-ai-bd/us/248?" TargetMode="External"/><Relationship Id="rId46" Type="http://schemas.openxmlformats.org/officeDocument/2006/relationships/hyperlink" Target="https://taiga.ecquaria.org/project/tecq-ai-bd/us/237" TargetMode="External"/><Relationship Id="rId45" Type="http://schemas.openxmlformats.org/officeDocument/2006/relationships/hyperlink" Target="https://taiga.ecquaria.org/project/tecq-ai-bd/us/237" TargetMode="External"/><Relationship Id="rId107" Type="http://schemas.openxmlformats.org/officeDocument/2006/relationships/hyperlink" Target="https://taiga.ecquaria.org/project/tecq-ai-bd/us/363" TargetMode="External"/><Relationship Id="rId106" Type="http://schemas.openxmlformats.org/officeDocument/2006/relationships/hyperlink" Target="https://taiga.ecquaria.org/project/tecq-ai-bd/us/363" TargetMode="External"/><Relationship Id="rId105" Type="http://schemas.openxmlformats.org/officeDocument/2006/relationships/hyperlink" Target="https://taiga.ecquaria.org/project/tecq-ai-bd/us/363" TargetMode="External"/><Relationship Id="rId104" Type="http://schemas.openxmlformats.org/officeDocument/2006/relationships/hyperlink" Target="https://taiga.ecquaria.org/project/tecq-ai-bd/us/363" TargetMode="External"/><Relationship Id="rId109" Type="http://schemas.openxmlformats.org/officeDocument/2006/relationships/hyperlink" Target="https://taiga.ecquaria.org/project/tecq-ai-bd/us/374" TargetMode="External"/><Relationship Id="rId108" Type="http://schemas.openxmlformats.org/officeDocument/2006/relationships/hyperlink" Target="https://taiga.ecquaria.org/project/tecq-ai-bd/us/363" TargetMode="External"/><Relationship Id="rId48" Type="http://schemas.openxmlformats.org/officeDocument/2006/relationships/hyperlink" Target="https://taiga.ecquaria.org/project/tecq-ai-bd/us/260" TargetMode="External"/><Relationship Id="rId47" Type="http://schemas.openxmlformats.org/officeDocument/2006/relationships/hyperlink" Target="https://taiga.ecquaria.org/project/tecq-ai-bd/us/260" TargetMode="External"/><Relationship Id="rId49" Type="http://schemas.openxmlformats.org/officeDocument/2006/relationships/hyperlink" Target="https://taiga.ecquaria.org/project/tecq-ai-bd" TargetMode="External"/><Relationship Id="rId103" Type="http://schemas.openxmlformats.org/officeDocument/2006/relationships/hyperlink" Target="https://taiga.ecquaria.org/project/tecq-ai-bd/us/363" TargetMode="External"/><Relationship Id="rId102" Type="http://schemas.openxmlformats.org/officeDocument/2006/relationships/hyperlink" Target="https://taiga.ecquaria.org/project/tecq-ai-bd/us/363" TargetMode="External"/><Relationship Id="rId101" Type="http://schemas.openxmlformats.org/officeDocument/2006/relationships/hyperlink" Target="https://taiga.ecquaria.org/project/tecq-ai-bd/us/362" TargetMode="External"/><Relationship Id="rId100" Type="http://schemas.openxmlformats.org/officeDocument/2006/relationships/hyperlink" Target="https://taiga.ecquaria.org/project/tecq-ai-bd/us/360" TargetMode="External"/><Relationship Id="rId31" Type="http://schemas.openxmlformats.org/officeDocument/2006/relationships/hyperlink" Target="https://taiga.ecquaria.org/project/tecq-ai-bd/us/59?kanban-include_attachments=1&amp;kanban-include_tasks=1&amp;kanban-status=759" TargetMode="External"/><Relationship Id="rId30" Type="http://schemas.openxmlformats.org/officeDocument/2006/relationships/hyperlink" Target="https://taiga.ecquaria.org/project/tecq-ai-bd/us/59?kanban-include_attachments=1&amp;kanban-include_tasks=1&amp;kanban-status=759" TargetMode="External"/><Relationship Id="rId33" Type="http://schemas.openxmlformats.org/officeDocument/2006/relationships/hyperlink" Target="https://taiga.ecquaria.org/project/tecq-ai-bd/us/59?kanban-include_attachments=1&amp;kanban-include_tasks=1&amp;kanban-status=759" TargetMode="External"/><Relationship Id="rId32" Type="http://schemas.openxmlformats.org/officeDocument/2006/relationships/hyperlink" Target="https://taiga.ecquaria.org/project/tecq-ai-bd/us/59?kanban-include_attachments=1&amp;kanban-include_tasks=1&amp;kanban-status=759" TargetMode="External"/><Relationship Id="rId35" Type="http://schemas.openxmlformats.org/officeDocument/2006/relationships/hyperlink" Target="https://taiga.ecquaria.org/project/tecq-ai-bd/us/59?kanban-include_attachments=1&amp;kanban-include_tasks=1&amp;kanban-status=759" TargetMode="External"/><Relationship Id="rId34" Type="http://schemas.openxmlformats.org/officeDocument/2006/relationships/hyperlink" Target="https://taiga.ecquaria.org/project/tecq-ai-bd/us/59?kanban-include_attachments=1&amp;kanban-include_tasks=1&amp;kanban-status=759" TargetMode="External"/><Relationship Id="rId37" Type="http://schemas.openxmlformats.org/officeDocument/2006/relationships/hyperlink" Target="https://taiga.ecquaria.org/project/tecq-ai-bd/us/227" TargetMode="External"/><Relationship Id="rId36" Type="http://schemas.openxmlformats.org/officeDocument/2006/relationships/hyperlink" Target="https://taiga.ecquaria.org/project/tecq-ai-bd/us/227" TargetMode="External"/><Relationship Id="rId39" Type="http://schemas.openxmlformats.org/officeDocument/2006/relationships/hyperlink" Target="https://taiga.ecquaria.org/project/tecq-ai-bd/us/224" TargetMode="External"/><Relationship Id="rId38" Type="http://schemas.openxmlformats.org/officeDocument/2006/relationships/hyperlink" Target="https://taiga.ecquaria.org/project/tecq-ai-bd/us/223" TargetMode="External"/><Relationship Id="rId20" Type="http://schemas.openxmlformats.org/officeDocument/2006/relationships/hyperlink" Target="https://taiga.ecquaria.org/project/tecq-ai-bd/us/162?kanban-include_attachments=1&amp;kanban-include_tasks=1&amp;kanban-status=757" TargetMode="External"/><Relationship Id="rId22" Type="http://schemas.openxmlformats.org/officeDocument/2006/relationships/hyperlink" Target="https://taiga.ecquaria.org/project/tecq-ai-bd/us/162?kanban-include_attachments=1&amp;kanban-include_tasks=1&amp;kanban-status=757" TargetMode="External"/><Relationship Id="rId21" Type="http://schemas.openxmlformats.org/officeDocument/2006/relationships/hyperlink" Target="https://taiga.ecquaria.org/project/tecq-ai-bd/us/162?kanban-include_attachments=1&amp;kanban-include_tasks=1&amp;kanban-status=757" TargetMode="External"/><Relationship Id="rId24" Type="http://schemas.openxmlformats.org/officeDocument/2006/relationships/hyperlink" Target="https://taiga.ecquaria.org/project/tecq-ai-bd/us/59?kanban-include_attachments=1&amp;kanban-include_tasks=1&amp;kanban-status=759" TargetMode="External"/><Relationship Id="rId23" Type="http://schemas.openxmlformats.org/officeDocument/2006/relationships/hyperlink" Target="https://taiga.ecquaria.org/project/tecq-ai-bd/us/162?kanban-include_attachments=1&amp;kanban-include_tasks=1&amp;kanban-status=757" TargetMode="External"/><Relationship Id="rId26" Type="http://schemas.openxmlformats.org/officeDocument/2006/relationships/hyperlink" Target="https://taiga.ecquaria.org/project/tecq-ai-bd/us/59?kanban-include_attachments=1&amp;kanban-include_tasks=1&amp;kanban-status=759" TargetMode="External"/><Relationship Id="rId25" Type="http://schemas.openxmlformats.org/officeDocument/2006/relationships/hyperlink" Target="https://taiga.ecquaria.org/project/tecq-ai-bd/us/59?kanban-include_attachments=1&amp;kanban-include_tasks=1&amp;kanban-status=759" TargetMode="External"/><Relationship Id="rId28" Type="http://schemas.openxmlformats.org/officeDocument/2006/relationships/hyperlink" Target="https://taiga.ecquaria.org/project/tecq-ai-bd/us/59?kanban-include_attachments=1&amp;kanban-include_tasks=1&amp;kanban-status=759" TargetMode="External"/><Relationship Id="rId27" Type="http://schemas.openxmlformats.org/officeDocument/2006/relationships/hyperlink" Target="https://taiga.ecquaria.org/project/tecq-ai-bd/us/59?kanban-include_attachments=1&amp;kanban-include_tasks=1&amp;kanban-status=759" TargetMode="External"/><Relationship Id="rId29" Type="http://schemas.openxmlformats.org/officeDocument/2006/relationships/hyperlink" Target="https://taiga.ecquaria.org/project/tecq-ai-bd/us/59?kanban-include_attachments=1&amp;kanban-include_tasks=1&amp;kanban-status=759" TargetMode="External"/><Relationship Id="rId95" Type="http://schemas.openxmlformats.org/officeDocument/2006/relationships/hyperlink" Target="https://taiga.ecquaria.org/project/tecq-ai-bd/us/352" TargetMode="External"/><Relationship Id="rId94" Type="http://schemas.openxmlformats.org/officeDocument/2006/relationships/hyperlink" Target="https://taiga.ecquaria.org/project/tecq-ai-bd/us/352" TargetMode="External"/><Relationship Id="rId97" Type="http://schemas.openxmlformats.org/officeDocument/2006/relationships/hyperlink" Target="https://taiga.ecquaria.org/project/tecq-ai-bd/us/356" TargetMode="External"/><Relationship Id="rId96" Type="http://schemas.openxmlformats.org/officeDocument/2006/relationships/hyperlink" Target="https://taiga.ecquaria.org/project/tecq-ai-bd/us/356" TargetMode="External"/><Relationship Id="rId11" Type="http://schemas.openxmlformats.org/officeDocument/2006/relationships/hyperlink" Target="https://taiga.ecquaria.org/project/tecq-ai-bd/us/162?kanban-include_attachments=1&amp;kanban-include_tasks=1&amp;kanban-status=757" TargetMode="External"/><Relationship Id="rId99" Type="http://schemas.openxmlformats.org/officeDocument/2006/relationships/hyperlink" Target="https://taiga.ecquaria.org/project/tecq-ai-bd/us/360" TargetMode="External"/><Relationship Id="rId10" Type="http://schemas.openxmlformats.org/officeDocument/2006/relationships/hyperlink" Target="https://taiga.ecquaria.org/project/tecq-ai-bd/us/159?kanban-include_attachments=1&amp;kanban-include_tasks=1&amp;kanban-status=757" TargetMode="External"/><Relationship Id="rId98" Type="http://schemas.openxmlformats.org/officeDocument/2006/relationships/hyperlink" Target="https://taiga.ecquaria.org/project/tecq-ai-bd/us/356" TargetMode="External"/><Relationship Id="rId13" Type="http://schemas.openxmlformats.org/officeDocument/2006/relationships/hyperlink" Target="https://taiga.ecquaria.org/project/tecq-ai-bd/us/162?kanban-include_attachments=1&amp;kanban-include_tasks=1&amp;kanban-status=757" TargetMode="External"/><Relationship Id="rId12" Type="http://schemas.openxmlformats.org/officeDocument/2006/relationships/hyperlink" Target="https://taiga.ecquaria.org/project/tecq-ai-bd/us/162?kanban-include_attachments=1&amp;kanban-include_tasks=1&amp;kanban-status=757" TargetMode="External"/><Relationship Id="rId91" Type="http://schemas.openxmlformats.org/officeDocument/2006/relationships/hyperlink" Target="https://taiga.ecquaria.org/project/tecq-ai-bd/us/352" TargetMode="External"/><Relationship Id="rId90" Type="http://schemas.openxmlformats.org/officeDocument/2006/relationships/hyperlink" Target="https://taiga.ecquaria.org/project/tecq-ai-bd/us/352" TargetMode="External"/><Relationship Id="rId93" Type="http://schemas.openxmlformats.org/officeDocument/2006/relationships/hyperlink" Target="https://taiga.ecquaria.org/project/tecq-ai-bd/us/352" TargetMode="External"/><Relationship Id="rId92" Type="http://schemas.openxmlformats.org/officeDocument/2006/relationships/hyperlink" Target="https://taiga.ecquaria.org/project/tecq-ai-bd/us/352" TargetMode="External"/><Relationship Id="rId15" Type="http://schemas.openxmlformats.org/officeDocument/2006/relationships/hyperlink" Target="https://taiga.ecquaria.org/project/tecq-ai-bd/us/162?kanban-include_attachments=1&amp;kanban-include_tasks=1&amp;kanban-status=757" TargetMode="External"/><Relationship Id="rId110" Type="http://schemas.openxmlformats.org/officeDocument/2006/relationships/hyperlink" Target="https://taiga.ecquaria.org/project/tecq-ai-bd/us/377" TargetMode="External"/><Relationship Id="rId14" Type="http://schemas.openxmlformats.org/officeDocument/2006/relationships/hyperlink" Target="https://taiga.ecquaria.org/project/tecq-ai-bd/us/162?kanban-include_attachments=1&amp;kanban-include_tasks=1&amp;kanban-status=757" TargetMode="External"/><Relationship Id="rId17" Type="http://schemas.openxmlformats.org/officeDocument/2006/relationships/hyperlink" Target="https://taiga.ecquaria.org/project/tecq-ai-bd/us/162?kanban-include_attachments=1&amp;kanban-include_tasks=1&amp;kanban-status=757" TargetMode="External"/><Relationship Id="rId16" Type="http://schemas.openxmlformats.org/officeDocument/2006/relationships/hyperlink" Target="https://taiga.ecquaria.org/project/tecq-ai-bd/us/162?kanban-include_attachments=1&amp;kanban-include_tasks=1&amp;kanban-status=757" TargetMode="External"/><Relationship Id="rId19" Type="http://schemas.openxmlformats.org/officeDocument/2006/relationships/hyperlink" Target="https://taiga.ecquaria.org/project/tecq-ai-bd/us/162?kanban-include_attachments=1&amp;kanban-include_tasks=1&amp;kanban-status=757" TargetMode="External"/><Relationship Id="rId114" Type="http://schemas.openxmlformats.org/officeDocument/2006/relationships/table" Target="../tables/table14.xml"/><Relationship Id="rId18" Type="http://schemas.openxmlformats.org/officeDocument/2006/relationships/hyperlink" Target="https://taiga.ecquaria.org/project/tecq-ai-bd/us/162?kanban-include_attachments=1&amp;kanban-include_tasks=1&amp;kanban-status=757" TargetMode="External"/><Relationship Id="rId112" Type="http://schemas.openxmlformats.org/officeDocument/2006/relationships/drawing" Target="../drawings/drawing14.xml"/><Relationship Id="rId111" Type="http://schemas.openxmlformats.org/officeDocument/2006/relationships/hyperlink" Target="https://taiga.ecquaria.org/project/tecq-ai-bd/us/377" TargetMode="External"/><Relationship Id="rId84" Type="http://schemas.openxmlformats.org/officeDocument/2006/relationships/hyperlink" Target="https://taiga.ecquaria.org/project/tecq-ai-bd/us/337" TargetMode="External"/><Relationship Id="rId83" Type="http://schemas.openxmlformats.org/officeDocument/2006/relationships/hyperlink" Target="https://taiga.ecquaria.org/project/tecq-ai-bd/us/300" TargetMode="External"/><Relationship Id="rId86" Type="http://schemas.openxmlformats.org/officeDocument/2006/relationships/hyperlink" Target="https://taiga.ecquaria.org/project/tecq-ai-bd/us/333" TargetMode="External"/><Relationship Id="rId85" Type="http://schemas.openxmlformats.org/officeDocument/2006/relationships/hyperlink" Target="https://taiga.ecquaria.org/project/tecq-ai-bd/us/333" TargetMode="External"/><Relationship Id="rId88" Type="http://schemas.openxmlformats.org/officeDocument/2006/relationships/hyperlink" Target="https://taiga.ecquaria.org/project/tecq-ai-bd/us/343" TargetMode="External"/><Relationship Id="rId87" Type="http://schemas.openxmlformats.org/officeDocument/2006/relationships/hyperlink" Target="https://taiga.ecquaria.org/project/tecq-ai-bd/us/337" TargetMode="External"/><Relationship Id="rId89" Type="http://schemas.openxmlformats.org/officeDocument/2006/relationships/hyperlink" Target="https://taiga.ecquaria.org/project/tecq-ai-bd/us/343" TargetMode="External"/><Relationship Id="rId80" Type="http://schemas.openxmlformats.org/officeDocument/2006/relationships/hyperlink" Target="https://taiga.ecquaria.org/project/tecq-ai-bd/us/300" TargetMode="External"/><Relationship Id="rId82" Type="http://schemas.openxmlformats.org/officeDocument/2006/relationships/hyperlink" Target="https://taiga.ecquaria.org/project/tecq-ai-bd/us/300" TargetMode="External"/><Relationship Id="rId81" Type="http://schemas.openxmlformats.org/officeDocument/2006/relationships/hyperlink" Target="https://taiga.ecquaria.org/project/tecq-ai-bd/us/300" TargetMode="External"/><Relationship Id="rId1" Type="http://schemas.openxmlformats.org/officeDocument/2006/relationships/hyperlink" Target="https://taiga.ecquaria.org/project/tecq-ai-bd/us/158?kanban-include_attachments=1&amp;kanban-include_tasks=1&amp;kanban-status=762" TargetMode="External"/><Relationship Id="rId2" Type="http://schemas.openxmlformats.org/officeDocument/2006/relationships/hyperlink" Target="https://taiga.ecquaria.org/project/tecq-ai-bd/us/160?kanban-include_attachments=1&amp;kanban-include_tasks=1&amp;kanban-status=759" TargetMode="External"/><Relationship Id="rId3" Type="http://schemas.openxmlformats.org/officeDocument/2006/relationships/hyperlink" Target="https://taiga.ecquaria.org/project/tecq-ai-bd/us/160?kanban-include_attachments=1&amp;kanban-include_tasks=1&amp;kanban-status=759" TargetMode="External"/><Relationship Id="rId4" Type="http://schemas.openxmlformats.org/officeDocument/2006/relationships/hyperlink" Target="https://taiga.ecquaria.org/project/tecq-ai-bd/us/161?kanban-include_attachments=1&amp;kanban-include_tasks=1&amp;kanban-status=757" TargetMode="External"/><Relationship Id="rId9" Type="http://schemas.openxmlformats.org/officeDocument/2006/relationships/hyperlink" Target="https://taiga.ecquaria.org/project/tecq-ai-bd/us/159?kanban-include_attachments=1&amp;kanban-include_tasks=1&amp;kanban-status=757" TargetMode="External"/><Relationship Id="rId5" Type="http://schemas.openxmlformats.org/officeDocument/2006/relationships/hyperlink" Target="https://taiga.ecquaria.org/project/tecq-ai-bd/us/161?kanban-include_attachments=1&amp;kanban-include_tasks=1&amp;kanban-status=757" TargetMode="External"/><Relationship Id="rId6" Type="http://schemas.openxmlformats.org/officeDocument/2006/relationships/hyperlink" Target="https://taiga.ecquaria.org/project/tecq-ai-bd/us/161?kanban-include_attachments=1&amp;kanban-include_tasks=1&amp;kanban-status=757" TargetMode="External"/><Relationship Id="rId7" Type="http://schemas.openxmlformats.org/officeDocument/2006/relationships/hyperlink" Target="https://taiga.ecquaria.org/project/tecq-ai-bd/us/162?kanban-include_attachments=1&amp;kanban-include_tasks=1&amp;kanban-status=757" TargetMode="External"/><Relationship Id="rId8" Type="http://schemas.openxmlformats.org/officeDocument/2006/relationships/hyperlink" Target="https://taiga.ecquaria.org/project/tecq-ai-bd/us/163?kanban-include_attachments=1&amp;kanban-include_tasks=1&amp;kanban-status=757" TargetMode="External"/><Relationship Id="rId73" Type="http://schemas.openxmlformats.org/officeDocument/2006/relationships/hyperlink" Target="https://taiga.ecquaria.org/project/tecq-ai-bd/us/300" TargetMode="External"/><Relationship Id="rId72" Type="http://schemas.openxmlformats.org/officeDocument/2006/relationships/hyperlink" Target="https://taiga.ecquaria.org/project/tecq-ai-bd/us/300" TargetMode="External"/><Relationship Id="rId75" Type="http://schemas.openxmlformats.org/officeDocument/2006/relationships/hyperlink" Target="https://taiga.ecquaria.org/project/tecq-ai-bd/us/300" TargetMode="External"/><Relationship Id="rId74" Type="http://schemas.openxmlformats.org/officeDocument/2006/relationships/hyperlink" Target="https://taiga.ecquaria.org/project/tecq-ai-bd/us/300" TargetMode="External"/><Relationship Id="rId77" Type="http://schemas.openxmlformats.org/officeDocument/2006/relationships/hyperlink" Target="https://taiga.ecquaria.org/project/tecq-ai-bd/us/325" TargetMode="External"/><Relationship Id="rId76" Type="http://schemas.openxmlformats.org/officeDocument/2006/relationships/hyperlink" Target="https://taiga.ecquaria.org/project/tecq-ai-bd/us/325" TargetMode="External"/><Relationship Id="rId79" Type="http://schemas.openxmlformats.org/officeDocument/2006/relationships/hyperlink" Target="https://taiga.ecquaria.org/project/tecq-ai-bd/us/300" TargetMode="External"/><Relationship Id="rId78" Type="http://schemas.openxmlformats.org/officeDocument/2006/relationships/hyperlink" Target="https://taiga.ecquaria.org/project/tecq-ai-bd/us/325" TargetMode="External"/><Relationship Id="rId71" Type="http://schemas.openxmlformats.org/officeDocument/2006/relationships/hyperlink" Target="https://taiga.ecquaria.org/project/tecq-ai-bd/us/59" TargetMode="External"/><Relationship Id="rId70" Type="http://schemas.openxmlformats.org/officeDocument/2006/relationships/hyperlink" Target="https://taiga.ecquaria.org/project/tecq-ai-bd/us/59" TargetMode="External"/><Relationship Id="rId62" Type="http://schemas.openxmlformats.org/officeDocument/2006/relationships/hyperlink" Target="https://taiga.ecquaria.org/project/tecq-ai-bd/us/281" TargetMode="External"/><Relationship Id="rId61" Type="http://schemas.openxmlformats.org/officeDocument/2006/relationships/hyperlink" Target="https://taiga.ecquaria.org/project/tecq-ai-bd/us/281" TargetMode="External"/><Relationship Id="rId64" Type="http://schemas.openxmlformats.org/officeDocument/2006/relationships/hyperlink" Target="https://taiga.ecquaria.org/project/tecq-ai-bd/us/281" TargetMode="External"/><Relationship Id="rId63" Type="http://schemas.openxmlformats.org/officeDocument/2006/relationships/hyperlink" Target="https://taiga.ecquaria.org/project/tecq-ai-bd/us/281" TargetMode="External"/><Relationship Id="rId66" Type="http://schemas.openxmlformats.org/officeDocument/2006/relationships/hyperlink" Target="https://taiga.ecquaria.org/project/tecq-ai-bd/us/59" TargetMode="External"/><Relationship Id="rId65" Type="http://schemas.openxmlformats.org/officeDocument/2006/relationships/hyperlink" Target="https://taiga.ecquaria.org/project/tecq-ai-bd/us/59" TargetMode="External"/><Relationship Id="rId68" Type="http://schemas.openxmlformats.org/officeDocument/2006/relationships/hyperlink" Target="https://taiga.ecquaria.org/project/tecq-ai-bd/us/59" TargetMode="External"/><Relationship Id="rId67" Type="http://schemas.openxmlformats.org/officeDocument/2006/relationships/hyperlink" Target="https://taiga.ecquaria.org/project/tecq-ai-bd/us/59" TargetMode="External"/><Relationship Id="rId60" Type="http://schemas.openxmlformats.org/officeDocument/2006/relationships/hyperlink" Target="https://taiga.ecquaria.org/project/tecq-ai-bd/us/281" TargetMode="External"/><Relationship Id="rId69" Type="http://schemas.openxmlformats.org/officeDocument/2006/relationships/hyperlink" Target="https://taiga.ecquaria.org/project/tecq-ai-bd/us/59" TargetMode="External"/><Relationship Id="rId51" Type="http://schemas.openxmlformats.org/officeDocument/2006/relationships/hyperlink" Target="https://taiga.ecquaria.org/project/tecq-ai-bd/us/261" TargetMode="External"/><Relationship Id="rId50" Type="http://schemas.openxmlformats.org/officeDocument/2006/relationships/hyperlink" Target="https://taiga.ecquaria.org/project/tecq-ai-bd/us/266" TargetMode="External"/><Relationship Id="rId53" Type="http://schemas.openxmlformats.org/officeDocument/2006/relationships/hyperlink" Target="https://taiga.ecquaria.org/project/tecq-ai-bd/us/59" TargetMode="External"/><Relationship Id="rId52" Type="http://schemas.openxmlformats.org/officeDocument/2006/relationships/hyperlink" Target="https://taiga.ecquaria.org/project/tecq-ai-bd/us/59" TargetMode="External"/><Relationship Id="rId55" Type="http://schemas.openxmlformats.org/officeDocument/2006/relationships/hyperlink" Target="https://taiga.ecquaria.org/project/tecq-ai-bd/us/281" TargetMode="External"/><Relationship Id="rId54" Type="http://schemas.openxmlformats.org/officeDocument/2006/relationships/hyperlink" Target="https://taiga.ecquaria.org/project/tecq-ai-bd/us/281" TargetMode="External"/><Relationship Id="rId57" Type="http://schemas.openxmlformats.org/officeDocument/2006/relationships/hyperlink" Target="https://taiga.ecquaria.org/project/tecq-ai-bd/us/186" TargetMode="External"/><Relationship Id="rId56" Type="http://schemas.openxmlformats.org/officeDocument/2006/relationships/hyperlink" Target="https://taiga.ecquaria.org/project/tecq-ai-bd/us/186" TargetMode="External"/><Relationship Id="rId59" Type="http://schemas.openxmlformats.org/officeDocument/2006/relationships/hyperlink" Target="https://taiga.ecquaria.org/project/tecq-ai-bd/us/281" TargetMode="External"/><Relationship Id="rId58" Type="http://schemas.openxmlformats.org/officeDocument/2006/relationships/hyperlink" Target="https://taiga.ecquaria.org/project/tecq-ai-bd/us/281"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taiga.ecquaria.org/project/tecq-ai-bd/us/240?kanban-include_attachments=1&amp;kanban-include_tasks=1&amp;kanban-status=758" TargetMode="External"/><Relationship Id="rId42" Type="http://schemas.openxmlformats.org/officeDocument/2006/relationships/hyperlink" Target="https://taiga.ecquaria.org/project/tecq-ai-bd/us/240?kanban-include_attachments=1&amp;kanban-include_tasks=1&amp;kanban-status=758" TargetMode="External"/><Relationship Id="rId41" Type="http://schemas.openxmlformats.org/officeDocument/2006/relationships/hyperlink" Target="https://taiga.ecquaria.org/project/tecq-ai-bd/us/240?kanban-include_attachments=1&amp;kanban-include_tasks=1&amp;kanban-status=758" TargetMode="External"/><Relationship Id="rId44" Type="http://schemas.openxmlformats.org/officeDocument/2006/relationships/hyperlink" Target="https://taiga.ecquaria.org/project/tecq-ai-bd/us/243?kanban-include_attachments=1&amp;kanban-include_tasks=1&amp;kanban-status=758" TargetMode="External"/><Relationship Id="rId43" Type="http://schemas.openxmlformats.org/officeDocument/2006/relationships/hyperlink" Target="https://taiga.ecquaria.org/project/tecq-ai-bd/us/243?kanban-include_attachments=1&amp;kanban-include_tasks=1&amp;kanban-status=758" TargetMode="External"/><Relationship Id="rId46" Type="http://schemas.openxmlformats.org/officeDocument/2006/relationships/hyperlink" Target="https://taiga.ecquaria.org/project/tecq-ai-bd/us/255?kanban-include_attachments=1&amp;kanban-include_tasks=1&amp;kanban-status=758" TargetMode="External"/><Relationship Id="rId45" Type="http://schemas.openxmlformats.org/officeDocument/2006/relationships/hyperlink" Target="https://taiga.ecquaria.org/project/tecq-ai-bd/us/59?kanban-include_attachments=1&amp;kanban-include_tasks=1&amp;kanban-status=759" TargetMode="External"/><Relationship Id="rId48" Type="http://schemas.openxmlformats.org/officeDocument/2006/relationships/hyperlink" Target="https://taiga.ecquaria.org/project/tecq-ai-bd/us/249?kanban-include_attachments=1&amp;kanban-include_tasks=1&amp;kanban-status=758" TargetMode="External"/><Relationship Id="rId47" Type="http://schemas.openxmlformats.org/officeDocument/2006/relationships/hyperlink" Target="https://taiga.ecquaria.org/project/tecq-ai-bd/us/255?kanban-include_attachments=1&amp;kanban-include_tasks=1&amp;kanban-status=758" TargetMode="External"/><Relationship Id="rId49" Type="http://schemas.openxmlformats.org/officeDocument/2006/relationships/hyperlink" Target="https://taiga.ecquaria.org/project/tecq-ai-bd/us/249?kanban-include_attachments=1&amp;kanban-include_tasks=1&amp;kanban-status=758" TargetMode="External"/><Relationship Id="rId31" Type="http://schemas.openxmlformats.org/officeDocument/2006/relationships/hyperlink" Target="https://taiga.ecquaria.org/project/tecq-ai-bd/us/59?kanban-status=759" TargetMode="External"/><Relationship Id="rId30" Type="http://schemas.openxmlformats.org/officeDocument/2006/relationships/hyperlink" Target="https://taiga.ecquaria.org/project/tecq-ai-bd/us/59?kanban-status=759" TargetMode="External"/><Relationship Id="rId33" Type="http://schemas.openxmlformats.org/officeDocument/2006/relationships/hyperlink" Target="https://taiga.ecquaria.org/project/tecq-ai-bd/us/201?kanban-status=759" TargetMode="External"/><Relationship Id="rId32" Type="http://schemas.openxmlformats.org/officeDocument/2006/relationships/hyperlink" Target="https://taiga.ecquaria.org/project/tecq-ai-bd/us/201?kanban-status=759" TargetMode="External"/><Relationship Id="rId35" Type="http://schemas.openxmlformats.org/officeDocument/2006/relationships/hyperlink" Target="https://taiga.ecquaria.org/project/tecq-ai-bd/us/201?kanban-status=759" TargetMode="External"/><Relationship Id="rId34" Type="http://schemas.openxmlformats.org/officeDocument/2006/relationships/hyperlink" Target="https://taiga.ecquaria.org/project/tecq-ai-bd/us/201?kanban-status=759" TargetMode="External"/><Relationship Id="rId37" Type="http://schemas.openxmlformats.org/officeDocument/2006/relationships/hyperlink" Target="https://taiga.ecquaria.org/project/tecq-ai-bd/us/226?kanban-status=758" TargetMode="External"/><Relationship Id="rId36" Type="http://schemas.openxmlformats.org/officeDocument/2006/relationships/hyperlink" Target="https://taiga.ecquaria.org/project/tecq-ai-bd/us/218?kanban-status=759" TargetMode="External"/><Relationship Id="rId39" Type="http://schemas.openxmlformats.org/officeDocument/2006/relationships/hyperlink" Target="https://taiga.ecquaria.org/project/tecq-ai-bd/us/226?kanban-status=758" TargetMode="External"/><Relationship Id="rId38" Type="http://schemas.openxmlformats.org/officeDocument/2006/relationships/hyperlink" Target="https://taiga.ecquaria.org/project/tecq-ai-bd/us/226?kanban-status=758" TargetMode="External"/><Relationship Id="rId20" Type="http://schemas.openxmlformats.org/officeDocument/2006/relationships/hyperlink" Target="https://taiga.ecquaria.org/project/tecq-ai-bd/us/59?kanban-status=759" TargetMode="External"/><Relationship Id="rId22" Type="http://schemas.openxmlformats.org/officeDocument/2006/relationships/hyperlink" Target="https://taiga.ecquaria.org/project/tecq-ai-bd/us/59?kanban-status=759" TargetMode="External"/><Relationship Id="rId21" Type="http://schemas.openxmlformats.org/officeDocument/2006/relationships/hyperlink" Target="https://taiga.ecquaria.org/project/tecq-ai-bd/us/59?kanban-status=759" TargetMode="External"/><Relationship Id="rId24" Type="http://schemas.openxmlformats.org/officeDocument/2006/relationships/hyperlink" Target="https://taiga.ecquaria.org/project/tecq-ai-bd/us/59?kanban-status=759" TargetMode="External"/><Relationship Id="rId23" Type="http://schemas.openxmlformats.org/officeDocument/2006/relationships/hyperlink" Target="https://taiga.ecquaria.org/project/tecq-ai-bd/us/59?kanban-status=759" TargetMode="External"/><Relationship Id="rId26" Type="http://schemas.openxmlformats.org/officeDocument/2006/relationships/hyperlink" Target="https://taiga.ecquaria.org/project/tecq-ai-bd/us/59?kanban-status=759" TargetMode="External"/><Relationship Id="rId25" Type="http://schemas.openxmlformats.org/officeDocument/2006/relationships/hyperlink" Target="https://taiga.ecquaria.org/project/tecq-ai-bd/us/59?kanban-status=759" TargetMode="External"/><Relationship Id="rId28" Type="http://schemas.openxmlformats.org/officeDocument/2006/relationships/hyperlink" Target="https://taiga.ecquaria.org/project/tecq-ai-bd/us/59?kanban-status=759" TargetMode="External"/><Relationship Id="rId27" Type="http://schemas.openxmlformats.org/officeDocument/2006/relationships/hyperlink" Target="https://taiga.ecquaria.org/project/tecq-ai-bd/us/59?kanban-status=759" TargetMode="External"/><Relationship Id="rId29" Type="http://schemas.openxmlformats.org/officeDocument/2006/relationships/hyperlink" Target="https://taiga.ecquaria.org/project/tecq-ai-bd/us/59?kanban-status=759" TargetMode="External"/><Relationship Id="rId11" Type="http://schemas.openxmlformats.org/officeDocument/2006/relationships/hyperlink" Target="https://taiga.ecquaria.org/project/tecq-ai-bd/us/59?kanban-status=759" TargetMode="External"/><Relationship Id="rId10" Type="http://schemas.openxmlformats.org/officeDocument/2006/relationships/hyperlink" Target="https://taiga.ecquaria.org/project/tecq-ai-bd/us/153?kanban-status=759" TargetMode="External"/><Relationship Id="rId13" Type="http://schemas.openxmlformats.org/officeDocument/2006/relationships/hyperlink" Target="https://taiga.ecquaria.org/project/tecq-ai-bd/us/59?kanban-status=759" TargetMode="External"/><Relationship Id="rId12" Type="http://schemas.openxmlformats.org/officeDocument/2006/relationships/hyperlink" Target="https://taiga.ecquaria.org/project/tecq-ai-bd/us/59?kanban-status=759" TargetMode="External"/><Relationship Id="rId15" Type="http://schemas.openxmlformats.org/officeDocument/2006/relationships/hyperlink" Target="https://taiga.ecquaria.org/project/tecq-ai-bd/us/59?kanban-status=759" TargetMode="External"/><Relationship Id="rId14" Type="http://schemas.openxmlformats.org/officeDocument/2006/relationships/hyperlink" Target="https://taiga.ecquaria.org/project/tecq-ai-bd/us/59?kanban-status=759" TargetMode="External"/><Relationship Id="rId17" Type="http://schemas.openxmlformats.org/officeDocument/2006/relationships/hyperlink" Target="https://taiga.ecquaria.org/project/tecq-ai-bd/us/59?kanban-status=759" TargetMode="External"/><Relationship Id="rId16" Type="http://schemas.openxmlformats.org/officeDocument/2006/relationships/hyperlink" Target="https://taiga.ecquaria.org/project/tecq-ai-bd/us/59?kanban-status=759" TargetMode="External"/><Relationship Id="rId19" Type="http://schemas.openxmlformats.org/officeDocument/2006/relationships/hyperlink" Target="https://taiga.ecquaria.org/project/tecq-ai-bd/us/59?kanban-status=759" TargetMode="External"/><Relationship Id="rId18" Type="http://schemas.openxmlformats.org/officeDocument/2006/relationships/hyperlink" Target="https://taiga.ecquaria.org/project/tecq-ai-bd/us/59?kanban-status=759" TargetMode="External"/><Relationship Id="rId83" Type="http://schemas.openxmlformats.org/officeDocument/2006/relationships/drawing" Target="../drawings/drawing15.xml"/><Relationship Id="rId85" Type="http://schemas.openxmlformats.org/officeDocument/2006/relationships/table" Target="../tables/table15.xml"/><Relationship Id="rId80" Type="http://schemas.openxmlformats.org/officeDocument/2006/relationships/hyperlink" Target="https://taiga.ecquaria.org/project/tecq-ai-bd/us/326?kanban-include_attachments=1&amp;kanban-include_tasks=1&amp;kanban-status=759" TargetMode="External"/><Relationship Id="rId82" Type="http://schemas.openxmlformats.org/officeDocument/2006/relationships/hyperlink" Target="https://taiga.ecquaria.org/project/tecq-ai-bd/us/326?kanban-include_attachments=1&amp;kanban-include_tasks=1&amp;kanban-status=759" TargetMode="External"/><Relationship Id="rId81" Type="http://schemas.openxmlformats.org/officeDocument/2006/relationships/hyperlink" Target="https://taiga.ecquaria.org/project/tecq-ai-bd/us/326?kanban-include_attachments=1&amp;kanban-include_tasks=1&amp;kanban-status=759" TargetMode="External"/><Relationship Id="rId1" Type="http://schemas.openxmlformats.org/officeDocument/2006/relationships/hyperlink" Target="https://taiga.ecquaria.org/project/tecq-ai-bd/us/153?kanban-status=759" TargetMode="External"/><Relationship Id="rId2" Type="http://schemas.openxmlformats.org/officeDocument/2006/relationships/hyperlink" Target="https://taiga.ecquaria.org/project/tecq-ai-bd/us/153?kanban-status=759" TargetMode="External"/><Relationship Id="rId3" Type="http://schemas.openxmlformats.org/officeDocument/2006/relationships/hyperlink" Target="https://taiga.ecquaria.org/project/tecq-ai-bd/us/153?kanban-status=759" TargetMode="External"/><Relationship Id="rId4" Type="http://schemas.openxmlformats.org/officeDocument/2006/relationships/hyperlink" Target="https://taiga.ecquaria.org/project/tecq-ai-bd/us/153?kanban-status=759" TargetMode="External"/><Relationship Id="rId9" Type="http://schemas.openxmlformats.org/officeDocument/2006/relationships/hyperlink" Target="https://taiga.ecquaria.org/project/tecq-ai-bd/us/153?kanban-status=759" TargetMode="External"/><Relationship Id="rId5" Type="http://schemas.openxmlformats.org/officeDocument/2006/relationships/hyperlink" Target="https://taiga.ecquaria.org/project/tecq-ai-bd/us/153?kanban-status=759" TargetMode="External"/><Relationship Id="rId6" Type="http://schemas.openxmlformats.org/officeDocument/2006/relationships/hyperlink" Target="https://taiga.ecquaria.org/project/tecq-ai-bd/us/153?kanban-status=759" TargetMode="External"/><Relationship Id="rId7" Type="http://schemas.openxmlformats.org/officeDocument/2006/relationships/hyperlink" Target="https://taiga.ecquaria.org/project/tecq-ai-bd/us/153?kanban-status=759" TargetMode="External"/><Relationship Id="rId8" Type="http://schemas.openxmlformats.org/officeDocument/2006/relationships/hyperlink" Target="https://taiga.ecquaria.org/project/tecq-ai-bd/us/153?kanban-status=759" TargetMode="External"/><Relationship Id="rId73" Type="http://schemas.openxmlformats.org/officeDocument/2006/relationships/hyperlink" Target="https://taiga.ecquaria.org/project/tecq-ai-bd/us/299?kanban-include_attachments=1&amp;kanban-include_tasks=1&amp;kanban-status=757" TargetMode="External"/><Relationship Id="rId72" Type="http://schemas.openxmlformats.org/officeDocument/2006/relationships/hyperlink" Target="https://taiga.ecquaria.org/project/tecq-ai-bd/us/261?kanban-include_attachments=1&amp;kanban-include_tasks=1&amp;kanban-status=757" TargetMode="External"/><Relationship Id="rId75" Type="http://schemas.openxmlformats.org/officeDocument/2006/relationships/hyperlink" Target="https://taiga.ecquaria.org/project/tecq-ai-bd/us/299?kanban-include_attachments=1&amp;kanban-include_tasks=1&amp;kanban-status=757" TargetMode="External"/><Relationship Id="rId74" Type="http://schemas.openxmlformats.org/officeDocument/2006/relationships/hyperlink" Target="https://taiga.ecquaria.org/project/tecq-ai-bd/us/299?kanban-include_attachments=1&amp;kanban-include_tasks=1&amp;kanban-status=757" TargetMode="External"/><Relationship Id="rId77" Type="http://schemas.openxmlformats.org/officeDocument/2006/relationships/hyperlink" Target="https://taiga.ecquaria.org/project/tecq-ai-bd/us/299?kanban-include_attachments=1&amp;kanban-include_tasks=1&amp;kanban-status=757" TargetMode="External"/><Relationship Id="rId76" Type="http://schemas.openxmlformats.org/officeDocument/2006/relationships/hyperlink" Target="https://taiga.ecquaria.org/project/tecq-ai-bd/us/299?kanban-include_attachments=1&amp;kanban-include_tasks=1&amp;kanban-status=757" TargetMode="External"/><Relationship Id="rId79" Type="http://schemas.openxmlformats.org/officeDocument/2006/relationships/hyperlink" Target="https://taiga.ecquaria.org/project/tecq-ai-bd/us/326?kanban-include_attachments=1&amp;kanban-include_tasks=1&amp;kanban-status=759" TargetMode="External"/><Relationship Id="rId78" Type="http://schemas.openxmlformats.org/officeDocument/2006/relationships/hyperlink" Target="https://taiga.ecquaria.org/project/tecq-ai-bd/us/326?kanban-include_attachments=1&amp;kanban-include_tasks=1&amp;kanban-status=759" TargetMode="External"/><Relationship Id="rId71" Type="http://schemas.openxmlformats.org/officeDocument/2006/relationships/hyperlink" Target="https://taiga.ecquaria.org/project/tecq-ai-bd/us/259?kanban-include_attachments=1&amp;kanban-include_tasks=1&amp;kanban-status=759" TargetMode="External"/><Relationship Id="rId70" Type="http://schemas.openxmlformats.org/officeDocument/2006/relationships/hyperlink" Target="https://taiga.ecquaria.org/project/tecq-ai-bd/us/259?kanban-include_attachments=1&amp;kanban-include_tasks=1&amp;kanban-status=759" TargetMode="External"/><Relationship Id="rId62" Type="http://schemas.openxmlformats.org/officeDocument/2006/relationships/hyperlink" Target="https://taiga.ecquaria.org/project/tecq-ai-bd/us/259?kanban-include_attachments=1&amp;kanban-include_tasks=1&amp;kanban-status=759" TargetMode="External"/><Relationship Id="rId61" Type="http://schemas.openxmlformats.org/officeDocument/2006/relationships/hyperlink" Target="https://taiga.ecquaria.org/project/tecq-ai-bd/us/259?kanban-include_attachments=1&amp;kanban-include_tasks=1&amp;kanban-status=759" TargetMode="External"/><Relationship Id="rId64" Type="http://schemas.openxmlformats.org/officeDocument/2006/relationships/hyperlink" Target="https://taiga.ecquaria.org/project/tecq-ai-bd/us/259?kanban-include_attachments=1&amp;kanban-include_tasks=1&amp;kanban-status=759" TargetMode="External"/><Relationship Id="rId63" Type="http://schemas.openxmlformats.org/officeDocument/2006/relationships/hyperlink" Target="https://taiga.ecquaria.org/project/tecq-ai-bd/us/259?kanban-include_attachments=1&amp;kanban-include_tasks=1&amp;kanban-status=759" TargetMode="External"/><Relationship Id="rId66" Type="http://schemas.openxmlformats.org/officeDocument/2006/relationships/hyperlink" Target="https://taiga.ecquaria.org/project/tecq-ai-bd/us/259?kanban-include_attachments=1&amp;kanban-include_tasks=1&amp;kanban-status=759" TargetMode="External"/><Relationship Id="rId65" Type="http://schemas.openxmlformats.org/officeDocument/2006/relationships/hyperlink" Target="https://taiga.ecquaria.org/project/tecq-ai-bd/us/259?kanban-include_attachments=1&amp;kanban-include_tasks=1&amp;kanban-status=759" TargetMode="External"/><Relationship Id="rId68" Type="http://schemas.openxmlformats.org/officeDocument/2006/relationships/hyperlink" Target="https://taiga.ecquaria.org/project/tecq-ai-bd/us/259?kanban-include_attachments=1&amp;kanban-include_tasks=1&amp;kanban-status=759" TargetMode="External"/><Relationship Id="rId67" Type="http://schemas.openxmlformats.org/officeDocument/2006/relationships/hyperlink" Target="https://taiga.ecquaria.org/project/tecq-ai-bd/us/259?kanban-include_attachments=1&amp;kanban-include_tasks=1&amp;kanban-status=759" TargetMode="External"/><Relationship Id="rId60" Type="http://schemas.openxmlformats.org/officeDocument/2006/relationships/hyperlink" Target="https://taiga.ecquaria.org/project/tecq-ai-bd/us/259?kanban-include_attachments=1&amp;kanban-include_tasks=1&amp;kanban-status=759" TargetMode="External"/><Relationship Id="rId69" Type="http://schemas.openxmlformats.org/officeDocument/2006/relationships/hyperlink" Target="https://taiga.ecquaria.org/project/tecq-ai-bd/us/259?kanban-include_attachments=1&amp;kanban-include_tasks=1&amp;kanban-status=759" TargetMode="External"/><Relationship Id="rId51" Type="http://schemas.openxmlformats.org/officeDocument/2006/relationships/hyperlink" Target="https://taiga.ecquaria.org/project/tecq-ai-bd/us/259?kanban-include_attachments=1&amp;kanban-include_tasks=1&amp;kanban-status=759" TargetMode="External"/><Relationship Id="rId50" Type="http://schemas.openxmlformats.org/officeDocument/2006/relationships/hyperlink" Target="http://toppangravity.com/" TargetMode="External"/><Relationship Id="rId53" Type="http://schemas.openxmlformats.org/officeDocument/2006/relationships/hyperlink" Target="https://taiga.ecquaria.org/project/tecq-ai-bd/us/259?kanban-include_attachments=1&amp;kanban-include_tasks=1&amp;kanban-status=759" TargetMode="External"/><Relationship Id="rId52" Type="http://schemas.openxmlformats.org/officeDocument/2006/relationships/hyperlink" Target="http://toppangravity.com/" TargetMode="External"/><Relationship Id="rId55" Type="http://schemas.openxmlformats.org/officeDocument/2006/relationships/hyperlink" Target="https://taiga.ecquaria.org/project/tecq-ai-bd/us/259?kanban-include_attachments=1&amp;kanban-include_tasks=1&amp;kanban-status=759" TargetMode="External"/><Relationship Id="rId54" Type="http://schemas.openxmlformats.org/officeDocument/2006/relationships/hyperlink" Target="https://taiga.ecquaria.org/project/tecq-ai-bd/us/259?kanban-include_attachments=1&amp;kanban-include_tasks=1&amp;kanban-status=759" TargetMode="External"/><Relationship Id="rId57" Type="http://schemas.openxmlformats.org/officeDocument/2006/relationships/hyperlink" Target="https://taiga.ecquaria.org/project/tecq-ai-bd/us/259?kanban-include_attachments=1&amp;kanban-include_tasks=1&amp;kanban-status=759" TargetMode="External"/><Relationship Id="rId56" Type="http://schemas.openxmlformats.org/officeDocument/2006/relationships/hyperlink" Target="https://taiga.ecquaria.org/project/tecq-ai-bd/us/259?kanban-include_attachments=1&amp;kanban-include_tasks=1&amp;kanban-status=759" TargetMode="External"/><Relationship Id="rId59" Type="http://schemas.openxmlformats.org/officeDocument/2006/relationships/hyperlink" Target="https://taiga.ecquaria.org/project/tecq-ai-bd/us/259?kanban-include_attachments=1&amp;kanban-include_tasks=1&amp;kanban-status=759" TargetMode="External"/><Relationship Id="rId58" Type="http://schemas.openxmlformats.org/officeDocument/2006/relationships/hyperlink" Target="https://taiga.ecquaria.org/project/tecq-ai-bd/us/259?kanban-include_attachments=1&amp;kanban-include_tasks=1&amp;kanban-status=759"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taiga.ecquaria.org/project/tecq-ai-bd/us/59?kanban-include_attachments=1&amp;kanban-include_tasks=1&amp;kanban-status=759" TargetMode="External"/><Relationship Id="rId42" Type="http://schemas.openxmlformats.org/officeDocument/2006/relationships/hyperlink" Target="https://taiga.ecquaria.org/project/tecq-ai-bd/us/59?kanban-include_attachments=1&amp;kanban-include_tasks=1&amp;kanban-status=759" TargetMode="External"/><Relationship Id="rId41" Type="http://schemas.openxmlformats.org/officeDocument/2006/relationships/hyperlink" Target="https://taiga.ecquaria.org/project/tecq-ai-bd/us/59?kanban-include_attachments=1&amp;kanban-include_tasks=1&amp;kanban-status=759" TargetMode="External"/><Relationship Id="rId44" Type="http://schemas.openxmlformats.org/officeDocument/2006/relationships/hyperlink" Target="https://taiga.ecquaria.org/project/tecq-ai-bd/us/59?kanban-include_attachments=1&amp;kanban-include_tasks=1&amp;kanban-status=759" TargetMode="External"/><Relationship Id="rId43" Type="http://schemas.openxmlformats.org/officeDocument/2006/relationships/hyperlink" Target="https://taiga.ecquaria.org/project/tecq-ai-bd/us/59?kanban-include_attachments=1&amp;kanban-include_tasks=1&amp;kanban-status=759" TargetMode="External"/><Relationship Id="rId46" Type="http://schemas.openxmlformats.org/officeDocument/2006/relationships/hyperlink" Target="https://taiga.ecquaria.org/project/tecq-ai-bd/us/59?kanban-include_attachments=1&amp;kanban-include_tasks=1&amp;kanban-status=759" TargetMode="External"/><Relationship Id="rId45" Type="http://schemas.openxmlformats.org/officeDocument/2006/relationships/hyperlink" Target="https://taiga.ecquaria.org/project/tecq-ai-bd/us/59?kanban-include_attachments=1&amp;kanban-include_tasks=1&amp;kanban-status=759" TargetMode="External"/><Relationship Id="rId48" Type="http://schemas.openxmlformats.org/officeDocument/2006/relationships/hyperlink" Target="https://taiga.ecquaria.org/project/tecq-ai-bd/us/59?kanban-include_attachments=1&amp;kanban-include_tasks=1&amp;kanban-status=759" TargetMode="External"/><Relationship Id="rId47" Type="http://schemas.openxmlformats.org/officeDocument/2006/relationships/hyperlink" Target="https://taiga.ecquaria.org/project/tecq-ai-bd/us/59?kanban-include_attachments=1&amp;kanban-include_tasks=1&amp;kanban-status=759" TargetMode="External"/><Relationship Id="rId49" Type="http://schemas.openxmlformats.org/officeDocument/2006/relationships/hyperlink" Target="https://taiga.ecquaria.org/project/tecq-ai-bd/us/59?kanban-include_attachments=1&amp;kanban-include_tasks=1&amp;kanban-status=759" TargetMode="External"/><Relationship Id="rId31" Type="http://schemas.openxmlformats.org/officeDocument/2006/relationships/hyperlink" Target="https://taiga.ecquaria.org/project/tecq-ai-bd/us/177?kanban-include_attachments=1&amp;kanban-include_tasks=1&amp;kanban-status=758" TargetMode="External"/><Relationship Id="rId30" Type="http://schemas.openxmlformats.org/officeDocument/2006/relationships/hyperlink" Target="https://taiga.ecquaria.org/project/tecq-ai-bd/us/177?kanban-include_attachments=1&amp;kanban-include_tasks=1&amp;kanban-status=758" TargetMode="External"/><Relationship Id="rId33" Type="http://schemas.openxmlformats.org/officeDocument/2006/relationships/hyperlink" Target="https://taiga.ecquaria.org/project/tecq-ai-bd/us/177?kanban-include_attachments=1&amp;kanban-include_tasks=1&amp;kanban-status=758" TargetMode="External"/><Relationship Id="rId32" Type="http://schemas.openxmlformats.org/officeDocument/2006/relationships/hyperlink" Target="https://taiga.ecquaria.org/project/tecq-ai-bd/us/177?kanban-include_attachments=1&amp;kanban-include_tasks=1&amp;kanban-status=758" TargetMode="External"/><Relationship Id="rId35" Type="http://schemas.openxmlformats.org/officeDocument/2006/relationships/hyperlink" Target="https://taiga.ecquaria.org/project/tecq-ai-bd/us/59?kanban-include_attachments=1&amp;kanban-include_tasks=1&amp;kanban-status=759" TargetMode="External"/><Relationship Id="rId34" Type="http://schemas.openxmlformats.org/officeDocument/2006/relationships/hyperlink" Target="https://taiga.ecquaria.org/project/tecq-ai-bd/us/59?kanban-include_attachments=1&amp;kanban-include_tasks=1&amp;kanban-status=759" TargetMode="External"/><Relationship Id="rId37" Type="http://schemas.openxmlformats.org/officeDocument/2006/relationships/hyperlink" Target="https://taiga.ecquaria.org/project/tecq-ai-bd/us/59?kanban-include_attachments=1&amp;kanban-include_tasks=1&amp;kanban-status=759" TargetMode="External"/><Relationship Id="rId36" Type="http://schemas.openxmlformats.org/officeDocument/2006/relationships/hyperlink" Target="https://taiga.ecquaria.org/project/tecq-ai-bd/us/59?kanban-include_attachments=1&amp;kanban-include_tasks=1&amp;kanban-status=759" TargetMode="External"/><Relationship Id="rId39" Type="http://schemas.openxmlformats.org/officeDocument/2006/relationships/hyperlink" Target="https://taiga.ecquaria.org/project/tecq-ai-bd/us/59?kanban-include_attachments=1&amp;kanban-include_tasks=1&amp;kanban-status=759" TargetMode="External"/><Relationship Id="rId38" Type="http://schemas.openxmlformats.org/officeDocument/2006/relationships/hyperlink" Target="https://taiga.ecquaria.org/project/tecq-ai-bd/us/59?kanban-include_attachments=1&amp;kanban-include_tasks=1&amp;kanban-status=759" TargetMode="External"/><Relationship Id="rId20" Type="http://schemas.openxmlformats.org/officeDocument/2006/relationships/hyperlink" Target="https://taiga.ecquaria.org/project/tecq-ai-bd/us/177?kanban-include_attachments=1&amp;kanban-include_tasks=1&amp;kanban-status=758" TargetMode="External"/><Relationship Id="rId22" Type="http://schemas.openxmlformats.org/officeDocument/2006/relationships/hyperlink" Target="https://taiga.ecquaria.org/project/tecq-ai-bd/us/177?kanban-include_attachments=1&amp;kanban-include_tasks=1&amp;kanban-status=758" TargetMode="External"/><Relationship Id="rId21" Type="http://schemas.openxmlformats.org/officeDocument/2006/relationships/hyperlink" Target="https://taiga.ecquaria.org/project/tecq-ai-bd/us/177?kanban-include_attachments=1&amp;kanban-include_tasks=1&amp;kanban-status=758" TargetMode="External"/><Relationship Id="rId24" Type="http://schemas.openxmlformats.org/officeDocument/2006/relationships/hyperlink" Target="https://taiga.ecquaria.org/project/tecq-ai-bd/us/177?kanban-include_attachments=1&amp;kanban-include_tasks=1&amp;kanban-status=758" TargetMode="External"/><Relationship Id="rId23" Type="http://schemas.openxmlformats.org/officeDocument/2006/relationships/hyperlink" Target="https://taiga.ecquaria.org/project/tecq-ai-bd/us/177?kanban-include_attachments=1&amp;kanban-include_tasks=1&amp;kanban-status=758" TargetMode="External"/><Relationship Id="rId26" Type="http://schemas.openxmlformats.org/officeDocument/2006/relationships/hyperlink" Target="https://taiga.ecquaria.org/project/tecq-ai-bd/us/177?kanban-include_attachments=1&amp;kanban-include_tasks=1&amp;kanban-status=758" TargetMode="External"/><Relationship Id="rId25" Type="http://schemas.openxmlformats.org/officeDocument/2006/relationships/hyperlink" Target="https://taiga.ecquaria.org/project/tecq-ai-bd/us/177?kanban-include_attachments=1&amp;kanban-include_tasks=1&amp;kanban-status=758" TargetMode="External"/><Relationship Id="rId28" Type="http://schemas.openxmlformats.org/officeDocument/2006/relationships/hyperlink" Target="https://taiga.ecquaria.org/project/tecq-ai-bd/us/177?kanban-include_attachments=1&amp;kanban-include_tasks=1&amp;kanban-status=758" TargetMode="External"/><Relationship Id="rId27" Type="http://schemas.openxmlformats.org/officeDocument/2006/relationships/hyperlink" Target="https://taiga.ecquaria.org/project/tecq-ai-bd/us/177?kanban-include_attachments=1&amp;kanban-include_tasks=1&amp;kanban-status=758" TargetMode="External"/><Relationship Id="rId29" Type="http://schemas.openxmlformats.org/officeDocument/2006/relationships/hyperlink" Target="https://taiga.ecquaria.org/project/tecq-ai-bd/us/177?kanban-include_attachments=1&amp;kanban-include_tasks=1&amp;kanban-status=758" TargetMode="External"/><Relationship Id="rId11" Type="http://schemas.openxmlformats.org/officeDocument/2006/relationships/hyperlink" Target="https://docs.google.com/document/d/1S0Q4Sn3WYVqksdORvkQaF31NUHP4q3DqRefygYdJbiE/edit?tab=t.0" TargetMode="External"/><Relationship Id="rId10" Type="http://schemas.openxmlformats.org/officeDocument/2006/relationships/hyperlink" Target="https://taiga.ecquaria.org/project/tecq-ai-bd/us/154?kanban-include_attachments=1&amp;kanban-include_tasks=1&amp;kanban-status=759" TargetMode="External"/><Relationship Id="rId13" Type="http://schemas.openxmlformats.org/officeDocument/2006/relationships/hyperlink" Target="https://taiga.ecquaria.org/project/tecq-ai-bd/us/174?kanban-include_attachments=1&amp;kanban-include_tasks=1&amp;kanban-status=757" TargetMode="External"/><Relationship Id="rId12" Type="http://schemas.openxmlformats.org/officeDocument/2006/relationships/hyperlink" Target="https://taiga.ecquaria.org/project/tecq-ai-bd/us/165?kanban-include_attachments=1&amp;kanban-include_tasks=1&amp;kanban-status=757" TargetMode="External"/><Relationship Id="rId15" Type="http://schemas.openxmlformats.org/officeDocument/2006/relationships/hyperlink" Target="https://taiga.ecquaria.org/project/tecq-ai-bd/us/175?kanban-include_attachments=1&amp;kanban-include_tasks=1&amp;kanban-status=759" TargetMode="External"/><Relationship Id="rId14" Type="http://schemas.openxmlformats.org/officeDocument/2006/relationships/hyperlink" Target="https://taiga.ecquaria.org/project/tecq-ai-bd/us/175?kanban-include_attachments=1&amp;kanban-include_tasks=1&amp;kanban-status=759" TargetMode="External"/><Relationship Id="rId17" Type="http://schemas.openxmlformats.org/officeDocument/2006/relationships/hyperlink" Target="https://taiga.ecquaria.org/project/tecq-ai-bd/us/177?kanban-include_attachments=1&amp;kanban-include_tasks=1&amp;kanban-status=758" TargetMode="External"/><Relationship Id="rId16" Type="http://schemas.openxmlformats.org/officeDocument/2006/relationships/hyperlink" Target="https://taiga.ecquaria.org/project/tecq-ai-bd/us/177?kanban-include_attachments=1&amp;kanban-include_tasks=1&amp;kanban-status=758" TargetMode="External"/><Relationship Id="rId19" Type="http://schemas.openxmlformats.org/officeDocument/2006/relationships/hyperlink" Target="https://taiga.ecquaria.org/project/tecq-ai-bd/us/177?kanban-include_attachments=1&amp;kanban-include_tasks=1&amp;kanban-status=758" TargetMode="External"/><Relationship Id="rId18" Type="http://schemas.openxmlformats.org/officeDocument/2006/relationships/hyperlink" Target="https://taiga.ecquaria.org/project/tecq-ai-bd/us/177?kanban-include_attachments=1&amp;kanban-include_tasks=1&amp;kanban-status=758" TargetMode="External"/><Relationship Id="rId83" Type="http://schemas.openxmlformats.org/officeDocument/2006/relationships/drawing" Target="../drawings/drawing16.xml"/><Relationship Id="rId85" Type="http://schemas.openxmlformats.org/officeDocument/2006/relationships/table" Target="../tables/table16.xml"/><Relationship Id="rId80" Type="http://schemas.openxmlformats.org/officeDocument/2006/relationships/hyperlink" Target="https://taiga.ecquaria.org/project/tecq-ai-bd/us/324?kanban-include_attachments=1&amp;kanban-include_tasks=1&amp;kanban-status=856" TargetMode="External"/><Relationship Id="rId82" Type="http://schemas.openxmlformats.org/officeDocument/2006/relationships/hyperlink" Target="https://taiga.ecquaria.org/project/tecq-ai-bd/us/324?kanban-include_attachments=1&amp;kanban-include_tasks=1&amp;kanban-status=856" TargetMode="External"/><Relationship Id="rId81" Type="http://schemas.openxmlformats.org/officeDocument/2006/relationships/hyperlink" Target="https://taiga.ecquaria.org/project/tecq-ai-bd/us/324?kanban-include_attachments=1&amp;kanban-include_tasks=1&amp;kanban-status=856" TargetMode="External"/><Relationship Id="rId1" Type="http://schemas.openxmlformats.org/officeDocument/2006/relationships/hyperlink" Target="https://taiga.ecquaria.org/project/tecq-ai-bd/us/154?kanban-include_attachments=1&amp;kanban-include_tasks=1&amp;kanban-status=759" TargetMode="External"/><Relationship Id="rId2" Type="http://schemas.openxmlformats.org/officeDocument/2006/relationships/hyperlink" Target="https://taiga.ecquaria.org/project/tecq-ai-bd/us/154?kanban-include_attachments=1&amp;kanban-include_tasks=1&amp;kanban-status=759" TargetMode="External"/><Relationship Id="rId3" Type="http://schemas.openxmlformats.org/officeDocument/2006/relationships/hyperlink" Target="https://taiga.ecquaria.org/project/tecq-ai-bd/us/154?kanban-include_attachments=1&amp;kanban-include_tasks=1&amp;kanban-status=759" TargetMode="External"/><Relationship Id="rId4" Type="http://schemas.openxmlformats.org/officeDocument/2006/relationships/hyperlink" Target="https://taiga.ecquaria.org/project/tecq-ai-bd/us/154?kanban-include_attachments=1&amp;kanban-include_tasks=1&amp;kanban-status=759" TargetMode="External"/><Relationship Id="rId9" Type="http://schemas.openxmlformats.org/officeDocument/2006/relationships/hyperlink" Target="https://taiga.ecquaria.org/project/tecq-ai-bd/us/154?kanban-include_attachments=1&amp;kanban-include_tasks=1&amp;kanban-status=759" TargetMode="External"/><Relationship Id="rId5" Type="http://schemas.openxmlformats.org/officeDocument/2006/relationships/hyperlink" Target="https://taiga.ecquaria.org/project/tecq-ai-bd/us/154?kanban-include_attachments=1&amp;kanban-include_tasks=1&amp;kanban-status=759" TargetMode="External"/><Relationship Id="rId6" Type="http://schemas.openxmlformats.org/officeDocument/2006/relationships/hyperlink" Target="https://taiga.ecquaria.org/project/tecq-ai-bd/us/154?kanban-include_attachments=1&amp;kanban-include_tasks=1&amp;kanban-status=759" TargetMode="External"/><Relationship Id="rId7" Type="http://schemas.openxmlformats.org/officeDocument/2006/relationships/hyperlink" Target="https://taiga.ecquaria.org/project/tecq-ai-bd/us/154?kanban-include_attachments=1&amp;kanban-include_tasks=1&amp;kanban-status=759" TargetMode="External"/><Relationship Id="rId8" Type="http://schemas.openxmlformats.org/officeDocument/2006/relationships/hyperlink" Target="https://taiga.ecquaria.org/project/tecq-ai-bd/us/154?kanban-include_attachments=1&amp;kanban-include_tasks=1&amp;kanban-status=759" TargetMode="External"/><Relationship Id="rId73" Type="http://schemas.openxmlformats.org/officeDocument/2006/relationships/hyperlink" Target="https://taiga.ecquaria.org/project/tecq-ai-bd/us/59?kanban-include_attachments=1&amp;kanban-include_tasks=1&amp;kanban-status=759" TargetMode="External"/><Relationship Id="rId72" Type="http://schemas.openxmlformats.org/officeDocument/2006/relationships/hyperlink" Target="https://taiga.ecquaria.org/project/tecq-ai-bd/us/59?kanban-include_attachments=1&amp;kanban-include_tasks=1&amp;kanban-status=759" TargetMode="External"/><Relationship Id="rId75" Type="http://schemas.openxmlformats.org/officeDocument/2006/relationships/hyperlink" Target="https://taiga.ecquaria.org/project/tecq-ai-bd/us/324?kanban-include_attachments=1&amp;kanban-include_tasks=1&amp;kanban-status=856" TargetMode="External"/><Relationship Id="rId74" Type="http://schemas.openxmlformats.org/officeDocument/2006/relationships/hyperlink" Target="https://taiga.ecquaria.org/project/tecq-ai-bd/us/304?kanban-include_attachments=1&amp;kanban-include_tasks=1&amp;kanban-status=852" TargetMode="External"/><Relationship Id="rId77" Type="http://schemas.openxmlformats.org/officeDocument/2006/relationships/hyperlink" Target="https://taiga.ecquaria.org/project/tecq-ai-bd/us/324?kanban-include_attachments=1&amp;kanban-include_tasks=1&amp;kanban-status=856" TargetMode="External"/><Relationship Id="rId76" Type="http://schemas.openxmlformats.org/officeDocument/2006/relationships/hyperlink" Target="https://taiga.ecquaria.org/project/tecq-ai-bd/us/324?kanban-include_attachments=1&amp;kanban-include_tasks=1&amp;kanban-status=856" TargetMode="External"/><Relationship Id="rId79" Type="http://schemas.openxmlformats.org/officeDocument/2006/relationships/hyperlink" Target="https://taiga.ecquaria.org/project/tecq-ai-bd/us/324?kanban-include_attachments=1&amp;kanban-include_tasks=1&amp;kanban-status=856" TargetMode="External"/><Relationship Id="rId78" Type="http://schemas.openxmlformats.org/officeDocument/2006/relationships/hyperlink" Target="https://taiga.ecquaria.org/project/tecq-ai-bd/us/324?kanban-include_attachments=1&amp;kanban-include_tasks=1&amp;kanban-status=856" TargetMode="External"/><Relationship Id="rId71" Type="http://schemas.openxmlformats.org/officeDocument/2006/relationships/hyperlink" Target="https://taiga.ecquaria.org/project/tecq-ai-bd/us/59?kanban-include_attachments=1&amp;kanban-include_tasks=1&amp;kanban-status=759" TargetMode="External"/><Relationship Id="rId70" Type="http://schemas.openxmlformats.org/officeDocument/2006/relationships/hyperlink" Target="https://taiga.ecquaria.org/project/tecq-ai-bd/us/59?kanban-include_attachments=1&amp;kanban-include_tasks=1&amp;kanban-status=759" TargetMode="External"/><Relationship Id="rId62" Type="http://schemas.openxmlformats.org/officeDocument/2006/relationships/hyperlink" Target="https://taiga.ecquaria.org/project/tecq-ai-bd/us/59?kanban-include_attachments=1&amp;kanban-include_tasks=1&amp;kanban-status=759" TargetMode="External"/><Relationship Id="rId61" Type="http://schemas.openxmlformats.org/officeDocument/2006/relationships/hyperlink" Target="https://taiga.ecquaria.org/project/tecq-ai-bd/us/59?kanban-include_attachments=1&amp;kanban-include_tasks=1&amp;kanban-status=759" TargetMode="External"/><Relationship Id="rId64" Type="http://schemas.openxmlformats.org/officeDocument/2006/relationships/hyperlink" Target="https://taiga.ecquaria.org/project/tecq-ai-bd/us/59?kanban-include_attachments=1&amp;kanban-include_tasks=1&amp;kanban-status=759" TargetMode="External"/><Relationship Id="rId63" Type="http://schemas.openxmlformats.org/officeDocument/2006/relationships/hyperlink" Target="https://taiga.ecquaria.org/project/tecq-ai-bd/us/59?kanban-include_attachments=1&amp;kanban-include_tasks=1&amp;kanban-status=759" TargetMode="External"/><Relationship Id="rId66" Type="http://schemas.openxmlformats.org/officeDocument/2006/relationships/hyperlink" Target="https://taiga.ecquaria.org/project/tecq-ai-bd/us/59?kanban-include_attachments=1&amp;kanban-include_tasks=1&amp;kanban-status=759" TargetMode="External"/><Relationship Id="rId65" Type="http://schemas.openxmlformats.org/officeDocument/2006/relationships/hyperlink" Target="https://taiga.ecquaria.org/project/tecq-ai-bd/us/59?kanban-include_attachments=1&amp;kanban-include_tasks=1&amp;kanban-status=759" TargetMode="External"/><Relationship Id="rId68" Type="http://schemas.openxmlformats.org/officeDocument/2006/relationships/hyperlink" Target="https://taiga.ecquaria.org/project/tecq-ai-bd/us/59?kanban-include_attachments=1&amp;kanban-include_tasks=1&amp;kanban-status=759" TargetMode="External"/><Relationship Id="rId67" Type="http://schemas.openxmlformats.org/officeDocument/2006/relationships/hyperlink" Target="https://taiga.ecquaria.org/project/tecq-ai-bd/us/59?kanban-include_attachments=1&amp;kanban-include_tasks=1&amp;kanban-status=759" TargetMode="External"/><Relationship Id="rId60" Type="http://schemas.openxmlformats.org/officeDocument/2006/relationships/hyperlink" Target="https://taiga.ecquaria.org/project/tecq-ai-bd/us/59?kanban-include_attachments=1&amp;kanban-include_tasks=1&amp;kanban-status=759" TargetMode="External"/><Relationship Id="rId69" Type="http://schemas.openxmlformats.org/officeDocument/2006/relationships/hyperlink" Target="https://taiga.ecquaria.org/project/tecq-ai-bd/us/59?kanban-include_attachments=1&amp;kanban-include_tasks=1&amp;kanban-status=759" TargetMode="External"/><Relationship Id="rId51" Type="http://schemas.openxmlformats.org/officeDocument/2006/relationships/hyperlink" Target="https://taiga.ecquaria.org/project/tecq-ai-bd/us/59?kanban-include_attachments=1&amp;kanban-include_tasks=1&amp;kanban-status=759" TargetMode="External"/><Relationship Id="rId50" Type="http://schemas.openxmlformats.org/officeDocument/2006/relationships/hyperlink" Target="https://taiga.ecquaria.org/project/tecq-ai-bd/us/59?kanban-include_attachments=1&amp;kanban-include_tasks=1&amp;kanban-status=759" TargetMode="External"/><Relationship Id="rId53" Type="http://schemas.openxmlformats.org/officeDocument/2006/relationships/hyperlink" Target="https://taiga.ecquaria.org/project/tecq-ai-bd/us/59?kanban-include_attachments=1&amp;kanban-include_tasks=1&amp;kanban-status=759" TargetMode="External"/><Relationship Id="rId52" Type="http://schemas.openxmlformats.org/officeDocument/2006/relationships/hyperlink" Target="https://taiga.ecquaria.org/project/tecq-ai-bd/us/59?kanban-include_attachments=1&amp;kanban-include_tasks=1&amp;kanban-status=759" TargetMode="External"/><Relationship Id="rId55" Type="http://schemas.openxmlformats.org/officeDocument/2006/relationships/hyperlink" Target="https://taiga.ecquaria.org/project/tecq-ai-bd/us/59?kanban-include_attachments=1&amp;kanban-include_tasks=1&amp;kanban-status=759" TargetMode="External"/><Relationship Id="rId54" Type="http://schemas.openxmlformats.org/officeDocument/2006/relationships/hyperlink" Target="https://taiga.ecquaria.org/project/tecq-ai-bd/us/59?kanban-include_attachments=1&amp;kanban-include_tasks=1&amp;kanban-status=759" TargetMode="External"/><Relationship Id="rId57" Type="http://schemas.openxmlformats.org/officeDocument/2006/relationships/hyperlink" Target="https://taiga.ecquaria.org/project/tecq-ai-bd/us/59?kanban-include_attachments=1&amp;kanban-include_tasks=1&amp;kanban-status=759" TargetMode="External"/><Relationship Id="rId56" Type="http://schemas.openxmlformats.org/officeDocument/2006/relationships/hyperlink" Target="https://taiga.ecquaria.org/project/tecq-ai-bd/us/59?kanban-include_attachments=1&amp;kanban-include_tasks=1&amp;kanban-status=759" TargetMode="External"/><Relationship Id="rId59" Type="http://schemas.openxmlformats.org/officeDocument/2006/relationships/hyperlink" Target="https://taiga.ecquaria.org/project/tecq-ai-bd/us/59?kanban-include_attachments=1&amp;kanban-include_tasks=1&amp;kanban-status=759" TargetMode="External"/><Relationship Id="rId58" Type="http://schemas.openxmlformats.org/officeDocument/2006/relationships/hyperlink" Target="https://taiga.ecquaria.org/project/tecq-ai-bd/us/59?kanban-include_attachments=1&amp;kanban-include_tasks=1&amp;kanban-status=759"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taiga.ecquaria.org/project/tecq-ai-bd/us/205?kanban-status=852" TargetMode="External"/><Relationship Id="rId42" Type="http://schemas.openxmlformats.org/officeDocument/2006/relationships/hyperlink" Target="https://taiga.ecquaria.org/project/tecq-ai-bd/us/241?kanban-status=758" TargetMode="External"/><Relationship Id="rId41" Type="http://schemas.openxmlformats.org/officeDocument/2006/relationships/hyperlink" Target="https://taiga.ecquaria.org/project/tecq-ai-bd/us/205?kanban-status=852" TargetMode="External"/><Relationship Id="rId44" Type="http://schemas.openxmlformats.org/officeDocument/2006/relationships/hyperlink" Target="https://taiga.ecquaria.org/project/tecq-ai-bd/us/264" TargetMode="External"/><Relationship Id="rId43" Type="http://schemas.openxmlformats.org/officeDocument/2006/relationships/hyperlink" Target="https://taiga.ecquaria.org/project/tecq-ai-bd/us/241?kanban-status=758" TargetMode="External"/><Relationship Id="rId46" Type="http://schemas.openxmlformats.org/officeDocument/2006/relationships/hyperlink" Target="https://taiga.ecquaria.org/project/tecq-ai-bd/us/263?kanban-status=758" TargetMode="External"/><Relationship Id="rId45" Type="http://schemas.openxmlformats.org/officeDocument/2006/relationships/hyperlink" Target="https://taiga.ecquaria.org/project/tecq-ai-bd/us/263?kanban-status=758" TargetMode="External"/><Relationship Id="rId48" Type="http://schemas.openxmlformats.org/officeDocument/2006/relationships/hyperlink" Target="https://taiga.ecquaria.org/project/tecq-ai-bd/us/263?kanban-status=758" TargetMode="External"/><Relationship Id="rId47" Type="http://schemas.openxmlformats.org/officeDocument/2006/relationships/hyperlink" Target="https://taiga.ecquaria.org/project/tecq-ai-bd/us/263?kanban-status=758" TargetMode="External"/><Relationship Id="rId49" Type="http://schemas.openxmlformats.org/officeDocument/2006/relationships/hyperlink" Target="https://taiga.ecquaria.org/project/tecq-ai-bd/us/263?kanban-status=758" TargetMode="External"/><Relationship Id="rId102" Type="http://schemas.openxmlformats.org/officeDocument/2006/relationships/table" Target="../tables/table17.xml"/><Relationship Id="rId100" Type="http://schemas.openxmlformats.org/officeDocument/2006/relationships/drawing" Target="../drawings/drawing17.xml"/><Relationship Id="rId31" Type="http://schemas.openxmlformats.org/officeDocument/2006/relationships/hyperlink" Target="https://taiga.ecquaria.org/project/tecq-ai-bd/us/205" TargetMode="External"/><Relationship Id="rId30" Type="http://schemas.openxmlformats.org/officeDocument/2006/relationships/hyperlink" Target="https://taiga.ecquaria.org/project/tecq-ai-bd/us/205" TargetMode="External"/><Relationship Id="rId33" Type="http://schemas.openxmlformats.org/officeDocument/2006/relationships/hyperlink" Target="https://taiga.ecquaria.org/project/tecq-ai-bd/us/205" TargetMode="External"/><Relationship Id="rId32" Type="http://schemas.openxmlformats.org/officeDocument/2006/relationships/hyperlink" Target="https://taiga.ecquaria.org/project/tecq-ai-bd/us/205" TargetMode="External"/><Relationship Id="rId35" Type="http://schemas.openxmlformats.org/officeDocument/2006/relationships/hyperlink" Target="https://taiga.ecquaria.org/project/tecq-ai-bd/us/205" TargetMode="External"/><Relationship Id="rId34" Type="http://schemas.openxmlformats.org/officeDocument/2006/relationships/hyperlink" Target="https://taiga.ecquaria.org/project/tecq-ai-bd/us/205" TargetMode="External"/><Relationship Id="rId37" Type="http://schemas.openxmlformats.org/officeDocument/2006/relationships/hyperlink" Target="https://taiga.ecquaria.org/project/tecq-ai-bd/us/205?kanban-status=852" TargetMode="External"/><Relationship Id="rId36" Type="http://schemas.openxmlformats.org/officeDocument/2006/relationships/hyperlink" Target="https://taiga.ecquaria.org/project/tecq-ai-bd/us/205?kanban-status=852" TargetMode="External"/><Relationship Id="rId39" Type="http://schemas.openxmlformats.org/officeDocument/2006/relationships/hyperlink" Target="https://taiga.ecquaria.org/project/tecq-ai-bd/us/205?kanban-status=852" TargetMode="External"/><Relationship Id="rId38" Type="http://schemas.openxmlformats.org/officeDocument/2006/relationships/hyperlink" Target="https://taiga.ecquaria.org/project/tecq-ai-bd/us/205?kanban-status=852" TargetMode="External"/><Relationship Id="rId20" Type="http://schemas.openxmlformats.org/officeDocument/2006/relationships/hyperlink" Target="https://taiga.ecquaria.org/project/tecq-ai-bd/us/178?kanban-status=759" TargetMode="External"/><Relationship Id="rId22" Type="http://schemas.openxmlformats.org/officeDocument/2006/relationships/hyperlink" Target="https://taiga.ecquaria.org/project/tecq-ai-bd/us/178?kanban-status=759" TargetMode="External"/><Relationship Id="rId21" Type="http://schemas.openxmlformats.org/officeDocument/2006/relationships/hyperlink" Target="https://taiga.ecquaria.org/project/tecq-ai-bd/us/173?kanban-status=760" TargetMode="External"/><Relationship Id="rId24" Type="http://schemas.openxmlformats.org/officeDocument/2006/relationships/hyperlink" Target="https://taiga.ecquaria.org/project/tecq-ai-bd/us/178" TargetMode="External"/><Relationship Id="rId23" Type="http://schemas.openxmlformats.org/officeDocument/2006/relationships/hyperlink" Target="https://taiga.ecquaria.org/project/tecq-ai-bd/us/178" TargetMode="External"/><Relationship Id="rId26" Type="http://schemas.openxmlformats.org/officeDocument/2006/relationships/hyperlink" Target="https://taiga.ecquaria.org/project/tecq-ai-bd/us/178" TargetMode="External"/><Relationship Id="rId25" Type="http://schemas.openxmlformats.org/officeDocument/2006/relationships/hyperlink" Target="https://taiga.ecquaria.org/project/tecq-ai-bd/us/178" TargetMode="External"/><Relationship Id="rId28" Type="http://schemas.openxmlformats.org/officeDocument/2006/relationships/hyperlink" Target="https://taiga.ecquaria.org/project/tecq-ai-bd/us/205?kanban-status=757" TargetMode="External"/><Relationship Id="rId27" Type="http://schemas.openxmlformats.org/officeDocument/2006/relationships/hyperlink" Target="https://taiga.ecquaria.org/project/tecq-ai-bd/us/178" TargetMode="External"/><Relationship Id="rId29" Type="http://schemas.openxmlformats.org/officeDocument/2006/relationships/hyperlink" Target="https://taiga.ecquaria.org/project/tecq-ai-bd/us/205" TargetMode="External"/><Relationship Id="rId95" Type="http://schemas.openxmlformats.org/officeDocument/2006/relationships/hyperlink" Target="https://taiga.ecquaria.org/project/tecq-ai-bd/us/375?kanban-status=759" TargetMode="External"/><Relationship Id="rId94" Type="http://schemas.openxmlformats.org/officeDocument/2006/relationships/hyperlink" Target="https://taiga.ecquaria.org/project/tecq-ai-bd/us/355?kanban-status=760" TargetMode="External"/><Relationship Id="rId97" Type="http://schemas.openxmlformats.org/officeDocument/2006/relationships/hyperlink" Target="https://taiga.ecquaria.org/project/tecq-ai-bd/us/375?kanban-status=759" TargetMode="External"/><Relationship Id="rId96" Type="http://schemas.openxmlformats.org/officeDocument/2006/relationships/hyperlink" Target="https://taiga.ecquaria.org/project/tecq-ai-bd/us/375?kanban-status=759" TargetMode="External"/><Relationship Id="rId11" Type="http://schemas.openxmlformats.org/officeDocument/2006/relationships/hyperlink" Target="https://taiga.ecquaria.org/project/tecq-ai-bd/us/59?kanban-status=759" TargetMode="External"/><Relationship Id="rId99" Type="http://schemas.openxmlformats.org/officeDocument/2006/relationships/hyperlink" Target="https://docs.google.com/presentation/d/18s7AnV3euetCVRjYvrjupxSgufjnuIA3/edit?slide=id.g3b282cd95db_0_0" TargetMode="External"/><Relationship Id="rId10" Type="http://schemas.openxmlformats.org/officeDocument/2006/relationships/hyperlink" Target="https://taiga.ecquaria.org/project/tecq-ai-bd/us/59?kanban-status=759" TargetMode="External"/><Relationship Id="rId98" Type="http://schemas.openxmlformats.org/officeDocument/2006/relationships/hyperlink" Target="https://taiga.ecquaria.org/project/tecq-ai-bd/us/375?kanban-status=759" TargetMode="External"/><Relationship Id="rId13" Type="http://schemas.openxmlformats.org/officeDocument/2006/relationships/hyperlink" Target="https://taiga.ecquaria.org/project/tecq-ai-bd/us/173?kanban-status=759" TargetMode="External"/><Relationship Id="rId12" Type="http://schemas.openxmlformats.org/officeDocument/2006/relationships/hyperlink" Target="https://taiga.ecquaria.org/project/tecq-ai-bd/us/155?kanban-status=759" TargetMode="External"/><Relationship Id="rId91" Type="http://schemas.openxmlformats.org/officeDocument/2006/relationships/hyperlink" Target="https://taiga.ecquaria.org/project/tecq-ai-bd/us/355?kanban-status=760" TargetMode="External"/><Relationship Id="rId90" Type="http://schemas.openxmlformats.org/officeDocument/2006/relationships/hyperlink" Target="https://taiga.ecquaria.org/project/tecq-ai-bd/us/354?kanban-status=757" TargetMode="External"/><Relationship Id="rId93" Type="http://schemas.openxmlformats.org/officeDocument/2006/relationships/hyperlink" Target="https://taiga.ecquaria.org/project/tecq-ai-bd/us/355?kanban-status=760" TargetMode="External"/><Relationship Id="rId92" Type="http://schemas.openxmlformats.org/officeDocument/2006/relationships/hyperlink" Target="https://taiga.ecquaria.org/project/tecq-ai-bd/us/355?kanban-status=760" TargetMode="External"/><Relationship Id="rId15" Type="http://schemas.openxmlformats.org/officeDocument/2006/relationships/hyperlink" Target="https://taiga.ecquaria.org/project/tecq-ai-bd/us/173?kanban-status=759" TargetMode="External"/><Relationship Id="rId14" Type="http://schemas.openxmlformats.org/officeDocument/2006/relationships/hyperlink" Target="https://taiga.ecquaria.org/project/tecq-ai-bd/us/173?kanban-status=759" TargetMode="External"/><Relationship Id="rId17" Type="http://schemas.openxmlformats.org/officeDocument/2006/relationships/hyperlink" Target="https://taiga.ecquaria.org/project/tecq-ai-bd/us/173?kanban-status=759" TargetMode="External"/><Relationship Id="rId16" Type="http://schemas.openxmlformats.org/officeDocument/2006/relationships/hyperlink" Target="https://taiga.ecquaria.org/project/tecq-ai-bd/us/173?kanban-status=759" TargetMode="External"/><Relationship Id="rId19" Type="http://schemas.openxmlformats.org/officeDocument/2006/relationships/hyperlink" Target="https://taiga.ecquaria.org/project/tecq-ai-bd/us/178?kanban-status=759" TargetMode="External"/><Relationship Id="rId18" Type="http://schemas.openxmlformats.org/officeDocument/2006/relationships/hyperlink" Target="https://taiga.ecquaria.org/project/tecq-ai-bd/us/178?kanban-status=759" TargetMode="External"/><Relationship Id="rId84" Type="http://schemas.openxmlformats.org/officeDocument/2006/relationships/hyperlink" Target="https://taiga.ecquaria.org/project/tecq-ai-bd/us/354?kanban-status=757" TargetMode="External"/><Relationship Id="rId83" Type="http://schemas.openxmlformats.org/officeDocument/2006/relationships/hyperlink" Target="https://taiga.ecquaria.org/project/tecq-ai-bd/us/354?kanban-status=757" TargetMode="External"/><Relationship Id="rId86" Type="http://schemas.openxmlformats.org/officeDocument/2006/relationships/hyperlink" Target="https://taiga.ecquaria.org/project/tecq-ai-bd/us/354?kanban-status=757" TargetMode="External"/><Relationship Id="rId85" Type="http://schemas.openxmlformats.org/officeDocument/2006/relationships/hyperlink" Target="https://taiga.ecquaria.org/project/tecq-ai-bd/us/354?kanban-status=757" TargetMode="External"/><Relationship Id="rId88" Type="http://schemas.openxmlformats.org/officeDocument/2006/relationships/hyperlink" Target="https://taiga.ecquaria.org/project/tecq-ai-bd/us/354?kanban-status=757" TargetMode="External"/><Relationship Id="rId87" Type="http://schemas.openxmlformats.org/officeDocument/2006/relationships/hyperlink" Target="https://taiga.ecquaria.org/project/tecq-ai-bd/us/354?kanban-status=757" TargetMode="External"/><Relationship Id="rId89" Type="http://schemas.openxmlformats.org/officeDocument/2006/relationships/hyperlink" Target="https://taiga.ecquaria.org/project/tecq-ai-bd/us/354?kanban-status=757" TargetMode="External"/><Relationship Id="rId80" Type="http://schemas.openxmlformats.org/officeDocument/2006/relationships/hyperlink" Target="https://taiga.ecquaria.org/project/tecq-ai-bd/us/344?kanban-status=757" TargetMode="External"/><Relationship Id="rId82" Type="http://schemas.openxmlformats.org/officeDocument/2006/relationships/hyperlink" Target="https://taiga.ecquaria.org/project/tecq-ai-bd/us/354?kanban-status=757" TargetMode="External"/><Relationship Id="rId81" Type="http://schemas.openxmlformats.org/officeDocument/2006/relationships/hyperlink" Target="https://taiga.ecquaria.org/project/tecq-ai-bd/us/344?kanban-status=757" TargetMode="External"/><Relationship Id="rId1" Type="http://schemas.openxmlformats.org/officeDocument/2006/relationships/hyperlink" Target="https://taiga.ecquaria.org/project/tecq-ai-bd/us/157?kanban-status=760" TargetMode="External"/><Relationship Id="rId2" Type="http://schemas.openxmlformats.org/officeDocument/2006/relationships/hyperlink" Target="https://taiga.ecquaria.org/project/tecq-ai-bd/us/157" TargetMode="External"/><Relationship Id="rId3" Type="http://schemas.openxmlformats.org/officeDocument/2006/relationships/hyperlink" Target="https://taiga.ecquaria.org/project/tecq-ai-bd/us/156?kanban-status=759" TargetMode="External"/><Relationship Id="rId4" Type="http://schemas.openxmlformats.org/officeDocument/2006/relationships/hyperlink" Target="https://taiga.ecquaria.org/project/tecq-ai-bd/us/156?kanban-status=759" TargetMode="External"/><Relationship Id="rId9" Type="http://schemas.openxmlformats.org/officeDocument/2006/relationships/hyperlink" Target="https://taiga.ecquaria.org/project/tecq-ai-bd/us/59?kanban-status=759" TargetMode="External"/><Relationship Id="rId5" Type="http://schemas.openxmlformats.org/officeDocument/2006/relationships/hyperlink" Target="https://taiga.ecquaria.org/project/tecq-ai-bd/us/155?kanban-status=758" TargetMode="External"/><Relationship Id="rId6" Type="http://schemas.openxmlformats.org/officeDocument/2006/relationships/hyperlink" Target="https://taiga.ecquaria.org/project/tecq-ai-bd/us/155?kanban-status=758" TargetMode="External"/><Relationship Id="rId7" Type="http://schemas.openxmlformats.org/officeDocument/2006/relationships/hyperlink" Target="https://taiga.ecquaria.org/project/tecq-ai-bd/us/155?kanban-status=758" TargetMode="External"/><Relationship Id="rId8" Type="http://schemas.openxmlformats.org/officeDocument/2006/relationships/hyperlink" Target="https://taiga.ecquaria.org/project/tecq-ai-bd/us/59?kanban-status=759" TargetMode="External"/><Relationship Id="rId73" Type="http://schemas.openxmlformats.org/officeDocument/2006/relationships/hyperlink" Target="https://taiga.ecquaria.org/project/tecq-ai-bd/us/335?kanban-status=757" TargetMode="External"/><Relationship Id="rId72" Type="http://schemas.openxmlformats.org/officeDocument/2006/relationships/hyperlink" Target="https://taiga.ecquaria.org/project/tecq-ai-bd/us/252?kanban-status=757" TargetMode="External"/><Relationship Id="rId75" Type="http://schemas.openxmlformats.org/officeDocument/2006/relationships/hyperlink" Target="https://taiga.ecquaria.org/project/tecq-ai-bd/us/344?kanban-status=757" TargetMode="External"/><Relationship Id="rId74" Type="http://schemas.openxmlformats.org/officeDocument/2006/relationships/hyperlink" Target="https://taiga.ecquaria.org/project/tecq-ai-bd/us/334?kanban-status=757" TargetMode="External"/><Relationship Id="rId77" Type="http://schemas.openxmlformats.org/officeDocument/2006/relationships/hyperlink" Target="https://taiga.ecquaria.org/project/tecq-ai-bd/us/344?kanban-status=757" TargetMode="External"/><Relationship Id="rId76" Type="http://schemas.openxmlformats.org/officeDocument/2006/relationships/hyperlink" Target="https://taiga.ecquaria.org/project/tecq-ai-bd/us/344?kanban-status=757" TargetMode="External"/><Relationship Id="rId79" Type="http://schemas.openxmlformats.org/officeDocument/2006/relationships/hyperlink" Target="https://taiga.ecquaria.org/project/tecq-ai-bd/us/344?kanban-status=757" TargetMode="External"/><Relationship Id="rId78" Type="http://schemas.openxmlformats.org/officeDocument/2006/relationships/hyperlink" Target="https://taiga.ecquaria.org/project/tecq-ai-bd/us/344?kanban-status=757" TargetMode="External"/><Relationship Id="rId71" Type="http://schemas.openxmlformats.org/officeDocument/2006/relationships/hyperlink" Target="https://taiga.ecquaria.org/project/tecq-ai-bd/us/252?kanban-status=757" TargetMode="External"/><Relationship Id="rId70" Type="http://schemas.openxmlformats.org/officeDocument/2006/relationships/hyperlink" Target="https://taiga.ecquaria.org/project/tecq-ai-bd/us/296?kanban-status=757" TargetMode="External"/><Relationship Id="rId62" Type="http://schemas.openxmlformats.org/officeDocument/2006/relationships/hyperlink" Target="https://taiga.ecquaria.org/project/tecq-ai-bd/us/296?kanban-status=757" TargetMode="External"/><Relationship Id="rId61" Type="http://schemas.openxmlformats.org/officeDocument/2006/relationships/hyperlink" Target="https://taiga.ecquaria.org/project/tecq-ai-bd/us/296?kanban-status=757" TargetMode="External"/><Relationship Id="rId64" Type="http://schemas.openxmlformats.org/officeDocument/2006/relationships/hyperlink" Target="https://taiga.ecquaria.org/project/tecq-ai-bd/us/296?kanban-status=757" TargetMode="External"/><Relationship Id="rId63" Type="http://schemas.openxmlformats.org/officeDocument/2006/relationships/hyperlink" Target="https://taiga.ecquaria.org/project/tecq-ai-bd/us/296?kanban-status=757" TargetMode="External"/><Relationship Id="rId66" Type="http://schemas.openxmlformats.org/officeDocument/2006/relationships/hyperlink" Target="https://taiga.ecquaria.org/project/tecq-ai-bd/us/296?kanban-status=757" TargetMode="External"/><Relationship Id="rId65" Type="http://schemas.openxmlformats.org/officeDocument/2006/relationships/hyperlink" Target="https://taiga.ecquaria.org/project/tecq-ai-bd/us/296?kanban-status=757" TargetMode="External"/><Relationship Id="rId68" Type="http://schemas.openxmlformats.org/officeDocument/2006/relationships/hyperlink" Target="https://taiga.ecquaria.org/project/tecq-ai-bd/us/296?kanban-status=757" TargetMode="External"/><Relationship Id="rId67" Type="http://schemas.openxmlformats.org/officeDocument/2006/relationships/hyperlink" Target="https://taiga.ecquaria.org/project/tecq-ai-bd/us/296?kanban-status=757" TargetMode="External"/><Relationship Id="rId60" Type="http://schemas.openxmlformats.org/officeDocument/2006/relationships/hyperlink" Target="https://taiga.ecquaria.org/project/tecq-ai-bd/us/296?kanban-status=757" TargetMode="External"/><Relationship Id="rId69" Type="http://schemas.openxmlformats.org/officeDocument/2006/relationships/hyperlink" Target="https://taiga.ecquaria.org/project/tecq-ai-bd/us/296?kanban-status=757" TargetMode="External"/><Relationship Id="rId51" Type="http://schemas.openxmlformats.org/officeDocument/2006/relationships/hyperlink" Target="https://taiga.ecquaria.org/project/tecq-ai-bd/us/263?kanban-status=758" TargetMode="External"/><Relationship Id="rId50" Type="http://schemas.openxmlformats.org/officeDocument/2006/relationships/hyperlink" Target="https://taiga.ecquaria.org/project/tecq-ai-bd/us/263?kanban-status=758" TargetMode="External"/><Relationship Id="rId53" Type="http://schemas.openxmlformats.org/officeDocument/2006/relationships/hyperlink" Target="https://taiga.ecquaria.org/project/tecq-ai-bd/us/296?kanban-status=757" TargetMode="External"/><Relationship Id="rId52" Type="http://schemas.openxmlformats.org/officeDocument/2006/relationships/hyperlink" Target="https://taiga.ecquaria.org/project/tecq-ai-bd/us/263?kanban-status=759" TargetMode="External"/><Relationship Id="rId55" Type="http://schemas.openxmlformats.org/officeDocument/2006/relationships/hyperlink" Target="https://taiga.ecquaria.org/project/tecq-ai-bd/us/296?kanban-status=757" TargetMode="External"/><Relationship Id="rId54" Type="http://schemas.openxmlformats.org/officeDocument/2006/relationships/hyperlink" Target="https://taiga.ecquaria.org/project/tecq-ai-bd/us/296?kanban-status=757" TargetMode="External"/><Relationship Id="rId57" Type="http://schemas.openxmlformats.org/officeDocument/2006/relationships/hyperlink" Target="https://taiga.ecquaria.org/project/tecq-ai-bd/us/296?kanban-status=757" TargetMode="External"/><Relationship Id="rId56" Type="http://schemas.openxmlformats.org/officeDocument/2006/relationships/hyperlink" Target="https://taiga.ecquaria.org/project/tecq-ai-bd/us/296?kanban-status=757" TargetMode="External"/><Relationship Id="rId59" Type="http://schemas.openxmlformats.org/officeDocument/2006/relationships/hyperlink" Target="https://taiga.ecquaria.org/project/tecq-ai-bd/us/296?kanban-status=757" TargetMode="External"/><Relationship Id="rId58" Type="http://schemas.openxmlformats.org/officeDocument/2006/relationships/hyperlink" Target="https://taiga.ecquaria.org/project/tecq-ai-bd/us/296?kanban-status=757"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taiga.ecquaria.org/project/pocdex/us/525?kanban-q=525&amp;kanban-status=649&amp;kanban-swimlane=37" TargetMode="External"/><Relationship Id="rId41" Type="http://schemas.openxmlformats.org/officeDocument/2006/relationships/drawing" Target="../drawings/drawing18.xml"/><Relationship Id="rId43" Type="http://schemas.openxmlformats.org/officeDocument/2006/relationships/table" Target="../tables/table18.xml"/><Relationship Id="rId31" Type="http://schemas.openxmlformats.org/officeDocument/2006/relationships/hyperlink" Target="https://taiga.ecquaria.org/project/pocdex/issue/521" TargetMode="External"/><Relationship Id="rId30" Type="http://schemas.openxmlformats.org/officeDocument/2006/relationships/hyperlink" Target="https://taiga.ecquaria.org/project/pocdex/issue/521" TargetMode="External"/><Relationship Id="rId33" Type="http://schemas.openxmlformats.org/officeDocument/2006/relationships/hyperlink" Target="https://taiga.ecquaria.org/project/pocdex/us/524?kanban-q=524&amp;kanban-status=831&amp;kanban-swimlane=37" TargetMode="External"/><Relationship Id="rId32" Type="http://schemas.openxmlformats.org/officeDocument/2006/relationships/hyperlink" Target="https://taiga.ecquaria.org/project/pocdex/us/524?kanban-q=524&amp;kanban-status=831&amp;kanban-swimlane=37" TargetMode="External"/><Relationship Id="rId35" Type="http://schemas.openxmlformats.org/officeDocument/2006/relationships/hyperlink" Target="https://taiga.ecquaria.org/project/pocdex/us/525?kanban-q=525&amp;kanban-status=649&amp;kanban-swimlane=37" TargetMode="External"/><Relationship Id="rId34" Type="http://schemas.openxmlformats.org/officeDocument/2006/relationships/hyperlink" Target="https://taiga.ecquaria.org/project/pocdex/us/525?kanban-q=525&amp;kanban-status=649&amp;kanban-swimlane=37" TargetMode="External"/><Relationship Id="rId37" Type="http://schemas.openxmlformats.org/officeDocument/2006/relationships/hyperlink" Target="https://taiga.ecquaria.org/project/pocdex/us/525?kanban-q=525&amp;kanban-status=649&amp;kanban-swimlane=37" TargetMode="External"/><Relationship Id="rId36" Type="http://schemas.openxmlformats.org/officeDocument/2006/relationships/hyperlink" Target="https://taiga.ecquaria.org/project/pocdex/us/525?kanban-q=525&amp;kanban-status=649&amp;kanban-swimlane=37" TargetMode="External"/><Relationship Id="rId39" Type="http://schemas.openxmlformats.org/officeDocument/2006/relationships/hyperlink" Target="https://taiga.ecquaria.org/project/pocdex/us/525?kanban-q=525&amp;kanban-status=649&amp;kanban-swimlane=37" TargetMode="External"/><Relationship Id="rId38" Type="http://schemas.openxmlformats.org/officeDocument/2006/relationships/hyperlink" Target="https://taiga.ecquaria.org/project/pocdex/us/525?kanban-q=525&amp;kanban-status=649&amp;kanban-swimlane=37" TargetMode="External"/><Relationship Id="rId20" Type="http://schemas.openxmlformats.org/officeDocument/2006/relationships/hyperlink" Target="https://taiga.ecquaria.org/project/pocdex/issue/498" TargetMode="External"/><Relationship Id="rId22" Type="http://schemas.openxmlformats.org/officeDocument/2006/relationships/hyperlink" Target="https://taiga.ecquaria.org/project/pocdex/issue/498" TargetMode="External"/><Relationship Id="rId21" Type="http://schemas.openxmlformats.org/officeDocument/2006/relationships/hyperlink" Target="https://taiga.ecquaria.org/project/pocdex/issue/498" TargetMode="External"/><Relationship Id="rId24" Type="http://schemas.openxmlformats.org/officeDocument/2006/relationships/hyperlink" Target="https://taiga.ecquaria.org/project/pocdex/issue/498" TargetMode="External"/><Relationship Id="rId23" Type="http://schemas.openxmlformats.org/officeDocument/2006/relationships/hyperlink" Target="https://taiga.ecquaria.org/project/pocdex/issue/498" TargetMode="External"/><Relationship Id="rId26" Type="http://schemas.openxmlformats.org/officeDocument/2006/relationships/hyperlink" Target="https://taiga.ecquaria.org/project/pocdex/us/192?kanban-q=192&amp;kanban-status=476&amp;kanban-swimlane=37" TargetMode="External"/><Relationship Id="rId25" Type="http://schemas.openxmlformats.org/officeDocument/2006/relationships/hyperlink" Target="https://taiga.ecquaria.org/project/pocdex/issue/521" TargetMode="External"/><Relationship Id="rId28" Type="http://schemas.openxmlformats.org/officeDocument/2006/relationships/hyperlink" Target="https://taiga.ecquaria.org/project/pocdex/us/192?kanban-q=192&amp;kanban-status=476&amp;kanban-swimlane=37" TargetMode="External"/><Relationship Id="rId27" Type="http://schemas.openxmlformats.org/officeDocument/2006/relationships/hyperlink" Target="https://taiga.ecquaria.org/project/pocdex/us/192?kanban-q=192&amp;kanban-status=476&amp;kanban-swimlane=37" TargetMode="External"/><Relationship Id="rId29" Type="http://schemas.openxmlformats.org/officeDocument/2006/relationships/hyperlink" Target="https://taiga.ecquaria.org/project/pocdex/us/192?kanban-q=192&amp;kanban-status=476&amp;kanban-swimlane=37" TargetMode="External"/><Relationship Id="rId11" Type="http://schemas.openxmlformats.org/officeDocument/2006/relationships/hyperlink" Target="https://taiga.ecquaria.org/project/pocdex/issue/394" TargetMode="External"/><Relationship Id="rId10" Type="http://schemas.openxmlformats.org/officeDocument/2006/relationships/hyperlink" Target="https://taiga.ecquaria.org/project/pocdex/issue/394" TargetMode="External"/><Relationship Id="rId13" Type="http://schemas.openxmlformats.org/officeDocument/2006/relationships/hyperlink" Target="https://taiga.ecquaria.org/project/pocdex/issue/498" TargetMode="External"/><Relationship Id="rId12" Type="http://schemas.openxmlformats.org/officeDocument/2006/relationships/hyperlink" Target="https://taiga.ecquaria.org/project/pocdex/issue/498" TargetMode="External"/><Relationship Id="rId15" Type="http://schemas.openxmlformats.org/officeDocument/2006/relationships/hyperlink" Target="https://taiga.ecquaria.org/project/pocdex/issue/498" TargetMode="External"/><Relationship Id="rId14" Type="http://schemas.openxmlformats.org/officeDocument/2006/relationships/hyperlink" Target="https://taiga.ecquaria.org/project/pocdex/issue/498" TargetMode="External"/><Relationship Id="rId17" Type="http://schemas.openxmlformats.org/officeDocument/2006/relationships/hyperlink" Target="https://taiga.ecquaria.org/project/pocdex/issue/515" TargetMode="External"/><Relationship Id="rId16" Type="http://schemas.openxmlformats.org/officeDocument/2006/relationships/hyperlink" Target="https://taiga.ecquaria.org/project/pocdex/issue/515" TargetMode="External"/><Relationship Id="rId19" Type="http://schemas.openxmlformats.org/officeDocument/2006/relationships/hyperlink" Target="https://taiga.ecquaria.org/project/pocdex/issue/498" TargetMode="External"/><Relationship Id="rId18" Type="http://schemas.openxmlformats.org/officeDocument/2006/relationships/hyperlink" Target="https://taiga.ecquaria.org/project/pocdex/issue/515" TargetMode="External"/><Relationship Id="rId1" Type="http://schemas.openxmlformats.org/officeDocument/2006/relationships/hyperlink" Target="https://docs.google.com/spreadsheets/d/170tq4_5ECXO8_-LD21wU6xKxeTNvJVbVyYyqHgydYCA/edit?gid=1493043243" TargetMode="External"/><Relationship Id="rId2" Type="http://schemas.openxmlformats.org/officeDocument/2006/relationships/hyperlink" Target="https://taiga.ecquaria.org/project/pocdex/us/465?kanban-status=426&amp;kanban-swimlane=37" TargetMode="External"/><Relationship Id="rId3" Type="http://schemas.openxmlformats.org/officeDocument/2006/relationships/hyperlink" Target="https://docs.google.com/spreadsheets/d/170tq4_5ECXO8_-LD21wU6xKxeTNvJVbVyYyqHgydYCA/edit?gid=1493043243" TargetMode="External"/><Relationship Id="rId4" Type="http://schemas.openxmlformats.org/officeDocument/2006/relationships/hyperlink" Target="https://taiga.ecquaria.org/project/pocdex/us/465?kanban-status=426&amp;kanban-swimlane=37" TargetMode="External"/><Relationship Id="rId9" Type="http://schemas.openxmlformats.org/officeDocument/2006/relationships/hyperlink" Target="https://taiga.ecquaria.org/project/pocdex/us/503?kanban-q=503&amp;kanban-status=324&amp;kanban-swimlane=37" TargetMode="External"/><Relationship Id="rId5" Type="http://schemas.openxmlformats.org/officeDocument/2006/relationships/hyperlink" Target="https://docs.google.com/spreadsheets/d/170tq4_5ECXO8_-LD21wU6xKxeTNvJVbVyYyqHgydYCA/edit?gid=1493043243" TargetMode="External"/><Relationship Id="rId6" Type="http://schemas.openxmlformats.org/officeDocument/2006/relationships/hyperlink" Target="https://taiga.ecquaria.org/project/pocdex/us/465?kanban-status=426&amp;kanban-swimlane=37" TargetMode="External"/><Relationship Id="rId7" Type="http://schemas.openxmlformats.org/officeDocument/2006/relationships/hyperlink" Target="https://docs.google.com/spreadsheets/d/170tq4_5ECXO8_-LD21wU6xKxeTNvJVbVyYyqHgydYCA/edit?gid=1493043243" TargetMode="External"/><Relationship Id="rId8" Type="http://schemas.openxmlformats.org/officeDocument/2006/relationships/hyperlink" Target="https://taiga.ecquaria.org/project/pocdex/us/465?kanban-status=426&amp;kanban-swimlane=37"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taiga.ecquaria.org/project/pocdex/us/538" TargetMode="External"/><Relationship Id="rId42" Type="http://schemas.openxmlformats.org/officeDocument/2006/relationships/hyperlink" Target="https://taiga.ecquaria.org/project/pocdex/us/538" TargetMode="External"/><Relationship Id="rId41" Type="http://schemas.openxmlformats.org/officeDocument/2006/relationships/hyperlink" Target="https://taiga.ecquaria.org/project/pocdex/us/538" TargetMode="External"/><Relationship Id="rId44" Type="http://schemas.openxmlformats.org/officeDocument/2006/relationships/hyperlink" Target="https://taiga.ecquaria.org/project/pocdex/us/538" TargetMode="External"/><Relationship Id="rId43" Type="http://schemas.openxmlformats.org/officeDocument/2006/relationships/hyperlink" Target="https://taiga.ecquaria.org/project/pocdex/us/538" TargetMode="External"/><Relationship Id="rId46" Type="http://schemas.openxmlformats.org/officeDocument/2006/relationships/hyperlink" Target="https://taiga.ecquaria.org/project/pocdex/issue/385" TargetMode="External"/><Relationship Id="rId45" Type="http://schemas.openxmlformats.org/officeDocument/2006/relationships/hyperlink" Target="https://taiga.ecquaria.org/project/pocdex/issue/385" TargetMode="External"/><Relationship Id="rId104" Type="http://schemas.openxmlformats.org/officeDocument/2006/relationships/table" Target="../tables/table19.xml"/><Relationship Id="rId48" Type="http://schemas.openxmlformats.org/officeDocument/2006/relationships/hyperlink" Target="https://taiga.ecquaria.org/project/pocdex/issue/378" TargetMode="External"/><Relationship Id="rId47" Type="http://schemas.openxmlformats.org/officeDocument/2006/relationships/hyperlink" Target="https://taiga.ecquaria.org/project/pocdex/task/544" TargetMode="External"/><Relationship Id="rId49" Type="http://schemas.openxmlformats.org/officeDocument/2006/relationships/hyperlink" Target="https://taiga.ecquaria.org/project/pocdex/task/482" TargetMode="External"/><Relationship Id="rId102" Type="http://schemas.openxmlformats.org/officeDocument/2006/relationships/drawing" Target="../drawings/drawing19.xml"/><Relationship Id="rId101" Type="http://schemas.openxmlformats.org/officeDocument/2006/relationships/hyperlink" Target="https://taiga.ecquaria.org/project/pocdex/us/496" TargetMode="External"/><Relationship Id="rId100" Type="http://schemas.openxmlformats.org/officeDocument/2006/relationships/hyperlink" Target="https://taiga.ecquaria.org/project/pocdex/us/576" TargetMode="External"/><Relationship Id="rId31" Type="http://schemas.openxmlformats.org/officeDocument/2006/relationships/hyperlink" Target="https://taiga.ecquaria.org/project/pocdex/us/527" TargetMode="External"/><Relationship Id="rId30" Type="http://schemas.openxmlformats.org/officeDocument/2006/relationships/hyperlink" Target="https://taiga.ecquaria.org/project/pocdex/us/527" TargetMode="External"/><Relationship Id="rId33" Type="http://schemas.openxmlformats.org/officeDocument/2006/relationships/hyperlink" Target="https://taiga.ecquaria.org/project/pocdex/issue/400" TargetMode="External"/><Relationship Id="rId32" Type="http://schemas.openxmlformats.org/officeDocument/2006/relationships/hyperlink" Target="https://taiga.ecquaria.org/project/pocdex/issue/400" TargetMode="External"/><Relationship Id="rId35" Type="http://schemas.openxmlformats.org/officeDocument/2006/relationships/hyperlink" Target="https://taiga.ecquaria.org/project/pocdex/us/505" TargetMode="External"/><Relationship Id="rId34" Type="http://schemas.openxmlformats.org/officeDocument/2006/relationships/hyperlink" Target="https://taiga.ecquaria.org/project/pocdex/issue/400" TargetMode="External"/><Relationship Id="rId37" Type="http://schemas.openxmlformats.org/officeDocument/2006/relationships/hyperlink" Target="https://taiga.ecquaria.org/project/pocdex/us/505" TargetMode="External"/><Relationship Id="rId36" Type="http://schemas.openxmlformats.org/officeDocument/2006/relationships/hyperlink" Target="https://taiga.ecquaria.org/project/pocdex/us/505" TargetMode="External"/><Relationship Id="rId39" Type="http://schemas.openxmlformats.org/officeDocument/2006/relationships/hyperlink" Target="https://taiga.ecquaria.org/project/pocdex/us/546" TargetMode="External"/><Relationship Id="rId38" Type="http://schemas.openxmlformats.org/officeDocument/2006/relationships/hyperlink" Target="https://taiga.ecquaria.org/project/pocdex/us/480" TargetMode="External"/><Relationship Id="rId20" Type="http://schemas.openxmlformats.org/officeDocument/2006/relationships/hyperlink" Target="https://taiga.ecquaria.org/project/pocdex/issue/515" TargetMode="External"/><Relationship Id="rId22" Type="http://schemas.openxmlformats.org/officeDocument/2006/relationships/hyperlink" Target="https://taiga.ecquaria.org/project/pocdex/issue/515" TargetMode="External"/><Relationship Id="rId21" Type="http://schemas.openxmlformats.org/officeDocument/2006/relationships/hyperlink" Target="https://taiga.ecquaria.org/project/pocdex/issue/515" TargetMode="External"/><Relationship Id="rId24" Type="http://schemas.openxmlformats.org/officeDocument/2006/relationships/hyperlink" Target="https://taiga.ecquaria.org/project/pocdex/issue/433" TargetMode="External"/><Relationship Id="rId23" Type="http://schemas.openxmlformats.org/officeDocument/2006/relationships/hyperlink" Target="https://taiga.ecquaria.org/project/pocdex/issue/423" TargetMode="External"/><Relationship Id="rId26" Type="http://schemas.openxmlformats.org/officeDocument/2006/relationships/hyperlink" Target="https://taiga.ecquaria.org/project/pocdex/issue/433" TargetMode="External"/><Relationship Id="rId25" Type="http://schemas.openxmlformats.org/officeDocument/2006/relationships/hyperlink" Target="https://taiga.ecquaria.org/project/pocdex/issue/433" TargetMode="External"/><Relationship Id="rId28" Type="http://schemas.openxmlformats.org/officeDocument/2006/relationships/hyperlink" Target="https://taiga.ecquaria.org/project/pocdex/issue/433" TargetMode="External"/><Relationship Id="rId27" Type="http://schemas.openxmlformats.org/officeDocument/2006/relationships/hyperlink" Target="https://taiga.ecquaria.org/project/pocdex/issue/433" TargetMode="External"/><Relationship Id="rId29" Type="http://schemas.openxmlformats.org/officeDocument/2006/relationships/hyperlink" Target="https://taiga.ecquaria.org/project/pocdex/us/527" TargetMode="External"/><Relationship Id="rId95" Type="http://schemas.openxmlformats.org/officeDocument/2006/relationships/hyperlink" Target="https://taiga.ecquaria.org/project/pocdex/us/576" TargetMode="External"/><Relationship Id="rId94" Type="http://schemas.openxmlformats.org/officeDocument/2006/relationships/hyperlink" Target="https://taiga.ecquaria.org/project/pocdex/us/576" TargetMode="External"/><Relationship Id="rId97" Type="http://schemas.openxmlformats.org/officeDocument/2006/relationships/hyperlink" Target="https://taiga.ecquaria.org/project/pocdex/us/576" TargetMode="External"/><Relationship Id="rId96" Type="http://schemas.openxmlformats.org/officeDocument/2006/relationships/hyperlink" Target="https://taiga.ecquaria.org/project/pocdex/us/576" TargetMode="External"/><Relationship Id="rId11" Type="http://schemas.openxmlformats.org/officeDocument/2006/relationships/hyperlink" Target="https://taiga.ecquaria.org/project/pocdex/us/298" TargetMode="External"/><Relationship Id="rId99" Type="http://schemas.openxmlformats.org/officeDocument/2006/relationships/hyperlink" Target="https://taiga.ecquaria.org/project/pocdex/us/576" TargetMode="External"/><Relationship Id="rId10" Type="http://schemas.openxmlformats.org/officeDocument/2006/relationships/hyperlink" Target="https://taiga.ecquaria.org/project/pocdex/us/298" TargetMode="External"/><Relationship Id="rId98" Type="http://schemas.openxmlformats.org/officeDocument/2006/relationships/hyperlink" Target="https://taiga.ecquaria.org/project/pocdex/us/576" TargetMode="External"/><Relationship Id="rId13" Type="http://schemas.openxmlformats.org/officeDocument/2006/relationships/hyperlink" Target="https://taiga.ecquaria.org/project/pocdex/us/298" TargetMode="External"/><Relationship Id="rId12" Type="http://schemas.openxmlformats.org/officeDocument/2006/relationships/hyperlink" Target="https://taiga.ecquaria.org/project/pocdex/us/298" TargetMode="External"/><Relationship Id="rId91" Type="http://schemas.openxmlformats.org/officeDocument/2006/relationships/hyperlink" Target="https://taiga.ecquaria.org/project/pocdex/us/573" TargetMode="External"/><Relationship Id="rId90" Type="http://schemas.openxmlformats.org/officeDocument/2006/relationships/hyperlink" Target="https://taiga.ecquaria.org/project/pocdex/task/484" TargetMode="External"/><Relationship Id="rId93" Type="http://schemas.openxmlformats.org/officeDocument/2006/relationships/hyperlink" Target="https://taiga.ecquaria.org/project/pocdex/us/573" TargetMode="External"/><Relationship Id="rId92" Type="http://schemas.openxmlformats.org/officeDocument/2006/relationships/hyperlink" Target="https://taiga.ecquaria.org/project/pocdex/us/573" TargetMode="External"/><Relationship Id="rId15" Type="http://schemas.openxmlformats.org/officeDocument/2006/relationships/hyperlink" Target="https://taiga.ecquaria.org/project/pocdex/us/298" TargetMode="External"/><Relationship Id="rId14" Type="http://schemas.openxmlformats.org/officeDocument/2006/relationships/hyperlink" Target="https://taiga.ecquaria.org/project/pocdex/us/298" TargetMode="External"/><Relationship Id="rId17" Type="http://schemas.openxmlformats.org/officeDocument/2006/relationships/hyperlink" Target="https://taiga.ecquaria.org/project/pocdex/issue/515" TargetMode="External"/><Relationship Id="rId16" Type="http://schemas.openxmlformats.org/officeDocument/2006/relationships/hyperlink" Target="https://taiga.ecquaria.org/project/pocdex/issue/515" TargetMode="External"/><Relationship Id="rId19" Type="http://schemas.openxmlformats.org/officeDocument/2006/relationships/hyperlink" Target="https://taiga.ecquaria.org/project/pocdex/issue/515" TargetMode="External"/><Relationship Id="rId18" Type="http://schemas.openxmlformats.org/officeDocument/2006/relationships/hyperlink" Target="https://taiga.ecquaria.org/project/pocdex/issue/515" TargetMode="External"/><Relationship Id="rId84" Type="http://schemas.openxmlformats.org/officeDocument/2006/relationships/hyperlink" Target="https://taiga.ecquaria.org/project/pocdex/us/572" TargetMode="External"/><Relationship Id="rId83" Type="http://schemas.openxmlformats.org/officeDocument/2006/relationships/hyperlink" Target="https://taiga.ecquaria.org/project/pocdex/us/573" TargetMode="External"/><Relationship Id="rId86" Type="http://schemas.openxmlformats.org/officeDocument/2006/relationships/hyperlink" Target="https://taiga.ecquaria.org/project/pocdex/us/496" TargetMode="External"/><Relationship Id="rId85" Type="http://schemas.openxmlformats.org/officeDocument/2006/relationships/hyperlink" Target="https://taiga.ecquaria.org/project/pocdex/us/496" TargetMode="External"/><Relationship Id="rId88" Type="http://schemas.openxmlformats.org/officeDocument/2006/relationships/hyperlink" Target="https://taiga.ecquaria.org/project/pocdex/us/572" TargetMode="External"/><Relationship Id="rId87" Type="http://schemas.openxmlformats.org/officeDocument/2006/relationships/hyperlink" Target="https://taiga.ecquaria.org/project/pocdex/us/572" TargetMode="External"/><Relationship Id="rId89" Type="http://schemas.openxmlformats.org/officeDocument/2006/relationships/hyperlink" Target="https://taiga.ecquaria.org/project/pocdex/task/482" TargetMode="External"/><Relationship Id="rId80" Type="http://schemas.openxmlformats.org/officeDocument/2006/relationships/hyperlink" Target="https://taiga.ecquaria.org/project/pocdex/us/572" TargetMode="External"/><Relationship Id="rId82" Type="http://schemas.openxmlformats.org/officeDocument/2006/relationships/hyperlink" Target="https://taiga.ecquaria.org/project/pocdex/us/573" TargetMode="External"/><Relationship Id="rId81" Type="http://schemas.openxmlformats.org/officeDocument/2006/relationships/hyperlink" Target="https://taiga.ecquaria.org/project/pocdex/us/572" TargetMode="External"/><Relationship Id="rId1" Type="http://schemas.openxmlformats.org/officeDocument/2006/relationships/hyperlink" Target="https://taiga.ecquaria.org/project/pocdex/us/407" TargetMode="External"/><Relationship Id="rId2" Type="http://schemas.openxmlformats.org/officeDocument/2006/relationships/hyperlink" Target="https://taiga.ecquaria.org/project/pocdex/us/407" TargetMode="External"/><Relationship Id="rId3" Type="http://schemas.openxmlformats.org/officeDocument/2006/relationships/hyperlink" Target="https://taiga.ecquaria.org/project/pocdex/us/407" TargetMode="External"/><Relationship Id="rId4" Type="http://schemas.openxmlformats.org/officeDocument/2006/relationships/hyperlink" Target="https://taiga.ecquaria.org/project/pocdex/us/407" TargetMode="External"/><Relationship Id="rId9" Type="http://schemas.openxmlformats.org/officeDocument/2006/relationships/hyperlink" Target="https://drive.google.com/file/d/1IXlDlzs0n9BdG1bi4SFxLB8hn9l8r5Gi/view?usp=sharing" TargetMode="External"/><Relationship Id="rId5" Type="http://schemas.openxmlformats.org/officeDocument/2006/relationships/hyperlink" Target="https://taiga.ecquaria.org/project/pocdex/us/407" TargetMode="External"/><Relationship Id="rId6" Type="http://schemas.openxmlformats.org/officeDocument/2006/relationships/hyperlink" Target="https://taiga.ecquaria.org/project/pocdex/us/407" TargetMode="External"/><Relationship Id="rId7" Type="http://schemas.openxmlformats.org/officeDocument/2006/relationships/hyperlink" Target="https://mail.google.com/mail/u/0/" TargetMode="External"/><Relationship Id="rId8" Type="http://schemas.openxmlformats.org/officeDocument/2006/relationships/hyperlink" Target="https://mail.google.com/mail/u/0/" TargetMode="External"/><Relationship Id="rId73" Type="http://schemas.openxmlformats.org/officeDocument/2006/relationships/hyperlink" Target="https://taiga.ecquaria.org/project/pocdex/us/571" TargetMode="External"/><Relationship Id="rId72" Type="http://schemas.openxmlformats.org/officeDocument/2006/relationships/hyperlink" Target="https://taiga.ecquaria.org/project/pocdex/us/571" TargetMode="External"/><Relationship Id="rId75" Type="http://schemas.openxmlformats.org/officeDocument/2006/relationships/hyperlink" Target="https://taiga.ecquaria.org/project/pocdex/us/571" TargetMode="External"/><Relationship Id="rId74" Type="http://schemas.openxmlformats.org/officeDocument/2006/relationships/hyperlink" Target="https://taiga.ecquaria.org/project/pocdex/us/571" TargetMode="External"/><Relationship Id="rId77" Type="http://schemas.openxmlformats.org/officeDocument/2006/relationships/hyperlink" Target="https://taiga.ecquaria.org/project/pocdex/us/572" TargetMode="External"/><Relationship Id="rId76" Type="http://schemas.openxmlformats.org/officeDocument/2006/relationships/hyperlink" Target="https://taiga.ecquaria.org/project/pocdex/us/572" TargetMode="External"/><Relationship Id="rId79" Type="http://schemas.openxmlformats.org/officeDocument/2006/relationships/hyperlink" Target="https://taiga.ecquaria.org/project/pocdex/us/572" TargetMode="External"/><Relationship Id="rId78" Type="http://schemas.openxmlformats.org/officeDocument/2006/relationships/hyperlink" Target="https://taiga.ecquaria.org/project/pocdex/us/572" TargetMode="External"/><Relationship Id="rId71" Type="http://schemas.openxmlformats.org/officeDocument/2006/relationships/hyperlink" Target="https://taiga.ecquaria.org/project/pocdex/us/571" TargetMode="External"/><Relationship Id="rId70" Type="http://schemas.openxmlformats.org/officeDocument/2006/relationships/hyperlink" Target="https://taiga.ecquaria.org/project/pocdex/us/571" TargetMode="External"/><Relationship Id="rId62" Type="http://schemas.openxmlformats.org/officeDocument/2006/relationships/hyperlink" Target="https://taiga.ecquaria.org/project/pocdex/us/496" TargetMode="External"/><Relationship Id="rId61" Type="http://schemas.openxmlformats.org/officeDocument/2006/relationships/hyperlink" Target="https://taiga.ecquaria.org/project/pocdex/us/496" TargetMode="External"/><Relationship Id="rId64" Type="http://schemas.openxmlformats.org/officeDocument/2006/relationships/hyperlink" Target="https://taiga.ecquaria.org/project/pocdex/us/251" TargetMode="External"/><Relationship Id="rId63" Type="http://schemas.openxmlformats.org/officeDocument/2006/relationships/hyperlink" Target="https://taiga.ecquaria.org/project/pocdex/us/496" TargetMode="External"/><Relationship Id="rId66" Type="http://schemas.openxmlformats.org/officeDocument/2006/relationships/hyperlink" Target="https://taiga.ecquaria.org/project/pocdex/us/251" TargetMode="External"/><Relationship Id="rId65" Type="http://schemas.openxmlformats.org/officeDocument/2006/relationships/hyperlink" Target="https://taiga.ecquaria.org/project/pocdex/issue/569" TargetMode="External"/><Relationship Id="rId68" Type="http://schemas.openxmlformats.org/officeDocument/2006/relationships/hyperlink" Target="https://taiga.ecquaria.org/project/pocdex/us/481" TargetMode="External"/><Relationship Id="rId67" Type="http://schemas.openxmlformats.org/officeDocument/2006/relationships/hyperlink" Target="https://taiga.ecquaria.org/project/pocdex/task/491" TargetMode="External"/><Relationship Id="rId60" Type="http://schemas.openxmlformats.org/officeDocument/2006/relationships/hyperlink" Target="https://taiga.ecquaria.org/project/pocdex/us/526" TargetMode="External"/><Relationship Id="rId69" Type="http://schemas.openxmlformats.org/officeDocument/2006/relationships/hyperlink" Target="https://taiga.ecquaria.org/project/pocdex/us/565" TargetMode="External"/><Relationship Id="rId51" Type="http://schemas.openxmlformats.org/officeDocument/2006/relationships/hyperlink" Target="https://taiga.ecquaria.org/project/pocdex/us/298" TargetMode="External"/><Relationship Id="rId50" Type="http://schemas.openxmlformats.org/officeDocument/2006/relationships/hyperlink" Target="https://taiga.ecquaria.org/project/pocdex/us/298" TargetMode="External"/><Relationship Id="rId53" Type="http://schemas.openxmlformats.org/officeDocument/2006/relationships/hyperlink" Target="https://taiga.ecquaria.org/project/pocdex/task/482" TargetMode="External"/><Relationship Id="rId52" Type="http://schemas.openxmlformats.org/officeDocument/2006/relationships/hyperlink" Target="https://taiga.ecquaria.org/project/pocdex/issue/549" TargetMode="External"/><Relationship Id="rId55" Type="http://schemas.openxmlformats.org/officeDocument/2006/relationships/hyperlink" Target="https://taiga.ecquaria.org/project/pocdex/us/565" TargetMode="External"/><Relationship Id="rId54" Type="http://schemas.openxmlformats.org/officeDocument/2006/relationships/hyperlink" Target="https://taiga.ecquaria.org/project/pocdex/issue/385" TargetMode="External"/><Relationship Id="rId57" Type="http://schemas.openxmlformats.org/officeDocument/2006/relationships/hyperlink" Target="https://taiga.ecquaria.org/project/pocdex/us/565" TargetMode="External"/><Relationship Id="rId56" Type="http://schemas.openxmlformats.org/officeDocument/2006/relationships/hyperlink" Target="https://taiga.ecquaria.org/project/pocdex/us/565" TargetMode="External"/><Relationship Id="rId59" Type="http://schemas.openxmlformats.org/officeDocument/2006/relationships/hyperlink" Target="https://taiga.ecquaria.org/project/pocdex/us/526" TargetMode="External"/><Relationship Id="rId58" Type="http://schemas.openxmlformats.org/officeDocument/2006/relationships/hyperlink" Target="https://taiga.ecquaria.org/project/pocdex/us/565"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taiga.ecquaria.org/project/pocdex/task/577" TargetMode="External"/><Relationship Id="rId42" Type="http://schemas.openxmlformats.org/officeDocument/2006/relationships/hyperlink" Target="https://taiga.ecquaria.org/project/pocdex/task/577" TargetMode="External"/><Relationship Id="rId41" Type="http://schemas.openxmlformats.org/officeDocument/2006/relationships/hyperlink" Target="https://taiga.ecquaria.org/project/pocdex/task/577" TargetMode="External"/><Relationship Id="rId44" Type="http://schemas.openxmlformats.org/officeDocument/2006/relationships/hyperlink" Target="https://taiga.ecquaria.org/project/pocdex/us/525" TargetMode="External"/><Relationship Id="rId43" Type="http://schemas.openxmlformats.org/officeDocument/2006/relationships/hyperlink" Target="https://taiga.ecquaria.org/project/pocdex/us/525" TargetMode="External"/><Relationship Id="rId46" Type="http://schemas.openxmlformats.org/officeDocument/2006/relationships/drawing" Target="../drawings/drawing20.xml"/><Relationship Id="rId45" Type="http://schemas.openxmlformats.org/officeDocument/2006/relationships/hyperlink" Target="https://taiga.ecquaria.org/project/pocdex/us/525" TargetMode="External"/><Relationship Id="rId48" Type="http://schemas.openxmlformats.org/officeDocument/2006/relationships/table" Target="../tables/table20.xml"/><Relationship Id="rId31" Type="http://schemas.openxmlformats.org/officeDocument/2006/relationships/hyperlink" Target="https://taiga.ecquaria.org/project/pocdex/us/528" TargetMode="External"/><Relationship Id="rId30" Type="http://schemas.openxmlformats.org/officeDocument/2006/relationships/hyperlink" Target="https://taiga.ecquaria.org/project/pocdex/us/527?kanban-q=527&amp;kanban-status=831&amp;kanban-swimlane=37" TargetMode="External"/><Relationship Id="rId33" Type="http://schemas.openxmlformats.org/officeDocument/2006/relationships/hyperlink" Target="https://taiga.ecquaria.org/project/pocdex/us/528" TargetMode="External"/><Relationship Id="rId32" Type="http://schemas.openxmlformats.org/officeDocument/2006/relationships/hyperlink" Target="https://taiga.ecquaria.org/project/pocdex/us/528" TargetMode="External"/><Relationship Id="rId35" Type="http://schemas.openxmlformats.org/officeDocument/2006/relationships/hyperlink" Target="https://taiga.ecquaria.org/project/pocdex/us/530" TargetMode="External"/><Relationship Id="rId34" Type="http://schemas.openxmlformats.org/officeDocument/2006/relationships/hyperlink" Target="https://taiga.ecquaria.org/project/pocdex/us/529" TargetMode="External"/><Relationship Id="rId37" Type="http://schemas.openxmlformats.org/officeDocument/2006/relationships/hyperlink" Target="https://taiga.ecquaria.org/project/pocdex/issue/549" TargetMode="External"/><Relationship Id="rId36" Type="http://schemas.openxmlformats.org/officeDocument/2006/relationships/hyperlink" Target="https://taiga.ecquaria.org/project/pocdex/issue/549" TargetMode="External"/><Relationship Id="rId39" Type="http://schemas.openxmlformats.org/officeDocument/2006/relationships/hyperlink" Target="https://taiga.ecquaria.org/project/pocdex/task/577" TargetMode="External"/><Relationship Id="rId38" Type="http://schemas.openxmlformats.org/officeDocument/2006/relationships/hyperlink" Target="https://taiga.ecquaria.org/project/pocdex/task/577" TargetMode="External"/><Relationship Id="rId20" Type="http://schemas.openxmlformats.org/officeDocument/2006/relationships/hyperlink" Target="https://taiga.ecquaria.org/project/pocdex/issue/519" TargetMode="External"/><Relationship Id="rId22" Type="http://schemas.openxmlformats.org/officeDocument/2006/relationships/hyperlink" Target="https://taiga.ecquaria.org/project/pocdex/us/517" TargetMode="External"/><Relationship Id="rId21" Type="http://schemas.openxmlformats.org/officeDocument/2006/relationships/hyperlink" Target="https://taiga.ecquaria.org/project/pocdex/issue/519" TargetMode="External"/><Relationship Id="rId24" Type="http://schemas.openxmlformats.org/officeDocument/2006/relationships/hyperlink" Target="https://taiga.ecquaria.org/project/pocdex/us/517" TargetMode="External"/><Relationship Id="rId23" Type="http://schemas.openxmlformats.org/officeDocument/2006/relationships/hyperlink" Target="https://taiga.ecquaria.org/project/pocdex/us/517" TargetMode="External"/><Relationship Id="rId26" Type="http://schemas.openxmlformats.org/officeDocument/2006/relationships/hyperlink" Target="https://taiga.ecquaria.org/project/pocdex/task/351" TargetMode="External"/><Relationship Id="rId25" Type="http://schemas.openxmlformats.org/officeDocument/2006/relationships/hyperlink" Target="https://taiga.ecquaria.org/project/pocdex/issue/522" TargetMode="External"/><Relationship Id="rId28" Type="http://schemas.openxmlformats.org/officeDocument/2006/relationships/hyperlink" Target="https://taiga.ecquaria.org/project/pocdex/task/355" TargetMode="External"/><Relationship Id="rId27" Type="http://schemas.openxmlformats.org/officeDocument/2006/relationships/hyperlink" Target="https://taiga.ecquaria.org/project/pocdex/task/351" TargetMode="External"/><Relationship Id="rId29" Type="http://schemas.openxmlformats.org/officeDocument/2006/relationships/hyperlink" Target="https://taiga.ecquaria.org/project/pocdex/task/351" TargetMode="External"/><Relationship Id="rId11" Type="http://schemas.openxmlformats.org/officeDocument/2006/relationships/hyperlink" Target="https://taiga.ecquaria.org/project/pocdex/us/407?kanban-assigned_users=81&amp;kanban-status=648&amp;kanban-swimlane=37" TargetMode="External"/><Relationship Id="rId10" Type="http://schemas.openxmlformats.org/officeDocument/2006/relationships/hyperlink" Target="https://taiga.ecquaria.org/project/pocdex/us/251" TargetMode="External"/><Relationship Id="rId13" Type="http://schemas.openxmlformats.org/officeDocument/2006/relationships/hyperlink" Target="https://taiga.ecquaria.org/project/pocdex/us/456" TargetMode="External"/><Relationship Id="rId12" Type="http://schemas.openxmlformats.org/officeDocument/2006/relationships/hyperlink" Target="https://taiga.ecquaria.org/project/pocdex/us/456" TargetMode="External"/><Relationship Id="rId15" Type="http://schemas.openxmlformats.org/officeDocument/2006/relationships/hyperlink" Target="https://taiga.ecquaria.org/project/pocdex/us/456" TargetMode="External"/><Relationship Id="rId14" Type="http://schemas.openxmlformats.org/officeDocument/2006/relationships/hyperlink" Target="https://taiga.ecquaria.org/project/pocdex/us/456" TargetMode="External"/><Relationship Id="rId17" Type="http://schemas.openxmlformats.org/officeDocument/2006/relationships/hyperlink" Target="https://taiga.ecquaria.org/project/pocdex/us/514" TargetMode="External"/><Relationship Id="rId16" Type="http://schemas.openxmlformats.org/officeDocument/2006/relationships/hyperlink" Target="https://taiga.ecquaria.org/project/pocdex/us/456" TargetMode="External"/><Relationship Id="rId19" Type="http://schemas.openxmlformats.org/officeDocument/2006/relationships/hyperlink" Target="https://taiga.ecquaria.org/project/pocdex/us/514" TargetMode="External"/><Relationship Id="rId18" Type="http://schemas.openxmlformats.org/officeDocument/2006/relationships/hyperlink" Target="https://taiga.ecquaria.org/project/pocdex/us/514" TargetMode="External"/><Relationship Id="rId1" Type="http://schemas.openxmlformats.org/officeDocument/2006/relationships/hyperlink" Target="https://taiga.ecquaria.org/project/pocdex/us/292?kanban-assigned_users=81&amp;kanban-q=292&amp;kanban-status=831&amp;kanban-swimlane=37" TargetMode="External"/><Relationship Id="rId2" Type="http://schemas.openxmlformats.org/officeDocument/2006/relationships/hyperlink" Target="https://taiga.ecquaria.org/project/pocdex/us/513?kanban-assigned_users=81&amp;kanban-status=324&amp;kanban-swimlane=37" TargetMode="External"/><Relationship Id="rId3" Type="http://schemas.openxmlformats.org/officeDocument/2006/relationships/hyperlink" Target="https://taiga.ecquaria.org/project/pocdex/us/513?kanban-assigned_users=81&amp;kanban-status=324&amp;kanban-swimlane=37" TargetMode="External"/><Relationship Id="rId4" Type="http://schemas.openxmlformats.org/officeDocument/2006/relationships/hyperlink" Target="https://taiga.ecquaria.org/project/pocdex/us/513?kanban-assigned_users=81&amp;kanban-status=324&amp;kanban-swimlane=37" TargetMode="External"/><Relationship Id="rId9" Type="http://schemas.openxmlformats.org/officeDocument/2006/relationships/hyperlink" Target="https://taiga.ecquaria.org/project/pocdex/us/513?kanban-assigned_users=81&amp;kanban-q=cumulus&amp;kanban-status=327&amp;kanban-swimlane=37" TargetMode="External"/><Relationship Id="rId5" Type="http://schemas.openxmlformats.org/officeDocument/2006/relationships/hyperlink" Target="https://taiga.ecquaria.org/project/pocdex/us/251" TargetMode="External"/><Relationship Id="rId6" Type="http://schemas.openxmlformats.org/officeDocument/2006/relationships/hyperlink" Target="https://taiga.ecquaria.org/project/pocdex/us/251" TargetMode="External"/><Relationship Id="rId7" Type="http://schemas.openxmlformats.org/officeDocument/2006/relationships/hyperlink" Target="https://taiga.ecquaria.org/project/pocdex/issue/394" TargetMode="External"/><Relationship Id="rId8" Type="http://schemas.openxmlformats.org/officeDocument/2006/relationships/hyperlink" Target="https://taiga.ecquaria.org/project/pocdex/us/513?kanban-assigned_users=81&amp;kanban-q=513&amp;kanban-status=327&amp;kanban-swimlane=37"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40" Type="http://schemas.openxmlformats.org/officeDocument/2006/relationships/hyperlink" Target="https://taiga.ecquaria.org/project/ifams2/us/384?kanban-include_attachments=1&amp;kanban-include_tasks=1&amp;kanban-status=538" TargetMode="External"/><Relationship Id="rId42" Type="http://schemas.openxmlformats.org/officeDocument/2006/relationships/hyperlink" Target="https://taiga.ecquaria.org/project/ica-ismart-backend/issue/1708" TargetMode="External"/><Relationship Id="rId41" Type="http://schemas.openxmlformats.org/officeDocument/2006/relationships/hyperlink" Target="https://taiga.ecquaria.org/project/ifams2/us/384?kanban-include_attachments=1&amp;kanban-include_tasks=1&amp;kanban-status=538" TargetMode="External"/><Relationship Id="rId44" Type="http://schemas.openxmlformats.org/officeDocument/2006/relationships/hyperlink" Target="https://taiga.ecquaria.org/project/ica-ismart-backend/issue/1711" TargetMode="External"/><Relationship Id="rId43" Type="http://schemas.openxmlformats.org/officeDocument/2006/relationships/hyperlink" Target="https://taiga.ecquaria.org/project/ica-ismart-backend/issue/1708" TargetMode="External"/><Relationship Id="rId46" Type="http://schemas.openxmlformats.org/officeDocument/2006/relationships/hyperlink" Target="https://taiga.ecquaria.org/project/ica-ismart-backend/issue/1712" TargetMode="External"/><Relationship Id="rId45" Type="http://schemas.openxmlformats.org/officeDocument/2006/relationships/hyperlink" Target="https://taiga.ecquaria.org/project/ica-ismart-backend/issue/1711" TargetMode="External"/><Relationship Id="rId48" Type="http://schemas.openxmlformats.org/officeDocument/2006/relationships/hyperlink" Target="https://taiga.ecquaria.org/project/ica-ismart-backend/issue/1727" TargetMode="External"/><Relationship Id="rId47" Type="http://schemas.openxmlformats.org/officeDocument/2006/relationships/hyperlink" Target="https://taiga.ecquaria.org/project/ica-ismart-backend/issue/1727" TargetMode="External"/><Relationship Id="rId49" Type="http://schemas.openxmlformats.org/officeDocument/2006/relationships/hyperlink" Target="https://taiga.ecquaria.org/project/ica-ismart-backend/issue/1727" TargetMode="External"/><Relationship Id="rId31" Type="http://schemas.openxmlformats.org/officeDocument/2006/relationships/hyperlink" Target="https://taiga.ecquaria.org/project/ifams2/us/393?kanban-include_attachments=1&amp;kanban-include_tasks=1&amp;kanban-status=853" TargetMode="External"/><Relationship Id="rId30" Type="http://schemas.openxmlformats.org/officeDocument/2006/relationships/hyperlink" Target="https://taiga.ecquaria.org/project/ifams2/us/388?kanban-include_attachments=1&amp;kanban-include_tasks=1&amp;kanban-status=539" TargetMode="External"/><Relationship Id="rId33" Type="http://schemas.openxmlformats.org/officeDocument/2006/relationships/hyperlink" Target="https://taiga.ecquaria.org/project/ifams2/us/393?kanban-include_attachments=1&amp;kanban-include_tasks=1&amp;kanban-status=853" TargetMode="External"/><Relationship Id="rId32" Type="http://schemas.openxmlformats.org/officeDocument/2006/relationships/hyperlink" Target="https://taiga.ecquaria.org/project/ifams2/us/393?kanban-include_attachments=1&amp;kanban-include_tasks=1&amp;kanban-status=853" TargetMode="External"/><Relationship Id="rId35" Type="http://schemas.openxmlformats.org/officeDocument/2006/relationships/hyperlink" Target="https://taiga.ecquaria.org/project/ifams2/us/392?kanban-include_attachments=1&amp;kanban-include_tasks=1&amp;kanban-status=539" TargetMode="External"/><Relationship Id="rId34" Type="http://schemas.openxmlformats.org/officeDocument/2006/relationships/hyperlink" Target="https://taiga.ecquaria.org/project/ifams2/us/392?kanban-include_attachments=1&amp;kanban-include_tasks=1&amp;kanban-status=539" TargetMode="External"/><Relationship Id="rId37" Type="http://schemas.openxmlformats.org/officeDocument/2006/relationships/hyperlink" Target="https://taiga.ecquaria.org/project/ifams2/us/392?kanban-include_attachments=1&amp;kanban-include_tasks=1&amp;kanban-status=539" TargetMode="External"/><Relationship Id="rId36" Type="http://schemas.openxmlformats.org/officeDocument/2006/relationships/hyperlink" Target="https://taiga.ecquaria.org/project/ifams2/us/392?kanban-include_attachments=1&amp;kanban-include_tasks=1&amp;kanban-status=539" TargetMode="External"/><Relationship Id="rId39" Type="http://schemas.openxmlformats.org/officeDocument/2006/relationships/hyperlink" Target="https://taiga.ecquaria.org/project/ifams2/us/384?kanban-include_attachments=1&amp;kanban-include_tasks=1&amp;kanban-status=538" TargetMode="External"/><Relationship Id="rId38" Type="http://schemas.openxmlformats.org/officeDocument/2006/relationships/hyperlink" Target="https://taiga.ecquaria.org/project/ifams2/us/384?kanban-include_attachments=1&amp;kanban-include_tasks=1&amp;kanban-status=538" TargetMode="External"/><Relationship Id="rId20" Type="http://schemas.openxmlformats.org/officeDocument/2006/relationships/hyperlink" Target="https://taiga.ecquaria.org/project/ifams2/us/370?kanban-include_attachments=1&amp;kanban-include_tasks=1&amp;kanban-status=537" TargetMode="External"/><Relationship Id="rId22" Type="http://schemas.openxmlformats.org/officeDocument/2006/relationships/hyperlink" Target="https://taiga.ecquaria.org/project/ifams2/us/383?kanban-include_attachments=1&amp;kanban-include_tasks=1&amp;kanban-status=539" TargetMode="External"/><Relationship Id="rId21" Type="http://schemas.openxmlformats.org/officeDocument/2006/relationships/hyperlink" Target="https://taiga.ecquaria.org/project/ifams2/us/383?kanban-include_attachments=1&amp;kanban-include_tasks=1&amp;kanban-status=539" TargetMode="External"/><Relationship Id="rId24" Type="http://schemas.openxmlformats.org/officeDocument/2006/relationships/hyperlink" Target="https://taiga.ecquaria.org/project/ifams2/us/383?kanban-include_attachments=1&amp;kanban-include_tasks=1&amp;kanban-status=539" TargetMode="External"/><Relationship Id="rId23" Type="http://schemas.openxmlformats.org/officeDocument/2006/relationships/hyperlink" Target="https://taiga.ecquaria.org/project/ifams2/us/383?kanban-include_attachments=1&amp;kanban-include_tasks=1&amp;kanban-status=539" TargetMode="External"/><Relationship Id="rId26" Type="http://schemas.openxmlformats.org/officeDocument/2006/relationships/hyperlink" Target="https://taiga.ecquaria.org/project/ifams2/us/388?kanban-include_attachments=1&amp;kanban-include_tasks=1&amp;kanban-status=539" TargetMode="External"/><Relationship Id="rId25" Type="http://schemas.openxmlformats.org/officeDocument/2006/relationships/hyperlink" Target="https://taiga.ecquaria.org/project/ifams2/us/383?kanban-include_attachments=1&amp;kanban-include_tasks=1&amp;kanban-status=539" TargetMode="External"/><Relationship Id="rId28" Type="http://schemas.openxmlformats.org/officeDocument/2006/relationships/hyperlink" Target="https://taiga.ecquaria.org/project/ifams2/us/388?kanban-include_attachments=1&amp;kanban-include_tasks=1&amp;kanban-status=539" TargetMode="External"/><Relationship Id="rId27" Type="http://schemas.openxmlformats.org/officeDocument/2006/relationships/hyperlink" Target="https://taiga.ecquaria.org/project/ifams2/us/388?kanban-include_attachments=1&amp;kanban-include_tasks=1&amp;kanban-status=539" TargetMode="External"/><Relationship Id="rId29" Type="http://schemas.openxmlformats.org/officeDocument/2006/relationships/hyperlink" Target="https://taiga.ecquaria.org/project/ifams2/us/388?kanban-include_attachments=1&amp;kanban-include_tasks=1&amp;kanban-status=539" TargetMode="External"/><Relationship Id="rId11" Type="http://schemas.openxmlformats.org/officeDocument/2006/relationships/hyperlink" Target="https://taiga.ecquaria.org/project/i-smart-report/us/394?kanban-include_attachments=1&amp;kanban-include_tasks=1&amp;kanban-status=501" TargetMode="External"/><Relationship Id="rId10" Type="http://schemas.openxmlformats.org/officeDocument/2006/relationships/hyperlink" Target="https://taiga.ecquaria.org/project/i-smart-report/us/394?kanban-include_attachments=1&amp;kanban-include_tasks=1&amp;kanban-status=501" TargetMode="External"/><Relationship Id="rId13" Type="http://schemas.openxmlformats.org/officeDocument/2006/relationships/hyperlink" Target="https://taiga.ecquaria.org/project/ifams2/us/371?kanban-include_attachments=1&amp;kanban-include_tasks=1&amp;kanban-status=538" TargetMode="External"/><Relationship Id="rId12" Type="http://schemas.openxmlformats.org/officeDocument/2006/relationships/hyperlink" Target="https://taiga.ecquaria.org/project/i-smart-report/us/394?kanban-include_attachments=1&amp;kanban-include_tasks=1&amp;kanban-status=501" TargetMode="External"/><Relationship Id="rId15" Type="http://schemas.openxmlformats.org/officeDocument/2006/relationships/hyperlink" Target="https://taiga.ecquaria.org/project/ifams2/us/371?kanban-include_attachments=1&amp;kanban-include_tasks=1&amp;kanban-status=538" TargetMode="External"/><Relationship Id="rId14" Type="http://schemas.openxmlformats.org/officeDocument/2006/relationships/hyperlink" Target="https://taiga.ecquaria.org/project/ifams2/us/371?kanban-include_attachments=1&amp;kanban-include_tasks=1&amp;kanban-status=538" TargetMode="External"/><Relationship Id="rId17" Type="http://schemas.openxmlformats.org/officeDocument/2006/relationships/hyperlink" Target="https://taiga.ecquaria.org/project/ifams2/us/371?kanban-include_attachments=1&amp;kanban-include_tasks=1&amp;kanban-status=538" TargetMode="External"/><Relationship Id="rId16" Type="http://schemas.openxmlformats.org/officeDocument/2006/relationships/hyperlink" Target="https://taiga.ecquaria.org/project/ifams2/us/371?kanban-include_attachments=1&amp;kanban-include_tasks=1&amp;kanban-status=538" TargetMode="External"/><Relationship Id="rId19" Type="http://schemas.openxmlformats.org/officeDocument/2006/relationships/hyperlink" Target="https://taiga.ecquaria.org/project/ifams2/us/370?kanban-include_attachments=1&amp;kanban-include_tasks=1&amp;kanban-status=537" TargetMode="External"/><Relationship Id="rId18" Type="http://schemas.openxmlformats.org/officeDocument/2006/relationships/hyperlink" Target="https://taiga.ecquaria.org/project/ifams2/us/371?kanban-include_attachments=1&amp;kanban-include_tasks=1&amp;kanban-status=538" TargetMode="External"/><Relationship Id="rId1" Type="http://schemas.openxmlformats.org/officeDocument/2006/relationships/hyperlink" Target="https://taiga.ecquaria.org/project/ifams2/us/356?kanban-include_attachments=1&amp;kanban-include_tasks=1&amp;kanban-status=599" TargetMode="External"/><Relationship Id="rId2" Type="http://schemas.openxmlformats.org/officeDocument/2006/relationships/hyperlink" Target="https://taiga.ecquaria.org/project/ica-ismart-backend/issue/1672" TargetMode="External"/><Relationship Id="rId3" Type="http://schemas.openxmlformats.org/officeDocument/2006/relationships/hyperlink" Target="https://taiga.ecquaria.org/project/ifams2/us/358?kanban-include_attachments=1&amp;kanban-include_tasks=1&amp;kanban-status=537" TargetMode="External"/><Relationship Id="rId4" Type="http://schemas.openxmlformats.org/officeDocument/2006/relationships/hyperlink" Target="https://taiga.ecquaria.org/project/i-smart-report/us/382" TargetMode="External"/><Relationship Id="rId9" Type="http://schemas.openxmlformats.org/officeDocument/2006/relationships/hyperlink" Target="https://taiga.ecquaria.org/project/ifams2/us/360?kanban-include_attachments=1&amp;kanban-include_tasks=1&amp;kanban-status=538" TargetMode="External"/><Relationship Id="rId5" Type="http://schemas.openxmlformats.org/officeDocument/2006/relationships/hyperlink" Target="https://taiga.ecquaria.org/project/ica-ismart-backend/issue/1678" TargetMode="External"/><Relationship Id="rId6" Type="http://schemas.openxmlformats.org/officeDocument/2006/relationships/hyperlink" Target="https://taiga.ecquaria.org/project/ifams2/us/360?kanban-include_attachments=1&amp;kanban-include_tasks=1&amp;kanban-status=538" TargetMode="External"/><Relationship Id="rId7" Type="http://schemas.openxmlformats.org/officeDocument/2006/relationships/hyperlink" Target="https://taiga.ecquaria.org/project/ica-ismart-backend/issue/1678" TargetMode="External"/><Relationship Id="rId8" Type="http://schemas.openxmlformats.org/officeDocument/2006/relationships/hyperlink" Target="https://taiga.ecquaria.org/project/ica-ismart-backend/issue/1677" TargetMode="External"/><Relationship Id="rId51" Type="http://schemas.openxmlformats.org/officeDocument/2006/relationships/hyperlink" Target="https://taiga.ecquaria.org/project/ica-ismart-backend/issue/1730" TargetMode="External"/><Relationship Id="rId50" Type="http://schemas.openxmlformats.org/officeDocument/2006/relationships/hyperlink" Target="https://taiga.ecquaria.org/project/ica-ismart-backend/issue/1727" TargetMode="External"/><Relationship Id="rId53" Type="http://schemas.openxmlformats.org/officeDocument/2006/relationships/drawing" Target="../drawings/drawing22.xml"/><Relationship Id="rId52" Type="http://schemas.openxmlformats.org/officeDocument/2006/relationships/hyperlink" Target="https://taiga.ecquaria.org/project/ica-ismart-backend/issue/1730" TargetMode="External"/><Relationship Id="rId55"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75"/>
    <col customWidth="1" min="2" max="2" width="27.88"/>
    <col customWidth="1" min="3" max="6" width="26.38"/>
    <col customWidth="1" min="7" max="7" width="29.25"/>
    <col customWidth="1" min="8" max="8" width="37.0"/>
  </cols>
  <sheetData>
    <row r="1" ht="76.5" customHeight="1">
      <c r="A1" s="1" t="s">
        <v>0</v>
      </c>
    </row>
    <row r="2" ht="22.5" customHeight="1">
      <c r="A2" s="2"/>
      <c r="B2" s="2"/>
      <c r="C2" s="2"/>
      <c r="D2" s="2"/>
      <c r="E2" s="2"/>
      <c r="F2" s="2"/>
      <c r="G2" s="2"/>
    </row>
    <row r="3" ht="42.75" customHeight="1">
      <c r="A3" s="3" t="s">
        <v>1</v>
      </c>
      <c r="B3" s="3" t="s">
        <v>2</v>
      </c>
      <c r="C3" s="3" t="s">
        <v>3</v>
      </c>
      <c r="D3" s="3" t="s">
        <v>4</v>
      </c>
      <c r="E3" s="3" t="s">
        <v>5</v>
      </c>
      <c r="F3" s="3" t="s">
        <v>6</v>
      </c>
      <c r="G3" s="3" t="s">
        <v>7</v>
      </c>
      <c r="H3" s="3" t="s">
        <v>8</v>
      </c>
    </row>
    <row r="4" ht="22.5" customHeight="1">
      <c r="A4" s="4" t="s">
        <v>9</v>
      </c>
      <c r="B4" s="5">
        <v>45755.0</v>
      </c>
      <c r="C4" s="6" t="s">
        <v>10</v>
      </c>
      <c r="D4" s="6" t="s">
        <v>11</v>
      </c>
      <c r="E4" s="6" t="s">
        <v>12</v>
      </c>
      <c r="F4" s="6" t="s">
        <v>13</v>
      </c>
      <c r="G4" s="6" t="s">
        <v>14</v>
      </c>
      <c r="H4" s="7"/>
    </row>
    <row r="5" ht="22.5" customHeight="1">
      <c r="A5" s="4" t="s">
        <v>9</v>
      </c>
      <c r="B5" s="5">
        <v>45756.0</v>
      </c>
      <c r="C5" s="6" t="s">
        <v>10</v>
      </c>
      <c r="D5" s="6" t="s">
        <v>11</v>
      </c>
      <c r="E5" s="6" t="s">
        <v>12</v>
      </c>
      <c r="F5" s="6" t="s">
        <v>13</v>
      </c>
      <c r="G5" s="8" t="s">
        <v>14</v>
      </c>
      <c r="H5" s="7"/>
    </row>
    <row r="6" ht="22.5" customHeight="1">
      <c r="A6" s="4" t="s">
        <v>9</v>
      </c>
      <c r="B6" s="5">
        <v>45757.0</v>
      </c>
      <c r="C6" s="6" t="s">
        <v>10</v>
      </c>
      <c r="D6" s="6" t="s">
        <v>11</v>
      </c>
      <c r="E6" s="6" t="s">
        <v>12</v>
      </c>
      <c r="F6" s="6" t="s">
        <v>13</v>
      </c>
      <c r="G6" s="8" t="s">
        <v>15</v>
      </c>
      <c r="H6" s="7"/>
    </row>
    <row r="7" ht="22.5" customHeight="1">
      <c r="A7" s="4" t="s">
        <v>9</v>
      </c>
      <c r="B7" s="5">
        <v>45758.0</v>
      </c>
      <c r="C7" s="6" t="s">
        <v>10</v>
      </c>
      <c r="D7" s="6" t="s">
        <v>11</v>
      </c>
      <c r="E7" s="6" t="s">
        <v>12</v>
      </c>
      <c r="F7" s="6" t="s">
        <v>13</v>
      </c>
      <c r="G7" s="8" t="s">
        <v>15</v>
      </c>
      <c r="H7" s="7"/>
    </row>
    <row r="8" ht="22.5" customHeight="1">
      <c r="A8" s="9" t="s">
        <v>16</v>
      </c>
      <c r="B8" s="10">
        <v>45761.0</v>
      </c>
      <c r="C8" s="11" t="s">
        <v>10</v>
      </c>
      <c r="D8" s="11" t="s">
        <v>17</v>
      </c>
      <c r="E8" s="12" t="s">
        <v>12</v>
      </c>
      <c r="F8" s="12" t="s">
        <v>13</v>
      </c>
      <c r="G8" s="12" t="s">
        <v>17</v>
      </c>
      <c r="H8" s="13"/>
    </row>
    <row r="9" ht="22.5" customHeight="1">
      <c r="A9" s="9" t="s">
        <v>16</v>
      </c>
      <c r="B9" s="10">
        <v>45762.0</v>
      </c>
      <c r="C9" s="11" t="s">
        <v>10</v>
      </c>
      <c r="D9" s="11" t="s">
        <v>17</v>
      </c>
      <c r="E9" s="12" t="s">
        <v>17</v>
      </c>
      <c r="F9" s="12" t="s">
        <v>13</v>
      </c>
      <c r="G9" s="12" t="s">
        <v>17</v>
      </c>
      <c r="H9" s="13"/>
    </row>
    <row r="10" ht="22.5" customHeight="1">
      <c r="A10" s="9" t="s">
        <v>16</v>
      </c>
      <c r="B10" s="10">
        <v>45763.0</v>
      </c>
      <c r="C10" s="11" t="s">
        <v>17</v>
      </c>
      <c r="D10" s="11" t="s">
        <v>17</v>
      </c>
      <c r="E10" s="12" t="s">
        <v>12</v>
      </c>
      <c r="F10" s="12" t="s">
        <v>13</v>
      </c>
      <c r="G10" s="12" t="s">
        <v>17</v>
      </c>
      <c r="H10" s="13"/>
    </row>
    <row r="11" ht="22.5" customHeight="1">
      <c r="A11" s="9" t="s">
        <v>16</v>
      </c>
      <c r="B11" s="10">
        <v>45764.0</v>
      </c>
      <c r="C11" s="11" t="s">
        <v>17</v>
      </c>
      <c r="D11" s="11" t="s">
        <v>17</v>
      </c>
      <c r="E11" s="12" t="s">
        <v>12</v>
      </c>
      <c r="F11" s="12" t="s">
        <v>13</v>
      </c>
      <c r="G11" s="12" t="s">
        <v>18</v>
      </c>
      <c r="H11" s="13"/>
    </row>
    <row r="12" ht="22.5" customHeight="1">
      <c r="A12" s="9" t="s">
        <v>16</v>
      </c>
      <c r="B12" s="10">
        <v>45765.0</v>
      </c>
      <c r="C12" s="11" t="s">
        <v>19</v>
      </c>
      <c r="D12" s="11" t="s">
        <v>19</v>
      </c>
      <c r="E12" s="11" t="s">
        <v>19</v>
      </c>
      <c r="F12" s="11" t="s">
        <v>19</v>
      </c>
      <c r="G12" s="11" t="s">
        <v>19</v>
      </c>
      <c r="H12" s="13"/>
    </row>
    <row r="13" ht="22.5" customHeight="1">
      <c r="A13" s="14" t="s">
        <v>20</v>
      </c>
      <c r="B13" s="5">
        <v>45768.0</v>
      </c>
      <c r="C13" s="11" t="s">
        <v>17</v>
      </c>
      <c r="D13" s="11" t="s">
        <v>17</v>
      </c>
      <c r="E13" s="12" t="s">
        <v>12</v>
      </c>
      <c r="F13" s="12" t="s">
        <v>13</v>
      </c>
      <c r="G13" s="11" t="s">
        <v>17</v>
      </c>
      <c r="H13" s="7"/>
    </row>
    <row r="14" ht="22.5" customHeight="1">
      <c r="A14" s="14" t="s">
        <v>20</v>
      </c>
      <c r="B14" s="5">
        <v>45769.0</v>
      </c>
      <c r="C14" s="11" t="s">
        <v>17</v>
      </c>
      <c r="D14" s="11" t="s">
        <v>17</v>
      </c>
      <c r="E14" s="12" t="s">
        <v>12</v>
      </c>
      <c r="F14" s="12" t="s">
        <v>13</v>
      </c>
      <c r="G14" s="11" t="s">
        <v>17</v>
      </c>
      <c r="H14" s="7"/>
    </row>
    <row r="15" ht="22.5" customHeight="1">
      <c r="A15" s="14" t="s">
        <v>20</v>
      </c>
      <c r="B15" s="5">
        <v>45770.0</v>
      </c>
      <c r="C15" s="11" t="s">
        <v>17</v>
      </c>
      <c r="D15" s="11" t="s">
        <v>17</v>
      </c>
      <c r="E15" s="12" t="s">
        <v>12</v>
      </c>
      <c r="F15" s="12" t="s">
        <v>13</v>
      </c>
      <c r="G15" s="11" t="s">
        <v>17</v>
      </c>
      <c r="H15" s="7"/>
    </row>
    <row r="16" ht="22.5" customHeight="1">
      <c r="A16" s="14" t="s">
        <v>20</v>
      </c>
      <c r="B16" s="5">
        <v>45771.0</v>
      </c>
      <c r="C16" s="11" t="s">
        <v>17</v>
      </c>
      <c r="D16" s="11" t="s">
        <v>17</v>
      </c>
      <c r="E16" s="12" t="s">
        <v>12</v>
      </c>
      <c r="F16" s="12" t="s">
        <v>13</v>
      </c>
      <c r="G16" s="11" t="s">
        <v>17</v>
      </c>
      <c r="H16" s="7"/>
    </row>
    <row r="17" ht="22.5" customHeight="1">
      <c r="A17" s="14" t="s">
        <v>20</v>
      </c>
      <c r="B17" s="5">
        <v>45772.0</v>
      </c>
      <c r="C17" s="11" t="s">
        <v>17</v>
      </c>
      <c r="D17" s="11" t="s">
        <v>17</v>
      </c>
      <c r="E17" s="12" t="s">
        <v>12</v>
      </c>
      <c r="F17" s="12" t="s">
        <v>13</v>
      </c>
      <c r="G17" s="11" t="s">
        <v>17</v>
      </c>
      <c r="H17" s="7"/>
    </row>
    <row r="18" ht="22.5" customHeight="1">
      <c r="A18" s="15" t="s">
        <v>21</v>
      </c>
      <c r="B18" s="10">
        <v>45775.0</v>
      </c>
      <c r="C18" s="11" t="s">
        <v>22</v>
      </c>
      <c r="D18" s="11" t="s">
        <v>17</v>
      </c>
      <c r="E18" s="12" t="s">
        <v>12</v>
      </c>
      <c r="F18" s="12" t="s">
        <v>13</v>
      </c>
      <c r="G18" s="11" t="s">
        <v>17</v>
      </c>
      <c r="H18" s="13"/>
    </row>
    <row r="19" ht="22.5" customHeight="1">
      <c r="A19" s="15" t="s">
        <v>21</v>
      </c>
      <c r="B19" s="10">
        <v>45776.0</v>
      </c>
      <c r="C19" s="11" t="s">
        <v>23</v>
      </c>
      <c r="D19" s="11" t="s">
        <v>17</v>
      </c>
      <c r="E19" s="12" t="s">
        <v>12</v>
      </c>
      <c r="F19" s="12" t="s">
        <v>13</v>
      </c>
      <c r="G19" s="11" t="s">
        <v>17</v>
      </c>
      <c r="H19" s="13"/>
    </row>
    <row r="20" ht="22.5" customHeight="1">
      <c r="A20" s="15" t="s">
        <v>21</v>
      </c>
      <c r="B20" s="10">
        <v>45777.0</v>
      </c>
      <c r="C20" s="11" t="s">
        <v>17</v>
      </c>
      <c r="D20" s="11" t="s">
        <v>17</v>
      </c>
      <c r="E20" s="12" t="s">
        <v>12</v>
      </c>
      <c r="F20" s="12" t="s">
        <v>13</v>
      </c>
      <c r="G20" s="11" t="s">
        <v>17</v>
      </c>
      <c r="H20" s="13"/>
    </row>
    <row r="21" ht="42.0" customHeight="1">
      <c r="A21" s="16" t="s">
        <v>24</v>
      </c>
      <c r="B21" s="17"/>
      <c r="C21" s="18">
        <f t="shared" ref="C21:G21" si="1">COUNTIF(C4:C20, "KAIZEN") * 1 +
 COUNTIF(C4:C20, "*KAIZEN (0.5*") * 0.5 +
 COUNTIF(C4:C20, "*KAIZEN (0.25*") * 0.25 +
 COUNTIF(C4:C20, "*KAIZEN (0.75*") * 0.75</f>
        <v>9.25</v>
      </c>
      <c r="D21" s="18">
        <f t="shared" si="1"/>
        <v>12</v>
      </c>
      <c r="E21" s="18">
        <f t="shared" si="1"/>
        <v>1</v>
      </c>
      <c r="F21" s="18">
        <f t="shared" si="1"/>
        <v>0</v>
      </c>
      <c r="G21" s="18">
        <f t="shared" si="1"/>
        <v>11.5</v>
      </c>
      <c r="H21" s="19"/>
    </row>
    <row r="22" ht="22.5" customHeight="1">
      <c r="A22" s="20"/>
      <c r="B22" s="21"/>
      <c r="C22" s="22"/>
      <c r="D22" s="22"/>
      <c r="E22" s="19"/>
      <c r="F22" s="22"/>
      <c r="G22" s="22"/>
      <c r="H22" s="19"/>
    </row>
    <row r="23" ht="22.5" customHeight="1">
      <c r="A23" s="20"/>
      <c r="B23" s="21"/>
      <c r="C23" s="22"/>
      <c r="D23" s="22"/>
      <c r="E23" s="19"/>
      <c r="F23" s="22"/>
      <c r="G23" s="22"/>
      <c r="H23" s="19"/>
    </row>
    <row r="24" ht="22.5" customHeight="1">
      <c r="A24" s="20"/>
      <c r="B24" s="21"/>
      <c r="C24" s="22"/>
      <c r="D24" s="22"/>
      <c r="E24" s="19"/>
      <c r="F24" s="22"/>
      <c r="G24" s="22"/>
      <c r="H24" s="19"/>
    </row>
    <row r="25" ht="22.5" customHeight="1">
      <c r="A25" s="20"/>
      <c r="B25" s="21"/>
      <c r="C25" s="22"/>
      <c r="D25" s="22"/>
      <c r="E25" s="19"/>
      <c r="F25" s="22"/>
      <c r="G25" s="22"/>
      <c r="H25" s="19"/>
    </row>
    <row r="26" ht="22.5" customHeight="1">
      <c r="A26" s="20"/>
      <c r="B26" s="21"/>
      <c r="C26" s="22"/>
      <c r="D26" s="22"/>
      <c r="E26" s="19"/>
      <c r="F26" s="22"/>
      <c r="G26" s="22"/>
      <c r="H26" s="19"/>
    </row>
    <row r="27" ht="22.5" customHeight="1">
      <c r="A27" s="20"/>
      <c r="B27" s="21"/>
      <c r="C27" s="22"/>
      <c r="D27" s="22"/>
      <c r="E27" s="19"/>
      <c r="F27" s="22"/>
      <c r="G27" s="22"/>
      <c r="H27" s="19"/>
    </row>
    <row r="28" ht="22.5" customHeight="1">
      <c r="A28" s="20"/>
      <c r="B28" s="21"/>
      <c r="C28" s="22"/>
      <c r="D28" s="22"/>
      <c r="E28" s="19"/>
      <c r="F28" s="22"/>
      <c r="G28" s="22"/>
      <c r="H28" s="19"/>
    </row>
    <row r="29" ht="22.5" customHeight="1">
      <c r="A29" s="20"/>
      <c r="B29" s="21"/>
      <c r="C29" s="22"/>
      <c r="D29" s="22"/>
      <c r="E29" s="19"/>
      <c r="F29" s="22"/>
      <c r="G29" s="22"/>
      <c r="H29" s="19"/>
    </row>
    <row r="30" ht="22.5" customHeight="1">
      <c r="A30" s="20"/>
      <c r="B30" s="21"/>
      <c r="C30" s="22"/>
      <c r="D30" s="22"/>
      <c r="E30" s="19"/>
      <c r="F30" s="22"/>
      <c r="G30" s="22"/>
      <c r="H30" s="19"/>
    </row>
    <row r="31" ht="22.5" customHeight="1">
      <c r="A31" s="20"/>
      <c r="B31" s="21"/>
      <c r="C31" s="22"/>
      <c r="D31" s="22"/>
      <c r="E31" s="19"/>
      <c r="F31" s="22"/>
      <c r="G31" s="22"/>
      <c r="H31" s="19"/>
    </row>
    <row r="32" ht="22.5" customHeight="1">
      <c r="A32" s="20"/>
      <c r="B32" s="21"/>
      <c r="C32" s="22"/>
      <c r="D32" s="22"/>
      <c r="E32" s="19"/>
      <c r="F32" s="22"/>
      <c r="G32" s="22"/>
      <c r="H32" s="19"/>
    </row>
    <row r="33" ht="22.5" customHeight="1">
      <c r="A33" s="23"/>
      <c r="B33" s="24"/>
      <c r="C33" s="25"/>
      <c r="D33" s="25"/>
      <c r="E33" s="26"/>
      <c r="F33" s="25"/>
      <c r="G33" s="25"/>
      <c r="H33" s="26"/>
    </row>
  </sheetData>
  <mergeCells count="1">
    <mergeCell ref="A1:G1"/>
  </mergeCells>
  <dataValidations>
    <dataValidation type="custom" allowBlank="1" showDropDown="1" sqref="B4:B33">
      <formula1>OR(NOT(ISERROR(DATEVALUE(B4))), AND(ISNUMBER(B4), LEFT(CELL("format", B4))="D"))</formula1>
    </dataValidation>
    <dataValidation allowBlank="1" showDropDown="1" sqref="H4:H33"/>
    <dataValidation allowBlank="1" showDropDown="1" sqref="A4:A33"/>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4" width="11.0"/>
    <col customWidth="1" min="5" max="5" width="11.75"/>
    <col customWidth="1" min="6" max="6" width="13.13"/>
    <col customWidth="1" min="7" max="8" width="12.13"/>
    <col customWidth="1" min="9" max="9" width="24.63"/>
    <col customWidth="1" min="10" max="10" width="14.25"/>
    <col customWidth="1" min="11" max="11" width="40.13"/>
    <col customWidth="1" min="12" max="12" width="32.63"/>
  </cols>
  <sheetData>
    <row r="1" ht="66.0" customHeight="1">
      <c r="A1" s="27" t="s">
        <v>2</v>
      </c>
      <c r="B1" s="27" t="s">
        <v>25</v>
      </c>
      <c r="C1" s="27" t="s">
        <v>26</v>
      </c>
      <c r="D1" s="27" t="s">
        <v>27</v>
      </c>
      <c r="E1" s="27" t="s">
        <v>28</v>
      </c>
      <c r="F1" s="27" t="s">
        <v>29</v>
      </c>
      <c r="G1" s="27" t="s">
        <v>30</v>
      </c>
      <c r="H1" s="27" t="s">
        <v>31</v>
      </c>
      <c r="I1" s="27" t="s">
        <v>32</v>
      </c>
      <c r="J1" s="27" t="s">
        <v>33</v>
      </c>
      <c r="K1" s="27" t="s">
        <v>34</v>
      </c>
      <c r="L1" s="27" t="s">
        <v>8</v>
      </c>
    </row>
    <row r="2" ht="22.5" customHeight="1">
      <c r="A2" s="5">
        <v>45856.0</v>
      </c>
      <c r="B2" s="28">
        <v>8.0</v>
      </c>
      <c r="C2" s="28"/>
      <c r="D2" s="28"/>
      <c r="E2" s="28"/>
      <c r="F2" s="29"/>
      <c r="G2" s="29"/>
      <c r="H2" s="29"/>
      <c r="I2" s="29" t="s">
        <v>35</v>
      </c>
      <c r="J2" s="29" t="s">
        <v>36</v>
      </c>
      <c r="K2" s="30" t="s">
        <v>37</v>
      </c>
      <c r="L2" s="31"/>
    </row>
    <row r="3" ht="22.5" customHeight="1">
      <c r="A3" s="5">
        <v>45859.0</v>
      </c>
      <c r="B3" s="28"/>
      <c r="C3" s="28">
        <v>8.0</v>
      </c>
      <c r="D3" s="28"/>
      <c r="E3" s="28"/>
      <c r="F3" s="29"/>
      <c r="G3" s="29"/>
      <c r="H3" s="29"/>
      <c r="I3" s="29" t="s">
        <v>38</v>
      </c>
      <c r="J3" s="29" t="s">
        <v>39</v>
      </c>
      <c r="K3" s="30" t="s">
        <v>37</v>
      </c>
      <c r="L3" s="31"/>
    </row>
    <row r="4" ht="22.5" customHeight="1">
      <c r="A4" s="5">
        <v>45860.0</v>
      </c>
      <c r="B4" s="28"/>
      <c r="C4" s="28" t="s">
        <v>40</v>
      </c>
      <c r="D4" s="28"/>
      <c r="E4" s="28"/>
      <c r="F4" s="29"/>
      <c r="G4" s="29"/>
      <c r="H4" s="29"/>
      <c r="I4" s="29" t="s">
        <v>38</v>
      </c>
      <c r="J4" s="29" t="s">
        <v>39</v>
      </c>
      <c r="K4" s="32" t="s">
        <v>37</v>
      </c>
      <c r="L4" s="31"/>
    </row>
    <row r="5" ht="22.5" customHeight="1">
      <c r="A5" s="5"/>
      <c r="B5" s="28"/>
      <c r="C5" s="28"/>
      <c r="D5" s="28">
        <v>3.0</v>
      </c>
      <c r="E5" s="28"/>
      <c r="F5" s="29"/>
      <c r="G5" s="29"/>
      <c r="H5" s="29"/>
      <c r="I5" s="29" t="s">
        <v>41</v>
      </c>
      <c r="J5" s="29" t="s">
        <v>39</v>
      </c>
      <c r="K5" s="30" t="s">
        <v>42</v>
      </c>
      <c r="L5" s="29" t="s">
        <v>43</v>
      </c>
    </row>
    <row r="6" ht="22.5" customHeight="1">
      <c r="A6" s="5">
        <v>45861.0</v>
      </c>
      <c r="B6" s="28"/>
      <c r="C6" s="28" t="s">
        <v>44</v>
      </c>
      <c r="D6" s="28"/>
      <c r="E6" s="28"/>
      <c r="F6" s="29"/>
      <c r="G6" s="29"/>
      <c r="H6" s="29"/>
      <c r="I6" s="29" t="s">
        <v>38</v>
      </c>
      <c r="J6" s="29" t="s">
        <v>39</v>
      </c>
      <c r="K6" s="32" t="s">
        <v>37</v>
      </c>
      <c r="L6" s="31"/>
    </row>
    <row r="7" ht="22.5" customHeight="1">
      <c r="A7" s="5"/>
      <c r="B7" s="33"/>
      <c r="C7" s="28"/>
      <c r="D7" s="33"/>
      <c r="E7" s="28"/>
      <c r="F7" s="34"/>
      <c r="G7" s="34"/>
      <c r="H7" s="34" t="s">
        <v>45</v>
      </c>
      <c r="I7" s="29" t="s">
        <v>46</v>
      </c>
      <c r="J7" s="29" t="s">
        <v>36</v>
      </c>
      <c r="K7" s="35"/>
      <c r="L7" s="36"/>
    </row>
    <row r="8" ht="22.5" customHeight="1">
      <c r="A8" s="5"/>
      <c r="B8" s="33"/>
      <c r="C8" s="28"/>
      <c r="D8" s="33">
        <v>2.0</v>
      </c>
      <c r="E8" s="28"/>
      <c r="F8" s="29"/>
      <c r="G8" s="29"/>
      <c r="H8" s="29"/>
      <c r="I8" s="29" t="s">
        <v>41</v>
      </c>
      <c r="J8" s="29" t="s">
        <v>36</v>
      </c>
      <c r="K8" s="30" t="s">
        <v>47</v>
      </c>
      <c r="L8" s="37" t="s">
        <v>48</v>
      </c>
    </row>
    <row r="9" ht="22.5" customHeight="1">
      <c r="A9" s="5">
        <v>45862.0</v>
      </c>
      <c r="B9" s="33"/>
      <c r="C9" s="28">
        <v>8.0</v>
      </c>
      <c r="D9" s="33"/>
      <c r="E9" s="28"/>
      <c r="F9" s="29"/>
      <c r="G9" s="29"/>
      <c r="H9" s="29"/>
      <c r="I9" s="29" t="s">
        <v>38</v>
      </c>
      <c r="J9" s="29" t="s">
        <v>39</v>
      </c>
      <c r="K9" s="30" t="s">
        <v>37</v>
      </c>
      <c r="L9" s="36"/>
    </row>
    <row r="10" ht="22.5" customHeight="1">
      <c r="A10" s="5">
        <v>45863.0</v>
      </c>
      <c r="B10" s="33"/>
      <c r="C10" s="28">
        <v>8.0</v>
      </c>
      <c r="D10" s="28"/>
      <c r="E10" s="28"/>
      <c r="F10" s="29"/>
      <c r="G10" s="29"/>
      <c r="H10" s="29"/>
      <c r="I10" s="29" t="s">
        <v>38</v>
      </c>
      <c r="J10" s="29" t="s">
        <v>39</v>
      </c>
      <c r="K10" s="30" t="s">
        <v>37</v>
      </c>
      <c r="L10" s="37" t="s">
        <v>49</v>
      </c>
    </row>
    <row r="11" ht="22.5" customHeight="1">
      <c r="A11" s="5">
        <v>45866.0</v>
      </c>
      <c r="B11" s="11"/>
      <c r="C11" s="28">
        <v>8.0</v>
      </c>
      <c r="D11" s="38">
        <v>8.0</v>
      </c>
      <c r="E11" s="28"/>
      <c r="F11" s="29"/>
      <c r="G11" s="29"/>
      <c r="H11" s="29"/>
      <c r="I11" s="29" t="s">
        <v>38</v>
      </c>
      <c r="J11" s="29" t="s">
        <v>39</v>
      </c>
      <c r="K11" s="30" t="s">
        <v>37</v>
      </c>
      <c r="L11" s="36"/>
    </row>
    <row r="12" ht="22.5" customHeight="1">
      <c r="A12" s="5">
        <v>45867.0</v>
      </c>
      <c r="B12" s="11"/>
      <c r="C12" s="11"/>
      <c r="D12" s="39">
        <v>8.0</v>
      </c>
      <c r="E12" s="38">
        <v>8.0</v>
      </c>
      <c r="F12" s="34" t="s">
        <v>50</v>
      </c>
      <c r="G12" s="29"/>
      <c r="H12" s="29"/>
      <c r="I12" s="29" t="s">
        <v>51</v>
      </c>
      <c r="J12" s="29" t="s">
        <v>36</v>
      </c>
      <c r="K12" s="40" t="s">
        <v>52</v>
      </c>
      <c r="L12" s="36"/>
    </row>
    <row r="13" ht="22.5" customHeight="1">
      <c r="A13" s="5">
        <v>45868.0</v>
      </c>
      <c r="B13" s="11"/>
      <c r="C13" s="11"/>
      <c r="D13" s="39">
        <v>8.0</v>
      </c>
      <c r="E13" s="28">
        <v>8.0</v>
      </c>
      <c r="F13" s="29"/>
      <c r="G13" s="29"/>
      <c r="H13" s="29"/>
      <c r="I13" s="29" t="s">
        <v>53</v>
      </c>
      <c r="J13" s="29" t="s">
        <v>39</v>
      </c>
      <c r="K13" s="41"/>
      <c r="L13" s="37"/>
    </row>
    <row r="14" ht="22.5" customHeight="1">
      <c r="A14" s="5">
        <v>45869.0</v>
      </c>
      <c r="B14" s="11"/>
      <c r="C14" s="11"/>
      <c r="D14" s="28">
        <v>8.0</v>
      </c>
      <c r="E14" s="42"/>
      <c r="F14" s="29"/>
      <c r="G14" s="29"/>
      <c r="H14" s="29"/>
      <c r="I14" s="29" t="s">
        <v>41</v>
      </c>
      <c r="J14" s="29" t="s">
        <v>39</v>
      </c>
      <c r="K14" s="31"/>
      <c r="L14" s="31"/>
    </row>
    <row r="15" ht="22.5" customHeight="1">
      <c r="A15" s="5">
        <v>45870.0</v>
      </c>
      <c r="B15" s="11"/>
      <c r="C15" s="11"/>
      <c r="D15" s="28" t="s">
        <v>54</v>
      </c>
      <c r="E15" s="42"/>
      <c r="F15" s="29"/>
      <c r="G15" s="29"/>
      <c r="H15" s="29"/>
      <c r="I15" s="29" t="s">
        <v>55</v>
      </c>
      <c r="J15" s="29" t="s">
        <v>39</v>
      </c>
      <c r="K15" s="40" t="s">
        <v>56</v>
      </c>
      <c r="L15" s="37" t="s">
        <v>57</v>
      </c>
    </row>
    <row r="16" ht="22.5" customHeight="1">
      <c r="A16" s="5"/>
      <c r="B16" s="11"/>
      <c r="C16" s="28">
        <v>2.0</v>
      </c>
      <c r="D16" s="28"/>
      <c r="E16" s="43"/>
      <c r="F16" s="29"/>
      <c r="G16" s="29"/>
      <c r="H16" s="29"/>
      <c r="I16" s="29" t="s">
        <v>38</v>
      </c>
      <c r="J16" s="29" t="s">
        <v>36</v>
      </c>
      <c r="K16" s="32" t="s">
        <v>37</v>
      </c>
      <c r="L16" s="29" t="s">
        <v>58</v>
      </c>
    </row>
    <row r="17" ht="22.5" customHeight="1">
      <c r="A17" s="5">
        <v>45873.0</v>
      </c>
      <c r="B17" s="11"/>
      <c r="C17" s="28"/>
      <c r="D17" s="28">
        <v>8.0</v>
      </c>
      <c r="E17" s="43">
        <v>8.0</v>
      </c>
      <c r="F17" s="29"/>
      <c r="G17" s="29"/>
      <c r="H17" s="29"/>
      <c r="I17" s="29" t="s">
        <v>41</v>
      </c>
      <c r="J17" s="29" t="s">
        <v>36</v>
      </c>
      <c r="K17" s="30" t="s">
        <v>59</v>
      </c>
      <c r="L17" s="31"/>
    </row>
    <row r="18" ht="22.5" customHeight="1">
      <c r="A18" s="5">
        <v>45874.0</v>
      </c>
      <c r="B18" s="11"/>
      <c r="C18" s="28"/>
      <c r="D18" s="28"/>
      <c r="E18" s="42" t="s">
        <v>60</v>
      </c>
      <c r="F18" s="29"/>
      <c r="G18" s="29"/>
      <c r="H18" s="29"/>
      <c r="I18" s="44" t="s">
        <v>53</v>
      </c>
      <c r="J18" s="29"/>
      <c r="K18" s="31"/>
      <c r="L18" s="31"/>
    </row>
    <row r="19" ht="22.5" customHeight="1">
      <c r="A19" s="5"/>
      <c r="B19" s="11"/>
      <c r="C19" s="28">
        <v>4.0</v>
      </c>
      <c r="D19" s="28"/>
      <c r="E19" s="42"/>
      <c r="F19" s="29"/>
      <c r="G19" s="29"/>
      <c r="H19" s="29"/>
      <c r="I19" s="29" t="s">
        <v>61</v>
      </c>
      <c r="J19" s="29" t="s">
        <v>36</v>
      </c>
      <c r="K19" s="31"/>
      <c r="L19" s="29"/>
    </row>
    <row r="20" ht="22.5" customHeight="1">
      <c r="A20" s="5"/>
      <c r="B20" s="11"/>
      <c r="C20" s="28"/>
      <c r="D20" s="28">
        <v>2.0</v>
      </c>
      <c r="E20" s="42"/>
      <c r="F20" s="29"/>
      <c r="G20" s="29"/>
      <c r="H20" s="29"/>
      <c r="I20" s="29" t="s">
        <v>41</v>
      </c>
      <c r="J20" s="29" t="s">
        <v>36</v>
      </c>
      <c r="K20" s="30" t="s">
        <v>62</v>
      </c>
      <c r="L20" s="29" t="s">
        <v>63</v>
      </c>
    </row>
    <row r="21" ht="22.5" customHeight="1">
      <c r="A21" s="5">
        <v>45875.0</v>
      </c>
      <c r="B21" s="11"/>
      <c r="C21" s="28"/>
      <c r="D21" s="28"/>
      <c r="E21" s="42">
        <v>8.0</v>
      </c>
      <c r="F21" s="29"/>
      <c r="G21" s="29"/>
      <c r="H21" s="29"/>
      <c r="I21" s="29" t="s">
        <v>53</v>
      </c>
      <c r="J21" s="29" t="s">
        <v>39</v>
      </c>
      <c r="K21" s="31"/>
      <c r="L21" s="31"/>
    </row>
    <row r="22" ht="22.5" customHeight="1">
      <c r="A22" s="5">
        <v>45876.0</v>
      </c>
      <c r="B22" s="45"/>
      <c r="C22" s="28"/>
      <c r="D22" s="46"/>
      <c r="E22" s="42" t="s">
        <v>64</v>
      </c>
      <c r="F22" s="47"/>
      <c r="G22" s="47"/>
      <c r="H22" s="47"/>
      <c r="I22" s="29" t="s">
        <v>53</v>
      </c>
      <c r="J22" s="29" t="s">
        <v>39</v>
      </c>
      <c r="K22" s="36"/>
      <c r="L22" s="36"/>
    </row>
    <row r="23" ht="22.5" customHeight="1">
      <c r="A23" s="5"/>
      <c r="B23" s="45"/>
      <c r="C23" s="28"/>
      <c r="D23" s="48" t="s">
        <v>65</v>
      </c>
      <c r="E23" s="42"/>
      <c r="F23" s="47"/>
      <c r="G23" s="47"/>
      <c r="H23" s="47"/>
      <c r="I23" s="29" t="s">
        <v>41</v>
      </c>
      <c r="J23" s="29" t="s">
        <v>36</v>
      </c>
      <c r="K23" s="40" t="s">
        <v>66</v>
      </c>
      <c r="L23" s="36"/>
    </row>
    <row r="24" ht="22.5" customHeight="1">
      <c r="A24" s="5">
        <v>45877.0</v>
      </c>
      <c r="B24" s="45"/>
      <c r="C24" s="28"/>
      <c r="D24" s="46"/>
      <c r="E24" s="42">
        <v>8.0</v>
      </c>
      <c r="F24" s="47"/>
      <c r="G24" s="47"/>
      <c r="H24" s="47"/>
      <c r="I24" s="29" t="s">
        <v>67</v>
      </c>
      <c r="J24" s="29" t="s">
        <v>39</v>
      </c>
      <c r="K24" s="36"/>
      <c r="L24" s="36"/>
    </row>
    <row r="25" ht="22.5" customHeight="1">
      <c r="A25" s="5">
        <v>45880.0</v>
      </c>
      <c r="B25" s="45"/>
      <c r="C25" s="45"/>
      <c r="D25" s="46"/>
      <c r="E25" s="42">
        <v>8.0</v>
      </c>
      <c r="F25" s="47"/>
      <c r="G25" s="47"/>
      <c r="H25" s="47"/>
      <c r="I25" s="29" t="s">
        <v>68</v>
      </c>
      <c r="J25" s="29" t="s">
        <v>39</v>
      </c>
      <c r="K25" s="36"/>
      <c r="L25" s="36"/>
    </row>
    <row r="26" ht="22.5" customHeight="1">
      <c r="A26" s="5">
        <v>45881.0</v>
      </c>
      <c r="B26" s="45"/>
      <c r="C26" s="45"/>
      <c r="D26" s="46"/>
      <c r="E26" s="42">
        <v>8.0</v>
      </c>
      <c r="F26" s="47"/>
      <c r="G26" s="47"/>
      <c r="H26" s="47"/>
      <c r="I26" s="29" t="s">
        <v>68</v>
      </c>
      <c r="J26" s="29" t="s">
        <v>39</v>
      </c>
      <c r="K26" s="36"/>
      <c r="L26" s="36"/>
    </row>
    <row r="27" ht="22.5" customHeight="1">
      <c r="A27" s="5">
        <v>45882.0</v>
      </c>
      <c r="B27" s="11"/>
      <c r="C27" s="45"/>
      <c r="D27" s="46"/>
      <c r="E27" s="33" t="s">
        <v>69</v>
      </c>
      <c r="F27" s="47"/>
      <c r="G27" s="47"/>
      <c r="H27" s="47"/>
      <c r="I27" s="29" t="s">
        <v>68</v>
      </c>
      <c r="J27" s="29" t="s">
        <v>39</v>
      </c>
      <c r="K27" s="36"/>
      <c r="L27" s="36"/>
    </row>
    <row r="28" ht="22.5" customHeight="1">
      <c r="A28" s="5"/>
      <c r="B28" s="45"/>
      <c r="C28" s="45"/>
      <c r="D28" s="48" t="s">
        <v>70</v>
      </c>
      <c r="E28" s="33"/>
      <c r="F28" s="47"/>
      <c r="G28" s="47"/>
      <c r="H28" s="47"/>
      <c r="I28" s="29" t="s">
        <v>41</v>
      </c>
      <c r="J28" s="49" t="s">
        <v>36</v>
      </c>
      <c r="K28" s="40" t="s">
        <v>71</v>
      </c>
      <c r="L28" s="36"/>
    </row>
    <row r="29" ht="22.5" customHeight="1">
      <c r="A29" s="5">
        <v>45883.0</v>
      </c>
      <c r="B29" s="45"/>
      <c r="C29" s="45"/>
      <c r="D29" s="46"/>
      <c r="E29" s="33">
        <v>8.0</v>
      </c>
      <c r="F29" s="47"/>
      <c r="G29" s="47"/>
      <c r="H29" s="47"/>
      <c r="I29" s="29" t="s">
        <v>72</v>
      </c>
      <c r="J29" s="29" t="s">
        <v>39</v>
      </c>
      <c r="K29" s="36"/>
      <c r="L29" s="36"/>
    </row>
    <row r="30" ht="22.5" customHeight="1">
      <c r="A30" s="5">
        <v>45884.0</v>
      </c>
      <c r="B30" s="11"/>
      <c r="C30" s="45"/>
      <c r="D30" s="46"/>
      <c r="E30" s="33" t="s">
        <v>73</v>
      </c>
      <c r="F30" s="37"/>
      <c r="G30" s="37"/>
      <c r="H30" s="37"/>
      <c r="I30" s="37" t="s">
        <v>74</v>
      </c>
      <c r="J30" s="29" t="s">
        <v>39</v>
      </c>
      <c r="K30" s="40" t="s">
        <v>75</v>
      </c>
      <c r="L30" s="36"/>
    </row>
    <row r="31" ht="22.5" customHeight="1">
      <c r="A31" s="5"/>
      <c r="B31" s="22"/>
      <c r="C31" s="22"/>
      <c r="D31" s="50" t="s">
        <v>70</v>
      </c>
      <c r="E31" s="33"/>
      <c r="F31" s="51"/>
      <c r="G31" s="51"/>
      <c r="H31" s="51"/>
      <c r="I31" s="29" t="s">
        <v>41</v>
      </c>
      <c r="J31" s="29" t="s">
        <v>39</v>
      </c>
      <c r="K31" s="52" t="s">
        <v>76</v>
      </c>
      <c r="L31" s="53"/>
    </row>
    <row r="32" ht="22.5" customHeight="1">
      <c r="A32" s="5">
        <v>45887.0</v>
      </c>
      <c r="B32" s="22"/>
      <c r="C32" s="22"/>
      <c r="D32" s="54"/>
      <c r="E32" s="33">
        <v>8.0</v>
      </c>
      <c r="F32" s="51"/>
      <c r="G32" s="51"/>
      <c r="H32" s="51"/>
      <c r="I32" s="37" t="s">
        <v>74</v>
      </c>
      <c r="J32" s="49" t="s">
        <v>36</v>
      </c>
      <c r="K32" s="40" t="s">
        <v>75</v>
      </c>
      <c r="L32" s="53"/>
    </row>
    <row r="33" ht="22.5" customHeight="1">
      <c r="A33" s="5">
        <v>45888.0</v>
      </c>
      <c r="B33" s="22"/>
      <c r="C33" s="22"/>
      <c r="D33" s="54"/>
      <c r="E33" s="33">
        <v>8.0</v>
      </c>
      <c r="F33" s="51"/>
      <c r="G33" s="51"/>
      <c r="H33" s="51"/>
      <c r="I33" s="37" t="s">
        <v>77</v>
      </c>
      <c r="J33" s="49" t="s">
        <v>36</v>
      </c>
      <c r="K33" s="40" t="s">
        <v>75</v>
      </c>
      <c r="L33" s="53"/>
    </row>
    <row r="34" ht="22.5" customHeight="1">
      <c r="A34" s="5">
        <v>45889.0</v>
      </c>
      <c r="B34" s="22"/>
      <c r="C34" s="22"/>
      <c r="D34" s="54"/>
      <c r="E34" s="33">
        <v>8.0</v>
      </c>
      <c r="F34" s="51"/>
      <c r="G34" s="51"/>
      <c r="H34" s="51"/>
      <c r="I34" s="55" t="s">
        <v>78</v>
      </c>
      <c r="J34" s="49" t="s">
        <v>36</v>
      </c>
      <c r="K34" s="40" t="s">
        <v>75</v>
      </c>
      <c r="L34" s="53"/>
    </row>
    <row r="35" ht="22.5" customHeight="1">
      <c r="A35" s="5">
        <v>45890.0</v>
      </c>
      <c r="B35" s="22"/>
      <c r="C35" s="22"/>
      <c r="D35" s="54"/>
      <c r="E35" s="33">
        <v>8.0</v>
      </c>
      <c r="F35" s="51"/>
      <c r="G35" s="51"/>
      <c r="H35" s="51"/>
      <c r="I35" s="55" t="s">
        <v>79</v>
      </c>
      <c r="J35" s="49" t="s">
        <v>36</v>
      </c>
      <c r="K35" s="53"/>
      <c r="L35" s="53"/>
    </row>
    <row r="36" ht="22.5" customHeight="1">
      <c r="A36" s="5">
        <v>45891.0</v>
      </c>
      <c r="B36" s="22"/>
      <c r="C36" s="22"/>
      <c r="D36" s="54"/>
      <c r="E36" s="33">
        <v>8.0</v>
      </c>
      <c r="F36" s="51"/>
      <c r="G36" s="51"/>
      <c r="H36" s="51"/>
      <c r="I36" s="55" t="s">
        <v>80</v>
      </c>
      <c r="J36" s="29" t="s">
        <v>39</v>
      </c>
      <c r="K36" s="53"/>
      <c r="L36" s="53"/>
    </row>
    <row r="37" ht="22.5" customHeight="1">
      <c r="A37" s="5">
        <v>45894.0</v>
      </c>
      <c r="B37" s="22"/>
      <c r="C37" s="22"/>
      <c r="D37" s="54"/>
      <c r="E37" s="33">
        <v>8.0</v>
      </c>
      <c r="F37" s="51"/>
      <c r="G37" s="51"/>
      <c r="H37" s="51"/>
      <c r="I37" s="55" t="s">
        <v>80</v>
      </c>
      <c r="J37" s="29" t="s">
        <v>39</v>
      </c>
      <c r="K37" s="53"/>
      <c r="L37" s="53"/>
    </row>
    <row r="38" ht="22.5" customHeight="1">
      <c r="A38" s="5">
        <v>45895.0</v>
      </c>
      <c r="B38" s="22"/>
      <c r="C38" s="22"/>
      <c r="D38" s="54"/>
      <c r="E38" s="33">
        <v>8.0</v>
      </c>
      <c r="F38" s="51"/>
      <c r="G38" s="51"/>
      <c r="H38" s="51"/>
      <c r="I38" s="55" t="s">
        <v>80</v>
      </c>
      <c r="J38" s="29" t="s">
        <v>39</v>
      </c>
      <c r="K38" s="53"/>
      <c r="L38" s="53"/>
    </row>
    <row r="39" ht="22.5" customHeight="1">
      <c r="A39" s="5">
        <v>45896.0</v>
      </c>
      <c r="B39" s="22"/>
      <c r="C39" s="22"/>
      <c r="D39" s="54"/>
      <c r="E39" s="33">
        <v>8.0</v>
      </c>
      <c r="F39" s="51"/>
      <c r="G39" s="51"/>
      <c r="H39" s="51"/>
      <c r="I39" s="55" t="s">
        <v>80</v>
      </c>
      <c r="J39" s="29" t="s">
        <v>39</v>
      </c>
      <c r="K39" s="53"/>
      <c r="L39" s="53"/>
    </row>
    <row r="40" ht="22.5" customHeight="1">
      <c r="A40" s="5">
        <v>45897.0</v>
      </c>
      <c r="B40" s="22"/>
      <c r="C40" s="22"/>
      <c r="D40" s="54"/>
      <c r="E40" s="33">
        <v>8.0</v>
      </c>
      <c r="F40" s="51"/>
      <c r="G40" s="51"/>
      <c r="H40" s="51"/>
      <c r="I40" s="55" t="s">
        <v>80</v>
      </c>
      <c r="J40" s="55" t="s">
        <v>36</v>
      </c>
      <c r="K40" s="53"/>
      <c r="L40" s="53"/>
    </row>
    <row r="41" ht="22.5" customHeight="1">
      <c r="A41" s="5">
        <v>45898.0</v>
      </c>
      <c r="B41" s="22"/>
      <c r="C41" s="22"/>
      <c r="D41" s="54"/>
      <c r="E41" s="33">
        <v>8.0</v>
      </c>
      <c r="F41" s="51"/>
      <c r="G41" s="51"/>
      <c r="H41" s="51"/>
      <c r="I41" s="55" t="s">
        <v>81</v>
      </c>
      <c r="J41" s="29" t="s">
        <v>39</v>
      </c>
      <c r="K41" s="53"/>
      <c r="L41" s="53"/>
    </row>
    <row r="42" ht="22.5" customHeight="1">
      <c r="A42" s="5">
        <v>45901.0</v>
      </c>
      <c r="B42" s="22"/>
      <c r="C42" s="22"/>
      <c r="D42" s="54"/>
      <c r="E42" s="33">
        <v>8.0</v>
      </c>
      <c r="F42" s="51"/>
      <c r="G42" s="51"/>
      <c r="H42" s="51"/>
      <c r="I42" s="55" t="s">
        <v>81</v>
      </c>
      <c r="J42" s="29" t="s">
        <v>39</v>
      </c>
      <c r="K42" s="53"/>
      <c r="L42" s="53"/>
    </row>
    <row r="43" ht="22.5" customHeight="1">
      <c r="A43" s="5">
        <v>45902.0</v>
      </c>
      <c r="B43" s="22"/>
      <c r="C43" s="22"/>
      <c r="D43" s="54"/>
      <c r="E43" s="33">
        <v>8.0</v>
      </c>
      <c r="F43" s="51"/>
      <c r="G43" s="51"/>
      <c r="H43" s="51"/>
      <c r="I43" s="55" t="s">
        <v>81</v>
      </c>
      <c r="J43" s="29" t="s">
        <v>39</v>
      </c>
      <c r="K43" s="53"/>
      <c r="L43" s="53"/>
    </row>
    <row r="44" ht="22.5" customHeight="1">
      <c r="A44" s="5">
        <v>45903.0</v>
      </c>
      <c r="B44" s="22"/>
      <c r="C44" s="22"/>
      <c r="D44" s="54"/>
      <c r="E44" s="56">
        <v>8.0</v>
      </c>
      <c r="F44" s="51"/>
      <c r="G44" s="51"/>
      <c r="H44" s="51"/>
      <c r="I44" s="57" t="s">
        <v>81</v>
      </c>
      <c r="J44" s="51"/>
      <c r="K44" s="53"/>
      <c r="L44" s="53"/>
    </row>
    <row r="45" ht="22.5" customHeight="1">
      <c r="A45" s="5"/>
      <c r="B45" s="22"/>
      <c r="C45" s="22"/>
      <c r="D45" s="54"/>
      <c r="E45" s="33"/>
      <c r="F45" s="51"/>
      <c r="G45" s="58">
        <v>8.0</v>
      </c>
      <c r="H45" s="51"/>
      <c r="I45" s="59" t="s">
        <v>82</v>
      </c>
      <c r="J45" s="29" t="s">
        <v>39</v>
      </c>
      <c r="K45" s="60" t="s">
        <v>83</v>
      </c>
      <c r="L45" s="53"/>
    </row>
    <row r="46" ht="22.5" customHeight="1">
      <c r="A46" s="5">
        <v>45904.0</v>
      </c>
      <c r="B46" s="22"/>
      <c r="C46" s="22"/>
      <c r="D46" s="54"/>
      <c r="E46" s="56">
        <v>8.0</v>
      </c>
      <c r="F46" s="51"/>
      <c r="G46" s="51"/>
      <c r="H46" s="51"/>
      <c r="I46" s="57" t="s">
        <v>81</v>
      </c>
      <c r="J46" s="51"/>
      <c r="K46" s="53"/>
      <c r="L46" s="53"/>
    </row>
    <row r="47" ht="22.5" customHeight="1">
      <c r="A47" s="5"/>
      <c r="B47" s="22"/>
      <c r="C47" s="22"/>
      <c r="D47" s="54"/>
      <c r="E47" s="33"/>
      <c r="F47" s="51"/>
      <c r="G47" s="51"/>
      <c r="H47" s="51"/>
      <c r="I47" s="55" t="s">
        <v>84</v>
      </c>
      <c r="J47" s="55" t="s">
        <v>85</v>
      </c>
      <c r="K47" s="53"/>
      <c r="L47" s="53"/>
    </row>
    <row r="48" ht="22.5" customHeight="1">
      <c r="A48" s="5">
        <v>45908.0</v>
      </c>
      <c r="B48" s="22"/>
      <c r="C48" s="22"/>
      <c r="D48" s="54"/>
      <c r="E48" s="61">
        <v>8.0</v>
      </c>
      <c r="F48" s="22"/>
      <c r="G48" s="22"/>
      <c r="H48" s="22"/>
      <c r="I48" s="57" t="s">
        <v>81</v>
      </c>
      <c r="J48" s="22"/>
      <c r="K48" s="19"/>
      <c r="L48" s="62" t="s">
        <v>86</v>
      </c>
    </row>
    <row r="49" ht="22.5" customHeight="1">
      <c r="A49" s="5">
        <v>45909.0</v>
      </c>
      <c r="B49" s="22"/>
      <c r="C49" s="63">
        <v>8.0</v>
      </c>
      <c r="D49" s="54"/>
      <c r="E49" s="56">
        <v>8.0</v>
      </c>
      <c r="F49" s="22"/>
      <c r="G49" s="22"/>
      <c r="H49" s="22"/>
      <c r="I49" s="55" t="s">
        <v>87</v>
      </c>
      <c r="J49" s="29" t="s">
        <v>39</v>
      </c>
      <c r="K49" s="19"/>
      <c r="L49" s="19"/>
    </row>
    <row r="50" ht="22.5" customHeight="1">
      <c r="A50" s="5">
        <v>45910.0</v>
      </c>
      <c r="B50" s="22"/>
      <c r="C50" s="63">
        <v>8.0</v>
      </c>
      <c r="D50" s="54"/>
      <c r="E50" s="56">
        <v>8.0</v>
      </c>
      <c r="F50" s="22"/>
      <c r="G50" s="22"/>
      <c r="H50" s="22"/>
      <c r="I50" s="55" t="s">
        <v>87</v>
      </c>
      <c r="J50" s="29" t="s">
        <v>39</v>
      </c>
      <c r="K50" s="19"/>
      <c r="L50" s="19"/>
    </row>
    <row r="51" ht="22.5" customHeight="1">
      <c r="A51" s="5">
        <v>45911.0</v>
      </c>
      <c r="B51" s="22"/>
      <c r="C51" s="63">
        <v>8.0</v>
      </c>
      <c r="D51" s="54"/>
      <c r="E51" s="56">
        <v>8.0</v>
      </c>
      <c r="F51" s="22"/>
      <c r="G51" s="22"/>
      <c r="H51" s="22"/>
      <c r="I51" s="55" t="s">
        <v>87</v>
      </c>
      <c r="J51" s="29" t="s">
        <v>39</v>
      </c>
      <c r="K51" s="19"/>
      <c r="L51" s="19"/>
    </row>
    <row r="52" ht="22.5" customHeight="1">
      <c r="A52" s="5">
        <v>45912.0</v>
      </c>
      <c r="B52" s="22"/>
      <c r="C52" s="63">
        <v>5.0</v>
      </c>
      <c r="D52" s="54"/>
      <c r="E52" s="56">
        <v>8.0</v>
      </c>
      <c r="F52" s="22"/>
      <c r="G52" s="22"/>
      <c r="H52" s="22"/>
      <c r="I52" s="55" t="s">
        <v>87</v>
      </c>
      <c r="J52" s="64" t="s">
        <v>85</v>
      </c>
      <c r="K52" s="19"/>
      <c r="L52" s="19"/>
    </row>
    <row r="53" ht="22.5" customHeight="1">
      <c r="A53" s="5"/>
      <c r="B53" s="22"/>
      <c r="C53" s="22"/>
      <c r="D53" s="54"/>
      <c r="E53" s="33"/>
      <c r="F53" s="22"/>
      <c r="G53" s="22"/>
      <c r="H53" s="63">
        <v>3.0</v>
      </c>
      <c r="I53" s="55" t="s">
        <v>88</v>
      </c>
      <c r="J53" s="64" t="s">
        <v>85</v>
      </c>
      <c r="K53" s="19"/>
      <c r="L53" s="19"/>
    </row>
    <row r="54" ht="22.5" customHeight="1">
      <c r="A54" s="5">
        <v>45915.0</v>
      </c>
      <c r="B54" s="22"/>
      <c r="C54" s="63">
        <v>8.0</v>
      </c>
      <c r="D54" s="54"/>
      <c r="E54" s="56">
        <v>8.0</v>
      </c>
      <c r="F54" s="22"/>
      <c r="G54" s="22"/>
      <c r="H54" s="22"/>
      <c r="I54" s="55" t="s">
        <v>89</v>
      </c>
      <c r="J54" s="22"/>
      <c r="K54" s="19"/>
      <c r="L54" s="19"/>
    </row>
    <row r="55" ht="22.5" customHeight="1">
      <c r="A55" s="5">
        <v>45916.0</v>
      </c>
      <c r="B55" s="22"/>
      <c r="C55" s="63">
        <v>8.0</v>
      </c>
      <c r="D55" s="54"/>
      <c r="E55" s="61">
        <v>8.0</v>
      </c>
      <c r="F55" s="22"/>
      <c r="G55" s="22"/>
      <c r="H55" s="22"/>
      <c r="I55" s="55" t="s">
        <v>90</v>
      </c>
      <c r="J55" s="22"/>
      <c r="K55" s="19"/>
      <c r="L55" s="19"/>
    </row>
    <row r="56" ht="22.5" customHeight="1">
      <c r="A56" s="5">
        <v>45917.0</v>
      </c>
      <c r="B56" s="22"/>
      <c r="C56" s="63">
        <v>8.0</v>
      </c>
      <c r="D56" s="54"/>
      <c r="E56" s="61">
        <v>8.0</v>
      </c>
      <c r="F56" s="22"/>
      <c r="G56" s="22"/>
      <c r="H56" s="22"/>
      <c r="I56" s="55" t="s">
        <v>91</v>
      </c>
      <c r="J56" s="22"/>
      <c r="K56" s="19"/>
      <c r="L56" s="19"/>
    </row>
    <row r="57" ht="22.5" customHeight="1">
      <c r="A57" s="5">
        <v>45918.0</v>
      </c>
      <c r="B57" s="22"/>
      <c r="C57" s="63">
        <v>8.0</v>
      </c>
      <c r="D57" s="54"/>
      <c r="E57" s="61">
        <v>8.0</v>
      </c>
      <c r="F57" s="22"/>
      <c r="G57" s="22"/>
      <c r="H57" s="22"/>
      <c r="I57" s="55" t="s">
        <v>92</v>
      </c>
      <c r="J57" s="22"/>
      <c r="K57" s="19"/>
      <c r="L57" s="19"/>
    </row>
    <row r="58" ht="22.5" customHeight="1">
      <c r="A58" s="5">
        <v>45919.0</v>
      </c>
      <c r="B58" s="22"/>
      <c r="C58" s="63">
        <v>8.0</v>
      </c>
      <c r="D58" s="54"/>
      <c r="E58" s="61">
        <v>8.0</v>
      </c>
      <c r="F58" s="22"/>
      <c r="G58" s="22"/>
      <c r="H58" s="22"/>
      <c r="I58" s="55" t="s">
        <v>93</v>
      </c>
      <c r="J58" s="22"/>
      <c r="K58" s="19"/>
      <c r="L58" s="19"/>
    </row>
    <row r="59" ht="22.5" customHeight="1">
      <c r="A59" s="5">
        <v>45922.0</v>
      </c>
      <c r="B59" s="22"/>
      <c r="C59" s="63">
        <v>8.0</v>
      </c>
      <c r="D59" s="54"/>
      <c r="E59" s="61">
        <v>8.0</v>
      </c>
      <c r="F59" s="22"/>
      <c r="G59" s="22"/>
      <c r="H59" s="22"/>
      <c r="I59" s="55" t="s">
        <v>94</v>
      </c>
      <c r="J59" s="22"/>
      <c r="K59" s="19"/>
      <c r="L59" s="19"/>
    </row>
    <row r="60" ht="22.5" customHeight="1">
      <c r="A60" s="5">
        <v>45923.0</v>
      </c>
      <c r="B60" s="22"/>
      <c r="C60" s="63">
        <v>8.0</v>
      </c>
      <c r="D60" s="54"/>
      <c r="E60" s="61">
        <v>8.0</v>
      </c>
      <c r="F60" s="22"/>
      <c r="G60" s="22"/>
      <c r="H60" s="22"/>
      <c r="I60" s="55" t="s">
        <v>95</v>
      </c>
      <c r="J60" s="22"/>
      <c r="K60" s="19"/>
      <c r="L60" s="19"/>
    </row>
    <row r="61" ht="22.5" customHeight="1">
      <c r="A61" s="5">
        <v>45924.0</v>
      </c>
      <c r="B61" s="22"/>
      <c r="C61" s="63">
        <v>8.0</v>
      </c>
      <c r="D61" s="54"/>
      <c r="E61" s="61">
        <v>8.0</v>
      </c>
      <c r="F61" s="22"/>
      <c r="G61" s="22"/>
      <c r="H61" s="22"/>
      <c r="I61" s="55" t="s">
        <v>96</v>
      </c>
      <c r="J61" s="22"/>
      <c r="K61" s="19"/>
      <c r="L61" s="19"/>
    </row>
    <row r="62" ht="22.5" customHeight="1">
      <c r="A62" s="5">
        <v>45925.0</v>
      </c>
      <c r="B62" s="22"/>
      <c r="C62" s="63">
        <v>8.0</v>
      </c>
      <c r="D62" s="54"/>
      <c r="E62" s="61">
        <v>8.0</v>
      </c>
      <c r="F62" s="22"/>
      <c r="G62" s="22"/>
      <c r="H62" s="22"/>
      <c r="I62" s="55" t="s">
        <v>97</v>
      </c>
      <c r="J62" s="22"/>
      <c r="K62" s="19"/>
      <c r="L62" s="19"/>
    </row>
    <row r="63" ht="22.5" customHeight="1">
      <c r="A63" s="5">
        <v>45926.0</v>
      </c>
      <c r="B63" s="22"/>
      <c r="C63" s="63">
        <v>8.0</v>
      </c>
      <c r="D63" s="54"/>
      <c r="E63" s="61">
        <v>8.0</v>
      </c>
      <c r="F63" s="22"/>
      <c r="G63" s="22"/>
      <c r="H63" s="22"/>
      <c r="I63" s="55" t="s">
        <v>98</v>
      </c>
      <c r="J63" s="22"/>
      <c r="K63" s="19"/>
      <c r="L63" s="19"/>
    </row>
    <row r="64" ht="22.5" customHeight="1">
      <c r="A64" s="5">
        <v>45929.0</v>
      </c>
      <c r="B64" s="22"/>
      <c r="C64" s="22"/>
      <c r="D64" s="54"/>
      <c r="E64" s="33">
        <v>8.0</v>
      </c>
      <c r="F64" s="22"/>
      <c r="G64" s="22"/>
      <c r="H64" s="22"/>
      <c r="I64" s="55" t="s">
        <v>81</v>
      </c>
      <c r="J64" s="22"/>
      <c r="K64" s="19"/>
      <c r="L64" s="19"/>
    </row>
    <row r="65" ht="22.5" customHeight="1">
      <c r="A65" s="5">
        <v>45930.0</v>
      </c>
      <c r="B65" s="22"/>
      <c r="C65" s="22"/>
      <c r="D65" s="54"/>
      <c r="E65" s="33">
        <v>8.0</v>
      </c>
      <c r="F65" s="22"/>
      <c r="G65" s="22"/>
      <c r="H65" s="22"/>
      <c r="I65" s="55" t="s">
        <v>81</v>
      </c>
      <c r="J65" s="22"/>
      <c r="K65" s="19"/>
      <c r="L65" s="19"/>
    </row>
    <row r="66" ht="22.5" customHeight="1">
      <c r="A66" s="5">
        <v>45931.0</v>
      </c>
      <c r="B66" s="22"/>
      <c r="C66" s="22"/>
      <c r="D66" s="54"/>
      <c r="E66" s="33">
        <v>8.0</v>
      </c>
      <c r="F66" s="22"/>
      <c r="G66" s="22"/>
      <c r="H66" s="22"/>
      <c r="I66" s="55" t="s">
        <v>81</v>
      </c>
      <c r="J66" s="22"/>
      <c r="K66" s="19"/>
      <c r="L66" s="19"/>
    </row>
    <row r="67" ht="22.5" customHeight="1">
      <c r="A67" s="5">
        <v>45932.0</v>
      </c>
      <c r="B67" s="22"/>
      <c r="C67" s="22"/>
      <c r="D67" s="54"/>
      <c r="E67" s="33">
        <v>8.0</v>
      </c>
      <c r="F67" s="22"/>
      <c r="G67" s="22"/>
      <c r="H67" s="22"/>
      <c r="I67" s="55" t="s">
        <v>81</v>
      </c>
      <c r="J67" s="22"/>
      <c r="K67" s="19"/>
      <c r="L67" s="19"/>
    </row>
    <row r="68" ht="22.5" customHeight="1">
      <c r="A68" s="5">
        <v>45933.0</v>
      </c>
      <c r="B68" s="22"/>
      <c r="C68" s="22"/>
      <c r="D68" s="54"/>
      <c r="E68" s="33">
        <v>8.0</v>
      </c>
      <c r="F68" s="22"/>
      <c r="G68" s="22"/>
      <c r="H68" s="22"/>
      <c r="I68" s="55" t="s">
        <v>81</v>
      </c>
      <c r="J68" s="22"/>
      <c r="K68" s="19"/>
      <c r="L68" s="19"/>
    </row>
    <row r="69" ht="22.5" customHeight="1">
      <c r="A69" s="5">
        <v>45936.0</v>
      </c>
      <c r="B69" s="22"/>
      <c r="C69" s="22"/>
      <c r="D69" s="54"/>
      <c r="E69" s="33">
        <v>8.0</v>
      </c>
      <c r="F69" s="22"/>
      <c r="G69" s="22"/>
      <c r="H69" s="22"/>
      <c r="I69" s="55" t="s">
        <v>81</v>
      </c>
      <c r="J69" s="22"/>
      <c r="K69" s="19"/>
      <c r="L69" s="19"/>
    </row>
    <row r="70" ht="22.5" customHeight="1">
      <c r="A70" s="5">
        <v>45937.0</v>
      </c>
      <c r="B70" s="22"/>
      <c r="C70" s="22"/>
      <c r="D70" s="54"/>
      <c r="E70" s="33">
        <v>8.0</v>
      </c>
      <c r="F70" s="22"/>
      <c r="G70" s="22"/>
      <c r="H70" s="22"/>
      <c r="I70" s="55" t="s">
        <v>81</v>
      </c>
      <c r="J70" s="22"/>
      <c r="K70" s="19"/>
      <c r="L70" s="19"/>
    </row>
    <row r="71" ht="22.5" customHeight="1">
      <c r="A71" s="5">
        <v>45938.0</v>
      </c>
      <c r="B71" s="22"/>
      <c r="C71" s="22"/>
      <c r="D71" s="54"/>
      <c r="E71" s="33">
        <v>8.0</v>
      </c>
      <c r="F71" s="22"/>
      <c r="G71" s="22"/>
      <c r="H71" s="22"/>
      <c r="I71" s="55" t="s">
        <v>81</v>
      </c>
      <c r="J71" s="22"/>
      <c r="K71" s="19"/>
      <c r="L71" s="19"/>
    </row>
    <row r="72" ht="22.5" customHeight="1">
      <c r="A72" s="5">
        <v>45939.0</v>
      </c>
      <c r="B72" s="22"/>
      <c r="C72" s="22"/>
      <c r="D72" s="54"/>
      <c r="E72" s="33">
        <v>8.0</v>
      </c>
      <c r="F72" s="22"/>
      <c r="G72" s="22"/>
      <c r="H72" s="22"/>
      <c r="I72" s="55" t="s">
        <v>81</v>
      </c>
      <c r="J72" s="22"/>
      <c r="K72" s="19"/>
      <c r="L72" s="19"/>
    </row>
    <row r="73" ht="22.5" customHeight="1">
      <c r="A73" s="5">
        <v>45940.0</v>
      </c>
      <c r="B73" s="22"/>
      <c r="C73" s="22"/>
      <c r="D73" s="54"/>
      <c r="E73" s="33">
        <v>8.0</v>
      </c>
      <c r="F73" s="22"/>
      <c r="G73" s="22"/>
      <c r="H73" s="22"/>
      <c r="I73" s="55" t="s">
        <v>81</v>
      </c>
      <c r="J73" s="22"/>
      <c r="K73" s="19"/>
      <c r="L73" s="19"/>
    </row>
    <row r="74" ht="22.5" customHeight="1">
      <c r="A74" s="5">
        <v>45943.0</v>
      </c>
      <c r="B74" s="22"/>
      <c r="C74" s="22"/>
      <c r="D74" s="54"/>
      <c r="E74" s="33"/>
      <c r="F74" s="22"/>
      <c r="G74" s="22"/>
      <c r="H74" s="64">
        <v>8.0</v>
      </c>
      <c r="I74" s="55" t="s">
        <v>99</v>
      </c>
      <c r="J74" s="22"/>
      <c r="K74" s="19"/>
      <c r="L74" s="19"/>
    </row>
    <row r="75" ht="22.5" customHeight="1">
      <c r="A75" s="5">
        <v>45944.0</v>
      </c>
      <c r="B75" s="22"/>
      <c r="C75" s="22"/>
      <c r="D75" s="54"/>
      <c r="E75" s="33"/>
      <c r="F75" s="22"/>
      <c r="G75" s="22"/>
      <c r="H75" s="64">
        <v>8.0</v>
      </c>
      <c r="I75" s="55" t="s">
        <v>99</v>
      </c>
      <c r="J75" s="22"/>
      <c r="K75" s="19"/>
      <c r="L75" s="19"/>
    </row>
    <row r="76" ht="22.5" customHeight="1">
      <c r="A76" s="5">
        <v>45945.0</v>
      </c>
      <c r="B76" s="22"/>
      <c r="C76" s="22"/>
      <c r="D76" s="54"/>
      <c r="E76" s="33">
        <v>8.0</v>
      </c>
      <c r="F76" s="22"/>
      <c r="G76" s="22"/>
      <c r="H76" s="22"/>
      <c r="I76" s="55" t="s">
        <v>100</v>
      </c>
      <c r="J76" s="22"/>
      <c r="K76" s="19"/>
      <c r="L76" s="19"/>
    </row>
    <row r="77" ht="22.5" customHeight="1">
      <c r="A77" s="5">
        <v>45946.0</v>
      </c>
      <c r="B77" s="22"/>
      <c r="C77" s="22"/>
      <c r="D77" s="54"/>
      <c r="E77" s="33">
        <v>8.0</v>
      </c>
      <c r="F77" s="22"/>
      <c r="G77" s="22"/>
      <c r="H77" s="22"/>
      <c r="I77" s="55" t="s">
        <v>100</v>
      </c>
      <c r="J77" s="22"/>
      <c r="K77" s="19"/>
      <c r="L77" s="19"/>
    </row>
    <row r="78" ht="22.5" customHeight="1">
      <c r="A78" s="5">
        <v>45947.0</v>
      </c>
      <c r="B78" s="22"/>
      <c r="C78" s="22"/>
      <c r="D78" s="54"/>
      <c r="E78" s="33">
        <v>8.0</v>
      </c>
      <c r="F78" s="22"/>
      <c r="G78" s="22"/>
      <c r="H78" s="22"/>
      <c r="I78" s="55" t="s">
        <v>100</v>
      </c>
      <c r="J78" s="22"/>
      <c r="K78" s="19"/>
      <c r="L78" s="19"/>
    </row>
    <row r="79" ht="22.5" customHeight="1">
      <c r="A79" s="5">
        <v>45950.0</v>
      </c>
      <c r="B79" s="22"/>
      <c r="C79" s="22"/>
      <c r="D79" s="54"/>
      <c r="E79" s="33">
        <v>8.0</v>
      </c>
      <c r="F79" s="22"/>
      <c r="G79" s="22"/>
      <c r="H79" s="22"/>
      <c r="I79" s="55" t="s">
        <v>101</v>
      </c>
      <c r="J79" s="22"/>
      <c r="K79" s="19"/>
      <c r="L79" s="19"/>
    </row>
    <row r="80" ht="22.5" customHeight="1">
      <c r="A80" s="5">
        <v>45951.0</v>
      </c>
      <c r="B80" s="22"/>
      <c r="C80" s="22"/>
      <c r="D80" s="54"/>
      <c r="E80" s="33">
        <v>8.0</v>
      </c>
      <c r="F80" s="22"/>
      <c r="G80" s="22"/>
      <c r="H80" s="22"/>
      <c r="I80" s="55" t="s">
        <v>101</v>
      </c>
      <c r="J80" s="22"/>
      <c r="K80" s="19"/>
      <c r="L80" s="19"/>
    </row>
    <row r="81" ht="22.5" customHeight="1">
      <c r="A81" s="5">
        <v>45952.0</v>
      </c>
      <c r="B81" s="22"/>
      <c r="C81" s="22"/>
      <c r="D81" s="54"/>
      <c r="E81" s="33">
        <v>8.0</v>
      </c>
      <c r="F81" s="22"/>
      <c r="G81" s="22"/>
      <c r="H81" s="22"/>
      <c r="I81" s="55" t="s">
        <v>102</v>
      </c>
      <c r="J81" s="22"/>
      <c r="K81" s="19"/>
      <c r="L81" s="19"/>
    </row>
    <row r="82" ht="22.5" customHeight="1">
      <c r="A82" s="5">
        <v>45953.0</v>
      </c>
      <c r="B82" s="22"/>
      <c r="C82" s="22"/>
      <c r="D82" s="54"/>
      <c r="E82" s="33">
        <v>8.0</v>
      </c>
      <c r="F82" s="22"/>
      <c r="G82" s="22"/>
      <c r="H82" s="22"/>
      <c r="I82" s="55" t="s">
        <v>102</v>
      </c>
      <c r="J82" s="22"/>
      <c r="K82" s="19"/>
      <c r="L82" s="19"/>
    </row>
    <row r="83" ht="22.5" customHeight="1">
      <c r="A83" s="5">
        <v>45954.0</v>
      </c>
      <c r="B83" s="22"/>
      <c r="C83" s="22"/>
      <c r="D83" s="54"/>
      <c r="E83" s="33">
        <v>8.0</v>
      </c>
      <c r="F83" s="22"/>
      <c r="G83" s="22"/>
      <c r="H83" s="22"/>
      <c r="I83" s="55" t="s">
        <v>102</v>
      </c>
      <c r="J83" s="22"/>
      <c r="K83" s="19"/>
      <c r="L83" s="19"/>
    </row>
    <row r="84" ht="22.5" customHeight="1">
      <c r="A84" s="5">
        <v>45957.0</v>
      </c>
      <c r="B84" s="22"/>
      <c r="C84" s="22"/>
      <c r="D84" s="54"/>
      <c r="E84" s="33">
        <v>8.0</v>
      </c>
      <c r="F84" s="22"/>
      <c r="G84" s="22"/>
      <c r="H84" s="22"/>
      <c r="I84" s="55" t="s">
        <v>102</v>
      </c>
      <c r="J84" s="22"/>
      <c r="K84" s="19"/>
      <c r="L84" s="19"/>
    </row>
    <row r="85" ht="22.5" customHeight="1">
      <c r="A85" s="5">
        <v>45958.0</v>
      </c>
      <c r="B85" s="22"/>
      <c r="C85" s="22"/>
      <c r="D85" s="54"/>
      <c r="E85" s="33">
        <v>8.0</v>
      </c>
      <c r="F85" s="22"/>
      <c r="G85" s="22"/>
      <c r="H85" s="22"/>
      <c r="I85" s="55" t="s">
        <v>102</v>
      </c>
      <c r="J85" s="22"/>
      <c r="K85" s="19"/>
      <c r="L85" s="19"/>
    </row>
    <row r="86" ht="22.5" customHeight="1">
      <c r="A86" s="5">
        <v>45959.0</v>
      </c>
      <c r="B86" s="22"/>
      <c r="C86" s="22"/>
      <c r="D86" s="54"/>
      <c r="E86" s="33">
        <v>8.0</v>
      </c>
      <c r="F86" s="22"/>
      <c r="G86" s="22"/>
      <c r="H86" s="22"/>
      <c r="I86" s="55" t="s">
        <v>103</v>
      </c>
      <c r="J86" s="22"/>
      <c r="K86" s="19"/>
      <c r="L86" s="19"/>
    </row>
    <row r="87" ht="22.5" customHeight="1">
      <c r="A87" s="5">
        <v>45960.0</v>
      </c>
      <c r="B87" s="22"/>
      <c r="C87" s="22"/>
      <c r="D87" s="54"/>
      <c r="E87" s="33">
        <v>8.0</v>
      </c>
      <c r="F87" s="22"/>
      <c r="G87" s="22"/>
      <c r="H87" s="22"/>
      <c r="I87" s="55" t="s">
        <v>104</v>
      </c>
      <c r="J87" s="22"/>
      <c r="K87" s="19"/>
      <c r="L87" s="19"/>
    </row>
    <row r="88" ht="22.5" customHeight="1">
      <c r="A88" s="5">
        <v>45961.0</v>
      </c>
      <c r="B88" s="22"/>
      <c r="C88" s="22"/>
      <c r="D88" s="54"/>
      <c r="E88" s="33">
        <v>8.0</v>
      </c>
      <c r="F88" s="22"/>
      <c r="G88" s="22"/>
      <c r="H88" s="22"/>
      <c r="I88" s="55" t="s">
        <v>104</v>
      </c>
      <c r="J88" s="22"/>
      <c r="K88" s="19"/>
      <c r="L88" s="19"/>
    </row>
    <row r="89" ht="22.5" customHeight="1">
      <c r="A89" s="5">
        <v>45964.0</v>
      </c>
      <c r="B89" s="22"/>
      <c r="C89" s="22"/>
      <c r="D89" s="54"/>
      <c r="E89" s="33">
        <v>8.0</v>
      </c>
      <c r="F89" s="22"/>
      <c r="G89" s="22"/>
      <c r="H89" s="22"/>
      <c r="I89" s="55" t="s">
        <v>104</v>
      </c>
      <c r="J89" s="22"/>
      <c r="K89" s="19"/>
      <c r="L89" s="19"/>
    </row>
    <row r="90" ht="22.5" customHeight="1">
      <c r="A90" s="5">
        <v>45965.0</v>
      </c>
      <c r="B90" s="22"/>
      <c r="C90" s="22"/>
      <c r="D90" s="54"/>
      <c r="E90" s="33">
        <v>8.0</v>
      </c>
      <c r="F90" s="22"/>
      <c r="G90" s="22"/>
      <c r="H90" s="22"/>
      <c r="I90" s="55" t="s">
        <v>104</v>
      </c>
      <c r="J90" s="22"/>
      <c r="K90" s="19"/>
      <c r="L90" s="19"/>
    </row>
    <row r="91" ht="22.5" customHeight="1">
      <c r="A91" s="5">
        <v>45966.0</v>
      </c>
      <c r="B91" s="22"/>
      <c r="C91" s="22"/>
      <c r="D91" s="54"/>
      <c r="E91" s="33">
        <v>8.0</v>
      </c>
      <c r="F91" s="22"/>
      <c r="G91" s="22"/>
      <c r="H91" s="22"/>
      <c r="I91" s="55" t="s">
        <v>105</v>
      </c>
      <c r="J91" s="22"/>
      <c r="K91" s="19"/>
      <c r="L91" s="19"/>
    </row>
    <row r="92" ht="22.5" customHeight="1">
      <c r="A92" s="5">
        <v>45967.0</v>
      </c>
      <c r="B92" s="22"/>
      <c r="C92" s="22"/>
      <c r="D92" s="54"/>
      <c r="E92" s="33">
        <v>8.0</v>
      </c>
      <c r="F92" s="22"/>
      <c r="G92" s="22"/>
      <c r="H92" s="22"/>
      <c r="I92" s="55" t="s">
        <v>105</v>
      </c>
      <c r="J92" s="22"/>
      <c r="K92" s="19"/>
      <c r="L92" s="19"/>
    </row>
    <row r="93" ht="22.5" customHeight="1">
      <c r="A93" s="5">
        <v>45968.0</v>
      </c>
      <c r="B93" s="22"/>
      <c r="C93" s="22"/>
      <c r="D93" s="54"/>
      <c r="E93" s="33">
        <v>8.0</v>
      </c>
      <c r="F93" s="22"/>
      <c r="G93" s="22"/>
      <c r="H93" s="22"/>
      <c r="I93" s="55" t="s">
        <v>105</v>
      </c>
      <c r="J93" s="22"/>
      <c r="K93" s="19"/>
      <c r="L93" s="19"/>
    </row>
    <row r="94" ht="22.5" customHeight="1">
      <c r="A94" s="5">
        <v>45971.0</v>
      </c>
      <c r="B94" s="22"/>
      <c r="C94" s="22"/>
      <c r="D94" s="54"/>
      <c r="E94" s="33">
        <v>8.0</v>
      </c>
      <c r="F94" s="22"/>
      <c r="G94" s="22"/>
      <c r="H94" s="22"/>
      <c r="I94" s="55" t="s">
        <v>106</v>
      </c>
      <c r="J94" s="22"/>
      <c r="K94" s="19"/>
      <c r="L94" s="19"/>
    </row>
    <row r="95" ht="22.5" customHeight="1">
      <c r="A95" s="5">
        <v>45972.0</v>
      </c>
      <c r="B95" s="22"/>
      <c r="C95" s="22"/>
      <c r="D95" s="54"/>
      <c r="E95" s="33">
        <v>8.0</v>
      </c>
      <c r="F95" s="22"/>
      <c r="G95" s="22"/>
      <c r="H95" s="22"/>
      <c r="I95" s="55" t="s">
        <v>106</v>
      </c>
      <c r="J95" s="22"/>
      <c r="K95" s="19"/>
      <c r="L95" s="19"/>
    </row>
    <row r="96" ht="22.5" customHeight="1">
      <c r="A96" s="5">
        <v>45973.0</v>
      </c>
      <c r="B96" s="22"/>
      <c r="C96" s="22"/>
      <c r="D96" s="54"/>
      <c r="E96" s="33">
        <v>8.0</v>
      </c>
      <c r="F96" s="22"/>
      <c r="G96" s="22"/>
      <c r="H96" s="22"/>
      <c r="I96" s="55" t="s">
        <v>106</v>
      </c>
      <c r="J96" s="22"/>
      <c r="K96" s="19"/>
      <c r="L96" s="19"/>
    </row>
    <row r="97" ht="22.5" customHeight="1">
      <c r="A97" s="5">
        <v>45974.0</v>
      </c>
      <c r="B97" s="22"/>
      <c r="C97" s="22"/>
      <c r="D97" s="54"/>
      <c r="E97" s="33">
        <v>8.0</v>
      </c>
      <c r="F97" s="22"/>
      <c r="G97" s="22"/>
      <c r="H97" s="22"/>
      <c r="I97" s="55" t="s">
        <v>106</v>
      </c>
      <c r="J97" s="22"/>
      <c r="K97" s="19"/>
      <c r="L97" s="19"/>
    </row>
    <row r="98" ht="22.5" customHeight="1">
      <c r="A98" s="5">
        <v>45975.0</v>
      </c>
      <c r="B98" s="22"/>
      <c r="C98" s="22"/>
      <c r="D98" s="54"/>
      <c r="E98" s="33">
        <v>8.0</v>
      </c>
      <c r="F98" s="22"/>
      <c r="G98" s="22"/>
      <c r="H98" s="22"/>
      <c r="I98" s="55" t="s">
        <v>106</v>
      </c>
      <c r="J98" s="22"/>
      <c r="K98" s="19"/>
      <c r="L98" s="19"/>
    </row>
    <row r="99" ht="22.5" customHeight="1">
      <c r="A99" s="5">
        <v>45978.0</v>
      </c>
      <c r="B99" s="22"/>
      <c r="C99" s="22"/>
      <c r="D99" s="54"/>
      <c r="E99" s="33">
        <v>8.0</v>
      </c>
      <c r="F99" s="22"/>
      <c r="G99" s="22"/>
      <c r="H99" s="22"/>
      <c r="I99" s="55" t="s">
        <v>106</v>
      </c>
      <c r="J99" s="22"/>
      <c r="K99" s="19"/>
      <c r="L99" s="19"/>
    </row>
    <row r="100" ht="22.5" customHeight="1">
      <c r="A100" s="5">
        <v>45979.0</v>
      </c>
      <c r="B100" s="22"/>
      <c r="C100" s="22"/>
      <c r="D100" s="54"/>
      <c r="E100" s="33">
        <v>8.0</v>
      </c>
      <c r="F100" s="22"/>
      <c r="G100" s="22"/>
      <c r="H100" s="22"/>
      <c r="I100" s="55" t="s">
        <v>106</v>
      </c>
      <c r="J100" s="22"/>
      <c r="K100" s="19"/>
      <c r="L100" s="19"/>
    </row>
    <row r="101" ht="22.5" customHeight="1">
      <c r="A101" s="5">
        <v>45980.0</v>
      </c>
      <c r="B101" s="22"/>
      <c r="C101" s="22"/>
      <c r="D101" s="54"/>
      <c r="E101" s="33">
        <v>8.0</v>
      </c>
      <c r="F101" s="22"/>
      <c r="G101" s="22"/>
      <c r="H101" s="22"/>
      <c r="I101" s="55" t="s">
        <v>106</v>
      </c>
      <c r="J101" s="22"/>
      <c r="K101" s="19"/>
      <c r="L101" s="19"/>
    </row>
    <row r="102" ht="22.5" customHeight="1">
      <c r="A102" s="5">
        <v>45981.0</v>
      </c>
      <c r="B102" s="22"/>
      <c r="C102" s="22"/>
      <c r="D102" s="54"/>
      <c r="E102" s="33">
        <v>8.0</v>
      </c>
      <c r="F102" s="22"/>
      <c r="G102" s="22"/>
      <c r="H102" s="22"/>
      <c r="I102" s="55" t="s">
        <v>106</v>
      </c>
      <c r="J102" s="22"/>
      <c r="K102" s="19"/>
      <c r="L102" s="19"/>
    </row>
    <row r="103" ht="22.5" customHeight="1">
      <c r="A103" s="5">
        <v>45982.0</v>
      </c>
      <c r="B103" s="22"/>
      <c r="C103" s="22"/>
      <c r="D103" s="54"/>
      <c r="E103" s="33">
        <v>8.0</v>
      </c>
      <c r="F103" s="22"/>
      <c r="G103" s="22"/>
      <c r="H103" s="22"/>
      <c r="I103" s="55" t="s">
        <v>106</v>
      </c>
      <c r="J103" s="22"/>
      <c r="K103" s="19"/>
      <c r="L103" s="19"/>
    </row>
    <row r="104" ht="22.5" customHeight="1">
      <c r="A104" s="5">
        <v>45985.0</v>
      </c>
      <c r="B104" s="22"/>
      <c r="C104" s="22"/>
      <c r="D104" s="54"/>
      <c r="E104" s="33">
        <v>8.0</v>
      </c>
      <c r="F104" s="22"/>
      <c r="G104" s="22"/>
      <c r="H104" s="22"/>
      <c r="I104" s="55" t="s">
        <v>106</v>
      </c>
      <c r="J104" s="22"/>
      <c r="K104" s="19"/>
      <c r="L104" s="19"/>
    </row>
    <row r="105" ht="22.5" customHeight="1">
      <c r="A105" s="5">
        <v>45986.0</v>
      </c>
      <c r="B105" s="22"/>
      <c r="C105" s="22"/>
      <c r="D105" s="54"/>
      <c r="E105" s="33">
        <v>8.0</v>
      </c>
      <c r="F105" s="22"/>
      <c r="G105" s="22"/>
      <c r="H105" s="22"/>
      <c r="I105" s="55" t="s">
        <v>106</v>
      </c>
      <c r="J105" s="22"/>
      <c r="K105" s="19"/>
      <c r="L105" s="19"/>
    </row>
    <row r="106" ht="22.5" customHeight="1">
      <c r="A106" s="5">
        <v>45987.0</v>
      </c>
      <c r="B106" s="22"/>
      <c r="C106" s="22"/>
      <c r="D106" s="54"/>
      <c r="E106" s="33">
        <v>8.0</v>
      </c>
      <c r="F106" s="22"/>
      <c r="G106" s="22"/>
      <c r="H106" s="22"/>
      <c r="I106" s="55" t="s">
        <v>106</v>
      </c>
      <c r="J106" s="22"/>
      <c r="K106" s="19"/>
      <c r="L106" s="19"/>
    </row>
    <row r="107" ht="22.5" customHeight="1">
      <c r="A107" s="5">
        <v>45988.0</v>
      </c>
      <c r="B107" s="22"/>
      <c r="C107" s="22"/>
      <c r="D107" s="54"/>
      <c r="E107" s="33">
        <v>8.0</v>
      </c>
      <c r="F107" s="22"/>
      <c r="G107" s="22"/>
      <c r="H107" s="22"/>
      <c r="I107" s="55" t="s">
        <v>106</v>
      </c>
      <c r="J107" s="22"/>
      <c r="K107" s="19"/>
      <c r="L107" s="19"/>
    </row>
    <row r="108" ht="22.5" customHeight="1">
      <c r="A108" s="5">
        <v>45989.0</v>
      </c>
      <c r="B108" s="22"/>
      <c r="C108" s="22"/>
      <c r="D108" s="54"/>
      <c r="E108" s="33">
        <v>8.0</v>
      </c>
      <c r="F108" s="22"/>
      <c r="G108" s="22"/>
      <c r="H108" s="22"/>
      <c r="I108" s="55" t="s">
        <v>106</v>
      </c>
      <c r="J108" s="22"/>
      <c r="K108" s="19"/>
      <c r="L108" s="19"/>
    </row>
    <row r="109" ht="22.5" customHeight="1">
      <c r="A109" s="5">
        <v>45992.0</v>
      </c>
      <c r="B109" s="22"/>
      <c r="C109" s="22"/>
      <c r="D109" s="54"/>
      <c r="E109" s="33">
        <v>8.0</v>
      </c>
      <c r="F109" s="22"/>
      <c r="G109" s="22"/>
      <c r="H109" s="22"/>
      <c r="I109" s="55" t="s">
        <v>107</v>
      </c>
      <c r="J109" s="22"/>
      <c r="K109" s="19"/>
      <c r="L109" s="19"/>
    </row>
    <row r="110" ht="22.5" customHeight="1">
      <c r="A110" s="5">
        <v>45993.0</v>
      </c>
      <c r="B110" s="22"/>
      <c r="C110" s="22"/>
      <c r="D110" s="54"/>
      <c r="E110" s="33">
        <v>4.0</v>
      </c>
      <c r="F110" s="22"/>
      <c r="G110" s="22"/>
      <c r="H110" s="22"/>
      <c r="I110" s="55" t="s">
        <v>107</v>
      </c>
      <c r="J110" s="22"/>
      <c r="L110" s="19"/>
    </row>
    <row r="111" ht="22.5" customHeight="1">
      <c r="A111" s="5"/>
      <c r="B111" s="22"/>
      <c r="C111" s="63">
        <v>4.0</v>
      </c>
      <c r="D111" s="54"/>
      <c r="E111" s="33"/>
      <c r="F111" s="22"/>
      <c r="G111" s="22"/>
      <c r="H111" s="22"/>
      <c r="I111" s="55" t="s">
        <v>108</v>
      </c>
      <c r="J111" s="22"/>
      <c r="K111" s="19"/>
      <c r="L111" s="19"/>
    </row>
    <row r="112" ht="22.5" customHeight="1">
      <c r="A112" s="5">
        <v>45994.0</v>
      </c>
      <c r="B112" s="22"/>
      <c r="C112" s="22"/>
      <c r="D112" s="54"/>
      <c r="E112" s="33">
        <v>4.0</v>
      </c>
      <c r="F112" s="22"/>
      <c r="G112" s="22"/>
      <c r="H112" s="22"/>
      <c r="I112" s="55" t="s">
        <v>109</v>
      </c>
      <c r="J112" s="22"/>
      <c r="K112" s="65" t="s">
        <v>110</v>
      </c>
      <c r="L112" s="19"/>
    </row>
    <row r="113" ht="22.5" customHeight="1">
      <c r="A113" s="5"/>
      <c r="B113" s="22"/>
      <c r="C113" s="63">
        <v>4.0</v>
      </c>
      <c r="D113" s="54"/>
      <c r="E113" s="33"/>
      <c r="F113" s="22"/>
      <c r="G113" s="22"/>
      <c r="H113" s="22"/>
      <c r="I113" s="55" t="s">
        <v>111</v>
      </c>
      <c r="J113" s="22"/>
      <c r="K113" s="19"/>
      <c r="L113" s="19"/>
    </row>
    <row r="114" ht="22.5" customHeight="1">
      <c r="A114" s="5">
        <v>45995.0</v>
      </c>
      <c r="B114" s="22"/>
      <c r="C114" s="63">
        <v>8.0</v>
      </c>
      <c r="D114" s="54"/>
      <c r="E114" s="33"/>
      <c r="F114" s="22"/>
      <c r="G114" s="22"/>
      <c r="H114" s="22"/>
      <c r="I114" s="55" t="s">
        <v>112</v>
      </c>
      <c r="J114" s="22"/>
      <c r="K114" s="19"/>
      <c r="L114" s="19"/>
    </row>
    <row r="115" ht="22.5" customHeight="1">
      <c r="A115" s="5">
        <v>45996.0</v>
      </c>
      <c r="B115" s="22"/>
      <c r="C115" s="22"/>
      <c r="D115" s="54"/>
      <c r="E115" s="33">
        <v>8.0</v>
      </c>
      <c r="F115" s="22"/>
      <c r="G115" s="22"/>
      <c r="H115" s="22"/>
      <c r="I115" s="55" t="s">
        <v>113</v>
      </c>
      <c r="J115" s="22"/>
      <c r="K115" s="66" t="s">
        <v>114</v>
      </c>
      <c r="L115" s="19"/>
    </row>
    <row r="116" ht="22.5" customHeight="1">
      <c r="A116" s="5">
        <v>45999.0</v>
      </c>
      <c r="B116" s="22"/>
      <c r="C116" s="22"/>
      <c r="D116" s="54"/>
      <c r="E116" s="33"/>
      <c r="F116" s="22"/>
      <c r="G116" s="63">
        <v>8.0</v>
      </c>
      <c r="H116" s="22"/>
      <c r="I116" s="55" t="s">
        <v>115</v>
      </c>
      <c r="J116" s="22"/>
      <c r="K116" s="19"/>
      <c r="L116" s="19"/>
    </row>
    <row r="117" ht="22.5" customHeight="1">
      <c r="A117" s="5">
        <v>46000.0</v>
      </c>
      <c r="B117" s="22"/>
      <c r="C117" s="22"/>
      <c r="D117" s="54"/>
      <c r="E117" s="33"/>
      <c r="F117" s="22"/>
      <c r="G117" s="63">
        <v>8.0</v>
      </c>
      <c r="H117" s="22"/>
      <c r="I117" s="55" t="s">
        <v>116</v>
      </c>
      <c r="J117" s="22"/>
      <c r="K117" s="19"/>
      <c r="L117" s="19"/>
    </row>
    <row r="118" ht="22.5" customHeight="1">
      <c r="A118" s="5">
        <v>46001.0</v>
      </c>
      <c r="B118" s="22"/>
      <c r="C118" s="22"/>
      <c r="D118" s="54"/>
      <c r="E118" s="33"/>
      <c r="F118" s="22"/>
      <c r="G118" s="63">
        <v>8.0</v>
      </c>
      <c r="H118" s="22"/>
      <c r="I118" s="55" t="s">
        <v>117</v>
      </c>
      <c r="J118" s="22"/>
      <c r="K118" s="19"/>
      <c r="L118" s="19"/>
    </row>
    <row r="119" ht="22.5" customHeight="1">
      <c r="A119" s="5">
        <v>46002.0</v>
      </c>
      <c r="B119" s="22"/>
      <c r="C119" s="22"/>
      <c r="D119" s="54"/>
      <c r="E119" s="33">
        <v>8.0</v>
      </c>
      <c r="F119" s="22"/>
      <c r="G119" s="67"/>
      <c r="H119" s="22"/>
      <c r="I119" s="55" t="s">
        <v>107</v>
      </c>
      <c r="J119" s="22"/>
      <c r="K119" s="19"/>
      <c r="L119" s="19"/>
    </row>
    <row r="120" ht="22.5" customHeight="1">
      <c r="A120" s="5">
        <v>46003.0</v>
      </c>
      <c r="B120" s="22"/>
      <c r="C120" s="22"/>
      <c r="D120" s="54"/>
      <c r="E120" s="33">
        <v>8.0</v>
      </c>
      <c r="F120" s="22"/>
      <c r="G120" s="67"/>
      <c r="H120" s="22"/>
      <c r="I120" s="55" t="s">
        <v>107</v>
      </c>
      <c r="J120" s="22"/>
      <c r="K120" s="19"/>
      <c r="L120" s="19"/>
    </row>
    <row r="121" ht="22.5" customHeight="1">
      <c r="A121" s="5">
        <v>46006.0</v>
      </c>
      <c r="B121" s="22"/>
      <c r="C121" s="22"/>
      <c r="D121" s="54"/>
      <c r="E121" s="33">
        <v>8.0</v>
      </c>
      <c r="F121" s="22"/>
      <c r="G121" s="22"/>
      <c r="H121" s="22"/>
      <c r="I121" s="55" t="s">
        <v>118</v>
      </c>
      <c r="J121" s="22"/>
      <c r="K121" s="65" t="s">
        <v>119</v>
      </c>
      <c r="L121" s="19"/>
    </row>
    <row r="122" ht="22.5" customHeight="1">
      <c r="A122" s="5">
        <v>46007.0</v>
      </c>
      <c r="B122" s="22"/>
      <c r="C122" s="22"/>
      <c r="D122" s="54"/>
      <c r="E122" s="33">
        <v>8.0</v>
      </c>
      <c r="F122" s="22"/>
      <c r="G122" s="22"/>
      <c r="H122" s="22"/>
      <c r="I122" s="55" t="s">
        <v>118</v>
      </c>
      <c r="J122" s="22"/>
      <c r="K122" s="65" t="s">
        <v>119</v>
      </c>
      <c r="L122" s="19"/>
    </row>
    <row r="123" ht="22.5" customHeight="1">
      <c r="A123" s="5">
        <v>46008.0</v>
      </c>
      <c r="B123" s="22"/>
      <c r="C123" s="22"/>
      <c r="D123" s="54"/>
      <c r="E123" s="33">
        <v>8.0</v>
      </c>
      <c r="F123" s="22"/>
      <c r="G123" s="22"/>
      <c r="H123" s="22"/>
      <c r="I123" s="55" t="s">
        <v>118</v>
      </c>
      <c r="J123" s="22"/>
      <c r="K123" s="19"/>
      <c r="L123" s="19"/>
    </row>
    <row r="124" ht="22.5" customHeight="1">
      <c r="A124" s="5">
        <v>46009.0</v>
      </c>
      <c r="B124" s="22"/>
      <c r="C124" s="22"/>
      <c r="D124" s="54"/>
      <c r="E124" s="33">
        <v>8.0</v>
      </c>
      <c r="F124" s="22"/>
      <c r="G124" s="22"/>
      <c r="H124" s="22"/>
      <c r="I124" s="55" t="s">
        <v>107</v>
      </c>
      <c r="J124" s="22"/>
      <c r="K124" s="19"/>
      <c r="L124" s="19"/>
    </row>
    <row r="125" ht="22.5" customHeight="1">
      <c r="A125" s="5">
        <v>46010.0</v>
      </c>
      <c r="B125" s="22"/>
      <c r="C125" s="22"/>
      <c r="D125" s="54"/>
      <c r="E125" s="33"/>
      <c r="F125" s="22"/>
      <c r="G125" s="22"/>
      <c r="H125" s="22"/>
      <c r="I125" s="6" t="s">
        <v>86</v>
      </c>
      <c r="J125" s="22"/>
      <c r="K125" s="19"/>
      <c r="L125" s="19"/>
    </row>
    <row r="126" ht="22.5" customHeight="1">
      <c r="A126" s="5">
        <v>46013.0</v>
      </c>
      <c r="B126" s="22"/>
      <c r="C126" s="22"/>
      <c r="D126" s="54"/>
      <c r="E126" s="33"/>
      <c r="F126" s="22"/>
      <c r="G126" s="22"/>
      <c r="H126" s="22"/>
      <c r="I126" s="6" t="s">
        <v>86</v>
      </c>
      <c r="J126" s="22"/>
      <c r="K126" s="19"/>
      <c r="L126" s="19"/>
    </row>
    <row r="127" ht="22.5" customHeight="1">
      <c r="A127" s="5">
        <v>46014.0</v>
      </c>
      <c r="B127" s="22"/>
      <c r="C127" s="22"/>
      <c r="D127" s="54"/>
      <c r="E127" s="33"/>
      <c r="F127" s="22"/>
      <c r="G127" s="22"/>
      <c r="H127" s="22"/>
      <c r="I127" s="6" t="s">
        <v>86</v>
      </c>
      <c r="J127" s="22"/>
      <c r="K127" s="19"/>
      <c r="L127" s="19"/>
    </row>
    <row r="128" ht="22.5" customHeight="1">
      <c r="A128" s="5">
        <v>46015.0</v>
      </c>
      <c r="B128" s="22"/>
      <c r="C128" s="22"/>
      <c r="D128" s="54"/>
      <c r="E128" s="33">
        <v>8.0</v>
      </c>
      <c r="F128" s="22"/>
      <c r="G128" s="22"/>
      <c r="H128" s="22"/>
      <c r="I128" s="55" t="s">
        <v>120</v>
      </c>
      <c r="J128" s="22"/>
      <c r="K128" s="66" t="s">
        <v>114</v>
      </c>
      <c r="L128" s="19"/>
    </row>
    <row r="129" ht="22.5" customHeight="1">
      <c r="A129" s="5">
        <v>46016.0</v>
      </c>
      <c r="B129" s="22"/>
      <c r="C129" s="22"/>
      <c r="D129" s="54"/>
      <c r="E129" s="33"/>
      <c r="F129" s="22"/>
      <c r="G129" s="22"/>
      <c r="H129" s="22"/>
      <c r="I129" s="55" t="s">
        <v>19</v>
      </c>
      <c r="J129" s="22"/>
      <c r="K129" s="19"/>
      <c r="L129" s="19"/>
    </row>
    <row r="130" ht="22.5" customHeight="1">
      <c r="A130" s="5">
        <v>46017.0</v>
      </c>
      <c r="B130" s="22"/>
      <c r="C130" s="22"/>
      <c r="D130" s="54"/>
      <c r="E130" s="33">
        <v>8.0</v>
      </c>
      <c r="F130" s="22"/>
      <c r="G130" s="22"/>
      <c r="H130" s="22"/>
      <c r="I130" s="55" t="s">
        <v>120</v>
      </c>
      <c r="J130" s="22"/>
      <c r="K130" s="66" t="s">
        <v>114</v>
      </c>
      <c r="L130" s="19"/>
    </row>
    <row r="131" ht="22.5" customHeight="1">
      <c r="A131" s="5">
        <v>46020.0</v>
      </c>
      <c r="B131" s="22"/>
      <c r="C131" s="22"/>
      <c r="D131" s="54"/>
      <c r="E131" s="33">
        <v>8.0</v>
      </c>
      <c r="F131" s="22"/>
      <c r="G131" s="22"/>
      <c r="H131" s="22"/>
      <c r="I131" s="55" t="s">
        <v>120</v>
      </c>
      <c r="J131" s="22"/>
      <c r="K131" s="66" t="s">
        <v>114</v>
      </c>
      <c r="L131" s="19"/>
    </row>
    <row r="132" ht="22.5" customHeight="1">
      <c r="A132" s="5">
        <v>46021.0</v>
      </c>
      <c r="B132" s="22"/>
      <c r="C132" s="22"/>
      <c r="D132" s="54"/>
      <c r="E132" s="33">
        <v>8.0</v>
      </c>
      <c r="F132" s="22"/>
      <c r="G132" s="22"/>
      <c r="H132" s="22"/>
      <c r="I132" s="55" t="s">
        <v>121</v>
      </c>
      <c r="J132" s="22"/>
      <c r="K132" s="66" t="s">
        <v>114</v>
      </c>
      <c r="L132" s="19"/>
    </row>
    <row r="133" ht="22.5" customHeight="1">
      <c r="A133" s="5">
        <v>46022.0</v>
      </c>
      <c r="B133" s="22"/>
      <c r="C133" s="22"/>
      <c r="D133" s="54"/>
      <c r="E133" s="33"/>
      <c r="F133" s="22"/>
      <c r="G133" s="22"/>
      <c r="H133" s="22"/>
      <c r="I133" s="6" t="s">
        <v>86</v>
      </c>
      <c r="J133" s="22"/>
      <c r="K133" s="19"/>
      <c r="L133" s="19"/>
    </row>
    <row r="134" ht="22.5" customHeight="1">
      <c r="A134" s="5">
        <v>46023.0</v>
      </c>
      <c r="B134" s="22"/>
      <c r="C134" s="22"/>
      <c r="D134" s="54"/>
      <c r="E134" s="33"/>
      <c r="F134" s="22"/>
      <c r="G134" s="22"/>
      <c r="H134" s="22"/>
      <c r="I134" s="55" t="s">
        <v>19</v>
      </c>
      <c r="J134" s="22"/>
      <c r="K134" s="19"/>
      <c r="L134" s="19"/>
    </row>
    <row r="135" ht="22.5" customHeight="1">
      <c r="A135" s="5">
        <v>46024.0</v>
      </c>
      <c r="B135" s="22"/>
      <c r="C135" s="22"/>
      <c r="D135" s="54"/>
      <c r="E135" s="33"/>
      <c r="F135" s="22"/>
      <c r="G135" s="22"/>
      <c r="H135" s="22"/>
      <c r="I135" s="6" t="s">
        <v>86</v>
      </c>
      <c r="J135" s="22"/>
      <c r="K135" s="19"/>
      <c r="L135" s="19"/>
    </row>
    <row r="136" ht="22.5" customHeight="1">
      <c r="A136" s="5">
        <v>46027.0</v>
      </c>
      <c r="B136" s="22"/>
      <c r="C136" s="22"/>
      <c r="D136" s="54"/>
      <c r="E136" s="33">
        <v>8.0</v>
      </c>
      <c r="F136" s="22"/>
      <c r="G136" s="22"/>
      <c r="H136" s="22"/>
      <c r="I136" s="55" t="s">
        <v>121</v>
      </c>
      <c r="J136" s="22"/>
      <c r="K136" s="66" t="s">
        <v>114</v>
      </c>
      <c r="L136" s="19"/>
    </row>
    <row r="137" ht="22.5" customHeight="1">
      <c r="A137" s="5">
        <v>46028.0</v>
      </c>
      <c r="B137" s="22"/>
      <c r="C137" s="22"/>
      <c r="D137" s="54"/>
      <c r="E137" s="33">
        <v>8.0</v>
      </c>
      <c r="F137" s="22"/>
      <c r="G137" s="22"/>
      <c r="H137" s="22"/>
      <c r="I137" s="55" t="s">
        <v>121</v>
      </c>
      <c r="J137" s="22"/>
      <c r="K137" s="66" t="s">
        <v>114</v>
      </c>
      <c r="L137" s="19"/>
    </row>
    <row r="138" ht="22.5" customHeight="1">
      <c r="A138" s="5">
        <v>46029.0</v>
      </c>
      <c r="B138" s="22"/>
      <c r="C138" s="22"/>
      <c r="D138" s="54"/>
      <c r="E138" s="33">
        <v>8.0</v>
      </c>
      <c r="F138" s="22"/>
      <c r="G138" s="22"/>
      <c r="H138" s="22"/>
      <c r="I138" s="68" t="s">
        <v>122</v>
      </c>
      <c r="J138" s="22"/>
      <c r="K138" s="69" t="s">
        <v>114</v>
      </c>
      <c r="L138" s="19"/>
    </row>
    <row r="139" ht="22.5" customHeight="1">
      <c r="A139" s="5">
        <v>46030.0</v>
      </c>
      <c r="B139" s="22"/>
      <c r="C139" s="22"/>
      <c r="D139" s="54"/>
      <c r="E139" s="33">
        <v>8.0</v>
      </c>
      <c r="F139" s="22"/>
      <c r="G139" s="22"/>
      <c r="H139" s="22"/>
      <c r="I139" s="6" t="s">
        <v>123</v>
      </c>
      <c r="J139" s="22"/>
      <c r="K139" s="19"/>
      <c r="L139" s="19"/>
    </row>
    <row r="140" ht="22.5" customHeight="1">
      <c r="A140" s="5">
        <v>46031.0</v>
      </c>
      <c r="B140" s="22"/>
      <c r="C140" s="22"/>
      <c r="D140" s="54"/>
      <c r="E140" s="33">
        <v>8.0</v>
      </c>
      <c r="F140" s="22"/>
      <c r="G140" s="22"/>
      <c r="H140" s="22"/>
      <c r="I140" s="6" t="s">
        <v>123</v>
      </c>
      <c r="J140" s="22"/>
      <c r="K140" s="19"/>
      <c r="L140" s="19"/>
    </row>
    <row r="141" ht="22.5" customHeight="1">
      <c r="A141" s="5">
        <v>46034.0</v>
      </c>
      <c r="B141" s="22"/>
      <c r="C141" s="22"/>
      <c r="D141" s="54"/>
      <c r="E141" s="33">
        <v>8.0</v>
      </c>
      <c r="F141" s="22"/>
      <c r="G141" s="22"/>
      <c r="H141" s="22"/>
      <c r="I141" s="6" t="s">
        <v>123</v>
      </c>
      <c r="J141" s="22"/>
      <c r="K141" s="19"/>
      <c r="L141" s="19"/>
    </row>
    <row r="142" ht="22.5" customHeight="1">
      <c r="A142" s="5">
        <v>46035.0</v>
      </c>
      <c r="B142" s="22"/>
      <c r="C142" s="22"/>
      <c r="D142" s="54"/>
      <c r="E142" s="33">
        <v>8.0</v>
      </c>
      <c r="F142" s="22"/>
      <c r="G142" s="22"/>
      <c r="H142" s="22"/>
      <c r="I142" s="6" t="s">
        <v>123</v>
      </c>
      <c r="J142" s="22"/>
      <c r="K142" s="19"/>
      <c r="L142" s="19"/>
    </row>
    <row r="143" ht="22.5" customHeight="1">
      <c r="A143" s="5">
        <v>46036.0</v>
      </c>
      <c r="B143" s="22"/>
      <c r="C143" s="22"/>
      <c r="D143" s="54"/>
      <c r="E143" s="33">
        <v>8.0</v>
      </c>
      <c r="F143" s="22"/>
      <c r="G143" s="22"/>
      <c r="H143" s="22"/>
      <c r="I143" s="6" t="s">
        <v>123</v>
      </c>
      <c r="J143" s="22"/>
      <c r="K143" s="19"/>
      <c r="L143" s="19"/>
    </row>
    <row r="144" ht="22.5" customHeight="1">
      <c r="A144" s="5">
        <v>46037.0</v>
      </c>
      <c r="B144" s="22"/>
      <c r="C144" s="22"/>
      <c r="D144" s="54"/>
      <c r="E144" s="33"/>
      <c r="F144" s="22"/>
      <c r="G144" s="22"/>
      <c r="H144" s="22"/>
      <c r="I144" s="6" t="s">
        <v>123</v>
      </c>
      <c r="J144" s="22"/>
      <c r="K144" s="19"/>
      <c r="L144" s="19"/>
    </row>
    <row r="145" ht="22.5" customHeight="1">
      <c r="A145" s="5">
        <v>46038.0</v>
      </c>
      <c r="B145" s="22"/>
      <c r="C145" s="22"/>
      <c r="D145" s="54"/>
      <c r="E145" s="33"/>
      <c r="F145" s="22"/>
      <c r="G145" s="22"/>
      <c r="H145" s="22"/>
      <c r="I145" s="6" t="s">
        <v>19</v>
      </c>
      <c r="J145" s="22"/>
      <c r="K145" s="19"/>
      <c r="L145" s="19"/>
    </row>
    <row r="146" ht="22.5" customHeight="1">
      <c r="A146" s="24"/>
      <c r="B146" s="25"/>
      <c r="C146" s="25"/>
      <c r="D146" s="70"/>
      <c r="E146" s="71"/>
      <c r="F146" s="25"/>
      <c r="G146" s="25"/>
      <c r="H146" s="25"/>
      <c r="I146" s="25"/>
      <c r="J146" s="25"/>
      <c r="K146" s="26"/>
      <c r="L146" s="26"/>
    </row>
    <row r="147" ht="22.5" customHeight="1">
      <c r="A147" s="24"/>
      <c r="B147" s="25"/>
      <c r="C147" s="25"/>
      <c r="D147" s="70"/>
      <c r="E147" s="71"/>
      <c r="F147" s="25"/>
      <c r="G147" s="25"/>
      <c r="H147" s="25"/>
      <c r="I147" s="25"/>
      <c r="J147" s="25"/>
      <c r="K147" s="26"/>
      <c r="L147" s="26"/>
    </row>
    <row r="148" ht="22.5" customHeight="1">
      <c r="A148" s="24"/>
      <c r="B148" s="25"/>
      <c r="C148" s="25"/>
      <c r="D148" s="70"/>
      <c r="E148" s="71"/>
      <c r="F148" s="25"/>
      <c r="G148" s="25"/>
      <c r="H148" s="25"/>
      <c r="I148" s="25"/>
      <c r="J148" s="25"/>
      <c r="K148" s="26"/>
      <c r="L148" s="26"/>
    </row>
    <row r="149" ht="22.5" customHeight="1">
      <c r="A149" s="24"/>
      <c r="B149" s="25"/>
      <c r="C149" s="25"/>
      <c r="D149" s="70"/>
      <c r="E149" s="71"/>
      <c r="F149" s="25"/>
      <c r="G149" s="25"/>
      <c r="H149" s="25"/>
      <c r="I149" s="25"/>
      <c r="J149" s="25"/>
      <c r="K149" s="26"/>
      <c r="L149" s="26"/>
    </row>
    <row r="150" ht="22.5" customHeight="1">
      <c r="A150" s="24"/>
      <c r="B150" s="25"/>
      <c r="C150" s="25"/>
      <c r="D150" s="70"/>
      <c r="E150" s="71"/>
      <c r="F150" s="25"/>
      <c r="G150" s="25"/>
      <c r="H150" s="25"/>
      <c r="I150" s="25"/>
      <c r="J150" s="25"/>
      <c r="K150" s="26"/>
      <c r="L150" s="26"/>
    </row>
    <row r="151" ht="22.5" customHeight="1">
      <c r="A151" s="24"/>
      <c r="B151" s="25"/>
      <c r="C151" s="25"/>
      <c r="D151" s="70"/>
      <c r="E151" s="71"/>
      <c r="F151" s="25"/>
      <c r="G151" s="25"/>
      <c r="H151" s="25"/>
      <c r="I151" s="25"/>
      <c r="J151" s="25"/>
      <c r="K151" s="26"/>
      <c r="L151" s="26"/>
    </row>
    <row r="152" ht="22.5" customHeight="1">
      <c r="A152" s="24"/>
      <c r="B152" s="25"/>
      <c r="C152" s="25"/>
      <c r="D152" s="70"/>
      <c r="E152" s="71"/>
      <c r="F152" s="25"/>
      <c r="G152" s="25"/>
      <c r="H152" s="25"/>
      <c r="I152" s="25"/>
      <c r="J152" s="25"/>
      <c r="K152" s="26"/>
      <c r="L152" s="26"/>
    </row>
    <row r="153" ht="22.5" customHeight="1">
      <c r="A153" s="24"/>
      <c r="B153" s="25"/>
      <c r="C153" s="25"/>
      <c r="D153" s="70"/>
      <c r="E153" s="71"/>
      <c r="F153" s="25"/>
      <c r="G153" s="25"/>
      <c r="H153" s="25"/>
      <c r="I153" s="25"/>
      <c r="J153" s="25"/>
      <c r="K153" s="26"/>
      <c r="L153" s="26"/>
    </row>
    <row r="154" ht="22.5" customHeight="1">
      <c r="A154" s="24"/>
      <c r="B154" s="25"/>
      <c r="C154" s="25"/>
      <c r="D154" s="70"/>
      <c r="E154" s="71"/>
      <c r="F154" s="25"/>
      <c r="G154" s="25"/>
      <c r="H154" s="25"/>
      <c r="I154" s="25"/>
      <c r="J154" s="25"/>
      <c r="K154" s="26"/>
      <c r="L154" s="26"/>
    </row>
    <row r="155" ht="22.5" customHeight="1">
      <c r="A155" s="24"/>
      <c r="B155" s="25"/>
      <c r="C155" s="25"/>
      <c r="D155" s="70"/>
      <c r="E155" s="71"/>
      <c r="F155" s="25"/>
      <c r="G155" s="25"/>
      <c r="H155" s="25"/>
      <c r="I155" s="25"/>
      <c r="J155" s="25"/>
      <c r="K155" s="26"/>
      <c r="L155" s="26"/>
    </row>
    <row r="156" ht="22.5" customHeight="1">
      <c r="A156" s="24"/>
      <c r="B156" s="25"/>
      <c r="C156" s="25"/>
      <c r="D156" s="70"/>
      <c r="E156" s="71"/>
      <c r="F156" s="25"/>
      <c r="G156" s="25"/>
      <c r="H156" s="25"/>
      <c r="I156" s="25"/>
      <c r="J156" s="25"/>
      <c r="K156" s="26"/>
      <c r="L156" s="26"/>
    </row>
    <row r="157" ht="22.5" customHeight="1">
      <c r="A157" s="24"/>
      <c r="B157" s="25"/>
      <c r="C157" s="25"/>
      <c r="D157" s="70"/>
      <c r="E157" s="71"/>
      <c r="F157" s="25"/>
      <c r="G157" s="25"/>
      <c r="H157" s="25"/>
      <c r="I157" s="25"/>
      <c r="J157" s="25"/>
      <c r="K157" s="26"/>
      <c r="L157" s="26"/>
    </row>
    <row r="158" ht="22.5" customHeight="1">
      <c r="A158" s="24"/>
      <c r="B158" s="25"/>
      <c r="C158" s="25"/>
      <c r="D158" s="70"/>
      <c r="E158" s="71"/>
      <c r="F158" s="25"/>
      <c r="G158" s="25"/>
      <c r="H158" s="25"/>
      <c r="I158" s="25"/>
      <c r="J158" s="25"/>
      <c r="K158" s="26"/>
      <c r="L158" s="26"/>
    </row>
    <row r="159" ht="22.5" customHeight="1">
      <c r="A159" s="24"/>
      <c r="B159" s="25"/>
      <c r="C159" s="25"/>
      <c r="D159" s="70"/>
      <c r="E159" s="71"/>
      <c r="F159" s="25"/>
      <c r="G159" s="25"/>
      <c r="H159" s="25"/>
      <c r="I159" s="25"/>
      <c r="J159" s="25"/>
      <c r="K159" s="26"/>
      <c r="L159" s="26"/>
    </row>
    <row r="160" ht="22.5" customHeight="1">
      <c r="A160" s="24"/>
      <c r="B160" s="25"/>
      <c r="C160" s="25"/>
      <c r="D160" s="70"/>
      <c r="E160" s="71"/>
      <c r="F160" s="25"/>
      <c r="G160" s="25"/>
      <c r="H160" s="25"/>
      <c r="I160" s="25"/>
      <c r="J160" s="25"/>
      <c r="K160" s="26"/>
      <c r="L160" s="26"/>
    </row>
    <row r="161" ht="22.5" customHeight="1">
      <c r="A161" s="24"/>
      <c r="B161" s="25"/>
      <c r="C161" s="25"/>
      <c r="D161" s="70"/>
      <c r="E161" s="71"/>
      <c r="F161" s="25"/>
      <c r="G161" s="25"/>
      <c r="H161" s="25"/>
      <c r="I161" s="25"/>
      <c r="J161" s="25"/>
      <c r="K161" s="26"/>
      <c r="L161" s="26"/>
    </row>
    <row r="162" ht="22.5" customHeight="1">
      <c r="A162" s="24"/>
      <c r="B162" s="25"/>
      <c r="C162" s="25"/>
      <c r="D162" s="70"/>
      <c r="E162" s="71"/>
      <c r="F162" s="25"/>
      <c r="G162" s="25"/>
      <c r="H162" s="25"/>
      <c r="I162" s="25"/>
      <c r="J162" s="25"/>
      <c r="K162" s="26"/>
      <c r="L162" s="26"/>
    </row>
    <row r="163" ht="22.5" customHeight="1">
      <c r="A163" s="24"/>
      <c r="B163" s="25"/>
      <c r="C163" s="25"/>
      <c r="D163" s="70"/>
      <c r="E163" s="71"/>
      <c r="F163" s="25"/>
      <c r="G163" s="25"/>
      <c r="H163" s="25"/>
      <c r="I163" s="25"/>
      <c r="J163" s="25"/>
      <c r="K163" s="26"/>
      <c r="L163" s="26"/>
    </row>
    <row r="164" ht="22.5" customHeight="1">
      <c r="A164" s="24"/>
      <c r="B164" s="25"/>
      <c r="C164" s="25"/>
      <c r="D164" s="70"/>
      <c r="E164" s="71"/>
      <c r="F164" s="25"/>
      <c r="G164" s="25"/>
      <c r="H164" s="25"/>
      <c r="I164" s="25"/>
      <c r="J164" s="25"/>
      <c r="K164" s="26"/>
      <c r="L164" s="26"/>
    </row>
    <row r="165" ht="22.5" customHeight="1">
      <c r="A165" s="24"/>
      <c r="B165" s="25"/>
      <c r="C165" s="25"/>
      <c r="D165" s="70"/>
      <c r="E165" s="71"/>
      <c r="F165" s="25"/>
      <c r="G165" s="25"/>
      <c r="H165" s="25"/>
      <c r="I165" s="25"/>
      <c r="J165" s="25"/>
      <c r="K165" s="26"/>
      <c r="L165" s="26"/>
    </row>
    <row r="166" ht="22.5" customHeight="1">
      <c r="A166" s="24"/>
      <c r="B166" s="25"/>
      <c r="C166" s="25"/>
      <c r="D166" s="70"/>
      <c r="E166" s="71"/>
      <c r="F166" s="25"/>
      <c r="G166" s="25"/>
      <c r="H166" s="25"/>
      <c r="I166" s="25"/>
      <c r="J166" s="25"/>
      <c r="K166" s="26"/>
      <c r="L166" s="26"/>
    </row>
    <row r="167" ht="22.5" customHeight="1">
      <c r="A167" s="24"/>
      <c r="B167" s="25"/>
      <c r="C167" s="25"/>
      <c r="D167" s="70"/>
      <c r="E167" s="71"/>
      <c r="F167" s="25"/>
      <c r="G167" s="25"/>
      <c r="H167" s="25"/>
      <c r="I167" s="25"/>
      <c r="J167" s="25"/>
      <c r="K167" s="26"/>
      <c r="L167" s="26"/>
    </row>
    <row r="168" ht="22.5" customHeight="1">
      <c r="A168" s="24"/>
      <c r="B168" s="25"/>
      <c r="C168" s="25"/>
      <c r="D168" s="70"/>
      <c r="E168" s="71"/>
      <c r="F168" s="25"/>
      <c r="G168" s="25"/>
      <c r="H168" s="25"/>
      <c r="I168" s="25"/>
      <c r="J168" s="25"/>
      <c r="K168" s="26"/>
      <c r="L168" s="26"/>
    </row>
    <row r="169" ht="22.5" customHeight="1">
      <c r="A169" s="24"/>
      <c r="B169" s="25"/>
      <c r="C169" s="25"/>
      <c r="D169" s="70"/>
      <c r="E169" s="71"/>
      <c r="F169" s="25"/>
      <c r="G169" s="25"/>
      <c r="H169" s="25"/>
      <c r="I169" s="25"/>
      <c r="J169" s="25"/>
      <c r="K169" s="26"/>
      <c r="L169" s="26"/>
    </row>
    <row r="170" ht="22.5" customHeight="1">
      <c r="A170" s="24"/>
      <c r="B170" s="25"/>
      <c r="C170" s="25"/>
      <c r="D170" s="70"/>
      <c r="E170" s="71"/>
      <c r="F170" s="25"/>
      <c r="G170" s="25"/>
      <c r="H170" s="25"/>
      <c r="I170" s="25"/>
      <c r="J170" s="25"/>
      <c r="K170" s="26"/>
      <c r="L170" s="26"/>
    </row>
    <row r="171" ht="22.5" customHeight="1">
      <c r="A171" s="24"/>
      <c r="B171" s="25"/>
      <c r="C171" s="25"/>
      <c r="D171" s="70"/>
      <c r="E171" s="71"/>
      <c r="F171" s="25"/>
      <c r="G171" s="25"/>
      <c r="H171" s="25"/>
      <c r="I171" s="25"/>
      <c r="J171" s="25"/>
      <c r="K171" s="26"/>
      <c r="L171" s="26"/>
    </row>
    <row r="172" ht="22.5" customHeight="1">
      <c r="A172" s="24"/>
      <c r="B172" s="25"/>
      <c r="C172" s="25"/>
      <c r="D172" s="70"/>
      <c r="E172" s="71"/>
      <c r="F172" s="25"/>
      <c r="G172" s="25"/>
      <c r="H172" s="25"/>
      <c r="I172" s="25"/>
      <c r="J172" s="25"/>
      <c r="K172" s="26"/>
      <c r="L172" s="26"/>
    </row>
    <row r="173" ht="22.5" customHeight="1">
      <c r="A173" s="24"/>
      <c r="B173" s="25"/>
      <c r="C173" s="25"/>
      <c r="D173" s="70"/>
      <c r="E173" s="71"/>
      <c r="F173" s="25"/>
      <c r="G173" s="25"/>
      <c r="H173" s="25"/>
      <c r="I173" s="25"/>
      <c r="J173" s="25"/>
      <c r="K173" s="26"/>
      <c r="L173" s="26"/>
    </row>
    <row r="174" ht="22.5" customHeight="1">
      <c r="A174" s="24"/>
      <c r="B174" s="25"/>
      <c r="C174" s="25"/>
      <c r="D174" s="70"/>
      <c r="E174" s="71"/>
      <c r="F174" s="25"/>
      <c r="G174" s="25"/>
      <c r="H174" s="25"/>
      <c r="I174" s="25"/>
      <c r="J174" s="25"/>
      <c r="K174" s="26"/>
      <c r="L174" s="26"/>
    </row>
    <row r="175" ht="22.5" customHeight="1">
      <c r="A175" s="24"/>
      <c r="B175" s="25"/>
      <c r="C175" s="25"/>
      <c r="D175" s="70"/>
      <c r="E175" s="71"/>
      <c r="F175" s="25"/>
      <c r="G175" s="25"/>
      <c r="H175" s="25"/>
      <c r="I175" s="25"/>
      <c r="J175" s="25"/>
      <c r="K175" s="26"/>
      <c r="L175" s="26"/>
    </row>
    <row r="176" ht="22.5" customHeight="1">
      <c r="A176" s="24"/>
      <c r="B176" s="25"/>
      <c r="C176" s="25"/>
      <c r="D176" s="70"/>
      <c r="E176" s="71"/>
      <c r="F176" s="25"/>
      <c r="G176" s="25"/>
      <c r="H176" s="25"/>
      <c r="I176" s="25"/>
      <c r="J176" s="25"/>
      <c r="K176" s="26"/>
      <c r="L176" s="26"/>
    </row>
    <row r="177" ht="22.5" customHeight="1">
      <c r="A177" s="24"/>
      <c r="B177" s="25"/>
      <c r="C177" s="25"/>
      <c r="D177" s="70"/>
      <c r="E177" s="71"/>
      <c r="F177" s="25"/>
      <c r="G177" s="25"/>
      <c r="H177" s="25"/>
      <c r="I177" s="25"/>
      <c r="J177" s="25"/>
      <c r="K177" s="26"/>
      <c r="L177" s="26"/>
    </row>
    <row r="178" ht="22.5" customHeight="1">
      <c r="A178" s="24"/>
      <c r="B178" s="25"/>
      <c r="C178" s="25"/>
      <c r="D178" s="70"/>
      <c r="E178" s="71"/>
      <c r="F178" s="25"/>
      <c r="G178" s="25"/>
      <c r="H178" s="25"/>
      <c r="I178" s="25"/>
      <c r="J178" s="25"/>
      <c r="K178" s="26"/>
      <c r="L178" s="26"/>
    </row>
    <row r="179" ht="22.5" customHeight="1">
      <c r="A179" s="24"/>
      <c r="B179" s="25"/>
      <c r="C179" s="25"/>
      <c r="D179" s="70"/>
      <c r="E179" s="71"/>
      <c r="F179" s="25"/>
      <c r="G179" s="25"/>
      <c r="H179" s="25"/>
      <c r="I179" s="25"/>
      <c r="J179" s="25"/>
      <c r="K179" s="26"/>
      <c r="L179" s="26"/>
    </row>
    <row r="180" ht="22.5" customHeight="1">
      <c r="A180" s="24"/>
      <c r="B180" s="25"/>
      <c r="C180" s="25"/>
      <c r="D180" s="70"/>
      <c r="E180" s="71"/>
      <c r="F180" s="25"/>
      <c r="G180" s="25"/>
      <c r="H180" s="25"/>
      <c r="I180" s="25"/>
      <c r="J180" s="25"/>
      <c r="K180" s="26"/>
      <c r="L180" s="26"/>
    </row>
    <row r="181" ht="22.5" customHeight="1">
      <c r="A181" s="24"/>
      <c r="B181" s="25"/>
      <c r="C181" s="25"/>
      <c r="D181" s="70"/>
      <c r="E181" s="71"/>
      <c r="F181" s="25"/>
      <c r="G181" s="25"/>
      <c r="H181" s="25"/>
      <c r="I181" s="25"/>
      <c r="J181" s="25"/>
      <c r="K181" s="26"/>
      <c r="L181" s="26"/>
    </row>
    <row r="182" ht="22.5" customHeight="1">
      <c r="A182" s="24"/>
      <c r="B182" s="25"/>
      <c r="C182" s="25"/>
      <c r="D182" s="70"/>
      <c r="E182" s="71"/>
      <c r="F182" s="25"/>
      <c r="G182" s="25"/>
      <c r="H182" s="25"/>
      <c r="I182" s="25"/>
      <c r="J182" s="25"/>
      <c r="K182" s="26"/>
      <c r="L182" s="26"/>
    </row>
    <row r="183" ht="22.5" customHeight="1">
      <c r="A183" s="24"/>
      <c r="B183" s="25"/>
      <c r="C183" s="25"/>
      <c r="D183" s="70"/>
      <c r="E183" s="71"/>
      <c r="F183" s="25"/>
      <c r="G183" s="25"/>
      <c r="H183" s="25"/>
      <c r="I183" s="25"/>
      <c r="J183" s="25"/>
      <c r="K183" s="26"/>
      <c r="L183" s="26"/>
    </row>
    <row r="184" ht="22.5" customHeight="1">
      <c r="A184" s="24"/>
      <c r="B184" s="25"/>
      <c r="C184" s="25"/>
      <c r="D184" s="70"/>
      <c r="E184" s="71"/>
      <c r="F184" s="25"/>
      <c r="G184" s="25"/>
      <c r="H184" s="25"/>
      <c r="I184" s="25"/>
      <c r="J184" s="25"/>
      <c r="K184" s="26"/>
      <c r="L184" s="26"/>
    </row>
    <row r="185" ht="22.5" customHeight="1">
      <c r="A185" s="24"/>
      <c r="B185" s="25"/>
      <c r="C185" s="25"/>
      <c r="D185" s="70"/>
      <c r="E185" s="71"/>
      <c r="F185" s="25"/>
      <c r="G185" s="25"/>
      <c r="H185" s="25"/>
      <c r="I185" s="25"/>
      <c r="J185" s="25"/>
      <c r="K185" s="26"/>
      <c r="L185" s="26"/>
    </row>
    <row r="186" ht="22.5" customHeight="1">
      <c r="A186" s="24"/>
      <c r="B186" s="25"/>
      <c r="C186" s="25"/>
      <c r="D186" s="70"/>
      <c r="E186" s="71"/>
      <c r="F186" s="25"/>
      <c r="G186" s="25"/>
      <c r="H186" s="25"/>
      <c r="I186" s="25"/>
      <c r="J186" s="25"/>
      <c r="K186" s="26"/>
      <c r="L186" s="26"/>
    </row>
    <row r="187" ht="22.5" customHeight="1">
      <c r="A187" s="24"/>
      <c r="B187" s="25"/>
      <c r="C187" s="25"/>
      <c r="D187" s="70"/>
      <c r="E187" s="71"/>
      <c r="F187" s="25"/>
      <c r="G187" s="25"/>
      <c r="H187" s="25"/>
      <c r="I187" s="25"/>
      <c r="J187" s="25"/>
      <c r="K187" s="26"/>
      <c r="L187" s="26"/>
    </row>
    <row r="188" ht="22.5" customHeight="1">
      <c r="A188" s="24"/>
      <c r="B188" s="25"/>
      <c r="C188" s="25"/>
      <c r="D188" s="70"/>
      <c r="E188" s="71"/>
      <c r="F188" s="25"/>
      <c r="G188" s="25"/>
      <c r="H188" s="25"/>
      <c r="I188" s="25"/>
      <c r="J188" s="25"/>
      <c r="K188" s="26"/>
      <c r="L188" s="26"/>
    </row>
    <row r="189" ht="22.5" customHeight="1">
      <c r="A189" s="24"/>
      <c r="B189" s="25"/>
      <c r="C189" s="25"/>
      <c r="D189" s="70"/>
      <c r="E189" s="71"/>
      <c r="F189" s="25"/>
      <c r="G189" s="25"/>
      <c r="H189" s="25"/>
      <c r="I189" s="25"/>
      <c r="J189" s="25"/>
      <c r="K189" s="26"/>
      <c r="L189" s="26"/>
    </row>
    <row r="190" ht="22.5" customHeight="1">
      <c r="A190" s="24"/>
      <c r="B190" s="25"/>
      <c r="C190" s="25"/>
      <c r="D190" s="70"/>
      <c r="E190" s="71"/>
      <c r="F190" s="25"/>
      <c r="G190" s="25"/>
      <c r="H190" s="25"/>
      <c r="I190" s="25"/>
      <c r="J190" s="25"/>
      <c r="K190" s="26"/>
      <c r="L190" s="26"/>
    </row>
    <row r="191" ht="22.5" customHeight="1">
      <c r="A191" s="24"/>
      <c r="B191" s="25"/>
      <c r="C191" s="25"/>
      <c r="D191" s="70"/>
      <c r="E191" s="71"/>
      <c r="F191" s="25"/>
      <c r="G191" s="25"/>
      <c r="H191" s="25"/>
      <c r="I191" s="25"/>
      <c r="J191" s="25"/>
      <c r="K191" s="26"/>
      <c r="L191" s="26"/>
    </row>
  </sheetData>
  <dataValidations>
    <dataValidation type="custom" allowBlank="1" showDropDown="1" sqref="A2:A191">
      <formula1>OR(NOT(ISERROR(DATEVALUE(A2))), AND(ISNUMBER(A2), LEFT(CELL("format", A2))="D"))</formula1>
    </dataValidation>
    <dataValidation allowBlank="1" showDropDown="1" sqref="L2:L191"/>
  </dataValidations>
  <hyperlinks>
    <hyperlink r:id="rId1" ref="K2"/>
    <hyperlink r:id="rId2" ref="K3"/>
    <hyperlink r:id="rId3" ref="K4"/>
    <hyperlink r:id="rId4" ref="K5"/>
    <hyperlink r:id="rId5" ref="K6"/>
    <hyperlink r:id="rId6" ref="K8"/>
    <hyperlink r:id="rId7" ref="K9"/>
    <hyperlink r:id="rId8" ref="K10"/>
    <hyperlink r:id="rId9" ref="K11"/>
    <hyperlink r:id="rId10" ref="K12"/>
    <hyperlink r:id="rId11" ref="K15"/>
    <hyperlink r:id="rId12" ref="K16"/>
    <hyperlink r:id="rId13" ref="K17"/>
    <hyperlink r:id="rId14" ref="K20"/>
    <hyperlink r:id="rId15" ref="K23"/>
    <hyperlink r:id="rId16" ref="K28"/>
    <hyperlink r:id="rId17" location="gid=337168106" ref="K30"/>
    <hyperlink r:id="rId18" ref="K31"/>
    <hyperlink r:id="rId19" location="gid=337168106" ref="K32"/>
    <hyperlink r:id="rId20" location="gid=337168106" ref="K33"/>
    <hyperlink r:id="rId21" location="gid=337168106" ref="K34"/>
    <hyperlink r:id="rId22" ref="K45"/>
    <hyperlink r:id="rId23" location="gid=0" ref="K112"/>
    <hyperlink r:id="rId24" location="gid=1742868326" ref="K115"/>
    <hyperlink r:id="rId25" location="gid=219639326" ref="K121"/>
    <hyperlink r:id="rId26" location="gid=219639326" ref="K122"/>
    <hyperlink r:id="rId27" location="gid=1188606151" ref="K128"/>
    <hyperlink r:id="rId28" location="gid=1188606151" ref="K130"/>
    <hyperlink r:id="rId29" location="gid=1188606151" ref="K131"/>
    <hyperlink r:id="rId30" location="gid=1188606151" ref="K132"/>
    <hyperlink r:id="rId31" location="gid=1188606151" ref="K136"/>
    <hyperlink r:id="rId32" location="gid=1188606151" ref="K137"/>
    <hyperlink r:id="rId33" location="gid=219639326" ref="K138"/>
  </hyperlinks>
  <drawing r:id="rId34"/>
  <tableParts count="1">
    <tablePart r:id="rId3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6" width="11.0"/>
    <col customWidth="1" min="7" max="7" width="28.38"/>
    <col customWidth="1" min="8" max="8" width="20.13"/>
    <col customWidth="1" min="9" max="9" width="31.75"/>
    <col customWidth="1" min="10" max="10" width="47.63"/>
  </cols>
  <sheetData>
    <row r="1" ht="66.0" customHeight="1">
      <c r="A1" s="3" t="s">
        <v>50</v>
      </c>
      <c r="B1" s="27" t="s">
        <v>124</v>
      </c>
      <c r="C1" s="27" t="s">
        <v>125</v>
      </c>
      <c r="D1" s="27" t="s">
        <v>126</v>
      </c>
      <c r="E1" s="27" t="s">
        <v>30</v>
      </c>
      <c r="F1" s="27" t="s">
        <v>127</v>
      </c>
      <c r="G1" s="27" t="s">
        <v>32</v>
      </c>
      <c r="H1" s="27" t="s">
        <v>33</v>
      </c>
      <c r="I1" s="27" t="s">
        <v>34</v>
      </c>
      <c r="J1" s="3" t="s">
        <v>8</v>
      </c>
    </row>
    <row r="2" ht="22.5" customHeight="1">
      <c r="A2" s="5">
        <v>45856.0</v>
      </c>
      <c r="B2" s="28">
        <f>6</f>
        <v>6</v>
      </c>
      <c r="C2" s="28" t="s">
        <v>128</v>
      </c>
      <c r="D2" s="28"/>
      <c r="E2" s="28"/>
      <c r="F2" s="28"/>
      <c r="G2" s="68" t="s">
        <v>129</v>
      </c>
      <c r="H2" s="68" t="s">
        <v>39</v>
      </c>
      <c r="I2" s="32" t="s">
        <v>130</v>
      </c>
      <c r="J2" s="29" t="s">
        <v>131</v>
      </c>
    </row>
    <row r="3" ht="22.5" customHeight="1">
      <c r="A3" s="5">
        <v>45859.0</v>
      </c>
      <c r="B3" s="28">
        <v>6.0</v>
      </c>
      <c r="C3" s="28" t="s">
        <v>132</v>
      </c>
      <c r="D3" s="28"/>
      <c r="E3" s="28"/>
      <c r="F3" s="28"/>
      <c r="G3" s="68" t="s">
        <v>133</v>
      </c>
      <c r="H3" s="29" t="s">
        <v>39</v>
      </c>
      <c r="I3" s="32" t="s">
        <v>134</v>
      </c>
      <c r="J3" s="29" t="s">
        <v>135</v>
      </c>
    </row>
    <row r="4" ht="22.5" customHeight="1">
      <c r="A4" s="5">
        <v>45860.0</v>
      </c>
      <c r="B4" s="28" t="s">
        <v>136</v>
      </c>
      <c r="C4" s="28" t="s">
        <v>137</v>
      </c>
      <c r="D4" s="28"/>
      <c r="E4" s="28"/>
      <c r="F4" s="28"/>
      <c r="G4" s="68" t="s">
        <v>138</v>
      </c>
      <c r="H4" s="29" t="s">
        <v>139</v>
      </c>
      <c r="I4" s="32" t="s">
        <v>140</v>
      </c>
      <c r="J4" s="29"/>
    </row>
    <row r="5" ht="22.5" customHeight="1">
      <c r="A5" s="5">
        <v>45861.0</v>
      </c>
      <c r="B5" s="28" t="s">
        <v>141</v>
      </c>
      <c r="C5" s="28">
        <v>2.0</v>
      </c>
      <c r="E5" s="28"/>
      <c r="F5" s="28">
        <v>1.5</v>
      </c>
      <c r="G5" s="68" t="s">
        <v>142</v>
      </c>
      <c r="H5" s="29" t="s">
        <v>143</v>
      </c>
      <c r="I5" s="32" t="s">
        <v>144</v>
      </c>
      <c r="J5" s="31"/>
    </row>
    <row r="6" ht="22.5" customHeight="1">
      <c r="A6" s="5">
        <v>45862.0</v>
      </c>
      <c r="B6" s="28">
        <v>8.0</v>
      </c>
      <c r="C6" s="28"/>
      <c r="D6" s="33"/>
      <c r="E6" s="28"/>
      <c r="F6" s="28"/>
      <c r="G6" s="68" t="s">
        <v>145</v>
      </c>
      <c r="H6" s="29" t="s">
        <v>146</v>
      </c>
      <c r="I6" s="32" t="s">
        <v>147</v>
      </c>
      <c r="J6" s="36"/>
    </row>
    <row r="7" ht="63.0" customHeight="1">
      <c r="A7" s="5">
        <v>45863.0</v>
      </c>
      <c r="B7" s="28">
        <f>8+3</f>
        <v>11</v>
      </c>
      <c r="C7" s="28"/>
      <c r="D7" s="28"/>
      <c r="E7" s="28"/>
      <c r="F7" s="28"/>
      <c r="G7" s="68" t="s">
        <v>148</v>
      </c>
      <c r="H7" s="29" t="s">
        <v>149</v>
      </c>
      <c r="I7" s="32" t="s">
        <v>150</v>
      </c>
      <c r="J7" s="37" t="s">
        <v>151</v>
      </c>
    </row>
    <row r="8" ht="22.5" customHeight="1">
      <c r="A8" s="5">
        <v>45866.0</v>
      </c>
      <c r="B8" s="33">
        <v>8.0</v>
      </c>
      <c r="C8" s="33"/>
      <c r="D8" s="39">
        <v>8.0</v>
      </c>
      <c r="E8" s="61">
        <v>8.0</v>
      </c>
      <c r="F8" s="33"/>
      <c r="G8" s="68" t="s">
        <v>152</v>
      </c>
      <c r="H8" s="72" t="s">
        <v>153</v>
      </c>
      <c r="I8" s="32" t="s">
        <v>154</v>
      </c>
      <c r="J8" s="36"/>
    </row>
    <row r="9" ht="22.5" customHeight="1">
      <c r="A9" s="5">
        <v>45867.0</v>
      </c>
      <c r="B9" s="33"/>
      <c r="C9" s="33"/>
      <c r="D9" s="39">
        <v>8.0</v>
      </c>
      <c r="E9" s="56">
        <v>8.0</v>
      </c>
      <c r="F9" s="33">
        <v>8.0</v>
      </c>
      <c r="G9" s="68" t="s">
        <v>155</v>
      </c>
      <c r="H9" s="72" t="s">
        <v>156</v>
      </c>
      <c r="I9" s="30" t="s">
        <v>157</v>
      </c>
      <c r="J9" s="36"/>
    </row>
    <row r="10" ht="22.5" customHeight="1">
      <c r="A10" s="5">
        <v>45868.0</v>
      </c>
      <c r="B10" s="33"/>
      <c r="C10" s="33"/>
      <c r="D10" s="39">
        <v>8.0</v>
      </c>
      <c r="E10" s="56">
        <v>8.0</v>
      </c>
      <c r="F10" s="33">
        <v>8.0</v>
      </c>
      <c r="G10" s="68" t="s">
        <v>158</v>
      </c>
      <c r="H10" s="49" t="s">
        <v>159</v>
      </c>
      <c r="I10" s="29"/>
      <c r="J10" s="36"/>
    </row>
    <row r="11" ht="22.5" customHeight="1">
      <c r="A11" s="5">
        <v>45869.0</v>
      </c>
      <c r="B11" s="33"/>
      <c r="C11" s="33"/>
      <c r="D11" s="39">
        <v>8.0</v>
      </c>
      <c r="E11" s="33" t="s">
        <v>160</v>
      </c>
      <c r="F11" s="33">
        <v>3.0</v>
      </c>
      <c r="G11" s="68" t="s">
        <v>161</v>
      </c>
      <c r="H11" s="49" t="s">
        <v>162</v>
      </c>
      <c r="I11" s="29"/>
      <c r="J11" s="31"/>
    </row>
    <row r="12" ht="22.5" customHeight="1">
      <c r="A12" s="5">
        <v>45870.0</v>
      </c>
      <c r="B12" s="33"/>
      <c r="C12" s="33"/>
      <c r="D12" s="39">
        <v>8.0</v>
      </c>
      <c r="E12" s="33">
        <v>8.0</v>
      </c>
      <c r="F12" s="33"/>
      <c r="G12" s="68" t="s">
        <v>163</v>
      </c>
      <c r="H12" s="49" t="s">
        <v>164</v>
      </c>
      <c r="I12" s="30" t="s">
        <v>37</v>
      </c>
      <c r="J12" s="31"/>
    </row>
    <row r="13" ht="22.5" customHeight="1">
      <c r="A13" s="5">
        <v>45873.0</v>
      </c>
      <c r="B13" s="33"/>
      <c r="C13" s="33"/>
      <c r="D13" s="39">
        <v>8.0</v>
      </c>
      <c r="E13" s="33">
        <v>8.0</v>
      </c>
      <c r="F13" s="33"/>
      <c r="G13" s="68" t="s">
        <v>165</v>
      </c>
      <c r="H13" s="49" t="s">
        <v>166</v>
      </c>
      <c r="I13" s="29"/>
      <c r="J13" s="29" t="s">
        <v>167</v>
      </c>
    </row>
    <row r="14" ht="22.5" customHeight="1">
      <c r="A14" s="5">
        <v>45874.0</v>
      </c>
      <c r="B14" s="33"/>
      <c r="C14" s="33"/>
      <c r="D14" s="39">
        <v>8.0</v>
      </c>
      <c r="E14" s="33">
        <v>8.0</v>
      </c>
      <c r="F14" s="33"/>
      <c r="G14" s="68" t="s">
        <v>168</v>
      </c>
      <c r="H14" s="49" t="s">
        <v>166</v>
      </c>
      <c r="I14" s="29"/>
      <c r="J14" s="29" t="s">
        <v>169</v>
      </c>
    </row>
    <row r="15" ht="22.5" customHeight="1">
      <c r="A15" s="5">
        <v>45875.0</v>
      </c>
      <c r="B15" s="33"/>
      <c r="C15" s="33"/>
      <c r="D15" s="39">
        <v>8.0</v>
      </c>
      <c r="E15" s="33">
        <v>8.0</v>
      </c>
      <c r="F15" s="33"/>
      <c r="G15" s="68" t="s">
        <v>170</v>
      </c>
      <c r="H15" s="49" t="s">
        <v>166</v>
      </c>
      <c r="I15" s="29"/>
      <c r="J15" s="29" t="s">
        <v>171</v>
      </c>
    </row>
    <row r="16" ht="22.5" customHeight="1">
      <c r="A16" s="5">
        <v>45876.0</v>
      </c>
      <c r="B16" s="73"/>
      <c r="C16" s="73"/>
      <c r="D16" s="39">
        <v>8.0</v>
      </c>
      <c r="E16" s="33">
        <v>8.0</v>
      </c>
      <c r="F16" s="33"/>
      <c r="G16" s="68" t="s">
        <v>172</v>
      </c>
      <c r="H16" s="49" t="s">
        <v>173</v>
      </c>
      <c r="I16" s="47"/>
      <c r="J16" s="29" t="s">
        <v>174</v>
      </c>
    </row>
    <row r="17" ht="22.5" customHeight="1">
      <c r="A17" s="5">
        <v>45877.0</v>
      </c>
      <c r="B17" s="73"/>
      <c r="C17" s="73"/>
      <c r="D17" s="39">
        <v>8.0</v>
      </c>
      <c r="E17" s="33">
        <v>8.0</v>
      </c>
      <c r="F17" s="33"/>
      <c r="G17" s="68" t="s">
        <v>175</v>
      </c>
      <c r="H17" s="49" t="s">
        <v>176</v>
      </c>
      <c r="I17" s="47"/>
      <c r="J17" s="37" t="s">
        <v>177</v>
      </c>
    </row>
    <row r="18" ht="22.5" customHeight="1">
      <c r="A18" s="5">
        <v>45880.0</v>
      </c>
      <c r="B18" s="33"/>
      <c r="C18" s="73"/>
      <c r="D18" s="13"/>
      <c r="E18" s="33">
        <v>8.0</v>
      </c>
      <c r="F18" s="33"/>
      <c r="G18" s="68" t="s">
        <v>178</v>
      </c>
      <c r="H18" s="49" t="s">
        <v>176</v>
      </c>
      <c r="I18" s="47"/>
      <c r="J18" s="37" t="s">
        <v>179</v>
      </c>
    </row>
    <row r="19" ht="22.5" customHeight="1">
      <c r="A19" s="5">
        <v>45881.0</v>
      </c>
      <c r="B19" s="73"/>
      <c r="C19" s="73"/>
      <c r="D19" s="13"/>
      <c r="E19" s="33">
        <v>8.0</v>
      </c>
      <c r="F19" s="33"/>
      <c r="G19" s="49" t="s">
        <v>180</v>
      </c>
      <c r="H19" s="49" t="s">
        <v>173</v>
      </c>
      <c r="I19" s="74" t="s">
        <v>181</v>
      </c>
      <c r="J19" s="37" t="s">
        <v>179</v>
      </c>
    </row>
    <row r="20" ht="22.5" customHeight="1">
      <c r="A20" s="5">
        <v>45882.0</v>
      </c>
      <c r="B20" s="33"/>
      <c r="C20" s="73"/>
      <c r="D20" s="13"/>
      <c r="E20" s="33">
        <v>8.0</v>
      </c>
      <c r="F20" s="33"/>
      <c r="G20" s="49" t="s">
        <v>180</v>
      </c>
      <c r="H20" s="49" t="s">
        <v>173</v>
      </c>
      <c r="I20" s="74" t="s">
        <v>182</v>
      </c>
      <c r="J20" s="37" t="s">
        <v>179</v>
      </c>
    </row>
    <row r="21" ht="22.5" customHeight="1">
      <c r="A21" s="5">
        <v>45883.0</v>
      </c>
      <c r="B21" s="73"/>
      <c r="C21" s="33">
        <v>4.0</v>
      </c>
      <c r="D21" s="13"/>
      <c r="E21" s="33" t="s">
        <v>183</v>
      </c>
      <c r="F21" s="33"/>
      <c r="G21" s="75" t="s">
        <v>184</v>
      </c>
      <c r="H21" s="75" t="s">
        <v>185</v>
      </c>
      <c r="I21" s="76" t="s">
        <v>186</v>
      </c>
      <c r="J21" s="77" t="s">
        <v>187</v>
      </c>
    </row>
    <row r="22" ht="22.5" customHeight="1">
      <c r="A22" s="5">
        <v>45884.0</v>
      </c>
      <c r="B22" s="33"/>
      <c r="C22" s="33">
        <v>3.0</v>
      </c>
      <c r="D22" s="13"/>
      <c r="E22" s="33" t="s">
        <v>188</v>
      </c>
      <c r="F22" s="33"/>
      <c r="G22" s="75" t="s">
        <v>189</v>
      </c>
      <c r="H22" s="75" t="s">
        <v>190</v>
      </c>
      <c r="I22" s="76" t="s">
        <v>191</v>
      </c>
      <c r="J22" s="78"/>
    </row>
    <row r="23" ht="22.5" customHeight="1">
      <c r="A23" s="5">
        <v>45887.0</v>
      </c>
      <c r="B23" s="67"/>
      <c r="C23" s="67"/>
      <c r="D23" s="19"/>
      <c r="E23" s="33">
        <v>8.0</v>
      </c>
      <c r="F23" s="33"/>
      <c r="G23" s="49" t="s">
        <v>180</v>
      </c>
      <c r="H23" s="49" t="s">
        <v>173</v>
      </c>
      <c r="I23" s="60" t="s">
        <v>192</v>
      </c>
      <c r="J23" s="53"/>
    </row>
    <row r="24" ht="22.5" customHeight="1">
      <c r="A24" s="5">
        <v>45888.0</v>
      </c>
      <c r="B24" s="67"/>
      <c r="C24" s="67"/>
      <c r="D24" s="19"/>
      <c r="E24" s="33">
        <v>8.0</v>
      </c>
      <c r="F24" s="33"/>
      <c r="G24" s="49" t="s">
        <v>193</v>
      </c>
      <c r="H24" s="49" t="s">
        <v>173</v>
      </c>
      <c r="I24" s="60" t="s">
        <v>194</v>
      </c>
      <c r="J24" s="53"/>
    </row>
    <row r="25" ht="22.5" customHeight="1">
      <c r="A25" s="5">
        <v>45889.0</v>
      </c>
      <c r="B25" s="67"/>
      <c r="C25" s="67"/>
      <c r="D25" s="19"/>
      <c r="E25" s="33">
        <v>8.0</v>
      </c>
      <c r="F25" s="33"/>
      <c r="G25" s="49" t="s">
        <v>193</v>
      </c>
      <c r="H25" s="49" t="s">
        <v>173</v>
      </c>
      <c r="I25" s="60" t="s">
        <v>195</v>
      </c>
      <c r="J25" s="79" t="s">
        <v>196</v>
      </c>
    </row>
    <row r="26" ht="22.5" customHeight="1">
      <c r="A26" s="5">
        <v>45890.0</v>
      </c>
      <c r="B26" s="67"/>
      <c r="C26" s="67"/>
      <c r="D26" s="19"/>
      <c r="E26" s="33">
        <v>8.0</v>
      </c>
      <c r="F26" s="33"/>
      <c r="G26" s="49" t="s">
        <v>193</v>
      </c>
      <c r="H26" s="49" t="s">
        <v>173</v>
      </c>
      <c r="I26" s="60" t="s">
        <v>197</v>
      </c>
      <c r="J26" s="53"/>
    </row>
    <row r="27" ht="22.5" customHeight="1">
      <c r="A27" s="5">
        <v>45891.0</v>
      </c>
      <c r="B27" s="67"/>
      <c r="C27" s="67"/>
      <c r="D27" s="19"/>
      <c r="E27" s="33">
        <v>8.0</v>
      </c>
      <c r="F27" s="33"/>
      <c r="G27" s="49" t="s">
        <v>198</v>
      </c>
      <c r="H27" s="49" t="s">
        <v>199</v>
      </c>
      <c r="I27" s="60" t="s">
        <v>200</v>
      </c>
      <c r="J27" s="53"/>
    </row>
    <row r="28" ht="22.5" customHeight="1">
      <c r="A28" s="5">
        <v>45894.0</v>
      </c>
      <c r="B28" s="67"/>
      <c r="C28" s="67"/>
      <c r="D28" s="19"/>
      <c r="E28" s="33">
        <v>8.0</v>
      </c>
      <c r="F28" s="33"/>
      <c r="G28" s="49" t="s">
        <v>201</v>
      </c>
      <c r="H28" s="49" t="s">
        <v>202</v>
      </c>
      <c r="I28" s="60" t="s">
        <v>203</v>
      </c>
      <c r="J28" s="80"/>
    </row>
    <row r="29" ht="22.5" customHeight="1">
      <c r="A29" s="5">
        <v>45895.0</v>
      </c>
      <c r="B29" s="67"/>
      <c r="C29" s="67"/>
      <c r="D29" s="19"/>
      <c r="E29" s="33">
        <v>8.0</v>
      </c>
      <c r="F29" s="33"/>
      <c r="G29" s="49" t="s">
        <v>204</v>
      </c>
      <c r="H29" s="49" t="s">
        <v>205</v>
      </c>
      <c r="I29" s="60" t="s">
        <v>206</v>
      </c>
      <c r="J29" s="53"/>
    </row>
    <row r="30" ht="22.5" customHeight="1">
      <c r="A30" s="5">
        <v>45896.0</v>
      </c>
      <c r="B30" s="67"/>
      <c r="C30" s="67"/>
      <c r="D30" s="19"/>
      <c r="E30" s="33">
        <f>8+3</f>
        <v>11</v>
      </c>
      <c r="F30" s="33"/>
      <c r="G30" s="49" t="s">
        <v>193</v>
      </c>
      <c r="H30" s="49" t="s">
        <v>173</v>
      </c>
      <c r="I30" s="60" t="s">
        <v>207</v>
      </c>
      <c r="J30" s="53"/>
    </row>
    <row r="31" ht="22.5" customHeight="1">
      <c r="A31" s="5">
        <v>45897.0</v>
      </c>
      <c r="B31" s="67"/>
      <c r="C31" s="67"/>
      <c r="D31" s="19"/>
      <c r="E31" s="33">
        <v>8.0</v>
      </c>
      <c r="F31" s="33"/>
      <c r="G31" s="49" t="s">
        <v>208</v>
      </c>
      <c r="H31" s="49" t="s">
        <v>209</v>
      </c>
      <c r="I31" s="60" t="s">
        <v>210</v>
      </c>
      <c r="J31" s="53"/>
    </row>
    <row r="32" ht="22.5" customHeight="1">
      <c r="A32" s="5">
        <v>45898.0</v>
      </c>
      <c r="B32" s="67"/>
      <c r="C32" s="67"/>
      <c r="D32" s="19"/>
      <c r="E32" s="33">
        <v>8.0</v>
      </c>
      <c r="F32" s="33"/>
      <c r="G32" s="49" t="s">
        <v>211</v>
      </c>
      <c r="H32" s="55" t="s">
        <v>209</v>
      </c>
      <c r="I32" s="60" t="s">
        <v>212</v>
      </c>
      <c r="J32" s="53"/>
    </row>
    <row r="33" ht="22.5" customHeight="1">
      <c r="A33" s="5">
        <v>45901.0</v>
      </c>
      <c r="B33" s="67"/>
      <c r="C33" s="67"/>
      <c r="D33" s="19"/>
      <c r="E33" s="33">
        <f>8+2</f>
        <v>10</v>
      </c>
      <c r="F33" s="33"/>
      <c r="G33" s="49" t="s">
        <v>213</v>
      </c>
      <c r="H33" s="55" t="s">
        <v>202</v>
      </c>
      <c r="I33" s="60" t="s">
        <v>214</v>
      </c>
      <c r="J33" s="79" t="s">
        <v>215</v>
      </c>
    </row>
    <row r="34" ht="22.5" customHeight="1">
      <c r="A34" s="81">
        <v>45902.0</v>
      </c>
      <c r="B34" s="82"/>
      <c r="C34" s="82"/>
      <c r="D34" s="83"/>
      <c r="E34" s="84">
        <v>4.0</v>
      </c>
      <c r="F34" s="82"/>
      <c r="G34" s="85" t="s">
        <v>216</v>
      </c>
      <c r="H34" s="86" t="s">
        <v>217</v>
      </c>
      <c r="I34" s="87" t="s">
        <v>218</v>
      </c>
      <c r="J34" s="88" t="s">
        <v>219</v>
      </c>
    </row>
    <row r="35" ht="22.5" customHeight="1">
      <c r="A35" s="89">
        <v>45903.0</v>
      </c>
      <c r="B35" s="90"/>
      <c r="C35" s="90"/>
      <c r="D35" s="91"/>
      <c r="E35" s="90"/>
      <c r="F35" s="90"/>
      <c r="G35" s="92" t="s">
        <v>220</v>
      </c>
      <c r="H35" s="93"/>
      <c r="I35" s="93"/>
      <c r="J35" s="94" t="s">
        <v>221</v>
      </c>
    </row>
    <row r="36" ht="22.5" customHeight="1">
      <c r="A36" s="89">
        <v>45904.0</v>
      </c>
      <c r="B36" s="90"/>
      <c r="C36" s="90"/>
      <c r="D36" s="91"/>
      <c r="E36" s="90"/>
      <c r="F36" s="90"/>
      <c r="G36" s="92" t="s">
        <v>220</v>
      </c>
      <c r="H36" s="93"/>
      <c r="I36" s="93"/>
      <c r="J36" s="94" t="s">
        <v>221</v>
      </c>
    </row>
    <row r="37" ht="22.5" customHeight="1">
      <c r="A37" s="89">
        <v>45905.0</v>
      </c>
      <c r="B37" s="90"/>
      <c r="C37" s="90"/>
      <c r="D37" s="91"/>
      <c r="E37" s="90"/>
      <c r="F37" s="90"/>
      <c r="G37" s="92" t="s">
        <v>222</v>
      </c>
      <c r="H37" s="93"/>
      <c r="I37" s="93"/>
      <c r="J37" s="94" t="s">
        <v>223</v>
      </c>
    </row>
    <row r="38" ht="22.5" customHeight="1">
      <c r="A38" s="95">
        <v>45908.0</v>
      </c>
      <c r="B38" s="67"/>
      <c r="C38" s="67"/>
      <c r="D38" s="19"/>
      <c r="E38" s="63">
        <v>8.0</v>
      </c>
      <c r="F38" s="67"/>
      <c r="G38" s="55" t="s">
        <v>224</v>
      </c>
      <c r="H38" s="55" t="s">
        <v>225</v>
      </c>
      <c r="I38" s="60" t="s">
        <v>226</v>
      </c>
      <c r="J38" s="79" t="s">
        <v>227</v>
      </c>
    </row>
    <row r="39" ht="22.5" customHeight="1">
      <c r="A39" s="95">
        <v>45909.0</v>
      </c>
      <c r="B39" s="67"/>
      <c r="C39" s="67"/>
      <c r="D39" s="19"/>
      <c r="E39" s="63">
        <f t="shared" ref="E39:E41" si="1">8+3.5</f>
        <v>11.5</v>
      </c>
      <c r="F39" s="67"/>
      <c r="G39" s="55" t="s">
        <v>228</v>
      </c>
      <c r="H39" s="55" t="s">
        <v>229</v>
      </c>
      <c r="I39" s="60" t="s">
        <v>230</v>
      </c>
      <c r="J39" s="53"/>
    </row>
    <row r="40" ht="22.5" customHeight="1">
      <c r="A40" s="95">
        <v>45910.0</v>
      </c>
      <c r="B40" s="67"/>
      <c r="C40" s="67"/>
      <c r="D40" s="19"/>
      <c r="E40" s="63">
        <f t="shared" si="1"/>
        <v>11.5</v>
      </c>
      <c r="F40" s="67"/>
      <c r="G40" s="55" t="s">
        <v>231</v>
      </c>
      <c r="H40" s="55" t="s">
        <v>173</v>
      </c>
      <c r="I40" s="60" t="s">
        <v>232</v>
      </c>
      <c r="J40" s="53"/>
    </row>
    <row r="41" ht="22.5" customHeight="1">
      <c r="A41" s="95">
        <v>45911.0</v>
      </c>
      <c r="B41" s="67"/>
      <c r="C41" s="67"/>
      <c r="D41" s="19"/>
      <c r="E41" s="63">
        <f t="shared" si="1"/>
        <v>11.5</v>
      </c>
      <c r="F41" s="67"/>
      <c r="G41" s="55" t="s">
        <v>233</v>
      </c>
      <c r="H41" s="55" t="s">
        <v>205</v>
      </c>
      <c r="I41" s="60" t="s">
        <v>234</v>
      </c>
      <c r="J41" s="53"/>
    </row>
    <row r="42" ht="22.5" customHeight="1">
      <c r="A42" s="95">
        <v>45912.0</v>
      </c>
      <c r="B42" s="67"/>
      <c r="C42" s="67"/>
      <c r="D42" s="19"/>
      <c r="E42" s="96">
        <v>8.0</v>
      </c>
      <c r="F42" s="63">
        <v>2.0</v>
      </c>
      <c r="G42" s="55" t="s">
        <v>235</v>
      </c>
      <c r="H42" s="55" t="s">
        <v>85</v>
      </c>
      <c r="I42" s="59"/>
      <c r="J42" s="53"/>
    </row>
    <row r="43" ht="22.5" customHeight="1">
      <c r="A43" s="95"/>
      <c r="B43" s="67"/>
      <c r="C43" s="67"/>
      <c r="D43" s="19"/>
      <c r="E43" s="63">
        <v>6.0</v>
      </c>
      <c r="F43" s="67"/>
      <c r="G43" s="55" t="s">
        <v>236</v>
      </c>
      <c r="H43" s="55" t="s">
        <v>205</v>
      </c>
      <c r="I43" s="60" t="s">
        <v>237</v>
      </c>
      <c r="J43" s="79" t="s">
        <v>238</v>
      </c>
    </row>
    <row r="44" ht="22.5" customHeight="1">
      <c r="A44" s="95">
        <v>45915.0</v>
      </c>
      <c r="B44" s="67"/>
      <c r="C44" s="67"/>
      <c r="D44" s="19"/>
      <c r="E44" s="63" t="s">
        <v>239</v>
      </c>
      <c r="F44" s="67"/>
      <c r="G44" s="55" t="s">
        <v>240</v>
      </c>
      <c r="H44" s="55" t="s">
        <v>225</v>
      </c>
      <c r="I44" s="60" t="s">
        <v>241</v>
      </c>
      <c r="J44" s="97" t="s">
        <v>242</v>
      </c>
    </row>
    <row r="45" ht="22.5" customHeight="1">
      <c r="A45" s="95">
        <v>45916.0</v>
      </c>
      <c r="B45" s="67"/>
      <c r="C45" s="63">
        <v>3.0</v>
      </c>
      <c r="D45" s="19"/>
      <c r="E45" s="63" t="s">
        <v>243</v>
      </c>
      <c r="F45" s="67"/>
      <c r="G45" s="55" t="s">
        <v>244</v>
      </c>
      <c r="H45" s="55" t="s">
        <v>245</v>
      </c>
      <c r="I45" s="60" t="s">
        <v>246</v>
      </c>
      <c r="J45" s="98" t="s">
        <v>247</v>
      </c>
    </row>
    <row r="46" ht="22.5" customHeight="1">
      <c r="A46" s="95">
        <v>45917.0</v>
      </c>
      <c r="B46" s="67"/>
      <c r="C46" s="67"/>
      <c r="D46" s="19"/>
      <c r="E46" s="63">
        <f>8+3</f>
        <v>11</v>
      </c>
      <c r="F46" s="67"/>
      <c r="G46" s="55" t="s">
        <v>248</v>
      </c>
      <c r="H46" s="55" t="s">
        <v>249</v>
      </c>
      <c r="I46" s="60" t="s">
        <v>250</v>
      </c>
      <c r="J46" s="98" t="s">
        <v>251</v>
      </c>
    </row>
    <row r="47" ht="22.5" customHeight="1">
      <c r="A47" s="95">
        <v>45918.0</v>
      </c>
      <c r="B47" s="67"/>
      <c r="C47" s="63">
        <v>3.0</v>
      </c>
      <c r="D47" s="19"/>
      <c r="E47" s="96">
        <v>8.0</v>
      </c>
      <c r="F47" s="67"/>
      <c r="G47" s="55" t="s">
        <v>252</v>
      </c>
      <c r="H47" s="55" t="s">
        <v>253</v>
      </c>
      <c r="I47" s="60" t="s">
        <v>254</v>
      </c>
      <c r="J47" s="98" t="s">
        <v>255</v>
      </c>
    </row>
    <row r="48" ht="22.5" customHeight="1">
      <c r="A48" s="95"/>
      <c r="B48" s="67"/>
      <c r="C48" s="63"/>
      <c r="D48" s="19"/>
      <c r="E48" s="63">
        <f>5+3</f>
        <v>8</v>
      </c>
      <c r="F48" s="67"/>
      <c r="G48" s="55" t="s">
        <v>256</v>
      </c>
      <c r="H48" s="55" t="s">
        <v>257</v>
      </c>
      <c r="I48" s="60" t="s">
        <v>258</v>
      </c>
      <c r="J48" s="98" t="s">
        <v>259</v>
      </c>
    </row>
    <row r="49" ht="22.5" customHeight="1">
      <c r="A49" s="95">
        <v>45919.0</v>
      </c>
      <c r="B49" s="99"/>
      <c r="C49" s="100">
        <v>2.0</v>
      </c>
      <c r="D49" s="101"/>
      <c r="E49" s="100" t="s">
        <v>260</v>
      </c>
      <c r="F49" s="100">
        <v>2.0</v>
      </c>
      <c r="G49" s="102" t="s">
        <v>261</v>
      </c>
      <c r="H49" s="102" t="s">
        <v>262</v>
      </c>
      <c r="I49" s="103" t="s">
        <v>263</v>
      </c>
      <c r="J49" s="98" t="s">
        <v>264</v>
      </c>
      <c r="K49" s="104"/>
      <c r="L49" s="104"/>
      <c r="M49" s="104"/>
      <c r="N49" s="104"/>
      <c r="O49" s="104"/>
      <c r="P49" s="104"/>
      <c r="Q49" s="104"/>
      <c r="R49" s="104"/>
      <c r="S49" s="104"/>
      <c r="T49" s="104"/>
      <c r="U49" s="104"/>
      <c r="V49" s="104"/>
      <c r="W49" s="104"/>
      <c r="X49" s="104"/>
      <c r="Y49" s="104"/>
      <c r="Z49" s="104"/>
      <c r="AA49" s="104"/>
      <c r="AB49" s="104"/>
      <c r="AC49" s="104"/>
    </row>
    <row r="50" ht="22.5" customHeight="1">
      <c r="A50" s="95">
        <v>45922.0</v>
      </c>
      <c r="B50" s="99"/>
      <c r="C50" s="100">
        <v>3.0</v>
      </c>
      <c r="D50" s="101"/>
      <c r="E50" s="100" t="s">
        <v>265</v>
      </c>
      <c r="F50" s="99"/>
      <c r="G50" s="102" t="s">
        <v>266</v>
      </c>
      <c r="H50" s="102" t="s">
        <v>267</v>
      </c>
      <c r="I50" s="103" t="s">
        <v>268</v>
      </c>
      <c r="J50" s="98" t="s">
        <v>269</v>
      </c>
      <c r="K50" s="104"/>
      <c r="L50" s="104"/>
      <c r="M50" s="104"/>
      <c r="N50" s="104"/>
      <c r="O50" s="104"/>
      <c r="P50" s="104"/>
      <c r="Q50" s="104"/>
      <c r="R50" s="104"/>
      <c r="S50" s="104"/>
      <c r="T50" s="104"/>
      <c r="U50" s="104"/>
      <c r="V50" s="104"/>
      <c r="W50" s="104"/>
      <c r="X50" s="104"/>
      <c r="Y50" s="104"/>
      <c r="Z50" s="104"/>
      <c r="AA50" s="104"/>
      <c r="AB50" s="104"/>
      <c r="AC50" s="104"/>
    </row>
    <row r="51" ht="22.5" customHeight="1">
      <c r="A51" s="95">
        <v>45923.0</v>
      </c>
      <c r="B51" s="67"/>
      <c r="C51" s="63">
        <v>2.0</v>
      </c>
      <c r="D51" s="19"/>
      <c r="E51" s="63" t="s">
        <v>270</v>
      </c>
      <c r="F51" s="67"/>
      <c r="G51" s="102" t="s">
        <v>271</v>
      </c>
      <c r="H51" s="102" t="s">
        <v>272</v>
      </c>
      <c r="I51" s="103" t="s">
        <v>273</v>
      </c>
      <c r="J51" s="98" t="s">
        <v>274</v>
      </c>
    </row>
    <row r="52" ht="22.5" customHeight="1">
      <c r="A52" s="95">
        <v>45924.0</v>
      </c>
      <c r="B52" s="67"/>
      <c r="C52" s="67"/>
      <c r="D52" s="19"/>
      <c r="E52" s="63">
        <v>8.0</v>
      </c>
      <c r="F52" s="67"/>
      <c r="G52" s="102" t="s">
        <v>275</v>
      </c>
      <c r="H52" s="102" t="s">
        <v>276</v>
      </c>
      <c r="I52" s="103" t="s">
        <v>277</v>
      </c>
      <c r="J52" s="98" t="s">
        <v>278</v>
      </c>
    </row>
    <row r="53" ht="22.5" customHeight="1">
      <c r="A53" s="95">
        <v>45925.0</v>
      </c>
      <c r="B53" s="67"/>
      <c r="C53" s="67"/>
      <c r="D53" s="19"/>
      <c r="E53" s="63">
        <v>8.0</v>
      </c>
      <c r="F53" s="67"/>
      <c r="G53" s="102" t="s">
        <v>279</v>
      </c>
      <c r="H53" s="102" t="s">
        <v>280</v>
      </c>
      <c r="I53" s="103" t="s">
        <v>281</v>
      </c>
      <c r="J53" s="98" t="s">
        <v>282</v>
      </c>
    </row>
    <row r="54" ht="22.5" customHeight="1">
      <c r="A54" s="95">
        <v>45926.0</v>
      </c>
      <c r="B54" s="67"/>
      <c r="C54" s="67"/>
      <c r="D54" s="19"/>
      <c r="E54" s="63">
        <v>8.0</v>
      </c>
      <c r="F54" s="67"/>
      <c r="G54" s="102" t="s">
        <v>279</v>
      </c>
      <c r="H54" s="102" t="s">
        <v>280</v>
      </c>
      <c r="I54" s="103" t="s">
        <v>283</v>
      </c>
      <c r="J54" s="98" t="s">
        <v>284</v>
      </c>
    </row>
    <row r="55" ht="22.5" customHeight="1">
      <c r="A55" s="105">
        <v>45929.0</v>
      </c>
      <c r="B55" s="106"/>
      <c r="C55" s="106"/>
      <c r="D55" s="107"/>
      <c r="E55" s="108">
        <v>8.0</v>
      </c>
      <c r="F55" s="90"/>
      <c r="G55" s="92" t="s">
        <v>285</v>
      </c>
      <c r="H55" s="109"/>
      <c r="I55" s="109"/>
      <c r="J55" s="94" t="s">
        <v>286</v>
      </c>
    </row>
    <row r="56" ht="22.5" customHeight="1">
      <c r="A56" s="95">
        <v>45930.0</v>
      </c>
      <c r="B56" s="67"/>
      <c r="C56" s="67"/>
      <c r="D56" s="19"/>
      <c r="E56" s="63">
        <f t="shared" ref="E56:E58" si="2">8+5</f>
        <v>13</v>
      </c>
      <c r="F56" s="67"/>
      <c r="G56" s="102" t="s">
        <v>287</v>
      </c>
      <c r="H56" s="102" t="s">
        <v>288</v>
      </c>
      <c r="I56" s="103" t="s">
        <v>289</v>
      </c>
      <c r="J56" s="98" t="s">
        <v>290</v>
      </c>
    </row>
    <row r="57" ht="22.5" customHeight="1">
      <c r="A57" s="95">
        <v>45931.0</v>
      </c>
      <c r="B57" s="67"/>
      <c r="C57" s="67"/>
      <c r="D57" s="19"/>
      <c r="E57" s="63">
        <f t="shared" si="2"/>
        <v>13</v>
      </c>
      <c r="F57" s="67"/>
      <c r="G57" s="102" t="s">
        <v>291</v>
      </c>
      <c r="H57" s="102" t="s">
        <v>288</v>
      </c>
      <c r="I57" s="103" t="s">
        <v>292</v>
      </c>
      <c r="J57" s="98" t="s">
        <v>293</v>
      </c>
    </row>
    <row r="58" ht="22.5" customHeight="1">
      <c r="A58" s="95">
        <v>45932.0</v>
      </c>
      <c r="B58" s="67"/>
      <c r="C58" s="67"/>
      <c r="D58" s="19"/>
      <c r="E58" s="63">
        <f t="shared" si="2"/>
        <v>13</v>
      </c>
      <c r="F58" s="67"/>
      <c r="G58" s="102" t="s">
        <v>294</v>
      </c>
      <c r="H58" s="102" t="s">
        <v>295</v>
      </c>
      <c r="I58" s="103" t="s">
        <v>296</v>
      </c>
      <c r="J58" s="98" t="s">
        <v>297</v>
      </c>
    </row>
    <row r="59" ht="22.5" customHeight="1">
      <c r="A59" s="95">
        <v>45933.0</v>
      </c>
      <c r="B59" s="67"/>
      <c r="C59" s="67"/>
      <c r="D59" s="19"/>
      <c r="E59" s="63">
        <f t="shared" ref="E59:E60" si="3">8+4.5</f>
        <v>12.5</v>
      </c>
      <c r="F59" s="67"/>
      <c r="G59" s="102" t="s">
        <v>298</v>
      </c>
      <c r="H59" s="102" t="s">
        <v>280</v>
      </c>
      <c r="I59" s="103" t="s">
        <v>299</v>
      </c>
      <c r="J59" s="98" t="s">
        <v>300</v>
      </c>
    </row>
    <row r="60" ht="22.5" customHeight="1">
      <c r="A60" s="95">
        <v>45936.0</v>
      </c>
      <c r="B60" s="67"/>
      <c r="C60" s="67"/>
      <c r="D60" s="19"/>
      <c r="E60" s="63">
        <f t="shared" si="3"/>
        <v>12.5</v>
      </c>
      <c r="F60" s="67"/>
      <c r="G60" s="102" t="s">
        <v>301</v>
      </c>
      <c r="H60" s="102" t="s">
        <v>280</v>
      </c>
      <c r="I60" s="103" t="s">
        <v>302</v>
      </c>
      <c r="J60" s="98" t="s">
        <v>303</v>
      </c>
    </row>
    <row r="61" ht="22.5" customHeight="1">
      <c r="A61" s="95">
        <v>45937.0</v>
      </c>
      <c r="B61" s="67"/>
      <c r="C61" s="67"/>
      <c r="D61" s="19"/>
      <c r="E61" s="63">
        <v>8.0</v>
      </c>
      <c r="F61" s="67"/>
      <c r="G61" s="102" t="s">
        <v>304</v>
      </c>
      <c r="H61" s="102" t="s">
        <v>280</v>
      </c>
      <c r="I61" s="103" t="s">
        <v>305</v>
      </c>
      <c r="J61" s="98" t="s">
        <v>306</v>
      </c>
    </row>
    <row r="62" ht="22.5" customHeight="1">
      <c r="A62" s="95">
        <v>45938.0</v>
      </c>
      <c r="B62" s="67"/>
      <c r="C62" s="67"/>
      <c r="D62" s="19"/>
      <c r="E62" s="63">
        <f>8+3</f>
        <v>11</v>
      </c>
      <c r="F62" s="67"/>
      <c r="G62" s="102" t="s">
        <v>304</v>
      </c>
      <c r="H62" s="102" t="s">
        <v>280</v>
      </c>
      <c r="I62" s="103" t="s">
        <v>307</v>
      </c>
      <c r="J62" s="98" t="s">
        <v>308</v>
      </c>
    </row>
    <row r="63" ht="22.5" customHeight="1">
      <c r="A63" s="95">
        <v>45939.0</v>
      </c>
      <c r="B63" s="67"/>
      <c r="C63" s="67"/>
      <c r="D63" s="19"/>
      <c r="E63" s="63">
        <v>8.0</v>
      </c>
      <c r="F63" s="67"/>
      <c r="G63" s="102" t="s">
        <v>304</v>
      </c>
      <c r="H63" s="102" t="s">
        <v>280</v>
      </c>
      <c r="I63" s="103" t="s">
        <v>309</v>
      </c>
      <c r="J63" s="98" t="s">
        <v>310</v>
      </c>
    </row>
    <row r="64" ht="22.5" customHeight="1">
      <c r="A64" s="95">
        <v>45940.0</v>
      </c>
      <c r="B64" s="67"/>
      <c r="C64" s="67"/>
      <c r="D64" s="19"/>
      <c r="E64" s="63">
        <f>8+2</f>
        <v>10</v>
      </c>
      <c r="F64" s="67"/>
      <c r="G64" s="102" t="s">
        <v>311</v>
      </c>
      <c r="H64" s="102" t="s">
        <v>280</v>
      </c>
      <c r="I64" s="103" t="s">
        <v>312</v>
      </c>
      <c r="J64" s="98" t="s">
        <v>313</v>
      </c>
    </row>
    <row r="65" ht="22.5" customHeight="1">
      <c r="A65" s="95">
        <v>45943.0</v>
      </c>
      <c r="B65" s="67"/>
      <c r="C65" s="67"/>
      <c r="D65" s="19"/>
      <c r="E65" s="63">
        <f>8+3</f>
        <v>11</v>
      </c>
      <c r="F65" s="67"/>
      <c r="G65" s="102" t="s">
        <v>314</v>
      </c>
      <c r="H65" s="102" t="s">
        <v>280</v>
      </c>
      <c r="I65" s="103" t="s">
        <v>315</v>
      </c>
      <c r="J65" s="98" t="s">
        <v>316</v>
      </c>
    </row>
    <row r="66" ht="22.5" customHeight="1">
      <c r="A66" s="95">
        <v>45944.0</v>
      </c>
      <c r="B66" s="67"/>
      <c r="C66" s="67"/>
      <c r="D66" s="19"/>
      <c r="E66" s="63">
        <f>8+2</f>
        <v>10</v>
      </c>
      <c r="F66" s="67"/>
      <c r="G66" s="102" t="s">
        <v>314</v>
      </c>
      <c r="H66" s="102" t="s">
        <v>280</v>
      </c>
      <c r="I66" s="103" t="s">
        <v>317</v>
      </c>
      <c r="J66" s="98" t="s">
        <v>318</v>
      </c>
    </row>
    <row r="67" ht="22.5" customHeight="1">
      <c r="A67" s="95">
        <v>45945.0</v>
      </c>
      <c r="B67" s="67"/>
      <c r="C67" s="67"/>
      <c r="D67" s="19"/>
      <c r="E67" s="63">
        <f>8+1.5</f>
        <v>9.5</v>
      </c>
      <c r="F67" s="67"/>
      <c r="G67" s="102" t="s">
        <v>319</v>
      </c>
      <c r="H67" s="102" t="s">
        <v>320</v>
      </c>
      <c r="I67" s="103" t="s">
        <v>321</v>
      </c>
      <c r="J67" s="98" t="s">
        <v>322</v>
      </c>
    </row>
    <row r="68" ht="22.5" customHeight="1">
      <c r="A68" s="95">
        <v>45946.0</v>
      </c>
      <c r="B68" s="67"/>
      <c r="C68" s="67"/>
      <c r="D68" s="19"/>
      <c r="E68" s="63">
        <f>8+2.5</f>
        <v>10.5</v>
      </c>
      <c r="F68" s="67"/>
      <c r="G68" s="102" t="s">
        <v>323</v>
      </c>
      <c r="H68" s="102" t="s">
        <v>280</v>
      </c>
      <c r="I68" s="103" t="s">
        <v>324</v>
      </c>
      <c r="J68" s="98" t="s">
        <v>325</v>
      </c>
    </row>
    <row r="69" ht="22.5" customHeight="1">
      <c r="A69" s="95">
        <v>45947.0</v>
      </c>
      <c r="B69" s="67"/>
      <c r="C69" s="67"/>
      <c r="D69" s="19"/>
      <c r="E69" s="63">
        <v>8.0</v>
      </c>
      <c r="F69" s="67"/>
      <c r="G69" s="102" t="s">
        <v>326</v>
      </c>
      <c r="H69" s="102" t="s">
        <v>327</v>
      </c>
      <c r="I69" s="103" t="s">
        <v>328</v>
      </c>
      <c r="J69" s="98" t="s">
        <v>329</v>
      </c>
    </row>
    <row r="70" ht="252.0" customHeight="1">
      <c r="A70" s="95">
        <v>45950.0</v>
      </c>
      <c r="B70" s="67"/>
      <c r="C70" s="67"/>
      <c r="D70" s="19"/>
      <c r="E70" s="63">
        <v>8.0</v>
      </c>
      <c r="F70" s="67"/>
      <c r="G70" s="102" t="s">
        <v>330</v>
      </c>
      <c r="H70" s="102" t="s">
        <v>280</v>
      </c>
      <c r="I70" s="103" t="s">
        <v>331</v>
      </c>
      <c r="J70" s="98" t="s">
        <v>332</v>
      </c>
    </row>
    <row r="71" ht="22.5" customHeight="1">
      <c r="A71" s="95">
        <v>45951.0</v>
      </c>
      <c r="B71" s="67"/>
      <c r="C71" s="67"/>
      <c r="D71" s="19"/>
      <c r="E71" s="63">
        <f>8+2</f>
        <v>10</v>
      </c>
      <c r="F71" s="67"/>
      <c r="G71" s="102" t="s">
        <v>333</v>
      </c>
      <c r="H71" s="102" t="s">
        <v>334</v>
      </c>
      <c r="I71" s="103" t="s">
        <v>335</v>
      </c>
      <c r="J71" s="98" t="s">
        <v>336</v>
      </c>
    </row>
    <row r="72" ht="22.5" customHeight="1">
      <c r="A72" s="95">
        <v>45952.0</v>
      </c>
      <c r="B72" s="67"/>
      <c r="C72" s="67"/>
      <c r="D72" s="19"/>
      <c r="E72" s="63">
        <v>8.0</v>
      </c>
      <c r="F72" s="67"/>
      <c r="G72" s="102" t="s">
        <v>337</v>
      </c>
      <c r="H72" s="102" t="s">
        <v>280</v>
      </c>
      <c r="I72" s="103" t="s">
        <v>338</v>
      </c>
      <c r="J72" s="98" t="s">
        <v>339</v>
      </c>
    </row>
    <row r="73" ht="22.5" customHeight="1">
      <c r="A73" s="95">
        <v>45953.0</v>
      </c>
      <c r="B73" s="67"/>
      <c r="C73" s="67"/>
      <c r="D73" s="19"/>
      <c r="E73" s="63">
        <f>8+4</f>
        <v>12</v>
      </c>
      <c r="F73" s="67"/>
      <c r="G73" s="102" t="s">
        <v>333</v>
      </c>
      <c r="H73" s="102" t="s">
        <v>334</v>
      </c>
      <c r="I73" s="103" t="s">
        <v>340</v>
      </c>
      <c r="J73" s="98" t="s">
        <v>341</v>
      </c>
    </row>
    <row r="74" ht="22.5" customHeight="1">
      <c r="A74" s="95">
        <v>45954.0</v>
      </c>
      <c r="B74" s="67"/>
      <c r="C74" s="67"/>
      <c r="D74" s="19"/>
      <c r="E74" s="63">
        <v>8.0</v>
      </c>
      <c r="F74" s="67"/>
      <c r="G74" s="102" t="s">
        <v>342</v>
      </c>
      <c r="H74" s="102" t="s">
        <v>320</v>
      </c>
      <c r="I74" s="103" t="s">
        <v>343</v>
      </c>
      <c r="J74" s="98" t="s">
        <v>344</v>
      </c>
    </row>
    <row r="75" ht="22.5" customHeight="1">
      <c r="A75" s="95">
        <v>45957.0</v>
      </c>
      <c r="B75" s="67"/>
      <c r="C75" s="67"/>
      <c r="D75" s="19"/>
      <c r="E75" s="63">
        <f>8+4</f>
        <v>12</v>
      </c>
      <c r="F75" s="67"/>
      <c r="G75" s="102" t="s">
        <v>345</v>
      </c>
      <c r="H75" s="102" t="s">
        <v>334</v>
      </c>
      <c r="I75" s="103" t="s">
        <v>346</v>
      </c>
      <c r="J75" s="98" t="s">
        <v>347</v>
      </c>
    </row>
    <row r="76" ht="22.5" customHeight="1">
      <c r="A76" s="95">
        <v>45958.0</v>
      </c>
      <c r="B76" s="67"/>
      <c r="C76" s="67"/>
      <c r="D76" s="19"/>
      <c r="E76" s="63">
        <f>8+3.5</f>
        <v>11.5</v>
      </c>
      <c r="F76" s="67"/>
      <c r="G76" s="102" t="s">
        <v>348</v>
      </c>
      <c r="H76" s="102" t="s">
        <v>334</v>
      </c>
      <c r="I76" s="103" t="s">
        <v>349</v>
      </c>
      <c r="J76" s="98" t="s">
        <v>350</v>
      </c>
    </row>
    <row r="77" ht="22.5" customHeight="1">
      <c r="A77" s="95">
        <v>45959.0</v>
      </c>
      <c r="B77" s="67"/>
      <c r="C77" s="67"/>
      <c r="D77" s="19"/>
      <c r="E77" s="63">
        <f>8+3</f>
        <v>11</v>
      </c>
      <c r="F77" s="67"/>
      <c r="G77" s="102" t="s">
        <v>351</v>
      </c>
      <c r="H77" s="102" t="s">
        <v>327</v>
      </c>
      <c r="I77" s="103" t="s">
        <v>352</v>
      </c>
      <c r="J77" s="98" t="s">
        <v>353</v>
      </c>
    </row>
    <row r="78" ht="22.5" customHeight="1">
      <c r="A78" s="95">
        <v>45960.0</v>
      </c>
      <c r="B78" s="67"/>
      <c r="C78" s="67"/>
      <c r="D78" s="19"/>
      <c r="E78" s="63">
        <f>8+2.5</f>
        <v>10.5</v>
      </c>
      <c r="F78" s="67"/>
      <c r="G78" s="102" t="s">
        <v>351</v>
      </c>
      <c r="H78" s="102" t="s">
        <v>354</v>
      </c>
      <c r="I78" s="103" t="s">
        <v>355</v>
      </c>
      <c r="J78" s="98" t="s">
        <v>356</v>
      </c>
    </row>
    <row r="79" ht="22.5" customHeight="1">
      <c r="A79" s="95">
        <v>45961.0</v>
      </c>
      <c r="B79" s="67"/>
      <c r="C79" s="67"/>
      <c r="D79" s="19"/>
      <c r="E79" s="63">
        <f>8+1.5</f>
        <v>9.5</v>
      </c>
      <c r="F79" s="67"/>
      <c r="G79" s="102" t="s">
        <v>357</v>
      </c>
      <c r="H79" s="102" t="s">
        <v>334</v>
      </c>
      <c r="I79" s="103" t="s">
        <v>358</v>
      </c>
      <c r="J79" s="98" t="s">
        <v>359</v>
      </c>
    </row>
    <row r="80" ht="22.5" customHeight="1">
      <c r="A80" s="95">
        <v>45964.0</v>
      </c>
      <c r="B80" s="67"/>
      <c r="C80" s="67"/>
      <c r="D80" s="19"/>
      <c r="E80" s="63">
        <v>8.0</v>
      </c>
      <c r="F80" s="67"/>
      <c r="G80" s="102" t="s">
        <v>360</v>
      </c>
      <c r="H80" s="102" t="s">
        <v>361</v>
      </c>
      <c r="I80" s="103" t="s">
        <v>362</v>
      </c>
      <c r="J80" s="98" t="s">
        <v>363</v>
      </c>
    </row>
    <row r="81" ht="22.5" customHeight="1">
      <c r="A81" s="95">
        <v>45965.0</v>
      </c>
      <c r="B81" s="67"/>
      <c r="C81" s="67"/>
      <c r="D81" s="19"/>
      <c r="E81" s="63">
        <v>8.0</v>
      </c>
      <c r="F81" s="67"/>
      <c r="G81" s="102" t="s">
        <v>364</v>
      </c>
      <c r="H81" s="102" t="s">
        <v>365</v>
      </c>
      <c r="I81" s="103" t="s">
        <v>366</v>
      </c>
      <c r="J81" s="98" t="s">
        <v>367</v>
      </c>
    </row>
    <row r="82" ht="22.5" customHeight="1">
      <c r="A82" s="95">
        <v>45966.0</v>
      </c>
      <c r="B82" s="67"/>
      <c r="C82" s="67"/>
      <c r="D82" s="19"/>
      <c r="E82" s="63">
        <v>8.0</v>
      </c>
      <c r="F82" s="67"/>
      <c r="G82" s="102" t="s">
        <v>368</v>
      </c>
      <c r="H82" s="102" t="s">
        <v>288</v>
      </c>
      <c r="I82" s="103" t="s">
        <v>369</v>
      </c>
      <c r="J82" s="98" t="s">
        <v>370</v>
      </c>
    </row>
    <row r="83" ht="22.5" customHeight="1">
      <c r="A83" s="95">
        <v>45967.0</v>
      </c>
      <c r="B83" s="67"/>
      <c r="C83" s="67"/>
      <c r="D83" s="19"/>
      <c r="E83" s="63">
        <v>8.0</v>
      </c>
      <c r="F83" s="67"/>
      <c r="G83" s="102" t="s">
        <v>371</v>
      </c>
      <c r="H83" s="102" t="s">
        <v>280</v>
      </c>
      <c r="I83" s="103" t="s">
        <v>372</v>
      </c>
      <c r="J83" s="98" t="s">
        <v>373</v>
      </c>
    </row>
    <row r="84" ht="22.5" customHeight="1">
      <c r="A84" s="95">
        <v>45968.0</v>
      </c>
      <c r="B84" s="67"/>
      <c r="C84" s="67"/>
      <c r="D84" s="19"/>
      <c r="E84" s="63">
        <v>8.0</v>
      </c>
      <c r="F84" s="67"/>
      <c r="G84" s="102" t="s">
        <v>374</v>
      </c>
      <c r="H84" s="102" t="s">
        <v>375</v>
      </c>
      <c r="I84" s="103" t="s">
        <v>376</v>
      </c>
      <c r="J84" s="98" t="s">
        <v>377</v>
      </c>
    </row>
    <row r="85" ht="22.5" customHeight="1">
      <c r="A85" s="95">
        <v>45971.0</v>
      </c>
      <c r="B85" s="67"/>
      <c r="C85" s="67"/>
      <c r="D85" s="19"/>
      <c r="E85" s="63">
        <v>8.0</v>
      </c>
      <c r="F85" s="67"/>
      <c r="G85" s="102" t="s">
        <v>378</v>
      </c>
      <c r="H85" s="102" t="s">
        <v>379</v>
      </c>
      <c r="I85" s="110"/>
      <c r="J85" s="98" t="s">
        <v>380</v>
      </c>
    </row>
    <row r="86" ht="22.5" customHeight="1">
      <c r="A86" s="95">
        <v>45972.0</v>
      </c>
      <c r="B86" s="67"/>
      <c r="C86" s="67"/>
      <c r="D86" s="19"/>
      <c r="E86" s="63">
        <v>8.0</v>
      </c>
      <c r="F86" s="67"/>
      <c r="G86" s="102" t="s">
        <v>381</v>
      </c>
      <c r="H86" s="102" t="s">
        <v>327</v>
      </c>
      <c r="I86" s="103" t="s">
        <v>382</v>
      </c>
      <c r="J86" s="98" t="s">
        <v>383</v>
      </c>
    </row>
    <row r="87" ht="22.5" customHeight="1">
      <c r="A87" s="95">
        <v>45973.0</v>
      </c>
      <c r="B87" s="67"/>
      <c r="C87" s="67"/>
      <c r="D87" s="19"/>
      <c r="E87" s="63">
        <v>8.0</v>
      </c>
      <c r="F87" s="67"/>
      <c r="G87" s="102" t="s">
        <v>337</v>
      </c>
      <c r="H87" s="102" t="s">
        <v>280</v>
      </c>
      <c r="I87" s="103" t="s">
        <v>384</v>
      </c>
      <c r="J87" s="98" t="s">
        <v>385</v>
      </c>
    </row>
    <row r="88" ht="22.5" customHeight="1">
      <c r="A88" s="95">
        <v>45974.0</v>
      </c>
      <c r="B88" s="67"/>
      <c r="C88" s="67"/>
      <c r="D88" s="19"/>
      <c r="E88" s="63">
        <v>8.0</v>
      </c>
      <c r="F88" s="67"/>
      <c r="G88" s="102" t="s">
        <v>386</v>
      </c>
      <c r="H88" s="102" t="s">
        <v>387</v>
      </c>
      <c r="I88" s="103" t="s">
        <v>388</v>
      </c>
      <c r="J88" s="98" t="s">
        <v>389</v>
      </c>
    </row>
    <row r="89" ht="22.5" customHeight="1">
      <c r="A89" s="95">
        <v>45975.0</v>
      </c>
      <c r="B89" s="67"/>
      <c r="C89" s="67"/>
      <c r="D89" s="19"/>
      <c r="E89" s="63">
        <v>8.0</v>
      </c>
      <c r="F89" s="67"/>
      <c r="G89" s="102" t="s">
        <v>390</v>
      </c>
      <c r="H89" s="102" t="s">
        <v>334</v>
      </c>
      <c r="I89" s="103" t="s">
        <v>391</v>
      </c>
      <c r="J89" s="98" t="s">
        <v>392</v>
      </c>
    </row>
    <row r="90" ht="22.5" customHeight="1">
      <c r="A90" s="95">
        <v>45978.0</v>
      </c>
      <c r="B90" s="67"/>
      <c r="C90" s="67"/>
      <c r="D90" s="19"/>
      <c r="E90" s="63">
        <v>8.0</v>
      </c>
      <c r="F90" s="67"/>
      <c r="G90" s="102" t="s">
        <v>337</v>
      </c>
      <c r="H90" s="102" t="s">
        <v>280</v>
      </c>
      <c r="I90" s="103" t="s">
        <v>393</v>
      </c>
      <c r="J90" s="98" t="s">
        <v>394</v>
      </c>
    </row>
    <row r="91" ht="22.5" customHeight="1">
      <c r="A91" s="95">
        <v>45979.0</v>
      </c>
      <c r="B91" s="67"/>
      <c r="C91" s="67"/>
      <c r="D91" s="19"/>
      <c r="E91" s="63">
        <v>8.0</v>
      </c>
      <c r="F91" s="67"/>
      <c r="G91" s="102" t="s">
        <v>395</v>
      </c>
      <c r="H91" s="102" t="s">
        <v>327</v>
      </c>
      <c r="I91" s="103" t="s">
        <v>396</v>
      </c>
      <c r="J91" s="98" t="s">
        <v>397</v>
      </c>
    </row>
    <row r="92" ht="22.5" customHeight="1">
      <c r="A92" s="95">
        <v>45980.0</v>
      </c>
      <c r="B92" s="67"/>
      <c r="C92" s="67"/>
      <c r="D92" s="19"/>
      <c r="E92" s="63">
        <v>8.0</v>
      </c>
      <c r="F92" s="67"/>
      <c r="G92" s="102" t="s">
        <v>398</v>
      </c>
      <c r="H92" s="102" t="s">
        <v>399</v>
      </c>
      <c r="I92" s="103" t="s">
        <v>400</v>
      </c>
      <c r="J92" s="98" t="s">
        <v>401</v>
      </c>
    </row>
    <row r="93" ht="22.5" customHeight="1">
      <c r="A93" s="95">
        <v>45981.0</v>
      </c>
      <c r="B93" s="67"/>
      <c r="C93" s="67"/>
      <c r="D93" s="19"/>
      <c r="E93" s="63">
        <v>8.0</v>
      </c>
      <c r="F93" s="67"/>
      <c r="G93" s="102" t="s">
        <v>402</v>
      </c>
      <c r="H93" s="102" t="s">
        <v>334</v>
      </c>
      <c r="I93" s="103" t="s">
        <v>403</v>
      </c>
      <c r="J93" s="98" t="s">
        <v>404</v>
      </c>
    </row>
    <row r="94" ht="22.5" customHeight="1">
      <c r="A94" s="95">
        <v>45982.0</v>
      </c>
      <c r="B94" s="67"/>
      <c r="C94" s="67"/>
      <c r="D94" s="19"/>
      <c r="E94" s="63">
        <v>8.0</v>
      </c>
      <c r="F94" s="67"/>
      <c r="G94" s="102" t="s">
        <v>405</v>
      </c>
      <c r="H94" s="102" t="s">
        <v>406</v>
      </c>
      <c r="I94" s="103" t="s">
        <v>407</v>
      </c>
      <c r="J94" s="98" t="s">
        <v>408</v>
      </c>
    </row>
    <row r="95" ht="22.5" customHeight="1">
      <c r="A95" s="95">
        <v>45985.0</v>
      </c>
      <c r="B95" s="67"/>
      <c r="C95" s="67"/>
      <c r="D95" s="19"/>
      <c r="E95" s="63">
        <v>8.0</v>
      </c>
      <c r="F95" s="67"/>
      <c r="G95" s="102" t="s">
        <v>314</v>
      </c>
      <c r="H95" s="102" t="s">
        <v>280</v>
      </c>
      <c r="I95" s="103" t="s">
        <v>409</v>
      </c>
      <c r="J95" s="98" t="s">
        <v>410</v>
      </c>
    </row>
    <row r="96" ht="22.5" customHeight="1">
      <c r="A96" s="95">
        <v>45986.0</v>
      </c>
      <c r="B96" s="67"/>
      <c r="C96" s="67"/>
      <c r="D96" s="19"/>
      <c r="E96" s="63">
        <v>8.0</v>
      </c>
      <c r="F96" s="67"/>
      <c r="G96" s="102" t="s">
        <v>411</v>
      </c>
      <c r="H96" s="102" t="s">
        <v>375</v>
      </c>
      <c r="I96" s="103" t="s">
        <v>412</v>
      </c>
      <c r="J96" s="98" t="s">
        <v>413</v>
      </c>
    </row>
    <row r="97" ht="22.5" customHeight="1">
      <c r="A97" s="95">
        <v>45987.0</v>
      </c>
      <c r="B97" s="67"/>
      <c r="C97" s="67"/>
      <c r="D97" s="19"/>
      <c r="E97" s="63">
        <v>8.0</v>
      </c>
      <c r="F97" s="67"/>
      <c r="G97" s="102" t="s">
        <v>414</v>
      </c>
      <c r="H97" s="102" t="s">
        <v>415</v>
      </c>
      <c r="I97" s="103" t="s">
        <v>416</v>
      </c>
      <c r="J97" s="98" t="s">
        <v>417</v>
      </c>
    </row>
    <row r="98" ht="22.5" customHeight="1">
      <c r="A98" s="95">
        <v>45988.0</v>
      </c>
      <c r="B98" s="67"/>
      <c r="C98" s="63">
        <v>2.0</v>
      </c>
      <c r="D98" s="19"/>
      <c r="E98" s="63" t="s">
        <v>418</v>
      </c>
      <c r="F98" s="67"/>
      <c r="G98" s="102" t="s">
        <v>419</v>
      </c>
      <c r="H98" s="102" t="s">
        <v>420</v>
      </c>
      <c r="I98" s="103" t="s">
        <v>421</v>
      </c>
      <c r="J98" s="98" t="s">
        <v>422</v>
      </c>
    </row>
    <row r="99" ht="22.5" customHeight="1">
      <c r="A99" s="95">
        <v>45989.0</v>
      </c>
      <c r="B99" s="67"/>
      <c r="C99" s="67"/>
      <c r="D99" s="19"/>
      <c r="E99" s="63">
        <v>8.0</v>
      </c>
      <c r="F99" s="67"/>
      <c r="G99" s="102" t="s">
        <v>423</v>
      </c>
      <c r="H99" s="102" t="s">
        <v>280</v>
      </c>
      <c r="I99" s="103" t="s">
        <v>424</v>
      </c>
      <c r="J99" s="98" t="s">
        <v>425</v>
      </c>
    </row>
    <row r="100" ht="22.5" customHeight="1">
      <c r="A100" s="95">
        <v>45992.0</v>
      </c>
      <c r="B100" s="67"/>
      <c r="C100" s="67"/>
      <c r="D100" s="19"/>
      <c r="E100" s="63">
        <v>8.0</v>
      </c>
      <c r="F100" s="67"/>
      <c r="G100" s="102" t="s">
        <v>426</v>
      </c>
      <c r="H100" s="102" t="s">
        <v>288</v>
      </c>
      <c r="I100" s="103" t="s">
        <v>427</v>
      </c>
      <c r="J100" s="98" t="s">
        <v>428</v>
      </c>
    </row>
    <row r="101" ht="22.5" customHeight="1">
      <c r="A101" s="95">
        <v>45993.0</v>
      </c>
      <c r="B101" s="67"/>
      <c r="C101" s="67"/>
      <c r="D101" s="19"/>
      <c r="E101" s="63">
        <v>8.0</v>
      </c>
      <c r="F101" s="67"/>
      <c r="G101" s="102" t="s">
        <v>429</v>
      </c>
      <c r="H101" s="102" t="s">
        <v>280</v>
      </c>
      <c r="I101" s="103" t="s">
        <v>430</v>
      </c>
      <c r="J101" s="98" t="s">
        <v>431</v>
      </c>
    </row>
    <row r="102" ht="22.5" customHeight="1">
      <c r="A102" s="95">
        <v>45994.0</v>
      </c>
      <c r="B102" s="67"/>
      <c r="C102" s="67"/>
      <c r="D102" s="19"/>
      <c r="E102" s="63">
        <v>8.0</v>
      </c>
      <c r="F102" s="67"/>
      <c r="G102" s="102" t="s">
        <v>432</v>
      </c>
      <c r="H102" s="102" t="s">
        <v>280</v>
      </c>
      <c r="I102" s="103" t="s">
        <v>433</v>
      </c>
      <c r="J102" s="98" t="s">
        <v>434</v>
      </c>
    </row>
    <row r="103" ht="22.5" customHeight="1">
      <c r="A103" s="95">
        <v>45995.0</v>
      </c>
      <c r="B103" s="67"/>
      <c r="C103" s="67"/>
      <c r="D103" s="19"/>
      <c r="E103" s="63">
        <f>8+4</f>
        <v>12</v>
      </c>
      <c r="F103" s="67"/>
      <c r="G103" s="102" t="s">
        <v>435</v>
      </c>
      <c r="H103" s="102" t="s">
        <v>327</v>
      </c>
      <c r="I103" s="103" t="s">
        <v>436</v>
      </c>
      <c r="J103" s="98" t="s">
        <v>437</v>
      </c>
    </row>
    <row r="104" ht="22.5" customHeight="1">
      <c r="A104" s="111">
        <v>45996.0</v>
      </c>
      <c r="B104" s="82"/>
      <c r="C104" s="82"/>
      <c r="D104" s="83"/>
      <c r="E104" s="84">
        <v>4.0</v>
      </c>
      <c r="F104" s="82"/>
      <c r="G104" s="112" t="s">
        <v>438</v>
      </c>
      <c r="H104" s="86" t="s">
        <v>439</v>
      </c>
      <c r="I104" s="113" t="s">
        <v>440</v>
      </c>
      <c r="J104" s="88" t="s">
        <v>441</v>
      </c>
    </row>
    <row r="105" ht="22.5" customHeight="1">
      <c r="A105" s="105">
        <v>45999.0</v>
      </c>
      <c r="B105" s="106"/>
      <c r="C105" s="106"/>
      <c r="D105" s="107"/>
      <c r="E105" s="108">
        <v>8.0</v>
      </c>
      <c r="F105" s="90"/>
      <c r="G105" s="92" t="s">
        <v>285</v>
      </c>
      <c r="H105" s="109"/>
      <c r="I105" s="109"/>
      <c r="J105" s="94" t="s">
        <v>86</v>
      </c>
    </row>
    <row r="106" ht="22.5" customHeight="1">
      <c r="A106" s="105">
        <v>46000.0</v>
      </c>
      <c r="B106" s="106"/>
      <c r="C106" s="106"/>
      <c r="D106" s="107"/>
      <c r="E106" s="108">
        <v>8.0</v>
      </c>
      <c r="F106" s="90"/>
      <c r="G106" s="92" t="s">
        <v>285</v>
      </c>
      <c r="H106" s="109"/>
      <c r="I106" s="109"/>
      <c r="J106" s="94" t="s">
        <v>86</v>
      </c>
    </row>
    <row r="107" ht="22.5" customHeight="1">
      <c r="A107" s="105">
        <v>46001.0</v>
      </c>
      <c r="B107" s="106"/>
      <c r="C107" s="106"/>
      <c r="D107" s="107"/>
      <c r="E107" s="108">
        <v>8.0</v>
      </c>
      <c r="F107" s="90"/>
      <c r="G107" s="92" t="s">
        <v>285</v>
      </c>
      <c r="H107" s="109"/>
      <c r="I107" s="109"/>
      <c r="J107" s="94" t="s">
        <v>86</v>
      </c>
    </row>
    <row r="108" ht="22.5" customHeight="1">
      <c r="A108" s="95">
        <v>46002.0</v>
      </c>
      <c r="B108" s="67"/>
      <c r="C108" s="63">
        <v>2.0</v>
      </c>
      <c r="D108" s="19"/>
      <c r="E108" s="63" t="s">
        <v>442</v>
      </c>
      <c r="F108" s="67"/>
      <c r="G108" s="102" t="s">
        <v>443</v>
      </c>
      <c r="H108" s="102" t="s">
        <v>444</v>
      </c>
      <c r="I108" s="103" t="s">
        <v>445</v>
      </c>
      <c r="J108" s="98" t="s">
        <v>446</v>
      </c>
    </row>
    <row r="109" ht="22.5" customHeight="1">
      <c r="A109" s="95">
        <v>46003.0</v>
      </c>
      <c r="B109" s="67"/>
      <c r="C109" s="67"/>
      <c r="D109" s="19"/>
      <c r="E109" s="63">
        <v>8.0</v>
      </c>
      <c r="F109" s="67"/>
      <c r="G109" s="102" t="s">
        <v>360</v>
      </c>
      <c r="H109" s="102" t="s">
        <v>379</v>
      </c>
      <c r="I109" s="103" t="s">
        <v>447</v>
      </c>
      <c r="J109" s="98" t="s">
        <v>448</v>
      </c>
    </row>
    <row r="110" ht="22.5" customHeight="1">
      <c r="A110" s="95">
        <v>46006.0</v>
      </c>
      <c r="B110" s="67"/>
      <c r="C110" s="67"/>
      <c r="D110" s="19"/>
      <c r="E110" s="63">
        <v>8.0</v>
      </c>
      <c r="F110" s="67"/>
      <c r="G110" s="102" t="s">
        <v>449</v>
      </c>
      <c r="H110" s="102" t="s">
        <v>327</v>
      </c>
      <c r="I110" s="103" t="s">
        <v>450</v>
      </c>
      <c r="J110" s="98" t="s">
        <v>451</v>
      </c>
    </row>
    <row r="111" ht="22.5" customHeight="1">
      <c r="A111" s="95">
        <v>46007.0</v>
      </c>
      <c r="B111" s="67"/>
      <c r="C111" s="67"/>
      <c r="D111" s="19"/>
      <c r="E111" s="63">
        <f>8+4.5</f>
        <v>12.5</v>
      </c>
      <c r="F111" s="67"/>
      <c r="G111" s="102" t="s">
        <v>405</v>
      </c>
      <c r="H111" s="102" t="s">
        <v>361</v>
      </c>
      <c r="I111" s="103" t="s">
        <v>452</v>
      </c>
      <c r="J111" s="98" t="s">
        <v>453</v>
      </c>
    </row>
    <row r="112" ht="22.5" customHeight="1">
      <c r="A112" s="95">
        <v>46008.0</v>
      </c>
      <c r="B112" s="67"/>
      <c r="C112" s="67"/>
      <c r="D112" s="19"/>
      <c r="E112" s="63">
        <v>8.0</v>
      </c>
      <c r="F112" s="67"/>
      <c r="G112" s="102" t="s">
        <v>454</v>
      </c>
      <c r="H112" s="102" t="s">
        <v>280</v>
      </c>
      <c r="I112" s="103" t="s">
        <v>455</v>
      </c>
      <c r="J112" s="98" t="s">
        <v>456</v>
      </c>
    </row>
    <row r="113" ht="22.5" customHeight="1">
      <c r="A113" s="95">
        <v>46009.0</v>
      </c>
      <c r="B113" s="67"/>
      <c r="C113" s="63">
        <v>2.0</v>
      </c>
      <c r="D113" s="19"/>
      <c r="E113" s="63" t="s">
        <v>457</v>
      </c>
      <c r="F113" s="67"/>
      <c r="G113" s="102" t="s">
        <v>458</v>
      </c>
      <c r="H113" s="102" t="s">
        <v>459</v>
      </c>
      <c r="I113" s="103" t="s">
        <v>460</v>
      </c>
      <c r="J113" s="98" t="s">
        <v>461</v>
      </c>
    </row>
    <row r="114" ht="22.5" customHeight="1">
      <c r="A114" s="95">
        <v>46010.0</v>
      </c>
      <c r="B114" s="67"/>
      <c r="C114" s="63">
        <v>2.0</v>
      </c>
      <c r="D114" s="19"/>
      <c r="E114" s="63" t="s">
        <v>462</v>
      </c>
      <c r="F114" s="67"/>
      <c r="G114" s="102" t="s">
        <v>463</v>
      </c>
      <c r="H114" s="102" t="s">
        <v>464</v>
      </c>
      <c r="I114" s="103" t="s">
        <v>465</v>
      </c>
      <c r="J114" s="98" t="s">
        <v>466</v>
      </c>
    </row>
    <row r="115" ht="22.5" customHeight="1">
      <c r="A115" s="95">
        <v>46013.0</v>
      </c>
      <c r="B115" s="67"/>
      <c r="C115" s="67"/>
      <c r="D115" s="19"/>
      <c r="E115" s="63">
        <v>8.0</v>
      </c>
      <c r="F115" s="67"/>
      <c r="G115" s="102" t="s">
        <v>467</v>
      </c>
      <c r="H115" s="55" t="s">
        <v>468</v>
      </c>
      <c r="I115" s="103" t="s">
        <v>469</v>
      </c>
      <c r="J115" s="98" t="s">
        <v>470</v>
      </c>
    </row>
    <row r="116" ht="22.5" customHeight="1">
      <c r="A116" s="95">
        <v>46014.0</v>
      </c>
      <c r="B116" s="67"/>
      <c r="C116" s="67"/>
      <c r="D116" s="19"/>
      <c r="E116" s="63">
        <v>8.0</v>
      </c>
      <c r="F116" s="67"/>
      <c r="G116" s="102" t="s">
        <v>471</v>
      </c>
      <c r="H116" s="55" t="s">
        <v>173</v>
      </c>
      <c r="I116" s="110"/>
      <c r="J116" s="98" t="s">
        <v>472</v>
      </c>
    </row>
    <row r="117" ht="22.5" customHeight="1">
      <c r="A117" s="95">
        <v>46015.0</v>
      </c>
      <c r="B117" s="67"/>
      <c r="C117" s="67"/>
      <c r="D117" s="19"/>
      <c r="E117" s="63">
        <v>8.0</v>
      </c>
      <c r="F117" s="67"/>
      <c r="G117" s="102" t="s">
        <v>473</v>
      </c>
      <c r="H117" s="55" t="s">
        <v>474</v>
      </c>
      <c r="I117" s="110" t="s">
        <v>475</v>
      </c>
      <c r="J117" s="98" t="s">
        <v>476</v>
      </c>
    </row>
    <row r="118" ht="22.5" customHeight="1">
      <c r="A118" s="89">
        <v>46016.0</v>
      </c>
      <c r="B118" s="90"/>
      <c r="C118" s="90"/>
      <c r="D118" s="91"/>
      <c r="E118" s="108">
        <v>8.0</v>
      </c>
      <c r="F118" s="90"/>
      <c r="G118" s="92" t="s">
        <v>285</v>
      </c>
      <c r="H118" s="109"/>
      <c r="I118" s="114"/>
      <c r="J118" s="115" t="s">
        <v>477</v>
      </c>
    </row>
    <row r="119" ht="22.5" customHeight="1">
      <c r="A119" s="89">
        <v>46017.0</v>
      </c>
      <c r="B119" s="90"/>
      <c r="C119" s="90"/>
      <c r="D119" s="91"/>
      <c r="E119" s="108">
        <v>8.0</v>
      </c>
      <c r="F119" s="90"/>
      <c r="G119" s="92" t="s">
        <v>285</v>
      </c>
      <c r="H119" s="109"/>
      <c r="I119" s="114"/>
      <c r="J119" s="115" t="s">
        <v>86</v>
      </c>
    </row>
    <row r="120" ht="22.5" customHeight="1">
      <c r="A120" s="89">
        <v>46020.0</v>
      </c>
      <c r="B120" s="90"/>
      <c r="C120" s="90"/>
      <c r="D120" s="91"/>
      <c r="E120" s="108">
        <v>8.0</v>
      </c>
      <c r="F120" s="90"/>
      <c r="G120" s="92" t="s">
        <v>285</v>
      </c>
      <c r="H120" s="109"/>
      <c r="I120" s="114"/>
      <c r="J120" s="115" t="s">
        <v>86</v>
      </c>
    </row>
    <row r="121" ht="22.5" customHeight="1">
      <c r="A121" s="89">
        <v>46021.0</v>
      </c>
      <c r="B121" s="90"/>
      <c r="C121" s="90"/>
      <c r="D121" s="91"/>
      <c r="E121" s="108">
        <v>8.0</v>
      </c>
      <c r="F121" s="90"/>
      <c r="G121" s="92" t="s">
        <v>285</v>
      </c>
      <c r="H121" s="109"/>
      <c r="I121" s="114"/>
      <c r="J121" s="115" t="s">
        <v>220</v>
      </c>
    </row>
    <row r="122" ht="22.5" customHeight="1">
      <c r="A122" s="89">
        <v>46022.0</v>
      </c>
      <c r="B122" s="90"/>
      <c r="C122" s="90"/>
      <c r="D122" s="91"/>
      <c r="E122" s="108">
        <v>8.0</v>
      </c>
      <c r="F122" s="90"/>
      <c r="G122" s="92" t="s">
        <v>285</v>
      </c>
      <c r="H122" s="109"/>
      <c r="I122" s="114"/>
      <c r="J122" s="115" t="s">
        <v>220</v>
      </c>
    </row>
    <row r="123" ht="22.5" customHeight="1">
      <c r="A123" s="89">
        <v>46023.0</v>
      </c>
      <c r="B123" s="90"/>
      <c r="C123" s="90"/>
      <c r="D123" s="91"/>
      <c r="E123" s="108">
        <v>8.0</v>
      </c>
      <c r="F123" s="90"/>
      <c r="G123" s="92" t="s">
        <v>285</v>
      </c>
      <c r="H123" s="109"/>
      <c r="I123" s="109"/>
      <c r="J123" s="115" t="s">
        <v>478</v>
      </c>
    </row>
    <row r="124" ht="22.5" customHeight="1">
      <c r="A124" s="89">
        <v>46024.0</v>
      </c>
      <c r="B124" s="90"/>
      <c r="C124" s="90"/>
      <c r="D124" s="91"/>
      <c r="E124" s="108">
        <v>8.0</v>
      </c>
      <c r="F124" s="90"/>
      <c r="G124" s="92" t="s">
        <v>285</v>
      </c>
      <c r="H124" s="109"/>
      <c r="I124" s="109"/>
      <c r="J124" s="115" t="s">
        <v>220</v>
      </c>
    </row>
    <row r="125" ht="22.5" customHeight="1">
      <c r="A125" s="95">
        <v>46027.0</v>
      </c>
      <c r="B125" s="99"/>
      <c r="C125" s="99"/>
      <c r="D125" s="101"/>
      <c r="E125" s="100">
        <v>8.0</v>
      </c>
      <c r="F125" s="99"/>
      <c r="G125" s="102" t="s">
        <v>479</v>
      </c>
      <c r="H125" s="55" t="s">
        <v>480</v>
      </c>
      <c r="I125" s="110"/>
      <c r="J125" s="98" t="s">
        <v>481</v>
      </c>
    </row>
    <row r="126" ht="22.5" customHeight="1">
      <c r="A126" s="95">
        <v>46028.0</v>
      </c>
      <c r="B126" s="99"/>
      <c r="C126" s="99"/>
      <c r="D126" s="101"/>
      <c r="E126" s="100">
        <v>8.0</v>
      </c>
      <c r="F126" s="99"/>
      <c r="G126" s="102" t="s">
        <v>482</v>
      </c>
      <c r="H126" s="55" t="s">
        <v>480</v>
      </c>
      <c r="I126" s="103" t="s">
        <v>483</v>
      </c>
      <c r="J126" s="98" t="s">
        <v>484</v>
      </c>
    </row>
    <row r="127" ht="22.5" customHeight="1">
      <c r="A127" s="95">
        <v>46029.0</v>
      </c>
      <c r="B127" s="99"/>
      <c r="C127" s="99"/>
      <c r="D127" s="101"/>
      <c r="E127" s="100">
        <v>8.0</v>
      </c>
      <c r="F127" s="99"/>
      <c r="G127" s="102" t="s">
        <v>485</v>
      </c>
      <c r="H127" s="55" t="s">
        <v>225</v>
      </c>
      <c r="I127" s="103" t="s">
        <v>486</v>
      </c>
      <c r="J127" s="98" t="s">
        <v>487</v>
      </c>
    </row>
    <row r="128" ht="22.5" customHeight="1">
      <c r="A128" s="95">
        <v>46030.0</v>
      </c>
      <c r="B128" s="99"/>
      <c r="C128" s="99"/>
      <c r="D128" s="101"/>
      <c r="E128" s="100">
        <v>8.0</v>
      </c>
      <c r="F128" s="99"/>
      <c r="G128" s="102" t="s">
        <v>485</v>
      </c>
      <c r="H128" s="55" t="s">
        <v>225</v>
      </c>
      <c r="I128" s="103" t="s">
        <v>488</v>
      </c>
      <c r="J128" s="98" t="s">
        <v>489</v>
      </c>
    </row>
    <row r="129" ht="22.5" customHeight="1">
      <c r="A129" s="95">
        <v>46031.0</v>
      </c>
      <c r="B129" s="99"/>
      <c r="C129" s="99"/>
      <c r="D129" s="101"/>
      <c r="E129" s="100">
        <v>8.0</v>
      </c>
      <c r="F129" s="99"/>
      <c r="G129" s="102" t="s">
        <v>490</v>
      </c>
      <c r="H129" s="55" t="s">
        <v>491</v>
      </c>
      <c r="I129" s="103" t="s">
        <v>492</v>
      </c>
      <c r="J129" s="98" t="s">
        <v>493</v>
      </c>
    </row>
    <row r="130" ht="22.5" customHeight="1">
      <c r="A130" s="95">
        <v>46034.0</v>
      </c>
      <c r="B130" s="99"/>
      <c r="C130" s="99"/>
      <c r="D130" s="101"/>
      <c r="E130" s="100">
        <v>8.0</v>
      </c>
      <c r="F130" s="99"/>
      <c r="G130" s="102" t="s">
        <v>494</v>
      </c>
      <c r="H130" s="55" t="s">
        <v>495</v>
      </c>
      <c r="I130" s="103" t="s">
        <v>496</v>
      </c>
      <c r="J130" s="98" t="s">
        <v>497</v>
      </c>
    </row>
    <row r="131" ht="22.5" customHeight="1">
      <c r="A131" s="95">
        <v>46035.0</v>
      </c>
      <c r="B131" s="99"/>
      <c r="C131" s="99"/>
      <c r="D131" s="101"/>
      <c r="E131" s="100">
        <v>8.0</v>
      </c>
      <c r="F131" s="99"/>
      <c r="G131" s="102" t="s">
        <v>498</v>
      </c>
      <c r="H131" s="55" t="s">
        <v>499</v>
      </c>
      <c r="I131" s="103" t="s">
        <v>500</v>
      </c>
      <c r="J131" s="98" t="s">
        <v>501</v>
      </c>
    </row>
    <row r="132" ht="22.5" customHeight="1">
      <c r="A132" s="95">
        <v>46036.0</v>
      </c>
      <c r="B132" s="99"/>
      <c r="C132" s="99"/>
      <c r="D132" s="101"/>
      <c r="E132" s="100">
        <v>8.0</v>
      </c>
      <c r="F132" s="99"/>
      <c r="G132" s="102" t="s">
        <v>502</v>
      </c>
      <c r="H132" s="55" t="s">
        <v>225</v>
      </c>
      <c r="I132" s="103" t="s">
        <v>503</v>
      </c>
      <c r="J132" s="98" t="s">
        <v>504</v>
      </c>
    </row>
    <row r="133" ht="22.5" customHeight="1">
      <c r="A133" s="95">
        <v>46037.0</v>
      </c>
      <c r="B133" s="99"/>
      <c r="C133" s="99"/>
      <c r="D133" s="101"/>
      <c r="E133" s="100">
        <v>8.0</v>
      </c>
      <c r="F133" s="99"/>
      <c r="G133" s="102" t="s">
        <v>502</v>
      </c>
      <c r="H133" s="55" t="s">
        <v>499</v>
      </c>
      <c r="I133" s="103" t="s">
        <v>505</v>
      </c>
      <c r="J133" s="98" t="s">
        <v>506</v>
      </c>
    </row>
    <row r="134" ht="22.5" customHeight="1">
      <c r="A134" s="89">
        <v>46038.0</v>
      </c>
      <c r="B134" s="90"/>
      <c r="C134" s="90"/>
      <c r="D134" s="91"/>
      <c r="E134" s="108">
        <v>8.0</v>
      </c>
      <c r="F134" s="90"/>
      <c r="G134" s="92" t="s">
        <v>285</v>
      </c>
      <c r="H134" s="109"/>
      <c r="I134" s="114"/>
      <c r="J134" s="115" t="s">
        <v>507</v>
      </c>
    </row>
    <row r="135" ht="22.5" customHeight="1">
      <c r="A135" s="95">
        <v>46041.0</v>
      </c>
      <c r="B135" s="99"/>
      <c r="C135" s="99"/>
      <c r="D135" s="101"/>
      <c r="E135" s="100">
        <v>8.0</v>
      </c>
      <c r="F135" s="99"/>
      <c r="G135" s="102" t="s">
        <v>337</v>
      </c>
      <c r="H135" s="51"/>
      <c r="I135" s="110" t="s">
        <v>508</v>
      </c>
      <c r="J135" s="98" t="s">
        <v>509</v>
      </c>
    </row>
    <row r="136" ht="22.5" customHeight="1">
      <c r="A136" s="95">
        <v>46042.0</v>
      </c>
      <c r="B136" s="99"/>
      <c r="C136" s="99"/>
      <c r="D136" s="101"/>
      <c r="E136" s="100">
        <v>8.0</v>
      </c>
      <c r="F136" s="99"/>
      <c r="G136" s="102" t="s">
        <v>337</v>
      </c>
      <c r="H136" s="51"/>
      <c r="I136" s="110" t="s">
        <v>508</v>
      </c>
      <c r="J136" s="98" t="s">
        <v>510</v>
      </c>
    </row>
    <row r="137" ht="22.5" customHeight="1">
      <c r="A137" s="95">
        <v>46043.0</v>
      </c>
      <c r="B137" s="99"/>
      <c r="C137" s="99"/>
      <c r="D137" s="101"/>
      <c r="E137" s="100">
        <v>8.0</v>
      </c>
      <c r="F137" s="99"/>
      <c r="G137" s="102" t="s">
        <v>337</v>
      </c>
      <c r="H137" s="51"/>
      <c r="I137" s="110" t="s">
        <v>508</v>
      </c>
      <c r="J137" s="98" t="s">
        <v>511</v>
      </c>
    </row>
    <row r="138" ht="22.5" customHeight="1">
      <c r="A138" s="95">
        <v>46044.0</v>
      </c>
      <c r="B138" s="99"/>
      <c r="C138" s="99"/>
      <c r="D138" s="101"/>
      <c r="E138" s="100">
        <v>8.0</v>
      </c>
      <c r="F138" s="99"/>
      <c r="G138" s="102" t="s">
        <v>337</v>
      </c>
      <c r="H138" s="51"/>
      <c r="I138" s="110" t="s">
        <v>508</v>
      </c>
      <c r="J138" s="98" t="s">
        <v>512</v>
      </c>
    </row>
    <row r="139" ht="22.5" customHeight="1">
      <c r="A139" s="95">
        <v>46045.0</v>
      </c>
      <c r="B139" s="99"/>
      <c r="C139" s="99"/>
      <c r="D139" s="101"/>
      <c r="E139" s="100">
        <v>8.0</v>
      </c>
      <c r="F139" s="99"/>
      <c r="G139" s="102" t="s">
        <v>337</v>
      </c>
      <c r="H139" s="51"/>
      <c r="I139" s="110" t="s">
        <v>508</v>
      </c>
      <c r="J139" s="98" t="s">
        <v>513</v>
      </c>
    </row>
    <row r="140" ht="22.5" customHeight="1">
      <c r="A140" s="116"/>
      <c r="B140" s="71"/>
      <c r="C140" s="71"/>
      <c r="D140" s="26"/>
      <c r="E140" s="117"/>
      <c r="F140" s="71"/>
      <c r="G140" s="118"/>
      <c r="H140" s="25"/>
      <c r="I140" s="25"/>
      <c r="J140" s="119"/>
    </row>
    <row r="141" ht="22.5" customHeight="1">
      <c r="A141" s="116"/>
      <c r="B141" s="71"/>
      <c r="C141" s="71"/>
      <c r="D141" s="26"/>
      <c r="E141" s="117"/>
      <c r="F141" s="71"/>
      <c r="G141" s="118"/>
      <c r="H141" s="25"/>
      <c r="I141" s="25"/>
      <c r="J141" s="119"/>
    </row>
    <row r="142" ht="22.5" customHeight="1">
      <c r="A142" s="116"/>
      <c r="B142" s="71"/>
      <c r="C142" s="71"/>
      <c r="D142" s="26"/>
      <c r="E142" s="117"/>
      <c r="F142" s="71"/>
      <c r="G142" s="118"/>
      <c r="H142" s="25"/>
      <c r="I142" s="25"/>
      <c r="J142" s="119"/>
    </row>
    <row r="143" ht="22.5" customHeight="1">
      <c r="A143" s="116"/>
      <c r="B143" s="71"/>
      <c r="C143" s="71"/>
      <c r="D143" s="26"/>
      <c r="E143" s="117"/>
      <c r="F143" s="71"/>
      <c r="G143" s="118"/>
      <c r="H143" s="25"/>
      <c r="I143" s="25"/>
      <c r="J143" s="119"/>
    </row>
    <row r="144" ht="22.5" customHeight="1">
      <c r="A144" s="116"/>
      <c r="B144" s="71"/>
      <c r="C144" s="71"/>
      <c r="D144" s="26"/>
      <c r="E144" s="117"/>
      <c r="F144" s="71"/>
      <c r="G144" s="118"/>
      <c r="H144" s="25"/>
      <c r="I144" s="25"/>
      <c r="J144" s="119"/>
    </row>
    <row r="145" ht="22.5" customHeight="1">
      <c r="A145" s="116"/>
      <c r="B145" s="71"/>
      <c r="C145" s="71"/>
      <c r="D145" s="26"/>
      <c r="E145" s="117"/>
      <c r="F145" s="71"/>
      <c r="G145" s="118"/>
      <c r="H145" s="25"/>
      <c r="I145" s="25"/>
      <c r="J145" s="119"/>
    </row>
    <row r="146" ht="22.5" customHeight="1">
      <c r="A146" s="116"/>
      <c r="B146" s="71"/>
      <c r="C146" s="71"/>
      <c r="D146" s="26"/>
      <c r="E146" s="117"/>
      <c r="F146" s="71"/>
      <c r="G146" s="118"/>
      <c r="H146" s="25"/>
      <c r="I146" s="25"/>
      <c r="J146" s="119"/>
    </row>
    <row r="147" ht="22.5" customHeight="1">
      <c r="A147" s="116"/>
      <c r="B147" s="71"/>
      <c r="C147" s="71"/>
      <c r="D147" s="26"/>
      <c r="E147" s="117"/>
      <c r="F147" s="71"/>
      <c r="G147" s="118"/>
      <c r="H147" s="25"/>
      <c r="I147" s="25"/>
      <c r="J147" s="119"/>
    </row>
    <row r="148" ht="22.5" customHeight="1">
      <c r="A148" s="116"/>
      <c r="B148" s="71"/>
      <c r="C148" s="71"/>
      <c r="D148" s="26"/>
      <c r="E148" s="117"/>
      <c r="F148" s="71"/>
      <c r="G148" s="118"/>
      <c r="H148" s="25"/>
      <c r="I148" s="25"/>
      <c r="J148" s="119"/>
    </row>
    <row r="149" ht="22.5" customHeight="1">
      <c r="A149" s="116"/>
      <c r="B149" s="71"/>
      <c r="C149" s="71"/>
      <c r="D149" s="26"/>
      <c r="E149" s="117"/>
      <c r="F149" s="71"/>
      <c r="G149" s="118"/>
      <c r="H149" s="25"/>
      <c r="I149" s="25"/>
      <c r="J149" s="119"/>
    </row>
    <row r="150" ht="22.5" customHeight="1">
      <c r="A150" s="116"/>
      <c r="B150" s="71"/>
      <c r="C150" s="71"/>
      <c r="D150" s="26"/>
      <c r="E150" s="117"/>
      <c r="F150" s="71"/>
      <c r="G150" s="118"/>
      <c r="H150" s="25"/>
      <c r="I150" s="25"/>
      <c r="J150" s="119"/>
    </row>
    <row r="151" ht="22.5" customHeight="1">
      <c r="A151" s="116"/>
      <c r="B151" s="71"/>
      <c r="C151" s="71"/>
      <c r="D151" s="26"/>
      <c r="E151" s="117"/>
      <c r="F151" s="71"/>
      <c r="G151" s="118"/>
      <c r="H151" s="25"/>
      <c r="I151" s="25"/>
      <c r="J151" s="119"/>
    </row>
    <row r="152" ht="22.5" customHeight="1">
      <c r="A152" s="116"/>
      <c r="B152" s="71"/>
      <c r="C152" s="71"/>
      <c r="D152" s="26"/>
      <c r="E152" s="117"/>
      <c r="F152" s="71"/>
      <c r="G152" s="118"/>
      <c r="H152" s="25"/>
      <c r="I152" s="25"/>
      <c r="J152" s="119"/>
    </row>
    <row r="153" ht="22.5" customHeight="1">
      <c r="A153" s="116"/>
      <c r="B153" s="71"/>
      <c r="C153" s="71"/>
      <c r="D153" s="26"/>
      <c r="E153" s="117"/>
      <c r="F153" s="71"/>
      <c r="G153" s="118"/>
      <c r="H153" s="25"/>
      <c r="I153" s="25"/>
      <c r="J153" s="119"/>
    </row>
    <row r="154" ht="22.5" customHeight="1">
      <c r="A154" s="116"/>
      <c r="B154" s="71"/>
      <c r="C154" s="71"/>
      <c r="D154" s="26"/>
      <c r="E154" s="117"/>
      <c r="F154" s="71"/>
      <c r="G154" s="118"/>
      <c r="H154" s="25"/>
      <c r="I154" s="25"/>
      <c r="J154" s="119"/>
    </row>
    <row r="155" ht="22.5" customHeight="1">
      <c r="A155" s="116"/>
      <c r="B155" s="71"/>
      <c r="C155" s="71"/>
      <c r="D155" s="26"/>
      <c r="E155" s="117"/>
      <c r="F155" s="71"/>
      <c r="G155" s="118"/>
      <c r="H155" s="25"/>
      <c r="I155" s="25"/>
      <c r="J155" s="119"/>
    </row>
    <row r="156" ht="22.5" customHeight="1">
      <c r="A156" s="116"/>
      <c r="B156" s="71"/>
      <c r="C156" s="71"/>
      <c r="D156" s="26"/>
      <c r="E156" s="117"/>
      <c r="F156" s="71"/>
      <c r="G156" s="118"/>
      <c r="H156" s="25"/>
      <c r="I156" s="25"/>
      <c r="J156" s="119"/>
    </row>
    <row r="157" ht="22.5" customHeight="1">
      <c r="A157" s="116"/>
      <c r="B157" s="71"/>
      <c r="C157" s="71"/>
      <c r="D157" s="26"/>
      <c r="E157" s="117"/>
      <c r="F157" s="71"/>
      <c r="G157" s="118"/>
      <c r="H157" s="25"/>
      <c r="I157" s="25"/>
      <c r="J157" s="119"/>
    </row>
    <row r="158" ht="22.5" customHeight="1">
      <c r="A158" s="116"/>
      <c r="B158" s="71"/>
      <c r="C158" s="71"/>
      <c r="D158" s="26"/>
      <c r="E158" s="117"/>
      <c r="F158" s="71"/>
      <c r="G158" s="118"/>
      <c r="H158" s="25"/>
      <c r="I158" s="25"/>
      <c r="J158" s="119"/>
    </row>
    <row r="159" ht="22.5" customHeight="1">
      <c r="A159" s="116"/>
      <c r="B159" s="71"/>
      <c r="C159" s="71"/>
      <c r="D159" s="26"/>
      <c r="E159" s="117"/>
      <c r="F159" s="71"/>
      <c r="G159" s="118"/>
      <c r="H159" s="25"/>
      <c r="I159" s="25"/>
      <c r="J159" s="119"/>
    </row>
    <row r="160" ht="22.5" customHeight="1">
      <c r="A160" s="116"/>
      <c r="B160" s="71"/>
      <c r="C160" s="71"/>
      <c r="D160" s="26"/>
      <c r="E160" s="117"/>
      <c r="F160" s="71"/>
      <c r="G160" s="118"/>
      <c r="H160" s="25"/>
      <c r="I160" s="25"/>
      <c r="J160" s="119"/>
    </row>
    <row r="161" ht="22.5" customHeight="1">
      <c r="A161" s="116"/>
      <c r="B161" s="71"/>
      <c r="C161" s="71"/>
      <c r="D161" s="26"/>
      <c r="E161" s="117"/>
      <c r="F161" s="71"/>
      <c r="G161" s="118"/>
      <c r="H161" s="25"/>
      <c r="I161" s="25"/>
      <c r="J161" s="119"/>
    </row>
    <row r="162" ht="22.5" customHeight="1">
      <c r="A162" s="116"/>
      <c r="B162" s="71"/>
      <c r="C162" s="71"/>
      <c r="D162" s="26"/>
      <c r="E162" s="117"/>
      <c r="F162" s="71"/>
      <c r="G162" s="118"/>
      <c r="H162" s="25"/>
      <c r="I162" s="25"/>
      <c r="J162" s="119"/>
    </row>
    <row r="163" ht="22.5" customHeight="1">
      <c r="A163" s="116"/>
      <c r="B163" s="71"/>
      <c r="C163" s="71"/>
      <c r="D163" s="26"/>
      <c r="E163" s="117"/>
      <c r="F163" s="71"/>
      <c r="G163" s="118"/>
      <c r="H163" s="25"/>
      <c r="I163" s="25"/>
      <c r="J163" s="119"/>
    </row>
    <row r="164" ht="22.5" customHeight="1">
      <c r="A164" s="116"/>
      <c r="B164" s="71"/>
      <c r="C164" s="71"/>
      <c r="D164" s="26"/>
      <c r="E164" s="117"/>
      <c r="F164" s="71"/>
      <c r="G164" s="118"/>
      <c r="H164" s="25"/>
      <c r="I164" s="25"/>
      <c r="J164" s="119"/>
    </row>
    <row r="165" ht="22.5" customHeight="1">
      <c r="A165" s="116"/>
      <c r="B165" s="71"/>
      <c r="C165" s="71"/>
      <c r="D165" s="26"/>
      <c r="E165" s="117"/>
      <c r="F165" s="71"/>
      <c r="G165" s="118"/>
      <c r="H165" s="25"/>
      <c r="I165" s="25"/>
      <c r="J165" s="119"/>
    </row>
    <row r="166" ht="22.5" customHeight="1">
      <c r="A166" s="116"/>
      <c r="B166" s="71"/>
      <c r="C166" s="71"/>
      <c r="D166" s="26"/>
      <c r="E166" s="117"/>
      <c r="F166" s="71"/>
      <c r="G166" s="118"/>
      <c r="H166" s="25"/>
      <c r="I166" s="25"/>
      <c r="J166" s="119"/>
    </row>
    <row r="167" ht="22.5" customHeight="1">
      <c r="A167" s="116"/>
      <c r="B167" s="71"/>
      <c r="C167" s="71"/>
      <c r="D167" s="26"/>
      <c r="E167" s="117"/>
      <c r="F167" s="71"/>
      <c r="G167" s="118"/>
      <c r="H167" s="25"/>
      <c r="I167" s="25"/>
      <c r="J167" s="119"/>
    </row>
    <row r="168" ht="22.5" customHeight="1">
      <c r="A168" s="116"/>
      <c r="B168" s="71"/>
      <c r="C168" s="71"/>
      <c r="D168" s="26"/>
      <c r="E168" s="117"/>
      <c r="F168" s="71"/>
      <c r="G168" s="118"/>
      <c r="H168" s="25"/>
      <c r="I168" s="25"/>
      <c r="J168" s="119"/>
    </row>
    <row r="169" ht="22.5" customHeight="1">
      <c r="A169" s="116"/>
      <c r="B169" s="71"/>
      <c r="C169" s="71"/>
      <c r="D169" s="26"/>
      <c r="E169" s="117"/>
      <c r="F169" s="71"/>
      <c r="G169" s="118"/>
      <c r="H169" s="25"/>
      <c r="I169" s="25"/>
      <c r="J169" s="119"/>
    </row>
    <row r="170" ht="22.5" customHeight="1">
      <c r="A170" s="116"/>
      <c r="B170" s="71"/>
      <c r="C170" s="71"/>
      <c r="D170" s="26"/>
      <c r="E170" s="117"/>
      <c r="F170" s="71"/>
      <c r="G170" s="118"/>
      <c r="H170" s="25"/>
      <c r="I170" s="25"/>
      <c r="J170" s="119"/>
    </row>
    <row r="171" ht="22.5" customHeight="1">
      <c r="A171" s="116"/>
      <c r="B171" s="71"/>
      <c r="C171" s="71"/>
      <c r="D171" s="26"/>
      <c r="E171" s="117"/>
      <c r="F171" s="71"/>
      <c r="G171" s="118"/>
      <c r="H171" s="25"/>
      <c r="I171" s="25"/>
      <c r="J171" s="119"/>
    </row>
    <row r="172" ht="22.5" customHeight="1">
      <c r="A172" s="116"/>
      <c r="B172" s="71"/>
      <c r="C172" s="71"/>
      <c r="D172" s="26"/>
      <c r="E172" s="117"/>
      <c r="F172" s="71"/>
      <c r="G172" s="118"/>
      <c r="H172" s="25"/>
      <c r="I172" s="25"/>
      <c r="J172" s="119"/>
    </row>
    <row r="173" ht="22.5" customHeight="1">
      <c r="A173" s="116"/>
      <c r="B173" s="71"/>
      <c r="C173" s="71"/>
      <c r="D173" s="26"/>
      <c r="E173" s="117"/>
      <c r="F173" s="71"/>
      <c r="G173" s="118"/>
      <c r="H173" s="25"/>
      <c r="I173" s="25"/>
      <c r="J173" s="119"/>
    </row>
    <row r="174" ht="22.5" customHeight="1">
      <c r="A174" s="116"/>
      <c r="B174" s="71"/>
      <c r="C174" s="71"/>
      <c r="D174" s="26"/>
      <c r="E174" s="117"/>
      <c r="F174" s="71"/>
      <c r="G174" s="118"/>
      <c r="H174" s="25"/>
      <c r="I174" s="25"/>
      <c r="J174" s="119"/>
    </row>
    <row r="175" ht="22.5" customHeight="1">
      <c r="A175" s="116"/>
      <c r="B175" s="71"/>
      <c r="C175" s="71"/>
      <c r="D175" s="26"/>
      <c r="E175" s="117"/>
      <c r="F175" s="71"/>
      <c r="G175" s="118"/>
      <c r="H175" s="25"/>
      <c r="I175" s="25"/>
      <c r="J175" s="119"/>
    </row>
    <row r="176" ht="22.5" customHeight="1">
      <c r="A176" s="116"/>
      <c r="B176" s="71"/>
      <c r="C176" s="71"/>
      <c r="D176" s="26"/>
      <c r="E176" s="117"/>
      <c r="F176" s="71"/>
      <c r="G176" s="118"/>
      <c r="H176" s="25"/>
      <c r="I176" s="25"/>
      <c r="J176" s="119"/>
    </row>
    <row r="177" ht="22.5" customHeight="1">
      <c r="A177" s="116"/>
      <c r="B177" s="71"/>
      <c r="C177" s="71"/>
      <c r="D177" s="26"/>
      <c r="E177" s="117"/>
      <c r="F177" s="71"/>
      <c r="G177" s="118"/>
      <c r="H177" s="25"/>
      <c r="I177" s="25"/>
      <c r="J177" s="119"/>
    </row>
    <row r="178" ht="22.5" customHeight="1">
      <c r="A178" s="116"/>
      <c r="B178" s="71"/>
      <c r="C178" s="71"/>
      <c r="D178" s="26"/>
      <c r="E178" s="117"/>
      <c r="F178" s="71"/>
      <c r="G178" s="118"/>
      <c r="H178" s="25"/>
      <c r="I178" s="25"/>
      <c r="J178" s="119"/>
    </row>
    <row r="179" ht="22.5" customHeight="1">
      <c r="A179" s="116"/>
      <c r="B179" s="71"/>
      <c r="C179" s="71"/>
      <c r="D179" s="26"/>
      <c r="E179" s="117"/>
      <c r="F179" s="71"/>
      <c r="G179" s="118"/>
      <c r="H179" s="25"/>
      <c r="I179" s="25"/>
      <c r="J179" s="119"/>
    </row>
    <row r="180" ht="22.5" customHeight="1">
      <c r="A180" s="116"/>
      <c r="B180" s="71"/>
      <c r="C180" s="71"/>
      <c r="D180" s="26"/>
      <c r="E180" s="117"/>
      <c r="F180" s="71"/>
      <c r="G180" s="118"/>
      <c r="H180" s="25"/>
      <c r="I180" s="25"/>
      <c r="J180" s="119"/>
    </row>
    <row r="181" ht="22.5" customHeight="1">
      <c r="A181" s="116"/>
      <c r="B181" s="71"/>
      <c r="C181" s="71"/>
      <c r="D181" s="26"/>
      <c r="E181" s="117"/>
      <c r="F181" s="71"/>
      <c r="G181" s="118"/>
      <c r="H181" s="25"/>
      <c r="I181" s="25"/>
      <c r="J181" s="119"/>
    </row>
    <row r="182" ht="22.5" customHeight="1">
      <c r="A182" s="116"/>
      <c r="B182" s="71"/>
      <c r="C182" s="71"/>
      <c r="D182" s="26"/>
      <c r="E182" s="117"/>
      <c r="F182" s="71"/>
      <c r="G182" s="118"/>
      <c r="H182" s="25"/>
      <c r="I182" s="25"/>
      <c r="J182" s="119"/>
    </row>
    <row r="183" ht="22.5" customHeight="1">
      <c r="A183" s="116"/>
      <c r="B183" s="71"/>
      <c r="C183" s="71"/>
      <c r="D183" s="26"/>
      <c r="E183" s="117"/>
      <c r="F183" s="71"/>
      <c r="G183" s="118"/>
      <c r="H183" s="25"/>
      <c r="I183" s="25"/>
      <c r="J183" s="119"/>
    </row>
    <row r="184" ht="22.5" customHeight="1">
      <c r="A184" s="116"/>
      <c r="B184" s="71"/>
      <c r="C184" s="71"/>
      <c r="D184" s="26"/>
      <c r="E184" s="117"/>
      <c r="F184" s="71"/>
      <c r="G184" s="118"/>
      <c r="H184" s="25"/>
      <c r="I184" s="25"/>
      <c r="J184" s="119"/>
    </row>
    <row r="185" ht="22.5" customHeight="1">
      <c r="A185" s="116"/>
      <c r="B185" s="71"/>
      <c r="C185" s="71"/>
      <c r="D185" s="26"/>
      <c r="E185" s="117"/>
      <c r="F185" s="71"/>
      <c r="G185" s="118"/>
      <c r="H185" s="25"/>
      <c r="I185" s="25"/>
      <c r="J185" s="119"/>
    </row>
    <row r="186" ht="22.5" customHeight="1">
      <c r="A186" s="116"/>
      <c r="B186" s="71"/>
      <c r="C186" s="71"/>
      <c r="D186" s="26"/>
      <c r="E186" s="117"/>
      <c r="F186" s="71"/>
      <c r="G186" s="118"/>
      <c r="H186" s="25"/>
      <c r="I186" s="25"/>
      <c r="J186" s="119"/>
    </row>
    <row r="187" ht="22.5" customHeight="1">
      <c r="A187" s="116"/>
      <c r="B187" s="71"/>
      <c r="C187" s="71"/>
      <c r="D187" s="26"/>
      <c r="E187" s="117"/>
      <c r="F187" s="71"/>
      <c r="G187" s="118"/>
      <c r="H187" s="25"/>
      <c r="I187" s="25"/>
      <c r="J187" s="119"/>
    </row>
    <row r="188" ht="22.5" customHeight="1">
      <c r="A188" s="116"/>
      <c r="B188" s="71"/>
      <c r="C188" s="71"/>
      <c r="D188" s="26"/>
      <c r="E188" s="117"/>
      <c r="F188" s="71"/>
      <c r="G188" s="118"/>
      <c r="H188" s="25"/>
      <c r="I188" s="25"/>
      <c r="J188" s="119"/>
    </row>
    <row r="189" ht="22.5" customHeight="1">
      <c r="A189" s="116"/>
      <c r="B189" s="71"/>
      <c r="C189" s="71"/>
      <c r="D189" s="26"/>
      <c r="E189" s="117"/>
      <c r="F189" s="71"/>
      <c r="G189" s="118"/>
      <c r="H189" s="25"/>
      <c r="I189" s="25"/>
      <c r="J189" s="119"/>
    </row>
    <row r="190" ht="22.5" customHeight="1">
      <c r="A190" s="116"/>
      <c r="B190" s="71"/>
      <c r="C190" s="71"/>
      <c r="D190" s="26"/>
      <c r="E190" s="117"/>
      <c r="F190" s="71"/>
      <c r="G190" s="118"/>
      <c r="H190" s="25"/>
      <c r="I190" s="25"/>
      <c r="J190" s="119"/>
    </row>
    <row r="191" ht="22.5" customHeight="1">
      <c r="A191" s="116"/>
      <c r="B191" s="71"/>
      <c r="C191" s="71"/>
      <c r="D191" s="26"/>
      <c r="E191" s="117"/>
      <c r="F191" s="71"/>
      <c r="G191" s="118"/>
      <c r="H191" s="25"/>
      <c r="I191" s="25"/>
      <c r="J191" s="119"/>
    </row>
    <row r="192" ht="22.5" customHeight="1">
      <c r="A192" s="116"/>
      <c r="B192" s="71"/>
      <c r="C192" s="71"/>
      <c r="D192" s="26"/>
      <c r="E192" s="117"/>
      <c r="F192" s="71"/>
      <c r="G192" s="118"/>
      <c r="H192" s="25"/>
      <c r="I192" s="25"/>
      <c r="J192" s="119"/>
    </row>
    <row r="193" ht="22.5" customHeight="1">
      <c r="A193" s="116"/>
      <c r="B193" s="71"/>
      <c r="C193" s="71"/>
      <c r="D193" s="26"/>
      <c r="E193" s="117"/>
      <c r="F193" s="71"/>
      <c r="G193" s="118"/>
      <c r="H193" s="25"/>
      <c r="I193" s="25"/>
      <c r="J193" s="119"/>
    </row>
    <row r="194" ht="22.5" customHeight="1">
      <c r="A194" s="116"/>
      <c r="B194" s="71"/>
      <c r="C194" s="71"/>
      <c r="D194" s="26"/>
      <c r="E194" s="117"/>
      <c r="F194" s="71"/>
      <c r="G194" s="118"/>
      <c r="H194" s="25"/>
      <c r="I194" s="25"/>
      <c r="J194" s="119"/>
    </row>
    <row r="195" ht="22.5" customHeight="1">
      <c r="A195" s="116"/>
      <c r="B195" s="71"/>
      <c r="C195" s="71"/>
      <c r="D195" s="26"/>
      <c r="E195" s="117"/>
      <c r="F195" s="71"/>
      <c r="G195" s="118"/>
      <c r="H195" s="25"/>
      <c r="I195" s="25"/>
      <c r="J195" s="119"/>
    </row>
    <row r="196" ht="22.5" customHeight="1">
      <c r="A196" s="116"/>
      <c r="B196" s="71"/>
      <c r="C196" s="71"/>
      <c r="D196" s="26"/>
      <c r="E196" s="117"/>
      <c r="F196" s="71"/>
      <c r="G196" s="118"/>
      <c r="H196" s="25"/>
      <c r="I196" s="25"/>
      <c r="J196" s="119"/>
    </row>
    <row r="197" ht="22.5" customHeight="1">
      <c r="A197" s="116"/>
      <c r="B197" s="71"/>
      <c r="C197" s="71"/>
      <c r="D197" s="26"/>
      <c r="E197" s="117"/>
      <c r="F197" s="71"/>
      <c r="G197" s="118"/>
      <c r="H197" s="25"/>
      <c r="I197" s="25"/>
      <c r="J197" s="119"/>
    </row>
    <row r="198" ht="22.5" customHeight="1">
      <c r="A198" s="116"/>
      <c r="B198" s="71"/>
      <c r="C198" s="71"/>
      <c r="D198" s="26"/>
      <c r="E198" s="117"/>
      <c r="F198" s="71"/>
      <c r="G198" s="118"/>
      <c r="H198" s="25"/>
      <c r="I198" s="25"/>
      <c r="J198" s="119"/>
    </row>
    <row r="199" ht="22.5" customHeight="1">
      <c r="A199" s="116"/>
      <c r="B199" s="71"/>
      <c r="C199" s="71"/>
      <c r="D199" s="26"/>
      <c r="E199" s="117"/>
      <c r="F199" s="71"/>
      <c r="G199" s="118"/>
      <c r="H199" s="25"/>
      <c r="I199" s="25"/>
      <c r="J199" s="119"/>
    </row>
    <row r="200" ht="22.5" customHeight="1">
      <c r="A200" s="116"/>
      <c r="B200" s="71"/>
      <c r="C200" s="71"/>
      <c r="D200" s="26"/>
      <c r="E200" s="117"/>
      <c r="F200" s="71"/>
      <c r="G200" s="118"/>
      <c r="H200" s="25"/>
      <c r="I200" s="25"/>
      <c r="J200" s="119"/>
    </row>
    <row r="201" ht="22.5" customHeight="1">
      <c r="A201" s="116"/>
      <c r="B201" s="71"/>
      <c r="C201" s="71"/>
      <c r="D201" s="26"/>
      <c r="E201" s="117"/>
      <c r="F201" s="71"/>
      <c r="G201" s="118"/>
      <c r="H201" s="25"/>
      <c r="I201" s="25"/>
      <c r="J201" s="119"/>
    </row>
    <row r="202" ht="22.5" customHeight="1">
      <c r="A202" s="116"/>
      <c r="B202" s="71"/>
      <c r="C202" s="71"/>
      <c r="D202" s="26"/>
      <c r="E202" s="117"/>
      <c r="F202" s="71"/>
      <c r="G202" s="118"/>
      <c r="H202" s="25"/>
      <c r="I202" s="25"/>
      <c r="J202" s="119"/>
    </row>
    <row r="203" ht="22.5" customHeight="1">
      <c r="A203" s="116"/>
      <c r="B203" s="71"/>
      <c r="C203" s="71"/>
      <c r="D203" s="26"/>
      <c r="E203" s="117"/>
      <c r="F203" s="71"/>
      <c r="G203" s="118"/>
      <c r="H203" s="25"/>
      <c r="I203" s="25"/>
      <c r="J203" s="119"/>
    </row>
    <row r="204" ht="22.5" customHeight="1">
      <c r="A204" s="116"/>
      <c r="B204" s="71"/>
      <c r="C204" s="71"/>
      <c r="D204" s="26"/>
      <c r="E204" s="117"/>
      <c r="F204" s="71"/>
      <c r="G204" s="118"/>
      <c r="H204" s="25"/>
      <c r="I204" s="25"/>
      <c r="J204" s="119"/>
    </row>
    <row r="205" ht="22.5" customHeight="1">
      <c r="A205" s="116"/>
      <c r="B205" s="71"/>
      <c r="C205" s="71"/>
      <c r="D205" s="26"/>
      <c r="E205" s="117"/>
      <c r="F205" s="71"/>
      <c r="G205" s="118"/>
      <c r="H205" s="25"/>
      <c r="I205" s="25"/>
      <c r="J205" s="119"/>
    </row>
    <row r="206" ht="22.5" customHeight="1">
      <c r="A206" s="116"/>
      <c r="B206" s="71"/>
      <c r="C206" s="71"/>
      <c r="D206" s="26"/>
      <c r="E206" s="117"/>
      <c r="F206" s="71"/>
      <c r="G206" s="118"/>
      <c r="H206" s="25"/>
      <c r="I206" s="25"/>
      <c r="J206" s="119"/>
    </row>
    <row r="207" ht="22.5" customHeight="1">
      <c r="A207" s="116"/>
      <c r="B207" s="71"/>
      <c r="C207" s="71"/>
      <c r="D207" s="26"/>
      <c r="E207" s="117"/>
      <c r="F207" s="71"/>
      <c r="G207" s="118"/>
      <c r="H207" s="25"/>
      <c r="I207" s="25"/>
      <c r="J207" s="119"/>
    </row>
    <row r="208" ht="22.5" customHeight="1">
      <c r="A208" s="116"/>
      <c r="B208" s="71"/>
      <c r="C208" s="71"/>
      <c r="D208" s="26"/>
      <c r="E208" s="117"/>
      <c r="F208" s="71"/>
      <c r="G208" s="118"/>
      <c r="H208" s="25"/>
      <c r="I208" s="25"/>
      <c r="J208" s="119"/>
    </row>
    <row r="209" ht="22.5" customHeight="1">
      <c r="A209" s="116"/>
      <c r="B209" s="71"/>
      <c r="C209" s="71"/>
      <c r="D209" s="26"/>
      <c r="E209" s="117"/>
      <c r="F209" s="71"/>
      <c r="G209" s="118"/>
      <c r="H209" s="25"/>
      <c r="I209" s="25"/>
      <c r="J209" s="119"/>
    </row>
    <row r="210" ht="22.5" customHeight="1">
      <c r="A210" s="116"/>
      <c r="B210" s="71"/>
      <c r="C210" s="71"/>
      <c r="D210" s="26"/>
      <c r="E210" s="117"/>
      <c r="F210" s="71"/>
      <c r="G210" s="118"/>
      <c r="H210" s="25"/>
      <c r="I210" s="25"/>
      <c r="J210" s="119"/>
    </row>
    <row r="211" ht="22.5" customHeight="1">
      <c r="A211" s="116"/>
      <c r="B211" s="71"/>
      <c r="C211" s="71"/>
      <c r="D211" s="26"/>
      <c r="E211" s="117"/>
      <c r="F211" s="71"/>
      <c r="G211" s="118"/>
      <c r="H211" s="25"/>
      <c r="I211" s="25"/>
      <c r="J211" s="119"/>
    </row>
    <row r="212" ht="22.5" customHeight="1">
      <c r="A212" s="116"/>
      <c r="B212" s="71"/>
      <c r="C212" s="71"/>
      <c r="D212" s="26"/>
      <c r="E212" s="117"/>
      <c r="F212" s="71"/>
      <c r="G212" s="118"/>
      <c r="H212" s="25"/>
      <c r="I212" s="25"/>
      <c r="J212" s="119"/>
    </row>
    <row r="213" ht="22.5" customHeight="1">
      <c r="A213" s="116"/>
      <c r="B213" s="71"/>
      <c r="C213" s="71"/>
      <c r="D213" s="26"/>
      <c r="E213" s="117"/>
      <c r="F213" s="71"/>
      <c r="G213" s="118"/>
      <c r="H213" s="25"/>
      <c r="I213" s="25"/>
      <c r="J213" s="119"/>
    </row>
    <row r="214" ht="22.5" customHeight="1">
      <c r="A214" s="116"/>
      <c r="B214" s="71"/>
      <c r="C214" s="71"/>
      <c r="D214" s="26"/>
      <c r="E214" s="117"/>
      <c r="F214" s="71"/>
      <c r="G214" s="118"/>
      <c r="H214" s="25"/>
      <c r="I214" s="25"/>
      <c r="J214" s="119"/>
    </row>
    <row r="215" ht="22.5" customHeight="1">
      <c r="A215" s="116"/>
      <c r="B215" s="71"/>
      <c r="C215" s="71"/>
      <c r="D215" s="26"/>
      <c r="E215" s="117"/>
      <c r="F215" s="71"/>
      <c r="G215" s="118"/>
      <c r="H215" s="25"/>
      <c r="I215" s="25"/>
      <c r="J215" s="119"/>
    </row>
    <row r="216" ht="22.5" customHeight="1">
      <c r="A216" s="116"/>
      <c r="B216" s="71"/>
      <c r="C216" s="71"/>
      <c r="D216" s="26"/>
      <c r="E216" s="117"/>
      <c r="F216" s="71"/>
      <c r="G216" s="118"/>
      <c r="H216" s="25"/>
      <c r="I216" s="25"/>
      <c r="J216" s="119"/>
    </row>
    <row r="217" ht="22.5" customHeight="1">
      <c r="A217" s="116"/>
      <c r="B217" s="71"/>
      <c r="C217" s="71"/>
      <c r="D217" s="26"/>
      <c r="E217" s="117"/>
      <c r="F217" s="71"/>
      <c r="G217" s="118"/>
      <c r="H217" s="25"/>
      <c r="I217" s="25"/>
      <c r="J217" s="119"/>
    </row>
    <row r="218" ht="22.5" customHeight="1">
      <c r="A218" s="116"/>
      <c r="B218" s="71"/>
      <c r="C218" s="71"/>
      <c r="D218" s="26"/>
      <c r="E218" s="117"/>
      <c r="F218" s="71"/>
      <c r="G218" s="118"/>
      <c r="H218" s="25"/>
      <c r="I218" s="25"/>
      <c r="J218" s="119"/>
    </row>
    <row r="219" ht="22.5" customHeight="1">
      <c r="A219" s="116"/>
      <c r="B219" s="71"/>
      <c r="C219" s="71"/>
      <c r="D219" s="26"/>
      <c r="E219" s="117"/>
      <c r="F219" s="71"/>
      <c r="G219" s="118"/>
      <c r="H219" s="25"/>
      <c r="I219" s="25"/>
      <c r="J219" s="119"/>
    </row>
    <row r="220" ht="22.5" customHeight="1">
      <c r="A220" s="116"/>
      <c r="B220" s="71"/>
      <c r="C220" s="71"/>
      <c r="D220" s="26"/>
      <c r="E220" s="117"/>
      <c r="F220" s="71"/>
      <c r="G220" s="118"/>
      <c r="H220" s="25"/>
      <c r="I220" s="25"/>
      <c r="J220" s="119"/>
    </row>
    <row r="221" ht="22.5" customHeight="1">
      <c r="A221" s="116"/>
      <c r="B221" s="71"/>
      <c r="C221" s="71"/>
      <c r="D221" s="26"/>
      <c r="E221" s="117"/>
      <c r="F221" s="71"/>
      <c r="G221" s="118"/>
      <c r="H221" s="25"/>
      <c r="I221" s="25"/>
      <c r="J221" s="119"/>
    </row>
    <row r="222" ht="22.5" customHeight="1">
      <c r="A222" s="116"/>
      <c r="B222" s="71"/>
      <c r="C222" s="71"/>
      <c r="D222" s="26"/>
      <c r="E222" s="117"/>
      <c r="F222" s="71"/>
      <c r="G222" s="118"/>
      <c r="H222" s="25"/>
      <c r="I222" s="25"/>
      <c r="J222" s="119"/>
    </row>
    <row r="223" ht="22.5" customHeight="1">
      <c r="A223" s="116"/>
      <c r="B223" s="71"/>
      <c r="C223" s="71"/>
      <c r="D223" s="26"/>
      <c r="E223" s="117"/>
      <c r="F223" s="71"/>
      <c r="G223" s="118"/>
      <c r="H223" s="25"/>
      <c r="I223" s="25"/>
      <c r="J223" s="119"/>
    </row>
    <row r="224" ht="22.5" customHeight="1">
      <c r="A224" s="116"/>
      <c r="B224" s="71"/>
      <c r="C224" s="71"/>
      <c r="D224" s="26"/>
      <c r="E224" s="117"/>
      <c r="F224" s="71"/>
      <c r="G224" s="118"/>
      <c r="H224" s="25"/>
      <c r="I224" s="25"/>
      <c r="J224" s="119"/>
    </row>
    <row r="225" ht="22.5" customHeight="1">
      <c r="A225" s="116"/>
      <c r="B225" s="71"/>
      <c r="C225" s="71"/>
      <c r="D225" s="26"/>
      <c r="E225" s="117"/>
      <c r="F225" s="71"/>
      <c r="G225" s="118"/>
      <c r="H225" s="25"/>
      <c r="I225" s="25"/>
      <c r="J225" s="119"/>
    </row>
    <row r="226" ht="22.5" customHeight="1">
      <c r="A226" s="116"/>
      <c r="B226" s="71"/>
      <c r="C226" s="71"/>
      <c r="D226" s="26"/>
      <c r="E226" s="117"/>
      <c r="F226" s="71"/>
      <c r="G226" s="118"/>
      <c r="H226" s="25"/>
      <c r="I226" s="25"/>
      <c r="J226" s="119"/>
    </row>
    <row r="227" ht="22.5" customHeight="1">
      <c r="A227" s="116"/>
      <c r="B227" s="71"/>
      <c r="C227" s="71"/>
      <c r="D227" s="26"/>
      <c r="E227" s="117"/>
      <c r="F227" s="71"/>
      <c r="G227" s="118"/>
      <c r="H227" s="25"/>
      <c r="I227" s="25"/>
      <c r="J227" s="119"/>
    </row>
    <row r="228" ht="22.5" customHeight="1">
      <c r="A228" s="116"/>
      <c r="B228" s="71"/>
      <c r="C228" s="71"/>
      <c r="D228" s="26"/>
      <c r="E228" s="117"/>
      <c r="F228" s="71"/>
      <c r="G228" s="118"/>
      <c r="H228" s="25"/>
      <c r="I228" s="25"/>
      <c r="J228" s="119"/>
    </row>
    <row r="229" ht="22.5" customHeight="1">
      <c r="A229" s="116"/>
      <c r="B229" s="71"/>
      <c r="C229" s="71"/>
      <c r="D229" s="26"/>
      <c r="E229" s="117"/>
      <c r="F229" s="71"/>
      <c r="G229" s="118"/>
      <c r="H229" s="25"/>
      <c r="I229" s="25"/>
      <c r="J229" s="119"/>
    </row>
    <row r="230" ht="22.5" customHeight="1">
      <c r="A230" s="116"/>
      <c r="B230" s="71"/>
      <c r="C230" s="71"/>
      <c r="D230" s="26"/>
      <c r="E230" s="117"/>
      <c r="F230" s="71"/>
      <c r="G230" s="118"/>
      <c r="H230" s="25"/>
      <c r="I230" s="25"/>
      <c r="J230" s="119"/>
    </row>
    <row r="231" ht="22.5" customHeight="1">
      <c r="A231" s="116"/>
      <c r="B231" s="71"/>
      <c r="C231" s="71"/>
      <c r="D231" s="26"/>
      <c r="E231" s="117"/>
      <c r="F231" s="71"/>
      <c r="G231" s="118"/>
      <c r="H231" s="25"/>
      <c r="I231" s="25"/>
      <c r="J231" s="119"/>
    </row>
    <row r="232" ht="22.5" customHeight="1">
      <c r="A232" s="116"/>
      <c r="B232" s="71"/>
      <c r="C232" s="71"/>
      <c r="D232" s="26"/>
      <c r="E232" s="117"/>
      <c r="F232" s="71"/>
      <c r="G232" s="118"/>
      <c r="H232" s="25"/>
      <c r="I232" s="25"/>
      <c r="J232" s="119"/>
    </row>
    <row r="233" ht="22.5" customHeight="1">
      <c r="A233" s="116"/>
      <c r="B233" s="71"/>
      <c r="C233" s="71"/>
      <c r="D233" s="26"/>
      <c r="E233" s="117"/>
      <c r="F233" s="71"/>
      <c r="G233" s="118"/>
      <c r="H233" s="25"/>
      <c r="I233" s="25"/>
      <c r="J233" s="119"/>
    </row>
    <row r="234" ht="22.5" customHeight="1">
      <c r="A234" s="116"/>
      <c r="B234" s="71"/>
      <c r="C234" s="71"/>
      <c r="D234" s="26"/>
      <c r="E234" s="117"/>
      <c r="F234" s="71"/>
      <c r="G234" s="118"/>
      <c r="H234" s="25"/>
      <c r="I234" s="25"/>
      <c r="J234" s="119"/>
    </row>
    <row r="235" ht="22.5" customHeight="1">
      <c r="A235" s="116"/>
      <c r="B235" s="71"/>
      <c r="C235" s="71"/>
      <c r="D235" s="26"/>
      <c r="E235" s="117"/>
      <c r="F235" s="71"/>
      <c r="G235" s="118"/>
      <c r="H235" s="25"/>
      <c r="I235" s="25"/>
      <c r="J235" s="119"/>
    </row>
    <row r="236" ht="22.5" customHeight="1">
      <c r="A236" s="116"/>
      <c r="B236" s="71"/>
      <c r="C236" s="71"/>
      <c r="D236" s="26"/>
      <c r="E236" s="117"/>
      <c r="F236" s="71"/>
      <c r="G236" s="118"/>
      <c r="H236" s="25"/>
      <c r="I236" s="25"/>
      <c r="J236" s="119"/>
    </row>
    <row r="237" ht="22.5" customHeight="1">
      <c r="A237" s="116"/>
      <c r="B237" s="71"/>
      <c r="C237" s="71"/>
      <c r="D237" s="26"/>
      <c r="E237" s="117"/>
      <c r="F237" s="71"/>
      <c r="G237" s="118"/>
      <c r="H237" s="25"/>
      <c r="I237" s="25"/>
      <c r="J237" s="119"/>
    </row>
    <row r="238" ht="22.5" customHeight="1">
      <c r="A238" s="116"/>
      <c r="B238" s="71"/>
      <c r="C238" s="71"/>
      <c r="D238" s="26"/>
      <c r="E238" s="117"/>
      <c r="F238" s="71"/>
      <c r="G238" s="118"/>
      <c r="H238" s="25"/>
      <c r="I238" s="25"/>
      <c r="J238" s="119"/>
    </row>
    <row r="239" ht="22.5" customHeight="1">
      <c r="A239" s="116"/>
      <c r="B239" s="71"/>
      <c r="C239" s="71"/>
      <c r="D239" s="26"/>
      <c r="E239" s="117"/>
      <c r="F239" s="71"/>
      <c r="G239" s="118"/>
      <c r="H239" s="25"/>
      <c r="I239" s="25"/>
      <c r="J239" s="119"/>
    </row>
    <row r="240" ht="22.5" customHeight="1">
      <c r="A240" s="116"/>
      <c r="B240" s="71"/>
      <c r="C240" s="71"/>
      <c r="D240" s="26"/>
      <c r="E240" s="117"/>
      <c r="F240" s="71"/>
      <c r="G240" s="118"/>
      <c r="H240" s="25"/>
      <c r="I240" s="25"/>
      <c r="J240" s="119"/>
    </row>
    <row r="241" ht="22.5" customHeight="1">
      <c r="A241" s="116"/>
      <c r="B241" s="71"/>
      <c r="C241" s="71"/>
      <c r="D241" s="26"/>
      <c r="E241" s="117"/>
      <c r="F241" s="71"/>
      <c r="G241" s="118"/>
      <c r="H241" s="25"/>
      <c r="I241" s="25"/>
      <c r="J241" s="119"/>
    </row>
    <row r="242" ht="22.5" customHeight="1">
      <c r="A242" s="116"/>
      <c r="B242" s="71"/>
      <c r="C242" s="71"/>
      <c r="D242" s="26"/>
      <c r="E242" s="117"/>
      <c r="F242" s="71"/>
      <c r="G242" s="118"/>
      <c r="H242" s="25"/>
      <c r="I242" s="25"/>
      <c r="J242" s="119"/>
    </row>
    <row r="243" ht="22.5" customHeight="1">
      <c r="A243" s="116"/>
      <c r="B243" s="71"/>
      <c r="C243" s="71"/>
      <c r="D243" s="26"/>
      <c r="E243" s="117"/>
      <c r="F243" s="71"/>
      <c r="G243" s="118"/>
      <c r="H243" s="25"/>
      <c r="I243" s="25"/>
      <c r="J243" s="119"/>
    </row>
    <row r="244" ht="22.5" customHeight="1">
      <c r="A244" s="116"/>
      <c r="B244" s="71"/>
      <c r="C244" s="71"/>
      <c r="D244" s="26"/>
      <c r="E244" s="117"/>
      <c r="F244" s="71"/>
      <c r="G244" s="118"/>
      <c r="H244" s="25"/>
      <c r="I244" s="25"/>
      <c r="J244" s="119"/>
    </row>
    <row r="245" ht="22.5" customHeight="1">
      <c r="A245" s="116"/>
      <c r="B245" s="71"/>
      <c r="C245" s="71"/>
      <c r="D245" s="26"/>
      <c r="E245" s="117"/>
      <c r="F245" s="71"/>
      <c r="G245" s="118"/>
      <c r="H245" s="25"/>
      <c r="I245" s="25"/>
      <c r="J245" s="119"/>
    </row>
    <row r="246" ht="22.5" customHeight="1">
      <c r="A246" s="116"/>
      <c r="B246" s="71"/>
      <c r="C246" s="71"/>
      <c r="D246" s="26"/>
      <c r="E246" s="117"/>
      <c r="F246" s="71"/>
      <c r="G246" s="118"/>
      <c r="H246" s="25"/>
      <c r="I246" s="25"/>
      <c r="J246" s="119"/>
    </row>
    <row r="247" ht="22.5" customHeight="1">
      <c r="A247" s="116"/>
      <c r="B247" s="71"/>
      <c r="C247" s="71"/>
      <c r="D247" s="26"/>
      <c r="E247" s="117"/>
      <c r="F247" s="71"/>
      <c r="G247" s="118"/>
      <c r="H247" s="25"/>
      <c r="I247" s="25"/>
      <c r="J247" s="119"/>
    </row>
    <row r="248" ht="22.5" customHeight="1">
      <c r="A248" s="116"/>
      <c r="B248" s="71"/>
      <c r="C248" s="71"/>
      <c r="D248" s="26"/>
      <c r="E248" s="117"/>
      <c r="F248" s="71"/>
      <c r="G248" s="118"/>
      <c r="H248" s="25"/>
      <c r="I248" s="25"/>
      <c r="J248" s="119"/>
    </row>
    <row r="249" ht="22.5" customHeight="1">
      <c r="A249" s="116"/>
      <c r="B249" s="71"/>
      <c r="C249" s="71"/>
      <c r="D249" s="26"/>
      <c r="E249" s="117"/>
      <c r="F249" s="71"/>
      <c r="G249" s="118"/>
      <c r="H249" s="25"/>
      <c r="I249" s="25"/>
      <c r="J249" s="119"/>
    </row>
    <row r="250" ht="22.5" customHeight="1">
      <c r="A250" s="116"/>
      <c r="B250" s="71"/>
      <c r="C250" s="71"/>
      <c r="D250" s="26"/>
      <c r="E250" s="117"/>
      <c r="F250" s="71"/>
      <c r="G250" s="118"/>
      <c r="H250" s="25"/>
      <c r="I250" s="25"/>
      <c r="J250" s="119"/>
    </row>
    <row r="251" ht="22.5" customHeight="1">
      <c r="A251" s="116"/>
      <c r="B251" s="71"/>
      <c r="C251" s="71"/>
      <c r="D251" s="26"/>
      <c r="E251" s="117"/>
      <c r="F251" s="71"/>
      <c r="G251" s="118"/>
      <c r="H251" s="25"/>
      <c r="I251" s="25"/>
      <c r="J251" s="119"/>
    </row>
    <row r="252" ht="22.5" customHeight="1">
      <c r="A252" s="116"/>
      <c r="B252" s="71"/>
      <c r="C252" s="71"/>
      <c r="D252" s="26"/>
      <c r="E252" s="117"/>
      <c r="F252" s="71"/>
      <c r="G252" s="118"/>
      <c r="H252" s="25"/>
      <c r="I252" s="25"/>
      <c r="J252" s="119"/>
    </row>
    <row r="253" ht="22.5" customHeight="1">
      <c r="A253" s="116"/>
      <c r="B253" s="71"/>
      <c r="C253" s="71"/>
      <c r="D253" s="26"/>
      <c r="E253" s="117"/>
      <c r="F253" s="71"/>
      <c r="G253" s="118"/>
      <c r="H253" s="25"/>
      <c r="I253" s="25"/>
      <c r="J253" s="119"/>
    </row>
    <row r="254" ht="22.5" customHeight="1">
      <c r="A254" s="116"/>
      <c r="B254" s="71"/>
      <c r="C254" s="71"/>
      <c r="D254" s="26"/>
      <c r="E254" s="117"/>
      <c r="F254" s="71"/>
      <c r="G254" s="118"/>
      <c r="H254" s="25"/>
      <c r="I254" s="25"/>
      <c r="J254" s="119"/>
    </row>
    <row r="255" ht="22.5" customHeight="1">
      <c r="A255" s="116"/>
      <c r="B255" s="71"/>
      <c r="C255" s="71"/>
      <c r="D255" s="26"/>
      <c r="E255" s="117"/>
      <c r="F255" s="71"/>
      <c r="G255" s="118"/>
      <c r="H255" s="25"/>
      <c r="I255" s="25"/>
      <c r="J255" s="119"/>
    </row>
    <row r="256" ht="22.5" customHeight="1">
      <c r="A256" s="116"/>
      <c r="B256" s="71"/>
      <c r="C256" s="71"/>
      <c r="D256" s="26"/>
      <c r="E256" s="117"/>
      <c r="F256" s="71"/>
      <c r="G256" s="118"/>
      <c r="H256" s="25"/>
      <c r="I256" s="25"/>
      <c r="J256" s="119"/>
    </row>
    <row r="257" ht="22.5" customHeight="1">
      <c r="A257" s="116"/>
      <c r="B257" s="71"/>
      <c r="C257" s="71"/>
      <c r="D257" s="26"/>
      <c r="E257" s="117"/>
      <c r="F257" s="71"/>
      <c r="G257" s="118"/>
      <c r="H257" s="25"/>
      <c r="I257" s="25"/>
      <c r="J257" s="119"/>
    </row>
    <row r="258" ht="22.5" customHeight="1">
      <c r="A258" s="116"/>
      <c r="B258" s="71"/>
      <c r="C258" s="71"/>
      <c r="D258" s="26"/>
      <c r="E258" s="117"/>
      <c r="F258" s="71"/>
      <c r="G258" s="118"/>
      <c r="H258" s="25"/>
      <c r="I258" s="25"/>
      <c r="J258" s="119"/>
    </row>
    <row r="259" ht="22.5" customHeight="1">
      <c r="A259" s="116"/>
      <c r="B259" s="71"/>
      <c r="C259" s="71"/>
      <c r="D259" s="26"/>
      <c r="E259" s="117"/>
      <c r="F259" s="71"/>
      <c r="G259" s="118"/>
      <c r="H259" s="25"/>
      <c r="I259" s="25"/>
      <c r="J259" s="119"/>
    </row>
    <row r="260" ht="22.5" customHeight="1">
      <c r="A260" s="116"/>
      <c r="B260" s="71"/>
      <c r="C260" s="71"/>
      <c r="D260" s="26"/>
      <c r="E260" s="117"/>
      <c r="F260" s="71"/>
      <c r="G260" s="118"/>
      <c r="H260" s="25"/>
      <c r="I260" s="25"/>
      <c r="J260" s="119"/>
    </row>
    <row r="261" ht="22.5" customHeight="1">
      <c r="A261" s="116"/>
      <c r="B261" s="71"/>
      <c r="C261" s="71"/>
      <c r="D261" s="26"/>
      <c r="E261" s="117"/>
      <c r="F261" s="71"/>
      <c r="G261" s="118"/>
      <c r="H261" s="25"/>
      <c r="I261" s="25"/>
      <c r="J261" s="119"/>
    </row>
    <row r="262" ht="22.5" customHeight="1">
      <c r="A262" s="116"/>
      <c r="B262" s="71"/>
      <c r="C262" s="71"/>
      <c r="D262" s="26"/>
      <c r="E262" s="117"/>
      <c r="F262" s="71"/>
      <c r="G262" s="118"/>
      <c r="H262" s="25"/>
      <c r="I262" s="25"/>
      <c r="J262" s="119"/>
    </row>
    <row r="263" ht="22.5" customHeight="1">
      <c r="A263" s="116"/>
      <c r="B263" s="71"/>
      <c r="C263" s="71"/>
      <c r="D263" s="26"/>
      <c r="E263" s="117"/>
      <c r="F263" s="71"/>
      <c r="G263" s="118"/>
      <c r="H263" s="25"/>
      <c r="I263" s="25"/>
      <c r="J263" s="119"/>
    </row>
    <row r="264" ht="22.5" customHeight="1">
      <c r="A264" s="116"/>
      <c r="B264" s="71"/>
      <c r="C264" s="71"/>
      <c r="D264" s="26"/>
      <c r="E264" s="117"/>
      <c r="F264" s="71"/>
      <c r="G264" s="118"/>
      <c r="H264" s="25"/>
      <c r="I264" s="25"/>
      <c r="J264" s="119"/>
    </row>
    <row r="265" ht="22.5" customHeight="1">
      <c r="A265" s="116"/>
      <c r="B265" s="71"/>
      <c r="C265" s="71"/>
      <c r="D265" s="26"/>
      <c r="E265" s="117"/>
      <c r="F265" s="71"/>
      <c r="G265" s="118"/>
      <c r="H265" s="25"/>
      <c r="I265" s="25"/>
      <c r="J265" s="119"/>
    </row>
    <row r="266" ht="22.5" customHeight="1">
      <c r="A266" s="116"/>
      <c r="B266" s="71"/>
      <c r="C266" s="71"/>
      <c r="D266" s="26"/>
      <c r="E266" s="117"/>
      <c r="F266" s="71"/>
      <c r="G266" s="118"/>
      <c r="H266" s="25"/>
      <c r="I266" s="25"/>
      <c r="J266" s="119"/>
    </row>
    <row r="267" ht="22.5" customHeight="1">
      <c r="A267" s="116"/>
      <c r="B267" s="71"/>
      <c r="C267" s="71"/>
      <c r="D267" s="26"/>
      <c r="E267" s="117"/>
      <c r="F267" s="71"/>
      <c r="G267" s="118"/>
      <c r="H267" s="25"/>
      <c r="I267" s="25"/>
      <c r="J267" s="119"/>
    </row>
    <row r="268" ht="22.5" customHeight="1">
      <c r="A268" s="116"/>
      <c r="B268" s="71"/>
      <c r="C268" s="71"/>
      <c r="D268" s="26"/>
      <c r="E268" s="117"/>
      <c r="F268" s="71"/>
      <c r="G268" s="118"/>
      <c r="H268" s="25"/>
      <c r="I268" s="25"/>
      <c r="J268" s="119"/>
    </row>
    <row r="269" ht="22.5" customHeight="1">
      <c r="A269" s="116"/>
      <c r="B269" s="71"/>
      <c r="C269" s="71"/>
      <c r="D269" s="26"/>
      <c r="E269" s="117"/>
      <c r="F269" s="71"/>
      <c r="G269" s="118"/>
      <c r="H269" s="25"/>
      <c r="I269" s="25"/>
      <c r="J269" s="119"/>
    </row>
    <row r="270" ht="22.5" customHeight="1">
      <c r="A270" s="116"/>
      <c r="B270" s="71"/>
      <c r="C270" s="71"/>
      <c r="D270" s="26"/>
      <c r="E270" s="117"/>
      <c r="F270" s="71"/>
      <c r="G270" s="118"/>
      <c r="H270" s="25"/>
      <c r="I270" s="25"/>
      <c r="J270" s="119"/>
    </row>
    <row r="271" ht="22.5" customHeight="1">
      <c r="A271" s="116"/>
      <c r="B271" s="71"/>
      <c r="C271" s="71"/>
      <c r="D271" s="26"/>
      <c r="E271" s="117"/>
      <c r="F271" s="71"/>
      <c r="G271" s="118"/>
      <c r="H271" s="25"/>
      <c r="I271" s="25"/>
      <c r="J271" s="119"/>
    </row>
    <row r="272" ht="22.5" customHeight="1">
      <c r="A272" s="116"/>
      <c r="B272" s="71"/>
      <c r="C272" s="71"/>
      <c r="D272" s="26"/>
      <c r="E272" s="117"/>
      <c r="F272" s="71"/>
      <c r="G272" s="118"/>
      <c r="H272" s="25"/>
      <c r="I272" s="25"/>
      <c r="J272" s="119"/>
    </row>
    <row r="273" ht="22.5" customHeight="1">
      <c r="A273" s="116"/>
      <c r="B273" s="71"/>
      <c r="C273" s="71"/>
      <c r="D273" s="26"/>
      <c r="E273" s="117"/>
      <c r="F273" s="71"/>
      <c r="G273" s="118"/>
      <c r="H273" s="25"/>
      <c r="I273" s="25"/>
      <c r="J273" s="119"/>
    </row>
    <row r="274" ht="22.5" customHeight="1">
      <c r="A274" s="116"/>
      <c r="B274" s="71"/>
      <c r="C274" s="71"/>
      <c r="D274" s="26"/>
      <c r="E274" s="117"/>
      <c r="F274" s="71"/>
      <c r="G274" s="118"/>
      <c r="H274" s="25"/>
      <c r="I274" s="25"/>
      <c r="J274" s="119"/>
    </row>
    <row r="275" ht="22.5" customHeight="1">
      <c r="A275" s="116"/>
      <c r="B275" s="71"/>
      <c r="C275" s="71"/>
      <c r="D275" s="26"/>
      <c r="E275" s="117"/>
      <c r="F275" s="71"/>
      <c r="G275" s="118"/>
      <c r="H275" s="25"/>
      <c r="I275" s="25"/>
      <c r="J275" s="119"/>
    </row>
    <row r="276" ht="22.5" customHeight="1">
      <c r="A276" s="116"/>
      <c r="B276" s="71"/>
      <c r="C276" s="71"/>
      <c r="D276" s="26"/>
      <c r="E276" s="117"/>
      <c r="F276" s="71"/>
      <c r="G276" s="118"/>
      <c r="H276" s="25"/>
      <c r="I276" s="25"/>
      <c r="J276" s="119"/>
    </row>
    <row r="277" ht="22.5" customHeight="1">
      <c r="A277" s="116"/>
      <c r="B277" s="71"/>
      <c r="C277" s="71"/>
      <c r="D277" s="26"/>
      <c r="E277" s="117"/>
      <c r="F277" s="71"/>
      <c r="G277" s="118"/>
      <c r="H277" s="25"/>
      <c r="I277" s="25"/>
      <c r="J277" s="119"/>
    </row>
    <row r="278" ht="22.5" customHeight="1">
      <c r="A278" s="116"/>
      <c r="B278" s="71"/>
      <c r="C278" s="71"/>
      <c r="D278" s="26"/>
      <c r="E278" s="117"/>
      <c r="F278" s="71"/>
      <c r="G278" s="118"/>
      <c r="H278" s="25"/>
      <c r="I278" s="25"/>
      <c r="J278" s="119"/>
    </row>
    <row r="279" ht="22.5" customHeight="1">
      <c r="A279" s="116"/>
      <c r="B279" s="71"/>
      <c r="C279" s="71"/>
      <c r="D279" s="26"/>
      <c r="E279" s="117"/>
      <c r="F279" s="71"/>
      <c r="G279" s="118"/>
      <c r="H279" s="25"/>
      <c r="I279" s="25"/>
      <c r="J279" s="119"/>
    </row>
    <row r="280" ht="22.5" customHeight="1">
      <c r="A280" s="116"/>
      <c r="B280" s="71"/>
      <c r="C280" s="71"/>
      <c r="D280" s="26"/>
      <c r="E280" s="117"/>
      <c r="F280" s="71"/>
      <c r="G280" s="118"/>
      <c r="H280" s="25"/>
      <c r="I280" s="25"/>
      <c r="J280" s="119"/>
    </row>
    <row r="281" ht="22.5" customHeight="1">
      <c r="A281" s="116"/>
      <c r="B281" s="71"/>
      <c r="C281" s="71"/>
      <c r="D281" s="26"/>
      <c r="E281" s="117"/>
      <c r="F281" s="71"/>
      <c r="G281" s="118"/>
      <c r="H281" s="25"/>
      <c r="I281" s="25"/>
      <c r="J281" s="119"/>
    </row>
    <row r="282" ht="22.5" customHeight="1">
      <c r="A282" s="116"/>
      <c r="B282" s="71"/>
      <c r="C282" s="71"/>
      <c r="D282" s="26"/>
      <c r="E282" s="117"/>
      <c r="F282" s="71"/>
      <c r="G282" s="118"/>
      <c r="H282" s="25"/>
      <c r="I282" s="25"/>
      <c r="J282" s="119"/>
    </row>
    <row r="283" ht="22.5" customHeight="1">
      <c r="A283" s="116"/>
      <c r="B283" s="71"/>
      <c r="C283" s="71"/>
      <c r="D283" s="26"/>
      <c r="E283" s="117"/>
      <c r="F283" s="71"/>
      <c r="G283" s="118"/>
      <c r="H283" s="25"/>
      <c r="I283" s="25"/>
      <c r="J283" s="119"/>
    </row>
    <row r="284" ht="22.5" customHeight="1">
      <c r="A284" s="116"/>
      <c r="B284" s="71"/>
      <c r="C284" s="71"/>
      <c r="D284" s="26"/>
      <c r="E284" s="117"/>
      <c r="F284" s="71"/>
      <c r="G284" s="118"/>
      <c r="H284" s="25"/>
      <c r="I284" s="25"/>
      <c r="J284" s="119"/>
    </row>
    <row r="285" ht="22.5" customHeight="1">
      <c r="A285" s="116"/>
      <c r="B285" s="71"/>
      <c r="C285" s="71"/>
      <c r="D285" s="26"/>
      <c r="E285" s="117"/>
      <c r="F285" s="71"/>
      <c r="G285" s="118"/>
      <c r="H285" s="25"/>
      <c r="I285" s="25"/>
      <c r="J285" s="119"/>
    </row>
    <row r="286" ht="22.5" customHeight="1">
      <c r="A286" s="116"/>
      <c r="B286" s="71"/>
      <c r="C286" s="71"/>
      <c r="D286" s="26"/>
      <c r="E286" s="117"/>
      <c r="F286" s="71"/>
      <c r="G286" s="118"/>
      <c r="H286" s="25"/>
      <c r="I286" s="25"/>
      <c r="J286" s="119"/>
    </row>
    <row r="287" ht="22.5" customHeight="1">
      <c r="A287" s="116"/>
      <c r="B287" s="71"/>
      <c r="C287" s="71"/>
      <c r="D287" s="26"/>
      <c r="E287" s="117"/>
      <c r="F287" s="71"/>
      <c r="G287" s="118"/>
      <c r="H287" s="25"/>
      <c r="I287" s="25"/>
      <c r="J287" s="119"/>
    </row>
    <row r="288" ht="22.5" customHeight="1">
      <c r="A288" s="116"/>
      <c r="B288" s="71"/>
      <c r="C288" s="71"/>
      <c r="D288" s="26"/>
      <c r="E288" s="117"/>
      <c r="F288" s="71"/>
      <c r="G288" s="118"/>
      <c r="H288" s="25"/>
      <c r="I288" s="25"/>
      <c r="J288" s="119"/>
    </row>
    <row r="289" ht="22.5" customHeight="1">
      <c r="A289" s="116"/>
      <c r="B289" s="71"/>
      <c r="C289" s="71"/>
      <c r="D289" s="26"/>
      <c r="E289" s="117"/>
      <c r="F289" s="71"/>
      <c r="G289" s="118"/>
      <c r="H289" s="25"/>
      <c r="I289" s="25"/>
      <c r="J289" s="119"/>
    </row>
    <row r="290" ht="22.5" customHeight="1">
      <c r="A290" s="116"/>
      <c r="B290" s="71"/>
      <c r="C290" s="71"/>
      <c r="D290" s="26"/>
      <c r="E290" s="117"/>
      <c r="F290" s="71"/>
      <c r="G290" s="118"/>
      <c r="H290" s="25"/>
      <c r="I290" s="25"/>
      <c r="J290" s="119"/>
    </row>
    <row r="291" ht="22.5" customHeight="1">
      <c r="A291" s="116"/>
      <c r="B291" s="71"/>
      <c r="C291" s="71"/>
      <c r="D291" s="26"/>
      <c r="E291" s="117"/>
      <c r="F291" s="71"/>
      <c r="G291" s="118"/>
      <c r="H291" s="25"/>
      <c r="I291" s="25"/>
      <c r="J291" s="119"/>
    </row>
    <row r="292" ht="22.5" customHeight="1">
      <c r="A292" s="116"/>
      <c r="B292" s="71"/>
      <c r="C292" s="71"/>
      <c r="D292" s="26"/>
      <c r="E292" s="117"/>
      <c r="F292" s="71"/>
      <c r="G292" s="118"/>
      <c r="H292" s="25"/>
      <c r="I292" s="25"/>
      <c r="J292" s="119"/>
    </row>
    <row r="293" ht="22.5" customHeight="1">
      <c r="A293" s="116"/>
      <c r="B293" s="71"/>
      <c r="C293" s="71"/>
      <c r="D293" s="26"/>
      <c r="E293" s="117"/>
      <c r="F293" s="71"/>
      <c r="G293" s="118"/>
      <c r="H293" s="25"/>
      <c r="I293" s="25"/>
      <c r="J293" s="119"/>
    </row>
    <row r="294" ht="22.5" customHeight="1">
      <c r="A294" s="116"/>
      <c r="B294" s="71"/>
      <c r="C294" s="71"/>
      <c r="D294" s="26"/>
      <c r="E294" s="117"/>
      <c r="F294" s="71"/>
      <c r="G294" s="118"/>
      <c r="H294" s="25"/>
      <c r="I294" s="25"/>
      <c r="J294" s="119"/>
    </row>
    <row r="295" ht="22.5" customHeight="1">
      <c r="A295" s="116"/>
      <c r="B295" s="71"/>
      <c r="C295" s="71"/>
      <c r="D295" s="26"/>
      <c r="E295" s="117"/>
      <c r="F295" s="71"/>
      <c r="G295" s="118"/>
      <c r="H295" s="25"/>
      <c r="I295" s="25"/>
      <c r="J295" s="119"/>
    </row>
    <row r="296" ht="22.5" customHeight="1">
      <c r="A296" s="116"/>
      <c r="B296" s="71"/>
      <c r="C296" s="71"/>
      <c r="D296" s="26"/>
      <c r="E296" s="117"/>
      <c r="F296" s="71"/>
      <c r="G296" s="118"/>
      <c r="H296" s="25"/>
      <c r="I296" s="25"/>
      <c r="J296" s="119"/>
    </row>
    <row r="297" ht="22.5" customHeight="1">
      <c r="A297" s="116"/>
      <c r="B297" s="71"/>
      <c r="C297" s="71"/>
      <c r="D297" s="26"/>
      <c r="E297" s="117"/>
      <c r="F297" s="71"/>
      <c r="G297" s="118"/>
      <c r="H297" s="25"/>
      <c r="I297" s="25"/>
      <c r="J297" s="119"/>
    </row>
    <row r="298" ht="22.5" customHeight="1">
      <c r="A298" s="116"/>
      <c r="B298" s="71"/>
      <c r="C298" s="71"/>
      <c r="D298" s="26"/>
      <c r="E298" s="117"/>
      <c r="F298" s="71"/>
      <c r="G298" s="118"/>
      <c r="H298" s="25"/>
      <c r="I298" s="25"/>
      <c r="J298" s="119"/>
    </row>
    <row r="299" ht="22.5" customHeight="1">
      <c r="A299" s="116"/>
      <c r="B299" s="71"/>
      <c r="C299" s="71"/>
      <c r="D299" s="26"/>
      <c r="E299" s="117"/>
      <c r="F299" s="71"/>
      <c r="G299" s="118"/>
      <c r="H299" s="25"/>
      <c r="I299" s="25"/>
      <c r="J299" s="119"/>
    </row>
    <row r="300" ht="22.5" customHeight="1">
      <c r="A300" s="116"/>
      <c r="B300" s="71"/>
      <c r="C300" s="71"/>
      <c r="D300" s="26"/>
      <c r="E300" s="117"/>
      <c r="F300" s="71"/>
      <c r="G300" s="118"/>
      <c r="H300" s="25"/>
      <c r="I300" s="25"/>
      <c r="J300" s="119"/>
    </row>
    <row r="301" ht="22.5" customHeight="1">
      <c r="A301" s="116"/>
      <c r="B301" s="71"/>
      <c r="C301" s="71"/>
      <c r="D301" s="26"/>
      <c r="E301" s="117"/>
      <c r="F301" s="71"/>
      <c r="G301" s="118"/>
      <c r="H301" s="25"/>
      <c r="I301" s="25"/>
      <c r="J301" s="119"/>
    </row>
    <row r="302" ht="22.5" customHeight="1">
      <c r="A302" s="116"/>
      <c r="B302" s="71"/>
      <c r="C302" s="71"/>
      <c r="D302" s="26"/>
      <c r="E302" s="117"/>
      <c r="F302" s="71"/>
      <c r="G302" s="118"/>
      <c r="H302" s="25"/>
      <c r="I302" s="25"/>
      <c r="J302" s="119"/>
    </row>
    <row r="303" ht="22.5" customHeight="1">
      <c r="A303" s="116"/>
      <c r="B303" s="71"/>
      <c r="C303" s="71"/>
      <c r="D303" s="26"/>
      <c r="E303" s="117"/>
      <c r="F303" s="71"/>
      <c r="G303" s="118"/>
      <c r="H303" s="25"/>
      <c r="I303" s="25"/>
      <c r="J303" s="119"/>
    </row>
    <row r="304" ht="22.5" customHeight="1">
      <c r="A304" s="116"/>
      <c r="B304" s="71"/>
      <c r="C304" s="71"/>
      <c r="D304" s="26"/>
      <c r="E304" s="117"/>
      <c r="F304" s="71"/>
      <c r="G304" s="118"/>
      <c r="H304" s="25"/>
      <c r="I304" s="25"/>
      <c r="J304" s="119"/>
    </row>
    <row r="305" ht="22.5" customHeight="1">
      <c r="A305" s="116"/>
      <c r="B305" s="71"/>
      <c r="C305" s="71"/>
      <c r="D305" s="26"/>
      <c r="E305" s="117"/>
      <c r="F305" s="71"/>
      <c r="G305" s="118"/>
      <c r="H305" s="25"/>
      <c r="I305" s="25"/>
      <c r="J305" s="119"/>
    </row>
    <row r="306" ht="22.5" customHeight="1">
      <c r="A306" s="116"/>
      <c r="B306" s="71"/>
      <c r="C306" s="71"/>
      <c r="D306" s="26"/>
      <c r="E306" s="117"/>
      <c r="F306" s="71"/>
      <c r="G306" s="118"/>
      <c r="H306" s="25"/>
      <c r="I306" s="25"/>
      <c r="J306" s="119"/>
    </row>
    <row r="307" ht="22.5" customHeight="1">
      <c r="A307" s="116"/>
      <c r="B307" s="71"/>
      <c r="C307" s="71"/>
      <c r="D307" s="26"/>
      <c r="E307" s="117"/>
      <c r="F307" s="71"/>
      <c r="G307" s="118"/>
      <c r="H307" s="25"/>
      <c r="I307" s="25"/>
      <c r="J307" s="119"/>
    </row>
    <row r="308" ht="22.5" customHeight="1">
      <c r="A308" s="116"/>
      <c r="B308" s="71"/>
      <c r="C308" s="71"/>
      <c r="D308" s="26"/>
      <c r="E308" s="117"/>
      <c r="F308" s="71"/>
      <c r="G308" s="118"/>
      <c r="H308" s="25"/>
      <c r="I308" s="25"/>
      <c r="J308" s="119"/>
    </row>
    <row r="309" ht="22.5" customHeight="1">
      <c r="A309" s="116"/>
      <c r="B309" s="71"/>
      <c r="C309" s="71"/>
      <c r="D309" s="26"/>
      <c r="E309" s="117"/>
      <c r="F309" s="71"/>
      <c r="G309" s="118"/>
      <c r="H309" s="25"/>
      <c r="I309" s="25"/>
      <c r="J309" s="119"/>
    </row>
    <row r="310" ht="22.5" customHeight="1">
      <c r="A310" s="116"/>
      <c r="B310" s="71"/>
      <c r="C310" s="71"/>
      <c r="D310" s="26"/>
      <c r="E310" s="117"/>
      <c r="F310" s="71"/>
      <c r="G310" s="118"/>
      <c r="H310" s="25"/>
      <c r="I310" s="25"/>
      <c r="J310" s="119"/>
    </row>
    <row r="311" ht="22.5" customHeight="1">
      <c r="A311" s="116"/>
      <c r="B311" s="71"/>
      <c r="C311" s="71"/>
      <c r="D311" s="26"/>
      <c r="E311" s="117"/>
      <c r="F311" s="71"/>
      <c r="G311" s="118"/>
      <c r="H311" s="25"/>
      <c r="I311" s="25"/>
      <c r="J311" s="119"/>
    </row>
    <row r="312" ht="22.5" customHeight="1">
      <c r="A312" s="116"/>
      <c r="B312" s="71"/>
      <c r="C312" s="71"/>
      <c r="D312" s="26"/>
      <c r="E312" s="117"/>
      <c r="F312" s="71"/>
      <c r="G312" s="118"/>
      <c r="H312" s="25"/>
      <c r="I312" s="25"/>
      <c r="J312" s="119"/>
    </row>
    <row r="313" ht="22.5" customHeight="1">
      <c r="A313" s="116"/>
      <c r="B313" s="71"/>
      <c r="C313" s="71"/>
      <c r="D313" s="26"/>
      <c r="E313" s="117"/>
      <c r="F313" s="71"/>
      <c r="G313" s="118"/>
      <c r="H313" s="25"/>
      <c r="I313" s="25"/>
      <c r="J313" s="119"/>
    </row>
    <row r="314" ht="22.5" customHeight="1">
      <c r="A314" s="116"/>
      <c r="B314" s="71"/>
      <c r="C314" s="71"/>
      <c r="D314" s="26"/>
      <c r="E314" s="117"/>
      <c r="F314" s="71"/>
      <c r="G314" s="118"/>
      <c r="H314" s="25"/>
      <c r="I314" s="25"/>
      <c r="J314" s="119"/>
    </row>
    <row r="315" ht="22.5" customHeight="1">
      <c r="A315" s="116"/>
      <c r="B315" s="71"/>
      <c r="C315" s="71"/>
      <c r="D315" s="26"/>
      <c r="E315" s="117"/>
      <c r="F315" s="71"/>
      <c r="G315" s="118"/>
      <c r="H315" s="25"/>
      <c r="I315" s="25"/>
      <c r="J315" s="119"/>
    </row>
    <row r="316" ht="22.5" customHeight="1">
      <c r="A316" s="116"/>
      <c r="B316" s="71"/>
      <c r="C316" s="71"/>
      <c r="D316" s="26"/>
      <c r="E316" s="117"/>
      <c r="F316" s="71"/>
      <c r="G316" s="118"/>
      <c r="H316" s="25"/>
      <c r="I316" s="25"/>
      <c r="J316" s="119"/>
    </row>
    <row r="317" ht="22.5" customHeight="1">
      <c r="A317" s="116"/>
      <c r="B317" s="71"/>
      <c r="C317" s="71"/>
      <c r="D317" s="26"/>
      <c r="E317" s="117"/>
      <c r="F317" s="71"/>
      <c r="G317" s="118"/>
      <c r="H317" s="25"/>
      <c r="I317" s="25"/>
      <c r="J317" s="119"/>
    </row>
    <row r="318" ht="22.5" customHeight="1">
      <c r="A318" s="116"/>
      <c r="B318" s="71"/>
      <c r="C318" s="71"/>
      <c r="D318" s="26"/>
      <c r="E318" s="117"/>
      <c r="F318" s="71"/>
      <c r="G318" s="118"/>
      <c r="H318" s="25"/>
      <c r="I318" s="25"/>
      <c r="J318" s="119"/>
    </row>
    <row r="319" ht="22.5" customHeight="1">
      <c r="A319" s="116"/>
      <c r="B319" s="71"/>
      <c r="C319" s="71"/>
      <c r="D319" s="26"/>
      <c r="E319" s="117"/>
      <c r="F319" s="71"/>
      <c r="G319" s="118"/>
      <c r="H319" s="25"/>
      <c r="I319" s="25"/>
      <c r="J319" s="119"/>
    </row>
    <row r="320" ht="22.5" customHeight="1">
      <c r="A320" s="116"/>
      <c r="B320" s="71"/>
      <c r="C320" s="71"/>
      <c r="D320" s="26"/>
      <c r="E320" s="117"/>
      <c r="F320" s="71"/>
      <c r="G320" s="118"/>
      <c r="H320" s="25"/>
      <c r="I320" s="25"/>
      <c r="J320" s="119"/>
    </row>
    <row r="321" ht="22.5" customHeight="1">
      <c r="A321" s="116"/>
      <c r="B321" s="71"/>
      <c r="C321" s="71"/>
      <c r="D321" s="26"/>
      <c r="E321" s="117"/>
      <c r="F321" s="71"/>
      <c r="G321" s="118"/>
      <c r="H321" s="25"/>
      <c r="I321" s="25"/>
      <c r="J321" s="119"/>
    </row>
    <row r="322" ht="22.5" customHeight="1">
      <c r="A322" s="116"/>
      <c r="B322" s="71"/>
      <c r="C322" s="71"/>
      <c r="D322" s="26"/>
      <c r="E322" s="117"/>
      <c r="F322" s="71"/>
      <c r="G322" s="118"/>
      <c r="H322" s="25"/>
      <c r="I322" s="25"/>
      <c r="J322" s="119"/>
    </row>
    <row r="323" ht="22.5" customHeight="1">
      <c r="A323" s="116"/>
      <c r="B323" s="71"/>
      <c r="C323" s="71"/>
      <c r="D323" s="26"/>
      <c r="E323" s="117"/>
      <c r="F323" s="71"/>
      <c r="G323" s="118"/>
      <c r="H323" s="25"/>
      <c r="I323" s="25"/>
      <c r="J323" s="119"/>
    </row>
    <row r="324" ht="22.5" customHeight="1">
      <c r="A324" s="116"/>
      <c r="B324" s="71"/>
      <c r="C324" s="71"/>
      <c r="D324" s="26"/>
      <c r="E324" s="117"/>
      <c r="F324" s="71"/>
      <c r="G324" s="118"/>
      <c r="H324" s="25"/>
      <c r="I324" s="25"/>
      <c r="J324" s="119"/>
    </row>
    <row r="325" ht="22.5" customHeight="1">
      <c r="A325" s="116"/>
      <c r="B325" s="71"/>
      <c r="C325" s="71"/>
      <c r="D325" s="26"/>
      <c r="E325" s="117"/>
      <c r="F325" s="71"/>
      <c r="G325" s="118"/>
      <c r="H325" s="25"/>
      <c r="I325" s="25"/>
      <c r="J325" s="119"/>
    </row>
    <row r="326" ht="22.5" customHeight="1">
      <c r="A326" s="116"/>
      <c r="B326" s="71"/>
      <c r="C326" s="71"/>
      <c r="D326" s="26"/>
      <c r="E326" s="117"/>
      <c r="F326" s="71"/>
      <c r="G326" s="118"/>
      <c r="H326" s="25"/>
      <c r="I326" s="25"/>
      <c r="J326" s="119"/>
    </row>
    <row r="327" ht="22.5" customHeight="1">
      <c r="A327" s="116"/>
      <c r="B327" s="71"/>
      <c r="C327" s="71"/>
      <c r="D327" s="26"/>
      <c r="E327" s="117"/>
      <c r="F327" s="71"/>
      <c r="G327" s="118"/>
      <c r="H327" s="25"/>
      <c r="I327" s="25"/>
      <c r="J327" s="119"/>
    </row>
    <row r="328" ht="22.5" customHeight="1">
      <c r="A328" s="116"/>
      <c r="B328" s="71"/>
      <c r="C328" s="71"/>
      <c r="D328" s="26"/>
      <c r="E328" s="117"/>
      <c r="F328" s="71"/>
      <c r="G328" s="118"/>
      <c r="H328" s="25"/>
      <c r="I328" s="25"/>
      <c r="J328" s="119"/>
    </row>
    <row r="329" ht="22.5" customHeight="1">
      <c r="A329" s="116"/>
      <c r="B329" s="71"/>
      <c r="C329" s="71"/>
      <c r="D329" s="26"/>
      <c r="E329" s="117"/>
      <c r="F329" s="71"/>
      <c r="G329" s="118"/>
      <c r="H329" s="25"/>
      <c r="I329" s="25"/>
      <c r="J329" s="119"/>
    </row>
    <row r="330" ht="22.5" customHeight="1">
      <c r="A330" s="116"/>
      <c r="B330" s="71"/>
      <c r="C330" s="71"/>
      <c r="D330" s="26"/>
      <c r="E330" s="117"/>
      <c r="F330" s="71"/>
      <c r="G330" s="118"/>
      <c r="H330" s="25"/>
      <c r="I330" s="25"/>
      <c r="J330" s="119"/>
    </row>
    <row r="331" ht="22.5" customHeight="1">
      <c r="A331" s="116"/>
      <c r="B331" s="71"/>
      <c r="C331" s="71"/>
      <c r="D331" s="26"/>
      <c r="E331" s="117"/>
      <c r="F331" s="71"/>
      <c r="G331" s="118"/>
      <c r="H331" s="25"/>
      <c r="I331" s="25"/>
      <c r="J331" s="119"/>
    </row>
    <row r="332" ht="22.5" customHeight="1">
      <c r="A332" s="116"/>
      <c r="B332" s="71"/>
      <c r="C332" s="71"/>
      <c r="D332" s="26"/>
      <c r="E332" s="117"/>
      <c r="F332" s="71"/>
      <c r="G332" s="118"/>
      <c r="H332" s="25"/>
      <c r="I332" s="25"/>
      <c r="J332" s="119"/>
    </row>
    <row r="333" ht="22.5" customHeight="1">
      <c r="A333" s="116"/>
      <c r="B333" s="71"/>
      <c r="C333" s="71"/>
      <c r="D333" s="26"/>
      <c r="E333" s="117"/>
      <c r="F333" s="71"/>
      <c r="G333" s="118"/>
      <c r="H333" s="25"/>
      <c r="I333" s="25"/>
      <c r="J333" s="119"/>
    </row>
    <row r="334" ht="22.5" customHeight="1">
      <c r="A334" s="116"/>
      <c r="B334" s="71"/>
      <c r="C334" s="71"/>
      <c r="D334" s="26"/>
      <c r="E334" s="117"/>
      <c r="F334" s="71"/>
      <c r="G334" s="118"/>
      <c r="H334" s="25"/>
      <c r="I334" s="25"/>
      <c r="J334" s="119"/>
    </row>
    <row r="335" ht="22.5" customHeight="1">
      <c r="A335" s="116"/>
      <c r="B335" s="71"/>
      <c r="C335" s="71"/>
      <c r="D335" s="26"/>
      <c r="E335" s="117"/>
      <c r="F335" s="71"/>
      <c r="G335" s="118"/>
      <c r="H335" s="25"/>
      <c r="I335" s="25"/>
      <c r="J335" s="119"/>
    </row>
    <row r="336" ht="22.5" customHeight="1">
      <c r="A336" s="116"/>
      <c r="B336" s="71"/>
      <c r="C336" s="71"/>
      <c r="D336" s="26"/>
      <c r="E336" s="117"/>
      <c r="F336" s="71"/>
      <c r="G336" s="118"/>
      <c r="H336" s="25"/>
      <c r="I336" s="25"/>
      <c r="J336" s="119"/>
    </row>
    <row r="337" ht="22.5" customHeight="1">
      <c r="A337" s="116"/>
      <c r="B337" s="71"/>
      <c r="C337" s="71"/>
      <c r="D337" s="26"/>
      <c r="E337" s="117"/>
      <c r="F337" s="71"/>
      <c r="G337" s="118"/>
      <c r="H337" s="25"/>
      <c r="I337" s="25"/>
      <c r="J337" s="119"/>
    </row>
    <row r="338" ht="22.5" customHeight="1">
      <c r="A338" s="116"/>
      <c r="B338" s="71"/>
      <c r="C338" s="71"/>
      <c r="D338" s="26"/>
      <c r="E338" s="117"/>
      <c r="F338" s="71"/>
      <c r="G338" s="118"/>
      <c r="H338" s="25"/>
      <c r="I338" s="25"/>
      <c r="J338" s="119"/>
    </row>
    <row r="339" ht="22.5" customHeight="1">
      <c r="A339" s="116"/>
      <c r="B339" s="71"/>
      <c r="C339" s="71"/>
      <c r="D339" s="26"/>
      <c r="E339" s="117"/>
      <c r="F339" s="71"/>
      <c r="G339" s="118"/>
      <c r="H339" s="25"/>
      <c r="I339" s="25"/>
      <c r="J339" s="119"/>
    </row>
    <row r="340" ht="22.5" customHeight="1">
      <c r="A340" s="116"/>
      <c r="B340" s="71"/>
      <c r="C340" s="71"/>
      <c r="D340" s="26"/>
      <c r="E340" s="117"/>
      <c r="F340" s="71"/>
      <c r="G340" s="118"/>
      <c r="H340" s="25"/>
      <c r="I340" s="25"/>
      <c r="J340" s="119"/>
    </row>
    <row r="341" ht="22.5" customHeight="1">
      <c r="A341" s="116"/>
      <c r="B341" s="71"/>
      <c r="C341" s="71"/>
      <c r="D341" s="26"/>
      <c r="E341" s="117"/>
      <c r="F341" s="71"/>
      <c r="G341" s="118"/>
      <c r="H341" s="25"/>
      <c r="I341" s="25"/>
      <c r="J341" s="119"/>
    </row>
    <row r="342" ht="22.5" customHeight="1">
      <c r="A342" s="116"/>
      <c r="B342" s="71"/>
      <c r="C342" s="71"/>
      <c r="D342" s="26"/>
      <c r="E342" s="117"/>
      <c r="F342" s="71"/>
      <c r="G342" s="118"/>
      <c r="H342" s="25"/>
      <c r="I342" s="25"/>
      <c r="J342" s="119"/>
    </row>
    <row r="343" ht="22.5" customHeight="1">
      <c r="A343" s="116"/>
      <c r="B343" s="71"/>
      <c r="C343" s="71"/>
      <c r="D343" s="26"/>
      <c r="E343" s="117"/>
      <c r="F343" s="71"/>
      <c r="G343" s="118"/>
      <c r="H343" s="25"/>
      <c r="I343" s="25"/>
      <c r="J343" s="119"/>
    </row>
    <row r="344" ht="22.5" customHeight="1">
      <c r="A344" s="116"/>
      <c r="B344" s="71"/>
      <c r="C344" s="71"/>
      <c r="D344" s="26"/>
      <c r="E344" s="117"/>
      <c r="F344" s="71"/>
      <c r="G344" s="118"/>
      <c r="H344" s="25"/>
      <c r="I344" s="25"/>
      <c r="J344" s="119"/>
    </row>
    <row r="345" ht="22.5" customHeight="1">
      <c r="A345" s="116"/>
      <c r="B345" s="71"/>
      <c r="C345" s="71"/>
      <c r="D345" s="26"/>
      <c r="E345" s="117"/>
      <c r="F345" s="71"/>
      <c r="G345" s="118"/>
      <c r="H345" s="25"/>
      <c r="I345" s="25"/>
      <c r="J345" s="119"/>
    </row>
    <row r="346" ht="22.5" customHeight="1">
      <c r="A346" s="116"/>
      <c r="B346" s="71"/>
      <c r="C346" s="71"/>
      <c r="D346" s="26"/>
      <c r="E346" s="117"/>
      <c r="F346" s="71"/>
      <c r="G346" s="118"/>
      <c r="H346" s="25"/>
      <c r="I346" s="25"/>
      <c r="J346" s="119"/>
    </row>
    <row r="347" ht="22.5" customHeight="1">
      <c r="A347" s="116"/>
      <c r="B347" s="71"/>
      <c r="C347" s="71"/>
      <c r="D347" s="26"/>
      <c r="E347" s="117"/>
      <c r="F347" s="71"/>
      <c r="G347" s="118"/>
      <c r="H347" s="25"/>
      <c r="I347" s="25"/>
      <c r="J347" s="119"/>
    </row>
    <row r="348" ht="22.5" customHeight="1">
      <c r="A348" s="116"/>
      <c r="B348" s="71"/>
      <c r="C348" s="71"/>
      <c r="D348" s="26"/>
      <c r="E348" s="117"/>
      <c r="F348" s="71"/>
      <c r="G348" s="118"/>
      <c r="H348" s="25"/>
      <c r="I348" s="25"/>
      <c r="J348" s="119"/>
    </row>
    <row r="349" ht="22.5" customHeight="1">
      <c r="A349" s="116"/>
      <c r="B349" s="71"/>
      <c r="C349" s="71"/>
      <c r="D349" s="26"/>
      <c r="E349" s="117"/>
      <c r="F349" s="71"/>
      <c r="G349" s="118"/>
      <c r="H349" s="25"/>
      <c r="I349" s="25"/>
      <c r="J349" s="119"/>
    </row>
    <row r="350" ht="22.5" customHeight="1">
      <c r="A350" s="116"/>
      <c r="B350" s="71"/>
      <c r="C350" s="71"/>
      <c r="D350" s="26"/>
      <c r="E350" s="117"/>
      <c r="F350" s="71"/>
      <c r="G350" s="118"/>
      <c r="H350" s="25"/>
      <c r="I350" s="25"/>
      <c r="J350" s="119"/>
    </row>
    <row r="351" ht="22.5" customHeight="1">
      <c r="A351" s="116"/>
      <c r="B351" s="71"/>
      <c r="C351" s="71"/>
      <c r="D351" s="26"/>
      <c r="E351" s="117"/>
      <c r="F351" s="71"/>
      <c r="G351" s="118"/>
      <c r="H351" s="25"/>
      <c r="I351" s="25"/>
      <c r="J351" s="119"/>
    </row>
    <row r="352" ht="22.5" customHeight="1">
      <c r="A352" s="116"/>
      <c r="B352" s="71"/>
      <c r="C352" s="71"/>
      <c r="D352" s="26"/>
      <c r="E352" s="117"/>
      <c r="F352" s="71"/>
      <c r="G352" s="118"/>
      <c r="H352" s="25"/>
      <c r="I352" s="25"/>
      <c r="J352" s="119"/>
    </row>
    <row r="353" ht="22.5" customHeight="1">
      <c r="A353" s="116"/>
      <c r="B353" s="71"/>
      <c r="C353" s="71"/>
      <c r="D353" s="26"/>
      <c r="E353" s="117"/>
      <c r="F353" s="71"/>
      <c r="G353" s="118"/>
      <c r="H353" s="25"/>
      <c r="I353" s="25"/>
      <c r="J353" s="119"/>
    </row>
    <row r="354" ht="22.5" customHeight="1">
      <c r="A354" s="116"/>
      <c r="B354" s="71"/>
      <c r="C354" s="71"/>
      <c r="D354" s="26"/>
      <c r="E354" s="117"/>
      <c r="F354" s="71"/>
      <c r="G354" s="118"/>
      <c r="H354" s="25"/>
      <c r="I354" s="25"/>
      <c r="J354" s="119"/>
    </row>
    <row r="355" ht="22.5" customHeight="1">
      <c r="A355" s="116"/>
      <c r="B355" s="71"/>
      <c r="C355" s="71"/>
      <c r="D355" s="26"/>
      <c r="E355" s="117"/>
      <c r="F355" s="71"/>
      <c r="G355" s="118"/>
      <c r="H355" s="25"/>
      <c r="I355" s="25"/>
      <c r="J355" s="119"/>
    </row>
    <row r="356" ht="22.5" customHeight="1">
      <c r="A356" s="116"/>
      <c r="B356" s="71"/>
      <c r="C356" s="71"/>
      <c r="D356" s="26"/>
      <c r="E356" s="117"/>
      <c r="F356" s="71"/>
      <c r="G356" s="118"/>
      <c r="H356" s="25"/>
      <c r="I356" s="25"/>
      <c r="J356" s="119"/>
    </row>
    <row r="357" ht="22.5" customHeight="1">
      <c r="A357" s="116"/>
      <c r="B357" s="71"/>
      <c r="C357" s="71"/>
      <c r="D357" s="26"/>
      <c r="E357" s="117"/>
      <c r="F357" s="71"/>
      <c r="G357" s="118"/>
      <c r="H357" s="25"/>
      <c r="I357" s="25"/>
      <c r="J357" s="119"/>
    </row>
    <row r="358" ht="22.5" customHeight="1">
      <c r="A358" s="116"/>
      <c r="B358" s="71"/>
      <c r="C358" s="71"/>
      <c r="D358" s="26"/>
      <c r="E358" s="117"/>
      <c r="F358" s="71"/>
      <c r="G358" s="118"/>
      <c r="H358" s="25"/>
      <c r="I358" s="25"/>
      <c r="J358" s="119"/>
    </row>
    <row r="359" ht="22.5" customHeight="1">
      <c r="A359" s="116"/>
      <c r="B359" s="71"/>
      <c r="C359" s="71"/>
      <c r="D359" s="26"/>
      <c r="E359" s="117"/>
      <c r="F359" s="71"/>
      <c r="G359" s="118"/>
      <c r="H359" s="25"/>
      <c r="I359" s="25"/>
      <c r="J359" s="119"/>
    </row>
    <row r="360" ht="22.5" customHeight="1">
      <c r="A360" s="116"/>
      <c r="B360" s="71"/>
      <c r="C360" s="71"/>
      <c r="D360" s="26"/>
      <c r="E360" s="117"/>
      <c r="F360" s="71"/>
      <c r="G360" s="118"/>
      <c r="H360" s="25"/>
      <c r="I360" s="25"/>
      <c r="J360" s="119"/>
    </row>
    <row r="361" ht="22.5" customHeight="1">
      <c r="A361" s="116"/>
      <c r="B361" s="71"/>
      <c r="C361" s="71"/>
      <c r="D361" s="26"/>
      <c r="E361" s="117"/>
      <c r="F361" s="71"/>
      <c r="G361" s="118"/>
      <c r="H361" s="25"/>
      <c r="I361" s="25"/>
      <c r="J361" s="119"/>
    </row>
    <row r="362" ht="22.5" customHeight="1">
      <c r="A362" s="116"/>
      <c r="B362" s="71"/>
      <c r="C362" s="71"/>
      <c r="D362" s="26"/>
      <c r="E362" s="117"/>
      <c r="F362" s="71"/>
      <c r="G362" s="118"/>
      <c r="H362" s="25"/>
      <c r="I362" s="25"/>
      <c r="J362" s="119"/>
    </row>
    <row r="363" ht="22.5" customHeight="1">
      <c r="A363" s="116"/>
      <c r="B363" s="71"/>
      <c r="C363" s="71"/>
      <c r="D363" s="26"/>
      <c r="E363" s="117"/>
      <c r="F363" s="71"/>
      <c r="G363" s="118"/>
      <c r="H363" s="25"/>
      <c r="I363" s="25"/>
      <c r="J363" s="119"/>
    </row>
    <row r="364" ht="22.5" customHeight="1">
      <c r="A364" s="116"/>
      <c r="B364" s="71"/>
      <c r="C364" s="71"/>
      <c r="D364" s="26"/>
      <c r="E364" s="117"/>
      <c r="F364" s="71"/>
      <c r="G364" s="118"/>
      <c r="H364" s="25"/>
      <c r="I364" s="25"/>
      <c r="J364" s="119"/>
    </row>
    <row r="365" ht="22.5" customHeight="1">
      <c r="A365" s="116"/>
      <c r="B365" s="71"/>
      <c r="C365" s="71"/>
      <c r="D365" s="26"/>
      <c r="E365" s="117"/>
      <c r="F365" s="71"/>
      <c r="G365" s="118"/>
      <c r="H365" s="25"/>
      <c r="I365" s="25"/>
      <c r="J365" s="119"/>
    </row>
    <row r="366" ht="22.5" customHeight="1">
      <c r="A366" s="116"/>
      <c r="B366" s="71"/>
      <c r="C366" s="71"/>
      <c r="D366" s="26"/>
      <c r="E366" s="117"/>
      <c r="F366" s="71"/>
      <c r="G366" s="118"/>
      <c r="H366" s="25"/>
      <c r="I366" s="25"/>
      <c r="J366" s="119"/>
    </row>
    <row r="367" ht="22.5" customHeight="1">
      <c r="A367" s="116"/>
      <c r="B367" s="71"/>
      <c r="C367" s="71"/>
      <c r="D367" s="26"/>
      <c r="E367" s="117"/>
      <c r="F367" s="71"/>
      <c r="G367" s="118"/>
      <c r="H367" s="25"/>
      <c r="I367" s="25"/>
      <c r="J367" s="119"/>
    </row>
    <row r="368" ht="22.5" customHeight="1">
      <c r="A368" s="116"/>
      <c r="B368" s="71"/>
      <c r="C368" s="71"/>
      <c r="D368" s="26"/>
      <c r="E368" s="117"/>
      <c r="F368" s="71"/>
      <c r="G368" s="118"/>
      <c r="H368" s="25"/>
      <c r="I368" s="25"/>
      <c r="J368" s="119"/>
    </row>
    <row r="369" ht="22.5" customHeight="1">
      <c r="A369" s="116"/>
      <c r="B369" s="71"/>
      <c r="C369" s="71"/>
      <c r="D369" s="26"/>
      <c r="E369" s="117"/>
      <c r="F369" s="71"/>
      <c r="G369" s="118"/>
      <c r="H369" s="25"/>
      <c r="I369" s="25"/>
      <c r="J369" s="119"/>
    </row>
    <row r="370" ht="22.5" customHeight="1">
      <c r="A370" s="116"/>
      <c r="B370" s="71"/>
      <c r="C370" s="71"/>
      <c r="D370" s="26"/>
      <c r="E370" s="117"/>
      <c r="F370" s="71"/>
      <c r="G370" s="118"/>
      <c r="H370" s="25"/>
      <c r="I370" s="25"/>
      <c r="J370" s="119"/>
    </row>
    <row r="371" ht="22.5" customHeight="1">
      <c r="A371" s="116"/>
      <c r="B371" s="71"/>
      <c r="C371" s="71"/>
      <c r="D371" s="26"/>
      <c r="E371" s="117"/>
      <c r="F371" s="71"/>
      <c r="G371" s="118"/>
      <c r="H371" s="25"/>
      <c r="I371" s="25"/>
      <c r="J371" s="119"/>
    </row>
    <row r="372" ht="22.5" customHeight="1">
      <c r="A372" s="116"/>
      <c r="B372" s="71"/>
      <c r="C372" s="71"/>
      <c r="D372" s="26"/>
      <c r="E372" s="117"/>
      <c r="F372" s="71"/>
      <c r="G372" s="118"/>
      <c r="H372" s="25"/>
      <c r="I372" s="25"/>
      <c r="J372" s="119"/>
    </row>
    <row r="373" ht="22.5" customHeight="1">
      <c r="A373" s="116"/>
      <c r="B373" s="71"/>
      <c r="C373" s="71"/>
      <c r="D373" s="26"/>
      <c r="E373" s="117"/>
      <c r="F373" s="71"/>
      <c r="G373" s="118"/>
      <c r="H373" s="25"/>
      <c r="I373" s="25"/>
      <c r="J373" s="119"/>
    </row>
    <row r="374" ht="22.5" customHeight="1">
      <c r="A374" s="116"/>
      <c r="B374" s="71"/>
      <c r="C374" s="71"/>
      <c r="D374" s="26"/>
      <c r="E374" s="117"/>
      <c r="F374" s="71"/>
      <c r="G374" s="118"/>
      <c r="H374" s="25"/>
      <c r="I374" s="25"/>
      <c r="J374" s="119"/>
    </row>
    <row r="375" ht="22.5" customHeight="1">
      <c r="A375" s="116"/>
      <c r="B375" s="71"/>
      <c r="C375" s="71"/>
      <c r="D375" s="26"/>
      <c r="E375" s="117"/>
      <c r="F375" s="71"/>
      <c r="G375" s="118"/>
      <c r="H375" s="25"/>
      <c r="I375" s="25"/>
      <c r="J375" s="119"/>
    </row>
    <row r="376" ht="22.5" customHeight="1">
      <c r="A376" s="116"/>
      <c r="B376" s="71"/>
      <c r="C376" s="71"/>
      <c r="D376" s="26"/>
      <c r="E376" s="117"/>
      <c r="F376" s="71"/>
      <c r="G376" s="118"/>
      <c r="H376" s="25"/>
      <c r="I376" s="25"/>
      <c r="J376" s="119"/>
    </row>
    <row r="377" ht="22.5" customHeight="1">
      <c r="A377" s="116"/>
      <c r="B377" s="71"/>
      <c r="C377" s="71"/>
      <c r="D377" s="26"/>
      <c r="E377" s="117"/>
      <c r="F377" s="71"/>
      <c r="G377" s="118"/>
      <c r="H377" s="25"/>
      <c r="I377" s="25"/>
      <c r="J377" s="119"/>
    </row>
    <row r="378" ht="22.5" customHeight="1">
      <c r="A378" s="116"/>
      <c r="B378" s="71"/>
      <c r="C378" s="71"/>
      <c r="D378" s="26"/>
      <c r="E378" s="117"/>
      <c r="F378" s="71"/>
      <c r="G378" s="118"/>
      <c r="H378" s="25"/>
      <c r="I378" s="25"/>
      <c r="J378" s="119"/>
    </row>
    <row r="379" ht="22.5" customHeight="1">
      <c r="A379" s="116"/>
      <c r="B379" s="71"/>
      <c r="C379" s="71"/>
      <c r="D379" s="26"/>
      <c r="E379" s="117"/>
      <c r="F379" s="71"/>
      <c r="G379" s="118"/>
      <c r="H379" s="25"/>
      <c r="I379" s="25"/>
      <c r="J379" s="119"/>
    </row>
    <row r="380" ht="22.5" customHeight="1">
      <c r="A380" s="116"/>
      <c r="B380" s="71"/>
      <c r="C380" s="71"/>
      <c r="D380" s="26"/>
      <c r="E380" s="117"/>
      <c r="F380" s="71"/>
      <c r="G380" s="118"/>
      <c r="H380" s="25"/>
      <c r="I380" s="25"/>
      <c r="J380" s="119"/>
    </row>
    <row r="381" ht="22.5" customHeight="1">
      <c r="A381" s="116"/>
      <c r="B381" s="71"/>
      <c r="C381" s="71"/>
      <c r="D381" s="26"/>
      <c r="E381" s="117"/>
      <c r="F381" s="71"/>
      <c r="G381" s="118"/>
      <c r="H381" s="25"/>
      <c r="I381" s="25"/>
      <c r="J381" s="119"/>
    </row>
    <row r="382" ht="22.5" customHeight="1">
      <c r="A382" s="116"/>
      <c r="B382" s="71"/>
      <c r="C382" s="71"/>
      <c r="D382" s="26"/>
      <c r="E382" s="117"/>
      <c r="F382" s="71"/>
      <c r="G382" s="118"/>
      <c r="H382" s="25"/>
      <c r="I382" s="25"/>
      <c r="J382" s="119"/>
    </row>
    <row r="383" ht="22.5" customHeight="1">
      <c r="A383" s="116"/>
      <c r="B383" s="71"/>
      <c r="C383" s="71"/>
      <c r="D383" s="26"/>
      <c r="E383" s="117"/>
      <c r="F383" s="71"/>
      <c r="G383" s="118"/>
      <c r="H383" s="25"/>
      <c r="I383" s="25"/>
      <c r="J383" s="119"/>
    </row>
    <row r="384" ht="22.5" customHeight="1">
      <c r="A384" s="116"/>
      <c r="B384" s="71"/>
      <c r="C384" s="71"/>
      <c r="D384" s="26"/>
      <c r="E384" s="117"/>
      <c r="F384" s="71"/>
      <c r="G384" s="118"/>
      <c r="H384" s="25"/>
      <c r="I384" s="25"/>
      <c r="J384" s="119"/>
    </row>
    <row r="385" ht="22.5" customHeight="1">
      <c r="A385" s="116"/>
      <c r="B385" s="71"/>
      <c r="C385" s="71"/>
      <c r="D385" s="26"/>
      <c r="E385" s="117"/>
      <c r="F385" s="71"/>
      <c r="G385" s="118"/>
      <c r="H385" s="25"/>
      <c r="I385" s="25"/>
      <c r="J385" s="119"/>
    </row>
    <row r="386" ht="22.5" customHeight="1">
      <c r="A386" s="116"/>
      <c r="B386" s="71"/>
      <c r="C386" s="71"/>
      <c r="D386" s="26"/>
      <c r="E386" s="117"/>
      <c r="F386" s="71"/>
      <c r="G386" s="118"/>
      <c r="H386" s="25"/>
      <c r="I386" s="25"/>
      <c r="J386" s="119"/>
    </row>
    <row r="387" ht="22.5" customHeight="1">
      <c r="A387" s="116"/>
      <c r="B387" s="71"/>
      <c r="C387" s="71"/>
      <c r="D387" s="26"/>
      <c r="E387" s="117"/>
      <c r="F387" s="71"/>
      <c r="G387" s="118"/>
      <c r="H387" s="25"/>
      <c r="I387" s="25"/>
      <c r="J387" s="119"/>
    </row>
    <row r="388" ht="22.5" customHeight="1">
      <c r="A388" s="116"/>
      <c r="B388" s="71"/>
      <c r="C388" s="71"/>
      <c r="D388" s="26"/>
      <c r="E388" s="117"/>
      <c r="F388" s="71"/>
      <c r="G388" s="118"/>
      <c r="H388" s="25"/>
      <c r="I388" s="25"/>
      <c r="J388" s="119"/>
    </row>
    <row r="389" ht="22.5" customHeight="1">
      <c r="A389" s="116"/>
      <c r="B389" s="71"/>
      <c r="C389" s="71"/>
      <c r="D389" s="26"/>
      <c r="E389" s="117"/>
      <c r="F389" s="71"/>
      <c r="G389" s="118"/>
      <c r="H389" s="25"/>
      <c r="I389" s="25"/>
      <c r="J389" s="119"/>
    </row>
    <row r="390" ht="22.5" customHeight="1">
      <c r="A390" s="116"/>
      <c r="B390" s="71"/>
      <c r="C390" s="71"/>
      <c r="D390" s="26"/>
      <c r="E390" s="117"/>
      <c r="F390" s="71"/>
      <c r="G390" s="118"/>
      <c r="H390" s="25"/>
      <c r="I390" s="25"/>
      <c r="J390" s="119"/>
    </row>
    <row r="391" ht="22.5" customHeight="1">
      <c r="A391" s="116"/>
      <c r="B391" s="71"/>
      <c r="C391" s="71"/>
      <c r="D391" s="26"/>
      <c r="E391" s="117"/>
      <c r="F391" s="71"/>
      <c r="G391" s="118"/>
      <c r="H391" s="25"/>
      <c r="I391" s="25"/>
      <c r="J391" s="119"/>
    </row>
    <row r="392" ht="22.5" customHeight="1">
      <c r="A392" s="116"/>
      <c r="B392" s="71"/>
      <c r="C392" s="71"/>
      <c r="D392" s="26"/>
      <c r="E392" s="117"/>
      <c r="F392" s="71"/>
      <c r="G392" s="118"/>
      <c r="H392" s="25"/>
      <c r="I392" s="25"/>
      <c r="J392" s="119"/>
    </row>
    <row r="393" ht="22.5" customHeight="1">
      <c r="A393" s="116"/>
      <c r="B393" s="71"/>
      <c r="C393" s="71"/>
      <c r="D393" s="26"/>
      <c r="E393" s="117"/>
      <c r="F393" s="71"/>
      <c r="G393" s="118"/>
      <c r="H393" s="25"/>
      <c r="I393" s="25"/>
      <c r="J393" s="119"/>
    </row>
    <row r="394" ht="22.5" customHeight="1">
      <c r="A394" s="116"/>
      <c r="B394" s="71"/>
      <c r="C394" s="71"/>
      <c r="D394" s="26"/>
      <c r="E394" s="117"/>
      <c r="F394" s="71"/>
      <c r="G394" s="118"/>
      <c r="H394" s="25"/>
      <c r="I394" s="25"/>
      <c r="J394" s="119"/>
    </row>
    <row r="395" ht="22.5" customHeight="1">
      <c r="A395" s="116"/>
      <c r="B395" s="71"/>
      <c r="C395" s="71"/>
      <c r="D395" s="26"/>
      <c r="E395" s="117"/>
      <c r="F395" s="71"/>
      <c r="G395" s="118"/>
      <c r="H395" s="25"/>
      <c r="I395" s="25"/>
      <c r="J395" s="119"/>
    </row>
    <row r="396" ht="22.5" customHeight="1">
      <c r="A396" s="116"/>
      <c r="B396" s="71"/>
      <c r="C396" s="71"/>
      <c r="D396" s="26"/>
      <c r="E396" s="117"/>
      <c r="F396" s="71"/>
      <c r="G396" s="118"/>
      <c r="H396" s="25"/>
      <c r="I396" s="25"/>
      <c r="J396" s="119"/>
    </row>
    <row r="397" ht="22.5" customHeight="1">
      <c r="A397" s="116"/>
      <c r="B397" s="71"/>
      <c r="C397" s="71"/>
      <c r="D397" s="26"/>
      <c r="E397" s="117"/>
      <c r="F397" s="71"/>
      <c r="G397" s="118"/>
      <c r="H397" s="25"/>
      <c r="I397" s="25"/>
      <c r="J397" s="119"/>
    </row>
    <row r="398" ht="22.5" customHeight="1">
      <c r="A398" s="116"/>
      <c r="B398" s="71"/>
      <c r="C398" s="71"/>
      <c r="D398" s="26"/>
      <c r="E398" s="117"/>
      <c r="F398" s="71"/>
      <c r="G398" s="118"/>
      <c r="H398" s="25"/>
      <c r="I398" s="25"/>
      <c r="J398" s="119"/>
    </row>
    <row r="399" ht="22.5" customHeight="1">
      <c r="A399" s="116"/>
      <c r="B399" s="71"/>
      <c r="C399" s="71"/>
      <c r="D399" s="26"/>
      <c r="E399" s="117"/>
      <c r="F399" s="71"/>
      <c r="G399" s="118"/>
      <c r="H399" s="25"/>
      <c r="I399" s="25"/>
      <c r="J399" s="119"/>
    </row>
    <row r="400" ht="22.5" customHeight="1">
      <c r="A400" s="116"/>
      <c r="B400" s="71"/>
      <c r="C400" s="71"/>
      <c r="D400" s="26"/>
      <c r="E400" s="117"/>
      <c r="F400" s="71"/>
      <c r="G400" s="118"/>
      <c r="H400" s="25"/>
      <c r="I400" s="25"/>
      <c r="J400" s="119"/>
    </row>
    <row r="401" ht="22.5" customHeight="1">
      <c r="A401" s="116"/>
      <c r="B401" s="71"/>
      <c r="C401" s="71"/>
      <c r="D401" s="26"/>
      <c r="E401" s="117"/>
      <c r="F401" s="71"/>
      <c r="G401" s="118"/>
      <c r="H401" s="25"/>
      <c r="I401" s="25"/>
      <c r="J401" s="119"/>
    </row>
    <row r="402" ht="22.5" customHeight="1">
      <c r="A402" s="116"/>
      <c r="B402" s="71"/>
      <c r="C402" s="71"/>
      <c r="D402" s="26"/>
      <c r="E402" s="117"/>
      <c r="F402" s="71"/>
      <c r="G402" s="118"/>
      <c r="H402" s="25"/>
      <c r="I402" s="25"/>
      <c r="J402" s="119"/>
    </row>
    <row r="403" ht="22.5" customHeight="1">
      <c r="A403" s="116"/>
      <c r="B403" s="71"/>
      <c r="C403" s="71"/>
      <c r="D403" s="26"/>
      <c r="E403" s="117"/>
      <c r="F403" s="71"/>
      <c r="G403" s="118"/>
      <c r="H403" s="25"/>
      <c r="I403" s="25"/>
      <c r="J403" s="119"/>
    </row>
    <row r="404" ht="22.5" customHeight="1">
      <c r="A404" s="116"/>
      <c r="B404" s="71"/>
      <c r="C404" s="71"/>
      <c r="D404" s="26"/>
      <c r="E404" s="117"/>
      <c r="F404" s="71"/>
      <c r="G404" s="118"/>
      <c r="H404" s="25"/>
      <c r="I404" s="25"/>
      <c r="J404" s="119"/>
    </row>
    <row r="405" ht="22.5" customHeight="1">
      <c r="A405" s="116"/>
      <c r="B405" s="71"/>
      <c r="C405" s="71"/>
      <c r="D405" s="26"/>
      <c r="E405" s="117"/>
      <c r="F405" s="71"/>
      <c r="G405" s="118"/>
      <c r="H405" s="25"/>
      <c r="I405" s="25"/>
      <c r="J405" s="119"/>
    </row>
    <row r="406" ht="22.5" customHeight="1">
      <c r="A406" s="116"/>
      <c r="B406" s="71"/>
      <c r="C406" s="71"/>
      <c r="D406" s="26"/>
      <c r="E406" s="117"/>
      <c r="F406" s="71"/>
      <c r="G406" s="118"/>
      <c r="H406" s="25"/>
      <c r="I406" s="25"/>
      <c r="J406" s="119"/>
    </row>
    <row r="407" ht="22.5" customHeight="1">
      <c r="A407" s="116"/>
      <c r="B407" s="71"/>
      <c r="C407" s="71"/>
      <c r="D407" s="26"/>
      <c r="E407" s="117"/>
      <c r="F407" s="71"/>
      <c r="G407" s="118"/>
      <c r="H407" s="25"/>
      <c r="I407" s="25"/>
      <c r="J407" s="119"/>
    </row>
    <row r="408" ht="22.5" customHeight="1">
      <c r="A408" s="116"/>
      <c r="B408" s="71"/>
      <c r="C408" s="71"/>
      <c r="D408" s="26"/>
      <c r="E408" s="117"/>
      <c r="F408" s="71"/>
      <c r="G408" s="118"/>
      <c r="H408" s="25"/>
      <c r="I408" s="25"/>
      <c r="J408" s="119"/>
    </row>
    <row r="409" ht="22.5" customHeight="1">
      <c r="A409" s="116"/>
      <c r="B409" s="71"/>
      <c r="C409" s="71"/>
      <c r="D409" s="26"/>
      <c r="E409" s="117"/>
      <c r="F409" s="71"/>
      <c r="G409" s="118"/>
      <c r="H409" s="25"/>
      <c r="I409" s="25"/>
      <c r="J409" s="119"/>
    </row>
    <row r="410" ht="22.5" customHeight="1">
      <c r="A410" s="116"/>
      <c r="B410" s="71"/>
      <c r="C410" s="71"/>
      <c r="D410" s="26"/>
      <c r="E410" s="117"/>
      <c r="F410" s="71"/>
      <c r="G410" s="118"/>
      <c r="H410" s="25"/>
      <c r="I410" s="25"/>
      <c r="J410" s="119"/>
    </row>
    <row r="411" ht="22.5" customHeight="1">
      <c r="A411" s="116"/>
      <c r="B411" s="71"/>
      <c r="C411" s="71"/>
      <c r="D411" s="26"/>
      <c r="E411" s="117"/>
      <c r="F411" s="71"/>
      <c r="G411" s="118"/>
      <c r="H411" s="25"/>
      <c r="I411" s="25"/>
      <c r="J411" s="119"/>
    </row>
    <row r="412" ht="22.5" customHeight="1">
      <c r="A412" s="116"/>
      <c r="B412" s="71"/>
      <c r="C412" s="71"/>
      <c r="D412" s="26"/>
      <c r="E412" s="117"/>
      <c r="F412" s="71"/>
      <c r="G412" s="118"/>
      <c r="H412" s="25"/>
      <c r="I412" s="25"/>
      <c r="J412" s="119"/>
    </row>
    <row r="413" ht="22.5" customHeight="1">
      <c r="A413" s="116"/>
      <c r="B413" s="71"/>
      <c r="C413" s="71"/>
      <c r="D413" s="26"/>
      <c r="E413" s="117"/>
      <c r="F413" s="71"/>
      <c r="G413" s="118"/>
      <c r="H413" s="25"/>
      <c r="I413" s="25"/>
      <c r="J413" s="119"/>
    </row>
    <row r="414" ht="22.5" customHeight="1">
      <c r="A414" s="116"/>
      <c r="B414" s="71"/>
      <c r="C414" s="71"/>
      <c r="D414" s="26"/>
      <c r="E414" s="117"/>
      <c r="F414" s="71"/>
      <c r="G414" s="118"/>
      <c r="H414" s="25"/>
      <c r="I414" s="25"/>
      <c r="J414" s="119"/>
    </row>
    <row r="415" ht="22.5" customHeight="1">
      <c r="A415" s="116"/>
      <c r="B415" s="71"/>
      <c r="C415" s="71"/>
      <c r="D415" s="26"/>
      <c r="E415" s="117"/>
      <c r="F415" s="71"/>
      <c r="G415" s="118"/>
      <c r="H415" s="25"/>
      <c r="I415" s="25"/>
      <c r="J415" s="119"/>
    </row>
    <row r="416" ht="22.5" customHeight="1">
      <c r="A416" s="116"/>
      <c r="B416" s="71"/>
      <c r="C416" s="71"/>
      <c r="D416" s="26"/>
      <c r="E416" s="117"/>
      <c r="F416" s="71"/>
      <c r="G416" s="118"/>
      <c r="H416" s="25"/>
      <c r="I416" s="25"/>
      <c r="J416" s="119"/>
    </row>
    <row r="417" ht="22.5" customHeight="1">
      <c r="A417" s="116"/>
      <c r="B417" s="71"/>
      <c r="C417" s="71"/>
      <c r="D417" s="26"/>
      <c r="E417" s="117"/>
      <c r="F417" s="71"/>
      <c r="G417" s="118"/>
      <c r="H417" s="25"/>
      <c r="I417" s="25"/>
      <c r="J417" s="119"/>
    </row>
    <row r="418" ht="22.5" customHeight="1">
      <c r="A418" s="116"/>
      <c r="B418" s="71"/>
      <c r="C418" s="71"/>
      <c r="D418" s="26"/>
      <c r="E418" s="117"/>
      <c r="F418" s="71"/>
      <c r="G418" s="118"/>
      <c r="H418" s="25"/>
      <c r="I418" s="25"/>
      <c r="J418" s="119"/>
    </row>
    <row r="419" ht="22.5" customHeight="1">
      <c r="A419" s="116"/>
      <c r="B419" s="71"/>
      <c r="C419" s="71"/>
      <c r="D419" s="26"/>
      <c r="E419" s="117"/>
      <c r="F419" s="71"/>
      <c r="G419" s="118"/>
      <c r="H419" s="25"/>
      <c r="I419" s="25"/>
      <c r="J419" s="119"/>
    </row>
    <row r="420" ht="22.5" customHeight="1">
      <c r="A420" s="116"/>
      <c r="B420" s="71"/>
      <c r="C420" s="71"/>
      <c r="D420" s="26"/>
      <c r="E420" s="117"/>
      <c r="F420" s="71"/>
      <c r="G420" s="118"/>
      <c r="H420" s="25"/>
      <c r="I420" s="25"/>
      <c r="J420" s="119"/>
    </row>
    <row r="421" ht="22.5" customHeight="1">
      <c r="A421" s="116"/>
      <c r="B421" s="71"/>
      <c r="C421" s="71"/>
      <c r="D421" s="26"/>
      <c r="E421" s="117"/>
      <c r="F421" s="71"/>
      <c r="G421" s="118"/>
      <c r="H421" s="25"/>
      <c r="I421" s="25"/>
      <c r="J421" s="119"/>
    </row>
    <row r="422" ht="22.5" customHeight="1">
      <c r="A422" s="116"/>
      <c r="B422" s="71"/>
      <c r="C422" s="71"/>
      <c r="D422" s="26"/>
      <c r="E422" s="117"/>
      <c r="F422" s="71"/>
      <c r="G422" s="118"/>
      <c r="H422" s="25"/>
      <c r="I422" s="25"/>
      <c r="J422" s="119"/>
    </row>
    <row r="423" ht="22.5" customHeight="1">
      <c r="A423" s="116"/>
      <c r="B423" s="71"/>
      <c r="C423" s="71"/>
      <c r="D423" s="26"/>
      <c r="E423" s="117"/>
      <c r="F423" s="71"/>
      <c r="G423" s="118"/>
      <c r="H423" s="25"/>
      <c r="I423" s="25"/>
      <c r="J423" s="119"/>
    </row>
    <row r="424" ht="22.5" customHeight="1">
      <c r="A424" s="116"/>
      <c r="B424" s="71"/>
      <c r="C424" s="71"/>
      <c r="D424" s="26"/>
      <c r="E424" s="117"/>
      <c r="F424" s="71"/>
      <c r="G424" s="118"/>
      <c r="H424" s="25"/>
      <c r="I424" s="25"/>
      <c r="J424" s="119"/>
    </row>
    <row r="425" ht="22.5" customHeight="1">
      <c r="A425" s="116"/>
      <c r="B425" s="71"/>
      <c r="C425" s="71"/>
      <c r="D425" s="26"/>
      <c r="E425" s="117"/>
      <c r="F425" s="71"/>
      <c r="G425" s="118"/>
      <c r="H425" s="25"/>
      <c r="I425" s="25"/>
      <c r="J425" s="119"/>
    </row>
    <row r="426" ht="22.5" customHeight="1">
      <c r="A426" s="116"/>
      <c r="B426" s="71"/>
      <c r="C426" s="71"/>
      <c r="D426" s="26"/>
      <c r="E426" s="117"/>
      <c r="F426" s="71"/>
      <c r="G426" s="118"/>
      <c r="H426" s="25"/>
      <c r="I426" s="25"/>
      <c r="J426" s="119"/>
    </row>
    <row r="427" ht="22.5" customHeight="1">
      <c r="A427" s="116"/>
      <c r="B427" s="71"/>
      <c r="C427" s="71"/>
      <c r="D427" s="26"/>
      <c r="E427" s="117"/>
      <c r="F427" s="71"/>
      <c r="G427" s="118"/>
      <c r="H427" s="25"/>
      <c r="I427" s="25"/>
      <c r="J427" s="119"/>
    </row>
    <row r="428" ht="22.5" customHeight="1">
      <c r="A428" s="116"/>
      <c r="B428" s="71"/>
      <c r="C428" s="71"/>
      <c r="D428" s="26"/>
      <c r="E428" s="117"/>
      <c r="F428" s="71"/>
      <c r="G428" s="118"/>
      <c r="H428" s="25"/>
      <c r="I428" s="25"/>
      <c r="J428" s="119"/>
    </row>
    <row r="429" ht="22.5" customHeight="1">
      <c r="A429" s="116"/>
      <c r="B429" s="71"/>
      <c r="C429" s="71"/>
      <c r="D429" s="26"/>
      <c r="E429" s="117"/>
      <c r="F429" s="71"/>
      <c r="G429" s="118"/>
      <c r="H429" s="25"/>
      <c r="I429" s="25"/>
      <c r="J429" s="119"/>
    </row>
    <row r="430" ht="22.5" customHeight="1">
      <c r="A430" s="116"/>
      <c r="B430" s="71"/>
      <c r="C430" s="71"/>
      <c r="D430" s="26"/>
      <c r="E430" s="117"/>
      <c r="F430" s="71"/>
      <c r="G430" s="118"/>
      <c r="H430" s="25"/>
      <c r="I430" s="25"/>
      <c r="J430" s="119"/>
    </row>
    <row r="431" ht="22.5" customHeight="1">
      <c r="A431" s="116"/>
      <c r="B431" s="71"/>
      <c r="C431" s="71"/>
      <c r="D431" s="26"/>
      <c r="E431" s="117"/>
      <c r="F431" s="71"/>
      <c r="G431" s="118"/>
      <c r="H431" s="25"/>
      <c r="I431" s="25"/>
      <c r="J431" s="119"/>
    </row>
    <row r="432" ht="22.5" customHeight="1">
      <c r="A432" s="116"/>
      <c r="B432" s="71"/>
      <c r="C432" s="71"/>
      <c r="D432" s="26"/>
      <c r="E432" s="117"/>
      <c r="F432" s="71"/>
      <c r="G432" s="118"/>
      <c r="H432" s="25"/>
      <c r="I432" s="25"/>
      <c r="J432" s="119"/>
    </row>
    <row r="433" ht="22.5" customHeight="1">
      <c r="A433" s="116"/>
      <c r="B433" s="71"/>
      <c r="C433" s="71"/>
      <c r="D433" s="26"/>
      <c r="E433" s="117"/>
      <c r="F433" s="71"/>
      <c r="G433" s="118"/>
      <c r="H433" s="25"/>
      <c r="I433" s="25"/>
      <c r="J433" s="119"/>
    </row>
    <row r="434" ht="22.5" customHeight="1">
      <c r="A434" s="116"/>
      <c r="B434" s="71"/>
      <c r="C434" s="71"/>
      <c r="D434" s="26"/>
      <c r="E434" s="117"/>
      <c r="F434" s="71"/>
      <c r="G434" s="118"/>
      <c r="H434" s="25"/>
      <c r="I434" s="25"/>
      <c r="J434" s="119"/>
    </row>
    <row r="435" ht="22.5" customHeight="1">
      <c r="A435" s="116"/>
      <c r="B435" s="71"/>
      <c r="C435" s="71"/>
      <c r="D435" s="26"/>
      <c r="E435" s="117"/>
      <c r="F435" s="71"/>
      <c r="G435" s="118"/>
      <c r="H435" s="25"/>
      <c r="I435" s="25"/>
      <c r="J435" s="119"/>
    </row>
    <row r="436" ht="22.5" customHeight="1">
      <c r="A436" s="116"/>
      <c r="B436" s="71"/>
      <c r="C436" s="71"/>
      <c r="D436" s="26"/>
      <c r="E436" s="117"/>
      <c r="F436" s="71"/>
      <c r="G436" s="118"/>
      <c r="H436" s="25"/>
      <c r="I436" s="25"/>
      <c r="J436" s="119"/>
    </row>
    <row r="437" ht="22.5" customHeight="1">
      <c r="A437" s="116"/>
      <c r="B437" s="71"/>
      <c r="C437" s="71"/>
      <c r="D437" s="26"/>
      <c r="E437" s="117"/>
      <c r="F437" s="71"/>
      <c r="G437" s="118"/>
      <c r="H437" s="25"/>
      <c r="I437" s="25"/>
      <c r="J437" s="119"/>
    </row>
    <row r="438" ht="22.5" customHeight="1">
      <c r="A438" s="116"/>
      <c r="B438" s="71"/>
      <c r="C438" s="71"/>
      <c r="D438" s="26"/>
      <c r="E438" s="117"/>
      <c r="F438" s="71"/>
      <c r="G438" s="118"/>
      <c r="H438" s="25"/>
      <c r="I438" s="25"/>
      <c r="J438" s="119"/>
    </row>
    <row r="439" ht="22.5" customHeight="1">
      <c r="A439" s="116"/>
      <c r="B439" s="71"/>
      <c r="C439" s="71"/>
      <c r="D439" s="26"/>
      <c r="E439" s="117"/>
      <c r="F439" s="71"/>
      <c r="G439" s="118"/>
      <c r="H439" s="25"/>
      <c r="I439" s="25"/>
      <c r="J439" s="119"/>
    </row>
    <row r="440" ht="22.5" customHeight="1">
      <c r="A440" s="116"/>
      <c r="B440" s="71"/>
      <c r="C440" s="71"/>
      <c r="D440" s="26"/>
      <c r="E440" s="117"/>
      <c r="F440" s="71"/>
      <c r="G440" s="118"/>
      <c r="H440" s="25"/>
      <c r="I440" s="25"/>
      <c r="J440" s="119"/>
    </row>
    <row r="441" ht="22.5" customHeight="1">
      <c r="A441" s="116"/>
      <c r="B441" s="71"/>
      <c r="C441" s="71"/>
      <c r="D441" s="26"/>
      <c r="E441" s="117"/>
      <c r="F441" s="71"/>
      <c r="G441" s="118"/>
      <c r="H441" s="25"/>
      <c r="I441" s="25"/>
      <c r="J441" s="119"/>
    </row>
    <row r="442" ht="22.5" customHeight="1">
      <c r="A442" s="116"/>
      <c r="B442" s="71"/>
      <c r="C442" s="71"/>
      <c r="D442" s="26"/>
      <c r="E442" s="117"/>
      <c r="F442" s="71"/>
      <c r="G442" s="118"/>
      <c r="H442" s="25"/>
      <c r="I442" s="25"/>
      <c r="J442" s="119"/>
    </row>
    <row r="443" ht="22.5" customHeight="1">
      <c r="A443" s="116"/>
      <c r="B443" s="71"/>
      <c r="C443" s="71"/>
      <c r="D443" s="26"/>
      <c r="E443" s="117"/>
      <c r="F443" s="71"/>
      <c r="G443" s="118"/>
      <c r="H443" s="25"/>
      <c r="I443" s="25"/>
      <c r="J443" s="119"/>
    </row>
    <row r="444" ht="22.5" customHeight="1">
      <c r="A444" s="116"/>
      <c r="B444" s="71"/>
      <c r="C444" s="71"/>
      <c r="D444" s="26"/>
      <c r="E444" s="117"/>
      <c r="F444" s="71"/>
      <c r="G444" s="118"/>
      <c r="H444" s="25"/>
      <c r="I444" s="25"/>
      <c r="J444" s="119"/>
    </row>
    <row r="445" ht="22.5" customHeight="1">
      <c r="A445" s="116"/>
      <c r="B445" s="71"/>
      <c r="C445" s="71"/>
      <c r="D445" s="26"/>
      <c r="E445" s="117"/>
      <c r="F445" s="71"/>
      <c r="G445" s="118"/>
      <c r="H445" s="25"/>
      <c r="I445" s="25"/>
      <c r="J445" s="119"/>
    </row>
    <row r="446" ht="22.5" customHeight="1">
      <c r="A446" s="116"/>
      <c r="B446" s="71"/>
      <c r="C446" s="71"/>
      <c r="D446" s="26"/>
      <c r="E446" s="117"/>
      <c r="F446" s="71"/>
      <c r="G446" s="118"/>
      <c r="H446" s="25"/>
      <c r="I446" s="25"/>
      <c r="J446" s="119"/>
    </row>
    <row r="447" ht="22.5" customHeight="1">
      <c r="A447" s="116"/>
      <c r="B447" s="71"/>
      <c r="C447" s="71"/>
      <c r="D447" s="26"/>
      <c r="E447" s="117"/>
      <c r="F447" s="71"/>
      <c r="G447" s="118"/>
      <c r="H447" s="25"/>
      <c r="I447" s="25"/>
      <c r="J447" s="119"/>
    </row>
    <row r="448" ht="22.5" customHeight="1">
      <c r="A448" s="116"/>
      <c r="B448" s="71"/>
      <c r="C448" s="71"/>
      <c r="D448" s="26"/>
      <c r="E448" s="117"/>
      <c r="F448" s="71"/>
      <c r="G448" s="118"/>
      <c r="H448" s="25"/>
      <c r="I448" s="25"/>
      <c r="J448" s="119"/>
    </row>
    <row r="449" ht="22.5" customHeight="1">
      <c r="A449" s="116"/>
      <c r="B449" s="71"/>
      <c r="C449" s="71"/>
      <c r="D449" s="26"/>
      <c r="E449" s="117"/>
      <c r="F449" s="71"/>
      <c r="G449" s="118"/>
      <c r="H449" s="25"/>
      <c r="I449" s="25"/>
      <c r="J449" s="119"/>
    </row>
    <row r="450" ht="22.5" customHeight="1">
      <c r="A450" s="116"/>
      <c r="B450" s="71"/>
      <c r="C450" s="71"/>
      <c r="D450" s="26"/>
      <c r="E450" s="117"/>
      <c r="F450" s="71"/>
      <c r="G450" s="118"/>
      <c r="H450" s="25"/>
      <c r="I450" s="25"/>
      <c r="J450" s="119"/>
    </row>
    <row r="451" ht="22.5" customHeight="1">
      <c r="A451" s="116"/>
      <c r="B451" s="71"/>
      <c r="C451" s="71"/>
      <c r="D451" s="26"/>
      <c r="E451" s="117"/>
      <c r="F451" s="71"/>
      <c r="G451" s="118"/>
      <c r="H451" s="25"/>
      <c r="I451" s="25"/>
      <c r="J451" s="119"/>
    </row>
    <row r="452" ht="22.5" customHeight="1">
      <c r="A452" s="116"/>
      <c r="B452" s="71"/>
      <c r="C452" s="71"/>
      <c r="D452" s="26"/>
      <c r="E452" s="117"/>
      <c r="F452" s="71"/>
      <c r="G452" s="118"/>
      <c r="H452" s="25"/>
      <c r="I452" s="25"/>
      <c r="J452" s="119"/>
    </row>
    <row r="453" ht="22.5" customHeight="1">
      <c r="A453" s="116"/>
      <c r="B453" s="71"/>
      <c r="C453" s="71"/>
      <c r="D453" s="26"/>
      <c r="E453" s="117"/>
      <c r="F453" s="71"/>
      <c r="G453" s="118"/>
      <c r="H453" s="25"/>
      <c r="I453" s="25"/>
      <c r="J453" s="119"/>
    </row>
    <row r="454" ht="22.5" customHeight="1">
      <c r="A454" s="116"/>
      <c r="B454" s="71"/>
      <c r="C454" s="71"/>
      <c r="D454" s="26"/>
      <c r="E454" s="117"/>
      <c r="F454" s="71"/>
      <c r="G454" s="118"/>
      <c r="H454" s="25"/>
      <c r="I454" s="25"/>
      <c r="J454" s="119"/>
    </row>
    <row r="455" ht="22.5" customHeight="1">
      <c r="A455" s="116"/>
      <c r="B455" s="71"/>
      <c r="C455" s="71"/>
      <c r="D455" s="26"/>
      <c r="E455" s="117"/>
      <c r="F455" s="71"/>
      <c r="G455" s="118"/>
      <c r="H455" s="25"/>
      <c r="I455" s="25"/>
      <c r="J455" s="119"/>
    </row>
    <row r="456" ht="22.5" customHeight="1">
      <c r="A456" s="116"/>
      <c r="B456" s="71"/>
      <c r="C456" s="71"/>
      <c r="D456" s="26"/>
      <c r="E456" s="117"/>
      <c r="F456" s="71"/>
      <c r="G456" s="118"/>
      <c r="H456" s="25"/>
      <c r="I456" s="25"/>
      <c r="J456" s="119"/>
    </row>
    <row r="457" ht="22.5" customHeight="1">
      <c r="A457" s="116"/>
      <c r="B457" s="71"/>
      <c r="C457" s="71"/>
      <c r="D457" s="26"/>
      <c r="E457" s="117"/>
      <c r="F457" s="71"/>
      <c r="G457" s="118"/>
      <c r="H457" s="25"/>
      <c r="I457" s="25"/>
      <c r="J457" s="119"/>
    </row>
    <row r="458" ht="22.5" customHeight="1">
      <c r="A458" s="116"/>
      <c r="B458" s="71"/>
      <c r="C458" s="71"/>
      <c r="D458" s="26"/>
      <c r="E458" s="117"/>
      <c r="F458" s="71"/>
      <c r="G458" s="118"/>
      <c r="H458" s="25"/>
      <c r="I458" s="25"/>
      <c r="J458" s="119"/>
    </row>
    <row r="459" ht="22.5" customHeight="1">
      <c r="A459" s="116"/>
      <c r="B459" s="71"/>
      <c r="C459" s="71"/>
      <c r="D459" s="26"/>
      <c r="E459" s="117"/>
      <c r="F459" s="71"/>
      <c r="G459" s="118"/>
      <c r="H459" s="25"/>
      <c r="I459" s="25"/>
      <c r="J459" s="119"/>
    </row>
    <row r="460" ht="22.5" customHeight="1">
      <c r="A460" s="116"/>
      <c r="B460" s="71"/>
      <c r="C460" s="71"/>
      <c r="D460" s="26"/>
      <c r="E460" s="117"/>
      <c r="F460" s="71"/>
      <c r="G460" s="118"/>
      <c r="H460" s="25"/>
      <c r="I460" s="25"/>
      <c r="J460" s="119"/>
    </row>
    <row r="461" ht="22.5" customHeight="1">
      <c r="A461" s="116"/>
      <c r="B461" s="71"/>
      <c r="C461" s="71"/>
      <c r="D461" s="26"/>
      <c r="E461" s="117"/>
      <c r="F461" s="71"/>
      <c r="G461" s="118"/>
      <c r="H461" s="25"/>
      <c r="I461" s="25"/>
      <c r="J461" s="119"/>
    </row>
    <row r="462" ht="22.5" customHeight="1">
      <c r="A462" s="116"/>
      <c r="B462" s="71"/>
      <c r="C462" s="71"/>
      <c r="D462" s="26"/>
      <c r="E462" s="117"/>
      <c r="F462" s="71"/>
      <c r="G462" s="118"/>
      <c r="H462" s="25"/>
      <c r="I462" s="25"/>
      <c r="J462" s="119"/>
    </row>
    <row r="463" ht="22.5" customHeight="1">
      <c r="A463" s="116"/>
      <c r="B463" s="71"/>
      <c r="C463" s="71"/>
      <c r="D463" s="26"/>
      <c r="E463" s="117"/>
      <c r="F463" s="71"/>
      <c r="G463" s="118"/>
      <c r="H463" s="25"/>
      <c r="I463" s="25"/>
      <c r="J463" s="119"/>
    </row>
    <row r="464" ht="22.5" customHeight="1">
      <c r="A464" s="116"/>
      <c r="B464" s="71"/>
      <c r="C464" s="71"/>
      <c r="D464" s="26"/>
      <c r="E464" s="117"/>
      <c r="F464" s="71"/>
      <c r="G464" s="118"/>
      <c r="H464" s="25"/>
      <c r="I464" s="25"/>
      <c r="J464" s="119"/>
    </row>
    <row r="465" ht="22.5" customHeight="1">
      <c r="A465" s="116"/>
      <c r="B465" s="71"/>
      <c r="C465" s="71"/>
      <c r="D465" s="26"/>
      <c r="E465" s="117"/>
      <c r="F465" s="71"/>
      <c r="G465" s="118"/>
      <c r="H465" s="25"/>
      <c r="I465" s="25"/>
      <c r="J465" s="119"/>
    </row>
    <row r="466" ht="22.5" customHeight="1">
      <c r="A466" s="116"/>
      <c r="B466" s="71"/>
      <c r="C466" s="71"/>
      <c r="D466" s="26"/>
      <c r="E466" s="117"/>
      <c r="F466" s="71"/>
      <c r="G466" s="118"/>
      <c r="H466" s="25"/>
      <c r="I466" s="25"/>
      <c r="J466" s="119"/>
    </row>
    <row r="467" ht="22.5" customHeight="1">
      <c r="A467" s="116"/>
      <c r="B467" s="71"/>
      <c r="C467" s="71"/>
      <c r="D467" s="26"/>
      <c r="E467" s="117"/>
      <c r="F467" s="71"/>
      <c r="G467" s="118"/>
      <c r="H467" s="25"/>
      <c r="I467" s="25"/>
      <c r="J467" s="119"/>
    </row>
    <row r="468" ht="22.5" customHeight="1">
      <c r="A468" s="116"/>
      <c r="B468" s="71"/>
      <c r="C468" s="71"/>
      <c r="D468" s="26"/>
      <c r="E468" s="117"/>
      <c r="F468" s="71"/>
      <c r="G468" s="118"/>
      <c r="H468" s="25"/>
      <c r="I468" s="25"/>
      <c r="J468" s="119"/>
    </row>
    <row r="469" ht="22.5" customHeight="1">
      <c r="A469" s="116"/>
      <c r="B469" s="71"/>
      <c r="C469" s="71"/>
      <c r="D469" s="26"/>
      <c r="E469" s="117"/>
      <c r="F469" s="71"/>
      <c r="G469" s="118"/>
      <c r="H469" s="25"/>
      <c r="I469" s="25"/>
      <c r="J469" s="119"/>
    </row>
    <row r="470" ht="22.5" customHeight="1">
      <c r="A470" s="116"/>
      <c r="B470" s="71"/>
      <c r="C470" s="71"/>
      <c r="D470" s="26"/>
      <c r="E470" s="117"/>
      <c r="F470" s="71"/>
      <c r="G470" s="118"/>
      <c r="H470" s="25"/>
      <c r="I470" s="25"/>
      <c r="J470" s="119"/>
    </row>
    <row r="471" ht="22.5" customHeight="1">
      <c r="A471" s="116"/>
      <c r="B471" s="71"/>
      <c r="C471" s="71"/>
      <c r="D471" s="26"/>
      <c r="E471" s="117"/>
      <c r="F471" s="71"/>
      <c r="G471" s="118"/>
      <c r="H471" s="25"/>
      <c r="I471" s="25"/>
      <c r="J471" s="119"/>
    </row>
    <row r="472" ht="22.5" customHeight="1">
      <c r="A472" s="116"/>
      <c r="B472" s="71"/>
      <c r="C472" s="71"/>
      <c r="D472" s="26"/>
      <c r="E472" s="117"/>
      <c r="F472" s="71"/>
      <c r="G472" s="118"/>
      <c r="H472" s="25"/>
      <c r="I472" s="25"/>
      <c r="J472" s="119"/>
    </row>
    <row r="473" ht="22.5" customHeight="1">
      <c r="A473" s="116"/>
      <c r="B473" s="71"/>
      <c r="C473" s="71"/>
      <c r="D473" s="26"/>
      <c r="E473" s="117"/>
      <c r="F473" s="71"/>
      <c r="G473" s="118"/>
      <c r="H473" s="25"/>
      <c r="I473" s="25"/>
      <c r="J473" s="119"/>
    </row>
    <row r="474" ht="22.5" customHeight="1">
      <c r="A474" s="116"/>
      <c r="B474" s="71"/>
      <c r="C474" s="71"/>
      <c r="D474" s="26"/>
      <c r="E474" s="117"/>
      <c r="F474" s="71"/>
      <c r="G474" s="118"/>
      <c r="H474" s="25"/>
      <c r="I474" s="25"/>
      <c r="J474" s="119"/>
    </row>
    <row r="475" ht="22.5" customHeight="1">
      <c r="A475" s="116"/>
      <c r="B475" s="71"/>
      <c r="C475" s="71"/>
      <c r="D475" s="26"/>
      <c r="E475" s="117"/>
      <c r="F475" s="71"/>
      <c r="G475" s="118"/>
      <c r="H475" s="25"/>
      <c r="I475" s="25"/>
      <c r="J475" s="119"/>
    </row>
    <row r="476" ht="22.5" customHeight="1">
      <c r="A476" s="116"/>
      <c r="B476" s="71"/>
      <c r="C476" s="71"/>
      <c r="D476" s="26"/>
      <c r="E476" s="117"/>
      <c r="F476" s="71"/>
      <c r="G476" s="118"/>
      <c r="H476" s="25"/>
      <c r="I476" s="25"/>
      <c r="J476" s="119"/>
    </row>
    <row r="477" ht="22.5" customHeight="1">
      <c r="A477" s="116"/>
      <c r="B477" s="71"/>
      <c r="C477" s="71"/>
      <c r="D477" s="26"/>
      <c r="E477" s="117"/>
      <c r="F477" s="71"/>
      <c r="G477" s="118"/>
      <c r="H477" s="25"/>
      <c r="I477" s="25"/>
      <c r="J477" s="119"/>
    </row>
    <row r="478" ht="22.5" customHeight="1">
      <c r="A478" s="116"/>
      <c r="B478" s="71"/>
      <c r="C478" s="71"/>
      <c r="D478" s="26"/>
      <c r="E478" s="117"/>
      <c r="F478" s="71"/>
      <c r="G478" s="118"/>
      <c r="H478" s="25"/>
      <c r="I478" s="25"/>
      <c r="J478" s="119"/>
    </row>
    <row r="479" ht="22.5" customHeight="1">
      <c r="A479" s="116"/>
      <c r="B479" s="71"/>
      <c r="C479" s="71"/>
      <c r="D479" s="26"/>
      <c r="E479" s="117"/>
      <c r="F479" s="71"/>
      <c r="G479" s="118"/>
      <c r="H479" s="25"/>
      <c r="I479" s="25"/>
      <c r="J479" s="119"/>
    </row>
    <row r="480" ht="22.5" customHeight="1">
      <c r="A480" s="116"/>
      <c r="B480" s="71"/>
      <c r="C480" s="71"/>
      <c r="D480" s="26"/>
      <c r="E480" s="117"/>
      <c r="F480" s="71"/>
      <c r="G480" s="118"/>
      <c r="H480" s="25"/>
      <c r="I480" s="25"/>
      <c r="J480" s="119"/>
    </row>
    <row r="481" ht="22.5" customHeight="1">
      <c r="A481" s="116"/>
      <c r="B481" s="71"/>
      <c r="C481" s="71"/>
      <c r="D481" s="26"/>
      <c r="E481" s="117"/>
      <c r="F481" s="71"/>
      <c r="G481" s="118"/>
      <c r="H481" s="25"/>
      <c r="I481" s="25"/>
      <c r="J481" s="119"/>
    </row>
    <row r="482" ht="22.5" customHeight="1">
      <c r="A482" s="116"/>
      <c r="B482" s="71"/>
      <c r="C482" s="71"/>
      <c r="D482" s="26"/>
      <c r="E482" s="117"/>
      <c r="F482" s="71"/>
      <c r="G482" s="118"/>
      <c r="H482" s="25"/>
      <c r="I482" s="25"/>
      <c r="J482" s="119"/>
    </row>
    <row r="483" ht="22.5" customHeight="1">
      <c r="A483" s="116"/>
      <c r="B483" s="71"/>
      <c r="C483" s="71"/>
      <c r="D483" s="26"/>
      <c r="E483" s="117"/>
      <c r="F483" s="71"/>
      <c r="G483" s="118"/>
      <c r="H483" s="25"/>
      <c r="I483" s="25"/>
      <c r="J483" s="119"/>
    </row>
    <row r="484" ht="22.5" customHeight="1">
      <c r="A484" s="116"/>
      <c r="B484" s="71"/>
      <c r="C484" s="71"/>
      <c r="D484" s="26"/>
      <c r="E484" s="117"/>
      <c r="F484" s="71"/>
      <c r="G484" s="118"/>
      <c r="H484" s="25"/>
      <c r="I484" s="25"/>
      <c r="J484" s="119"/>
    </row>
    <row r="485" ht="22.5" customHeight="1">
      <c r="A485" s="116"/>
      <c r="B485" s="71"/>
      <c r="C485" s="71"/>
      <c r="D485" s="26"/>
      <c r="E485" s="117"/>
      <c r="F485" s="71"/>
      <c r="G485" s="118"/>
      <c r="H485" s="25"/>
      <c r="I485" s="25"/>
      <c r="J485" s="119"/>
    </row>
    <row r="486" ht="22.5" customHeight="1">
      <c r="A486" s="116"/>
      <c r="B486" s="71"/>
      <c r="C486" s="71"/>
      <c r="D486" s="26"/>
      <c r="E486" s="117"/>
      <c r="F486" s="71"/>
      <c r="G486" s="118"/>
      <c r="H486" s="25"/>
      <c r="I486" s="25"/>
      <c r="J486" s="119"/>
    </row>
    <row r="487" ht="22.5" customHeight="1">
      <c r="A487" s="116"/>
      <c r="B487" s="71"/>
      <c r="C487" s="71"/>
      <c r="D487" s="26"/>
      <c r="E487" s="117"/>
      <c r="F487" s="71"/>
      <c r="G487" s="118"/>
      <c r="H487" s="25"/>
      <c r="I487" s="25"/>
      <c r="J487" s="119"/>
    </row>
    <row r="488" ht="22.5" customHeight="1">
      <c r="A488" s="116"/>
      <c r="B488" s="71"/>
      <c r="C488" s="71"/>
      <c r="D488" s="26"/>
      <c r="E488" s="117"/>
      <c r="F488" s="71"/>
      <c r="G488" s="118"/>
      <c r="H488" s="25"/>
      <c r="I488" s="25"/>
      <c r="J488" s="119"/>
    </row>
    <row r="489" ht="22.5" customHeight="1">
      <c r="A489" s="116"/>
      <c r="B489" s="71"/>
      <c r="C489" s="71"/>
      <c r="D489" s="26"/>
      <c r="E489" s="117"/>
      <c r="F489" s="71"/>
      <c r="G489" s="118"/>
      <c r="H489" s="25"/>
      <c r="I489" s="25"/>
      <c r="J489" s="119"/>
    </row>
    <row r="490" ht="22.5" customHeight="1">
      <c r="A490" s="116"/>
      <c r="B490" s="71"/>
      <c r="C490" s="71"/>
      <c r="D490" s="26"/>
      <c r="E490" s="117"/>
      <c r="F490" s="71"/>
      <c r="G490" s="118"/>
      <c r="H490" s="25"/>
      <c r="I490" s="25"/>
      <c r="J490" s="119"/>
    </row>
    <row r="491" ht="22.5" customHeight="1">
      <c r="A491" s="116"/>
      <c r="B491" s="71"/>
      <c r="C491" s="71"/>
      <c r="D491" s="26"/>
      <c r="E491" s="117"/>
      <c r="F491" s="71"/>
      <c r="G491" s="118"/>
      <c r="H491" s="25"/>
      <c r="I491" s="25"/>
      <c r="J491" s="119"/>
    </row>
    <row r="492" ht="22.5" customHeight="1">
      <c r="A492" s="116"/>
      <c r="B492" s="71"/>
      <c r="C492" s="71"/>
      <c r="D492" s="26"/>
      <c r="E492" s="117"/>
      <c r="F492" s="71"/>
      <c r="G492" s="118"/>
      <c r="H492" s="25"/>
      <c r="I492" s="25"/>
      <c r="J492" s="119"/>
    </row>
    <row r="493" ht="22.5" customHeight="1">
      <c r="A493" s="116"/>
      <c r="B493" s="71"/>
      <c r="C493" s="71"/>
      <c r="D493" s="26"/>
      <c r="E493" s="117"/>
      <c r="F493" s="71"/>
      <c r="G493" s="118"/>
      <c r="H493" s="25"/>
      <c r="I493" s="25"/>
      <c r="J493" s="119"/>
    </row>
    <row r="494" ht="22.5" customHeight="1">
      <c r="A494" s="116"/>
      <c r="B494" s="71"/>
      <c r="C494" s="71"/>
      <c r="D494" s="26"/>
      <c r="E494" s="117"/>
      <c r="F494" s="71"/>
      <c r="G494" s="118"/>
      <c r="H494" s="25"/>
      <c r="I494" s="25"/>
      <c r="J494" s="119"/>
    </row>
    <row r="495" ht="22.5" customHeight="1">
      <c r="A495" s="116"/>
      <c r="B495" s="71"/>
      <c r="C495" s="71"/>
      <c r="D495" s="26"/>
      <c r="E495" s="117"/>
      <c r="F495" s="71"/>
      <c r="G495" s="118"/>
      <c r="H495" s="25"/>
      <c r="I495" s="25"/>
      <c r="J495" s="119"/>
    </row>
    <row r="496" ht="22.5" customHeight="1">
      <c r="A496" s="116"/>
      <c r="B496" s="71"/>
      <c r="C496" s="71"/>
      <c r="D496" s="26"/>
      <c r="E496" s="117"/>
      <c r="F496" s="71"/>
      <c r="G496" s="118"/>
      <c r="H496" s="25"/>
      <c r="I496" s="25"/>
      <c r="J496" s="119"/>
    </row>
    <row r="497" ht="22.5" customHeight="1">
      <c r="A497" s="116"/>
      <c r="B497" s="71"/>
      <c r="C497" s="71"/>
      <c r="D497" s="26"/>
      <c r="E497" s="117"/>
      <c r="F497" s="71"/>
      <c r="G497" s="118"/>
      <c r="H497" s="25"/>
      <c r="I497" s="25"/>
      <c r="J497" s="119"/>
    </row>
    <row r="498" ht="22.5" customHeight="1">
      <c r="A498" s="116"/>
      <c r="B498" s="71"/>
      <c r="C498" s="71"/>
      <c r="D498" s="26"/>
      <c r="E498" s="117"/>
      <c r="F498" s="71"/>
      <c r="G498" s="118"/>
      <c r="H498" s="25"/>
      <c r="I498" s="25"/>
      <c r="J498" s="119"/>
    </row>
    <row r="499" ht="22.5" customHeight="1">
      <c r="A499" s="116"/>
      <c r="B499" s="71"/>
      <c r="C499" s="71"/>
      <c r="D499" s="26"/>
      <c r="E499" s="117"/>
      <c r="F499" s="71"/>
      <c r="G499" s="118"/>
      <c r="H499" s="25"/>
      <c r="I499" s="25"/>
      <c r="J499" s="119"/>
    </row>
    <row r="500" ht="22.5" customHeight="1">
      <c r="A500" s="116"/>
      <c r="B500" s="71"/>
      <c r="C500" s="71"/>
      <c r="D500" s="26"/>
      <c r="E500" s="117"/>
      <c r="F500" s="71"/>
      <c r="G500" s="118"/>
      <c r="H500" s="25"/>
      <c r="I500" s="25"/>
      <c r="J500" s="119"/>
    </row>
    <row r="501" ht="22.5" customHeight="1">
      <c r="A501" s="116"/>
      <c r="B501" s="71"/>
      <c r="C501" s="71"/>
      <c r="D501" s="26"/>
      <c r="E501" s="117"/>
      <c r="F501" s="71"/>
      <c r="G501" s="118"/>
      <c r="H501" s="25"/>
      <c r="I501" s="25"/>
      <c r="J501" s="119"/>
    </row>
    <row r="502" ht="22.5" customHeight="1">
      <c r="A502" s="116"/>
      <c r="B502" s="71"/>
      <c r="C502" s="71"/>
      <c r="D502" s="26"/>
      <c r="E502" s="117"/>
      <c r="F502" s="71"/>
      <c r="G502" s="118"/>
      <c r="H502" s="25"/>
      <c r="I502" s="25"/>
      <c r="J502" s="119"/>
    </row>
    <row r="503" ht="22.5" customHeight="1">
      <c r="A503" s="116"/>
      <c r="B503" s="71"/>
      <c r="C503" s="71"/>
      <c r="D503" s="26"/>
      <c r="E503" s="117"/>
      <c r="F503" s="71"/>
      <c r="G503" s="118"/>
      <c r="H503" s="25"/>
      <c r="I503" s="25"/>
      <c r="J503" s="119"/>
    </row>
    <row r="504" ht="22.5" customHeight="1">
      <c r="A504" s="116"/>
      <c r="B504" s="71"/>
      <c r="C504" s="71"/>
      <c r="D504" s="26"/>
      <c r="E504" s="117"/>
      <c r="F504" s="71"/>
      <c r="G504" s="118"/>
      <c r="H504" s="25"/>
      <c r="I504" s="25"/>
      <c r="J504" s="119"/>
    </row>
    <row r="505" ht="22.5" customHeight="1">
      <c r="A505" s="116"/>
      <c r="B505" s="71"/>
      <c r="C505" s="71"/>
      <c r="D505" s="26"/>
      <c r="E505" s="117"/>
      <c r="F505" s="71"/>
      <c r="G505" s="118"/>
      <c r="H505" s="25"/>
      <c r="I505" s="25"/>
      <c r="J505" s="119"/>
    </row>
    <row r="506" ht="22.5" customHeight="1">
      <c r="A506" s="116"/>
      <c r="B506" s="71"/>
      <c r="C506" s="71"/>
      <c r="D506" s="26"/>
      <c r="E506" s="117"/>
      <c r="F506" s="71"/>
      <c r="G506" s="118"/>
      <c r="H506" s="25"/>
      <c r="I506" s="25"/>
      <c r="J506" s="119"/>
    </row>
    <row r="507" ht="22.5" customHeight="1">
      <c r="A507" s="116"/>
      <c r="B507" s="71"/>
      <c r="C507" s="71"/>
      <c r="D507" s="26"/>
      <c r="E507" s="117"/>
      <c r="F507" s="71"/>
      <c r="G507" s="118"/>
      <c r="H507" s="25"/>
      <c r="I507" s="25"/>
      <c r="J507" s="119"/>
    </row>
    <row r="508" ht="22.5" customHeight="1">
      <c r="A508" s="116"/>
      <c r="B508" s="71"/>
      <c r="C508" s="71"/>
      <c r="D508" s="26"/>
      <c r="E508" s="117"/>
      <c r="F508" s="71"/>
      <c r="G508" s="118"/>
      <c r="H508" s="25"/>
      <c r="I508" s="25"/>
      <c r="J508" s="119"/>
    </row>
    <row r="509" ht="22.5" customHeight="1">
      <c r="A509" s="116"/>
      <c r="B509" s="71"/>
      <c r="C509" s="71"/>
      <c r="D509" s="26"/>
      <c r="E509" s="117"/>
      <c r="F509" s="71"/>
      <c r="G509" s="118"/>
      <c r="H509" s="25"/>
      <c r="I509" s="25"/>
      <c r="J509" s="119"/>
    </row>
    <row r="510" ht="22.5" customHeight="1">
      <c r="A510" s="116"/>
      <c r="B510" s="71"/>
      <c r="C510" s="71"/>
      <c r="D510" s="26"/>
      <c r="E510" s="117"/>
      <c r="F510" s="71"/>
      <c r="G510" s="118"/>
      <c r="H510" s="25"/>
      <c r="I510" s="25"/>
      <c r="J510" s="119"/>
    </row>
    <row r="511" ht="22.5" customHeight="1">
      <c r="A511" s="116"/>
      <c r="B511" s="71"/>
      <c r="C511" s="71"/>
      <c r="D511" s="26"/>
      <c r="E511" s="117"/>
      <c r="F511" s="71"/>
      <c r="G511" s="118"/>
      <c r="H511" s="25"/>
      <c r="I511" s="25"/>
      <c r="J511" s="119"/>
    </row>
    <row r="512" ht="22.5" customHeight="1">
      <c r="A512" s="116"/>
      <c r="B512" s="71"/>
      <c r="C512" s="71"/>
      <c r="D512" s="26"/>
      <c r="E512" s="117"/>
      <c r="F512" s="71"/>
      <c r="G512" s="118"/>
      <c r="H512" s="25"/>
      <c r="I512" s="25"/>
      <c r="J512" s="119"/>
    </row>
    <row r="513" ht="22.5" customHeight="1">
      <c r="A513" s="116"/>
      <c r="B513" s="71"/>
      <c r="C513" s="71"/>
      <c r="D513" s="26"/>
      <c r="E513" s="117"/>
      <c r="F513" s="71"/>
      <c r="G513" s="118"/>
      <c r="H513" s="25"/>
      <c r="I513" s="25"/>
      <c r="J513" s="119"/>
    </row>
    <row r="514" ht="22.5" customHeight="1">
      <c r="A514" s="116"/>
      <c r="B514" s="71"/>
      <c r="C514" s="71"/>
      <c r="D514" s="26"/>
      <c r="E514" s="117"/>
      <c r="F514" s="71"/>
      <c r="G514" s="118"/>
      <c r="H514" s="25"/>
      <c r="I514" s="25"/>
      <c r="J514" s="119"/>
    </row>
    <row r="515" ht="22.5" customHeight="1">
      <c r="A515" s="116"/>
      <c r="B515" s="71"/>
      <c r="C515" s="71"/>
      <c r="D515" s="26"/>
      <c r="E515" s="117"/>
      <c r="F515" s="71"/>
      <c r="G515" s="118"/>
      <c r="H515" s="25"/>
      <c r="I515" s="25"/>
      <c r="J515" s="119"/>
    </row>
    <row r="516" ht="22.5" customHeight="1">
      <c r="A516" s="116"/>
      <c r="B516" s="71"/>
      <c r="C516" s="71"/>
      <c r="D516" s="26"/>
      <c r="E516" s="117"/>
      <c r="F516" s="71"/>
      <c r="G516" s="118"/>
      <c r="H516" s="25"/>
      <c r="I516" s="25"/>
      <c r="J516" s="119"/>
    </row>
    <row r="517" ht="22.5" customHeight="1">
      <c r="A517" s="116"/>
      <c r="B517" s="71"/>
      <c r="C517" s="71"/>
      <c r="D517" s="26"/>
      <c r="E517" s="117"/>
      <c r="F517" s="71"/>
      <c r="G517" s="118"/>
      <c r="H517" s="25"/>
      <c r="I517" s="25"/>
      <c r="J517" s="119"/>
    </row>
    <row r="518" ht="22.5" customHeight="1">
      <c r="A518" s="116"/>
      <c r="B518" s="71"/>
      <c r="C518" s="71"/>
      <c r="D518" s="26"/>
      <c r="E518" s="117"/>
      <c r="F518" s="71"/>
      <c r="G518" s="118"/>
      <c r="H518" s="25"/>
      <c r="I518" s="25"/>
      <c r="J518" s="119"/>
    </row>
    <row r="519" ht="22.5" customHeight="1">
      <c r="A519" s="116"/>
      <c r="B519" s="71"/>
      <c r="C519" s="71"/>
      <c r="D519" s="26"/>
      <c r="E519" s="117"/>
      <c r="F519" s="71"/>
      <c r="G519" s="118"/>
      <c r="H519" s="25"/>
      <c r="I519" s="25"/>
      <c r="J519" s="119"/>
    </row>
    <row r="520" ht="22.5" customHeight="1">
      <c r="A520" s="116"/>
      <c r="B520" s="71"/>
      <c r="C520" s="71"/>
      <c r="D520" s="26"/>
      <c r="E520" s="117"/>
      <c r="F520" s="71"/>
      <c r="G520" s="118"/>
      <c r="H520" s="25"/>
      <c r="I520" s="25"/>
      <c r="J520" s="119"/>
    </row>
    <row r="521" ht="22.5" customHeight="1">
      <c r="A521" s="116"/>
      <c r="B521" s="71"/>
      <c r="C521" s="71"/>
      <c r="D521" s="26"/>
      <c r="E521" s="117"/>
      <c r="F521" s="71"/>
      <c r="G521" s="118"/>
      <c r="H521" s="25"/>
      <c r="I521" s="25"/>
      <c r="J521" s="119"/>
    </row>
    <row r="522" ht="22.5" customHeight="1">
      <c r="A522" s="116"/>
      <c r="B522" s="71"/>
      <c r="C522" s="71"/>
      <c r="D522" s="26"/>
      <c r="E522" s="117"/>
      <c r="F522" s="71"/>
      <c r="G522" s="118"/>
      <c r="H522" s="25"/>
      <c r="I522" s="25"/>
      <c r="J522" s="119"/>
    </row>
    <row r="523" ht="22.5" customHeight="1">
      <c r="A523" s="116"/>
      <c r="B523" s="71"/>
      <c r="C523" s="71"/>
      <c r="D523" s="26"/>
      <c r="E523" s="117"/>
      <c r="F523" s="71"/>
      <c r="G523" s="118"/>
      <c r="H523" s="25"/>
      <c r="I523" s="25"/>
      <c r="J523" s="119"/>
    </row>
    <row r="524" ht="22.5" customHeight="1">
      <c r="A524" s="116"/>
      <c r="B524" s="71"/>
      <c r="C524" s="71"/>
      <c r="D524" s="26"/>
      <c r="E524" s="117"/>
      <c r="F524" s="71"/>
      <c r="G524" s="118"/>
      <c r="H524" s="25"/>
      <c r="I524" s="25"/>
      <c r="J524" s="119"/>
    </row>
    <row r="525" ht="22.5" customHeight="1">
      <c r="A525" s="116"/>
      <c r="B525" s="71"/>
      <c r="C525" s="71"/>
      <c r="D525" s="26"/>
      <c r="E525" s="117"/>
      <c r="F525" s="71"/>
      <c r="G525" s="118"/>
      <c r="H525" s="25"/>
      <c r="I525" s="25"/>
      <c r="J525" s="119"/>
    </row>
    <row r="526" ht="22.5" customHeight="1">
      <c r="A526" s="116"/>
      <c r="B526" s="71"/>
      <c r="C526" s="71"/>
      <c r="D526" s="26"/>
      <c r="E526" s="117"/>
      <c r="F526" s="71"/>
      <c r="G526" s="118"/>
      <c r="H526" s="25"/>
      <c r="I526" s="25"/>
      <c r="J526" s="119"/>
    </row>
    <row r="527" ht="22.5" customHeight="1">
      <c r="A527" s="116"/>
      <c r="B527" s="71"/>
      <c r="C527" s="71"/>
      <c r="D527" s="26"/>
      <c r="E527" s="117"/>
      <c r="F527" s="71"/>
      <c r="G527" s="118"/>
      <c r="H527" s="25"/>
      <c r="I527" s="25"/>
      <c r="J527" s="119"/>
    </row>
    <row r="528" ht="22.5" customHeight="1">
      <c r="A528" s="116"/>
      <c r="B528" s="71"/>
      <c r="C528" s="71"/>
      <c r="D528" s="26"/>
      <c r="E528" s="117"/>
      <c r="F528" s="71"/>
      <c r="G528" s="118"/>
      <c r="H528" s="25"/>
      <c r="I528" s="25"/>
      <c r="J528" s="119"/>
    </row>
    <row r="529" ht="22.5" customHeight="1">
      <c r="A529" s="116"/>
      <c r="B529" s="71"/>
      <c r="C529" s="71"/>
      <c r="D529" s="26"/>
      <c r="E529" s="117"/>
      <c r="F529" s="71"/>
      <c r="G529" s="118"/>
      <c r="H529" s="25"/>
      <c r="I529" s="25"/>
      <c r="J529" s="119"/>
    </row>
    <row r="530" ht="22.5" customHeight="1">
      <c r="A530" s="116"/>
      <c r="B530" s="71"/>
      <c r="C530" s="71"/>
      <c r="D530" s="26"/>
      <c r="E530" s="117"/>
      <c r="F530" s="71"/>
      <c r="G530" s="118"/>
      <c r="H530" s="25"/>
      <c r="I530" s="25"/>
      <c r="J530" s="119"/>
    </row>
    <row r="531" ht="22.5" customHeight="1">
      <c r="A531" s="116"/>
      <c r="B531" s="71"/>
      <c r="C531" s="71"/>
      <c r="D531" s="26"/>
      <c r="E531" s="117"/>
      <c r="F531" s="71"/>
      <c r="G531" s="118"/>
      <c r="H531" s="25"/>
      <c r="I531" s="25"/>
      <c r="J531" s="119"/>
    </row>
    <row r="532" ht="22.5" customHeight="1">
      <c r="A532" s="116"/>
      <c r="B532" s="71"/>
      <c r="C532" s="71"/>
      <c r="D532" s="26"/>
      <c r="E532" s="117"/>
      <c r="F532" s="71"/>
      <c r="G532" s="118"/>
      <c r="H532" s="25"/>
      <c r="I532" s="25"/>
      <c r="J532" s="119"/>
    </row>
    <row r="533" ht="22.5" customHeight="1">
      <c r="A533" s="116"/>
      <c r="B533" s="71"/>
      <c r="C533" s="71"/>
      <c r="D533" s="26"/>
      <c r="E533" s="117"/>
      <c r="F533" s="71"/>
      <c r="G533" s="118"/>
      <c r="H533" s="25"/>
      <c r="I533" s="25"/>
      <c r="J533" s="119"/>
    </row>
    <row r="534" ht="22.5" customHeight="1">
      <c r="A534" s="116"/>
      <c r="B534" s="71"/>
      <c r="C534" s="71"/>
      <c r="D534" s="26"/>
      <c r="E534" s="117"/>
      <c r="F534" s="71"/>
      <c r="G534" s="118"/>
      <c r="H534" s="25"/>
      <c r="I534" s="25"/>
      <c r="J534" s="119"/>
    </row>
    <row r="535" ht="22.5" customHeight="1">
      <c r="A535" s="116"/>
      <c r="B535" s="71"/>
      <c r="C535" s="71"/>
      <c r="D535" s="26"/>
      <c r="E535" s="117"/>
      <c r="F535" s="71"/>
      <c r="G535" s="118"/>
      <c r="H535" s="25"/>
      <c r="I535" s="25"/>
      <c r="J535" s="119"/>
    </row>
    <row r="536" ht="22.5" customHeight="1">
      <c r="A536" s="116"/>
      <c r="B536" s="71"/>
      <c r="C536" s="71"/>
      <c r="D536" s="26"/>
      <c r="E536" s="117"/>
      <c r="F536" s="71"/>
      <c r="G536" s="118"/>
      <c r="H536" s="25"/>
      <c r="I536" s="25"/>
      <c r="J536" s="119"/>
    </row>
    <row r="537" ht="22.5" customHeight="1">
      <c r="A537" s="116"/>
      <c r="B537" s="71"/>
      <c r="C537" s="71"/>
      <c r="D537" s="26"/>
      <c r="E537" s="117"/>
      <c r="F537" s="71"/>
      <c r="G537" s="118"/>
      <c r="H537" s="25"/>
      <c r="I537" s="25"/>
      <c r="J537" s="119"/>
    </row>
    <row r="538" ht="22.5" customHeight="1">
      <c r="A538" s="116"/>
      <c r="B538" s="71"/>
      <c r="C538" s="71"/>
      <c r="D538" s="26"/>
      <c r="E538" s="117"/>
      <c r="F538" s="71"/>
      <c r="G538" s="118"/>
      <c r="H538" s="25"/>
      <c r="I538" s="25"/>
      <c r="J538" s="119"/>
    </row>
    <row r="539" ht="22.5" customHeight="1">
      <c r="A539" s="116"/>
      <c r="B539" s="71"/>
      <c r="C539" s="71"/>
      <c r="D539" s="26"/>
      <c r="E539" s="117"/>
      <c r="F539" s="71"/>
      <c r="G539" s="118"/>
      <c r="H539" s="25"/>
      <c r="I539" s="25"/>
      <c r="J539" s="119"/>
    </row>
    <row r="540" ht="22.5" customHeight="1">
      <c r="A540" s="116"/>
      <c r="B540" s="71"/>
      <c r="C540" s="71"/>
      <c r="D540" s="26"/>
      <c r="E540" s="117"/>
      <c r="F540" s="71"/>
      <c r="G540" s="118"/>
      <c r="H540" s="25"/>
      <c r="I540" s="25"/>
      <c r="J540" s="119"/>
    </row>
    <row r="541" ht="22.5" customHeight="1">
      <c r="A541" s="116"/>
      <c r="B541" s="71"/>
      <c r="C541" s="71"/>
      <c r="D541" s="26"/>
      <c r="E541" s="117"/>
      <c r="F541" s="71"/>
      <c r="G541" s="118"/>
      <c r="H541" s="25"/>
      <c r="I541" s="25"/>
      <c r="J541" s="119"/>
    </row>
    <row r="542" ht="22.5" customHeight="1">
      <c r="A542" s="116"/>
      <c r="B542" s="71"/>
      <c r="C542" s="71"/>
      <c r="D542" s="26"/>
      <c r="E542" s="117"/>
      <c r="F542" s="71"/>
      <c r="G542" s="118"/>
      <c r="H542" s="25"/>
      <c r="I542" s="25"/>
      <c r="J542" s="119"/>
    </row>
    <row r="543" ht="22.5" customHeight="1">
      <c r="A543" s="116"/>
      <c r="B543" s="71"/>
      <c r="C543" s="71"/>
      <c r="D543" s="26"/>
      <c r="E543" s="117"/>
      <c r="F543" s="71"/>
      <c r="G543" s="118"/>
      <c r="H543" s="25"/>
      <c r="I543" s="25"/>
      <c r="J543" s="119"/>
    </row>
    <row r="544" ht="22.5" customHeight="1">
      <c r="A544" s="116"/>
      <c r="B544" s="71"/>
      <c r="C544" s="71"/>
      <c r="D544" s="26"/>
      <c r="E544" s="117"/>
      <c r="F544" s="71"/>
      <c r="G544" s="118"/>
      <c r="H544" s="25"/>
      <c r="I544" s="25"/>
      <c r="J544" s="119"/>
    </row>
    <row r="545" ht="22.5" customHeight="1">
      <c r="A545" s="116"/>
      <c r="B545" s="71"/>
      <c r="C545" s="71"/>
      <c r="D545" s="26"/>
      <c r="E545" s="117"/>
      <c r="F545" s="71"/>
      <c r="G545" s="118"/>
      <c r="H545" s="25"/>
      <c r="I545" s="25"/>
      <c r="J545" s="119"/>
    </row>
    <row r="546" ht="22.5" customHeight="1">
      <c r="A546" s="116"/>
      <c r="B546" s="71"/>
      <c r="C546" s="71"/>
      <c r="D546" s="26"/>
      <c r="E546" s="117"/>
      <c r="F546" s="71"/>
      <c r="G546" s="118"/>
      <c r="H546" s="25"/>
      <c r="I546" s="25"/>
      <c r="J546" s="119"/>
    </row>
    <row r="547" ht="22.5" customHeight="1">
      <c r="A547" s="116"/>
      <c r="B547" s="71"/>
      <c r="C547" s="71"/>
      <c r="D547" s="26"/>
      <c r="E547" s="117"/>
      <c r="F547" s="71"/>
      <c r="G547" s="118"/>
      <c r="H547" s="25"/>
      <c r="I547" s="25"/>
      <c r="J547" s="119"/>
    </row>
    <row r="548" ht="22.5" customHeight="1">
      <c r="A548" s="116"/>
      <c r="B548" s="71"/>
      <c r="C548" s="71"/>
      <c r="D548" s="26"/>
      <c r="E548" s="117"/>
      <c r="F548" s="71"/>
      <c r="G548" s="118"/>
      <c r="H548" s="25"/>
      <c r="I548" s="25"/>
      <c r="J548" s="119"/>
    </row>
    <row r="549" ht="22.5" customHeight="1">
      <c r="A549" s="116"/>
      <c r="B549" s="71"/>
      <c r="C549" s="71"/>
      <c r="D549" s="26"/>
      <c r="E549" s="117"/>
      <c r="F549" s="71"/>
      <c r="G549" s="118"/>
      <c r="H549" s="25"/>
      <c r="I549" s="25"/>
      <c r="J549" s="119"/>
    </row>
    <row r="550" ht="22.5" customHeight="1">
      <c r="A550" s="116"/>
      <c r="B550" s="71"/>
      <c r="C550" s="71"/>
      <c r="D550" s="26"/>
      <c r="E550" s="117"/>
      <c r="F550" s="71"/>
      <c r="G550" s="118"/>
      <c r="H550" s="25"/>
      <c r="I550" s="25"/>
      <c r="J550" s="119"/>
    </row>
    <row r="551" ht="22.5" customHeight="1">
      <c r="A551" s="116"/>
      <c r="B551" s="71"/>
      <c r="C551" s="71"/>
      <c r="D551" s="26"/>
      <c r="E551" s="117"/>
      <c r="F551" s="71"/>
      <c r="G551" s="118"/>
      <c r="H551" s="25"/>
      <c r="I551" s="25"/>
      <c r="J551" s="119"/>
    </row>
    <row r="552" ht="22.5" customHeight="1">
      <c r="A552" s="116"/>
      <c r="B552" s="71"/>
      <c r="C552" s="71"/>
      <c r="D552" s="26"/>
      <c r="E552" s="117"/>
      <c r="F552" s="71"/>
      <c r="G552" s="118"/>
      <c r="H552" s="25"/>
      <c r="I552" s="25"/>
      <c r="J552" s="119"/>
    </row>
    <row r="553" ht="22.5" customHeight="1">
      <c r="A553" s="116"/>
      <c r="B553" s="71"/>
      <c r="C553" s="71"/>
      <c r="D553" s="26"/>
      <c r="E553" s="117"/>
      <c r="F553" s="71"/>
      <c r="G553" s="118"/>
      <c r="H553" s="25"/>
      <c r="I553" s="25"/>
      <c r="J553" s="119"/>
    </row>
    <row r="554" ht="22.5" customHeight="1">
      <c r="A554" s="116"/>
      <c r="B554" s="71"/>
      <c r="C554" s="71"/>
      <c r="D554" s="26"/>
      <c r="E554" s="117"/>
      <c r="F554" s="71"/>
      <c r="G554" s="118"/>
      <c r="H554" s="25"/>
      <c r="I554" s="25"/>
      <c r="J554" s="119"/>
    </row>
    <row r="555" ht="22.5" customHeight="1">
      <c r="A555" s="116"/>
      <c r="B555" s="71"/>
      <c r="C555" s="71"/>
      <c r="D555" s="26"/>
      <c r="E555" s="117"/>
      <c r="F555" s="71"/>
      <c r="G555" s="118"/>
      <c r="H555" s="25"/>
      <c r="I555" s="25"/>
      <c r="J555" s="119"/>
    </row>
    <row r="556" ht="22.5" customHeight="1">
      <c r="A556" s="116"/>
      <c r="B556" s="71"/>
      <c r="C556" s="71"/>
      <c r="D556" s="26"/>
      <c r="E556" s="117"/>
      <c r="F556" s="71"/>
      <c r="G556" s="118"/>
      <c r="H556" s="25"/>
      <c r="I556" s="25"/>
      <c r="J556" s="119"/>
    </row>
    <row r="557" ht="22.5" customHeight="1">
      <c r="A557" s="116"/>
      <c r="B557" s="71"/>
      <c r="C557" s="71"/>
      <c r="D557" s="26"/>
      <c r="E557" s="117"/>
      <c r="F557" s="71"/>
      <c r="G557" s="118"/>
      <c r="H557" s="25"/>
      <c r="I557" s="25"/>
      <c r="J557" s="119"/>
    </row>
    <row r="558" ht="22.5" customHeight="1">
      <c r="A558" s="116"/>
      <c r="B558" s="71"/>
      <c r="C558" s="71"/>
      <c r="D558" s="26"/>
      <c r="E558" s="117"/>
      <c r="F558" s="71"/>
      <c r="G558" s="118"/>
      <c r="H558" s="25"/>
      <c r="I558" s="25"/>
      <c r="J558" s="119"/>
    </row>
    <row r="559" ht="22.5" customHeight="1">
      <c r="A559" s="116"/>
      <c r="B559" s="71"/>
      <c r="C559" s="71"/>
      <c r="D559" s="26"/>
      <c r="E559" s="117"/>
      <c r="F559" s="71"/>
      <c r="G559" s="118"/>
      <c r="H559" s="25"/>
      <c r="I559" s="25"/>
      <c r="J559" s="119"/>
    </row>
    <row r="560" ht="22.5" customHeight="1">
      <c r="A560" s="116"/>
      <c r="B560" s="71"/>
      <c r="C560" s="71"/>
      <c r="D560" s="26"/>
      <c r="E560" s="117"/>
      <c r="F560" s="71"/>
      <c r="G560" s="118"/>
      <c r="H560" s="25"/>
      <c r="I560" s="25"/>
      <c r="J560" s="119"/>
    </row>
    <row r="561" ht="22.5" customHeight="1">
      <c r="A561" s="116"/>
      <c r="B561" s="71"/>
      <c r="C561" s="71"/>
      <c r="D561" s="26"/>
      <c r="E561" s="117"/>
      <c r="F561" s="71"/>
      <c r="G561" s="118"/>
      <c r="H561" s="25"/>
      <c r="I561" s="25"/>
      <c r="J561" s="119"/>
    </row>
    <row r="562" ht="22.5" customHeight="1">
      <c r="A562" s="116"/>
      <c r="B562" s="71"/>
      <c r="C562" s="71"/>
      <c r="D562" s="26"/>
      <c r="E562" s="117"/>
      <c r="F562" s="71"/>
      <c r="G562" s="118"/>
      <c r="H562" s="25"/>
      <c r="I562" s="25"/>
      <c r="J562" s="119"/>
    </row>
    <row r="563" ht="22.5" customHeight="1">
      <c r="A563" s="116"/>
      <c r="B563" s="71"/>
      <c r="C563" s="71"/>
      <c r="D563" s="26"/>
      <c r="E563" s="117"/>
      <c r="F563" s="71"/>
      <c r="G563" s="118"/>
      <c r="H563" s="25"/>
      <c r="I563" s="25"/>
      <c r="J563" s="119"/>
    </row>
    <row r="564" ht="22.5" customHeight="1">
      <c r="A564" s="116"/>
      <c r="B564" s="71"/>
      <c r="C564" s="71"/>
      <c r="D564" s="26"/>
      <c r="E564" s="117"/>
      <c r="F564" s="71"/>
      <c r="G564" s="118"/>
      <c r="H564" s="25"/>
      <c r="I564" s="25"/>
      <c r="J564" s="119"/>
    </row>
    <row r="565" ht="22.5" customHeight="1">
      <c r="A565" s="116"/>
      <c r="B565" s="71"/>
      <c r="C565" s="71"/>
      <c r="D565" s="26"/>
      <c r="E565" s="117"/>
      <c r="F565" s="71"/>
      <c r="G565" s="118"/>
      <c r="H565" s="25"/>
      <c r="I565" s="25"/>
      <c r="J565" s="119"/>
    </row>
    <row r="566" ht="22.5" customHeight="1">
      <c r="A566" s="116"/>
      <c r="B566" s="71"/>
      <c r="C566" s="71"/>
      <c r="D566" s="26"/>
      <c r="E566" s="117"/>
      <c r="F566" s="71"/>
      <c r="G566" s="118"/>
      <c r="H566" s="25"/>
      <c r="I566" s="25"/>
      <c r="J566" s="119"/>
    </row>
    <row r="567" ht="22.5" customHeight="1">
      <c r="A567" s="116"/>
      <c r="B567" s="71"/>
      <c r="C567" s="71"/>
      <c r="D567" s="26"/>
      <c r="E567" s="117"/>
      <c r="F567" s="71"/>
      <c r="G567" s="118"/>
      <c r="H567" s="25"/>
      <c r="I567" s="25"/>
      <c r="J567" s="119"/>
    </row>
    <row r="568" ht="22.5" customHeight="1">
      <c r="A568" s="116"/>
      <c r="B568" s="71"/>
      <c r="C568" s="71"/>
      <c r="D568" s="26"/>
      <c r="E568" s="117"/>
      <c r="F568" s="71"/>
      <c r="G568" s="118"/>
      <c r="H568" s="25"/>
      <c r="I568" s="25"/>
      <c r="J568" s="119"/>
    </row>
    <row r="569" ht="22.5" customHeight="1">
      <c r="A569" s="116"/>
      <c r="B569" s="71"/>
      <c r="C569" s="71"/>
      <c r="D569" s="26"/>
      <c r="E569" s="117"/>
      <c r="F569" s="71"/>
      <c r="G569" s="118"/>
      <c r="H569" s="25"/>
      <c r="I569" s="25"/>
      <c r="J569" s="119"/>
    </row>
    <row r="570" ht="22.5" customHeight="1">
      <c r="A570" s="116"/>
      <c r="B570" s="71"/>
      <c r="C570" s="71"/>
      <c r="D570" s="26"/>
      <c r="E570" s="117"/>
      <c r="F570" s="71"/>
      <c r="G570" s="118"/>
      <c r="H570" s="25"/>
      <c r="I570" s="25"/>
      <c r="J570" s="119"/>
    </row>
    <row r="571" ht="22.5" customHeight="1">
      <c r="A571" s="116"/>
      <c r="B571" s="71"/>
      <c r="C571" s="71"/>
      <c r="D571" s="26"/>
      <c r="E571" s="117"/>
      <c r="F571" s="71"/>
      <c r="G571" s="118"/>
      <c r="H571" s="25"/>
      <c r="I571" s="25"/>
      <c r="J571" s="119"/>
    </row>
    <row r="572" ht="22.5" customHeight="1">
      <c r="A572" s="116"/>
      <c r="B572" s="71"/>
      <c r="C572" s="71"/>
      <c r="D572" s="26"/>
      <c r="E572" s="117"/>
      <c r="F572" s="71"/>
      <c r="G572" s="118"/>
      <c r="H572" s="25"/>
      <c r="I572" s="25"/>
      <c r="J572" s="119"/>
    </row>
    <row r="573" ht="22.5" customHeight="1">
      <c r="A573" s="116"/>
      <c r="B573" s="71"/>
      <c r="C573" s="71"/>
      <c r="D573" s="26"/>
      <c r="E573" s="117"/>
      <c r="F573" s="71"/>
      <c r="G573" s="118"/>
      <c r="H573" s="25"/>
      <c r="I573" s="25"/>
      <c r="J573" s="119"/>
    </row>
    <row r="574" ht="22.5" customHeight="1">
      <c r="A574" s="116"/>
      <c r="B574" s="71"/>
      <c r="C574" s="71"/>
      <c r="D574" s="26"/>
      <c r="E574" s="117"/>
      <c r="F574" s="71"/>
      <c r="G574" s="118"/>
      <c r="H574" s="25"/>
      <c r="I574" s="25"/>
      <c r="J574" s="119"/>
    </row>
    <row r="575" ht="22.5" customHeight="1">
      <c r="A575" s="116"/>
      <c r="B575" s="71"/>
      <c r="C575" s="71"/>
      <c r="D575" s="26"/>
      <c r="E575" s="117"/>
      <c r="F575" s="71"/>
      <c r="G575" s="118"/>
      <c r="H575" s="25"/>
      <c r="I575" s="25"/>
      <c r="J575" s="119"/>
    </row>
    <row r="576" ht="22.5" customHeight="1">
      <c r="A576" s="116"/>
      <c r="B576" s="71"/>
      <c r="C576" s="71"/>
      <c r="D576" s="26"/>
      <c r="E576" s="117"/>
      <c r="F576" s="71"/>
      <c r="G576" s="118"/>
      <c r="H576" s="25"/>
      <c r="I576" s="25"/>
      <c r="J576" s="119"/>
    </row>
    <row r="577" ht="22.5" customHeight="1">
      <c r="A577" s="116"/>
      <c r="B577" s="71"/>
      <c r="C577" s="71"/>
      <c r="D577" s="26"/>
      <c r="E577" s="117"/>
      <c r="F577" s="71"/>
      <c r="G577" s="118"/>
      <c r="H577" s="25"/>
      <c r="I577" s="25"/>
      <c r="J577" s="119"/>
    </row>
    <row r="578" ht="22.5" customHeight="1">
      <c r="A578" s="116"/>
      <c r="B578" s="71"/>
      <c r="C578" s="71"/>
      <c r="D578" s="26"/>
      <c r="E578" s="117"/>
      <c r="F578" s="71"/>
      <c r="G578" s="118"/>
      <c r="H578" s="25"/>
      <c r="I578" s="25"/>
      <c r="J578" s="119"/>
    </row>
    <row r="579" ht="22.5" customHeight="1">
      <c r="A579" s="116"/>
      <c r="B579" s="71"/>
      <c r="C579" s="71"/>
      <c r="D579" s="26"/>
      <c r="E579" s="117"/>
      <c r="F579" s="71"/>
      <c r="G579" s="118"/>
      <c r="H579" s="25"/>
      <c r="I579" s="25"/>
      <c r="J579" s="119"/>
    </row>
    <row r="580" ht="22.5" customHeight="1">
      <c r="A580" s="116"/>
      <c r="B580" s="71"/>
      <c r="C580" s="71"/>
      <c r="D580" s="26"/>
      <c r="E580" s="117"/>
      <c r="F580" s="71"/>
      <c r="G580" s="118"/>
      <c r="H580" s="25"/>
      <c r="I580" s="25"/>
      <c r="J580" s="119"/>
    </row>
    <row r="581" ht="22.5" customHeight="1">
      <c r="A581" s="116"/>
      <c r="B581" s="71"/>
      <c r="C581" s="71"/>
      <c r="D581" s="26"/>
      <c r="E581" s="117"/>
      <c r="F581" s="71"/>
      <c r="G581" s="118"/>
      <c r="H581" s="25"/>
      <c r="I581" s="25"/>
      <c r="J581" s="119"/>
    </row>
    <row r="582" ht="22.5" customHeight="1">
      <c r="A582" s="116"/>
      <c r="B582" s="71"/>
      <c r="C582" s="71"/>
      <c r="D582" s="26"/>
      <c r="E582" s="117"/>
      <c r="F582" s="71"/>
      <c r="G582" s="118"/>
      <c r="H582" s="25"/>
      <c r="I582" s="25"/>
      <c r="J582" s="119"/>
    </row>
    <row r="583" ht="22.5" customHeight="1">
      <c r="A583" s="116"/>
      <c r="B583" s="71"/>
      <c r="C583" s="71"/>
      <c r="D583" s="26"/>
      <c r="E583" s="117"/>
      <c r="F583" s="71"/>
      <c r="G583" s="118"/>
      <c r="H583" s="25"/>
      <c r="I583" s="25"/>
      <c r="J583" s="119"/>
    </row>
    <row r="584" ht="22.5" customHeight="1">
      <c r="A584" s="116"/>
      <c r="B584" s="71"/>
      <c r="C584" s="71"/>
      <c r="D584" s="26"/>
      <c r="E584" s="117"/>
      <c r="F584" s="71"/>
      <c r="G584" s="118"/>
      <c r="H584" s="25"/>
      <c r="I584" s="25"/>
      <c r="J584" s="119"/>
    </row>
    <row r="585" ht="22.5" customHeight="1">
      <c r="A585" s="116"/>
      <c r="B585" s="71"/>
      <c r="C585" s="71"/>
      <c r="D585" s="26"/>
      <c r="E585" s="117"/>
      <c r="F585" s="71"/>
      <c r="G585" s="118"/>
      <c r="H585" s="25"/>
      <c r="I585" s="25"/>
      <c r="J585" s="119"/>
    </row>
    <row r="586" ht="22.5" customHeight="1">
      <c r="A586" s="116"/>
      <c r="B586" s="71"/>
      <c r="C586" s="71"/>
      <c r="D586" s="26"/>
      <c r="E586" s="117"/>
      <c r="F586" s="71"/>
      <c r="G586" s="118"/>
      <c r="H586" s="25"/>
      <c r="I586" s="25"/>
      <c r="J586" s="119"/>
    </row>
    <row r="587" ht="22.5" customHeight="1">
      <c r="A587" s="116"/>
      <c r="B587" s="71"/>
      <c r="C587" s="71"/>
      <c r="D587" s="26"/>
      <c r="E587" s="117"/>
      <c r="F587" s="71"/>
      <c r="G587" s="118"/>
      <c r="H587" s="25"/>
      <c r="I587" s="25"/>
      <c r="J587" s="119"/>
    </row>
    <row r="588" ht="22.5" customHeight="1">
      <c r="A588" s="116"/>
      <c r="B588" s="71"/>
      <c r="C588" s="71"/>
      <c r="D588" s="26"/>
      <c r="E588" s="117"/>
      <c r="F588" s="71"/>
      <c r="G588" s="118"/>
      <c r="H588" s="25"/>
      <c r="I588" s="25"/>
      <c r="J588" s="119"/>
    </row>
    <row r="589" ht="22.5" customHeight="1">
      <c r="A589" s="116"/>
      <c r="B589" s="71"/>
      <c r="C589" s="71"/>
      <c r="D589" s="26"/>
      <c r="E589" s="117"/>
      <c r="F589" s="71"/>
      <c r="G589" s="118"/>
      <c r="H589" s="25"/>
      <c r="I589" s="25"/>
      <c r="J589" s="119"/>
    </row>
    <row r="590" ht="22.5" customHeight="1">
      <c r="A590" s="116"/>
      <c r="B590" s="71"/>
      <c r="C590" s="71"/>
      <c r="D590" s="26"/>
      <c r="E590" s="117"/>
      <c r="F590" s="71"/>
      <c r="G590" s="118"/>
      <c r="H590" s="25"/>
      <c r="I590" s="25"/>
      <c r="J590" s="119"/>
    </row>
    <row r="591" ht="22.5" customHeight="1">
      <c r="A591" s="116"/>
      <c r="B591" s="71"/>
      <c r="C591" s="71"/>
      <c r="D591" s="26"/>
      <c r="E591" s="117"/>
      <c r="F591" s="71"/>
      <c r="G591" s="118"/>
      <c r="H591" s="25"/>
      <c r="I591" s="25"/>
      <c r="J591" s="119"/>
    </row>
    <row r="592" ht="22.5" customHeight="1">
      <c r="A592" s="116"/>
      <c r="B592" s="71"/>
      <c r="C592" s="71"/>
      <c r="D592" s="26"/>
      <c r="E592" s="117"/>
      <c r="F592" s="71"/>
      <c r="G592" s="118"/>
      <c r="H592" s="25"/>
      <c r="I592" s="25"/>
      <c r="J592" s="119"/>
    </row>
    <row r="593" ht="22.5" customHeight="1">
      <c r="A593" s="116"/>
      <c r="B593" s="71"/>
      <c r="C593" s="71"/>
      <c r="D593" s="26"/>
      <c r="E593" s="117"/>
      <c r="F593" s="71"/>
      <c r="G593" s="118"/>
      <c r="H593" s="25"/>
      <c r="I593" s="25"/>
      <c r="J593" s="119"/>
    </row>
    <row r="594" ht="22.5" customHeight="1">
      <c r="A594" s="116"/>
      <c r="B594" s="71"/>
      <c r="C594" s="71"/>
      <c r="D594" s="26"/>
      <c r="E594" s="117"/>
      <c r="F594" s="71"/>
      <c r="G594" s="118"/>
      <c r="H594" s="25"/>
      <c r="I594" s="25"/>
      <c r="J594" s="119"/>
    </row>
    <row r="595" ht="22.5" customHeight="1">
      <c r="A595" s="116"/>
      <c r="B595" s="71"/>
      <c r="C595" s="71"/>
      <c r="D595" s="26"/>
      <c r="E595" s="117"/>
      <c r="F595" s="71"/>
      <c r="G595" s="118"/>
      <c r="H595" s="25"/>
      <c r="I595" s="25"/>
      <c r="J595" s="119"/>
    </row>
    <row r="596" ht="22.5" customHeight="1">
      <c r="A596" s="116"/>
      <c r="B596" s="71"/>
      <c r="C596" s="71"/>
      <c r="D596" s="26"/>
      <c r="E596" s="117"/>
      <c r="F596" s="71"/>
      <c r="G596" s="118"/>
      <c r="H596" s="25"/>
      <c r="I596" s="25"/>
      <c r="J596" s="119"/>
    </row>
    <row r="597" ht="22.5" customHeight="1">
      <c r="A597" s="116"/>
      <c r="B597" s="71"/>
      <c r="C597" s="71"/>
      <c r="D597" s="26"/>
      <c r="E597" s="117"/>
      <c r="F597" s="71"/>
      <c r="G597" s="118"/>
      <c r="H597" s="25"/>
      <c r="I597" s="25"/>
      <c r="J597" s="119"/>
    </row>
    <row r="598" ht="22.5" customHeight="1">
      <c r="A598" s="116"/>
      <c r="B598" s="71"/>
      <c r="C598" s="71"/>
      <c r="D598" s="26"/>
      <c r="E598" s="117"/>
      <c r="F598" s="71"/>
      <c r="G598" s="118"/>
      <c r="H598" s="25"/>
      <c r="I598" s="25"/>
      <c r="J598" s="119"/>
    </row>
    <row r="599" ht="22.5" customHeight="1">
      <c r="A599" s="116"/>
      <c r="B599" s="71"/>
      <c r="C599" s="71"/>
      <c r="D599" s="26"/>
      <c r="E599" s="117"/>
      <c r="F599" s="71"/>
      <c r="G599" s="118"/>
      <c r="H599" s="25"/>
      <c r="I599" s="25"/>
      <c r="J599" s="119"/>
    </row>
    <row r="600" ht="22.5" customHeight="1">
      <c r="A600" s="116"/>
      <c r="B600" s="71"/>
      <c r="C600" s="71"/>
      <c r="D600" s="26"/>
      <c r="E600" s="117"/>
      <c r="F600" s="71"/>
      <c r="G600" s="118"/>
      <c r="H600" s="25"/>
      <c r="I600" s="25"/>
      <c r="J600" s="119"/>
    </row>
    <row r="601" ht="22.5" customHeight="1">
      <c r="A601" s="116"/>
      <c r="B601" s="71"/>
      <c r="C601" s="71"/>
      <c r="D601" s="26"/>
      <c r="E601" s="117"/>
      <c r="F601" s="71"/>
      <c r="G601" s="118"/>
      <c r="H601" s="25"/>
      <c r="I601" s="25"/>
      <c r="J601" s="119"/>
    </row>
    <row r="602" ht="22.5" customHeight="1">
      <c r="A602" s="116"/>
      <c r="B602" s="71"/>
      <c r="C602" s="71"/>
      <c r="D602" s="26"/>
      <c r="E602" s="117"/>
      <c r="F602" s="71"/>
      <c r="G602" s="118"/>
      <c r="H602" s="25"/>
      <c r="I602" s="25"/>
      <c r="J602" s="119"/>
    </row>
    <row r="603" ht="22.5" customHeight="1">
      <c r="A603" s="116"/>
      <c r="B603" s="71"/>
      <c r="C603" s="71"/>
      <c r="D603" s="26"/>
      <c r="E603" s="117"/>
      <c r="F603" s="71"/>
      <c r="G603" s="118"/>
      <c r="H603" s="25"/>
      <c r="I603" s="25"/>
      <c r="J603" s="119"/>
    </row>
    <row r="604" ht="22.5" customHeight="1">
      <c r="A604" s="116"/>
      <c r="B604" s="71"/>
      <c r="C604" s="71"/>
      <c r="D604" s="26"/>
      <c r="E604" s="117"/>
      <c r="F604" s="71"/>
      <c r="G604" s="118"/>
      <c r="H604" s="25"/>
      <c r="I604" s="25"/>
      <c r="J604" s="119"/>
    </row>
    <row r="605" ht="22.5" customHeight="1">
      <c r="A605" s="116"/>
      <c r="B605" s="71"/>
      <c r="C605" s="71"/>
      <c r="D605" s="26"/>
      <c r="E605" s="117"/>
      <c r="F605" s="71"/>
      <c r="G605" s="118"/>
      <c r="H605" s="25"/>
      <c r="I605" s="25"/>
      <c r="J605" s="119"/>
    </row>
    <row r="606" ht="22.5" customHeight="1">
      <c r="A606" s="116"/>
      <c r="B606" s="71"/>
      <c r="C606" s="71"/>
      <c r="D606" s="26"/>
      <c r="E606" s="117"/>
      <c r="F606" s="71"/>
      <c r="G606" s="118"/>
      <c r="H606" s="25"/>
      <c r="I606" s="25"/>
      <c r="J606" s="119"/>
    </row>
    <row r="607" ht="22.5" customHeight="1">
      <c r="A607" s="116"/>
      <c r="B607" s="71"/>
      <c r="C607" s="71"/>
      <c r="D607" s="26"/>
      <c r="E607" s="117"/>
      <c r="F607" s="71"/>
      <c r="G607" s="118"/>
      <c r="H607" s="25"/>
      <c r="I607" s="25"/>
      <c r="J607" s="119"/>
    </row>
    <row r="608" ht="22.5" customHeight="1">
      <c r="A608" s="116"/>
      <c r="B608" s="71"/>
      <c r="C608" s="71"/>
      <c r="D608" s="26"/>
      <c r="E608" s="117"/>
      <c r="F608" s="71"/>
      <c r="G608" s="118"/>
      <c r="H608" s="25"/>
      <c r="I608" s="25"/>
      <c r="J608" s="119"/>
    </row>
    <row r="609" ht="22.5" customHeight="1">
      <c r="A609" s="116"/>
      <c r="B609" s="71"/>
      <c r="C609" s="71"/>
      <c r="D609" s="26"/>
      <c r="E609" s="117"/>
      <c r="F609" s="71"/>
      <c r="G609" s="118"/>
      <c r="H609" s="25"/>
      <c r="I609" s="25"/>
      <c r="J609" s="119"/>
    </row>
    <row r="610" ht="22.5" customHeight="1">
      <c r="A610" s="116"/>
      <c r="B610" s="71"/>
      <c r="C610" s="71"/>
      <c r="D610" s="26"/>
      <c r="E610" s="117"/>
      <c r="F610" s="71"/>
      <c r="G610" s="118"/>
      <c r="H610" s="25"/>
      <c r="I610" s="25"/>
      <c r="J610" s="119"/>
    </row>
    <row r="611" ht="22.5" customHeight="1">
      <c r="A611" s="116"/>
      <c r="B611" s="71"/>
      <c r="C611" s="71"/>
      <c r="D611" s="26"/>
      <c r="E611" s="117"/>
      <c r="F611" s="71"/>
      <c r="G611" s="118"/>
      <c r="H611" s="25"/>
      <c r="I611" s="25"/>
      <c r="J611" s="119"/>
    </row>
    <row r="612" ht="22.5" customHeight="1">
      <c r="A612" s="116"/>
      <c r="B612" s="71"/>
      <c r="C612" s="71"/>
      <c r="D612" s="26"/>
      <c r="E612" s="117"/>
      <c r="F612" s="71"/>
      <c r="G612" s="118"/>
      <c r="H612" s="25"/>
      <c r="I612" s="25"/>
      <c r="J612" s="119"/>
    </row>
    <row r="613" ht="22.5" customHeight="1">
      <c r="A613" s="116"/>
      <c r="B613" s="71"/>
      <c r="C613" s="71"/>
      <c r="D613" s="26"/>
      <c r="E613" s="117"/>
      <c r="F613" s="71"/>
      <c r="G613" s="118"/>
      <c r="H613" s="25"/>
      <c r="I613" s="25"/>
      <c r="J613" s="119"/>
    </row>
    <row r="614" ht="22.5" customHeight="1">
      <c r="A614" s="116"/>
      <c r="B614" s="71"/>
      <c r="C614" s="71"/>
      <c r="D614" s="26"/>
      <c r="E614" s="117"/>
      <c r="F614" s="71"/>
      <c r="G614" s="118"/>
      <c r="H614" s="25"/>
      <c r="I614" s="25"/>
      <c r="J614" s="119"/>
    </row>
    <row r="615" ht="22.5" customHeight="1">
      <c r="A615" s="116"/>
      <c r="B615" s="71"/>
      <c r="C615" s="71"/>
      <c r="D615" s="26"/>
      <c r="E615" s="117"/>
      <c r="F615" s="71"/>
      <c r="G615" s="118"/>
      <c r="H615" s="25"/>
      <c r="I615" s="25"/>
      <c r="J615" s="119"/>
    </row>
    <row r="616" ht="22.5" customHeight="1">
      <c r="A616" s="116"/>
      <c r="B616" s="71"/>
      <c r="C616" s="71"/>
      <c r="D616" s="26"/>
      <c r="E616" s="117"/>
      <c r="F616" s="71"/>
      <c r="G616" s="118"/>
      <c r="H616" s="25"/>
      <c r="I616" s="25"/>
      <c r="J616" s="119"/>
    </row>
    <row r="617" ht="22.5" customHeight="1">
      <c r="A617" s="116"/>
      <c r="B617" s="71"/>
      <c r="C617" s="71"/>
      <c r="D617" s="26"/>
      <c r="E617" s="117"/>
      <c r="F617" s="71"/>
      <c r="G617" s="118"/>
      <c r="H617" s="25"/>
      <c r="I617" s="25"/>
      <c r="J617" s="119"/>
    </row>
    <row r="618" ht="22.5" customHeight="1">
      <c r="A618" s="116"/>
      <c r="B618" s="71"/>
      <c r="C618" s="71"/>
      <c r="D618" s="26"/>
      <c r="E618" s="117"/>
      <c r="F618" s="71"/>
      <c r="G618" s="118"/>
      <c r="H618" s="25"/>
      <c r="I618" s="25"/>
      <c r="J618" s="119"/>
    </row>
    <row r="619" ht="22.5" customHeight="1">
      <c r="A619" s="116"/>
      <c r="B619" s="71"/>
      <c r="C619" s="71"/>
      <c r="D619" s="26"/>
      <c r="E619" s="117"/>
      <c r="F619" s="71"/>
      <c r="G619" s="118"/>
      <c r="H619" s="25"/>
      <c r="I619" s="25"/>
      <c r="J619" s="119"/>
    </row>
    <row r="620" ht="22.5" customHeight="1">
      <c r="A620" s="116"/>
      <c r="B620" s="71"/>
      <c r="C620" s="71"/>
      <c r="D620" s="26"/>
      <c r="E620" s="117"/>
      <c r="F620" s="71"/>
      <c r="G620" s="118"/>
      <c r="H620" s="25"/>
      <c r="I620" s="25"/>
      <c r="J620" s="119"/>
    </row>
    <row r="621" ht="22.5" customHeight="1">
      <c r="A621" s="116"/>
      <c r="B621" s="71"/>
      <c r="C621" s="71"/>
      <c r="D621" s="26"/>
      <c r="E621" s="117"/>
      <c r="F621" s="71"/>
      <c r="G621" s="118"/>
      <c r="H621" s="25"/>
      <c r="I621" s="25"/>
      <c r="J621" s="119"/>
    </row>
    <row r="622" ht="22.5" customHeight="1">
      <c r="A622" s="116"/>
      <c r="B622" s="71"/>
      <c r="C622" s="71"/>
      <c r="D622" s="26"/>
      <c r="E622" s="117"/>
      <c r="F622" s="71"/>
      <c r="G622" s="118"/>
      <c r="H622" s="25"/>
      <c r="I622" s="25"/>
      <c r="J622" s="119"/>
    </row>
    <row r="623" ht="22.5" customHeight="1">
      <c r="A623" s="116"/>
      <c r="B623" s="71"/>
      <c r="C623" s="71"/>
      <c r="D623" s="26"/>
      <c r="E623" s="117"/>
      <c r="F623" s="71"/>
      <c r="G623" s="118"/>
      <c r="H623" s="25"/>
      <c r="I623" s="25"/>
      <c r="J623" s="119"/>
    </row>
    <row r="624" ht="22.5" customHeight="1">
      <c r="A624" s="116"/>
      <c r="B624" s="71"/>
      <c r="C624" s="71"/>
      <c r="D624" s="26"/>
      <c r="E624" s="117"/>
      <c r="F624" s="71"/>
      <c r="G624" s="118"/>
      <c r="H624" s="25"/>
      <c r="I624" s="25"/>
      <c r="J624" s="119"/>
    </row>
    <row r="625" ht="22.5" customHeight="1">
      <c r="A625" s="116"/>
      <c r="B625" s="71"/>
      <c r="C625" s="71"/>
      <c r="D625" s="26"/>
      <c r="E625" s="117"/>
      <c r="F625" s="71"/>
      <c r="G625" s="118"/>
      <c r="H625" s="25"/>
      <c r="I625" s="25"/>
      <c r="J625" s="119"/>
    </row>
    <row r="626" ht="22.5" customHeight="1">
      <c r="A626" s="116"/>
      <c r="B626" s="71"/>
      <c r="C626" s="71"/>
      <c r="D626" s="26"/>
      <c r="E626" s="117"/>
      <c r="F626" s="71"/>
      <c r="G626" s="118"/>
      <c r="H626" s="25"/>
      <c r="I626" s="25"/>
      <c r="J626" s="119"/>
    </row>
    <row r="627" ht="22.5" customHeight="1">
      <c r="A627" s="116"/>
      <c r="B627" s="71"/>
      <c r="C627" s="71"/>
      <c r="D627" s="26"/>
      <c r="E627" s="117"/>
      <c r="F627" s="71"/>
      <c r="G627" s="118"/>
      <c r="H627" s="25"/>
      <c r="I627" s="25"/>
      <c r="J627" s="119"/>
    </row>
    <row r="628" ht="22.5" customHeight="1">
      <c r="A628" s="116"/>
      <c r="B628" s="71"/>
      <c r="C628" s="71"/>
      <c r="D628" s="26"/>
      <c r="E628" s="117"/>
      <c r="F628" s="71"/>
      <c r="G628" s="118"/>
      <c r="H628" s="25"/>
      <c r="I628" s="25"/>
      <c r="J628" s="119"/>
    </row>
    <row r="629" ht="22.5" customHeight="1">
      <c r="A629" s="116"/>
      <c r="B629" s="71"/>
      <c r="C629" s="71"/>
      <c r="D629" s="26"/>
      <c r="E629" s="117"/>
      <c r="F629" s="71"/>
      <c r="G629" s="118"/>
      <c r="H629" s="25"/>
      <c r="I629" s="25"/>
      <c r="J629" s="119"/>
    </row>
    <row r="630" ht="22.5" customHeight="1">
      <c r="A630" s="116"/>
      <c r="B630" s="71"/>
      <c r="C630" s="71"/>
      <c r="D630" s="26"/>
      <c r="E630" s="117"/>
      <c r="F630" s="71"/>
      <c r="G630" s="118"/>
      <c r="H630" s="25"/>
      <c r="I630" s="25"/>
      <c r="J630" s="119"/>
    </row>
    <row r="631" ht="22.5" customHeight="1">
      <c r="A631" s="116"/>
      <c r="B631" s="71"/>
      <c r="C631" s="71"/>
      <c r="D631" s="26"/>
      <c r="E631" s="117"/>
      <c r="F631" s="71"/>
      <c r="G631" s="118"/>
      <c r="H631" s="25"/>
      <c r="I631" s="25"/>
      <c r="J631" s="119"/>
    </row>
    <row r="632" ht="22.5" customHeight="1">
      <c r="A632" s="116"/>
      <c r="B632" s="71"/>
      <c r="C632" s="71"/>
      <c r="D632" s="26"/>
      <c r="E632" s="117"/>
      <c r="F632" s="71"/>
      <c r="G632" s="118"/>
      <c r="H632" s="25"/>
      <c r="I632" s="25"/>
      <c r="J632" s="119"/>
    </row>
    <row r="633" ht="22.5" customHeight="1">
      <c r="A633" s="116"/>
      <c r="B633" s="71"/>
      <c r="C633" s="71"/>
      <c r="D633" s="26"/>
      <c r="E633" s="117"/>
      <c r="F633" s="71"/>
      <c r="G633" s="118"/>
      <c r="H633" s="25"/>
      <c r="I633" s="25"/>
      <c r="J633" s="119"/>
    </row>
    <row r="634" ht="22.5" customHeight="1">
      <c r="A634" s="116"/>
      <c r="B634" s="71"/>
      <c r="C634" s="71"/>
      <c r="D634" s="26"/>
      <c r="E634" s="117"/>
      <c r="F634" s="71"/>
      <c r="G634" s="118"/>
      <c r="H634" s="25"/>
      <c r="I634" s="25"/>
      <c r="J634" s="119"/>
    </row>
    <row r="635" ht="22.5" customHeight="1">
      <c r="A635" s="116"/>
      <c r="B635" s="71"/>
      <c r="C635" s="71"/>
      <c r="D635" s="26"/>
      <c r="E635" s="117"/>
      <c r="F635" s="71"/>
      <c r="G635" s="118"/>
      <c r="H635" s="25"/>
      <c r="I635" s="25"/>
      <c r="J635" s="119"/>
    </row>
    <row r="636" ht="22.5" customHeight="1">
      <c r="A636" s="116"/>
      <c r="B636" s="71"/>
      <c r="C636" s="71"/>
      <c r="D636" s="26"/>
      <c r="E636" s="117"/>
      <c r="F636" s="71"/>
      <c r="G636" s="118"/>
      <c r="H636" s="25"/>
      <c r="I636" s="25"/>
      <c r="J636" s="119"/>
    </row>
    <row r="637" ht="22.5" customHeight="1">
      <c r="A637" s="116"/>
      <c r="B637" s="71"/>
      <c r="C637" s="71"/>
      <c r="D637" s="26"/>
      <c r="E637" s="117"/>
      <c r="F637" s="71"/>
      <c r="G637" s="118"/>
      <c r="H637" s="25"/>
      <c r="I637" s="25"/>
      <c r="J637" s="119"/>
    </row>
    <row r="638" ht="22.5" customHeight="1">
      <c r="A638" s="116"/>
      <c r="B638" s="71"/>
      <c r="C638" s="71"/>
      <c r="D638" s="26"/>
      <c r="E638" s="117"/>
      <c r="F638" s="71"/>
      <c r="G638" s="118"/>
      <c r="H638" s="25"/>
      <c r="I638" s="25"/>
      <c r="J638" s="119"/>
    </row>
    <row r="639" ht="22.5" customHeight="1">
      <c r="A639" s="116"/>
      <c r="B639" s="71"/>
      <c r="C639" s="71"/>
      <c r="D639" s="26"/>
      <c r="E639" s="117"/>
      <c r="F639" s="71"/>
      <c r="G639" s="118"/>
      <c r="H639" s="25"/>
      <c r="I639" s="25"/>
      <c r="J639" s="119"/>
    </row>
    <row r="640" ht="22.5" customHeight="1">
      <c r="A640" s="116"/>
      <c r="B640" s="71"/>
      <c r="C640" s="71"/>
      <c r="D640" s="26"/>
      <c r="E640" s="117"/>
      <c r="F640" s="71"/>
      <c r="G640" s="118"/>
      <c r="H640" s="25"/>
      <c r="I640" s="25"/>
      <c r="J640" s="119"/>
    </row>
    <row r="641" ht="22.5" customHeight="1">
      <c r="A641" s="116"/>
      <c r="B641" s="71"/>
      <c r="C641" s="71"/>
      <c r="D641" s="26"/>
      <c r="E641" s="117"/>
      <c r="F641" s="71"/>
      <c r="G641" s="118"/>
      <c r="H641" s="25"/>
      <c r="I641" s="25"/>
      <c r="J641" s="119"/>
    </row>
    <row r="642" ht="22.5" customHeight="1">
      <c r="A642" s="116"/>
      <c r="B642" s="71"/>
      <c r="C642" s="71"/>
      <c r="D642" s="26"/>
      <c r="E642" s="117"/>
      <c r="F642" s="71"/>
      <c r="G642" s="118"/>
      <c r="H642" s="25"/>
      <c r="I642" s="25"/>
      <c r="J642" s="119"/>
    </row>
    <row r="643" ht="22.5" customHeight="1">
      <c r="A643" s="116"/>
      <c r="B643" s="71"/>
      <c r="C643" s="71"/>
      <c r="D643" s="26"/>
      <c r="E643" s="117"/>
      <c r="F643" s="71"/>
      <c r="G643" s="118"/>
      <c r="H643" s="25"/>
      <c r="I643" s="25"/>
      <c r="J643" s="119"/>
    </row>
    <row r="644" ht="22.5" customHeight="1">
      <c r="A644" s="116"/>
      <c r="B644" s="71"/>
      <c r="C644" s="71"/>
      <c r="D644" s="26"/>
      <c r="E644" s="117"/>
      <c r="F644" s="71"/>
      <c r="G644" s="118"/>
      <c r="H644" s="25"/>
      <c r="I644" s="25"/>
      <c r="J644" s="119"/>
    </row>
    <row r="645" ht="22.5" customHeight="1">
      <c r="A645" s="116"/>
      <c r="B645" s="71"/>
      <c r="C645" s="71"/>
      <c r="D645" s="26"/>
      <c r="E645" s="117"/>
      <c r="F645" s="71"/>
      <c r="G645" s="118"/>
      <c r="H645" s="25"/>
      <c r="I645" s="25"/>
      <c r="J645" s="119"/>
    </row>
    <row r="646" ht="22.5" customHeight="1">
      <c r="A646" s="116"/>
      <c r="B646" s="71"/>
      <c r="C646" s="71"/>
      <c r="D646" s="26"/>
      <c r="E646" s="117"/>
      <c r="F646" s="71"/>
      <c r="G646" s="118"/>
      <c r="H646" s="25"/>
      <c r="I646" s="25"/>
      <c r="J646" s="119"/>
    </row>
    <row r="647" ht="22.5" customHeight="1">
      <c r="A647" s="116"/>
      <c r="B647" s="71"/>
      <c r="C647" s="71"/>
      <c r="D647" s="26"/>
      <c r="E647" s="117"/>
      <c r="F647" s="71"/>
      <c r="G647" s="118"/>
      <c r="H647" s="25"/>
      <c r="I647" s="25"/>
      <c r="J647" s="119"/>
    </row>
    <row r="648" ht="22.5" customHeight="1">
      <c r="A648" s="116"/>
      <c r="B648" s="71"/>
      <c r="C648" s="71"/>
      <c r="D648" s="26"/>
      <c r="E648" s="117"/>
      <c r="F648" s="71"/>
      <c r="G648" s="118"/>
      <c r="H648" s="25"/>
      <c r="I648" s="25"/>
      <c r="J648" s="119"/>
    </row>
    <row r="649" ht="22.5" customHeight="1">
      <c r="A649" s="116"/>
      <c r="B649" s="71"/>
      <c r="C649" s="71"/>
      <c r="D649" s="26"/>
      <c r="E649" s="117"/>
      <c r="F649" s="71"/>
      <c r="G649" s="118"/>
      <c r="H649" s="25"/>
      <c r="I649" s="25"/>
      <c r="J649" s="119"/>
    </row>
    <row r="650" ht="22.5" customHeight="1">
      <c r="A650" s="116"/>
      <c r="B650" s="71"/>
      <c r="C650" s="71"/>
      <c r="D650" s="26"/>
      <c r="E650" s="117"/>
      <c r="F650" s="71"/>
      <c r="G650" s="118"/>
      <c r="H650" s="25"/>
      <c r="I650" s="25"/>
      <c r="J650" s="119"/>
    </row>
    <row r="651" ht="22.5" customHeight="1">
      <c r="A651" s="116"/>
      <c r="B651" s="71"/>
      <c r="C651" s="71"/>
      <c r="D651" s="26"/>
      <c r="E651" s="117"/>
      <c r="F651" s="71"/>
      <c r="G651" s="118"/>
      <c r="H651" s="25"/>
      <c r="I651" s="25"/>
      <c r="J651" s="119"/>
    </row>
    <row r="652" ht="22.5" customHeight="1">
      <c r="A652" s="116"/>
      <c r="B652" s="71"/>
      <c r="C652" s="71"/>
      <c r="D652" s="26"/>
      <c r="E652" s="117"/>
      <c r="F652" s="71"/>
      <c r="G652" s="118"/>
      <c r="H652" s="25"/>
      <c r="I652" s="25"/>
      <c r="J652" s="119"/>
    </row>
    <row r="653" ht="22.5" customHeight="1">
      <c r="A653" s="116"/>
      <c r="B653" s="71"/>
      <c r="C653" s="71"/>
      <c r="D653" s="26"/>
      <c r="E653" s="117"/>
      <c r="F653" s="71"/>
      <c r="G653" s="118"/>
      <c r="H653" s="25"/>
      <c r="I653" s="25"/>
      <c r="J653" s="119"/>
    </row>
    <row r="654" ht="22.5" customHeight="1">
      <c r="A654" s="116"/>
      <c r="B654" s="71"/>
      <c r="C654" s="71"/>
      <c r="D654" s="26"/>
      <c r="E654" s="117"/>
      <c r="F654" s="71"/>
      <c r="G654" s="118"/>
      <c r="H654" s="25"/>
      <c r="I654" s="25"/>
      <c r="J654" s="119"/>
    </row>
    <row r="655" ht="22.5" customHeight="1">
      <c r="A655" s="116"/>
      <c r="B655" s="71"/>
      <c r="C655" s="71"/>
      <c r="D655" s="26"/>
      <c r="E655" s="117"/>
      <c r="F655" s="71"/>
      <c r="G655" s="118"/>
      <c r="H655" s="25"/>
      <c r="I655" s="25"/>
      <c r="J655" s="119"/>
    </row>
    <row r="656" ht="22.5" customHeight="1">
      <c r="A656" s="116"/>
      <c r="B656" s="71"/>
      <c r="C656" s="71"/>
      <c r="D656" s="26"/>
      <c r="E656" s="117"/>
      <c r="F656" s="71"/>
      <c r="G656" s="118"/>
      <c r="H656" s="25"/>
      <c r="I656" s="25"/>
      <c r="J656" s="119"/>
    </row>
    <row r="657" ht="22.5" customHeight="1">
      <c r="A657" s="116"/>
      <c r="B657" s="71"/>
      <c r="C657" s="71"/>
      <c r="D657" s="26"/>
      <c r="E657" s="117"/>
      <c r="F657" s="71"/>
      <c r="G657" s="118"/>
      <c r="H657" s="25"/>
      <c r="I657" s="25"/>
      <c r="J657" s="119"/>
    </row>
    <row r="658" ht="22.5" customHeight="1">
      <c r="A658" s="116"/>
      <c r="B658" s="71"/>
      <c r="C658" s="71"/>
      <c r="D658" s="26"/>
      <c r="E658" s="117"/>
      <c r="F658" s="71"/>
      <c r="G658" s="118"/>
      <c r="H658" s="25"/>
      <c r="I658" s="25"/>
      <c r="J658" s="119"/>
    </row>
    <row r="659" ht="22.5" customHeight="1">
      <c r="A659" s="116"/>
      <c r="B659" s="71"/>
      <c r="C659" s="71"/>
      <c r="D659" s="26"/>
      <c r="E659" s="117"/>
      <c r="F659" s="71"/>
      <c r="G659" s="118"/>
      <c r="H659" s="25"/>
      <c r="I659" s="25"/>
      <c r="J659" s="119"/>
    </row>
    <row r="660" ht="22.5" customHeight="1">
      <c r="A660" s="116"/>
      <c r="B660" s="71"/>
      <c r="C660" s="71"/>
      <c r="D660" s="26"/>
      <c r="E660" s="117"/>
      <c r="F660" s="71"/>
      <c r="G660" s="118"/>
      <c r="H660" s="25"/>
      <c r="I660" s="25"/>
      <c r="J660" s="119"/>
    </row>
    <row r="661" ht="22.5" customHeight="1">
      <c r="A661" s="116"/>
      <c r="B661" s="71"/>
      <c r="C661" s="71"/>
      <c r="D661" s="26"/>
      <c r="E661" s="117"/>
      <c r="F661" s="71"/>
      <c r="G661" s="118"/>
      <c r="H661" s="25"/>
      <c r="I661" s="25"/>
      <c r="J661" s="119"/>
    </row>
    <row r="662" ht="22.5" customHeight="1">
      <c r="A662" s="116"/>
      <c r="B662" s="71"/>
      <c r="C662" s="71"/>
      <c r="D662" s="26"/>
      <c r="E662" s="117"/>
      <c r="F662" s="71"/>
      <c r="G662" s="118"/>
      <c r="H662" s="25"/>
      <c r="I662" s="25"/>
      <c r="J662" s="119"/>
    </row>
    <row r="663" ht="22.5" customHeight="1">
      <c r="A663" s="116"/>
      <c r="B663" s="71"/>
      <c r="C663" s="71"/>
      <c r="D663" s="26"/>
      <c r="E663" s="117"/>
      <c r="F663" s="71"/>
      <c r="G663" s="118"/>
      <c r="H663" s="25"/>
      <c r="I663" s="25"/>
      <c r="J663" s="119"/>
    </row>
    <row r="664" ht="22.5" customHeight="1">
      <c r="A664" s="116"/>
      <c r="B664" s="71"/>
      <c r="C664" s="71"/>
      <c r="D664" s="26"/>
      <c r="E664" s="117"/>
      <c r="F664" s="71"/>
      <c r="G664" s="118"/>
      <c r="H664" s="25"/>
      <c r="I664" s="25"/>
      <c r="J664" s="119"/>
    </row>
    <row r="665" ht="22.5" customHeight="1">
      <c r="A665" s="116"/>
      <c r="B665" s="71"/>
      <c r="C665" s="71"/>
      <c r="D665" s="26"/>
      <c r="E665" s="117"/>
      <c r="F665" s="71"/>
      <c r="G665" s="118"/>
      <c r="H665" s="25"/>
      <c r="I665" s="25"/>
      <c r="J665" s="119"/>
    </row>
    <row r="666" ht="22.5" customHeight="1">
      <c r="A666" s="116"/>
      <c r="B666" s="71"/>
      <c r="C666" s="71"/>
      <c r="D666" s="26"/>
      <c r="E666" s="117"/>
      <c r="F666" s="71"/>
      <c r="G666" s="118"/>
      <c r="H666" s="25"/>
      <c r="I666" s="25"/>
      <c r="J666" s="119"/>
    </row>
    <row r="667" ht="22.5" customHeight="1">
      <c r="A667" s="116"/>
      <c r="B667" s="71"/>
      <c r="C667" s="71"/>
      <c r="D667" s="26"/>
      <c r="E667" s="117"/>
      <c r="F667" s="71"/>
      <c r="G667" s="118"/>
      <c r="H667" s="25"/>
      <c r="I667" s="25"/>
      <c r="J667" s="119"/>
    </row>
    <row r="668" ht="22.5" customHeight="1">
      <c r="A668" s="116"/>
      <c r="B668" s="71"/>
      <c r="C668" s="71"/>
      <c r="D668" s="26"/>
      <c r="E668" s="117"/>
      <c r="F668" s="71"/>
      <c r="G668" s="118"/>
      <c r="H668" s="25"/>
      <c r="I668" s="25"/>
      <c r="J668" s="119"/>
    </row>
    <row r="669" ht="22.5" customHeight="1">
      <c r="A669" s="116"/>
      <c r="B669" s="71"/>
      <c r="C669" s="71"/>
      <c r="D669" s="26"/>
      <c r="E669" s="117"/>
      <c r="F669" s="71"/>
      <c r="G669" s="118"/>
      <c r="H669" s="25"/>
      <c r="I669" s="25"/>
      <c r="J669" s="119"/>
    </row>
    <row r="670" ht="22.5" customHeight="1">
      <c r="A670" s="116"/>
      <c r="B670" s="71"/>
      <c r="C670" s="71"/>
      <c r="D670" s="26"/>
      <c r="E670" s="117"/>
      <c r="F670" s="71"/>
      <c r="G670" s="118"/>
      <c r="H670" s="25"/>
      <c r="I670" s="25"/>
      <c r="J670" s="119"/>
    </row>
    <row r="671" ht="22.5" customHeight="1">
      <c r="A671" s="116"/>
      <c r="B671" s="71"/>
      <c r="C671" s="71"/>
      <c r="D671" s="26"/>
      <c r="E671" s="117"/>
      <c r="F671" s="71"/>
      <c r="G671" s="118"/>
      <c r="H671" s="25"/>
      <c r="I671" s="25"/>
      <c r="J671" s="119"/>
    </row>
    <row r="672" ht="22.5" customHeight="1">
      <c r="A672" s="116"/>
      <c r="B672" s="71"/>
      <c r="C672" s="71"/>
      <c r="D672" s="26"/>
      <c r="E672" s="117"/>
      <c r="F672" s="71"/>
      <c r="G672" s="118"/>
      <c r="H672" s="25"/>
      <c r="I672" s="25"/>
      <c r="J672" s="119"/>
    </row>
    <row r="673" ht="22.5" customHeight="1">
      <c r="A673" s="116"/>
      <c r="B673" s="71"/>
      <c r="C673" s="71"/>
      <c r="D673" s="26"/>
      <c r="E673" s="117"/>
      <c r="F673" s="71"/>
      <c r="G673" s="118"/>
      <c r="H673" s="25"/>
      <c r="I673" s="25"/>
      <c r="J673" s="119"/>
    </row>
    <row r="674" ht="22.5" customHeight="1">
      <c r="A674" s="116"/>
      <c r="B674" s="71"/>
      <c r="C674" s="71"/>
      <c r="D674" s="26"/>
      <c r="E674" s="117"/>
      <c r="F674" s="71"/>
      <c r="G674" s="118"/>
      <c r="H674" s="25"/>
      <c r="I674" s="25"/>
      <c r="J674" s="119"/>
    </row>
    <row r="675" ht="22.5" customHeight="1">
      <c r="A675" s="116"/>
      <c r="B675" s="71"/>
      <c r="C675" s="71"/>
      <c r="D675" s="26"/>
      <c r="E675" s="117"/>
      <c r="F675" s="71"/>
      <c r="G675" s="118"/>
      <c r="H675" s="25"/>
      <c r="I675" s="25"/>
      <c r="J675" s="119"/>
    </row>
    <row r="676" ht="22.5" customHeight="1">
      <c r="A676" s="116"/>
      <c r="B676" s="71"/>
      <c r="C676" s="71"/>
      <c r="D676" s="26"/>
      <c r="E676" s="117"/>
      <c r="F676" s="71"/>
      <c r="G676" s="118"/>
      <c r="H676" s="25"/>
      <c r="I676" s="25"/>
      <c r="J676" s="119"/>
    </row>
    <row r="677" ht="22.5" customHeight="1">
      <c r="A677" s="116"/>
      <c r="B677" s="71"/>
      <c r="C677" s="71"/>
      <c r="D677" s="26"/>
      <c r="E677" s="117"/>
      <c r="F677" s="71"/>
      <c r="G677" s="118"/>
      <c r="H677" s="25"/>
      <c r="I677" s="25"/>
      <c r="J677" s="119"/>
    </row>
    <row r="678" ht="22.5" customHeight="1">
      <c r="A678" s="116"/>
      <c r="B678" s="71"/>
      <c r="C678" s="71"/>
      <c r="D678" s="26"/>
      <c r="E678" s="117"/>
      <c r="F678" s="71"/>
      <c r="G678" s="118"/>
      <c r="H678" s="25"/>
      <c r="I678" s="25"/>
      <c r="J678" s="119"/>
    </row>
    <row r="679" ht="22.5" customHeight="1">
      <c r="A679" s="116"/>
      <c r="B679" s="71"/>
      <c r="C679" s="71"/>
      <c r="D679" s="26"/>
      <c r="E679" s="117"/>
      <c r="F679" s="71"/>
      <c r="G679" s="118"/>
      <c r="H679" s="25"/>
      <c r="I679" s="25"/>
      <c r="J679" s="119"/>
    </row>
    <row r="680" ht="22.5" customHeight="1">
      <c r="A680" s="116"/>
      <c r="B680" s="71"/>
      <c r="C680" s="71"/>
      <c r="D680" s="26"/>
      <c r="E680" s="117"/>
      <c r="F680" s="71"/>
      <c r="G680" s="118"/>
      <c r="H680" s="25"/>
      <c r="I680" s="25"/>
      <c r="J680" s="119"/>
    </row>
    <row r="681" ht="22.5" customHeight="1">
      <c r="A681" s="116"/>
      <c r="B681" s="71"/>
      <c r="C681" s="71"/>
      <c r="D681" s="26"/>
      <c r="E681" s="117"/>
      <c r="F681" s="71"/>
      <c r="G681" s="118"/>
      <c r="H681" s="25"/>
      <c r="I681" s="25"/>
      <c r="J681" s="119"/>
    </row>
    <row r="682" ht="22.5" customHeight="1">
      <c r="A682" s="116"/>
      <c r="B682" s="71"/>
      <c r="C682" s="71"/>
      <c r="D682" s="26"/>
      <c r="E682" s="117"/>
      <c r="F682" s="71"/>
      <c r="G682" s="118"/>
      <c r="H682" s="25"/>
      <c r="I682" s="25"/>
      <c r="J682" s="119"/>
    </row>
    <row r="683" ht="22.5" customHeight="1">
      <c r="A683" s="116"/>
      <c r="B683" s="71"/>
      <c r="C683" s="71"/>
      <c r="D683" s="26"/>
      <c r="E683" s="117"/>
      <c r="F683" s="71"/>
      <c r="G683" s="118"/>
      <c r="H683" s="25"/>
      <c r="I683" s="25"/>
      <c r="J683" s="119"/>
    </row>
    <row r="684" ht="22.5" customHeight="1">
      <c r="A684" s="116"/>
      <c r="B684" s="71"/>
      <c r="C684" s="71"/>
      <c r="D684" s="26"/>
      <c r="E684" s="117"/>
      <c r="F684" s="71"/>
      <c r="G684" s="118"/>
      <c r="H684" s="25"/>
      <c r="I684" s="25"/>
      <c r="J684" s="119"/>
    </row>
    <row r="685" ht="22.5" customHeight="1">
      <c r="A685" s="116"/>
      <c r="B685" s="71"/>
      <c r="C685" s="71"/>
      <c r="D685" s="26"/>
      <c r="E685" s="117"/>
      <c r="F685" s="71"/>
      <c r="G685" s="118"/>
      <c r="H685" s="25"/>
      <c r="I685" s="25"/>
      <c r="J685" s="119"/>
    </row>
    <row r="686" ht="22.5" customHeight="1">
      <c r="A686" s="116"/>
      <c r="B686" s="71"/>
      <c r="C686" s="71"/>
      <c r="D686" s="26"/>
      <c r="E686" s="117"/>
      <c r="F686" s="71"/>
      <c r="G686" s="118"/>
      <c r="H686" s="25"/>
      <c r="I686" s="25"/>
      <c r="J686" s="119"/>
    </row>
    <row r="687" ht="22.5" customHeight="1">
      <c r="A687" s="116"/>
      <c r="B687" s="71"/>
      <c r="C687" s="71"/>
      <c r="D687" s="26"/>
      <c r="E687" s="117"/>
      <c r="F687" s="71"/>
      <c r="G687" s="118"/>
      <c r="H687" s="25"/>
      <c r="I687" s="25"/>
      <c r="J687" s="119"/>
    </row>
    <row r="688" ht="22.5" customHeight="1">
      <c r="A688" s="116"/>
      <c r="B688" s="71"/>
      <c r="C688" s="71"/>
      <c r="D688" s="26"/>
      <c r="E688" s="117"/>
      <c r="F688" s="71"/>
      <c r="G688" s="118"/>
      <c r="H688" s="25"/>
      <c r="I688" s="25"/>
      <c r="J688" s="119"/>
    </row>
    <row r="689" ht="22.5" customHeight="1">
      <c r="A689" s="116"/>
      <c r="B689" s="71"/>
      <c r="C689" s="71"/>
      <c r="D689" s="26"/>
      <c r="E689" s="117"/>
      <c r="F689" s="71"/>
      <c r="G689" s="118"/>
      <c r="H689" s="25"/>
      <c r="I689" s="25"/>
      <c r="J689" s="119"/>
    </row>
    <row r="690" ht="22.5" customHeight="1">
      <c r="A690" s="116"/>
      <c r="B690" s="71"/>
      <c r="C690" s="71"/>
      <c r="D690" s="26"/>
      <c r="E690" s="117"/>
      <c r="F690" s="71"/>
      <c r="G690" s="118"/>
      <c r="H690" s="25"/>
      <c r="I690" s="25"/>
      <c r="J690" s="119"/>
    </row>
    <row r="691" ht="22.5" customHeight="1">
      <c r="A691" s="116"/>
      <c r="B691" s="71"/>
      <c r="C691" s="71"/>
      <c r="D691" s="26"/>
      <c r="E691" s="117"/>
      <c r="F691" s="71"/>
      <c r="G691" s="118"/>
      <c r="H691" s="25"/>
      <c r="I691" s="25"/>
      <c r="J691" s="119"/>
    </row>
    <row r="692" ht="22.5" customHeight="1">
      <c r="A692" s="116"/>
      <c r="B692" s="71"/>
      <c r="C692" s="71"/>
      <c r="D692" s="26"/>
      <c r="E692" s="117"/>
      <c r="F692" s="71"/>
      <c r="G692" s="118"/>
      <c r="H692" s="25"/>
      <c r="I692" s="25"/>
      <c r="J692" s="119"/>
    </row>
    <row r="693" ht="22.5" customHeight="1">
      <c r="A693" s="116"/>
      <c r="B693" s="71"/>
      <c r="C693" s="71"/>
      <c r="D693" s="26"/>
      <c r="E693" s="117"/>
      <c r="F693" s="71"/>
      <c r="G693" s="118"/>
      <c r="H693" s="25"/>
      <c r="I693" s="25"/>
      <c r="J693" s="119"/>
    </row>
    <row r="694" ht="22.5" customHeight="1">
      <c r="A694" s="116"/>
      <c r="B694" s="71"/>
      <c r="C694" s="71"/>
      <c r="D694" s="26"/>
      <c r="E694" s="117"/>
      <c r="F694" s="71"/>
      <c r="G694" s="118"/>
      <c r="H694" s="25"/>
      <c r="I694" s="25"/>
      <c r="J694" s="119"/>
    </row>
    <row r="695" ht="22.5" customHeight="1">
      <c r="A695" s="116"/>
      <c r="B695" s="71"/>
      <c r="C695" s="71"/>
      <c r="D695" s="26"/>
      <c r="E695" s="117"/>
      <c r="F695" s="71"/>
      <c r="G695" s="118"/>
      <c r="H695" s="25"/>
      <c r="I695" s="25"/>
      <c r="J695" s="119"/>
    </row>
    <row r="696" ht="22.5" customHeight="1">
      <c r="A696" s="116"/>
      <c r="B696" s="71"/>
      <c r="C696" s="71"/>
      <c r="D696" s="26"/>
      <c r="E696" s="117"/>
      <c r="F696" s="71"/>
      <c r="G696" s="118"/>
      <c r="H696" s="25"/>
      <c r="I696" s="25"/>
      <c r="J696" s="119"/>
    </row>
    <row r="697" ht="22.5" customHeight="1">
      <c r="A697" s="116"/>
      <c r="B697" s="71"/>
      <c r="C697" s="71"/>
      <c r="D697" s="26"/>
      <c r="E697" s="117"/>
      <c r="F697" s="71"/>
      <c r="G697" s="118"/>
      <c r="H697" s="25"/>
      <c r="I697" s="25"/>
      <c r="J697" s="119"/>
    </row>
    <row r="698" ht="22.5" customHeight="1">
      <c r="A698" s="116"/>
      <c r="B698" s="71"/>
      <c r="C698" s="71"/>
      <c r="D698" s="26"/>
      <c r="E698" s="117"/>
      <c r="F698" s="71"/>
      <c r="G698" s="118"/>
      <c r="H698" s="25"/>
      <c r="I698" s="25"/>
      <c r="J698" s="119"/>
    </row>
    <row r="699" ht="22.5" customHeight="1">
      <c r="A699" s="116"/>
      <c r="B699" s="71"/>
      <c r="C699" s="71"/>
      <c r="D699" s="26"/>
      <c r="E699" s="117"/>
      <c r="F699" s="71"/>
      <c r="G699" s="118"/>
      <c r="H699" s="25"/>
      <c r="I699" s="25"/>
      <c r="J699" s="119"/>
    </row>
    <row r="700" ht="22.5" customHeight="1">
      <c r="A700" s="116"/>
      <c r="B700" s="71"/>
      <c r="C700" s="71"/>
      <c r="D700" s="26"/>
      <c r="E700" s="117"/>
      <c r="F700" s="71"/>
      <c r="G700" s="118"/>
      <c r="H700" s="25"/>
      <c r="I700" s="25"/>
      <c r="J700" s="119"/>
    </row>
    <row r="701" ht="22.5" customHeight="1">
      <c r="A701" s="116"/>
      <c r="B701" s="71"/>
      <c r="C701" s="71"/>
      <c r="D701" s="26"/>
      <c r="E701" s="117"/>
      <c r="F701" s="71"/>
      <c r="G701" s="118"/>
      <c r="H701" s="25"/>
      <c r="I701" s="25"/>
      <c r="J701" s="119"/>
    </row>
    <row r="702" ht="22.5" customHeight="1">
      <c r="A702" s="116"/>
      <c r="B702" s="71"/>
      <c r="C702" s="71"/>
      <c r="D702" s="26"/>
      <c r="E702" s="117"/>
      <c r="F702" s="71"/>
      <c r="G702" s="118"/>
      <c r="H702" s="25"/>
      <c r="I702" s="25"/>
      <c r="J702" s="119"/>
    </row>
    <row r="703" ht="22.5" customHeight="1">
      <c r="A703" s="116"/>
      <c r="B703" s="71"/>
      <c r="C703" s="71"/>
      <c r="D703" s="26"/>
      <c r="E703" s="117"/>
      <c r="F703" s="71"/>
      <c r="G703" s="118"/>
      <c r="H703" s="25"/>
      <c r="I703" s="25"/>
      <c r="J703" s="119"/>
    </row>
    <row r="704" ht="22.5" customHeight="1">
      <c r="A704" s="116"/>
      <c r="B704" s="71"/>
      <c r="C704" s="71"/>
      <c r="D704" s="26"/>
      <c r="E704" s="117"/>
      <c r="F704" s="71"/>
      <c r="G704" s="118"/>
      <c r="H704" s="25"/>
      <c r="I704" s="25"/>
      <c r="J704" s="119"/>
    </row>
    <row r="705" ht="22.5" customHeight="1">
      <c r="A705" s="116"/>
      <c r="B705" s="71"/>
      <c r="C705" s="71"/>
      <c r="D705" s="26"/>
      <c r="E705" s="117"/>
      <c r="F705" s="71"/>
      <c r="G705" s="118"/>
      <c r="H705" s="25"/>
      <c r="I705" s="25"/>
      <c r="J705" s="119"/>
    </row>
    <row r="706" ht="22.5" customHeight="1">
      <c r="A706" s="116"/>
      <c r="B706" s="71"/>
      <c r="C706" s="71"/>
      <c r="D706" s="26"/>
      <c r="E706" s="117"/>
      <c r="F706" s="71"/>
      <c r="G706" s="118"/>
      <c r="H706" s="25"/>
      <c r="I706" s="25"/>
      <c r="J706" s="119"/>
    </row>
    <row r="707" ht="22.5" customHeight="1">
      <c r="A707" s="116"/>
      <c r="B707" s="71"/>
      <c r="C707" s="71"/>
      <c r="D707" s="26"/>
      <c r="E707" s="117"/>
      <c r="F707" s="71"/>
      <c r="G707" s="118"/>
      <c r="H707" s="25"/>
      <c r="I707" s="25"/>
      <c r="J707" s="119"/>
    </row>
    <row r="708" ht="22.5" customHeight="1">
      <c r="A708" s="116"/>
      <c r="B708" s="71"/>
      <c r="C708" s="71"/>
      <c r="D708" s="26"/>
      <c r="E708" s="117"/>
      <c r="F708" s="71"/>
      <c r="G708" s="118"/>
      <c r="H708" s="25"/>
      <c r="I708" s="25"/>
      <c r="J708" s="119"/>
    </row>
    <row r="709" ht="22.5" customHeight="1">
      <c r="A709" s="116"/>
      <c r="B709" s="71"/>
      <c r="C709" s="71"/>
      <c r="D709" s="26"/>
      <c r="E709" s="117"/>
      <c r="F709" s="71"/>
      <c r="G709" s="118"/>
      <c r="H709" s="25"/>
      <c r="I709" s="25"/>
      <c r="J709" s="119"/>
    </row>
    <row r="710" ht="22.5" customHeight="1">
      <c r="A710" s="116"/>
      <c r="B710" s="71"/>
      <c r="C710" s="71"/>
      <c r="D710" s="26"/>
      <c r="E710" s="117"/>
      <c r="F710" s="71"/>
      <c r="G710" s="118"/>
      <c r="H710" s="25"/>
      <c r="I710" s="25"/>
      <c r="J710" s="119"/>
    </row>
    <row r="711" ht="22.5" customHeight="1">
      <c r="A711" s="116"/>
      <c r="B711" s="71"/>
      <c r="C711" s="71"/>
      <c r="D711" s="26"/>
      <c r="E711" s="117"/>
      <c r="F711" s="71"/>
      <c r="G711" s="118"/>
      <c r="H711" s="25"/>
      <c r="I711" s="25"/>
      <c r="J711" s="119"/>
    </row>
    <row r="712" ht="22.5" customHeight="1">
      <c r="A712" s="116"/>
      <c r="B712" s="71"/>
      <c r="C712" s="71"/>
      <c r="D712" s="26"/>
      <c r="E712" s="117"/>
      <c r="F712" s="71"/>
      <c r="G712" s="118"/>
      <c r="H712" s="25"/>
      <c r="I712" s="25"/>
      <c r="J712" s="119"/>
    </row>
    <row r="713" ht="22.5" customHeight="1">
      <c r="A713" s="116"/>
      <c r="B713" s="71"/>
      <c r="C713" s="71"/>
      <c r="D713" s="26"/>
      <c r="E713" s="117"/>
      <c r="F713" s="71"/>
      <c r="G713" s="118"/>
      <c r="H713" s="25"/>
      <c r="I713" s="25"/>
      <c r="J713" s="119"/>
    </row>
    <row r="714" ht="22.5" customHeight="1">
      <c r="A714" s="116"/>
      <c r="B714" s="71"/>
      <c r="C714" s="71"/>
      <c r="D714" s="26"/>
      <c r="E714" s="117"/>
      <c r="F714" s="71"/>
      <c r="G714" s="118"/>
      <c r="H714" s="25"/>
      <c r="I714" s="25"/>
      <c r="J714" s="119"/>
    </row>
    <row r="715" ht="22.5" customHeight="1">
      <c r="A715" s="116"/>
      <c r="B715" s="71"/>
      <c r="C715" s="71"/>
      <c r="D715" s="26"/>
      <c r="E715" s="117"/>
      <c r="F715" s="71"/>
      <c r="G715" s="118"/>
      <c r="H715" s="25"/>
      <c r="I715" s="25"/>
      <c r="J715" s="119"/>
    </row>
    <row r="716" ht="22.5" customHeight="1">
      <c r="A716" s="116"/>
      <c r="B716" s="71"/>
      <c r="C716" s="71"/>
      <c r="D716" s="26"/>
      <c r="E716" s="117"/>
      <c r="F716" s="71"/>
      <c r="G716" s="118"/>
      <c r="H716" s="25"/>
      <c r="I716" s="25"/>
      <c r="J716" s="119"/>
    </row>
    <row r="717" ht="22.5" customHeight="1">
      <c r="A717" s="116"/>
      <c r="B717" s="71"/>
      <c r="C717" s="71"/>
      <c r="D717" s="26"/>
      <c r="E717" s="117"/>
      <c r="F717" s="71"/>
      <c r="G717" s="118"/>
      <c r="H717" s="25"/>
      <c r="I717" s="25"/>
      <c r="J717" s="119"/>
    </row>
    <row r="718" ht="22.5" customHeight="1">
      <c r="A718" s="116"/>
      <c r="B718" s="71"/>
      <c r="C718" s="71"/>
      <c r="D718" s="26"/>
      <c r="E718" s="117"/>
      <c r="F718" s="71"/>
      <c r="G718" s="118"/>
      <c r="H718" s="25"/>
      <c r="I718" s="25"/>
      <c r="J718" s="119"/>
    </row>
    <row r="719" ht="22.5" customHeight="1">
      <c r="A719" s="116"/>
      <c r="B719" s="71"/>
      <c r="C719" s="71"/>
      <c r="D719" s="26"/>
      <c r="E719" s="117"/>
      <c r="F719" s="71"/>
      <c r="G719" s="118"/>
      <c r="H719" s="25"/>
      <c r="I719" s="25"/>
      <c r="J719" s="119"/>
    </row>
    <row r="720" ht="22.5" customHeight="1">
      <c r="A720" s="116"/>
      <c r="B720" s="71"/>
      <c r="C720" s="71"/>
      <c r="D720" s="26"/>
      <c r="E720" s="117"/>
      <c r="F720" s="71"/>
      <c r="G720" s="118"/>
      <c r="H720" s="25"/>
      <c r="I720" s="25"/>
      <c r="J720" s="119"/>
    </row>
    <row r="721" ht="22.5" customHeight="1">
      <c r="A721" s="116"/>
      <c r="B721" s="71"/>
      <c r="C721" s="71"/>
      <c r="D721" s="26"/>
      <c r="E721" s="117"/>
      <c r="F721" s="71"/>
      <c r="G721" s="118"/>
      <c r="H721" s="25"/>
      <c r="I721" s="25"/>
      <c r="J721" s="119"/>
    </row>
    <row r="722" ht="22.5" customHeight="1">
      <c r="A722" s="116"/>
      <c r="B722" s="71"/>
      <c r="C722" s="71"/>
      <c r="D722" s="26"/>
      <c r="E722" s="117"/>
      <c r="F722" s="71"/>
      <c r="G722" s="118"/>
      <c r="H722" s="25"/>
      <c r="I722" s="25"/>
      <c r="J722" s="119"/>
    </row>
    <row r="723" ht="22.5" customHeight="1">
      <c r="A723" s="116"/>
      <c r="B723" s="71"/>
      <c r="C723" s="71"/>
      <c r="D723" s="26"/>
      <c r="E723" s="117"/>
      <c r="F723" s="71"/>
      <c r="G723" s="118"/>
      <c r="H723" s="25"/>
      <c r="I723" s="25"/>
      <c r="J723" s="119"/>
    </row>
    <row r="724" ht="22.5" customHeight="1">
      <c r="A724" s="116"/>
      <c r="B724" s="71"/>
      <c r="C724" s="71"/>
      <c r="D724" s="26"/>
      <c r="E724" s="117"/>
      <c r="F724" s="71"/>
      <c r="G724" s="118"/>
      <c r="H724" s="25"/>
      <c r="I724" s="25"/>
      <c r="J724" s="119"/>
    </row>
    <row r="725" ht="22.5" customHeight="1">
      <c r="A725" s="116"/>
      <c r="B725" s="71"/>
      <c r="C725" s="71"/>
      <c r="D725" s="26"/>
      <c r="E725" s="117"/>
      <c r="F725" s="71"/>
      <c r="G725" s="118"/>
      <c r="H725" s="25"/>
      <c r="I725" s="25"/>
      <c r="J725" s="119"/>
    </row>
    <row r="726" ht="22.5" customHeight="1">
      <c r="A726" s="116"/>
      <c r="B726" s="71"/>
      <c r="C726" s="71"/>
      <c r="D726" s="26"/>
      <c r="E726" s="117"/>
      <c r="F726" s="71"/>
      <c r="G726" s="118"/>
      <c r="H726" s="25"/>
      <c r="I726" s="25"/>
      <c r="J726" s="119"/>
    </row>
    <row r="727" ht="22.5" customHeight="1">
      <c r="A727" s="116"/>
      <c r="B727" s="71"/>
      <c r="C727" s="71"/>
      <c r="D727" s="26"/>
      <c r="E727" s="117"/>
      <c r="F727" s="71"/>
      <c r="G727" s="118"/>
      <c r="H727" s="25"/>
      <c r="I727" s="25"/>
      <c r="J727" s="119"/>
    </row>
    <row r="728" ht="22.5" customHeight="1">
      <c r="A728" s="116"/>
      <c r="B728" s="71"/>
      <c r="C728" s="71"/>
      <c r="D728" s="26"/>
      <c r="E728" s="117"/>
      <c r="F728" s="71"/>
      <c r="G728" s="118"/>
      <c r="H728" s="25"/>
      <c r="I728" s="25"/>
      <c r="J728" s="119"/>
    </row>
    <row r="729" ht="22.5" customHeight="1">
      <c r="A729" s="116"/>
      <c r="B729" s="71"/>
      <c r="C729" s="71"/>
      <c r="D729" s="26"/>
      <c r="E729" s="117"/>
      <c r="F729" s="71"/>
      <c r="G729" s="118"/>
      <c r="H729" s="25"/>
      <c r="I729" s="25"/>
      <c r="J729" s="119"/>
    </row>
    <row r="730" ht="22.5" customHeight="1">
      <c r="A730" s="116"/>
      <c r="B730" s="71"/>
      <c r="C730" s="71"/>
      <c r="D730" s="26"/>
      <c r="E730" s="117"/>
      <c r="F730" s="71"/>
      <c r="G730" s="118"/>
      <c r="H730" s="25"/>
      <c r="I730" s="25"/>
      <c r="J730" s="119"/>
    </row>
    <row r="731" ht="22.5" customHeight="1">
      <c r="A731" s="116"/>
      <c r="B731" s="71"/>
      <c r="C731" s="71"/>
      <c r="D731" s="26"/>
      <c r="E731" s="117"/>
      <c r="F731" s="71"/>
      <c r="G731" s="118"/>
      <c r="H731" s="25"/>
      <c r="I731" s="25"/>
      <c r="J731" s="119"/>
    </row>
    <row r="732" ht="22.5" customHeight="1">
      <c r="A732" s="116"/>
      <c r="B732" s="71"/>
      <c r="C732" s="71"/>
      <c r="D732" s="26"/>
      <c r="E732" s="117"/>
      <c r="F732" s="71"/>
      <c r="G732" s="118"/>
      <c r="H732" s="25"/>
      <c r="I732" s="25"/>
      <c r="J732" s="119"/>
    </row>
    <row r="733" ht="22.5" customHeight="1">
      <c r="A733" s="116"/>
      <c r="B733" s="71"/>
      <c r="C733" s="71"/>
      <c r="D733" s="26"/>
      <c r="E733" s="117"/>
      <c r="F733" s="71"/>
      <c r="G733" s="118"/>
      <c r="H733" s="25"/>
      <c r="I733" s="25"/>
      <c r="J733" s="119"/>
    </row>
    <row r="734" ht="22.5" customHeight="1">
      <c r="A734" s="116"/>
      <c r="B734" s="71"/>
      <c r="C734" s="71"/>
      <c r="D734" s="26"/>
      <c r="E734" s="117"/>
      <c r="F734" s="71"/>
      <c r="G734" s="118"/>
      <c r="H734" s="25"/>
      <c r="I734" s="25"/>
      <c r="J734" s="119"/>
    </row>
    <row r="735" ht="22.5" customHeight="1">
      <c r="A735" s="116"/>
      <c r="B735" s="71"/>
      <c r="C735" s="71"/>
      <c r="D735" s="26"/>
      <c r="E735" s="117"/>
      <c r="F735" s="71"/>
      <c r="G735" s="118"/>
      <c r="H735" s="25"/>
      <c r="I735" s="25"/>
      <c r="J735" s="119"/>
    </row>
    <row r="736" ht="22.5" customHeight="1">
      <c r="A736" s="116"/>
      <c r="B736" s="71"/>
      <c r="C736" s="71"/>
      <c r="D736" s="26"/>
      <c r="E736" s="117"/>
      <c r="F736" s="71"/>
      <c r="G736" s="118"/>
      <c r="H736" s="25"/>
      <c r="I736" s="25"/>
      <c r="J736" s="119"/>
    </row>
    <row r="737" ht="22.5" customHeight="1">
      <c r="A737" s="116"/>
      <c r="B737" s="71"/>
      <c r="C737" s="71"/>
      <c r="D737" s="26"/>
      <c r="E737" s="117"/>
      <c r="F737" s="71"/>
      <c r="G737" s="118"/>
      <c r="H737" s="25"/>
      <c r="I737" s="25"/>
      <c r="J737" s="119"/>
    </row>
    <row r="738" ht="22.5" customHeight="1">
      <c r="A738" s="116"/>
      <c r="B738" s="71"/>
      <c r="C738" s="71"/>
      <c r="D738" s="26"/>
      <c r="E738" s="117"/>
      <c r="F738" s="71"/>
      <c r="G738" s="118"/>
      <c r="H738" s="25"/>
      <c r="I738" s="25"/>
      <c r="J738" s="119"/>
    </row>
    <row r="739" ht="22.5" customHeight="1">
      <c r="A739" s="116"/>
      <c r="B739" s="71"/>
      <c r="C739" s="71"/>
      <c r="D739" s="26"/>
      <c r="E739" s="117"/>
      <c r="F739" s="71"/>
      <c r="G739" s="118"/>
      <c r="H739" s="25"/>
      <c r="I739" s="25"/>
      <c r="J739" s="119"/>
    </row>
    <row r="740" ht="22.5" customHeight="1">
      <c r="A740" s="116"/>
      <c r="B740" s="71"/>
      <c r="C740" s="71"/>
      <c r="D740" s="26"/>
      <c r="E740" s="117"/>
      <c r="F740" s="71"/>
      <c r="G740" s="118"/>
      <c r="H740" s="25"/>
      <c r="I740" s="25"/>
      <c r="J740" s="119"/>
    </row>
    <row r="741" ht="22.5" customHeight="1">
      <c r="A741" s="116"/>
      <c r="B741" s="71"/>
      <c r="C741" s="71"/>
      <c r="D741" s="26"/>
      <c r="E741" s="117"/>
      <c r="F741" s="71"/>
      <c r="G741" s="118"/>
      <c r="H741" s="25"/>
      <c r="I741" s="25"/>
      <c r="J741" s="119"/>
    </row>
    <row r="742" ht="22.5" customHeight="1">
      <c r="A742" s="116"/>
      <c r="B742" s="71"/>
      <c r="C742" s="71"/>
      <c r="D742" s="26"/>
      <c r="E742" s="117"/>
      <c r="F742" s="71"/>
      <c r="G742" s="118"/>
      <c r="H742" s="25"/>
      <c r="I742" s="25"/>
      <c r="J742" s="119"/>
    </row>
    <row r="743" ht="22.5" customHeight="1">
      <c r="A743" s="116"/>
      <c r="B743" s="71"/>
      <c r="C743" s="71"/>
      <c r="D743" s="26"/>
      <c r="E743" s="117"/>
      <c r="F743" s="71"/>
      <c r="G743" s="118"/>
      <c r="H743" s="25"/>
      <c r="I743" s="25"/>
      <c r="J743" s="119"/>
    </row>
    <row r="744" ht="22.5" customHeight="1">
      <c r="A744" s="116"/>
      <c r="B744" s="71"/>
      <c r="C744" s="71"/>
      <c r="D744" s="26"/>
      <c r="E744" s="117"/>
      <c r="F744" s="71"/>
      <c r="G744" s="118"/>
      <c r="H744" s="25"/>
      <c r="I744" s="25"/>
      <c r="J744" s="119"/>
    </row>
    <row r="745" ht="22.5" customHeight="1">
      <c r="A745" s="116"/>
      <c r="B745" s="71"/>
      <c r="C745" s="71"/>
      <c r="D745" s="26"/>
      <c r="E745" s="117"/>
      <c r="F745" s="71"/>
      <c r="G745" s="118"/>
      <c r="H745" s="25"/>
      <c r="I745" s="25"/>
      <c r="J745" s="119"/>
    </row>
    <row r="746" ht="22.5" customHeight="1">
      <c r="A746" s="116"/>
      <c r="B746" s="71"/>
      <c r="C746" s="71"/>
      <c r="D746" s="26"/>
      <c r="E746" s="117"/>
      <c r="F746" s="71"/>
      <c r="G746" s="118"/>
      <c r="H746" s="25"/>
      <c r="I746" s="25"/>
      <c r="J746" s="119"/>
    </row>
    <row r="747" ht="22.5" customHeight="1">
      <c r="A747" s="116"/>
      <c r="B747" s="71"/>
      <c r="C747" s="71"/>
      <c r="D747" s="26"/>
      <c r="E747" s="117"/>
      <c r="F747" s="71"/>
      <c r="G747" s="118"/>
      <c r="H747" s="25"/>
      <c r="I747" s="25"/>
      <c r="J747" s="119"/>
    </row>
    <row r="748" ht="22.5" customHeight="1">
      <c r="A748" s="116"/>
      <c r="B748" s="71"/>
      <c r="C748" s="71"/>
      <c r="D748" s="26"/>
      <c r="E748" s="117"/>
      <c r="F748" s="71"/>
      <c r="G748" s="118"/>
      <c r="H748" s="25"/>
      <c r="I748" s="25"/>
      <c r="J748" s="119"/>
    </row>
    <row r="749" ht="22.5" customHeight="1">
      <c r="A749" s="116"/>
      <c r="B749" s="71"/>
      <c r="C749" s="71"/>
      <c r="D749" s="26"/>
      <c r="E749" s="117"/>
      <c r="F749" s="71"/>
      <c r="G749" s="118"/>
      <c r="H749" s="25"/>
      <c r="I749" s="25"/>
      <c r="J749" s="119"/>
    </row>
    <row r="750" ht="22.5" customHeight="1">
      <c r="A750" s="116"/>
      <c r="B750" s="71"/>
      <c r="C750" s="71"/>
      <c r="D750" s="26"/>
      <c r="E750" s="117"/>
      <c r="F750" s="71"/>
      <c r="G750" s="118"/>
      <c r="H750" s="25"/>
      <c r="I750" s="25"/>
      <c r="J750" s="119"/>
    </row>
    <row r="751" ht="22.5" customHeight="1">
      <c r="A751" s="116"/>
      <c r="B751" s="71"/>
      <c r="C751" s="71"/>
      <c r="D751" s="26"/>
      <c r="E751" s="117"/>
      <c r="F751" s="71"/>
      <c r="G751" s="118"/>
      <c r="H751" s="25"/>
      <c r="I751" s="25"/>
      <c r="J751" s="119"/>
    </row>
    <row r="752" ht="22.5" customHeight="1">
      <c r="A752" s="116"/>
      <c r="B752" s="71"/>
      <c r="C752" s="71"/>
      <c r="D752" s="26"/>
      <c r="E752" s="117"/>
      <c r="F752" s="71"/>
      <c r="G752" s="118"/>
      <c r="H752" s="25"/>
      <c r="I752" s="25"/>
      <c r="J752" s="119"/>
    </row>
    <row r="753" ht="22.5" customHeight="1">
      <c r="A753" s="116"/>
      <c r="B753" s="71"/>
      <c r="C753" s="71"/>
      <c r="D753" s="26"/>
      <c r="E753" s="117"/>
      <c r="F753" s="71"/>
      <c r="G753" s="118"/>
      <c r="H753" s="25"/>
      <c r="I753" s="25"/>
      <c r="J753" s="119"/>
    </row>
    <row r="754" ht="22.5" customHeight="1">
      <c r="A754" s="116"/>
      <c r="B754" s="71"/>
      <c r="C754" s="71"/>
      <c r="D754" s="26"/>
      <c r="E754" s="117"/>
      <c r="F754" s="71"/>
      <c r="G754" s="118"/>
      <c r="H754" s="25"/>
      <c r="I754" s="25"/>
      <c r="J754" s="119"/>
    </row>
    <row r="755" ht="22.5" customHeight="1">
      <c r="A755" s="116"/>
      <c r="B755" s="71"/>
      <c r="C755" s="71"/>
      <c r="D755" s="26"/>
      <c r="E755" s="117"/>
      <c r="F755" s="71"/>
      <c r="G755" s="118"/>
      <c r="H755" s="25"/>
      <c r="I755" s="25"/>
      <c r="J755" s="119"/>
    </row>
    <row r="756" ht="22.5" customHeight="1">
      <c r="A756" s="116"/>
      <c r="B756" s="71"/>
      <c r="C756" s="71"/>
      <c r="D756" s="26"/>
      <c r="E756" s="117"/>
      <c r="F756" s="71"/>
      <c r="G756" s="118"/>
      <c r="H756" s="25"/>
      <c r="I756" s="25"/>
      <c r="J756" s="119"/>
    </row>
    <row r="757" ht="22.5" customHeight="1">
      <c r="A757" s="116"/>
      <c r="B757" s="71"/>
      <c r="C757" s="71"/>
      <c r="D757" s="26"/>
      <c r="E757" s="117"/>
      <c r="F757" s="71"/>
      <c r="G757" s="118"/>
      <c r="H757" s="25"/>
      <c r="I757" s="25"/>
      <c r="J757" s="119"/>
    </row>
    <row r="758" ht="22.5" customHeight="1">
      <c r="A758" s="116"/>
      <c r="B758" s="71"/>
      <c r="C758" s="71"/>
      <c r="D758" s="26"/>
      <c r="E758" s="117"/>
      <c r="F758" s="71"/>
      <c r="G758" s="118"/>
      <c r="H758" s="25"/>
      <c r="I758" s="25"/>
      <c r="J758" s="119"/>
    </row>
    <row r="759" ht="22.5" customHeight="1">
      <c r="A759" s="116"/>
      <c r="B759" s="71"/>
      <c r="C759" s="71"/>
      <c r="D759" s="26"/>
      <c r="E759" s="117"/>
      <c r="F759" s="71"/>
      <c r="G759" s="118"/>
      <c r="H759" s="25"/>
      <c r="I759" s="25"/>
      <c r="J759" s="119"/>
    </row>
    <row r="760" ht="22.5" customHeight="1">
      <c r="A760" s="116"/>
      <c r="B760" s="71"/>
      <c r="C760" s="71"/>
      <c r="D760" s="26"/>
      <c r="E760" s="117"/>
      <c r="F760" s="71"/>
      <c r="G760" s="118"/>
      <c r="H760" s="25"/>
      <c r="I760" s="25"/>
      <c r="J760" s="119"/>
    </row>
    <row r="761" ht="22.5" customHeight="1">
      <c r="A761" s="116"/>
      <c r="B761" s="71"/>
      <c r="C761" s="71"/>
      <c r="D761" s="26"/>
      <c r="E761" s="117"/>
      <c r="F761" s="71"/>
      <c r="G761" s="118"/>
      <c r="H761" s="25"/>
      <c r="I761" s="25"/>
      <c r="J761" s="119"/>
    </row>
    <row r="762" ht="22.5" customHeight="1">
      <c r="A762" s="116"/>
      <c r="B762" s="71"/>
      <c r="C762" s="71"/>
      <c r="D762" s="26"/>
      <c r="E762" s="117"/>
      <c r="F762" s="71"/>
      <c r="G762" s="118"/>
      <c r="H762" s="25"/>
      <c r="I762" s="25"/>
      <c r="J762" s="119"/>
    </row>
    <row r="763" ht="22.5" customHeight="1">
      <c r="A763" s="116"/>
      <c r="B763" s="71"/>
      <c r="C763" s="71"/>
      <c r="D763" s="26"/>
      <c r="E763" s="117"/>
      <c r="F763" s="71"/>
      <c r="G763" s="118"/>
      <c r="H763" s="25"/>
      <c r="I763" s="25"/>
      <c r="J763" s="119"/>
    </row>
    <row r="764" ht="22.5" customHeight="1">
      <c r="A764" s="116"/>
      <c r="B764" s="71"/>
      <c r="C764" s="71"/>
      <c r="D764" s="26"/>
      <c r="E764" s="117"/>
      <c r="F764" s="71"/>
      <c r="G764" s="118"/>
      <c r="H764" s="25"/>
      <c r="I764" s="25"/>
      <c r="J764" s="119"/>
    </row>
    <row r="765" ht="22.5" customHeight="1">
      <c r="A765" s="116"/>
      <c r="B765" s="71"/>
      <c r="C765" s="71"/>
      <c r="D765" s="26"/>
      <c r="E765" s="117"/>
      <c r="F765" s="71"/>
      <c r="G765" s="118"/>
      <c r="H765" s="25"/>
      <c r="I765" s="25"/>
      <c r="J765" s="119"/>
    </row>
    <row r="766" ht="22.5" customHeight="1">
      <c r="A766" s="116"/>
      <c r="B766" s="71"/>
      <c r="C766" s="71"/>
      <c r="D766" s="26"/>
      <c r="E766" s="117"/>
      <c r="F766" s="71"/>
      <c r="G766" s="118"/>
      <c r="H766" s="25"/>
      <c r="I766" s="25"/>
      <c r="J766" s="119"/>
    </row>
    <row r="767" ht="22.5" customHeight="1">
      <c r="A767" s="116"/>
      <c r="B767" s="71"/>
      <c r="C767" s="71"/>
      <c r="D767" s="26"/>
      <c r="E767" s="117"/>
      <c r="F767" s="71"/>
      <c r="G767" s="118"/>
      <c r="H767" s="25"/>
      <c r="I767" s="25"/>
      <c r="J767" s="119"/>
    </row>
    <row r="768" ht="22.5" customHeight="1">
      <c r="A768" s="116"/>
      <c r="B768" s="71"/>
      <c r="C768" s="71"/>
      <c r="D768" s="26"/>
      <c r="E768" s="117"/>
      <c r="F768" s="71"/>
      <c r="G768" s="118"/>
      <c r="H768" s="25"/>
      <c r="I768" s="25"/>
      <c r="J768" s="119"/>
    </row>
    <row r="769" ht="22.5" customHeight="1">
      <c r="A769" s="116"/>
      <c r="B769" s="71"/>
      <c r="C769" s="71"/>
      <c r="D769" s="26"/>
      <c r="E769" s="117"/>
      <c r="F769" s="71"/>
      <c r="G769" s="118"/>
      <c r="H769" s="25"/>
      <c r="I769" s="25"/>
      <c r="J769" s="119"/>
    </row>
    <row r="770" ht="22.5" customHeight="1">
      <c r="A770" s="116"/>
      <c r="B770" s="71"/>
      <c r="C770" s="71"/>
      <c r="D770" s="26"/>
      <c r="E770" s="117"/>
      <c r="F770" s="71"/>
      <c r="G770" s="118"/>
      <c r="H770" s="25"/>
      <c r="I770" s="25"/>
      <c r="J770" s="119"/>
    </row>
    <row r="771" ht="22.5" customHeight="1">
      <c r="A771" s="116"/>
      <c r="B771" s="71"/>
      <c r="C771" s="71"/>
      <c r="D771" s="26"/>
      <c r="E771" s="117"/>
      <c r="F771" s="71"/>
      <c r="G771" s="118"/>
      <c r="H771" s="25"/>
      <c r="I771" s="25"/>
      <c r="J771" s="119"/>
    </row>
    <row r="772" ht="22.5" customHeight="1">
      <c r="A772" s="116"/>
      <c r="B772" s="71"/>
      <c r="C772" s="71"/>
      <c r="D772" s="26"/>
      <c r="E772" s="117"/>
      <c r="F772" s="71"/>
      <c r="G772" s="118"/>
      <c r="H772" s="25"/>
      <c r="I772" s="25"/>
      <c r="J772" s="119"/>
    </row>
    <row r="773" ht="22.5" customHeight="1">
      <c r="A773" s="116"/>
      <c r="B773" s="71"/>
      <c r="C773" s="71"/>
      <c r="D773" s="26"/>
      <c r="E773" s="117"/>
      <c r="F773" s="71"/>
      <c r="G773" s="118"/>
      <c r="H773" s="25"/>
      <c r="I773" s="25"/>
      <c r="J773" s="119"/>
    </row>
    <row r="774" ht="22.5" customHeight="1">
      <c r="A774" s="116"/>
      <c r="B774" s="71"/>
      <c r="C774" s="71"/>
      <c r="D774" s="26"/>
      <c r="E774" s="117"/>
      <c r="F774" s="71"/>
      <c r="G774" s="118"/>
      <c r="H774" s="25"/>
      <c r="I774" s="25"/>
      <c r="J774" s="119"/>
    </row>
    <row r="775" ht="22.5" customHeight="1">
      <c r="A775" s="116"/>
      <c r="B775" s="71"/>
      <c r="C775" s="71"/>
      <c r="D775" s="26"/>
      <c r="E775" s="117"/>
      <c r="F775" s="71"/>
      <c r="G775" s="118"/>
      <c r="H775" s="25"/>
      <c r="I775" s="25"/>
      <c r="J775" s="119"/>
    </row>
    <row r="776" ht="22.5" customHeight="1">
      <c r="A776" s="116"/>
      <c r="B776" s="71"/>
      <c r="C776" s="71"/>
      <c r="D776" s="26"/>
      <c r="E776" s="117"/>
      <c r="F776" s="71"/>
      <c r="G776" s="118"/>
      <c r="H776" s="25"/>
      <c r="I776" s="25"/>
      <c r="J776" s="119"/>
    </row>
    <row r="777" ht="22.5" customHeight="1">
      <c r="A777" s="116"/>
      <c r="B777" s="71"/>
      <c r="C777" s="71"/>
      <c r="D777" s="26"/>
      <c r="E777" s="117"/>
      <c r="F777" s="71"/>
      <c r="G777" s="118"/>
      <c r="H777" s="25"/>
      <c r="I777" s="25"/>
      <c r="J777" s="119"/>
    </row>
    <row r="778" ht="22.5" customHeight="1">
      <c r="A778" s="116"/>
      <c r="B778" s="71"/>
      <c r="C778" s="71"/>
      <c r="D778" s="26"/>
      <c r="E778" s="117"/>
      <c r="F778" s="71"/>
      <c r="G778" s="118"/>
      <c r="H778" s="25"/>
      <c r="I778" s="25"/>
      <c r="J778" s="119"/>
    </row>
    <row r="779" ht="22.5" customHeight="1">
      <c r="A779" s="116"/>
      <c r="B779" s="71"/>
      <c r="C779" s="71"/>
      <c r="D779" s="26"/>
      <c r="E779" s="117"/>
      <c r="F779" s="71"/>
      <c r="G779" s="118"/>
      <c r="H779" s="25"/>
      <c r="I779" s="25"/>
      <c r="J779" s="119"/>
    </row>
    <row r="780" ht="22.5" customHeight="1">
      <c r="A780" s="116"/>
      <c r="B780" s="71"/>
      <c r="C780" s="71"/>
      <c r="D780" s="26"/>
      <c r="E780" s="117"/>
      <c r="F780" s="71"/>
      <c r="G780" s="118"/>
      <c r="H780" s="25"/>
      <c r="I780" s="25"/>
      <c r="J780" s="119"/>
    </row>
    <row r="781" ht="22.5" customHeight="1">
      <c r="A781" s="116"/>
      <c r="B781" s="71"/>
      <c r="C781" s="71"/>
      <c r="D781" s="26"/>
      <c r="E781" s="117"/>
      <c r="F781" s="71"/>
      <c r="G781" s="118"/>
      <c r="H781" s="25"/>
      <c r="I781" s="25"/>
      <c r="J781" s="119"/>
    </row>
    <row r="782" ht="22.5" customHeight="1">
      <c r="A782" s="116"/>
      <c r="B782" s="71"/>
      <c r="C782" s="71"/>
      <c r="D782" s="26"/>
      <c r="E782" s="117"/>
      <c r="F782" s="71"/>
      <c r="G782" s="118"/>
      <c r="H782" s="25"/>
      <c r="I782" s="25"/>
      <c r="J782" s="119"/>
    </row>
    <row r="783" ht="22.5" customHeight="1">
      <c r="A783" s="116"/>
      <c r="B783" s="71"/>
      <c r="C783" s="71"/>
      <c r="D783" s="26"/>
      <c r="E783" s="117"/>
      <c r="F783" s="71"/>
      <c r="G783" s="118"/>
      <c r="H783" s="25"/>
      <c r="I783" s="25"/>
      <c r="J783" s="119"/>
    </row>
    <row r="784" ht="22.5" customHeight="1">
      <c r="A784" s="116"/>
      <c r="B784" s="71"/>
      <c r="C784" s="71"/>
      <c r="D784" s="26"/>
      <c r="E784" s="117"/>
      <c r="F784" s="71"/>
      <c r="G784" s="118"/>
      <c r="H784" s="25"/>
      <c r="I784" s="25"/>
      <c r="J784" s="119"/>
    </row>
    <row r="785" ht="22.5" customHeight="1">
      <c r="A785" s="116"/>
      <c r="B785" s="71"/>
      <c r="C785" s="71"/>
      <c r="D785" s="26"/>
      <c r="E785" s="117"/>
      <c r="F785" s="71"/>
      <c r="G785" s="118"/>
      <c r="H785" s="25"/>
      <c r="I785" s="25"/>
      <c r="J785" s="119"/>
    </row>
    <row r="786" ht="22.5" customHeight="1">
      <c r="A786" s="116"/>
      <c r="B786" s="71"/>
      <c r="C786" s="71"/>
      <c r="D786" s="26"/>
      <c r="E786" s="117"/>
      <c r="F786" s="71"/>
      <c r="G786" s="118"/>
      <c r="H786" s="25"/>
      <c r="I786" s="25"/>
      <c r="J786" s="119"/>
    </row>
    <row r="787" ht="22.5" customHeight="1">
      <c r="A787" s="116"/>
      <c r="B787" s="71"/>
      <c r="C787" s="71"/>
      <c r="D787" s="26"/>
      <c r="E787" s="117"/>
      <c r="F787" s="71"/>
      <c r="G787" s="118"/>
      <c r="H787" s="25"/>
      <c r="I787" s="25"/>
      <c r="J787" s="119"/>
    </row>
    <row r="788" ht="22.5" customHeight="1">
      <c r="A788" s="116"/>
      <c r="B788" s="71"/>
      <c r="C788" s="71"/>
      <c r="D788" s="26"/>
      <c r="E788" s="117"/>
      <c r="F788" s="71"/>
      <c r="G788" s="118"/>
      <c r="H788" s="25"/>
      <c r="I788" s="25"/>
      <c r="J788" s="119"/>
    </row>
    <row r="789" ht="22.5" customHeight="1">
      <c r="A789" s="116"/>
      <c r="B789" s="71"/>
      <c r="C789" s="71"/>
      <c r="D789" s="26"/>
      <c r="E789" s="117"/>
      <c r="F789" s="71"/>
      <c r="G789" s="118"/>
      <c r="H789" s="25"/>
      <c r="I789" s="25"/>
      <c r="J789" s="119"/>
    </row>
    <row r="790" ht="22.5" customHeight="1">
      <c r="A790" s="116"/>
      <c r="B790" s="71"/>
      <c r="C790" s="71"/>
      <c r="D790" s="26"/>
      <c r="E790" s="117"/>
      <c r="F790" s="71"/>
      <c r="G790" s="118"/>
      <c r="H790" s="25"/>
      <c r="I790" s="25"/>
      <c r="J790" s="119"/>
    </row>
    <row r="791" ht="22.5" customHeight="1">
      <c r="A791" s="116"/>
      <c r="B791" s="71"/>
      <c r="C791" s="71"/>
      <c r="D791" s="26"/>
      <c r="E791" s="117"/>
      <c r="F791" s="71"/>
      <c r="G791" s="118"/>
      <c r="H791" s="25"/>
      <c r="I791" s="25"/>
      <c r="J791" s="119"/>
    </row>
    <row r="792" ht="22.5" customHeight="1">
      <c r="A792" s="116"/>
      <c r="B792" s="71"/>
      <c r="C792" s="71"/>
      <c r="D792" s="26"/>
      <c r="E792" s="117"/>
      <c r="F792" s="71"/>
      <c r="G792" s="118"/>
      <c r="H792" s="25"/>
      <c r="I792" s="25"/>
      <c r="J792" s="119"/>
    </row>
    <row r="793" ht="22.5" customHeight="1">
      <c r="A793" s="116"/>
      <c r="B793" s="71"/>
      <c r="C793" s="71"/>
      <c r="D793" s="26"/>
      <c r="E793" s="117"/>
      <c r="F793" s="71"/>
      <c r="G793" s="118"/>
      <c r="H793" s="25"/>
      <c r="I793" s="25"/>
      <c r="J793" s="119"/>
    </row>
    <row r="794" ht="22.5" customHeight="1">
      <c r="A794" s="116"/>
      <c r="B794" s="71"/>
      <c r="C794" s="71"/>
      <c r="D794" s="26"/>
      <c r="E794" s="117"/>
      <c r="F794" s="71"/>
      <c r="G794" s="118"/>
      <c r="H794" s="25"/>
      <c r="I794" s="25"/>
      <c r="J794" s="119"/>
    </row>
    <row r="795" ht="22.5" customHeight="1">
      <c r="A795" s="116"/>
      <c r="B795" s="71"/>
      <c r="C795" s="71"/>
      <c r="D795" s="26"/>
      <c r="E795" s="117"/>
      <c r="F795" s="71"/>
      <c r="G795" s="118"/>
      <c r="H795" s="25"/>
      <c r="I795" s="25"/>
      <c r="J795" s="119"/>
    </row>
    <row r="796" ht="22.5" customHeight="1">
      <c r="A796" s="116"/>
      <c r="B796" s="71"/>
      <c r="C796" s="71"/>
      <c r="D796" s="26"/>
      <c r="E796" s="117"/>
      <c r="F796" s="71"/>
      <c r="G796" s="118"/>
      <c r="H796" s="25"/>
      <c r="I796" s="25"/>
      <c r="J796" s="119"/>
    </row>
    <row r="797" ht="22.5" customHeight="1">
      <c r="A797" s="116"/>
      <c r="B797" s="71"/>
      <c r="C797" s="71"/>
      <c r="D797" s="26"/>
      <c r="E797" s="117"/>
      <c r="F797" s="71"/>
      <c r="G797" s="118"/>
      <c r="H797" s="25"/>
      <c r="I797" s="25"/>
      <c r="J797" s="119"/>
    </row>
    <row r="798" ht="22.5" customHeight="1">
      <c r="A798" s="116"/>
      <c r="B798" s="71"/>
      <c r="C798" s="71"/>
      <c r="D798" s="26"/>
      <c r="E798" s="117"/>
      <c r="F798" s="71"/>
      <c r="G798" s="118"/>
      <c r="H798" s="25"/>
      <c r="I798" s="25"/>
      <c r="J798" s="119"/>
    </row>
    <row r="799" ht="22.5" customHeight="1">
      <c r="A799" s="116"/>
      <c r="B799" s="71"/>
      <c r="C799" s="71"/>
      <c r="D799" s="26"/>
      <c r="E799" s="117"/>
      <c r="F799" s="71"/>
      <c r="G799" s="118"/>
      <c r="H799" s="25"/>
      <c r="I799" s="25"/>
      <c r="J799" s="119"/>
    </row>
    <row r="800" ht="22.5" customHeight="1">
      <c r="A800" s="116"/>
      <c r="B800" s="71"/>
      <c r="C800" s="71"/>
      <c r="D800" s="26"/>
      <c r="E800" s="117"/>
      <c r="F800" s="71"/>
      <c r="G800" s="118"/>
      <c r="H800" s="25"/>
      <c r="I800" s="25"/>
      <c r="J800" s="119"/>
    </row>
    <row r="801" ht="22.5" customHeight="1">
      <c r="A801" s="116"/>
      <c r="B801" s="71"/>
      <c r="C801" s="71"/>
      <c r="D801" s="26"/>
      <c r="E801" s="117"/>
      <c r="F801" s="71"/>
      <c r="G801" s="118"/>
      <c r="H801" s="25"/>
      <c r="I801" s="25"/>
      <c r="J801" s="119"/>
    </row>
    <row r="802" ht="22.5" customHeight="1">
      <c r="A802" s="116"/>
      <c r="B802" s="71"/>
      <c r="C802" s="71"/>
      <c r="D802" s="26"/>
      <c r="E802" s="117"/>
      <c r="F802" s="71"/>
      <c r="G802" s="118"/>
      <c r="H802" s="25"/>
      <c r="I802" s="25"/>
      <c r="J802" s="119"/>
    </row>
    <row r="803" ht="22.5" customHeight="1">
      <c r="A803" s="116"/>
      <c r="B803" s="71"/>
      <c r="C803" s="71"/>
      <c r="D803" s="26"/>
      <c r="E803" s="117"/>
      <c r="F803" s="71"/>
      <c r="G803" s="118"/>
      <c r="H803" s="25"/>
      <c r="I803" s="25"/>
      <c r="J803" s="119"/>
    </row>
    <row r="804" ht="22.5" customHeight="1">
      <c r="A804" s="116"/>
      <c r="B804" s="71"/>
      <c r="C804" s="71"/>
      <c r="D804" s="26"/>
      <c r="E804" s="117"/>
      <c r="F804" s="71"/>
      <c r="G804" s="118"/>
      <c r="H804" s="25"/>
      <c r="I804" s="25"/>
      <c r="J804" s="119"/>
    </row>
    <row r="805" ht="22.5" customHeight="1">
      <c r="A805" s="116"/>
      <c r="B805" s="71"/>
      <c r="C805" s="71"/>
      <c r="D805" s="26"/>
      <c r="E805" s="117"/>
      <c r="F805" s="71"/>
      <c r="G805" s="118"/>
      <c r="H805" s="25"/>
      <c r="I805" s="25"/>
      <c r="J805" s="119"/>
    </row>
    <row r="806" ht="22.5" customHeight="1">
      <c r="A806" s="116"/>
      <c r="B806" s="71"/>
      <c r="C806" s="71"/>
      <c r="D806" s="26"/>
      <c r="E806" s="117"/>
      <c r="F806" s="71"/>
      <c r="G806" s="118"/>
      <c r="H806" s="25"/>
      <c r="I806" s="25"/>
      <c r="J806" s="119"/>
    </row>
    <row r="807" ht="22.5" customHeight="1">
      <c r="A807" s="116"/>
      <c r="B807" s="71"/>
      <c r="C807" s="71"/>
      <c r="D807" s="26"/>
      <c r="E807" s="117"/>
      <c r="F807" s="71"/>
      <c r="G807" s="118"/>
      <c r="H807" s="25"/>
      <c r="I807" s="25"/>
      <c r="J807" s="119"/>
    </row>
    <row r="808" ht="22.5" customHeight="1">
      <c r="A808" s="116"/>
      <c r="B808" s="71"/>
      <c r="C808" s="71"/>
      <c r="D808" s="26"/>
      <c r="E808" s="117"/>
      <c r="F808" s="71"/>
      <c r="G808" s="118"/>
      <c r="H808" s="25"/>
      <c r="I808" s="25"/>
      <c r="J808" s="119"/>
    </row>
    <row r="809" ht="22.5" customHeight="1">
      <c r="A809" s="116"/>
      <c r="B809" s="71"/>
      <c r="C809" s="71"/>
      <c r="D809" s="26"/>
      <c r="E809" s="117"/>
      <c r="F809" s="71"/>
      <c r="G809" s="118"/>
      <c r="H809" s="25"/>
      <c r="I809" s="25"/>
      <c r="J809" s="119"/>
    </row>
    <row r="810" ht="22.5" customHeight="1">
      <c r="A810" s="116"/>
      <c r="B810" s="71"/>
      <c r="C810" s="71"/>
      <c r="D810" s="26"/>
      <c r="E810" s="117"/>
      <c r="F810" s="71"/>
      <c r="G810" s="118"/>
      <c r="H810" s="25"/>
      <c r="I810" s="25"/>
      <c r="J810" s="119"/>
    </row>
    <row r="811" ht="22.5" customHeight="1">
      <c r="A811" s="116"/>
      <c r="B811" s="71"/>
      <c r="C811" s="71"/>
      <c r="D811" s="26"/>
      <c r="E811" s="117"/>
      <c r="F811" s="71"/>
      <c r="G811" s="118"/>
      <c r="H811" s="25"/>
      <c r="I811" s="25"/>
      <c r="J811" s="119"/>
    </row>
    <row r="812" ht="22.5" customHeight="1">
      <c r="A812" s="116"/>
      <c r="B812" s="71"/>
      <c r="C812" s="71"/>
      <c r="D812" s="26"/>
      <c r="E812" s="117"/>
      <c r="F812" s="71"/>
      <c r="G812" s="118"/>
      <c r="H812" s="25"/>
      <c r="I812" s="25"/>
      <c r="J812" s="119"/>
    </row>
    <row r="813" ht="22.5" customHeight="1">
      <c r="A813" s="116"/>
      <c r="B813" s="71"/>
      <c r="C813" s="71"/>
      <c r="D813" s="26"/>
      <c r="E813" s="117"/>
      <c r="F813" s="71"/>
      <c r="G813" s="118"/>
      <c r="H813" s="25"/>
      <c r="I813" s="25"/>
      <c r="J813" s="119"/>
    </row>
    <row r="814" ht="22.5" customHeight="1">
      <c r="A814" s="116"/>
      <c r="B814" s="71"/>
      <c r="C814" s="71"/>
      <c r="D814" s="26"/>
      <c r="E814" s="117"/>
      <c r="F814" s="71"/>
      <c r="G814" s="118"/>
      <c r="H814" s="25"/>
      <c r="I814" s="25"/>
      <c r="J814" s="119"/>
    </row>
    <row r="815" ht="22.5" customHeight="1">
      <c r="A815" s="116"/>
      <c r="B815" s="71"/>
      <c r="C815" s="71"/>
      <c r="D815" s="26"/>
      <c r="E815" s="117"/>
      <c r="F815" s="71"/>
      <c r="G815" s="118"/>
      <c r="H815" s="25"/>
      <c r="I815" s="25"/>
      <c r="J815" s="119"/>
    </row>
    <row r="816" ht="22.5" customHeight="1">
      <c r="A816" s="116"/>
      <c r="B816" s="71"/>
      <c r="C816" s="71"/>
      <c r="D816" s="26"/>
      <c r="E816" s="117"/>
      <c r="F816" s="71"/>
      <c r="G816" s="118"/>
      <c r="H816" s="25"/>
      <c r="I816" s="25"/>
      <c r="J816" s="119"/>
    </row>
    <row r="817" ht="22.5" customHeight="1">
      <c r="A817" s="116"/>
      <c r="B817" s="71"/>
      <c r="C817" s="71"/>
      <c r="D817" s="26"/>
      <c r="E817" s="117"/>
      <c r="F817" s="71"/>
      <c r="G817" s="118"/>
      <c r="H817" s="25"/>
      <c r="I817" s="25"/>
      <c r="J817" s="119"/>
    </row>
    <row r="818" ht="22.5" customHeight="1">
      <c r="A818" s="116"/>
      <c r="B818" s="71"/>
      <c r="C818" s="71"/>
      <c r="D818" s="26"/>
      <c r="E818" s="117"/>
      <c r="F818" s="71"/>
      <c r="G818" s="118"/>
      <c r="H818" s="25"/>
      <c r="I818" s="25"/>
      <c r="J818" s="119"/>
    </row>
    <row r="819" ht="22.5" customHeight="1">
      <c r="A819" s="116"/>
      <c r="B819" s="71"/>
      <c r="C819" s="71"/>
      <c r="D819" s="26"/>
      <c r="E819" s="117"/>
      <c r="F819" s="71"/>
      <c r="G819" s="118"/>
      <c r="H819" s="25"/>
      <c r="I819" s="25"/>
      <c r="J819" s="119"/>
    </row>
    <row r="820" ht="22.5" customHeight="1">
      <c r="A820" s="116"/>
      <c r="B820" s="71"/>
      <c r="C820" s="71"/>
      <c r="D820" s="26"/>
      <c r="E820" s="117"/>
      <c r="F820" s="71"/>
      <c r="G820" s="118"/>
      <c r="H820" s="25"/>
      <c r="I820" s="25"/>
      <c r="J820" s="119"/>
    </row>
    <row r="821" ht="22.5" customHeight="1">
      <c r="A821" s="116"/>
      <c r="B821" s="71"/>
      <c r="C821" s="71"/>
      <c r="D821" s="26"/>
      <c r="E821" s="117"/>
      <c r="F821" s="71"/>
      <c r="G821" s="118"/>
      <c r="H821" s="25"/>
      <c r="I821" s="25"/>
      <c r="J821" s="119"/>
    </row>
    <row r="822" ht="22.5" customHeight="1">
      <c r="A822" s="116"/>
      <c r="B822" s="71"/>
      <c r="C822" s="71"/>
      <c r="D822" s="26"/>
      <c r="E822" s="117"/>
      <c r="F822" s="71"/>
      <c r="G822" s="118"/>
      <c r="H822" s="25"/>
      <c r="I822" s="25"/>
      <c r="J822" s="119"/>
    </row>
    <row r="823" ht="22.5" customHeight="1">
      <c r="A823" s="116"/>
      <c r="B823" s="71"/>
      <c r="C823" s="71"/>
      <c r="D823" s="26"/>
      <c r="E823" s="117"/>
      <c r="F823" s="71"/>
      <c r="G823" s="118"/>
      <c r="H823" s="25"/>
      <c r="I823" s="25"/>
      <c r="J823" s="119"/>
    </row>
    <row r="824" ht="22.5" customHeight="1">
      <c r="A824" s="116"/>
      <c r="B824" s="71"/>
      <c r="C824" s="71"/>
      <c r="D824" s="26"/>
      <c r="E824" s="117"/>
      <c r="F824" s="71"/>
      <c r="G824" s="118"/>
      <c r="H824" s="25"/>
      <c r="I824" s="25"/>
      <c r="J824" s="119"/>
    </row>
    <row r="825" ht="22.5" customHeight="1">
      <c r="A825" s="116"/>
      <c r="B825" s="71"/>
      <c r="C825" s="71"/>
      <c r="D825" s="26"/>
      <c r="E825" s="117"/>
      <c r="F825" s="71"/>
      <c r="G825" s="118"/>
      <c r="H825" s="25"/>
      <c r="I825" s="25"/>
      <c r="J825" s="119"/>
    </row>
    <row r="826" ht="22.5" customHeight="1">
      <c r="A826" s="116"/>
      <c r="B826" s="71"/>
      <c r="C826" s="71"/>
      <c r="D826" s="26"/>
      <c r="E826" s="117"/>
      <c r="F826" s="71"/>
      <c r="G826" s="118"/>
      <c r="H826" s="25"/>
      <c r="I826" s="25"/>
      <c r="J826" s="119"/>
    </row>
    <row r="827" ht="22.5" customHeight="1">
      <c r="A827" s="116"/>
      <c r="B827" s="71"/>
      <c r="C827" s="71"/>
      <c r="D827" s="26"/>
      <c r="E827" s="117"/>
      <c r="F827" s="71"/>
      <c r="G827" s="118"/>
      <c r="H827" s="25"/>
      <c r="I827" s="25"/>
      <c r="J827" s="119"/>
    </row>
    <row r="828" ht="22.5" customHeight="1">
      <c r="A828" s="116"/>
      <c r="B828" s="71"/>
      <c r="C828" s="71"/>
      <c r="D828" s="26"/>
      <c r="E828" s="117"/>
      <c r="F828" s="71"/>
      <c r="G828" s="118"/>
      <c r="H828" s="25"/>
      <c r="I828" s="25"/>
      <c r="J828" s="119"/>
    </row>
    <row r="829" ht="22.5" customHeight="1">
      <c r="A829" s="116"/>
      <c r="B829" s="71"/>
      <c r="C829" s="71"/>
      <c r="D829" s="26"/>
      <c r="E829" s="117"/>
      <c r="F829" s="71"/>
      <c r="G829" s="118"/>
      <c r="H829" s="25"/>
      <c r="I829" s="25"/>
      <c r="J829" s="119"/>
    </row>
    <row r="830" ht="22.5" customHeight="1">
      <c r="A830" s="116"/>
      <c r="B830" s="71"/>
      <c r="C830" s="71"/>
      <c r="D830" s="26"/>
      <c r="E830" s="117"/>
      <c r="F830" s="71"/>
      <c r="G830" s="118"/>
      <c r="H830" s="25"/>
      <c r="I830" s="25"/>
      <c r="J830" s="119"/>
    </row>
    <row r="831" ht="22.5" customHeight="1">
      <c r="A831" s="116"/>
      <c r="B831" s="71"/>
      <c r="C831" s="71"/>
      <c r="D831" s="26"/>
      <c r="E831" s="117"/>
      <c r="F831" s="71"/>
      <c r="G831" s="118"/>
      <c r="H831" s="25"/>
      <c r="I831" s="25"/>
      <c r="J831" s="119"/>
    </row>
    <row r="832" ht="22.5" customHeight="1">
      <c r="A832" s="116"/>
      <c r="B832" s="71"/>
      <c r="C832" s="71"/>
      <c r="D832" s="26"/>
      <c r="E832" s="117"/>
      <c r="F832" s="71"/>
      <c r="G832" s="118"/>
      <c r="H832" s="25"/>
      <c r="I832" s="25"/>
      <c r="J832" s="119"/>
    </row>
    <row r="833" ht="22.5" customHeight="1">
      <c r="A833" s="116"/>
      <c r="B833" s="71"/>
      <c r="C833" s="71"/>
      <c r="D833" s="26"/>
      <c r="E833" s="117"/>
      <c r="F833" s="71"/>
      <c r="G833" s="118"/>
      <c r="H833" s="25"/>
      <c r="I833" s="25"/>
      <c r="J833" s="119"/>
    </row>
    <row r="834" ht="22.5" customHeight="1">
      <c r="A834" s="116"/>
      <c r="B834" s="71"/>
      <c r="C834" s="71"/>
      <c r="D834" s="26"/>
      <c r="E834" s="117"/>
      <c r="F834" s="71"/>
      <c r="G834" s="118"/>
      <c r="H834" s="25"/>
      <c r="I834" s="25"/>
      <c r="J834" s="119"/>
    </row>
    <row r="835" ht="22.5" customHeight="1">
      <c r="A835" s="116"/>
      <c r="B835" s="71"/>
      <c r="C835" s="71"/>
      <c r="D835" s="26"/>
      <c r="E835" s="117"/>
      <c r="F835" s="71"/>
      <c r="G835" s="118"/>
      <c r="H835" s="25"/>
      <c r="I835" s="25"/>
      <c r="J835" s="119"/>
    </row>
    <row r="836" ht="22.5" customHeight="1">
      <c r="A836" s="116"/>
      <c r="B836" s="71"/>
      <c r="C836" s="71"/>
      <c r="D836" s="26"/>
      <c r="E836" s="117"/>
      <c r="F836" s="71"/>
      <c r="G836" s="118"/>
      <c r="H836" s="25"/>
      <c r="I836" s="25"/>
      <c r="J836" s="119"/>
    </row>
    <row r="837" ht="22.5" customHeight="1">
      <c r="A837" s="116"/>
      <c r="B837" s="71"/>
      <c r="C837" s="71"/>
      <c r="D837" s="26"/>
      <c r="E837" s="117"/>
      <c r="F837" s="71"/>
      <c r="G837" s="118"/>
      <c r="H837" s="25"/>
      <c r="I837" s="25"/>
      <c r="J837" s="119"/>
    </row>
    <row r="838" ht="22.5" customHeight="1">
      <c r="A838" s="116"/>
      <c r="B838" s="71"/>
      <c r="C838" s="71"/>
      <c r="D838" s="26"/>
      <c r="E838" s="117"/>
      <c r="F838" s="71"/>
      <c r="G838" s="118"/>
      <c r="H838" s="25"/>
      <c r="I838" s="25"/>
      <c r="J838" s="119"/>
    </row>
    <row r="839" ht="22.5" customHeight="1">
      <c r="A839" s="116"/>
      <c r="B839" s="71"/>
      <c r="C839" s="71"/>
      <c r="D839" s="26"/>
      <c r="E839" s="117"/>
      <c r="F839" s="71"/>
      <c r="G839" s="118"/>
      <c r="H839" s="25"/>
      <c r="I839" s="25"/>
      <c r="J839" s="119"/>
    </row>
    <row r="840" ht="22.5" customHeight="1">
      <c r="A840" s="116"/>
      <c r="B840" s="71"/>
      <c r="C840" s="71"/>
      <c r="D840" s="26"/>
      <c r="E840" s="117"/>
      <c r="F840" s="71"/>
      <c r="G840" s="118"/>
      <c r="H840" s="25"/>
      <c r="I840" s="25"/>
      <c r="J840" s="119"/>
    </row>
    <row r="841" ht="22.5" customHeight="1">
      <c r="A841" s="116"/>
      <c r="B841" s="71"/>
      <c r="C841" s="71"/>
      <c r="D841" s="26"/>
      <c r="E841" s="117"/>
      <c r="F841" s="71"/>
      <c r="G841" s="118"/>
      <c r="H841" s="25"/>
      <c r="I841" s="25"/>
      <c r="J841" s="119"/>
    </row>
    <row r="842" ht="22.5" customHeight="1">
      <c r="A842" s="116"/>
      <c r="B842" s="71"/>
      <c r="C842" s="71"/>
      <c r="D842" s="26"/>
      <c r="E842" s="117"/>
      <c r="F842" s="71"/>
      <c r="G842" s="118"/>
      <c r="H842" s="25"/>
      <c r="I842" s="25"/>
      <c r="J842" s="119"/>
    </row>
    <row r="843" ht="22.5" customHeight="1">
      <c r="A843" s="116"/>
      <c r="B843" s="71"/>
      <c r="C843" s="71"/>
      <c r="D843" s="26"/>
      <c r="E843" s="117"/>
      <c r="F843" s="71"/>
      <c r="G843" s="118"/>
      <c r="H843" s="25"/>
      <c r="I843" s="25"/>
      <c r="J843" s="119"/>
    </row>
    <row r="844" ht="22.5" customHeight="1">
      <c r="A844" s="116"/>
      <c r="B844" s="71"/>
      <c r="C844" s="71"/>
      <c r="D844" s="26"/>
      <c r="E844" s="117"/>
      <c r="F844" s="71"/>
      <c r="G844" s="118"/>
      <c r="H844" s="25"/>
      <c r="I844" s="25"/>
      <c r="J844" s="119"/>
    </row>
    <row r="845" ht="22.5" customHeight="1">
      <c r="A845" s="116"/>
      <c r="B845" s="71"/>
      <c r="C845" s="71"/>
      <c r="D845" s="26"/>
      <c r="E845" s="117"/>
      <c r="F845" s="71"/>
      <c r="G845" s="118"/>
      <c r="H845" s="25"/>
      <c r="I845" s="25"/>
      <c r="J845" s="119"/>
    </row>
    <row r="846" ht="22.5" customHeight="1">
      <c r="A846" s="116"/>
      <c r="B846" s="71"/>
      <c r="C846" s="71"/>
      <c r="D846" s="26"/>
      <c r="E846" s="117"/>
      <c r="F846" s="71"/>
      <c r="G846" s="118"/>
      <c r="H846" s="25"/>
      <c r="I846" s="25"/>
      <c r="J846" s="119"/>
    </row>
    <row r="847" ht="22.5" customHeight="1">
      <c r="A847" s="116"/>
      <c r="B847" s="71"/>
      <c r="C847" s="71"/>
      <c r="D847" s="26"/>
      <c r="E847" s="117"/>
      <c r="F847" s="71"/>
      <c r="G847" s="118"/>
      <c r="H847" s="25"/>
      <c r="I847" s="25"/>
      <c r="J847" s="119"/>
    </row>
    <row r="848" ht="22.5" customHeight="1">
      <c r="A848" s="116"/>
      <c r="B848" s="71"/>
      <c r="C848" s="71"/>
      <c r="D848" s="26"/>
      <c r="E848" s="117"/>
      <c r="F848" s="71"/>
      <c r="G848" s="118"/>
      <c r="H848" s="25"/>
      <c r="I848" s="25"/>
      <c r="J848" s="119"/>
    </row>
    <row r="849" ht="22.5" customHeight="1">
      <c r="A849" s="116"/>
      <c r="B849" s="71"/>
      <c r="C849" s="71"/>
      <c r="D849" s="26"/>
      <c r="E849" s="117"/>
      <c r="F849" s="71"/>
      <c r="G849" s="118"/>
      <c r="H849" s="25"/>
      <c r="I849" s="25"/>
      <c r="J849" s="119"/>
    </row>
    <row r="850" ht="22.5" customHeight="1">
      <c r="A850" s="116"/>
      <c r="B850" s="71"/>
      <c r="C850" s="71"/>
      <c r="D850" s="26"/>
      <c r="E850" s="117"/>
      <c r="F850" s="71"/>
      <c r="G850" s="118"/>
      <c r="H850" s="25"/>
      <c r="I850" s="25"/>
      <c r="J850" s="119"/>
    </row>
    <row r="851" ht="22.5" customHeight="1">
      <c r="A851" s="116"/>
      <c r="B851" s="71"/>
      <c r="C851" s="71"/>
      <c r="D851" s="26"/>
      <c r="E851" s="117"/>
      <c r="F851" s="71"/>
      <c r="G851" s="118"/>
      <c r="H851" s="25"/>
      <c r="I851" s="25"/>
      <c r="J851" s="119"/>
    </row>
    <row r="852" ht="22.5" customHeight="1">
      <c r="A852" s="116"/>
      <c r="B852" s="71"/>
      <c r="C852" s="71"/>
      <c r="D852" s="26"/>
      <c r="E852" s="117"/>
      <c r="F852" s="71"/>
      <c r="G852" s="118"/>
      <c r="H852" s="25"/>
      <c r="I852" s="25"/>
      <c r="J852" s="119"/>
    </row>
    <row r="853" ht="22.5" customHeight="1">
      <c r="A853" s="116"/>
      <c r="B853" s="71"/>
      <c r="C853" s="71"/>
      <c r="D853" s="26"/>
      <c r="E853" s="117"/>
      <c r="F853" s="71"/>
      <c r="G853" s="118"/>
      <c r="H853" s="25"/>
      <c r="I853" s="25"/>
      <c r="J853" s="119"/>
    </row>
    <row r="854" ht="22.5" customHeight="1">
      <c r="A854" s="116"/>
      <c r="B854" s="71"/>
      <c r="C854" s="71"/>
      <c r="D854" s="26"/>
      <c r="E854" s="117"/>
      <c r="F854" s="71"/>
      <c r="G854" s="118"/>
      <c r="H854" s="25"/>
      <c r="I854" s="25"/>
      <c r="J854" s="119"/>
    </row>
    <row r="855" ht="22.5" customHeight="1">
      <c r="A855" s="116"/>
      <c r="B855" s="71"/>
      <c r="C855" s="71"/>
      <c r="D855" s="26"/>
      <c r="E855" s="117"/>
      <c r="F855" s="71"/>
      <c r="G855" s="118"/>
      <c r="H855" s="25"/>
      <c r="I855" s="25"/>
      <c r="J855" s="119"/>
    </row>
    <row r="856" ht="22.5" customHeight="1">
      <c r="A856" s="116"/>
      <c r="B856" s="71"/>
      <c r="C856" s="71"/>
      <c r="D856" s="26"/>
      <c r="E856" s="117"/>
      <c r="F856" s="71"/>
      <c r="G856" s="118"/>
      <c r="H856" s="25"/>
      <c r="I856" s="25"/>
      <c r="J856" s="119"/>
    </row>
    <row r="857" ht="22.5" customHeight="1">
      <c r="A857" s="116"/>
      <c r="B857" s="71"/>
      <c r="C857" s="71"/>
      <c r="D857" s="26"/>
      <c r="E857" s="117"/>
      <c r="F857" s="71"/>
      <c r="G857" s="118"/>
      <c r="H857" s="25"/>
      <c r="I857" s="25"/>
      <c r="J857" s="119"/>
    </row>
    <row r="858" ht="22.5" customHeight="1">
      <c r="A858" s="116"/>
      <c r="B858" s="71"/>
      <c r="C858" s="71"/>
      <c r="D858" s="26"/>
      <c r="E858" s="117"/>
      <c r="F858" s="71"/>
      <c r="G858" s="118"/>
      <c r="H858" s="25"/>
      <c r="I858" s="25"/>
      <c r="J858" s="119"/>
    </row>
    <row r="859" ht="22.5" customHeight="1">
      <c r="A859" s="116"/>
      <c r="B859" s="71"/>
      <c r="C859" s="71"/>
      <c r="D859" s="26"/>
      <c r="E859" s="117"/>
      <c r="F859" s="71"/>
      <c r="G859" s="118"/>
      <c r="H859" s="25"/>
      <c r="I859" s="25"/>
      <c r="J859" s="119"/>
    </row>
    <row r="860" ht="22.5" customHeight="1">
      <c r="A860" s="116"/>
      <c r="B860" s="71"/>
      <c r="C860" s="71"/>
      <c r="D860" s="26"/>
      <c r="E860" s="117"/>
      <c r="F860" s="71"/>
      <c r="G860" s="118"/>
      <c r="H860" s="25"/>
      <c r="I860" s="25"/>
      <c r="J860" s="119"/>
    </row>
    <row r="861" ht="22.5" customHeight="1">
      <c r="A861" s="116"/>
      <c r="B861" s="71"/>
      <c r="C861" s="71"/>
      <c r="D861" s="26"/>
      <c r="E861" s="117"/>
      <c r="F861" s="71"/>
      <c r="G861" s="118"/>
      <c r="H861" s="25"/>
      <c r="I861" s="25"/>
      <c r="J861" s="119"/>
    </row>
    <row r="862" ht="22.5" customHeight="1">
      <c r="A862" s="116"/>
      <c r="B862" s="71"/>
      <c r="C862" s="71"/>
      <c r="D862" s="26"/>
      <c r="E862" s="117"/>
      <c r="F862" s="71"/>
      <c r="G862" s="118"/>
      <c r="H862" s="25"/>
      <c r="I862" s="25"/>
      <c r="J862" s="119"/>
    </row>
    <row r="863" ht="22.5" customHeight="1">
      <c r="A863" s="116"/>
      <c r="B863" s="71"/>
      <c r="C863" s="71"/>
      <c r="D863" s="26"/>
      <c r="E863" s="117"/>
      <c r="F863" s="71"/>
      <c r="G863" s="118"/>
      <c r="H863" s="25"/>
      <c r="I863" s="25"/>
      <c r="J863" s="119"/>
    </row>
    <row r="864" ht="22.5" customHeight="1">
      <c r="A864" s="116"/>
      <c r="B864" s="71"/>
      <c r="C864" s="71"/>
      <c r="D864" s="26"/>
      <c r="E864" s="117"/>
      <c r="F864" s="71"/>
      <c r="G864" s="118"/>
      <c r="H864" s="25"/>
      <c r="I864" s="25"/>
      <c r="J864" s="119"/>
    </row>
    <row r="865" ht="22.5" customHeight="1">
      <c r="A865" s="116"/>
      <c r="B865" s="71"/>
      <c r="C865" s="71"/>
      <c r="D865" s="26"/>
      <c r="E865" s="117"/>
      <c r="F865" s="71"/>
      <c r="G865" s="118"/>
      <c r="H865" s="25"/>
      <c r="I865" s="25"/>
      <c r="J865" s="119"/>
    </row>
    <row r="866" ht="22.5" customHeight="1">
      <c r="A866" s="116"/>
      <c r="B866" s="71"/>
      <c r="C866" s="71"/>
      <c r="D866" s="26"/>
      <c r="E866" s="117"/>
      <c r="F866" s="71"/>
      <c r="G866" s="118"/>
      <c r="H866" s="25"/>
      <c r="I866" s="25"/>
      <c r="J866" s="119"/>
    </row>
    <row r="867" ht="22.5" customHeight="1">
      <c r="A867" s="116"/>
      <c r="B867" s="71"/>
      <c r="C867" s="71"/>
      <c r="D867" s="26"/>
      <c r="E867" s="117"/>
      <c r="F867" s="71"/>
      <c r="G867" s="118"/>
      <c r="H867" s="25"/>
      <c r="I867" s="25"/>
      <c r="J867" s="119"/>
    </row>
    <row r="868" ht="22.5" customHeight="1">
      <c r="A868" s="116"/>
      <c r="B868" s="71"/>
      <c r="C868" s="71"/>
      <c r="D868" s="26"/>
      <c r="E868" s="117"/>
      <c r="F868" s="71"/>
      <c r="G868" s="118"/>
      <c r="H868" s="25"/>
      <c r="I868" s="25"/>
      <c r="J868" s="119"/>
    </row>
    <row r="869" ht="22.5" customHeight="1">
      <c r="A869" s="116"/>
      <c r="B869" s="71"/>
      <c r="C869" s="71"/>
      <c r="D869" s="26"/>
      <c r="E869" s="117"/>
      <c r="F869" s="71"/>
      <c r="G869" s="118"/>
      <c r="H869" s="25"/>
      <c r="I869" s="25"/>
      <c r="J869" s="119"/>
    </row>
    <row r="870" ht="22.5" customHeight="1">
      <c r="A870" s="116"/>
      <c r="B870" s="71"/>
      <c r="C870" s="71"/>
      <c r="D870" s="26"/>
      <c r="E870" s="117"/>
      <c r="F870" s="71"/>
      <c r="G870" s="118"/>
      <c r="H870" s="25"/>
      <c r="I870" s="25"/>
      <c r="J870" s="119"/>
    </row>
    <row r="871" ht="22.5" customHeight="1">
      <c r="A871" s="116"/>
      <c r="B871" s="71"/>
      <c r="C871" s="71"/>
      <c r="D871" s="26"/>
      <c r="E871" s="117"/>
      <c r="F871" s="71"/>
      <c r="G871" s="118"/>
      <c r="H871" s="25"/>
      <c r="I871" s="25"/>
      <c r="J871" s="119"/>
    </row>
    <row r="872" ht="22.5" customHeight="1">
      <c r="A872" s="116"/>
      <c r="B872" s="71"/>
      <c r="C872" s="71"/>
      <c r="D872" s="26"/>
      <c r="E872" s="117"/>
      <c r="F872" s="71"/>
      <c r="G872" s="118"/>
      <c r="H872" s="25"/>
      <c r="I872" s="25"/>
      <c r="J872" s="119"/>
    </row>
    <row r="873" ht="22.5" customHeight="1">
      <c r="A873" s="116"/>
      <c r="B873" s="71"/>
      <c r="C873" s="71"/>
      <c r="D873" s="26"/>
      <c r="E873" s="117"/>
      <c r="F873" s="71"/>
      <c r="G873" s="118"/>
      <c r="H873" s="25"/>
      <c r="I873" s="25"/>
      <c r="J873" s="119"/>
    </row>
    <row r="874" ht="22.5" customHeight="1">
      <c r="A874" s="116"/>
      <c r="B874" s="71"/>
      <c r="C874" s="71"/>
      <c r="D874" s="26"/>
      <c r="E874" s="117"/>
      <c r="F874" s="71"/>
      <c r="G874" s="118"/>
      <c r="H874" s="25"/>
      <c r="I874" s="25"/>
      <c r="J874" s="119"/>
    </row>
    <row r="875" ht="22.5" customHeight="1">
      <c r="A875" s="116"/>
      <c r="B875" s="71"/>
      <c r="C875" s="71"/>
      <c r="D875" s="26"/>
      <c r="E875" s="117"/>
      <c r="F875" s="71"/>
      <c r="G875" s="118"/>
      <c r="H875" s="25"/>
      <c r="I875" s="25"/>
      <c r="J875" s="119"/>
    </row>
    <row r="876" ht="22.5" customHeight="1">
      <c r="A876" s="116"/>
      <c r="B876" s="71"/>
      <c r="C876" s="71"/>
      <c r="D876" s="26"/>
      <c r="E876" s="117"/>
      <c r="F876" s="71"/>
      <c r="G876" s="118"/>
      <c r="H876" s="25"/>
      <c r="I876" s="25"/>
      <c r="J876" s="119"/>
    </row>
    <row r="877" ht="22.5" customHeight="1">
      <c r="A877" s="116"/>
      <c r="B877" s="71"/>
      <c r="C877" s="71"/>
      <c r="D877" s="26"/>
      <c r="E877" s="117"/>
      <c r="F877" s="71"/>
      <c r="G877" s="118"/>
      <c r="H877" s="25"/>
      <c r="I877" s="25"/>
      <c r="J877" s="119"/>
    </row>
    <row r="878" ht="22.5" customHeight="1">
      <c r="A878" s="116"/>
      <c r="B878" s="71"/>
      <c r="C878" s="71"/>
      <c r="D878" s="26"/>
      <c r="E878" s="117"/>
      <c r="F878" s="71"/>
      <c r="G878" s="118"/>
      <c r="H878" s="25"/>
      <c r="I878" s="25"/>
      <c r="J878" s="119"/>
    </row>
    <row r="879" ht="22.5" customHeight="1">
      <c r="A879" s="116"/>
      <c r="B879" s="71"/>
      <c r="C879" s="71"/>
      <c r="D879" s="26"/>
      <c r="E879" s="117"/>
      <c r="F879" s="71"/>
      <c r="G879" s="118"/>
      <c r="H879" s="25"/>
      <c r="I879" s="25"/>
      <c r="J879" s="119"/>
    </row>
    <row r="880" ht="22.5" customHeight="1">
      <c r="A880" s="116"/>
      <c r="B880" s="71"/>
      <c r="C880" s="71"/>
      <c r="D880" s="26"/>
      <c r="E880" s="117"/>
      <c r="F880" s="71"/>
      <c r="G880" s="118"/>
      <c r="H880" s="25"/>
      <c r="I880" s="25"/>
      <c r="J880" s="119"/>
    </row>
    <row r="881" ht="22.5" customHeight="1">
      <c r="A881" s="116"/>
      <c r="B881" s="71"/>
      <c r="C881" s="71"/>
      <c r="D881" s="26"/>
      <c r="E881" s="117"/>
      <c r="F881" s="71"/>
      <c r="G881" s="118"/>
      <c r="H881" s="25"/>
      <c r="I881" s="25"/>
      <c r="J881" s="119"/>
    </row>
    <row r="882" ht="22.5" customHeight="1">
      <c r="A882" s="116"/>
      <c r="B882" s="71"/>
      <c r="C882" s="71"/>
      <c r="D882" s="26"/>
      <c r="E882" s="117"/>
      <c r="F882" s="71"/>
      <c r="G882" s="118"/>
      <c r="H882" s="25"/>
      <c r="I882" s="25"/>
      <c r="J882" s="119"/>
    </row>
    <row r="883" ht="22.5" customHeight="1">
      <c r="A883" s="116"/>
      <c r="B883" s="71"/>
      <c r="C883" s="71"/>
      <c r="D883" s="26"/>
      <c r="E883" s="117"/>
      <c r="F883" s="71"/>
      <c r="G883" s="118"/>
      <c r="H883" s="25"/>
      <c r="I883" s="25"/>
      <c r="J883" s="119"/>
    </row>
    <row r="884" ht="22.5" customHeight="1">
      <c r="A884" s="116"/>
      <c r="B884" s="71"/>
      <c r="C884" s="71"/>
      <c r="D884" s="26"/>
      <c r="E884" s="117"/>
      <c r="F884" s="71"/>
      <c r="G884" s="118"/>
      <c r="H884" s="25"/>
      <c r="I884" s="25"/>
      <c r="J884" s="119"/>
    </row>
    <row r="885" ht="22.5" customHeight="1">
      <c r="A885" s="116"/>
      <c r="B885" s="71"/>
      <c r="C885" s="71"/>
      <c r="D885" s="26"/>
      <c r="E885" s="117"/>
      <c r="F885" s="71"/>
      <c r="G885" s="118"/>
      <c r="H885" s="25"/>
      <c r="I885" s="25"/>
      <c r="J885" s="119"/>
    </row>
    <row r="886" ht="22.5" customHeight="1">
      <c r="A886" s="116"/>
      <c r="B886" s="71"/>
      <c r="C886" s="71"/>
      <c r="D886" s="26"/>
      <c r="E886" s="117"/>
      <c r="F886" s="71"/>
      <c r="G886" s="118"/>
      <c r="H886" s="25"/>
      <c r="I886" s="25"/>
      <c r="J886" s="119"/>
    </row>
    <row r="887" ht="22.5" customHeight="1">
      <c r="A887" s="116"/>
      <c r="B887" s="71"/>
      <c r="C887" s="71"/>
      <c r="D887" s="26"/>
      <c r="E887" s="117"/>
      <c r="F887" s="71"/>
      <c r="G887" s="118"/>
      <c r="H887" s="25"/>
      <c r="I887" s="25"/>
      <c r="J887" s="119"/>
    </row>
    <row r="888" ht="22.5" customHeight="1">
      <c r="A888" s="116"/>
      <c r="B888" s="71"/>
      <c r="C888" s="71"/>
      <c r="D888" s="26"/>
      <c r="E888" s="117"/>
      <c r="F888" s="71"/>
      <c r="G888" s="118"/>
      <c r="H888" s="25"/>
      <c r="I888" s="25"/>
      <c r="J888" s="119"/>
    </row>
    <row r="889" ht="22.5" customHeight="1">
      <c r="A889" s="116"/>
      <c r="B889" s="71"/>
      <c r="C889" s="71"/>
      <c r="D889" s="26"/>
      <c r="E889" s="117"/>
      <c r="F889" s="71"/>
      <c r="G889" s="118"/>
      <c r="H889" s="25"/>
      <c r="I889" s="25"/>
      <c r="J889" s="119"/>
    </row>
    <row r="890" ht="22.5" customHeight="1">
      <c r="A890" s="116"/>
      <c r="B890" s="71"/>
      <c r="C890" s="71"/>
      <c r="D890" s="26"/>
      <c r="E890" s="117"/>
      <c r="F890" s="71"/>
      <c r="G890" s="118"/>
      <c r="H890" s="25"/>
      <c r="I890" s="25"/>
      <c r="J890" s="119"/>
    </row>
    <row r="891" ht="22.5" customHeight="1">
      <c r="A891" s="116"/>
      <c r="B891" s="71"/>
      <c r="C891" s="71"/>
      <c r="D891" s="26"/>
      <c r="E891" s="117"/>
      <c r="F891" s="71"/>
      <c r="G891" s="118"/>
      <c r="H891" s="25"/>
      <c r="I891" s="25"/>
      <c r="J891" s="119"/>
    </row>
    <row r="892" ht="22.5" customHeight="1">
      <c r="A892" s="116"/>
      <c r="B892" s="71"/>
      <c r="C892" s="71"/>
      <c r="D892" s="26"/>
      <c r="E892" s="117"/>
      <c r="F892" s="71"/>
      <c r="G892" s="118"/>
      <c r="H892" s="25"/>
      <c r="I892" s="25"/>
      <c r="J892" s="119"/>
    </row>
    <row r="893" ht="22.5" customHeight="1">
      <c r="A893" s="116"/>
      <c r="B893" s="71"/>
      <c r="C893" s="71"/>
      <c r="D893" s="26"/>
      <c r="E893" s="117"/>
      <c r="F893" s="71"/>
      <c r="G893" s="118"/>
      <c r="H893" s="25"/>
      <c r="I893" s="25"/>
      <c r="J893" s="119"/>
    </row>
    <row r="894" ht="22.5" customHeight="1">
      <c r="A894" s="116"/>
      <c r="B894" s="71"/>
      <c r="C894" s="71"/>
      <c r="D894" s="26"/>
      <c r="E894" s="117"/>
      <c r="F894" s="71"/>
      <c r="G894" s="118"/>
      <c r="H894" s="25"/>
      <c r="I894" s="25"/>
      <c r="J894" s="119"/>
    </row>
    <row r="895" ht="22.5" customHeight="1">
      <c r="A895" s="116"/>
      <c r="B895" s="71"/>
      <c r="C895" s="71"/>
      <c r="D895" s="26"/>
      <c r="E895" s="117"/>
      <c r="F895" s="71"/>
      <c r="G895" s="118"/>
      <c r="H895" s="25"/>
      <c r="I895" s="25"/>
      <c r="J895" s="119"/>
    </row>
    <row r="896" ht="22.5" customHeight="1">
      <c r="A896" s="116"/>
      <c r="B896" s="71"/>
      <c r="C896" s="71"/>
      <c r="D896" s="26"/>
      <c r="E896" s="117"/>
      <c r="F896" s="71"/>
      <c r="G896" s="118"/>
      <c r="H896" s="25"/>
      <c r="I896" s="25"/>
      <c r="J896" s="119"/>
    </row>
    <row r="897" ht="22.5" customHeight="1">
      <c r="A897" s="116"/>
      <c r="B897" s="71"/>
      <c r="C897" s="71"/>
      <c r="D897" s="26"/>
      <c r="E897" s="117"/>
      <c r="F897" s="71"/>
      <c r="G897" s="118"/>
      <c r="H897" s="25"/>
      <c r="I897" s="25"/>
      <c r="J897" s="119"/>
    </row>
    <row r="898" ht="22.5" customHeight="1">
      <c r="A898" s="116"/>
      <c r="B898" s="71"/>
      <c r="C898" s="71"/>
      <c r="D898" s="26"/>
      <c r="E898" s="117"/>
      <c r="F898" s="71"/>
      <c r="G898" s="118"/>
      <c r="H898" s="25"/>
      <c r="I898" s="25"/>
      <c r="J898" s="119"/>
    </row>
    <row r="899" ht="22.5" customHeight="1">
      <c r="A899" s="116"/>
      <c r="B899" s="71"/>
      <c r="C899" s="71"/>
      <c r="D899" s="26"/>
      <c r="E899" s="117"/>
      <c r="F899" s="71"/>
      <c r="G899" s="118"/>
      <c r="H899" s="25"/>
      <c r="I899" s="25"/>
      <c r="J899" s="119"/>
    </row>
    <row r="900" ht="22.5" customHeight="1">
      <c r="A900" s="116"/>
      <c r="B900" s="71"/>
      <c r="C900" s="71"/>
      <c r="D900" s="26"/>
      <c r="E900" s="117"/>
      <c r="F900" s="71"/>
      <c r="G900" s="118"/>
      <c r="H900" s="25"/>
      <c r="I900" s="25"/>
      <c r="J900" s="119"/>
    </row>
    <row r="901" ht="22.5" customHeight="1">
      <c r="A901" s="116"/>
      <c r="B901" s="71"/>
      <c r="C901" s="71"/>
      <c r="D901" s="26"/>
      <c r="E901" s="117"/>
      <c r="F901" s="71"/>
      <c r="G901" s="118"/>
      <c r="H901" s="25"/>
      <c r="I901" s="25"/>
      <c r="J901" s="119"/>
    </row>
    <row r="902" ht="22.5" customHeight="1">
      <c r="A902" s="116"/>
      <c r="B902" s="71"/>
      <c r="C902" s="71"/>
      <c r="D902" s="26"/>
      <c r="E902" s="117"/>
      <c r="F902" s="71"/>
      <c r="G902" s="118"/>
      <c r="H902" s="25"/>
      <c r="I902" s="25"/>
      <c r="J902" s="119"/>
    </row>
    <row r="903" ht="22.5" customHeight="1">
      <c r="A903" s="116"/>
      <c r="B903" s="71"/>
      <c r="C903" s="71"/>
      <c r="D903" s="26"/>
      <c r="E903" s="117"/>
      <c r="F903" s="71"/>
      <c r="G903" s="118"/>
      <c r="H903" s="25"/>
      <c r="I903" s="25"/>
      <c r="J903" s="119"/>
    </row>
    <row r="904" ht="22.5" customHeight="1">
      <c r="A904" s="116"/>
      <c r="B904" s="71"/>
      <c r="C904" s="71"/>
      <c r="D904" s="26"/>
      <c r="E904" s="117"/>
      <c r="F904" s="71"/>
      <c r="G904" s="118"/>
      <c r="H904" s="25"/>
      <c r="I904" s="25"/>
      <c r="J904" s="119"/>
    </row>
    <row r="905" ht="22.5" customHeight="1">
      <c r="A905" s="116"/>
      <c r="B905" s="71"/>
      <c r="C905" s="71"/>
      <c r="D905" s="26"/>
      <c r="E905" s="117"/>
      <c r="F905" s="71"/>
      <c r="G905" s="118"/>
      <c r="H905" s="25"/>
      <c r="I905" s="25"/>
      <c r="J905" s="119"/>
    </row>
    <row r="906" ht="22.5" customHeight="1">
      <c r="A906" s="116"/>
      <c r="B906" s="71"/>
      <c r="C906" s="71"/>
      <c r="D906" s="26"/>
      <c r="E906" s="117"/>
      <c r="F906" s="71"/>
      <c r="G906" s="118"/>
      <c r="H906" s="25"/>
      <c r="I906" s="25"/>
      <c r="J906" s="119"/>
    </row>
    <row r="907" ht="22.5" customHeight="1">
      <c r="A907" s="116"/>
      <c r="B907" s="71"/>
      <c r="C907" s="71"/>
      <c r="D907" s="26"/>
      <c r="E907" s="117"/>
      <c r="F907" s="71"/>
      <c r="G907" s="118"/>
      <c r="H907" s="25"/>
      <c r="I907" s="25"/>
      <c r="J907" s="119"/>
    </row>
    <row r="908" ht="22.5" customHeight="1">
      <c r="A908" s="116"/>
      <c r="B908" s="71"/>
      <c r="C908" s="71"/>
      <c r="D908" s="26"/>
      <c r="E908" s="117"/>
      <c r="F908" s="71"/>
      <c r="G908" s="118"/>
      <c r="H908" s="25"/>
      <c r="I908" s="25"/>
      <c r="J908" s="119"/>
    </row>
    <row r="909" ht="22.5" customHeight="1">
      <c r="A909" s="116"/>
      <c r="B909" s="71"/>
      <c r="C909" s="71"/>
      <c r="D909" s="26"/>
      <c r="E909" s="117"/>
      <c r="F909" s="71"/>
      <c r="G909" s="118"/>
      <c r="H909" s="25"/>
      <c r="I909" s="25"/>
      <c r="J909" s="119"/>
    </row>
    <row r="910" ht="22.5" customHeight="1">
      <c r="A910" s="116"/>
      <c r="B910" s="71"/>
      <c r="C910" s="71"/>
      <c r="D910" s="26"/>
      <c r="E910" s="117"/>
      <c r="F910" s="71"/>
      <c r="G910" s="118"/>
      <c r="H910" s="25"/>
      <c r="I910" s="25"/>
      <c r="J910" s="119"/>
    </row>
    <row r="911" ht="22.5" customHeight="1">
      <c r="A911" s="116"/>
      <c r="B911" s="71"/>
      <c r="C911" s="71"/>
      <c r="D911" s="26"/>
      <c r="E911" s="117"/>
      <c r="F911" s="71"/>
      <c r="G911" s="118"/>
      <c r="H911" s="25"/>
      <c r="I911" s="25"/>
      <c r="J911" s="119"/>
    </row>
    <row r="912" ht="22.5" customHeight="1">
      <c r="A912" s="116"/>
      <c r="B912" s="71"/>
      <c r="C912" s="71"/>
      <c r="D912" s="26"/>
      <c r="E912" s="117"/>
      <c r="F912" s="71"/>
      <c r="G912" s="118"/>
      <c r="H912" s="25"/>
      <c r="I912" s="25"/>
      <c r="J912" s="119"/>
    </row>
    <row r="913" ht="22.5" customHeight="1">
      <c r="A913" s="116"/>
      <c r="B913" s="71"/>
      <c r="C913" s="71"/>
      <c r="D913" s="26"/>
      <c r="E913" s="117"/>
      <c r="F913" s="71"/>
      <c r="G913" s="118"/>
      <c r="H913" s="25"/>
      <c r="I913" s="25"/>
      <c r="J913" s="119"/>
    </row>
    <row r="914" ht="22.5" customHeight="1">
      <c r="A914" s="116"/>
      <c r="B914" s="71"/>
      <c r="C914" s="71"/>
      <c r="D914" s="26"/>
      <c r="E914" s="117"/>
      <c r="F914" s="71"/>
      <c r="G914" s="118"/>
      <c r="H914" s="25"/>
      <c r="I914" s="25"/>
      <c r="J914" s="119"/>
    </row>
    <row r="915" ht="22.5" customHeight="1">
      <c r="A915" s="116"/>
      <c r="B915" s="71"/>
      <c r="C915" s="71"/>
      <c r="D915" s="26"/>
      <c r="E915" s="117"/>
      <c r="F915" s="71"/>
      <c r="G915" s="118"/>
      <c r="H915" s="25"/>
      <c r="I915" s="25"/>
      <c r="J915" s="119"/>
    </row>
    <row r="916" ht="22.5" customHeight="1">
      <c r="A916" s="116"/>
      <c r="B916" s="71"/>
      <c r="C916" s="71"/>
      <c r="D916" s="26"/>
      <c r="E916" s="117"/>
      <c r="F916" s="71"/>
      <c r="G916" s="118"/>
      <c r="H916" s="25"/>
      <c r="I916" s="25"/>
      <c r="J916" s="119"/>
    </row>
    <row r="917" ht="22.5" customHeight="1">
      <c r="A917" s="116"/>
      <c r="B917" s="71"/>
      <c r="C917" s="71"/>
      <c r="D917" s="26"/>
      <c r="E917" s="117"/>
      <c r="F917" s="71"/>
      <c r="G917" s="118"/>
      <c r="H917" s="25"/>
      <c r="I917" s="25"/>
      <c r="J917" s="119"/>
    </row>
    <row r="918" ht="22.5" customHeight="1">
      <c r="A918" s="116"/>
      <c r="B918" s="71"/>
      <c r="C918" s="71"/>
      <c r="D918" s="26"/>
      <c r="E918" s="117"/>
      <c r="F918" s="71"/>
      <c r="G918" s="118"/>
      <c r="H918" s="25"/>
      <c r="I918" s="25"/>
      <c r="J918" s="119"/>
    </row>
    <row r="919" ht="22.5" customHeight="1">
      <c r="A919" s="116"/>
      <c r="B919" s="71"/>
      <c r="C919" s="71"/>
      <c r="D919" s="26"/>
      <c r="E919" s="117"/>
      <c r="F919" s="71"/>
      <c r="G919" s="118"/>
      <c r="H919" s="25"/>
      <c r="I919" s="25"/>
      <c r="J919" s="119"/>
    </row>
    <row r="920" ht="22.5" customHeight="1">
      <c r="A920" s="116"/>
      <c r="B920" s="71"/>
      <c r="C920" s="71"/>
      <c r="D920" s="26"/>
      <c r="E920" s="117"/>
      <c r="F920" s="71"/>
      <c r="G920" s="118"/>
      <c r="H920" s="25"/>
      <c r="I920" s="25"/>
      <c r="J920" s="119"/>
    </row>
    <row r="921" ht="22.5" customHeight="1">
      <c r="A921" s="116"/>
      <c r="B921" s="71"/>
      <c r="C921" s="71"/>
      <c r="D921" s="26"/>
      <c r="E921" s="117"/>
      <c r="F921" s="71"/>
      <c r="G921" s="118"/>
      <c r="H921" s="25"/>
      <c r="I921" s="25"/>
      <c r="J921" s="119"/>
    </row>
    <row r="922" ht="22.5" customHeight="1">
      <c r="A922" s="116"/>
      <c r="B922" s="71"/>
      <c r="C922" s="71"/>
      <c r="D922" s="26"/>
      <c r="E922" s="117"/>
      <c r="F922" s="71"/>
      <c r="G922" s="118"/>
      <c r="H922" s="25"/>
      <c r="I922" s="25"/>
      <c r="J922" s="119"/>
    </row>
    <row r="923" ht="22.5" customHeight="1">
      <c r="A923" s="116"/>
      <c r="B923" s="71"/>
      <c r="C923" s="71"/>
      <c r="D923" s="26"/>
      <c r="E923" s="117"/>
      <c r="F923" s="71"/>
      <c r="G923" s="118"/>
      <c r="H923" s="25"/>
      <c r="I923" s="25"/>
      <c r="J923" s="119"/>
    </row>
    <row r="924" ht="22.5" customHeight="1">
      <c r="A924" s="116"/>
      <c r="B924" s="71"/>
      <c r="C924" s="71"/>
      <c r="D924" s="26"/>
      <c r="E924" s="117"/>
      <c r="F924" s="71"/>
      <c r="G924" s="118"/>
      <c r="H924" s="25"/>
      <c r="I924" s="25"/>
      <c r="J924" s="119"/>
    </row>
    <row r="925" ht="22.5" customHeight="1">
      <c r="A925" s="116"/>
      <c r="B925" s="71"/>
      <c r="C925" s="71"/>
      <c r="D925" s="26"/>
      <c r="E925" s="117"/>
      <c r="F925" s="71"/>
      <c r="G925" s="118"/>
      <c r="H925" s="25"/>
      <c r="I925" s="25"/>
      <c r="J925" s="119"/>
    </row>
    <row r="926" ht="22.5" customHeight="1">
      <c r="A926" s="116"/>
      <c r="B926" s="71"/>
      <c r="C926" s="71"/>
      <c r="D926" s="26"/>
      <c r="E926" s="117"/>
      <c r="F926" s="71"/>
      <c r="G926" s="118"/>
      <c r="H926" s="25"/>
      <c r="I926" s="25"/>
      <c r="J926" s="119"/>
    </row>
    <row r="927" ht="22.5" customHeight="1">
      <c r="A927" s="116"/>
      <c r="B927" s="71"/>
      <c r="C927" s="71"/>
      <c r="D927" s="26"/>
      <c r="E927" s="117"/>
      <c r="F927" s="71"/>
      <c r="G927" s="118"/>
      <c r="H927" s="25"/>
      <c r="I927" s="25"/>
      <c r="J927" s="119"/>
    </row>
    <row r="928" ht="22.5" customHeight="1">
      <c r="A928" s="116"/>
      <c r="B928" s="71"/>
      <c r="C928" s="71"/>
      <c r="D928" s="26"/>
      <c r="E928" s="117"/>
      <c r="F928" s="71"/>
      <c r="G928" s="118"/>
      <c r="H928" s="25"/>
      <c r="I928" s="25"/>
      <c r="J928" s="119"/>
    </row>
    <row r="929" ht="22.5" customHeight="1">
      <c r="A929" s="116"/>
      <c r="B929" s="71"/>
      <c r="C929" s="71"/>
      <c r="D929" s="26"/>
      <c r="E929" s="117"/>
      <c r="F929" s="71"/>
      <c r="G929" s="118"/>
      <c r="H929" s="25"/>
      <c r="I929" s="25"/>
      <c r="J929" s="119"/>
    </row>
    <row r="930" ht="22.5" customHeight="1">
      <c r="A930" s="116"/>
      <c r="B930" s="71"/>
      <c r="C930" s="71"/>
      <c r="D930" s="26"/>
      <c r="E930" s="117"/>
      <c r="F930" s="71"/>
      <c r="G930" s="118"/>
      <c r="H930" s="25"/>
      <c r="I930" s="25"/>
      <c r="J930" s="119"/>
    </row>
    <row r="931" ht="22.5" customHeight="1">
      <c r="A931" s="116"/>
      <c r="B931" s="71"/>
      <c r="C931" s="71"/>
      <c r="D931" s="26"/>
      <c r="E931" s="117"/>
      <c r="F931" s="71"/>
      <c r="G931" s="118"/>
      <c r="H931" s="25"/>
      <c r="I931" s="25"/>
      <c r="J931" s="119"/>
    </row>
    <row r="932" ht="22.5" customHeight="1">
      <c r="A932" s="116"/>
      <c r="B932" s="71"/>
      <c r="C932" s="71"/>
      <c r="D932" s="26"/>
      <c r="E932" s="117"/>
      <c r="F932" s="71"/>
      <c r="G932" s="118"/>
      <c r="H932" s="25"/>
      <c r="I932" s="25"/>
      <c r="J932" s="119"/>
    </row>
    <row r="933" ht="22.5" customHeight="1">
      <c r="A933" s="116"/>
      <c r="B933" s="71"/>
      <c r="C933" s="71"/>
      <c r="D933" s="26"/>
      <c r="E933" s="117"/>
      <c r="F933" s="71"/>
      <c r="G933" s="118"/>
      <c r="H933" s="25"/>
      <c r="I933" s="25"/>
      <c r="J933" s="119"/>
    </row>
    <row r="934" ht="22.5" customHeight="1">
      <c r="A934" s="116"/>
      <c r="B934" s="71"/>
      <c r="C934" s="71"/>
      <c r="D934" s="26"/>
      <c r="E934" s="117"/>
      <c r="F934" s="71"/>
      <c r="G934" s="118"/>
      <c r="H934" s="25"/>
      <c r="I934" s="25"/>
      <c r="J934" s="119"/>
    </row>
    <row r="935" ht="22.5" customHeight="1">
      <c r="A935" s="116"/>
      <c r="B935" s="71"/>
      <c r="C935" s="71"/>
      <c r="D935" s="26"/>
      <c r="E935" s="117"/>
      <c r="F935" s="71"/>
      <c r="G935" s="118"/>
      <c r="H935" s="25"/>
      <c r="I935" s="25"/>
      <c r="J935" s="119"/>
    </row>
    <row r="936" ht="22.5" customHeight="1">
      <c r="A936" s="116"/>
      <c r="B936" s="71"/>
      <c r="C936" s="71"/>
      <c r="D936" s="26"/>
      <c r="E936" s="117"/>
      <c r="F936" s="71"/>
      <c r="G936" s="118"/>
      <c r="H936" s="25"/>
      <c r="I936" s="25"/>
      <c r="J936" s="119"/>
    </row>
    <row r="937" ht="22.5" customHeight="1">
      <c r="A937" s="116"/>
      <c r="B937" s="71"/>
      <c r="C937" s="71"/>
      <c r="D937" s="26"/>
      <c r="E937" s="117"/>
      <c r="F937" s="71"/>
      <c r="G937" s="118"/>
      <c r="H937" s="25"/>
      <c r="I937" s="25"/>
      <c r="J937" s="119"/>
    </row>
    <row r="938" ht="22.5" customHeight="1">
      <c r="A938" s="116"/>
      <c r="B938" s="71"/>
      <c r="C938" s="71"/>
      <c r="D938" s="26"/>
      <c r="E938" s="117"/>
      <c r="F938" s="71"/>
      <c r="G938" s="118"/>
      <c r="H938" s="25"/>
      <c r="I938" s="25"/>
      <c r="J938" s="119"/>
    </row>
    <row r="939" ht="22.5" customHeight="1">
      <c r="A939" s="116"/>
      <c r="B939" s="71"/>
      <c r="C939" s="71"/>
      <c r="D939" s="26"/>
      <c r="E939" s="117"/>
      <c r="F939" s="71"/>
      <c r="G939" s="118"/>
      <c r="H939" s="25"/>
      <c r="I939" s="25"/>
      <c r="J939" s="119"/>
    </row>
    <row r="940" ht="22.5" customHeight="1">
      <c r="A940" s="116"/>
      <c r="B940" s="71"/>
      <c r="C940" s="71"/>
      <c r="D940" s="26"/>
      <c r="E940" s="117"/>
      <c r="F940" s="71"/>
      <c r="G940" s="118"/>
      <c r="H940" s="25"/>
      <c r="I940" s="25"/>
      <c r="J940" s="119"/>
    </row>
    <row r="941" ht="22.5" customHeight="1">
      <c r="A941" s="116"/>
      <c r="B941" s="71"/>
      <c r="C941" s="71"/>
      <c r="D941" s="26"/>
      <c r="E941" s="117"/>
      <c r="F941" s="71"/>
      <c r="G941" s="118"/>
      <c r="H941" s="25"/>
      <c r="I941" s="25"/>
      <c r="J941" s="119"/>
    </row>
    <row r="942" ht="22.5" customHeight="1">
      <c r="A942" s="116"/>
      <c r="B942" s="71"/>
      <c r="C942" s="71"/>
      <c r="D942" s="26"/>
      <c r="E942" s="117"/>
      <c r="F942" s="71"/>
      <c r="G942" s="118"/>
      <c r="H942" s="25"/>
      <c r="I942" s="25"/>
      <c r="J942" s="119"/>
    </row>
    <row r="943" ht="22.5" customHeight="1">
      <c r="A943" s="116"/>
      <c r="B943" s="71"/>
      <c r="C943" s="71"/>
      <c r="D943" s="26"/>
      <c r="E943" s="117"/>
      <c r="F943" s="71"/>
      <c r="G943" s="118"/>
      <c r="H943" s="25"/>
      <c r="I943" s="25"/>
      <c r="J943" s="119"/>
    </row>
    <row r="944" ht="22.5" customHeight="1">
      <c r="A944" s="116"/>
      <c r="B944" s="71"/>
      <c r="C944" s="71"/>
      <c r="D944" s="26"/>
      <c r="E944" s="117"/>
      <c r="F944" s="71"/>
      <c r="G944" s="118"/>
      <c r="H944" s="25"/>
      <c r="I944" s="25"/>
      <c r="J944" s="119"/>
    </row>
    <row r="945" ht="22.5" customHeight="1">
      <c r="A945" s="116"/>
      <c r="B945" s="71"/>
      <c r="C945" s="71"/>
      <c r="D945" s="26"/>
      <c r="E945" s="117"/>
      <c r="F945" s="71"/>
      <c r="G945" s="118"/>
      <c r="H945" s="25"/>
      <c r="I945" s="25"/>
      <c r="J945" s="119"/>
    </row>
    <row r="946" ht="22.5" customHeight="1">
      <c r="A946" s="116"/>
      <c r="B946" s="71"/>
      <c r="C946" s="71"/>
      <c r="D946" s="26"/>
      <c r="E946" s="117"/>
      <c r="F946" s="71"/>
      <c r="G946" s="118"/>
      <c r="H946" s="25"/>
      <c r="I946" s="25"/>
      <c r="J946" s="119"/>
    </row>
    <row r="947" ht="22.5" customHeight="1">
      <c r="A947" s="116"/>
      <c r="B947" s="71"/>
      <c r="C947" s="71"/>
      <c r="D947" s="26"/>
      <c r="E947" s="117"/>
      <c r="F947" s="71"/>
      <c r="G947" s="118"/>
      <c r="H947" s="25"/>
      <c r="I947" s="25"/>
      <c r="J947" s="119"/>
    </row>
    <row r="948" ht="22.5" customHeight="1">
      <c r="A948" s="116"/>
      <c r="B948" s="71"/>
      <c r="C948" s="71"/>
      <c r="D948" s="26"/>
      <c r="E948" s="117"/>
      <c r="F948" s="71"/>
      <c r="G948" s="118"/>
      <c r="H948" s="25"/>
      <c r="I948" s="25"/>
      <c r="J948" s="119"/>
    </row>
    <row r="949" ht="22.5" customHeight="1">
      <c r="A949" s="116"/>
      <c r="B949" s="71"/>
      <c r="C949" s="71"/>
      <c r="D949" s="26"/>
      <c r="E949" s="117"/>
      <c r="F949" s="71"/>
      <c r="G949" s="118"/>
      <c r="H949" s="25"/>
      <c r="I949" s="25"/>
      <c r="J949" s="119"/>
    </row>
    <row r="950" ht="22.5" customHeight="1">
      <c r="A950" s="116"/>
      <c r="B950" s="71"/>
      <c r="C950" s="71"/>
      <c r="D950" s="26"/>
      <c r="E950" s="117"/>
      <c r="F950" s="71"/>
      <c r="G950" s="118"/>
      <c r="H950" s="25"/>
      <c r="I950" s="25"/>
      <c r="J950" s="119"/>
    </row>
    <row r="951" ht="22.5" customHeight="1">
      <c r="A951" s="116"/>
      <c r="B951" s="71"/>
      <c r="C951" s="71"/>
      <c r="D951" s="26"/>
      <c r="E951" s="117"/>
      <c r="F951" s="71"/>
      <c r="G951" s="118"/>
      <c r="H951" s="25"/>
      <c r="I951" s="25"/>
      <c r="J951" s="119"/>
    </row>
    <row r="952" ht="22.5" customHeight="1">
      <c r="A952" s="116"/>
      <c r="B952" s="71"/>
      <c r="C952" s="71"/>
      <c r="D952" s="26"/>
      <c r="E952" s="117"/>
      <c r="F952" s="71"/>
      <c r="G952" s="118"/>
      <c r="H952" s="25"/>
      <c r="I952" s="25"/>
      <c r="J952" s="119"/>
    </row>
    <row r="953" ht="22.5" customHeight="1">
      <c r="A953" s="116"/>
      <c r="B953" s="71"/>
      <c r="C953" s="71"/>
      <c r="D953" s="26"/>
      <c r="E953" s="117"/>
      <c r="F953" s="71"/>
      <c r="G953" s="118"/>
      <c r="H953" s="25"/>
      <c r="I953" s="25"/>
      <c r="J953" s="119"/>
    </row>
    <row r="954" ht="22.5" customHeight="1">
      <c r="A954" s="116"/>
      <c r="B954" s="71"/>
      <c r="C954" s="71"/>
      <c r="D954" s="26"/>
      <c r="E954" s="117"/>
      <c r="F954" s="71"/>
      <c r="G954" s="118"/>
      <c r="H954" s="25"/>
      <c r="I954" s="25"/>
      <c r="J954" s="119"/>
    </row>
    <row r="955" ht="22.5" customHeight="1">
      <c r="A955" s="116"/>
      <c r="B955" s="71"/>
      <c r="C955" s="71"/>
      <c r="D955" s="26"/>
      <c r="E955" s="117"/>
      <c r="F955" s="71"/>
      <c r="G955" s="118"/>
      <c r="H955" s="25"/>
      <c r="I955" s="25"/>
      <c r="J955" s="119"/>
    </row>
    <row r="956" ht="22.5" customHeight="1">
      <c r="A956" s="116"/>
      <c r="B956" s="71"/>
      <c r="C956" s="71"/>
      <c r="D956" s="26"/>
      <c r="E956" s="117"/>
      <c r="F956" s="71"/>
      <c r="G956" s="118"/>
      <c r="H956" s="25"/>
      <c r="I956" s="25"/>
      <c r="J956" s="119"/>
    </row>
    <row r="957" ht="22.5" customHeight="1">
      <c r="A957" s="116"/>
      <c r="B957" s="71"/>
      <c r="C957" s="71"/>
      <c r="D957" s="26"/>
      <c r="E957" s="117"/>
      <c r="F957" s="71"/>
      <c r="G957" s="118"/>
      <c r="H957" s="25"/>
      <c r="I957" s="25"/>
      <c r="J957" s="119"/>
    </row>
    <row r="958" ht="22.5" customHeight="1">
      <c r="A958" s="116"/>
      <c r="B958" s="71"/>
      <c r="C958" s="71"/>
      <c r="D958" s="26"/>
      <c r="E958" s="117"/>
      <c r="F958" s="71"/>
      <c r="G958" s="118"/>
      <c r="H958" s="25"/>
      <c r="I958" s="25"/>
      <c r="J958" s="119"/>
    </row>
    <row r="959" ht="22.5" customHeight="1">
      <c r="A959" s="116"/>
      <c r="B959" s="71"/>
      <c r="C959" s="71"/>
      <c r="D959" s="26"/>
      <c r="E959" s="117"/>
      <c r="F959" s="71"/>
      <c r="G959" s="118"/>
      <c r="H959" s="25"/>
      <c r="I959" s="25"/>
      <c r="J959" s="119"/>
    </row>
    <row r="960" ht="22.5" customHeight="1">
      <c r="A960" s="116"/>
      <c r="B960" s="71"/>
      <c r="C960" s="71"/>
      <c r="D960" s="26"/>
      <c r="E960" s="117"/>
      <c r="F960" s="71"/>
      <c r="G960" s="118"/>
      <c r="H960" s="25"/>
      <c r="I960" s="25"/>
      <c r="J960" s="119"/>
    </row>
    <row r="961" ht="22.5" customHeight="1">
      <c r="A961" s="116"/>
      <c r="B961" s="71"/>
      <c r="C961" s="71"/>
      <c r="D961" s="26"/>
      <c r="E961" s="117"/>
      <c r="F961" s="71"/>
      <c r="G961" s="118"/>
      <c r="H961" s="25"/>
      <c r="I961" s="25"/>
      <c r="J961" s="119"/>
    </row>
    <row r="962" ht="22.5" customHeight="1">
      <c r="A962" s="116"/>
      <c r="B962" s="71"/>
      <c r="C962" s="71"/>
      <c r="D962" s="26"/>
      <c r="E962" s="117"/>
      <c r="F962" s="71"/>
      <c r="G962" s="118"/>
      <c r="H962" s="25"/>
      <c r="I962" s="25"/>
      <c r="J962" s="119"/>
    </row>
    <row r="963" ht="22.5" customHeight="1">
      <c r="A963" s="116"/>
      <c r="B963" s="71"/>
      <c r="C963" s="71"/>
      <c r="D963" s="26"/>
      <c r="E963" s="117"/>
      <c r="F963" s="71"/>
      <c r="G963" s="118"/>
      <c r="H963" s="25"/>
      <c r="I963" s="25"/>
      <c r="J963" s="119"/>
    </row>
    <row r="964" ht="22.5" customHeight="1">
      <c r="A964" s="116"/>
      <c r="B964" s="71"/>
      <c r="C964" s="71"/>
      <c r="D964" s="26"/>
      <c r="E964" s="117"/>
      <c r="F964" s="71"/>
      <c r="G964" s="118"/>
      <c r="H964" s="25"/>
      <c r="I964" s="25"/>
      <c r="J964" s="119"/>
    </row>
    <row r="965" ht="22.5" customHeight="1">
      <c r="A965" s="116"/>
      <c r="B965" s="71"/>
      <c r="C965" s="71"/>
      <c r="D965" s="26"/>
      <c r="E965" s="117"/>
      <c r="F965" s="71"/>
      <c r="G965" s="118"/>
      <c r="H965" s="25"/>
      <c r="I965" s="25"/>
      <c r="J965" s="119"/>
    </row>
    <row r="966" ht="22.5" customHeight="1">
      <c r="A966" s="116"/>
      <c r="B966" s="71"/>
      <c r="C966" s="71"/>
      <c r="D966" s="26"/>
      <c r="E966" s="117"/>
      <c r="F966" s="71"/>
      <c r="G966" s="118"/>
      <c r="H966" s="25"/>
      <c r="I966" s="25"/>
      <c r="J966" s="119"/>
    </row>
    <row r="967" ht="22.5" customHeight="1">
      <c r="A967" s="116"/>
      <c r="B967" s="71"/>
      <c r="C967" s="71"/>
      <c r="D967" s="26"/>
      <c r="E967" s="117"/>
      <c r="F967" s="71"/>
      <c r="G967" s="118"/>
      <c r="H967" s="25"/>
      <c r="I967" s="25"/>
      <c r="J967" s="119"/>
    </row>
    <row r="968" ht="22.5" customHeight="1">
      <c r="A968" s="116"/>
      <c r="B968" s="71"/>
      <c r="C968" s="71"/>
      <c r="D968" s="26"/>
      <c r="E968" s="117"/>
      <c r="F968" s="71"/>
      <c r="G968" s="118"/>
      <c r="H968" s="25"/>
      <c r="I968" s="25"/>
      <c r="J968" s="119"/>
    </row>
    <row r="969" ht="22.5" customHeight="1">
      <c r="A969" s="116"/>
      <c r="B969" s="71"/>
      <c r="C969" s="71"/>
      <c r="D969" s="26"/>
      <c r="E969" s="117"/>
      <c r="F969" s="71"/>
      <c r="G969" s="118"/>
      <c r="H969" s="25"/>
      <c r="I969" s="25"/>
      <c r="J969" s="119"/>
    </row>
    <row r="970" ht="22.5" customHeight="1">
      <c r="A970" s="116"/>
      <c r="B970" s="71"/>
      <c r="C970" s="71"/>
      <c r="D970" s="26"/>
      <c r="E970" s="117"/>
      <c r="F970" s="71"/>
      <c r="G970" s="118"/>
      <c r="H970" s="25"/>
      <c r="I970" s="25"/>
      <c r="J970" s="119"/>
    </row>
    <row r="971" ht="22.5" customHeight="1">
      <c r="A971" s="116"/>
      <c r="B971" s="71"/>
      <c r="C971" s="71"/>
      <c r="D971" s="26"/>
      <c r="E971" s="117"/>
      <c r="F971" s="71"/>
      <c r="G971" s="118"/>
      <c r="H971" s="25"/>
      <c r="I971" s="25"/>
      <c r="J971" s="119"/>
    </row>
    <row r="972" ht="22.5" customHeight="1">
      <c r="A972" s="116"/>
      <c r="B972" s="71"/>
      <c r="C972" s="71"/>
      <c r="D972" s="26"/>
      <c r="E972" s="117"/>
      <c r="F972" s="71"/>
      <c r="G972" s="118"/>
      <c r="H972" s="25"/>
      <c r="I972" s="25"/>
      <c r="J972" s="119"/>
    </row>
    <row r="973" ht="22.5" customHeight="1">
      <c r="A973" s="116"/>
      <c r="B973" s="71"/>
      <c r="C973" s="71"/>
      <c r="D973" s="26"/>
      <c r="E973" s="117"/>
      <c r="F973" s="71"/>
      <c r="G973" s="118"/>
      <c r="H973" s="25"/>
      <c r="I973" s="25"/>
      <c r="J973" s="119"/>
    </row>
    <row r="974" ht="22.5" customHeight="1">
      <c r="A974" s="116"/>
      <c r="B974" s="71"/>
      <c r="C974" s="71"/>
      <c r="D974" s="26"/>
      <c r="E974" s="117"/>
      <c r="F974" s="71"/>
      <c r="G974" s="118"/>
      <c r="H974" s="25"/>
      <c r="I974" s="25"/>
      <c r="J974" s="119"/>
    </row>
    <row r="975" ht="22.5" customHeight="1">
      <c r="A975" s="116"/>
      <c r="B975" s="71"/>
      <c r="C975" s="71"/>
      <c r="D975" s="26"/>
      <c r="E975" s="117"/>
      <c r="F975" s="71"/>
      <c r="G975" s="118"/>
      <c r="H975" s="25"/>
      <c r="I975" s="25"/>
      <c r="J975" s="119"/>
    </row>
    <row r="976" ht="22.5" customHeight="1">
      <c r="A976" s="116"/>
      <c r="B976" s="71"/>
      <c r="C976" s="71"/>
      <c r="D976" s="26"/>
      <c r="E976" s="117"/>
      <c r="F976" s="71"/>
      <c r="G976" s="118"/>
      <c r="H976" s="25"/>
      <c r="I976" s="25"/>
      <c r="J976" s="119"/>
    </row>
    <row r="977" ht="22.5" customHeight="1">
      <c r="A977" s="116"/>
      <c r="B977" s="71"/>
      <c r="C977" s="71"/>
      <c r="D977" s="26"/>
      <c r="E977" s="117"/>
      <c r="F977" s="71"/>
      <c r="G977" s="118"/>
      <c r="H977" s="25"/>
      <c r="I977" s="25"/>
      <c r="J977" s="119"/>
    </row>
    <row r="978" ht="22.5" customHeight="1">
      <c r="A978" s="116"/>
      <c r="B978" s="71"/>
      <c r="C978" s="71"/>
      <c r="D978" s="26"/>
      <c r="E978" s="117"/>
      <c r="F978" s="71"/>
      <c r="G978" s="118"/>
      <c r="H978" s="25"/>
      <c r="I978" s="25"/>
      <c r="J978" s="119"/>
    </row>
    <row r="979" ht="22.5" customHeight="1">
      <c r="A979" s="116"/>
      <c r="B979" s="71"/>
      <c r="C979" s="71"/>
      <c r="D979" s="26"/>
      <c r="E979" s="117"/>
      <c r="F979" s="71"/>
      <c r="G979" s="118"/>
      <c r="H979" s="25"/>
      <c r="I979" s="25"/>
      <c r="J979" s="119"/>
    </row>
    <row r="980" ht="22.5" customHeight="1">
      <c r="A980" s="116"/>
      <c r="B980" s="71"/>
      <c r="C980" s="71"/>
      <c r="D980" s="26"/>
      <c r="E980" s="117"/>
      <c r="F980" s="71"/>
      <c r="G980" s="118"/>
      <c r="H980" s="25"/>
      <c r="I980" s="25"/>
      <c r="J980" s="119"/>
    </row>
    <row r="981" ht="22.5" customHeight="1">
      <c r="A981" s="116"/>
      <c r="B981" s="71"/>
      <c r="C981" s="71"/>
      <c r="D981" s="26"/>
      <c r="E981" s="117"/>
      <c r="F981" s="71"/>
      <c r="G981" s="118"/>
      <c r="H981" s="25"/>
      <c r="I981" s="25"/>
      <c r="J981" s="119"/>
    </row>
    <row r="982" ht="22.5" customHeight="1">
      <c r="A982" s="116"/>
      <c r="B982" s="71"/>
      <c r="C982" s="71"/>
      <c r="D982" s="26"/>
      <c r="E982" s="117"/>
      <c r="F982" s="71"/>
      <c r="G982" s="118"/>
      <c r="H982" s="25"/>
      <c r="I982" s="25"/>
      <c r="J982" s="119"/>
    </row>
    <row r="983" ht="22.5" customHeight="1">
      <c r="A983" s="116"/>
      <c r="B983" s="71"/>
      <c r="C983" s="71"/>
      <c r="D983" s="26"/>
      <c r="E983" s="117"/>
      <c r="F983" s="71"/>
      <c r="G983" s="118"/>
      <c r="H983" s="25"/>
      <c r="I983" s="25"/>
      <c r="J983" s="119"/>
    </row>
    <row r="984" ht="22.5" customHeight="1">
      <c r="A984" s="116"/>
      <c r="B984" s="71"/>
      <c r="C984" s="71"/>
      <c r="D984" s="26"/>
      <c r="E984" s="117"/>
      <c r="F984" s="71"/>
      <c r="G984" s="118"/>
      <c r="H984" s="25"/>
      <c r="I984" s="25"/>
      <c r="J984" s="119"/>
    </row>
    <row r="985" ht="22.5" customHeight="1">
      <c r="A985" s="116"/>
      <c r="B985" s="71"/>
      <c r="C985" s="71"/>
      <c r="D985" s="26"/>
      <c r="E985" s="117"/>
      <c r="F985" s="71"/>
      <c r="G985" s="118"/>
      <c r="H985" s="25"/>
      <c r="I985" s="25"/>
      <c r="J985" s="119"/>
    </row>
    <row r="986" ht="22.5" customHeight="1">
      <c r="A986" s="116"/>
      <c r="B986" s="71"/>
      <c r="C986" s="71"/>
      <c r="D986" s="26"/>
      <c r="E986" s="117"/>
      <c r="F986" s="71"/>
      <c r="G986" s="118"/>
      <c r="H986" s="25"/>
      <c r="I986" s="25"/>
      <c r="J986" s="119"/>
    </row>
    <row r="987" ht="22.5" customHeight="1">
      <c r="A987" s="116"/>
      <c r="B987" s="71"/>
      <c r="C987" s="71"/>
      <c r="D987" s="26"/>
      <c r="E987" s="117"/>
      <c r="F987" s="71"/>
      <c r="G987" s="118"/>
      <c r="H987" s="25"/>
      <c r="I987" s="25"/>
      <c r="J987" s="119"/>
    </row>
    <row r="988" ht="22.5" customHeight="1">
      <c r="A988" s="116"/>
      <c r="B988" s="71"/>
      <c r="C988" s="71"/>
      <c r="D988" s="26"/>
      <c r="E988" s="117"/>
      <c r="F988" s="71"/>
      <c r="G988" s="118"/>
      <c r="H988" s="25"/>
      <c r="I988" s="25"/>
      <c r="J988" s="119"/>
    </row>
    <row r="989" ht="22.5" customHeight="1">
      <c r="A989" s="116"/>
      <c r="B989" s="71"/>
      <c r="C989" s="71"/>
      <c r="D989" s="26"/>
      <c r="E989" s="117"/>
      <c r="F989" s="71"/>
      <c r="G989" s="118"/>
      <c r="H989" s="25"/>
      <c r="I989" s="25"/>
      <c r="J989" s="119"/>
    </row>
    <row r="990" ht="22.5" customHeight="1">
      <c r="A990" s="116"/>
      <c r="B990" s="71"/>
      <c r="C990" s="71"/>
      <c r="D990" s="26"/>
      <c r="E990" s="117"/>
      <c r="F990" s="71"/>
      <c r="G990" s="118"/>
      <c r="H990" s="25"/>
      <c r="I990" s="25"/>
      <c r="J990" s="119"/>
    </row>
    <row r="991" ht="22.5" customHeight="1">
      <c r="A991" s="116"/>
      <c r="B991" s="71"/>
      <c r="C991" s="71"/>
      <c r="D991" s="26"/>
      <c r="E991" s="117"/>
      <c r="F991" s="71"/>
      <c r="G991" s="118"/>
      <c r="H991" s="25"/>
      <c r="I991" s="25"/>
      <c r="J991" s="119"/>
    </row>
    <row r="992" ht="22.5" customHeight="1">
      <c r="A992" s="116"/>
      <c r="B992" s="71"/>
      <c r="C992" s="71"/>
      <c r="D992" s="26"/>
      <c r="E992" s="117"/>
      <c r="F992" s="71"/>
      <c r="G992" s="118"/>
      <c r="H992" s="25"/>
      <c r="I992" s="25"/>
      <c r="J992" s="119"/>
    </row>
    <row r="993" ht="22.5" customHeight="1">
      <c r="A993" s="116"/>
      <c r="B993" s="71"/>
      <c r="C993" s="71"/>
      <c r="D993" s="26"/>
      <c r="E993" s="117"/>
      <c r="F993" s="71"/>
      <c r="G993" s="118"/>
      <c r="H993" s="25"/>
      <c r="I993" s="25"/>
      <c r="J993" s="119"/>
    </row>
    <row r="994" ht="22.5" customHeight="1">
      <c r="A994" s="116"/>
      <c r="B994" s="71"/>
      <c r="C994" s="71"/>
      <c r="D994" s="26"/>
      <c r="E994" s="117"/>
      <c r="F994" s="71"/>
      <c r="G994" s="118"/>
      <c r="H994" s="25"/>
      <c r="I994" s="25"/>
      <c r="J994" s="119"/>
    </row>
    <row r="995" ht="22.5" customHeight="1">
      <c r="A995" s="116"/>
      <c r="B995" s="71"/>
      <c r="C995" s="71"/>
      <c r="D995" s="26"/>
      <c r="E995" s="117"/>
      <c r="F995" s="71"/>
      <c r="G995" s="118"/>
      <c r="H995" s="25"/>
      <c r="I995" s="25"/>
      <c r="J995" s="119"/>
    </row>
    <row r="996" ht="22.5" customHeight="1">
      <c r="A996" s="116"/>
      <c r="B996" s="71"/>
      <c r="C996" s="71"/>
      <c r="D996" s="26"/>
      <c r="E996" s="117"/>
      <c r="F996" s="71"/>
      <c r="G996" s="118"/>
      <c r="H996" s="25"/>
      <c r="I996" s="25"/>
      <c r="J996" s="119"/>
    </row>
    <row r="997" ht="22.5" customHeight="1">
      <c r="A997" s="116"/>
      <c r="B997" s="71"/>
      <c r="C997" s="71"/>
      <c r="D997" s="26"/>
      <c r="E997" s="117"/>
      <c r="F997" s="71"/>
      <c r="G997" s="118"/>
      <c r="H997" s="25"/>
      <c r="I997" s="25"/>
      <c r="J997" s="119"/>
    </row>
    <row r="998" ht="22.5" customHeight="1">
      <c r="A998" s="116"/>
      <c r="B998" s="71"/>
      <c r="C998" s="71"/>
      <c r="D998" s="26"/>
      <c r="E998" s="117"/>
      <c r="F998" s="71"/>
      <c r="G998" s="118"/>
      <c r="H998" s="25"/>
      <c r="I998" s="25"/>
      <c r="J998" s="119"/>
    </row>
    <row r="999" ht="22.5" customHeight="1">
      <c r="A999" s="116"/>
      <c r="B999" s="71"/>
      <c r="C999" s="71"/>
      <c r="D999" s="26"/>
      <c r="E999" s="117"/>
      <c r="F999" s="71"/>
      <c r="G999" s="118"/>
      <c r="H999" s="25"/>
      <c r="I999" s="25"/>
      <c r="J999" s="119"/>
    </row>
    <row r="1000" ht="22.5" customHeight="1">
      <c r="A1000" s="116"/>
      <c r="B1000" s="71"/>
      <c r="C1000" s="71"/>
      <c r="D1000" s="26"/>
      <c r="E1000" s="117"/>
      <c r="F1000" s="71"/>
      <c r="G1000" s="118"/>
      <c r="H1000" s="25"/>
      <c r="I1000" s="25"/>
      <c r="J1000" s="119"/>
    </row>
    <row r="1001" ht="22.5" customHeight="1">
      <c r="A1001" s="116"/>
      <c r="B1001" s="71"/>
      <c r="C1001" s="71"/>
      <c r="D1001" s="26"/>
      <c r="E1001" s="117"/>
      <c r="F1001" s="71"/>
      <c r="G1001" s="118"/>
      <c r="H1001" s="25"/>
      <c r="I1001" s="25"/>
      <c r="J1001" s="119"/>
    </row>
    <row r="1002" ht="22.5" customHeight="1">
      <c r="A1002" s="116"/>
      <c r="B1002" s="71"/>
      <c r="C1002" s="71"/>
      <c r="D1002" s="26"/>
      <c r="E1002" s="117"/>
      <c r="F1002" s="71"/>
      <c r="G1002" s="118"/>
      <c r="H1002" s="25"/>
      <c r="I1002" s="25"/>
      <c r="J1002" s="119"/>
    </row>
    <row r="1003" ht="22.5" customHeight="1">
      <c r="A1003" s="116"/>
      <c r="B1003" s="71"/>
      <c r="C1003" s="71"/>
      <c r="D1003" s="26"/>
      <c r="E1003" s="117"/>
      <c r="F1003" s="71"/>
      <c r="G1003" s="118"/>
      <c r="H1003" s="25"/>
      <c r="I1003" s="25"/>
      <c r="J1003" s="119"/>
    </row>
    <row r="1004" ht="22.5" customHeight="1">
      <c r="A1004" s="116"/>
      <c r="B1004" s="71"/>
      <c r="C1004" s="71"/>
      <c r="D1004" s="26"/>
      <c r="E1004" s="117"/>
      <c r="F1004" s="71"/>
      <c r="G1004" s="118"/>
      <c r="H1004" s="25"/>
      <c r="I1004" s="25"/>
      <c r="J1004" s="119"/>
    </row>
    <row r="1005" ht="22.5" customHeight="1">
      <c r="A1005" s="116"/>
      <c r="B1005" s="71"/>
      <c r="C1005" s="71"/>
      <c r="D1005" s="26"/>
      <c r="E1005" s="117"/>
      <c r="F1005" s="71"/>
      <c r="G1005" s="118"/>
      <c r="H1005" s="25"/>
      <c r="I1005" s="25"/>
      <c r="J1005" s="119"/>
    </row>
    <row r="1006" ht="22.5" customHeight="1">
      <c r="A1006" s="116"/>
      <c r="B1006" s="71"/>
      <c r="C1006" s="71"/>
      <c r="D1006" s="26"/>
      <c r="E1006" s="117"/>
      <c r="F1006" s="71"/>
      <c r="G1006" s="118"/>
      <c r="H1006" s="25"/>
      <c r="I1006" s="25"/>
      <c r="J1006" s="119"/>
    </row>
    <row r="1007" ht="22.5" customHeight="1">
      <c r="A1007" s="116"/>
      <c r="B1007" s="71"/>
      <c r="C1007" s="71"/>
      <c r="D1007" s="26"/>
      <c r="E1007" s="117"/>
      <c r="F1007" s="71"/>
      <c r="G1007" s="118"/>
      <c r="H1007" s="25"/>
      <c r="I1007" s="25"/>
      <c r="J1007" s="119"/>
    </row>
    <row r="1008" ht="22.5" customHeight="1">
      <c r="A1008" s="116"/>
      <c r="B1008" s="71"/>
      <c r="C1008" s="71"/>
      <c r="D1008" s="26"/>
      <c r="E1008" s="117"/>
      <c r="F1008" s="71"/>
      <c r="G1008" s="118"/>
      <c r="H1008" s="25"/>
      <c r="I1008" s="25"/>
      <c r="J1008" s="119"/>
    </row>
    <row r="1009" ht="22.5" customHeight="1">
      <c r="A1009" s="116"/>
      <c r="B1009" s="71"/>
      <c r="C1009" s="71"/>
      <c r="D1009" s="26"/>
      <c r="E1009" s="117"/>
      <c r="F1009" s="71"/>
      <c r="G1009" s="118"/>
      <c r="H1009" s="25"/>
      <c r="I1009" s="25"/>
      <c r="J1009" s="119"/>
    </row>
    <row r="1010" ht="22.5" customHeight="1">
      <c r="A1010" s="116"/>
      <c r="B1010" s="71"/>
      <c r="C1010" s="71"/>
      <c r="D1010" s="26"/>
      <c r="E1010" s="117"/>
      <c r="F1010" s="71"/>
      <c r="G1010" s="118"/>
      <c r="H1010" s="25"/>
      <c r="I1010" s="25"/>
      <c r="J1010" s="119"/>
    </row>
    <row r="1011" ht="22.5" customHeight="1">
      <c r="A1011" s="116"/>
      <c r="B1011" s="71"/>
      <c r="C1011" s="71"/>
      <c r="D1011" s="26"/>
      <c r="E1011" s="117"/>
      <c r="F1011" s="71"/>
      <c r="G1011" s="118"/>
      <c r="H1011" s="25"/>
      <c r="I1011" s="25"/>
      <c r="J1011" s="119"/>
    </row>
    <row r="1012" ht="22.5" customHeight="1">
      <c r="A1012" s="116"/>
      <c r="B1012" s="71"/>
      <c r="C1012" s="71"/>
      <c r="D1012" s="26"/>
      <c r="E1012" s="117"/>
      <c r="F1012" s="71"/>
      <c r="G1012" s="118"/>
      <c r="H1012" s="25"/>
      <c r="I1012" s="25"/>
      <c r="J1012" s="119"/>
    </row>
    <row r="1013" ht="22.5" customHeight="1">
      <c r="A1013" s="116"/>
      <c r="B1013" s="71"/>
      <c r="C1013" s="71"/>
      <c r="D1013" s="26"/>
      <c r="E1013" s="117"/>
      <c r="F1013" s="71"/>
      <c r="G1013" s="118"/>
      <c r="H1013" s="25"/>
      <c r="I1013" s="25"/>
      <c r="J1013" s="119"/>
    </row>
    <row r="1014" ht="22.5" customHeight="1">
      <c r="A1014" s="116"/>
      <c r="B1014" s="71"/>
      <c r="C1014" s="71"/>
      <c r="D1014" s="26"/>
      <c r="E1014" s="117"/>
      <c r="F1014" s="71"/>
      <c r="G1014" s="118"/>
      <c r="H1014" s="25"/>
      <c r="I1014" s="25"/>
      <c r="J1014" s="119"/>
    </row>
    <row r="1015" ht="22.5" customHeight="1">
      <c r="A1015" s="116"/>
      <c r="B1015" s="71"/>
      <c r="C1015" s="71"/>
      <c r="D1015" s="26"/>
      <c r="E1015" s="117"/>
      <c r="F1015" s="71"/>
      <c r="G1015" s="118"/>
      <c r="H1015" s="25"/>
      <c r="I1015" s="25"/>
      <c r="J1015" s="119"/>
    </row>
    <row r="1016" ht="22.5" customHeight="1">
      <c r="A1016" s="116"/>
      <c r="B1016" s="71"/>
      <c r="C1016" s="71"/>
      <c r="D1016" s="26"/>
      <c r="E1016" s="117"/>
      <c r="F1016" s="71"/>
      <c r="G1016" s="118"/>
      <c r="H1016" s="25"/>
      <c r="I1016" s="25"/>
      <c r="J1016" s="119"/>
    </row>
    <row r="1017" ht="22.5" customHeight="1">
      <c r="A1017" s="116"/>
      <c r="B1017" s="71"/>
      <c r="C1017" s="71"/>
      <c r="D1017" s="26"/>
      <c r="E1017" s="117"/>
      <c r="F1017" s="71"/>
      <c r="G1017" s="118"/>
      <c r="H1017" s="25"/>
      <c r="I1017" s="25"/>
      <c r="J1017" s="119"/>
    </row>
    <row r="1018" ht="22.5" customHeight="1">
      <c r="A1018" s="116"/>
      <c r="B1018" s="71"/>
      <c r="C1018" s="71"/>
      <c r="D1018" s="26"/>
      <c r="E1018" s="117"/>
      <c r="F1018" s="71"/>
      <c r="G1018" s="118"/>
      <c r="H1018" s="25"/>
      <c r="I1018" s="25"/>
      <c r="J1018" s="119"/>
    </row>
    <row r="1019" ht="22.5" customHeight="1">
      <c r="A1019" s="116"/>
      <c r="B1019" s="71"/>
      <c r="C1019" s="71"/>
      <c r="D1019" s="26"/>
      <c r="E1019" s="117"/>
      <c r="F1019" s="71"/>
      <c r="G1019" s="118"/>
      <c r="H1019" s="25"/>
      <c r="I1019" s="25"/>
      <c r="J1019" s="119"/>
    </row>
    <row r="1020" ht="22.5" customHeight="1">
      <c r="A1020" s="116"/>
      <c r="B1020" s="71"/>
      <c r="C1020" s="71"/>
      <c r="D1020" s="26"/>
      <c r="E1020" s="117"/>
      <c r="F1020" s="71"/>
      <c r="G1020" s="118"/>
      <c r="H1020" s="25"/>
      <c r="I1020" s="25"/>
      <c r="J1020" s="119"/>
    </row>
    <row r="1021" ht="22.5" customHeight="1">
      <c r="A1021" s="116"/>
      <c r="B1021" s="71"/>
      <c r="C1021" s="71"/>
      <c r="D1021" s="26"/>
      <c r="E1021" s="117"/>
      <c r="F1021" s="71"/>
      <c r="G1021" s="118"/>
      <c r="H1021" s="25"/>
      <c r="I1021" s="25"/>
      <c r="J1021" s="119"/>
    </row>
    <row r="1022" ht="22.5" customHeight="1">
      <c r="A1022" s="116"/>
      <c r="B1022" s="71"/>
      <c r="C1022" s="71"/>
      <c r="D1022" s="26"/>
      <c r="E1022" s="117"/>
      <c r="F1022" s="71"/>
      <c r="G1022" s="118"/>
      <c r="H1022" s="25"/>
      <c r="I1022" s="25"/>
      <c r="J1022" s="119"/>
    </row>
    <row r="1023" ht="22.5" customHeight="1">
      <c r="A1023" s="116"/>
      <c r="B1023" s="71"/>
      <c r="C1023" s="71"/>
      <c r="D1023" s="26"/>
      <c r="E1023" s="117"/>
      <c r="F1023" s="71"/>
      <c r="G1023" s="118"/>
      <c r="H1023" s="25"/>
      <c r="I1023" s="25"/>
      <c r="J1023" s="119"/>
    </row>
    <row r="1024" ht="22.5" customHeight="1">
      <c r="A1024" s="116"/>
      <c r="B1024" s="71"/>
      <c r="C1024" s="71"/>
      <c r="D1024" s="26"/>
      <c r="E1024" s="117"/>
      <c r="F1024" s="71"/>
      <c r="G1024" s="118"/>
      <c r="H1024" s="25"/>
      <c r="I1024" s="25"/>
      <c r="J1024" s="119"/>
    </row>
    <row r="1025" ht="22.5" customHeight="1">
      <c r="A1025" s="116"/>
      <c r="B1025" s="71"/>
      <c r="C1025" s="71"/>
      <c r="D1025" s="26"/>
      <c r="E1025" s="117"/>
      <c r="F1025" s="71"/>
      <c r="G1025" s="118"/>
      <c r="H1025" s="25"/>
      <c r="I1025" s="25"/>
      <c r="J1025" s="119"/>
    </row>
    <row r="1026" ht="22.5" customHeight="1">
      <c r="A1026" s="116"/>
      <c r="B1026" s="71"/>
      <c r="C1026" s="71"/>
      <c r="D1026" s="26"/>
      <c r="E1026" s="117"/>
      <c r="F1026" s="71"/>
      <c r="G1026" s="118"/>
      <c r="H1026" s="25"/>
      <c r="I1026" s="25"/>
      <c r="J1026" s="119"/>
    </row>
    <row r="1027" ht="22.5" customHeight="1">
      <c r="A1027" s="116"/>
      <c r="B1027" s="71"/>
      <c r="C1027" s="71"/>
      <c r="D1027" s="26"/>
      <c r="E1027" s="117"/>
      <c r="F1027" s="71"/>
      <c r="G1027" s="118"/>
      <c r="H1027" s="25"/>
      <c r="I1027" s="25"/>
      <c r="J1027" s="119"/>
    </row>
    <row r="1028" ht="22.5" customHeight="1">
      <c r="A1028" s="116"/>
      <c r="B1028" s="71"/>
      <c r="C1028" s="71"/>
      <c r="D1028" s="26"/>
      <c r="E1028" s="117"/>
      <c r="F1028" s="71"/>
      <c r="G1028" s="118"/>
      <c r="H1028" s="25"/>
      <c r="I1028" s="25"/>
      <c r="J1028" s="119"/>
    </row>
    <row r="1029" ht="22.5" customHeight="1">
      <c r="A1029" s="116"/>
      <c r="B1029" s="71"/>
      <c r="C1029" s="71"/>
      <c r="D1029" s="26"/>
      <c r="E1029" s="117"/>
      <c r="F1029" s="71"/>
      <c r="G1029" s="118"/>
      <c r="H1029" s="25"/>
      <c r="I1029" s="25"/>
      <c r="J1029" s="119"/>
    </row>
    <row r="1030" ht="22.5" customHeight="1">
      <c r="A1030" s="116"/>
      <c r="B1030" s="71"/>
      <c r="C1030" s="71"/>
      <c r="D1030" s="26"/>
      <c r="E1030" s="117"/>
      <c r="F1030" s="71"/>
      <c r="G1030" s="118"/>
      <c r="H1030" s="25"/>
      <c r="I1030" s="25"/>
      <c r="J1030" s="119"/>
    </row>
    <row r="1031" ht="22.5" customHeight="1">
      <c r="A1031" s="116"/>
      <c r="B1031" s="71"/>
      <c r="C1031" s="71"/>
      <c r="D1031" s="26"/>
      <c r="E1031" s="117"/>
      <c r="F1031" s="71"/>
      <c r="G1031" s="118"/>
      <c r="H1031" s="25"/>
      <c r="I1031" s="25"/>
      <c r="J1031" s="119"/>
    </row>
    <row r="1032" ht="22.5" customHeight="1">
      <c r="A1032" s="116"/>
      <c r="B1032" s="71"/>
      <c r="C1032" s="71"/>
      <c r="D1032" s="26"/>
      <c r="E1032" s="117"/>
      <c r="F1032" s="71"/>
      <c r="G1032" s="118"/>
      <c r="H1032" s="25"/>
      <c r="I1032" s="25"/>
      <c r="J1032" s="119"/>
    </row>
    <row r="1033" ht="22.5" customHeight="1">
      <c r="A1033" s="116"/>
      <c r="B1033" s="71"/>
      <c r="C1033" s="71"/>
      <c r="D1033" s="26"/>
      <c r="E1033" s="117"/>
      <c r="F1033" s="71"/>
      <c r="G1033" s="118"/>
      <c r="H1033" s="25"/>
      <c r="I1033" s="25"/>
      <c r="J1033" s="119"/>
    </row>
    <row r="1034" ht="22.5" customHeight="1">
      <c r="A1034" s="116"/>
      <c r="B1034" s="71"/>
      <c r="C1034" s="71"/>
      <c r="D1034" s="26"/>
      <c r="E1034" s="117"/>
      <c r="F1034" s="71"/>
      <c r="G1034" s="118"/>
      <c r="H1034" s="25"/>
      <c r="I1034" s="25"/>
      <c r="J1034" s="119"/>
    </row>
    <row r="1035" ht="22.5" customHeight="1">
      <c r="A1035" s="116"/>
      <c r="B1035" s="71"/>
      <c r="C1035" s="71"/>
      <c r="D1035" s="26"/>
      <c r="E1035" s="117"/>
      <c r="F1035" s="71"/>
      <c r="G1035" s="118"/>
      <c r="H1035" s="25"/>
      <c r="I1035" s="25"/>
      <c r="J1035" s="119"/>
    </row>
    <row r="1036" ht="22.5" customHeight="1">
      <c r="A1036" s="116"/>
      <c r="B1036" s="71"/>
      <c r="C1036" s="71"/>
      <c r="D1036" s="26"/>
      <c r="E1036" s="117"/>
      <c r="F1036" s="71"/>
      <c r="G1036" s="118"/>
      <c r="H1036" s="25"/>
      <c r="I1036" s="25"/>
      <c r="J1036" s="119"/>
    </row>
    <row r="1037" ht="22.5" customHeight="1">
      <c r="A1037" s="116"/>
      <c r="B1037" s="71"/>
      <c r="C1037" s="71"/>
      <c r="D1037" s="26"/>
      <c r="E1037" s="117"/>
      <c r="F1037" s="71"/>
      <c r="G1037" s="118"/>
      <c r="H1037" s="25"/>
      <c r="I1037" s="25"/>
      <c r="J1037" s="119"/>
    </row>
    <row r="1038" ht="22.5" customHeight="1">
      <c r="A1038" s="116"/>
      <c r="B1038" s="71"/>
      <c r="C1038" s="71"/>
      <c r="D1038" s="26"/>
      <c r="E1038" s="117"/>
      <c r="F1038" s="71"/>
      <c r="G1038" s="118"/>
      <c r="H1038" s="25"/>
      <c r="I1038" s="25"/>
      <c r="J1038" s="119"/>
    </row>
    <row r="1039" ht="22.5" customHeight="1">
      <c r="A1039" s="116"/>
      <c r="B1039" s="71"/>
      <c r="C1039" s="71"/>
      <c r="D1039" s="26"/>
      <c r="E1039" s="117"/>
      <c r="F1039" s="71"/>
      <c r="G1039" s="118"/>
      <c r="H1039" s="25"/>
      <c r="I1039" s="25"/>
      <c r="J1039" s="119"/>
    </row>
    <row r="1040" ht="22.5" customHeight="1">
      <c r="A1040" s="116"/>
      <c r="B1040" s="71"/>
      <c r="C1040" s="71"/>
      <c r="D1040" s="26"/>
      <c r="E1040" s="117"/>
      <c r="F1040" s="71"/>
      <c r="G1040" s="118"/>
      <c r="H1040" s="25"/>
      <c r="I1040" s="25"/>
      <c r="J1040" s="119"/>
    </row>
    <row r="1041" ht="22.5" customHeight="1">
      <c r="A1041" s="116"/>
      <c r="B1041" s="71"/>
      <c r="C1041" s="71"/>
      <c r="D1041" s="26"/>
      <c r="E1041" s="117"/>
      <c r="F1041" s="71"/>
      <c r="G1041" s="118"/>
      <c r="H1041" s="25"/>
      <c r="I1041" s="25"/>
      <c r="J1041" s="119"/>
    </row>
    <row r="1042" ht="22.5" customHeight="1">
      <c r="A1042" s="116"/>
      <c r="B1042" s="71"/>
      <c r="C1042" s="71"/>
      <c r="D1042" s="26"/>
      <c r="E1042" s="117"/>
      <c r="F1042" s="71"/>
      <c r="G1042" s="118"/>
      <c r="H1042" s="25"/>
      <c r="I1042" s="25"/>
      <c r="J1042" s="119"/>
    </row>
    <row r="1043" ht="22.5" customHeight="1">
      <c r="A1043" s="116"/>
      <c r="B1043" s="71"/>
      <c r="C1043" s="71"/>
      <c r="D1043" s="26"/>
      <c r="E1043" s="117"/>
      <c r="F1043" s="71"/>
      <c r="G1043" s="118"/>
      <c r="H1043" s="25"/>
      <c r="I1043" s="25"/>
      <c r="J1043" s="119"/>
    </row>
    <row r="1044" ht="22.5" customHeight="1">
      <c r="A1044" s="116"/>
      <c r="B1044" s="71"/>
      <c r="C1044" s="71"/>
      <c r="D1044" s="26"/>
      <c r="E1044" s="117"/>
      <c r="F1044" s="71"/>
      <c r="G1044" s="118"/>
      <c r="H1044" s="25"/>
      <c r="I1044" s="25"/>
      <c r="J1044" s="119"/>
    </row>
    <row r="1045" ht="22.5" customHeight="1">
      <c r="A1045" s="116"/>
      <c r="B1045" s="71"/>
      <c r="C1045" s="71"/>
      <c r="D1045" s="26"/>
      <c r="E1045" s="117"/>
      <c r="F1045" s="71"/>
      <c r="G1045" s="118"/>
      <c r="H1045" s="25"/>
      <c r="I1045" s="25"/>
      <c r="J1045" s="119"/>
    </row>
    <row r="1046" ht="22.5" customHeight="1">
      <c r="A1046" s="116"/>
      <c r="B1046" s="71"/>
      <c r="C1046" s="71"/>
      <c r="D1046" s="26"/>
      <c r="E1046" s="117"/>
      <c r="F1046" s="71"/>
      <c r="G1046" s="118"/>
      <c r="H1046" s="25"/>
      <c r="I1046" s="25"/>
      <c r="J1046" s="119"/>
    </row>
    <row r="1047" ht="22.5" customHeight="1">
      <c r="A1047" s="116"/>
      <c r="B1047" s="71"/>
      <c r="C1047" s="71"/>
      <c r="D1047" s="26"/>
      <c r="E1047" s="117"/>
      <c r="F1047" s="71"/>
      <c r="G1047" s="118"/>
      <c r="H1047" s="25"/>
      <c r="I1047" s="25"/>
      <c r="J1047" s="119"/>
    </row>
    <row r="1048" ht="22.5" customHeight="1">
      <c r="A1048" s="116"/>
      <c r="B1048" s="71"/>
      <c r="C1048" s="71"/>
      <c r="D1048" s="26"/>
      <c r="E1048" s="117"/>
      <c r="F1048" s="71"/>
      <c r="G1048" s="118"/>
      <c r="H1048" s="25"/>
      <c r="I1048" s="25"/>
      <c r="J1048" s="119"/>
    </row>
    <row r="1049" ht="22.5" customHeight="1">
      <c r="A1049" s="116"/>
      <c r="B1049" s="71"/>
      <c r="C1049" s="71"/>
      <c r="D1049" s="26"/>
      <c r="E1049" s="117"/>
      <c r="F1049" s="71"/>
      <c r="G1049" s="118"/>
      <c r="H1049" s="25"/>
      <c r="I1049" s="25"/>
      <c r="J1049" s="119"/>
    </row>
    <row r="1050" ht="22.5" customHeight="1">
      <c r="A1050" s="116"/>
      <c r="B1050" s="71"/>
      <c r="C1050" s="71"/>
      <c r="D1050" s="26"/>
      <c r="E1050" s="117"/>
      <c r="F1050" s="71"/>
      <c r="G1050" s="118"/>
      <c r="H1050" s="25"/>
      <c r="I1050" s="25"/>
      <c r="J1050" s="119"/>
    </row>
    <row r="1051" ht="22.5" customHeight="1">
      <c r="A1051" s="116"/>
      <c r="B1051" s="71"/>
      <c r="C1051" s="71"/>
      <c r="D1051" s="26"/>
      <c r="E1051" s="117"/>
      <c r="F1051" s="71"/>
      <c r="G1051" s="118"/>
      <c r="H1051" s="25"/>
      <c r="I1051" s="25"/>
      <c r="J1051" s="119"/>
    </row>
    <row r="1052" ht="22.5" customHeight="1">
      <c r="A1052" s="116"/>
      <c r="B1052" s="71"/>
      <c r="C1052" s="71"/>
      <c r="D1052" s="26"/>
      <c r="E1052" s="117"/>
      <c r="F1052" s="71"/>
      <c r="G1052" s="118"/>
      <c r="H1052" s="25"/>
      <c r="I1052" s="25"/>
      <c r="J1052" s="119"/>
    </row>
    <row r="1053" ht="22.5" customHeight="1">
      <c r="A1053" s="116"/>
      <c r="B1053" s="71"/>
      <c r="C1053" s="71"/>
      <c r="D1053" s="26"/>
      <c r="E1053" s="117"/>
      <c r="F1053" s="71"/>
      <c r="G1053" s="118"/>
      <c r="H1053" s="25"/>
      <c r="I1053" s="25"/>
      <c r="J1053" s="119"/>
    </row>
    <row r="1054" ht="22.5" customHeight="1">
      <c r="A1054" s="116"/>
      <c r="B1054" s="71"/>
      <c r="C1054" s="71"/>
      <c r="D1054" s="26"/>
      <c r="E1054" s="117"/>
      <c r="F1054" s="71"/>
      <c r="G1054" s="118"/>
      <c r="H1054" s="25"/>
      <c r="I1054" s="25"/>
      <c r="J1054" s="119"/>
    </row>
    <row r="1055" ht="22.5" customHeight="1">
      <c r="A1055" s="116"/>
      <c r="B1055" s="71"/>
      <c r="C1055" s="71"/>
      <c r="D1055" s="26"/>
      <c r="E1055" s="117"/>
      <c r="F1055" s="71"/>
      <c r="G1055" s="118"/>
      <c r="H1055" s="25"/>
      <c r="I1055" s="25"/>
      <c r="J1055" s="119"/>
    </row>
    <row r="1056" ht="22.5" customHeight="1">
      <c r="A1056" s="116"/>
      <c r="B1056" s="71"/>
      <c r="C1056" s="71"/>
      <c r="D1056" s="26"/>
      <c r="E1056" s="117"/>
      <c r="F1056" s="71"/>
      <c r="G1056" s="118"/>
      <c r="H1056" s="25"/>
      <c r="I1056" s="25"/>
      <c r="J1056" s="119"/>
    </row>
    <row r="1057" ht="22.5" customHeight="1">
      <c r="A1057" s="116"/>
      <c r="B1057" s="71"/>
      <c r="C1057" s="71"/>
      <c r="D1057" s="26"/>
      <c r="E1057" s="117"/>
      <c r="F1057" s="71"/>
      <c r="G1057" s="118"/>
      <c r="H1057" s="25"/>
      <c r="I1057" s="25"/>
      <c r="J1057" s="119"/>
    </row>
    <row r="1058" ht="22.5" customHeight="1">
      <c r="A1058" s="116"/>
      <c r="B1058" s="71"/>
      <c r="C1058" s="71"/>
      <c r="D1058" s="26"/>
      <c r="E1058" s="117"/>
      <c r="F1058" s="71"/>
      <c r="G1058" s="118"/>
      <c r="H1058" s="25"/>
      <c r="I1058" s="25"/>
      <c r="J1058" s="119"/>
    </row>
    <row r="1059" ht="22.5" customHeight="1">
      <c r="A1059" s="116"/>
      <c r="B1059" s="71"/>
      <c r="C1059" s="71"/>
      <c r="D1059" s="26"/>
      <c r="E1059" s="117"/>
      <c r="F1059" s="71"/>
      <c r="G1059" s="118"/>
      <c r="H1059" s="25"/>
      <c r="I1059" s="25"/>
      <c r="J1059" s="119"/>
    </row>
    <row r="1060" ht="22.5" customHeight="1">
      <c r="A1060" s="116"/>
      <c r="B1060" s="71"/>
      <c r="C1060" s="71"/>
      <c r="D1060" s="26"/>
      <c r="E1060" s="117"/>
      <c r="F1060" s="71"/>
      <c r="G1060" s="118"/>
      <c r="H1060" s="25"/>
      <c r="I1060" s="25"/>
      <c r="J1060" s="119"/>
    </row>
    <row r="1061" ht="22.5" customHeight="1">
      <c r="A1061" s="116"/>
      <c r="B1061" s="71"/>
      <c r="C1061" s="71"/>
      <c r="D1061" s="26"/>
      <c r="E1061" s="117"/>
      <c r="F1061" s="71"/>
      <c r="G1061" s="118"/>
      <c r="H1061" s="25"/>
      <c r="I1061" s="25"/>
      <c r="J1061" s="119"/>
    </row>
    <row r="1062" ht="22.5" customHeight="1">
      <c r="A1062" s="116"/>
      <c r="B1062" s="71"/>
      <c r="C1062" s="71"/>
      <c r="D1062" s="26"/>
      <c r="E1062" s="117"/>
      <c r="F1062" s="71"/>
      <c r="G1062" s="118"/>
      <c r="H1062" s="25"/>
      <c r="I1062" s="25"/>
      <c r="J1062" s="119"/>
    </row>
    <row r="1063" ht="22.5" customHeight="1">
      <c r="A1063" s="116"/>
      <c r="B1063" s="71"/>
      <c r="C1063" s="71"/>
      <c r="D1063" s="26"/>
      <c r="E1063" s="117"/>
      <c r="F1063" s="71"/>
      <c r="G1063" s="118"/>
      <c r="H1063" s="25"/>
      <c r="I1063" s="25"/>
      <c r="J1063" s="119"/>
    </row>
    <row r="1064" ht="22.5" customHeight="1">
      <c r="A1064" s="116"/>
      <c r="B1064" s="71"/>
      <c r="C1064" s="71"/>
      <c r="D1064" s="26"/>
      <c r="E1064" s="117"/>
      <c r="F1064" s="71"/>
      <c r="G1064" s="118"/>
      <c r="H1064" s="25"/>
      <c r="I1064" s="25"/>
      <c r="J1064" s="119"/>
    </row>
    <row r="1065" ht="22.5" customHeight="1">
      <c r="A1065" s="116"/>
      <c r="B1065" s="71"/>
      <c r="C1065" s="71"/>
      <c r="D1065" s="26"/>
      <c r="E1065" s="117"/>
      <c r="F1065" s="71"/>
      <c r="G1065" s="118"/>
      <c r="H1065" s="25"/>
      <c r="I1065" s="25"/>
      <c r="J1065" s="119"/>
    </row>
    <row r="1066" ht="22.5" customHeight="1">
      <c r="A1066" s="116"/>
      <c r="B1066" s="71"/>
      <c r="C1066" s="71"/>
      <c r="D1066" s="26"/>
      <c r="E1066" s="117"/>
      <c r="F1066" s="71"/>
      <c r="G1066" s="118"/>
      <c r="H1066" s="25"/>
      <c r="I1066" s="25"/>
      <c r="J1066" s="119"/>
    </row>
    <row r="1067" ht="22.5" customHeight="1">
      <c r="A1067" s="116"/>
      <c r="B1067" s="71"/>
      <c r="C1067" s="71"/>
      <c r="D1067" s="26"/>
      <c r="E1067" s="117"/>
      <c r="F1067" s="71"/>
      <c r="G1067" s="118"/>
      <c r="H1067" s="25"/>
      <c r="I1067" s="25"/>
      <c r="J1067" s="119"/>
    </row>
    <row r="1068" ht="22.5" customHeight="1">
      <c r="A1068" s="116"/>
      <c r="B1068" s="71"/>
      <c r="C1068" s="71"/>
      <c r="D1068" s="26"/>
      <c r="E1068" s="117"/>
      <c r="F1068" s="71"/>
      <c r="G1068" s="118"/>
      <c r="H1068" s="25"/>
      <c r="I1068" s="25"/>
      <c r="J1068" s="119"/>
    </row>
    <row r="1069" ht="22.5" customHeight="1">
      <c r="A1069" s="116"/>
      <c r="B1069" s="71"/>
      <c r="C1069" s="71"/>
      <c r="D1069" s="26"/>
      <c r="E1069" s="117"/>
      <c r="F1069" s="71"/>
      <c r="G1069" s="118"/>
      <c r="H1069" s="25"/>
      <c r="I1069" s="25"/>
      <c r="J1069" s="119"/>
    </row>
    <row r="1070" ht="22.5" customHeight="1">
      <c r="A1070" s="116"/>
      <c r="B1070" s="71"/>
      <c r="C1070" s="71"/>
      <c r="D1070" s="26"/>
      <c r="E1070" s="117"/>
      <c r="F1070" s="71"/>
      <c r="G1070" s="118"/>
      <c r="H1070" s="25"/>
      <c r="I1070" s="25"/>
      <c r="J1070" s="119"/>
    </row>
    <row r="1071" ht="22.5" customHeight="1">
      <c r="A1071" s="116"/>
      <c r="B1071" s="71"/>
      <c r="C1071" s="71"/>
      <c r="D1071" s="26"/>
      <c r="E1071" s="117"/>
      <c r="F1071" s="71"/>
      <c r="G1071" s="118"/>
      <c r="H1071" s="25"/>
      <c r="I1071" s="25"/>
      <c r="J1071" s="119"/>
    </row>
    <row r="1072" ht="22.5" customHeight="1">
      <c r="A1072" s="116"/>
      <c r="B1072" s="71"/>
      <c r="C1072" s="71"/>
      <c r="D1072" s="26"/>
      <c r="E1072" s="117"/>
      <c r="F1072" s="71"/>
      <c r="G1072" s="118"/>
      <c r="H1072" s="25"/>
      <c r="I1072" s="25"/>
      <c r="J1072" s="119"/>
    </row>
    <row r="1073" ht="22.5" customHeight="1">
      <c r="A1073" s="116"/>
      <c r="B1073" s="71"/>
      <c r="C1073" s="71"/>
      <c r="D1073" s="26"/>
      <c r="E1073" s="117"/>
      <c r="F1073" s="71"/>
      <c r="G1073" s="118"/>
      <c r="H1073" s="25"/>
      <c r="I1073" s="25"/>
      <c r="J1073" s="119"/>
    </row>
    <row r="1074" ht="22.5" customHeight="1">
      <c r="A1074" s="116"/>
      <c r="B1074" s="71"/>
      <c r="C1074" s="71"/>
      <c r="D1074" s="26"/>
      <c r="E1074" s="117"/>
      <c r="F1074" s="71"/>
      <c r="G1074" s="118"/>
      <c r="H1074" s="25"/>
      <c r="I1074" s="25"/>
      <c r="J1074" s="119"/>
    </row>
    <row r="1075" ht="22.5" customHeight="1">
      <c r="A1075" s="116"/>
      <c r="B1075" s="71"/>
      <c r="C1075" s="71"/>
      <c r="D1075" s="26"/>
      <c r="E1075" s="117"/>
      <c r="F1075" s="71"/>
      <c r="G1075" s="118"/>
      <c r="H1075" s="25"/>
      <c r="I1075" s="25"/>
      <c r="J1075" s="119"/>
    </row>
    <row r="1076" ht="22.5" customHeight="1">
      <c r="A1076" s="116"/>
      <c r="B1076" s="71"/>
      <c r="C1076" s="71"/>
      <c r="D1076" s="26"/>
      <c r="E1076" s="117"/>
      <c r="F1076" s="71"/>
      <c r="G1076" s="118"/>
      <c r="H1076" s="25"/>
      <c r="I1076" s="25"/>
      <c r="J1076" s="119"/>
    </row>
    <row r="1077" ht="22.5" customHeight="1">
      <c r="A1077" s="116"/>
      <c r="B1077" s="71"/>
      <c r="C1077" s="71"/>
      <c r="D1077" s="26"/>
      <c r="E1077" s="117"/>
      <c r="F1077" s="71"/>
      <c r="G1077" s="118"/>
      <c r="H1077" s="25"/>
      <c r="I1077" s="25"/>
      <c r="J1077" s="119"/>
    </row>
    <row r="1078" ht="22.5" customHeight="1">
      <c r="A1078" s="116"/>
      <c r="B1078" s="71"/>
      <c r="C1078" s="71"/>
      <c r="D1078" s="26"/>
      <c r="E1078" s="117"/>
      <c r="F1078" s="71"/>
      <c r="G1078" s="118"/>
      <c r="H1078" s="25"/>
      <c r="I1078" s="25"/>
      <c r="J1078" s="119"/>
    </row>
    <row r="1079" ht="22.5" customHeight="1">
      <c r="A1079" s="116"/>
      <c r="B1079" s="71"/>
      <c r="C1079" s="71"/>
      <c r="D1079" s="26"/>
      <c r="E1079" s="117"/>
      <c r="F1079" s="71"/>
      <c r="G1079" s="118"/>
      <c r="H1079" s="25"/>
      <c r="I1079" s="25"/>
      <c r="J1079" s="119"/>
    </row>
    <row r="1080" ht="22.5" customHeight="1">
      <c r="A1080" s="116"/>
      <c r="B1080" s="71"/>
      <c r="C1080" s="71"/>
      <c r="D1080" s="26"/>
      <c r="E1080" s="117"/>
      <c r="F1080" s="71"/>
      <c r="G1080" s="118"/>
      <c r="H1080" s="25"/>
      <c r="I1080" s="25"/>
      <c r="J1080" s="119"/>
    </row>
    <row r="1081" ht="22.5" customHeight="1">
      <c r="A1081" s="116"/>
      <c r="B1081" s="71"/>
      <c r="C1081" s="71"/>
      <c r="D1081" s="26"/>
      <c r="E1081" s="117"/>
      <c r="F1081" s="71"/>
      <c r="G1081" s="118"/>
      <c r="H1081" s="25"/>
      <c r="I1081" s="25"/>
      <c r="J1081" s="119"/>
    </row>
    <row r="1082" ht="22.5" customHeight="1">
      <c r="A1082" s="116"/>
      <c r="B1082" s="71"/>
      <c r="C1082" s="71"/>
      <c r="D1082" s="26"/>
      <c r="E1082" s="117"/>
      <c r="F1082" s="71"/>
      <c r="G1082" s="118"/>
      <c r="H1082" s="25"/>
      <c r="I1082" s="25"/>
      <c r="J1082" s="119"/>
    </row>
    <row r="1083" ht="22.5" customHeight="1">
      <c r="A1083" s="116"/>
      <c r="B1083" s="71"/>
      <c r="C1083" s="71"/>
      <c r="D1083" s="26"/>
      <c r="E1083" s="117"/>
      <c r="F1083" s="71"/>
      <c r="G1083" s="118"/>
      <c r="H1083" s="25"/>
      <c r="I1083" s="25"/>
      <c r="J1083" s="119"/>
    </row>
    <row r="1084" ht="22.5" customHeight="1">
      <c r="A1084" s="116"/>
      <c r="B1084" s="71"/>
      <c r="C1084" s="71"/>
      <c r="D1084" s="26"/>
      <c r="E1084" s="117"/>
      <c r="F1084" s="71"/>
      <c r="G1084" s="118"/>
      <c r="H1084" s="25"/>
      <c r="I1084" s="25"/>
      <c r="J1084" s="119"/>
    </row>
    <row r="1085" ht="22.5" customHeight="1">
      <c r="A1085" s="116"/>
      <c r="B1085" s="71"/>
      <c r="C1085" s="71"/>
      <c r="D1085" s="26"/>
      <c r="E1085" s="117"/>
      <c r="F1085" s="71"/>
      <c r="G1085" s="118"/>
      <c r="H1085" s="25"/>
      <c r="I1085" s="25"/>
      <c r="J1085" s="119"/>
    </row>
    <row r="1086" ht="22.5" customHeight="1">
      <c r="A1086" s="116"/>
      <c r="B1086" s="71"/>
      <c r="C1086" s="71"/>
      <c r="D1086" s="26"/>
      <c r="E1086" s="117"/>
      <c r="F1086" s="71"/>
      <c r="G1086" s="118"/>
      <c r="H1086" s="25"/>
      <c r="I1086" s="25"/>
      <c r="J1086" s="119"/>
    </row>
    <row r="1087" ht="22.5" customHeight="1">
      <c r="A1087" s="116"/>
      <c r="B1087" s="71"/>
      <c r="C1087" s="71"/>
      <c r="D1087" s="26"/>
      <c r="E1087" s="117"/>
      <c r="F1087" s="71"/>
      <c r="G1087" s="118"/>
      <c r="H1087" s="25"/>
      <c r="I1087" s="25"/>
      <c r="J1087" s="119"/>
    </row>
    <row r="1088" ht="22.5" customHeight="1">
      <c r="A1088" s="116"/>
      <c r="B1088" s="71"/>
      <c r="C1088" s="71"/>
      <c r="D1088" s="26"/>
      <c r="E1088" s="117"/>
      <c r="F1088" s="71"/>
      <c r="G1088" s="118"/>
      <c r="H1088" s="25"/>
      <c r="I1088" s="25"/>
      <c r="J1088" s="119"/>
    </row>
    <row r="1089" ht="22.5" customHeight="1">
      <c r="A1089" s="116"/>
      <c r="B1089" s="71"/>
      <c r="C1089" s="71"/>
      <c r="D1089" s="26"/>
      <c r="E1089" s="117"/>
      <c r="F1089" s="71"/>
      <c r="G1089" s="118"/>
      <c r="H1089" s="25"/>
      <c r="I1089" s="25"/>
      <c r="J1089" s="119"/>
    </row>
    <row r="1090" ht="22.5" customHeight="1">
      <c r="A1090" s="116"/>
      <c r="B1090" s="71"/>
      <c r="C1090" s="71"/>
      <c r="D1090" s="26"/>
      <c r="E1090" s="117"/>
      <c r="F1090" s="71"/>
      <c r="G1090" s="118"/>
      <c r="H1090" s="25"/>
      <c r="I1090" s="25"/>
      <c r="J1090" s="119"/>
    </row>
    <row r="1091" ht="22.5" customHeight="1">
      <c r="A1091" s="116"/>
      <c r="B1091" s="71"/>
      <c r="C1091" s="71"/>
      <c r="D1091" s="26"/>
      <c r="E1091" s="117"/>
      <c r="F1091" s="71"/>
      <c r="G1091" s="118"/>
      <c r="H1091" s="25"/>
      <c r="I1091" s="25"/>
      <c r="J1091" s="119"/>
    </row>
    <row r="1092" ht="22.5" customHeight="1">
      <c r="A1092" s="116"/>
      <c r="B1092" s="71"/>
      <c r="C1092" s="71"/>
      <c r="D1092" s="26"/>
      <c r="E1092" s="117"/>
      <c r="F1092" s="71"/>
      <c r="G1092" s="118"/>
      <c r="H1092" s="25"/>
      <c r="I1092" s="25"/>
      <c r="J1092" s="119"/>
    </row>
    <row r="1093" ht="22.5" customHeight="1">
      <c r="A1093" s="116"/>
      <c r="B1093" s="71"/>
      <c r="C1093" s="71"/>
      <c r="D1093" s="26"/>
      <c r="E1093" s="117"/>
      <c r="F1093" s="71"/>
      <c r="G1093" s="118"/>
      <c r="H1093" s="25"/>
      <c r="I1093" s="25"/>
      <c r="J1093" s="119"/>
    </row>
    <row r="1094" ht="22.5" customHeight="1">
      <c r="A1094" s="116"/>
      <c r="B1094" s="71"/>
      <c r="C1094" s="71"/>
      <c r="D1094" s="26"/>
      <c r="E1094" s="117"/>
      <c r="F1094" s="71"/>
      <c r="G1094" s="118"/>
      <c r="H1094" s="25"/>
      <c r="I1094" s="25"/>
      <c r="J1094" s="119"/>
    </row>
    <row r="1095" ht="22.5" customHeight="1">
      <c r="A1095" s="116"/>
      <c r="B1095" s="71"/>
      <c r="C1095" s="71"/>
      <c r="D1095" s="26"/>
      <c r="E1095" s="117"/>
      <c r="F1095" s="71"/>
      <c r="G1095" s="118"/>
      <c r="H1095" s="25"/>
      <c r="I1095" s="25"/>
      <c r="J1095" s="119"/>
    </row>
    <row r="1096" ht="22.5" customHeight="1">
      <c r="A1096" s="116"/>
      <c r="B1096" s="71"/>
      <c r="C1096" s="71"/>
      <c r="D1096" s="26"/>
      <c r="E1096" s="117"/>
      <c r="F1096" s="71"/>
      <c r="G1096" s="118"/>
      <c r="H1096" s="25"/>
      <c r="I1096" s="25"/>
      <c r="J1096" s="119"/>
    </row>
    <row r="1097" ht="22.5" customHeight="1">
      <c r="A1097" s="116"/>
      <c r="B1097" s="71"/>
      <c r="C1097" s="71"/>
      <c r="D1097" s="26"/>
      <c r="E1097" s="117"/>
      <c r="F1097" s="71"/>
      <c r="G1097" s="118"/>
      <c r="H1097" s="25"/>
      <c r="I1097" s="25"/>
      <c r="J1097" s="119"/>
    </row>
    <row r="1098" ht="22.5" customHeight="1">
      <c r="A1098" s="116"/>
      <c r="B1098" s="71"/>
      <c r="C1098" s="71"/>
      <c r="D1098" s="26"/>
      <c r="E1098" s="117"/>
      <c r="F1098" s="71"/>
      <c r="G1098" s="118"/>
      <c r="H1098" s="25"/>
      <c r="I1098" s="25"/>
      <c r="J1098" s="119"/>
    </row>
    <row r="1099" ht="22.5" customHeight="1">
      <c r="A1099" s="116"/>
      <c r="B1099" s="71"/>
      <c r="C1099" s="71"/>
      <c r="D1099" s="26"/>
      <c r="E1099" s="117"/>
      <c r="F1099" s="71"/>
      <c r="G1099" s="118"/>
      <c r="H1099" s="25"/>
      <c r="I1099" s="25"/>
      <c r="J1099" s="119"/>
    </row>
    <row r="1100" ht="22.5" customHeight="1">
      <c r="A1100" s="116"/>
      <c r="B1100" s="71"/>
      <c r="C1100" s="71"/>
      <c r="D1100" s="26"/>
      <c r="E1100" s="117"/>
      <c r="F1100" s="71"/>
      <c r="G1100" s="118"/>
      <c r="H1100" s="25"/>
      <c r="I1100" s="25"/>
      <c r="J1100" s="119"/>
    </row>
    <row r="1101" ht="22.5" customHeight="1">
      <c r="A1101" s="116"/>
      <c r="B1101" s="71"/>
      <c r="C1101" s="71"/>
      <c r="D1101" s="26"/>
      <c r="E1101" s="117"/>
      <c r="F1101" s="71"/>
      <c r="G1101" s="118"/>
      <c r="H1101" s="25"/>
      <c r="I1101" s="25"/>
      <c r="J1101" s="119"/>
    </row>
    <row r="1102" ht="22.5" customHeight="1">
      <c r="A1102" s="116"/>
      <c r="B1102" s="71"/>
      <c r="C1102" s="71"/>
      <c r="D1102" s="26"/>
      <c r="E1102" s="117"/>
      <c r="F1102" s="71"/>
      <c r="G1102" s="118"/>
      <c r="H1102" s="25"/>
      <c r="I1102" s="25"/>
      <c r="J1102" s="119"/>
    </row>
  </sheetData>
  <dataValidations>
    <dataValidation type="custom" allowBlank="1" showDropDown="1" sqref="A2:A1102">
      <formula1>OR(NOT(ISERROR(DATEVALUE(A2))), AND(ISNUMBER(A2), LEFT(CELL("format", A2))="D"))</formula1>
    </dataValidation>
    <dataValidation allowBlank="1" showDropDown="1" sqref="J2:J1102"/>
  </dataValidations>
  <hyperlinks>
    <hyperlink r:id="rId1" ref="I2"/>
    <hyperlink r:id="rId2" ref="I3"/>
    <hyperlink r:id="rId3" ref="I4"/>
    <hyperlink r:id="rId4" ref="I5"/>
    <hyperlink r:id="rId5" ref="I6"/>
    <hyperlink r:id="rId6" location="gid=0" ref="I7"/>
    <hyperlink r:id="rId7" location="gid=0" ref="I8"/>
    <hyperlink r:id="rId8" ref="I9"/>
    <hyperlink r:id="rId9" location="gid=0" ref="I12"/>
    <hyperlink r:id="rId10" ref="I19"/>
    <hyperlink r:id="rId11" ref="I20"/>
    <hyperlink r:id="rId12" ref="I21"/>
    <hyperlink r:id="rId13" ref="I22"/>
    <hyperlink r:id="rId14" ref="I23"/>
    <hyperlink r:id="rId15" ref="I24"/>
    <hyperlink r:id="rId16" ref="I25"/>
    <hyperlink r:id="rId17" ref="I26"/>
    <hyperlink r:id="rId18" ref="I27"/>
    <hyperlink r:id="rId19" ref="I28"/>
    <hyperlink r:id="rId20" ref="I29"/>
    <hyperlink r:id="rId21" ref="I30"/>
    <hyperlink r:id="rId22" ref="I31"/>
    <hyperlink r:id="rId23" ref="I32"/>
    <hyperlink r:id="rId24" ref="I33"/>
    <hyperlink r:id="rId25" ref="I34"/>
    <hyperlink r:id="rId26" ref="I38"/>
    <hyperlink r:id="rId27" ref="I39"/>
    <hyperlink r:id="rId28" ref="I40"/>
    <hyperlink r:id="rId29" ref="I41"/>
    <hyperlink r:id="rId30" ref="I43"/>
    <hyperlink r:id="rId31" ref="I44"/>
    <hyperlink r:id="rId32" ref="I45"/>
    <hyperlink r:id="rId33" ref="I46"/>
    <hyperlink r:id="rId34" ref="I47"/>
    <hyperlink r:id="rId35" ref="I48"/>
    <hyperlink r:id="rId36" ref="I49"/>
    <hyperlink r:id="rId37" ref="I50"/>
    <hyperlink r:id="rId38" ref="I51"/>
    <hyperlink r:id="rId39" ref="I52"/>
    <hyperlink r:id="rId40" ref="I53"/>
    <hyperlink r:id="rId41" ref="I54"/>
    <hyperlink r:id="rId42" ref="I56"/>
    <hyperlink r:id="rId43" ref="I57"/>
    <hyperlink r:id="rId44" ref="I58"/>
    <hyperlink r:id="rId45" ref="I59"/>
    <hyperlink r:id="rId46" ref="I60"/>
    <hyperlink r:id="rId47" ref="I61"/>
    <hyperlink r:id="rId48" ref="I62"/>
    <hyperlink r:id="rId49" ref="I63"/>
    <hyperlink r:id="rId50" ref="I64"/>
    <hyperlink r:id="rId51" ref="I65"/>
    <hyperlink r:id="rId52" ref="I66"/>
    <hyperlink r:id="rId53" ref="I67"/>
    <hyperlink r:id="rId54" ref="I68"/>
    <hyperlink r:id="rId55" ref="I69"/>
    <hyperlink r:id="rId56" ref="I70"/>
    <hyperlink r:id="rId57" ref="I71"/>
    <hyperlink r:id="rId58" ref="I72"/>
    <hyperlink r:id="rId59" ref="I73"/>
    <hyperlink r:id="rId60" ref="I74"/>
    <hyperlink r:id="rId61" ref="I75"/>
    <hyperlink r:id="rId62" ref="I76"/>
    <hyperlink r:id="rId63" ref="I77"/>
    <hyperlink r:id="rId64" ref="I78"/>
    <hyperlink r:id="rId65" ref="I79"/>
    <hyperlink r:id="rId66" ref="I80"/>
    <hyperlink r:id="rId67" ref="I81"/>
    <hyperlink r:id="rId68" ref="I82"/>
    <hyperlink r:id="rId69" ref="I83"/>
    <hyperlink r:id="rId70" ref="I84"/>
    <hyperlink r:id="rId71" ref="I86"/>
    <hyperlink r:id="rId72" ref="I87"/>
    <hyperlink r:id="rId73" ref="I88"/>
    <hyperlink r:id="rId74" ref="I89"/>
    <hyperlink r:id="rId75" ref="I90"/>
    <hyperlink r:id="rId76" ref="I91"/>
    <hyperlink r:id="rId77" ref="I92"/>
    <hyperlink r:id="rId78" ref="I93"/>
    <hyperlink r:id="rId79" ref="I94"/>
    <hyperlink r:id="rId80" ref="I95"/>
    <hyperlink r:id="rId81" ref="I96"/>
    <hyperlink r:id="rId82" ref="I97"/>
    <hyperlink r:id="rId83" ref="I98"/>
    <hyperlink r:id="rId84" ref="I99"/>
    <hyperlink r:id="rId85" ref="I100"/>
    <hyperlink r:id="rId86" ref="I101"/>
    <hyperlink r:id="rId87" ref="I102"/>
    <hyperlink r:id="rId88" ref="I103"/>
    <hyperlink r:id="rId89" ref="I104"/>
    <hyperlink r:id="rId90" ref="I108"/>
    <hyperlink r:id="rId91" ref="I109"/>
    <hyperlink r:id="rId92" ref="I110"/>
    <hyperlink r:id="rId93" ref="I111"/>
    <hyperlink r:id="rId94" ref="I112"/>
    <hyperlink r:id="rId95" ref="I113"/>
    <hyperlink r:id="rId96" ref="I114"/>
    <hyperlink r:id="rId97" ref="I115"/>
    <hyperlink r:id="rId98" ref="I126"/>
    <hyperlink r:id="rId99" ref="I127"/>
    <hyperlink r:id="rId100" ref="I128"/>
    <hyperlink r:id="rId101" ref="I129"/>
    <hyperlink r:id="rId102" ref="I130"/>
    <hyperlink r:id="rId103" ref="I131"/>
    <hyperlink r:id="rId104" ref="I132"/>
    <hyperlink r:id="rId105" ref="I133"/>
  </hyperlinks>
  <drawing r:id="rId106"/>
  <tableParts count="1">
    <tablePart r:id="rId10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75"/>
    <col customWidth="1" min="2" max="2" width="27.88"/>
    <col customWidth="1" min="3" max="6" width="26.38"/>
    <col customWidth="1" min="7" max="7" width="29.25"/>
    <col customWidth="1" min="8" max="8" width="68.38"/>
  </cols>
  <sheetData>
    <row r="1" ht="65.25" customHeight="1">
      <c r="A1" s="1" t="s">
        <v>514</v>
      </c>
    </row>
    <row r="2" ht="22.5" customHeight="1">
      <c r="A2" s="2"/>
      <c r="B2" s="2"/>
      <c r="C2" s="2"/>
      <c r="D2" s="2"/>
      <c r="E2" s="2"/>
      <c r="F2" s="2"/>
      <c r="G2" s="2"/>
      <c r="H2" s="2"/>
    </row>
    <row r="3" ht="42.75" customHeight="1">
      <c r="A3" s="3" t="s">
        <v>1</v>
      </c>
      <c r="B3" s="3" t="s">
        <v>2</v>
      </c>
      <c r="C3" s="3" t="s">
        <v>3</v>
      </c>
      <c r="D3" s="3" t="s">
        <v>4</v>
      </c>
      <c r="E3" s="3" t="s">
        <v>5</v>
      </c>
      <c r="F3" s="3" t="s">
        <v>6</v>
      </c>
      <c r="G3" s="3" t="s">
        <v>7</v>
      </c>
      <c r="H3" s="3" t="s">
        <v>8</v>
      </c>
    </row>
    <row r="4" ht="22.5" customHeight="1">
      <c r="A4" s="4" t="s">
        <v>515</v>
      </c>
      <c r="B4" s="5">
        <v>45778.0</v>
      </c>
      <c r="C4" s="11" t="s">
        <v>19</v>
      </c>
      <c r="D4" s="6" t="s">
        <v>19</v>
      </c>
      <c r="E4" s="11" t="s">
        <v>19</v>
      </c>
      <c r="F4" s="11" t="s">
        <v>19</v>
      </c>
      <c r="G4" s="6" t="s">
        <v>19</v>
      </c>
      <c r="H4" s="7"/>
    </row>
    <row r="5" ht="22.5" customHeight="1">
      <c r="A5" s="4" t="s">
        <v>515</v>
      </c>
      <c r="B5" s="5">
        <v>45779.0</v>
      </c>
      <c r="C5" s="11" t="s">
        <v>17</v>
      </c>
      <c r="D5" s="11" t="s">
        <v>17</v>
      </c>
      <c r="E5" s="6" t="s">
        <v>516</v>
      </c>
      <c r="F5" s="6" t="s">
        <v>517</v>
      </c>
      <c r="G5" s="11" t="s">
        <v>17</v>
      </c>
      <c r="H5" s="7"/>
    </row>
    <row r="6" ht="22.5" customHeight="1">
      <c r="A6" s="4" t="s">
        <v>9</v>
      </c>
      <c r="B6" s="5">
        <v>45782.0</v>
      </c>
      <c r="C6" s="11" t="s">
        <v>17</v>
      </c>
      <c r="D6" s="11" t="s">
        <v>17</v>
      </c>
      <c r="E6" s="12" t="s">
        <v>12</v>
      </c>
      <c r="F6" s="6" t="s">
        <v>517</v>
      </c>
      <c r="G6" s="11" t="s">
        <v>17</v>
      </c>
      <c r="H6" s="7"/>
    </row>
    <row r="7" ht="22.5" customHeight="1">
      <c r="A7" s="4" t="s">
        <v>9</v>
      </c>
      <c r="B7" s="5">
        <v>45783.0</v>
      </c>
      <c r="C7" s="11" t="s">
        <v>17</v>
      </c>
      <c r="D7" s="11" t="s">
        <v>17</v>
      </c>
      <c r="E7" s="12" t="s">
        <v>12</v>
      </c>
      <c r="F7" s="6" t="s">
        <v>517</v>
      </c>
      <c r="G7" s="11" t="s">
        <v>17</v>
      </c>
      <c r="H7" s="7"/>
    </row>
    <row r="8" ht="22.5" customHeight="1">
      <c r="A8" s="9" t="s">
        <v>9</v>
      </c>
      <c r="B8" s="10">
        <v>45784.0</v>
      </c>
      <c r="C8" s="11" t="s">
        <v>17</v>
      </c>
      <c r="D8" s="11" t="s">
        <v>17</v>
      </c>
      <c r="E8" s="12" t="s">
        <v>12</v>
      </c>
      <c r="F8" s="6" t="s">
        <v>517</v>
      </c>
      <c r="G8" s="11" t="s">
        <v>17</v>
      </c>
      <c r="H8" s="13"/>
    </row>
    <row r="9" ht="22.5" customHeight="1">
      <c r="A9" s="9" t="s">
        <v>9</v>
      </c>
      <c r="B9" s="10">
        <v>45785.0</v>
      </c>
      <c r="C9" s="11" t="s">
        <v>17</v>
      </c>
      <c r="D9" s="11" t="s">
        <v>17</v>
      </c>
      <c r="E9" s="12" t="s">
        <v>12</v>
      </c>
      <c r="F9" s="6" t="s">
        <v>517</v>
      </c>
      <c r="G9" s="11" t="s">
        <v>17</v>
      </c>
      <c r="H9" s="13"/>
    </row>
    <row r="10" ht="22.5" customHeight="1">
      <c r="A10" s="9" t="s">
        <v>9</v>
      </c>
      <c r="B10" s="10">
        <v>45786.0</v>
      </c>
      <c r="C10" s="11" t="s">
        <v>17</v>
      </c>
      <c r="D10" s="11" t="s">
        <v>17</v>
      </c>
      <c r="E10" s="12" t="s">
        <v>12</v>
      </c>
      <c r="F10" s="6" t="s">
        <v>518</v>
      </c>
      <c r="G10" s="11" t="s">
        <v>17</v>
      </c>
      <c r="H10" s="13"/>
    </row>
    <row r="11" ht="22.5" customHeight="1">
      <c r="A11" s="9" t="s">
        <v>16</v>
      </c>
      <c r="B11" s="10">
        <v>45789.0</v>
      </c>
      <c r="C11" s="11" t="s">
        <v>19</v>
      </c>
      <c r="D11" s="11" t="s">
        <v>19</v>
      </c>
      <c r="E11" s="11" t="s">
        <v>19</v>
      </c>
      <c r="F11" s="11" t="s">
        <v>19</v>
      </c>
      <c r="G11" s="11" t="s">
        <v>19</v>
      </c>
      <c r="H11" s="13"/>
    </row>
    <row r="12" ht="22.5" customHeight="1">
      <c r="A12" s="9" t="s">
        <v>16</v>
      </c>
      <c r="B12" s="10">
        <v>45790.0</v>
      </c>
      <c r="C12" s="11" t="s">
        <v>516</v>
      </c>
      <c r="D12" s="11" t="s">
        <v>17</v>
      </c>
      <c r="E12" s="11" t="s">
        <v>12</v>
      </c>
      <c r="F12" s="6" t="s">
        <v>517</v>
      </c>
      <c r="G12" s="11" t="s">
        <v>17</v>
      </c>
      <c r="H12" s="13"/>
    </row>
    <row r="13" ht="22.5" customHeight="1">
      <c r="A13" s="14" t="s">
        <v>16</v>
      </c>
      <c r="B13" s="5">
        <v>45791.0</v>
      </c>
      <c r="C13" s="11" t="s">
        <v>17</v>
      </c>
      <c r="D13" s="11" t="s">
        <v>17</v>
      </c>
      <c r="E13" s="12" t="s">
        <v>12</v>
      </c>
      <c r="F13" s="6" t="s">
        <v>517</v>
      </c>
      <c r="G13" s="11" t="s">
        <v>17</v>
      </c>
      <c r="H13" s="7"/>
    </row>
    <row r="14" ht="22.5" customHeight="1">
      <c r="A14" s="14" t="s">
        <v>16</v>
      </c>
      <c r="B14" s="5">
        <v>45792.0</v>
      </c>
      <c r="C14" s="11" t="s">
        <v>519</v>
      </c>
      <c r="D14" s="11" t="s">
        <v>17</v>
      </c>
      <c r="E14" s="12" t="s">
        <v>12</v>
      </c>
      <c r="F14" s="6" t="s">
        <v>517</v>
      </c>
      <c r="G14" s="11" t="s">
        <v>17</v>
      </c>
      <c r="H14" s="7"/>
    </row>
    <row r="15" ht="22.5" customHeight="1">
      <c r="A15" s="14" t="s">
        <v>16</v>
      </c>
      <c r="B15" s="5">
        <v>45793.0</v>
      </c>
      <c r="C15" s="11" t="s">
        <v>17</v>
      </c>
      <c r="D15" s="11" t="s">
        <v>17</v>
      </c>
      <c r="E15" s="12" t="s">
        <v>12</v>
      </c>
      <c r="F15" s="6" t="s">
        <v>517</v>
      </c>
      <c r="G15" s="11" t="s">
        <v>17</v>
      </c>
      <c r="H15" s="7"/>
    </row>
    <row r="16" ht="22.5" customHeight="1">
      <c r="A16" s="14" t="s">
        <v>20</v>
      </c>
      <c r="B16" s="5">
        <v>45796.0</v>
      </c>
      <c r="C16" s="11" t="s">
        <v>17</v>
      </c>
      <c r="D16" s="11" t="s">
        <v>17</v>
      </c>
      <c r="E16" s="12" t="s">
        <v>520</v>
      </c>
      <c r="F16" s="6" t="s">
        <v>517</v>
      </c>
      <c r="G16" s="11" t="s">
        <v>17</v>
      </c>
      <c r="H16" s="7"/>
    </row>
    <row r="17" ht="22.5" customHeight="1">
      <c r="A17" s="14" t="s">
        <v>20</v>
      </c>
      <c r="B17" s="5">
        <v>45797.0</v>
      </c>
      <c r="C17" s="11" t="s">
        <v>17</v>
      </c>
      <c r="D17" s="11" t="s">
        <v>17</v>
      </c>
      <c r="E17" s="12" t="s">
        <v>520</v>
      </c>
      <c r="F17" s="6" t="s">
        <v>517</v>
      </c>
      <c r="G17" s="11" t="s">
        <v>17</v>
      </c>
      <c r="H17" s="7"/>
    </row>
    <row r="18" ht="22.5" customHeight="1">
      <c r="A18" s="15" t="s">
        <v>20</v>
      </c>
      <c r="B18" s="10">
        <v>45798.0</v>
      </c>
      <c r="C18" s="11" t="s">
        <v>521</v>
      </c>
      <c r="D18" s="11" t="s">
        <v>17</v>
      </c>
      <c r="E18" s="12" t="s">
        <v>522</v>
      </c>
      <c r="F18" s="6" t="s">
        <v>517</v>
      </c>
      <c r="G18" s="11" t="s">
        <v>17</v>
      </c>
      <c r="H18" s="13"/>
    </row>
    <row r="19" ht="22.5" customHeight="1">
      <c r="A19" s="15" t="s">
        <v>20</v>
      </c>
      <c r="B19" s="10">
        <v>45799.0</v>
      </c>
      <c r="C19" s="11" t="s">
        <v>523</v>
      </c>
      <c r="D19" s="11" t="s">
        <v>17</v>
      </c>
      <c r="E19" s="12" t="s">
        <v>522</v>
      </c>
      <c r="F19" s="6" t="s">
        <v>524</v>
      </c>
      <c r="G19" s="11" t="s">
        <v>17</v>
      </c>
      <c r="H19" s="13"/>
    </row>
    <row r="20" ht="22.5" customHeight="1">
      <c r="A20" s="15" t="s">
        <v>20</v>
      </c>
      <c r="B20" s="10">
        <v>45800.0</v>
      </c>
      <c r="C20" s="11" t="s">
        <v>523</v>
      </c>
      <c r="D20" s="11" t="s">
        <v>17</v>
      </c>
      <c r="E20" s="12" t="s">
        <v>522</v>
      </c>
      <c r="F20" s="6" t="s">
        <v>517</v>
      </c>
      <c r="G20" s="11" t="s">
        <v>17</v>
      </c>
      <c r="H20" s="13"/>
    </row>
    <row r="21" ht="22.5" customHeight="1">
      <c r="A21" s="15" t="s">
        <v>21</v>
      </c>
      <c r="B21" s="10">
        <v>45803.0</v>
      </c>
      <c r="C21" s="11" t="s">
        <v>523</v>
      </c>
      <c r="D21" s="11" t="s">
        <v>17</v>
      </c>
      <c r="E21" s="12" t="s">
        <v>522</v>
      </c>
      <c r="F21" s="6" t="s">
        <v>517</v>
      </c>
      <c r="G21" s="11" t="s">
        <v>17</v>
      </c>
      <c r="H21" s="13"/>
    </row>
    <row r="22" ht="22.5" customHeight="1">
      <c r="A22" s="15" t="s">
        <v>21</v>
      </c>
      <c r="B22" s="10">
        <v>45804.0</v>
      </c>
      <c r="C22" s="11" t="s">
        <v>523</v>
      </c>
      <c r="D22" s="11" t="s">
        <v>17</v>
      </c>
      <c r="E22" s="12" t="s">
        <v>522</v>
      </c>
      <c r="F22" s="6" t="s">
        <v>517</v>
      </c>
      <c r="G22" s="11" t="s">
        <v>17</v>
      </c>
      <c r="H22" s="13"/>
    </row>
    <row r="23" ht="22.5" customHeight="1">
      <c r="A23" s="15" t="s">
        <v>21</v>
      </c>
      <c r="B23" s="10">
        <v>45805.0</v>
      </c>
      <c r="C23" s="11" t="s">
        <v>523</v>
      </c>
      <c r="D23" s="11" t="s">
        <v>17</v>
      </c>
      <c r="E23" s="12" t="s">
        <v>522</v>
      </c>
      <c r="F23" s="6" t="s">
        <v>525</v>
      </c>
      <c r="G23" s="11" t="s">
        <v>17</v>
      </c>
      <c r="H23" s="13"/>
    </row>
    <row r="24" ht="22.5" customHeight="1">
      <c r="A24" s="15" t="s">
        <v>21</v>
      </c>
      <c r="B24" s="10">
        <v>45806.0</v>
      </c>
      <c r="C24" s="11" t="s">
        <v>19</v>
      </c>
      <c r="D24" s="11" t="s">
        <v>19</v>
      </c>
      <c r="E24" s="11" t="s">
        <v>19</v>
      </c>
      <c r="F24" s="11" t="s">
        <v>19</v>
      </c>
      <c r="G24" s="11" t="s">
        <v>19</v>
      </c>
      <c r="H24" s="13"/>
    </row>
    <row r="25" ht="22.5" customHeight="1">
      <c r="A25" s="15" t="s">
        <v>21</v>
      </c>
      <c r="B25" s="10">
        <v>45807.0</v>
      </c>
      <c r="C25" s="11" t="s">
        <v>523</v>
      </c>
      <c r="D25" s="11" t="s">
        <v>17</v>
      </c>
      <c r="E25" s="12" t="s">
        <v>522</v>
      </c>
      <c r="F25" s="6" t="s">
        <v>86</v>
      </c>
      <c r="G25" s="11" t="s">
        <v>17</v>
      </c>
      <c r="H25" s="13"/>
    </row>
    <row r="26" ht="42.0" customHeight="1">
      <c r="A26" s="16" t="s">
        <v>24</v>
      </c>
      <c r="B26" s="17"/>
      <c r="C26" s="18">
        <f>COUNTIF(C4:C25, "KAIZEN") * 1 +
 COUNTIF(C4:C20, "*KAIZEN (0.5*") * 0.5 +
 COUNTIF(C4:C20, "*KAIZEN (0.25*") * 0.25 +
 COUNTIF(C4:C20, "*KAIZEN (0.75*") * 0.75</f>
        <v>11</v>
      </c>
      <c r="D26" s="18">
        <f t="shared" ref="D26:G26" si="1">COUNTIF(D4:D25, "KAIZEN") * 1 +
 COUNTIF(D4:D25, "*KAIZEN (0.5*") * 0.5 +
 COUNTIF(D4:D25, "*KAIZEN (0.25*") * 0.25 +
 COUNTIF(D4:D25, "*KAIZEN (0.75*") * 0.75</f>
        <v>19</v>
      </c>
      <c r="E26" s="18">
        <f t="shared" si="1"/>
        <v>0</v>
      </c>
      <c r="F26" s="18">
        <f t="shared" si="1"/>
        <v>0</v>
      </c>
      <c r="G26" s="18">
        <f t="shared" si="1"/>
        <v>19</v>
      </c>
      <c r="H26" s="19"/>
    </row>
    <row r="27" ht="22.5" customHeight="1">
      <c r="A27" s="20"/>
      <c r="B27" s="21"/>
      <c r="C27" s="22"/>
      <c r="D27" s="22"/>
      <c r="E27" s="19"/>
      <c r="F27" s="22"/>
      <c r="G27" s="22"/>
      <c r="H27" s="19"/>
    </row>
    <row r="28" ht="22.5" customHeight="1">
      <c r="A28" s="20"/>
      <c r="B28" s="21"/>
      <c r="C28" s="22"/>
      <c r="D28" s="22"/>
      <c r="E28" s="19"/>
      <c r="F28" s="22"/>
      <c r="G28" s="22"/>
      <c r="H28" s="19"/>
    </row>
    <row r="29" ht="22.5" customHeight="1">
      <c r="A29" s="20"/>
      <c r="B29" s="21"/>
      <c r="C29" s="22"/>
      <c r="D29" s="22"/>
      <c r="E29" s="19"/>
      <c r="F29" s="22"/>
      <c r="G29" s="22"/>
      <c r="H29" s="19"/>
    </row>
    <row r="30" ht="22.5" customHeight="1">
      <c r="A30" s="20"/>
      <c r="B30" s="21"/>
      <c r="C30" s="22"/>
      <c r="D30" s="22"/>
      <c r="E30" s="19"/>
      <c r="F30" s="22"/>
      <c r="G30" s="22"/>
      <c r="H30" s="19"/>
    </row>
    <row r="31" ht="22.5" customHeight="1">
      <c r="A31" s="20"/>
      <c r="B31" s="21"/>
      <c r="C31" s="22"/>
      <c r="D31" s="22"/>
      <c r="E31" s="19"/>
      <c r="F31" s="22"/>
      <c r="G31" s="22"/>
      <c r="H31" s="19"/>
    </row>
    <row r="32" ht="22.5" customHeight="1">
      <c r="A32" s="20"/>
      <c r="B32" s="21"/>
      <c r="C32" s="22"/>
      <c r="D32" s="22"/>
      <c r="E32" s="19"/>
      <c r="F32" s="22"/>
      <c r="G32" s="22"/>
      <c r="H32" s="19"/>
    </row>
    <row r="33" ht="22.5" customHeight="1">
      <c r="A33" s="20"/>
      <c r="B33" s="21"/>
      <c r="C33" s="22"/>
      <c r="D33" s="22"/>
      <c r="E33" s="19"/>
      <c r="F33" s="22"/>
      <c r="G33" s="22"/>
      <c r="H33" s="19"/>
    </row>
    <row r="34" ht="22.5" customHeight="1">
      <c r="A34" s="20"/>
      <c r="B34" s="21"/>
      <c r="C34" s="22"/>
      <c r="D34" s="22"/>
      <c r="E34" s="19"/>
      <c r="F34" s="22"/>
      <c r="G34" s="22"/>
      <c r="H34" s="19"/>
    </row>
    <row r="35" ht="22.5" customHeight="1">
      <c r="A35" s="20"/>
      <c r="B35" s="21"/>
      <c r="C35" s="22"/>
      <c r="D35" s="22"/>
      <c r="E35" s="19"/>
      <c r="F35" s="22"/>
      <c r="G35" s="22"/>
      <c r="H35" s="19"/>
    </row>
    <row r="36" ht="22.5" customHeight="1">
      <c r="A36" s="20"/>
      <c r="B36" s="21"/>
      <c r="C36" s="22"/>
      <c r="D36" s="22"/>
      <c r="E36" s="19"/>
      <c r="F36" s="22"/>
      <c r="G36" s="22"/>
      <c r="H36" s="19"/>
    </row>
    <row r="37" ht="22.5" customHeight="1">
      <c r="A37" s="20"/>
      <c r="B37" s="21"/>
      <c r="C37" s="22"/>
      <c r="D37" s="22"/>
      <c r="E37" s="19"/>
      <c r="F37" s="22"/>
      <c r="G37" s="22"/>
      <c r="H37" s="19"/>
    </row>
    <row r="38" ht="22.5" customHeight="1">
      <c r="A38" s="23"/>
      <c r="B38" s="24"/>
      <c r="C38" s="25"/>
      <c r="D38" s="25"/>
      <c r="E38" s="26"/>
      <c r="F38" s="25"/>
      <c r="G38" s="25"/>
      <c r="H38" s="26"/>
    </row>
  </sheetData>
  <mergeCells count="1">
    <mergeCell ref="A1:H1"/>
  </mergeCells>
  <dataValidations>
    <dataValidation type="custom" allowBlank="1" showDropDown="1" sqref="B4:B38">
      <formula1>OR(NOT(ISERROR(DATEVALUE(B4))), AND(ISNUMBER(B4), LEFT(CELL("format", B4))="D"))</formula1>
    </dataValidation>
    <dataValidation allowBlank="1" showDropDown="1" sqref="H4:H38"/>
    <dataValidation allowBlank="1" showDropDown="1" sqref="A4:A38"/>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3" width="12.5"/>
    <col customWidth="1" min="4" max="4" width="66.5"/>
    <col customWidth="1" min="5" max="5" width="18.75"/>
    <col customWidth="1" min="6" max="6" width="32.38"/>
    <col customWidth="1" min="7" max="7" width="32.63"/>
  </cols>
  <sheetData>
    <row r="1" ht="66.0" customHeight="1">
      <c r="A1" s="3" t="s">
        <v>2</v>
      </c>
      <c r="B1" s="27" t="s">
        <v>526</v>
      </c>
      <c r="C1" s="27" t="s">
        <v>527</v>
      </c>
      <c r="D1" s="27" t="s">
        <v>32</v>
      </c>
      <c r="E1" s="27" t="s">
        <v>33</v>
      </c>
      <c r="F1" s="27" t="s">
        <v>34</v>
      </c>
      <c r="G1" s="3" t="s">
        <v>8</v>
      </c>
      <c r="H1" s="120" t="s">
        <v>528</v>
      </c>
    </row>
    <row r="2" ht="48.0" customHeight="1">
      <c r="A2" s="5">
        <v>45856.0</v>
      </c>
      <c r="B2" s="28"/>
      <c r="C2" s="121">
        <v>8.0</v>
      </c>
      <c r="D2" s="6" t="s">
        <v>529</v>
      </c>
      <c r="E2" s="6"/>
      <c r="F2" s="8" t="s">
        <v>70</v>
      </c>
      <c r="G2" s="31"/>
      <c r="H2" s="122"/>
      <c r="J2" s="123" t="s">
        <v>530</v>
      </c>
    </row>
    <row r="3" ht="121.5" customHeight="1">
      <c r="A3" s="5">
        <v>45859.0</v>
      </c>
      <c r="B3" s="28">
        <v>4.0</v>
      </c>
      <c r="C3" s="124">
        <v>4.0</v>
      </c>
      <c r="D3" s="6" t="s">
        <v>531</v>
      </c>
      <c r="E3" s="8" t="s">
        <v>532</v>
      </c>
      <c r="F3" s="125" t="s">
        <v>533</v>
      </c>
      <c r="G3" s="29" t="s">
        <v>534</v>
      </c>
      <c r="H3" s="126"/>
    </row>
    <row r="4" ht="22.5" customHeight="1">
      <c r="A4" s="5">
        <v>45860.0</v>
      </c>
      <c r="B4" s="28">
        <v>4.0</v>
      </c>
      <c r="C4" s="28">
        <v>4.0</v>
      </c>
      <c r="D4" s="6" t="s">
        <v>535</v>
      </c>
      <c r="E4" s="8" t="s">
        <v>532</v>
      </c>
      <c r="F4" s="8" t="s">
        <v>536</v>
      </c>
      <c r="G4" s="31"/>
      <c r="H4" s="122"/>
    </row>
    <row r="5" ht="22.5" customHeight="1">
      <c r="A5" s="5">
        <v>45861.0</v>
      </c>
      <c r="B5" s="28">
        <v>4.0</v>
      </c>
      <c r="C5" s="28">
        <v>4.0</v>
      </c>
      <c r="D5" s="6" t="s">
        <v>537</v>
      </c>
      <c r="E5" s="127" t="s">
        <v>538</v>
      </c>
      <c r="F5" s="8"/>
      <c r="G5" s="31"/>
      <c r="H5" s="122"/>
    </row>
    <row r="6" ht="90.75" customHeight="1">
      <c r="A6" s="5">
        <v>45862.0</v>
      </c>
      <c r="B6" s="28">
        <v>4.0</v>
      </c>
      <c r="C6" s="28">
        <v>4.0</v>
      </c>
      <c r="D6" s="128" t="s">
        <v>539</v>
      </c>
      <c r="E6" s="127" t="s">
        <v>538</v>
      </c>
      <c r="F6" s="8" t="s">
        <v>540</v>
      </c>
      <c r="G6" s="36"/>
      <c r="H6" s="129"/>
    </row>
    <row r="7" ht="77.25" customHeight="1">
      <c r="A7" s="5">
        <v>45863.0</v>
      </c>
      <c r="B7" s="28">
        <v>4.0</v>
      </c>
      <c r="C7" s="28">
        <v>4.0</v>
      </c>
      <c r="D7" s="130" t="s">
        <v>541</v>
      </c>
      <c r="E7" s="128" t="s">
        <v>538</v>
      </c>
      <c r="F7" s="8" t="s">
        <v>542</v>
      </c>
      <c r="G7" s="36"/>
      <c r="H7" s="129"/>
    </row>
    <row r="8" ht="93.0" customHeight="1">
      <c r="A8" s="131">
        <v>45866.0</v>
      </c>
      <c r="B8" s="132">
        <v>4.0</v>
      </c>
      <c r="C8" s="132">
        <v>4.0</v>
      </c>
      <c r="D8" s="133" t="s">
        <v>543</v>
      </c>
      <c r="E8" s="128"/>
      <c r="F8" s="8"/>
      <c r="G8" s="36"/>
      <c r="H8" s="129"/>
    </row>
    <row r="9" ht="93.0" customHeight="1">
      <c r="A9" s="131">
        <v>45867.0</v>
      </c>
      <c r="B9" s="132">
        <v>4.0</v>
      </c>
      <c r="C9" s="132">
        <v>4.0</v>
      </c>
      <c r="D9" s="133" t="s">
        <v>544</v>
      </c>
      <c r="E9" s="128"/>
      <c r="F9" s="8"/>
      <c r="G9" s="36"/>
      <c r="H9" s="129"/>
    </row>
    <row r="10" ht="42.0" customHeight="1">
      <c r="A10" s="5">
        <v>45868.0</v>
      </c>
      <c r="B10" s="28">
        <v>4.0</v>
      </c>
      <c r="C10" s="28">
        <v>4.0</v>
      </c>
      <c r="D10" s="6" t="s">
        <v>545</v>
      </c>
      <c r="E10" s="8" t="s">
        <v>546</v>
      </c>
      <c r="F10" s="8"/>
      <c r="G10" s="36"/>
      <c r="H10" s="129"/>
    </row>
    <row r="11" ht="42.0" customHeight="1">
      <c r="A11" s="5">
        <v>45869.0</v>
      </c>
      <c r="B11" s="28">
        <v>0.0</v>
      </c>
      <c r="C11" s="28">
        <v>8.0</v>
      </c>
      <c r="D11" s="12" t="s">
        <v>547</v>
      </c>
      <c r="E11" s="11" t="s">
        <v>548</v>
      </c>
      <c r="F11" s="134" t="s">
        <v>549</v>
      </c>
      <c r="G11" s="31"/>
      <c r="H11" s="122"/>
    </row>
    <row r="12" ht="42.0" customHeight="1">
      <c r="A12" s="5">
        <v>45870.0</v>
      </c>
      <c r="B12" s="28">
        <v>8.0</v>
      </c>
      <c r="C12" s="28">
        <v>0.0</v>
      </c>
      <c r="D12" s="12" t="s">
        <v>550</v>
      </c>
      <c r="E12" s="11" t="s">
        <v>36</v>
      </c>
      <c r="F12" s="8"/>
      <c r="G12" s="31"/>
      <c r="H12" s="122"/>
    </row>
    <row r="13" ht="46.5" customHeight="1">
      <c r="A13" s="5">
        <v>45873.0</v>
      </c>
      <c r="B13" s="28">
        <v>4.0</v>
      </c>
      <c r="C13" s="28">
        <v>4.0</v>
      </c>
      <c r="D13" s="12" t="s">
        <v>551</v>
      </c>
      <c r="E13" s="11" t="s">
        <v>552</v>
      </c>
      <c r="F13" s="8"/>
      <c r="G13" s="31"/>
      <c r="H13" s="122"/>
    </row>
    <row r="14" ht="22.5" customHeight="1">
      <c r="A14" s="5">
        <v>45874.0</v>
      </c>
      <c r="B14" s="28">
        <v>4.0</v>
      </c>
      <c r="C14" s="28">
        <v>4.0</v>
      </c>
      <c r="D14" s="12" t="s">
        <v>553</v>
      </c>
      <c r="E14" s="11" t="s">
        <v>554</v>
      </c>
      <c r="F14" s="8"/>
      <c r="G14" s="31"/>
      <c r="H14" s="122"/>
    </row>
    <row r="15" ht="22.5" customHeight="1">
      <c r="A15" s="5">
        <v>45875.0</v>
      </c>
      <c r="B15" s="28">
        <v>8.0</v>
      </c>
      <c r="C15" s="28">
        <v>0.0</v>
      </c>
      <c r="D15" s="135" t="s">
        <v>555</v>
      </c>
      <c r="E15" s="11" t="s">
        <v>556</v>
      </c>
      <c r="F15" s="8"/>
      <c r="G15" s="31"/>
      <c r="H15" s="122"/>
    </row>
    <row r="16" ht="22.5" customHeight="1">
      <c r="A16" s="5">
        <v>45876.0</v>
      </c>
      <c r="B16" s="28">
        <v>8.0</v>
      </c>
      <c r="C16" s="28">
        <v>0.0</v>
      </c>
      <c r="D16" s="135" t="s">
        <v>557</v>
      </c>
      <c r="E16" s="11" t="s">
        <v>36</v>
      </c>
      <c r="F16" s="45"/>
      <c r="G16" s="36"/>
      <c r="H16" s="129"/>
    </row>
    <row r="17" ht="22.5" customHeight="1">
      <c r="A17" s="5">
        <v>45877.0</v>
      </c>
      <c r="B17" s="28">
        <v>4.0</v>
      </c>
      <c r="C17" s="28">
        <v>0.0</v>
      </c>
      <c r="D17" s="11" t="s">
        <v>558</v>
      </c>
      <c r="E17" s="11" t="s">
        <v>36</v>
      </c>
      <c r="F17" s="45"/>
      <c r="G17" s="36"/>
      <c r="H17" s="129"/>
    </row>
    <row r="18" ht="22.5" customHeight="1">
      <c r="A18" s="5">
        <v>45880.0</v>
      </c>
      <c r="B18" s="28"/>
      <c r="C18" s="28">
        <v>8.0</v>
      </c>
      <c r="D18" s="11" t="s">
        <v>559</v>
      </c>
      <c r="E18" s="11" t="s">
        <v>176</v>
      </c>
      <c r="F18" s="45"/>
      <c r="G18" s="37" t="s">
        <v>560</v>
      </c>
      <c r="H18" s="136"/>
    </row>
    <row r="19" ht="22.5" customHeight="1">
      <c r="A19" s="5">
        <v>45881.0</v>
      </c>
      <c r="B19" s="28">
        <v>4.0</v>
      </c>
      <c r="C19" s="28">
        <v>4.0</v>
      </c>
      <c r="D19" s="11" t="s">
        <v>561</v>
      </c>
      <c r="E19" s="8" t="s">
        <v>562</v>
      </c>
      <c r="F19" s="45"/>
      <c r="G19" s="36"/>
      <c r="H19" s="129"/>
    </row>
    <row r="20" ht="22.5" customHeight="1">
      <c r="A20" s="5">
        <v>45882.0</v>
      </c>
      <c r="B20" s="28">
        <v>0.0</v>
      </c>
      <c r="C20" s="28">
        <v>8.0</v>
      </c>
      <c r="D20" s="11" t="s">
        <v>563</v>
      </c>
      <c r="E20" s="11" t="s">
        <v>176</v>
      </c>
      <c r="F20" s="45"/>
      <c r="G20" s="36"/>
      <c r="H20" s="129"/>
    </row>
    <row r="21" ht="22.5" customHeight="1">
      <c r="A21" s="5">
        <v>45883.0</v>
      </c>
      <c r="B21" s="28">
        <v>4.0</v>
      </c>
      <c r="C21" s="28">
        <v>4.0</v>
      </c>
      <c r="D21" s="11" t="s">
        <v>564</v>
      </c>
      <c r="E21" s="11" t="s">
        <v>176</v>
      </c>
      <c r="F21" s="45"/>
      <c r="G21" s="36"/>
      <c r="H21" s="129"/>
    </row>
    <row r="22" ht="22.5" customHeight="1">
      <c r="A22" s="5">
        <v>45884.0</v>
      </c>
      <c r="B22" s="28">
        <v>0.0</v>
      </c>
      <c r="C22" s="28">
        <v>8.0</v>
      </c>
      <c r="D22" s="11" t="s">
        <v>565</v>
      </c>
      <c r="E22" s="11" t="s">
        <v>36</v>
      </c>
      <c r="F22" s="137"/>
      <c r="G22" s="36"/>
      <c r="H22" s="129"/>
    </row>
    <row r="23" ht="22.5" customHeight="1">
      <c r="A23" s="5">
        <v>45887.0</v>
      </c>
      <c r="B23" s="28">
        <v>0.0</v>
      </c>
      <c r="C23" s="28">
        <v>0.0</v>
      </c>
      <c r="D23" s="11" t="s">
        <v>566</v>
      </c>
      <c r="E23" s="22"/>
      <c r="F23" s="22"/>
      <c r="G23" s="53"/>
      <c r="H23" s="138"/>
    </row>
    <row r="24" ht="22.5" customHeight="1">
      <c r="A24" s="5">
        <v>45888.0</v>
      </c>
      <c r="B24" s="28">
        <v>4.0</v>
      </c>
      <c r="C24" s="28">
        <v>4.0</v>
      </c>
      <c r="D24" s="11" t="s">
        <v>564</v>
      </c>
      <c r="E24" s="64" t="s">
        <v>176</v>
      </c>
      <c r="F24" s="22"/>
      <c r="G24" s="53"/>
      <c r="H24" s="138"/>
    </row>
    <row r="25" ht="22.5" customHeight="1">
      <c r="A25" s="5">
        <v>45889.0</v>
      </c>
      <c r="B25" s="28">
        <v>4.0</v>
      </c>
      <c r="C25" s="28">
        <v>4.0</v>
      </c>
      <c r="D25" s="11" t="s">
        <v>564</v>
      </c>
      <c r="E25" s="11" t="s">
        <v>567</v>
      </c>
      <c r="F25" s="22"/>
      <c r="G25" s="53"/>
      <c r="H25" s="138"/>
    </row>
    <row r="26" ht="22.5" customHeight="1">
      <c r="A26" s="5">
        <v>45890.0</v>
      </c>
      <c r="B26" s="28">
        <v>8.0</v>
      </c>
      <c r="C26" s="28">
        <v>0.0</v>
      </c>
      <c r="D26" s="11" t="s">
        <v>568</v>
      </c>
      <c r="E26" s="64" t="s">
        <v>176</v>
      </c>
      <c r="F26" s="22"/>
      <c r="G26" s="53"/>
      <c r="H26" s="138"/>
    </row>
    <row r="27" ht="22.5" customHeight="1">
      <c r="A27" s="5">
        <v>45891.0</v>
      </c>
      <c r="B27" s="28">
        <v>4.0</v>
      </c>
      <c r="C27" s="28">
        <v>4.0</v>
      </c>
      <c r="D27" s="11" t="s">
        <v>569</v>
      </c>
      <c r="E27" s="11" t="s">
        <v>36</v>
      </c>
      <c r="F27" s="22"/>
      <c r="G27" s="53"/>
      <c r="H27" s="138"/>
    </row>
    <row r="28" ht="22.5" customHeight="1">
      <c r="A28" s="5">
        <v>45894.0</v>
      </c>
      <c r="B28" s="28">
        <v>0.0</v>
      </c>
      <c r="C28" s="28">
        <v>8.0</v>
      </c>
      <c r="D28" s="11" t="s">
        <v>570</v>
      </c>
      <c r="E28" s="11" t="s">
        <v>36</v>
      </c>
      <c r="F28" s="22"/>
      <c r="G28" s="53"/>
      <c r="H28" s="138"/>
    </row>
    <row r="29" ht="22.5" customHeight="1">
      <c r="A29" s="5">
        <v>45895.0</v>
      </c>
      <c r="B29" s="28">
        <v>4.0</v>
      </c>
      <c r="C29" s="28">
        <v>4.0</v>
      </c>
      <c r="D29" s="11" t="s">
        <v>571</v>
      </c>
      <c r="E29" s="8" t="s">
        <v>546</v>
      </c>
      <c r="F29" s="22"/>
      <c r="G29" s="53"/>
      <c r="H29" s="138"/>
    </row>
    <row r="30" ht="22.5" customHeight="1">
      <c r="A30" s="5">
        <v>45896.0</v>
      </c>
      <c r="B30" s="28">
        <v>4.0</v>
      </c>
      <c r="C30" s="28">
        <v>4.0</v>
      </c>
      <c r="D30" s="11" t="s">
        <v>571</v>
      </c>
      <c r="E30" s="8" t="s">
        <v>546</v>
      </c>
      <c r="F30" s="22"/>
      <c r="G30" s="53"/>
      <c r="H30" s="138"/>
    </row>
    <row r="31" ht="22.5" customHeight="1">
      <c r="A31" s="5">
        <v>45897.0</v>
      </c>
      <c r="B31" s="28">
        <v>4.0</v>
      </c>
      <c r="C31" s="28">
        <v>4.0</v>
      </c>
      <c r="D31" s="11" t="s">
        <v>571</v>
      </c>
      <c r="E31" s="8" t="s">
        <v>562</v>
      </c>
      <c r="F31" s="22"/>
      <c r="G31" s="53"/>
      <c r="H31" s="138"/>
    </row>
    <row r="32" ht="22.5" customHeight="1">
      <c r="A32" s="5">
        <v>45898.0</v>
      </c>
      <c r="B32" s="28">
        <v>4.0</v>
      </c>
      <c r="C32" s="28">
        <v>4.0</v>
      </c>
      <c r="D32" s="11" t="s">
        <v>572</v>
      </c>
      <c r="E32" s="64" t="s">
        <v>36</v>
      </c>
      <c r="F32" s="22"/>
      <c r="G32" s="53"/>
      <c r="H32" s="138"/>
    </row>
    <row r="33" ht="22.5" customHeight="1">
      <c r="A33" s="5">
        <v>45901.0</v>
      </c>
      <c r="B33" s="67"/>
      <c r="C33" s="33">
        <v>8.0</v>
      </c>
      <c r="D33" s="11" t="s">
        <v>573</v>
      </c>
      <c r="E33" s="64" t="s">
        <v>36</v>
      </c>
      <c r="F33" s="22"/>
      <c r="G33" s="53"/>
      <c r="H33" s="138"/>
    </row>
    <row r="34" ht="22.5" customHeight="1">
      <c r="A34" s="5">
        <v>45902.0</v>
      </c>
      <c r="B34" s="63">
        <v>8.0</v>
      </c>
      <c r="C34" s="67"/>
      <c r="D34" s="64" t="s">
        <v>574</v>
      </c>
      <c r="E34" s="64" t="s">
        <v>176</v>
      </c>
      <c r="F34" s="22"/>
      <c r="G34" s="53"/>
      <c r="H34" s="138"/>
    </row>
    <row r="35" ht="22.5" customHeight="1">
      <c r="A35" s="5">
        <v>45903.0</v>
      </c>
      <c r="B35" s="63">
        <v>8.0</v>
      </c>
      <c r="C35" s="67"/>
      <c r="D35" s="64" t="s">
        <v>574</v>
      </c>
      <c r="E35" s="64" t="s">
        <v>176</v>
      </c>
      <c r="F35" s="22"/>
      <c r="G35" s="53"/>
      <c r="H35" s="138"/>
    </row>
    <row r="36" ht="22.5" customHeight="1">
      <c r="A36" s="5">
        <v>45904.0</v>
      </c>
      <c r="B36" s="63">
        <v>4.0</v>
      </c>
      <c r="C36" s="63">
        <v>4.0</v>
      </c>
      <c r="D36" s="11" t="s">
        <v>575</v>
      </c>
      <c r="E36" s="8" t="s">
        <v>562</v>
      </c>
      <c r="F36" s="22"/>
      <c r="G36" s="53"/>
      <c r="H36" s="138"/>
    </row>
    <row r="37" ht="22.5" customHeight="1">
      <c r="A37" s="5">
        <v>45908.0</v>
      </c>
      <c r="B37" s="67"/>
      <c r="C37" s="67"/>
      <c r="D37" s="64" t="s">
        <v>86</v>
      </c>
      <c r="E37" s="22"/>
      <c r="F37" s="22"/>
      <c r="G37" s="53"/>
      <c r="H37" s="5">
        <v>45909.0</v>
      </c>
    </row>
    <row r="38" ht="22.5" customHeight="1">
      <c r="A38" s="5">
        <v>45909.0</v>
      </c>
      <c r="B38" s="63">
        <v>4.0</v>
      </c>
      <c r="C38" s="63">
        <v>4.0</v>
      </c>
      <c r="D38" s="64" t="s">
        <v>576</v>
      </c>
      <c r="E38" s="8" t="s">
        <v>562</v>
      </c>
      <c r="F38" s="22"/>
      <c r="G38" s="53"/>
      <c r="H38" s="139"/>
    </row>
    <row r="39" ht="22.5" customHeight="1">
      <c r="A39" s="5">
        <v>45910.0</v>
      </c>
      <c r="B39" s="63">
        <v>4.0</v>
      </c>
      <c r="C39" s="63">
        <v>4.0</v>
      </c>
      <c r="D39" s="64" t="s">
        <v>576</v>
      </c>
      <c r="E39" s="8" t="s">
        <v>562</v>
      </c>
      <c r="F39" s="22"/>
      <c r="G39" s="53"/>
      <c r="H39" s="139"/>
    </row>
    <row r="40" ht="22.5" customHeight="1">
      <c r="A40" s="5">
        <v>45911.0</v>
      </c>
      <c r="B40" s="63">
        <v>8.0</v>
      </c>
      <c r="C40" s="67"/>
      <c r="D40" s="64" t="s">
        <v>577</v>
      </c>
      <c r="E40" s="64" t="s">
        <v>176</v>
      </c>
      <c r="F40" s="22"/>
      <c r="G40" s="53"/>
      <c r="H40" s="139"/>
    </row>
    <row r="41" ht="22.5" customHeight="1">
      <c r="A41" s="5">
        <v>45912.0</v>
      </c>
      <c r="B41" s="63">
        <v>8.0</v>
      </c>
      <c r="C41" s="67"/>
      <c r="D41" s="64" t="s">
        <v>577</v>
      </c>
      <c r="E41" s="64" t="s">
        <v>176</v>
      </c>
      <c r="F41" s="22"/>
      <c r="G41" s="53"/>
      <c r="H41" s="139"/>
    </row>
    <row r="42" ht="22.5" customHeight="1">
      <c r="A42" s="5">
        <v>45915.0</v>
      </c>
      <c r="B42" s="63">
        <v>8.0</v>
      </c>
      <c r="C42" s="67"/>
      <c r="D42" s="64" t="s">
        <v>578</v>
      </c>
      <c r="E42" s="64" t="s">
        <v>36</v>
      </c>
      <c r="F42" s="22"/>
      <c r="G42" s="53"/>
      <c r="H42" s="139"/>
    </row>
    <row r="43" ht="22.5" customHeight="1">
      <c r="A43" s="5">
        <v>45916.0</v>
      </c>
      <c r="B43" s="63">
        <v>8.0</v>
      </c>
      <c r="C43" s="67"/>
      <c r="D43" s="64" t="s">
        <v>579</v>
      </c>
      <c r="E43" s="64" t="s">
        <v>36</v>
      </c>
      <c r="F43" s="22"/>
      <c r="G43" s="53"/>
      <c r="H43" s="139"/>
    </row>
    <row r="44" ht="22.5" customHeight="1">
      <c r="A44" s="5">
        <v>45917.0</v>
      </c>
      <c r="B44" s="67"/>
      <c r="C44" s="63">
        <v>8.0</v>
      </c>
      <c r="D44" s="64" t="s">
        <v>580</v>
      </c>
      <c r="E44" s="64" t="s">
        <v>36</v>
      </c>
      <c r="F44" s="22"/>
      <c r="G44" s="53"/>
      <c r="H44" s="139"/>
    </row>
    <row r="45" ht="22.5" customHeight="1">
      <c r="A45" s="5">
        <v>45918.0</v>
      </c>
      <c r="B45" s="67"/>
      <c r="C45" s="63">
        <v>8.0</v>
      </c>
      <c r="D45" s="64" t="s">
        <v>581</v>
      </c>
      <c r="E45" s="64" t="s">
        <v>36</v>
      </c>
      <c r="F45" s="22"/>
      <c r="G45" s="53"/>
      <c r="H45" s="139"/>
    </row>
    <row r="46" ht="22.5" customHeight="1">
      <c r="A46" s="5">
        <v>45919.0</v>
      </c>
      <c r="B46" s="63">
        <v>8.0</v>
      </c>
      <c r="C46" s="67"/>
      <c r="D46" s="64" t="s">
        <v>582</v>
      </c>
      <c r="E46" s="64" t="s">
        <v>176</v>
      </c>
      <c r="F46" s="22"/>
      <c r="G46" s="53"/>
      <c r="H46" s="139"/>
    </row>
    <row r="47" ht="22.5" customHeight="1">
      <c r="A47" s="5">
        <v>45922.0</v>
      </c>
      <c r="B47" s="63">
        <v>8.0</v>
      </c>
      <c r="C47" s="67"/>
      <c r="D47" s="64" t="s">
        <v>582</v>
      </c>
      <c r="E47" s="64" t="s">
        <v>176</v>
      </c>
      <c r="F47" s="22"/>
      <c r="G47" s="53"/>
      <c r="H47" s="139"/>
    </row>
    <row r="48" ht="22.5" customHeight="1">
      <c r="A48" s="5">
        <v>45923.0</v>
      </c>
      <c r="B48" s="63">
        <v>8.0</v>
      </c>
      <c r="C48" s="67"/>
      <c r="D48" s="64" t="s">
        <v>582</v>
      </c>
      <c r="E48" s="64" t="s">
        <v>176</v>
      </c>
      <c r="F48" s="22"/>
      <c r="G48" s="53"/>
      <c r="H48" s="139"/>
    </row>
    <row r="49" ht="22.5" customHeight="1">
      <c r="A49" s="5">
        <v>45924.0</v>
      </c>
      <c r="B49" s="63">
        <v>8.0</v>
      </c>
      <c r="C49" s="67"/>
      <c r="D49" s="64" t="s">
        <v>582</v>
      </c>
      <c r="E49" s="64" t="s">
        <v>176</v>
      </c>
      <c r="F49" s="22"/>
      <c r="G49" s="53"/>
      <c r="H49" s="139"/>
    </row>
    <row r="50" ht="22.5" customHeight="1">
      <c r="A50" s="5">
        <v>45925.0</v>
      </c>
      <c r="B50" s="63">
        <v>8.0</v>
      </c>
      <c r="C50" s="67"/>
      <c r="D50" s="64" t="s">
        <v>582</v>
      </c>
      <c r="E50" s="64" t="s">
        <v>36</v>
      </c>
      <c r="F50" s="22"/>
      <c r="G50" s="53"/>
      <c r="H50" s="139"/>
    </row>
    <row r="51" ht="22.5" customHeight="1">
      <c r="A51" s="5">
        <v>45926.0</v>
      </c>
      <c r="B51" s="63">
        <v>8.0</v>
      </c>
      <c r="C51" s="67"/>
      <c r="D51" s="64" t="s">
        <v>582</v>
      </c>
      <c r="E51" s="64" t="s">
        <v>176</v>
      </c>
      <c r="F51" s="22"/>
      <c r="G51" s="53"/>
      <c r="H51" s="139"/>
    </row>
    <row r="52" ht="22.5" customHeight="1">
      <c r="A52" s="5">
        <v>45929.0</v>
      </c>
      <c r="B52" s="63">
        <v>8.0</v>
      </c>
      <c r="C52" s="67"/>
      <c r="D52" s="64" t="s">
        <v>583</v>
      </c>
      <c r="E52" s="64" t="s">
        <v>176</v>
      </c>
      <c r="F52" s="22"/>
      <c r="G52" s="53"/>
      <c r="H52" s="139"/>
    </row>
    <row r="53" ht="22.5" customHeight="1">
      <c r="A53" s="5">
        <v>45930.0</v>
      </c>
      <c r="B53" s="63">
        <v>8.0</v>
      </c>
      <c r="C53" s="67"/>
      <c r="D53" s="64" t="s">
        <v>583</v>
      </c>
      <c r="E53" s="64" t="s">
        <v>176</v>
      </c>
      <c r="F53" s="22"/>
      <c r="G53" s="53"/>
      <c r="H53" s="139"/>
    </row>
    <row r="54" ht="22.5" customHeight="1">
      <c r="A54" s="5">
        <v>45931.0</v>
      </c>
      <c r="B54" s="63">
        <v>8.0</v>
      </c>
      <c r="C54" s="67"/>
      <c r="D54" s="64" t="s">
        <v>583</v>
      </c>
      <c r="E54" s="64" t="s">
        <v>176</v>
      </c>
      <c r="F54" s="22"/>
      <c r="G54" s="53"/>
      <c r="H54" s="139"/>
    </row>
    <row r="55" ht="22.5" customHeight="1">
      <c r="A55" s="5">
        <v>45932.0</v>
      </c>
      <c r="B55" s="63">
        <v>8.0</v>
      </c>
      <c r="C55" s="67"/>
      <c r="D55" s="64" t="s">
        <v>583</v>
      </c>
      <c r="E55" s="64" t="s">
        <v>176</v>
      </c>
      <c r="F55" s="22"/>
      <c r="G55" s="53"/>
      <c r="H55" s="139"/>
    </row>
    <row r="56" ht="22.5" customHeight="1">
      <c r="A56" s="5">
        <v>45933.0</v>
      </c>
      <c r="B56" s="63">
        <v>8.0</v>
      </c>
      <c r="C56" s="67"/>
      <c r="D56" s="64" t="s">
        <v>583</v>
      </c>
      <c r="E56" s="64" t="s">
        <v>176</v>
      </c>
      <c r="F56" s="22"/>
      <c r="G56" s="53"/>
      <c r="H56" s="139"/>
    </row>
    <row r="57" ht="22.5" customHeight="1">
      <c r="A57" s="5">
        <v>45936.0</v>
      </c>
      <c r="B57" s="63">
        <v>8.0</v>
      </c>
      <c r="C57" s="67"/>
      <c r="D57" s="64" t="s">
        <v>583</v>
      </c>
      <c r="E57" s="64" t="s">
        <v>176</v>
      </c>
      <c r="F57" s="22"/>
      <c r="G57" s="53"/>
      <c r="H57" s="139"/>
    </row>
    <row r="58" ht="22.5" customHeight="1">
      <c r="A58" s="5">
        <v>45937.0</v>
      </c>
      <c r="B58" s="63">
        <v>8.0</v>
      </c>
      <c r="C58" s="67"/>
      <c r="D58" s="64" t="s">
        <v>583</v>
      </c>
      <c r="E58" s="64" t="s">
        <v>176</v>
      </c>
      <c r="F58" s="22"/>
      <c r="G58" s="53"/>
      <c r="H58" s="139"/>
    </row>
    <row r="59" ht="22.5" customHeight="1">
      <c r="A59" s="5">
        <v>45938.0</v>
      </c>
      <c r="B59" s="63">
        <v>8.0</v>
      </c>
      <c r="C59" s="67"/>
      <c r="D59" s="64" t="s">
        <v>583</v>
      </c>
      <c r="E59" s="64" t="s">
        <v>176</v>
      </c>
      <c r="F59" s="22"/>
      <c r="G59" s="53"/>
      <c r="H59" s="139"/>
    </row>
    <row r="60" ht="22.5" customHeight="1">
      <c r="A60" s="5">
        <v>45939.0</v>
      </c>
      <c r="B60" s="63">
        <v>8.0</v>
      </c>
      <c r="C60" s="67"/>
      <c r="D60" s="64" t="s">
        <v>583</v>
      </c>
      <c r="E60" s="64" t="s">
        <v>176</v>
      </c>
      <c r="F60" s="22"/>
      <c r="G60" s="53"/>
      <c r="H60" s="139"/>
    </row>
    <row r="61" ht="22.5" customHeight="1">
      <c r="A61" s="5">
        <v>45940.0</v>
      </c>
      <c r="B61" s="63">
        <v>8.0</v>
      </c>
      <c r="C61" s="67"/>
      <c r="D61" s="64" t="s">
        <v>583</v>
      </c>
      <c r="E61" s="64" t="s">
        <v>176</v>
      </c>
      <c r="F61" s="22"/>
      <c r="G61" s="53"/>
      <c r="H61" s="139"/>
    </row>
    <row r="62" ht="22.5" customHeight="1">
      <c r="A62" s="5">
        <v>45943.0</v>
      </c>
      <c r="B62" s="63">
        <v>8.0</v>
      </c>
      <c r="C62" s="67"/>
      <c r="D62" s="64" t="s">
        <v>583</v>
      </c>
      <c r="E62" s="64" t="s">
        <v>176</v>
      </c>
      <c r="F62" s="22"/>
      <c r="G62" s="53"/>
      <c r="H62" s="139"/>
    </row>
    <row r="63" ht="22.5" customHeight="1">
      <c r="A63" s="5">
        <v>45944.0</v>
      </c>
      <c r="B63" s="63">
        <v>8.0</v>
      </c>
      <c r="C63" s="67"/>
      <c r="D63" s="64" t="s">
        <v>583</v>
      </c>
      <c r="E63" s="64" t="s">
        <v>176</v>
      </c>
      <c r="F63" s="22"/>
      <c r="G63" s="53"/>
      <c r="H63" s="139"/>
    </row>
    <row r="64" ht="22.5" customHeight="1">
      <c r="A64" s="5">
        <v>45945.0</v>
      </c>
      <c r="B64" s="63">
        <v>8.0</v>
      </c>
      <c r="C64" s="67"/>
      <c r="D64" s="64" t="s">
        <v>583</v>
      </c>
      <c r="E64" s="64" t="s">
        <v>176</v>
      </c>
      <c r="F64" s="22"/>
      <c r="G64" s="53"/>
      <c r="H64" s="139"/>
    </row>
    <row r="65" ht="22.5" customHeight="1">
      <c r="A65" s="5">
        <v>45946.0</v>
      </c>
      <c r="B65" s="63">
        <v>8.0</v>
      </c>
      <c r="C65" s="67"/>
      <c r="D65" s="64" t="s">
        <v>583</v>
      </c>
      <c r="E65" s="64" t="s">
        <v>176</v>
      </c>
      <c r="F65" s="22"/>
      <c r="G65" s="53"/>
      <c r="H65" s="139"/>
    </row>
    <row r="66" ht="22.5" customHeight="1">
      <c r="A66" s="5">
        <v>45947.0</v>
      </c>
      <c r="B66" s="63">
        <v>8.0</v>
      </c>
      <c r="C66" s="67"/>
      <c r="D66" s="64" t="s">
        <v>583</v>
      </c>
      <c r="E66" s="64" t="s">
        <v>176</v>
      </c>
      <c r="F66" s="22"/>
      <c r="G66" s="53"/>
      <c r="H66" s="139"/>
    </row>
    <row r="67" ht="22.5" customHeight="1">
      <c r="A67" s="5">
        <v>45950.0</v>
      </c>
      <c r="B67" s="63">
        <v>8.0</v>
      </c>
      <c r="C67" s="67"/>
      <c r="D67" s="64" t="s">
        <v>583</v>
      </c>
      <c r="E67" s="64" t="s">
        <v>176</v>
      </c>
      <c r="F67" s="22"/>
      <c r="G67" s="53"/>
      <c r="H67" s="139"/>
    </row>
    <row r="68" ht="22.5" customHeight="1">
      <c r="A68" s="5">
        <v>45951.0</v>
      </c>
      <c r="B68" s="67"/>
      <c r="C68" s="67"/>
      <c r="D68" s="22"/>
      <c r="E68" s="22"/>
      <c r="F68" s="22"/>
      <c r="G68" s="53"/>
      <c r="H68" s="139"/>
    </row>
    <row r="69" ht="22.5" customHeight="1">
      <c r="A69" s="5">
        <v>45952.0</v>
      </c>
      <c r="B69" s="67"/>
      <c r="C69" s="67"/>
      <c r="D69" s="22"/>
      <c r="E69" s="22"/>
      <c r="F69" s="22"/>
      <c r="G69" s="53"/>
      <c r="H69" s="139"/>
    </row>
    <row r="70" ht="22.5" customHeight="1">
      <c r="A70" s="5">
        <v>45953.0</v>
      </c>
      <c r="B70" s="67"/>
      <c r="C70" s="67"/>
      <c r="D70" s="22"/>
      <c r="E70" s="22"/>
      <c r="F70" s="22"/>
      <c r="G70" s="53"/>
      <c r="H70" s="139"/>
    </row>
    <row r="71" ht="22.5" customHeight="1">
      <c r="A71" s="5">
        <v>45954.0</v>
      </c>
      <c r="B71" s="67"/>
      <c r="C71" s="67"/>
      <c r="D71" s="22"/>
      <c r="E71" s="22"/>
      <c r="F71" s="22"/>
      <c r="G71" s="53"/>
      <c r="H71" s="139"/>
    </row>
    <row r="72" ht="22.5" customHeight="1">
      <c r="A72" s="5">
        <v>45957.0</v>
      </c>
      <c r="B72" s="67"/>
      <c r="C72" s="67"/>
      <c r="D72" s="22"/>
      <c r="E72" s="22"/>
      <c r="F72" s="22"/>
      <c r="G72" s="53"/>
      <c r="H72" s="139"/>
    </row>
    <row r="73" ht="22.5" customHeight="1">
      <c r="A73" s="5">
        <v>45958.0</v>
      </c>
      <c r="B73" s="67"/>
      <c r="C73" s="67"/>
      <c r="D73" s="22"/>
      <c r="E73" s="22"/>
      <c r="F73" s="22"/>
      <c r="G73" s="53"/>
      <c r="H73" s="139"/>
    </row>
    <row r="74" ht="22.5" customHeight="1">
      <c r="A74" s="5">
        <v>45959.0</v>
      </c>
      <c r="B74" s="67"/>
      <c r="C74" s="67"/>
      <c r="D74" s="22"/>
      <c r="E74" s="22"/>
      <c r="F74" s="22"/>
      <c r="G74" s="53"/>
      <c r="H74" s="139"/>
    </row>
    <row r="75" ht="22.5" customHeight="1">
      <c r="A75" s="5">
        <v>45960.0</v>
      </c>
      <c r="B75" s="67"/>
      <c r="C75" s="67"/>
      <c r="D75" s="22"/>
      <c r="E75" s="22"/>
      <c r="F75" s="22"/>
      <c r="G75" s="53"/>
      <c r="H75" s="139"/>
    </row>
    <row r="76" ht="22.5" customHeight="1">
      <c r="A76" s="5">
        <v>45961.0</v>
      </c>
      <c r="B76" s="67"/>
      <c r="C76" s="67"/>
      <c r="D76" s="22"/>
      <c r="E76" s="22"/>
      <c r="F76" s="22"/>
      <c r="G76" s="53"/>
      <c r="H76" s="139"/>
    </row>
    <row r="77" ht="22.5" customHeight="1">
      <c r="A77" s="5">
        <v>45962.0</v>
      </c>
      <c r="B77" s="67"/>
      <c r="C77" s="67"/>
      <c r="D77" s="22"/>
      <c r="E77" s="22"/>
      <c r="F77" s="22"/>
      <c r="G77" s="53"/>
      <c r="H77" s="139"/>
    </row>
    <row r="78" ht="22.5" customHeight="1">
      <c r="A78" s="5">
        <v>45963.0</v>
      </c>
      <c r="B78" s="67"/>
      <c r="C78" s="67"/>
      <c r="D78" s="22"/>
      <c r="E78" s="22"/>
      <c r="F78" s="22"/>
      <c r="G78" s="53"/>
      <c r="H78" s="139"/>
    </row>
    <row r="79" ht="22.5" customHeight="1">
      <c r="A79" s="5">
        <v>45964.0</v>
      </c>
      <c r="B79" s="67"/>
      <c r="C79" s="67"/>
      <c r="D79" s="22"/>
      <c r="E79" s="22"/>
      <c r="F79" s="22"/>
      <c r="G79" s="53"/>
      <c r="H79" s="139"/>
    </row>
    <row r="80" ht="22.5" customHeight="1">
      <c r="A80" s="5">
        <v>45965.0</v>
      </c>
      <c r="B80" s="67"/>
      <c r="C80" s="67"/>
      <c r="D80" s="22"/>
      <c r="E80" s="22"/>
      <c r="F80" s="22"/>
      <c r="G80" s="53"/>
      <c r="H80" s="139"/>
    </row>
    <row r="81" ht="22.5" customHeight="1">
      <c r="A81" s="5">
        <v>45966.0</v>
      </c>
      <c r="B81" s="67"/>
      <c r="C81" s="67"/>
      <c r="D81" s="22"/>
      <c r="E81" s="22"/>
      <c r="F81" s="22"/>
      <c r="G81" s="53"/>
      <c r="H81" s="139"/>
    </row>
    <row r="82" ht="22.5" customHeight="1">
      <c r="A82" s="5"/>
      <c r="B82" s="67"/>
      <c r="C82" s="67"/>
      <c r="D82" s="22"/>
      <c r="E82" s="22"/>
      <c r="F82" s="22"/>
      <c r="G82" s="53"/>
      <c r="H82" s="139"/>
    </row>
    <row r="83" ht="22.5" customHeight="1">
      <c r="A83" s="5"/>
      <c r="B83" s="67"/>
      <c r="C83" s="67"/>
      <c r="D83" s="22"/>
      <c r="E83" s="22"/>
      <c r="F83" s="22"/>
      <c r="G83" s="53"/>
      <c r="H83" s="139"/>
    </row>
    <row r="84" ht="22.5" customHeight="1">
      <c r="A84" s="5"/>
      <c r="B84" s="67"/>
      <c r="C84" s="67"/>
      <c r="D84" s="22"/>
      <c r="E84" s="22"/>
      <c r="F84" s="22"/>
      <c r="G84" s="53"/>
      <c r="H84" s="139"/>
    </row>
    <row r="85" ht="22.5" customHeight="1">
      <c r="A85" s="5"/>
      <c r="B85" s="67"/>
      <c r="C85" s="67"/>
      <c r="D85" s="22"/>
      <c r="E85" s="22"/>
      <c r="F85" s="22"/>
      <c r="G85" s="53"/>
      <c r="H85" s="139"/>
    </row>
    <row r="86" ht="22.5" customHeight="1">
      <c r="A86" s="5"/>
      <c r="B86" s="67"/>
      <c r="C86" s="67"/>
      <c r="D86" s="22"/>
      <c r="E86" s="22"/>
      <c r="F86" s="22"/>
      <c r="G86" s="53"/>
      <c r="H86" s="139"/>
    </row>
    <row r="87" ht="22.5" customHeight="1">
      <c r="A87" s="5"/>
      <c r="B87" s="67"/>
      <c r="C87" s="67"/>
      <c r="D87" s="22"/>
      <c r="E87" s="22"/>
      <c r="F87" s="22"/>
      <c r="G87" s="53"/>
      <c r="H87" s="139"/>
    </row>
    <row r="88" ht="22.5" customHeight="1">
      <c r="A88" s="5"/>
      <c r="B88" s="67"/>
      <c r="C88" s="67"/>
      <c r="D88" s="22"/>
      <c r="E88" s="22"/>
      <c r="F88" s="22"/>
      <c r="G88" s="53"/>
      <c r="H88" s="139"/>
    </row>
    <row r="89" ht="22.5" customHeight="1">
      <c r="A89" s="5"/>
      <c r="B89" s="67"/>
      <c r="C89" s="67"/>
      <c r="D89" s="22"/>
      <c r="E89" s="22"/>
      <c r="F89" s="22"/>
      <c r="G89" s="53"/>
      <c r="H89" s="139"/>
    </row>
    <row r="90" ht="22.5" customHeight="1">
      <c r="A90" s="5"/>
      <c r="B90" s="67"/>
      <c r="C90" s="67"/>
      <c r="D90" s="22"/>
      <c r="E90" s="22"/>
      <c r="F90" s="22"/>
      <c r="G90" s="53"/>
      <c r="H90" s="139"/>
    </row>
    <row r="91" ht="22.5" customHeight="1">
      <c r="A91" s="5"/>
      <c r="B91" s="67"/>
      <c r="C91" s="67"/>
      <c r="D91" s="22"/>
      <c r="E91" s="22"/>
      <c r="F91" s="22"/>
      <c r="G91" s="53"/>
      <c r="H91" s="139"/>
    </row>
    <row r="92" ht="22.5" customHeight="1">
      <c r="A92" s="5"/>
      <c r="B92" s="67"/>
      <c r="C92" s="67"/>
      <c r="D92" s="22"/>
      <c r="E92" s="22"/>
      <c r="F92" s="22"/>
      <c r="G92" s="53"/>
      <c r="H92" s="139"/>
    </row>
    <row r="93" ht="22.5" customHeight="1">
      <c r="A93" s="5"/>
      <c r="B93" s="67"/>
      <c r="C93" s="67"/>
      <c r="D93" s="22"/>
      <c r="E93" s="22"/>
      <c r="F93" s="22"/>
      <c r="G93" s="53"/>
      <c r="H93" s="139"/>
    </row>
    <row r="94" ht="22.5" customHeight="1">
      <c r="A94" s="5"/>
      <c r="B94" s="67"/>
      <c r="C94" s="67"/>
      <c r="D94" s="22"/>
      <c r="E94" s="22"/>
      <c r="F94" s="22"/>
      <c r="G94" s="53"/>
      <c r="H94" s="139"/>
    </row>
    <row r="95" ht="22.5" customHeight="1">
      <c r="A95" s="5"/>
      <c r="B95" s="67"/>
      <c r="C95" s="67"/>
      <c r="D95" s="22"/>
      <c r="E95" s="22"/>
      <c r="F95" s="22"/>
      <c r="G95" s="53"/>
      <c r="H95" s="139"/>
    </row>
    <row r="96" ht="22.5" customHeight="1">
      <c r="A96" s="5"/>
      <c r="B96" s="67"/>
      <c r="C96" s="67"/>
      <c r="D96" s="22"/>
      <c r="E96" s="22"/>
      <c r="F96" s="22"/>
      <c r="G96" s="53"/>
      <c r="H96" s="139"/>
    </row>
    <row r="97" ht="22.5" customHeight="1">
      <c r="A97" s="5"/>
      <c r="B97" s="67"/>
      <c r="C97" s="67"/>
      <c r="D97" s="22"/>
      <c r="E97" s="22"/>
      <c r="F97" s="22"/>
      <c r="G97" s="53"/>
      <c r="H97" s="139"/>
    </row>
    <row r="98" ht="22.5" customHeight="1">
      <c r="A98" s="5"/>
      <c r="B98" s="67"/>
      <c r="C98" s="67"/>
      <c r="D98" s="22"/>
      <c r="E98" s="22"/>
      <c r="F98" s="22"/>
      <c r="G98" s="53"/>
      <c r="H98" s="139"/>
    </row>
    <row r="99" ht="22.5" customHeight="1">
      <c r="A99" s="5"/>
      <c r="B99" s="67"/>
      <c r="C99" s="67"/>
      <c r="D99" s="22"/>
      <c r="E99" s="22"/>
      <c r="F99" s="22"/>
      <c r="G99" s="53"/>
      <c r="H99" s="139"/>
    </row>
    <row r="100" ht="22.5" customHeight="1">
      <c r="A100" s="5"/>
      <c r="B100" s="67"/>
      <c r="C100" s="67"/>
      <c r="D100" s="22"/>
      <c r="E100" s="22"/>
      <c r="F100" s="22"/>
      <c r="G100" s="53"/>
      <c r="H100" s="139"/>
    </row>
    <row r="101" ht="22.5" customHeight="1">
      <c r="A101" s="5"/>
      <c r="B101" s="67"/>
      <c r="C101" s="67"/>
      <c r="D101" s="22"/>
      <c r="E101" s="22"/>
      <c r="F101" s="22"/>
      <c r="G101" s="53"/>
      <c r="H101" s="139"/>
    </row>
    <row r="102" ht="22.5" customHeight="1">
      <c r="A102" s="5"/>
      <c r="B102" s="67"/>
      <c r="C102" s="67"/>
      <c r="D102" s="22"/>
      <c r="E102" s="22"/>
      <c r="F102" s="22"/>
      <c r="G102" s="53"/>
      <c r="H102" s="139"/>
    </row>
    <row r="103" ht="22.5" customHeight="1">
      <c r="A103" s="5"/>
      <c r="B103" s="67"/>
      <c r="C103" s="67"/>
      <c r="D103" s="22"/>
      <c r="E103" s="22"/>
      <c r="F103" s="22"/>
      <c r="G103" s="53"/>
      <c r="H103" s="139"/>
    </row>
    <row r="104" ht="22.5" customHeight="1">
      <c r="A104" s="5"/>
      <c r="B104" s="67"/>
      <c r="C104" s="67"/>
      <c r="D104" s="22"/>
      <c r="E104" s="22"/>
      <c r="F104" s="22"/>
      <c r="G104" s="53"/>
      <c r="H104" s="139"/>
    </row>
    <row r="105" ht="22.5" customHeight="1">
      <c r="A105" s="5"/>
      <c r="B105" s="67"/>
      <c r="C105" s="67"/>
      <c r="D105" s="22"/>
      <c r="E105" s="22"/>
      <c r="F105" s="22"/>
      <c r="G105" s="53"/>
      <c r="H105" s="139"/>
    </row>
    <row r="106" ht="22.5" customHeight="1">
      <c r="A106" s="5"/>
      <c r="B106" s="67"/>
      <c r="C106" s="67"/>
      <c r="D106" s="22"/>
      <c r="E106" s="22"/>
      <c r="F106" s="22"/>
      <c r="G106" s="53"/>
      <c r="H106" s="139"/>
    </row>
    <row r="107" ht="22.5" customHeight="1">
      <c r="A107" s="5"/>
      <c r="B107" s="67"/>
      <c r="C107" s="67"/>
      <c r="D107" s="22"/>
      <c r="E107" s="22"/>
      <c r="F107" s="22"/>
      <c r="G107" s="53"/>
      <c r="H107" s="139"/>
    </row>
    <row r="108" ht="22.5" customHeight="1">
      <c r="A108" s="5"/>
      <c r="B108" s="67"/>
      <c r="C108" s="67"/>
      <c r="D108" s="22"/>
      <c r="E108" s="22"/>
      <c r="F108" s="22"/>
      <c r="G108" s="53"/>
      <c r="H108" s="139"/>
    </row>
    <row r="109" ht="22.5" customHeight="1">
      <c r="A109" s="5"/>
      <c r="B109" s="67"/>
      <c r="C109" s="67"/>
      <c r="D109" s="22"/>
      <c r="E109" s="22"/>
      <c r="F109" s="22"/>
      <c r="G109" s="53"/>
      <c r="H109" s="139"/>
    </row>
    <row r="110" ht="22.5" customHeight="1">
      <c r="A110" s="5"/>
      <c r="B110" s="67"/>
      <c r="C110" s="67"/>
      <c r="D110" s="22"/>
      <c r="E110" s="22"/>
      <c r="F110" s="22"/>
      <c r="G110" s="53"/>
      <c r="H110" s="139"/>
    </row>
    <row r="111" ht="22.5" customHeight="1">
      <c r="A111" s="5"/>
      <c r="B111" s="67"/>
      <c r="C111" s="67"/>
      <c r="D111" s="22"/>
      <c r="E111" s="22"/>
      <c r="F111" s="22"/>
      <c r="G111" s="53"/>
      <c r="H111" s="139"/>
    </row>
    <row r="112" ht="22.5" customHeight="1">
      <c r="A112" s="5"/>
      <c r="B112" s="67"/>
      <c r="C112" s="67"/>
      <c r="D112" s="22"/>
      <c r="E112" s="22"/>
      <c r="F112" s="22"/>
      <c r="G112" s="53"/>
      <c r="H112" s="139"/>
    </row>
    <row r="113" ht="22.5" customHeight="1">
      <c r="A113" s="5"/>
      <c r="B113" s="67"/>
      <c r="C113" s="67"/>
      <c r="D113" s="22"/>
      <c r="E113" s="22"/>
      <c r="F113" s="22"/>
      <c r="G113" s="53"/>
      <c r="H113" s="139"/>
    </row>
    <row r="114" ht="22.5" customHeight="1">
      <c r="A114" s="5"/>
      <c r="B114" s="67"/>
      <c r="C114" s="67"/>
      <c r="D114" s="22"/>
      <c r="E114" s="22"/>
      <c r="F114" s="22"/>
      <c r="G114" s="53"/>
      <c r="H114" s="139"/>
    </row>
    <row r="115" ht="22.5" customHeight="1">
      <c r="A115" s="5"/>
      <c r="B115" s="67"/>
      <c r="C115" s="67"/>
      <c r="D115" s="22"/>
      <c r="E115" s="22"/>
      <c r="F115" s="22"/>
      <c r="G115" s="53"/>
      <c r="H115" s="139"/>
    </row>
    <row r="116" ht="22.5" customHeight="1">
      <c r="A116" s="5"/>
      <c r="B116" s="67"/>
      <c r="C116" s="67"/>
      <c r="D116" s="22"/>
      <c r="E116" s="22"/>
      <c r="F116" s="22"/>
      <c r="G116" s="53"/>
      <c r="H116" s="139"/>
    </row>
    <row r="117" ht="22.5" customHeight="1">
      <c r="A117" s="5"/>
      <c r="B117" s="67"/>
      <c r="C117" s="67"/>
      <c r="D117" s="22"/>
      <c r="E117" s="22"/>
      <c r="F117" s="22"/>
      <c r="G117" s="53"/>
      <c r="H117" s="139"/>
    </row>
    <row r="118" ht="22.5" customHeight="1">
      <c r="A118" s="5"/>
      <c r="B118" s="67"/>
      <c r="C118" s="67"/>
      <c r="D118" s="22"/>
      <c r="E118" s="22"/>
      <c r="F118" s="22"/>
      <c r="G118" s="53"/>
      <c r="H118" s="139"/>
    </row>
    <row r="119" ht="22.5" customHeight="1">
      <c r="A119" s="5"/>
      <c r="B119" s="67"/>
      <c r="C119" s="67"/>
      <c r="D119" s="22"/>
      <c r="E119" s="22"/>
      <c r="F119" s="22"/>
      <c r="G119" s="53"/>
      <c r="H119" s="139"/>
    </row>
    <row r="120" ht="22.5" customHeight="1">
      <c r="A120" s="5"/>
      <c r="B120" s="67"/>
      <c r="C120" s="67"/>
      <c r="D120" s="22"/>
      <c r="E120" s="22"/>
      <c r="F120" s="22"/>
      <c r="G120" s="53"/>
      <c r="H120" s="139"/>
    </row>
    <row r="121" ht="22.5" customHeight="1">
      <c r="A121" s="5"/>
      <c r="B121" s="67"/>
      <c r="C121" s="67"/>
      <c r="D121" s="22"/>
      <c r="E121" s="22"/>
      <c r="F121" s="22"/>
      <c r="G121" s="53"/>
      <c r="H121" s="139"/>
    </row>
    <row r="122" ht="22.5" customHeight="1">
      <c r="A122" s="5"/>
      <c r="B122" s="67"/>
      <c r="C122" s="67"/>
      <c r="D122" s="22"/>
      <c r="E122" s="22"/>
      <c r="F122" s="22"/>
      <c r="G122" s="53"/>
      <c r="H122" s="139"/>
    </row>
    <row r="123" ht="22.5" customHeight="1">
      <c r="A123" s="5"/>
      <c r="B123" s="67"/>
      <c r="C123" s="67"/>
      <c r="D123" s="22"/>
      <c r="E123" s="22"/>
      <c r="F123" s="22"/>
      <c r="G123" s="53"/>
      <c r="H123" s="139"/>
    </row>
    <row r="124" ht="22.5" customHeight="1">
      <c r="A124" s="5"/>
      <c r="B124" s="67"/>
      <c r="C124" s="67"/>
      <c r="D124" s="22"/>
      <c r="E124" s="22"/>
      <c r="F124" s="22"/>
      <c r="G124" s="53"/>
      <c r="H124" s="139"/>
    </row>
    <row r="125" ht="22.5" customHeight="1">
      <c r="A125" s="5"/>
      <c r="B125" s="67"/>
      <c r="C125" s="67"/>
      <c r="D125" s="22"/>
      <c r="E125" s="22"/>
      <c r="F125" s="22"/>
      <c r="G125" s="53"/>
      <c r="H125" s="139"/>
    </row>
    <row r="126" ht="22.5" customHeight="1">
      <c r="A126" s="5"/>
      <c r="B126" s="67"/>
      <c r="C126" s="67"/>
      <c r="D126" s="22"/>
      <c r="E126" s="22"/>
      <c r="F126" s="22"/>
      <c r="G126" s="53"/>
      <c r="H126" s="139"/>
    </row>
    <row r="127" ht="22.5" customHeight="1">
      <c r="A127" s="5"/>
      <c r="B127" s="67"/>
      <c r="C127" s="67"/>
      <c r="D127" s="22"/>
      <c r="E127" s="22"/>
      <c r="F127" s="22"/>
      <c r="G127" s="53"/>
      <c r="H127" s="139"/>
    </row>
    <row r="128" ht="22.5" customHeight="1">
      <c r="A128" s="5"/>
      <c r="B128" s="67"/>
      <c r="C128" s="67"/>
      <c r="D128" s="22"/>
      <c r="E128" s="22"/>
      <c r="F128" s="22"/>
      <c r="G128" s="53"/>
      <c r="H128" s="139"/>
    </row>
    <row r="129" ht="22.5" customHeight="1">
      <c r="A129" s="5"/>
      <c r="B129" s="67"/>
      <c r="C129" s="67"/>
      <c r="D129" s="22"/>
      <c r="E129" s="22"/>
      <c r="F129" s="22"/>
      <c r="G129" s="53"/>
      <c r="H129" s="139"/>
    </row>
    <row r="130" ht="22.5" customHeight="1">
      <c r="A130" s="5"/>
      <c r="B130" s="67"/>
      <c r="C130" s="67"/>
      <c r="D130" s="22"/>
      <c r="E130" s="22"/>
      <c r="F130" s="22"/>
      <c r="G130" s="53"/>
      <c r="H130" s="139"/>
    </row>
    <row r="131" ht="22.5" customHeight="1">
      <c r="A131" s="5"/>
      <c r="B131" s="67"/>
      <c r="C131" s="67"/>
      <c r="D131" s="22"/>
      <c r="E131" s="22"/>
      <c r="F131" s="22"/>
      <c r="G131" s="53"/>
      <c r="H131" s="139"/>
    </row>
    <row r="132" ht="22.5" customHeight="1">
      <c r="A132" s="5"/>
      <c r="B132" s="67"/>
      <c r="C132" s="67"/>
      <c r="D132" s="22"/>
      <c r="E132" s="22"/>
      <c r="F132" s="22"/>
      <c r="G132" s="53"/>
      <c r="H132" s="139"/>
    </row>
    <row r="133" ht="22.5" customHeight="1">
      <c r="A133" s="5"/>
      <c r="B133" s="67"/>
      <c r="C133" s="67"/>
      <c r="D133" s="22"/>
      <c r="E133" s="22"/>
      <c r="F133" s="22"/>
      <c r="G133" s="53"/>
      <c r="H133" s="139"/>
    </row>
    <row r="134" ht="22.5" customHeight="1">
      <c r="A134" s="5"/>
      <c r="B134" s="67"/>
      <c r="C134" s="67"/>
      <c r="D134" s="22"/>
      <c r="E134" s="22"/>
      <c r="F134" s="22"/>
      <c r="G134" s="53"/>
      <c r="H134" s="139"/>
    </row>
    <row r="135" ht="22.5" customHeight="1">
      <c r="A135" s="5"/>
      <c r="B135" s="67"/>
      <c r="C135" s="67"/>
      <c r="D135" s="22"/>
      <c r="E135" s="22"/>
      <c r="F135" s="22"/>
      <c r="G135" s="53"/>
      <c r="H135" s="139"/>
    </row>
    <row r="136" ht="22.5" customHeight="1">
      <c r="A136" s="5"/>
      <c r="B136" s="67"/>
      <c r="C136" s="67"/>
      <c r="D136" s="22"/>
      <c r="E136" s="22"/>
      <c r="F136" s="22"/>
      <c r="G136" s="53"/>
      <c r="H136" s="139"/>
    </row>
    <row r="137" ht="22.5" customHeight="1">
      <c r="A137" s="5"/>
      <c r="B137" s="67"/>
      <c r="C137" s="67"/>
      <c r="D137" s="22"/>
      <c r="E137" s="22"/>
      <c r="F137" s="22"/>
      <c r="G137" s="53"/>
      <c r="H137" s="139"/>
    </row>
    <row r="138" ht="22.5" customHeight="1">
      <c r="A138" s="5"/>
      <c r="B138" s="67"/>
      <c r="C138" s="67"/>
      <c r="D138" s="22"/>
      <c r="E138" s="22"/>
      <c r="F138" s="22"/>
      <c r="G138" s="53"/>
      <c r="H138" s="139"/>
    </row>
    <row r="139" ht="22.5" customHeight="1">
      <c r="A139" s="5"/>
      <c r="B139" s="67"/>
      <c r="C139" s="67"/>
      <c r="D139" s="22"/>
      <c r="E139" s="22"/>
      <c r="F139" s="22"/>
      <c r="G139" s="53"/>
      <c r="H139" s="139"/>
    </row>
    <row r="140" ht="22.5" customHeight="1">
      <c r="A140" s="5"/>
      <c r="B140" s="67"/>
      <c r="C140" s="67"/>
      <c r="D140" s="22"/>
      <c r="E140" s="22"/>
      <c r="F140" s="22"/>
      <c r="G140" s="53"/>
      <c r="H140" s="139"/>
    </row>
    <row r="141" ht="22.5" customHeight="1">
      <c r="A141" s="5"/>
      <c r="B141" s="67"/>
      <c r="C141" s="67"/>
      <c r="D141" s="22"/>
      <c r="E141" s="22"/>
      <c r="F141" s="22"/>
      <c r="G141" s="53"/>
      <c r="H141" s="139"/>
    </row>
    <row r="142" ht="22.5" customHeight="1">
      <c r="A142" s="5"/>
      <c r="B142" s="67"/>
      <c r="C142" s="67"/>
      <c r="D142" s="22"/>
      <c r="E142" s="22"/>
      <c r="F142" s="22"/>
      <c r="G142" s="53"/>
      <c r="H142" s="139"/>
    </row>
    <row r="143" ht="22.5" customHeight="1">
      <c r="A143" s="5"/>
      <c r="B143" s="67"/>
      <c r="C143" s="67"/>
      <c r="D143" s="22"/>
      <c r="E143" s="22"/>
      <c r="F143" s="22"/>
      <c r="G143" s="53"/>
      <c r="H143" s="139"/>
    </row>
    <row r="144" ht="22.5" customHeight="1">
      <c r="A144" s="5"/>
      <c r="B144" s="67"/>
      <c r="C144" s="67"/>
      <c r="D144" s="22"/>
      <c r="E144" s="22"/>
      <c r="F144" s="22"/>
      <c r="G144" s="53"/>
      <c r="H144" s="139"/>
    </row>
    <row r="145" ht="22.5" customHeight="1">
      <c r="A145" s="5"/>
      <c r="B145" s="67"/>
      <c r="C145" s="67"/>
      <c r="D145" s="22"/>
      <c r="E145" s="22"/>
      <c r="F145" s="22"/>
      <c r="G145" s="53"/>
      <c r="H145" s="139"/>
    </row>
    <row r="146" ht="22.5" customHeight="1">
      <c r="A146" s="5"/>
      <c r="B146" s="67"/>
      <c r="C146" s="67"/>
      <c r="D146" s="22"/>
      <c r="E146" s="22"/>
      <c r="F146" s="22"/>
      <c r="G146" s="53"/>
      <c r="H146" s="139"/>
    </row>
    <row r="147" ht="22.5" customHeight="1">
      <c r="A147" s="5"/>
      <c r="B147" s="67"/>
      <c r="C147" s="67"/>
      <c r="D147" s="22"/>
      <c r="E147" s="22"/>
      <c r="F147" s="22"/>
      <c r="G147" s="53"/>
      <c r="H147" s="139"/>
    </row>
    <row r="148" ht="22.5" customHeight="1">
      <c r="A148" s="5"/>
      <c r="B148" s="67"/>
      <c r="C148" s="67"/>
      <c r="D148" s="22"/>
      <c r="E148" s="22"/>
      <c r="F148" s="22"/>
      <c r="G148" s="53"/>
      <c r="H148" s="139"/>
    </row>
    <row r="149" ht="22.5" customHeight="1">
      <c r="A149" s="5"/>
      <c r="B149" s="67"/>
      <c r="C149" s="67"/>
      <c r="D149" s="22"/>
      <c r="E149" s="22"/>
      <c r="F149" s="22"/>
      <c r="G149" s="53"/>
      <c r="H149" s="139"/>
    </row>
    <row r="150" ht="22.5" customHeight="1">
      <c r="A150" s="5"/>
      <c r="B150" s="67"/>
      <c r="C150" s="67"/>
      <c r="D150" s="22"/>
      <c r="E150" s="22"/>
      <c r="F150" s="22"/>
      <c r="G150" s="53"/>
      <c r="H150" s="139"/>
    </row>
    <row r="151" ht="22.5" customHeight="1">
      <c r="A151" s="5"/>
      <c r="B151" s="67"/>
      <c r="C151" s="67"/>
      <c r="D151" s="22"/>
      <c r="E151" s="22"/>
      <c r="F151" s="22"/>
      <c r="G151" s="53"/>
      <c r="H151" s="139"/>
    </row>
    <row r="152" ht="22.5" customHeight="1">
      <c r="A152" s="139"/>
      <c r="B152" s="71"/>
      <c r="C152" s="71"/>
      <c r="D152" s="25"/>
      <c r="E152" s="25"/>
      <c r="F152" s="25"/>
      <c r="G152" s="119"/>
      <c r="H152" s="139"/>
    </row>
    <row r="153" ht="22.5" customHeight="1">
      <c r="A153" s="139"/>
      <c r="B153" s="71"/>
      <c r="C153" s="71"/>
      <c r="D153" s="25"/>
      <c r="E153" s="25"/>
      <c r="F153" s="25"/>
      <c r="G153" s="119"/>
      <c r="H153" s="139"/>
    </row>
    <row r="154" ht="22.5" customHeight="1">
      <c r="A154" s="139"/>
      <c r="B154" s="71"/>
      <c r="C154" s="71"/>
      <c r="D154" s="25"/>
      <c r="E154" s="25"/>
      <c r="F154" s="25"/>
      <c r="G154" s="119"/>
      <c r="H154" s="139"/>
    </row>
    <row r="155" ht="22.5" customHeight="1">
      <c r="A155" s="139"/>
      <c r="B155" s="71"/>
      <c r="C155" s="71"/>
      <c r="D155" s="25"/>
      <c r="E155" s="25"/>
      <c r="F155" s="25"/>
      <c r="G155" s="119"/>
      <c r="H155" s="139"/>
    </row>
    <row r="156" ht="22.5" customHeight="1">
      <c r="A156" s="139"/>
      <c r="B156" s="71"/>
      <c r="C156" s="71"/>
      <c r="D156" s="25"/>
      <c r="E156" s="25"/>
      <c r="F156" s="25"/>
      <c r="G156" s="119"/>
      <c r="H156" s="139"/>
    </row>
    <row r="157" ht="22.5" customHeight="1">
      <c r="A157" s="139"/>
      <c r="B157" s="71"/>
      <c r="C157" s="71"/>
      <c r="D157" s="25"/>
      <c r="E157" s="25"/>
      <c r="F157" s="25"/>
      <c r="G157" s="119"/>
      <c r="H157" s="139"/>
    </row>
    <row r="158" ht="22.5" customHeight="1">
      <c r="A158" s="139"/>
      <c r="B158" s="71"/>
      <c r="C158" s="71"/>
      <c r="D158" s="25"/>
      <c r="E158" s="25"/>
      <c r="F158" s="25"/>
      <c r="G158" s="119"/>
      <c r="H158" s="139"/>
    </row>
    <row r="159" ht="22.5" customHeight="1">
      <c r="A159" s="139"/>
      <c r="B159" s="71"/>
      <c r="C159" s="71"/>
      <c r="D159" s="25"/>
      <c r="E159" s="25"/>
      <c r="F159" s="25"/>
      <c r="G159" s="119"/>
      <c r="H159" s="139"/>
    </row>
    <row r="160" ht="22.5" customHeight="1">
      <c r="A160" s="139"/>
      <c r="B160" s="71"/>
      <c r="C160" s="71"/>
      <c r="D160" s="25"/>
      <c r="E160" s="25"/>
      <c r="F160" s="25"/>
      <c r="G160" s="119"/>
      <c r="H160" s="139"/>
    </row>
    <row r="161" ht="22.5" customHeight="1">
      <c r="A161" s="139"/>
      <c r="B161" s="71"/>
      <c r="C161" s="71"/>
      <c r="D161" s="25"/>
      <c r="E161" s="25"/>
      <c r="F161" s="25"/>
      <c r="G161" s="119"/>
      <c r="H161" s="139"/>
    </row>
    <row r="162" ht="22.5" customHeight="1">
      <c r="A162" s="139"/>
      <c r="B162" s="71"/>
      <c r="C162" s="71"/>
      <c r="D162" s="25"/>
      <c r="E162" s="25"/>
      <c r="F162" s="25"/>
      <c r="G162" s="119"/>
      <c r="H162" s="139"/>
    </row>
    <row r="163" ht="22.5" customHeight="1">
      <c r="A163" s="139"/>
      <c r="B163" s="71"/>
      <c r="C163" s="71"/>
      <c r="D163" s="25"/>
      <c r="E163" s="25"/>
      <c r="F163" s="25"/>
      <c r="G163" s="119"/>
      <c r="H163" s="139"/>
    </row>
    <row r="164" ht="22.5" customHeight="1">
      <c r="A164" s="139"/>
      <c r="B164" s="71"/>
      <c r="C164" s="71"/>
      <c r="D164" s="25"/>
      <c r="E164" s="25"/>
      <c r="F164" s="25"/>
      <c r="G164" s="119"/>
      <c r="H164" s="139"/>
    </row>
    <row r="165" ht="22.5" customHeight="1">
      <c r="A165" s="139"/>
      <c r="B165" s="71"/>
      <c r="C165" s="71"/>
      <c r="D165" s="25"/>
      <c r="E165" s="25"/>
      <c r="F165" s="25"/>
      <c r="G165" s="119"/>
      <c r="H165" s="139"/>
    </row>
    <row r="166" ht="22.5" customHeight="1">
      <c r="A166" s="139"/>
      <c r="B166" s="71"/>
      <c r="C166" s="71"/>
      <c r="D166" s="25"/>
      <c r="E166" s="25"/>
      <c r="F166" s="25"/>
      <c r="G166" s="119"/>
      <c r="H166" s="139"/>
    </row>
    <row r="167" ht="22.5" customHeight="1">
      <c r="A167" s="139"/>
      <c r="B167" s="71"/>
      <c r="C167" s="71"/>
      <c r="D167" s="25"/>
      <c r="E167" s="25"/>
      <c r="F167" s="25"/>
      <c r="G167" s="119"/>
      <c r="H167" s="139"/>
    </row>
    <row r="168" ht="22.5" customHeight="1">
      <c r="A168" s="139"/>
      <c r="B168" s="71"/>
      <c r="C168" s="71"/>
      <c r="D168" s="25"/>
      <c r="E168" s="25"/>
      <c r="F168" s="25"/>
      <c r="G168" s="119"/>
      <c r="H168" s="139"/>
    </row>
    <row r="169" ht="22.5" customHeight="1">
      <c r="A169" s="139"/>
      <c r="B169" s="71"/>
      <c r="C169" s="71"/>
      <c r="D169" s="25"/>
      <c r="E169" s="25"/>
      <c r="F169" s="25"/>
      <c r="G169" s="119"/>
      <c r="H169" s="139"/>
    </row>
    <row r="170" ht="22.5" customHeight="1">
      <c r="A170" s="139"/>
      <c r="B170" s="71"/>
      <c r="C170" s="71"/>
      <c r="D170" s="25"/>
      <c r="E170" s="25"/>
      <c r="F170" s="25"/>
      <c r="G170" s="119"/>
      <c r="H170" s="139"/>
    </row>
    <row r="171" ht="22.5" customHeight="1">
      <c r="A171" s="139"/>
      <c r="B171" s="71"/>
      <c r="C171" s="71"/>
      <c r="D171" s="25"/>
      <c r="E171" s="25"/>
      <c r="F171" s="25"/>
      <c r="G171" s="119"/>
      <c r="H171" s="139"/>
    </row>
    <row r="172" ht="22.5" customHeight="1">
      <c r="A172" s="139"/>
      <c r="B172" s="71"/>
      <c r="C172" s="71"/>
      <c r="D172" s="25"/>
      <c r="E172" s="25"/>
      <c r="F172" s="25"/>
      <c r="G172" s="119"/>
      <c r="H172" s="139"/>
    </row>
    <row r="173" ht="22.5" customHeight="1">
      <c r="A173" s="139"/>
      <c r="B173" s="71"/>
      <c r="C173" s="71"/>
      <c r="D173" s="25"/>
      <c r="E173" s="25"/>
      <c r="F173" s="25"/>
      <c r="G173" s="119"/>
      <c r="H173" s="139"/>
    </row>
    <row r="174" ht="22.5" customHeight="1">
      <c r="A174" s="139"/>
      <c r="B174" s="71"/>
      <c r="C174" s="71"/>
      <c r="D174" s="25"/>
      <c r="E174" s="25"/>
      <c r="F174" s="25"/>
      <c r="G174" s="119"/>
      <c r="H174" s="139"/>
    </row>
    <row r="175" ht="22.5" customHeight="1">
      <c r="A175" s="139"/>
      <c r="B175" s="71"/>
      <c r="C175" s="71"/>
      <c r="D175" s="25"/>
      <c r="E175" s="25"/>
      <c r="F175" s="25"/>
      <c r="G175" s="119"/>
      <c r="H175" s="139"/>
    </row>
    <row r="176" ht="22.5" customHeight="1">
      <c r="A176" s="139"/>
      <c r="B176" s="71"/>
      <c r="C176" s="71"/>
      <c r="D176" s="25"/>
      <c r="E176" s="25"/>
      <c r="F176" s="25"/>
      <c r="G176" s="119"/>
      <c r="H176" s="139"/>
    </row>
    <row r="177" ht="22.5" customHeight="1">
      <c r="A177" s="139"/>
      <c r="B177" s="71"/>
      <c r="C177" s="71"/>
      <c r="D177" s="25"/>
      <c r="E177" s="25"/>
      <c r="F177" s="25"/>
      <c r="G177" s="119"/>
      <c r="H177" s="139"/>
    </row>
    <row r="178" ht="22.5" customHeight="1">
      <c r="A178" s="139"/>
      <c r="B178" s="71"/>
      <c r="C178" s="71"/>
      <c r="D178" s="25"/>
      <c r="E178" s="25"/>
      <c r="F178" s="25"/>
      <c r="G178" s="119"/>
      <c r="H178" s="139"/>
    </row>
    <row r="179" ht="22.5" customHeight="1">
      <c r="A179" s="139"/>
      <c r="B179" s="71"/>
      <c r="C179" s="71"/>
      <c r="D179" s="25"/>
      <c r="E179" s="25"/>
      <c r="F179" s="25"/>
      <c r="G179" s="119"/>
      <c r="H179" s="139"/>
    </row>
    <row r="180" ht="22.5" customHeight="1">
      <c r="A180" s="139"/>
      <c r="B180" s="71"/>
      <c r="C180" s="71"/>
      <c r="D180" s="25"/>
      <c r="E180" s="25"/>
      <c r="F180" s="25"/>
      <c r="G180" s="119"/>
      <c r="H180" s="139"/>
    </row>
    <row r="181" ht="22.5" customHeight="1">
      <c r="A181" s="139"/>
      <c r="B181" s="71"/>
      <c r="C181" s="71"/>
      <c r="D181" s="25"/>
      <c r="E181" s="25"/>
      <c r="F181" s="25"/>
      <c r="G181" s="119"/>
      <c r="H181" s="139"/>
    </row>
    <row r="182" ht="22.5" customHeight="1">
      <c r="A182" s="139"/>
      <c r="B182" s="71"/>
      <c r="C182" s="71"/>
      <c r="D182" s="25"/>
      <c r="E182" s="25"/>
      <c r="F182" s="25"/>
      <c r="G182" s="119"/>
      <c r="H182" s="139"/>
    </row>
    <row r="183" ht="22.5" customHeight="1">
      <c r="A183" s="139"/>
      <c r="B183" s="71"/>
      <c r="C183" s="71"/>
      <c r="D183" s="25"/>
      <c r="E183" s="25"/>
      <c r="F183" s="25"/>
      <c r="G183" s="119"/>
      <c r="H183" s="139"/>
    </row>
    <row r="184" ht="22.5" customHeight="1">
      <c r="A184" s="139"/>
      <c r="B184" s="71"/>
      <c r="C184" s="71"/>
      <c r="D184" s="25"/>
      <c r="E184" s="25"/>
      <c r="F184" s="25"/>
      <c r="G184" s="119"/>
      <c r="H184" s="139"/>
    </row>
    <row r="185" ht="22.5" customHeight="1">
      <c r="A185" s="139"/>
      <c r="B185" s="71"/>
      <c r="C185" s="71"/>
      <c r="D185" s="25"/>
      <c r="E185" s="25"/>
      <c r="F185" s="25"/>
      <c r="G185" s="119"/>
      <c r="H185" s="139"/>
    </row>
    <row r="186" ht="22.5" customHeight="1">
      <c r="A186" s="139"/>
      <c r="B186" s="71"/>
      <c r="C186" s="71"/>
      <c r="D186" s="25"/>
      <c r="E186" s="25"/>
      <c r="F186" s="25"/>
      <c r="G186" s="119"/>
      <c r="H186" s="139"/>
    </row>
    <row r="187" ht="22.5" customHeight="1">
      <c r="A187" s="139"/>
      <c r="B187" s="71"/>
      <c r="C187" s="71"/>
      <c r="D187" s="25"/>
      <c r="E187" s="25"/>
      <c r="F187" s="25"/>
      <c r="G187" s="119"/>
      <c r="H187" s="139"/>
    </row>
    <row r="188" ht="22.5" customHeight="1">
      <c r="A188" s="139"/>
      <c r="B188" s="71"/>
      <c r="C188" s="71"/>
      <c r="D188" s="25"/>
      <c r="E188" s="25"/>
      <c r="F188" s="25"/>
      <c r="G188" s="119"/>
      <c r="H188" s="139"/>
    </row>
    <row r="189" ht="22.5" customHeight="1">
      <c r="A189" s="139"/>
      <c r="B189" s="71"/>
      <c r="C189" s="71"/>
      <c r="D189" s="25"/>
      <c r="E189" s="25"/>
      <c r="F189" s="25"/>
      <c r="G189" s="119"/>
      <c r="H189" s="139"/>
    </row>
    <row r="190" ht="22.5" customHeight="1">
      <c r="A190" s="139"/>
      <c r="B190" s="71"/>
      <c r="C190" s="71"/>
      <c r="D190" s="25"/>
      <c r="E190" s="25"/>
      <c r="F190" s="25"/>
      <c r="G190" s="119"/>
      <c r="H190" s="139"/>
    </row>
    <row r="191" ht="22.5" customHeight="1">
      <c r="A191" s="139"/>
      <c r="B191" s="71"/>
      <c r="C191" s="71"/>
      <c r="D191" s="25"/>
      <c r="E191" s="25"/>
      <c r="F191" s="25"/>
      <c r="G191" s="119"/>
      <c r="H191" s="139"/>
    </row>
    <row r="192" ht="22.5" customHeight="1">
      <c r="A192" s="139"/>
      <c r="B192" s="71"/>
      <c r="C192" s="71"/>
      <c r="D192" s="25"/>
      <c r="E192" s="25"/>
      <c r="F192" s="25"/>
      <c r="G192" s="119"/>
      <c r="H192" s="139"/>
    </row>
    <row r="193" ht="22.5" customHeight="1">
      <c r="A193" s="139"/>
      <c r="B193" s="71"/>
      <c r="C193" s="71"/>
      <c r="D193" s="25"/>
      <c r="E193" s="25"/>
      <c r="F193" s="25"/>
      <c r="G193" s="119"/>
      <c r="H193" s="139"/>
    </row>
    <row r="194" ht="22.5" customHeight="1">
      <c r="A194" s="139"/>
      <c r="B194" s="71"/>
      <c r="C194" s="71"/>
      <c r="D194" s="25"/>
      <c r="E194" s="25"/>
      <c r="F194" s="25"/>
      <c r="G194" s="119"/>
      <c r="H194" s="139"/>
    </row>
    <row r="195" ht="22.5" customHeight="1">
      <c r="A195" s="139"/>
      <c r="B195" s="71"/>
      <c r="C195" s="71"/>
      <c r="D195" s="25"/>
      <c r="E195" s="25"/>
      <c r="F195" s="25"/>
      <c r="G195" s="119"/>
      <c r="H195" s="139"/>
    </row>
    <row r="196" ht="22.5" customHeight="1">
      <c r="A196" s="139"/>
      <c r="B196" s="71"/>
      <c r="C196" s="71"/>
      <c r="D196" s="25"/>
      <c r="E196" s="25"/>
      <c r="F196" s="25"/>
      <c r="G196" s="119"/>
      <c r="H196" s="139"/>
    </row>
    <row r="197" ht="22.5" customHeight="1">
      <c r="A197" s="139"/>
      <c r="B197" s="71"/>
      <c r="C197" s="71"/>
      <c r="D197" s="25"/>
      <c r="E197" s="25"/>
      <c r="F197" s="25"/>
      <c r="G197" s="119"/>
      <c r="H197" s="139"/>
    </row>
    <row r="198" ht="22.5" customHeight="1">
      <c r="A198" s="139"/>
      <c r="B198" s="71"/>
      <c r="C198" s="71"/>
      <c r="D198" s="25"/>
      <c r="E198" s="25"/>
      <c r="F198" s="25"/>
      <c r="G198" s="119"/>
      <c r="H198" s="139"/>
    </row>
    <row r="199" ht="22.5" customHeight="1">
      <c r="A199" s="139"/>
      <c r="B199" s="71"/>
      <c r="C199" s="71"/>
      <c r="D199" s="25"/>
      <c r="E199" s="25"/>
      <c r="F199" s="25"/>
      <c r="G199" s="119"/>
      <c r="H199" s="139"/>
    </row>
    <row r="200" ht="22.5" customHeight="1">
      <c r="A200" s="139"/>
      <c r="B200" s="71"/>
      <c r="C200" s="71"/>
      <c r="D200" s="25"/>
      <c r="E200" s="25"/>
      <c r="F200" s="25"/>
      <c r="G200" s="119"/>
      <c r="H200" s="139"/>
    </row>
    <row r="201" ht="22.5" customHeight="1">
      <c r="A201" s="139"/>
      <c r="B201" s="71"/>
      <c r="C201" s="71"/>
      <c r="D201" s="25"/>
      <c r="E201" s="25"/>
      <c r="F201" s="25"/>
      <c r="G201" s="119"/>
      <c r="H201" s="139"/>
    </row>
    <row r="202" ht="22.5" customHeight="1">
      <c r="A202" s="139"/>
      <c r="B202" s="71"/>
      <c r="C202" s="71"/>
      <c r="D202" s="25"/>
      <c r="E202" s="25"/>
      <c r="F202" s="25"/>
      <c r="G202" s="119"/>
      <c r="H202" s="139"/>
    </row>
    <row r="203" ht="22.5" customHeight="1">
      <c r="A203" s="139"/>
      <c r="B203" s="71"/>
      <c r="C203" s="71"/>
      <c r="D203" s="25"/>
      <c r="E203" s="25"/>
      <c r="F203" s="25"/>
      <c r="G203" s="119"/>
      <c r="H203" s="139"/>
    </row>
    <row r="204" ht="22.5" customHeight="1">
      <c r="A204" s="139"/>
      <c r="B204" s="71"/>
      <c r="C204" s="71"/>
      <c r="D204" s="25"/>
      <c r="E204" s="25"/>
      <c r="F204" s="25"/>
      <c r="G204" s="119"/>
      <c r="H204" s="139"/>
    </row>
    <row r="205" ht="22.5" customHeight="1">
      <c r="A205" s="139"/>
      <c r="B205" s="71"/>
      <c r="C205" s="71"/>
      <c r="D205" s="25"/>
      <c r="E205" s="25"/>
      <c r="F205" s="25"/>
      <c r="G205" s="119"/>
      <c r="H205" s="139"/>
    </row>
    <row r="206" ht="22.5" customHeight="1">
      <c r="A206" s="139"/>
      <c r="B206" s="71"/>
      <c r="C206" s="71"/>
      <c r="D206" s="25"/>
      <c r="E206" s="25"/>
      <c r="F206" s="25"/>
      <c r="G206" s="119"/>
      <c r="H206" s="139"/>
    </row>
    <row r="207" ht="22.5" customHeight="1">
      <c r="A207" s="139"/>
      <c r="B207" s="71"/>
      <c r="C207" s="71"/>
      <c r="D207" s="25"/>
      <c r="E207" s="25"/>
      <c r="F207" s="25"/>
      <c r="G207" s="119"/>
      <c r="H207" s="139"/>
    </row>
    <row r="208" ht="22.5" customHeight="1">
      <c r="A208" s="139"/>
      <c r="B208" s="71"/>
      <c r="C208" s="71"/>
      <c r="D208" s="25"/>
      <c r="E208" s="25"/>
      <c r="F208" s="25"/>
      <c r="G208" s="119"/>
      <c r="H208" s="139"/>
    </row>
    <row r="209" ht="22.5" customHeight="1">
      <c r="A209" s="139"/>
      <c r="B209" s="71"/>
      <c r="C209" s="71"/>
      <c r="D209" s="25"/>
      <c r="E209" s="25"/>
      <c r="F209" s="25"/>
      <c r="G209" s="119"/>
      <c r="H209" s="139"/>
    </row>
    <row r="210" ht="22.5" customHeight="1">
      <c r="A210" s="139"/>
      <c r="B210" s="71"/>
      <c r="C210" s="71"/>
      <c r="D210" s="25"/>
      <c r="E210" s="25"/>
      <c r="F210" s="25"/>
      <c r="G210" s="119"/>
      <c r="H210" s="139"/>
    </row>
    <row r="211" ht="22.5" customHeight="1">
      <c r="A211" s="139"/>
      <c r="B211" s="71"/>
      <c r="C211" s="71"/>
      <c r="D211" s="25"/>
      <c r="E211" s="25"/>
      <c r="F211" s="25"/>
      <c r="G211" s="119"/>
      <c r="H211" s="139"/>
    </row>
    <row r="212" ht="22.5" customHeight="1">
      <c r="A212" s="139"/>
      <c r="B212" s="71"/>
      <c r="C212" s="71"/>
      <c r="D212" s="25"/>
      <c r="E212" s="25"/>
      <c r="F212" s="25"/>
      <c r="G212" s="119"/>
      <c r="H212" s="139"/>
    </row>
    <row r="213" ht="22.5" customHeight="1">
      <c r="A213" s="139"/>
      <c r="B213" s="71"/>
      <c r="C213" s="71"/>
      <c r="D213" s="25"/>
      <c r="E213" s="25"/>
      <c r="F213" s="25"/>
      <c r="G213" s="119"/>
      <c r="H213" s="139"/>
    </row>
    <row r="214" ht="22.5" customHeight="1">
      <c r="A214" s="139"/>
      <c r="B214" s="71"/>
      <c r="C214" s="71"/>
      <c r="D214" s="25"/>
      <c r="E214" s="25"/>
      <c r="F214" s="25"/>
      <c r="G214" s="119"/>
      <c r="H214" s="139"/>
    </row>
    <row r="215" ht="22.5" customHeight="1">
      <c r="A215" s="139"/>
      <c r="B215" s="71"/>
      <c r="C215" s="71"/>
      <c r="D215" s="25"/>
      <c r="E215" s="25"/>
      <c r="F215" s="25"/>
      <c r="G215" s="119"/>
      <c r="H215" s="139"/>
    </row>
    <row r="216" ht="22.5" customHeight="1">
      <c r="A216" s="139"/>
      <c r="B216" s="71"/>
      <c r="C216" s="71"/>
      <c r="D216" s="25"/>
      <c r="E216" s="25"/>
      <c r="F216" s="25"/>
      <c r="G216" s="119"/>
      <c r="H216" s="139"/>
    </row>
    <row r="217" ht="22.5" customHeight="1">
      <c r="A217" s="139"/>
      <c r="B217" s="71"/>
      <c r="C217" s="71"/>
      <c r="D217" s="25"/>
      <c r="E217" s="25"/>
      <c r="F217" s="25"/>
      <c r="G217" s="119"/>
      <c r="H217" s="139"/>
    </row>
    <row r="218" ht="22.5" customHeight="1">
      <c r="A218" s="139"/>
      <c r="B218" s="71"/>
      <c r="C218" s="71"/>
      <c r="D218" s="25"/>
      <c r="E218" s="25"/>
      <c r="F218" s="25"/>
      <c r="G218" s="119"/>
      <c r="H218" s="139"/>
    </row>
    <row r="219" ht="22.5" customHeight="1">
      <c r="A219" s="139"/>
      <c r="B219" s="71"/>
      <c r="C219" s="71"/>
      <c r="D219" s="25"/>
      <c r="E219" s="25"/>
      <c r="F219" s="25"/>
      <c r="G219" s="119"/>
      <c r="H219" s="139"/>
    </row>
    <row r="220" ht="22.5" customHeight="1">
      <c r="A220" s="139"/>
      <c r="B220" s="71"/>
      <c r="C220" s="71"/>
      <c r="D220" s="25"/>
      <c r="E220" s="25"/>
      <c r="F220" s="25"/>
      <c r="G220" s="119"/>
      <c r="H220" s="139"/>
    </row>
    <row r="221" ht="22.5" customHeight="1">
      <c r="A221" s="139"/>
      <c r="B221" s="71"/>
      <c r="C221" s="71"/>
      <c r="D221" s="25"/>
      <c r="E221" s="25"/>
      <c r="F221" s="25"/>
      <c r="G221" s="119"/>
      <c r="H221" s="139"/>
    </row>
    <row r="222" ht="22.5" customHeight="1">
      <c r="A222" s="139"/>
      <c r="B222" s="71"/>
      <c r="C222" s="71"/>
      <c r="D222" s="25"/>
      <c r="E222" s="25"/>
      <c r="F222" s="25"/>
      <c r="G222" s="119"/>
      <c r="H222" s="139"/>
    </row>
    <row r="223" ht="22.5" customHeight="1">
      <c r="A223" s="139"/>
      <c r="B223" s="71"/>
      <c r="C223" s="71"/>
      <c r="D223" s="25"/>
      <c r="E223" s="25"/>
      <c r="F223" s="25"/>
      <c r="G223" s="119"/>
      <c r="H223" s="139"/>
    </row>
    <row r="224" ht="22.5" customHeight="1">
      <c r="A224" s="139"/>
      <c r="B224" s="71"/>
      <c r="C224" s="71"/>
      <c r="D224" s="25"/>
      <c r="E224" s="25"/>
      <c r="F224" s="25"/>
      <c r="G224" s="119"/>
      <c r="H224" s="139"/>
    </row>
    <row r="225" ht="22.5" customHeight="1">
      <c r="A225" s="139"/>
      <c r="B225" s="71"/>
      <c r="C225" s="71"/>
      <c r="D225" s="25"/>
      <c r="E225" s="25"/>
      <c r="F225" s="25"/>
      <c r="G225" s="119"/>
      <c r="H225" s="139"/>
    </row>
    <row r="226" ht="22.5" customHeight="1">
      <c r="A226" s="139"/>
      <c r="B226" s="71"/>
      <c r="C226" s="71"/>
      <c r="D226" s="25"/>
      <c r="E226" s="25"/>
      <c r="F226" s="25"/>
      <c r="G226" s="119"/>
      <c r="H226" s="139"/>
    </row>
    <row r="227" ht="22.5" customHeight="1">
      <c r="A227" s="139"/>
      <c r="B227" s="71"/>
      <c r="C227" s="71"/>
      <c r="D227" s="25"/>
      <c r="E227" s="25"/>
      <c r="F227" s="25"/>
      <c r="G227" s="119"/>
      <c r="H227" s="139"/>
    </row>
    <row r="228" ht="22.5" customHeight="1">
      <c r="A228" s="139"/>
      <c r="B228" s="71"/>
      <c r="C228" s="71"/>
      <c r="D228" s="25"/>
      <c r="E228" s="25"/>
      <c r="F228" s="25"/>
      <c r="G228" s="119"/>
      <c r="H228" s="139"/>
    </row>
    <row r="229" ht="22.5" customHeight="1">
      <c r="A229" s="139"/>
      <c r="B229" s="71"/>
      <c r="C229" s="71"/>
      <c r="D229" s="25"/>
      <c r="E229" s="25"/>
      <c r="F229" s="25"/>
      <c r="G229" s="119"/>
      <c r="H229" s="139"/>
    </row>
    <row r="230" ht="22.5" customHeight="1">
      <c r="A230" s="139"/>
      <c r="B230" s="71"/>
      <c r="C230" s="71"/>
      <c r="D230" s="25"/>
      <c r="E230" s="25"/>
      <c r="F230" s="25"/>
      <c r="G230" s="119"/>
      <c r="H230" s="139"/>
    </row>
    <row r="231" ht="22.5" customHeight="1">
      <c r="A231" s="139"/>
      <c r="B231" s="71"/>
      <c r="C231" s="71"/>
      <c r="D231" s="25"/>
      <c r="E231" s="25"/>
      <c r="F231" s="25"/>
      <c r="G231" s="119"/>
      <c r="H231" s="139"/>
    </row>
    <row r="232" ht="22.5" customHeight="1">
      <c r="A232" s="139"/>
      <c r="B232" s="71"/>
      <c r="C232" s="71"/>
      <c r="D232" s="25"/>
      <c r="E232" s="25"/>
      <c r="F232" s="25"/>
      <c r="G232" s="119"/>
      <c r="H232" s="139"/>
    </row>
    <row r="233" ht="22.5" customHeight="1">
      <c r="A233" s="139"/>
      <c r="B233" s="71"/>
      <c r="C233" s="71"/>
      <c r="D233" s="25"/>
      <c r="E233" s="25"/>
      <c r="F233" s="25"/>
      <c r="G233" s="119"/>
      <c r="H233" s="139"/>
    </row>
    <row r="234" ht="22.5" customHeight="1">
      <c r="A234" s="139"/>
      <c r="B234" s="71"/>
      <c r="C234" s="71"/>
      <c r="D234" s="25"/>
      <c r="E234" s="25"/>
      <c r="F234" s="25"/>
      <c r="G234" s="119"/>
      <c r="H234" s="139"/>
    </row>
    <row r="235" ht="22.5" customHeight="1">
      <c r="A235" s="139"/>
      <c r="B235" s="71"/>
      <c r="C235" s="71"/>
      <c r="D235" s="25"/>
      <c r="E235" s="25"/>
      <c r="F235" s="25"/>
      <c r="G235" s="119"/>
      <c r="H235" s="139"/>
    </row>
    <row r="236" ht="22.5" customHeight="1">
      <c r="A236" s="139"/>
      <c r="B236" s="71"/>
      <c r="C236" s="71"/>
      <c r="D236" s="25"/>
      <c r="E236" s="25"/>
      <c r="F236" s="25"/>
      <c r="G236" s="119"/>
      <c r="H236" s="139"/>
    </row>
    <row r="237" ht="22.5" customHeight="1">
      <c r="A237" s="139"/>
      <c r="B237" s="71"/>
      <c r="C237" s="71"/>
      <c r="D237" s="25"/>
      <c r="E237" s="25"/>
      <c r="F237" s="25"/>
      <c r="G237" s="119"/>
      <c r="H237" s="139"/>
    </row>
    <row r="238" ht="22.5" customHeight="1">
      <c r="A238" s="139"/>
      <c r="B238" s="71"/>
      <c r="C238" s="71"/>
      <c r="D238" s="25"/>
      <c r="E238" s="25"/>
      <c r="F238" s="25"/>
      <c r="G238" s="119"/>
      <c r="H238" s="139"/>
    </row>
    <row r="239" ht="22.5" customHeight="1">
      <c r="A239" s="139"/>
      <c r="B239" s="71"/>
      <c r="C239" s="71"/>
      <c r="D239" s="25"/>
      <c r="E239" s="25"/>
      <c r="F239" s="25"/>
      <c r="G239" s="119"/>
      <c r="H239" s="139"/>
    </row>
    <row r="240" ht="22.5" customHeight="1">
      <c r="A240" s="139"/>
      <c r="B240" s="71"/>
      <c r="C240" s="71"/>
      <c r="D240" s="25"/>
      <c r="E240" s="25"/>
      <c r="F240" s="25"/>
      <c r="G240" s="119"/>
      <c r="H240" s="139"/>
    </row>
    <row r="241" ht="22.5" customHeight="1">
      <c r="A241" s="139"/>
      <c r="B241" s="71"/>
      <c r="C241" s="71"/>
      <c r="D241" s="25"/>
      <c r="E241" s="25"/>
      <c r="F241" s="25"/>
      <c r="G241" s="119"/>
      <c r="H241" s="139"/>
    </row>
    <row r="242" ht="22.5" customHeight="1">
      <c r="A242" s="139"/>
      <c r="B242" s="71"/>
      <c r="C242" s="71"/>
      <c r="D242" s="25"/>
      <c r="E242" s="25"/>
      <c r="F242" s="25"/>
      <c r="G242" s="119"/>
      <c r="H242" s="139"/>
    </row>
    <row r="243" ht="22.5" customHeight="1">
      <c r="A243" s="139"/>
      <c r="B243" s="71"/>
      <c r="C243" s="71"/>
      <c r="D243" s="25"/>
      <c r="E243" s="25"/>
      <c r="F243" s="25"/>
      <c r="G243" s="119"/>
      <c r="H243" s="139"/>
    </row>
    <row r="244" ht="22.5" customHeight="1">
      <c r="A244" s="139"/>
      <c r="B244" s="71"/>
      <c r="C244" s="71"/>
      <c r="D244" s="25"/>
      <c r="E244" s="25"/>
      <c r="F244" s="25"/>
      <c r="G244" s="119"/>
      <c r="H244" s="139"/>
    </row>
    <row r="245" ht="22.5" customHeight="1">
      <c r="A245" s="139"/>
      <c r="B245" s="71"/>
      <c r="C245" s="71"/>
      <c r="D245" s="25"/>
      <c r="E245" s="25"/>
      <c r="F245" s="25"/>
      <c r="G245" s="119"/>
      <c r="H245" s="139"/>
    </row>
    <row r="246" ht="22.5" customHeight="1">
      <c r="A246" s="139"/>
      <c r="B246" s="71"/>
      <c r="C246" s="71"/>
      <c r="D246" s="25"/>
      <c r="E246" s="25"/>
      <c r="F246" s="25"/>
      <c r="G246" s="119"/>
      <c r="H246" s="139"/>
    </row>
    <row r="247" ht="22.5" customHeight="1">
      <c r="A247" s="139"/>
      <c r="B247" s="71"/>
      <c r="C247" s="71"/>
      <c r="D247" s="25"/>
      <c r="E247" s="25"/>
      <c r="F247" s="25"/>
      <c r="G247" s="119"/>
      <c r="H247" s="139"/>
    </row>
    <row r="248" ht="22.5" customHeight="1">
      <c r="A248" s="139"/>
      <c r="B248" s="71"/>
      <c r="C248" s="71"/>
      <c r="D248" s="25"/>
      <c r="E248" s="25"/>
      <c r="F248" s="25"/>
      <c r="G248" s="119"/>
      <c r="H248" s="139"/>
    </row>
    <row r="249" ht="22.5" customHeight="1">
      <c r="A249" s="139"/>
      <c r="B249" s="71"/>
      <c r="C249" s="71"/>
      <c r="D249" s="25"/>
      <c r="E249" s="25"/>
      <c r="F249" s="25"/>
      <c r="G249" s="119"/>
      <c r="H249" s="139"/>
    </row>
    <row r="250" ht="22.5" customHeight="1">
      <c r="A250" s="139"/>
      <c r="B250" s="71"/>
      <c r="C250" s="71"/>
      <c r="D250" s="25"/>
      <c r="E250" s="25"/>
      <c r="F250" s="25"/>
      <c r="G250" s="119"/>
      <c r="H250" s="139"/>
    </row>
    <row r="251" ht="22.5" customHeight="1">
      <c r="A251" s="139"/>
      <c r="B251" s="71"/>
      <c r="C251" s="71"/>
      <c r="D251" s="25"/>
      <c r="E251" s="25"/>
      <c r="F251" s="25"/>
      <c r="G251" s="119"/>
      <c r="H251" s="139"/>
    </row>
    <row r="252" ht="22.5" customHeight="1">
      <c r="A252" s="139"/>
      <c r="B252" s="71"/>
      <c r="C252" s="71"/>
      <c r="D252" s="25"/>
      <c r="E252" s="25"/>
      <c r="F252" s="25"/>
      <c r="G252" s="119"/>
      <c r="H252" s="139"/>
    </row>
    <row r="253" ht="22.5" customHeight="1">
      <c r="A253" s="139"/>
      <c r="B253" s="71"/>
      <c r="C253" s="71"/>
      <c r="D253" s="25"/>
      <c r="E253" s="25"/>
      <c r="F253" s="25"/>
      <c r="G253" s="119"/>
      <c r="H253" s="139"/>
    </row>
    <row r="254" ht="22.5" customHeight="1">
      <c r="A254" s="139"/>
      <c r="B254" s="71"/>
      <c r="C254" s="71"/>
      <c r="D254" s="25"/>
      <c r="E254" s="25"/>
      <c r="F254" s="25"/>
      <c r="G254" s="119"/>
      <c r="H254" s="139"/>
    </row>
    <row r="255" ht="22.5" customHeight="1">
      <c r="A255" s="139"/>
      <c r="B255" s="71"/>
      <c r="C255" s="71"/>
      <c r="D255" s="25"/>
      <c r="E255" s="25"/>
      <c r="F255" s="25"/>
      <c r="G255" s="119"/>
      <c r="H255" s="139"/>
    </row>
    <row r="256" ht="22.5" customHeight="1">
      <c r="A256" s="139"/>
      <c r="B256" s="71"/>
      <c r="C256" s="71"/>
      <c r="D256" s="25"/>
      <c r="E256" s="25"/>
      <c r="F256" s="25"/>
      <c r="G256" s="119"/>
      <c r="H256" s="139"/>
    </row>
    <row r="257" ht="22.5" customHeight="1">
      <c r="A257" s="139"/>
      <c r="B257" s="71"/>
      <c r="C257" s="71"/>
      <c r="D257" s="25"/>
      <c r="E257" s="25"/>
      <c r="F257" s="25"/>
      <c r="G257" s="119"/>
      <c r="H257" s="139"/>
    </row>
    <row r="258" ht="22.5" customHeight="1">
      <c r="A258" s="139"/>
      <c r="B258" s="71"/>
      <c r="C258" s="71"/>
      <c r="D258" s="25"/>
      <c r="E258" s="25"/>
      <c r="F258" s="25"/>
      <c r="G258" s="119"/>
      <c r="H258" s="139"/>
    </row>
    <row r="259" ht="22.5" customHeight="1">
      <c r="A259" s="139"/>
      <c r="B259" s="71"/>
      <c r="C259" s="71"/>
      <c r="D259" s="25"/>
      <c r="E259" s="25"/>
      <c r="F259" s="25"/>
      <c r="G259" s="119"/>
      <c r="H259" s="139"/>
    </row>
    <row r="260" ht="22.5" customHeight="1">
      <c r="A260" s="139"/>
      <c r="B260" s="71"/>
      <c r="C260" s="71"/>
      <c r="D260" s="25"/>
      <c r="E260" s="25"/>
      <c r="F260" s="25"/>
      <c r="G260" s="119"/>
      <c r="H260" s="139"/>
    </row>
    <row r="261" ht="22.5" customHeight="1">
      <c r="A261" s="139"/>
      <c r="B261" s="71"/>
      <c r="C261" s="71"/>
      <c r="D261" s="25"/>
      <c r="E261" s="25"/>
      <c r="F261" s="25"/>
      <c r="G261" s="119"/>
      <c r="H261" s="139"/>
    </row>
    <row r="262" ht="22.5" customHeight="1">
      <c r="A262" s="139"/>
      <c r="B262" s="71"/>
      <c r="C262" s="71"/>
      <c r="D262" s="25"/>
      <c r="E262" s="25"/>
      <c r="F262" s="25"/>
      <c r="G262" s="119"/>
      <c r="H262" s="139"/>
    </row>
    <row r="263" ht="22.5" customHeight="1">
      <c r="A263" s="139"/>
      <c r="B263" s="71"/>
      <c r="C263" s="71"/>
      <c r="D263" s="25"/>
      <c r="E263" s="25"/>
      <c r="F263" s="25"/>
      <c r="G263" s="119"/>
      <c r="H263" s="139"/>
    </row>
    <row r="264" ht="22.5" customHeight="1">
      <c r="A264" s="139"/>
      <c r="B264" s="71"/>
      <c r="C264" s="71"/>
      <c r="D264" s="25"/>
      <c r="E264" s="25"/>
      <c r="F264" s="25"/>
      <c r="G264" s="119"/>
      <c r="H264" s="139"/>
    </row>
    <row r="265" ht="22.5" customHeight="1">
      <c r="A265" s="139"/>
      <c r="B265" s="71"/>
      <c r="C265" s="71"/>
      <c r="D265" s="25"/>
      <c r="E265" s="25"/>
      <c r="F265" s="25"/>
      <c r="G265" s="119"/>
      <c r="H265" s="139"/>
    </row>
    <row r="266" ht="22.5" customHeight="1">
      <c r="A266" s="139"/>
      <c r="B266" s="71"/>
      <c r="C266" s="71"/>
      <c r="D266" s="25"/>
      <c r="E266" s="25"/>
      <c r="F266" s="25"/>
      <c r="G266" s="119"/>
      <c r="H266" s="139"/>
    </row>
    <row r="267" ht="22.5" customHeight="1">
      <c r="A267" s="139"/>
      <c r="B267" s="71"/>
      <c r="C267" s="71"/>
      <c r="D267" s="25"/>
      <c r="E267" s="25"/>
      <c r="F267" s="25"/>
      <c r="G267" s="119"/>
      <c r="H267" s="139"/>
    </row>
    <row r="268" ht="22.5" customHeight="1">
      <c r="A268" s="139"/>
      <c r="B268" s="71"/>
      <c r="C268" s="71"/>
      <c r="D268" s="25"/>
      <c r="E268" s="25"/>
      <c r="F268" s="25"/>
      <c r="G268" s="119"/>
      <c r="H268" s="139"/>
    </row>
    <row r="269" ht="22.5" customHeight="1">
      <c r="A269" s="139"/>
      <c r="B269" s="71"/>
      <c r="C269" s="71"/>
      <c r="D269" s="25"/>
      <c r="E269" s="25"/>
      <c r="F269" s="25"/>
      <c r="G269" s="119"/>
      <c r="H269" s="139"/>
    </row>
    <row r="270" ht="22.5" customHeight="1">
      <c r="A270" s="139"/>
      <c r="B270" s="71"/>
      <c r="C270" s="71"/>
      <c r="D270" s="25"/>
      <c r="E270" s="25"/>
      <c r="F270" s="25"/>
      <c r="G270" s="119"/>
      <c r="H270" s="139"/>
    </row>
    <row r="271" ht="22.5" customHeight="1">
      <c r="A271" s="139"/>
      <c r="B271" s="71"/>
      <c r="C271" s="71"/>
      <c r="D271" s="25"/>
      <c r="E271" s="25"/>
      <c r="F271" s="25"/>
      <c r="G271" s="119"/>
      <c r="H271" s="139"/>
    </row>
    <row r="272" ht="22.5" customHeight="1">
      <c r="A272" s="139"/>
      <c r="B272" s="71"/>
      <c r="C272" s="71"/>
      <c r="D272" s="25"/>
      <c r="E272" s="25"/>
      <c r="F272" s="25"/>
      <c r="G272" s="119"/>
      <c r="H272" s="139"/>
    </row>
    <row r="273" ht="22.5" customHeight="1">
      <c r="A273" s="139"/>
      <c r="B273" s="71"/>
      <c r="C273" s="71"/>
      <c r="D273" s="25"/>
      <c r="E273" s="25"/>
      <c r="F273" s="25"/>
      <c r="G273" s="119"/>
      <c r="H273" s="139"/>
    </row>
    <row r="274" ht="22.5" customHeight="1">
      <c r="A274" s="139"/>
      <c r="B274" s="71"/>
      <c r="C274" s="71"/>
      <c r="D274" s="25"/>
      <c r="E274" s="25"/>
      <c r="F274" s="25"/>
      <c r="G274" s="119"/>
      <c r="H274" s="139"/>
    </row>
    <row r="275" ht="22.5" customHeight="1">
      <c r="A275" s="139"/>
      <c r="B275" s="71"/>
      <c r="C275" s="71"/>
      <c r="D275" s="25"/>
      <c r="E275" s="25"/>
      <c r="F275" s="25"/>
      <c r="G275" s="119"/>
      <c r="H275" s="139"/>
    </row>
    <row r="276" ht="22.5" customHeight="1">
      <c r="A276" s="139"/>
      <c r="B276" s="71"/>
      <c r="C276" s="71"/>
      <c r="D276" s="25"/>
      <c r="E276" s="25"/>
      <c r="F276" s="25"/>
      <c r="G276" s="119"/>
      <c r="H276" s="139"/>
    </row>
    <row r="277" ht="22.5" customHeight="1">
      <c r="A277" s="139"/>
      <c r="B277" s="71"/>
      <c r="C277" s="71"/>
      <c r="D277" s="25"/>
      <c r="E277" s="25"/>
      <c r="F277" s="25"/>
      <c r="G277" s="119"/>
      <c r="H277" s="139"/>
    </row>
    <row r="278" ht="22.5" customHeight="1">
      <c r="A278" s="139"/>
      <c r="B278" s="71"/>
      <c r="C278" s="71"/>
      <c r="D278" s="25"/>
      <c r="E278" s="25"/>
      <c r="F278" s="25"/>
      <c r="G278" s="119"/>
      <c r="H278" s="139"/>
    </row>
    <row r="279" ht="22.5" customHeight="1">
      <c r="A279" s="139"/>
      <c r="B279" s="71"/>
      <c r="C279" s="71"/>
      <c r="D279" s="25"/>
      <c r="E279" s="25"/>
      <c r="F279" s="25"/>
      <c r="G279" s="119"/>
      <c r="H279" s="139"/>
    </row>
    <row r="280" ht="22.5" customHeight="1">
      <c r="A280" s="139"/>
      <c r="B280" s="71"/>
      <c r="C280" s="71"/>
      <c r="D280" s="25"/>
      <c r="E280" s="25"/>
      <c r="F280" s="25"/>
      <c r="G280" s="119"/>
      <c r="H280" s="139"/>
    </row>
    <row r="281" ht="22.5" customHeight="1">
      <c r="A281" s="139"/>
      <c r="B281" s="71"/>
      <c r="C281" s="71"/>
      <c r="D281" s="25"/>
      <c r="E281" s="25"/>
      <c r="F281" s="25"/>
      <c r="G281" s="119"/>
      <c r="H281" s="139"/>
    </row>
    <row r="282" ht="22.5" customHeight="1">
      <c r="A282" s="139"/>
      <c r="B282" s="71"/>
      <c r="C282" s="71"/>
      <c r="D282" s="25"/>
      <c r="E282" s="25"/>
      <c r="F282" s="25"/>
      <c r="G282" s="119"/>
      <c r="H282" s="139"/>
    </row>
    <row r="283" ht="22.5" customHeight="1">
      <c r="A283" s="139"/>
      <c r="B283" s="71"/>
      <c r="C283" s="71"/>
      <c r="D283" s="25"/>
      <c r="E283" s="25"/>
      <c r="F283" s="25"/>
      <c r="G283" s="119"/>
      <c r="H283" s="139"/>
    </row>
    <row r="284" ht="22.5" customHeight="1">
      <c r="A284" s="139"/>
      <c r="B284" s="71"/>
      <c r="C284" s="71"/>
      <c r="D284" s="25"/>
      <c r="E284" s="25"/>
      <c r="F284" s="25"/>
      <c r="G284" s="119"/>
      <c r="H284" s="139"/>
    </row>
    <row r="285" ht="22.5" customHeight="1">
      <c r="A285" s="139"/>
      <c r="B285" s="71"/>
      <c r="C285" s="71"/>
      <c r="D285" s="25"/>
      <c r="E285" s="25"/>
      <c r="F285" s="25"/>
      <c r="G285" s="119"/>
      <c r="H285" s="139"/>
    </row>
    <row r="286" ht="22.5" customHeight="1">
      <c r="A286" s="139"/>
      <c r="B286" s="71"/>
      <c r="C286" s="71"/>
      <c r="D286" s="25"/>
      <c r="E286" s="25"/>
      <c r="F286" s="25"/>
      <c r="G286" s="119"/>
      <c r="H286" s="139"/>
    </row>
    <row r="287" ht="22.5" customHeight="1">
      <c r="A287" s="139"/>
      <c r="B287" s="71"/>
      <c r="C287" s="71"/>
      <c r="D287" s="25"/>
      <c r="E287" s="25"/>
      <c r="F287" s="25"/>
      <c r="G287" s="119"/>
      <c r="H287" s="139"/>
    </row>
    <row r="288" ht="22.5" customHeight="1">
      <c r="A288" s="139"/>
      <c r="B288" s="71"/>
      <c r="C288" s="71"/>
      <c r="D288" s="25"/>
      <c r="E288" s="25"/>
      <c r="F288" s="25"/>
      <c r="G288" s="119"/>
      <c r="H288" s="139"/>
    </row>
    <row r="289" ht="22.5" customHeight="1">
      <c r="A289" s="139"/>
      <c r="B289" s="71"/>
      <c r="C289" s="71"/>
      <c r="D289" s="25"/>
      <c r="E289" s="25"/>
      <c r="F289" s="25"/>
      <c r="G289" s="119"/>
      <c r="H289" s="139"/>
    </row>
    <row r="290" ht="22.5" customHeight="1">
      <c r="A290" s="139"/>
      <c r="B290" s="71"/>
      <c r="C290" s="71"/>
      <c r="D290" s="25"/>
      <c r="E290" s="25"/>
      <c r="F290" s="25"/>
      <c r="G290" s="119"/>
      <c r="H290" s="139"/>
    </row>
    <row r="291" ht="22.5" customHeight="1">
      <c r="A291" s="139"/>
      <c r="B291" s="71"/>
      <c r="C291" s="71"/>
      <c r="D291" s="25"/>
      <c r="E291" s="25"/>
      <c r="F291" s="25"/>
      <c r="G291" s="119"/>
      <c r="H291" s="139"/>
    </row>
    <row r="292" ht="22.5" customHeight="1">
      <c r="A292" s="139"/>
      <c r="B292" s="71"/>
      <c r="C292" s="71"/>
      <c r="D292" s="25"/>
      <c r="E292" s="25"/>
      <c r="F292" s="25"/>
      <c r="G292" s="119"/>
      <c r="H292" s="139"/>
    </row>
    <row r="293" ht="22.5" customHeight="1">
      <c r="A293" s="139"/>
      <c r="B293" s="71"/>
      <c r="C293" s="71"/>
      <c r="D293" s="25"/>
      <c r="E293" s="25"/>
      <c r="F293" s="25"/>
      <c r="G293" s="119"/>
      <c r="H293" s="139"/>
    </row>
    <row r="294" ht="22.5" customHeight="1">
      <c r="A294" s="139"/>
      <c r="B294" s="71"/>
      <c r="C294" s="71"/>
      <c r="D294" s="25"/>
      <c r="E294" s="25"/>
      <c r="F294" s="25"/>
      <c r="G294" s="119"/>
      <c r="H294" s="139"/>
    </row>
    <row r="295" ht="22.5" customHeight="1">
      <c r="A295" s="139"/>
      <c r="B295" s="71"/>
      <c r="C295" s="71"/>
      <c r="D295" s="25"/>
      <c r="E295" s="25"/>
      <c r="F295" s="25"/>
      <c r="G295" s="119"/>
      <c r="H295" s="139"/>
    </row>
    <row r="296" ht="22.5" customHeight="1">
      <c r="A296" s="139"/>
      <c r="B296" s="71"/>
      <c r="C296" s="71"/>
      <c r="D296" s="25"/>
      <c r="E296" s="25"/>
      <c r="F296" s="25"/>
      <c r="G296" s="119"/>
      <c r="H296" s="139"/>
    </row>
    <row r="297" ht="22.5" customHeight="1">
      <c r="A297" s="139"/>
      <c r="B297" s="71"/>
      <c r="C297" s="71"/>
      <c r="D297" s="25"/>
      <c r="E297" s="25"/>
      <c r="F297" s="25"/>
      <c r="G297" s="119"/>
      <c r="H297" s="139"/>
    </row>
    <row r="298" ht="22.5" customHeight="1">
      <c r="A298" s="139"/>
      <c r="B298" s="71"/>
      <c r="C298" s="71"/>
      <c r="D298" s="25"/>
      <c r="E298" s="25"/>
      <c r="F298" s="25"/>
      <c r="G298" s="119"/>
      <c r="H298" s="139"/>
    </row>
    <row r="299" ht="22.5" customHeight="1">
      <c r="A299" s="139"/>
      <c r="B299" s="71"/>
      <c r="C299" s="71"/>
      <c r="D299" s="25"/>
      <c r="E299" s="25"/>
      <c r="F299" s="25"/>
      <c r="G299" s="119"/>
      <c r="H299" s="139"/>
    </row>
    <row r="300" ht="22.5" customHeight="1">
      <c r="A300" s="139"/>
      <c r="B300" s="71"/>
      <c r="C300" s="71"/>
      <c r="D300" s="25"/>
      <c r="E300" s="25"/>
      <c r="F300" s="25"/>
      <c r="G300" s="119"/>
      <c r="H300" s="139"/>
    </row>
    <row r="301" ht="22.5" customHeight="1">
      <c r="A301" s="139"/>
      <c r="B301" s="71"/>
      <c r="C301" s="71"/>
      <c r="D301" s="25"/>
      <c r="E301" s="25"/>
      <c r="F301" s="25"/>
      <c r="G301" s="119"/>
      <c r="H301" s="139"/>
    </row>
    <row r="302" ht="22.5" customHeight="1">
      <c r="A302" s="139"/>
      <c r="B302" s="71"/>
      <c r="C302" s="71"/>
      <c r="D302" s="25"/>
      <c r="E302" s="25"/>
      <c r="F302" s="25"/>
      <c r="G302" s="119"/>
      <c r="H302" s="139"/>
    </row>
    <row r="303" ht="22.5" customHeight="1">
      <c r="A303" s="139"/>
      <c r="B303" s="71"/>
      <c r="C303" s="71"/>
      <c r="D303" s="25"/>
      <c r="E303" s="25"/>
      <c r="F303" s="25"/>
      <c r="G303" s="119"/>
      <c r="H303" s="139"/>
    </row>
    <row r="304" ht="22.5" customHeight="1">
      <c r="A304" s="139"/>
      <c r="B304" s="71"/>
      <c r="C304" s="71"/>
      <c r="D304" s="25"/>
      <c r="E304" s="25"/>
      <c r="F304" s="25"/>
      <c r="G304" s="119"/>
      <c r="H304" s="139"/>
    </row>
    <row r="305" ht="22.5" customHeight="1">
      <c r="A305" s="139"/>
      <c r="B305" s="71"/>
      <c r="C305" s="71"/>
      <c r="D305" s="25"/>
      <c r="E305" s="25"/>
      <c r="F305" s="25"/>
      <c r="G305" s="119"/>
      <c r="H305" s="139"/>
    </row>
    <row r="306" ht="22.5" customHeight="1">
      <c r="A306" s="139"/>
      <c r="B306" s="71"/>
      <c r="C306" s="71"/>
      <c r="D306" s="25"/>
      <c r="E306" s="25"/>
      <c r="F306" s="25"/>
      <c r="G306" s="119"/>
      <c r="H306" s="139"/>
    </row>
    <row r="307" ht="22.5" customHeight="1">
      <c r="A307" s="139"/>
      <c r="B307" s="71"/>
      <c r="C307" s="71"/>
      <c r="D307" s="25"/>
      <c r="E307" s="25"/>
      <c r="F307" s="25"/>
      <c r="G307" s="119"/>
      <c r="H307" s="139"/>
    </row>
    <row r="308" ht="22.5" customHeight="1">
      <c r="A308" s="139"/>
      <c r="B308" s="71"/>
      <c r="C308" s="71"/>
      <c r="D308" s="25"/>
      <c r="E308" s="25"/>
      <c r="F308" s="25"/>
      <c r="G308" s="119"/>
      <c r="H308" s="139"/>
    </row>
    <row r="309" ht="22.5" customHeight="1">
      <c r="A309" s="139"/>
      <c r="B309" s="71"/>
      <c r="C309" s="71"/>
      <c r="D309" s="25"/>
      <c r="E309" s="25"/>
      <c r="F309" s="25"/>
      <c r="G309" s="119"/>
      <c r="H309" s="139"/>
    </row>
    <row r="310" ht="22.5" customHeight="1">
      <c r="A310" s="139"/>
      <c r="B310" s="71"/>
      <c r="C310" s="71"/>
      <c r="D310" s="25"/>
      <c r="E310" s="25"/>
      <c r="F310" s="25"/>
      <c r="G310" s="119"/>
      <c r="H310" s="139"/>
    </row>
    <row r="311" ht="22.5" customHeight="1">
      <c r="A311" s="139"/>
      <c r="B311" s="71"/>
      <c r="C311" s="71"/>
      <c r="D311" s="25"/>
      <c r="E311" s="25"/>
      <c r="F311" s="25"/>
      <c r="G311" s="119"/>
      <c r="H311" s="139"/>
    </row>
    <row r="312" ht="22.5" customHeight="1">
      <c r="A312" s="139"/>
      <c r="B312" s="71"/>
      <c r="C312" s="71"/>
      <c r="D312" s="25"/>
      <c r="E312" s="25"/>
      <c r="F312" s="25"/>
      <c r="G312" s="119"/>
      <c r="H312" s="139"/>
    </row>
    <row r="313" ht="22.5" customHeight="1">
      <c r="A313" s="139"/>
      <c r="B313" s="71"/>
      <c r="C313" s="71"/>
      <c r="D313" s="25"/>
      <c r="E313" s="25"/>
      <c r="F313" s="25"/>
      <c r="G313" s="119"/>
      <c r="H313" s="139"/>
    </row>
    <row r="314" ht="22.5" customHeight="1">
      <c r="A314" s="139"/>
      <c r="B314" s="71"/>
      <c r="C314" s="71"/>
      <c r="D314" s="25"/>
      <c r="E314" s="25"/>
      <c r="F314" s="25"/>
      <c r="G314" s="119"/>
      <c r="H314" s="139"/>
    </row>
    <row r="315" ht="22.5" customHeight="1">
      <c r="A315" s="139"/>
      <c r="B315" s="71"/>
      <c r="C315" s="71"/>
      <c r="D315" s="25"/>
      <c r="E315" s="25"/>
      <c r="F315" s="25"/>
      <c r="G315" s="119"/>
      <c r="H315" s="139"/>
    </row>
    <row r="316" ht="22.5" customHeight="1">
      <c r="A316" s="139"/>
      <c r="B316" s="71"/>
      <c r="C316" s="71"/>
      <c r="D316" s="25"/>
      <c r="E316" s="25"/>
      <c r="F316" s="25"/>
      <c r="G316" s="119"/>
      <c r="H316" s="139"/>
    </row>
    <row r="317" ht="22.5" customHeight="1">
      <c r="A317" s="139"/>
      <c r="B317" s="71"/>
      <c r="C317" s="71"/>
      <c r="D317" s="25"/>
      <c r="E317" s="25"/>
      <c r="F317" s="25"/>
      <c r="G317" s="119"/>
      <c r="H317" s="139"/>
    </row>
    <row r="318" ht="22.5" customHeight="1">
      <c r="A318" s="139"/>
      <c r="B318" s="71"/>
      <c r="C318" s="71"/>
      <c r="D318" s="25"/>
      <c r="E318" s="25"/>
      <c r="F318" s="25"/>
      <c r="G318" s="119"/>
      <c r="H318" s="139"/>
    </row>
    <row r="319" ht="22.5" customHeight="1">
      <c r="A319" s="139"/>
      <c r="B319" s="71"/>
      <c r="C319" s="71"/>
      <c r="D319" s="25"/>
      <c r="E319" s="25"/>
      <c r="F319" s="25"/>
      <c r="G319" s="119"/>
      <c r="H319" s="139"/>
    </row>
    <row r="320" ht="22.5" customHeight="1">
      <c r="A320" s="139"/>
      <c r="B320" s="71"/>
      <c r="C320" s="71"/>
      <c r="D320" s="25"/>
      <c r="E320" s="25"/>
      <c r="F320" s="25"/>
      <c r="G320" s="119"/>
      <c r="H320" s="139"/>
    </row>
    <row r="321" ht="22.5" customHeight="1">
      <c r="A321" s="139"/>
      <c r="B321" s="71"/>
      <c r="C321" s="71"/>
      <c r="D321" s="25"/>
      <c r="E321" s="25"/>
      <c r="F321" s="25"/>
      <c r="G321" s="119"/>
      <c r="H321" s="139"/>
    </row>
    <row r="322" ht="22.5" customHeight="1">
      <c r="A322" s="139"/>
      <c r="B322" s="71"/>
      <c r="C322" s="71"/>
      <c r="D322" s="25"/>
      <c r="E322" s="25"/>
      <c r="F322" s="25"/>
      <c r="G322" s="119"/>
      <c r="H322" s="139"/>
    </row>
    <row r="323" ht="22.5" customHeight="1">
      <c r="A323" s="139"/>
      <c r="B323" s="71"/>
      <c r="C323" s="71"/>
      <c r="D323" s="25"/>
      <c r="E323" s="25"/>
      <c r="F323" s="25"/>
      <c r="G323" s="119"/>
      <c r="H323" s="139"/>
    </row>
    <row r="324" ht="22.5" customHeight="1">
      <c r="A324" s="139"/>
      <c r="B324" s="71"/>
      <c r="C324" s="71"/>
      <c r="D324" s="25"/>
      <c r="E324" s="25"/>
      <c r="F324" s="25"/>
      <c r="G324" s="119"/>
      <c r="H324" s="139"/>
    </row>
    <row r="325" ht="22.5" customHeight="1">
      <c r="A325" s="139"/>
      <c r="B325" s="71"/>
      <c r="C325" s="71"/>
      <c r="D325" s="25"/>
      <c r="E325" s="25"/>
      <c r="F325" s="25"/>
      <c r="G325" s="119"/>
      <c r="H325" s="139"/>
    </row>
    <row r="326" ht="22.5" customHeight="1">
      <c r="A326" s="139"/>
      <c r="B326" s="71"/>
      <c r="C326" s="71"/>
      <c r="D326" s="25"/>
      <c r="E326" s="25"/>
      <c r="F326" s="25"/>
      <c r="G326" s="119"/>
      <c r="H326" s="139"/>
    </row>
    <row r="327" ht="22.5" customHeight="1">
      <c r="A327" s="139"/>
      <c r="B327" s="71"/>
      <c r="C327" s="71"/>
      <c r="D327" s="25"/>
      <c r="E327" s="25"/>
      <c r="F327" s="25"/>
      <c r="G327" s="119"/>
      <c r="H327" s="139"/>
    </row>
    <row r="328" ht="22.5" customHeight="1">
      <c r="A328" s="139"/>
      <c r="B328" s="71"/>
      <c r="C328" s="71"/>
      <c r="D328" s="25"/>
      <c r="E328" s="25"/>
      <c r="F328" s="25"/>
      <c r="G328" s="119"/>
      <c r="H328" s="139"/>
    </row>
    <row r="329" ht="22.5" customHeight="1">
      <c r="A329" s="139"/>
      <c r="B329" s="71"/>
      <c r="C329" s="71"/>
      <c r="D329" s="25"/>
      <c r="E329" s="25"/>
      <c r="F329" s="25"/>
      <c r="G329" s="119"/>
      <c r="H329" s="139"/>
    </row>
    <row r="330" ht="22.5" customHeight="1">
      <c r="A330" s="139"/>
      <c r="B330" s="71"/>
      <c r="C330" s="71"/>
      <c r="D330" s="25"/>
      <c r="E330" s="25"/>
      <c r="F330" s="25"/>
      <c r="G330" s="119"/>
      <c r="H330" s="139"/>
    </row>
    <row r="331" ht="22.5" customHeight="1">
      <c r="A331" s="139"/>
      <c r="B331" s="71"/>
      <c r="C331" s="71"/>
      <c r="D331" s="25"/>
      <c r="E331" s="25"/>
      <c r="F331" s="25"/>
      <c r="G331" s="119"/>
      <c r="H331" s="139"/>
    </row>
    <row r="332" ht="22.5" customHeight="1">
      <c r="A332" s="139"/>
      <c r="B332" s="71"/>
      <c r="C332" s="71"/>
      <c r="D332" s="25"/>
      <c r="E332" s="25"/>
      <c r="F332" s="25"/>
      <c r="G332" s="119"/>
      <c r="H332" s="139"/>
    </row>
    <row r="333" ht="22.5" customHeight="1">
      <c r="A333" s="139"/>
      <c r="B333" s="71"/>
      <c r="C333" s="71"/>
      <c r="D333" s="25"/>
      <c r="E333" s="25"/>
      <c r="F333" s="25"/>
      <c r="G333" s="119"/>
      <c r="H333" s="139"/>
    </row>
    <row r="334" ht="22.5" customHeight="1">
      <c r="A334" s="139"/>
      <c r="B334" s="71"/>
      <c r="C334" s="71"/>
      <c r="D334" s="25"/>
      <c r="E334" s="25"/>
      <c r="F334" s="25"/>
      <c r="G334" s="119"/>
      <c r="H334" s="139"/>
    </row>
    <row r="335" ht="22.5" customHeight="1">
      <c r="A335" s="139"/>
      <c r="B335" s="71"/>
      <c r="C335" s="71"/>
      <c r="D335" s="25"/>
      <c r="E335" s="25"/>
      <c r="F335" s="25"/>
      <c r="G335" s="119"/>
      <c r="H335" s="139"/>
    </row>
    <row r="336" ht="22.5" customHeight="1">
      <c r="A336" s="139"/>
      <c r="B336" s="71"/>
      <c r="C336" s="71"/>
      <c r="D336" s="25"/>
      <c r="E336" s="25"/>
      <c r="F336" s="25"/>
      <c r="G336" s="119"/>
      <c r="H336" s="139"/>
    </row>
    <row r="337" ht="22.5" customHeight="1">
      <c r="A337" s="139"/>
      <c r="B337" s="71"/>
      <c r="C337" s="71"/>
      <c r="D337" s="25"/>
      <c r="E337" s="25"/>
      <c r="F337" s="25"/>
      <c r="G337" s="119"/>
      <c r="H337" s="139"/>
    </row>
    <row r="338" ht="22.5" customHeight="1">
      <c r="A338" s="139"/>
      <c r="B338" s="71"/>
      <c r="C338" s="71"/>
      <c r="D338" s="25"/>
      <c r="E338" s="25"/>
      <c r="F338" s="25"/>
      <c r="G338" s="119"/>
      <c r="H338" s="139"/>
    </row>
    <row r="339" ht="22.5" customHeight="1">
      <c r="A339" s="139"/>
      <c r="B339" s="71"/>
      <c r="C339" s="71"/>
      <c r="D339" s="25"/>
      <c r="E339" s="25"/>
      <c r="F339" s="25"/>
      <c r="G339" s="119"/>
      <c r="H339" s="139"/>
    </row>
    <row r="340" ht="22.5" customHeight="1">
      <c r="A340" s="139"/>
      <c r="B340" s="71"/>
      <c r="C340" s="71"/>
      <c r="D340" s="25"/>
      <c r="E340" s="25"/>
      <c r="F340" s="25"/>
      <c r="G340" s="119"/>
      <c r="H340" s="139"/>
    </row>
    <row r="341" ht="22.5" customHeight="1">
      <c r="A341" s="139"/>
      <c r="B341" s="71"/>
      <c r="C341" s="71"/>
      <c r="D341" s="25"/>
      <c r="E341" s="25"/>
      <c r="F341" s="25"/>
      <c r="G341" s="119"/>
      <c r="H341" s="139"/>
    </row>
    <row r="342" ht="22.5" customHeight="1">
      <c r="A342" s="139"/>
      <c r="B342" s="71"/>
      <c r="C342" s="71"/>
      <c r="D342" s="25"/>
      <c r="E342" s="25"/>
      <c r="F342" s="25"/>
      <c r="G342" s="119"/>
      <c r="H342" s="139"/>
    </row>
    <row r="343" ht="22.5" customHeight="1">
      <c r="A343" s="139"/>
      <c r="B343" s="71"/>
      <c r="C343" s="71"/>
      <c r="D343" s="25"/>
      <c r="E343" s="25"/>
      <c r="F343" s="25"/>
      <c r="G343" s="119"/>
      <c r="H343" s="139"/>
    </row>
    <row r="344" ht="22.5" customHeight="1">
      <c r="A344" s="139"/>
      <c r="B344" s="71"/>
      <c r="C344" s="71"/>
      <c r="D344" s="25"/>
      <c r="E344" s="25"/>
      <c r="F344" s="25"/>
      <c r="G344" s="119"/>
      <c r="H344" s="139"/>
    </row>
    <row r="345" ht="22.5" customHeight="1">
      <c r="A345" s="139"/>
      <c r="B345" s="71"/>
      <c r="C345" s="71"/>
      <c r="D345" s="25"/>
      <c r="E345" s="25"/>
      <c r="F345" s="25"/>
      <c r="G345" s="119"/>
      <c r="H345" s="139"/>
    </row>
    <row r="346" ht="22.5" customHeight="1">
      <c r="A346" s="139"/>
      <c r="B346" s="71"/>
      <c r="C346" s="71"/>
      <c r="D346" s="25"/>
      <c r="E346" s="25"/>
      <c r="F346" s="25"/>
      <c r="G346" s="119"/>
      <c r="H346" s="139"/>
    </row>
    <row r="347" ht="22.5" customHeight="1">
      <c r="A347" s="139"/>
      <c r="B347" s="71"/>
      <c r="C347" s="71"/>
      <c r="D347" s="25"/>
      <c r="E347" s="25"/>
      <c r="F347" s="25"/>
      <c r="G347" s="119"/>
      <c r="H347" s="139"/>
    </row>
    <row r="348" ht="22.5" customHeight="1">
      <c r="A348" s="139"/>
      <c r="B348" s="71"/>
      <c r="C348" s="71"/>
      <c r="D348" s="25"/>
      <c r="E348" s="25"/>
      <c r="F348" s="25"/>
      <c r="G348" s="119"/>
      <c r="H348" s="139"/>
    </row>
    <row r="349" ht="22.5" customHeight="1">
      <c r="A349" s="139"/>
      <c r="B349" s="71"/>
      <c r="C349" s="71"/>
      <c r="D349" s="25"/>
      <c r="E349" s="25"/>
      <c r="F349" s="25"/>
      <c r="G349" s="119"/>
      <c r="H349" s="139"/>
    </row>
    <row r="350" ht="22.5" customHeight="1">
      <c r="A350" s="139"/>
      <c r="B350" s="71"/>
      <c r="C350" s="71"/>
      <c r="D350" s="25"/>
      <c r="E350" s="25"/>
      <c r="F350" s="25"/>
      <c r="G350" s="119"/>
      <c r="H350" s="139"/>
    </row>
    <row r="351" ht="22.5" customHeight="1">
      <c r="A351" s="139"/>
      <c r="B351" s="71"/>
      <c r="C351" s="71"/>
      <c r="D351" s="25"/>
      <c r="E351" s="25"/>
      <c r="F351" s="25"/>
      <c r="G351" s="119"/>
      <c r="H351" s="139"/>
    </row>
    <row r="352" ht="22.5" customHeight="1">
      <c r="A352" s="139"/>
      <c r="B352" s="71"/>
      <c r="C352" s="71"/>
      <c r="D352" s="25"/>
      <c r="E352" s="25"/>
      <c r="F352" s="25"/>
      <c r="G352" s="119"/>
      <c r="H352" s="139"/>
    </row>
    <row r="353" ht="22.5" customHeight="1">
      <c r="A353" s="139"/>
      <c r="B353" s="71"/>
      <c r="C353" s="71"/>
      <c r="D353" s="25"/>
      <c r="E353" s="25"/>
      <c r="F353" s="25"/>
      <c r="G353" s="119"/>
      <c r="H353" s="139"/>
    </row>
    <row r="354" ht="22.5" customHeight="1">
      <c r="A354" s="139"/>
      <c r="B354" s="71"/>
      <c r="C354" s="71"/>
      <c r="D354" s="25"/>
      <c r="E354" s="25"/>
      <c r="F354" s="25"/>
      <c r="G354" s="119"/>
      <c r="H354" s="139"/>
    </row>
    <row r="355" ht="22.5" customHeight="1">
      <c r="A355" s="139"/>
      <c r="B355" s="71"/>
      <c r="C355" s="71"/>
      <c r="D355" s="25"/>
      <c r="E355" s="25"/>
      <c r="F355" s="25"/>
      <c r="G355" s="119"/>
      <c r="H355" s="139"/>
    </row>
    <row r="356" ht="22.5" customHeight="1">
      <c r="A356" s="139"/>
      <c r="B356" s="71"/>
      <c r="C356" s="71"/>
      <c r="D356" s="25"/>
      <c r="E356" s="25"/>
      <c r="F356" s="25"/>
      <c r="G356" s="119"/>
      <c r="H356" s="139"/>
    </row>
    <row r="357" ht="22.5" customHeight="1">
      <c r="A357" s="139"/>
      <c r="B357" s="71"/>
      <c r="C357" s="71"/>
      <c r="D357" s="25"/>
      <c r="E357" s="25"/>
      <c r="F357" s="25"/>
      <c r="G357" s="119"/>
      <c r="H357" s="139"/>
    </row>
    <row r="358" ht="22.5" customHeight="1">
      <c r="A358" s="139"/>
      <c r="B358" s="71"/>
      <c r="C358" s="71"/>
      <c r="D358" s="25"/>
      <c r="E358" s="25"/>
      <c r="F358" s="25"/>
      <c r="G358" s="119"/>
      <c r="H358" s="139"/>
    </row>
    <row r="359" ht="22.5" customHeight="1">
      <c r="A359" s="139"/>
      <c r="B359" s="71"/>
      <c r="C359" s="71"/>
      <c r="D359" s="25"/>
      <c r="E359" s="25"/>
      <c r="F359" s="25"/>
      <c r="G359" s="119"/>
      <c r="H359" s="139"/>
    </row>
    <row r="360" ht="22.5" customHeight="1">
      <c r="A360" s="139"/>
      <c r="B360" s="71"/>
      <c r="C360" s="71"/>
      <c r="D360" s="25"/>
      <c r="E360" s="25"/>
      <c r="F360" s="25"/>
      <c r="G360" s="119"/>
      <c r="H360" s="139"/>
    </row>
    <row r="361" ht="22.5" customHeight="1">
      <c r="A361" s="139"/>
      <c r="B361" s="71"/>
      <c r="C361" s="71"/>
      <c r="D361" s="25"/>
      <c r="E361" s="25"/>
      <c r="F361" s="25"/>
      <c r="G361" s="119"/>
      <c r="H361" s="139"/>
    </row>
    <row r="362" ht="22.5" customHeight="1">
      <c r="A362" s="139"/>
      <c r="B362" s="71"/>
      <c r="C362" s="71"/>
      <c r="D362" s="25"/>
      <c r="E362" s="25"/>
      <c r="F362" s="25"/>
      <c r="G362" s="119"/>
      <c r="H362" s="139"/>
    </row>
    <row r="363" ht="22.5" customHeight="1">
      <c r="A363" s="139"/>
      <c r="B363" s="71"/>
      <c r="C363" s="71"/>
      <c r="D363" s="25"/>
      <c r="E363" s="25"/>
      <c r="F363" s="25"/>
      <c r="G363" s="119"/>
      <c r="H363" s="139"/>
    </row>
    <row r="364" ht="22.5" customHeight="1">
      <c r="A364" s="139"/>
      <c r="B364" s="71"/>
      <c r="C364" s="71"/>
      <c r="D364" s="25"/>
      <c r="E364" s="25"/>
      <c r="F364" s="25"/>
      <c r="G364" s="119"/>
      <c r="H364" s="139"/>
    </row>
    <row r="365" ht="22.5" customHeight="1">
      <c r="A365" s="139"/>
      <c r="B365" s="71"/>
      <c r="C365" s="71"/>
      <c r="D365" s="25"/>
      <c r="E365" s="25"/>
      <c r="F365" s="25"/>
      <c r="G365" s="119"/>
      <c r="H365" s="139"/>
    </row>
    <row r="366" ht="22.5" customHeight="1">
      <c r="A366" s="139"/>
      <c r="B366" s="71"/>
      <c r="C366" s="71"/>
      <c r="D366" s="25"/>
      <c r="E366" s="25"/>
      <c r="F366" s="25"/>
      <c r="G366" s="119"/>
      <c r="H366" s="139"/>
    </row>
    <row r="367" ht="22.5" customHeight="1">
      <c r="A367" s="139"/>
      <c r="B367" s="71"/>
      <c r="C367" s="71"/>
      <c r="D367" s="25"/>
      <c r="E367" s="25"/>
      <c r="F367" s="25"/>
      <c r="G367" s="119"/>
      <c r="H367" s="139"/>
    </row>
    <row r="368" ht="22.5" customHeight="1">
      <c r="A368" s="139"/>
      <c r="B368" s="71"/>
      <c r="C368" s="71"/>
      <c r="D368" s="25"/>
      <c r="E368" s="25"/>
      <c r="F368" s="25"/>
      <c r="G368" s="119"/>
      <c r="H368" s="139"/>
    </row>
    <row r="369" ht="22.5" customHeight="1">
      <c r="A369" s="139"/>
      <c r="B369" s="71"/>
      <c r="C369" s="71"/>
      <c r="D369" s="25"/>
      <c r="E369" s="25"/>
      <c r="F369" s="25"/>
      <c r="G369" s="119"/>
      <c r="H369" s="139"/>
    </row>
    <row r="370" ht="22.5" customHeight="1">
      <c r="A370" s="139"/>
      <c r="B370" s="71"/>
      <c r="C370" s="71"/>
      <c r="D370" s="25"/>
      <c r="E370" s="25"/>
      <c r="F370" s="25"/>
      <c r="G370" s="119"/>
      <c r="H370" s="139"/>
    </row>
    <row r="371" ht="22.5" customHeight="1">
      <c r="A371" s="139"/>
      <c r="B371" s="71"/>
      <c r="C371" s="71"/>
      <c r="D371" s="25"/>
      <c r="E371" s="25"/>
      <c r="F371" s="25"/>
      <c r="G371" s="119"/>
      <c r="H371" s="139"/>
    </row>
    <row r="372" ht="22.5" customHeight="1">
      <c r="A372" s="139"/>
      <c r="B372" s="71"/>
      <c r="C372" s="71"/>
      <c r="D372" s="25"/>
      <c r="E372" s="25"/>
      <c r="F372" s="25"/>
      <c r="G372" s="119"/>
      <c r="H372" s="139"/>
    </row>
    <row r="373" ht="22.5" customHeight="1">
      <c r="A373" s="139"/>
      <c r="B373" s="71"/>
      <c r="C373" s="71"/>
      <c r="D373" s="25"/>
      <c r="E373" s="25"/>
      <c r="F373" s="25"/>
      <c r="G373" s="119"/>
      <c r="H373" s="139"/>
    </row>
    <row r="374" ht="22.5" customHeight="1">
      <c r="A374" s="139"/>
      <c r="B374" s="71"/>
      <c r="C374" s="71"/>
      <c r="D374" s="25"/>
      <c r="E374" s="25"/>
      <c r="F374" s="25"/>
      <c r="G374" s="119"/>
      <c r="H374" s="139"/>
    </row>
    <row r="375" ht="22.5" customHeight="1">
      <c r="A375" s="139"/>
      <c r="B375" s="71"/>
      <c r="C375" s="71"/>
      <c r="D375" s="25"/>
      <c r="E375" s="25"/>
      <c r="F375" s="25"/>
      <c r="G375" s="119"/>
      <c r="H375" s="139"/>
    </row>
    <row r="376" ht="22.5" customHeight="1">
      <c r="A376" s="139"/>
      <c r="B376" s="71"/>
      <c r="C376" s="71"/>
      <c r="D376" s="25"/>
      <c r="E376" s="25"/>
      <c r="F376" s="25"/>
      <c r="G376" s="119"/>
      <c r="H376" s="139"/>
    </row>
    <row r="377" ht="22.5" customHeight="1">
      <c r="A377" s="139"/>
      <c r="B377" s="71"/>
      <c r="C377" s="71"/>
      <c r="D377" s="25"/>
      <c r="E377" s="25"/>
      <c r="F377" s="25"/>
      <c r="G377" s="119"/>
      <c r="H377" s="139"/>
    </row>
    <row r="378" ht="22.5" customHeight="1">
      <c r="A378" s="139"/>
      <c r="B378" s="71"/>
      <c r="C378" s="71"/>
      <c r="D378" s="25"/>
      <c r="E378" s="25"/>
      <c r="F378" s="25"/>
      <c r="G378" s="119"/>
      <c r="H378" s="139"/>
    </row>
    <row r="379" ht="22.5" customHeight="1">
      <c r="A379" s="139"/>
      <c r="B379" s="71"/>
      <c r="C379" s="71"/>
      <c r="D379" s="25"/>
      <c r="E379" s="25"/>
      <c r="F379" s="25"/>
      <c r="G379" s="119"/>
      <c r="H379" s="139"/>
    </row>
    <row r="380" ht="22.5" customHeight="1">
      <c r="A380" s="139"/>
      <c r="B380" s="71"/>
      <c r="C380" s="71"/>
      <c r="D380" s="25"/>
      <c r="E380" s="25"/>
      <c r="F380" s="25"/>
      <c r="G380" s="119"/>
      <c r="H380" s="139"/>
    </row>
    <row r="381" ht="22.5" customHeight="1">
      <c r="A381" s="139"/>
      <c r="B381" s="71"/>
      <c r="C381" s="71"/>
      <c r="D381" s="25"/>
      <c r="E381" s="25"/>
      <c r="F381" s="25"/>
      <c r="G381" s="119"/>
      <c r="H381" s="139"/>
    </row>
    <row r="382" ht="22.5" customHeight="1">
      <c r="A382" s="139"/>
      <c r="B382" s="71"/>
      <c r="C382" s="71"/>
      <c r="D382" s="25"/>
      <c r="E382" s="25"/>
      <c r="F382" s="25"/>
      <c r="G382" s="119"/>
      <c r="H382" s="139"/>
    </row>
    <row r="383" ht="22.5" customHeight="1">
      <c r="A383" s="139"/>
      <c r="B383" s="71"/>
      <c r="C383" s="71"/>
      <c r="D383" s="25"/>
      <c r="E383" s="25"/>
      <c r="F383" s="25"/>
      <c r="G383" s="119"/>
      <c r="H383" s="139"/>
    </row>
    <row r="384" ht="22.5" customHeight="1">
      <c r="A384" s="139"/>
      <c r="B384" s="71"/>
      <c r="C384" s="71"/>
      <c r="D384" s="25"/>
      <c r="E384" s="25"/>
      <c r="F384" s="25"/>
      <c r="G384" s="119"/>
      <c r="H384" s="139"/>
    </row>
    <row r="385" ht="22.5" customHeight="1">
      <c r="A385" s="139"/>
      <c r="B385" s="71"/>
      <c r="C385" s="71"/>
      <c r="D385" s="25"/>
      <c r="E385" s="25"/>
      <c r="F385" s="25"/>
      <c r="G385" s="119"/>
      <c r="H385" s="139"/>
    </row>
    <row r="386" ht="22.5" customHeight="1">
      <c r="A386" s="139"/>
      <c r="B386" s="71"/>
      <c r="C386" s="71"/>
      <c r="D386" s="25"/>
      <c r="E386" s="25"/>
      <c r="F386" s="25"/>
      <c r="G386" s="119"/>
      <c r="H386" s="139"/>
    </row>
    <row r="387" ht="22.5" customHeight="1">
      <c r="A387" s="139"/>
      <c r="B387" s="71"/>
      <c r="C387" s="71"/>
      <c r="D387" s="25"/>
      <c r="E387" s="25"/>
      <c r="F387" s="25"/>
      <c r="G387" s="119"/>
      <c r="H387" s="139"/>
    </row>
    <row r="388" ht="22.5" customHeight="1">
      <c r="A388" s="139"/>
      <c r="B388" s="71"/>
      <c r="C388" s="71"/>
      <c r="D388" s="25"/>
      <c r="E388" s="25"/>
      <c r="F388" s="25"/>
      <c r="G388" s="119"/>
      <c r="H388" s="139"/>
    </row>
    <row r="389" ht="22.5" customHeight="1">
      <c r="A389" s="139"/>
      <c r="B389" s="71"/>
      <c r="C389" s="71"/>
      <c r="D389" s="25"/>
      <c r="E389" s="25"/>
      <c r="F389" s="25"/>
      <c r="G389" s="119"/>
      <c r="H389" s="139"/>
    </row>
    <row r="390" ht="22.5" customHeight="1">
      <c r="A390" s="139"/>
      <c r="B390" s="71"/>
      <c r="C390" s="71"/>
      <c r="D390" s="25"/>
      <c r="E390" s="25"/>
      <c r="F390" s="25"/>
      <c r="G390" s="119"/>
      <c r="H390" s="139"/>
    </row>
    <row r="391" ht="22.5" customHeight="1">
      <c r="A391" s="139"/>
      <c r="B391" s="71"/>
      <c r="C391" s="71"/>
      <c r="D391" s="25"/>
      <c r="E391" s="25"/>
      <c r="F391" s="25"/>
      <c r="G391" s="119"/>
      <c r="H391" s="139"/>
    </row>
    <row r="392" ht="22.5" customHeight="1">
      <c r="A392" s="139"/>
      <c r="B392" s="71"/>
      <c r="C392" s="71"/>
      <c r="D392" s="25"/>
      <c r="E392" s="25"/>
      <c r="F392" s="25"/>
      <c r="G392" s="119"/>
      <c r="H392" s="139"/>
    </row>
    <row r="393" ht="22.5" customHeight="1">
      <c r="A393" s="139"/>
      <c r="B393" s="71"/>
      <c r="C393" s="71"/>
      <c r="D393" s="25"/>
      <c r="E393" s="25"/>
      <c r="F393" s="25"/>
      <c r="G393" s="119"/>
      <c r="H393" s="139"/>
    </row>
    <row r="394" ht="22.5" customHeight="1">
      <c r="A394" s="139"/>
      <c r="B394" s="71"/>
      <c r="C394" s="71"/>
      <c r="D394" s="25"/>
      <c r="E394" s="25"/>
      <c r="F394" s="25"/>
      <c r="G394" s="119"/>
      <c r="H394" s="139"/>
    </row>
    <row r="395" ht="22.5" customHeight="1">
      <c r="A395" s="139"/>
      <c r="B395" s="71"/>
      <c r="C395" s="71"/>
      <c r="D395" s="25"/>
      <c r="E395" s="25"/>
      <c r="F395" s="25"/>
      <c r="G395" s="119"/>
      <c r="H395" s="139"/>
    </row>
    <row r="396" ht="22.5" customHeight="1">
      <c r="A396" s="139"/>
      <c r="B396" s="71"/>
      <c r="C396" s="71"/>
      <c r="D396" s="25"/>
      <c r="E396" s="25"/>
      <c r="F396" s="25"/>
      <c r="G396" s="119"/>
      <c r="H396" s="139"/>
    </row>
    <row r="397" ht="22.5" customHeight="1">
      <c r="A397" s="139"/>
      <c r="B397" s="71"/>
      <c r="C397" s="71"/>
      <c r="D397" s="25"/>
      <c r="E397" s="25"/>
      <c r="F397" s="25"/>
      <c r="G397" s="119"/>
      <c r="H397" s="139"/>
    </row>
    <row r="398" ht="22.5" customHeight="1">
      <c r="A398" s="139"/>
      <c r="B398" s="71"/>
      <c r="C398" s="71"/>
      <c r="D398" s="25"/>
      <c r="E398" s="25"/>
      <c r="F398" s="25"/>
      <c r="G398" s="119"/>
      <c r="H398" s="139"/>
    </row>
    <row r="399" ht="22.5" customHeight="1">
      <c r="A399" s="139"/>
      <c r="B399" s="71"/>
      <c r="C399" s="71"/>
      <c r="D399" s="25"/>
      <c r="E399" s="25"/>
      <c r="F399" s="25"/>
      <c r="G399" s="119"/>
      <c r="H399" s="139"/>
    </row>
    <row r="400" ht="22.5" customHeight="1">
      <c r="A400" s="139"/>
      <c r="B400" s="71"/>
      <c r="C400" s="71"/>
      <c r="D400" s="25"/>
      <c r="E400" s="25"/>
      <c r="F400" s="25"/>
      <c r="G400" s="119"/>
      <c r="H400" s="139"/>
    </row>
    <row r="401" ht="22.5" customHeight="1">
      <c r="A401" s="139"/>
      <c r="B401" s="71"/>
      <c r="C401" s="71"/>
      <c r="D401" s="25"/>
      <c r="E401" s="25"/>
      <c r="F401" s="25"/>
      <c r="G401" s="119"/>
      <c r="H401" s="139"/>
    </row>
    <row r="402" ht="22.5" customHeight="1">
      <c r="A402" s="139"/>
      <c r="B402" s="71"/>
      <c r="C402" s="71"/>
      <c r="D402" s="25"/>
      <c r="E402" s="25"/>
      <c r="F402" s="25"/>
      <c r="G402" s="119"/>
      <c r="H402" s="139"/>
    </row>
    <row r="403" ht="22.5" customHeight="1">
      <c r="A403" s="139"/>
      <c r="B403" s="71"/>
      <c r="C403" s="71"/>
      <c r="D403" s="25"/>
      <c r="E403" s="25"/>
      <c r="F403" s="25"/>
      <c r="G403" s="119"/>
      <c r="H403" s="139"/>
    </row>
    <row r="404" ht="22.5" customHeight="1">
      <c r="A404" s="139"/>
      <c r="B404" s="71"/>
      <c r="C404" s="71"/>
      <c r="D404" s="25"/>
      <c r="E404" s="25"/>
      <c r="F404" s="25"/>
      <c r="G404" s="119"/>
      <c r="H404" s="139"/>
    </row>
    <row r="405" ht="22.5" customHeight="1">
      <c r="A405" s="139"/>
      <c r="B405" s="71"/>
      <c r="C405" s="71"/>
      <c r="D405" s="25"/>
      <c r="E405" s="25"/>
      <c r="F405" s="25"/>
      <c r="G405" s="119"/>
      <c r="H405" s="139"/>
    </row>
    <row r="406" ht="22.5" customHeight="1">
      <c r="A406" s="139"/>
      <c r="B406" s="71"/>
      <c r="C406" s="71"/>
      <c r="D406" s="25"/>
      <c r="E406" s="25"/>
      <c r="F406" s="25"/>
      <c r="G406" s="119"/>
      <c r="H406" s="139"/>
    </row>
    <row r="407" ht="22.5" customHeight="1">
      <c r="A407" s="139"/>
      <c r="B407" s="71"/>
      <c r="C407" s="71"/>
      <c r="D407" s="25"/>
      <c r="E407" s="25"/>
      <c r="F407" s="25"/>
      <c r="G407" s="119"/>
      <c r="H407" s="139"/>
    </row>
    <row r="408" ht="22.5" customHeight="1">
      <c r="A408" s="139"/>
      <c r="B408" s="71"/>
      <c r="C408" s="71"/>
      <c r="D408" s="25"/>
      <c r="E408" s="25"/>
      <c r="F408" s="25"/>
      <c r="G408" s="119"/>
      <c r="H408" s="139"/>
    </row>
    <row r="409" ht="22.5" customHeight="1">
      <c r="A409" s="139"/>
      <c r="B409" s="71"/>
      <c r="C409" s="71"/>
      <c r="D409" s="25"/>
      <c r="E409" s="25"/>
      <c r="F409" s="25"/>
      <c r="G409" s="119"/>
      <c r="H409" s="139"/>
    </row>
    <row r="410" ht="22.5" customHeight="1">
      <c r="A410" s="139"/>
      <c r="B410" s="71"/>
      <c r="C410" s="71"/>
      <c r="D410" s="25"/>
      <c r="E410" s="25"/>
      <c r="F410" s="25"/>
      <c r="G410" s="119"/>
      <c r="H410" s="139"/>
    </row>
    <row r="411" ht="22.5" customHeight="1">
      <c r="A411" s="139"/>
      <c r="B411" s="71"/>
      <c r="C411" s="71"/>
      <c r="D411" s="25"/>
      <c r="E411" s="25"/>
      <c r="F411" s="25"/>
      <c r="G411" s="119"/>
      <c r="H411" s="139"/>
    </row>
    <row r="412" ht="22.5" customHeight="1">
      <c r="A412" s="139"/>
      <c r="B412" s="71"/>
      <c r="C412" s="71"/>
      <c r="D412" s="25"/>
      <c r="E412" s="25"/>
      <c r="F412" s="25"/>
      <c r="G412" s="119"/>
      <c r="H412" s="139"/>
    </row>
    <row r="413" ht="22.5" customHeight="1">
      <c r="A413" s="139"/>
      <c r="B413" s="71"/>
      <c r="C413" s="71"/>
      <c r="D413" s="25"/>
      <c r="E413" s="25"/>
      <c r="F413" s="25"/>
      <c r="G413" s="119"/>
      <c r="H413" s="139"/>
    </row>
    <row r="414" ht="22.5" customHeight="1">
      <c r="A414" s="139"/>
      <c r="B414" s="71"/>
      <c r="C414" s="71"/>
      <c r="D414" s="25"/>
      <c r="E414" s="25"/>
      <c r="F414" s="25"/>
      <c r="G414" s="119"/>
      <c r="H414" s="139"/>
    </row>
    <row r="415" ht="22.5" customHeight="1">
      <c r="A415" s="139"/>
      <c r="B415" s="71"/>
      <c r="C415" s="71"/>
      <c r="D415" s="25"/>
      <c r="E415" s="25"/>
      <c r="F415" s="25"/>
      <c r="G415" s="119"/>
      <c r="H415" s="139"/>
    </row>
    <row r="416" ht="22.5" customHeight="1">
      <c r="A416" s="139"/>
      <c r="B416" s="71"/>
      <c r="C416" s="71"/>
      <c r="D416" s="25"/>
      <c r="E416" s="25"/>
      <c r="F416" s="25"/>
      <c r="G416" s="119"/>
      <c r="H416" s="139"/>
    </row>
    <row r="417" ht="22.5" customHeight="1">
      <c r="A417" s="139"/>
      <c r="B417" s="71"/>
      <c r="C417" s="71"/>
      <c r="D417" s="25"/>
      <c r="E417" s="25"/>
      <c r="F417" s="25"/>
      <c r="G417" s="119"/>
      <c r="H417" s="139"/>
    </row>
    <row r="418" ht="22.5" customHeight="1">
      <c r="A418" s="139"/>
      <c r="B418" s="71"/>
      <c r="C418" s="71"/>
      <c r="D418" s="25"/>
      <c r="E418" s="25"/>
      <c r="F418" s="25"/>
      <c r="G418" s="119"/>
      <c r="H418" s="139"/>
    </row>
    <row r="419" ht="22.5" customHeight="1">
      <c r="A419" s="139"/>
      <c r="B419" s="71"/>
      <c r="C419" s="71"/>
      <c r="D419" s="25"/>
      <c r="E419" s="25"/>
      <c r="F419" s="25"/>
      <c r="G419" s="119"/>
      <c r="H419" s="139"/>
    </row>
    <row r="420" ht="22.5" customHeight="1">
      <c r="A420" s="139"/>
      <c r="B420" s="71"/>
      <c r="C420" s="71"/>
      <c r="D420" s="25"/>
      <c r="E420" s="25"/>
      <c r="F420" s="25"/>
      <c r="G420" s="119"/>
      <c r="H420" s="139"/>
    </row>
    <row r="421" ht="22.5" customHeight="1">
      <c r="A421" s="139"/>
      <c r="B421" s="71"/>
      <c r="C421" s="71"/>
      <c r="D421" s="25"/>
      <c r="E421" s="25"/>
      <c r="F421" s="25"/>
      <c r="G421" s="119"/>
      <c r="H421" s="139"/>
    </row>
    <row r="422" ht="22.5" customHeight="1">
      <c r="A422" s="139"/>
      <c r="B422" s="71"/>
      <c r="C422" s="71"/>
      <c r="D422" s="25"/>
      <c r="E422" s="25"/>
      <c r="F422" s="25"/>
      <c r="G422" s="119"/>
      <c r="H422" s="139"/>
    </row>
    <row r="423" ht="22.5" customHeight="1">
      <c r="A423" s="139"/>
      <c r="B423" s="71"/>
      <c r="C423" s="71"/>
      <c r="D423" s="25"/>
      <c r="E423" s="25"/>
      <c r="F423" s="25"/>
      <c r="G423" s="119"/>
      <c r="H423" s="139"/>
    </row>
    <row r="424" ht="22.5" customHeight="1">
      <c r="A424" s="139"/>
      <c r="B424" s="71"/>
      <c r="C424" s="71"/>
      <c r="D424" s="25"/>
      <c r="E424" s="25"/>
      <c r="F424" s="25"/>
      <c r="G424" s="119"/>
      <c r="H424" s="139"/>
    </row>
    <row r="425" ht="22.5" customHeight="1">
      <c r="A425" s="139"/>
      <c r="B425" s="71"/>
      <c r="C425" s="71"/>
      <c r="D425" s="25"/>
      <c r="E425" s="25"/>
      <c r="F425" s="25"/>
      <c r="G425" s="119"/>
      <c r="H425" s="139"/>
    </row>
    <row r="426" ht="22.5" customHeight="1">
      <c r="A426" s="139"/>
      <c r="B426" s="71"/>
      <c r="C426" s="71"/>
      <c r="D426" s="25"/>
      <c r="E426" s="25"/>
      <c r="F426" s="25"/>
      <c r="G426" s="119"/>
      <c r="H426" s="139"/>
    </row>
    <row r="427" ht="22.5" customHeight="1">
      <c r="A427" s="139"/>
      <c r="B427" s="71"/>
      <c r="C427" s="71"/>
      <c r="D427" s="25"/>
      <c r="E427" s="25"/>
      <c r="F427" s="25"/>
      <c r="G427" s="119"/>
      <c r="H427" s="139"/>
    </row>
    <row r="428" ht="22.5" customHeight="1">
      <c r="A428" s="139"/>
      <c r="B428" s="71"/>
      <c r="C428" s="71"/>
      <c r="D428" s="25"/>
      <c r="E428" s="25"/>
      <c r="F428" s="25"/>
      <c r="G428" s="119"/>
      <c r="H428" s="139"/>
    </row>
    <row r="429" ht="22.5" customHeight="1">
      <c r="A429" s="139"/>
      <c r="B429" s="71"/>
      <c r="C429" s="71"/>
      <c r="D429" s="25"/>
      <c r="E429" s="25"/>
      <c r="F429" s="25"/>
      <c r="G429" s="119"/>
      <c r="H429" s="139"/>
    </row>
    <row r="430" ht="22.5" customHeight="1">
      <c r="A430" s="139"/>
      <c r="B430" s="71"/>
      <c r="C430" s="71"/>
      <c r="D430" s="25"/>
      <c r="E430" s="25"/>
      <c r="F430" s="25"/>
      <c r="G430" s="119"/>
      <c r="H430" s="139"/>
    </row>
    <row r="431" ht="22.5" customHeight="1">
      <c r="A431" s="139"/>
      <c r="B431" s="71"/>
      <c r="C431" s="71"/>
      <c r="D431" s="25"/>
      <c r="E431" s="25"/>
      <c r="F431" s="25"/>
      <c r="G431" s="119"/>
      <c r="H431" s="139"/>
    </row>
    <row r="432" ht="22.5" customHeight="1">
      <c r="A432" s="139"/>
      <c r="B432" s="71"/>
      <c r="C432" s="71"/>
      <c r="D432" s="25"/>
      <c r="E432" s="25"/>
      <c r="F432" s="25"/>
      <c r="G432" s="119"/>
      <c r="H432" s="139"/>
    </row>
    <row r="433" ht="22.5" customHeight="1">
      <c r="A433" s="139"/>
      <c r="B433" s="71"/>
      <c r="C433" s="71"/>
      <c r="D433" s="25"/>
      <c r="E433" s="25"/>
      <c r="F433" s="25"/>
      <c r="G433" s="119"/>
      <c r="H433" s="139"/>
    </row>
    <row r="434" ht="22.5" customHeight="1">
      <c r="A434" s="139"/>
      <c r="B434" s="71"/>
      <c r="C434" s="71"/>
      <c r="D434" s="25"/>
      <c r="E434" s="25"/>
      <c r="F434" s="25"/>
      <c r="G434" s="119"/>
      <c r="H434" s="139"/>
    </row>
    <row r="435" ht="22.5" customHeight="1">
      <c r="A435" s="139"/>
      <c r="B435" s="71"/>
      <c r="C435" s="71"/>
      <c r="D435" s="25"/>
      <c r="E435" s="25"/>
      <c r="F435" s="25"/>
      <c r="G435" s="119"/>
      <c r="H435" s="139"/>
    </row>
    <row r="436" ht="22.5" customHeight="1">
      <c r="A436" s="139"/>
      <c r="B436" s="71"/>
      <c r="C436" s="71"/>
      <c r="D436" s="25"/>
      <c r="E436" s="25"/>
      <c r="F436" s="25"/>
      <c r="G436" s="119"/>
      <c r="H436" s="139"/>
    </row>
    <row r="437" ht="22.5" customHeight="1">
      <c r="A437" s="139"/>
      <c r="B437" s="71"/>
      <c r="C437" s="71"/>
      <c r="D437" s="25"/>
      <c r="E437" s="25"/>
      <c r="F437" s="25"/>
      <c r="G437" s="119"/>
      <c r="H437" s="139"/>
    </row>
    <row r="438" ht="22.5" customHeight="1">
      <c r="A438" s="139"/>
      <c r="B438" s="71"/>
      <c r="C438" s="71"/>
      <c r="D438" s="25"/>
      <c r="E438" s="25"/>
      <c r="F438" s="25"/>
      <c r="G438" s="119"/>
      <c r="H438" s="139"/>
    </row>
    <row r="439" ht="22.5" customHeight="1">
      <c r="A439" s="139"/>
      <c r="B439" s="71"/>
      <c r="C439" s="71"/>
      <c r="D439" s="25"/>
      <c r="E439" s="25"/>
      <c r="F439" s="25"/>
      <c r="G439" s="119"/>
      <c r="H439" s="139"/>
    </row>
    <row r="440" ht="22.5" customHeight="1">
      <c r="A440" s="139"/>
      <c r="B440" s="71"/>
      <c r="C440" s="71"/>
      <c r="D440" s="25"/>
      <c r="E440" s="25"/>
      <c r="F440" s="25"/>
      <c r="G440" s="119"/>
      <c r="H440" s="139"/>
    </row>
    <row r="441" ht="22.5" customHeight="1">
      <c r="A441" s="139"/>
      <c r="B441" s="71"/>
      <c r="C441" s="71"/>
      <c r="D441" s="25"/>
      <c r="E441" s="25"/>
      <c r="F441" s="25"/>
      <c r="G441" s="119"/>
      <c r="H441" s="139"/>
    </row>
    <row r="442" ht="22.5" customHeight="1">
      <c r="A442" s="139"/>
      <c r="B442" s="71"/>
      <c r="C442" s="71"/>
      <c r="D442" s="25"/>
      <c r="E442" s="25"/>
      <c r="F442" s="25"/>
      <c r="G442" s="119"/>
      <c r="H442" s="139"/>
    </row>
    <row r="443" ht="22.5" customHeight="1">
      <c r="A443" s="139"/>
      <c r="B443" s="71"/>
      <c r="C443" s="71"/>
      <c r="D443" s="25"/>
      <c r="E443" s="25"/>
      <c r="F443" s="25"/>
      <c r="G443" s="119"/>
      <c r="H443" s="139"/>
    </row>
    <row r="444" ht="22.5" customHeight="1">
      <c r="A444" s="139"/>
      <c r="B444" s="71"/>
      <c r="C444" s="71"/>
      <c r="D444" s="25"/>
      <c r="E444" s="25"/>
      <c r="F444" s="25"/>
      <c r="G444" s="119"/>
      <c r="H444" s="139"/>
    </row>
    <row r="445" ht="22.5" customHeight="1">
      <c r="A445" s="139"/>
      <c r="B445" s="71"/>
      <c r="C445" s="71"/>
      <c r="D445" s="25"/>
      <c r="E445" s="25"/>
      <c r="F445" s="25"/>
      <c r="G445" s="119"/>
      <c r="H445" s="139"/>
    </row>
    <row r="446" ht="22.5" customHeight="1">
      <c r="A446" s="139"/>
      <c r="B446" s="71"/>
      <c r="C446" s="71"/>
      <c r="D446" s="25"/>
      <c r="E446" s="25"/>
      <c r="F446" s="25"/>
      <c r="G446" s="119"/>
      <c r="H446" s="139"/>
    </row>
    <row r="447" ht="22.5" customHeight="1">
      <c r="A447" s="139"/>
      <c r="B447" s="71"/>
      <c r="C447" s="71"/>
      <c r="D447" s="25"/>
      <c r="E447" s="25"/>
      <c r="F447" s="25"/>
      <c r="G447" s="119"/>
      <c r="H447" s="139"/>
    </row>
    <row r="448" ht="22.5" customHeight="1">
      <c r="A448" s="139"/>
      <c r="B448" s="71"/>
      <c r="C448" s="71"/>
      <c r="D448" s="25"/>
      <c r="E448" s="25"/>
      <c r="F448" s="25"/>
      <c r="G448" s="119"/>
      <c r="H448" s="139"/>
    </row>
    <row r="449" ht="22.5" customHeight="1">
      <c r="A449" s="139"/>
      <c r="B449" s="71"/>
      <c r="C449" s="71"/>
      <c r="D449" s="25"/>
      <c r="E449" s="25"/>
      <c r="F449" s="25"/>
      <c r="G449" s="119"/>
      <c r="H449" s="139"/>
    </row>
    <row r="450" ht="22.5" customHeight="1">
      <c r="A450" s="139"/>
      <c r="B450" s="71"/>
      <c r="C450" s="71"/>
      <c r="D450" s="25"/>
      <c r="E450" s="25"/>
      <c r="F450" s="25"/>
      <c r="G450" s="119"/>
      <c r="H450" s="139"/>
    </row>
    <row r="451" ht="22.5" customHeight="1">
      <c r="A451" s="139"/>
      <c r="B451" s="71"/>
      <c r="C451" s="71"/>
      <c r="D451" s="25"/>
      <c r="E451" s="25"/>
      <c r="F451" s="25"/>
      <c r="G451" s="119"/>
      <c r="H451" s="139"/>
    </row>
    <row r="452" ht="22.5" customHeight="1">
      <c r="A452" s="139"/>
      <c r="B452" s="71"/>
      <c r="C452" s="71"/>
      <c r="D452" s="25"/>
      <c r="E452" s="25"/>
      <c r="F452" s="25"/>
      <c r="G452" s="119"/>
      <c r="H452" s="139"/>
    </row>
    <row r="453" ht="22.5" customHeight="1">
      <c r="A453" s="139"/>
      <c r="B453" s="71"/>
      <c r="C453" s="71"/>
      <c r="D453" s="25"/>
      <c r="E453" s="25"/>
      <c r="F453" s="25"/>
      <c r="G453" s="119"/>
      <c r="H453" s="139"/>
    </row>
    <row r="454" ht="22.5" customHeight="1">
      <c r="A454" s="139"/>
      <c r="B454" s="71"/>
      <c r="C454" s="71"/>
      <c r="D454" s="25"/>
      <c r="E454" s="25"/>
      <c r="F454" s="25"/>
      <c r="G454" s="119"/>
      <c r="H454" s="139"/>
    </row>
    <row r="455" ht="22.5" customHeight="1">
      <c r="A455" s="139"/>
      <c r="B455" s="71"/>
      <c r="C455" s="71"/>
      <c r="D455" s="25"/>
      <c r="E455" s="25"/>
      <c r="F455" s="25"/>
      <c r="G455" s="119"/>
      <c r="H455" s="139"/>
    </row>
    <row r="456" ht="22.5" customHeight="1">
      <c r="A456" s="139"/>
      <c r="B456" s="71"/>
      <c r="C456" s="71"/>
      <c r="D456" s="25"/>
      <c r="E456" s="25"/>
      <c r="F456" s="25"/>
      <c r="G456" s="119"/>
      <c r="H456" s="139"/>
    </row>
    <row r="457" ht="22.5" customHeight="1">
      <c r="A457" s="139"/>
      <c r="B457" s="71"/>
      <c r="C457" s="71"/>
      <c r="D457" s="25"/>
      <c r="E457" s="25"/>
      <c r="F457" s="25"/>
      <c r="G457" s="119"/>
      <c r="H457" s="139"/>
    </row>
    <row r="458" ht="22.5" customHeight="1">
      <c r="A458" s="139"/>
      <c r="B458" s="71"/>
      <c r="C458" s="71"/>
      <c r="D458" s="25"/>
      <c r="E458" s="25"/>
      <c r="F458" s="25"/>
      <c r="G458" s="119"/>
      <c r="H458" s="139"/>
    </row>
    <row r="459" ht="22.5" customHeight="1">
      <c r="A459" s="139"/>
      <c r="B459" s="71"/>
      <c r="C459" s="71"/>
      <c r="D459" s="25"/>
      <c r="E459" s="25"/>
      <c r="F459" s="25"/>
      <c r="G459" s="119"/>
      <c r="H459" s="139"/>
    </row>
    <row r="460" ht="22.5" customHeight="1">
      <c r="A460" s="139"/>
      <c r="B460" s="71"/>
      <c r="C460" s="71"/>
      <c r="D460" s="25"/>
      <c r="E460" s="25"/>
      <c r="F460" s="25"/>
      <c r="G460" s="119"/>
      <c r="H460" s="139"/>
    </row>
    <row r="461" ht="22.5" customHeight="1">
      <c r="A461" s="139"/>
      <c r="B461" s="71"/>
      <c r="C461" s="71"/>
      <c r="D461" s="25"/>
      <c r="E461" s="25"/>
      <c r="F461" s="25"/>
      <c r="G461" s="119"/>
      <c r="H461" s="139"/>
    </row>
    <row r="462" ht="22.5" customHeight="1">
      <c r="A462" s="139"/>
      <c r="B462" s="71"/>
      <c r="C462" s="71"/>
      <c r="D462" s="25"/>
      <c r="E462" s="25"/>
      <c r="F462" s="25"/>
      <c r="G462" s="119"/>
      <c r="H462" s="139"/>
    </row>
    <row r="463" ht="22.5" customHeight="1">
      <c r="A463" s="139"/>
      <c r="B463" s="71"/>
      <c r="C463" s="71"/>
      <c r="D463" s="25"/>
      <c r="E463" s="25"/>
      <c r="F463" s="25"/>
      <c r="G463" s="119"/>
      <c r="H463" s="139"/>
    </row>
    <row r="464" ht="22.5" customHeight="1">
      <c r="A464" s="139"/>
      <c r="B464" s="71"/>
      <c r="C464" s="71"/>
      <c r="D464" s="25"/>
      <c r="E464" s="25"/>
      <c r="F464" s="25"/>
      <c r="G464" s="119"/>
      <c r="H464" s="139"/>
    </row>
    <row r="465" ht="22.5" customHeight="1">
      <c r="A465" s="139"/>
      <c r="B465" s="71"/>
      <c r="C465" s="71"/>
      <c r="D465" s="25"/>
      <c r="E465" s="25"/>
      <c r="F465" s="25"/>
      <c r="G465" s="119"/>
      <c r="H465" s="139"/>
    </row>
    <row r="466" ht="22.5" customHeight="1">
      <c r="A466" s="139"/>
      <c r="B466" s="71"/>
      <c r="C466" s="71"/>
      <c r="D466" s="25"/>
      <c r="E466" s="25"/>
      <c r="F466" s="25"/>
      <c r="G466" s="119"/>
      <c r="H466" s="139"/>
    </row>
    <row r="467" ht="22.5" customHeight="1">
      <c r="A467" s="139"/>
      <c r="B467" s="71"/>
      <c r="C467" s="71"/>
      <c r="D467" s="25"/>
      <c r="E467" s="25"/>
      <c r="F467" s="25"/>
      <c r="G467" s="119"/>
      <c r="H467" s="139"/>
    </row>
    <row r="468" ht="22.5" customHeight="1">
      <c r="A468" s="139"/>
      <c r="B468" s="71"/>
      <c r="C468" s="71"/>
      <c r="D468" s="25"/>
      <c r="E468" s="25"/>
      <c r="F468" s="25"/>
      <c r="G468" s="119"/>
      <c r="H468" s="139"/>
    </row>
    <row r="469" ht="22.5" customHeight="1">
      <c r="A469" s="139"/>
      <c r="B469" s="71"/>
      <c r="C469" s="71"/>
      <c r="D469" s="25"/>
      <c r="E469" s="25"/>
      <c r="F469" s="25"/>
      <c r="G469" s="119"/>
      <c r="H469" s="139"/>
    </row>
    <row r="470" ht="22.5" customHeight="1">
      <c r="A470" s="139"/>
      <c r="B470" s="71"/>
      <c r="C470" s="71"/>
      <c r="D470" s="25"/>
      <c r="E470" s="25"/>
      <c r="F470" s="25"/>
      <c r="G470" s="119"/>
      <c r="H470" s="139"/>
    </row>
    <row r="471" ht="22.5" customHeight="1">
      <c r="A471" s="139"/>
      <c r="B471" s="71"/>
      <c r="C471" s="71"/>
      <c r="D471" s="25"/>
      <c r="E471" s="25"/>
      <c r="F471" s="25"/>
      <c r="G471" s="119"/>
      <c r="H471" s="139"/>
    </row>
    <row r="472" ht="22.5" customHeight="1">
      <c r="A472" s="139"/>
      <c r="B472" s="71"/>
      <c r="C472" s="71"/>
      <c r="D472" s="25"/>
      <c r="E472" s="25"/>
      <c r="F472" s="25"/>
      <c r="G472" s="119"/>
      <c r="H472" s="139"/>
    </row>
    <row r="473" ht="22.5" customHeight="1">
      <c r="A473" s="139"/>
      <c r="B473" s="71"/>
      <c r="C473" s="71"/>
      <c r="D473" s="25"/>
      <c r="E473" s="25"/>
      <c r="F473" s="25"/>
      <c r="G473" s="119"/>
      <c r="H473" s="139"/>
    </row>
    <row r="474" ht="22.5" customHeight="1">
      <c r="A474" s="139"/>
      <c r="B474" s="71"/>
      <c r="C474" s="71"/>
      <c r="D474" s="25"/>
      <c r="E474" s="25"/>
      <c r="F474" s="25"/>
      <c r="G474" s="119"/>
      <c r="H474" s="139"/>
    </row>
    <row r="475" ht="22.5" customHeight="1">
      <c r="A475" s="139"/>
      <c r="B475" s="71"/>
      <c r="C475" s="71"/>
      <c r="D475" s="25"/>
      <c r="E475" s="25"/>
      <c r="F475" s="25"/>
      <c r="G475" s="119"/>
      <c r="H475" s="139"/>
    </row>
    <row r="476" ht="22.5" customHeight="1">
      <c r="A476" s="139"/>
      <c r="B476" s="71"/>
      <c r="C476" s="71"/>
      <c r="D476" s="25"/>
      <c r="E476" s="25"/>
      <c r="F476" s="25"/>
      <c r="G476" s="119"/>
      <c r="H476" s="139"/>
    </row>
    <row r="477" ht="22.5" customHeight="1">
      <c r="A477" s="139"/>
      <c r="B477" s="71"/>
      <c r="C477" s="71"/>
      <c r="D477" s="25"/>
      <c r="E477" s="25"/>
      <c r="F477" s="25"/>
      <c r="G477" s="119"/>
      <c r="H477" s="139"/>
    </row>
    <row r="478" ht="22.5" customHeight="1">
      <c r="A478" s="139"/>
      <c r="B478" s="71"/>
      <c r="C478" s="71"/>
      <c r="D478" s="25"/>
      <c r="E478" s="25"/>
      <c r="F478" s="25"/>
      <c r="G478" s="119"/>
      <c r="H478" s="139"/>
    </row>
    <row r="479" ht="22.5" customHeight="1">
      <c r="A479" s="139"/>
      <c r="B479" s="71"/>
      <c r="C479" s="71"/>
      <c r="D479" s="25"/>
      <c r="E479" s="25"/>
      <c r="F479" s="25"/>
      <c r="G479" s="119"/>
      <c r="H479" s="139"/>
    </row>
    <row r="480" ht="22.5" customHeight="1">
      <c r="A480" s="139"/>
      <c r="B480" s="71"/>
      <c r="C480" s="71"/>
      <c r="D480" s="25"/>
      <c r="E480" s="25"/>
      <c r="F480" s="25"/>
      <c r="G480" s="119"/>
      <c r="H480" s="139"/>
    </row>
    <row r="481" ht="22.5" customHeight="1">
      <c r="A481" s="139"/>
      <c r="B481" s="71"/>
      <c r="C481" s="71"/>
      <c r="D481" s="25"/>
      <c r="E481" s="25"/>
      <c r="F481" s="25"/>
      <c r="G481" s="119"/>
      <c r="H481" s="139"/>
    </row>
    <row r="482" ht="22.5" customHeight="1">
      <c r="A482" s="139"/>
      <c r="B482" s="71"/>
      <c r="C482" s="71"/>
      <c r="D482" s="25"/>
      <c r="E482" s="25"/>
      <c r="F482" s="25"/>
      <c r="G482" s="119"/>
      <c r="H482" s="139"/>
    </row>
    <row r="483" ht="22.5" customHeight="1">
      <c r="A483" s="139"/>
      <c r="B483" s="71"/>
      <c r="C483" s="71"/>
      <c r="D483" s="25"/>
      <c r="E483" s="25"/>
      <c r="F483" s="25"/>
      <c r="G483" s="119"/>
      <c r="H483" s="139"/>
    </row>
    <row r="484" ht="22.5" customHeight="1">
      <c r="A484" s="139"/>
      <c r="B484" s="71"/>
      <c r="C484" s="71"/>
      <c r="D484" s="25"/>
      <c r="E484" s="25"/>
      <c r="F484" s="25"/>
      <c r="G484" s="119"/>
      <c r="H484" s="139"/>
    </row>
    <row r="485" ht="22.5" customHeight="1">
      <c r="A485" s="139"/>
      <c r="B485" s="71"/>
      <c r="C485" s="71"/>
      <c r="D485" s="25"/>
      <c r="E485" s="25"/>
      <c r="F485" s="25"/>
      <c r="G485" s="119"/>
      <c r="H485" s="139"/>
    </row>
    <row r="486" ht="22.5" customHeight="1">
      <c r="A486" s="139"/>
      <c r="B486" s="71"/>
      <c r="C486" s="71"/>
      <c r="D486" s="25"/>
      <c r="E486" s="25"/>
      <c r="F486" s="25"/>
      <c r="G486" s="119"/>
      <c r="H486" s="139"/>
    </row>
    <row r="487" ht="22.5" customHeight="1">
      <c r="A487" s="139"/>
      <c r="B487" s="71"/>
      <c r="C487" s="71"/>
      <c r="D487" s="25"/>
      <c r="E487" s="25"/>
      <c r="F487" s="25"/>
      <c r="G487" s="119"/>
      <c r="H487" s="139"/>
    </row>
    <row r="488" ht="22.5" customHeight="1">
      <c r="A488" s="139"/>
      <c r="B488" s="71"/>
      <c r="C488" s="71"/>
      <c r="D488" s="25"/>
      <c r="E488" s="25"/>
      <c r="F488" s="25"/>
      <c r="G488" s="119"/>
      <c r="H488" s="139"/>
    </row>
    <row r="489" ht="22.5" customHeight="1">
      <c r="A489" s="139"/>
      <c r="B489" s="71"/>
      <c r="C489" s="71"/>
      <c r="D489" s="25"/>
      <c r="E489" s="25"/>
      <c r="F489" s="25"/>
      <c r="G489" s="119"/>
      <c r="H489" s="139"/>
    </row>
    <row r="490" ht="22.5" customHeight="1">
      <c r="A490" s="139"/>
      <c r="B490" s="71"/>
      <c r="C490" s="71"/>
      <c r="D490" s="25"/>
      <c r="E490" s="25"/>
      <c r="F490" s="25"/>
      <c r="G490" s="119"/>
      <c r="H490" s="139"/>
    </row>
    <row r="491" ht="22.5" customHeight="1">
      <c r="A491" s="139"/>
      <c r="B491" s="71"/>
      <c r="C491" s="71"/>
      <c r="D491" s="25"/>
      <c r="E491" s="25"/>
      <c r="F491" s="25"/>
      <c r="G491" s="119"/>
      <c r="H491" s="139"/>
    </row>
    <row r="492" ht="22.5" customHeight="1">
      <c r="A492" s="139"/>
      <c r="B492" s="71"/>
      <c r="C492" s="71"/>
      <c r="D492" s="25"/>
      <c r="E492" s="25"/>
      <c r="F492" s="25"/>
      <c r="G492" s="119"/>
      <c r="H492" s="139"/>
    </row>
    <row r="493" ht="22.5" customHeight="1">
      <c r="A493" s="139"/>
      <c r="B493" s="71"/>
      <c r="C493" s="71"/>
      <c r="D493" s="25"/>
      <c r="E493" s="25"/>
      <c r="F493" s="25"/>
      <c r="G493" s="119"/>
      <c r="H493" s="139"/>
    </row>
    <row r="494" ht="22.5" customHeight="1">
      <c r="A494" s="139"/>
      <c r="B494" s="71"/>
      <c r="C494" s="71"/>
      <c r="D494" s="25"/>
      <c r="E494" s="25"/>
      <c r="F494" s="25"/>
      <c r="G494" s="119"/>
      <c r="H494" s="139"/>
    </row>
    <row r="495" ht="22.5" customHeight="1">
      <c r="A495" s="139"/>
      <c r="B495" s="71"/>
      <c r="C495" s="71"/>
      <c r="D495" s="25"/>
      <c r="E495" s="25"/>
      <c r="F495" s="25"/>
      <c r="G495" s="119"/>
      <c r="H495" s="139"/>
    </row>
    <row r="496" ht="22.5" customHeight="1">
      <c r="A496" s="139"/>
      <c r="B496" s="71"/>
      <c r="C496" s="71"/>
      <c r="D496" s="25"/>
      <c r="E496" s="25"/>
      <c r="F496" s="25"/>
      <c r="G496" s="119"/>
      <c r="H496" s="139"/>
    </row>
    <row r="497" ht="22.5" customHeight="1">
      <c r="A497" s="139"/>
      <c r="B497" s="71"/>
      <c r="C497" s="71"/>
      <c r="D497" s="25"/>
      <c r="E497" s="25"/>
      <c r="F497" s="25"/>
      <c r="G497" s="119"/>
      <c r="H497" s="139"/>
    </row>
    <row r="498" ht="22.5" customHeight="1">
      <c r="A498" s="139"/>
      <c r="B498" s="71"/>
      <c r="C498" s="71"/>
      <c r="D498" s="25"/>
      <c r="E498" s="25"/>
      <c r="F498" s="25"/>
      <c r="G498" s="119"/>
      <c r="H498" s="139"/>
    </row>
    <row r="499" ht="22.5" customHeight="1">
      <c r="A499" s="139"/>
      <c r="B499" s="71"/>
      <c r="C499" s="71"/>
      <c r="D499" s="25"/>
      <c r="E499" s="25"/>
      <c r="F499" s="25"/>
      <c r="G499" s="119"/>
      <c r="H499" s="139"/>
    </row>
    <row r="500" ht="22.5" customHeight="1">
      <c r="A500" s="139"/>
      <c r="B500" s="71"/>
      <c r="C500" s="71"/>
      <c r="D500" s="25"/>
      <c r="E500" s="25"/>
      <c r="F500" s="25"/>
      <c r="G500" s="119"/>
      <c r="H500" s="139"/>
    </row>
    <row r="501" ht="22.5" customHeight="1">
      <c r="A501" s="139"/>
      <c r="B501" s="71"/>
      <c r="C501" s="71"/>
      <c r="D501" s="25"/>
      <c r="E501" s="25"/>
      <c r="F501" s="25"/>
      <c r="G501" s="119"/>
      <c r="H501" s="139"/>
    </row>
    <row r="502" ht="22.5" customHeight="1">
      <c r="A502" s="139"/>
      <c r="B502" s="71"/>
      <c r="C502" s="71"/>
      <c r="D502" s="25"/>
      <c r="E502" s="25"/>
      <c r="F502" s="25"/>
      <c r="G502" s="119"/>
      <c r="H502" s="139"/>
    </row>
    <row r="503" ht="22.5" customHeight="1">
      <c r="A503" s="139"/>
      <c r="B503" s="71"/>
      <c r="C503" s="71"/>
      <c r="D503" s="25"/>
      <c r="E503" s="25"/>
      <c r="F503" s="25"/>
      <c r="G503" s="119"/>
      <c r="H503" s="139"/>
    </row>
    <row r="504" ht="22.5" customHeight="1">
      <c r="A504" s="139"/>
      <c r="B504" s="71"/>
      <c r="C504" s="71"/>
      <c r="D504" s="25"/>
      <c r="E504" s="25"/>
      <c r="F504" s="25"/>
      <c r="G504" s="119"/>
      <c r="H504" s="139"/>
    </row>
    <row r="505" ht="22.5" customHeight="1">
      <c r="A505" s="139"/>
      <c r="B505" s="71"/>
      <c r="C505" s="71"/>
      <c r="D505" s="25"/>
      <c r="E505" s="25"/>
      <c r="F505" s="25"/>
      <c r="G505" s="119"/>
      <c r="H505" s="139"/>
    </row>
    <row r="506" ht="22.5" customHeight="1">
      <c r="A506" s="139"/>
      <c r="B506" s="71"/>
      <c r="C506" s="71"/>
      <c r="D506" s="25"/>
      <c r="E506" s="25"/>
      <c r="F506" s="25"/>
      <c r="G506" s="119"/>
      <c r="H506" s="139"/>
    </row>
    <row r="507" ht="22.5" customHeight="1">
      <c r="A507" s="139"/>
      <c r="B507" s="71"/>
      <c r="C507" s="71"/>
      <c r="D507" s="25"/>
      <c r="E507" s="25"/>
      <c r="F507" s="25"/>
      <c r="G507" s="119"/>
      <c r="H507" s="139"/>
    </row>
    <row r="508" ht="22.5" customHeight="1">
      <c r="A508" s="139"/>
      <c r="B508" s="71"/>
      <c r="C508" s="71"/>
      <c r="D508" s="25"/>
      <c r="E508" s="25"/>
      <c r="F508" s="25"/>
      <c r="G508" s="119"/>
      <c r="H508" s="139"/>
    </row>
    <row r="509" ht="22.5" customHeight="1">
      <c r="A509" s="139"/>
      <c r="B509" s="71"/>
      <c r="C509" s="71"/>
      <c r="D509" s="25"/>
      <c r="E509" s="25"/>
      <c r="F509" s="25"/>
      <c r="G509" s="119"/>
      <c r="H509" s="139"/>
    </row>
    <row r="510" ht="22.5" customHeight="1">
      <c r="A510" s="139"/>
      <c r="B510" s="71"/>
      <c r="C510" s="71"/>
      <c r="D510" s="25"/>
      <c r="E510" s="25"/>
      <c r="F510" s="25"/>
      <c r="G510" s="119"/>
      <c r="H510" s="139"/>
    </row>
    <row r="511" ht="22.5" customHeight="1">
      <c r="A511" s="139"/>
      <c r="B511" s="71"/>
      <c r="C511" s="71"/>
      <c r="D511" s="25"/>
      <c r="E511" s="25"/>
      <c r="F511" s="25"/>
      <c r="G511" s="119"/>
      <c r="H511" s="139"/>
    </row>
    <row r="512" ht="22.5" customHeight="1">
      <c r="A512" s="139"/>
      <c r="B512" s="71"/>
      <c r="C512" s="71"/>
      <c r="D512" s="25"/>
      <c r="E512" s="25"/>
      <c r="F512" s="25"/>
      <c r="G512" s="119"/>
      <c r="H512" s="139"/>
    </row>
    <row r="513" ht="22.5" customHeight="1">
      <c r="A513" s="139"/>
      <c r="B513" s="71"/>
      <c r="C513" s="71"/>
      <c r="D513" s="25"/>
      <c r="E513" s="25"/>
      <c r="F513" s="25"/>
      <c r="G513" s="119"/>
      <c r="H513" s="139"/>
    </row>
    <row r="514" ht="22.5" customHeight="1">
      <c r="A514" s="139"/>
      <c r="B514" s="71"/>
      <c r="C514" s="71"/>
      <c r="D514" s="25"/>
      <c r="E514" s="25"/>
      <c r="F514" s="25"/>
      <c r="G514" s="119"/>
      <c r="H514" s="139"/>
    </row>
    <row r="515" ht="22.5" customHeight="1">
      <c r="A515" s="139"/>
      <c r="B515" s="71"/>
      <c r="C515" s="71"/>
      <c r="D515" s="25"/>
      <c r="E515" s="25"/>
      <c r="F515" s="25"/>
      <c r="G515" s="119"/>
      <c r="H515" s="139"/>
    </row>
    <row r="516" ht="22.5" customHeight="1">
      <c r="A516" s="139"/>
      <c r="B516" s="71"/>
      <c r="C516" s="71"/>
      <c r="D516" s="25"/>
      <c r="E516" s="25"/>
      <c r="F516" s="25"/>
      <c r="G516" s="119"/>
      <c r="H516" s="139"/>
    </row>
    <row r="517" ht="22.5" customHeight="1">
      <c r="A517" s="139"/>
      <c r="B517" s="71"/>
      <c r="C517" s="71"/>
      <c r="D517" s="25"/>
      <c r="E517" s="25"/>
      <c r="F517" s="25"/>
      <c r="G517" s="119"/>
      <c r="H517" s="139"/>
    </row>
    <row r="518" ht="22.5" customHeight="1">
      <c r="A518" s="139"/>
      <c r="B518" s="71"/>
      <c r="C518" s="71"/>
      <c r="D518" s="25"/>
      <c r="E518" s="25"/>
      <c r="F518" s="25"/>
      <c r="G518" s="119"/>
      <c r="H518" s="139"/>
    </row>
    <row r="519" ht="22.5" customHeight="1">
      <c r="A519" s="139"/>
      <c r="B519" s="71"/>
      <c r="C519" s="71"/>
      <c r="D519" s="25"/>
      <c r="E519" s="25"/>
      <c r="F519" s="25"/>
      <c r="G519" s="119"/>
      <c r="H519" s="139"/>
    </row>
    <row r="520" ht="22.5" customHeight="1">
      <c r="A520" s="139"/>
      <c r="B520" s="71"/>
      <c r="C520" s="71"/>
      <c r="D520" s="25"/>
      <c r="E520" s="25"/>
      <c r="F520" s="25"/>
      <c r="G520" s="119"/>
      <c r="H520" s="139"/>
    </row>
    <row r="521" ht="22.5" customHeight="1">
      <c r="A521" s="139"/>
      <c r="B521" s="71"/>
      <c r="C521" s="71"/>
      <c r="D521" s="25"/>
      <c r="E521" s="25"/>
      <c r="F521" s="25"/>
      <c r="G521" s="119"/>
      <c r="H521" s="139"/>
    </row>
    <row r="522" ht="22.5" customHeight="1">
      <c r="A522" s="139"/>
      <c r="B522" s="71"/>
      <c r="C522" s="71"/>
      <c r="D522" s="25"/>
      <c r="E522" s="25"/>
      <c r="F522" s="25"/>
      <c r="G522" s="119"/>
      <c r="H522" s="139"/>
    </row>
    <row r="523" ht="22.5" customHeight="1">
      <c r="A523" s="139"/>
      <c r="B523" s="71"/>
      <c r="C523" s="71"/>
      <c r="D523" s="25"/>
      <c r="E523" s="25"/>
      <c r="F523" s="25"/>
      <c r="G523" s="119"/>
      <c r="H523" s="139"/>
    </row>
    <row r="524" ht="22.5" customHeight="1">
      <c r="A524" s="139"/>
      <c r="B524" s="71"/>
      <c r="C524" s="71"/>
      <c r="D524" s="25"/>
      <c r="E524" s="25"/>
      <c r="F524" s="25"/>
      <c r="G524" s="119"/>
      <c r="H524" s="139"/>
    </row>
    <row r="525" ht="22.5" customHeight="1">
      <c r="A525" s="139"/>
      <c r="B525" s="71"/>
      <c r="C525" s="71"/>
      <c r="D525" s="25"/>
      <c r="E525" s="25"/>
      <c r="F525" s="25"/>
      <c r="G525" s="119"/>
      <c r="H525" s="139"/>
    </row>
    <row r="526" ht="22.5" customHeight="1">
      <c r="A526" s="139"/>
      <c r="B526" s="71"/>
      <c r="C526" s="71"/>
      <c r="D526" s="25"/>
      <c r="E526" s="25"/>
      <c r="F526" s="25"/>
      <c r="G526" s="119"/>
      <c r="H526" s="139"/>
    </row>
    <row r="527" ht="22.5" customHeight="1">
      <c r="A527" s="139"/>
      <c r="B527" s="71"/>
      <c r="C527" s="71"/>
      <c r="D527" s="25"/>
      <c r="E527" s="25"/>
      <c r="F527" s="25"/>
      <c r="G527" s="119"/>
      <c r="H527" s="139"/>
    </row>
    <row r="528" ht="22.5" customHeight="1">
      <c r="A528" s="139"/>
      <c r="B528" s="71"/>
      <c r="C528" s="71"/>
      <c r="D528" s="25"/>
      <c r="E528" s="25"/>
      <c r="F528" s="25"/>
      <c r="G528" s="119"/>
      <c r="H528" s="139"/>
    </row>
    <row r="529" ht="22.5" customHeight="1">
      <c r="A529" s="139"/>
      <c r="B529" s="71"/>
      <c r="C529" s="71"/>
      <c r="D529" s="25"/>
      <c r="E529" s="25"/>
      <c r="F529" s="25"/>
      <c r="G529" s="119"/>
      <c r="H529" s="139"/>
    </row>
    <row r="530" ht="22.5" customHeight="1">
      <c r="A530" s="139"/>
      <c r="B530" s="71"/>
      <c r="C530" s="71"/>
      <c r="D530" s="25"/>
      <c r="E530" s="25"/>
      <c r="F530" s="25"/>
      <c r="G530" s="119"/>
      <c r="H530" s="139"/>
    </row>
    <row r="531" ht="22.5" customHeight="1">
      <c r="A531" s="139"/>
      <c r="B531" s="71"/>
      <c r="C531" s="71"/>
      <c r="D531" s="25"/>
      <c r="E531" s="25"/>
      <c r="F531" s="25"/>
      <c r="G531" s="119"/>
      <c r="H531" s="139"/>
    </row>
    <row r="532" ht="22.5" customHeight="1">
      <c r="A532" s="139"/>
      <c r="B532" s="71"/>
      <c r="C532" s="71"/>
      <c r="D532" s="25"/>
      <c r="E532" s="25"/>
      <c r="F532" s="25"/>
      <c r="G532" s="119"/>
      <c r="H532" s="139"/>
    </row>
    <row r="533" ht="22.5" customHeight="1">
      <c r="A533" s="139"/>
      <c r="B533" s="71"/>
      <c r="C533" s="71"/>
      <c r="D533" s="25"/>
      <c r="E533" s="25"/>
      <c r="F533" s="25"/>
      <c r="G533" s="119"/>
      <c r="H533" s="139"/>
    </row>
    <row r="534" ht="22.5" customHeight="1">
      <c r="A534" s="139"/>
      <c r="B534" s="71"/>
      <c r="C534" s="71"/>
      <c r="D534" s="25"/>
      <c r="E534" s="25"/>
      <c r="F534" s="25"/>
      <c r="G534" s="119"/>
      <c r="H534" s="139"/>
    </row>
    <row r="535" ht="22.5" customHeight="1">
      <c r="A535" s="139"/>
      <c r="B535" s="71"/>
      <c r="C535" s="71"/>
      <c r="D535" s="25"/>
      <c r="E535" s="25"/>
      <c r="F535" s="25"/>
      <c r="G535" s="119"/>
      <c r="H535" s="139"/>
    </row>
    <row r="536" ht="22.5" customHeight="1">
      <c r="A536" s="139"/>
      <c r="B536" s="71"/>
      <c r="C536" s="71"/>
      <c r="D536" s="25"/>
      <c r="E536" s="25"/>
      <c r="F536" s="25"/>
      <c r="G536" s="119"/>
      <c r="H536" s="139"/>
    </row>
    <row r="537" ht="22.5" customHeight="1">
      <c r="A537" s="139"/>
      <c r="B537" s="71"/>
      <c r="C537" s="71"/>
      <c r="D537" s="25"/>
      <c r="E537" s="25"/>
      <c r="F537" s="25"/>
      <c r="G537" s="119"/>
      <c r="H537" s="139"/>
    </row>
    <row r="538" ht="22.5" customHeight="1">
      <c r="A538" s="139"/>
      <c r="B538" s="71"/>
      <c r="C538" s="71"/>
      <c r="D538" s="25"/>
      <c r="E538" s="25"/>
      <c r="F538" s="25"/>
      <c r="G538" s="119"/>
      <c r="H538" s="139"/>
    </row>
    <row r="539" ht="22.5" customHeight="1">
      <c r="A539" s="139"/>
      <c r="B539" s="71"/>
      <c r="C539" s="71"/>
      <c r="D539" s="25"/>
      <c r="E539" s="25"/>
      <c r="F539" s="25"/>
      <c r="G539" s="119"/>
      <c r="H539" s="139"/>
    </row>
    <row r="540" ht="22.5" customHeight="1">
      <c r="A540" s="139"/>
      <c r="B540" s="71"/>
      <c r="C540" s="71"/>
      <c r="D540" s="25"/>
      <c r="E540" s="25"/>
      <c r="F540" s="25"/>
      <c r="G540" s="119"/>
      <c r="H540" s="139"/>
    </row>
    <row r="541" ht="22.5" customHeight="1">
      <c r="A541" s="139"/>
      <c r="B541" s="71"/>
      <c r="C541" s="71"/>
      <c r="D541" s="25"/>
      <c r="E541" s="25"/>
      <c r="F541" s="25"/>
      <c r="G541" s="119"/>
      <c r="H541" s="139"/>
    </row>
    <row r="542" ht="22.5" customHeight="1">
      <c r="A542" s="139"/>
      <c r="B542" s="71"/>
      <c r="C542" s="71"/>
      <c r="D542" s="25"/>
      <c r="E542" s="25"/>
      <c r="F542" s="25"/>
      <c r="G542" s="119"/>
      <c r="H542" s="139"/>
    </row>
    <row r="543" ht="22.5" customHeight="1">
      <c r="A543" s="139"/>
      <c r="B543" s="71"/>
      <c r="C543" s="71"/>
      <c r="D543" s="25"/>
      <c r="E543" s="25"/>
      <c r="F543" s="25"/>
      <c r="G543" s="119"/>
      <c r="H543" s="139"/>
    </row>
    <row r="544" ht="22.5" customHeight="1">
      <c r="A544" s="139"/>
      <c r="B544" s="71"/>
      <c r="C544" s="71"/>
      <c r="D544" s="25"/>
      <c r="E544" s="25"/>
      <c r="F544" s="25"/>
      <c r="G544" s="119"/>
      <c r="H544" s="139"/>
    </row>
    <row r="545" ht="22.5" customHeight="1">
      <c r="A545" s="139"/>
      <c r="B545" s="71"/>
      <c r="C545" s="71"/>
      <c r="D545" s="25"/>
      <c r="E545" s="25"/>
      <c r="F545" s="25"/>
      <c r="G545" s="119"/>
      <c r="H545" s="139"/>
    </row>
    <row r="546" ht="22.5" customHeight="1">
      <c r="A546" s="139"/>
      <c r="B546" s="71"/>
      <c r="C546" s="71"/>
      <c r="D546" s="25"/>
      <c r="E546" s="25"/>
      <c r="F546" s="25"/>
      <c r="G546" s="119"/>
      <c r="H546" s="139"/>
    </row>
    <row r="547" ht="22.5" customHeight="1">
      <c r="A547" s="139"/>
      <c r="B547" s="71"/>
      <c r="C547" s="71"/>
      <c r="D547" s="25"/>
      <c r="E547" s="25"/>
      <c r="F547" s="25"/>
      <c r="G547" s="119"/>
      <c r="H547" s="139"/>
    </row>
    <row r="548" ht="22.5" customHeight="1">
      <c r="A548" s="139"/>
      <c r="B548" s="71"/>
      <c r="C548" s="71"/>
      <c r="D548" s="25"/>
      <c r="E548" s="25"/>
      <c r="F548" s="25"/>
      <c r="G548" s="119"/>
      <c r="H548" s="139"/>
    </row>
    <row r="549" ht="22.5" customHeight="1">
      <c r="A549" s="139"/>
      <c r="B549" s="71"/>
      <c r="C549" s="71"/>
      <c r="D549" s="25"/>
      <c r="E549" s="25"/>
      <c r="F549" s="25"/>
      <c r="G549" s="119"/>
      <c r="H549" s="139"/>
    </row>
    <row r="550" ht="22.5" customHeight="1">
      <c r="A550" s="139"/>
      <c r="B550" s="71"/>
      <c r="C550" s="71"/>
      <c r="D550" s="25"/>
      <c r="E550" s="25"/>
      <c r="F550" s="25"/>
      <c r="G550" s="119"/>
      <c r="H550" s="139"/>
    </row>
    <row r="551" ht="22.5" customHeight="1">
      <c r="A551" s="139"/>
      <c r="B551" s="71"/>
      <c r="C551" s="71"/>
      <c r="D551" s="25"/>
      <c r="E551" s="25"/>
      <c r="F551" s="25"/>
      <c r="G551" s="119"/>
      <c r="H551" s="139"/>
    </row>
    <row r="552" ht="22.5" customHeight="1">
      <c r="A552" s="139"/>
      <c r="B552" s="71"/>
      <c r="C552" s="71"/>
      <c r="D552" s="25"/>
      <c r="E552" s="25"/>
      <c r="F552" s="25"/>
      <c r="G552" s="119"/>
      <c r="H552" s="139"/>
    </row>
    <row r="553" ht="22.5" customHeight="1">
      <c r="A553" s="139"/>
      <c r="B553" s="71"/>
      <c r="C553" s="71"/>
      <c r="D553" s="25"/>
      <c r="E553" s="25"/>
      <c r="F553" s="25"/>
      <c r="G553" s="119"/>
      <c r="H553" s="139"/>
    </row>
    <row r="554" ht="22.5" customHeight="1">
      <c r="A554" s="139"/>
      <c r="B554" s="71"/>
      <c r="C554" s="71"/>
      <c r="D554" s="25"/>
      <c r="E554" s="25"/>
      <c r="F554" s="25"/>
      <c r="G554" s="119"/>
      <c r="H554" s="139"/>
    </row>
    <row r="555" ht="22.5" customHeight="1">
      <c r="A555" s="139"/>
      <c r="B555" s="71"/>
      <c r="C555" s="71"/>
      <c r="D555" s="25"/>
      <c r="E555" s="25"/>
      <c r="F555" s="25"/>
      <c r="G555" s="119"/>
      <c r="H555" s="139"/>
    </row>
    <row r="556" ht="22.5" customHeight="1">
      <c r="A556" s="139"/>
      <c r="B556" s="71"/>
      <c r="C556" s="71"/>
      <c r="D556" s="25"/>
      <c r="E556" s="25"/>
      <c r="F556" s="25"/>
      <c r="G556" s="119"/>
      <c r="H556" s="139"/>
    </row>
    <row r="557" ht="22.5" customHeight="1">
      <c r="A557" s="139"/>
      <c r="B557" s="71"/>
      <c r="C557" s="71"/>
      <c r="D557" s="25"/>
      <c r="E557" s="25"/>
      <c r="F557" s="25"/>
      <c r="G557" s="119"/>
      <c r="H557" s="139"/>
    </row>
    <row r="558" ht="22.5" customHeight="1">
      <c r="A558" s="139"/>
      <c r="B558" s="71"/>
      <c r="C558" s="71"/>
      <c r="D558" s="25"/>
      <c r="E558" s="25"/>
      <c r="F558" s="25"/>
      <c r="G558" s="119"/>
      <c r="H558" s="139"/>
    </row>
    <row r="559" ht="22.5" customHeight="1">
      <c r="A559" s="139"/>
      <c r="B559" s="71"/>
      <c r="C559" s="71"/>
      <c r="D559" s="25"/>
      <c r="E559" s="25"/>
      <c r="F559" s="25"/>
      <c r="G559" s="119"/>
      <c r="H559" s="139"/>
    </row>
    <row r="560" ht="22.5" customHeight="1">
      <c r="A560" s="139"/>
      <c r="B560" s="71"/>
      <c r="C560" s="71"/>
      <c r="D560" s="25"/>
      <c r="E560" s="25"/>
      <c r="F560" s="25"/>
      <c r="G560" s="119"/>
      <c r="H560" s="139"/>
    </row>
    <row r="561" ht="22.5" customHeight="1">
      <c r="A561" s="139"/>
      <c r="B561" s="71"/>
      <c r="C561" s="71"/>
      <c r="D561" s="25"/>
      <c r="E561" s="25"/>
      <c r="F561" s="25"/>
      <c r="G561" s="119"/>
      <c r="H561" s="139"/>
    </row>
    <row r="562" ht="22.5" customHeight="1">
      <c r="A562" s="139"/>
      <c r="B562" s="71"/>
      <c r="C562" s="71"/>
      <c r="D562" s="25"/>
      <c r="E562" s="25"/>
      <c r="F562" s="25"/>
      <c r="G562" s="119"/>
      <c r="H562" s="139"/>
    </row>
    <row r="563" ht="22.5" customHeight="1">
      <c r="A563" s="139"/>
      <c r="B563" s="71"/>
      <c r="C563" s="71"/>
      <c r="D563" s="25"/>
      <c r="E563" s="25"/>
      <c r="F563" s="25"/>
      <c r="G563" s="119"/>
      <c r="H563" s="139"/>
    </row>
    <row r="564" ht="22.5" customHeight="1">
      <c r="A564" s="139"/>
      <c r="B564" s="71"/>
      <c r="C564" s="71"/>
      <c r="D564" s="25"/>
      <c r="E564" s="25"/>
      <c r="F564" s="25"/>
      <c r="G564" s="119"/>
      <c r="H564" s="139"/>
    </row>
    <row r="565" ht="22.5" customHeight="1">
      <c r="A565" s="139"/>
      <c r="B565" s="71"/>
      <c r="C565" s="71"/>
      <c r="D565" s="25"/>
      <c r="E565" s="25"/>
      <c r="F565" s="25"/>
      <c r="G565" s="119"/>
      <c r="H565" s="139"/>
    </row>
    <row r="566" ht="22.5" customHeight="1">
      <c r="A566" s="139"/>
      <c r="B566" s="71"/>
      <c r="C566" s="71"/>
      <c r="D566" s="25"/>
      <c r="E566" s="25"/>
      <c r="F566" s="25"/>
      <c r="G566" s="119"/>
      <c r="H566" s="139"/>
    </row>
    <row r="567" ht="22.5" customHeight="1">
      <c r="A567" s="139"/>
      <c r="B567" s="71"/>
      <c r="C567" s="71"/>
      <c r="D567" s="25"/>
      <c r="E567" s="25"/>
      <c r="F567" s="25"/>
      <c r="G567" s="119"/>
      <c r="H567" s="139"/>
    </row>
    <row r="568" ht="22.5" customHeight="1">
      <c r="A568" s="139"/>
      <c r="B568" s="71"/>
      <c r="C568" s="71"/>
      <c r="D568" s="25"/>
      <c r="E568" s="25"/>
      <c r="F568" s="25"/>
      <c r="G568" s="119"/>
      <c r="H568" s="139"/>
    </row>
    <row r="569" ht="22.5" customHeight="1">
      <c r="A569" s="139"/>
      <c r="B569" s="71"/>
      <c r="C569" s="71"/>
      <c r="D569" s="25"/>
      <c r="E569" s="25"/>
      <c r="F569" s="25"/>
      <c r="G569" s="119"/>
      <c r="H569" s="139"/>
    </row>
    <row r="570" ht="22.5" customHeight="1">
      <c r="A570" s="139"/>
      <c r="B570" s="71"/>
      <c r="C570" s="71"/>
      <c r="D570" s="25"/>
      <c r="E570" s="25"/>
      <c r="F570" s="25"/>
      <c r="G570" s="119"/>
      <c r="H570" s="139"/>
    </row>
    <row r="571" ht="22.5" customHeight="1">
      <c r="A571" s="139"/>
      <c r="B571" s="71"/>
      <c r="C571" s="71"/>
      <c r="D571" s="25"/>
      <c r="E571" s="25"/>
      <c r="F571" s="25"/>
      <c r="G571" s="119"/>
      <c r="H571" s="139"/>
    </row>
    <row r="572" ht="22.5" customHeight="1">
      <c r="A572" s="139"/>
      <c r="B572" s="71"/>
      <c r="C572" s="71"/>
      <c r="D572" s="25"/>
      <c r="E572" s="25"/>
      <c r="F572" s="25"/>
      <c r="G572" s="119"/>
      <c r="H572" s="139"/>
    </row>
    <row r="573" ht="22.5" customHeight="1">
      <c r="A573" s="139"/>
      <c r="B573" s="71"/>
      <c r="C573" s="71"/>
      <c r="D573" s="25"/>
      <c r="E573" s="25"/>
      <c r="F573" s="25"/>
      <c r="G573" s="119"/>
      <c r="H573" s="139"/>
    </row>
    <row r="574" ht="22.5" customHeight="1">
      <c r="A574" s="139"/>
      <c r="B574" s="71"/>
      <c r="C574" s="71"/>
      <c r="D574" s="25"/>
      <c r="E574" s="25"/>
      <c r="F574" s="25"/>
      <c r="G574" s="119"/>
      <c r="H574" s="139"/>
    </row>
    <row r="575" ht="22.5" customHeight="1">
      <c r="A575" s="139"/>
      <c r="B575" s="71"/>
      <c r="C575" s="71"/>
      <c r="D575" s="25"/>
      <c r="E575" s="25"/>
      <c r="F575" s="25"/>
      <c r="G575" s="119"/>
      <c r="H575" s="139"/>
    </row>
    <row r="576" ht="22.5" customHeight="1">
      <c r="A576" s="139"/>
      <c r="B576" s="71"/>
      <c r="C576" s="71"/>
      <c r="D576" s="25"/>
      <c r="E576" s="25"/>
      <c r="F576" s="25"/>
      <c r="G576" s="119"/>
      <c r="H576" s="139"/>
    </row>
    <row r="577" ht="22.5" customHeight="1">
      <c r="A577" s="139"/>
      <c r="B577" s="71"/>
      <c r="C577" s="71"/>
      <c r="D577" s="25"/>
      <c r="E577" s="25"/>
      <c r="F577" s="25"/>
      <c r="G577" s="119"/>
      <c r="H577" s="139"/>
    </row>
    <row r="578" ht="22.5" customHeight="1">
      <c r="A578" s="139"/>
      <c r="B578" s="71"/>
      <c r="C578" s="71"/>
      <c r="D578" s="25"/>
      <c r="E578" s="25"/>
      <c r="F578" s="25"/>
      <c r="G578" s="119"/>
      <c r="H578" s="139"/>
    </row>
    <row r="579" ht="22.5" customHeight="1">
      <c r="A579" s="139"/>
      <c r="B579" s="71"/>
      <c r="C579" s="71"/>
      <c r="D579" s="25"/>
      <c r="E579" s="25"/>
      <c r="F579" s="25"/>
      <c r="G579" s="119"/>
      <c r="H579" s="139"/>
    </row>
    <row r="580" ht="22.5" customHeight="1">
      <c r="A580" s="139"/>
      <c r="B580" s="71"/>
      <c r="C580" s="71"/>
      <c r="D580" s="25"/>
      <c r="E580" s="25"/>
      <c r="F580" s="25"/>
      <c r="G580" s="119"/>
      <c r="H580" s="139"/>
    </row>
    <row r="581" ht="22.5" customHeight="1">
      <c r="A581" s="139"/>
      <c r="B581" s="71"/>
      <c r="C581" s="71"/>
      <c r="D581" s="25"/>
      <c r="E581" s="25"/>
      <c r="F581" s="25"/>
      <c r="G581" s="119"/>
      <c r="H581" s="139"/>
    </row>
    <row r="582" ht="22.5" customHeight="1">
      <c r="A582" s="139"/>
      <c r="B582" s="71"/>
      <c r="C582" s="71"/>
      <c r="D582" s="25"/>
      <c r="E582" s="25"/>
      <c r="F582" s="25"/>
      <c r="G582" s="119"/>
      <c r="H582" s="139"/>
    </row>
    <row r="583" ht="22.5" customHeight="1">
      <c r="A583" s="139"/>
      <c r="B583" s="71"/>
      <c r="C583" s="71"/>
      <c r="D583" s="25"/>
      <c r="E583" s="25"/>
      <c r="F583" s="25"/>
      <c r="G583" s="119"/>
      <c r="H583" s="139"/>
    </row>
    <row r="584" ht="22.5" customHeight="1">
      <c r="A584" s="139"/>
      <c r="B584" s="71"/>
      <c r="C584" s="71"/>
      <c r="D584" s="25"/>
      <c r="E584" s="25"/>
      <c r="F584" s="25"/>
      <c r="G584" s="119"/>
      <c r="H584" s="139"/>
    </row>
    <row r="585" ht="22.5" customHeight="1">
      <c r="A585" s="139"/>
      <c r="B585" s="71"/>
      <c r="C585" s="71"/>
      <c r="D585" s="25"/>
      <c r="E585" s="25"/>
      <c r="F585" s="25"/>
      <c r="G585" s="119"/>
      <c r="H585" s="139"/>
    </row>
    <row r="586" ht="22.5" customHeight="1">
      <c r="A586" s="139"/>
      <c r="B586" s="71"/>
      <c r="C586" s="71"/>
      <c r="D586" s="25"/>
      <c r="E586" s="25"/>
      <c r="F586" s="25"/>
      <c r="G586" s="119"/>
      <c r="H586" s="139"/>
    </row>
    <row r="587" ht="22.5" customHeight="1">
      <c r="A587" s="139"/>
      <c r="B587" s="71"/>
      <c r="C587" s="71"/>
      <c r="D587" s="25"/>
      <c r="E587" s="25"/>
      <c r="F587" s="25"/>
      <c r="G587" s="119"/>
      <c r="H587" s="139"/>
    </row>
    <row r="588" ht="22.5" customHeight="1">
      <c r="A588" s="139"/>
      <c r="B588" s="71"/>
      <c r="C588" s="71"/>
      <c r="D588" s="25"/>
      <c r="E588" s="25"/>
      <c r="F588" s="25"/>
      <c r="G588" s="119"/>
      <c r="H588" s="139"/>
    </row>
    <row r="589" ht="22.5" customHeight="1">
      <c r="A589" s="139"/>
      <c r="B589" s="71"/>
      <c r="C589" s="71"/>
      <c r="D589" s="25"/>
      <c r="E589" s="25"/>
      <c r="F589" s="25"/>
      <c r="G589" s="119"/>
      <c r="H589" s="139"/>
    </row>
    <row r="590" ht="22.5" customHeight="1">
      <c r="A590" s="139"/>
      <c r="B590" s="71"/>
      <c r="C590" s="71"/>
      <c r="D590" s="25"/>
      <c r="E590" s="25"/>
      <c r="F590" s="25"/>
      <c r="G590" s="119"/>
      <c r="H590" s="139"/>
    </row>
    <row r="591" ht="22.5" customHeight="1">
      <c r="A591" s="139"/>
      <c r="B591" s="71"/>
      <c r="C591" s="71"/>
      <c r="D591" s="25"/>
      <c r="E591" s="25"/>
      <c r="F591" s="25"/>
      <c r="G591" s="119"/>
      <c r="H591" s="139"/>
    </row>
    <row r="592" ht="22.5" customHeight="1">
      <c r="A592" s="139"/>
      <c r="B592" s="71"/>
      <c r="C592" s="71"/>
      <c r="D592" s="25"/>
      <c r="E592" s="25"/>
      <c r="F592" s="25"/>
      <c r="G592" s="119"/>
      <c r="H592" s="139"/>
    </row>
    <row r="593" ht="22.5" customHeight="1">
      <c r="A593" s="139"/>
      <c r="B593" s="71"/>
      <c r="C593" s="71"/>
      <c r="D593" s="25"/>
      <c r="E593" s="25"/>
      <c r="F593" s="25"/>
      <c r="G593" s="119"/>
      <c r="H593" s="139"/>
    </row>
    <row r="594" ht="22.5" customHeight="1">
      <c r="A594" s="139"/>
      <c r="B594" s="71"/>
      <c r="C594" s="71"/>
      <c r="D594" s="25"/>
      <c r="E594" s="25"/>
      <c r="F594" s="25"/>
      <c r="G594" s="119"/>
      <c r="H594" s="139"/>
    </row>
    <row r="595" ht="22.5" customHeight="1">
      <c r="A595" s="139"/>
      <c r="B595" s="71"/>
      <c r="C595" s="71"/>
      <c r="D595" s="25"/>
      <c r="E595" s="25"/>
      <c r="F595" s="25"/>
      <c r="G595" s="119"/>
      <c r="H595" s="139"/>
    </row>
    <row r="596" ht="22.5" customHeight="1">
      <c r="A596" s="139"/>
      <c r="B596" s="71"/>
      <c r="C596" s="71"/>
      <c r="D596" s="25"/>
      <c r="E596" s="25"/>
      <c r="F596" s="25"/>
      <c r="G596" s="119"/>
      <c r="H596" s="139"/>
    </row>
    <row r="597" ht="22.5" customHeight="1">
      <c r="A597" s="139"/>
      <c r="B597" s="71"/>
      <c r="C597" s="71"/>
      <c r="D597" s="25"/>
      <c r="E597" s="25"/>
      <c r="F597" s="25"/>
      <c r="G597" s="119"/>
      <c r="H597" s="139"/>
    </row>
    <row r="598" ht="22.5" customHeight="1">
      <c r="A598" s="139"/>
      <c r="B598" s="71"/>
      <c r="C598" s="71"/>
      <c r="D598" s="25"/>
      <c r="E598" s="25"/>
      <c r="F598" s="25"/>
      <c r="G598" s="119"/>
      <c r="H598" s="139"/>
    </row>
    <row r="599" ht="22.5" customHeight="1">
      <c r="A599" s="139"/>
      <c r="B599" s="71"/>
      <c r="C599" s="71"/>
      <c r="D599" s="25"/>
      <c r="E599" s="25"/>
      <c r="F599" s="25"/>
      <c r="G599" s="119"/>
      <c r="H599" s="139"/>
    </row>
    <row r="600" ht="22.5" customHeight="1">
      <c r="A600" s="139"/>
      <c r="B600" s="71"/>
      <c r="C600" s="71"/>
      <c r="D600" s="25"/>
      <c r="E600" s="25"/>
      <c r="F600" s="25"/>
      <c r="G600" s="119"/>
      <c r="H600" s="139"/>
    </row>
    <row r="601" ht="22.5" customHeight="1">
      <c r="A601" s="139"/>
      <c r="B601" s="71"/>
      <c r="C601" s="71"/>
      <c r="D601" s="25"/>
      <c r="E601" s="25"/>
      <c r="F601" s="25"/>
      <c r="G601" s="119"/>
      <c r="H601" s="139"/>
    </row>
    <row r="602" ht="22.5" customHeight="1">
      <c r="A602" s="139"/>
      <c r="B602" s="71"/>
      <c r="C602" s="71"/>
      <c r="D602" s="25"/>
      <c r="E602" s="25"/>
      <c r="F602" s="25"/>
      <c r="G602" s="119"/>
      <c r="H602" s="139"/>
    </row>
    <row r="603" ht="22.5" customHeight="1">
      <c r="A603" s="139"/>
      <c r="B603" s="71"/>
      <c r="C603" s="71"/>
      <c r="D603" s="25"/>
      <c r="E603" s="25"/>
      <c r="F603" s="25"/>
      <c r="G603" s="119"/>
      <c r="H603" s="139"/>
    </row>
    <row r="604" ht="22.5" customHeight="1">
      <c r="A604" s="139"/>
      <c r="B604" s="71"/>
      <c r="C604" s="71"/>
      <c r="D604" s="25"/>
      <c r="E604" s="25"/>
      <c r="F604" s="25"/>
      <c r="G604" s="119"/>
      <c r="H604" s="139"/>
    </row>
    <row r="605" ht="22.5" customHeight="1">
      <c r="A605" s="139"/>
      <c r="B605" s="71"/>
      <c r="C605" s="71"/>
      <c r="D605" s="25"/>
      <c r="E605" s="25"/>
      <c r="F605" s="25"/>
      <c r="G605" s="119"/>
      <c r="H605" s="139"/>
    </row>
    <row r="606" ht="22.5" customHeight="1">
      <c r="A606" s="139"/>
      <c r="B606" s="71"/>
      <c r="C606" s="71"/>
      <c r="D606" s="25"/>
      <c r="E606" s="25"/>
      <c r="F606" s="25"/>
      <c r="G606" s="119"/>
      <c r="H606" s="139"/>
    </row>
    <row r="607" ht="22.5" customHeight="1">
      <c r="A607" s="139"/>
      <c r="B607" s="71"/>
      <c r="C607" s="71"/>
      <c r="D607" s="25"/>
      <c r="E607" s="25"/>
      <c r="F607" s="25"/>
      <c r="G607" s="119"/>
      <c r="H607" s="139"/>
    </row>
    <row r="608" ht="22.5" customHeight="1">
      <c r="A608" s="139"/>
      <c r="B608" s="71"/>
      <c r="C608" s="71"/>
      <c r="D608" s="25"/>
      <c r="E608" s="25"/>
      <c r="F608" s="25"/>
      <c r="G608" s="119"/>
      <c r="H608" s="139"/>
    </row>
    <row r="609" ht="22.5" customHeight="1">
      <c r="A609" s="139"/>
      <c r="B609" s="71"/>
      <c r="C609" s="71"/>
      <c r="D609" s="25"/>
      <c r="E609" s="25"/>
      <c r="F609" s="25"/>
      <c r="G609" s="119"/>
      <c r="H609" s="139"/>
    </row>
    <row r="610" ht="22.5" customHeight="1">
      <c r="A610" s="139"/>
      <c r="B610" s="71"/>
      <c r="C610" s="71"/>
      <c r="D610" s="25"/>
      <c r="E610" s="25"/>
      <c r="F610" s="25"/>
      <c r="G610" s="119"/>
      <c r="H610" s="139"/>
    </row>
    <row r="611" ht="22.5" customHeight="1">
      <c r="A611" s="139"/>
      <c r="B611" s="71"/>
      <c r="C611" s="71"/>
      <c r="D611" s="25"/>
      <c r="E611" s="25"/>
      <c r="F611" s="25"/>
      <c r="G611" s="119"/>
      <c r="H611" s="139"/>
    </row>
    <row r="612" ht="22.5" customHeight="1">
      <c r="A612" s="139"/>
      <c r="B612" s="71"/>
      <c r="C612" s="71"/>
      <c r="D612" s="25"/>
      <c r="E612" s="25"/>
      <c r="F612" s="25"/>
      <c r="G612" s="119"/>
      <c r="H612" s="139"/>
    </row>
    <row r="613" ht="22.5" customHeight="1">
      <c r="A613" s="139"/>
      <c r="B613" s="71"/>
      <c r="C613" s="71"/>
      <c r="D613" s="25"/>
      <c r="E613" s="25"/>
      <c r="F613" s="25"/>
      <c r="G613" s="119"/>
      <c r="H613" s="139"/>
    </row>
    <row r="614" ht="22.5" customHeight="1">
      <c r="A614" s="139"/>
      <c r="B614" s="71"/>
      <c r="C614" s="71"/>
      <c r="D614" s="25"/>
      <c r="E614" s="25"/>
      <c r="F614" s="25"/>
      <c r="G614" s="119"/>
      <c r="H614" s="139"/>
    </row>
    <row r="615" ht="22.5" customHeight="1">
      <c r="A615" s="139"/>
      <c r="B615" s="71"/>
      <c r="C615" s="71"/>
      <c r="D615" s="25"/>
      <c r="E615" s="25"/>
      <c r="F615" s="25"/>
      <c r="G615" s="119"/>
      <c r="H615" s="139"/>
    </row>
    <row r="616" ht="22.5" customHeight="1">
      <c r="A616" s="139"/>
      <c r="B616" s="71"/>
      <c r="C616" s="71"/>
      <c r="D616" s="25"/>
      <c r="E616" s="25"/>
      <c r="F616" s="25"/>
      <c r="G616" s="119"/>
      <c r="H616" s="139"/>
    </row>
    <row r="617" ht="22.5" customHeight="1">
      <c r="A617" s="139"/>
      <c r="B617" s="71"/>
      <c r="C617" s="71"/>
      <c r="D617" s="25"/>
      <c r="E617" s="25"/>
      <c r="F617" s="25"/>
      <c r="G617" s="119"/>
      <c r="H617" s="139"/>
    </row>
    <row r="618" ht="22.5" customHeight="1">
      <c r="A618" s="139"/>
      <c r="B618" s="71"/>
      <c r="C618" s="71"/>
      <c r="D618" s="25"/>
      <c r="E618" s="25"/>
      <c r="F618" s="25"/>
      <c r="G618" s="119"/>
      <c r="H618" s="139"/>
    </row>
    <row r="619" ht="22.5" customHeight="1">
      <c r="A619" s="139"/>
      <c r="B619" s="71"/>
      <c r="C619" s="71"/>
      <c r="D619" s="25"/>
      <c r="E619" s="25"/>
      <c r="F619" s="25"/>
      <c r="G619" s="119"/>
      <c r="H619" s="139"/>
    </row>
    <row r="620" ht="22.5" customHeight="1">
      <c r="A620" s="139"/>
      <c r="B620" s="71"/>
      <c r="C620" s="71"/>
      <c r="D620" s="25"/>
      <c r="E620" s="25"/>
      <c r="F620" s="25"/>
      <c r="G620" s="119"/>
      <c r="H620" s="139"/>
    </row>
    <row r="621" ht="22.5" customHeight="1">
      <c r="A621" s="139"/>
      <c r="B621" s="71"/>
      <c r="C621" s="71"/>
      <c r="D621" s="25"/>
      <c r="E621" s="25"/>
      <c r="F621" s="25"/>
      <c r="G621" s="119"/>
      <c r="H621" s="139"/>
    </row>
    <row r="622" ht="22.5" customHeight="1">
      <c r="A622" s="139"/>
      <c r="B622" s="71"/>
      <c r="C622" s="71"/>
      <c r="D622" s="25"/>
      <c r="E622" s="25"/>
      <c r="F622" s="25"/>
      <c r="G622" s="119"/>
      <c r="H622" s="139"/>
    </row>
    <row r="623" ht="22.5" customHeight="1">
      <c r="A623" s="139"/>
      <c r="B623" s="71"/>
      <c r="C623" s="71"/>
      <c r="D623" s="25"/>
      <c r="E623" s="25"/>
      <c r="F623" s="25"/>
      <c r="G623" s="119"/>
      <c r="H623" s="139"/>
    </row>
    <row r="624" ht="22.5" customHeight="1">
      <c r="A624" s="139"/>
      <c r="B624" s="71"/>
      <c r="C624" s="71"/>
      <c r="D624" s="25"/>
      <c r="E624" s="25"/>
      <c r="F624" s="25"/>
      <c r="G624" s="119"/>
      <c r="H624" s="139"/>
    </row>
    <row r="625" ht="22.5" customHeight="1">
      <c r="A625" s="139"/>
      <c r="B625" s="71"/>
      <c r="C625" s="71"/>
      <c r="D625" s="25"/>
      <c r="E625" s="25"/>
      <c r="F625" s="25"/>
      <c r="G625" s="119"/>
      <c r="H625" s="139"/>
    </row>
    <row r="626" ht="22.5" customHeight="1">
      <c r="A626" s="139"/>
      <c r="B626" s="71"/>
      <c r="C626" s="71"/>
      <c r="D626" s="25"/>
      <c r="E626" s="25"/>
      <c r="F626" s="25"/>
      <c r="G626" s="119"/>
      <c r="H626" s="139"/>
    </row>
    <row r="627" ht="22.5" customHeight="1">
      <c r="A627" s="139"/>
      <c r="B627" s="71"/>
      <c r="C627" s="71"/>
      <c r="D627" s="25"/>
      <c r="E627" s="25"/>
      <c r="F627" s="25"/>
      <c r="G627" s="119"/>
      <c r="H627" s="139"/>
    </row>
    <row r="628" ht="22.5" customHeight="1">
      <c r="A628" s="139"/>
      <c r="B628" s="71"/>
      <c r="C628" s="71"/>
      <c r="D628" s="25"/>
      <c r="E628" s="25"/>
      <c r="F628" s="25"/>
      <c r="G628" s="119"/>
      <c r="H628" s="139"/>
    </row>
    <row r="629" ht="22.5" customHeight="1">
      <c r="A629" s="139"/>
      <c r="B629" s="71"/>
      <c r="C629" s="71"/>
      <c r="D629" s="25"/>
      <c r="E629" s="25"/>
      <c r="F629" s="25"/>
      <c r="G629" s="119"/>
      <c r="H629" s="139"/>
    </row>
    <row r="630" ht="22.5" customHeight="1">
      <c r="A630" s="139"/>
      <c r="B630" s="71"/>
      <c r="C630" s="71"/>
      <c r="D630" s="25"/>
      <c r="E630" s="25"/>
      <c r="F630" s="25"/>
      <c r="G630" s="119"/>
      <c r="H630" s="139"/>
    </row>
    <row r="631" ht="22.5" customHeight="1">
      <c r="A631" s="139"/>
      <c r="B631" s="71"/>
      <c r="C631" s="71"/>
      <c r="D631" s="25"/>
      <c r="E631" s="25"/>
      <c r="F631" s="25"/>
      <c r="G631" s="119"/>
      <c r="H631" s="139"/>
    </row>
    <row r="632" ht="22.5" customHeight="1">
      <c r="A632" s="139"/>
      <c r="B632" s="71"/>
      <c r="C632" s="71"/>
      <c r="D632" s="25"/>
      <c r="E632" s="25"/>
      <c r="F632" s="25"/>
      <c r="G632" s="119"/>
      <c r="H632" s="139"/>
    </row>
    <row r="633" ht="22.5" customHeight="1">
      <c r="A633" s="139"/>
      <c r="B633" s="71"/>
      <c r="C633" s="71"/>
      <c r="D633" s="25"/>
      <c r="E633" s="25"/>
      <c r="F633" s="25"/>
      <c r="G633" s="119"/>
      <c r="H633" s="139"/>
    </row>
    <row r="634" ht="22.5" customHeight="1">
      <c r="A634" s="139"/>
      <c r="B634" s="71"/>
      <c r="C634" s="71"/>
      <c r="D634" s="25"/>
      <c r="E634" s="25"/>
      <c r="F634" s="25"/>
      <c r="G634" s="119"/>
      <c r="H634" s="139"/>
    </row>
    <row r="635" ht="22.5" customHeight="1">
      <c r="A635" s="139"/>
      <c r="B635" s="71"/>
      <c r="C635" s="71"/>
      <c r="D635" s="25"/>
      <c r="E635" s="25"/>
      <c r="F635" s="25"/>
      <c r="G635" s="119"/>
      <c r="H635" s="139"/>
    </row>
    <row r="636" ht="22.5" customHeight="1">
      <c r="A636" s="139"/>
      <c r="B636" s="71"/>
      <c r="C636" s="71"/>
      <c r="D636" s="25"/>
      <c r="E636" s="25"/>
      <c r="F636" s="25"/>
      <c r="G636" s="119"/>
      <c r="H636" s="139"/>
    </row>
    <row r="637" ht="22.5" customHeight="1">
      <c r="A637" s="139"/>
      <c r="B637" s="71"/>
      <c r="C637" s="71"/>
      <c r="D637" s="25"/>
      <c r="E637" s="25"/>
      <c r="F637" s="25"/>
      <c r="G637" s="119"/>
      <c r="H637" s="139"/>
    </row>
    <row r="638" ht="22.5" customHeight="1">
      <c r="A638" s="139"/>
      <c r="B638" s="71"/>
      <c r="C638" s="71"/>
      <c r="D638" s="25"/>
      <c r="E638" s="25"/>
      <c r="F638" s="25"/>
      <c r="G638" s="119"/>
      <c r="H638" s="139"/>
    </row>
    <row r="639" ht="22.5" customHeight="1">
      <c r="A639" s="139"/>
      <c r="B639" s="71"/>
      <c r="C639" s="71"/>
      <c r="D639" s="25"/>
      <c r="E639" s="25"/>
      <c r="F639" s="25"/>
      <c r="G639" s="119"/>
      <c r="H639" s="139"/>
    </row>
    <row r="640" ht="22.5" customHeight="1">
      <c r="A640" s="139"/>
      <c r="B640" s="71"/>
      <c r="C640" s="71"/>
      <c r="D640" s="25"/>
      <c r="E640" s="25"/>
      <c r="F640" s="25"/>
      <c r="G640" s="119"/>
      <c r="H640" s="139"/>
    </row>
    <row r="641" ht="22.5" customHeight="1">
      <c r="A641" s="139"/>
      <c r="B641" s="71"/>
      <c r="C641" s="71"/>
      <c r="D641" s="25"/>
      <c r="E641" s="25"/>
      <c r="F641" s="25"/>
      <c r="G641" s="119"/>
      <c r="H641" s="139"/>
    </row>
    <row r="642" ht="22.5" customHeight="1">
      <c r="A642" s="139"/>
      <c r="B642" s="71"/>
      <c r="C642" s="71"/>
      <c r="D642" s="25"/>
      <c r="E642" s="25"/>
      <c r="F642" s="25"/>
      <c r="G642" s="119"/>
      <c r="H642" s="139"/>
    </row>
    <row r="643" ht="22.5" customHeight="1">
      <c r="A643" s="139"/>
      <c r="B643" s="71"/>
      <c r="C643" s="71"/>
      <c r="D643" s="25"/>
      <c r="E643" s="25"/>
      <c r="F643" s="25"/>
      <c r="G643" s="119"/>
      <c r="H643" s="139"/>
    </row>
    <row r="644" ht="22.5" customHeight="1">
      <c r="A644" s="139"/>
      <c r="B644" s="71"/>
      <c r="C644" s="71"/>
      <c r="D644" s="25"/>
      <c r="E644" s="25"/>
      <c r="F644" s="25"/>
      <c r="G644" s="119"/>
      <c r="H644" s="139"/>
    </row>
    <row r="645" ht="22.5" customHeight="1">
      <c r="A645" s="139"/>
      <c r="B645" s="71"/>
      <c r="C645" s="71"/>
      <c r="D645" s="25"/>
      <c r="E645" s="25"/>
      <c r="F645" s="25"/>
      <c r="G645" s="119"/>
      <c r="H645" s="139"/>
    </row>
    <row r="646" ht="22.5" customHeight="1">
      <c r="A646" s="139"/>
      <c r="B646" s="71"/>
      <c r="C646" s="71"/>
      <c r="D646" s="25"/>
      <c r="E646" s="25"/>
      <c r="F646" s="25"/>
      <c r="G646" s="119"/>
      <c r="H646" s="139"/>
    </row>
    <row r="647" ht="22.5" customHeight="1">
      <c r="A647" s="139"/>
      <c r="B647" s="71"/>
      <c r="C647" s="71"/>
      <c r="D647" s="25"/>
      <c r="E647" s="25"/>
      <c r="F647" s="25"/>
      <c r="G647" s="119"/>
      <c r="H647" s="139"/>
    </row>
    <row r="648" ht="22.5" customHeight="1">
      <c r="A648" s="139"/>
      <c r="B648" s="71"/>
      <c r="C648" s="71"/>
      <c r="D648" s="25"/>
      <c r="E648" s="25"/>
      <c r="F648" s="25"/>
      <c r="G648" s="119"/>
      <c r="H648" s="139"/>
    </row>
    <row r="649" ht="22.5" customHeight="1">
      <c r="A649" s="139"/>
      <c r="B649" s="71"/>
      <c r="C649" s="71"/>
      <c r="D649" s="25"/>
      <c r="E649" s="25"/>
      <c r="F649" s="25"/>
      <c r="G649" s="119"/>
      <c r="H649" s="139"/>
    </row>
    <row r="650" ht="22.5" customHeight="1">
      <c r="A650" s="139"/>
      <c r="B650" s="71"/>
      <c r="C650" s="71"/>
      <c r="D650" s="25"/>
      <c r="E650" s="25"/>
      <c r="F650" s="25"/>
      <c r="G650" s="119"/>
      <c r="H650" s="139"/>
    </row>
    <row r="651" ht="22.5" customHeight="1">
      <c r="A651" s="139"/>
      <c r="B651" s="71"/>
      <c r="C651" s="71"/>
      <c r="D651" s="25"/>
      <c r="E651" s="25"/>
      <c r="F651" s="25"/>
      <c r="G651" s="119"/>
      <c r="H651" s="139"/>
    </row>
    <row r="652" ht="22.5" customHeight="1">
      <c r="A652" s="139"/>
      <c r="B652" s="71"/>
      <c r="C652" s="71"/>
      <c r="D652" s="25"/>
      <c r="E652" s="25"/>
      <c r="F652" s="25"/>
      <c r="G652" s="119"/>
      <c r="H652" s="139"/>
    </row>
    <row r="653" ht="22.5" customHeight="1">
      <c r="A653" s="139"/>
      <c r="B653" s="71"/>
      <c r="C653" s="71"/>
      <c r="D653" s="25"/>
      <c r="E653" s="25"/>
      <c r="F653" s="25"/>
      <c r="G653" s="119"/>
      <c r="H653" s="139"/>
    </row>
    <row r="654" ht="22.5" customHeight="1">
      <c r="A654" s="139"/>
      <c r="B654" s="71"/>
      <c r="C654" s="71"/>
      <c r="D654" s="25"/>
      <c r="E654" s="25"/>
      <c r="F654" s="25"/>
      <c r="G654" s="119"/>
      <c r="H654" s="139"/>
    </row>
    <row r="655" ht="22.5" customHeight="1">
      <c r="A655" s="139"/>
      <c r="B655" s="71"/>
      <c r="C655" s="71"/>
      <c r="D655" s="25"/>
      <c r="E655" s="25"/>
      <c r="F655" s="25"/>
      <c r="G655" s="119"/>
      <c r="H655" s="139"/>
    </row>
    <row r="656" ht="22.5" customHeight="1">
      <c r="A656" s="139"/>
      <c r="B656" s="71"/>
      <c r="C656" s="71"/>
      <c r="D656" s="25"/>
      <c r="E656" s="25"/>
      <c r="F656" s="25"/>
      <c r="G656" s="119"/>
      <c r="H656" s="139"/>
    </row>
    <row r="657" ht="22.5" customHeight="1">
      <c r="A657" s="139"/>
      <c r="B657" s="71"/>
      <c r="C657" s="71"/>
      <c r="D657" s="25"/>
      <c r="E657" s="25"/>
      <c r="F657" s="25"/>
      <c r="G657" s="119"/>
      <c r="H657" s="139"/>
    </row>
    <row r="658" ht="22.5" customHeight="1">
      <c r="A658" s="139"/>
      <c r="B658" s="71"/>
      <c r="C658" s="71"/>
      <c r="D658" s="25"/>
      <c r="E658" s="25"/>
      <c r="F658" s="25"/>
      <c r="G658" s="119"/>
      <c r="H658" s="139"/>
    </row>
    <row r="659" ht="22.5" customHeight="1">
      <c r="A659" s="139"/>
      <c r="B659" s="71"/>
      <c r="C659" s="71"/>
      <c r="D659" s="25"/>
      <c r="E659" s="25"/>
      <c r="F659" s="25"/>
      <c r="G659" s="119"/>
      <c r="H659" s="139"/>
    </row>
    <row r="660" ht="22.5" customHeight="1">
      <c r="A660" s="139"/>
      <c r="B660" s="71"/>
      <c r="C660" s="71"/>
      <c r="D660" s="25"/>
      <c r="E660" s="25"/>
      <c r="F660" s="25"/>
      <c r="G660" s="119"/>
      <c r="H660" s="139"/>
    </row>
    <row r="661" ht="22.5" customHeight="1">
      <c r="A661" s="139"/>
      <c r="B661" s="71"/>
      <c r="C661" s="71"/>
      <c r="D661" s="25"/>
      <c r="E661" s="25"/>
      <c r="F661" s="25"/>
      <c r="G661" s="119"/>
      <c r="H661" s="139"/>
    </row>
    <row r="662" ht="22.5" customHeight="1">
      <c r="A662" s="139"/>
      <c r="B662" s="71"/>
      <c r="C662" s="71"/>
      <c r="D662" s="25"/>
      <c r="E662" s="25"/>
      <c r="F662" s="25"/>
      <c r="G662" s="119"/>
      <c r="H662" s="139"/>
    </row>
    <row r="663" ht="22.5" customHeight="1">
      <c r="A663" s="139"/>
      <c r="B663" s="71"/>
      <c r="C663" s="71"/>
      <c r="D663" s="25"/>
      <c r="E663" s="25"/>
      <c r="F663" s="25"/>
      <c r="G663" s="119"/>
      <c r="H663" s="139"/>
    </row>
    <row r="664" ht="22.5" customHeight="1">
      <c r="A664" s="139"/>
      <c r="B664" s="71"/>
      <c r="C664" s="71"/>
      <c r="D664" s="25"/>
      <c r="E664" s="25"/>
      <c r="F664" s="25"/>
      <c r="G664" s="119"/>
      <c r="H664" s="139"/>
    </row>
    <row r="665" ht="22.5" customHeight="1">
      <c r="A665" s="139"/>
      <c r="B665" s="71"/>
      <c r="C665" s="71"/>
      <c r="D665" s="25"/>
      <c r="E665" s="25"/>
      <c r="F665" s="25"/>
      <c r="G665" s="119"/>
      <c r="H665" s="139"/>
    </row>
    <row r="666" ht="22.5" customHeight="1">
      <c r="A666" s="139"/>
      <c r="B666" s="71"/>
      <c r="C666" s="71"/>
      <c r="D666" s="25"/>
      <c r="E666" s="25"/>
      <c r="F666" s="25"/>
      <c r="G666" s="119"/>
      <c r="H666" s="139"/>
    </row>
    <row r="667" ht="22.5" customHeight="1">
      <c r="A667" s="139"/>
      <c r="B667" s="71"/>
      <c r="C667" s="71"/>
      <c r="D667" s="25"/>
      <c r="E667" s="25"/>
      <c r="F667" s="25"/>
      <c r="G667" s="119"/>
      <c r="H667" s="139"/>
    </row>
    <row r="668" ht="22.5" customHeight="1">
      <c r="A668" s="139"/>
      <c r="B668" s="71"/>
      <c r="C668" s="71"/>
      <c r="D668" s="25"/>
      <c r="E668" s="25"/>
      <c r="F668" s="25"/>
      <c r="G668" s="119"/>
      <c r="H668" s="139"/>
    </row>
    <row r="669" ht="22.5" customHeight="1">
      <c r="A669" s="139"/>
      <c r="B669" s="71"/>
      <c r="C669" s="71"/>
      <c r="D669" s="25"/>
      <c r="E669" s="25"/>
      <c r="F669" s="25"/>
      <c r="G669" s="119"/>
      <c r="H669" s="139"/>
    </row>
    <row r="670" ht="22.5" customHeight="1">
      <c r="A670" s="139"/>
      <c r="B670" s="71"/>
      <c r="C670" s="71"/>
      <c r="D670" s="25"/>
      <c r="E670" s="25"/>
      <c r="F670" s="25"/>
      <c r="G670" s="119"/>
      <c r="H670" s="139"/>
    </row>
    <row r="671" ht="22.5" customHeight="1">
      <c r="A671" s="139"/>
      <c r="B671" s="71"/>
      <c r="C671" s="71"/>
      <c r="D671" s="25"/>
      <c r="E671" s="25"/>
      <c r="F671" s="25"/>
      <c r="G671" s="119"/>
      <c r="H671" s="139"/>
    </row>
    <row r="672" ht="22.5" customHeight="1">
      <c r="A672" s="139"/>
      <c r="B672" s="71"/>
      <c r="C672" s="71"/>
      <c r="D672" s="25"/>
      <c r="E672" s="25"/>
      <c r="F672" s="25"/>
      <c r="G672" s="119"/>
      <c r="H672" s="139"/>
    </row>
    <row r="673" ht="22.5" customHeight="1">
      <c r="A673" s="139"/>
      <c r="B673" s="71"/>
      <c r="C673" s="71"/>
      <c r="D673" s="25"/>
      <c r="E673" s="25"/>
      <c r="F673" s="25"/>
      <c r="G673" s="119"/>
      <c r="H673" s="139"/>
    </row>
    <row r="674" ht="22.5" customHeight="1">
      <c r="A674" s="139"/>
      <c r="B674" s="71"/>
      <c r="C674" s="71"/>
      <c r="D674" s="25"/>
      <c r="E674" s="25"/>
      <c r="F674" s="25"/>
      <c r="G674" s="119"/>
      <c r="H674" s="139"/>
    </row>
    <row r="675" ht="22.5" customHeight="1">
      <c r="A675" s="139"/>
      <c r="B675" s="71"/>
      <c r="C675" s="71"/>
      <c r="D675" s="25"/>
      <c r="E675" s="25"/>
      <c r="F675" s="25"/>
      <c r="G675" s="119"/>
      <c r="H675" s="139"/>
    </row>
    <row r="676" ht="22.5" customHeight="1">
      <c r="A676" s="139"/>
      <c r="B676" s="71"/>
      <c r="C676" s="71"/>
      <c r="D676" s="25"/>
      <c r="E676" s="25"/>
      <c r="F676" s="25"/>
      <c r="G676" s="119"/>
      <c r="H676" s="139"/>
    </row>
    <row r="677" ht="22.5" customHeight="1">
      <c r="A677" s="139"/>
      <c r="B677" s="71"/>
      <c r="C677" s="71"/>
      <c r="D677" s="25"/>
      <c r="E677" s="25"/>
      <c r="F677" s="25"/>
      <c r="G677" s="119"/>
      <c r="H677" s="139"/>
    </row>
    <row r="678" ht="22.5" customHeight="1">
      <c r="A678" s="139"/>
      <c r="B678" s="71"/>
      <c r="C678" s="71"/>
      <c r="D678" s="25"/>
      <c r="E678" s="25"/>
      <c r="F678" s="25"/>
      <c r="G678" s="119"/>
      <c r="H678" s="139"/>
    </row>
    <row r="679" ht="22.5" customHeight="1">
      <c r="A679" s="139"/>
      <c r="B679" s="71"/>
      <c r="C679" s="71"/>
      <c r="D679" s="25"/>
      <c r="E679" s="25"/>
      <c r="F679" s="25"/>
      <c r="G679" s="119"/>
      <c r="H679" s="139"/>
    </row>
    <row r="680" ht="22.5" customHeight="1">
      <c r="A680" s="139"/>
      <c r="B680" s="71"/>
      <c r="C680" s="71"/>
      <c r="D680" s="25"/>
      <c r="E680" s="25"/>
      <c r="F680" s="25"/>
      <c r="G680" s="119"/>
      <c r="H680" s="139"/>
    </row>
    <row r="681" ht="22.5" customHeight="1">
      <c r="A681" s="139"/>
      <c r="B681" s="71"/>
      <c r="C681" s="71"/>
      <c r="D681" s="25"/>
      <c r="E681" s="25"/>
      <c r="F681" s="25"/>
      <c r="G681" s="119"/>
      <c r="H681" s="139"/>
    </row>
    <row r="682" ht="22.5" customHeight="1">
      <c r="A682" s="139"/>
      <c r="B682" s="71"/>
      <c r="C682" s="71"/>
      <c r="D682" s="25"/>
      <c r="E682" s="25"/>
      <c r="F682" s="25"/>
      <c r="G682" s="119"/>
      <c r="H682" s="139"/>
    </row>
    <row r="683" ht="22.5" customHeight="1">
      <c r="A683" s="139"/>
      <c r="B683" s="71"/>
      <c r="C683" s="71"/>
      <c r="D683" s="25"/>
      <c r="E683" s="25"/>
      <c r="F683" s="25"/>
      <c r="G683" s="119"/>
      <c r="H683" s="139"/>
    </row>
    <row r="684" ht="22.5" customHeight="1">
      <c r="A684" s="139"/>
      <c r="B684" s="71"/>
      <c r="C684" s="71"/>
      <c r="D684" s="25"/>
      <c r="E684" s="25"/>
      <c r="F684" s="25"/>
      <c r="G684" s="119"/>
      <c r="H684" s="139"/>
    </row>
    <row r="685" ht="22.5" customHeight="1">
      <c r="A685" s="139"/>
      <c r="B685" s="71"/>
      <c r="C685" s="71"/>
      <c r="D685" s="25"/>
      <c r="E685" s="25"/>
      <c r="F685" s="25"/>
      <c r="G685" s="119"/>
      <c r="H685" s="139"/>
    </row>
    <row r="686" ht="22.5" customHeight="1">
      <c r="A686" s="139"/>
      <c r="B686" s="71"/>
      <c r="C686" s="71"/>
      <c r="D686" s="25"/>
      <c r="E686" s="25"/>
      <c r="F686" s="25"/>
      <c r="G686" s="119"/>
      <c r="H686" s="139"/>
    </row>
    <row r="687" ht="22.5" customHeight="1">
      <c r="A687" s="139"/>
      <c r="B687" s="71"/>
      <c r="C687" s="71"/>
      <c r="D687" s="25"/>
      <c r="E687" s="25"/>
      <c r="F687" s="25"/>
      <c r="G687" s="119"/>
      <c r="H687" s="139"/>
    </row>
    <row r="688" ht="22.5" customHeight="1">
      <c r="A688" s="139"/>
      <c r="B688" s="71"/>
      <c r="C688" s="71"/>
      <c r="D688" s="25"/>
      <c r="E688" s="25"/>
      <c r="F688" s="25"/>
      <c r="G688" s="119"/>
      <c r="H688" s="139"/>
    </row>
    <row r="689" ht="22.5" customHeight="1">
      <c r="A689" s="139"/>
      <c r="B689" s="71"/>
      <c r="C689" s="71"/>
      <c r="D689" s="25"/>
      <c r="E689" s="25"/>
      <c r="F689" s="25"/>
      <c r="G689" s="119"/>
      <c r="H689" s="139"/>
    </row>
    <row r="690" ht="22.5" customHeight="1">
      <c r="A690" s="139"/>
      <c r="B690" s="71"/>
      <c r="C690" s="71"/>
      <c r="D690" s="25"/>
      <c r="E690" s="25"/>
      <c r="F690" s="25"/>
      <c r="G690" s="119"/>
      <c r="H690" s="139"/>
    </row>
    <row r="691" ht="22.5" customHeight="1">
      <c r="A691" s="139"/>
      <c r="B691" s="71"/>
      <c r="C691" s="71"/>
      <c r="D691" s="25"/>
      <c r="E691" s="25"/>
      <c r="F691" s="25"/>
      <c r="G691" s="119"/>
      <c r="H691" s="139"/>
    </row>
    <row r="692" ht="22.5" customHeight="1">
      <c r="A692" s="139"/>
      <c r="B692" s="71"/>
      <c r="C692" s="71"/>
      <c r="D692" s="25"/>
      <c r="E692" s="25"/>
      <c r="F692" s="25"/>
      <c r="G692" s="119"/>
      <c r="H692" s="139"/>
    </row>
    <row r="693" ht="22.5" customHeight="1">
      <c r="A693" s="139"/>
      <c r="B693" s="71"/>
      <c r="C693" s="71"/>
      <c r="D693" s="25"/>
      <c r="E693" s="25"/>
      <c r="F693" s="25"/>
      <c r="G693" s="119"/>
      <c r="H693" s="139"/>
    </row>
    <row r="694" ht="22.5" customHeight="1">
      <c r="A694" s="139"/>
      <c r="B694" s="71"/>
      <c r="C694" s="71"/>
      <c r="D694" s="25"/>
      <c r="E694" s="25"/>
      <c r="F694" s="25"/>
      <c r="G694" s="119"/>
      <c r="H694" s="139"/>
    </row>
    <row r="695" ht="22.5" customHeight="1">
      <c r="A695" s="139"/>
      <c r="B695" s="71"/>
      <c r="C695" s="71"/>
      <c r="D695" s="25"/>
      <c r="E695" s="25"/>
      <c r="F695" s="25"/>
      <c r="G695" s="119"/>
      <c r="H695" s="139"/>
    </row>
    <row r="696" ht="22.5" customHeight="1">
      <c r="A696" s="139"/>
      <c r="B696" s="71"/>
      <c r="C696" s="71"/>
      <c r="D696" s="25"/>
      <c r="E696" s="25"/>
      <c r="F696" s="25"/>
      <c r="G696" s="119"/>
      <c r="H696" s="139"/>
    </row>
    <row r="697" ht="22.5" customHeight="1">
      <c r="A697" s="139"/>
      <c r="B697" s="71"/>
      <c r="C697" s="71"/>
      <c r="D697" s="25"/>
      <c r="E697" s="25"/>
      <c r="F697" s="25"/>
      <c r="G697" s="119"/>
      <c r="H697" s="139"/>
    </row>
    <row r="698" ht="22.5" customHeight="1">
      <c r="A698" s="139"/>
      <c r="B698" s="71"/>
      <c r="C698" s="71"/>
      <c r="D698" s="25"/>
      <c r="E698" s="25"/>
      <c r="F698" s="25"/>
      <c r="G698" s="119"/>
      <c r="H698" s="139"/>
    </row>
    <row r="699" ht="22.5" customHeight="1">
      <c r="A699" s="139"/>
      <c r="B699" s="71"/>
      <c r="C699" s="71"/>
      <c r="D699" s="25"/>
      <c r="E699" s="25"/>
      <c r="F699" s="25"/>
      <c r="G699" s="119"/>
      <c r="H699" s="139"/>
    </row>
    <row r="700" ht="22.5" customHeight="1">
      <c r="A700" s="139"/>
      <c r="B700" s="71"/>
      <c r="C700" s="71"/>
      <c r="D700" s="25"/>
      <c r="E700" s="25"/>
      <c r="F700" s="25"/>
      <c r="G700" s="119"/>
      <c r="H700" s="139"/>
    </row>
    <row r="701" ht="22.5" customHeight="1">
      <c r="A701" s="139"/>
      <c r="B701" s="71"/>
      <c r="C701" s="71"/>
      <c r="D701" s="25"/>
      <c r="E701" s="25"/>
      <c r="F701" s="25"/>
      <c r="G701" s="119"/>
      <c r="H701" s="139"/>
    </row>
    <row r="702" ht="22.5" customHeight="1">
      <c r="A702" s="139"/>
      <c r="B702" s="71"/>
      <c r="C702" s="71"/>
      <c r="D702" s="25"/>
      <c r="E702" s="25"/>
      <c r="F702" s="25"/>
      <c r="G702" s="119"/>
      <c r="H702" s="139"/>
    </row>
    <row r="703" ht="22.5" customHeight="1">
      <c r="A703" s="139"/>
      <c r="B703" s="71"/>
      <c r="C703" s="71"/>
      <c r="D703" s="25"/>
      <c r="E703" s="25"/>
      <c r="F703" s="25"/>
      <c r="G703" s="119"/>
      <c r="H703" s="139"/>
    </row>
    <row r="704" ht="22.5" customHeight="1">
      <c r="A704" s="139"/>
      <c r="B704" s="71"/>
      <c r="C704" s="71"/>
      <c r="D704" s="25"/>
      <c r="E704" s="25"/>
      <c r="F704" s="25"/>
      <c r="G704" s="119"/>
      <c r="H704" s="139"/>
    </row>
    <row r="705" ht="22.5" customHeight="1">
      <c r="A705" s="139"/>
      <c r="B705" s="71"/>
      <c r="C705" s="71"/>
      <c r="D705" s="25"/>
      <c r="E705" s="25"/>
      <c r="F705" s="25"/>
      <c r="G705" s="119"/>
      <c r="H705" s="139"/>
    </row>
    <row r="706" ht="22.5" customHeight="1">
      <c r="A706" s="139"/>
      <c r="B706" s="71"/>
      <c r="C706" s="71"/>
      <c r="D706" s="25"/>
      <c r="E706" s="25"/>
      <c r="F706" s="25"/>
      <c r="G706" s="119"/>
      <c r="H706" s="139"/>
    </row>
    <row r="707" ht="22.5" customHeight="1">
      <c r="A707" s="139"/>
      <c r="B707" s="71"/>
      <c r="C707" s="71"/>
      <c r="D707" s="25"/>
      <c r="E707" s="25"/>
      <c r="F707" s="25"/>
      <c r="G707" s="119"/>
      <c r="H707" s="139"/>
    </row>
    <row r="708" ht="22.5" customHeight="1">
      <c r="A708" s="139"/>
      <c r="B708" s="71"/>
      <c r="C708" s="71"/>
      <c r="D708" s="25"/>
      <c r="E708" s="25"/>
      <c r="F708" s="25"/>
      <c r="G708" s="119"/>
      <c r="H708" s="139"/>
    </row>
    <row r="709" ht="22.5" customHeight="1">
      <c r="A709" s="139"/>
      <c r="B709" s="71"/>
      <c r="C709" s="71"/>
      <c r="D709" s="25"/>
      <c r="E709" s="25"/>
      <c r="F709" s="25"/>
      <c r="G709" s="119"/>
      <c r="H709" s="139"/>
    </row>
    <row r="710" ht="22.5" customHeight="1">
      <c r="A710" s="139"/>
      <c r="B710" s="71"/>
      <c r="C710" s="71"/>
      <c r="D710" s="25"/>
      <c r="E710" s="25"/>
      <c r="F710" s="25"/>
      <c r="G710" s="119"/>
      <c r="H710" s="139"/>
    </row>
    <row r="711" ht="22.5" customHeight="1">
      <c r="A711" s="139"/>
      <c r="B711" s="71"/>
      <c r="C711" s="71"/>
      <c r="D711" s="25"/>
      <c r="E711" s="25"/>
      <c r="F711" s="25"/>
      <c r="G711" s="119"/>
      <c r="H711" s="139"/>
    </row>
    <row r="712" ht="22.5" customHeight="1">
      <c r="A712" s="139"/>
      <c r="B712" s="71"/>
      <c r="C712" s="71"/>
      <c r="D712" s="25"/>
      <c r="E712" s="25"/>
      <c r="F712" s="25"/>
      <c r="G712" s="119"/>
      <c r="H712" s="139"/>
    </row>
    <row r="713" ht="22.5" customHeight="1">
      <c r="A713" s="139"/>
      <c r="B713" s="71"/>
      <c r="C713" s="71"/>
      <c r="D713" s="25"/>
      <c r="E713" s="25"/>
      <c r="F713" s="25"/>
      <c r="G713" s="119"/>
      <c r="H713" s="139"/>
    </row>
    <row r="714" ht="22.5" customHeight="1">
      <c r="A714" s="139"/>
      <c r="B714" s="71"/>
      <c r="C714" s="71"/>
      <c r="D714" s="25"/>
      <c r="E714" s="25"/>
      <c r="F714" s="25"/>
      <c r="G714" s="119"/>
      <c r="H714" s="139"/>
    </row>
    <row r="715" ht="22.5" customHeight="1">
      <c r="A715" s="139"/>
      <c r="B715" s="71"/>
      <c r="C715" s="71"/>
      <c r="D715" s="25"/>
      <c r="E715" s="25"/>
      <c r="F715" s="25"/>
      <c r="G715" s="119"/>
      <c r="H715" s="139"/>
    </row>
    <row r="716" ht="22.5" customHeight="1">
      <c r="A716" s="139"/>
      <c r="B716" s="71"/>
      <c r="C716" s="71"/>
      <c r="D716" s="25"/>
      <c r="E716" s="25"/>
      <c r="F716" s="25"/>
      <c r="G716" s="119"/>
      <c r="H716" s="139"/>
    </row>
    <row r="717" ht="22.5" customHeight="1">
      <c r="A717" s="139"/>
      <c r="B717" s="71"/>
      <c r="C717" s="71"/>
      <c r="D717" s="25"/>
      <c r="E717" s="25"/>
      <c r="F717" s="25"/>
      <c r="G717" s="119"/>
      <c r="H717" s="139"/>
    </row>
    <row r="718" ht="22.5" customHeight="1">
      <c r="A718" s="139"/>
      <c r="B718" s="71"/>
      <c r="C718" s="71"/>
      <c r="D718" s="25"/>
      <c r="E718" s="25"/>
      <c r="F718" s="25"/>
      <c r="G718" s="119"/>
      <c r="H718" s="139"/>
    </row>
    <row r="719" ht="22.5" customHeight="1">
      <c r="A719" s="139"/>
      <c r="B719" s="71"/>
      <c r="C719" s="71"/>
      <c r="D719" s="25"/>
      <c r="E719" s="25"/>
      <c r="F719" s="25"/>
      <c r="G719" s="119"/>
      <c r="H719" s="139"/>
    </row>
    <row r="720" ht="22.5" customHeight="1">
      <c r="A720" s="139"/>
      <c r="B720" s="71"/>
      <c r="C720" s="71"/>
      <c r="D720" s="25"/>
      <c r="E720" s="25"/>
      <c r="F720" s="25"/>
      <c r="G720" s="119"/>
      <c r="H720" s="139"/>
    </row>
    <row r="721" ht="22.5" customHeight="1">
      <c r="A721" s="139"/>
      <c r="B721" s="71"/>
      <c r="C721" s="71"/>
      <c r="D721" s="25"/>
      <c r="E721" s="25"/>
      <c r="F721" s="25"/>
      <c r="G721" s="119"/>
      <c r="H721" s="139"/>
    </row>
    <row r="722" ht="22.5" customHeight="1">
      <c r="A722" s="139"/>
      <c r="B722" s="71"/>
      <c r="C722" s="71"/>
      <c r="D722" s="25"/>
      <c r="E722" s="25"/>
      <c r="F722" s="25"/>
      <c r="G722" s="119"/>
      <c r="H722" s="139"/>
    </row>
    <row r="723" ht="22.5" customHeight="1">
      <c r="A723" s="139"/>
      <c r="B723" s="71"/>
      <c r="C723" s="71"/>
      <c r="D723" s="25"/>
      <c r="E723" s="25"/>
      <c r="F723" s="25"/>
      <c r="G723" s="119"/>
      <c r="H723" s="139"/>
    </row>
    <row r="724" ht="22.5" customHeight="1">
      <c r="A724" s="139"/>
      <c r="B724" s="71"/>
      <c r="C724" s="71"/>
      <c r="D724" s="25"/>
      <c r="E724" s="25"/>
      <c r="F724" s="25"/>
      <c r="G724" s="119"/>
      <c r="H724" s="139"/>
    </row>
    <row r="725" ht="22.5" customHeight="1">
      <c r="A725" s="139"/>
      <c r="B725" s="71"/>
      <c r="C725" s="71"/>
      <c r="D725" s="25"/>
      <c r="E725" s="25"/>
      <c r="F725" s="25"/>
      <c r="G725" s="119"/>
      <c r="H725" s="139"/>
    </row>
    <row r="726" ht="22.5" customHeight="1">
      <c r="A726" s="139"/>
      <c r="B726" s="71"/>
      <c r="C726" s="71"/>
      <c r="D726" s="25"/>
      <c r="E726" s="25"/>
      <c r="F726" s="25"/>
      <c r="G726" s="119"/>
      <c r="H726" s="139"/>
    </row>
    <row r="727" ht="22.5" customHeight="1">
      <c r="A727" s="139"/>
      <c r="B727" s="71"/>
      <c r="C727" s="71"/>
      <c r="D727" s="25"/>
      <c r="E727" s="25"/>
      <c r="F727" s="25"/>
      <c r="G727" s="119"/>
      <c r="H727" s="139"/>
    </row>
    <row r="728" ht="22.5" customHeight="1">
      <c r="A728" s="139"/>
      <c r="B728" s="71"/>
      <c r="C728" s="71"/>
      <c r="D728" s="25"/>
      <c r="E728" s="25"/>
      <c r="F728" s="25"/>
      <c r="G728" s="119"/>
      <c r="H728" s="139"/>
    </row>
    <row r="729" ht="22.5" customHeight="1">
      <c r="A729" s="139"/>
      <c r="B729" s="71"/>
      <c r="C729" s="71"/>
      <c r="D729" s="25"/>
      <c r="E729" s="25"/>
      <c r="F729" s="25"/>
      <c r="G729" s="119"/>
      <c r="H729" s="139"/>
    </row>
    <row r="730" ht="22.5" customHeight="1">
      <c r="A730" s="139"/>
      <c r="B730" s="71"/>
      <c r="C730" s="71"/>
      <c r="D730" s="25"/>
      <c r="E730" s="25"/>
      <c r="F730" s="25"/>
      <c r="G730" s="119"/>
      <c r="H730" s="139"/>
    </row>
    <row r="731" ht="22.5" customHeight="1">
      <c r="A731" s="139"/>
      <c r="B731" s="71"/>
      <c r="C731" s="71"/>
      <c r="D731" s="25"/>
      <c r="E731" s="25"/>
      <c r="F731" s="25"/>
      <c r="G731" s="119"/>
      <c r="H731" s="139"/>
    </row>
    <row r="732" ht="22.5" customHeight="1">
      <c r="A732" s="139"/>
      <c r="B732" s="71"/>
      <c r="C732" s="71"/>
      <c r="D732" s="25"/>
      <c r="E732" s="25"/>
      <c r="F732" s="25"/>
      <c r="G732" s="119"/>
      <c r="H732" s="139"/>
    </row>
    <row r="733" ht="22.5" customHeight="1">
      <c r="A733" s="139"/>
      <c r="B733" s="71"/>
      <c r="C733" s="71"/>
      <c r="D733" s="25"/>
      <c r="E733" s="25"/>
      <c r="F733" s="25"/>
      <c r="G733" s="119"/>
      <c r="H733" s="139"/>
    </row>
    <row r="734" ht="22.5" customHeight="1">
      <c r="A734" s="139"/>
      <c r="B734" s="71"/>
      <c r="C734" s="71"/>
      <c r="D734" s="25"/>
      <c r="E734" s="25"/>
      <c r="F734" s="25"/>
      <c r="G734" s="119"/>
      <c r="H734" s="139"/>
    </row>
    <row r="735" ht="22.5" customHeight="1">
      <c r="A735" s="139"/>
      <c r="B735" s="71"/>
      <c r="C735" s="71"/>
      <c r="D735" s="25"/>
      <c r="E735" s="25"/>
      <c r="F735" s="25"/>
      <c r="G735" s="119"/>
      <c r="H735" s="139"/>
    </row>
    <row r="736" ht="22.5" customHeight="1">
      <c r="A736" s="139"/>
      <c r="B736" s="71"/>
      <c r="C736" s="71"/>
      <c r="D736" s="25"/>
      <c r="E736" s="25"/>
      <c r="F736" s="25"/>
      <c r="G736" s="119"/>
      <c r="H736" s="139"/>
    </row>
    <row r="737" ht="22.5" customHeight="1">
      <c r="A737" s="139"/>
      <c r="B737" s="71"/>
      <c r="C737" s="71"/>
      <c r="D737" s="25"/>
      <c r="E737" s="25"/>
      <c r="F737" s="25"/>
      <c r="G737" s="119"/>
      <c r="H737" s="139"/>
    </row>
    <row r="738" ht="22.5" customHeight="1">
      <c r="A738" s="139"/>
      <c r="B738" s="71"/>
      <c r="C738" s="71"/>
      <c r="D738" s="25"/>
      <c r="E738" s="25"/>
      <c r="F738" s="25"/>
      <c r="G738" s="119"/>
      <c r="H738" s="139"/>
    </row>
    <row r="739" ht="22.5" customHeight="1">
      <c r="A739" s="139"/>
      <c r="B739" s="71"/>
      <c r="C739" s="71"/>
      <c r="D739" s="25"/>
      <c r="E739" s="25"/>
      <c r="F739" s="25"/>
      <c r="G739" s="119"/>
      <c r="H739" s="139"/>
    </row>
    <row r="740" ht="22.5" customHeight="1">
      <c r="A740" s="139"/>
      <c r="B740" s="71"/>
      <c r="C740" s="71"/>
      <c r="D740" s="25"/>
      <c r="E740" s="25"/>
      <c r="F740" s="25"/>
      <c r="G740" s="119"/>
      <c r="H740" s="139"/>
    </row>
    <row r="741" ht="22.5" customHeight="1">
      <c r="A741" s="139"/>
      <c r="B741" s="71"/>
      <c r="C741" s="71"/>
      <c r="D741" s="25"/>
      <c r="E741" s="25"/>
      <c r="F741" s="25"/>
      <c r="G741" s="119"/>
      <c r="H741" s="139"/>
    </row>
    <row r="742" ht="22.5" customHeight="1">
      <c r="A742" s="139"/>
      <c r="B742" s="71"/>
      <c r="C742" s="71"/>
      <c r="D742" s="25"/>
      <c r="E742" s="25"/>
      <c r="F742" s="25"/>
      <c r="G742" s="119"/>
      <c r="H742" s="139"/>
    </row>
    <row r="743" ht="22.5" customHeight="1">
      <c r="A743" s="139"/>
      <c r="B743" s="71"/>
      <c r="C743" s="71"/>
      <c r="D743" s="25"/>
      <c r="E743" s="25"/>
      <c r="F743" s="25"/>
      <c r="G743" s="119"/>
      <c r="H743" s="139"/>
    </row>
    <row r="744" ht="22.5" customHeight="1">
      <c r="A744" s="139"/>
      <c r="B744" s="71"/>
      <c r="C744" s="71"/>
      <c r="D744" s="25"/>
      <c r="E744" s="25"/>
      <c r="F744" s="25"/>
      <c r="G744" s="119"/>
      <c r="H744" s="139"/>
    </row>
    <row r="745" ht="22.5" customHeight="1">
      <c r="A745" s="139"/>
      <c r="B745" s="71"/>
      <c r="C745" s="71"/>
      <c r="D745" s="25"/>
      <c r="E745" s="25"/>
      <c r="F745" s="25"/>
      <c r="G745" s="119"/>
      <c r="H745" s="139"/>
    </row>
    <row r="746" ht="22.5" customHeight="1">
      <c r="A746" s="139"/>
      <c r="B746" s="71"/>
      <c r="C746" s="71"/>
      <c r="D746" s="25"/>
      <c r="E746" s="25"/>
      <c r="F746" s="25"/>
      <c r="G746" s="119"/>
      <c r="H746" s="139"/>
    </row>
    <row r="747" ht="22.5" customHeight="1">
      <c r="A747" s="139"/>
      <c r="B747" s="71"/>
      <c r="C747" s="71"/>
      <c r="D747" s="25"/>
      <c r="E747" s="25"/>
      <c r="F747" s="25"/>
      <c r="G747" s="119"/>
      <c r="H747" s="139"/>
    </row>
    <row r="748" ht="22.5" customHeight="1">
      <c r="A748" s="139"/>
      <c r="B748" s="71"/>
      <c r="C748" s="71"/>
      <c r="D748" s="25"/>
      <c r="E748" s="25"/>
      <c r="F748" s="25"/>
      <c r="G748" s="119"/>
      <c r="H748" s="139"/>
    </row>
    <row r="749" ht="22.5" customHeight="1">
      <c r="A749" s="139"/>
      <c r="B749" s="71"/>
      <c r="C749" s="71"/>
      <c r="D749" s="25"/>
      <c r="E749" s="25"/>
      <c r="F749" s="25"/>
      <c r="G749" s="119"/>
      <c r="H749" s="139"/>
    </row>
    <row r="750" ht="22.5" customHeight="1">
      <c r="A750" s="139"/>
      <c r="B750" s="71"/>
      <c r="C750" s="71"/>
      <c r="D750" s="25"/>
      <c r="E750" s="25"/>
      <c r="F750" s="25"/>
      <c r="G750" s="119"/>
      <c r="H750" s="139"/>
    </row>
    <row r="751" ht="22.5" customHeight="1">
      <c r="A751" s="139"/>
      <c r="B751" s="71"/>
      <c r="C751" s="71"/>
      <c r="D751" s="25"/>
      <c r="E751" s="25"/>
      <c r="F751" s="25"/>
      <c r="G751" s="119"/>
      <c r="H751" s="139"/>
    </row>
    <row r="752" ht="22.5" customHeight="1">
      <c r="A752" s="139"/>
      <c r="B752" s="71"/>
      <c r="C752" s="71"/>
      <c r="D752" s="25"/>
      <c r="E752" s="25"/>
      <c r="F752" s="25"/>
      <c r="G752" s="119"/>
      <c r="H752" s="139"/>
    </row>
    <row r="753" ht="22.5" customHeight="1">
      <c r="A753" s="139"/>
      <c r="B753" s="71"/>
      <c r="C753" s="71"/>
      <c r="D753" s="25"/>
      <c r="E753" s="25"/>
      <c r="F753" s="25"/>
      <c r="G753" s="119"/>
      <c r="H753" s="139"/>
    </row>
    <row r="754" ht="22.5" customHeight="1">
      <c r="A754" s="139"/>
      <c r="B754" s="71"/>
      <c r="C754" s="71"/>
      <c r="D754" s="25"/>
      <c r="E754" s="25"/>
      <c r="F754" s="25"/>
      <c r="G754" s="119"/>
      <c r="H754" s="139"/>
    </row>
    <row r="755" ht="22.5" customHeight="1">
      <c r="A755" s="139"/>
      <c r="B755" s="71"/>
      <c r="C755" s="71"/>
      <c r="D755" s="25"/>
      <c r="E755" s="25"/>
      <c r="F755" s="25"/>
      <c r="G755" s="119"/>
      <c r="H755" s="139"/>
    </row>
    <row r="756" ht="22.5" customHeight="1">
      <c r="A756" s="139"/>
      <c r="B756" s="71"/>
      <c r="C756" s="71"/>
      <c r="D756" s="25"/>
      <c r="E756" s="25"/>
      <c r="F756" s="25"/>
      <c r="G756" s="119"/>
      <c r="H756" s="139"/>
    </row>
    <row r="757" ht="22.5" customHeight="1">
      <c r="A757" s="139"/>
      <c r="B757" s="71"/>
      <c r="C757" s="71"/>
      <c r="D757" s="25"/>
      <c r="E757" s="25"/>
      <c r="F757" s="25"/>
      <c r="G757" s="119"/>
      <c r="H757" s="139"/>
    </row>
    <row r="758" ht="22.5" customHeight="1">
      <c r="A758" s="139"/>
      <c r="B758" s="71"/>
      <c r="C758" s="71"/>
      <c r="D758" s="25"/>
      <c r="E758" s="25"/>
      <c r="F758" s="25"/>
      <c r="G758" s="119"/>
      <c r="H758" s="139"/>
    </row>
    <row r="759" ht="22.5" customHeight="1">
      <c r="A759" s="139"/>
      <c r="B759" s="71"/>
      <c r="C759" s="71"/>
      <c r="D759" s="25"/>
      <c r="E759" s="25"/>
      <c r="F759" s="25"/>
      <c r="G759" s="119"/>
      <c r="H759" s="139"/>
    </row>
    <row r="760" ht="22.5" customHeight="1">
      <c r="A760" s="139"/>
      <c r="B760" s="71"/>
      <c r="C760" s="71"/>
      <c r="D760" s="25"/>
      <c r="E760" s="25"/>
      <c r="F760" s="25"/>
      <c r="G760" s="119"/>
      <c r="H760" s="139"/>
    </row>
    <row r="761" ht="22.5" customHeight="1">
      <c r="A761" s="139"/>
      <c r="B761" s="71"/>
      <c r="C761" s="71"/>
      <c r="D761" s="25"/>
      <c r="E761" s="25"/>
      <c r="F761" s="25"/>
      <c r="G761" s="119"/>
      <c r="H761" s="139"/>
    </row>
    <row r="762" ht="22.5" customHeight="1">
      <c r="A762" s="139"/>
      <c r="B762" s="71"/>
      <c r="C762" s="71"/>
      <c r="D762" s="25"/>
      <c r="E762" s="25"/>
      <c r="F762" s="25"/>
      <c r="G762" s="119"/>
      <c r="H762" s="139"/>
    </row>
    <row r="763" ht="22.5" customHeight="1">
      <c r="A763" s="139"/>
      <c r="B763" s="71"/>
      <c r="C763" s="71"/>
      <c r="D763" s="25"/>
      <c r="E763" s="25"/>
      <c r="F763" s="25"/>
      <c r="G763" s="119"/>
      <c r="H763" s="139"/>
    </row>
    <row r="764" ht="22.5" customHeight="1">
      <c r="A764" s="139"/>
      <c r="B764" s="71"/>
      <c r="C764" s="71"/>
      <c r="D764" s="25"/>
      <c r="E764" s="25"/>
      <c r="F764" s="25"/>
      <c r="G764" s="119"/>
      <c r="H764" s="139"/>
    </row>
    <row r="765" ht="22.5" customHeight="1">
      <c r="A765" s="139"/>
      <c r="B765" s="71"/>
      <c r="C765" s="71"/>
      <c r="D765" s="25"/>
      <c r="E765" s="25"/>
      <c r="F765" s="25"/>
      <c r="G765" s="119"/>
      <c r="H765" s="139"/>
    </row>
    <row r="766" ht="22.5" customHeight="1">
      <c r="A766" s="139"/>
      <c r="B766" s="71"/>
      <c r="C766" s="71"/>
      <c r="D766" s="25"/>
      <c r="E766" s="25"/>
      <c r="F766" s="25"/>
      <c r="G766" s="119"/>
      <c r="H766" s="139"/>
    </row>
    <row r="767" ht="22.5" customHeight="1">
      <c r="A767" s="139"/>
      <c r="B767" s="71"/>
      <c r="C767" s="71"/>
      <c r="D767" s="25"/>
      <c r="E767" s="25"/>
      <c r="F767" s="25"/>
      <c r="G767" s="119"/>
      <c r="H767" s="139"/>
    </row>
    <row r="768" ht="22.5" customHeight="1">
      <c r="A768" s="139"/>
      <c r="B768" s="71"/>
      <c r="C768" s="71"/>
      <c r="D768" s="25"/>
      <c r="E768" s="25"/>
      <c r="F768" s="25"/>
      <c r="G768" s="119"/>
      <c r="H768" s="139"/>
    </row>
    <row r="769" ht="22.5" customHeight="1">
      <c r="A769" s="139"/>
      <c r="B769" s="71"/>
      <c r="C769" s="71"/>
      <c r="D769" s="25"/>
      <c r="E769" s="25"/>
      <c r="F769" s="25"/>
      <c r="G769" s="119"/>
      <c r="H769" s="139"/>
    </row>
    <row r="770" ht="22.5" customHeight="1">
      <c r="A770" s="139"/>
      <c r="B770" s="71"/>
      <c r="C770" s="71"/>
      <c r="D770" s="25"/>
      <c r="E770" s="25"/>
      <c r="F770" s="25"/>
      <c r="G770" s="119"/>
      <c r="H770" s="139"/>
    </row>
    <row r="771" ht="22.5" customHeight="1">
      <c r="A771" s="139"/>
      <c r="B771" s="71"/>
      <c r="C771" s="71"/>
      <c r="D771" s="25"/>
      <c r="E771" s="25"/>
      <c r="F771" s="25"/>
      <c r="G771" s="119"/>
      <c r="H771" s="139"/>
    </row>
    <row r="772" ht="22.5" customHeight="1">
      <c r="A772" s="139"/>
      <c r="B772" s="71"/>
      <c r="C772" s="71"/>
      <c r="D772" s="25"/>
      <c r="E772" s="25"/>
      <c r="F772" s="25"/>
      <c r="G772" s="119"/>
      <c r="H772" s="139"/>
    </row>
    <row r="773" ht="22.5" customHeight="1">
      <c r="A773" s="139"/>
      <c r="B773" s="71"/>
      <c r="C773" s="71"/>
      <c r="D773" s="25"/>
      <c r="E773" s="25"/>
      <c r="F773" s="25"/>
      <c r="G773" s="119"/>
      <c r="H773" s="139"/>
    </row>
    <row r="774" ht="22.5" customHeight="1">
      <c r="A774" s="139"/>
      <c r="B774" s="71"/>
      <c r="C774" s="71"/>
      <c r="D774" s="25"/>
      <c r="E774" s="25"/>
      <c r="F774" s="25"/>
      <c r="G774" s="119"/>
      <c r="H774" s="139"/>
    </row>
    <row r="775" ht="22.5" customHeight="1">
      <c r="A775" s="139"/>
      <c r="B775" s="71"/>
      <c r="C775" s="71"/>
      <c r="D775" s="25"/>
      <c r="E775" s="25"/>
      <c r="F775" s="25"/>
      <c r="G775" s="119"/>
      <c r="H775" s="139"/>
    </row>
    <row r="776" ht="22.5" customHeight="1">
      <c r="A776" s="139"/>
      <c r="B776" s="71"/>
      <c r="C776" s="71"/>
      <c r="D776" s="25"/>
      <c r="E776" s="25"/>
      <c r="F776" s="25"/>
      <c r="G776" s="119"/>
      <c r="H776" s="139"/>
    </row>
    <row r="777" ht="22.5" customHeight="1">
      <c r="A777" s="139"/>
      <c r="B777" s="71"/>
      <c r="C777" s="71"/>
      <c r="D777" s="25"/>
      <c r="E777" s="25"/>
      <c r="F777" s="25"/>
      <c r="G777" s="119"/>
      <c r="H777" s="139"/>
    </row>
    <row r="778" ht="22.5" customHeight="1">
      <c r="A778" s="139"/>
      <c r="B778" s="71"/>
      <c r="C778" s="71"/>
      <c r="D778" s="25"/>
      <c r="E778" s="25"/>
      <c r="F778" s="25"/>
      <c r="G778" s="119"/>
      <c r="H778" s="139"/>
    </row>
    <row r="779" ht="22.5" customHeight="1">
      <c r="A779" s="139"/>
      <c r="B779" s="71"/>
      <c r="C779" s="71"/>
      <c r="D779" s="25"/>
      <c r="E779" s="25"/>
      <c r="F779" s="25"/>
      <c r="G779" s="119"/>
      <c r="H779" s="139"/>
    </row>
    <row r="780" ht="22.5" customHeight="1">
      <c r="A780" s="139"/>
      <c r="B780" s="71"/>
      <c r="C780" s="71"/>
      <c r="D780" s="25"/>
      <c r="E780" s="25"/>
      <c r="F780" s="25"/>
      <c r="G780" s="119"/>
      <c r="H780" s="139"/>
    </row>
    <row r="781" ht="22.5" customHeight="1">
      <c r="A781" s="139"/>
      <c r="B781" s="71"/>
      <c r="C781" s="71"/>
      <c r="D781" s="25"/>
      <c r="E781" s="25"/>
      <c r="F781" s="25"/>
      <c r="G781" s="119"/>
      <c r="H781" s="139"/>
    </row>
    <row r="782" ht="22.5" customHeight="1">
      <c r="A782" s="139"/>
      <c r="B782" s="71"/>
      <c r="C782" s="71"/>
      <c r="D782" s="25"/>
      <c r="E782" s="25"/>
      <c r="F782" s="25"/>
      <c r="G782" s="119"/>
      <c r="H782" s="139"/>
    </row>
    <row r="783" ht="22.5" customHeight="1">
      <c r="A783" s="139"/>
      <c r="B783" s="71"/>
      <c r="C783" s="71"/>
      <c r="D783" s="25"/>
      <c r="E783" s="25"/>
      <c r="F783" s="25"/>
      <c r="G783" s="119"/>
      <c r="H783" s="139"/>
    </row>
    <row r="784" ht="22.5" customHeight="1">
      <c r="A784" s="139"/>
      <c r="B784" s="71"/>
      <c r="C784" s="71"/>
      <c r="D784" s="25"/>
      <c r="E784" s="25"/>
      <c r="F784" s="25"/>
      <c r="G784" s="119"/>
      <c r="H784" s="139"/>
    </row>
    <row r="785" ht="22.5" customHeight="1">
      <c r="A785" s="139"/>
      <c r="B785" s="71"/>
      <c r="C785" s="71"/>
      <c r="D785" s="25"/>
      <c r="E785" s="25"/>
      <c r="F785" s="25"/>
      <c r="G785" s="119"/>
      <c r="H785" s="139"/>
    </row>
    <row r="786" ht="22.5" customHeight="1">
      <c r="A786" s="139"/>
      <c r="B786" s="71"/>
      <c r="C786" s="71"/>
      <c r="D786" s="25"/>
      <c r="E786" s="25"/>
      <c r="F786" s="25"/>
      <c r="G786" s="119"/>
      <c r="H786" s="139"/>
    </row>
    <row r="787" ht="22.5" customHeight="1">
      <c r="A787" s="139"/>
      <c r="B787" s="71"/>
      <c r="C787" s="71"/>
      <c r="D787" s="25"/>
      <c r="E787" s="25"/>
      <c r="F787" s="25"/>
      <c r="G787" s="119"/>
      <c r="H787" s="139"/>
    </row>
    <row r="788" ht="22.5" customHeight="1">
      <c r="A788" s="139"/>
      <c r="B788" s="71"/>
      <c r="C788" s="71"/>
      <c r="D788" s="25"/>
      <c r="E788" s="25"/>
      <c r="F788" s="25"/>
      <c r="G788" s="119"/>
      <c r="H788" s="139"/>
    </row>
    <row r="789" ht="22.5" customHeight="1">
      <c r="A789" s="139"/>
      <c r="B789" s="71"/>
      <c r="C789" s="71"/>
      <c r="D789" s="25"/>
      <c r="E789" s="25"/>
      <c r="F789" s="25"/>
      <c r="G789" s="119"/>
      <c r="H789" s="139"/>
    </row>
    <row r="790" ht="22.5" customHeight="1">
      <c r="A790" s="139"/>
      <c r="B790" s="71"/>
      <c r="C790" s="71"/>
      <c r="D790" s="25"/>
      <c r="E790" s="25"/>
      <c r="F790" s="25"/>
      <c r="G790" s="119"/>
      <c r="H790" s="139"/>
    </row>
    <row r="791" ht="22.5" customHeight="1">
      <c r="A791" s="139"/>
      <c r="B791" s="71"/>
      <c r="C791" s="71"/>
      <c r="D791" s="25"/>
      <c r="E791" s="25"/>
      <c r="F791" s="25"/>
      <c r="G791" s="119"/>
      <c r="H791" s="139"/>
    </row>
    <row r="792" ht="22.5" customHeight="1">
      <c r="A792" s="139"/>
      <c r="B792" s="71"/>
      <c r="C792" s="71"/>
      <c r="D792" s="25"/>
      <c r="E792" s="25"/>
      <c r="F792" s="25"/>
      <c r="G792" s="119"/>
      <c r="H792" s="139"/>
    </row>
    <row r="793" ht="22.5" customHeight="1">
      <c r="A793" s="139"/>
      <c r="B793" s="71"/>
      <c r="C793" s="71"/>
      <c r="D793" s="25"/>
      <c r="E793" s="25"/>
      <c r="F793" s="25"/>
      <c r="G793" s="119"/>
      <c r="H793" s="139"/>
    </row>
    <row r="794" ht="22.5" customHeight="1">
      <c r="A794" s="139"/>
      <c r="B794" s="71"/>
      <c r="C794" s="71"/>
      <c r="D794" s="25"/>
      <c r="E794" s="25"/>
      <c r="F794" s="25"/>
      <c r="G794" s="119"/>
      <c r="H794" s="139"/>
    </row>
    <row r="795" ht="22.5" customHeight="1">
      <c r="A795" s="139"/>
      <c r="B795" s="71"/>
      <c r="C795" s="71"/>
      <c r="D795" s="25"/>
      <c r="E795" s="25"/>
      <c r="F795" s="25"/>
      <c r="G795" s="119"/>
      <c r="H795" s="139"/>
    </row>
    <row r="796" ht="22.5" customHeight="1">
      <c r="A796" s="139"/>
      <c r="B796" s="71"/>
      <c r="C796" s="71"/>
      <c r="D796" s="25"/>
      <c r="E796" s="25"/>
      <c r="F796" s="25"/>
      <c r="G796" s="119"/>
      <c r="H796" s="139"/>
    </row>
    <row r="797" ht="22.5" customHeight="1">
      <c r="A797" s="139"/>
      <c r="B797" s="71"/>
      <c r="C797" s="71"/>
      <c r="D797" s="25"/>
      <c r="E797" s="25"/>
      <c r="F797" s="25"/>
      <c r="G797" s="119"/>
      <c r="H797" s="139"/>
    </row>
    <row r="798" ht="22.5" customHeight="1">
      <c r="A798" s="139"/>
      <c r="B798" s="71"/>
      <c r="C798" s="71"/>
      <c r="D798" s="25"/>
      <c r="E798" s="25"/>
      <c r="F798" s="25"/>
      <c r="G798" s="119"/>
      <c r="H798" s="139"/>
    </row>
    <row r="799" ht="22.5" customHeight="1">
      <c r="A799" s="139"/>
      <c r="B799" s="71"/>
      <c r="C799" s="71"/>
      <c r="D799" s="25"/>
      <c r="E799" s="25"/>
      <c r="F799" s="25"/>
      <c r="G799" s="119"/>
      <c r="H799" s="139"/>
    </row>
    <row r="800" ht="22.5" customHeight="1">
      <c r="A800" s="139"/>
      <c r="B800" s="71"/>
      <c r="C800" s="71"/>
      <c r="D800" s="25"/>
      <c r="E800" s="25"/>
      <c r="F800" s="25"/>
      <c r="G800" s="119"/>
      <c r="H800" s="139"/>
    </row>
    <row r="801" ht="22.5" customHeight="1">
      <c r="A801" s="139"/>
      <c r="B801" s="71"/>
      <c r="C801" s="71"/>
      <c r="D801" s="25"/>
      <c r="E801" s="25"/>
      <c r="F801" s="25"/>
      <c r="G801" s="119"/>
      <c r="H801" s="139"/>
    </row>
    <row r="802" ht="22.5" customHeight="1">
      <c r="A802" s="139"/>
      <c r="B802" s="71"/>
      <c r="C802" s="71"/>
      <c r="D802" s="25"/>
      <c r="E802" s="25"/>
      <c r="F802" s="25"/>
      <c r="G802" s="119"/>
      <c r="H802" s="139"/>
    </row>
    <row r="803" ht="22.5" customHeight="1">
      <c r="A803" s="139"/>
      <c r="B803" s="71"/>
      <c r="C803" s="71"/>
      <c r="D803" s="25"/>
      <c r="E803" s="25"/>
      <c r="F803" s="25"/>
      <c r="G803" s="119"/>
      <c r="H803" s="139"/>
    </row>
    <row r="804" ht="22.5" customHeight="1">
      <c r="A804" s="139"/>
      <c r="B804" s="71"/>
      <c r="C804" s="71"/>
      <c r="D804" s="25"/>
      <c r="E804" s="25"/>
      <c r="F804" s="25"/>
      <c r="G804" s="119"/>
      <c r="H804" s="139"/>
    </row>
    <row r="805" ht="22.5" customHeight="1">
      <c r="A805" s="139"/>
      <c r="B805" s="71"/>
      <c r="C805" s="71"/>
      <c r="D805" s="25"/>
      <c r="E805" s="25"/>
      <c r="F805" s="25"/>
      <c r="G805" s="119"/>
      <c r="H805" s="139"/>
    </row>
    <row r="806" ht="22.5" customHeight="1">
      <c r="A806" s="139"/>
      <c r="B806" s="71"/>
      <c r="C806" s="71"/>
      <c r="D806" s="25"/>
      <c r="E806" s="25"/>
      <c r="F806" s="25"/>
      <c r="G806" s="119"/>
      <c r="H806" s="139"/>
    </row>
    <row r="807" ht="22.5" customHeight="1">
      <c r="A807" s="139"/>
      <c r="B807" s="71"/>
      <c r="C807" s="71"/>
      <c r="D807" s="25"/>
      <c r="E807" s="25"/>
      <c r="F807" s="25"/>
      <c r="G807" s="119"/>
      <c r="H807" s="139"/>
    </row>
    <row r="808" ht="22.5" customHeight="1">
      <c r="A808" s="139"/>
      <c r="B808" s="71"/>
      <c r="C808" s="71"/>
      <c r="D808" s="25"/>
      <c r="E808" s="25"/>
      <c r="F808" s="25"/>
      <c r="G808" s="119"/>
      <c r="H808" s="139"/>
    </row>
    <row r="809" ht="22.5" customHeight="1">
      <c r="A809" s="139"/>
      <c r="B809" s="71"/>
      <c r="C809" s="71"/>
      <c r="D809" s="25"/>
      <c r="E809" s="25"/>
      <c r="F809" s="25"/>
      <c r="G809" s="119"/>
      <c r="H809" s="139"/>
    </row>
    <row r="810" ht="22.5" customHeight="1">
      <c r="A810" s="139"/>
      <c r="B810" s="71"/>
      <c r="C810" s="71"/>
      <c r="D810" s="25"/>
      <c r="E810" s="25"/>
      <c r="F810" s="25"/>
      <c r="G810" s="119"/>
      <c r="H810" s="139"/>
    </row>
    <row r="811" ht="22.5" customHeight="1">
      <c r="A811" s="139"/>
      <c r="B811" s="71"/>
      <c r="C811" s="71"/>
      <c r="D811" s="25"/>
      <c r="E811" s="25"/>
      <c r="F811" s="25"/>
      <c r="G811" s="119"/>
      <c r="H811" s="139"/>
    </row>
    <row r="812" ht="22.5" customHeight="1">
      <c r="A812" s="139"/>
      <c r="B812" s="71"/>
      <c r="C812" s="71"/>
      <c r="D812" s="25"/>
      <c r="E812" s="25"/>
      <c r="F812" s="25"/>
      <c r="G812" s="119"/>
      <c r="H812" s="139"/>
    </row>
    <row r="813" ht="22.5" customHeight="1">
      <c r="A813" s="139"/>
      <c r="B813" s="71"/>
      <c r="C813" s="71"/>
      <c r="D813" s="25"/>
      <c r="E813" s="25"/>
      <c r="F813" s="25"/>
      <c r="G813" s="119"/>
      <c r="H813" s="139"/>
    </row>
    <row r="814" ht="22.5" customHeight="1">
      <c r="A814" s="139"/>
      <c r="B814" s="71"/>
      <c r="C814" s="71"/>
      <c r="D814" s="25"/>
      <c r="E814" s="25"/>
      <c r="F814" s="25"/>
      <c r="G814" s="119"/>
      <c r="H814" s="139"/>
    </row>
    <row r="815" ht="22.5" customHeight="1">
      <c r="A815" s="139"/>
      <c r="B815" s="71"/>
      <c r="C815" s="71"/>
      <c r="D815" s="25"/>
      <c r="E815" s="25"/>
      <c r="F815" s="25"/>
      <c r="G815" s="119"/>
      <c r="H815" s="139"/>
    </row>
    <row r="816" ht="22.5" customHeight="1">
      <c r="A816" s="139"/>
      <c r="B816" s="71"/>
      <c r="C816" s="71"/>
      <c r="D816" s="25"/>
      <c r="E816" s="25"/>
      <c r="F816" s="25"/>
      <c r="G816" s="119"/>
      <c r="H816" s="139"/>
    </row>
    <row r="817" ht="22.5" customHeight="1">
      <c r="A817" s="139"/>
      <c r="B817" s="71"/>
      <c r="C817" s="71"/>
      <c r="D817" s="25"/>
      <c r="E817" s="25"/>
      <c r="F817" s="25"/>
      <c r="G817" s="119"/>
      <c r="H817" s="139"/>
    </row>
    <row r="818" ht="22.5" customHeight="1">
      <c r="A818" s="139"/>
      <c r="B818" s="71"/>
      <c r="C818" s="71"/>
      <c r="D818" s="25"/>
      <c r="E818" s="25"/>
      <c r="F818" s="25"/>
      <c r="G818" s="119"/>
      <c r="H818" s="139"/>
    </row>
    <row r="819" ht="22.5" customHeight="1">
      <c r="A819" s="139"/>
      <c r="B819" s="71"/>
      <c r="C819" s="71"/>
      <c r="D819" s="25"/>
      <c r="E819" s="25"/>
      <c r="F819" s="25"/>
      <c r="G819" s="119"/>
      <c r="H819" s="139"/>
    </row>
    <row r="820" ht="22.5" customHeight="1">
      <c r="A820" s="139"/>
      <c r="B820" s="71"/>
      <c r="C820" s="71"/>
      <c r="D820" s="25"/>
      <c r="E820" s="25"/>
      <c r="F820" s="25"/>
      <c r="G820" s="119"/>
      <c r="H820" s="139"/>
    </row>
    <row r="821" ht="22.5" customHeight="1">
      <c r="A821" s="139"/>
      <c r="B821" s="71"/>
      <c r="C821" s="71"/>
      <c r="D821" s="25"/>
      <c r="E821" s="25"/>
      <c r="F821" s="25"/>
      <c r="G821" s="119"/>
      <c r="H821" s="139"/>
    </row>
    <row r="822" ht="22.5" customHeight="1">
      <c r="A822" s="139"/>
      <c r="B822" s="71"/>
      <c r="C822" s="71"/>
      <c r="D822" s="25"/>
      <c r="E822" s="25"/>
      <c r="F822" s="25"/>
      <c r="G822" s="119"/>
      <c r="H822" s="139"/>
    </row>
    <row r="823" ht="22.5" customHeight="1">
      <c r="A823" s="139"/>
      <c r="B823" s="71"/>
      <c r="C823" s="71"/>
      <c r="D823" s="25"/>
      <c r="E823" s="25"/>
      <c r="F823" s="25"/>
      <c r="G823" s="119"/>
      <c r="H823" s="139"/>
    </row>
    <row r="824" ht="22.5" customHeight="1">
      <c r="A824" s="139"/>
      <c r="B824" s="71"/>
      <c r="C824" s="71"/>
      <c r="D824" s="25"/>
      <c r="E824" s="25"/>
      <c r="F824" s="25"/>
      <c r="G824" s="119"/>
      <c r="H824" s="139"/>
    </row>
    <row r="825" ht="22.5" customHeight="1">
      <c r="A825" s="139"/>
      <c r="B825" s="71"/>
      <c r="C825" s="71"/>
      <c r="D825" s="25"/>
      <c r="E825" s="25"/>
      <c r="F825" s="25"/>
      <c r="G825" s="119"/>
      <c r="H825" s="139"/>
    </row>
    <row r="826" ht="22.5" customHeight="1">
      <c r="A826" s="139"/>
      <c r="B826" s="71"/>
      <c r="C826" s="71"/>
      <c r="D826" s="25"/>
      <c r="E826" s="25"/>
      <c r="F826" s="25"/>
      <c r="G826" s="119"/>
      <c r="H826" s="139"/>
    </row>
    <row r="827" ht="22.5" customHeight="1">
      <c r="A827" s="139"/>
      <c r="B827" s="71"/>
      <c r="C827" s="71"/>
      <c r="D827" s="25"/>
      <c r="E827" s="25"/>
      <c r="F827" s="25"/>
      <c r="G827" s="119"/>
      <c r="H827" s="139"/>
    </row>
    <row r="828" ht="22.5" customHeight="1">
      <c r="A828" s="139"/>
      <c r="B828" s="71"/>
      <c r="C828" s="71"/>
      <c r="D828" s="25"/>
      <c r="E828" s="25"/>
      <c r="F828" s="25"/>
      <c r="G828" s="119"/>
      <c r="H828" s="139"/>
    </row>
    <row r="829" ht="22.5" customHeight="1">
      <c r="A829" s="139"/>
      <c r="B829" s="71"/>
      <c r="C829" s="71"/>
      <c r="D829" s="25"/>
      <c r="E829" s="25"/>
      <c r="F829" s="25"/>
      <c r="G829" s="119"/>
      <c r="H829" s="139"/>
    </row>
    <row r="830" ht="22.5" customHeight="1">
      <c r="A830" s="139"/>
      <c r="B830" s="71"/>
      <c r="C830" s="71"/>
      <c r="D830" s="25"/>
      <c r="E830" s="25"/>
      <c r="F830" s="25"/>
      <c r="G830" s="119"/>
      <c r="H830" s="139"/>
    </row>
    <row r="831" ht="22.5" customHeight="1">
      <c r="A831" s="139"/>
      <c r="B831" s="71"/>
      <c r="C831" s="71"/>
      <c r="D831" s="25"/>
      <c r="E831" s="25"/>
      <c r="F831" s="25"/>
      <c r="G831" s="119"/>
      <c r="H831" s="139"/>
    </row>
    <row r="832" ht="22.5" customHeight="1">
      <c r="A832" s="139"/>
      <c r="B832" s="71"/>
      <c r="C832" s="71"/>
      <c r="D832" s="25"/>
      <c r="E832" s="25"/>
      <c r="F832" s="25"/>
      <c r="G832" s="119"/>
      <c r="H832" s="139"/>
    </row>
    <row r="833" ht="22.5" customHeight="1">
      <c r="A833" s="139"/>
      <c r="B833" s="71"/>
      <c r="C833" s="71"/>
      <c r="D833" s="25"/>
      <c r="E833" s="25"/>
      <c r="F833" s="25"/>
      <c r="G833" s="119"/>
      <c r="H833" s="139"/>
    </row>
    <row r="834" ht="22.5" customHeight="1">
      <c r="A834" s="139"/>
      <c r="B834" s="71"/>
      <c r="C834" s="71"/>
      <c r="D834" s="25"/>
      <c r="E834" s="25"/>
      <c r="F834" s="25"/>
      <c r="G834" s="119"/>
      <c r="H834" s="139"/>
    </row>
    <row r="835" ht="22.5" customHeight="1">
      <c r="A835" s="139"/>
      <c r="B835" s="71"/>
      <c r="C835" s="71"/>
      <c r="D835" s="25"/>
      <c r="E835" s="25"/>
      <c r="F835" s="25"/>
      <c r="G835" s="119"/>
      <c r="H835" s="139"/>
    </row>
    <row r="836" ht="22.5" customHeight="1">
      <c r="A836" s="139"/>
      <c r="B836" s="71"/>
      <c r="C836" s="71"/>
      <c r="D836" s="25"/>
      <c r="E836" s="25"/>
      <c r="F836" s="25"/>
      <c r="G836" s="119"/>
      <c r="H836" s="139"/>
    </row>
    <row r="837" ht="22.5" customHeight="1">
      <c r="A837" s="139"/>
      <c r="B837" s="71"/>
      <c r="C837" s="71"/>
      <c r="D837" s="25"/>
      <c r="E837" s="25"/>
      <c r="F837" s="25"/>
      <c r="G837" s="119"/>
      <c r="H837" s="139"/>
    </row>
    <row r="838" ht="22.5" customHeight="1">
      <c r="A838" s="139"/>
      <c r="B838" s="71"/>
      <c r="C838" s="71"/>
      <c r="D838" s="25"/>
      <c r="E838" s="25"/>
      <c r="F838" s="25"/>
      <c r="G838" s="119"/>
      <c r="H838" s="139"/>
    </row>
    <row r="839" ht="22.5" customHeight="1">
      <c r="A839" s="139"/>
      <c r="B839" s="71"/>
      <c r="C839" s="71"/>
      <c r="D839" s="25"/>
      <c r="E839" s="25"/>
      <c r="F839" s="25"/>
      <c r="G839" s="119"/>
      <c r="H839" s="139"/>
    </row>
    <row r="840" ht="22.5" customHeight="1">
      <c r="A840" s="139"/>
      <c r="B840" s="71"/>
      <c r="C840" s="71"/>
      <c r="D840" s="25"/>
      <c r="E840" s="25"/>
      <c r="F840" s="25"/>
      <c r="G840" s="119"/>
      <c r="H840" s="139"/>
    </row>
    <row r="841" ht="22.5" customHeight="1">
      <c r="A841" s="139"/>
      <c r="B841" s="71"/>
      <c r="C841" s="71"/>
      <c r="D841" s="25"/>
      <c r="E841" s="25"/>
      <c r="F841" s="25"/>
      <c r="G841" s="119"/>
      <c r="H841" s="139"/>
    </row>
    <row r="842" ht="22.5" customHeight="1">
      <c r="A842" s="139"/>
      <c r="B842" s="71"/>
      <c r="C842" s="71"/>
      <c r="D842" s="25"/>
      <c r="E842" s="25"/>
      <c r="F842" s="25"/>
      <c r="G842" s="119"/>
      <c r="H842" s="139"/>
    </row>
    <row r="843" ht="22.5" customHeight="1">
      <c r="A843" s="139"/>
      <c r="B843" s="71"/>
      <c r="C843" s="71"/>
      <c r="D843" s="25"/>
      <c r="E843" s="25"/>
      <c r="F843" s="25"/>
      <c r="G843" s="119"/>
      <c r="H843" s="139"/>
    </row>
    <row r="844" ht="22.5" customHeight="1">
      <c r="A844" s="139"/>
      <c r="B844" s="71"/>
      <c r="C844" s="71"/>
      <c r="D844" s="25"/>
      <c r="E844" s="25"/>
      <c r="F844" s="25"/>
      <c r="G844" s="119"/>
      <c r="H844" s="139"/>
    </row>
    <row r="845" ht="22.5" customHeight="1">
      <c r="A845" s="139"/>
      <c r="B845" s="71"/>
      <c r="C845" s="71"/>
      <c r="D845" s="25"/>
      <c r="E845" s="25"/>
      <c r="F845" s="25"/>
      <c r="G845" s="119"/>
      <c r="H845" s="139"/>
    </row>
    <row r="846" ht="22.5" customHeight="1">
      <c r="A846" s="139"/>
      <c r="B846" s="71"/>
      <c r="C846" s="71"/>
      <c r="D846" s="25"/>
      <c r="E846" s="25"/>
      <c r="F846" s="25"/>
      <c r="G846" s="119"/>
      <c r="H846" s="139"/>
    </row>
    <row r="847" ht="22.5" customHeight="1">
      <c r="A847" s="139"/>
      <c r="B847" s="71"/>
      <c r="C847" s="71"/>
      <c r="D847" s="25"/>
      <c r="E847" s="25"/>
      <c r="F847" s="25"/>
      <c r="G847" s="119"/>
      <c r="H847" s="139"/>
    </row>
    <row r="848" ht="22.5" customHeight="1">
      <c r="A848" s="139"/>
      <c r="B848" s="71"/>
      <c r="C848" s="71"/>
      <c r="D848" s="25"/>
      <c r="E848" s="25"/>
      <c r="F848" s="25"/>
      <c r="G848" s="119"/>
      <c r="H848" s="139"/>
    </row>
    <row r="849" ht="22.5" customHeight="1">
      <c r="A849" s="139"/>
      <c r="B849" s="71"/>
      <c r="C849" s="71"/>
      <c r="D849" s="25"/>
      <c r="E849" s="25"/>
      <c r="F849" s="25"/>
      <c r="G849" s="119"/>
      <c r="H849" s="139"/>
    </row>
    <row r="850" ht="22.5" customHeight="1">
      <c r="A850" s="139"/>
      <c r="B850" s="71"/>
      <c r="C850" s="71"/>
      <c r="D850" s="25"/>
      <c r="E850" s="25"/>
      <c r="F850" s="25"/>
      <c r="G850" s="119"/>
      <c r="H850" s="139"/>
    </row>
    <row r="851" ht="22.5" customHeight="1">
      <c r="A851" s="139"/>
      <c r="B851" s="71"/>
      <c r="C851" s="71"/>
      <c r="D851" s="25"/>
      <c r="E851" s="25"/>
      <c r="F851" s="25"/>
      <c r="G851" s="119"/>
      <c r="H851" s="139"/>
    </row>
    <row r="852" ht="22.5" customHeight="1">
      <c r="A852" s="139"/>
      <c r="B852" s="71"/>
      <c r="C852" s="71"/>
      <c r="D852" s="25"/>
      <c r="E852" s="25"/>
      <c r="F852" s="25"/>
      <c r="G852" s="119"/>
      <c r="H852" s="139"/>
    </row>
    <row r="853" ht="22.5" customHeight="1">
      <c r="A853" s="139"/>
      <c r="B853" s="71"/>
      <c r="C853" s="71"/>
      <c r="D853" s="25"/>
      <c r="E853" s="25"/>
      <c r="F853" s="25"/>
      <c r="G853" s="119"/>
      <c r="H853" s="139"/>
    </row>
    <row r="854" ht="22.5" customHeight="1">
      <c r="A854" s="139"/>
      <c r="B854" s="71"/>
      <c r="C854" s="71"/>
      <c r="D854" s="25"/>
      <c r="E854" s="25"/>
      <c r="F854" s="25"/>
      <c r="G854" s="119"/>
      <c r="H854" s="139"/>
    </row>
    <row r="855" ht="22.5" customHeight="1">
      <c r="A855" s="139"/>
      <c r="B855" s="71"/>
      <c r="C855" s="71"/>
      <c r="D855" s="25"/>
      <c r="E855" s="25"/>
      <c r="F855" s="25"/>
      <c r="G855" s="119"/>
      <c r="H855" s="139"/>
    </row>
    <row r="856" ht="22.5" customHeight="1">
      <c r="A856" s="139"/>
      <c r="B856" s="71"/>
      <c r="C856" s="71"/>
      <c r="D856" s="25"/>
      <c r="E856" s="25"/>
      <c r="F856" s="25"/>
      <c r="G856" s="119"/>
      <c r="H856" s="139"/>
    </row>
    <row r="857" ht="22.5" customHeight="1">
      <c r="A857" s="139"/>
      <c r="B857" s="71"/>
      <c r="C857" s="71"/>
      <c r="D857" s="25"/>
      <c r="E857" s="25"/>
      <c r="F857" s="25"/>
      <c r="G857" s="119"/>
      <c r="H857" s="139"/>
    </row>
    <row r="858" ht="22.5" customHeight="1">
      <c r="A858" s="139"/>
      <c r="B858" s="71"/>
      <c r="C858" s="71"/>
      <c r="D858" s="25"/>
      <c r="E858" s="25"/>
      <c r="F858" s="25"/>
      <c r="G858" s="119"/>
      <c r="H858" s="139"/>
    </row>
    <row r="859" ht="22.5" customHeight="1">
      <c r="A859" s="139"/>
      <c r="B859" s="71"/>
      <c r="C859" s="71"/>
      <c r="D859" s="25"/>
      <c r="E859" s="25"/>
      <c r="F859" s="25"/>
      <c r="G859" s="119"/>
      <c r="H859" s="139"/>
    </row>
    <row r="860" ht="22.5" customHeight="1">
      <c r="A860" s="139"/>
      <c r="B860" s="71"/>
      <c r="C860" s="71"/>
      <c r="D860" s="25"/>
      <c r="E860" s="25"/>
      <c r="F860" s="25"/>
      <c r="G860" s="119"/>
      <c r="H860" s="139"/>
    </row>
    <row r="861" ht="22.5" customHeight="1">
      <c r="A861" s="139"/>
      <c r="B861" s="71"/>
      <c r="C861" s="71"/>
      <c r="D861" s="25"/>
      <c r="E861" s="25"/>
      <c r="F861" s="25"/>
      <c r="G861" s="119"/>
      <c r="H861" s="139"/>
    </row>
    <row r="862" ht="22.5" customHeight="1">
      <c r="A862" s="139"/>
      <c r="B862" s="71"/>
      <c r="C862" s="71"/>
      <c r="D862" s="25"/>
      <c r="E862" s="25"/>
      <c r="F862" s="25"/>
      <c r="G862" s="119"/>
      <c r="H862" s="139"/>
    </row>
    <row r="863" ht="22.5" customHeight="1">
      <c r="A863" s="139"/>
      <c r="B863" s="71"/>
      <c r="C863" s="71"/>
      <c r="D863" s="25"/>
      <c r="E863" s="25"/>
      <c r="F863" s="25"/>
      <c r="G863" s="119"/>
      <c r="H863" s="139"/>
    </row>
    <row r="864" ht="22.5" customHeight="1">
      <c r="A864" s="139"/>
      <c r="B864" s="71"/>
      <c r="C864" s="71"/>
      <c r="D864" s="25"/>
      <c r="E864" s="25"/>
      <c r="F864" s="25"/>
      <c r="G864" s="119"/>
      <c r="H864" s="139"/>
    </row>
    <row r="865" ht="22.5" customHeight="1">
      <c r="A865" s="139"/>
      <c r="B865" s="71"/>
      <c r="C865" s="71"/>
      <c r="D865" s="25"/>
      <c r="E865" s="25"/>
      <c r="F865" s="25"/>
      <c r="G865" s="119"/>
      <c r="H865" s="139"/>
    </row>
    <row r="866" ht="22.5" customHeight="1">
      <c r="A866" s="139"/>
      <c r="B866" s="71"/>
      <c r="C866" s="71"/>
      <c r="D866" s="25"/>
      <c r="E866" s="25"/>
      <c r="F866" s="25"/>
      <c r="G866" s="119"/>
      <c r="H866" s="139"/>
    </row>
    <row r="867" ht="22.5" customHeight="1">
      <c r="A867" s="139"/>
      <c r="B867" s="71"/>
      <c r="C867" s="71"/>
      <c r="D867" s="25"/>
      <c r="E867" s="25"/>
      <c r="F867" s="25"/>
      <c r="G867" s="119"/>
      <c r="H867" s="139"/>
    </row>
    <row r="868" ht="22.5" customHeight="1">
      <c r="A868" s="139"/>
      <c r="B868" s="71"/>
      <c r="C868" s="71"/>
      <c r="D868" s="25"/>
      <c r="E868" s="25"/>
      <c r="F868" s="25"/>
      <c r="G868" s="119"/>
      <c r="H868" s="139"/>
    </row>
    <row r="869" ht="22.5" customHeight="1">
      <c r="A869" s="139"/>
      <c r="B869" s="71"/>
      <c r="C869" s="71"/>
      <c r="D869" s="25"/>
      <c r="E869" s="25"/>
      <c r="F869" s="25"/>
      <c r="G869" s="119"/>
      <c r="H869" s="139"/>
    </row>
    <row r="870" ht="22.5" customHeight="1">
      <c r="A870" s="139"/>
      <c r="B870" s="71"/>
      <c r="C870" s="71"/>
      <c r="D870" s="25"/>
      <c r="E870" s="25"/>
      <c r="F870" s="25"/>
      <c r="G870" s="119"/>
      <c r="H870" s="139"/>
    </row>
    <row r="871" ht="22.5" customHeight="1">
      <c r="A871" s="139"/>
      <c r="B871" s="71"/>
      <c r="C871" s="71"/>
      <c r="D871" s="25"/>
      <c r="E871" s="25"/>
      <c r="F871" s="25"/>
      <c r="G871" s="119"/>
      <c r="H871" s="139"/>
    </row>
    <row r="872" ht="22.5" customHeight="1">
      <c r="A872" s="139"/>
      <c r="B872" s="71"/>
      <c r="C872" s="71"/>
      <c r="D872" s="25"/>
      <c r="E872" s="25"/>
      <c r="F872" s="25"/>
      <c r="G872" s="119"/>
      <c r="H872" s="139"/>
    </row>
    <row r="873" ht="22.5" customHeight="1">
      <c r="A873" s="139"/>
      <c r="B873" s="71"/>
      <c r="C873" s="71"/>
      <c r="D873" s="25"/>
      <c r="E873" s="25"/>
      <c r="F873" s="25"/>
      <c r="G873" s="119"/>
      <c r="H873" s="139"/>
    </row>
    <row r="874" ht="22.5" customHeight="1">
      <c r="A874" s="139"/>
      <c r="B874" s="71"/>
      <c r="C874" s="71"/>
      <c r="D874" s="25"/>
      <c r="E874" s="25"/>
      <c r="F874" s="25"/>
      <c r="G874" s="119"/>
      <c r="H874" s="139"/>
    </row>
    <row r="875" ht="22.5" customHeight="1">
      <c r="A875" s="139"/>
      <c r="B875" s="71"/>
      <c r="C875" s="71"/>
      <c r="D875" s="25"/>
      <c r="E875" s="25"/>
      <c r="F875" s="25"/>
      <c r="G875" s="119"/>
      <c r="H875" s="139"/>
    </row>
    <row r="876" ht="22.5" customHeight="1">
      <c r="A876" s="139"/>
      <c r="B876" s="71"/>
      <c r="C876" s="71"/>
      <c r="D876" s="25"/>
      <c r="E876" s="25"/>
      <c r="F876" s="25"/>
      <c r="G876" s="119"/>
      <c r="H876" s="139"/>
    </row>
    <row r="877" ht="22.5" customHeight="1">
      <c r="A877" s="139"/>
      <c r="B877" s="71"/>
      <c r="C877" s="71"/>
      <c r="D877" s="25"/>
      <c r="E877" s="25"/>
      <c r="F877" s="25"/>
      <c r="G877" s="119"/>
      <c r="H877" s="139"/>
    </row>
    <row r="878" ht="22.5" customHeight="1">
      <c r="A878" s="139"/>
      <c r="B878" s="71"/>
      <c r="C878" s="71"/>
      <c r="D878" s="25"/>
      <c r="E878" s="25"/>
      <c r="F878" s="25"/>
      <c r="G878" s="119"/>
      <c r="H878" s="139"/>
    </row>
    <row r="879" ht="22.5" customHeight="1">
      <c r="A879" s="139"/>
      <c r="B879" s="71"/>
      <c r="C879" s="71"/>
      <c r="D879" s="25"/>
      <c r="E879" s="25"/>
      <c r="F879" s="25"/>
      <c r="G879" s="119"/>
      <c r="H879" s="139"/>
    </row>
    <row r="880" ht="22.5" customHeight="1">
      <c r="A880" s="139"/>
      <c r="B880" s="71"/>
      <c r="C880" s="71"/>
      <c r="D880" s="25"/>
      <c r="E880" s="25"/>
      <c r="F880" s="25"/>
      <c r="G880" s="119"/>
      <c r="H880" s="139"/>
    </row>
    <row r="881" ht="22.5" customHeight="1">
      <c r="A881" s="139"/>
      <c r="B881" s="71"/>
      <c r="C881" s="71"/>
      <c r="D881" s="25"/>
      <c r="E881" s="25"/>
      <c r="F881" s="25"/>
      <c r="G881" s="119"/>
      <c r="H881" s="139"/>
    </row>
    <row r="882" ht="22.5" customHeight="1">
      <c r="A882" s="139"/>
      <c r="B882" s="71"/>
      <c r="C882" s="71"/>
      <c r="D882" s="25"/>
      <c r="E882" s="25"/>
      <c r="F882" s="25"/>
      <c r="G882" s="119"/>
      <c r="H882" s="139"/>
    </row>
    <row r="883" ht="22.5" customHeight="1">
      <c r="A883" s="139"/>
      <c r="B883" s="71"/>
      <c r="C883" s="71"/>
      <c r="D883" s="25"/>
      <c r="E883" s="25"/>
      <c r="F883" s="25"/>
      <c r="G883" s="119"/>
      <c r="H883" s="139"/>
    </row>
    <row r="884" ht="22.5" customHeight="1">
      <c r="A884" s="139"/>
      <c r="B884" s="71"/>
      <c r="C884" s="71"/>
      <c r="D884" s="25"/>
      <c r="E884" s="25"/>
      <c r="F884" s="25"/>
      <c r="G884" s="119"/>
      <c r="H884" s="139"/>
    </row>
    <row r="885" ht="22.5" customHeight="1">
      <c r="A885" s="139"/>
      <c r="B885" s="71"/>
      <c r="C885" s="71"/>
      <c r="D885" s="25"/>
      <c r="E885" s="25"/>
      <c r="F885" s="25"/>
      <c r="G885" s="119"/>
      <c r="H885" s="139"/>
    </row>
    <row r="886" ht="22.5" customHeight="1">
      <c r="A886" s="139"/>
      <c r="B886" s="71"/>
      <c r="C886" s="71"/>
      <c r="D886" s="25"/>
      <c r="E886" s="25"/>
      <c r="F886" s="25"/>
      <c r="G886" s="119"/>
      <c r="H886" s="139"/>
    </row>
    <row r="887" ht="22.5" customHeight="1">
      <c r="A887" s="139"/>
      <c r="B887" s="71"/>
      <c r="C887" s="71"/>
      <c r="D887" s="25"/>
      <c r="E887" s="25"/>
      <c r="F887" s="25"/>
      <c r="G887" s="119"/>
      <c r="H887" s="139"/>
    </row>
    <row r="888" ht="22.5" customHeight="1">
      <c r="A888" s="139"/>
      <c r="B888" s="71"/>
      <c r="C888" s="71"/>
      <c r="D888" s="25"/>
      <c r="E888" s="25"/>
      <c r="F888" s="25"/>
      <c r="G888" s="119"/>
      <c r="H888" s="139"/>
    </row>
    <row r="889" ht="22.5" customHeight="1">
      <c r="A889" s="139"/>
      <c r="B889" s="71"/>
      <c r="C889" s="71"/>
      <c r="D889" s="25"/>
      <c r="E889" s="25"/>
      <c r="F889" s="25"/>
      <c r="G889" s="119"/>
      <c r="H889" s="139"/>
    </row>
    <row r="890" ht="22.5" customHeight="1">
      <c r="A890" s="139"/>
      <c r="B890" s="71"/>
      <c r="C890" s="71"/>
      <c r="D890" s="25"/>
      <c r="E890" s="25"/>
      <c r="F890" s="25"/>
      <c r="G890" s="119"/>
      <c r="H890" s="139"/>
    </row>
    <row r="891" ht="22.5" customHeight="1">
      <c r="A891" s="139"/>
      <c r="B891" s="71"/>
      <c r="C891" s="71"/>
      <c r="D891" s="25"/>
      <c r="E891" s="25"/>
      <c r="F891" s="25"/>
      <c r="G891" s="119"/>
      <c r="H891" s="139"/>
    </row>
    <row r="892" ht="22.5" customHeight="1">
      <c r="A892" s="139"/>
      <c r="B892" s="71"/>
      <c r="C892" s="71"/>
      <c r="D892" s="25"/>
      <c r="E892" s="25"/>
      <c r="F892" s="25"/>
      <c r="G892" s="119"/>
      <c r="H892" s="139"/>
    </row>
    <row r="893" ht="22.5" customHeight="1">
      <c r="A893" s="139"/>
      <c r="B893" s="71"/>
      <c r="C893" s="71"/>
      <c r="D893" s="25"/>
      <c r="E893" s="25"/>
      <c r="F893" s="25"/>
      <c r="G893" s="119"/>
      <c r="H893" s="139"/>
    </row>
    <row r="894" ht="22.5" customHeight="1">
      <c r="A894" s="139"/>
      <c r="B894" s="71"/>
      <c r="C894" s="71"/>
      <c r="D894" s="25"/>
      <c r="E894" s="25"/>
      <c r="F894" s="25"/>
      <c r="G894" s="119"/>
      <c r="H894" s="139"/>
    </row>
    <row r="895" ht="22.5" customHeight="1">
      <c r="A895" s="139"/>
      <c r="B895" s="71"/>
      <c r="C895" s="71"/>
      <c r="D895" s="25"/>
      <c r="E895" s="25"/>
      <c r="F895" s="25"/>
      <c r="G895" s="119"/>
      <c r="H895" s="139"/>
    </row>
    <row r="896" ht="22.5" customHeight="1">
      <c r="A896" s="139"/>
      <c r="B896" s="71"/>
      <c r="C896" s="71"/>
      <c r="D896" s="25"/>
      <c r="E896" s="25"/>
      <c r="F896" s="25"/>
      <c r="G896" s="119"/>
      <c r="H896" s="139"/>
    </row>
    <row r="897" ht="22.5" customHeight="1">
      <c r="A897" s="139"/>
      <c r="B897" s="71"/>
      <c r="C897" s="71"/>
      <c r="D897" s="25"/>
      <c r="E897" s="25"/>
      <c r="F897" s="25"/>
      <c r="G897" s="119"/>
      <c r="H897" s="139"/>
    </row>
    <row r="898" ht="22.5" customHeight="1">
      <c r="A898" s="139"/>
      <c r="B898" s="71"/>
      <c r="C898" s="71"/>
      <c r="D898" s="25"/>
      <c r="E898" s="25"/>
      <c r="F898" s="25"/>
      <c r="G898" s="119"/>
      <c r="H898" s="139"/>
    </row>
    <row r="899" ht="22.5" customHeight="1">
      <c r="A899" s="139"/>
      <c r="B899" s="71"/>
      <c r="C899" s="71"/>
      <c r="D899" s="25"/>
      <c r="E899" s="25"/>
      <c r="F899" s="25"/>
      <c r="G899" s="119"/>
      <c r="H899" s="139"/>
    </row>
    <row r="900" ht="22.5" customHeight="1">
      <c r="A900" s="139"/>
      <c r="B900" s="71"/>
      <c r="C900" s="71"/>
      <c r="D900" s="25"/>
      <c r="E900" s="25"/>
      <c r="F900" s="25"/>
      <c r="G900" s="119"/>
      <c r="H900" s="139"/>
    </row>
    <row r="901" ht="22.5" customHeight="1">
      <c r="A901" s="139"/>
      <c r="B901" s="71"/>
      <c r="C901" s="71"/>
      <c r="D901" s="25"/>
      <c r="E901" s="25"/>
      <c r="F901" s="25"/>
      <c r="G901" s="119"/>
      <c r="H901" s="139"/>
    </row>
    <row r="902" ht="22.5" customHeight="1">
      <c r="A902" s="139"/>
      <c r="B902" s="71"/>
      <c r="C902" s="71"/>
      <c r="D902" s="25"/>
      <c r="E902" s="25"/>
      <c r="F902" s="25"/>
      <c r="G902" s="119"/>
      <c r="H902" s="139"/>
    </row>
    <row r="903" ht="22.5" customHeight="1">
      <c r="A903" s="139"/>
      <c r="B903" s="71"/>
      <c r="C903" s="71"/>
      <c r="D903" s="25"/>
      <c r="E903" s="25"/>
      <c r="F903" s="25"/>
      <c r="G903" s="119"/>
      <c r="H903" s="139"/>
    </row>
    <row r="904" ht="22.5" customHeight="1">
      <c r="A904" s="139"/>
      <c r="B904" s="71"/>
      <c r="C904" s="71"/>
      <c r="D904" s="25"/>
      <c r="E904" s="25"/>
      <c r="F904" s="25"/>
      <c r="G904" s="119"/>
      <c r="H904" s="139"/>
    </row>
    <row r="905" ht="22.5" customHeight="1">
      <c r="A905" s="139"/>
      <c r="B905" s="71"/>
      <c r="C905" s="71"/>
      <c r="D905" s="25"/>
      <c r="E905" s="25"/>
      <c r="F905" s="25"/>
      <c r="G905" s="119"/>
      <c r="H905" s="139"/>
    </row>
    <row r="906" ht="22.5" customHeight="1">
      <c r="A906" s="139"/>
      <c r="B906" s="71"/>
      <c r="C906" s="71"/>
      <c r="D906" s="25"/>
      <c r="E906" s="25"/>
      <c r="F906" s="25"/>
      <c r="G906" s="119"/>
      <c r="H906" s="139"/>
    </row>
    <row r="907" ht="22.5" customHeight="1">
      <c r="A907" s="139"/>
      <c r="B907" s="71"/>
      <c r="C907" s="71"/>
      <c r="D907" s="25"/>
      <c r="E907" s="25"/>
      <c r="F907" s="25"/>
      <c r="G907" s="119"/>
      <c r="H907" s="139"/>
    </row>
    <row r="908" ht="22.5" customHeight="1">
      <c r="A908" s="139"/>
      <c r="B908" s="71"/>
      <c r="C908" s="71"/>
      <c r="D908" s="25"/>
      <c r="E908" s="25"/>
      <c r="F908" s="25"/>
      <c r="G908" s="119"/>
      <c r="H908" s="139"/>
    </row>
    <row r="909" ht="22.5" customHeight="1">
      <c r="A909" s="139"/>
      <c r="B909" s="71"/>
      <c r="C909" s="71"/>
      <c r="D909" s="25"/>
      <c r="E909" s="25"/>
      <c r="F909" s="25"/>
      <c r="G909" s="119"/>
      <c r="H909" s="139"/>
    </row>
    <row r="910" ht="22.5" customHeight="1">
      <c r="A910" s="139"/>
      <c r="B910" s="71"/>
      <c r="C910" s="71"/>
      <c r="D910" s="25"/>
      <c r="E910" s="25"/>
      <c r="F910" s="25"/>
      <c r="G910" s="119"/>
      <c r="H910" s="139"/>
    </row>
    <row r="911" ht="22.5" customHeight="1">
      <c r="A911" s="139"/>
      <c r="B911" s="71"/>
      <c r="C911" s="71"/>
      <c r="D911" s="25"/>
      <c r="E911" s="25"/>
      <c r="F911" s="25"/>
      <c r="G911" s="119"/>
      <c r="H911" s="139"/>
    </row>
    <row r="912" ht="22.5" customHeight="1">
      <c r="A912" s="139"/>
      <c r="B912" s="71"/>
      <c r="C912" s="71"/>
      <c r="D912" s="25"/>
      <c r="E912" s="25"/>
      <c r="F912" s="25"/>
      <c r="G912" s="119"/>
      <c r="H912" s="139"/>
    </row>
    <row r="913" ht="22.5" customHeight="1">
      <c r="A913" s="139"/>
      <c r="B913" s="71"/>
      <c r="C913" s="71"/>
      <c r="D913" s="25"/>
      <c r="E913" s="25"/>
      <c r="F913" s="25"/>
      <c r="G913" s="119"/>
      <c r="H913" s="139"/>
    </row>
    <row r="914" ht="22.5" customHeight="1">
      <c r="A914" s="139"/>
      <c r="B914" s="71"/>
      <c r="C914" s="71"/>
      <c r="D914" s="25"/>
      <c r="E914" s="25"/>
      <c r="F914" s="25"/>
      <c r="G914" s="119"/>
      <c r="H914" s="139"/>
    </row>
    <row r="915" ht="22.5" customHeight="1">
      <c r="A915" s="139"/>
      <c r="B915" s="71"/>
      <c r="C915" s="71"/>
      <c r="D915" s="25"/>
      <c r="E915" s="25"/>
      <c r="F915" s="25"/>
      <c r="G915" s="119"/>
      <c r="H915" s="139"/>
    </row>
    <row r="916" ht="22.5" customHeight="1">
      <c r="A916" s="139"/>
      <c r="B916" s="71"/>
      <c r="C916" s="71"/>
      <c r="D916" s="25"/>
      <c r="E916" s="25"/>
      <c r="F916" s="25"/>
      <c r="G916" s="119"/>
      <c r="H916" s="139"/>
    </row>
    <row r="917" ht="22.5" customHeight="1">
      <c r="A917" s="139"/>
      <c r="B917" s="71"/>
      <c r="C917" s="71"/>
      <c r="D917" s="25"/>
      <c r="E917" s="25"/>
      <c r="F917" s="25"/>
      <c r="G917" s="119"/>
      <c r="H917" s="139"/>
    </row>
    <row r="918" ht="22.5" customHeight="1">
      <c r="A918" s="139"/>
      <c r="B918" s="71"/>
      <c r="C918" s="71"/>
      <c r="D918" s="25"/>
      <c r="E918" s="25"/>
      <c r="F918" s="25"/>
      <c r="G918" s="119"/>
      <c r="H918" s="139"/>
    </row>
    <row r="919" ht="22.5" customHeight="1">
      <c r="A919" s="139"/>
      <c r="B919" s="71"/>
      <c r="C919" s="71"/>
      <c r="D919" s="25"/>
      <c r="E919" s="25"/>
      <c r="F919" s="25"/>
      <c r="G919" s="119"/>
      <c r="H919" s="139"/>
    </row>
    <row r="920" ht="22.5" customHeight="1">
      <c r="A920" s="139"/>
      <c r="B920" s="71"/>
      <c r="C920" s="71"/>
      <c r="D920" s="25"/>
      <c r="E920" s="25"/>
      <c r="F920" s="25"/>
      <c r="G920" s="119"/>
      <c r="H920" s="139"/>
    </row>
    <row r="921" ht="22.5" customHeight="1">
      <c r="A921" s="139"/>
      <c r="B921" s="71"/>
      <c r="C921" s="71"/>
      <c r="D921" s="25"/>
      <c r="E921" s="25"/>
      <c r="F921" s="25"/>
      <c r="G921" s="119"/>
      <c r="H921" s="139"/>
    </row>
    <row r="922" ht="22.5" customHeight="1">
      <c r="A922" s="139"/>
      <c r="B922" s="71"/>
      <c r="C922" s="71"/>
      <c r="D922" s="25"/>
      <c r="E922" s="25"/>
      <c r="F922" s="25"/>
      <c r="G922" s="119"/>
      <c r="H922" s="139"/>
    </row>
    <row r="923" ht="22.5" customHeight="1">
      <c r="A923" s="139"/>
      <c r="B923" s="71"/>
      <c r="C923" s="71"/>
      <c r="D923" s="25"/>
      <c r="E923" s="25"/>
      <c r="F923" s="25"/>
      <c r="G923" s="119"/>
      <c r="H923" s="139"/>
    </row>
    <row r="924" ht="22.5" customHeight="1">
      <c r="A924" s="139"/>
      <c r="B924" s="71"/>
      <c r="C924" s="71"/>
      <c r="D924" s="25"/>
      <c r="E924" s="25"/>
      <c r="F924" s="25"/>
      <c r="G924" s="119"/>
      <c r="H924" s="139"/>
    </row>
    <row r="925" ht="22.5" customHeight="1">
      <c r="A925" s="139"/>
      <c r="B925" s="71"/>
      <c r="C925" s="71"/>
      <c r="D925" s="25"/>
      <c r="E925" s="25"/>
      <c r="F925" s="25"/>
      <c r="G925" s="119"/>
      <c r="H925" s="139"/>
    </row>
    <row r="926" ht="22.5" customHeight="1">
      <c r="A926" s="139"/>
      <c r="B926" s="71"/>
      <c r="C926" s="71"/>
      <c r="D926" s="25"/>
      <c r="E926" s="25"/>
      <c r="F926" s="25"/>
      <c r="G926" s="119"/>
      <c r="H926" s="139"/>
    </row>
    <row r="927" ht="22.5" customHeight="1">
      <c r="A927" s="139"/>
      <c r="B927" s="71"/>
      <c r="C927" s="71"/>
      <c r="D927" s="25"/>
      <c r="E927" s="25"/>
      <c r="F927" s="25"/>
      <c r="G927" s="119"/>
      <c r="H927" s="139"/>
    </row>
    <row r="928" ht="22.5" customHeight="1">
      <c r="A928" s="139"/>
      <c r="B928" s="71"/>
      <c r="C928" s="71"/>
      <c r="D928" s="25"/>
      <c r="E928" s="25"/>
      <c r="F928" s="25"/>
      <c r="G928" s="119"/>
      <c r="H928" s="139"/>
    </row>
    <row r="929" ht="22.5" customHeight="1">
      <c r="A929" s="139"/>
      <c r="B929" s="71"/>
      <c r="C929" s="71"/>
      <c r="D929" s="25"/>
      <c r="E929" s="25"/>
      <c r="F929" s="25"/>
      <c r="G929" s="119"/>
      <c r="H929" s="139"/>
    </row>
    <row r="930" ht="22.5" customHeight="1">
      <c r="A930" s="139"/>
      <c r="B930" s="71"/>
      <c r="C930" s="71"/>
      <c r="D930" s="25"/>
      <c r="E930" s="25"/>
      <c r="F930" s="25"/>
      <c r="G930" s="119"/>
      <c r="H930" s="139"/>
    </row>
    <row r="931" ht="22.5" customHeight="1">
      <c r="A931" s="139"/>
      <c r="B931" s="71"/>
      <c r="C931" s="71"/>
      <c r="D931" s="25"/>
      <c r="E931" s="25"/>
      <c r="F931" s="25"/>
      <c r="G931" s="119"/>
      <c r="H931" s="139"/>
    </row>
    <row r="932" ht="22.5" customHeight="1">
      <c r="A932" s="139"/>
      <c r="B932" s="71"/>
      <c r="C932" s="71"/>
      <c r="D932" s="25"/>
      <c r="E932" s="25"/>
      <c r="F932" s="25"/>
      <c r="G932" s="119"/>
      <c r="H932" s="139"/>
    </row>
    <row r="933" ht="22.5" customHeight="1">
      <c r="A933" s="139"/>
      <c r="B933" s="71"/>
      <c r="C933" s="71"/>
      <c r="D933" s="25"/>
      <c r="E933" s="25"/>
      <c r="F933" s="25"/>
      <c r="G933" s="119"/>
      <c r="H933" s="139"/>
    </row>
    <row r="934" ht="22.5" customHeight="1">
      <c r="A934" s="139"/>
      <c r="B934" s="71"/>
      <c r="C934" s="71"/>
      <c r="D934" s="25"/>
      <c r="E934" s="25"/>
      <c r="F934" s="25"/>
      <c r="G934" s="119"/>
      <c r="H934" s="139"/>
    </row>
    <row r="935" ht="22.5" customHeight="1">
      <c r="A935" s="139"/>
      <c r="B935" s="71"/>
      <c r="C935" s="71"/>
      <c r="D935" s="25"/>
      <c r="E935" s="25"/>
      <c r="F935" s="25"/>
      <c r="G935" s="119"/>
      <c r="H935" s="139"/>
    </row>
    <row r="936" ht="22.5" customHeight="1">
      <c r="A936" s="139"/>
      <c r="B936" s="71"/>
      <c r="C936" s="71"/>
      <c r="D936" s="25"/>
      <c r="E936" s="25"/>
      <c r="F936" s="25"/>
      <c r="G936" s="119"/>
      <c r="H936" s="139"/>
    </row>
    <row r="937" ht="22.5" customHeight="1">
      <c r="A937" s="139"/>
      <c r="B937" s="71"/>
      <c r="C937" s="71"/>
      <c r="D937" s="25"/>
      <c r="E937" s="25"/>
      <c r="F937" s="25"/>
      <c r="G937" s="119"/>
      <c r="H937" s="139"/>
    </row>
    <row r="938" ht="22.5" customHeight="1">
      <c r="A938" s="139"/>
      <c r="B938" s="71"/>
      <c r="C938" s="71"/>
      <c r="D938" s="25"/>
      <c r="E938" s="25"/>
      <c r="F938" s="25"/>
      <c r="G938" s="119"/>
      <c r="H938" s="139"/>
    </row>
    <row r="939" ht="22.5" customHeight="1">
      <c r="A939" s="139"/>
      <c r="B939" s="71"/>
      <c r="C939" s="71"/>
      <c r="D939" s="25"/>
      <c r="E939" s="25"/>
      <c r="F939" s="25"/>
      <c r="G939" s="119"/>
      <c r="H939" s="139"/>
    </row>
    <row r="940" ht="22.5" customHeight="1">
      <c r="A940" s="139"/>
      <c r="B940" s="71"/>
      <c r="C940" s="71"/>
      <c r="D940" s="25"/>
      <c r="E940" s="25"/>
      <c r="F940" s="25"/>
      <c r="G940" s="119"/>
      <c r="H940" s="139"/>
    </row>
    <row r="941" ht="22.5" customHeight="1">
      <c r="A941" s="139"/>
      <c r="B941" s="71"/>
      <c r="C941" s="71"/>
      <c r="D941" s="25"/>
      <c r="E941" s="25"/>
      <c r="F941" s="25"/>
      <c r="G941" s="119"/>
      <c r="H941" s="139"/>
    </row>
    <row r="942" ht="22.5" customHeight="1">
      <c r="A942" s="139"/>
      <c r="B942" s="71"/>
      <c r="C942" s="71"/>
      <c r="D942" s="25"/>
      <c r="E942" s="25"/>
      <c r="F942" s="25"/>
      <c r="G942" s="119"/>
      <c r="H942" s="139"/>
    </row>
    <row r="943" ht="22.5" customHeight="1">
      <c r="A943" s="139"/>
      <c r="B943" s="71"/>
      <c r="C943" s="71"/>
      <c r="D943" s="25"/>
      <c r="E943" s="25"/>
      <c r="F943" s="25"/>
      <c r="G943" s="119"/>
      <c r="H943" s="139"/>
    </row>
    <row r="944" ht="22.5" customHeight="1">
      <c r="A944" s="139"/>
      <c r="B944" s="71"/>
      <c r="C944" s="71"/>
      <c r="D944" s="25"/>
      <c r="E944" s="25"/>
      <c r="F944" s="25"/>
      <c r="G944" s="119"/>
      <c r="H944" s="139"/>
    </row>
    <row r="945" ht="22.5" customHeight="1">
      <c r="A945" s="139"/>
      <c r="B945" s="71"/>
      <c r="C945" s="71"/>
      <c r="D945" s="25"/>
      <c r="E945" s="25"/>
      <c r="F945" s="25"/>
      <c r="G945" s="119"/>
      <c r="H945" s="139"/>
    </row>
    <row r="946" ht="22.5" customHeight="1">
      <c r="A946" s="139"/>
      <c r="B946" s="71"/>
      <c r="C946" s="71"/>
      <c r="D946" s="25"/>
      <c r="E946" s="25"/>
      <c r="F946" s="25"/>
      <c r="G946" s="119"/>
      <c r="H946" s="139"/>
    </row>
    <row r="947" ht="22.5" customHeight="1">
      <c r="A947" s="139"/>
      <c r="B947" s="71"/>
      <c r="C947" s="71"/>
      <c r="D947" s="25"/>
      <c r="E947" s="25"/>
      <c r="F947" s="25"/>
      <c r="G947" s="119"/>
      <c r="H947" s="139"/>
    </row>
    <row r="948" ht="22.5" customHeight="1">
      <c r="A948" s="139"/>
      <c r="B948" s="71"/>
      <c r="C948" s="71"/>
      <c r="D948" s="25"/>
      <c r="E948" s="25"/>
      <c r="F948" s="25"/>
      <c r="G948" s="119"/>
      <c r="H948" s="139"/>
    </row>
    <row r="949" ht="22.5" customHeight="1">
      <c r="A949" s="139"/>
      <c r="B949" s="71"/>
      <c r="C949" s="71"/>
      <c r="D949" s="25"/>
      <c r="E949" s="25"/>
      <c r="F949" s="25"/>
      <c r="G949" s="119"/>
      <c r="H949" s="139"/>
    </row>
    <row r="950" ht="22.5" customHeight="1">
      <c r="A950" s="139"/>
      <c r="B950" s="71"/>
      <c r="C950" s="71"/>
      <c r="D950" s="25"/>
      <c r="E950" s="25"/>
      <c r="F950" s="25"/>
      <c r="G950" s="119"/>
      <c r="H950" s="139"/>
    </row>
    <row r="951" ht="22.5" customHeight="1">
      <c r="A951" s="139"/>
      <c r="B951" s="71"/>
      <c r="C951" s="71"/>
      <c r="D951" s="25"/>
      <c r="E951" s="25"/>
      <c r="F951" s="25"/>
      <c r="G951" s="119"/>
      <c r="H951" s="139"/>
    </row>
    <row r="952" ht="22.5" customHeight="1">
      <c r="A952" s="139"/>
      <c r="B952" s="71"/>
      <c r="C952" s="71"/>
      <c r="D952" s="25"/>
      <c r="E952" s="25"/>
      <c r="F952" s="25"/>
      <c r="G952" s="119"/>
      <c r="H952" s="139"/>
    </row>
    <row r="953" ht="22.5" customHeight="1">
      <c r="A953" s="139"/>
      <c r="B953" s="71"/>
      <c r="C953" s="71"/>
      <c r="D953" s="25"/>
      <c r="E953" s="25"/>
      <c r="F953" s="25"/>
      <c r="G953" s="119"/>
      <c r="H953" s="139"/>
    </row>
    <row r="954" ht="22.5" customHeight="1">
      <c r="A954" s="139"/>
      <c r="B954" s="71"/>
      <c r="C954" s="71"/>
      <c r="D954" s="25"/>
      <c r="E954" s="25"/>
      <c r="F954" s="25"/>
      <c r="G954" s="119"/>
      <c r="H954" s="139"/>
    </row>
    <row r="955" ht="22.5" customHeight="1">
      <c r="A955" s="139"/>
      <c r="B955" s="71"/>
      <c r="C955" s="71"/>
      <c r="D955" s="25"/>
      <c r="E955" s="25"/>
      <c r="F955" s="25"/>
      <c r="G955" s="119"/>
      <c r="H955" s="139"/>
    </row>
    <row r="956" ht="22.5" customHeight="1">
      <c r="A956" s="139"/>
      <c r="B956" s="71"/>
      <c r="C956" s="71"/>
      <c r="D956" s="25"/>
      <c r="E956" s="25"/>
      <c r="F956" s="25"/>
      <c r="G956" s="119"/>
      <c r="H956" s="139"/>
    </row>
    <row r="957" ht="22.5" customHeight="1">
      <c r="A957" s="139"/>
      <c r="B957" s="71"/>
      <c r="C957" s="71"/>
      <c r="D957" s="25"/>
      <c r="E957" s="25"/>
      <c r="F957" s="25"/>
      <c r="G957" s="119"/>
      <c r="H957" s="139"/>
    </row>
    <row r="958" ht="22.5" customHeight="1">
      <c r="A958" s="139"/>
      <c r="B958" s="71"/>
      <c r="C958" s="71"/>
      <c r="D958" s="25"/>
      <c r="E958" s="25"/>
      <c r="F958" s="25"/>
      <c r="G958" s="119"/>
      <c r="H958" s="139"/>
    </row>
    <row r="959" ht="22.5" customHeight="1">
      <c r="A959" s="139"/>
      <c r="B959" s="71"/>
      <c r="C959" s="71"/>
      <c r="D959" s="25"/>
      <c r="E959" s="25"/>
      <c r="F959" s="25"/>
      <c r="G959" s="119"/>
      <c r="H959" s="139"/>
    </row>
    <row r="960" ht="22.5" customHeight="1">
      <c r="A960" s="139"/>
      <c r="B960" s="71"/>
      <c r="C960" s="71"/>
      <c r="D960" s="25"/>
      <c r="E960" s="25"/>
      <c r="F960" s="25"/>
      <c r="G960" s="119"/>
      <c r="H960" s="139"/>
    </row>
    <row r="961" ht="22.5" customHeight="1">
      <c r="A961" s="139"/>
      <c r="B961" s="71"/>
      <c r="C961" s="71"/>
      <c r="D961" s="25"/>
      <c r="E961" s="25"/>
      <c r="F961" s="25"/>
      <c r="G961" s="119"/>
      <c r="H961" s="139"/>
    </row>
    <row r="962" ht="22.5" customHeight="1">
      <c r="A962" s="139"/>
      <c r="B962" s="71"/>
      <c r="C962" s="71"/>
      <c r="D962" s="25"/>
      <c r="E962" s="25"/>
      <c r="F962" s="25"/>
      <c r="G962" s="119"/>
      <c r="H962" s="139"/>
    </row>
    <row r="963" ht="22.5" customHeight="1">
      <c r="A963" s="139"/>
      <c r="B963" s="71"/>
      <c r="C963" s="71"/>
      <c r="D963" s="25"/>
      <c r="E963" s="25"/>
      <c r="F963" s="25"/>
      <c r="G963" s="119"/>
      <c r="H963" s="139"/>
    </row>
    <row r="964" ht="22.5" customHeight="1">
      <c r="A964" s="139"/>
      <c r="B964" s="71"/>
      <c r="C964" s="71"/>
      <c r="D964" s="25"/>
      <c r="E964" s="25"/>
      <c r="F964" s="25"/>
      <c r="G964" s="119"/>
      <c r="H964" s="139"/>
    </row>
    <row r="965" ht="22.5" customHeight="1">
      <c r="A965" s="139"/>
      <c r="B965" s="71"/>
      <c r="C965" s="71"/>
      <c r="D965" s="25"/>
      <c r="E965" s="25"/>
      <c r="F965" s="25"/>
      <c r="G965" s="119"/>
      <c r="H965" s="139"/>
    </row>
    <row r="966" ht="22.5" customHeight="1">
      <c r="A966" s="139"/>
      <c r="B966" s="71"/>
      <c r="C966" s="71"/>
      <c r="D966" s="25"/>
      <c r="E966" s="25"/>
      <c r="F966" s="25"/>
      <c r="G966" s="119"/>
      <c r="H966" s="139"/>
    </row>
    <row r="967" ht="22.5" customHeight="1">
      <c r="A967" s="139"/>
      <c r="B967" s="71"/>
      <c r="C967" s="71"/>
      <c r="D967" s="25"/>
      <c r="E967" s="25"/>
      <c r="F967" s="25"/>
      <c r="G967" s="119"/>
      <c r="H967" s="139"/>
    </row>
    <row r="968" ht="22.5" customHeight="1">
      <c r="A968" s="139"/>
      <c r="B968" s="71"/>
      <c r="C968" s="71"/>
      <c r="D968" s="25"/>
      <c r="E968" s="25"/>
      <c r="F968" s="25"/>
      <c r="G968" s="119"/>
      <c r="H968" s="139"/>
    </row>
    <row r="969" ht="22.5" customHeight="1">
      <c r="A969" s="139"/>
      <c r="B969" s="71"/>
      <c r="C969" s="71"/>
      <c r="D969" s="25"/>
      <c r="E969" s="25"/>
      <c r="F969" s="25"/>
      <c r="G969" s="119"/>
      <c r="H969" s="139"/>
    </row>
    <row r="970" ht="22.5" customHeight="1">
      <c r="A970" s="139"/>
      <c r="B970" s="71"/>
      <c r="C970" s="71"/>
      <c r="D970" s="25"/>
      <c r="E970" s="25"/>
      <c r="F970" s="25"/>
      <c r="G970" s="119"/>
      <c r="H970" s="139"/>
    </row>
    <row r="971" ht="22.5" customHeight="1">
      <c r="A971" s="139"/>
      <c r="B971" s="71"/>
      <c r="C971" s="71"/>
      <c r="D971" s="25"/>
      <c r="E971" s="25"/>
      <c r="F971" s="25"/>
      <c r="G971" s="119"/>
      <c r="H971" s="139"/>
    </row>
    <row r="972" ht="22.5" customHeight="1">
      <c r="A972" s="139"/>
      <c r="B972" s="71"/>
      <c r="C972" s="71"/>
      <c r="D972" s="25"/>
      <c r="E972" s="25"/>
      <c r="F972" s="25"/>
      <c r="G972" s="119"/>
      <c r="H972" s="139"/>
    </row>
    <row r="973" ht="22.5" customHeight="1">
      <c r="A973" s="139"/>
      <c r="B973" s="71"/>
      <c r="C973" s="71"/>
      <c r="D973" s="25"/>
      <c r="E973" s="25"/>
      <c r="F973" s="25"/>
      <c r="G973" s="119"/>
      <c r="H973" s="139"/>
    </row>
    <row r="974" ht="22.5" customHeight="1">
      <c r="A974" s="139"/>
      <c r="B974" s="71"/>
      <c r="C974" s="71"/>
      <c r="D974" s="25"/>
      <c r="E974" s="25"/>
      <c r="F974" s="25"/>
      <c r="G974" s="119"/>
      <c r="H974" s="139"/>
    </row>
    <row r="975" ht="22.5" customHeight="1">
      <c r="A975" s="139"/>
      <c r="B975" s="71"/>
      <c r="C975" s="71"/>
      <c r="D975" s="25"/>
      <c r="E975" s="25"/>
      <c r="F975" s="25"/>
      <c r="G975" s="119"/>
      <c r="H975" s="139"/>
    </row>
    <row r="976" ht="22.5" customHeight="1">
      <c r="A976" s="139"/>
      <c r="B976" s="71"/>
      <c r="C976" s="71"/>
      <c r="D976" s="25"/>
      <c r="E976" s="25"/>
      <c r="F976" s="25"/>
      <c r="G976" s="119"/>
      <c r="H976" s="139"/>
    </row>
    <row r="977" ht="22.5" customHeight="1">
      <c r="A977" s="139"/>
      <c r="B977" s="71"/>
      <c r="C977" s="71"/>
      <c r="D977" s="25"/>
      <c r="E977" s="25"/>
      <c r="F977" s="25"/>
      <c r="G977" s="119"/>
      <c r="H977" s="139"/>
    </row>
    <row r="978" ht="22.5" customHeight="1">
      <c r="A978" s="139"/>
      <c r="B978" s="71"/>
      <c r="C978" s="71"/>
      <c r="D978" s="25"/>
      <c r="E978" s="25"/>
      <c r="F978" s="25"/>
      <c r="G978" s="119"/>
      <c r="H978" s="139"/>
    </row>
    <row r="979" ht="22.5" customHeight="1">
      <c r="A979" s="139"/>
      <c r="B979" s="71"/>
      <c r="C979" s="71"/>
      <c r="D979" s="25"/>
      <c r="E979" s="25"/>
      <c r="F979" s="25"/>
      <c r="G979" s="119"/>
      <c r="H979" s="139"/>
    </row>
    <row r="980" ht="22.5" customHeight="1">
      <c r="A980" s="139"/>
      <c r="B980" s="71"/>
      <c r="C980" s="71"/>
      <c r="D980" s="25"/>
      <c r="E980" s="25"/>
      <c r="F980" s="25"/>
      <c r="G980" s="119"/>
      <c r="H980" s="139"/>
    </row>
    <row r="981" ht="22.5" customHeight="1">
      <c r="A981" s="139"/>
      <c r="B981" s="71"/>
      <c r="C981" s="71"/>
      <c r="D981" s="25"/>
      <c r="E981" s="25"/>
      <c r="F981" s="25"/>
      <c r="G981" s="119"/>
      <c r="H981" s="139"/>
    </row>
    <row r="982" ht="22.5" customHeight="1">
      <c r="A982" s="139"/>
      <c r="B982" s="71"/>
      <c r="C982" s="71"/>
      <c r="D982" s="25"/>
      <c r="E982" s="25"/>
      <c r="F982" s="25"/>
      <c r="G982" s="119"/>
      <c r="H982" s="139"/>
    </row>
    <row r="983" ht="22.5" customHeight="1">
      <c r="A983" s="139"/>
      <c r="B983" s="71"/>
      <c r="C983" s="71"/>
      <c r="D983" s="25"/>
      <c r="E983" s="25"/>
      <c r="F983" s="25"/>
      <c r="G983" s="119"/>
      <c r="H983" s="139"/>
    </row>
    <row r="984" ht="22.5" customHeight="1">
      <c r="A984" s="139"/>
      <c r="B984" s="71"/>
      <c r="C984" s="71"/>
      <c r="D984" s="25"/>
      <c r="E984" s="25"/>
      <c r="F984" s="25"/>
      <c r="G984" s="119"/>
      <c r="H984" s="139"/>
    </row>
    <row r="985" ht="22.5" customHeight="1">
      <c r="A985" s="139"/>
      <c r="B985" s="71"/>
      <c r="C985" s="71"/>
      <c r="D985" s="25"/>
      <c r="E985" s="25"/>
      <c r="F985" s="25"/>
      <c r="G985" s="119"/>
      <c r="H985" s="139"/>
    </row>
    <row r="986" ht="22.5" customHeight="1">
      <c r="A986" s="139"/>
      <c r="B986" s="71"/>
      <c r="C986" s="71"/>
      <c r="D986" s="25"/>
      <c r="E986" s="25"/>
      <c r="F986" s="25"/>
      <c r="G986" s="119"/>
      <c r="H986" s="139"/>
    </row>
    <row r="987" ht="22.5" customHeight="1">
      <c r="A987" s="139"/>
      <c r="B987" s="71"/>
      <c r="C987" s="71"/>
      <c r="D987" s="25"/>
      <c r="E987" s="25"/>
      <c r="F987" s="25"/>
      <c r="G987" s="119"/>
      <c r="H987" s="139"/>
    </row>
    <row r="988" ht="22.5" customHeight="1">
      <c r="A988" s="139"/>
      <c r="B988" s="71"/>
      <c r="C988" s="71"/>
      <c r="D988" s="25"/>
      <c r="E988" s="25"/>
      <c r="F988" s="25"/>
      <c r="G988" s="119"/>
      <c r="H988" s="139"/>
    </row>
    <row r="989" ht="22.5" customHeight="1">
      <c r="A989" s="139"/>
      <c r="B989" s="71"/>
      <c r="C989" s="71"/>
      <c r="D989" s="25"/>
      <c r="E989" s="25"/>
      <c r="F989" s="25"/>
      <c r="G989" s="119"/>
      <c r="H989" s="139"/>
    </row>
    <row r="990" ht="22.5" customHeight="1">
      <c r="A990" s="139"/>
      <c r="B990" s="71"/>
      <c r="C990" s="71"/>
      <c r="D990" s="25"/>
      <c r="E990" s="25"/>
      <c r="F990" s="25"/>
      <c r="G990" s="119"/>
      <c r="H990" s="139"/>
    </row>
    <row r="991" ht="22.5" customHeight="1">
      <c r="A991" s="139"/>
      <c r="B991" s="71"/>
      <c r="C991" s="71"/>
      <c r="D991" s="25"/>
      <c r="E991" s="25"/>
      <c r="F991" s="25"/>
      <c r="G991" s="119"/>
      <c r="H991" s="139"/>
    </row>
    <row r="992" ht="22.5" customHeight="1">
      <c r="A992" s="139"/>
      <c r="B992" s="71"/>
      <c r="C992" s="71"/>
      <c r="D992" s="25"/>
      <c r="E992" s="25"/>
      <c r="F992" s="25"/>
      <c r="G992" s="119"/>
      <c r="H992" s="139"/>
    </row>
    <row r="993" ht="22.5" customHeight="1">
      <c r="A993" s="139"/>
      <c r="B993" s="71"/>
      <c r="C993" s="71"/>
      <c r="D993" s="25"/>
      <c r="E993" s="25"/>
      <c r="F993" s="25"/>
      <c r="G993" s="119"/>
      <c r="H993" s="139"/>
    </row>
    <row r="994" ht="22.5" customHeight="1">
      <c r="A994" s="139"/>
      <c r="B994" s="71"/>
      <c r="C994" s="71"/>
      <c r="D994" s="25"/>
      <c r="E994" s="25"/>
      <c r="F994" s="25"/>
      <c r="G994" s="119"/>
      <c r="H994" s="139"/>
    </row>
    <row r="995" ht="22.5" customHeight="1">
      <c r="A995" s="139"/>
      <c r="B995" s="71"/>
      <c r="C995" s="71"/>
      <c r="D995" s="25"/>
      <c r="E995" s="25"/>
      <c r="F995" s="25"/>
      <c r="G995" s="119"/>
      <c r="H995" s="139"/>
    </row>
    <row r="996" ht="22.5" customHeight="1">
      <c r="A996" s="139"/>
      <c r="B996" s="71"/>
      <c r="C996" s="71"/>
      <c r="D996" s="25"/>
      <c r="E996" s="25"/>
      <c r="F996" s="25"/>
      <c r="G996" s="119"/>
      <c r="H996" s="139"/>
    </row>
    <row r="997" ht="22.5" customHeight="1">
      <c r="A997" s="139"/>
      <c r="B997" s="71"/>
      <c r="C997" s="71"/>
      <c r="D997" s="25"/>
      <c r="E997" s="25"/>
      <c r="F997" s="25"/>
      <c r="G997" s="119"/>
      <c r="H997" s="139"/>
    </row>
    <row r="998" ht="22.5" customHeight="1">
      <c r="A998" s="139"/>
      <c r="B998" s="71"/>
      <c r="C998" s="71"/>
      <c r="D998" s="25"/>
      <c r="E998" s="25"/>
      <c r="F998" s="25"/>
      <c r="G998" s="119"/>
      <c r="H998" s="139"/>
    </row>
    <row r="999" ht="22.5" customHeight="1">
      <c r="A999" s="139"/>
      <c r="B999" s="71"/>
      <c r="C999" s="71"/>
      <c r="D999" s="25"/>
      <c r="E999" s="25"/>
      <c r="F999" s="25"/>
      <c r="G999" s="119"/>
      <c r="H999" s="139"/>
    </row>
    <row r="1000" ht="22.5" customHeight="1">
      <c r="A1000" s="139"/>
      <c r="B1000" s="71"/>
      <c r="C1000" s="71"/>
      <c r="D1000" s="25"/>
      <c r="E1000" s="25"/>
      <c r="F1000" s="25"/>
      <c r="G1000" s="119"/>
      <c r="H1000" s="139"/>
    </row>
    <row r="1001" ht="22.5" customHeight="1">
      <c r="A1001" s="139"/>
      <c r="B1001" s="71"/>
      <c r="C1001" s="71"/>
      <c r="D1001" s="25"/>
      <c r="E1001" s="25"/>
      <c r="F1001" s="25"/>
      <c r="G1001" s="119"/>
      <c r="H1001" s="139"/>
    </row>
    <row r="1002" ht="22.5" customHeight="1">
      <c r="A1002" s="139"/>
      <c r="B1002" s="71"/>
      <c r="C1002" s="71"/>
      <c r="D1002" s="25"/>
      <c r="E1002" s="25"/>
      <c r="F1002" s="25"/>
      <c r="G1002" s="119"/>
      <c r="H1002" s="139"/>
    </row>
    <row r="1003" ht="22.5" customHeight="1">
      <c r="A1003" s="139"/>
      <c r="B1003" s="71"/>
      <c r="C1003" s="71"/>
      <c r="D1003" s="25"/>
      <c r="E1003" s="25"/>
      <c r="F1003" s="25"/>
      <c r="G1003" s="119"/>
      <c r="H1003" s="139"/>
    </row>
    <row r="1004" ht="22.5" customHeight="1">
      <c r="A1004" s="139"/>
      <c r="B1004" s="71"/>
      <c r="C1004" s="71"/>
      <c r="D1004" s="25"/>
      <c r="E1004" s="25"/>
      <c r="F1004" s="25"/>
      <c r="G1004" s="119"/>
      <c r="H1004" s="139"/>
    </row>
    <row r="1005" ht="22.5" customHeight="1">
      <c r="A1005" s="139"/>
      <c r="B1005" s="71"/>
      <c r="C1005" s="71"/>
      <c r="D1005" s="25"/>
      <c r="E1005" s="25"/>
      <c r="F1005" s="25"/>
      <c r="G1005" s="119"/>
      <c r="H1005" s="139"/>
    </row>
    <row r="1006" ht="22.5" customHeight="1">
      <c r="A1006" s="139"/>
      <c r="B1006" s="71"/>
      <c r="C1006" s="71"/>
      <c r="D1006" s="25"/>
      <c r="E1006" s="25"/>
      <c r="F1006" s="25"/>
      <c r="G1006" s="119"/>
      <c r="H1006" s="139"/>
    </row>
    <row r="1007" ht="22.5" customHeight="1">
      <c r="A1007" s="139"/>
      <c r="B1007" s="71"/>
      <c r="C1007" s="71"/>
      <c r="D1007" s="25"/>
      <c r="E1007" s="25"/>
      <c r="F1007" s="25"/>
      <c r="G1007" s="119"/>
      <c r="H1007" s="139"/>
    </row>
    <row r="1008" ht="22.5" customHeight="1">
      <c r="A1008" s="139"/>
      <c r="B1008" s="71"/>
      <c r="C1008" s="71"/>
      <c r="D1008" s="25"/>
      <c r="E1008" s="25"/>
      <c r="F1008" s="25"/>
      <c r="G1008" s="119"/>
      <c r="H1008" s="139"/>
    </row>
    <row r="1009" ht="22.5" customHeight="1">
      <c r="A1009" s="139"/>
      <c r="B1009" s="71"/>
      <c r="C1009" s="71"/>
      <c r="D1009" s="25"/>
      <c r="E1009" s="25"/>
      <c r="F1009" s="25"/>
      <c r="G1009" s="119"/>
      <c r="H1009" s="139"/>
    </row>
    <row r="1010" ht="22.5" customHeight="1">
      <c r="A1010" s="139"/>
      <c r="B1010" s="71"/>
      <c r="C1010" s="71"/>
      <c r="D1010" s="25"/>
      <c r="E1010" s="25"/>
      <c r="F1010" s="25"/>
      <c r="G1010" s="119"/>
      <c r="H1010" s="139"/>
    </row>
    <row r="1011" ht="22.5" customHeight="1">
      <c r="A1011" s="139"/>
      <c r="B1011" s="71"/>
      <c r="C1011" s="71"/>
      <c r="D1011" s="25"/>
      <c r="E1011" s="25"/>
      <c r="F1011" s="25"/>
      <c r="G1011" s="119"/>
      <c r="H1011" s="139"/>
    </row>
    <row r="1012" ht="22.5" customHeight="1">
      <c r="A1012" s="139"/>
      <c r="B1012" s="71"/>
      <c r="C1012" s="71"/>
      <c r="D1012" s="25"/>
      <c r="E1012" s="25"/>
      <c r="F1012" s="25"/>
      <c r="G1012" s="119"/>
      <c r="H1012" s="139"/>
    </row>
    <row r="1013" ht="22.5" customHeight="1">
      <c r="A1013" s="139"/>
      <c r="B1013" s="71"/>
      <c r="C1013" s="71"/>
      <c r="D1013" s="25"/>
      <c r="E1013" s="25"/>
      <c r="F1013" s="25"/>
      <c r="G1013" s="119"/>
      <c r="H1013" s="139"/>
    </row>
    <row r="1014" ht="22.5" customHeight="1">
      <c r="A1014" s="139"/>
      <c r="B1014" s="71"/>
      <c r="C1014" s="71"/>
      <c r="D1014" s="25"/>
      <c r="E1014" s="25"/>
      <c r="F1014" s="25"/>
      <c r="G1014" s="119"/>
      <c r="H1014" s="139"/>
    </row>
    <row r="1015" ht="22.5" customHeight="1">
      <c r="A1015" s="139"/>
      <c r="B1015" s="71"/>
      <c r="C1015" s="71"/>
      <c r="D1015" s="25"/>
      <c r="E1015" s="25"/>
      <c r="F1015" s="25"/>
      <c r="G1015" s="119"/>
      <c r="H1015" s="139"/>
    </row>
    <row r="1016" ht="22.5" customHeight="1">
      <c r="A1016" s="139"/>
      <c r="B1016" s="71"/>
      <c r="C1016" s="71"/>
      <c r="D1016" s="25"/>
      <c r="E1016" s="25"/>
      <c r="F1016" s="25"/>
      <c r="G1016" s="119"/>
      <c r="H1016" s="139"/>
    </row>
    <row r="1017" ht="22.5" customHeight="1">
      <c r="A1017" s="139"/>
      <c r="B1017" s="71"/>
      <c r="C1017" s="71"/>
      <c r="D1017" s="25"/>
      <c r="E1017" s="25"/>
      <c r="F1017" s="25"/>
      <c r="G1017" s="119"/>
      <c r="H1017" s="139"/>
    </row>
    <row r="1018" ht="22.5" customHeight="1">
      <c r="A1018" s="139"/>
      <c r="B1018" s="71"/>
      <c r="C1018" s="71"/>
      <c r="D1018" s="25"/>
      <c r="E1018" s="25"/>
      <c r="F1018" s="25"/>
      <c r="G1018" s="119"/>
      <c r="H1018" s="139"/>
    </row>
    <row r="1019" ht="22.5" customHeight="1">
      <c r="A1019" s="139"/>
      <c r="B1019" s="71"/>
      <c r="C1019" s="71"/>
      <c r="D1019" s="25"/>
      <c r="E1019" s="25"/>
      <c r="F1019" s="25"/>
      <c r="G1019" s="119"/>
      <c r="H1019" s="139"/>
    </row>
    <row r="1020" ht="22.5" customHeight="1">
      <c r="A1020" s="139"/>
      <c r="B1020" s="71"/>
      <c r="C1020" s="71"/>
      <c r="D1020" s="25"/>
      <c r="E1020" s="25"/>
      <c r="F1020" s="25"/>
      <c r="G1020" s="119"/>
      <c r="H1020" s="139"/>
    </row>
    <row r="1021" ht="22.5" customHeight="1">
      <c r="A1021" s="139"/>
      <c r="B1021" s="71"/>
      <c r="C1021" s="71"/>
      <c r="D1021" s="25"/>
      <c r="E1021" s="25"/>
      <c r="F1021" s="25"/>
      <c r="G1021" s="119"/>
      <c r="H1021" s="139"/>
    </row>
    <row r="1022" ht="22.5" customHeight="1">
      <c r="A1022" s="139"/>
      <c r="B1022" s="71"/>
      <c r="C1022" s="71"/>
      <c r="D1022" s="25"/>
      <c r="E1022" s="25"/>
      <c r="F1022" s="25"/>
      <c r="G1022" s="119"/>
      <c r="H1022" s="139"/>
    </row>
    <row r="1023" ht="22.5" customHeight="1">
      <c r="A1023" s="139"/>
      <c r="B1023" s="71"/>
      <c r="C1023" s="71"/>
      <c r="D1023" s="25"/>
      <c r="E1023" s="25"/>
      <c r="F1023" s="25"/>
      <c r="G1023" s="119"/>
      <c r="H1023" s="139"/>
    </row>
    <row r="1024" ht="22.5" customHeight="1">
      <c r="A1024" s="139"/>
      <c r="B1024" s="71"/>
      <c r="C1024" s="71"/>
      <c r="D1024" s="25"/>
      <c r="E1024" s="25"/>
      <c r="F1024" s="25"/>
      <c r="G1024" s="119"/>
      <c r="H1024" s="139"/>
    </row>
    <row r="1025" ht="22.5" customHeight="1">
      <c r="A1025" s="139"/>
      <c r="B1025" s="71"/>
      <c r="C1025" s="71"/>
      <c r="D1025" s="25"/>
      <c r="E1025" s="25"/>
      <c r="F1025" s="25"/>
      <c r="G1025" s="119"/>
      <c r="H1025" s="139"/>
    </row>
    <row r="1026" ht="22.5" customHeight="1">
      <c r="A1026" s="139"/>
      <c r="B1026" s="71"/>
      <c r="C1026" s="71"/>
      <c r="D1026" s="25"/>
      <c r="E1026" s="25"/>
      <c r="F1026" s="25"/>
      <c r="G1026" s="119"/>
      <c r="H1026" s="139"/>
    </row>
    <row r="1027" ht="22.5" customHeight="1">
      <c r="A1027" s="139"/>
      <c r="B1027" s="71"/>
      <c r="C1027" s="71"/>
      <c r="D1027" s="25"/>
      <c r="E1027" s="25"/>
      <c r="F1027" s="25"/>
      <c r="G1027" s="119"/>
      <c r="H1027" s="139"/>
    </row>
    <row r="1028" ht="22.5" customHeight="1">
      <c r="A1028" s="139"/>
      <c r="B1028" s="71"/>
      <c r="C1028" s="71"/>
      <c r="D1028" s="25"/>
      <c r="E1028" s="25"/>
      <c r="F1028" s="25"/>
      <c r="G1028" s="119"/>
      <c r="H1028" s="139"/>
    </row>
    <row r="1029" ht="22.5" customHeight="1">
      <c r="A1029" s="139"/>
      <c r="B1029" s="71"/>
      <c r="C1029" s="71"/>
      <c r="D1029" s="25"/>
      <c r="E1029" s="25"/>
      <c r="F1029" s="25"/>
      <c r="G1029" s="119"/>
      <c r="H1029" s="139"/>
    </row>
    <row r="1030" ht="22.5" customHeight="1">
      <c r="A1030" s="139"/>
      <c r="B1030" s="71"/>
      <c r="C1030" s="71"/>
      <c r="D1030" s="25"/>
      <c r="E1030" s="25"/>
      <c r="F1030" s="25"/>
      <c r="G1030" s="119"/>
      <c r="H1030" s="139"/>
    </row>
    <row r="1031" ht="22.5" customHeight="1">
      <c r="A1031" s="139"/>
      <c r="B1031" s="71"/>
      <c r="C1031" s="71"/>
      <c r="D1031" s="25"/>
      <c r="E1031" s="25"/>
      <c r="F1031" s="25"/>
      <c r="G1031" s="119"/>
      <c r="H1031" s="139"/>
    </row>
    <row r="1032" ht="22.5" customHeight="1">
      <c r="A1032" s="139"/>
      <c r="B1032" s="71"/>
      <c r="C1032" s="71"/>
      <c r="D1032" s="25"/>
      <c r="E1032" s="25"/>
      <c r="F1032" s="25"/>
      <c r="G1032" s="119"/>
      <c r="H1032" s="139"/>
    </row>
    <row r="1033" ht="22.5" customHeight="1">
      <c r="A1033" s="139"/>
      <c r="B1033" s="71"/>
      <c r="C1033" s="71"/>
      <c r="D1033" s="25"/>
      <c r="E1033" s="25"/>
      <c r="F1033" s="25"/>
      <c r="G1033" s="119"/>
      <c r="H1033" s="139"/>
    </row>
    <row r="1034" ht="22.5" customHeight="1">
      <c r="A1034" s="139"/>
      <c r="B1034" s="71"/>
      <c r="C1034" s="71"/>
      <c r="D1034" s="25"/>
      <c r="E1034" s="25"/>
      <c r="F1034" s="25"/>
      <c r="G1034" s="119"/>
      <c r="H1034" s="139"/>
    </row>
    <row r="1035" ht="22.5" customHeight="1">
      <c r="A1035" s="139"/>
      <c r="B1035" s="71"/>
      <c r="C1035" s="71"/>
      <c r="D1035" s="25"/>
      <c r="E1035" s="25"/>
      <c r="F1035" s="25"/>
      <c r="G1035" s="119"/>
      <c r="H1035" s="139"/>
    </row>
    <row r="1036" ht="22.5" customHeight="1">
      <c r="A1036" s="139"/>
      <c r="B1036" s="71"/>
      <c r="C1036" s="71"/>
      <c r="D1036" s="25"/>
      <c r="E1036" s="25"/>
      <c r="F1036" s="25"/>
      <c r="G1036" s="119"/>
      <c r="H1036" s="139"/>
    </row>
    <row r="1037" ht="22.5" customHeight="1">
      <c r="A1037" s="139"/>
      <c r="B1037" s="71"/>
      <c r="C1037" s="71"/>
      <c r="D1037" s="25"/>
      <c r="E1037" s="25"/>
      <c r="F1037" s="25"/>
      <c r="G1037" s="119"/>
      <c r="H1037" s="139"/>
    </row>
    <row r="1038" ht="22.5" customHeight="1">
      <c r="A1038" s="139"/>
      <c r="B1038" s="71"/>
      <c r="C1038" s="71"/>
      <c r="D1038" s="25"/>
      <c r="E1038" s="25"/>
      <c r="F1038" s="25"/>
      <c r="G1038" s="119"/>
      <c r="H1038" s="139"/>
    </row>
    <row r="1039" ht="22.5" customHeight="1">
      <c r="A1039" s="139"/>
      <c r="B1039" s="71"/>
      <c r="C1039" s="71"/>
      <c r="D1039" s="25"/>
      <c r="E1039" s="25"/>
      <c r="F1039" s="25"/>
      <c r="G1039" s="119"/>
      <c r="H1039" s="139"/>
    </row>
    <row r="1040" ht="22.5" customHeight="1">
      <c r="A1040" s="139"/>
      <c r="B1040" s="71"/>
      <c r="C1040" s="71"/>
      <c r="D1040" s="25"/>
      <c r="E1040" s="25"/>
      <c r="F1040" s="25"/>
      <c r="G1040" s="119"/>
      <c r="H1040" s="139"/>
    </row>
    <row r="1041" ht="22.5" customHeight="1">
      <c r="A1041" s="139"/>
      <c r="B1041" s="71"/>
      <c r="C1041" s="71"/>
      <c r="D1041" s="25"/>
      <c r="E1041" s="25"/>
      <c r="F1041" s="25"/>
      <c r="G1041" s="119"/>
      <c r="H1041" s="139"/>
    </row>
    <row r="1042" ht="22.5" customHeight="1">
      <c r="A1042" s="139"/>
      <c r="B1042" s="71"/>
      <c r="C1042" s="71"/>
      <c r="D1042" s="25"/>
      <c r="E1042" s="25"/>
      <c r="F1042" s="25"/>
      <c r="G1042" s="119"/>
      <c r="H1042" s="139"/>
    </row>
    <row r="1043" ht="22.5" customHeight="1">
      <c r="A1043" s="139"/>
      <c r="B1043" s="71"/>
      <c r="C1043" s="71"/>
      <c r="D1043" s="25"/>
      <c r="E1043" s="25"/>
      <c r="F1043" s="25"/>
      <c r="G1043" s="119"/>
      <c r="H1043" s="139"/>
    </row>
    <row r="1044" ht="22.5" customHeight="1">
      <c r="A1044" s="139"/>
      <c r="B1044" s="71"/>
      <c r="C1044" s="71"/>
      <c r="D1044" s="25"/>
      <c r="E1044" s="25"/>
      <c r="F1044" s="25"/>
      <c r="G1044" s="119"/>
      <c r="H1044" s="139"/>
    </row>
    <row r="1045" ht="22.5" customHeight="1">
      <c r="A1045" s="139"/>
      <c r="B1045" s="71"/>
      <c r="C1045" s="71"/>
      <c r="D1045" s="25"/>
      <c r="E1045" s="25"/>
      <c r="F1045" s="25"/>
      <c r="G1045" s="119"/>
      <c r="H1045" s="139"/>
    </row>
    <row r="1046" ht="22.5" customHeight="1">
      <c r="A1046" s="139"/>
      <c r="B1046" s="71"/>
      <c r="C1046" s="71"/>
      <c r="D1046" s="25"/>
      <c r="E1046" s="25"/>
      <c r="F1046" s="25"/>
      <c r="G1046" s="119"/>
      <c r="H1046" s="139"/>
    </row>
    <row r="1047" ht="22.5" customHeight="1">
      <c r="A1047" s="139"/>
      <c r="B1047" s="71"/>
      <c r="C1047" s="71"/>
      <c r="D1047" s="25"/>
      <c r="E1047" s="25"/>
      <c r="F1047" s="25"/>
      <c r="G1047" s="119"/>
      <c r="H1047" s="139"/>
    </row>
    <row r="1048" ht="22.5" customHeight="1">
      <c r="A1048" s="139"/>
      <c r="B1048" s="71"/>
      <c r="C1048" s="71"/>
      <c r="D1048" s="25"/>
      <c r="E1048" s="25"/>
      <c r="F1048" s="25"/>
      <c r="G1048" s="119"/>
      <c r="H1048" s="139"/>
    </row>
    <row r="1049" ht="22.5" customHeight="1">
      <c r="A1049" s="139"/>
      <c r="B1049" s="71"/>
      <c r="C1049" s="71"/>
      <c r="D1049" s="25"/>
      <c r="E1049" s="25"/>
      <c r="F1049" s="25"/>
      <c r="G1049" s="119"/>
      <c r="H1049" s="139"/>
    </row>
    <row r="1050" ht="22.5" customHeight="1">
      <c r="A1050" s="139"/>
      <c r="B1050" s="71"/>
      <c r="C1050" s="71"/>
      <c r="D1050" s="25"/>
      <c r="E1050" s="25"/>
      <c r="F1050" s="25"/>
      <c r="G1050" s="119"/>
      <c r="H1050" s="139"/>
    </row>
    <row r="1051" ht="22.5" customHeight="1">
      <c r="A1051" s="139"/>
      <c r="B1051" s="71"/>
      <c r="C1051" s="71"/>
      <c r="D1051" s="25"/>
      <c r="E1051" s="25"/>
      <c r="F1051" s="25"/>
      <c r="G1051" s="119"/>
      <c r="H1051" s="139"/>
    </row>
    <row r="1052" ht="22.5" customHeight="1">
      <c r="A1052" s="139"/>
      <c r="B1052" s="71"/>
      <c r="C1052" s="71"/>
      <c r="D1052" s="25"/>
      <c r="E1052" s="25"/>
      <c r="F1052" s="25"/>
      <c r="G1052" s="119"/>
      <c r="H1052" s="139"/>
    </row>
    <row r="1053" ht="22.5" customHeight="1">
      <c r="A1053" s="139"/>
      <c r="B1053" s="71"/>
      <c r="C1053" s="71"/>
      <c r="D1053" s="25"/>
      <c r="E1053" s="25"/>
      <c r="F1053" s="25"/>
      <c r="G1053" s="119"/>
      <c r="H1053" s="139"/>
    </row>
    <row r="1054" ht="22.5" customHeight="1">
      <c r="A1054" s="139"/>
      <c r="B1054" s="71"/>
      <c r="C1054" s="71"/>
      <c r="D1054" s="25"/>
      <c r="E1054" s="25"/>
      <c r="F1054" s="25"/>
      <c r="G1054" s="119"/>
      <c r="H1054" s="139"/>
    </row>
    <row r="1055" ht="22.5" customHeight="1">
      <c r="A1055" s="139"/>
      <c r="B1055" s="71"/>
      <c r="C1055" s="71"/>
      <c r="D1055" s="25"/>
      <c r="E1055" s="25"/>
      <c r="F1055" s="25"/>
      <c r="G1055" s="119"/>
      <c r="H1055" s="139"/>
    </row>
    <row r="1056" ht="22.5" customHeight="1">
      <c r="A1056" s="139"/>
      <c r="B1056" s="71"/>
      <c r="C1056" s="71"/>
      <c r="D1056" s="25"/>
      <c r="E1056" s="25"/>
      <c r="F1056" s="25"/>
      <c r="G1056" s="119"/>
      <c r="H1056" s="139"/>
    </row>
    <row r="1057" ht="22.5" customHeight="1">
      <c r="A1057" s="139"/>
      <c r="B1057" s="71"/>
      <c r="C1057" s="71"/>
      <c r="D1057" s="25"/>
      <c r="E1057" s="25"/>
      <c r="F1057" s="25"/>
      <c r="G1057" s="119"/>
      <c r="H1057" s="139"/>
    </row>
    <row r="1058" ht="22.5" customHeight="1">
      <c r="A1058" s="139"/>
      <c r="B1058" s="71"/>
      <c r="C1058" s="71"/>
      <c r="D1058" s="25"/>
      <c r="E1058" s="25"/>
      <c r="F1058" s="25"/>
      <c r="G1058" s="119"/>
      <c r="H1058" s="139"/>
    </row>
    <row r="1059" ht="22.5" customHeight="1">
      <c r="A1059" s="139"/>
      <c r="B1059" s="71"/>
      <c r="C1059" s="71"/>
      <c r="D1059" s="25"/>
      <c r="E1059" s="25"/>
      <c r="F1059" s="25"/>
      <c r="G1059" s="119"/>
      <c r="H1059" s="139"/>
    </row>
    <row r="1060" ht="22.5" customHeight="1">
      <c r="A1060" s="139"/>
      <c r="B1060" s="71"/>
      <c r="C1060" s="71"/>
      <c r="D1060" s="25"/>
      <c r="E1060" s="25"/>
      <c r="F1060" s="25"/>
      <c r="G1060" s="119"/>
      <c r="H1060" s="139"/>
    </row>
    <row r="1061" ht="22.5" customHeight="1">
      <c r="A1061" s="139"/>
      <c r="B1061" s="71"/>
      <c r="C1061" s="71"/>
      <c r="D1061" s="25"/>
      <c r="E1061" s="25"/>
      <c r="F1061" s="25"/>
      <c r="G1061" s="119"/>
      <c r="H1061" s="139"/>
    </row>
    <row r="1062" ht="22.5" customHeight="1">
      <c r="A1062" s="139"/>
      <c r="B1062" s="71"/>
      <c r="C1062" s="71"/>
      <c r="D1062" s="25"/>
      <c r="E1062" s="25"/>
      <c r="F1062" s="25"/>
      <c r="G1062" s="119"/>
      <c r="H1062" s="139"/>
    </row>
    <row r="1063" ht="22.5" customHeight="1">
      <c r="A1063" s="139"/>
      <c r="B1063" s="71"/>
      <c r="C1063" s="71"/>
      <c r="D1063" s="25"/>
      <c r="E1063" s="25"/>
      <c r="F1063" s="25"/>
      <c r="G1063" s="119"/>
      <c r="H1063" s="139"/>
    </row>
    <row r="1064" ht="22.5" customHeight="1">
      <c r="A1064" s="139"/>
      <c r="B1064" s="71"/>
      <c r="C1064" s="71"/>
      <c r="D1064" s="25"/>
      <c r="E1064" s="25"/>
      <c r="F1064" s="25"/>
      <c r="G1064" s="119"/>
      <c r="H1064" s="139"/>
    </row>
    <row r="1065" ht="22.5" customHeight="1">
      <c r="A1065" s="139"/>
      <c r="B1065" s="71"/>
      <c r="C1065" s="71"/>
      <c r="D1065" s="25"/>
      <c r="E1065" s="25"/>
      <c r="F1065" s="25"/>
      <c r="G1065" s="119"/>
      <c r="H1065" s="139"/>
    </row>
    <row r="1066" ht="22.5" customHeight="1">
      <c r="A1066" s="139"/>
      <c r="B1066" s="71"/>
      <c r="C1066" s="71"/>
      <c r="D1066" s="25"/>
      <c r="E1066" s="25"/>
      <c r="F1066" s="25"/>
      <c r="G1066" s="119"/>
      <c r="H1066" s="139"/>
    </row>
    <row r="1067" ht="22.5" customHeight="1">
      <c r="A1067" s="139"/>
      <c r="B1067" s="71"/>
      <c r="C1067" s="71"/>
      <c r="D1067" s="25"/>
      <c r="E1067" s="25"/>
      <c r="F1067" s="25"/>
      <c r="G1067" s="119"/>
      <c r="H1067" s="139"/>
    </row>
    <row r="1068" ht="22.5" customHeight="1">
      <c r="A1068" s="139"/>
      <c r="B1068" s="71"/>
      <c r="C1068" s="71"/>
      <c r="D1068" s="25"/>
      <c r="E1068" s="25"/>
      <c r="F1068" s="25"/>
      <c r="G1068" s="119"/>
      <c r="H1068" s="139"/>
    </row>
    <row r="1069" ht="22.5" customHeight="1">
      <c r="A1069" s="139"/>
      <c r="B1069" s="71"/>
      <c r="C1069" s="71"/>
      <c r="D1069" s="25"/>
      <c r="E1069" s="25"/>
      <c r="F1069" s="25"/>
      <c r="G1069" s="119"/>
      <c r="H1069" s="139"/>
    </row>
    <row r="1070" ht="22.5" customHeight="1">
      <c r="A1070" s="139"/>
      <c r="B1070" s="71"/>
      <c r="C1070" s="71"/>
      <c r="D1070" s="25"/>
      <c r="E1070" s="25"/>
      <c r="F1070" s="25"/>
      <c r="G1070" s="119"/>
      <c r="H1070" s="139"/>
    </row>
    <row r="1071" ht="22.5" customHeight="1">
      <c r="A1071" s="139"/>
      <c r="B1071" s="71"/>
      <c r="C1071" s="71"/>
      <c r="D1071" s="25"/>
      <c r="E1071" s="25"/>
      <c r="F1071" s="25"/>
      <c r="G1071" s="119"/>
      <c r="H1071" s="139"/>
    </row>
    <row r="1072" ht="22.5" customHeight="1">
      <c r="A1072" s="139"/>
      <c r="B1072" s="71"/>
      <c r="C1072" s="71"/>
      <c r="D1072" s="25"/>
      <c r="E1072" s="25"/>
      <c r="F1072" s="25"/>
      <c r="G1072" s="119"/>
      <c r="H1072" s="139"/>
    </row>
    <row r="1073" ht="22.5" customHeight="1">
      <c r="A1073" s="139"/>
      <c r="B1073" s="71"/>
      <c r="C1073" s="71"/>
      <c r="D1073" s="25"/>
      <c r="E1073" s="25"/>
      <c r="F1073" s="25"/>
      <c r="G1073" s="119"/>
      <c r="H1073" s="139"/>
    </row>
    <row r="1074" ht="22.5" customHeight="1">
      <c r="A1074" s="139"/>
      <c r="B1074" s="71"/>
      <c r="C1074" s="71"/>
      <c r="D1074" s="25"/>
      <c r="E1074" s="25"/>
      <c r="F1074" s="25"/>
      <c r="G1074" s="119"/>
      <c r="H1074" s="139"/>
    </row>
    <row r="1075" ht="22.5" customHeight="1">
      <c r="A1075" s="139"/>
      <c r="B1075" s="71"/>
      <c r="C1075" s="71"/>
      <c r="D1075" s="25"/>
      <c r="E1075" s="25"/>
      <c r="F1075" s="25"/>
      <c r="G1075" s="119"/>
      <c r="H1075" s="139"/>
    </row>
    <row r="1076" ht="22.5" customHeight="1">
      <c r="A1076" s="139"/>
      <c r="B1076" s="71"/>
      <c r="C1076" s="71"/>
      <c r="D1076" s="25"/>
      <c r="E1076" s="25"/>
      <c r="F1076" s="25"/>
      <c r="G1076" s="119"/>
      <c r="H1076" s="139"/>
    </row>
    <row r="1077" ht="22.5" customHeight="1">
      <c r="A1077" s="139"/>
      <c r="B1077" s="71"/>
      <c r="C1077" s="71"/>
      <c r="D1077" s="25"/>
      <c r="E1077" s="25"/>
      <c r="F1077" s="25"/>
      <c r="G1077" s="119"/>
      <c r="H1077" s="139"/>
    </row>
    <row r="1078" ht="22.5" customHeight="1">
      <c r="A1078" s="139"/>
      <c r="B1078" s="71"/>
      <c r="C1078" s="71"/>
      <c r="D1078" s="25"/>
      <c r="E1078" s="25"/>
      <c r="F1078" s="25"/>
      <c r="G1078" s="119"/>
      <c r="H1078" s="139"/>
    </row>
    <row r="1079" ht="22.5" customHeight="1">
      <c r="A1079" s="139"/>
      <c r="B1079" s="71"/>
      <c r="C1079" s="71"/>
      <c r="D1079" s="25"/>
      <c r="E1079" s="25"/>
      <c r="F1079" s="25"/>
      <c r="G1079" s="119"/>
      <c r="H1079" s="139"/>
    </row>
    <row r="1080" ht="22.5" customHeight="1">
      <c r="A1080" s="139"/>
      <c r="B1080" s="71"/>
      <c r="C1080" s="71"/>
      <c r="D1080" s="25"/>
      <c r="E1080" s="25"/>
      <c r="F1080" s="25"/>
      <c r="G1080" s="119"/>
      <c r="H1080" s="139"/>
    </row>
    <row r="1081" ht="22.5" customHeight="1">
      <c r="A1081" s="139"/>
      <c r="B1081" s="71"/>
      <c r="C1081" s="71"/>
      <c r="D1081" s="25"/>
      <c r="E1081" s="25"/>
      <c r="F1081" s="25"/>
      <c r="G1081" s="119"/>
      <c r="H1081" s="139"/>
    </row>
    <row r="1082" ht="22.5" customHeight="1">
      <c r="A1082" s="139"/>
      <c r="B1082" s="71"/>
      <c r="C1082" s="71"/>
      <c r="D1082" s="25"/>
      <c r="E1082" s="25"/>
      <c r="F1082" s="25"/>
      <c r="G1082" s="119"/>
      <c r="H1082" s="139"/>
    </row>
    <row r="1083" ht="22.5" customHeight="1">
      <c r="A1083" s="139"/>
      <c r="B1083" s="71"/>
      <c r="C1083" s="71"/>
      <c r="D1083" s="25"/>
      <c r="E1083" s="25"/>
      <c r="F1083" s="25"/>
      <c r="G1083" s="119"/>
      <c r="H1083" s="139"/>
    </row>
    <row r="1084" ht="22.5" customHeight="1">
      <c r="A1084" s="139"/>
      <c r="B1084" s="71"/>
      <c r="C1084" s="71"/>
      <c r="D1084" s="25"/>
      <c r="E1084" s="25"/>
      <c r="F1084" s="25"/>
      <c r="G1084" s="119"/>
      <c r="H1084" s="139"/>
    </row>
    <row r="1085" ht="22.5" customHeight="1">
      <c r="A1085" s="139"/>
      <c r="B1085" s="71"/>
      <c r="C1085" s="71"/>
      <c r="D1085" s="25"/>
      <c r="E1085" s="25"/>
      <c r="F1085" s="25"/>
      <c r="G1085" s="119"/>
      <c r="H1085" s="139"/>
    </row>
    <row r="1086" ht="22.5" customHeight="1">
      <c r="A1086" s="139"/>
      <c r="B1086" s="71"/>
      <c r="C1086" s="71"/>
      <c r="D1086" s="25"/>
      <c r="E1086" s="25"/>
      <c r="F1086" s="25"/>
      <c r="G1086" s="119"/>
      <c r="H1086" s="139"/>
    </row>
    <row r="1087" ht="22.5" customHeight="1">
      <c r="A1087" s="139"/>
      <c r="B1087" s="71"/>
      <c r="C1087" s="71"/>
      <c r="D1087" s="25"/>
      <c r="E1087" s="25"/>
      <c r="F1087" s="25"/>
      <c r="G1087" s="119"/>
      <c r="H1087" s="139"/>
    </row>
    <row r="1088" ht="22.5" customHeight="1">
      <c r="A1088" s="139"/>
      <c r="B1088" s="71"/>
      <c r="C1088" s="71"/>
      <c r="D1088" s="25"/>
      <c r="E1088" s="25"/>
      <c r="F1088" s="25"/>
      <c r="G1088" s="119"/>
      <c r="H1088" s="139"/>
    </row>
    <row r="1089" ht="22.5" customHeight="1">
      <c r="A1089" s="139"/>
      <c r="B1089" s="71"/>
      <c r="C1089" s="71"/>
      <c r="D1089" s="25"/>
      <c r="E1089" s="25"/>
      <c r="F1089" s="25"/>
      <c r="G1089" s="119"/>
      <c r="H1089" s="139"/>
    </row>
    <row r="1090" ht="22.5" customHeight="1">
      <c r="A1090" s="139"/>
      <c r="B1090" s="71"/>
      <c r="C1090" s="71"/>
      <c r="D1090" s="25"/>
      <c r="E1090" s="25"/>
      <c r="F1090" s="25"/>
      <c r="G1090" s="119"/>
      <c r="H1090" s="139"/>
    </row>
    <row r="1091" ht="22.5" customHeight="1">
      <c r="A1091" s="139"/>
      <c r="B1091" s="71"/>
      <c r="C1091" s="71"/>
      <c r="D1091" s="25"/>
      <c r="E1091" s="25"/>
      <c r="F1091" s="25"/>
      <c r="G1091" s="119"/>
      <c r="H1091" s="139"/>
    </row>
    <row r="1092" ht="22.5" customHeight="1">
      <c r="A1092" s="139"/>
      <c r="B1092" s="71"/>
      <c r="C1092" s="71"/>
      <c r="D1092" s="25"/>
      <c r="E1092" s="25"/>
      <c r="F1092" s="25"/>
      <c r="G1092" s="119"/>
      <c r="H1092" s="139"/>
    </row>
    <row r="1093" ht="22.5" customHeight="1">
      <c r="A1093" s="139"/>
      <c r="B1093" s="71"/>
      <c r="C1093" s="71"/>
      <c r="D1093" s="25"/>
      <c r="E1093" s="25"/>
      <c r="F1093" s="25"/>
      <c r="G1093" s="119"/>
      <c r="H1093" s="139"/>
    </row>
    <row r="1094" ht="22.5" customHeight="1">
      <c r="A1094" s="139"/>
      <c r="B1094" s="71"/>
      <c r="C1094" s="71"/>
      <c r="D1094" s="25"/>
      <c r="E1094" s="25"/>
      <c r="F1094" s="25"/>
      <c r="G1094" s="119"/>
      <c r="H1094" s="139"/>
    </row>
    <row r="1095" ht="22.5" customHeight="1">
      <c r="A1095" s="139"/>
      <c r="B1095" s="71"/>
      <c r="C1095" s="71"/>
      <c r="D1095" s="25"/>
      <c r="E1095" s="25"/>
      <c r="F1095" s="25"/>
      <c r="G1095" s="119"/>
      <c r="H1095" s="139"/>
    </row>
    <row r="1096" ht="22.5" customHeight="1">
      <c r="A1096" s="139"/>
      <c r="B1096" s="71"/>
      <c r="C1096" s="71"/>
      <c r="D1096" s="25"/>
      <c r="E1096" s="25"/>
      <c r="F1096" s="25"/>
      <c r="G1096" s="119"/>
      <c r="H1096" s="139"/>
    </row>
    <row r="1097" ht="22.5" customHeight="1">
      <c r="A1097" s="139"/>
      <c r="B1097" s="71"/>
      <c r="C1097" s="71"/>
      <c r="D1097" s="25"/>
      <c r="E1097" s="25"/>
      <c r="F1097" s="25"/>
      <c r="G1097" s="119"/>
      <c r="H1097" s="139"/>
    </row>
    <row r="1098" ht="22.5" customHeight="1">
      <c r="A1098" s="139"/>
      <c r="B1098" s="71"/>
      <c r="C1098" s="71"/>
      <c r="D1098" s="25"/>
      <c r="E1098" s="25"/>
      <c r="F1098" s="25"/>
      <c r="G1098" s="119"/>
      <c r="H1098" s="139"/>
    </row>
    <row r="1099" ht="22.5" customHeight="1">
      <c r="A1099" s="139"/>
      <c r="B1099" s="71"/>
      <c r="C1099" s="71"/>
      <c r="D1099" s="25"/>
      <c r="E1099" s="25"/>
      <c r="F1099" s="25"/>
      <c r="G1099" s="119"/>
      <c r="H1099" s="139"/>
    </row>
    <row r="1100" ht="22.5" customHeight="1">
      <c r="A1100" s="139"/>
      <c r="B1100" s="71"/>
      <c r="C1100" s="71"/>
      <c r="D1100" s="25"/>
      <c r="E1100" s="25"/>
      <c r="F1100" s="25"/>
      <c r="G1100" s="119"/>
      <c r="H1100" s="139"/>
    </row>
    <row r="1101" ht="22.5" customHeight="1">
      <c r="A1101" s="139"/>
      <c r="B1101" s="71"/>
      <c r="C1101" s="71"/>
      <c r="D1101" s="25"/>
      <c r="E1101" s="25"/>
      <c r="F1101" s="25"/>
      <c r="G1101" s="119"/>
      <c r="H1101" s="139"/>
    </row>
    <row r="1102" ht="22.5" customHeight="1">
      <c r="A1102" s="139"/>
      <c r="B1102" s="71"/>
      <c r="C1102" s="71"/>
      <c r="D1102" s="25"/>
      <c r="E1102" s="25"/>
      <c r="F1102" s="25"/>
      <c r="G1102" s="119"/>
      <c r="H1102" s="139"/>
    </row>
    <row r="1103" ht="22.5" customHeight="1">
      <c r="A1103" s="139"/>
      <c r="B1103" s="71"/>
      <c r="C1103" s="71"/>
      <c r="D1103" s="25"/>
      <c r="E1103" s="25"/>
      <c r="F1103" s="25"/>
      <c r="G1103" s="119"/>
      <c r="H1103" s="139"/>
    </row>
    <row r="1104" ht="22.5" customHeight="1">
      <c r="A1104" s="139"/>
      <c r="B1104" s="71"/>
      <c r="C1104" s="71"/>
      <c r="D1104" s="25"/>
      <c r="E1104" s="25"/>
      <c r="F1104" s="25"/>
      <c r="G1104" s="119"/>
      <c r="H1104" s="139"/>
    </row>
    <row r="1105" ht="22.5" customHeight="1">
      <c r="A1105" s="139"/>
      <c r="B1105" s="71"/>
      <c r="C1105" s="71"/>
      <c r="D1105" s="25"/>
      <c r="E1105" s="25"/>
      <c r="F1105" s="25"/>
      <c r="G1105" s="119"/>
      <c r="H1105" s="139"/>
    </row>
    <row r="1106" ht="22.5" customHeight="1">
      <c r="A1106" s="139"/>
      <c r="B1106" s="71"/>
      <c r="C1106" s="71"/>
      <c r="D1106" s="25"/>
      <c r="E1106" s="25"/>
      <c r="F1106" s="25"/>
      <c r="G1106" s="119"/>
      <c r="H1106" s="139"/>
    </row>
    <row r="1107" ht="22.5" customHeight="1">
      <c r="A1107" s="139"/>
      <c r="B1107" s="71"/>
      <c r="C1107" s="71"/>
      <c r="D1107" s="25"/>
      <c r="E1107" s="25"/>
      <c r="F1107" s="25"/>
      <c r="G1107" s="119"/>
      <c r="H1107" s="139"/>
    </row>
    <row r="1108" ht="22.5" customHeight="1">
      <c r="A1108" s="139"/>
      <c r="B1108" s="71"/>
      <c r="C1108" s="71"/>
      <c r="D1108" s="25"/>
      <c r="E1108" s="25"/>
      <c r="F1108" s="25"/>
      <c r="G1108" s="119"/>
      <c r="H1108" s="139"/>
    </row>
    <row r="1109" ht="22.5" customHeight="1">
      <c r="A1109" s="139"/>
      <c r="B1109" s="71"/>
      <c r="C1109" s="71"/>
      <c r="D1109" s="25"/>
      <c r="E1109" s="25"/>
      <c r="F1109" s="25"/>
      <c r="G1109" s="119"/>
      <c r="H1109" s="139"/>
    </row>
    <row r="1110" ht="22.5" customHeight="1">
      <c r="A1110" s="139"/>
      <c r="B1110" s="71"/>
      <c r="C1110" s="71"/>
      <c r="D1110" s="25"/>
      <c r="E1110" s="25"/>
      <c r="F1110" s="25"/>
      <c r="G1110" s="119"/>
      <c r="H1110" s="139"/>
    </row>
    <row r="1111" ht="22.5" customHeight="1">
      <c r="A1111" s="139"/>
      <c r="B1111" s="71"/>
      <c r="C1111" s="71"/>
      <c r="D1111" s="25"/>
      <c r="E1111" s="25"/>
      <c r="F1111" s="25"/>
      <c r="G1111" s="119"/>
      <c r="H1111" s="139"/>
    </row>
    <row r="1112" ht="22.5" customHeight="1">
      <c r="A1112" s="139"/>
      <c r="B1112" s="71"/>
      <c r="C1112" s="71"/>
      <c r="D1112" s="25"/>
      <c r="E1112" s="25"/>
      <c r="F1112" s="25"/>
      <c r="G1112" s="119"/>
      <c r="H1112" s="139"/>
    </row>
    <row r="1113" ht="22.5" customHeight="1">
      <c r="A1113" s="139"/>
      <c r="B1113" s="71"/>
      <c r="C1113" s="71"/>
      <c r="D1113" s="25"/>
      <c r="E1113" s="25"/>
      <c r="F1113" s="25"/>
      <c r="G1113" s="119"/>
      <c r="H1113" s="139"/>
    </row>
    <row r="1114" ht="22.5" customHeight="1">
      <c r="A1114" s="139"/>
      <c r="B1114" s="71"/>
      <c r="C1114" s="71"/>
      <c r="D1114" s="25"/>
      <c r="E1114" s="25"/>
      <c r="F1114" s="25"/>
      <c r="G1114" s="119"/>
      <c r="H1114" s="139"/>
    </row>
    <row r="1115" ht="22.5" customHeight="1">
      <c r="A1115" s="139"/>
      <c r="B1115" s="71"/>
      <c r="C1115" s="71"/>
      <c r="D1115" s="25"/>
      <c r="E1115" s="25"/>
      <c r="F1115" s="25"/>
      <c r="G1115" s="119"/>
      <c r="H1115" s="139"/>
    </row>
    <row r="1116" ht="22.5" customHeight="1">
      <c r="A1116" s="139"/>
      <c r="B1116" s="71"/>
      <c r="C1116" s="71"/>
      <c r="D1116" s="25"/>
      <c r="E1116" s="25"/>
      <c r="F1116" s="25"/>
      <c r="G1116" s="119"/>
      <c r="H1116" s="139"/>
    </row>
    <row r="1117" ht="22.5" customHeight="1">
      <c r="A1117" s="139"/>
      <c r="B1117" s="71"/>
      <c r="C1117" s="71"/>
      <c r="D1117" s="25"/>
      <c r="E1117" s="25"/>
      <c r="F1117" s="25"/>
      <c r="G1117" s="119"/>
      <c r="H1117" s="139"/>
    </row>
    <row r="1118" ht="22.5" customHeight="1">
      <c r="A1118" s="139"/>
      <c r="B1118" s="71"/>
      <c r="C1118" s="71"/>
      <c r="D1118" s="25"/>
      <c r="E1118" s="25"/>
      <c r="F1118" s="25"/>
      <c r="G1118" s="119"/>
      <c r="H1118" s="139"/>
    </row>
    <row r="1119" ht="22.5" customHeight="1">
      <c r="A1119" s="139"/>
      <c r="B1119" s="71"/>
      <c r="C1119" s="71"/>
      <c r="D1119" s="25"/>
      <c r="E1119" s="25"/>
      <c r="F1119" s="25"/>
      <c r="G1119" s="119"/>
      <c r="H1119" s="139"/>
    </row>
    <row r="1120" ht="22.5" customHeight="1">
      <c r="A1120" s="139"/>
      <c r="B1120" s="71"/>
      <c r="C1120" s="71"/>
      <c r="D1120" s="25"/>
      <c r="E1120" s="25"/>
      <c r="F1120" s="25"/>
      <c r="G1120" s="119"/>
      <c r="H1120" s="139"/>
    </row>
    <row r="1121" ht="22.5" customHeight="1">
      <c r="A1121" s="139"/>
      <c r="B1121" s="71"/>
      <c r="C1121" s="71"/>
      <c r="D1121" s="25"/>
      <c r="E1121" s="25"/>
      <c r="F1121" s="25"/>
      <c r="G1121" s="119"/>
      <c r="H1121" s="139"/>
    </row>
    <row r="1122" ht="22.5" customHeight="1">
      <c r="A1122" s="139"/>
      <c r="B1122" s="71"/>
      <c r="C1122" s="71"/>
      <c r="D1122" s="25"/>
      <c r="E1122" s="25"/>
      <c r="F1122" s="25"/>
      <c r="G1122" s="119"/>
      <c r="H1122" s="139"/>
    </row>
    <row r="1123" ht="22.5" customHeight="1">
      <c r="A1123" s="139"/>
      <c r="B1123" s="71"/>
      <c r="C1123" s="71"/>
      <c r="D1123" s="25"/>
      <c r="E1123" s="25"/>
      <c r="F1123" s="25"/>
      <c r="G1123" s="119"/>
      <c r="H1123" s="139"/>
    </row>
    <row r="1124" ht="22.5" customHeight="1">
      <c r="A1124" s="139"/>
      <c r="B1124" s="71"/>
      <c r="C1124" s="71"/>
      <c r="D1124" s="25"/>
      <c r="E1124" s="25"/>
      <c r="F1124" s="25"/>
      <c r="G1124" s="119"/>
      <c r="H1124" s="139"/>
    </row>
    <row r="1125" ht="22.5" customHeight="1">
      <c r="A1125" s="139"/>
      <c r="B1125" s="71"/>
      <c r="C1125" s="71"/>
      <c r="D1125" s="25"/>
      <c r="E1125" s="25"/>
      <c r="F1125" s="25"/>
      <c r="G1125" s="119"/>
      <c r="H1125" s="139"/>
    </row>
    <row r="1126" ht="22.5" customHeight="1">
      <c r="A1126" s="139"/>
      <c r="B1126" s="71"/>
      <c r="C1126" s="71"/>
      <c r="D1126" s="25"/>
      <c r="E1126" s="25"/>
      <c r="F1126" s="25"/>
      <c r="G1126" s="119"/>
      <c r="H1126" s="139"/>
    </row>
    <row r="1127" ht="22.5" customHeight="1">
      <c r="A1127" s="139"/>
      <c r="B1127" s="71"/>
      <c r="C1127" s="71"/>
      <c r="D1127" s="25"/>
      <c r="E1127" s="25"/>
      <c r="F1127" s="25"/>
      <c r="G1127" s="119"/>
      <c r="H1127" s="139"/>
    </row>
    <row r="1128" ht="22.5" customHeight="1">
      <c r="A1128" s="139"/>
      <c r="B1128" s="71"/>
      <c r="C1128" s="71"/>
      <c r="D1128" s="25"/>
      <c r="E1128" s="25"/>
      <c r="F1128" s="25"/>
      <c r="G1128" s="119"/>
      <c r="H1128" s="139"/>
    </row>
  </sheetData>
  <dataValidations>
    <dataValidation type="custom" allowBlank="1" showDropDown="1" sqref="A2:A1128">
      <formula1>OR(NOT(ISERROR(DATEVALUE(A2))), AND(ISNUMBER(A2), LEFT(CELL("format", A2))="D"))</formula1>
    </dataValidation>
    <dataValidation allowBlank="1" showDropDown="1" sqref="G2:G1128"/>
  </dataValidations>
  <hyperlinks>
    <hyperlink r:id="rId1" ref="F3"/>
    <hyperlink r:id="rId2" ref="F11"/>
  </hyperlinks>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2.13"/>
    <col customWidth="1" min="3" max="3" width="11.0"/>
    <col customWidth="1" min="4" max="4" width="28.0"/>
    <col customWidth="1" min="5" max="5" width="11.0"/>
    <col customWidth="1" min="6" max="6" width="49.38"/>
    <col customWidth="1" min="7" max="7" width="32.63"/>
  </cols>
  <sheetData>
    <row r="1" ht="99.75" customHeight="1">
      <c r="A1" s="3" t="s">
        <v>2</v>
      </c>
      <c r="B1" s="27" t="s">
        <v>526</v>
      </c>
      <c r="C1" s="27" t="s">
        <v>584</v>
      </c>
      <c r="D1" s="3" t="s">
        <v>32</v>
      </c>
      <c r="E1" s="27" t="s">
        <v>33</v>
      </c>
      <c r="F1" s="27" t="s">
        <v>34</v>
      </c>
      <c r="G1" s="3" t="s">
        <v>8</v>
      </c>
      <c r="I1" s="140" t="s">
        <v>585</v>
      </c>
    </row>
    <row r="2" ht="22.5" customHeight="1">
      <c r="A2" s="141">
        <v>45856.0</v>
      </c>
      <c r="B2" s="142"/>
      <c r="C2" s="68"/>
      <c r="D2" s="68"/>
      <c r="E2" s="68"/>
      <c r="F2" s="29"/>
      <c r="G2" s="31"/>
    </row>
    <row r="3" ht="35.25" customHeight="1">
      <c r="A3" s="141">
        <v>45859.0</v>
      </c>
      <c r="B3" s="142">
        <v>8.0</v>
      </c>
      <c r="C3" s="68"/>
      <c r="D3" s="68" t="s">
        <v>586</v>
      </c>
      <c r="E3" s="29" t="s">
        <v>587</v>
      </c>
      <c r="F3" s="30" t="s">
        <v>588</v>
      </c>
      <c r="G3" s="31"/>
    </row>
    <row r="4" ht="35.25" customHeight="1">
      <c r="A4" s="141">
        <v>45860.0</v>
      </c>
      <c r="B4" s="142">
        <v>8.0</v>
      </c>
      <c r="C4" s="68"/>
      <c r="D4" s="68" t="s">
        <v>586</v>
      </c>
      <c r="E4" s="29" t="s">
        <v>587</v>
      </c>
      <c r="F4" s="30" t="s">
        <v>588</v>
      </c>
      <c r="G4" s="31"/>
    </row>
    <row r="5" ht="35.25" customHeight="1">
      <c r="A5" s="141">
        <v>45861.0</v>
      </c>
      <c r="B5" s="142">
        <v>8.0</v>
      </c>
      <c r="C5" s="68"/>
      <c r="D5" s="68" t="s">
        <v>586</v>
      </c>
      <c r="E5" s="29" t="s">
        <v>587</v>
      </c>
      <c r="F5" s="35" t="s">
        <v>589</v>
      </c>
      <c r="G5" s="31"/>
    </row>
    <row r="6" ht="35.25" customHeight="1">
      <c r="A6" s="141">
        <v>45862.0</v>
      </c>
      <c r="B6" s="142">
        <v>8.0</v>
      </c>
      <c r="C6" s="68"/>
      <c r="D6" s="68" t="s">
        <v>586</v>
      </c>
      <c r="E6" s="29" t="s">
        <v>587</v>
      </c>
      <c r="F6" s="35" t="s">
        <v>590</v>
      </c>
      <c r="G6" s="36"/>
    </row>
    <row r="7" ht="35.25" customHeight="1">
      <c r="A7" s="141">
        <v>45863.0</v>
      </c>
      <c r="B7" s="142">
        <v>8.0</v>
      </c>
      <c r="C7" s="68"/>
      <c r="D7" s="68" t="s">
        <v>586</v>
      </c>
      <c r="E7" s="29" t="s">
        <v>587</v>
      </c>
      <c r="F7" s="35" t="s">
        <v>591</v>
      </c>
      <c r="G7" s="36"/>
    </row>
    <row r="8" ht="35.25" customHeight="1">
      <c r="A8" s="141">
        <v>45866.0</v>
      </c>
      <c r="B8" s="142">
        <v>8.0</v>
      </c>
      <c r="C8" s="68"/>
      <c r="D8" s="68" t="s">
        <v>586</v>
      </c>
      <c r="E8" s="29" t="s">
        <v>85</v>
      </c>
      <c r="F8" s="35" t="s">
        <v>592</v>
      </c>
      <c r="G8" s="37" t="s">
        <v>593</v>
      </c>
    </row>
    <row r="9" ht="46.5" customHeight="1">
      <c r="A9" s="141">
        <v>45867.0</v>
      </c>
      <c r="B9" s="142">
        <v>8.0</v>
      </c>
      <c r="C9" s="68"/>
      <c r="D9" s="68" t="s">
        <v>594</v>
      </c>
      <c r="E9" s="29" t="s">
        <v>587</v>
      </c>
      <c r="F9" s="30" t="s">
        <v>595</v>
      </c>
      <c r="G9" s="36"/>
    </row>
    <row r="10" ht="46.5" customHeight="1">
      <c r="A10" s="141">
        <v>45868.0</v>
      </c>
      <c r="B10" s="142">
        <v>8.0</v>
      </c>
      <c r="C10" s="68"/>
      <c r="D10" s="68" t="s">
        <v>594</v>
      </c>
      <c r="E10" s="29" t="s">
        <v>587</v>
      </c>
      <c r="F10" s="35" t="s">
        <v>596</v>
      </c>
      <c r="G10" s="36"/>
    </row>
    <row r="11" ht="46.5" customHeight="1">
      <c r="A11" s="141">
        <v>45869.0</v>
      </c>
      <c r="B11" s="142">
        <v>8.0</v>
      </c>
      <c r="C11" s="72"/>
      <c r="D11" s="68" t="s">
        <v>594</v>
      </c>
      <c r="E11" s="29" t="s">
        <v>587</v>
      </c>
      <c r="F11" s="35" t="s">
        <v>597</v>
      </c>
      <c r="G11" s="31"/>
    </row>
    <row r="12" ht="46.5" customHeight="1">
      <c r="A12" s="141">
        <v>45870.0</v>
      </c>
      <c r="B12" s="142">
        <v>8.0</v>
      </c>
      <c r="C12" s="72"/>
      <c r="D12" s="68" t="s">
        <v>594</v>
      </c>
      <c r="E12" s="29" t="s">
        <v>587</v>
      </c>
      <c r="F12" s="35" t="s">
        <v>598</v>
      </c>
      <c r="G12" s="31"/>
    </row>
    <row r="13" ht="46.5" customHeight="1">
      <c r="A13" s="141">
        <v>45873.0</v>
      </c>
      <c r="B13" s="142">
        <v>8.0</v>
      </c>
      <c r="C13" s="72"/>
      <c r="D13" s="68" t="s">
        <v>594</v>
      </c>
      <c r="E13" s="29" t="s">
        <v>587</v>
      </c>
      <c r="F13" s="35" t="s">
        <v>599</v>
      </c>
      <c r="G13" s="31"/>
    </row>
    <row r="14" ht="46.5" customHeight="1">
      <c r="A14" s="141">
        <v>45874.0</v>
      </c>
      <c r="B14" s="142">
        <v>8.0</v>
      </c>
      <c r="C14" s="72"/>
      <c r="D14" s="68" t="s">
        <v>594</v>
      </c>
      <c r="E14" s="29" t="s">
        <v>587</v>
      </c>
      <c r="F14" s="35" t="s">
        <v>600</v>
      </c>
      <c r="G14" s="31"/>
    </row>
    <row r="15" ht="46.5" customHeight="1">
      <c r="A15" s="141">
        <v>45875.0</v>
      </c>
      <c r="B15" s="142">
        <v>8.0</v>
      </c>
      <c r="C15" s="72"/>
      <c r="D15" s="68" t="s">
        <v>594</v>
      </c>
      <c r="E15" s="29" t="s">
        <v>587</v>
      </c>
      <c r="F15" s="35" t="s">
        <v>601</v>
      </c>
      <c r="G15" s="31"/>
    </row>
    <row r="16" ht="46.5" customHeight="1">
      <c r="A16" s="141">
        <v>45876.0</v>
      </c>
      <c r="B16" s="142">
        <v>8.0</v>
      </c>
      <c r="C16" s="47"/>
      <c r="D16" s="68" t="s">
        <v>594</v>
      </c>
      <c r="E16" s="29" t="s">
        <v>587</v>
      </c>
      <c r="F16" s="35" t="s">
        <v>602</v>
      </c>
      <c r="G16" s="36"/>
    </row>
    <row r="17" ht="46.5" customHeight="1">
      <c r="A17" s="141">
        <v>45877.0</v>
      </c>
      <c r="B17" s="142">
        <v>8.0</v>
      </c>
      <c r="C17" s="47"/>
      <c r="D17" s="68" t="s">
        <v>594</v>
      </c>
      <c r="E17" s="29" t="s">
        <v>587</v>
      </c>
      <c r="F17" s="35" t="s">
        <v>603</v>
      </c>
      <c r="G17" s="36"/>
    </row>
    <row r="18" ht="46.5" customHeight="1">
      <c r="A18" s="141">
        <v>45880.0</v>
      </c>
      <c r="B18" s="142">
        <v>8.0</v>
      </c>
      <c r="C18" s="49"/>
      <c r="D18" s="68" t="s">
        <v>594</v>
      </c>
      <c r="E18" s="29" t="s">
        <v>587</v>
      </c>
      <c r="F18" s="35" t="s">
        <v>604</v>
      </c>
      <c r="G18" s="36"/>
    </row>
    <row r="19" ht="46.5" customHeight="1">
      <c r="A19" s="141">
        <v>45881.0</v>
      </c>
      <c r="B19" s="142">
        <v>8.0</v>
      </c>
      <c r="C19" s="49"/>
      <c r="D19" s="68" t="s">
        <v>594</v>
      </c>
      <c r="E19" s="29" t="s">
        <v>587</v>
      </c>
      <c r="F19" s="35" t="s">
        <v>605</v>
      </c>
      <c r="G19" s="36"/>
    </row>
    <row r="20" ht="46.5" customHeight="1">
      <c r="A20" s="141">
        <v>45882.0</v>
      </c>
      <c r="B20" s="142">
        <v>8.0</v>
      </c>
      <c r="C20" s="49"/>
      <c r="D20" s="68" t="s">
        <v>594</v>
      </c>
      <c r="E20" s="29" t="s">
        <v>587</v>
      </c>
      <c r="F20" s="35" t="s">
        <v>606</v>
      </c>
      <c r="G20" s="36"/>
    </row>
    <row r="21" ht="46.5" customHeight="1">
      <c r="A21" s="141">
        <v>45883.0</v>
      </c>
      <c r="B21" s="142">
        <v>8.0</v>
      </c>
      <c r="C21" s="49"/>
      <c r="D21" s="68" t="s">
        <v>594</v>
      </c>
      <c r="E21" s="29" t="s">
        <v>587</v>
      </c>
      <c r="F21" s="35" t="s">
        <v>607</v>
      </c>
      <c r="G21" s="36"/>
    </row>
    <row r="22" ht="46.5" customHeight="1">
      <c r="A22" s="141">
        <v>45884.0</v>
      </c>
      <c r="B22" s="142">
        <v>8.0</v>
      </c>
      <c r="C22" s="49"/>
      <c r="D22" s="68" t="s">
        <v>594</v>
      </c>
      <c r="E22" s="29" t="s">
        <v>587</v>
      </c>
      <c r="F22" s="35" t="s">
        <v>608</v>
      </c>
      <c r="G22" s="36"/>
    </row>
    <row r="23" ht="46.5" customHeight="1">
      <c r="A23" s="141">
        <v>45887.0</v>
      </c>
      <c r="B23" s="142">
        <v>8.0</v>
      </c>
      <c r="C23" s="49"/>
      <c r="D23" s="68" t="s">
        <v>594</v>
      </c>
      <c r="E23" s="29" t="s">
        <v>587</v>
      </c>
      <c r="F23" s="35" t="s">
        <v>609</v>
      </c>
      <c r="G23" s="53"/>
    </row>
    <row r="24" ht="46.5" customHeight="1">
      <c r="A24" s="141">
        <v>45888.0</v>
      </c>
      <c r="B24" s="142">
        <v>8.0</v>
      </c>
      <c r="C24" s="49"/>
      <c r="D24" s="68" t="s">
        <v>594</v>
      </c>
      <c r="E24" s="29" t="s">
        <v>587</v>
      </c>
      <c r="F24" s="35" t="s">
        <v>610</v>
      </c>
      <c r="G24" s="53"/>
    </row>
    <row r="25" ht="46.5" customHeight="1">
      <c r="A25" s="141">
        <v>45889.0</v>
      </c>
      <c r="B25" s="142">
        <v>8.0</v>
      </c>
      <c r="C25" s="49"/>
      <c r="D25" s="68" t="s">
        <v>594</v>
      </c>
      <c r="E25" s="29" t="s">
        <v>587</v>
      </c>
      <c r="F25" s="35" t="s">
        <v>611</v>
      </c>
      <c r="G25" s="53"/>
    </row>
    <row r="26" ht="46.5" customHeight="1">
      <c r="A26" s="141">
        <v>45890.0</v>
      </c>
      <c r="B26" s="142">
        <v>8.0</v>
      </c>
      <c r="C26" s="49"/>
      <c r="D26" s="68" t="s">
        <v>594</v>
      </c>
      <c r="E26" s="29" t="s">
        <v>587</v>
      </c>
      <c r="F26" s="35" t="s">
        <v>612</v>
      </c>
      <c r="G26" s="53"/>
    </row>
    <row r="27" ht="46.5" customHeight="1">
      <c r="A27" s="141">
        <v>45891.0</v>
      </c>
      <c r="B27" s="142">
        <v>8.0</v>
      </c>
      <c r="C27" s="49"/>
      <c r="D27" s="68" t="s">
        <v>594</v>
      </c>
      <c r="E27" s="29" t="s">
        <v>587</v>
      </c>
      <c r="F27" s="35" t="s">
        <v>613</v>
      </c>
      <c r="G27" s="53"/>
    </row>
    <row r="28" ht="46.5" customHeight="1">
      <c r="A28" s="141">
        <v>45894.0</v>
      </c>
      <c r="B28" s="142">
        <v>8.0</v>
      </c>
      <c r="C28" s="49"/>
      <c r="D28" s="68" t="s">
        <v>594</v>
      </c>
      <c r="E28" s="29" t="s">
        <v>587</v>
      </c>
      <c r="F28" s="35" t="s">
        <v>614</v>
      </c>
      <c r="G28" s="53"/>
    </row>
    <row r="29" ht="46.5" customHeight="1">
      <c r="A29" s="141">
        <v>45895.0</v>
      </c>
      <c r="B29" s="142">
        <v>8.0</v>
      </c>
      <c r="C29" s="49"/>
      <c r="D29" s="68" t="s">
        <v>594</v>
      </c>
      <c r="E29" s="29" t="s">
        <v>587</v>
      </c>
      <c r="F29" s="35" t="s">
        <v>615</v>
      </c>
      <c r="G29" s="53"/>
    </row>
    <row r="30" ht="46.5" customHeight="1">
      <c r="A30" s="141">
        <v>45896.0</v>
      </c>
      <c r="B30" s="142">
        <v>8.0</v>
      </c>
      <c r="C30" s="49"/>
      <c r="D30" s="68" t="s">
        <v>594</v>
      </c>
      <c r="E30" s="29" t="s">
        <v>587</v>
      </c>
      <c r="F30" s="35" t="s">
        <v>616</v>
      </c>
      <c r="G30" s="53"/>
    </row>
    <row r="31" ht="46.5" customHeight="1">
      <c r="A31" s="141">
        <v>45897.0</v>
      </c>
      <c r="B31" s="142">
        <v>8.0</v>
      </c>
      <c r="C31" s="49"/>
      <c r="D31" s="68" t="s">
        <v>594</v>
      </c>
      <c r="E31" s="29" t="s">
        <v>587</v>
      </c>
      <c r="F31" s="35" t="s">
        <v>617</v>
      </c>
      <c r="G31" s="53"/>
    </row>
    <row r="32" ht="46.5" customHeight="1">
      <c r="A32" s="141">
        <v>45898.0</v>
      </c>
      <c r="B32" s="142">
        <v>8.0</v>
      </c>
      <c r="C32" s="49"/>
      <c r="D32" s="68" t="s">
        <v>594</v>
      </c>
      <c r="E32" s="29" t="s">
        <v>618</v>
      </c>
      <c r="F32" s="35" t="s">
        <v>619</v>
      </c>
      <c r="G32" s="53"/>
    </row>
    <row r="33" ht="46.5" customHeight="1">
      <c r="A33" s="141">
        <v>45901.0</v>
      </c>
      <c r="B33" s="142">
        <v>8.0</v>
      </c>
      <c r="C33" s="49"/>
      <c r="D33" s="68" t="s">
        <v>620</v>
      </c>
      <c r="E33" s="29" t="s">
        <v>587</v>
      </c>
      <c r="F33" s="143" t="s">
        <v>621</v>
      </c>
      <c r="G33" s="53"/>
    </row>
    <row r="34" ht="46.5" customHeight="1">
      <c r="A34" s="141">
        <v>45902.0</v>
      </c>
      <c r="B34" s="142">
        <v>8.0</v>
      </c>
      <c r="C34" s="51"/>
      <c r="D34" s="68" t="s">
        <v>620</v>
      </c>
      <c r="E34" s="29" t="s">
        <v>587</v>
      </c>
      <c r="F34" s="55" t="s">
        <v>622</v>
      </c>
      <c r="G34" s="53"/>
    </row>
    <row r="35" ht="46.5" customHeight="1">
      <c r="A35" s="141">
        <v>45903.0</v>
      </c>
      <c r="B35" s="142">
        <v>8.0</v>
      </c>
      <c r="C35" s="51"/>
      <c r="D35" s="68" t="s">
        <v>620</v>
      </c>
      <c r="E35" s="29" t="s">
        <v>587</v>
      </c>
      <c r="F35" s="55" t="s">
        <v>623</v>
      </c>
      <c r="G35" s="53"/>
    </row>
    <row r="36" ht="46.5" customHeight="1">
      <c r="A36" s="141">
        <v>45904.0</v>
      </c>
      <c r="B36" s="142">
        <v>8.0</v>
      </c>
      <c r="C36" s="51"/>
      <c r="D36" s="68" t="s">
        <v>620</v>
      </c>
      <c r="E36" s="29" t="s">
        <v>587</v>
      </c>
      <c r="F36" s="55" t="s">
        <v>624</v>
      </c>
      <c r="G36" s="53"/>
    </row>
    <row r="37" ht="46.5" customHeight="1">
      <c r="A37" s="141">
        <v>45905.0</v>
      </c>
      <c r="B37" s="142">
        <v>8.0</v>
      </c>
      <c r="C37" s="51"/>
      <c r="D37" s="55" t="s">
        <v>19</v>
      </c>
      <c r="E37" s="55" t="s">
        <v>19</v>
      </c>
      <c r="F37" s="55" t="s">
        <v>19</v>
      </c>
      <c r="G37" s="53"/>
    </row>
    <row r="38" ht="26.25" customHeight="1">
      <c r="A38" s="141">
        <v>45908.0</v>
      </c>
      <c r="B38" s="142">
        <v>8.0</v>
      </c>
      <c r="C38" s="51"/>
      <c r="D38" s="68" t="s">
        <v>620</v>
      </c>
      <c r="E38" s="55" t="s">
        <v>39</v>
      </c>
      <c r="F38" s="55" t="s">
        <v>624</v>
      </c>
      <c r="G38" s="53"/>
    </row>
    <row r="39" ht="26.25" customHeight="1">
      <c r="A39" s="141">
        <v>45909.0</v>
      </c>
      <c r="B39" s="142">
        <v>8.0</v>
      </c>
      <c r="C39" s="51"/>
      <c r="D39" s="68" t="s">
        <v>620</v>
      </c>
      <c r="E39" s="55" t="s">
        <v>39</v>
      </c>
      <c r="F39" s="55" t="s">
        <v>624</v>
      </c>
      <c r="G39" s="53"/>
    </row>
    <row r="40" ht="26.25" customHeight="1">
      <c r="A40" s="141">
        <v>45910.0</v>
      </c>
      <c r="B40" s="142">
        <v>8.0</v>
      </c>
      <c r="C40" s="51"/>
      <c r="D40" s="68" t="s">
        <v>620</v>
      </c>
      <c r="E40" s="55" t="s">
        <v>39</v>
      </c>
      <c r="F40" s="55" t="s">
        <v>624</v>
      </c>
      <c r="G40" s="53"/>
    </row>
    <row r="41" ht="26.25" customHeight="1">
      <c r="A41" s="141">
        <v>45911.0</v>
      </c>
      <c r="B41" s="142">
        <v>8.0</v>
      </c>
      <c r="C41" s="51"/>
      <c r="D41" s="68" t="s">
        <v>620</v>
      </c>
      <c r="E41" s="55" t="s">
        <v>39</v>
      </c>
      <c r="F41" s="55" t="s">
        <v>624</v>
      </c>
      <c r="G41" s="53"/>
    </row>
    <row r="42" ht="26.25" customHeight="1">
      <c r="A42" s="141">
        <v>45912.0</v>
      </c>
      <c r="B42" s="142">
        <v>8.0</v>
      </c>
      <c r="C42" s="51"/>
      <c r="D42" s="55" t="s">
        <v>625</v>
      </c>
      <c r="E42" s="55" t="s">
        <v>39</v>
      </c>
      <c r="F42" s="143" t="s">
        <v>626</v>
      </c>
      <c r="G42" s="53"/>
    </row>
    <row r="43" ht="26.25" customHeight="1">
      <c r="A43" s="141">
        <v>45915.0</v>
      </c>
      <c r="B43" s="142">
        <v>8.0</v>
      </c>
      <c r="C43" s="51"/>
      <c r="D43" s="55" t="s">
        <v>625</v>
      </c>
      <c r="E43" s="55" t="s">
        <v>39</v>
      </c>
      <c r="F43" s="143" t="s">
        <v>626</v>
      </c>
      <c r="G43" s="53"/>
    </row>
    <row r="44" ht="26.25" customHeight="1">
      <c r="A44" s="141">
        <v>45916.0</v>
      </c>
      <c r="B44" s="142">
        <v>8.0</v>
      </c>
      <c r="C44" s="51"/>
      <c r="D44" s="55" t="s">
        <v>625</v>
      </c>
      <c r="E44" s="55" t="s">
        <v>39</v>
      </c>
      <c r="F44" s="143" t="s">
        <v>626</v>
      </c>
      <c r="G44" s="53"/>
    </row>
    <row r="45" ht="26.25" customHeight="1">
      <c r="A45" s="141">
        <v>45917.0</v>
      </c>
      <c r="B45" s="142">
        <v>8.0</v>
      </c>
      <c r="C45" s="51"/>
      <c r="D45" s="55" t="s">
        <v>625</v>
      </c>
      <c r="E45" s="55" t="s">
        <v>39</v>
      </c>
      <c r="F45" s="143" t="s">
        <v>626</v>
      </c>
      <c r="G45" s="53"/>
    </row>
    <row r="46" ht="26.25" customHeight="1">
      <c r="A46" s="141">
        <v>45918.0</v>
      </c>
      <c r="B46" s="142">
        <v>8.0</v>
      </c>
      <c r="C46" s="51"/>
      <c r="D46" s="68" t="s">
        <v>620</v>
      </c>
      <c r="E46" s="55" t="s">
        <v>39</v>
      </c>
      <c r="F46" s="55" t="s">
        <v>624</v>
      </c>
      <c r="G46" s="53"/>
    </row>
    <row r="47" ht="26.25" customHeight="1">
      <c r="A47" s="141">
        <v>45919.0</v>
      </c>
      <c r="B47" s="142">
        <v>8.0</v>
      </c>
      <c r="C47" s="51"/>
      <c r="D47" s="68" t="s">
        <v>620</v>
      </c>
      <c r="E47" s="55" t="s">
        <v>39</v>
      </c>
      <c r="F47" s="55" t="s">
        <v>624</v>
      </c>
      <c r="G47" s="53"/>
    </row>
    <row r="48" ht="26.25" customHeight="1">
      <c r="A48" s="141">
        <v>45922.0</v>
      </c>
      <c r="B48" s="142">
        <v>8.0</v>
      </c>
      <c r="C48" s="51"/>
      <c r="D48" s="68" t="s">
        <v>627</v>
      </c>
      <c r="E48" s="29" t="s">
        <v>628</v>
      </c>
      <c r="F48" s="55" t="s">
        <v>629</v>
      </c>
      <c r="G48" s="53"/>
    </row>
    <row r="49" ht="26.25" customHeight="1">
      <c r="A49" s="141">
        <v>45923.0</v>
      </c>
      <c r="B49" s="142">
        <v>8.0</v>
      </c>
      <c r="C49" s="51"/>
      <c r="D49" s="68" t="s">
        <v>627</v>
      </c>
      <c r="E49" s="29" t="s">
        <v>628</v>
      </c>
      <c r="F49" s="55" t="s">
        <v>630</v>
      </c>
      <c r="G49" s="53"/>
    </row>
    <row r="50" ht="26.25" customHeight="1">
      <c r="A50" s="141">
        <v>45924.0</v>
      </c>
      <c r="B50" s="142">
        <v>8.0</v>
      </c>
      <c r="C50" s="51"/>
      <c r="D50" s="68" t="s">
        <v>627</v>
      </c>
      <c r="E50" s="29" t="s">
        <v>628</v>
      </c>
      <c r="F50" s="55" t="s">
        <v>631</v>
      </c>
      <c r="G50" s="53"/>
    </row>
    <row r="51" ht="26.25" customHeight="1">
      <c r="A51" s="141">
        <v>45925.0</v>
      </c>
      <c r="B51" s="142">
        <v>8.0</v>
      </c>
      <c r="C51" s="51"/>
      <c r="D51" s="68" t="s">
        <v>627</v>
      </c>
      <c r="E51" s="29" t="s">
        <v>628</v>
      </c>
      <c r="F51" s="55" t="s">
        <v>632</v>
      </c>
      <c r="G51" s="53"/>
    </row>
    <row r="52" ht="26.25" customHeight="1">
      <c r="A52" s="141">
        <v>45926.0</v>
      </c>
      <c r="B52" s="142">
        <v>8.0</v>
      </c>
      <c r="C52" s="51"/>
      <c r="D52" s="68" t="s">
        <v>627</v>
      </c>
      <c r="E52" s="29" t="s">
        <v>628</v>
      </c>
      <c r="F52" s="55" t="s">
        <v>633</v>
      </c>
      <c r="G52" s="53"/>
    </row>
    <row r="53" ht="26.25" customHeight="1">
      <c r="A53" s="141">
        <v>45929.0</v>
      </c>
      <c r="B53" s="142">
        <v>8.0</v>
      </c>
      <c r="C53" s="51"/>
      <c r="D53" s="68" t="s">
        <v>627</v>
      </c>
      <c r="E53" s="29" t="s">
        <v>628</v>
      </c>
      <c r="F53" s="55" t="s">
        <v>634</v>
      </c>
      <c r="G53" s="53"/>
    </row>
    <row r="54" ht="26.25" customHeight="1">
      <c r="A54" s="141">
        <v>45930.0</v>
      </c>
      <c r="B54" s="142">
        <v>8.0</v>
      </c>
      <c r="C54" s="51"/>
      <c r="D54" s="68" t="s">
        <v>627</v>
      </c>
      <c r="E54" s="29" t="s">
        <v>628</v>
      </c>
      <c r="F54" s="55" t="s">
        <v>635</v>
      </c>
      <c r="G54" s="53"/>
    </row>
    <row r="55" ht="26.25" customHeight="1">
      <c r="A55" s="141">
        <v>45931.0</v>
      </c>
      <c r="B55" s="142">
        <v>8.0</v>
      </c>
      <c r="C55" s="51"/>
      <c r="D55" s="68" t="s">
        <v>627</v>
      </c>
      <c r="E55" s="29" t="s">
        <v>628</v>
      </c>
      <c r="F55" s="55" t="s">
        <v>636</v>
      </c>
      <c r="G55" s="53"/>
    </row>
    <row r="56" ht="26.25" customHeight="1">
      <c r="A56" s="141">
        <v>45932.0</v>
      </c>
      <c r="B56" s="142">
        <v>8.0</v>
      </c>
      <c r="C56" s="51"/>
      <c r="D56" s="68" t="s">
        <v>627</v>
      </c>
      <c r="E56" s="29" t="s">
        <v>628</v>
      </c>
      <c r="F56" s="55" t="s">
        <v>637</v>
      </c>
      <c r="G56" s="53"/>
    </row>
    <row r="57" ht="26.25" customHeight="1">
      <c r="A57" s="141">
        <v>45933.0</v>
      </c>
      <c r="B57" s="142">
        <v>8.0</v>
      </c>
      <c r="C57" s="51"/>
      <c r="D57" s="68" t="s">
        <v>627</v>
      </c>
      <c r="E57" s="29" t="s">
        <v>628</v>
      </c>
      <c r="F57" s="55" t="s">
        <v>638</v>
      </c>
      <c r="G57" s="53"/>
    </row>
    <row r="58" ht="26.25" customHeight="1">
      <c r="A58" s="141">
        <v>45936.0</v>
      </c>
      <c r="B58" s="142">
        <v>8.0</v>
      </c>
      <c r="C58" s="51"/>
      <c r="D58" s="68" t="s">
        <v>627</v>
      </c>
      <c r="E58" s="29" t="s">
        <v>628</v>
      </c>
      <c r="F58" s="55" t="s">
        <v>639</v>
      </c>
      <c r="G58" s="53"/>
    </row>
    <row r="59" ht="26.25" customHeight="1">
      <c r="A59" s="141">
        <v>45937.0</v>
      </c>
      <c r="B59" s="142">
        <v>8.0</v>
      </c>
      <c r="C59" s="51"/>
      <c r="D59" s="68" t="s">
        <v>627</v>
      </c>
      <c r="E59" s="29" t="s">
        <v>628</v>
      </c>
      <c r="F59" s="55" t="s">
        <v>640</v>
      </c>
      <c r="G59" s="53"/>
    </row>
    <row r="60" ht="26.25" customHeight="1">
      <c r="A60" s="141">
        <v>45938.0</v>
      </c>
      <c r="B60" s="142">
        <v>8.0</v>
      </c>
      <c r="C60" s="51"/>
      <c r="D60" s="68" t="s">
        <v>627</v>
      </c>
      <c r="E60" s="29" t="s">
        <v>628</v>
      </c>
      <c r="F60" s="55" t="s">
        <v>641</v>
      </c>
      <c r="G60" s="53"/>
    </row>
    <row r="61" ht="26.25" customHeight="1">
      <c r="A61" s="141">
        <v>45939.0</v>
      </c>
      <c r="B61" s="142">
        <v>8.0</v>
      </c>
      <c r="C61" s="51"/>
      <c r="D61" s="68" t="s">
        <v>627</v>
      </c>
      <c r="E61" s="29" t="s">
        <v>628</v>
      </c>
      <c r="F61" s="55" t="s">
        <v>642</v>
      </c>
      <c r="G61" s="53"/>
    </row>
    <row r="62" ht="26.25" customHeight="1">
      <c r="A62" s="141">
        <v>45940.0</v>
      </c>
      <c r="B62" s="142">
        <v>8.0</v>
      </c>
      <c r="C62" s="51"/>
      <c r="D62" s="68" t="s">
        <v>627</v>
      </c>
      <c r="E62" s="29" t="s">
        <v>628</v>
      </c>
      <c r="F62" s="55" t="s">
        <v>643</v>
      </c>
      <c r="G62" s="53"/>
    </row>
    <row r="63" ht="26.25" customHeight="1">
      <c r="A63" s="141">
        <v>45943.0</v>
      </c>
      <c r="B63" s="142">
        <v>8.0</v>
      </c>
      <c r="C63" s="51"/>
      <c r="D63" s="68" t="s">
        <v>627</v>
      </c>
      <c r="E63" s="29" t="s">
        <v>628</v>
      </c>
      <c r="F63" s="55" t="s">
        <v>644</v>
      </c>
      <c r="G63" s="53"/>
    </row>
    <row r="64" ht="26.25" customHeight="1">
      <c r="A64" s="141">
        <v>45944.0</v>
      </c>
      <c r="B64" s="142">
        <v>8.0</v>
      </c>
      <c r="C64" s="51"/>
      <c r="D64" s="68" t="s">
        <v>627</v>
      </c>
      <c r="E64" s="29" t="s">
        <v>628</v>
      </c>
      <c r="F64" s="55" t="s">
        <v>645</v>
      </c>
      <c r="G64" s="53"/>
    </row>
    <row r="65" ht="26.25" customHeight="1">
      <c r="A65" s="141">
        <v>45945.0</v>
      </c>
      <c r="B65" s="142">
        <v>8.0</v>
      </c>
      <c r="C65" s="51"/>
      <c r="D65" s="68" t="s">
        <v>627</v>
      </c>
      <c r="E65" s="29" t="s">
        <v>628</v>
      </c>
      <c r="F65" s="55" t="s">
        <v>646</v>
      </c>
      <c r="G65" s="53"/>
    </row>
    <row r="66" ht="26.25" customHeight="1">
      <c r="A66" s="141">
        <v>45946.0</v>
      </c>
      <c r="B66" s="142">
        <v>8.0</v>
      </c>
      <c r="C66" s="51"/>
      <c r="D66" s="68" t="s">
        <v>627</v>
      </c>
      <c r="E66" s="29" t="s">
        <v>628</v>
      </c>
      <c r="F66" s="55" t="s">
        <v>647</v>
      </c>
      <c r="G66" s="53"/>
    </row>
    <row r="67" ht="26.25" customHeight="1">
      <c r="A67" s="141">
        <v>45947.0</v>
      </c>
      <c r="B67" s="142">
        <v>8.0</v>
      </c>
      <c r="C67" s="51"/>
      <c r="D67" s="68" t="s">
        <v>627</v>
      </c>
      <c r="E67" s="29" t="s">
        <v>628</v>
      </c>
      <c r="F67" s="55" t="s">
        <v>648</v>
      </c>
      <c r="G67" s="53"/>
    </row>
    <row r="68" ht="26.25" customHeight="1">
      <c r="A68" s="141">
        <v>45950.0</v>
      </c>
      <c r="B68" s="142">
        <v>8.0</v>
      </c>
      <c r="C68" s="51"/>
      <c r="D68" s="68" t="s">
        <v>627</v>
      </c>
      <c r="E68" s="29" t="s">
        <v>628</v>
      </c>
      <c r="F68" s="55" t="s">
        <v>649</v>
      </c>
      <c r="G68" s="53"/>
    </row>
    <row r="69" ht="26.25" customHeight="1">
      <c r="A69" s="141">
        <v>45951.0</v>
      </c>
      <c r="B69" s="142">
        <v>8.0</v>
      </c>
      <c r="C69" s="51"/>
      <c r="D69" s="68" t="s">
        <v>627</v>
      </c>
      <c r="E69" s="29" t="s">
        <v>628</v>
      </c>
      <c r="F69" s="55" t="s">
        <v>650</v>
      </c>
      <c r="G69" s="53"/>
    </row>
    <row r="70" ht="26.25" customHeight="1">
      <c r="A70" s="141">
        <v>45952.0</v>
      </c>
      <c r="B70" s="142">
        <v>8.0</v>
      </c>
      <c r="C70" s="51"/>
      <c r="D70" s="68" t="s">
        <v>627</v>
      </c>
      <c r="E70" s="29" t="s">
        <v>628</v>
      </c>
      <c r="F70" s="55" t="s">
        <v>651</v>
      </c>
      <c r="G70" s="53"/>
    </row>
    <row r="71" ht="26.25" customHeight="1">
      <c r="A71" s="141">
        <v>45953.0</v>
      </c>
      <c r="B71" s="142">
        <v>8.0</v>
      </c>
      <c r="C71" s="51"/>
      <c r="D71" s="68" t="s">
        <v>627</v>
      </c>
      <c r="E71" s="29" t="s">
        <v>628</v>
      </c>
      <c r="F71" s="55" t="s">
        <v>652</v>
      </c>
      <c r="G71" s="53"/>
    </row>
    <row r="72" ht="26.25" customHeight="1">
      <c r="A72" s="141">
        <v>45954.0</v>
      </c>
      <c r="B72" s="142">
        <v>8.0</v>
      </c>
      <c r="C72" s="51"/>
      <c r="D72" s="68" t="s">
        <v>627</v>
      </c>
      <c r="E72" s="29" t="s">
        <v>628</v>
      </c>
      <c r="F72" s="55" t="s">
        <v>653</v>
      </c>
      <c r="G72" s="53"/>
    </row>
    <row r="73" ht="26.25" customHeight="1">
      <c r="A73" s="144"/>
      <c r="B73" s="51"/>
      <c r="C73" s="51"/>
      <c r="D73" s="51"/>
      <c r="E73" s="51"/>
      <c r="F73" s="51"/>
      <c r="G73" s="53"/>
    </row>
    <row r="74" ht="26.25" customHeight="1">
      <c r="A74" s="144"/>
      <c r="B74" s="51"/>
      <c r="C74" s="51"/>
      <c r="D74" s="51"/>
      <c r="E74" s="51"/>
      <c r="F74" s="51"/>
      <c r="G74" s="53"/>
    </row>
    <row r="75" ht="26.25" customHeight="1">
      <c r="A75" s="144"/>
      <c r="B75" s="51"/>
      <c r="C75" s="51"/>
      <c r="D75" s="51"/>
      <c r="E75" s="51"/>
      <c r="F75" s="51"/>
      <c r="G75" s="53"/>
    </row>
    <row r="76" ht="26.25" customHeight="1">
      <c r="A76" s="144"/>
      <c r="B76" s="51"/>
      <c r="C76" s="51"/>
      <c r="D76" s="51"/>
      <c r="E76" s="51"/>
      <c r="F76" s="51"/>
      <c r="G76" s="53"/>
    </row>
    <row r="77" ht="26.25" customHeight="1">
      <c r="A77" s="144"/>
      <c r="B77" s="51"/>
      <c r="C77" s="51"/>
      <c r="D77" s="51"/>
      <c r="E77" s="51"/>
      <c r="F77" s="51"/>
      <c r="G77" s="53"/>
    </row>
    <row r="78" ht="26.25" customHeight="1">
      <c r="A78" s="144"/>
      <c r="B78" s="51"/>
      <c r="C78" s="51"/>
      <c r="D78" s="51"/>
      <c r="E78" s="51"/>
      <c r="F78" s="51"/>
      <c r="G78" s="53"/>
    </row>
    <row r="79" ht="26.25" customHeight="1">
      <c r="A79" s="144"/>
      <c r="B79" s="51"/>
      <c r="C79" s="51"/>
      <c r="D79" s="51"/>
      <c r="E79" s="51"/>
      <c r="F79" s="51"/>
      <c r="G79" s="53"/>
    </row>
    <row r="80" ht="26.25" customHeight="1">
      <c r="A80" s="144"/>
      <c r="B80" s="51"/>
      <c r="C80" s="51"/>
      <c r="D80" s="51"/>
      <c r="E80" s="51"/>
      <c r="F80" s="51"/>
      <c r="G80" s="53"/>
    </row>
    <row r="81" ht="26.25" customHeight="1">
      <c r="A81" s="144"/>
      <c r="B81" s="51"/>
      <c r="C81" s="51"/>
      <c r="D81" s="51"/>
      <c r="E81" s="51"/>
      <c r="F81" s="51"/>
      <c r="G81" s="53"/>
    </row>
    <row r="82" ht="26.25" customHeight="1">
      <c r="A82" s="144"/>
      <c r="B82" s="51"/>
      <c r="C82" s="51"/>
      <c r="D82" s="51"/>
      <c r="E82" s="51"/>
      <c r="F82" s="51"/>
      <c r="G82" s="53"/>
    </row>
    <row r="83" ht="46.5" customHeight="1">
      <c r="A83" s="144"/>
      <c r="B83" s="51"/>
      <c r="C83" s="51"/>
      <c r="D83" s="51"/>
      <c r="E83" s="51"/>
      <c r="F83" s="51"/>
      <c r="G83" s="53"/>
    </row>
    <row r="84" ht="46.5" customHeight="1">
      <c r="A84" s="144"/>
      <c r="B84" s="51"/>
      <c r="C84" s="51"/>
      <c r="D84" s="51"/>
      <c r="E84" s="51"/>
      <c r="F84" s="51"/>
      <c r="G84" s="53"/>
    </row>
    <row r="85" ht="46.5" customHeight="1">
      <c r="A85" s="145"/>
      <c r="B85" s="138"/>
      <c r="C85" s="138"/>
      <c r="D85" s="138"/>
      <c r="E85" s="138"/>
      <c r="F85" s="138"/>
      <c r="G85" s="119"/>
    </row>
    <row r="86" ht="46.5" customHeight="1">
      <c r="A86" s="145"/>
      <c r="B86" s="138"/>
      <c r="C86" s="138"/>
      <c r="D86" s="138"/>
      <c r="E86" s="138"/>
      <c r="F86" s="138"/>
      <c r="G86" s="119"/>
    </row>
    <row r="87" ht="46.5" customHeight="1">
      <c r="A87" s="145"/>
      <c r="B87" s="138"/>
      <c r="C87" s="138"/>
      <c r="D87" s="138"/>
      <c r="E87" s="138"/>
      <c r="F87" s="138"/>
      <c r="G87" s="119"/>
    </row>
    <row r="88" ht="46.5" customHeight="1">
      <c r="A88" s="145"/>
      <c r="B88" s="138"/>
      <c r="C88" s="138"/>
      <c r="D88" s="138"/>
      <c r="E88" s="138"/>
      <c r="F88" s="138"/>
      <c r="G88" s="119"/>
    </row>
    <row r="89" ht="46.5" customHeight="1">
      <c r="A89" s="145"/>
      <c r="B89" s="138"/>
      <c r="C89" s="138"/>
      <c r="D89" s="138"/>
      <c r="E89" s="138"/>
      <c r="F89" s="138"/>
      <c r="G89" s="119"/>
    </row>
    <row r="90" ht="46.5" customHeight="1">
      <c r="A90" s="145"/>
      <c r="B90" s="138"/>
      <c r="C90" s="138"/>
      <c r="D90" s="138"/>
      <c r="E90" s="138"/>
      <c r="F90" s="138"/>
      <c r="G90" s="119"/>
    </row>
    <row r="91" ht="46.5" customHeight="1">
      <c r="A91" s="145"/>
      <c r="B91" s="138"/>
      <c r="C91" s="138"/>
      <c r="D91" s="138"/>
      <c r="E91" s="138"/>
      <c r="F91" s="138"/>
      <c r="G91" s="119"/>
    </row>
    <row r="92" ht="46.5" customHeight="1">
      <c r="A92" s="145"/>
      <c r="B92" s="138"/>
      <c r="C92" s="138"/>
      <c r="D92" s="138"/>
      <c r="E92" s="138"/>
      <c r="F92" s="138"/>
      <c r="G92" s="119"/>
    </row>
    <row r="93" ht="46.5" customHeight="1">
      <c r="A93" s="145"/>
      <c r="B93" s="138"/>
      <c r="C93" s="138"/>
      <c r="D93" s="138"/>
      <c r="E93" s="138"/>
      <c r="F93" s="138"/>
      <c r="G93" s="119"/>
    </row>
    <row r="94" ht="46.5" customHeight="1">
      <c r="A94" s="145"/>
      <c r="B94" s="138"/>
      <c r="C94" s="138"/>
      <c r="D94" s="138"/>
      <c r="E94" s="138"/>
      <c r="F94" s="138"/>
      <c r="G94" s="119"/>
    </row>
    <row r="95" ht="46.5" customHeight="1">
      <c r="A95" s="145"/>
      <c r="B95" s="138"/>
      <c r="C95" s="138"/>
      <c r="D95" s="138"/>
      <c r="E95" s="138"/>
      <c r="F95" s="138"/>
      <c r="G95" s="119"/>
    </row>
    <row r="96" ht="46.5" customHeight="1">
      <c r="A96" s="145"/>
      <c r="B96" s="138"/>
      <c r="C96" s="138"/>
      <c r="D96" s="138"/>
      <c r="E96" s="138"/>
      <c r="F96" s="138"/>
      <c r="G96" s="119"/>
    </row>
    <row r="97" ht="46.5" customHeight="1">
      <c r="A97" s="145"/>
      <c r="B97" s="138"/>
      <c r="C97" s="138"/>
      <c r="D97" s="138"/>
      <c r="E97" s="138"/>
      <c r="F97" s="138"/>
      <c r="G97" s="119"/>
    </row>
    <row r="98" ht="46.5" customHeight="1">
      <c r="A98" s="145"/>
      <c r="B98" s="138"/>
      <c r="C98" s="138"/>
      <c r="D98" s="138"/>
      <c r="E98" s="138"/>
      <c r="F98" s="138"/>
      <c r="G98" s="119"/>
    </row>
    <row r="99" ht="46.5" customHeight="1">
      <c r="A99" s="145"/>
      <c r="B99" s="138"/>
      <c r="C99" s="138"/>
      <c r="D99" s="138"/>
      <c r="E99" s="138"/>
      <c r="F99" s="138"/>
      <c r="G99" s="119"/>
    </row>
    <row r="100" ht="46.5" customHeight="1">
      <c r="A100" s="145"/>
      <c r="B100" s="138"/>
      <c r="C100" s="138"/>
      <c r="D100" s="138"/>
      <c r="E100" s="138"/>
      <c r="F100" s="138"/>
      <c r="G100" s="119"/>
    </row>
    <row r="101" ht="46.5" customHeight="1">
      <c r="A101" s="145"/>
      <c r="B101" s="138"/>
      <c r="C101" s="138"/>
      <c r="D101" s="138"/>
      <c r="E101" s="138"/>
      <c r="F101" s="138"/>
      <c r="G101" s="119"/>
    </row>
    <row r="102" ht="46.5" customHeight="1">
      <c r="A102" s="145"/>
      <c r="B102" s="138"/>
      <c r="C102" s="138"/>
      <c r="D102" s="138"/>
      <c r="E102" s="138"/>
      <c r="F102" s="138"/>
      <c r="G102" s="119"/>
    </row>
    <row r="103" ht="46.5" customHeight="1">
      <c r="A103" s="145"/>
      <c r="B103" s="138"/>
      <c r="C103" s="138"/>
      <c r="D103" s="138"/>
      <c r="E103" s="138"/>
      <c r="F103" s="138"/>
      <c r="G103" s="119"/>
    </row>
    <row r="104" ht="46.5" customHeight="1">
      <c r="A104" s="145"/>
      <c r="B104" s="138"/>
      <c r="C104" s="138"/>
      <c r="D104" s="138"/>
      <c r="E104" s="138"/>
      <c r="F104" s="138"/>
      <c r="G104" s="119"/>
    </row>
    <row r="105" ht="46.5" customHeight="1">
      <c r="A105" s="145"/>
      <c r="B105" s="138"/>
      <c r="C105" s="138"/>
      <c r="D105" s="138"/>
      <c r="E105" s="138"/>
      <c r="F105" s="138"/>
      <c r="G105" s="119"/>
    </row>
    <row r="106" ht="46.5" customHeight="1">
      <c r="A106" s="145"/>
      <c r="B106" s="138"/>
      <c r="C106" s="138"/>
      <c r="D106" s="138"/>
      <c r="E106" s="138"/>
      <c r="F106" s="138"/>
      <c r="G106" s="119"/>
    </row>
    <row r="107" ht="46.5" customHeight="1">
      <c r="A107" s="145"/>
      <c r="B107" s="138"/>
      <c r="C107" s="138"/>
      <c r="D107" s="138"/>
      <c r="E107" s="138"/>
      <c r="F107" s="138"/>
      <c r="G107" s="119"/>
    </row>
    <row r="108" ht="46.5" customHeight="1">
      <c r="A108" s="145"/>
      <c r="B108" s="138"/>
      <c r="C108" s="138"/>
      <c r="D108" s="138"/>
      <c r="E108" s="138"/>
      <c r="F108" s="138"/>
      <c r="G108" s="119"/>
    </row>
    <row r="109" ht="46.5" customHeight="1">
      <c r="A109" s="145"/>
      <c r="B109" s="138"/>
      <c r="C109" s="138"/>
      <c r="D109" s="138"/>
      <c r="E109" s="138"/>
      <c r="F109" s="138"/>
      <c r="G109" s="119"/>
    </row>
    <row r="110" ht="46.5" customHeight="1">
      <c r="A110" s="145"/>
      <c r="B110" s="138"/>
      <c r="C110" s="138"/>
      <c r="D110" s="138"/>
      <c r="E110" s="138"/>
      <c r="F110" s="138"/>
      <c r="G110" s="119"/>
    </row>
    <row r="111" ht="46.5" customHeight="1">
      <c r="A111" s="145"/>
      <c r="B111" s="138"/>
      <c r="C111" s="138"/>
      <c r="D111" s="138"/>
      <c r="E111" s="138"/>
      <c r="F111" s="138"/>
      <c r="G111" s="119"/>
    </row>
    <row r="112" ht="46.5" customHeight="1">
      <c r="A112" s="145"/>
      <c r="B112" s="138"/>
      <c r="C112" s="138"/>
      <c r="D112" s="138"/>
      <c r="E112" s="138"/>
      <c r="F112" s="138"/>
      <c r="G112" s="119"/>
    </row>
    <row r="113" ht="46.5" customHeight="1">
      <c r="A113" s="145"/>
      <c r="B113" s="138"/>
      <c r="C113" s="138"/>
      <c r="D113" s="138"/>
      <c r="E113" s="138"/>
      <c r="F113" s="138"/>
      <c r="G113" s="119"/>
    </row>
    <row r="114" ht="46.5" customHeight="1">
      <c r="A114" s="145"/>
      <c r="B114" s="138"/>
      <c r="C114" s="138"/>
      <c r="D114" s="138"/>
      <c r="E114" s="138"/>
      <c r="F114" s="138"/>
      <c r="G114" s="119"/>
    </row>
    <row r="115" ht="46.5" customHeight="1">
      <c r="A115" s="145"/>
      <c r="B115" s="138"/>
      <c r="C115" s="138"/>
      <c r="D115" s="138"/>
      <c r="E115" s="138"/>
      <c r="F115" s="138"/>
      <c r="G115" s="119"/>
    </row>
    <row r="116" ht="46.5" customHeight="1">
      <c r="A116" s="145"/>
      <c r="B116" s="138"/>
      <c r="C116" s="138"/>
      <c r="D116" s="138"/>
      <c r="E116" s="138"/>
      <c r="F116" s="138"/>
      <c r="G116" s="119"/>
    </row>
    <row r="117" ht="46.5" customHeight="1">
      <c r="A117" s="145"/>
      <c r="B117" s="138"/>
      <c r="C117" s="138"/>
      <c r="D117" s="138"/>
      <c r="E117" s="138"/>
      <c r="F117" s="138"/>
      <c r="G117" s="119"/>
    </row>
    <row r="118" ht="46.5" customHeight="1">
      <c r="A118" s="145"/>
      <c r="B118" s="138"/>
      <c r="C118" s="138"/>
      <c r="D118" s="138"/>
      <c r="E118" s="138"/>
      <c r="F118" s="138"/>
      <c r="G118" s="119"/>
    </row>
    <row r="119" ht="46.5" customHeight="1">
      <c r="A119" s="145"/>
      <c r="B119" s="138"/>
      <c r="C119" s="138"/>
      <c r="D119" s="138"/>
      <c r="E119" s="138"/>
      <c r="F119" s="138"/>
      <c r="G119" s="119"/>
    </row>
    <row r="120" ht="46.5" customHeight="1">
      <c r="A120" s="145"/>
      <c r="B120" s="138"/>
      <c r="C120" s="138"/>
      <c r="D120" s="138"/>
      <c r="E120" s="138"/>
      <c r="F120" s="138"/>
      <c r="G120" s="119"/>
    </row>
    <row r="121" ht="46.5" customHeight="1">
      <c r="A121" s="145"/>
      <c r="B121" s="138"/>
      <c r="C121" s="138"/>
      <c r="D121" s="138"/>
      <c r="E121" s="138"/>
      <c r="F121" s="138"/>
      <c r="G121" s="119"/>
    </row>
    <row r="122" ht="46.5" customHeight="1">
      <c r="A122" s="145"/>
      <c r="B122" s="138"/>
      <c r="C122" s="138"/>
      <c r="D122" s="138"/>
      <c r="E122" s="138"/>
      <c r="F122" s="138"/>
      <c r="G122" s="119"/>
    </row>
    <row r="123" ht="46.5" customHeight="1">
      <c r="A123" s="145"/>
      <c r="B123" s="138"/>
      <c r="C123" s="138"/>
      <c r="D123" s="138"/>
      <c r="E123" s="138"/>
      <c r="F123" s="138"/>
      <c r="G123" s="119"/>
    </row>
    <row r="124" ht="46.5" customHeight="1">
      <c r="A124" s="145"/>
      <c r="B124" s="138"/>
      <c r="C124" s="138"/>
      <c r="D124" s="138"/>
      <c r="E124" s="138"/>
      <c r="F124" s="138"/>
      <c r="G124" s="119"/>
    </row>
    <row r="125" ht="46.5" customHeight="1">
      <c r="A125" s="145"/>
      <c r="B125" s="138"/>
      <c r="C125" s="138"/>
      <c r="D125" s="138"/>
      <c r="E125" s="138"/>
      <c r="F125" s="138"/>
      <c r="G125" s="119"/>
    </row>
    <row r="126" ht="46.5" customHeight="1">
      <c r="A126" s="145"/>
      <c r="B126" s="138"/>
      <c r="C126" s="138"/>
      <c r="D126" s="138"/>
      <c r="E126" s="138"/>
      <c r="F126" s="138"/>
      <c r="G126" s="119"/>
    </row>
    <row r="127" ht="46.5" customHeight="1">
      <c r="A127" s="145"/>
      <c r="B127" s="138"/>
      <c r="C127" s="138"/>
      <c r="D127" s="138"/>
      <c r="E127" s="138"/>
      <c r="F127" s="138"/>
      <c r="G127" s="119"/>
    </row>
    <row r="128" ht="46.5" customHeight="1">
      <c r="A128" s="145"/>
      <c r="B128" s="138"/>
      <c r="C128" s="138"/>
      <c r="D128" s="138"/>
      <c r="E128" s="138"/>
      <c r="F128" s="138"/>
      <c r="G128" s="119"/>
    </row>
    <row r="129" ht="46.5" customHeight="1">
      <c r="A129" s="145"/>
      <c r="B129" s="138"/>
      <c r="C129" s="138"/>
      <c r="D129" s="138"/>
      <c r="E129" s="138"/>
      <c r="F129" s="138"/>
      <c r="G129" s="119"/>
    </row>
    <row r="130" ht="46.5" customHeight="1">
      <c r="A130" s="145"/>
      <c r="B130" s="138"/>
      <c r="C130" s="138"/>
      <c r="D130" s="138"/>
      <c r="E130" s="138"/>
      <c r="F130" s="138"/>
      <c r="G130" s="119"/>
    </row>
    <row r="131" ht="46.5" customHeight="1">
      <c r="A131" s="145"/>
      <c r="B131" s="138"/>
      <c r="C131" s="138"/>
      <c r="D131" s="138"/>
      <c r="E131" s="138"/>
      <c r="F131" s="138"/>
      <c r="G131" s="119"/>
    </row>
    <row r="132" ht="46.5" customHeight="1">
      <c r="A132" s="145"/>
      <c r="B132" s="138"/>
      <c r="C132" s="138"/>
      <c r="D132" s="138"/>
      <c r="E132" s="138"/>
      <c r="F132" s="138"/>
      <c r="G132" s="119"/>
    </row>
    <row r="133" ht="46.5" customHeight="1">
      <c r="A133" s="145"/>
      <c r="B133" s="138"/>
      <c r="C133" s="138"/>
      <c r="D133" s="138"/>
      <c r="E133" s="138"/>
      <c r="F133" s="138"/>
      <c r="G133" s="119"/>
    </row>
    <row r="134" ht="46.5" customHeight="1">
      <c r="A134" s="145"/>
      <c r="B134" s="138"/>
      <c r="C134" s="138"/>
      <c r="D134" s="138"/>
      <c r="E134" s="138"/>
      <c r="F134" s="138"/>
      <c r="G134" s="119"/>
    </row>
    <row r="135" ht="46.5" customHeight="1">
      <c r="A135" s="145"/>
      <c r="B135" s="138"/>
      <c r="C135" s="138"/>
      <c r="D135" s="138"/>
      <c r="E135" s="138"/>
      <c r="F135" s="138"/>
      <c r="G135" s="119"/>
    </row>
    <row r="136" ht="46.5" customHeight="1">
      <c r="A136" s="145"/>
      <c r="B136" s="138"/>
      <c r="C136" s="138"/>
      <c r="D136" s="138"/>
      <c r="E136" s="138"/>
      <c r="F136" s="138"/>
      <c r="G136" s="119"/>
    </row>
    <row r="137" ht="46.5" customHeight="1">
      <c r="A137" s="145"/>
      <c r="B137" s="138"/>
      <c r="C137" s="138"/>
      <c r="D137" s="138"/>
      <c r="E137" s="138"/>
      <c r="F137" s="138"/>
      <c r="G137" s="119"/>
    </row>
    <row r="138" ht="46.5" customHeight="1">
      <c r="A138" s="145"/>
      <c r="B138" s="138"/>
      <c r="C138" s="138"/>
      <c r="D138" s="138"/>
      <c r="E138" s="138"/>
      <c r="F138" s="138"/>
      <c r="G138" s="119"/>
    </row>
    <row r="139" ht="46.5" customHeight="1">
      <c r="A139" s="145"/>
      <c r="B139" s="138"/>
      <c r="C139" s="138"/>
      <c r="D139" s="138"/>
      <c r="E139" s="138"/>
      <c r="F139" s="138"/>
      <c r="G139" s="119"/>
    </row>
    <row r="140" ht="46.5" customHeight="1">
      <c r="A140" s="145"/>
      <c r="B140" s="138"/>
      <c r="C140" s="138"/>
      <c r="D140" s="138"/>
      <c r="E140" s="138"/>
      <c r="F140" s="138"/>
      <c r="G140" s="119"/>
    </row>
    <row r="141" ht="46.5" customHeight="1">
      <c r="A141" s="145"/>
      <c r="B141" s="138"/>
      <c r="C141" s="138"/>
      <c r="D141" s="138"/>
      <c r="E141" s="138"/>
      <c r="F141" s="138"/>
      <c r="G141" s="119"/>
    </row>
    <row r="142" ht="46.5" customHeight="1">
      <c r="A142" s="145"/>
      <c r="B142" s="138"/>
      <c r="C142" s="138"/>
      <c r="D142" s="138"/>
      <c r="E142" s="138"/>
      <c r="F142" s="138"/>
      <c r="G142" s="119"/>
    </row>
    <row r="143" ht="46.5" customHeight="1">
      <c r="A143" s="145"/>
      <c r="B143" s="138"/>
      <c r="C143" s="138"/>
      <c r="D143" s="138"/>
      <c r="E143" s="138"/>
      <c r="F143" s="138"/>
      <c r="G143" s="119"/>
    </row>
    <row r="144" ht="46.5" customHeight="1">
      <c r="A144" s="145"/>
      <c r="B144" s="138"/>
      <c r="C144" s="138"/>
      <c r="D144" s="138"/>
      <c r="E144" s="138"/>
      <c r="F144" s="138"/>
      <c r="G144" s="119"/>
    </row>
    <row r="145" ht="46.5" customHeight="1">
      <c r="A145" s="145"/>
      <c r="B145" s="138"/>
      <c r="C145" s="138"/>
      <c r="D145" s="138"/>
      <c r="E145" s="138"/>
      <c r="F145" s="138"/>
      <c r="G145" s="119"/>
    </row>
    <row r="146" ht="46.5" customHeight="1">
      <c r="A146" s="145"/>
      <c r="B146" s="138"/>
      <c r="C146" s="138"/>
      <c r="D146" s="138"/>
      <c r="E146" s="138"/>
      <c r="F146" s="138"/>
      <c r="G146" s="119"/>
    </row>
    <row r="147" ht="46.5" customHeight="1">
      <c r="A147" s="145"/>
      <c r="B147" s="138"/>
      <c r="C147" s="138"/>
      <c r="D147" s="138"/>
      <c r="E147" s="138"/>
      <c r="F147" s="138"/>
      <c r="G147" s="119"/>
    </row>
    <row r="148" ht="46.5" customHeight="1">
      <c r="A148" s="145"/>
      <c r="B148" s="138"/>
      <c r="C148" s="138"/>
      <c r="D148" s="138"/>
      <c r="E148" s="138"/>
      <c r="F148" s="138"/>
      <c r="G148" s="119"/>
    </row>
    <row r="149" ht="46.5" customHeight="1">
      <c r="A149" s="145"/>
      <c r="B149" s="138"/>
      <c r="C149" s="138"/>
      <c r="D149" s="138"/>
      <c r="E149" s="138"/>
      <c r="F149" s="138"/>
      <c r="G149" s="119"/>
    </row>
    <row r="150" ht="46.5" customHeight="1">
      <c r="A150" s="145"/>
      <c r="B150" s="138"/>
      <c r="C150" s="138"/>
      <c r="D150" s="138"/>
      <c r="E150" s="138"/>
      <c r="F150" s="138"/>
      <c r="G150" s="119"/>
    </row>
    <row r="151" ht="46.5" customHeight="1">
      <c r="A151" s="145"/>
      <c r="B151" s="138"/>
      <c r="C151" s="138"/>
      <c r="D151" s="138"/>
      <c r="E151" s="138"/>
      <c r="F151" s="138"/>
      <c r="G151" s="119"/>
    </row>
    <row r="152" ht="46.5" customHeight="1">
      <c r="A152" s="145"/>
      <c r="B152" s="138"/>
      <c r="C152" s="138"/>
      <c r="D152" s="138"/>
      <c r="E152" s="138"/>
      <c r="F152" s="138"/>
      <c r="G152" s="119"/>
    </row>
    <row r="153" ht="46.5" customHeight="1">
      <c r="A153" s="145"/>
      <c r="B153" s="138"/>
      <c r="C153" s="138"/>
      <c r="D153" s="138"/>
      <c r="E153" s="138"/>
      <c r="F153" s="138"/>
      <c r="G153" s="119"/>
    </row>
    <row r="154" ht="46.5" customHeight="1">
      <c r="A154" s="145"/>
      <c r="B154" s="138"/>
      <c r="C154" s="138"/>
      <c r="D154" s="138"/>
      <c r="E154" s="138"/>
      <c r="F154" s="138"/>
      <c r="G154" s="119"/>
    </row>
    <row r="155" ht="46.5" customHeight="1">
      <c r="A155" s="145"/>
      <c r="B155" s="138"/>
      <c r="C155" s="138"/>
      <c r="D155" s="138"/>
      <c r="E155" s="138"/>
      <c r="F155" s="138"/>
      <c r="G155" s="119"/>
    </row>
    <row r="156" ht="46.5" customHeight="1">
      <c r="A156" s="145"/>
      <c r="B156" s="138"/>
      <c r="C156" s="138"/>
      <c r="D156" s="138"/>
      <c r="E156" s="138"/>
      <c r="F156" s="138"/>
      <c r="G156" s="119"/>
    </row>
    <row r="157" ht="46.5" customHeight="1">
      <c r="A157" s="145"/>
      <c r="B157" s="138"/>
      <c r="C157" s="138"/>
      <c r="D157" s="138"/>
      <c r="E157" s="138"/>
      <c r="F157" s="138"/>
      <c r="G157" s="119"/>
    </row>
    <row r="158" ht="46.5" customHeight="1">
      <c r="A158" s="145"/>
      <c r="B158" s="138"/>
      <c r="C158" s="138"/>
      <c r="D158" s="138"/>
      <c r="E158" s="138"/>
      <c r="F158" s="138"/>
      <c r="G158" s="119"/>
    </row>
    <row r="159" ht="46.5" customHeight="1">
      <c r="A159" s="145"/>
      <c r="B159" s="138"/>
      <c r="C159" s="138"/>
      <c r="D159" s="138"/>
      <c r="E159" s="138"/>
      <c r="F159" s="138"/>
      <c r="G159" s="119"/>
    </row>
    <row r="160" ht="46.5" customHeight="1">
      <c r="A160" s="145"/>
      <c r="B160" s="138"/>
      <c r="C160" s="138"/>
      <c r="D160" s="138"/>
      <c r="E160" s="138"/>
      <c r="F160" s="138"/>
      <c r="G160" s="119"/>
    </row>
    <row r="161" ht="46.5" customHeight="1">
      <c r="A161" s="145"/>
      <c r="B161" s="138"/>
      <c r="C161" s="138"/>
      <c r="D161" s="138"/>
      <c r="E161" s="138"/>
      <c r="F161" s="138"/>
      <c r="G161" s="119"/>
    </row>
    <row r="162" ht="46.5" customHeight="1">
      <c r="A162" s="145"/>
      <c r="B162" s="138"/>
      <c r="C162" s="138"/>
      <c r="D162" s="138"/>
      <c r="E162" s="138"/>
      <c r="F162" s="138"/>
      <c r="G162" s="119"/>
    </row>
    <row r="163" ht="46.5" customHeight="1">
      <c r="A163" s="145"/>
      <c r="B163" s="138"/>
      <c r="C163" s="138"/>
      <c r="D163" s="138"/>
      <c r="E163" s="138"/>
      <c r="F163" s="138"/>
      <c r="G163" s="119"/>
    </row>
    <row r="164" ht="46.5" customHeight="1">
      <c r="A164" s="145"/>
      <c r="B164" s="138"/>
      <c r="C164" s="138"/>
      <c r="D164" s="138"/>
      <c r="E164" s="138"/>
      <c r="F164" s="138"/>
      <c r="G164" s="119"/>
    </row>
    <row r="165" ht="46.5" customHeight="1">
      <c r="A165" s="145"/>
      <c r="B165" s="138"/>
      <c r="C165" s="138"/>
      <c r="D165" s="138"/>
      <c r="E165" s="138"/>
      <c r="F165" s="138"/>
      <c r="G165" s="119"/>
    </row>
    <row r="166" ht="46.5" customHeight="1">
      <c r="A166" s="145"/>
      <c r="B166" s="138"/>
      <c r="C166" s="138"/>
      <c r="D166" s="138"/>
      <c r="E166" s="138"/>
      <c r="F166" s="138"/>
      <c r="G166" s="119"/>
    </row>
    <row r="167" ht="46.5" customHeight="1">
      <c r="A167" s="145"/>
      <c r="B167" s="138"/>
      <c r="C167" s="138"/>
      <c r="D167" s="138"/>
      <c r="E167" s="138"/>
      <c r="F167" s="138"/>
      <c r="G167" s="119"/>
    </row>
    <row r="168" ht="46.5" customHeight="1">
      <c r="A168" s="145"/>
      <c r="B168" s="138"/>
      <c r="C168" s="138"/>
      <c r="D168" s="138"/>
      <c r="E168" s="138"/>
      <c r="F168" s="138"/>
      <c r="G168" s="119"/>
    </row>
    <row r="169" ht="46.5" customHeight="1">
      <c r="A169" s="145"/>
      <c r="B169" s="138"/>
      <c r="C169" s="138"/>
      <c r="D169" s="138"/>
      <c r="E169" s="138"/>
      <c r="F169" s="138"/>
      <c r="G169" s="119"/>
    </row>
    <row r="170" ht="46.5" customHeight="1">
      <c r="A170" s="145"/>
      <c r="B170" s="138"/>
      <c r="C170" s="138"/>
      <c r="D170" s="138"/>
      <c r="E170" s="138"/>
      <c r="F170" s="138"/>
      <c r="G170" s="119"/>
    </row>
    <row r="171" ht="46.5" customHeight="1">
      <c r="A171" s="145"/>
      <c r="B171" s="138"/>
      <c r="C171" s="138"/>
      <c r="D171" s="138"/>
      <c r="E171" s="138"/>
      <c r="F171" s="138"/>
      <c r="G171" s="119"/>
    </row>
    <row r="172" ht="46.5" customHeight="1">
      <c r="A172" s="145"/>
      <c r="B172" s="138"/>
      <c r="C172" s="138"/>
      <c r="D172" s="138"/>
      <c r="E172" s="138"/>
      <c r="F172" s="138"/>
      <c r="G172" s="119"/>
    </row>
    <row r="173" ht="46.5" customHeight="1">
      <c r="A173" s="145"/>
      <c r="B173" s="138"/>
      <c r="C173" s="138"/>
      <c r="D173" s="138"/>
      <c r="E173" s="138"/>
      <c r="F173" s="138"/>
      <c r="G173" s="119"/>
    </row>
    <row r="174" ht="46.5" customHeight="1">
      <c r="A174" s="145"/>
      <c r="B174" s="138"/>
      <c r="C174" s="138"/>
      <c r="D174" s="138"/>
      <c r="E174" s="138"/>
      <c r="F174" s="138"/>
      <c r="G174" s="119"/>
    </row>
    <row r="175" ht="46.5" customHeight="1">
      <c r="A175" s="145"/>
      <c r="B175" s="138"/>
      <c r="C175" s="138"/>
      <c r="D175" s="138"/>
      <c r="E175" s="138"/>
      <c r="F175" s="138"/>
      <c r="G175" s="119"/>
    </row>
    <row r="176" ht="46.5" customHeight="1">
      <c r="A176" s="145"/>
      <c r="B176" s="138"/>
      <c r="C176" s="138"/>
      <c r="D176" s="138"/>
      <c r="E176" s="138"/>
      <c r="F176" s="138"/>
      <c r="G176" s="119"/>
    </row>
    <row r="177" ht="46.5" customHeight="1">
      <c r="A177" s="145"/>
      <c r="B177" s="138"/>
      <c r="C177" s="138"/>
      <c r="D177" s="138"/>
      <c r="E177" s="138"/>
      <c r="F177" s="138"/>
      <c r="G177" s="119"/>
    </row>
    <row r="178" ht="46.5" customHeight="1">
      <c r="A178" s="145"/>
      <c r="B178" s="138"/>
      <c r="C178" s="138"/>
      <c r="D178" s="138"/>
      <c r="E178" s="138"/>
      <c r="F178" s="138"/>
      <c r="G178" s="119"/>
    </row>
    <row r="179" ht="46.5" customHeight="1">
      <c r="A179" s="145"/>
      <c r="B179" s="138"/>
      <c r="C179" s="138"/>
      <c r="D179" s="138"/>
      <c r="E179" s="138"/>
      <c r="F179" s="138"/>
      <c r="G179" s="119"/>
    </row>
    <row r="180" ht="46.5" customHeight="1">
      <c r="A180" s="145"/>
      <c r="B180" s="138"/>
      <c r="C180" s="138"/>
      <c r="D180" s="138"/>
      <c r="E180" s="138"/>
      <c r="F180" s="138"/>
      <c r="G180" s="119"/>
    </row>
    <row r="181" ht="46.5" customHeight="1">
      <c r="A181" s="145"/>
      <c r="B181" s="138"/>
      <c r="C181" s="138"/>
      <c r="D181" s="138"/>
      <c r="E181" s="138"/>
      <c r="F181" s="138"/>
      <c r="G181" s="119"/>
    </row>
    <row r="182" ht="46.5" customHeight="1">
      <c r="A182" s="145"/>
      <c r="B182" s="138"/>
      <c r="C182" s="138"/>
      <c r="D182" s="138"/>
      <c r="E182" s="138"/>
      <c r="F182" s="138"/>
      <c r="G182" s="119"/>
    </row>
    <row r="183" ht="46.5" customHeight="1">
      <c r="A183" s="145"/>
      <c r="B183" s="138"/>
      <c r="C183" s="138"/>
      <c r="D183" s="138"/>
      <c r="E183" s="138"/>
      <c r="F183" s="138"/>
      <c r="G183" s="119"/>
    </row>
    <row r="184" ht="46.5" customHeight="1">
      <c r="A184" s="145"/>
      <c r="B184" s="138"/>
      <c r="C184" s="138"/>
      <c r="D184" s="138"/>
      <c r="E184" s="138"/>
      <c r="F184" s="138"/>
      <c r="G184" s="119"/>
    </row>
    <row r="185" ht="46.5" customHeight="1">
      <c r="A185" s="145"/>
      <c r="B185" s="138"/>
      <c r="C185" s="138"/>
      <c r="D185" s="138"/>
      <c r="E185" s="138"/>
      <c r="F185" s="138"/>
      <c r="G185" s="119"/>
    </row>
    <row r="186" ht="46.5" customHeight="1">
      <c r="A186" s="145"/>
      <c r="B186" s="138"/>
      <c r="C186" s="138"/>
      <c r="D186" s="138"/>
      <c r="E186" s="138"/>
      <c r="F186" s="138"/>
      <c r="G186" s="119"/>
    </row>
    <row r="187" ht="46.5" customHeight="1">
      <c r="A187" s="145"/>
      <c r="B187" s="138"/>
      <c r="C187" s="138"/>
      <c r="D187" s="138"/>
      <c r="E187" s="138"/>
      <c r="F187" s="138"/>
      <c r="G187" s="119"/>
    </row>
    <row r="188" ht="46.5" customHeight="1">
      <c r="A188" s="145"/>
      <c r="B188" s="138"/>
      <c r="C188" s="138"/>
      <c r="D188" s="138"/>
      <c r="E188" s="138"/>
      <c r="F188" s="138"/>
      <c r="G188" s="119"/>
    </row>
    <row r="189" ht="46.5" customHeight="1">
      <c r="A189" s="145"/>
      <c r="B189" s="138"/>
      <c r="C189" s="138"/>
      <c r="D189" s="138"/>
      <c r="E189" s="138"/>
      <c r="F189" s="138"/>
      <c r="G189" s="119"/>
    </row>
    <row r="190" ht="46.5" customHeight="1">
      <c r="A190" s="145"/>
      <c r="B190" s="138"/>
      <c r="C190" s="138"/>
      <c r="D190" s="138"/>
      <c r="E190" s="138"/>
      <c r="F190" s="138"/>
      <c r="G190" s="119"/>
    </row>
    <row r="191" ht="46.5" customHeight="1">
      <c r="A191" s="145"/>
      <c r="B191" s="138"/>
      <c r="C191" s="138"/>
      <c r="D191" s="138"/>
      <c r="E191" s="138"/>
      <c r="F191" s="138"/>
      <c r="G191" s="119"/>
    </row>
    <row r="192" ht="46.5" customHeight="1">
      <c r="A192" s="145"/>
      <c r="B192" s="138"/>
      <c r="C192" s="138"/>
      <c r="D192" s="138"/>
      <c r="E192" s="138"/>
      <c r="F192" s="138"/>
      <c r="G192" s="119"/>
    </row>
    <row r="193" ht="46.5" customHeight="1">
      <c r="A193" s="145"/>
      <c r="B193" s="138"/>
      <c r="C193" s="138"/>
      <c r="D193" s="138"/>
      <c r="E193" s="138"/>
      <c r="F193" s="138"/>
      <c r="G193" s="119"/>
    </row>
    <row r="194" ht="46.5" customHeight="1">
      <c r="A194" s="145"/>
      <c r="B194" s="138"/>
      <c r="C194" s="138"/>
      <c r="D194" s="138"/>
      <c r="E194" s="138"/>
      <c r="F194" s="138"/>
      <c r="G194" s="119"/>
    </row>
    <row r="195" ht="46.5" customHeight="1">
      <c r="A195" s="145"/>
      <c r="B195" s="138"/>
      <c r="C195" s="138"/>
      <c r="D195" s="138"/>
      <c r="E195" s="138"/>
      <c r="F195" s="138"/>
      <c r="G195" s="119"/>
    </row>
    <row r="196" ht="46.5" customHeight="1">
      <c r="A196" s="145"/>
      <c r="B196" s="138"/>
      <c r="C196" s="138"/>
      <c r="D196" s="138"/>
      <c r="E196" s="138"/>
      <c r="F196" s="138"/>
      <c r="G196" s="119"/>
    </row>
    <row r="197" ht="46.5" customHeight="1">
      <c r="A197" s="145"/>
      <c r="B197" s="138"/>
      <c r="C197" s="138"/>
      <c r="D197" s="138"/>
      <c r="E197" s="138"/>
      <c r="F197" s="138"/>
      <c r="G197" s="119"/>
    </row>
    <row r="198" ht="46.5" customHeight="1">
      <c r="A198" s="145"/>
      <c r="B198" s="138"/>
      <c r="C198" s="138"/>
      <c r="D198" s="138"/>
      <c r="E198" s="138"/>
      <c r="F198" s="138"/>
      <c r="G198" s="119"/>
    </row>
    <row r="199" ht="46.5" customHeight="1">
      <c r="A199" s="145"/>
      <c r="B199" s="138"/>
      <c r="C199" s="138"/>
      <c r="D199" s="138"/>
      <c r="E199" s="138"/>
      <c r="F199" s="138"/>
      <c r="G199" s="119"/>
    </row>
    <row r="200" ht="46.5" customHeight="1">
      <c r="A200" s="145"/>
      <c r="B200" s="138"/>
      <c r="C200" s="138"/>
      <c r="D200" s="138"/>
      <c r="E200" s="138"/>
      <c r="F200" s="138"/>
      <c r="G200" s="119"/>
    </row>
    <row r="201" ht="46.5" customHeight="1">
      <c r="A201" s="145"/>
      <c r="B201" s="138"/>
      <c r="C201" s="138"/>
      <c r="D201" s="138"/>
      <c r="E201" s="138"/>
      <c r="F201" s="138"/>
      <c r="G201" s="119"/>
    </row>
    <row r="202" ht="46.5" customHeight="1">
      <c r="A202" s="145"/>
      <c r="B202" s="138"/>
      <c r="C202" s="138"/>
      <c r="D202" s="138"/>
      <c r="E202" s="138"/>
      <c r="F202" s="138"/>
      <c r="G202" s="119"/>
    </row>
    <row r="203" ht="46.5" customHeight="1">
      <c r="A203" s="145"/>
      <c r="B203" s="138"/>
      <c r="C203" s="138"/>
      <c r="D203" s="138"/>
      <c r="E203" s="138"/>
      <c r="F203" s="138"/>
      <c r="G203" s="119"/>
    </row>
    <row r="204" ht="46.5" customHeight="1">
      <c r="A204" s="145"/>
      <c r="B204" s="138"/>
      <c r="C204" s="138"/>
      <c r="D204" s="138"/>
      <c r="E204" s="138"/>
      <c r="F204" s="138"/>
      <c r="G204" s="119"/>
    </row>
    <row r="205" ht="46.5" customHeight="1">
      <c r="A205" s="145"/>
      <c r="B205" s="138"/>
      <c r="C205" s="138"/>
      <c r="D205" s="138"/>
      <c r="E205" s="138"/>
      <c r="F205" s="138"/>
      <c r="G205" s="119"/>
    </row>
    <row r="206" ht="46.5" customHeight="1">
      <c r="A206" s="145"/>
      <c r="B206" s="138"/>
      <c r="C206" s="138"/>
      <c r="D206" s="138"/>
      <c r="E206" s="138"/>
      <c r="F206" s="138"/>
      <c r="G206" s="119"/>
    </row>
    <row r="207" ht="46.5" customHeight="1">
      <c r="A207" s="145"/>
      <c r="B207" s="138"/>
      <c r="C207" s="138"/>
      <c r="D207" s="138"/>
      <c r="E207" s="138"/>
      <c r="F207" s="138"/>
      <c r="G207" s="119"/>
    </row>
    <row r="208" ht="46.5" customHeight="1">
      <c r="A208" s="145"/>
      <c r="B208" s="138"/>
      <c r="C208" s="138"/>
      <c r="D208" s="138"/>
      <c r="E208" s="138"/>
      <c r="F208" s="138"/>
      <c r="G208" s="119"/>
    </row>
    <row r="209" ht="46.5" customHeight="1">
      <c r="A209" s="145"/>
      <c r="B209" s="138"/>
      <c r="C209" s="138"/>
      <c r="D209" s="138"/>
      <c r="E209" s="138"/>
      <c r="F209" s="138"/>
      <c r="G209" s="119"/>
    </row>
    <row r="210" ht="46.5" customHeight="1">
      <c r="A210" s="145"/>
      <c r="B210" s="138"/>
      <c r="C210" s="138"/>
      <c r="D210" s="138"/>
      <c r="E210" s="138"/>
      <c r="F210" s="138"/>
      <c r="G210" s="119"/>
    </row>
    <row r="211" ht="46.5" customHeight="1">
      <c r="A211" s="145"/>
      <c r="B211" s="138"/>
      <c r="C211" s="138"/>
      <c r="D211" s="138"/>
      <c r="E211" s="138"/>
      <c r="F211" s="138"/>
      <c r="G211" s="119"/>
    </row>
    <row r="212" ht="46.5" customHeight="1">
      <c r="A212" s="145"/>
      <c r="B212" s="138"/>
      <c r="C212" s="138"/>
      <c r="D212" s="138"/>
      <c r="E212" s="138"/>
      <c r="F212" s="138"/>
      <c r="G212" s="119"/>
    </row>
    <row r="213" ht="46.5" customHeight="1">
      <c r="A213" s="145"/>
      <c r="B213" s="138"/>
      <c r="C213" s="138"/>
      <c r="D213" s="138"/>
      <c r="E213" s="138"/>
      <c r="F213" s="138"/>
      <c r="G213" s="119"/>
    </row>
    <row r="214" ht="46.5" customHeight="1">
      <c r="A214" s="145"/>
      <c r="B214" s="138"/>
      <c r="C214" s="138"/>
      <c r="D214" s="138"/>
      <c r="E214" s="138"/>
      <c r="F214" s="138"/>
      <c r="G214" s="119"/>
    </row>
    <row r="215" ht="46.5" customHeight="1">
      <c r="A215" s="145"/>
      <c r="B215" s="138"/>
      <c r="C215" s="138"/>
      <c r="D215" s="138"/>
      <c r="E215" s="138"/>
      <c r="F215" s="138"/>
      <c r="G215" s="119"/>
    </row>
    <row r="216" ht="46.5" customHeight="1">
      <c r="A216" s="145"/>
      <c r="B216" s="138"/>
      <c r="C216" s="138"/>
      <c r="D216" s="138"/>
      <c r="E216" s="138"/>
      <c r="F216" s="138"/>
      <c r="G216" s="119"/>
    </row>
    <row r="217" ht="46.5" customHeight="1">
      <c r="A217" s="145"/>
      <c r="B217" s="138"/>
      <c r="C217" s="138"/>
      <c r="D217" s="138"/>
      <c r="E217" s="138"/>
      <c r="F217" s="138"/>
      <c r="G217" s="119"/>
    </row>
    <row r="218" ht="46.5" customHeight="1">
      <c r="A218" s="145"/>
      <c r="B218" s="138"/>
      <c r="C218" s="138"/>
      <c r="D218" s="138"/>
      <c r="E218" s="138"/>
      <c r="F218" s="138"/>
      <c r="G218" s="119"/>
    </row>
    <row r="219" ht="46.5" customHeight="1">
      <c r="A219" s="145"/>
      <c r="B219" s="138"/>
      <c r="C219" s="138"/>
      <c r="D219" s="138"/>
      <c r="E219" s="138"/>
      <c r="F219" s="138"/>
      <c r="G219" s="119"/>
    </row>
    <row r="220" ht="46.5" customHeight="1">
      <c r="A220" s="145"/>
      <c r="B220" s="138"/>
      <c r="C220" s="138"/>
      <c r="D220" s="138"/>
      <c r="E220" s="138"/>
      <c r="F220" s="138"/>
      <c r="G220" s="119"/>
    </row>
    <row r="221" ht="46.5" customHeight="1">
      <c r="A221" s="145"/>
      <c r="B221" s="138"/>
      <c r="C221" s="138"/>
      <c r="D221" s="138"/>
      <c r="E221" s="138"/>
      <c r="F221" s="138"/>
      <c r="G221" s="119"/>
    </row>
    <row r="222" ht="46.5" customHeight="1">
      <c r="A222" s="145"/>
      <c r="B222" s="138"/>
      <c r="C222" s="138"/>
      <c r="D222" s="138"/>
      <c r="E222" s="138"/>
      <c r="F222" s="138"/>
      <c r="G222" s="119"/>
    </row>
    <row r="223" ht="46.5" customHeight="1">
      <c r="A223" s="145"/>
      <c r="B223" s="138"/>
      <c r="C223" s="138"/>
      <c r="D223" s="138"/>
      <c r="E223" s="138"/>
      <c r="F223" s="138"/>
      <c r="G223" s="119"/>
    </row>
    <row r="224" ht="46.5" customHeight="1">
      <c r="A224" s="145"/>
      <c r="B224" s="138"/>
      <c r="C224" s="138"/>
      <c r="D224" s="138"/>
      <c r="E224" s="138"/>
      <c r="F224" s="138"/>
      <c r="G224" s="119"/>
    </row>
    <row r="225" ht="46.5" customHeight="1">
      <c r="A225" s="145"/>
      <c r="B225" s="138"/>
      <c r="C225" s="138"/>
      <c r="D225" s="138"/>
      <c r="E225" s="138"/>
      <c r="F225" s="138"/>
      <c r="G225" s="119"/>
    </row>
    <row r="226" ht="46.5" customHeight="1">
      <c r="A226" s="145"/>
      <c r="B226" s="138"/>
      <c r="C226" s="138"/>
      <c r="D226" s="138"/>
      <c r="E226" s="138"/>
      <c r="F226" s="138"/>
      <c r="G226" s="119"/>
    </row>
    <row r="227" ht="46.5" customHeight="1">
      <c r="A227" s="145"/>
      <c r="B227" s="138"/>
      <c r="C227" s="138"/>
      <c r="D227" s="138"/>
      <c r="E227" s="138"/>
      <c r="F227" s="138"/>
      <c r="G227" s="119"/>
    </row>
    <row r="228" ht="46.5" customHeight="1">
      <c r="A228" s="145"/>
      <c r="B228" s="138"/>
      <c r="C228" s="138"/>
      <c r="D228" s="138"/>
      <c r="E228" s="138"/>
      <c r="F228" s="138"/>
      <c r="G228" s="119"/>
    </row>
    <row r="229" ht="46.5" customHeight="1">
      <c r="A229" s="145"/>
      <c r="B229" s="138"/>
      <c r="C229" s="138"/>
      <c r="D229" s="138"/>
      <c r="E229" s="138"/>
      <c r="F229" s="138"/>
      <c r="G229" s="119"/>
    </row>
    <row r="230" ht="46.5" customHeight="1">
      <c r="A230" s="145"/>
      <c r="B230" s="138"/>
      <c r="C230" s="138"/>
      <c r="D230" s="138"/>
      <c r="E230" s="138"/>
      <c r="F230" s="138"/>
      <c r="G230" s="119"/>
    </row>
    <row r="231" ht="46.5" customHeight="1">
      <c r="A231" s="145"/>
      <c r="B231" s="138"/>
      <c r="C231" s="138"/>
      <c r="D231" s="138"/>
      <c r="E231" s="138"/>
      <c r="F231" s="138"/>
      <c r="G231" s="119"/>
    </row>
    <row r="232" ht="46.5" customHeight="1">
      <c r="A232" s="145"/>
      <c r="B232" s="138"/>
      <c r="C232" s="138"/>
      <c r="D232" s="138"/>
      <c r="E232" s="138"/>
      <c r="F232" s="138"/>
      <c r="G232" s="119"/>
    </row>
    <row r="233" ht="46.5" customHeight="1">
      <c r="A233" s="145"/>
      <c r="B233" s="138"/>
      <c r="C233" s="138"/>
      <c r="D233" s="138"/>
      <c r="E233" s="138"/>
      <c r="F233" s="138"/>
      <c r="G233" s="119"/>
    </row>
    <row r="234" ht="46.5" customHeight="1">
      <c r="A234" s="145"/>
      <c r="B234" s="138"/>
      <c r="C234" s="138"/>
      <c r="D234" s="138"/>
      <c r="E234" s="138"/>
      <c r="F234" s="138"/>
      <c r="G234" s="119"/>
    </row>
    <row r="235" ht="46.5" customHeight="1">
      <c r="A235" s="145"/>
      <c r="B235" s="138"/>
      <c r="C235" s="138"/>
      <c r="D235" s="138"/>
      <c r="E235" s="138"/>
      <c r="F235" s="138"/>
      <c r="G235" s="119"/>
    </row>
    <row r="236" ht="46.5" customHeight="1">
      <c r="A236" s="145"/>
      <c r="B236" s="138"/>
      <c r="C236" s="138"/>
      <c r="D236" s="138"/>
      <c r="E236" s="138"/>
      <c r="F236" s="138"/>
      <c r="G236" s="119"/>
    </row>
    <row r="237" ht="46.5" customHeight="1">
      <c r="A237" s="145"/>
      <c r="B237" s="138"/>
      <c r="C237" s="138"/>
      <c r="D237" s="138"/>
      <c r="E237" s="138"/>
      <c r="F237" s="138"/>
      <c r="G237" s="119"/>
    </row>
    <row r="238" ht="46.5" customHeight="1">
      <c r="A238" s="145"/>
      <c r="B238" s="138"/>
      <c r="C238" s="138"/>
      <c r="D238" s="138"/>
      <c r="E238" s="138"/>
      <c r="F238" s="138"/>
      <c r="G238" s="119"/>
    </row>
    <row r="239" ht="46.5" customHeight="1">
      <c r="A239" s="145"/>
      <c r="B239" s="138"/>
      <c r="C239" s="138"/>
      <c r="D239" s="138"/>
      <c r="E239" s="138"/>
      <c r="F239" s="138"/>
      <c r="G239" s="119"/>
    </row>
    <row r="240" ht="46.5" customHeight="1">
      <c r="A240" s="145"/>
      <c r="B240" s="138"/>
      <c r="C240" s="138"/>
      <c r="D240" s="138"/>
      <c r="E240" s="138"/>
      <c r="F240" s="138"/>
      <c r="G240" s="119"/>
    </row>
    <row r="241" ht="46.5" customHeight="1">
      <c r="A241" s="145"/>
      <c r="B241" s="138"/>
      <c r="C241" s="138"/>
      <c r="D241" s="138"/>
      <c r="E241" s="138"/>
      <c r="F241" s="138"/>
      <c r="G241" s="119"/>
    </row>
    <row r="242" ht="46.5" customHeight="1">
      <c r="A242" s="145"/>
      <c r="B242" s="138"/>
      <c r="C242" s="138"/>
      <c r="D242" s="138"/>
      <c r="E242" s="138"/>
      <c r="F242" s="138"/>
      <c r="G242" s="119"/>
    </row>
    <row r="243" ht="46.5" customHeight="1">
      <c r="A243" s="145"/>
      <c r="B243" s="138"/>
      <c r="C243" s="138"/>
      <c r="D243" s="138"/>
      <c r="E243" s="138"/>
      <c r="F243" s="138"/>
      <c r="G243" s="119"/>
    </row>
    <row r="244" ht="46.5" customHeight="1">
      <c r="A244" s="145"/>
      <c r="B244" s="138"/>
      <c r="C244" s="138"/>
      <c r="D244" s="138"/>
      <c r="E244" s="138"/>
      <c r="F244" s="138"/>
      <c r="G244" s="119"/>
    </row>
    <row r="245" ht="46.5" customHeight="1">
      <c r="A245" s="145"/>
      <c r="B245" s="138"/>
      <c r="C245" s="138"/>
      <c r="D245" s="138"/>
      <c r="E245" s="138"/>
      <c r="F245" s="138"/>
      <c r="G245" s="119"/>
    </row>
    <row r="246" ht="46.5" customHeight="1">
      <c r="A246" s="145"/>
      <c r="B246" s="138"/>
      <c r="C246" s="138"/>
      <c r="D246" s="138"/>
      <c r="E246" s="138"/>
      <c r="F246" s="138"/>
      <c r="G246" s="119"/>
    </row>
    <row r="247" ht="46.5" customHeight="1">
      <c r="A247" s="145"/>
      <c r="B247" s="138"/>
      <c r="C247" s="138"/>
      <c r="D247" s="138"/>
      <c r="E247" s="138"/>
      <c r="F247" s="138"/>
      <c r="G247" s="119"/>
    </row>
    <row r="248" ht="46.5" customHeight="1">
      <c r="A248" s="145"/>
      <c r="B248" s="138"/>
      <c r="C248" s="138"/>
      <c r="D248" s="138"/>
      <c r="E248" s="138"/>
      <c r="F248" s="138"/>
      <c r="G248" s="119"/>
    </row>
    <row r="249" ht="46.5" customHeight="1">
      <c r="A249" s="145"/>
      <c r="B249" s="138"/>
      <c r="C249" s="138"/>
      <c r="D249" s="138"/>
      <c r="E249" s="138"/>
      <c r="F249" s="138"/>
      <c r="G249" s="119"/>
    </row>
    <row r="250" ht="46.5" customHeight="1">
      <c r="A250" s="145"/>
      <c r="B250" s="138"/>
      <c r="C250" s="138"/>
      <c r="D250" s="138"/>
      <c r="E250" s="138"/>
      <c r="F250" s="138"/>
      <c r="G250" s="119"/>
    </row>
    <row r="251" ht="46.5" customHeight="1">
      <c r="A251" s="145"/>
      <c r="B251" s="138"/>
      <c r="C251" s="138"/>
      <c r="D251" s="138"/>
      <c r="E251" s="138"/>
      <c r="F251" s="138"/>
      <c r="G251" s="119"/>
    </row>
    <row r="252" ht="46.5" customHeight="1">
      <c r="A252" s="145"/>
      <c r="B252" s="138"/>
      <c r="C252" s="138"/>
      <c r="D252" s="138"/>
      <c r="E252" s="138"/>
      <c r="F252" s="138"/>
      <c r="G252" s="119"/>
    </row>
    <row r="253" ht="46.5" customHeight="1">
      <c r="A253" s="145"/>
      <c r="B253" s="138"/>
      <c r="C253" s="138"/>
      <c r="D253" s="138"/>
      <c r="E253" s="138"/>
      <c r="F253" s="138"/>
      <c r="G253" s="119"/>
    </row>
    <row r="254" ht="46.5" customHeight="1">
      <c r="A254" s="145"/>
      <c r="B254" s="138"/>
      <c r="C254" s="138"/>
      <c r="D254" s="138"/>
      <c r="E254" s="138"/>
      <c r="F254" s="138"/>
      <c r="G254" s="119"/>
    </row>
    <row r="255" ht="46.5" customHeight="1">
      <c r="A255" s="145"/>
      <c r="B255" s="138"/>
      <c r="C255" s="138"/>
      <c r="D255" s="138"/>
      <c r="E255" s="138"/>
      <c r="F255" s="138"/>
      <c r="G255" s="119"/>
    </row>
    <row r="256" ht="46.5" customHeight="1">
      <c r="A256" s="145"/>
      <c r="B256" s="138"/>
      <c r="C256" s="138"/>
      <c r="D256" s="138"/>
      <c r="E256" s="138"/>
      <c r="F256" s="138"/>
      <c r="G256" s="119"/>
    </row>
    <row r="257" ht="46.5" customHeight="1">
      <c r="A257" s="145"/>
      <c r="B257" s="138"/>
      <c r="C257" s="138"/>
      <c r="D257" s="138"/>
      <c r="E257" s="138"/>
      <c r="F257" s="138"/>
      <c r="G257" s="119"/>
    </row>
    <row r="258" ht="46.5" customHeight="1">
      <c r="A258" s="145"/>
      <c r="B258" s="138"/>
      <c r="C258" s="138"/>
      <c r="D258" s="138"/>
      <c r="E258" s="138"/>
      <c r="F258" s="138"/>
      <c r="G258" s="119"/>
    </row>
    <row r="259" ht="46.5" customHeight="1">
      <c r="A259" s="145"/>
      <c r="B259" s="138"/>
      <c r="C259" s="138"/>
      <c r="D259" s="138"/>
      <c r="E259" s="138"/>
      <c r="F259" s="138"/>
      <c r="G259" s="119"/>
    </row>
    <row r="260" ht="46.5" customHeight="1">
      <c r="A260" s="145"/>
      <c r="B260" s="138"/>
      <c r="C260" s="138"/>
      <c r="D260" s="138"/>
      <c r="E260" s="138"/>
      <c r="F260" s="138"/>
      <c r="G260" s="119"/>
    </row>
    <row r="261" ht="46.5" customHeight="1">
      <c r="A261" s="145"/>
      <c r="B261" s="138"/>
      <c r="C261" s="138"/>
      <c r="D261" s="138"/>
      <c r="E261" s="138"/>
      <c r="F261" s="138"/>
      <c r="G261" s="119"/>
    </row>
    <row r="262" ht="46.5" customHeight="1">
      <c r="A262" s="145"/>
      <c r="B262" s="138"/>
      <c r="C262" s="138"/>
      <c r="D262" s="138"/>
      <c r="E262" s="138"/>
      <c r="F262" s="138"/>
      <c r="G262" s="119"/>
    </row>
    <row r="263" ht="46.5" customHeight="1">
      <c r="A263" s="145"/>
      <c r="B263" s="138"/>
      <c r="C263" s="138"/>
      <c r="D263" s="138"/>
      <c r="E263" s="138"/>
      <c r="F263" s="138"/>
      <c r="G263" s="119"/>
    </row>
    <row r="264" ht="46.5" customHeight="1">
      <c r="A264" s="145"/>
      <c r="B264" s="138"/>
      <c r="C264" s="138"/>
      <c r="D264" s="138"/>
      <c r="E264" s="138"/>
      <c r="F264" s="138"/>
      <c r="G264" s="119"/>
    </row>
    <row r="265" ht="46.5" customHeight="1">
      <c r="A265" s="145"/>
      <c r="B265" s="138"/>
      <c r="C265" s="138"/>
      <c r="D265" s="138"/>
      <c r="E265" s="138"/>
      <c r="F265" s="138"/>
      <c r="G265" s="119"/>
    </row>
    <row r="266" ht="46.5" customHeight="1">
      <c r="A266" s="145"/>
      <c r="B266" s="138"/>
      <c r="C266" s="138"/>
      <c r="D266" s="138"/>
      <c r="E266" s="138"/>
      <c r="F266" s="138"/>
      <c r="G266" s="119"/>
    </row>
    <row r="267" ht="46.5" customHeight="1">
      <c r="A267" s="145"/>
      <c r="B267" s="138"/>
      <c r="C267" s="138"/>
      <c r="D267" s="138"/>
      <c r="E267" s="138"/>
      <c r="F267" s="138"/>
      <c r="G267" s="119"/>
    </row>
    <row r="268" ht="46.5" customHeight="1">
      <c r="A268" s="145"/>
      <c r="B268" s="138"/>
      <c r="C268" s="138"/>
      <c r="D268" s="138"/>
      <c r="E268" s="138"/>
      <c r="F268" s="138"/>
      <c r="G268" s="119"/>
    </row>
    <row r="269" ht="46.5" customHeight="1">
      <c r="A269" s="145"/>
      <c r="B269" s="138"/>
      <c r="C269" s="138"/>
      <c r="D269" s="138"/>
      <c r="E269" s="138"/>
      <c r="F269" s="138"/>
      <c r="G269" s="119"/>
    </row>
    <row r="270" ht="46.5" customHeight="1">
      <c r="A270" s="145"/>
      <c r="B270" s="138"/>
      <c r="C270" s="138"/>
      <c r="D270" s="138"/>
      <c r="E270" s="138"/>
      <c r="F270" s="138"/>
      <c r="G270" s="119"/>
    </row>
    <row r="271" ht="46.5" customHeight="1">
      <c r="A271" s="145"/>
      <c r="B271" s="138"/>
      <c r="C271" s="138"/>
      <c r="D271" s="138"/>
      <c r="E271" s="138"/>
      <c r="F271" s="138"/>
      <c r="G271" s="119"/>
    </row>
    <row r="272" ht="46.5" customHeight="1">
      <c r="A272" s="145"/>
      <c r="B272" s="138"/>
      <c r="C272" s="138"/>
      <c r="D272" s="138"/>
      <c r="E272" s="138"/>
      <c r="F272" s="138"/>
      <c r="G272" s="119"/>
    </row>
    <row r="273" ht="46.5" customHeight="1">
      <c r="A273" s="145"/>
      <c r="B273" s="138"/>
      <c r="C273" s="138"/>
      <c r="D273" s="138"/>
      <c r="E273" s="138"/>
      <c r="F273" s="138"/>
      <c r="G273" s="119"/>
    </row>
    <row r="274" ht="46.5" customHeight="1">
      <c r="A274" s="145"/>
      <c r="B274" s="138"/>
      <c r="C274" s="138"/>
      <c r="D274" s="138"/>
      <c r="E274" s="138"/>
      <c r="F274" s="138"/>
      <c r="G274" s="119"/>
    </row>
    <row r="275" ht="46.5" customHeight="1">
      <c r="A275" s="145"/>
      <c r="B275" s="138"/>
      <c r="C275" s="138"/>
      <c r="D275" s="138"/>
      <c r="E275" s="138"/>
      <c r="F275" s="138"/>
      <c r="G275" s="119"/>
    </row>
    <row r="276" ht="46.5" customHeight="1">
      <c r="A276" s="145"/>
      <c r="B276" s="138"/>
      <c r="C276" s="138"/>
      <c r="D276" s="138"/>
      <c r="E276" s="138"/>
      <c r="F276" s="138"/>
      <c r="G276" s="119"/>
    </row>
    <row r="277" ht="46.5" customHeight="1">
      <c r="A277" s="145"/>
      <c r="B277" s="138"/>
      <c r="C277" s="138"/>
      <c r="D277" s="138"/>
      <c r="E277" s="138"/>
      <c r="F277" s="138"/>
      <c r="G277" s="119"/>
    </row>
    <row r="278" ht="46.5" customHeight="1">
      <c r="A278" s="145"/>
      <c r="B278" s="138"/>
      <c r="C278" s="138"/>
      <c r="D278" s="138"/>
      <c r="E278" s="138"/>
      <c r="F278" s="138"/>
      <c r="G278" s="119"/>
    </row>
    <row r="279" ht="46.5" customHeight="1">
      <c r="A279" s="145"/>
      <c r="B279" s="138"/>
      <c r="C279" s="138"/>
      <c r="D279" s="138"/>
      <c r="E279" s="138"/>
      <c r="F279" s="138"/>
      <c r="G279" s="119"/>
    </row>
    <row r="280" ht="46.5" customHeight="1">
      <c r="A280" s="145"/>
      <c r="B280" s="138"/>
      <c r="C280" s="138"/>
      <c r="D280" s="138"/>
      <c r="E280" s="138"/>
      <c r="F280" s="138"/>
      <c r="G280" s="119"/>
    </row>
    <row r="281" ht="46.5" customHeight="1">
      <c r="A281" s="145"/>
      <c r="B281" s="138"/>
      <c r="C281" s="138"/>
      <c r="D281" s="138"/>
      <c r="E281" s="138"/>
      <c r="F281" s="138"/>
      <c r="G281" s="119"/>
    </row>
    <row r="282" ht="46.5" customHeight="1">
      <c r="A282" s="145"/>
      <c r="B282" s="138"/>
      <c r="C282" s="138"/>
      <c r="D282" s="138"/>
      <c r="E282" s="138"/>
      <c r="F282" s="138"/>
      <c r="G282" s="119"/>
    </row>
    <row r="283" ht="46.5" customHeight="1">
      <c r="A283" s="145"/>
      <c r="B283" s="138"/>
      <c r="C283" s="138"/>
      <c r="D283" s="138"/>
      <c r="E283" s="138"/>
      <c r="F283" s="138"/>
      <c r="G283" s="119"/>
    </row>
    <row r="284" ht="46.5" customHeight="1">
      <c r="A284" s="145"/>
      <c r="B284" s="138"/>
      <c r="C284" s="138"/>
      <c r="D284" s="138"/>
      <c r="E284" s="138"/>
      <c r="F284" s="138"/>
      <c r="G284" s="119"/>
    </row>
    <row r="285" ht="46.5" customHeight="1">
      <c r="A285" s="145"/>
      <c r="B285" s="138"/>
      <c r="C285" s="138"/>
      <c r="D285" s="138"/>
      <c r="E285" s="138"/>
      <c r="F285" s="138"/>
      <c r="G285" s="119"/>
    </row>
    <row r="286" ht="46.5" customHeight="1">
      <c r="A286" s="145"/>
      <c r="B286" s="138"/>
      <c r="C286" s="138"/>
      <c r="D286" s="138"/>
      <c r="E286" s="138"/>
      <c r="F286" s="138"/>
      <c r="G286" s="119"/>
    </row>
    <row r="287" ht="46.5" customHeight="1">
      <c r="A287" s="145"/>
      <c r="B287" s="138"/>
      <c r="C287" s="138"/>
      <c r="D287" s="138"/>
      <c r="E287" s="138"/>
      <c r="F287" s="138"/>
      <c r="G287" s="119"/>
    </row>
    <row r="288" ht="46.5" customHeight="1">
      <c r="A288" s="145"/>
      <c r="B288" s="138"/>
      <c r="C288" s="138"/>
      <c r="D288" s="138"/>
      <c r="E288" s="138"/>
      <c r="F288" s="138"/>
      <c r="G288" s="119"/>
    </row>
    <row r="289" ht="46.5" customHeight="1">
      <c r="A289" s="145"/>
      <c r="B289" s="138"/>
      <c r="C289" s="138"/>
      <c r="D289" s="138"/>
      <c r="E289" s="138"/>
      <c r="F289" s="138"/>
      <c r="G289" s="119"/>
    </row>
    <row r="290" ht="46.5" customHeight="1">
      <c r="A290" s="145"/>
      <c r="B290" s="138"/>
      <c r="C290" s="138"/>
      <c r="D290" s="138"/>
      <c r="E290" s="138"/>
      <c r="F290" s="138"/>
      <c r="G290" s="119"/>
    </row>
    <row r="291" ht="46.5" customHeight="1">
      <c r="A291" s="145"/>
      <c r="B291" s="138"/>
      <c r="C291" s="138"/>
      <c r="D291" s="138"/>
      <c r="E291" s="138"/>
      <c r="F291" s="138"/>
      <c r="G291" s="119"/>
    </row>
    <row r="292" ht="46.5" customHeight="1">
      <c r="A292" s="145"/>
      <c r="B292" s="138"/>
      <c r="C292" s="138"/>
      <c r="D292" s="138"/>
      <c r="E292" s="138"/>
      <c r="F292" s="138"/>
      <c r="G292" s="119"/>
    </row>
    <row r="293" ht="46.5" customHeight="1">
      <c r="A293" s="145"/>
      <c r="B293" s="138"/>
      <c r="C293" s="138"/>
      <c r="D293" s="138"/>
      <c r="E293" s="138"/>
      <c r="F293" s="138"/>
      <c r="G293" s="119"/>
    </row>
    <row r="294" ht="46.5" customHeight="1">
      <c r="A294" s="145"/>
      <c r="B294" s="138"/>
      <c r="C294" s="138"/>
      <c r="D294" s="138"/>
      <c r="E294" s="138"/>
      <c r="F294" s="138"/>
      <c r="G294" s="119"/>
    </row>
    <row r="295" ht="46.5" customHeight="1">
      <c r="A295" s="145"/>
      <c r="B295" s="138"/>
      <c r="C295" s="138"/>
      <c r="D295" s="138"/>
      <c r="E295" s="138"/>
      <c r="F295" s="138"/>
      <c r="G295" s="119"/>
    </row>
    <row r="296" ht="46.5" customHeight="1">
      <c r="A296" s="145"/>
      <c r="B296" s="138"/>
      <c r="C296" s="138"/>
      <c r="D296" s="138"/>
      <c r="E296" s="138"/>
      <c r="F296" s="138"/>
      <c r="G296" s="119"/>
    </row>
    <row r="297" ht="46.5" customHeight="1">
      <c r="A297" s="145"/>
      <c r="B297" s="138"/>
      <c r="C297" s="138"/>
      <c r="D297" s="138"/>
      <c r="E297" s="138"/>
      <c r="F297" s="138"/>
      <c r="G297" s="119"/>
    </row>
    <row r="298" ht="46.5" customHeight="1">
      <c r="A298" s="145"/>
      <c r="B298" s="138"/>
      <c r="C298" s="138"/>
      <c r="D298" s="138"/>
      <c r="E298" s="138"/>
      <c r="F298" s="138"/>
      <c r="G298" s="119"/>
    </row>
    <row r="299" ht="46.5" customHeight="1">
      <c r="A299" s="145"/>
      <c r="B299" s="138"/>
      <c r="C299" s="138"/>
      <c r="D299" s="138"/>
      <c r="E299" s="138"/>
      <c r="F299" s="138"/>
      <c r="G299" s="119"/>
    </row>
    <row r="300" ht="46.5" customHeight="1">
      <c r="A300" s="145"/>
      <c r="B300" s="138"/>
      <c r="C300" s="138"/>
      <c r="D300" s="138"/>
      <c r="E300" s="138"/>
      <c r="F300" s="138"/>
      <c r="G300" s="119"/>
    </row>
    <row r="301" ht="46.5" customHeight="1">
      <c r="A301" s="145"/>
      <c r="B301" s="138"/>
      <c r="C301" s="138"/>
      <c r="D301" s="138"/>
      <c r="E301" s="138"/>
      <c r="F301" s="138"/>
      <c r="G301" s="119"/>
    </row>
    <row r="302" ht="46.5" customHeight="1">
      <c r="A302" s="145"/>
      <c r="B302" s="138"/>
      <c r="C302" s="138"/>
      <c r="D302" s="138"/>
      <c r="E302" s="138"/>
      <c r="F302" s="138"/>
      <c r="G302" s="119"/>
    </row>
    <row r="303" ht="46.5" customHeight="1">
      <c r="A303" s="145"/>
      <c r="B303" s="138"/>
      <c r="C303" s="138"/>
      <c r="D303" s="138"/>
      <c r="E303" s="138"/>
      <c r="F303" s="138"/>
      <c r="G303" s="119"/>
    </row>
    <row r="304" ht="46.5" customHeight="1">
      <c r="A304" s="145"/>
      <c r="B304" s="138"/>
      <c r="C304" s="138"/>
      <c r="D304" s="138"/>
      <c r="E304" s="138"/>
      <c r="F304" s="138"/>
      <c r="G304" s="119"/>
    </row>
    <row r="305" ht="46.5" customHeight="1">
      <c r="A305" s="145"/>
      <c r="B305" s="138"/>
      <c r="C305" s="138"/>
      <c r="D305" s="138"/>
      <c r="E305" s="138"/>
      <c r="F305" s="138"/>
      <c r="G305" s="119"/>
    </row>
    <row r="306" ht="46.5" customHeight="1">
      <c r="A306" s="145"/>
      <c r="B306" s="138"/>
      <c r="C306" s="138"/>
      <c r="D306" s="138"/>
      <c r="E306" s="138"/>
      <c r="F306" s="138"/>
      <c r="G306" s="119"/>
    </row>
    <row r="307" ht="46.5" customHeight="1">
      <c r="A307" s="145"/>
      <c r="B307" s="138"/>
      <c r="C307" s="138"/>
      <c r="D307" s="138"/>
      <c r="E307" s="138"/>
      <c r="F307" s="138"/>
      <c r="G307" s="119"/>
    </row>
    <row r="308" ht="46.5" customHeight="1">
      <c r="A308" s="145"/>
      <c r="B308" s="138"/>
      <c r="C308" s="138"/>
      <c r="D308" s="138"/>
      <c r="E308" s="138"/>
      <c r="F308" s="138"/>
      <c r="G308" s="119"/>
    </row>
    <row r="309" ht="46.5" customHeight="1">
      <c r="A309" s="145"/>
      <c r="B309" s="138"/>
      <c r="C309" s="138"/>
      <c r="D309" s="138"/>
      <c r="E309" s="138"/>
      <c r="F309" s="138"/>
      <c r="G309" s="119"/>
    </row>
    <row r="310" ht="46.5" customHeight="1">
      <c r="A310" s="145"/>
      <c r="B310" s="138"/>
      <c r="C310" s="138"/>
      <c r="D310" s="138"/>
      <c r="E310" s="138"/>
      <c r="F310" s="138"/>
      <c r="G310" s="119"/>
    </row>
    <row r="311" ht="46.5" customHeight="1">
      <c r="A311" s="145"/>
      <c r="B311" s="138"/>
      <c r="C311" s="138"/>
      <c r="D311" s="138"/>
      <c r="E311" s="138"/>
      <c r="F311" s="138"/>
      <c r="G311" s="119"/>
    </row>
    <row r="312" ht="46.5" customHeight="1">
      <c r="A312" s="145"/>
      <c r="B312" s="138"/>
      <c r="C312" s="138"/>
      <c r="D312" s="138"/>
      <c r="E312" s="138"/>
      <c r="F312" s="138"/>
      <c r="G312" s="119"/>
    </row>
    <row r="313" ht="46.5" customHeight="1">
      <c r="A313" s="145"/>
      <c r="B313" s="138"/>
      <c r="C313" s="138"/>
      <c r="D313" s="138"/>
      <c r="E313" s="138"/>
      <c r="F313" s="138"/>
      <c r="G313" s="119"/>
    </row>
    <row r="314" ht="46.5" customHeight="1">
      <c r="A314" s="145"/>
      <c r="B314" s="138"/>
      <c r="C314" s="138"/>
      <c r="D314" s="138"/>
      <c r="E314" s="138"/>
      <c r="F314" s="138"/>
      <c r="G314" s="119"/>
    </row>
    <row r="315" ht="46.5" customHeight="1">
      <c r="A315" s="145"/>
      <c r="B315" s="138"/>
      <c r="C315" s="138"/>
      <c r="D315" s="138"/>
      <c r="E315" s="138"/>
      <c r="F315" s="138"/>
      <c r="G315" s="119"/>
    </row>
    <row r="316" ht="46.5" customHeight="1">
      <c r="A316" s="145"/>
      <c r="B316" s="138"/>
      <c r="C316" s="138"/>
      <c r="D316" s="138"/>
      <c r="E316" s="138"/>
      <c r="F316" s="138"/>
      <c r="G316" s="119"/>
    </row>
    <row r="317" ht="46.5" customHeight="1">
      <c r="A317" s="145"/>
      <c r="B317" s="138"/>
      <c r="C317" s="138"/>
      <c r="D317" s="138"/>
      <c r="E317" s="138"/>
      <c r="F317" s="138"/>
      <c r="G317" s="119"/>
    </row>
    <row r="318" ht="46.5" customHeight="1">
      <c r="A318" s="145"/>
      <c r="B318" s="138"/>
      <c r="C318" s="138"/>
      <c r="D318" s="138"/>
      <c r="E318" s="138"/>
      <c r="F318" s="138"/>
      <c r="G318" s="119"/>
    </row>
    <row r="319" ht="46.5" customHeight="1">
      <c r="A319" s="145"/>
      <c r="B319" s="138"/>
      <c r="C319" s="138"/>
      <c r="D319" s="138"/>
      <c r="E319" s="138"/>
      <c r="F319" s="138"/>
      <c r="G319" s="119"/>
    </row>
    <row r="320" ht="46.5" customHeight="1">
      <c r="A320" s="145"/>
      <c r="B320" s="138"/>
      <c r="C320" s="138"/>
      <c r="D320" s="138"/>
      <c r="E320" s="138"/>
      <c r="F320" s="138"/>
      <c r="G320" s="119"/>
    </row>
    <row r="321" ht="46.5" customHeight="1">
      <c r="A321" s="145"/>
      <c r="B321" s="138"/>
      <c r="C321" s="138"/>
      <c r="D321" s="138"/>
      <c r="E321" s="138"/>
      <c r="F321" s="138"/>
      <c r="G321" s="119"/>
    </row>
    <row r="322" ht="46.5" customHeight="1">
      <c r="A322" s="145"/>
      <c r="B322" s="138"/>
      <c r="C322" s="138"/>
      <c r="D322" s="138"/>
      <c r="E322" s="138"/>
      <c r="F322" s="138"/>
      <c r="G322" s="119"/>
    </row>
    <row r="323" ht="46.5" customHeight="1">
      <c r="A323" s="145"/>
      <c r="B323" s="138"/>
      <c r="C323" s="138"/>
      <c r="D323" s="138"/>
      <c r="E323" s="138"/>
      <c r="F323" s="138"/>
      <c r="G323" s="119"/>
    </row>
    <row r="324" ht="46.5" customHeight="1">
      <c r="A324" s="145"/>
      <c r="B324" s="138"/>
      <c r="C324" s="138"/>
      <c r="D324" s="138"/>
      <c r="E324" s="138"/>
      <c r="F324" s="138"/>
      <c r="G324" s="119"/>
    </row>
    <row r="325" ht="46.5" customHeight="1">
      <c r="A325" s="145"/>
      <c r="B325" s="138"/>
      <c r="C325" s="138"/>
      <c r="D325" s="138"/>
      <c r="E325" s="138"/>
      <c r="F325" s="138"/>
      <c r="G325" s="119"/>
    </row>
    <row r="326" ht="46.5" customHeight="1">
      <c r="A326" s="145"/>
      <c r="B326" s="138"/>
      <c r="C326" s="138"/>
      <c r="D326" s="138"/>
      <c r="E326" s="138"/>
      <c r="F326" s="138"/>
      <c r="G326" s="119"/>
    </row>
    <row r="327" ht="46.5" customHeight="1">
      <c r="A327" s="145"/>
      <c r="B327" s="138"/>
      <c r="C327" s="138"/>
      <c r="D327" s="138"/>
      <c r="E327" s="138"/>
      <c r="F327" s="138"/>
      <c r="G327" s="119"/>
    </row>
    <row r="328" ht="46.5" customHeight="1">
      <c r="A328" s="145"/>
      <c r="B328" s="138"/>
      <c r="C328" s="138"/>
      <c r="D328" s="138"/>
      <c r="E328" s="138"/>
      <c r="F328" s="138"/>
      <c r="G328" s="119"/>
    </row>
    <row r="329" ht="46.5" customHeight="1">
      <c r="A329" s="145"/>
      <c r="B329" s="138"/>
      <c r="C329" s="138"/>
      <c r="D329" s="138"/>
      <c r="E329" s="138"/>
      <c r="F329" s="138"/>
      <c r="G329" s="119"/>
    </row>
    <row r="330" ht="46.5" customHeight="1">
      <c r="A330" s="145"/>
      <c r="B330" s="138"/>
      <c r="C330" s="138"/>
      <c r="D330" s="138"/>
      <c r="E330" s="138"/>
      <c r="F330" s="138"/>
      <c r="G330" s="119"/>
    </row>
    <row r="331" ht="46.5" customHeight="1">
      <c r="A331" s="145"/>
      <c r="B331" s="138"/>
      <c r="C331" s="138"/>
      <c r="D331" s="138"/>
      <c r="E331" s="138"/>
      <c r="F331" s="138"/>
      <c r="G331" s="119"/>
    </row>
    <row r="332" ht="46.5" customHeight="1">
      <c r="A332" s="145"/>
      <c r="B332" s="138"/>
      <c r="C332" s="138"/>
      <c r="D332" s="138"/>
      <c r="E332" s="138"/>
      <c r="F332" s="138"/>
      <c r="G332" s="119"/>
    </row>
    <row r="333" ht="46.5" customHeight="1">
      <c r="A333" s="145"/>
      <c r="B333" s="138"/>
      <c r="C333" s="138"/>
      <c r="D333" s="138"/>
      <c r="E333" s="138"/>
      <c r="F333" s="138"/>
      <c r="G333" s="119"/>
    </row>
    <row r="334" ht="46.5" customHeight="1">
      <c r="A334" s="145"/>
      <c r="B334" s="138"/>
      <c r="C334" s="138"/>
      <c r="D334" s="138"/>
      <c r="E334" s="138"/>
      <c r="F334" s="138"/>
      <c r="G334" s="119"/>
    </row>
    <row r="335" ht="46.5" customHeight="1">
      <c r="A335" s="145"/>
      <c r="B335" s="138"/>
      <c r="C335" s="138"/>
      <c r="D335" s="138"/>
      <c r="E335" s="138"/>
      <c r="F335" s="138"/>
      <c r="G335" s="119"/>
    </row>
    <row r="336" ht="46.5" customHeight="1">
      <c r="A336" s="145"/>
      <c r="B336" s="138"/>
      <c r="C336" s="138"/>
      <c r="D336" s="138"/>
      <c r="E336" s="138"/>
      <c r="F336" s="138"/>
      <c r="G336" s="119"/>
    </row>
    <row r="337" ht="46.5" customHeight="1">
      <c r="A337" s="145"/>
      <c r="B337" s="138"/>
      <c r="C337" s="138"/>
      <c r="D337" s="138"/>
      <c r="E337" s="138"/>
      <c r="F337" s="138"/>
      <c r="G337" s="119"/>
    </row>
    <row r="338" ht="46.5" customHeight="1">
      <c r="A338" s="145"/>
      <c r="B338" s="138"/>
      <c r="C338" s="138"/>
      <c r="D338" s="138"/>
      <c r="E338" s="138"/>
      <c r="F338" s="138"/>
      <c r="G338" s="119"/>
    </row>
    <row r="339" ht="46.5" customHeight="1">
      <c r="A339" s="145"/>
      <c r="B339" s="138"/>
      <c r="C339" s="138"/>
      <c r="D339" s="138"/>
      <c r="E339" s="138"/>
      <c r="F339" s="138"/>
      <c r="G339" s="119"/>
    </row>
    <row r="340" ht="46.5" customHeight="1">
      <c r="A340" s="145"/>
      <c r="B340" s="138"/>
      <c r="C340" s="138"/>
      <c r="D340" s="138"/>
      <c r="E340" s="138"/>
      <c r="F340" s="138"/>
      <c r="G340" s="119"/>
    </row>
    <row r="341" ht="46.5" customHeight="1">
      <c r="A341" s="145"/>
      <c r="B341" s="138"/>
      <c r="C341" s="138"/>
      <c r="D341" s="138"/>
      <c r="E341" s="138"/>
      <c r="F341" s="138"/>
      <c r="G341" s="119"/>
    </row>
    <row r="342" ht="46.5" customHeight="1">
      <c r="A342" s="145"/>
      <c r="B342" s="138"/>
      <c r="C342" s="138"/>
      <c r="D342" s="138"/>
      <c r="E342" s="138"/>
      <c r="F342" s="138"/>
      <c r="G342" s="119"/>
    </row>
    <row r="343" ht="46.5" customHeight="1">
      <c r="A343" s="145"/>
      <c r="B343" s="138"/>
      <c r="C343" s="138"/>
      <c r="D343" s="138"/>
      <c r="E343" s="138"/>
      <c r="F343" s="138"/>
      <c r="G343" s="119"/>
    </row>
    <row r="344" ht="46.5" customHeight="1">
      <c r="A344" s="145"/>
      <c r="B344" s="138"/>
      <c r="C344" s="138"/>
      <c r="D344" s="138"/>
      <c r="E344" s="138"/>
      <c r="F344" s="138"/>
      <c r="G344" s="119"/>
    </row>
    <row r="345" ht="46.5" customHeight="1">
      <c r="A345" s="145"/>
      <c r="B345" s="138"/>
      <c r="C345" s="138"/>
      <c r="D345" s="138"/>
      <c r="E345" s="138"/>
      <c r="F345" s="138"/>
      <c r="G345" s="119"/>
    </row>
    <row r="346" ht="46.5" customHeight="1">
      <c r="A346" s="145"/>
      <c r="B346" s="138"/>
      <c r="C346" s="138"/>
      <c r="D346" s="138"/>
      <c r="E346" s="138"/>
      <c r="F346" s="138"/>
      <c r="G346" s="119"/>
    </row>
    <row r="347" ht="46.5" customHeight="1">
      <c r="A347" s="145"/>
      <c r="B347" s="138"/>
      <c r="C347" s="138"/>
      <c r="D347" s="138"/>
      <c r="E347" s="138"/>
      <c r="F347" s="138"/>
      <c r="G347" s="119"/>
    </row>
    <row r="348" ht="46.5" customHeight="1">
      <c r="A348" s="145"/>
      <c r="B348" s="138"/>
      <c r="C348" s="138"/>
      <c r="D348" s="138"/>
      <c r="E348" s="138"/>
      <c r="F348" s="138"/>
      <c r="G348" s="119"/>
    </row>
    <row r="349" ht="46.5" customHeight="1">
      <c r="A349" s="145"/>
      <c r="B349" s="138"/>
      <c r="C349" s="138"/>
      <c r="D349" s="138"/>
      <c r="E349" s="138"/>
      <c r="F349" s="138"/>
      <c r="G349" s="119"/>
    </row>
    <row r="350" ht="46.5" customHeight="1">
      <c r="A350" s="145"/>
      <c r="B350" s="138"/>
      <c r="C350" s="138"/>
      <c r="D350" s="138"/>
      <c r="E350" s="138"/>
      <c r="F350" s="138"/>
      <c r="G350" s="119"/>
    </row>
    <row r="351" ht="46.5" customHeight="1">
      <c r="A351" s="145"/>
      <c r="B351" s="138"/>
      <c r="C351" s="138"/>
      <c r="D351" s="138"/>
      <c r="E351" s="138"/>
      <c r="F351" s="138"/>
      <c r="G351" s="119"/>
    </row>
    <row r="352" ht="46.5" customHeight="1">
      <c r="A352" s="145"/>
      <c r="B352" s="138"/>
      <c r="C352" s="138"/>
      <c r="D352" s="138"/>
      <c r="E352" s="138"/>
      <c r="F352" s="138"/>
      <c r="G352" s="119"/>
    </row>
    <row r="353" ht="46.5" customHeight="1">
      <c r="A353" s="145"/>
      <c r="B353" s="138"/>
      <c r="C353" s="138"/>
      <c r="D353" s="138"/>
      <c r="E353" s="138"/>
      <c r="F353" s="138"/>
      <c r="G353" s="119"/>
    </row>
    <row r="354" ht="46.5" customHeight="1">
      <c r="A354" s="145"/>
      <c r="B354" s="138"/>
      <c r="C354" s="138"/>
      <c r="D354" s="138"/>
      <c r="E354" s="138"/>
      <c r="F354" s="138"/>
      <c r="G354" s="119"/>
    </row>
    <row r="355" ht="46.5" customHeight="1">
      <c r="A355" s="145"/>
      <c r="B355" s="138"/>
      <c r="C355" s="138"/>
      <c r="D355" s="138"/>
      <c r="E355" s="138"/>
      <c r="F355" s="138"/>
      <c r="G355" s="119"/>
    </row>
    <row r="356" ht="46.5" customHeight="1">
      <c r="A356" s="145"/>
      <c r="B356" s="138"/>
      <c r="C356" s="138"/>
      <c r="D356" s="138"/>
      <c r="E356" s="138"/>
      <c r="F356" s="138"/>
      <c r="G356" s="119"/>
    </row>
    <row r="357" ht="46.5" customHeight="1">
      <c r="A357" s="145"/>
      <c r="B357" s="138"/>
      <c r="C357" s="138"/>
      <c r="D357" s="138"/>
      <c r="E357" s="138"/>
      <c r="F357" s="138"/>
      <c r="G357" s="119"/>
    </row>
    <row r="358" ht="46.5" customHeight="1">
      <c r="A358" s="145"/>
      <c r="B358" s="138"/>
      <c r="C358" s="138"/>
      <c r="D358" s="138"/>
      <c r="E358" s="138"/>
      <c r="F358" s="138"/>
      <c r="G358" s="119"/>
    </row>
    <row r="359" ht="46.5" customHeight="1">
      <c r="A359" s="145"/>
      <c r="B359" s="138"/>
      <c r="C359" s="138"/>
      <c r="D359" s="138"/>
      <c r="E359" s="138"/>
      <c r="F359" s="138"/>
      <c r="G359" s="119"/>
    </row>
    <row r="360" ht="46.5" customHeight="1">
      <c r="A360" s="145"/>
      <c r="B360" s="138"/>
      <c r="C360" s="138"/>
      <c r="D360" s="138"/>
      <c r="E360" s="138"/>
      <c r="F360" s="138"/>
      <c r="G360" s="119"/>
    </row>
    <row r="361" ht="46.5" customHeight="1">
      <c r="A361" s="145"/>
      <c r="B361" s="138"/>
      <c r="C361" s="138"/>
      <c r="D361" s="138"/>
      <c r="E361" s="138"/>
      <c r="F361" s="138"/>
      <c r="G361" s="119"/>
    </row>
    <row r="362" ht="46.5" customHeight="1">
      <c r="A362" s="145"/>
      <c r="B362" s="138"/>
      <c r="C362" s="138"/>
      <c r="D362" s="138"/>
      <c r="E362" s="138"/>
      <c r="F362" s="138"/>
      <c r="G362" s="119"/>
    </row>
    <row r="363" ht="46.5" customHeight="1">
      <c r="A363" s="145"/>
      <c r="B363" s="138"/>
      <c r="C363" s="138"/>
      <c r="D363" s="138"/>
      <c r="E363" s="138"/>
      <c r="F363" s="138"/>
      <c r="G363" s="119"/>
    </row>
    <row r="364" ht="46.5" customHeight="1">
      <c r="A364" s="145"/>
      <c r="B364" s="138"/>
      <c r="C364" s="138"/>
      <c r="D364" s="138"/>
      <c r="E364" s="138"/>
      <c r="F364" s="138"/>
      <c r="G364" s="119"/>
    </row>
    <row r="365" ht="46.5" customHeight="1">
      <c r="A365" s="145"/>
      <c r="B365" s="138"/>
      <c r="C365" s="138"/>
      <c r="D365" s="138"/>
      <c r="E365" s="138"/>
      <c r="F365" s="138"/>
      <c r="G365" s="119"/>
    </row>
    <row r="366" ht="46.5" customHeight="1">
      <c r="A366" s="145"/>
      <c r="B366" s="138"/>
      <c r="C366" s="138"/>
      <c r="D366" s="138"/>
      <c r="E366" s="138"/>
      <c r="F366" s="138"/>
      <c r="G366" s="119"/>
    </row>
    <row r="367" ht="46.5" customHeight="1">
      <c r="A367" s="145"/>
      <c r="B367" s="138"/>
      <c r="C367" s="138"/>
      <c r="D367" s="138"/>
      <c r="E367" s="138"/>
      <c r="F367" s="138"/>
      <c r="G367" s="119"/>
    </row>
    <row r="368" ht="46.5" customHeight="1">
      <c r="A368" s="145"/>
      <c r="B368" s="138"/>
      <c r="C368" s="138"/>
      <c r="D368" s="138"/>
      <c r="E368" s="138"/>
      <c r="F368" s="138"/>
      <c r="G368" s="119"/>
    </row>
    <row r="369" ht="46.5" customHeight="1">
      <c r="A369" s="145"/>
      <c r="B369" s="138"/>
      <c r="C369" s="138"/>
      <c r="D369" s="138"/>
      <c r="E369" s="138"/>
      <c r="F369" s="138"/>
      <c r="G369" s="119"/>
    </row>
    <row r="370" ht="46.5" customHeight="1">
      <c r="A370" s="145"/>
      <c r="B370" s="138"/>
      <c r="C370" s="138"/>
      <c r="D370" s="138"/>
      <c r="E370" s="138"/>
      <c r="F370" s="138"/>
      <c r="G370" s="119"/>
    </row>
    <row r="371" ht="46.5" customHeight="1">
      <c r="A371" s="145"/>
      <c r="B371" s="138"/>
      <c r="C371" s="138"/>
      <c r="D371" s="138"/>
      <c r="E371" s="138"/>
      <c r="F371" s="138"/>
      <c r="G371" s="119"/>
    </row>
    <row r="372" ht="46.5" customHeight="1">
      <c r="A372" s="145"/>
      <c r="B372" s="138"/>
      <c r="C372" s="138"/>
      <c r="D372" s="138"/>
      <c r="E372" s="138"/>
      <c r="F372" s="138"/>
      <c r="G372" s="119"/>
    </row>
    <row r="373" ht="46.5" customHeight="1">
      <c r="A373" s="145"/>
      <c r="B373" s="138"/>
      <c r="C373" s="138"/>
      <c r="D373" s="138"/>
      <c r="E373" s="138"/>
      <c r="F373" s="138"/>
      <c r="G373" s="119"/>
    </row>
    <row r="374" ht="46.5" customHeight="1">
      <c r="A374" s="145"/>
      <c r="B374" s="138"/>
      <c r="C374" s="138"/>
      <c r="D374" s="138"/>
      <c r="E374" s="138"/>
      <c r="F374" s="138"/>
      <c r="G374" s="119"/>
    </row>
    <row r="375" ht="46.5" customHeight="1">
      <c r="A375" s="145"/>
      <c r="B375" s="138"/>
      <c r="C375" s="138"/>
      <c r="D375" s="138"/>
      <c r="E375" s="138"/>
      <c r="F375" s="138"/>
      <c r="G375" s="119"/>
    </row>
    <row r="376" ht="46.5" customHeight="1">
      <c r="A376" s="145"/>
      <c r="B376" s="138"/>
      <c r="C376" s="138"/>
      <c r="D376" s="138"/>
      <c r="E376" s="138"/>
      <c r="F376" s="138"/>
      <c r="G376" s="119"/>
    </row>
    <row r="377" ht="46.5" customHeight="1">
      <c r="A377" s="145"/>
      <c r="B377" s="138"/>
      <c r="C377" s="138"/>
      <c r="D377" s="138"/>
      <c r="E377" s="138"/>
      <c r="F377" s="138"/>
      <c r="G377" s="119"/>
    </row>
    <row r="378" ht="46.5" customHeight="1">
      <c r="A378" s="145"/>
      <c r="B378" s="138"/>
      <c r="C378" s="138"/>
      <c r="D378" s="138"/>
      <c r="E378" s="138"/>
      <c r="F378" s="138"/>
      <c r="G378" s="119"/>
    </row>
    <row r="379" ht="46.5" customHeight="1">
      <c r="A379" s="145"/>
      <c r="B379" s="138"/>
      <c r="C379" s="138"/>
      <c r="D379" s="138"/>
      <c r="E379" s="138"/>
      <c r="F379" s="138"/>
      <c r="G379" s="119"/>
    </row>
    <row r="380" ht="46.5" customHeight="1">
      <c r="A380" s="145"/>
      <c r="B380" s="138"/>
      <c r="C380" s="138"/>
      <c r="D380" s="138"/>
      <c r="E380" s="138"/>
      <c r="F380" s="138"/>
      <c r="G380" s="119"/>
    </row>
    <row r="381" ht="46.5" customHeight="1">
      <c r="A381" s="145"/>
      <c r="B381" s="138"/>
      <c r="C381" s="138"/>
      <c r="D381" s="138"/>
      <c r="E381" s="138"/>
      <c r="F381" s="138"/>
      <c r="G381" s="119"/>
    </row>
    <row r="382" ht="46.5" customHeight="1">
      <c r="A382" s="145"/>
      <c r="B382" s="138"/>
      <c r="C382" s="138"/>
      <c r="D382" s="138"/>
      <c r="E382" s="138"/>
      <c r="F382" s="138"/>
      <c r="G382" s="119"/>
    </row>
    <row r="383" ht="46.5" customHeight="1">
      <c r="A383" s="145"/>
      <c r="B383" s="138"/>
      <c r="C383" s="138"/>
      <c r="D383" s="138"/>
      <c r="E383" s="138"/>
      <c r="F383" s="138"/>
      <c r="G383" s="119"/>
    </row>
    <row r="384" ht="46.5" customHeight="1">
      <c r="A384" s="145"/>
      <c r="B384" s="138"/>
      <c r="C384" s="138"/>
      <c r="D384" s="138"/>
      <c r="E384" s="138"/>
      <c r="F384" s="138"/>
      <c r="G384" s="119"/>
    </row>
    <row r="385" ht="46.5" customHeight="1">
      <c r="A385" s="145"/>
      <c r="B385" s="138"/>
      <c r="C385" s="138"/>
      <c r="D385" s="138"/>
      <c r="E385" s="138"/>
      <c r="F385" s="138"/>
      <c r="G385" s="119"/>
    </row>
    <row r="386" ht="46.5" customHeight="1">
      <c r="A386" s="145"/>
      <c r="B386" s="138"/>
      <c r="C386" s="138"/>
      <c r="D386" s="138"/>
      <c r="E386" s="138"/>
      <c r="F386" s="138"/>
      <c r="G386" s="119"/>
    </row>
    <row r="387" ht="46.5" customHeight="1">
      <c r="A387" s="145"/>
      <c r="B387" s="138"/>
      <c r="C387" s="138"/>
      <c r="D387" s="138"/>
      <c r="E387" s="138"/>
      <c r="F387" s="138"/>
      <c r="G387" s="119"/>
    </row>
    <row r="388" ht="46.5" customHeight="1">
      <c r="A388" s="145"/>
      <c r="B388" s="138"/>
      <c r="C388" s="138"/>
      <c r="D388" s="138"/>
      <c r="E388" s="138"/>
      <c r="F388" s="138"/>
      <c r="G388" s="119"/>
    </row>
    <row r="389" ht="46.5" customHeight="1">
      <c r="A389" s="145"/>
      <c r="B389" s="138"/>
      <c r="C389" s="138"/>
      <c r="D389" s="138"/>
      <c r="E389" s="138"/>
      <c r="F389" s="138"/>
      <c r="G389" s="119"/>
    </row>
    <row r="390" ht="46.5" customHeight="1">
      <c r="A390" s="145"/>
      <c r="B390" s="138"/>
      <c r="C390" s="138"/>
      <c r="D390" s="138"/>
      <c r="E390" s="138"/>
      <c r="F390" s="138"/>
      <c r="G390" s="119"/>
    </row>
    <row r="391" ht="46.5" customHeight="1">
      <c r="A391" s="145"/>
      <c r="B391" s="138"/>
      <c r="C391" s="138"/>
      <c r="D391" s="138"/>
      <c r="E391" s="138"/>
      <c r="F391" s="138"/>
      <c r="G391" s="119"/>
    </row>
    <row r="392" ht="46.5" customHeight="1">
      <c r="A392" s="145"/>
      <c r="B392" s="138"/>
      <c r="C392" s="138"/>
      <c r="D392" s="138"/>
      <c r="E392" s="138"/>
      <c r="F392" s="138"/>
      <c r="G392" s="119"/>
    </row>
    <row r="393" ht="46.5" customHeight="1">
      <c r="A393" s="145"/>
      <c r="B393" s="138"/>
      <c r="C393" s="138"/>
      <c r="D393" s="138"/>
      <c r="E393" s="138"/>
      <c r="F393" s="138"/>
      <c r="G393" s="119"/>
    </row>
    <row r="394" ht="46.5" customHeight="1">
      <c r="A394" s="145"/>
      <c r="B394" s="138"/>
      <c r="C394" s="138"/>
      <c r="D394" s="138"/>
      <c r="E394" s="138"/>
      <c r="F394" s="138"/>
      <c r="G394" s="119"/>
    </row>
    <row r="395" ht="46.5" customHeight="1">
      <c r="A395" s="145"/>
      <c r="B395" s="138"/>
      <c r="C395" s="138"/>
      <c r="D395" s="138"/>
      <c r="E395" s="138"/>
      <c r="F395" s="138"/>
      <c r="G395" s="119"/>
    </row>
    <row r="396" ht="46.5" customHeight="1">
      <c r="A396" s="145"/>
      <c r="B396" s="138"/>
      <c r="C396" s="138"/>
      <c r="D396" s="138"/>
      <c r="E396" s="138"/>
      <c r="F396" s="138"/>
      <c r="G396" s="119"/>
    </row>
    <row r="397" ht="46.5" customHeight="1">
      <c r="A397" s="145"/>
      <c r="B397" s="138"/>
      <c r="C397" s="138"/>
      <c r="D397" s="138"/>
      <c r="E397" s="138"/>
      <c r="F397" s="138"/>
      <c r="G397" s="119"/>
    </row>
    <row r="398" ht="46.5" customHeight="1">
      <c r="A398" s="145"/>
      <c r="B398" s="138"/>
      <c r="C398" s="138"/>
      <c r="D398" s="138"/>
      <c r="E398" s="138"/>
      <c r="F398" s="138"/>
      <c r="G398" s="119"/>
    </row>
    <row r="399" ht="46.5" customHeight="1">
      <c r="A399" s="145"/>
      <c r="B399" s="138"/>
      <c r="C399" s="138"/>
      <c r="D399" s="138"/>
      <c r="E399" s="138"/>
      <c r="F399" s="138"/>
      <c r="G399" s="119"/>
    </row>
    <row r="400" ht="46.5" customHeight="1">
      <c r="A400" s="145"/>
      <c r="B400" s="138"/>
      <c r="C400" s="138"/>
      <c r="D400" s="138"/>
      <c r="E400" s="138"/>
      <c r="F400" s="138"/>
      <c r="G400" s="119"/>
    </row>
    <row r="401" ht="46.5" customHeight="1">
      <c r="A401" s="145"/>
      <c r="B401" s="138"/>
      <c r="C401" s="138"/>
      <c r="D401" s="138"/>
      <c r="E401" s="138"/>
      <c r="F401" s="138"/>
      <c r="G401" s="119"/>
    </row>
    <row r="402" ht="46.5" customHeight="1">
      <c r="A402" s="145"/>
      <c r="B402" s="138"/>
      <c r="C402" s="138"/>
      <c r="D402" s="138"/>
      <c r="E402" s="138"/>
      <c r="F402" s="138"/>
      <c r="G402" s="119"/>
    </row>
    <row r="403" ht="46.5" customHeight="1">
      <c r="A403" s="145"/>
      <c r="B403" s="138"/>
      <c r="C403" s="138"/>
      <c r="D403" s="138"/>
      <c r="E403" s="138"/>
      <c r="F403" s="138"/>
      <c r="G403" s="119"/>
    </row>
    <row r="404" ht="46.5" customHeight="1">
      <c r="A404" s="145"/>
      <c r="B404" s="138"/>
      <c r="C404" s="138"/>
      <c r="D404" s="138"/>
      <c r="E404" s="138"/>
      <c r="F404" s="138"/>
      <c r="G404" s="119"/>
    </row>
    <row r="405" ht="46.5" customHeight="1">
      <c r="A405" s="145"/>
      <c r="B405" s="138"/>
      <c r="C405" s="138"/>
      <c r="D405" s="138"/>
      <c r="E405" s="138"/>
      <c r="F405" s="138"/>
      <c r="G405" s="119"/>
    </row>
    <row r="406" ht="46.5" customHeight="1">
      <c r="A406" s="145"/>
      <c r="B406" s="138"/>
      <c r="C406" s="138"/>
      <c r="D406" s="138"/>
      <c r="E406" s="138"/>
      <c r="F406" s="138"/>
      <c r="G406" s="119"/>
    </row>
    <row r="407" ht="46.5" customHeight="1">
      <c r="A407" s="145"/>
      <c r="B407" s="138"/>
      <c r="C407" s="138"/>
      <c r="D407" s="138"/>
      <c r="E407" s="138"/>
      <c r="F407" s="138"/>
      <c r="G407" s="119"/>
    </row>
    <row r="408" ht="46.5" customHeight="1">
      <c r="A408" s="145"/>
      <c r="B408" s="138"/>
      <c r="C408" s="138"/>
      <c r="D408" s="138"/>
      <c r="E408" s="138"/>
      <c r="F408" s="138"/>
      <c r="G408" s="119"/>
    </row>
    <row r="409" ht="46.5" customHeight="1">
      <c r="A409" s="145"/>
      <c r="B409" s="138"/>
      <c r="C409" s="138"/>
      <c r="D409" s="138"/>
      <c r="E409" s="138"/>
      <c r="F409" s="138"/>
      <c r="G409" s="119"/>
    </row>
    <row r="410" ht="46.5" customHeight="1">
      <c r="A410" s="145"/>
      <c r="B410" s="138"/>
      <c r="C410" s="138"/>
      <c r="D410" s="138"/>
      <c r="E410" s="138"/>
      <c r="F410" s="138"/>
      <c r="G410" s="119"/>
    </row>
    <row r="411" ht="46.5" customHeight="1">
      <c r="A411" s="145"/>
      <c r="B411" s="138"/>
      <c r="C411" s="138"/>
      <c r="D411" s="138"/>
      <c r="E411" s="138"/>
      <c r="F411" s="138"/>
      <c r="G411" s="119"/>
    </row>
    <row r="412" ht="46.5" customHeight="1">
      <c r="A412" s="145"/>
      <c r="B412" s="138"/>
      <c r="C412" s="138"/>
      <c r="D412" s="138"/>
      <c r="E412" s="138"/>
      <c r="F412" s="138"/>
      <c r="G412" s="119"/>
    </row>
    <row r="413" ht="46.5" customHeight="1">
      <c r="A413" s="145"/>
      <c r="B413" s="138"/>
      <c r="C413" s="138"/>
      <c r="D413" s="138"/>
      <c r="E413" s="138"/>
      <c r="F413" s="138"/>
      <c r="G413" s="119"/>
    </row>
    <row r="414" ht="46.5" customHeight="1">
      <c r="A414" s="145"/>
      <c r="B414" s="138"/>
      <c r="C414" s="138"/>
      <c r="D414" s="138"/>
      <c r="E414" s="138"/>
      <c r="F414" s="138"/>
      <c r="G414" s="119"/>
    </row>
    <row r="415" ht="46.5" customHeight="1">
      <c r="A415" s="145"/>
      <c r="B415" s="138"/>
      <c r="C415" s="138"/>
      <c r="D415" s="138"/>
      <c r="E415" s="138"/>
      <c r="F415" s="138"/>
      <c r="G415" s="119"/>
    </row>
    <row r="416" ht="46.5" customHeight="1">
      <c r="A416" s="145"/>
      <c r="B416" s="138"/>
      <c r="C416" s="138"/>
      <c r="D416" s="138"/>
      <c r="E416" s="138"/>
      <c r="F416" s="138"/>
      <c r="G416" s="119"/>
    </row>
    <row r="417" ht="46.5" customHeight="1">
      <c r="A417" s="145"/>
      <c r="B417" s="138"/>
      <c r="C417" s="138"/>
      <c r="D417" s="138"/>
      <c r="E417" s="138"/>
      <c r="F417" s="138"/>
      <c r="G417" s="119"/>
    </row>
    <row r="418" ht="46.5" customHeight="1">
      <c r="A418" s="145"/>
      <c r="B418" s="138"/>
      <c r="C418" s="138"/>
      <c r="D418" s="138"/>
      <c r="E418" s="138"/>
      <c r="F418" s="138"/>
      <c r="G418" s="119"/>
    </row>
    <row r="419" ht="46.5" customHeight="1">
      <c r="A419" s="145"/>
      <c r="B419" s="138"/>
      <c r="C419" s="138"/>
      <c r="D419" s="138"/>
      <c r="E419" s="138"/>
      <c r="F419" s="138"/>
      <c r="G419" s="119"/>
    </row>
    <row r="420" ht="46.5" customHeight="1">
      <c r="A420" s="145"/>
      <c r="B420" s="138"/>
      <c r="C420" s="138"/>
      <c r="D420" s="138"/>
      <c r="E420" s="138"/>
      <c r="F420" s="138"/>
      <c r="G420" s="119"/>
    </row>
    <row r="421" ht="46.5" customHeight="1">
      <c r="A421" s="145"/>
      <c r="B421" s="138"/>
      <c r="C421" s="138"/>
      <c r="D421" s="138"/>
      <c r="E421" s="138"/>
      <c r="F421" s="138"/>
      <c r="G421" s="119"/>
    </row>
    <row r="422" ht="46.5" customHeight="1">
      <c r="A422" s="145"/>
      <c r="B422" s="138"/>
      <c r="C422" s="138"/>
      <c r="D422" s="138"/>
      <c r="E422" s="138"/>
      <c r="F422" s="138"/>
      <c r="G422" s="119"/>
    </row>
    <row r="423" ht="46.5" customHeight="1">
      <c r="A423" s="145"/>
      <c r="B423" s="138"/>
      <c r="C423" s="138"/>
      <c r="D423" s="138"/>
      <c r="E423" s="138"/>
      <c r="F423" s="138"/>
      <c r="G423" s="119"/>
    </row>
    <row r="424" ht="46.5" customHeight="1">
      <c r="A424" s="145"/>
      <c r="B424" s="138"/>
      <c r="C424" s="138"/>
      <c r="D424" s="138"/>
      <c r="E424" s="138"/>
      <c r="F424" s="138"/>
      <c r="G424" s="119"/>
    </row>
    <row r="425" ht="46.5" customHeight="1">
      <c r="A425" s="145"/>
      <c r="B425" s="138"/>
      <c r="C425" s="138"/>
      <c r="D425" s="138"/>
      <c r="E425" s="138"/>
      <c r="F425" s="138"/>
      <c r="G425" s="119"/>
    </row>
    <row r="426" ht="46.5" customHeight="1">
      <c r="A426" s="145"/>
      <c r="B426" s="138"/>
      <c r="C426" s="138"/>
      <c r="D426" s="138"/>
      <c r="E426" s="138"/>
      <c r="F426" s="138"/>
      <c r="G426" s="119"/>
    </row>
    <row r="427" ht="46.5" customHeight="1">
      <c r="A427" s="145"/>
      <c r="B427" s="138"/>
      <c r="C427" s="138"/>
      <c r="D427" s="138"/>
      <c r="E427" s="138"/>
      <c r="F427" s="138"/>
      <c r="G427" s="119"/>
    </row>
    <row r="428" ht="46.5" customHeight="1">
      <c r="A428" s="145"/>
      <c r="B428" s="138"/>
      <c r="C428" s="138"/>
      <c r="D428" s="138"/>
      <c r="E428" s="138"/>
      <c r="F428" s="138"/>
      <c r="G428" s="119"/>
    </row>
    <row r="429" ht="46.5" customHeight="1">
      <c r="A429" s="145"/>
      <c r="B429" s="138"/>
      <c r="C429" s="138"/>
      <c r="D429" s="138"/>
      <c r="E429" s="138"/>
      <c r="F429" s="138"/>
      <c r="G429" s="119"/>
    </row>
    <row r="430" ht="46.5" customHeight="1">
      <c r="A430" s="145"/>
      <c r="B430" s="138"/>
      <c r="C430" s="138"/>
      <c r="D430" s="138"/>
      <c r="E430" s="138"/>
      <c r="F430" s="138"/>
      <c r="G430" s="119"/>
    </row>
    <row r="431" ht="46.5" customHeight="1">
      <c r="A431" s="145"/>
      <c r="B431" s="138"/>
      <c r="C431" s="138"/>
      <c r="D431" s="138"/>
      <c r="E431" s="138"/>
      <c r="F431" s="138"/>
      <c r="G431" s="119"/>
    </row>
    <row r="432" ht="46.5" customHeight="1">
      <c r="A432" s="145"/>
      <c r="B432" s="138"/>
      <c r="C432" s="138"/>
      <c r="D432" s="138"/>
      <c r="E432" s="138"/>
      <c r="F432" s="138"/>
      <c r="G432" s="119"/>
    </row>
    <row r="433" ht="46.5" customHeight="1">
      <c r="A433" s="145"/>
      <c r="B433" s="138"/>
      <c r="C433" s="138"/>
      <c r="D433" s="138"/>
      <c r="E433" s="138"/>
      <c r="F433" s="138"/>
      <c r="G433" s="119"/>
    </row>
    <row r="434" ht="46.5" customHeight="1">
      <c r="A434" s="145"/>
      <c r="B434" s="138"/>
      <c r="C434" s="138"/>
      <c r="D434" s="138"/>
      <c r="E434" s="138"/>
      <c r="F434" s="138"/>
      <c r="G434" s="119"/>
    </row>
    <row r="435" ht="46.5" customHeight="1">
      <c r="A435" s="145"/>
      <c r="B435" s="138"/>
      <c r="C435" s="138"/>
      <c r="D435" s="138"/>
      <c r="E435" s="138"/>
      <c r="F435" s="138"/>
      <c r="G435" s="119"/>
    </row>
    <row r="436" ht="46.5" customHeight="1">
      <c r="A436" s="145"/>
      <c r="B436" s="138"/>
      <c r="C436" s="138"/>
      <c r="D436" s="138"/>
      <c r="E436" s="138"/>
      <c r="F436" s="138"/>
      <c r="G436" s="119"/>
    </row>
    <row r="437" ht="46.5" customHeight="1">
      <c r="A437" s="145"/>
      <c r="B437" s="138"/>
      <c r="C437" s="138"/>
      <c r="D437" s="138"/>
      <c r="E437" s="138"/>
      <c r="F437" s="138"/>
      <c r="G437" s="119"/>
    </row>
    <row r="438" ht="46.5" customHeight="1">
      <c r="A438" s="145"/>
      <c r="B438" s="138"/>
      <c r="C438" s="138"/>
      <c r="D438" s="138"/>
      <c r="E438" s="138"/>
      <c r="F438" s="138"/>
      <c r="G438" s="119"/>
    </row>
    <row r="439" ht="46.5" customHeight="1">
      <c r="A439" s="145"/>
      <c r="B439" s="138"/>
      <c r="C439" s="138"/>
      <c r="D439" s="138"/>
      <c r="E439" s="138"/>
      <c r="F439" s="138"/>
      <c r="G439" s="119"/>
    </row>
    <row r="440" ht="46.5" customHeight="1">
      <c r="A440" s="145"/>
      <c r="B440" s="138"/>
      <c r="C440" s="138"/>
      <c r="D440" s="138"/>
      <c r="E440" s="138"/>
      <c r="F440" s="138"/>
      <c r="G440" s="119"/>
    </row>
    <row r="441" ht="46.5" customHeight="1">
      <c r="A441" s="145"/>
      <c r="B441" s="138"/>
      <c r="C441" s="138"/>
      <c r="D441" s="138"/>
      <c r="E441" s="138"/>
      <c r="F441" s="138"/>
      <c r="G441" s="119"/>
    </row>
    <row r="442" ht="46.5" customHeight="1">
      <c r="A442" s="145"/>
      <c r="B442" s="138"/>
      <c r="C442" s="138"/>
      <c r="D442" s="138"/>
      <c r="E442" s="138"/>
      <c r="F442" s="138"/>
      <c r="G442" s="119"/>
    </row>
    <row r="443" ht="46.5" customHeight="1">
      <c r="A443" s="145"/>
      <c r="B443" s="138"/>
      <c r="C443" s="138"/>
      <c r="D443" s="138"/>
      <c r="E443" s="138"/>
      <c r="F443" s="138"/>
      <c r="G443" s="119"/>
    </row>
    <row r="444" ht="46.5" customHeight="1">
      <c r="A444" s="145"/>
      <c r="B444" s="138"/>
      <c r="C444" s="138"/>
      <c r="D444" s="138"/>
      <c r="E444" s="138"/>
      <c r="F444" s="138"/>
      <c r="G444" s="119"/>
    </row>
    <row r="445" ht="46.5" customHeight="1">
      <c r="A445" s="145"/>
      <c r="B445" s="138"/>
      <c r="C445" s="138"/>
      <c r="D445" s="138"/>
      <c r="E445" s="138"/>
      <c r="F445" s="138"/>
      <c r="G445" s="119"/>
    </row>
    <row r="446" ht="46.5" customHeight="1">
      <c r="A446" s="145"/>
      <c r="B446" s="138"/>
      <c r="C446" s="138"/>
      <c r="D446" s="138"/>
      <c r="E446" s="138"/>
      <c r="F446" s="138"/>
      <c r="G446" s="119"/>
    </row>
    <row r="447" ht="46.5" customHeight="1">
      <c r="A447" s="145"/>
      <c r="B447" s="138"/>
      <c r="C447" s="138"/>
      <c r="D447" s="138"/>
      <c r="E447" s="138"/>
      <c r="F447" s="138"/>
      <c r="G447" s="119"/>
    </row>
    <row r="448" ht="46.5" customHeight="1">
      <c r="A448" s="145"/>
      <c r="B448" s="138"/>
      <c r="C448" s="138"/>
      <c r="D448" s="138"/>
      <c r="E448" s="138"/>
      <c r="F448" s="138"/>
      <c r="G448" s="119"/>
    </row>
    <row r="449" ht="46.5" customHeight="1">
      <c r="A449" s="145"/>
      <c r="B449" s="138"/>
      <c r="C449" s="138"/>
      <c r="D449" s="138"/>
      <c r="E449" s="138"/>
      <c r="F449" s="138"/>
      <c r="G449" s="119"/>
    </row>
    <row r="450" ht="46.5" customHeight="1">
      <c r="A450" s="145"/>
      <c r="B450" s="138"/>
      <c r="C450" s="138"/>
      <c r="D450" s="138"/>
      <c r="E450" s="138"/>
      <c r="F450" s="138"/>
      <c r="G450" s="119"/>
    </row>
    <row r="451" ht="46.5" customHeight="1">
      <c r="A451" s="145"/>
      <c r="B451" s="138"/>
      <c r="C451" s="138"/>
      <c r="D451" s="138"/>
      <c r="E451" s="138"/>
      <c r="F451" s="138"/>
      <c r="G451" s="119"/>
    </row>
    <row r="452" ht="46.5" customHeight="1">
      <c r="A452" s="145"/>
      <c r="B452" s="138"/>
      <c r="C452" s="138"/>
      <c r="D452" s="138"/>
      <c r="E452" s="138"/>
      <c r="F452" s="138"/>
      <c r="G452" s="119"/>
    </row>
    <row r="453" ht="46.5" customHeight="1">
      <c r="A453" s="145"/>
      <c r="B453" s="138"/>
      <c r="C453" s="138"/>
      <c r="D453" s="138"/>
      <c r="E453" s="138"/>
      <c r="F453" s="138"/>
      <c r="G453" s="119"/>
    </row>
    <row r="454" ht="46.5" customHeight="1">
      <c r="A454" s="145"/>
      <c r="B454" s="138"/>
      <c r="C454" s="138"/>
      <c r="D454" s="138"/>
      <c r="E454" s="138"/>
      <c r="F454" s="138"/>
      <c r="G454" s="119"/>
    </row>
    <row r="455" ht="46.5" customHeight="1">
      <c r="A455" s="145"/>
      <c r="B455" s="138"/>
      <c r="C455" s="138"/>
      <c r="D455" s="138"/>
      <c r="E455" s="138"/>
      <c r="F455" s="138"/>
      <c r="G455" s="119"/>
    </row>
    <row r="456" ht="46.5" customHeight="1">
      <c r="A456" s="145"/>
      <c r="B456" s="138"/>
      <c r="C456" s="138"/>
      <c r="D456" s="138"/>
      <c r="E456" s="138"/>
      <c r="F456" s="138"/>
      <c r="G456" s="119"/>
    </row>
    <row r="457" ht="46.5" customHeight="1">
      <c r="A457" s="145"/>
      <c r="B457" s="138"/>
      <c r="C457" s="138"/>
      <c r="D457" s="138"/>
      <c r="E457" s="138"/>
      <c r="F457" s="138"/>
      <c r="G457" s="119"/>
    </row>
    <row r="458" ht="46.5" customHeight="1">
      <c r="A458" s="145"/>
      <c r="B458" s="138"/>
      <c r="C458" s="138"/>
      <c r="D458" s="138"/>
      <c r="E458" s="138"/>
      <c r="F458" s="138"/>
      <c r="G458" s="119"/>
    </row>
    <row r="459" ht="46.5" customHeight="1">
      <c r="A459" s="145"/>
      <c r="B459" s="138"/>
      <c r="C459" s="138"/>
      <c r="D459" s="138"/>
      <c r="E459" s="138"/>
      <c r="F459" s="138"/>
      <c r="G459" s="119"/>
    </row>
    <row r="460" ht="46.5" customHeight="1">
      <c r="A460" s="145"/>
      <c r="B460" s="138"/>
      <c r="C460" s="138"/>
      <c r="D460" s="138"/>
      <c r="E460" s="138"/>
      <c r="F460" s="138"/>
      <c r="G460" s="119"/>
    </row>
    <row r="461" ht="46.5" customHeight="1">
      <c r="A461" s="145"/>
      <c r="B461" s="138"/>
      <c r="C461" s="138"/>
      <c r="D461" s="138"/>
      <c r="E461" s="138"/>
      <c r="F461" s="138"/>
      <c r="G461" s="119"/>
    </row>
    <row r="462" ht="46.5" customHeight="1">
      <c r="A462" s="145"/>
      <c r="B462" s="138"/>
      <c r="C462" s="138"/>
      <c r="D462" s="138"/>
      <c r="E462" s="138"/>
      <c r="F462" s="138"/>
      <c r="G462" s="119"/>
    </row>
    <row r="463" ht="46.5" customHeight="1">
      <c r="A463" s="145"/>
      <c r="B463" s="138"/>
      <c r="C463" s="138"/>
      <c r="D463" s="138"/>
      <c r="E463" s="138"/>
      <c r="F463" s="138"/>
      <c r="G463" s="119"/>
    </row>
    <row r="464" ht="46.5" customHeight="1">
      <c r="A464" s="145"/>
      <c r="B464" s="138"/>
      <c r="C464" s="138"/>
      <c r="D464" s="138"/>
      <c r="E464" s="138"/>
      <c r="F464" s="138"/>
      <c r="G464" s="119"/>
    </row>
    <row r="465" ht="46.5" customHeight="1">
      <c r="A465" s="145"/>
      <c r="B465" s="138"/>
      <c r="C465" s="138"/>
      <c r="D465" s="138"/>
      <c r="E465" s="138"/>
      <c r="F465" s="138"/>
      <c r="G465" s="119"/>
    </row>
    <row r="466" ht="46.5" customHeight="1">
      <c r="A466" s="145"/>
      <c r="B466" s="138"/>
      <c r="C466" s="138"/>
      <c r="D466" s="138"/>
      <c r="E466" s="138"/>
      <c r="F466" s="138"/>
      <c r="G466" s="119"/>
    </row>
    <row r="467" ht="46.5" customHeight="1">
      <c r="A467" s="145"/>
      <c r="B467" s="138"/>
      <c r="C467" s="138"/>
      <c r="D467" s="138"/>
      <c r="E467" s="138"/>
      <c r="F467" s="138"/>
      <c r="G467" s="119"/>
    </row>
    <row r="468" ht="46.5" customHeight="1">
      <c r="A468" s="145"/>
      <c r="B468" s="138"/>
      <c r="C468" s="138"/>
      <c r="D468" s="138"/>
      <c r="E468" s="138"/>
      <c r="F468" s="138"/>
      <c r="G468" s="119"/>
    </row>
    <row r="469" ht="46.5" customHeight="1">
      <c r="A469" s="145"/>
      <c r="B469" s="138"/>
      <c r="C469" s="138"/>
      <c r="D469" s="138"/>
      <c r="E469" s="138"/>
      <c r="F469" s="138"/>
      <c r="G469" s="119"/>
    </row>
    <row r="470" ht="46.5" customHeight="1">
      <c r="A470" s="145"/>
      <c r="B470" s="138"/>
      <c r="C470" s="138"/>
      <c r="D470" s="138"/>
      <c r="E470" s="138"/>
      <c r="F470" s="138"/>
      <c r="G470" s="119"/>
    </row>
    <row r="471" ht="46.5" customHeight="1">
      <c r="A471" s="145"/>
      <c r="B471" s="138"/>
      <c r="C471" s="138"/>
      <c r="D471" s="138"/>
      <c r="E471" s="138"/>
      <c r="F471" s="138"/>
      <c r="G471" s="119"/>
    </row>
    <row r="472" ht="46.5" customHeight="1">
      <c r="A472" s="145"/>
      <c r="B472" s="138"/>
      <c r="C472" s="138"/>
      <c r="D472" s="138"/>
      <c r="E472" s="138"/>
      <c r="F472" s="138"/>
      <c r="G472" s="119"/>
    </row>
    <row r="473" ht="46.5" customHeight="1">
      <c r="A473" s="145"/>
      <c r="B473" s="138"/>
      <c r="C473" s="138"/>
      <c r="D473" s="138"/>
      <c r="E473" s="138"/>
      <c r="F473" s="138"/>
      <c r="G473" s="119"/>
    </row>
    <row r="474" ht="46.5" customHeight="1">
      <c r="A474" s="145"/>
      <c r="B474" s="138"/>
      <c r="C474" s="138"/>
      <c r="D474" s="138"/>
      <c r="E474" s="138"/>
      <c r="F474" s="138"/>
      <c r="G474" s="119"/>
    </row>
    <row r="475" ht="46.5" customHeight="1">
      <c r="A475" s="145"/>
      <c r="B475" s="138"/>
      <c r="C475" s="138"/>
      <c r="D475" s="138"/>
      <c r="E475" s="138"/>
      <c r="F475" s="138"/>
      <c r="G475" s="119"/>
    </row>
    <row r="476" ht="46.5" customHeight="1">
      <c r="A476" s="145"/>
      <c r="B476" s="138"/>
      <c r="C476" s="138"/>
      <c r="D476" s="138"/>
      <c r="E476" s="138"/>
      <c r="F476" s="138"/>
      <c r="G476" s="119"/>
    </row>
    <row r="477" ht="46.5" customHeight="1">
      <c r="A477" s="145"/>
      <c r="B477" s="138"/>
      <c r="C477" s="138"/>
      <c r="D477" s="138"/>
      <c r="E477" s="138"/>
      <c r="F477" s="138"/>
      <c r="G477" s="119"/>
    </row>
    <row r="478" ht="46.5" customHeight="1">
      <c r="A478" s="145"/>
      <c r="B478" s="138"/>
      <c r="C478" s="138"/>
      <c r="D478" s="138"/>
      <c r="E478" s="138"/>
      <c r="F478" s="138"/>
      <c r="G478" s="119"/>
    </row>
    <row r="479" ht="46.5" customHeight="1">
      <c r="A479" s="145"/>
      <c r="B479" s="138"/>
      <c r="C479" s="138"/>
      <c r="D479" s="138"/>
      <c r="E479" s="138"/>
      <c r="F479" s="138"/>
      <c r="G479" s="119"/>
    </row>
    <row r="480" ht="46.5" customHeight="1">
      <c r="A480" s="145"/>
      <c r="B480" s="138"/>
      <c r="C480" s="138"/>
      <c r="D480" s="138"/>
      <c r="E480" s="138"/>
      <c r="F480" s="138"/>
      <c r="G480" s="119"/>
    </row>
    <row r="481" ht="46.5" customHeight="1">
      <c r="A481" s="145"/>
      <c r="B481" s="138"/>
      <c r="C481" s="138"/>
      <c r="D481" s="138"/>
      <c r="E481" s="138"/>
      <c r="F481" s="138"/>
      <c r="G481" s="119"/>
    </row>
    <row r="482" ht="46.5" customHeight="1">
      <c r="A482" s="145"/>
      <c r="B482" s="138"/>
      <c r="C482" s="138"/>
      <c r="D482" s="138"/>
      <c r="E482" s="138"/>
      <c r="F482" s="138"/>
      <c r="G482" s="119"/>
    </row>
    <row r="483" ht="46.5" customHeight="1">
      <c r="A483" s="145"/>
      <c r="B483" s="138"/>
      <c r="C483" s="138"/>
      <c r="D483" s="138"/>
      <c r="E483" s="138"/>
      <c r="F483" s="138"/>
      <c r="G483" s="119"/>
    </row>
    <row r="484" ht="46.5" customHeight="1">
      <c r="A484" s="145"/>
      <c r="B484" s="138"/>
      <c r="C484" s="138"/>
      <c r="D484" s="138"/>
      <c r="E484" s="138"/>
      <c r="F484" s="138"/>
      <c r="G484" s="119"/>
    </row>
    <row r="485" ht="46.5" customHeight="1">
      <c r="A485" s="145"/>
      <c r="B485" s="138"/>
      <c r="C485" s="138"/>
      <c r="D485" s="138"/>
      <c r="E485" s="138"/>
      <c r="F485" s="138"/>
      <c r="G485" s="119"/>
    </row>
    <row r="486" ht="46.5" customHeight="1">
      <c r="A486" s="145"/>
      <c r="B486" s="138"/>
      <c r="C486" s="138"/>
      <c r="D486" s="138"/>
      <c r="E486" s="138"/>
      <c r="F486" s="138"/>
      <c r="G486" s="119"/>
    </row>
    <row r="487" ht="46.5" customHeight="1">
      <c r="A487" s="145"/>
      <c r="B487" s="138"/>
      <c r="C487" s="138"/>
      <c r="D487" s="138"/>
      <c r="E487" s="138"/>
      <c r="F487" s="138"/>
      <c r="G487" s="119"/>
    </row>
    <row r="488" ht="46.5" customHeight="1">
      <c r="A488" s="145"/>
      <c r="B488" s="138"/>
      <c r="C488" s="138"/>
      <c r="D488" s="138"/>
      <c r="E488" s="138"/>
      <c r="F488" s="138"/>
      <c r="G488" s="119"/>
    </row>
    <row r="489" ht="46.5" customHeight="1">
      <c r="A489" s="145"/>
      <c r="B489" s="138"/>
      <c r="C489" s="138"/>
      <c r="D489" s="138"/>
      <c r="E489" s="138"/>
      <c r="F489" s="138"/>
      <c r="G489" s="119"/>
    </row>
    <row r="490" ht="46.5" customHeight="1">
      <c r="A490" s="145"/>
      <c r="B490" s="138"/>
      <c r="C490" s="138"/>
      <c r="D490" s="138"/>
      <c r="E490" s="138"/>
      <c r="F490" s="138"/>
      <c r="G490" s="119"/>
    </row>
    <row r="491" ht="46.5" customHeight="1">
      <c r="A491" s="145"/>
      <c r="B491" s="138"/>
      <c r="C491" s="138"/>
      <c r="D491" s="138"/>
      <c r="E491" s="138"/>
      <c r="F491" s="138"/>
      <c r="G491" s="119"/>
    </row>
    <row r="492" ht="46.5" customHeight="1">
      <c r="A492" s="145"/>
      <c r="B492" s="138"/>
      <c r="C492" s="138"/>
      <c r="D492" s="138"/>
      <c r="E492" s="138"/>
      <c r="F492" s="138"/>
      <c r="G492" s="119"/>
    </row>
    <row r="493" ht="46.5" customHeight="1">
      <c r="A493" s="145"/>
      <c r="B493" s="138"/>
      <c r="C493" s="138"/>
      <c r="D493" s="138"/>
      <c r="E493" s="138"/>
      <c r="F493" s="138"/>
      <c r="G493" s="119"/>
    </row>
    <row r="494" ht="46.5" customHeight="1">
      <c r="A494" s="145"/>
      <c r="B494" s="138"/>
      <c r="C494" s="138"/>
      <c r="D494" s="138"/>
      <c r="E494" s="138"/>
      <c r="F494" s="138"/>
      <c r="G494" s="119"/>
    </row>
    <row r="495" ht="46.5" customHeight="1">
      <c r="A495" s="145"/>
      <c r="B495" s="138"/>
      <c r="C495" s="138"/>
      <c r="D495" s="138"/>
      <c r="E495" s="138"/>
      <c r="F495" s="138"/>
      <c r="G495" s="119"/>
    </row>
    <row r="496" ht="46.5" customHeight="1">
      <c r="A496" s="145"/>
      <c r="B496" s="138"/>
      <c r="C496" s="138"/>
      <c r="D496" s="138"/>
      <c r="E496" s="138"/>
      <c r="F496" s="138"/>
      <c r="G496" s="119"/>
    </row>
    <row r="497" ht="46.5" customHeight="1">
      <c r="A497" s="145"/>
      <c r="B497" s="138"/>
      <c r="C497" s="138"/>
      <c r="D497" s="138"/>
      <c r="E497" s="138"/>
      <c r="F497" s="138"/>
      <c r="G497" s="119"/>
    </row>
    <row r="498" ht="46.5" customHeight="1">
      <c r="A498" s="145"/>
      <c r="B498" s="138"/>
      <c r="C498" s="138"/>
      <c r="D498" s="138"/>
      <c r="E498" s="138"/>
      <c r="F498" s="138"/>
      <c r="G498" s="119"/>
    </row>
    <row r="499" ht="46.5" customHeight="1">
      <c r="A499" s="145"/>
      <c r="B499" s="138"/>
      <c r="C499" s="138"/>
      <c r="D499" s="138"/>
      <c r="E499" s="138"/>
      <c r="F499" s="138"/>
      <c r="G499" s="119"/>
    </row>
    <row r="500" ht="46.5" customHeight="1">
      <c r="A500" s="145"/>
      <c r="B500" s="138"/>
      <c r="C500" s="138"/>
      <c r="D500" s="138"/>
      <c r="E500" s="138"/>
      <c r="F500" s="138"/>
      <c r="G500" s="119"/>
    </row>
    <row r="501" ht="46.5" customHeight="1">
      <c r="A501" s="145"/>
      <c r="B501" s="138"/>
      <c r="C501" s="138"/>
      <c r="D501" s="138"/>
      <c r="E501" s="138"/>
      <c r="F501" s="138"/>
      <c r="G501" s="119"/>
    </row>
    <row r="502" ht="46.5" customHeight="1">
      <c r="A502" s="145"/>
      <c r="B502" s="138"/>
      <c r="C502" s="138"/>
      <c r="D502" s="138"/>
      <c r="E502" s="138"/>
      <c r="F502" s="138"/>
      <c r="G502" s="119"/>
    </row>
    <row r="503" ht="46.5" customHeight="1">
      <c r="A503" s="145"/>
      <c r="B503" s="138"/>
      <c r="C503" s="138"/>
      <c r="D503" s="138"/>
      <c r="E503" s="138"/>
      <c r="F503" s="138"/>
      <c r="G503" s="119"/>
    </row>
    <row r="504" ht="46.5" customHeight="1">
      <c r="A504" s="145"/>
      <c r="B504" s="138"/>
      <c r="C504" s="138"/>
      <c r="D504" s="138"/>
      <c r="E504" s="138"/>
      <c r="F504" s="138"/>
      <c r="G504" s="119"/>
    </row>
    <row r="505" ht="46.5" customHeight="1">
      <c r="A505" s="145"/>
      <c r="B505" s="138"/>
      <c r="C505" s="138"/>
      <c r="D505" s="138"/>
      <c r="E505" s="138"/>
      <c r="F505" s="138"/>
      <c r="G505" s="119"/>
    </row>
    <row r="506" ht="46.5" customHeight="1">
      <c r="A506" s="145"/>
      <c r="B506" s="138"/>
      <c r="C506" s="138"/>
      <c r="D506" s="138"/>
      <c r="E506" s="138"/>
      <c r="F506" s="138"/>
      <c r="G506" s="119"/>
    </row>
    <row r="507" ht="46.5" customHeight="1">
      <c r="A507" s="145"/>
      <c r="B507" s="138"/>
      <c r="C507" s="138"/>
      <c r="D507" s="138"/>
      <c r="E507" s="138"/>
      <c r="F507" s="138"/>
      <c r="G507" s="119"/>
    </row>
    <row r="508" ht="46.5" customHeight="1">
      <c r="A508" s="145"/>
      <c r="B508" s="138"/>
      <c r="C508" s="138"/>
      <c r="D508" s="138"/>
      <c r="E508" s="138"/>
      <c r="F508" s="138"/>
      <c r="G508" s="119"/>
    </row>
    <row r="509" ht="46.5" customHeight="1">
      <c r="A509" s="145"/>
      <c r="B509" s="138"/>
      <c r="C509" s="138"/>
      <c r="D509" s="138"/>
      <c r="E509" s="138"/>
      <c r="F509" s="138"/>
      <c r="G509" s="119"/>
    </row>
    <row r="510" ht="46.5" customHeight="1">
      <c r="A510" s="145"/>
      <c r="B510" s="138"/>
      <c r="C510" s="138"/>
      <c r="D510" s="138"/>
      <c r="E510" s="138"/>
      <c r="F510" s="138"/>
      <c r="G510" s="119"/>
    </row>
    <row r="511" ht="46.5" customHeight="1">
      <c r="A511" s="145"/>
      <c r="B511" s="138"/>
      <c r="C511" s="138"/>
      <c r="D511" s="138"/>
      <c r="E511" s="138"/>
      <c r="F511" s="138"/>
      <c r="G511" s="119"/>
    </row>
    <row r="512" ht="46.5" customHeight="1">
      <c r="A512" s="145"/>
      <c r="B512" s="138"/>
      <c r="C512" s="138"/>
      <c r="D512" s="138"/>
      <c r="E512" s="138"/>
      <c r="F512" s="138"/>
      <c r="G512" s="119"/>
    </row>
    <row r="513" ht="46.5" customHeight="1">
      <c r="A513" s="145"/>
      <c r="B513" s="138"/>
      <c r="C513" s="138"/>
      <c r="D513" s="138"/>
      <c r="E513" s="138"/>
      <c r="F513" s="138"/>
      <c r="G513" s="119"/>
    </row>
    <row r="514" ht="46.5" customHeight="1">
      <c r="A514" s="145"/>
      <c r="B514" s="138"/>
      <c r="C514" s="138"/>
      <c r="D514" s="138"/>
      <c r="E514" s="138"/>
      <c r="F514" s="138"/>
      <c r="G514" s="119"/>
    </row>
    <row r="515" ht="46.5" customHeight="1">
      <c r="A515" s="145"/>
      <c r="B515" s="138"/>
      <c r="C515" s="138"/>
      <c r="D515" s="138"/>
      <c r="E515" s="138"/>
      <c r="F515" s="138"/>
      <c r="G515" s="119"/>
    </row>
    <row r="516" ht="46.5" customHeight="1">
      <c r="A516" s="145"/>
      <c r="B516" s="138"/>
      <c r="C516" s="138"/>
      <c r="D516" s="138"/>
      <c r="E516" s="138"/>
      <c r="F516" s="138"/>
      <c r="G516" s="119"/>
    </row>
    <row r="517" ht="46.5" customHeight="1">
      <c r="A517" s="145"/>
      <c r="B517" s="138"/>
      <c r="C517" s="138"/>
      <c r="D517" s="138"/>
      <c r="E517" s="138"/>
      <c r="F517" s="138"/>
      <c r="G517" s="119"/>
    </row>
    <row r="518" ht="46.5" customHeight="1">
      <c r="A518" s="145"/>
      <c r="B518" s="138"/>
      <c r="C518" s="138"/>
      <c r="D518" s="138"/>
      <c r="E518" s="138"/>
      <c r="F518" s="138"/>
      <c r="G518" s="119"/>
    </row>
    <row r="519" ht="46.5" customHeight="1">
      <c r="A519" s="145"/>
      <c r="B519" s="138"/>
      <c r="C519" s="138"/>
      <c r="D519" s="138"/>
      <c r="E519" s="138"/>
      <c r="F519" s="138"/>
      <c r="G519" s="119"/>
    </row>
    <row r="520" ht="46.5" customHeight="1">
      <c r="A520" s="145"/>
      <c r="B520" s="138"/>
      <c r="C520" s="138"/>
      <c r="D520" s="138"/>
      <c r="E520" s="138"/>
      <c r="F520" s="138"/>
      <c r="G520" s="119"/>
    </row>
    <row r="521" ht="46.5" customHeight="1">
      <c r="A521" s="145"/>
      <c r="B521" s="138"/>
      <c r="C521" s="138"/>
      <c r="D521" s="138"/>
      <c r="E521" s="138"/>
      <c r="F521" s="138"/>
      <c r="G521" s="119"/>
    </row>
    <row r="522" ht="46.5" customHeight="1">
      <c r="A522" s="145"/>
      <c r="B522" s="138"/>
      <c r="C522" s="138"/>
      <c r="D522" s="138"/>
      <c r="E522" s="138"/>
      <c r="F522" s="138"/>
      <c r="G522" s="119"/>
    </row>
    <row r="523" ht="46.5" customHeight="1">
      <c r="A523" s="145"/>
      <c r="B523" s="138"/>
      <c r="C523" s="138"/>
      <c r="D523" s="138"/>
      <c r="E523" s="138"/>
      <c r="F523" s="138"/>
      <c r="G523" s="119"/>
    </row>
    <row r="524" ht="46.5" customHeight="1">
      <c r="A524" s="145"/>
      <c r="B524" s="138"/>
      <c r="C524" s="138"/>
      <c r="D524" s="138"/>
      <c r="E524" s="138"/>
      <c r="F524" s="138"/>
      <c r="G524" s="119"/>
    </row>
    <row r="525" ht="46.5" customHeight="1">
      <c r="A525" s="145"/>
      <c r="B525" s="138"/>
      <c r="C525" s="138"/>
      <c r="D525" s="138"/>
      <c r="E525" s="138"/>
      <c r="F525" s="138"/>
      <c r="G525" s="119"/>
    </row>
    <row r="526" ht="46.5" customHeight="1">
      <c r="A526" s="145"/>
      <c r="B526" s="138"/>
      <c r="C526" s="138"/>
      <c r="D526" s="138"/>
      <c r="E526" s="138"/>
      <c r="F526" s="138"/>
      <c r="G526" s="119"/>
    </row>
    <row r="527" ht="46.5" customHeight="1">
      <c r="A527" s="145"/>
      <c r="B527" s="138"/>
      <c r="C527" s="138"/>
      <c r="D527" s="138"/>
      <c r="E527" s="138"/>
      <c r="F527" s="138"/>
      <c r="G527" s="119"/>
    </row>
    <row r="528" ht="46.5" customHeight="1">
      <c r="A528" s="145"/>
      <c r="B528" s="138"/>
      <c r="C528" s="138"/>
      <c r="D528" s="138"/>
      <c r="E528" s="138"/>
      <c r="F528" s="138"/>
      <c r="G528" s="119"/>
    </row>
    <row r="529" ht="46.5" customHeight="1">
      <c r="A529" s="145"/>
      <c r="B529" s="138"/>
      <c r="C529" s="138"/>
      <c r="D529" s="138"/>
      <c r="E529" s="138"/>
      <c r="F529" s="138"/>
      <c r="G529" s="119"/>
    </row>
    <row r="530" ht="46.5" customHeight="1">
      <c r="A530" s="145"/>
      <c r="B530" s="138"/>
      <c r="C530" s="138"/>
      <c r="D530" s="138"/>
      <c r="E530" s="138"/>
      <c r="F530" s="138"/>
      <c r="G530" s="119"/>
    </row>
    <row r="531" ht="46.5" customHeight="1">
      <c r="A531" s="145"/>
      <c r="B531" s="138"/>
      <c r="C531" s="138"/>
      <c r="D531" s="138"/>
      <c r="E531" s="138"/>
      <c r="F531" s="138"/>
      <c r="G531" s="119"/>
    </row>
    <row r="532" ht="46.5" customHeight="1">
      <c r="A532" s="145"/>
      <c r="B532" s="138"/>
      <c r="C532" s="138"/>
      <c r="D532" s="138"/>
      <c r="E532" s="138"/>
      <c r="F532" s="138"/>
      <c r="G532" s="119"/>
    </row>
    <row r="533" ht="46.5" customHeight="1">
      <c r="A533" s="145"/>
      <c r="B533" s="138"/>
      <c r="C533" s="138"/>
      <c r="D533" s="138"/>
      <c r="E533" s="138"/>
      <c r="F533" s="138"/>
      <c r="G533" s="119"/>
    </row>
    <row r="534" ht="46.5" customHeight="1">
      <c r="A534" s="145"/>
      <c r="B534" s="138"/>
      <c r="C534" s="138"/>
      <c r="D534" s="138"/>
      <c r="E534" s="138"/>
      <c r="F534" s="138"/>
      <c r="G534" s="119"/>
    </row>
    <row r="535" ht="46.5" customHeight="1">
      <c r="A535" s="145"/>
      <c r="B535" s="138"/>
      <c r="C535" s="138"/>
      <c r="D535" s="138"/>
      <c r="E535" s="138"/>
      <c r="F535" s="138"/>
      <c r="G535" s="119"/>
    </row>
    <row r="536" ht="46.5" customHeight="1">
      <c r="A536" s="145"/>
      <c r="B536" s="138"/>
      <c r="C536" s="138"/>
      <c r="D536" s="138"/>
      <c r="E536" s="138"/>
      <c r="F536" s="138"/>
      <c r="G536" s="119"/>
    </row>
    <row r="537" ht="46.5" customHeight="1">
      <c r="A537" s="145"/>
      <c r="B537" s="138"/>
      <c r="C537" s="138"/>
      <c r="D537" s="138"/>
      <c r="E537" s="138"/>
      <c r="F537" s="138"/>
      <c r="G537" s="119"/>
    </row>
    <row r="538" ht="46.5" customHeight="1">
      <c r="A538" s="145"/>
      <c r="B538" s="138"/>
      <c r="C538" s="138"/>
      <c r="D538" s="138"/>
      <c r="E538" s="138"/>
      <c r="F538" s="138"/>
      <c r="G538" s="119"/>
    </row>
    <row r="539" ht="46.5" customHeight="1">
      <c r="A539" s="145"/>
      <c r="B539" s="138"/>
      <c r="C539" s="138"/>
      <c r="D539" s="138"/>
      <c r="E539" s="138"/>
      <c r="F539" s="138"/>
      <c r="G539" s="119"/>
    </row>
    <row r="540" ht="46.5" customHeight="1">
      <c r="A540" s="145"/>
      <c r="B540" s="138"/>
      <c r="C540" s="138"/>
      <c r="D540" s="138"/>
      <c r="E540" s="138"/>
      <c r="F540" s="138"/>
      <c r="G540" s="119"/>
    </row>
    <row r="541" ht="46.5" customHeight="1">
      <c r="A541" s="145"/>
      <c r="B541" s="138"/>
      <c r="C541" s="138"/>
      <c r="D541" s="138"/>
      <c r="E541" s="138"/>
      <c r="F541" s="138"/>
      <c r="G541" s="119"/>
    </row>
    <row r="542" ht="46.5" customHeight="1">
      <c r="A542" s="145"/>
      <c r="B542" s="138"/>
      <c r="C542" s="138"/>
      <c r="D542" s="138"/>
      <c r="E542" s="138"/>
      <c r="F542" s="138"/>
      <c r="G542" s="119"/>
    </row>
    <row r="543" ht="46.5" customHeight="1">
      <c r="A543" s="145"/>
      <c r="B543" s="138"/>
      <c r="C543" s="138"/>
      <c r="D543" s="138"/>
      <c r="E543" s="138"/>
      <c r="F543" s="138"/>
      <c r="G543" s="119"/>
    </row>
    <row r="544" ht="46.5" customHeight="1">
      <c r="A544" s="145"/>
      <c r="B544" s="138"/>
      <c r="C544" s="138"/>
      <c r="D544" s="138"/>
      <c r="E544" s="138"/>
      <c r="F544" s="138"/>
      <c r="G544" s="119"/>
    </row>
    <row r="545" ht="46.5" customHeight="1">
      <c r="A545" s="145"/>
      <c r="B545" s="138"/>
      <c r="C545" s="138"/>
      <c r="D545" s="138"/>
      <c r="E545" s="138"/>
      <c r="F545" s="138"/>
      <c r="G545" s="119"/>
    </row>
    <row r="546" ht="46.5" customHeight="1">
      <c r="A546" s="145"/>
      <c r="B546" s="138"/>
      <c r="C546" s="138"/>
      <c r="D546" s="138"/>
      <c r="E546" s="138"/>
      <c r="F546" s="138"/>
      <c r="G546" s="119"/>
    </row>
    <row r="547" ht="46.5" customHeight="1">
      <c r="A547" s="145"/>
      <c r="B547" s="138"/>
      <c r="C547" s="138"/>
      <c r="D547" s="138"/>
      <c r="E547" s="138"/>
      <c r="F547" s="138"/>
      <c r="G547" s="119"/>
    </row>
    <row r="548" ht="46.5" customHeight="1">
      <c r="A548" s="145"/>
      <c r="B548" s="138"/>
      <c r="C548" s="138"/>
      <c r="D548" s="138"/>
      <c r="E548" s="138"/>
      <c r="F548" s="138"/>
      <c r="G548" s="119"/>
    </row>
    <row r="549" ht="46.5" customHeight="1">
      <c r="A549" s="145"/>
      <c r="B549" s="138"/>
      <c r="C549" s="138"/>
      <c r="D549" s="138"/>
      <c r="E549" s="138"/>
      <c r="F549" s="138"/>
      <c r="G549" s="119"/>
    </row>
    <row r="550" ht="46.5" customHeight="1">
      <c r="A550" s="145"/>
      <c r="B550" s="138"/>
      <c r="C550" s="138"/>
      <c r="D550" s="138"/>
      <c r="E550" s="138"/>
      <c r="F550" s="138"/>
      <c r="G550" s="119"/>
    </row>
    <row r="551" ht="46.5" customHeight="1">
      <c r="A551" s="145"/>
      <c r="B551" s="138"/>
      <c r="C551" s="138"/>
      <c r="D551" s="138"/>
      <c r="E551" s="138"/>
      <c r="F551" s="138"/>
      <c r="G551" s="119"/>
    </row>
    <row r="552" ht="46.5" customHeight="1">
      <c r="A552" s="145"/>
      <c r="B552" s="138"/>
      <c r="C552" s="138"/>
      <c r="D552" s="138"/>
      <c r="E552" s="138"/>
      <c r="F552" s="138"/>
      <c r="G552" s="119"/>
    </row>
    <row r="553" ht="46.5" customHeight="1">
      <c r="A553" s="145"/>
      <c r="B553" s="138"/>
      <c r="C553" s="138"/>
      <c r="D553" s="138"/>
      <c r="E553" s="138"/>
      <c r="F553" s="138"/>
      <c r="G553" s="119"/>
    </row>
    <row r="554" ht="46.5" customHeight="1">
      <c r="A554" s="145"/>
      <c r="B554" s="138"/>
      <c r="C554" s="138"/>
      <c r="D554" s="138"/>
      <c r="E554" s="138"/>
      <c r="F554" s="138"/>
      <c r="G554" s="119"/>
    </row>
    <row r="555" ht="46.5" customHeight="1">
      <c r="A555" s="145"/>
      <c r="B555" s="138"/>
      <c r="C555" s="138"/>
      <c r="D555" s="138"/>
      <c r="E555" s="138"/>
      <c r="F555" s="138"/>
      <c r="G555" s="119"/>
    </row>
    <row r="556" ht="46.5" customHeight="1">
      <c r="A556" s="145"/>
      <c r="B556" s="138"/>
      <c r="C556" s="138"/>
      <c r="D556" s="138"/>
      <c r="E556" s="138"/>
      <c r="F556" s="138"/>
      <c r="G556" s="119"/>
    </row>
    <row r="557" ht="46.5" customHeight="1">
      <c r="A557" s="145"/>
      <c r="B557" s="138"/>
      <c r="C557" s="138"/>
      <c r="D557" s="138"/>
      <c r="E557" s="138"/>
      <c r="F557" s="138"/>
      <c r="G557" s="119"/>
    </row>
    <row r="558" ht="46.5" customHeight="1">
      <c r="A558" s="145"/>
      <c r="B558" s="138"/>
      <c r="C558" s="138"/>
      <c r="D558" s="138"/>
      <c r="E558" s="138"/>
      <c r="F558" s="138"/>
      <c r="G558" s="119"/>
    </row>
    <row r="559" ht="46.5" customHeight="1">
      <c r="A559" s="145"/>
      <c r="B559" s="138"/>
      <c r="C559" s="138"/>
      <c r="D559" s="138"/>
      <c r="E559" s="138"/>
      <c r="F559" s="138"/>
      <c r="G559" s="119"/>
    </row>
    <row r="560" ht="46.5" customHeight="1">
      <c r="A560" s="145"/>
      <c r="B560" s="138"/>
      <c r="C560" s="138"/>
      <c r="D560" s="138"/>
      <c r="E560" s="138"/>
      <c r="F560" s="138"/>
      <c r="G560" s="119"/>
    </row>
    <row r="561" ht="46.5" customHeight="1">
      <c r="A561" s="145"/>
      <c r="B561" s="138"/>
      <c r="C561" s="138"/>
      <c r="D561" s="138"/>
      <c r="E561" s="138"/>
      <c r="F561" s="138"/>
      <c r="G561" s="119"/>
    </row>
    <row r="562" ht="46.5" customHeight="1">
      <c r="A562" s="145"/>
      <c r="B562" s="138"/>
      <c r="C562" s="138"/>
      <c r="D562" s="138"/>
      <c r="E562" s="138"/>
      <c r="F562" s="138"/>
      <c r="G562" s="119"/>
    </row>
    <row r="563" ht="46.5" customHeight="1">
      <c r="A563" s="145"/>
      <c r="B563" s="138"/>
      <c r="C563" s="138"/>
      <c r="D563" s="138"/>
      <c r="E563" s="138"/>
      <c r="F563" s="138"/>
      <c r="G563" s="119"/>
    </row>
    <row r="564" ht="46.5" customHeight="1">
      <c r="A564" s="145"/>
      <c r="B564" s="138"/>
      <c r="C564" s="138"/>
      <c r="D564" s="138"/>
      <c r="E564" s="138"/>
      <c r="F564" s="138"/>
      <c r="G564" s="119"/>
    </row>
    <row r="565" ht="46.5" customHeight="1">
      <c r="A565" s="145"/>
      <c r="B565" s="138"/>
      <c r="C565" s="138"/>
      <c r="D565" s="138"/>
      <c r="E565" s="138"/>
      <c r="F565" s="138"/>
      <c r="G565" s="119"/>
    </row>
    <row r="566" ht="46.5" customHeight="1">
      <c r="A566" s="145"/>
      <c r="B566" s="138"/>
      <c r="C566" s="138"/>
      <c r="D566" s="138"/>
      <c r="E566" s="138"/>
      <c r="F566" s="138"/>
      <c r="G566" s="119"/>
    </row>
    <row r="567" ht="46.5" customHeight="1">
      <c r="A567" s="145"/>
      <c r="B567" s="138"/>
      <c r="C567" s="138"/>
      <c r="D567" s="138"/>
      <c r="E567" s="138"/>
      <c r="F567" s="138"/>
      <c r="G567" s="119"/>
    </row>
    <row r="568" ht="46.5" customHeight="1">
      <c r="A568" s="145"/>
      <c r="B568" s="138"/>
      <c r="C568" s="138"/>
      <c r="D568" s="138"/>
      <c r="E568" s="138"/>
      <c r="F568" s="138"/>
      <c r="G568" s="119"/>
    </row>
    <row r="569" ht="46.5" customHeight="1">
      <c r="A569" s="145"/>
      <c r="B569" s="138"/>
      <c r="C569" s="138"/>
      <c r="D569" s="138"/>
      <c r="E569" s="138"/>
      <c r="F569" s="138"/>
      <c r="G569" s="119"/>
    </row>
    <row r="570" ht="46.5" customHeight="1">
      <c r="A570" s="145"/>
      <c r="B570" s="138"/>
      <c r="C570" s="138"/>
      <c r="D570" s="138"/>
      <c r="E570" s="138"/>
      <c r="F570" s="138"/>
      <c r="G570" s="119"/>
    </row>
    <row r="571" ht="46.5" customHeight="1">
      <c r="A571" s="145"/>
      <c r="B571" s="138"/>
      <c r="C571" s="138"/>
      <c r="D571" s="138"/>
      <c r="E571" s="138"/>
      <c r="F571" s="138"/>
      <c r="G571" s="119"/>
    </row>
    <row r="572" ht="46.5" customHeight="1">
      <c r="A572" s="145"/>
      <c r="B572" s="138"/>
      <c r="C572" s="138"/>
      <c r="D572" s="138"/>
      <c r="E572" s="138"/>
      <c r="F572" s="138"/>
      <c r="G572" s="119"/>
    </row>
    <row r="573" ht="46.5" customHeight="1">
      <c r="A573" s="145"/>
      <c r="B573" s="138"/>
      <c r="C573" s="138"/>
      <c r="D573" s="138"/>
      <c r="E573" s="138"/>
      <c r="F573" s="138"/>
      <c r="G573" s="119"/>
    </row>
    <row r="574" ht="46.5" customHeight="1">
      <c r="A574" s="145"/>
      <c r="B574" s="138"/>
      <c r="C574" s="138"/>
      <c r="D574" s="138"/>
      <c r="E574" s="138"/>
      <c r="F574" s="138"/>
      <c r="G574" s="119"/>
    </row>
    <row r="575" ht="46.5" customHeight="1">
      <c r="A575" s="145"/>
      <c r="B575" s="138"/>
      <c r="C575" s="138"/>
      <c r="D575" s="138"/>
      <c r="E575" s="138"/>
      <c r="F575" s="138"/>
      <c r="G575" s="119"/>
    </row>
    <row r="576" ht="46.5" customHeight="1">
      <c r="A576" s="145"/>
      <c r="B576" s="138"/>
      <c r="C576" s="138"/>
      <c r="D576" s="138"/>
      <c r="E576" s="138"/>
      <c r="F576" s="138"/>
      <c r="G576" s="119"/>
    </row>
    <row r="577" ht="46.5" customHeight="1">
      <c r="A577" s="145"/>
      <c r="B577" s="138"/>
      <c r="C577" s="138"/>
      <c r="D577" s="138"/>
      <c r="E577" s="138"/>
      <c r="F577" s="138"/>
      <c r="G577" s="119"/>
    </row>
    <row r="578" ht="46.5" customHeight="1">
      <c r="A578" s="145"/>
      <c r="B578" s="138"/>
      <c r="C578" s="138"/>
      <c r="D578" s="138"/>
      <c r="E578" s="138"/>
      <c r="F578" s="138"/>
      <c r="G578" s="119"/>
    </row>
    <row r="579" ht="46.5" customHeight="1">
      <c r="A579" s="145"/>
      <c r="B579" s="138"/>
      <c r="C579" s="138"/>
      <c r="D579" s="138"/>
      <c r="E579" s="138"/>
      <c r="F579" s="138"/>
      <c r="G579" s="119"/>
    </row>
    <row r="580" ht="46.5" customHeight="1">
      <c r="A580" s="145"/>
      <c r="B580" s="138"/>
      <c r="C580" s="138"/>
      <c r="D580" s="138"/>
      <c r="E580" s="138"/>
      <c r="F580" s="138"/>
      <c r="G580" s="119"/>
    </row>
    <row r="581" ht="46.5" customHeight="1">
      <c r="A581" s="145"/>
      <c r="B581" s="138"/>
      <c r="C581" s="138"/>
      <c r="D581" s="138"/>
      <c r="E581" s="138"/>
      <c r="F581" s="138"/>
      <c r="G581" s="119"/>
    </row>
    <row r="582" ht="46.5" customHeight="1">
      <c r="A582" s="145"/>
      <c r="B582" s="138"/>
      <c r="C582" s="138"/>
      <c r="D582" s="138"/>
      <c r="E582" s="138"/>
      <c r="F582" s="138"/>
      <c r="G582" s="119"/>
    </row>
    <row r="583" ht="46.5" customHeight="1">
      <c r="A583" s="145"/>
      <c r="B583" s="138"/>
      <c r="C583" s="138"/>
      <c r="D583" s="138"/>
      <c r="E583" s="138"/>
      <c r="F583" s="138"/>
      <c r="G583" s="119"/>
    </row>
    <row r="584" ht="46.5" customHeight="1">
      <c r="A584" s="145"/>
      <c r="B584" s="138"/>
      <c r="C584" s="138"/>
      <c r="D584" s="138"/>
      <c r="E584" s="138"/>
      <c r="F584" s="138"/>
      <c r="G584" s="119"/>
    </row>
    <row r="585" ht="46.5" customHeight="1">
      <c r="A585" s="145"/>
      <c r="B585" s="138"/>
      <c r="C585" s="138"/>
      <c r="D585" s="138"/>
      <c r="E585" s="138"/>
      <c r="F585" s="138"/>
      <c r="G585" s="119"/>
    </row>
    <row r="586" ht="46.5" customHeight="1">
      <c r="A586" s="145"/>
      <c r="B586" s="138"/>
      <c r="C586" s="138"/>
      <c r="D586" s="138"/>
      <c r="E586" s="138"/>
      <c r="F586" s="138"/>
      <c r="G586" s="119"/>
    </row>
    <row r="587" ht="46.5" customHeight="1">
      <c r="A587" s="145"/>
      <c r="B587" s="138"/>
      <c r="C587" s="138"/>
      <c r="D587" s="138"/>
      <c r="E587" s="138"/>
      <c r="F587" s="138"/>
      <c r="G587" s="119"/>
    </row>
    <row r="588" ht="46.5" customHeight="1">
      <c r="A588" s="145"/>
      <c r="B588" s="138"/>
      <c r="C588" s="138"/>
      <c r="D588" s="138"/>
      <c r="E588" s="138"/>
      <c r="F588" s="138"/>
      <c r="G588" s="119"/>
    </row>
    <row r="589" ht="46.5" customHeight="1">
      <c r="A589" s="145"/>
      <c r="B589" s="138"/>
      <c r="C589" s="138"/>
      <c r="D589" s="138"/>
      <c r="E589" s="138"/>
      <c r="F589" s="138"/>
      <c r="G589" s="119"/>
    </row>
    <row r="590" ht="46.5" customHeight="1">
      <c r="A590" s="145"/>
      <c r="B590" s="138"/>
      <c r="C590" s="138"/>
      <c r="D590" s="138"/>
      <c r="E590" s="138"/>
      <c r="F590" s="138"/>
      <c r="G590" s="119"/>
    </row>
    <row r="591" ht="46.5" customHeight="1">
      <c r="A591" s="145"/>
      <c r="B591" s="138"/>
      <c r="C591" s="138"/>
      <c r="D591" s="138"/>
      <c r="E591" s="138"/>
      <c r="F591" s="138"/>
      <c r="G591" s="119"/>
    </row>
    <row r="592" ht="46.5" customHeight="1">
      <c r="A592" s="145"/>
      <c r="B592" s="138"/>
      <c r="C592" s="138"/>
      <c r="D592" s="138"/>
      <c r="E592" s="138"/>
      <c r="F592" s="138"/>
      <c r="G592" s="119"/>
    </row>
    <row r="593" ht="46.5" customHeight="1">
      <c r="A593" s="145"/>
      <c r="B593" s="138"/>
      <c r="C593" s="138"/>
      <c r="D593" s="138"/>
      <c r="E593" s="138"/>
      <c r="F593" s="138"/>
      <c r="G593" s="119"/>
    </row>
    <row r="594" ht="46.5" customHeight="1">
      <c r="A594" s="145"/>
      <c r="B594" s="138"/>
      <c r="C594" s="138"/>
      <c r="D594" s="138"/>
      <c r="E594" s="138"/>
      <c r="F594" s="138"/>
      <c r="G594" s="119"/>
    </row>
    <row r="595" ht="46.5" customHeight="1">
      <c r="A595" s="145"/>
      <c r="B595" s="138"/>
      <c r="C595" s="138"/>
      <c r="D595" s="138"/>
      <c r="E595" s="138"/>
      <c r="F595" s="138"/>
      <c r="G595" s="119"/>
    </row>
    <row r="596" ht="46.5" customHeight="1">
      <c r="A596" s="145"/>
      <c r="B596" s="138"/>
      <c r="C596" s="138"/>
      <c r="D596" s="138"/>
      <c r="E596" s="138"/>
      <c r="F596" s="138"/>
      <c r="G596" s="119"/>
    </row>
    <row r="597" ht="46.5" customHeight="1">
      <c r="A597" s="145"/>
      <c r="B597" s="138"/>
      <c r="C597" s="138"/>
      <c r="D597" s="138"/>
      <c r="E597" s="138"/>
      <c r="F597" s="138"/>
      <c r="G597" s="119"/>
    </row>
    <row r="598" ht="46.5" customHeight="1">
      <c r="A598" s="145"/>
      <c r="B598" s="138"/>
      <c r="C598" s="138"/>
      <c r="D598" s="138"/>
      <c r="E598" s="138"/>
      <c r="F598" s="138"/>
      <c r="G598" s="119"/>
    </row>
    <row r="599" ht="46.5" customHeight="1">
      <c r="A599" s="145"/>
      <c r="B599" s="138"/>
      <c r="C599" s="138"/>
      <c r="D599" s="138"/>
      <c r="E599" s="138"/>
      <c r="F599" s="138"/>
      <c r="G599" s="119"/>
    </row>
    <row r="600" ht="46.5" customHeight="1">
      <c r="A600" s="145"/>
      <c r="B600" s="138"/>
      <c r="C600" s="138"/>
      <c r="D600" s="138"/>
      <c r="E600" s="138"/>
      <c r="F600" s="138"/>
      <c r="G600" s="119"/>
    </row>
    <row r="601" ht="46.5" customHeight="1">
      <c r="A601" s="145"/>
      <c r="B601" s="138"/>
      <c r="C601" s="138"/>
      <c r="D601" s="138"/>
      <c r="E601" s="138"/>
      <c r="F601" s="138"/>
      <c r="G601" s="119"/>
    </row>
    <row r="602" ht="46.5" customHeight="1">
      <c r="A602" s="145"/>
      <c r="B602" s="138"/>
      <c r="C602" s="138"/>
      <c r="D602" s="138"/>
      <c r="E602" s="138"/>
      <c r="F602" s="138"/>
      <c r="G602" s="119"/>
    </row>
    <row r="603" ht="46.5" customHeight="1">
      <c r="A603" s="145"/>
      <c r="B603" s="138"/>
      <c r="C603" s="138"/>
      <c r="D603" s="138"/>
      <c r="E603" s="138"/>
      <c r="F603" s="138"/>
      <c r="G603" s="119"/>
    </row>
    <row r="604" ht="46.5" customHeight="1">
      <c r="A604" s="145"/>
      <c r="B604" s="138"/>
      <c r="C604" s="138"/>
      <c r="D604" s="138"/>
      <c r="E604" s="138"/>
      <c r="F604" s="138"/>
      <c r="G604" s="119"/>
    </row>
    <row r="605" ht="46.5" customHeight="1">
      <c r="A605" s="145"/>
      <c r="B605" s="138"/>
      <c r="C605" s="138"/>
      <c r="D605" s="138"/>
      <c r="E605" s="138"/>
      <c r="F605" s="138"/>
      <c r="G605" s="119"/>
    </row>
    <row r="606" ht="46.5" customHeight="1">
      <c r="A606" s="145"/>
      <c r="B606" s="138"/>
      <c r="C606" s="138"/>
      <c r="D606" s="138"/>
      <c r="E606" s="138"/>
      <c r="F606" s="138"/>
      <c r="G606" s="119"/>
    </row>
    <row r="607" ht="46.5" customHeight="1">
      <c r="A607" s="145"/>
      <c r="B607" s="138"/>
      <c r="C607" s="138"/>
      <c r="D607" s="138"/>
      <c r="E607" s="138"/>
      <c r="F607" s="138"/>
      <c r="G607" s="119"/>
    </row>
    <row r="608" ht="46.5" customHeight="1">
      <c r="A608" s="145"/>
      <c r="B608" s="138"/>
      <c r="C608" s="138"/>
      <c r="D608" s="138"/>
      <c r="E608" s="138"/>
      <c r="F608" s="138"/>
      <c r="G608" s="119"/>
    </row>
    <row r="609" ht="46.5" customHeight="1">
      <c r="A609" s="145"/>
      <c r="B609" s="138"/>
      <c r="C609" s="138"/>
      <c r="D609" s="138"/>
      <c r="E609" s="138"/>
      <c r="F609" s="138"/>
      <c r="G609" s="119"/>
    </row>
    <row r="610" ht="46.5" customHeight="1">
      <c r="A610" s="145"/>
      <c r="B610" s="138"/>
      <c r="C610" s="138"/>
      <c r="D610" s="138"/>
      <c r="E610" s="138"/>
      <c r="F610" s="138"/>
      <c r="G610" s="119"/>
    </row>
    <row r="611" ht="46.5" customHeight="1">
      <c r="A611" s="145"/>
      <c r="B611" s="138"/>
      <c r="C611" s="138"/>
      <c r="D611" s="138"/>
      <c r="E611" s="138"/>
      <c r="F611" s="138"/>
      <c r="G611" s="119"/>
    </row>
    <row r="612" ht="46.5" customHeight="1">
      <c r="A612" s="145"/>
      <c r="B612" s="138"/>
      <c r="C612" s="138"/>
      <c r="D612" s="138"/>
      <c r="E612" s="138"/>
      <c r="F612" s="138"/>
      <c r="G612" s="119"/>
    </row>
    <row r="613" ht="46.5" customHeight="1">
      <c r="A613" s="145"/>
      <c r="B613" s="138"/>
      <c r="C613" s="138"/>
      <c r="D613" s="138"/>
      <c r="E613" s="138"/>
      <c r="F613" s="138"/>
      <c r="G613" s="119"/>
    </row>
    <row r="614" ht="46.5" customHeight="1">
      <c r="A614" s="145"/>
      <c r="B614" s="138"/>
      <c r="C614" s="138"/>
      <c r="D614" s="138"/>
      <c r="E614" s="138"/>
      <c r="F614" s="138"/>
      <c r="G614" s="119"/>
    </row>
    <row r="615" ht="46.5" customHeight="1">
      <c r="A615" s="145"/>
      <c r="B615" s="138"/>
      <c r="C615" s="138"/>
      <c r="D615" s="138"/>
      <c r="E615" s="138"/>
      <c r="F615" s="138"/>
      <c r="G615" s="119"/>
    </row>
    <row r="616" ht="46.5" customHeight="1">
      <c r="A616" s="145"/>
      <c r="B616" s="138"/>
      <c r="C616" s="138"/>
      <c r="D616" s="138"/>
      <c r="E616" s="138"/>
      <c r="F616" s="138"/>
      <c r="G616" s="119"/>
    </row>
    <row r="617" ht="46.5" customHeight="1">
      <c r="A617" s="145"/>
      <c r="B617" s="138"/>
      <c r="C617" s="138"/>
      <c r="D617" s="138"/>
      <c r="E617" s="138"/>
      <c r="F617" s="138"/>
      <c r="G617" s="119"/>
    </row>
    <row r="618" ht="46.5" customHeight="1">
      <c r="A618" s="145"/>
      <c r="B618" s="138"/>
      <c r="C618" s="138"/>
      <c r="D618" s="138"/>
      <c r="E618" s="138"/>
      <c r="F618" s="138"/>
      <c r="G618" s="119"/>
    </row>
    <row r="619" ht="46.5" customHeight="1">
      <c r="A619" s="145"/>
      <c r="B619" s="138"/>
      <c r="C619" s="138"/>
      <c r="D619" s="138"/>
      <c r="E619" s="138"/>
      <c r="F619" s="138"/>
      <c r="G619" s="119"/>
    </row>
    <row r="620" ht="46.5" customHeight="1">
      <c r="A620" s="145"/>
      <c r="B620" s="138"/>
      <c r="C620" s="138"/>
      <c r="D620" s="138"/>
      <c r="E620" s="138"/>
      <c r="F620" s="138"/>
      <c r="G620" s="119"/>
    </row>
    <row r="621" ht="46.5" customHeight="1">
      <c r="A621" s="145"/>
      <c r="B621" s="138"/>
      <c r="C621" s="138"/>
      <c r="D621" s="138"/>
      <c r="E621" s="138"/>
      <c r="F621" s="138"/>
      <c r="G621" s="119"/>
    </row>
    <row r="622" ht="46.5" customHeight="1">
      <c r="A622" s="145"/>
      <c r="B622" s="138"/>
      <c r="C622" s="138"/>
      <c r="D622" s="138"/>
      <c r="E622" s="138"/>
      <c r="F622" s="138"/>
      <c r="G622" s="119"/>
    </row>
    <row r="623" ht="46.5" customHeight="1">
      <c r="A623" s="145"/>
      <c r="B623" s="138"/>
      <c r="C623" s="138"/>
      <c r="D623" s="138"/>
      <c r="E623" s="138"/>
      <c r="F623" s="138"/>
      <c r="G623" s="119"/>
    </row>
    <row r="624" ht="46.5" customHeight="1">
      <c r="A624" s="145"/>
      <c r="B624" s="138"/>
      <c r="C624" s="138"/>
      <c r="D624" s="138"/>
      <c r="E624" s="138"/>
      <c r="F624" s="138"/>
      <c r="G624" s="119"/>
    </row>
    <row r="625" ht="46.5" customHeight="1">
      <c r="A625" s="145"/>
      <c r="B625" s="138"/>
      <c r="C625" s="138"/>
      <c r="D625" s="138"/>
      <c r="E625" s="138"/>
      <c r="F625" s="138"/>
      <c r="G625" s="119"/>
    </row>
    <row r="626" ht="46.5" customHeight="1">
      <c r="A626" s="145"/>
      <c r="B626" s="138"/>
      <c r="C626" s="138"/>
      <c r="D626" s="138"/>
      <c r="E626" s="138"/>
      <c r="F626" s="138"/>
      <c r="G626" s="119"/>
    </row>
    <row r="627" ht="46.5" customHeight="1">
      <c r="A627" s="145"/>
      <c r="B627" s="138"/>
      <c r="C627" s="138"/>
      <c r="D627" s="138"/>
      <c r="E627" s="138"/>
      <c r="F627" s="138"/>
      <c r="G627" s="119"/>
    </row>
    <row r="628" ht="46.5" customHeight="1">
      <c r="A628" s="145"/>
      <c r="B628" s="138"/>
      <c r="C628" s="138"/>
      <c r="D628" s="138"/>
      <c r="E628" s="138"/>
      <c r="F628" s="138"/>
      <c r="G628" s="119"/>
    </row>
    <row r="629" ht="46.5" customHeight="1">
      <c r="A629" s="145"/>
      <c r="B629" s="138"/>
      <c r="C629" s="138"/>
      <c r="D629" s="138"/>
      <c r="E629" s="138"/>
      <c r="F629" s="138"/>
      <c r="G629" s="119"/>
    </row>
    <row r="630" ht="46.5" customHeight="1">
      <c r="A630" s="145"/>
      <c r="B630" s="138"/>
      <c r="C630" s="138"/>
      <c r="D630" s="138"/>
      <c r="E630" s="138"/>
      <c r="F630" s="138"/>
      <c r="G630" s="119"/>
    </row>
    <row r="631" ht="46.5" customHeight="1">
      <c r="A631" s="145"/>
      <c r="B631" s="138"/>
      <c r="C631" s="138"/>
      <c r="D631" s="138"/>
      <c r="E631" s="138"/>
      <c r="F631" s="138"/>
      <c r="G631" s="119"/>
    </row>
    <row r="632" ht="46.5" customHeight="1">
      <c r="A632" s="145"/>
      <c r="B632" s="138"/>
      <c r="C632" s="138"/>
      <c r="D632" s="138"/>
      <c r="E632" s="138"/>
      <c r="F632" s="138"/>
      <c r="G632" s="119"/>
    </row>
    <row r="633" ht="46.5" customHeight="1">
      <c r="A633" s="145"/>
      <c r="B633" s="138"/>
      <c r="C633" s="138"/>
      <c r="D633" s="138"/>
      <c r="E633" s="138"/>
      <c r="F633" s="138"/>
      <c r="G633" s="119"/>
    </row>
    <row r="634" ht="46.5" customHeight="1">
      <c r="A634" s="145"/>
      <c r="B634" s="138"/>
      <c r="C634" s="138"/>
      <c r="D634" s="138"/>
      <c r="E634" s="138"/>
      <c r="F634" s="138"/>
      <c r="G634" s="119"/>
    </row>
    <row r="635" ht="46.5" customHeight="1">
      <c r="A635" s="145"/>
      <c r="B635" s="138"/>
      <c r="C635" s="138"/>
      <c r="D635" s="138"/>
      <c r="E635" s="138"/>
      <c r="F635" s="138"/>
      <c r="G635" s="119"/>
    </row>
    <row r="636" ht="46.5" customHeight="1">
      <c r="A636" s="145"/>
      <c r="B636" s="138"/>
      <c r="C636" s="138"/>
      <c r="D636" s="138"/>
      <c r="E636" s="138"/>
      <c r="F636" s="138"/>
      <c r="G636" s="119"/>
    </row>
    <row r="637" ht="46.5" customHeight="1">
      <c r="A637" s="145"/>
      <c r="B637" s="138"/>
      <c r="C637" s="138"/>
      <c r="D637" s="138"/>
      <c r="E637" s="138"/>
      <c r="F637" s="138"/>
      <c r="G637" s="119"/>
    </row>
    <row r="638" ht="46.5" customHeight="1">
      <c r="A638" s="145"/>
      <c r="B638" s="138"/>
      <c r="C638" s="138"/>
      <c r="D638" s="138"/>
      <c r="E638" s="138"/>
      <c r="F638" s="138"/>
      <c r="G638" s="119"/>
    </row>
    <row r="639" ht="46.5" customHeight="1">
      <c r="A639" s="145"/>
      <c r="B639" s="138"/>
      <c r="C639" s="138"/>
      <c r="D639" s="138"/>
      <c r="E639" s="138"/>
      <c r="F639" s="138"/>
      <c r="G639" s="119"/>
    </row>
    <row r="640" ht="46.5" customHeight="1">
      <c r="A640" s="145"/>
      <c r="B640" s="138"/>
      <c r="C640" s="138"/>
      <c r="D640" s="138"/>
      <c r="E640" s="138"/>
      <c r="F640" s="138"/>
      <c r="G640" s="119"/>
    </row>
    <row r="641" ht="46.5" customHeight="1">
      <c r="A641" s="145"/>
      <c r="B641" s="138"/>
      <c r="C641" s="138"/>
      <c r="D641" s="138"/>
      <c r="E641" s="138"/>
      <c r="F641" s="138"/>
      <c r="G641" s="119"/>
    </row>
    <row r="642" ht="46.5" customHeight="1">
      <c r="A642" s="145"/>
      <c r="B642" s="138"/>
      <c r="C642" s="138"/>
      <c r="D642" s="138"/>
      <c r="E642" s="138"/>
      <c r="F642" s="138"/>
      <c r="G642" s="119"/>
    </row>
    <row r="643" ht="46.5" customHeight="1">
      <c r="A643" s="145"/>
      <c r="B643" s="138"/>
      <c r="C643" s="138"/>
      <c r="D643" s="138"/>
      <c r="E643" s="138"/>
      <c r="F643" s="138"/>
      <c r="G643" s="119"/>
    </row>
    <row r="644" ht="46.5" customHeight="1">
      <c r="A644" s="145"/>
      <c r="B644" s="138"/>
      <c r="C644" s="138"/>
      <c r="D644" s="138"/>
      <c r="E644" s="138"/>
      <c r="F644" s="138"/>
      <c r="G644" s="119"/>
    </row>
    <row r="645" ht="46.5" customHeight="1">
      <c r="A645" s="145"/>
      <c r="B645" s="138"/>
      <c r="C645" s="138"/>
      <c r="D645" s="138"/>
      <c r="E645" s="138"/>
      <c r="F645" s="138"/>
      <c r="G645" s="119"/>
    </row>
    <row r="646" ht="46.5" customHeight="1">
      <c r="A646" s="145"/>
      <c r="B646" s="138"/>
      <c r="C646" s="138"/>
      <c r="D646" s="138"/>
      <c r="E646" s="138"/>
      <c r="F646" s="138"/>
      <c r="G646" s="119"/>
    </row>
    <row r="647" ht="46.5" customHeight="1">
      <c r="A647" s="145"/>
      <c r="B647" s="138"/>
      <c r="C647" s="138"/>
      <c r="D647" s="138"/>
      <c r="E647" s="138"/>
      <c r="F647" s="138"/>
      <c r="G647" s="119"/>
    </row>
    <row r="648" ht="46.5" customHeight="1">
      <c r="A648" s="145"/>
      <c r="B648" s="138"/>
      <c r="C648" s="138"/>
      <c r="D648" s="138"/>
      <c r="E648" s="138"/>
      <c r="F648" s="138"/>
      <c r="G648" s="119"/>
    </row>
    <row r="649" ht="46.5" customHeight="1">
      <c r="A649" s="145"/>
      <c r="B649" s="138"/>
      <c r="C649" s="138"/>
      <c r="D649" s="138"/>
      <c r="E649" s="138"/>
      <c r="F649" s="138"/>
      <c r="G649" s="119"/>
    </row>
    <row r="650" ht="46.5" customHeight="1">
      <c r="A650" s="145"/>
      <c r="B650" s="138"/>
      <c r="C650" s="138"/>
      <c r="D650" s="138"/>
      <c r="E650" s="138"/>
      <c r="F650" s="138"/>
      <c r="G650" s="119"/>
    </row>
    <row r="651" ht="46.5" customHeight="1">
      <c r="A651" s="145"/>
      <c r="B651" s="138"/>
      <c r="C651" s="138"/>
      <c r="D651" s="138"/>
      <c r="E651" s="138"/>
      <c r="F651" s="138"/>
      <c r="G651" s="119"/>
    </row>
    <row r="652" ht="46.5" customHeight="1">
      <c r="A652" s="145"/>
      <c r="B652" s="138"/>
      <c r="C652" s="138"/>
      <c r="D652" s="138"/>
      <c r="E652" s="138"/>
      <c r="F652" s="138"/>
      <c r="G652" s="119"/>
    </row>
    <row r="653" ht="46.5" customHeight="1">
      <c r="A653" s="145"/>
      <c r="B653" s="138"/>
      <c r="C653" s="138"/>
      <c r="D653" s="138"/>
      <c r="E653" s="138"/>
      <c r="F653" s="138"/>
      <c r="G653" s="119"/>
    </row>
    <row r="654" ht="46.5" customHeight="1">
      <c r="A654" s="145"/>
      <c r="B654" s="138"/>
      <c r="C654" s="138"/>
      <c r="D654" s="138"/>
      <c r="E654" s="138"/>
      <c r="F654" s="138"/>
      <c r="G654" s="119"/>
    </row>
    <row r="655" ht="46.5" customHeight="1">
      <c r="A655" s="145"/>
      <c r="B655" s="138"/>
      <c r="C655" s="138"/>
      <c r="D655" s="138"/>
      <c r="E655" s="138"/>
      <c r="F655" s="138"/>
      <c r="G655" s="119"/>
    </row>
    <row r="656" ht="46.5" customHeight="1">
      <c r="A656" s="145"/>
      <c r="B656" s="138"/>
      <c r="C656" s="138"/>
      <c r="D656" s="138"/>
      <c r="E656" s="138"/>
      <c r="F656" s="138"/>
      <c r="G656" s="119"/>
    </row>
    <row r="657" ht="46.5" customHeight="1">
      <c r="A657" s="145"/>
      <c r="B657" s="138"/>
      <c r="C657" s="138"/>
      <c r="D657" s="138"/>
      <c r="E657" s="138"/>
      <c r="F657" s="138"/>
      <c r="G657" s="119"/>
    </row>
    <row r="658" ht="46.5" customHeight="1">
      <c r="A658" s="145"/>
      <c r="B658" s="138"/>
      <c r="C658" s="138"/>
      <c r="D658" s="138"/>
      <c r="E658" s="138"/>
      <c r="F658" s="138"/>
      <c r="G658" s="119"/>
    </row>
    <row r="659" ht="46.5" customHeight="1">
      <c r="A659" s="145"/>
      <c r="B659" s="138"/>
      <c r="C659" s="138"/>
      <c r="D659" s="138"/>
      <c r="E659" s="138"/>
      <c r="F659" s="138"/>
      <c r="G659" s="119"/>
    </row>
    <row r="660" ht="46.5" customHeight="1">
      <c r="A660" s="145"/>
      <c r="B660" s="138"/>
      <c r="C660" s="138"/>
      <c r="D660" s="138"/>
      <c r="E660" s="138"/>
      <c r="F660" s="138"/>
      <c r="G660" s="119"/>
    </row>
    <row r="661" ht="46.5" customHeight="1">
      <c r="A661" s="145"/>
      <c r="B661" s="138"/>
      <c r="C661" s="138"/>
      <c r="D661" s="138"/>
      <c r="E661" s="138"/>
      <c r="F661" s="138"/>
      <c r="G661" s="119"/>
    </row>
    <row r="662" ht="46.5" customHeight="1">
      <c r="A662" s="145"/>
      <c r="B662" s="138"/>
      <c r="C662" s="138"/>
      <c r="D662" s="138"/>
      <c r="E662" s="138"/>
      <c r="F662" s="138"/>
      <c r="G662" s="119"/>
    </row>
    <row r="663" ht="46.5" customHeight="1">
      <c r="A663" s="145"/>
      <c r="B663" s="138"/>
      <c r="C663" s="138"/>
      <c r="D663" s="138"/>
      <c r="E663" s="138"/>
      <c r="F663" s="138"/>
      <c r="G663" s="119"/>
    </row>
    <row r="664" ht="46.5" customHeight="1">
      <c r="A664" s="145"/>
      <c r="B664" s="138"/>
      <c r="C664" s="138"/>
      <c r="D664" s="138"/>
      <c r="E664" s="138"/>
      <c r="F664" s="138"/>
      <c r="G664" s="119"/>
    </row>
    <row r="665" ht="46.5" customHeight="1">
      <c r="A665" s="145"/>
      <c r="B665" s="138"/>
      <c r="C665" s="138"/>
      <c r="D665" s="138"/>
      <c r="E665" s="138"/>
      <c r="F665" s="138"/>
      <c r="G665" s="119"/>
    </row>
    <row r="666" ht="46.5" customHeight="1">
      <c r="A666" s="145"/>
      <c r="B666" s="138"/>
      <c r="C666" s="138"/>
      <c r="D666" s="138"/>
      <c r="E666" s="138"/>
      <c r="F666" s="138"/>
      <c r="G666" s="119"/>
    </row>
    <row r="667" ht="46.5" customHeight="1">
      <c r="A667" s="145"/>
      <c r="B667" s="138"/>
      <c r="C667" s="138"/>
      <c r="D667" s="138"/>
      <c r="E667" s="138"/>
      <c r="F667" s="138"/>
      <c r="G667" s="119"/>
    </row>
    <row r="668" ht="46.5" customHeight="1">
      <c r="A668" s="145"/>
      <c r="B668" s="138"/>
      <c r="C668" s="138"/>
      <c r="D668" s="138"/>
      <c r="E668" s="138"/>
      <c r="F668" s="138"/>
      <c r="G668" s="119"/>
    </row>
    <row r="669" ht="46.5" customHeight="1">
      <c r="A669" s="145"/>
      <c r="B669" s="138"/>
      <c r="C669" s="138"/>
      <c r="D669" s="138"/>
      <c r="E669" s="138"/>
      <c r="F669" s="138"/>
      <c r="G669" s="119"/>
    </row>
    <row r="670" ht="46.5" customHeight="1">
      <c r="A670" s="145"/>
      <c r="B670" s="138"/>
      <c r="C670" s="138"/>
      <c r="D670" s="138"/>
      <c r="E670" s="138"/>
      <c r="F670" s="138"/>
      <c r="G670" s="119"/>
    </row>
    <row r="671" ht="46.5" customHeight="1">
      <c r="A671" s="145"/>
      <c r="B671" s="138"/>
      <c r="C671" s="138"/>
      <c r="D671" s="138"/>
      <c r="E671" s="138"/>
      <c r="F671" s="138"/>
      <c r="G671" s="119"/>
    </row>
    <row r="672" ht="46.5" customHeight="1">
      <c r="A672" s="145"/>
      <c r="B672" s="138"/>
      <c r="C672" s="138"/>
      <c r="D672" s="138"/>
      <c r="E672" s="138"/>
      <c r="F672" s="138"/>
      <c r="G672" s="119"/>
    </row>
    <row r="673" ht="46.5" customHeight="1">
      <c r="A673" s="145"/>
      <c r="B673" s="138"/>
      <c r="C673" s="138"/>
      <c r="D673" s="138"/>
      <c r="E673" s="138"/>
      <c r="F673" s="138"/>
      <c r="G673" s="119"/>
    </row>
    <row r="674" ht="46.5" customHeight="1">
      <c r="A674" s="145"/>
      <c r="B674" s="138"/>
      <c r="C674" s="138"/>
      <c r="D674" s="138"/>
      <c r="E674" s="138"/>
      <c r="F674" s="138"/>
      <c r="G674" s="119"/>
    </row>
    <row r="675" ht="46.5" customHeight="1">
      <c r="A675" s="145"/>
      <c r="B675" s="138"/>
      <c r="C675" s="138"/>
      <c r="D675" s="138"/>
      <c r="E675" s="138"/>
      <c r="F675" s="138"/>
      <c r="G675" s="119"/>
    </row>
    <row r="676" ht="46.5" customHeight="1">
      <c r="A676" s="145"/>
      <c r="B676" s="138"/>
      <c r="C676" s="138"/>
      <c r="D676" s="138"/>
      <c r="E676" s="138"/>
      <c r="F676" s="138"/>
      <c r="G676" s="119"/>
    </row>
    <row r="677" ht="46.5" customHeight="1">
      <c r="A677" s="145"/>
      <c r="B677" s="138"/>
      <c r="C677" s="138"/>
      <c r="D677" s="138"/>
      <c r="E677" s="138"/>
      <c r="F677" s="138"/>
      <c r="G677" s="119"/>
    </row>
    <row r="678" ht="46.5" customHeight="1">
      <c r="A678" s="145"/>
      <c r="B678" s="138"/>
      <c r="C678" s="138"/>
      <c r="D678" s="138"/>
      <c r="E678" s="138"/>
      <c r="F678" s="138"/>
      <c r="G678" s="119"/>
    </row>
    <row r="679" ht="46.5" customHeight="1">
      <c r="A679" s="145"/>
      <c r="B679" s="138"/>
      <c r="C679" s="138"/>
      <c r="D679" s="138"/>
      <c r="E679" s="138"/>
      <c r="F679" s="138"/>
      <c r="G679" s="119"/>
    </row>
    <row r="680" ht="46.5" customHeight="1">
      <c r="A680" s="145"/>
      <c r="B680" s="138"/>
      <c r="C680" s="138"/>
      <c r="D680" s="138"/>
      <c r="E680" s="138"/>
      <c r="F680" s="138"/>
      <c r="G680" s="119"/>
    </row>
    <row r="681" ht="46.5" customHeight="1">
      <c r="A681" s="145"/>
      <c r="B681" s="138"/>
      <c r="C681" s="138"/>
      <c r="D681" s="138"/>
      <c r="E681" s="138"/>
      <c r="F681" s="138"/>
      <c r="G681" s="119"/>
    </row>
    <row r="682" ht="46.5" customHeight="1">
      <c r="A682" s="145"/>
      <c r="B682" s="138"/>
      <c r="C682" s="138"/>
      <c r="D682" s="138"/>
      <c r="E682" s="138"/>
      <c r="F682" s="138"/>
      <c r="G682" s="119"/>
    </row>
    <row r="683" ht="46.5" customHeight="1">
      <c r="A683" s="145"/>
      <c r="B683" s="138"/>
      <c r="C683" s="138"/>
      <c r="D683" s="138"/>
      <c r="E683" s="138"/>
      <c r="F683" s="138"/>
      <c r="G683" s="119"/>
    </row>
    <row r="684" ht="46.5" customHeight="1">
      <c r="A684" s="145"/>
      <c r="B684" s="138"/>
      <c r="C684" s="138"/>
      <c r="D684" s="138"/>
      <c r="E684" s="138"/>
      <c r="F684" s="138"/>
      <c r="G684" s="119"/>
    </row>
    <row r="685" ht="46.5" customHeight="1">
      <c r="A685" s="145"/>
      <c r="B685" s="138"/>
      <c r="C685" s="138"/>
      <c r="D685" s="138"/>
      <c r="E685" s="138"/>
      <c r="F685" s="138"/>
      <c r="G685" s="119"/>
    </row>
    <row r="686" ht="46.5" customHeight="1">
      <c r="A686" s="145"/>
      <c r="B686" s="138"/>
      <c r="C686" s="138"/>
      <c r="D686" s="138"/>
      <c r="E686" s="138"/>
      <c r="F686" s="138"/>
      <c r="G686" s="119"/>
    </row>
    <row r="687" ht="46.5" customHeight="1">
      <c r="A687" s="145"/>
      <c r="B687" s="138"/>
      <c r="C687" s="138"/>
      <c r="D687" s="138"/>
      <c r="E687" s="138"/>
      <c r="F687" s="138"/>
      <c r="G687" s="119"/>
    </row>
    <row r="688" ht="46.5" customHeight="1">
      <c r="A688" s="145"/>
      <c r="B688" s="138"/>
      <c r="C688" s="138"/>
      <c r="D688" s="138"/>
      <c r="E688" s="138"/>
      <c r="F688" s="138"/>
      <c r="G688" s="119"/>
    </row>
    <row r="689" ht="46.5" customHeight="1">
      <c r="A689" s="145"/>
      <c r="B689" s="138"/>
      <c r="C689" s="138"/>
      <c r="D689" s="138"/>
      <c r="E689" s="138"/>
      <c r="F689" s="138"/>
      <c r="G689" s="119"/>
    </row>
    <row r="690" ht="46.5" customHeight="1">
      <c r="A690" s="145"/>
      <c r="B690" s="138"/>
      <c r="C690" s="138"/>
      <c r="D690" s="138"/>
      <c r="E690" s="138"/>
      <c r="F690" s="138"/>
      <c r="G690" s="119"/>
    </row>
    <row r="691" ht="46.5" customHeight="1">
      <c r="A691" s="145"/>
      <c r="B691" s="138"/>
      <c r="C691" s="138"/>
      <c r="D691" s="138"/>
      <c r="E691" s="138"/>
      <c r="F691" s="138"/>
      <c r="G691" s="119"/>
    </row>
    <row r="692" ht="46.5" customHeight="1">
      <c r="A692" s="145"/>
      <c r="B692" s="138"/>
      <c r="C692" s="138"/>
      <c r="D692" s="138"/>
      <c r="E692" s="138"/>
      <c r="F692" s="138"/>
      <c r="G692" s="119"/>
    </row>
    <row r="693" ht="46.5" customHeight="1">
      <c r="A693" s="145"/>
      <c r="B693" s="138"/>
      <c r="C693" s="138"/>
      <c r="D693" s="138"/>
      <c r="E693" s="138"/>
      <c r="F693" s="138"/>
      <c r="G693" s="119"/>
    </row>
    <row r="694" ht="46.5" customHeight="1">
      <c r="A694" s="145"/>
      <c r="B694" s="138"/>
      <c r="C694" s="138"/>
      <c r="D694" s="138"/>
      <c r="E694" s="138"/>
      <c r="F694" s="138"/>
      <c r="G694" s="119"/>
    </row>
    <row r="695" ht="46.5" customHeight="1">
      <c r="A695" s="145"/>
      <c r="B695" s="138"/>
      <c r="C695" s="138"/>
      <c r="D695" s="138"/>
      <c r="E695" s="138"/>
      <c r="F695" s="138"/>
      <c r="G695" s="119"/>
    </row>
    <row r="696" ht="46.5" customHeight="1">
      <c r="A696" s="145"/>
      <c r="B696" s="138"/>
      <c r="C696" s="138"/>
      <c r="D696" s="138"/>
      <c r="E696" s="138"/>
      <c r="F696" s="138"/>
      <c r="G696" s="119"/>
    </row>
    <row r="697" ht="46.5" customHeight="1">
      <c r="A697" s="145"/>
      <c r="B697" s="138"/>
      <c r="C697" s="138"/>
      <c r="D697" s="138"/>
      <c r="E697" s="138"/>
      <c r="F697" s="138"/>
      <c r="G697" s="119"/>
    </row>
    <row r="698" ht="46.5" customHeight="1">
      <c r="A698" s="145"/>
      <c r="B698" s="138"/>
      <c r="C698" s="138"/>
      <c r="D698" s="138"/>
      <c r="E698" s="138"/>
      <c r="F698" s="138"/>
      <c r="G698" s="119"/>
    </row>
    <row r="699" ht="46.5" customHeight="1">
      <c r="A699" s="145"/>
      <c r="B699" s="138"/>
      <c r="C699" s="138"/>
      <c r="D699" s="138"/>
      <c r="E699" s="138"/>
      <c r="F699" s="138"/>
      <c r="G699" s="119"/>
    </row>
    <row r="700" ht="46.5" customHeight="1">
      <c r="A700" s="145"/>
      <c r="B700" s="138"/>
      <c r="C700" s="138"/>
      <c r="D700" s="138"/>
      <c r="E700" s="138"/>
      <c r="F700" s="138"/>
      <c r="G700" s="119"/>
    </row>
    <row r="701" ht="46.5" customHeight="1">
      <c r="A701" s="145"/>
      <c r="B701" s="138"/>
      <c r="C701" s="138"/>
      <c r="D701" s="138"/>
      <c r="E701" s="138"/>
      <c r="F701" s="138"/>
      <c r="G701" s="119"/>
    </row>
    <row r="702" ht="46.5" customHeight="1">
      <c r="A702" s="145"/>
      <c r="B702" s="138"/>
      <c r="C702" s="138"/>
      <c r="D702" s="138"/>
      <c r="E702" s="138"/>
      <c r="F702" s="138"/>
      <c r="G702" s="119"/>
    </row>
    <row r="703" ht="46.5" customHeight="1">
      <c r="A703" s="145"/>
      <c r="B703" s="138"/>
      <c r="C703" s="138"/>
      <c r="D703" s="138"/>
      <c r="E703" s="138"/>
      <c r="F703" s="138"/>
      <c r="G703" s="119"/>
    </row>
    <row r="704" ht="46.5" customHeight="1">
      <c r="A704" s="145"/>
      <c r="B704" s="138"/>
      <c r="C704" s="138"/>
      <c r="D704" s="138"/>
      <c r="E704" s="138"/>
      <c r="F704" s="138"/>
      <c r="G704" s="119"/>
    </row>
    <row r="705" ht="46.5" customHeight="1">
      <c r="A705" s="145"/>
      <c r="B705" s="138"/>
      <c r="C705" s="138"/>
      <c r="D705" s="138"/>
      <c r="E705" s="138"/>
      <c r="F705" s="138"/>
      <c r="G705" s="119"/>
    </row>
    <row r="706" ht="46.5" customHeight="1">
      <c r="A706" s="145"/>
      <c r="B706" s="138"/>
      <c r="C706" s="138"/>
      <c r="D706" s="138"/>
      <c r="E706" s="138"/>
      <c r="F706" s="138"/>
      <c r="G706" s="119"/>
    </row>
    <row r="707" ht="46.5" customHeight="1">
      <c r="A707" s="145"/>
      <c r="B707" s="138"/>
      <c r="C707" s="138"/>
      <c r="D707" s="138"/>
      <c r="E707" s="138"/>
      <c r="F707" s="138"/>
      <c r="G707" s="119"/>
    </row>
    <row r="708" ht="46.5" customHeight="1">
      <c r="A708" s="145"/>
      <c r="B708" s="138"/>
      <c r="C708" s="138"/>
      <c r="D708" s="138"/>
      <c r="E708" s="138"/>
      <c r="F708" s="138"/>
      <c r="G708" s="119"/>
    </row>
    <row r="709" ht="46.5" customHeight="1">
      <c r="A709" s="145"/>
      <c r="B709" s="138"/>
      <c r="C709" s="138"/>
      <c r="D709" s="138"/>
      <c r="E709" s="138"/>
      <c r="F709" s="138"/>
      <c r="G709" s="119"/>
    </row>
    <row r="710" ht="46.5" customHeight="1">
      <c r="A710" s="145"/>
      <c r="B710" s="138"/>
      <c r="C710" s="138"/>
      <c r="D710" s="138"/>
      <c r="E710" s="138"/>
      <c r="F710" s="138"/>
      <c r="G710" s="119"/>
    </row>
    <row r="711" ht="46.5" customHeight="1">
      <c r="A711" s="145"/>
      <c r="B711" s="138"/>
      <c r="C711" s="138"/>
      <c r="D711" s="138"/>
      <c r="E711" s="138"/>
      <c r="F711" s="138"/>
      <c r="G711" s="119"/>
    </row>
    <row r="712" ht="46.5" customHeight="1">
      <c r="A712" s="145"/>
      <c r="B712" s="138"/>
      <c r="C712" s="138"/>
      <c r="D712" s="138"/>
      <c r="E712" s="138"/>
      <c r="F712" s="138"/>
      <c r="G712" s="119"/>
    </row>
    <row r="713" ht="46.5" customHeight="1">
      <c r="A713" s="145"/>
      <c r="B713" s="138"/>
      <c r="C713" s="138"/>
      <c r="D713" s="138"/>
      <c r="E713" s="138"/>
      <c r="F713" s="138"/>
      <c r="G713" s="119"/>
    </row>
    <row r="714" ht="46.5" customHeight="1">
      <c r="A714" s="145"/>
      <c r="B714" s="138"/>
      <c r="C714" s="138"/>
      <c r="D714" s="138"/>
      <c r="E714" s="138"/>
      <c r="F714" s="138"/>
      <c r="G714" s="119"/>
    </row>
    <row r="715" ht="46.5" customHeight="1">
      <c r="A715" s="145"/>
      <c r="B715" s="138"/>
      <c r="C715" s="138"/>
      <c r="D715" s="138"/>
      <c r="E715" s="138"/>
      <c r="F715" s="138"/>
      <c r="G715" s="119"/>
    </row>
    <row r="716" ht="46.5" customHeight="1">
      <c r="A716" s="145"/>
      <c r="B716" s="138"/>
      <c r="C716" s="138"/>
      <c r="D716" s="138"/>
      <c r="E716" s="138"/>
      <c r="F716" s="138"/>
      <c r="G716" s="119"/>
    </row>
    <row r="717" ht="46.5" customHeight="1">
      <c r="A717" s="145"/>
      <c r="B717" s="138"/>
      <c r="C717" s="138"/>
      <c r="D717" s="138"/>
      <c r="E717" s="138"/>
      <c r="F717" s="138"/>
      <c r="G717" s="119"/>
    </row>
    <row r="718" ht="46.5" customHeight="1">
      <c r="A718" s="145"/>
      <c r="B718" s="138"/>
      <c r="C718" s="138"/>
      <c r="D718" s="138"/>
      <c r="E718" s="138"/>
      <c r="F718" s="138"/>
      <c r="G718" s="119"/>
    </row>
    <row r="719" ht="46.5" customHeight="1">
      <c r="A719" s="145"/>
      <c r="B719" s="138"/>
      <c r="C719" s="138"/>
      <c r="D719" s="138"/>
      <c r="E719" s="138"/>
      <c r="F719" s="138"/>
      <c r="G719" s="119"/>
    </row>
    <row r="720" ht="46.5" customHeight="1">
      <c r="A720" s="145"/>
      <c r="B720" s="138"/>
      <c r="C720" s="138"/>
      <c r="D720" s="138"/>
      <c r="E720" s="138"/>
      <c r="F720" s="138"/>
      <c r="G720" s="119"/>
    </row>
    <row r="721" ht="46.5" customHeight="1">
      <c r="A721" s="145"/>
      <c r="B721" s="138"/>
      <c r="C721" s="138"/>
      <c r="D721" s="138"/>
      <c r="E721" s="138"/>
      <c r="F721" s="138"/>
      <c r="G721" s="119"/>
    </row>
    <row r="722" ht="46.5" customHeight="1">
      <c r="A722" s="145"/>
      <c r="B722" s="138"/>
      <c r="C722" s="138"/>
      <c r="D722" s="138"/>
      <c r="E722" s="138"/>
      <c r="F722" s="138"/>
      <c r="G722" s="119"/>
    </row>
    <row r="723" ht="46.5" customHeight="1">
      <c r="A723" s="145"/>
      <c r="B723" s="138"/>
      <c r="C723" s="138"/>
      <c r="D723" s="138"/>
      <c r="E723" s="138"/>
      <c r="F723" s="138"/>
      <c r="G723" s="119"/>
    </row>
    <row r="724" ht="46.5" customHeight="1">
      <c r="A724" s="145"/>
      <c r="B724" s="138"/>
      <c r="C724" s="138"/>
      <c r="D724" s="138"/>
      <c r="E724" s="138"/>
      <c r="F724" s="138"/>
      <c r="G724" s="119"/>
    </row>
    <row r="725" ht="46.5" customHeight="1">
      <c r="A725" s="145"/>
      <c r="B725" s="138"/>
      <c r="C725" s="138"/>
      <c r="D725" s="138"/>
      <c r="E725" s="138"/>
      <c r="F725" s="138"/>
      <c r="G725" s="119"/>
    </row>
    <row r="726" ht="46.5" customHeight="1">
      <c r="A726" s="145"/>
      <c r="B726" s="138"/>
      <c r="C726" s="138"/>
      <c r="D726" s="138"/>
      <c r="E726" s="138"/>
      <c r="F726" s="138"/>
      <c r="G726" s="119"/>
    </row>
    <row r="727" ht="46.5" customHeight="1">
      <c r="A727" s="145"/>
      <c r="B727" s="138"/>
      <c r="C727" s="138"/>
      <c r="D727" s="138"/>
      <c r="E727" s="138"/>
      <c r="F727" s="138"/>
      <c r="G727" s="119"/>
    </row>
    <row r="728" ht="46.5" customHeight="1">
      <c r="A728" s="145"/>
      <c r="B728" s="138"/>
      <c r="C728" s="138"/>
      <c r="D728" s="138"/>
      <c r="E728" s="138"/>
      <c r="F728" s="138"/>
      <c r="G728" s="119"/>
    </row>
    <row r="729" ht="46.5" customHeight="1">
      <c r="A729" s="145"/>
      <c r="B729" s="138"/>
      <c r="C729" s="138"/>
      <c r="D729" s="138"/>
      <c r="E729" s="138"/>
      <c r="F729" s="138"/>
      <c r="G729" s="119"/>
    </row>
    <row r="730" ht="46.5" customHeight="1">
      <c r="A730" s="145"/>
      <c r="B730" s="138"/>
      <c r="C730" s="138"/>
      <c r="D730" s="138"/>
      <c r="E730" s="138"/>
      <c r="F730" s="138"/>
      <c r="G730" s="119"/>
    </row>
    <row r="731" ht="46.5" customHeight="1">
      <c r="A731" s="145"/>
      <c r="B731" s="138"/>
      <c r="C731" s="138"/>
      <c r="D731" s="138"/>
      <c r="E731" s="138"/>
      <c r="F731" s="138"/>
      <c r="G731" s="119"/>
    </row>
    <row r="732" ht="46.5" customHeight="1">
      <c r="A732" s="145"/>
      <c r="B732" s="138"/>
      <c r="C732" s="138"/>
      <c r="D732" s="138"/>
      <c r="E732" s="138"/>
      <c r="F732" s="138"/>
      <c r="G732" s="119"/>
    </row>
    <row r="733" ht="46.5" customHeight="1">
      <c r="A733" s="145"/>
      <c r="B733" s="138"/>
      <c r="C733" s="138"/>
      <c r="D733" s="138"/>
      <c r="E733" s="138"/>
      <c r="F733" s="138"/>
      <c r="G733" s="119"/>
    </row>
    <row r="734" ht="46.5" customHeight="1">
      <c r="A734" s="145"/>
      <c r="B734" s="138"/>
      <c r="C734" s="138"/>
      <c r="D734" s="138"/>
      <c r="E734" s="138"/>
      <c r="F734" s="138"/>
      <c r="G734" s="119"/>
    </row>
    <row r="735" ht="46.5" customHeight="1">
      <c r="A735" s="145"/>
      <c r="B735" s="138"/>
      <c r="C735" s="138"/>
      <c r="D735" s="138"/>
      <c r="E735" s="138"/>
      <c r="F735" s="138"/>
      <c r="G735" s="119"/>
    </row>
    <row r="736" ht="46.5" customHeight="1">
      <c r="A736" s="145"/>
      <c r="B736" s="138"/>
      <c r="C736" s="138"/>
      <c r="D736" s="138"/>
      <c r="E736" s="138"/>
      <c r="F736" s="138"/>
      <c r="G736" s="119"/>
    </row>
    <row r="737" ht="46.5" customHeight="1">
      <c r="A737" s="145"/>
      <c r="B737" s="138"/>
      <c r="C737" s="138"/>
      <c r="D737" s="138"/>
      <c r="E737" s="138"/>
      <c r="F737" s="138"/>
      <c r="G737" s="119"/>
    </row>
    <row r="738" ht="46.5" customHeight="1">
      <c r="A738" s="145"/>
      <c r="B738" s="138"/>
      <c r="C738" s="138"/>
      <c r="D738" s="138"/>
      <c r="E738" s="138"/>
      <c r="F738" s="138"/>
      <c r="G738" s="119"/>
    </row>
    <row r="739" ht="46.5" customHeight="1">
      <c r="A739" s="145"/>
      <c r="B739" s="138"/>
      <c r="C739" s="138"/>
      <c r="D739" s="138"/>
      <c r="E739" s="138"/>
      <c r="F739" s="138"/>
      <c r="G739" s="119"/>
    </row>
    <row r="740" ht="46.5" customHeight="1">
      <c r="A740" s="145"/>
      <c r="B740" s="138"/>
      <c r="C740" s="138"/>
      <c r="D740" s="138"/>
      <c r="E740" s="138"/>
      <c r="F740" s="138"/>
      <c r="G740" s="119"/>
    </row>
    <row r="741" ht="46.5" customHeight="1">
      <c r="A741" s="145"/>
      <c r="B741" s="138"/>
      <c r="C741" s="138"/>
      <c r="D741" s="138"/>
      <c r="E741" s="138"/>
      <c r="F741" s="138"/>
      <c r="G741" s="119"/>
    </row>
    <row r="742" ht="46.5" customHeight="1">
      <c r="A742" s="145"/>
      <c r="B742" s="138"/>
      <c r="C742" s="138"/>
      <c r="D742" s="138"/>
      <c r="E742" s="138"/>
      <c r="F742" s="138"/>
      <c r="G742" s="119"/>
    </row>
    <row r="743" ht="46.5" customHeight="1">
      <c r="A743" s="145"/>
      <c r="B743" s="138"/>
      <c r="C743" s="138"/>
      <c r="D743" s="138"/>
      <c r="E743" s="138"/>
      <c r="F743" s="138"/>
      <c r="G743" s="119"/>
    </row>
    <row r="744" ht="46.5" customHeight="1">
      <c r="A744" s="145"/>
      <c r="B744" s="138"/>
      <c r="C744" s="138"/>
      <c r="D744" s="138"/>
      <c r="E744" s="138"/>
      <c r="F744" s="138"/>
      <c r="G744" s="119"/>
    </row>
    <row r="745" ht="46.5" customHeight="1">
      <c r="A745" s="145"/>
      <c r="B745" s="138"/>
      <c r="C745" s="138"/>
      <c r="D745" s="138"/>
      <c r="E745" s="138"/>
      <c r="F745" s="138"/>
      <c r="G745" s="119"/>
    </row>
    <row r="746" ht="46.5" customHeight="1">
      <c r="A746" s="145"/>
      <c r="B746" s="138"/>
      <c r="C746" s="138"/>
      <c r="D746" s="138"/>
      <c r="E746" s="138"/>
      <c r="F746" s="138"/>
      <c r="G746" s="119"/>
    </row>
    <row r="747" ht="46.5" customHeight="1">
      <c r="A747" s="145"/>
      <c r="B747" s="138"/>
      <c r="C747" s="138"/>
      <c r="D747" s="138"/>
      <c r="E747" s="138"/>
      <c r="F747" s="138"/>
      <c r="G747" s="119"/>
    </row>
    <row r="748" ht="46.5" customHeight="1">
      <c r="A748" s="145"/>
      <c r="B748" s="138"/>
      <c r="C748" s="138"/>
      <c r="D748" s="138"/>
      <c r="E748" s="138"/>
      <c r="F748" s="138"/>
      <c r="G748" s="119"/>
    </row>
    <row r="749" ht="46.5" customHeight="1">
      <c r="A749" s="145"/>
      <c r="B749" s="138"/>
      <c r="C749" s="138"/>
      <c r="D749" s="138"/>
      <c r="E749" s="138"/>
      <c r="F749" s="138"/>
      <c r="G749" s="119"/>
    </row>
    <row r="750" ht="46.5" customHeight="1">
      <c r="A750" s="145"/>
      <c r="B750" s="138"/>
      <c r="C750" s="138"/>
      <c r="D750" s="138"/>
      <c r="E750" s="138"/>
      <c r="F750" s="138"/>
      <c r="G750" s="119"/>
    </row>
    <row r="751" ht="46.5" customHeight="1">
      <c r="A751" s="145"/>
      <c r="B751" s="138"/>
      <c r="C751" s="138"/>
      <c r="D751" s="138"/>
      <c r="E751" s="138"/>
      <c r="F751" s="138"/>
      <c r="G751" s="119"/>
    </row>
    <row r="752" ht="46.5" customHeight="1">
      <c r="A752" s="145"/>
      <c r="B752" s="138"/>
      <c r="C752" s="138"/>
      <c r="D752" s="138"/>
      <c r="E752" s="138"/>
      <c r="F752" s="138"/>
      <c r="G752" s="119"/>
    </row>
    <row r="753" ht="46.5" customHeight="1">
      <c r="A753" s="145"/>
      <c r="B753" s="138"/>
      <c r="C753" s="138"/>
      <c r="D753" s="138"/>
      <c r="E753" s="138"/>
      <c r="F753" s="138"/>
      <c r="G753" s="119"/>
    </row>
    <row r="754" ht="46.5" customHeight="1">
      <c r="A754" s="145"/>
      <c r="B754" s="138"/>
      <c r="C754" s="138"/>
      <c r="D754" s="138"/>
      <c r="E754" s="138"/>
      <c r="F754" s="138"/>
      <c r="G754" s="119"/>
    </row>
    <row r="755" ht="46.5" customHeight="1">
      <c r="A755" s="145"/>
      <c r="B755" s="138"/>
      <c r="C755" s="138"/>
      <c r="D755" s="138"/>
      <c r="E755" s="138"/>
      <c r="F755" s="138"/>
      <c r="G755" s="119"/>
    </row>
    <row r="756" ht="46.5" customHeight="1">
      <c r="A756" s="145"/>
      <c r="B756" s="138"/>
      <c r="C756" s="138"/>
      <c r="D756" s="138"/>
      <c r="E756" s="138"/>
      <c r="F756" s="138"/>
      <c r="G756" s="119"/>
    </row>
    <row r="757" ht="46.5" customHeight="1">
      <c r="A757" s="145"/>
      <c r="B757" s="138"/>
      <c r="C757" s="138"/>
      <c r="D757" s="138"/>
      <c r="E757" s="138"/>
      <c r="F757" s="138"/>
      <c r="G757" s="119"/>
    </row>
    <row r="758" ht="46.5" customHeight="1">
      <c r="A758" s="145"/>
      <c r="B758" s="138"/>
      <c r="C758" s="138"/>
      <c r="D758" s="138"/>
      <c r="E758" s="138"/>
      <c r="F758" s="138"/>
      <c r="G758" s="119"/>
    </row>
    <row r="759" ht="46.5" customHeight="1">
      <c r="A759" s="145"/>
      <c r="B759" s="138"/>
      <c r="C759" s="138"/>
      <c r="D759" s="138"/>
      <c r="E759" s="138"/>
      <c r="F759" s="138"/>
      <c r="G759" s="119"/>
    </row>
    <row r="760" ht="46.5" customHeight="1">
      <c r="A760" s="145"/>
      <c r="B760" s="138"/>
      <c r="C760" s="138"/>
      <c r="D760" s="138"/>
      <c r="E760" s="138"/>
      <c r="F760" s="138"/>
      <c r="G760" s="119"/>
    </row>
    <row r="761" ht="46.5" customHeight="1">
      <c r="A761" s="145"/>
      <c r="B761" s="138"/>
      <c r="C761" s="138"/>
      <c r="D761" s="138"/>
      <c r="E761" s="138"/>
      <c r="F761" s="138"/>
      <c r="G761" s="119"/>
    </row>
    <row r="762" ht="46.5" customHeight="1">
      <c r="A762" s="145"/>
      <c r="B762" s="138"/>
      <c r="C762" s="138"/>
      <c r="D762" s="138"/>
      <c r="E762" s="138"/>
      <c r="F762" s="138"/>
      <c r="G762" s="119"/>
    </row>
    <row r="763" ht="46.5" customHeight="1">
      <c r="A763" s="145"/>
      <c r="B763" s="138"/>
      <c r="C763" s="138"/>
      <c r="D763" s="138"/>
      <c r="E763" s="138"/>
      <c r="F763" s="138"/>
      <c r="G763" s="119"/>
    </row>
    <row r="764" ht="46.5" customHeight="1">
      <c r="A764" s="145"/>
      <c r="B764" s="138"/>
      <c r="C764" s="138"/>
      <c r="D764" s="138"/>
      <c r="E764" s="138"/>
      <c r="F764" s="138"/>
      <c r="G764" s="119"/>
    </row>
    <row r="765" ht="46.5" customHeight="1">
      <c r="A765" s="145"/>
      <c r="B765" s="138"/>
      <c r="C765" s="138"/>
      <c r="D765" s="138"/>
      <c r="E765" s="138"/>
      <c r="F765" s="138"/>
      <c r="G765" s="119"/>
    </row>
    <row r="766" ht="46.5" customHeight="1">
      <c r="A766" s="145"/>
      <c r="B766" s="138"/>
      <c r="C766" s="138"/>
      <c r="D766" s="138"/>
      <c r="E766" s="138"/>
      <c r="F766" s="138"/>
      <c r="G766" s="119"/>
    </row>
    <row r="767" ht="46.5" customHeight="1">
      <c r="A767" s="145"/>
      <c r="B767" s="138"/>
      <c r="C767" s="138"/>
      <c r="D767" s="138"/>
      <c r="E767" s="138"/>
      <c r="F767" s="138"/>
      <c r="G767" s="119"/>
    </row>
    <row r="768" ht="46.5" customHeight="1">
      <c r="A768" s="145"/>
      <c r="B768" s="138"/>
      <c r="C768" s="138"/>
      <c r="D768" s="138"/>
      <c r="E768" s="138"/>
      <c r="F768" s="138"/>
      <c r="G768" s="119"/>
    </row>
    <row r="769" ht="46.5" customHeight="1">
      <c r="A769" s="145"/>
      <c r="B769" s="138"/>
      <c r="C769" s="138"/>
      <c r="D769" s="138"/>
      <c r="E769" s="138"/>
      <c r="F769" s="138"/>
      <c r="G769" s="119"/>
    </row>
    <row r="770" ht="46.5" customHeight="1">
      <c r="A770" s="145"/>
      <c r="B770" s="138"/>
      <c r="C770" s="138"/>
      <c r="D770" s="138"/>
      <c r="E770" s="138"/>
      <c r="F770" s="138"/>
      <c r="G770" s="119"/>
    </row>
    <row r="771" ht="46.5" customHeight="1">
      <c r="A771" s="145"/>
      <c r="B771" s="138"/>
      <c r="C771" s="138"/>
      <c r="D771" s="138"/>
      <c r="E771" s="138"/>
      <c r="F771" s="138"/>
      <c r="G771" s="119"/>
    </row>
    <row r="772" ht="46.5" customHeight="1">
      <c r="A772" s="145"/>
      <c r="B772" s="138"/>
      <c r="C772" s="138"/>
      <c r="D772" s="138"/>
      <c r="E772" s="138"/>
      <c r="F772" s="138"/>
      <c r="G772" s="119"/>
    </row>
    <row r="773" ht="46.5" customHeight="1">
      <c r="A773" s="145"/>
      <c r="B773" s="138"/>
      <c r="C773" s="138"/>
      <c r="D773" s="138"/>
      <c r="E773" s="138"/>
      <c r="F773" s="138"/>
      <c r="G773" s="119"/>
    </row>
    <row r="774" ht="46.5" customHeight="1">
      <c r="A774" s="145"/>
      <c r="B774" s="138"/>
      <c r="C774" s="138"/>
      <c r="D774" s="138"/>
      <c r="E774" s="138"/>
      <c r="F774" s="138"/>
      <c r="G774" s="119"/>
    </row>
    <row r="775" ht="46.5" customHeight="1">
      <c r="A775" s="145"/>
      <c r="B775" s="138"/>
      <c r="C775" s="138"/>
      <c r="D775" s="138"/>
      <c r="E775" s="138"/>
      <c r="F775" s="138"/>
      <c r="G775" s="119"/>
    </row>
    <row r="776" ht="46.5" customHeight="1">
      <c r="A776" s="145"/>
      <c r="B776" s="138"/>
      <c r="C776" s="138"/>
      <c r="D776" s="138"/>
      <c r="E776" s="138"/>
      <c r="F776" s="138"/>
      <c r="G776" s="119"/>
    </row>
    <row r="777" ht="46.5" customHeight="1">
      <c r="A777" s="145"/>
      <c r="B777" s="138"/>
      <c r="C777" s="138"/>
      <c r="D777" s="138"/>
      <c r="E777" s="138"/>
      <c r="F777" s="138"/>
      <c r="G777" s="119"/>
    </row>
    <row r="778" ht="46.5" customHeight="1">
      <c r="A778" s="145"/>
      <c r="B778" s="138"/>
      <c r="C778" s="138"/>
      <c r="D778" s="138"/>
      <c r="E778" s="138"/>
      <c r="F778" s="138"/>
      <c r="G778" s="119"/>
    </row>
    <row r="779" ht="46.5" customHeight="1">
      <c r="A779" s="145"/>
      <c r="B779" s="138"/>
      <c r="C779" s="138"/>
      <c r="D779" s="138"/>
      <c r="E779" s="138"/>
      <c r="F779" s="138"/>
      <c r="G779" s="119"/>
    </row>
    <row r="780" ht="46.5" customHeight="1">
      <c r="A780" s="145"/>
      <c r="B780" s="138"/>
      <c r="C780" s="138"/>
      <c r="D780" s="138"/>
      <c r="E780" s="138"/>
      <c r="F780" s="138"/>
      <c r="G780" s="119"/>
    </row>
    <row r="781" ht="46.5" customHeight="1">
      <c r="A781" s="145"/>
      <c r="B781" s="138"/>
      <c r="C781" s="138"/>
      <c r="D781" s="138"/>
      <c r="E781" s="138"/>
      <c r="F781" s="138"/>
      <c r="G781" s="119"/>
    </row>
    <row r="782" ht="46.5" customHeight="1">
      <c r="A782" s="145"/>
      <c r="B782" s="138"/>
      <c r="C782" s="138"/>
      <c r="D782" s="138"/>
      <c r="E782" s="138"/>
      <c r="F782" s="138"/>
      <c r="G782" s="119"/>
    </row>
    <row r="783" ht="46.5" customHeight="1">
      <c r="A783" s="145"/>
      <c r="B783" s="138"/>
      <c r="C783" s="138"/>
      <c r="D783" s="138"/>
      <c r="E783" s="138"/>
      <c r="F783" s="138"/>
      <c r="G783" s="119"/>
    </row>
    <row r="784" ht="46.5" customHeight="1">
      <c r="A784" s="145"/>
      <c r="B784" s="138"/>
      <c r="C784" s="138"/>
      <c r="D784" s="138"/>
      <c r="E784" s="138"/>
      <c r="F784" s="138"/>
      <c r="G784" s="119"/>
    </row>
    <row r="785" ht="46.5" customHeight="1">
      <c r="A785" s="145"/>
      <c r="B785" s="138"/>
      <c r="C785" s="138"/>
      <c r="D785" s="138"/>
      <c r="E785" s="138"/>
      <c r="F785" s="138"/>
      <c r="G785" s="119"/>
    </row>
    <row r="786" ht="46.5" customHeight="1">
      <c r="A786" s="145"/>
      <c r="B786" s="138"/>
      <c r="C786" s="138"/>
      <c r="D786" s="138"/>
      <c r="E786" s="138"/>
      <c r="F786" s="138"/>
      <c r="G786" s="119"/>
    </row>
    <row r="787" ht="46.5" customHeight="1">
      <c r="A787" s="145"/>
      <c r="B787" s="138"/>
      <c r="C787" s="138"/>
      <c r="D787" s="138"/>
      <c r="E787" s="138"/>
      <c r="F787" s="138"/>
      <c r="G787" s="119"/>
    </row>
    <row r="788" ht="46.5" customHeight="1">
      <c r="A788" s="145"/>
      <c r="B788" s="138"/>
      <c r="C788" s="138"/>
      <c r="D788" s="138"/>
      <c r="E788" s="138"/>
      <c r="F788" s="138"/>
      <c r="G788" s="119"/>
    </row>
    <row r="789" ht="46.5" customHeight="1">
      <c r="A789" s="145"/>
      <c r="B789" s="138"/>
      <c r="C789" s="138"/>
      <c r="D789" s="138"/>
      <c r="E789" s="138"/>
      <c r="F789" s="138"/>
      <c r="G789" s="119"/>
    </row>
    <row r="790" ht="46.5" customHeight="1">
      <c r="A790" s="145"/>
      <c r="B790" s="138"/>
      <c r="C790" s="138"/>
      <c r="D790" s="138"/>
      <c r="E790" s="138"/>
      <c r="F790" s="138"/>
      <c r="G790" s="119"/>
    </row>
    <row r="791" ht="46.5" customHeight="1">
      <c r="A791" s="145"/>
      <c r="B791" s="138"/>
      <c r="C791" s="138"/>
      <c r="D791" s="138"/>
      <c r="E791" s="138"/>
      <c r="F791" s="138"/>
      <c r="G791" s="119"/>
    </row>
    <row r="792" ht="46.5" customHeight="1">
      <c r="A792" s="145"/>
      <c r="B792" s="138"/>
      <c r="C792" s="138"/>
      <c r="D792" s="138"/>
      <c r="E792" s="138"/>
      <c r="F792" s="138"/>
      <c r="G792" s="119"/>
    </row>
    <row r="793" ht="46.5" customHeight="1">
      <c r="A793" s="145"/>
      <c r="B793" s="138"/>
      <c r="C793" s="138"/>
      <c r="D793" s="138"/>
      <c r="E793" s="138"/>
      <c r="F793" s="138"/>
      <c r="G793" s="119"/>
    </row>
    <row r="794" ht="46.5" customHeight="1">
      <c r="A794" s="145"/>
      <c r="B794" s="138"/>
      <c r="C794" s="138"/>
      <c r="D794" s="138"/>
      <c r="E794" s="138"/>
      <c r="F794" s="138"/>
      <c r="G794" s="119"/>
    </row>
    <row r="795" ht="46.5" customHeight="1">
      <c r="A795" s="145"/>
      <c r="B795" s="138"/>
      <c r="C795" s="138"/>
      <c r="D795" s="138"/>
      <c r="E795" s="138"/>
      <c r="F795" s="138"/>
      <c r="G795" s="119"/>
    </row>
    <row r="796" ht="46.5" customHeight="1">
      <c r="A796" s="145"/>
      <c r="B796" s="138"/>
      <c r="C796" s="138"/>
      <c r="D796" s="138"/>
      <c r="E796" s="138"/>
      <c r="F796" s="138"/>
      <c r="G796" s="119"/>
    </row>
    <row r="797" ht="46.5" customHeight="1">
      <c r="A797" s="145"/>
      <c r="B797" s="138"/>
      <c r="C797" s="138"/>
      <c r="D797" s="138"/>
      <c r="E797" s="138"/>
      <c r="F797" s="138"/>
      <c r="G797" s="119"/>
    </row>
    <row r="798" ht="46.5" customHeight="1">
      <c r="A798" s="145"/>
      <c r="B798" s="138"/>
      <c r="C798" s="138"/>
      <c r="D798" s="138"/>
      <c r="E798" s="138"/>
      <c r="F798" s="138"/>
      <c r="G798" s="119"/>
    </row>
    <row r="799" ht="46.5" customHeight="1">
      <c r="A799" s="145"/>
      <c r="B799" s="138"/>
      <c r="C799" s="138"/>
      <c r="D799" s="138"/>
      <c r="E799" s="138"/>
      <c r="F799" s="138"/>
      <c r="G799" s="119"/>
    </row>
    <row r="800" ht="46.5" customHeight="1">
      <c r="A800" s="145"/>
      <c r="B800" s="138"/>
      <c r="C800" s="138"/>
      <c r="D800" s="138"/>
      <c r="E800" s="138"/>
      <c r="F800" s="138"/>
      <c r="G800" s="119"/>
    </row>
    <row r="801" ht="46.5" customHeight="1">
      <c r="A801" s="145"/>
      <c r="B801" s="138"/>
      <c r="C801" s="138"/>
      <c r="D801" s="138"/>
      <c r="E801" s="138"/>
      <c r="F801" s="138"/>
      <c r="G801" s="119"/>
    </row>
    <row r="802" ht="46.5" customHeight="1">
      <c r="A802" s="145"/>
      <c r="B802" s="138"/>
      <c r="C802" s="138"/>
      <c r="D802" s="138"/>
      <c r="E802" s="138"/>
      <c r="F802" s="138"/>
      <c r="G802" s="119"/>
    </row>
    <row r="803" ht="46.5" customHeight="1">
      <c r="A803" s="145"/>
      <c r="B803" s="138"/>
      <c r="C803" s="138"/>
      <c r="D803" s="138"/>
      <c r="E803" s="138"/>
      <c r="F803" s="138"/>
      <c r="G803" s="119"/>
    </row>
    <row r="804" ht="46.5" customHeight="1">
      <c r="A804" s="145"/>
      <c r="B804" s="138"/>
      <c r="C804" s="138"/>
      <c r="D804" s="138"/>
      <c r="E804" s="138"/>
      <c r="F804" s="138"/>
      <c r="G804" s="119"/>
    </row>
    <row r="805" ht="46.5" customHeight="1">
      <c r="A805" s="145"/>
      <c r="B805" s="138"/>
      <c r="C805" s="138"/>
      <c r="D805" s="138"/>
      <c r="E805" s="138"/>
      <c r="F805" s="138"/>
      <c r="G805" s="119"/>
    </row>
    <row r="806" ht="46.5" customHeight="1">
      <c r="A806" s="145"/>
      <c r="B806" s="138"/>
      <c r="C806" s="138"/>
      <c r="D806" s="138"/>
      <c r="E806" s="138"/>
      <c r="F806" s="138"/>
      <c r="G806" s="119"/>
    </row>
    <row r="807" ht="46.5" customHeight="1">
      <c r="A807" s="145"/>
      <c r="B807" s="138"/>
      <c r="C807" s="138"/>
      <c r="D807" s="138"/>
      <c r="E807" s="138"/>
      <c r="F807" s="138"/>
      <c r="G807" s="119"/>
    </row>
    <row r="808" ht="46.5" customHeight="1">
      <c r="A808" s="145"/>
      <c r="B808" s="138"/>
      <c r="C808" s="138"/>
      <c r="D808" s="138"/>
      <c r="E808" s="138"/>
      <c r="F808" s="138"/>
      <c r="G808" s="119"/>
    </row>
    <row r="809" ht="46.5" customHeight="1">
      <c r="A809" s="145"/>
      <c r="B809" s="138"/>
      <c r="C809" s="138"/>
      <c r="D809" s="138"/>
      <c r="E809" s="138"/>
      <c r="F809" s="138"/>
      <c r="G809" s="119"/>
    </row>
    <row r="810" ht="46.5" customHeight="1">
      <c r="A810" s="145"/>
      <c r="B810" s="138"/>
      <c r="C810" s="138"/>
      <c r="D810" s="138"/>
      <c r="E810" s="138"/>
      <c r="F810" s="138"/>
      <c r="G810" s="119"/>
    </row>
    <row r="811" ht="46.5" customHeight="1">
      <c r="A811" s="145"/>
      <c r="B811" s="138"/>
      <c r="C811" s="138"/>
      <c r="D811" s="138"/>
      <c r="E811" s="138"/>
      <c r="F811" s="138"/>
      <c r="G811" s="119"/>
    </row>
    <row r="812" ht="46.5" customHeight="1">
      <c r="A812" s="145"/>
      <c r="B812" s="138"/>
      <c r="C812" s="138"/>
      <c r="D812" s="138"/>
      <c r="E812" s="138"/>
      <c r="F812" s="138"/>
      <c r="G812" s="119"/>
    </row>
    <row r="813" ht="46.5" customHeight="1">
      <c r="A813" s="145"/>
      <c r="B813" s="138"/>
      <c r="C813" s="138"/>
      <c r="D813" s="138"/>
      <c r="E813" s="138"/>
      <c r="F813" s="138"/>
      <c r="G813" s="119"/>
    </row>
    <row r="814" ht="46.5" customHeight="1">
      <c r="A814" s="145"/>
      <c r="B814" s="138"/>
      <c r="C814" s="138"/>
      <c r="D814" s="138"/>
      <c r="E814" s="138"/>
      <c r="F814" s="138"/>
      <c r="G814" s="119"/>
    </row>
    <row r="815" ht="46.5" customHeight="1">
      <c r="A815" s="145"/>
      <c r="B815" s="138"/>
      <c r="C815" s="138"/>
      <c r="D815" s="138"/>
      <c r="E815" s="138"/>
      <c r="F815" s="138"/>
      <c r="G815" s="119"/>
    </row>
    <row r="816" ht="46.5" customHeight="1">
      <c r="A816" s="145"/>
      <c r="B816" s="138"/>
      <c r="C816" s="138"/>
      <c r="D816" s="138"/>
      <c r="E816" s="138"/>
      <c r="F816" s="138"/>
      <c r="G816" s="119"/>
    </row>
    <row r="817" ht="46.5" customHeight="1">
      <c r="A817" s="145"/>
      <c r="B817" s="138"/>
      <c r="C817" s="138"/>
      <c r="D817" s="138"/>
      <c r="E817" s="138"/>
      <c r="F817" s="138"/>
      <c r="G817" s="119"/>
    </row>
    <row r="818" ht="46.5" customHeight="1">
      <c r="A818" s="145"/>
      <c r="B818" s="138"/>
      <c r="C818" s="138"/>
      <c r="D818" s="138"/>
      <c r="E818" s="138"/>
      <c r="F818" s="138"/>
      <c r="G818" s="119"/>
    </row>
    <row r="819" ht="46.5" customHeight="1">
      <c r="A819" s="145"/>
      <c r="B819" s="138"/>
      <c r="C819" s="138"/>
      <c r="D819" s="138"/>
      <c r="E819" s="138"/>
      <c r="F819" s="138"/>
      <c r="G819" s="119"/>
    </row>
    <row r="820" ht="46.5" customHeight="1">
      <c r="A820" s="145"/>
      <c r="B820" s="138"/>
      <c r="C820" s="138"/>
      <c r="D820" s="138"/>
      <c r="E820" s="138"/>
      <c r="F820" s="138"/>
      <c r="G820" s="119"/>
    </row>
    <row r="821" ht="46.5" customHeight="1">
      <c r="A821" s="145"/>
      <c r="B821" s="138"/>
      <c r="C821" s="138"/>
      <c r="D821" s="138"/>
      <c r="E821" s="138"/>
      <c r="F821" s="138"/>
      <c r="G821" s="119"/>
    </row>
    <row r="822" ht="46.5" customHeight="1">
      <c r="A822" s="145"/>
      <c r="B822" s="138"/>
      <c r="C822" s="138"/>
      <c r="D822" s="138"/>
      <c r="E822" s="138"/>
      <c r="F822" s="138"/>
      <c r="G822" s="119"/>
    </row>
    <row r="823" ht="46.5" customHeight="1">
      <c r="A823" s="145"/>
      <c r="B823" s="138"/>
      <c r="C823" s="138"/>
      <c r="D823" s="138"/>
      <c r="E823" s="138"/>
      <c r="F823" s="138"/>
      <c r="G823" s="119"/>
    </row>
    <row r="824" ht="46.5" customHeight="1">
      <c r="A824" s="145"/>
      <c r="B824" s="138"/>
      <c r="C824" s="138"/>
      <c r="D824" s="138"/>
      <c r="E824" s="138"/>
      <c r="F824" s="138"/>
      <c r="G824" s="119"/>
    </row>
    <row r="825" ht="46.5" customHeight="1">
      <c r="A825" s="145"/>
      <c r="B825" s="138"/>
      <c r="C825" s="138"/>
      <c r="D825" s="138"/>
      <c r="E825" s="138"/>
      <c r="F825" s="138"/>
      <c r="G825" s="119"/>
    </row>
    <row r="826" ht="46.5" customHeight="1">
      <c r="A826" s="145"/>
      <c r="B826" s="138"/>
      <c r="C826" s="138"/>
      <c r="D826" s="138"/>
      <c r="E826" s="138"/>
      <c r="F826" s="138"/>
      <c r="G826" s="119"/>
    </row>
    <row r="827" ht="46.5" customHeight="1">
      <c r="A827" s="145"/>
      <c r="B827" s="138"/>
      <c r="C827" s="138"/>
      <c r="D827" s="138"/>
      <c r="E827" s="138"/>
      <c r="F827" s="138"/>
      <c r="G827" s="119"/>
    </row>
    <row r="828" ht="46.5" customHeight="1">
      <c r="A828" s="145"/>
      <c r="B828" s="138"/>
      <c r="C828" s="138"/>
      <c r="D828" s="138"/>
      <c r="E828" s="138"/>
      <c r="F828" s="138"/>
      <c r="G828" s="119"/>
    </row>
    <row r="829" ht="46.5" customHeight="1">
      <c r="A829" s="145"/>
      <c r="B829" s="138"/>
      <c r="C829" s="138"/>
      <c r="D829" s="138"/>
      <c r="E829" s="138"/>
      <c r="F829" s="138"/>
      <c r="G829" s="119"/>
    </row>
    <row r="830" ht="46.5" customHeight="1">
      <c r="A830" s="145"/>
      <c r="B830" s="138"/>
      <c r="C830" s="138"/>
      <c r="D830" s="138"/>
      <c r="E830" s="138"/>
      <c r="F830" s="138"/>
      <c r="G830" s="119"/>
    </row>
    <row r="831" ht="46.5" customHeight="1">
      <c r="A831" s="145"/>
      <c r="B831" s="138"/>
      <c r="C831" s="138"/>
      <c r="D831" s="138"/>
      <c r="E831" s="138"/>
      <c r="F831" s="138"/>
      <c r="G831" s="119"/>
    </row>
    <row r="832" ht="46.5" customHeight="1">
      <c r="A832" s="145"/>
      <c r="B832" s="138"/>
      <c r="C832" s="138"/>
      <c r="D832" s="138"/>
      <c r="E832" s="138"/>
      <c r="F832" s="138"/>
      <c r="G832" s="119"/>
    </row>
    <row r="833" ht="46.5" customHeight="1">
      <c r="A833" s="145"/>
      <c r="B833" s="138"/>
      <c r="C833" s="138"/>
      <c r="D833" s="138"/>
      <c r="E833" s="138"/>
      <c r="F833" s="138"/>
      <c r="G833" s="119"/>
    </row>
    <row r="834" ht="46.5" customHeight="1">
      <c r="A834" s="145"/>
      <c r="B834" s="138"/>
      <c r="C834" s="138"/>
      <c r="D834" s="138"/>
      <c r="E834" s="138"/>
      <c r="F834" s="138"/>
      <c r="G834" s="119"/>
    </row>
    <row r="835" ht="46.5" customHeight="1">
      <c r="A835" s="145"/>
      <c r="B835" s="138"/>
      <c r="C835" s="138"/>
      <c r="D835" s="138"/>
      <c r="E835" s="138"/>
      <c r="F835" s="138"/>
      <c r="G835" s="119"/>
    </row>
    <row r="836" ht="46.5" customHeight="1">
      <c r="A836" s="145"/>
      <c r="B836" s="138"/>
      <c r="C836" s="138"/>
      <c r="D836" s="138"/>
      <c r="E836" s="138"/>
      <c r="F836" s="138"/>
      <c r="G836" s="119"/>
    </row>
    <row r="837" ht="46.5" customHeight="1">
      <c r="A837" s="145"/>
      <c r="B837" s="138"/>
      <c r="C837" s="138"/>
      <c r="D837" s="138"/>
      <c r="E837" s="138"/>
      <c r="F837" s="138"/>
      <c r="G837" s="119"/>
    </row>
    <row r="838" ht="46.5" customHeight="1">
      <c r="A838" s="145"/>
      <c r="B838" s="138"/>
      <c r="C838" s="138"/>
      <c r="D838" s="138"/>
      <c r="E838" s="138"/>
      <c r="F838" s="138"/>
      <c r="G838" s="119"/>
    </row>
    <row r="839" ht="46.5" customHeight="1">
      <c r="A839" s="145"/>
      <c r="B839" s="138"/>
      <c r="C839" s="138"/>
      <c r="D839" s="138"/>
      <c r="E839" s="138"/>
      <c r="F839" s="138"/>
      <c r="G839" s="119"/>
    </row>
    <row r="840" ht="46.5" customHeight="1">
      <c r="A840" s="145"/>
      <c r="B840" s="138"/>
      <c r="C840" s="138"/>
      <c r="D840" s="138"/>
      <c r="E840" s="138"/>
      <c r="F840" s="138"/>
      <c r="G840" s="119"/>
    </row>
    <row r="841" ht="46.5" customHeight="1">
      <c r="A841" s="145"/>
      <c r="B841" s="138"/>
      <c r="C841" s="138"/>
      <c r="D841" s="138"/>
      <c r="E841" s="138"/>
      <c r="F841" s="138"/>
      <c r="G841" s="119"/>
    </row>
    <row r="842" ht="46.5" customHeight="1">
      <c r="A842" s="145"/>
      <c r="B842" s="138"/>
      <c r="C842" s="138"/>
      <c r="D842" s="138"/>
      <c r="E842" s="138"/>
      <c r="F842" s="138"/>
      <c r="G842" s="119"/>
    </row>
    <row r="843" ht="46.5" customHeight="1">
      <c r="A843" s="145"/>
      <c r="B843" s="138"/>
      <c r="C843" s="138"/>
      <c r="D843" s="138"/>
      <c r="E843" s="138"/>
      <c r="F843" s="138"/>
      <c r="G843" s="119"/>
    </row>
    <row r="844" ht="46.5" customHeight="1">
      <c r="A844" s="145"/>
      <c r="B844" s="138"/>
      <c r="C844" s="138"/>
      <c r="D844" s="138"/>
      <c r="E844" s="138"/>
      <c r="F844" s="138"/>
      <c r="G844" s="119"/>
    </row>
    <row r="845" ht="46.5" customHeight="1">
      <c r="A845" s="145"/>
      <c r="B845" s="138"/>
      <c r="C845" s="138"/>
      <c r="D845" s="138"/>
      <c r="E845" s="138"/>
      <c r="F845" s="138"/>
      <c r="G845" s="119"/>
    </row>
    <row r="846" ht="46.5" customHeight="1">
      <c r="A846" s="145"/>
      <c r="B846" s="138"/>
      <c r="C846" s="138"/>
      <c r="D846" s="138"/>
      <c r="E846" s="138"/>
      <c r="F846" s="138"/>
      <c r="G846" s="119"/>
    </row>
    <row r="847" ht="46.5" customHeight="1">
      <c r="A847" s="145"/>
      <c r="B847" s="138"/>
      <c r="C847" s="138"/>
      <c r="D847" s="138"/>
      <c r="E847" s="138"/>
      <c r="F847" s="138"/>
      <c r="G847" s="119"/>
    </row>
    <row r="848" ht="46.5" customHeight="1">
      <c r="A848" s="145"/>
      <c r="B848" s="138"/>
      <c r="C848" s="138"/>
      <c r="D848" s="138"/>
      <c r="E848" s="138"/>
      <c r="F848" s="138"/>
      <c r="G848" s="119"/>
    </row>
    <row r="849" ht="46.5" customHeight="1">
      <c r="A849" s="145"/>
      <c r="B849" s="138"/>
      <c r="C849" s="138"/>
      <c r="D849" s="138"/>
      <c r="E849" s="138"/>
      <c r="F849" s="138"/>
      <c r="G849" s="119"/>
    </row>
    <row r="850" ht="46.5" customHeight="1">
      <c r="A850" s="145"/>
      <c r="B850" s="138"/>
      <c r="C850" s="138"/>
      <c r="D850" s="138"/>
      <c r="E850" s="138"/>
      <c r="F850" s="138"/>
      <c r="G850" s="119"/>
    </row>
    <row r="851" ht="46.5" customHeight="1">
      <c r="A851" s="145"/>
      <c r="B851" s="138"/>
      <c r="C851" s="138"/>
      <c r="D851" s="138"/>
      <c r="E851" s="138"/>
      <c r="F851" s="138"/>
      <c r="G851" s="119"/>
    </row>
    <row r="852" ht="46.5" customHeight="1">
      <c r="A852" s="145"/>
      <c r="B852" s="138"/>
      <c r="C852" s="138"/>
      <c r="D852" s="138"/>
      <c r="E852" s="138"/>
      <c r="F852" s="138"/>
      <c r="G852" s="119"/>
    </row>
    <row r="853" ht="46.5" customHeight="1">
      <c r="A853" s="145"/>
      <c r="B853" s="138"/>
      <c r="C853" s="138"/>
      <c r="D853" s="138"/>
      <c r="E853" s="138"/>
      <c r="F853" s="138"/>
      <c r="G853" s="119"/>
    </row>
    <row r="854" ht="46.5" customHeight="1">
      <c r="A854" s="145"/>
      <c r="B854" s="138"/>
      <c r="C854" s="138"/>
      <c r="D854" s="138"/>
      <c r="E854" s="138"/>
      <c r="F854" s="138"/>
      <c r="G854" s="119"/>
    </row>
    <row r="855" ht="46.5" customHeight="1">
      <c r="A855" s="145"/>
      <c r="B855" s="138"/>
      <c r="C855" s="138"/>
      <c r="D855" s="138"/>
      <c r="E855" s="138"/>
      <c r="F855" s="138"/>
      <c r="G855" s="119"/>
    </row>
    <row r="856" ht="46.5" customHeight="1">
      <c r="A856" s="145"/>
      <c r="B856" s="138"/>
      <c r="C856" s="138"/>
      <c r="D856" s="138"/>
      <c r="E856" s="138"/>
      <c r="F856" s="138"/>
      <c r="G856" s="119"/>
    </row>
    <row r="857" ht="46.5" customHeight="1">
      <c r="A857" s="145"/>
      <c r="B857" s="138"/>
      <c r="C857" s="138"/>
      <c r="D857" s="138"/>
      <c r="E857" s="138"/>
      <c r="F857" s="138"/>
      <c r="G857" s="119"/>
    </row>
    <row r="858" ht="46.5" customHeight="1">
      <c r="A858" s="145"/>
      <c r="B858" s="138"/>
      <c r="C858" s="138"/>
      <c r="D858" s="138"/>
      <c r="E858" s="138"/>
      <c r="F858" s="138"/>
      <c r="G858" s="119"/>
    </row>
    <row r="859" ht="46.5" customHeight="1">
      <c r="A859" s="145"/>
      <c r="B859" s="138"/>
      <c r="C859" s="138"/>
      <c r="D859" s="138"/>
      <c r="E859" s="138"/>
      <c r="F859" s="138"/>
      <c r="G859" s="119"/>
    </row>
    <row r="860" ht="46.5" customHeight="1">
      <c r="A860" s="145"/>
      <c r="B860" s="138"/>
      <c r="C860" s="138"/>
      <c r="D860" s="138"/>
      <c r="E860" s="138"/>
      <c r="F860" s="138"/>
      <c r="G860" s="119"/>
    </row>
    <row r="861" ht="46.5" customHeight="1">
      <c r="A861" s="145"/>
      <c r="B861" s="138"/>
      <c r="C861" s="138"/>
      <c r="D861" s="138"/>
      <c r="E861" s="138"/>
      <c r="F861" s="138"/>
      <c r="G861" s="119"/>
    </row>
    <row r="862" ht="46.5" customHeight="1">
      <c r="A862" s="145"/>
      <c r="B862" s="138"/>
      <c r="C862" s="138"/>
      <c r="D862" s="138"/>
      <c r="E862" s="138"/>
      <c r="F862" s="138"/>
      <c r="G862" s="119"/>
    </row>
    <row r="863" ht="46.5" customHeight="1">
      <c r="A863" s="145"/>
      <c r="B863" s="138"/>
      <c r="C863" s="138"/>
      <c r="D863" s="138"/>
      <c r="E863" s="138"/>
      <c r="F863" s="138"/>
      <c r="G863" s="119"/>
    </row>
    <row r="864" ht="46.5" customHeight="1">
      <c r="A864" s="145"/>
      <c r="B864" s="138"/>
      <c r="C864" s="138"/>
      <c r="D864" s="138"/>
      <c r="E864" s="138"/>
      <c r="F864" s="138"/>
      <c r="G864" s="119"/>
    </row>
    <row r="865" ht="46.5" customHeight="1">
      <c r="A865" s="145"/>
      <c r="B865" s="138"/>
      <c r="C865" s="138"/>
      <c r="D865" s="138"/>
      <c r="E865" s="138"/>
      <c r="F865" s="138"/>
      <c r="G865" s="119"/>
    </row>
    <row r="866" ht="46.5" customHeight="1">
      <c r="A866" s="145"/>
      <c r="B866" s="138"/>
      <c r="C866" s="138"/>
      <c r="D866" s="138"/>
      <c r="E866" s="138"/>
      <c r="F866" s="138"/>
      <c r="G866" s="119"/>
    </row>
    <row r="867" ht="46.5" customHeight="1">
      <c r="A867" s="145"/>
      <c r="B867" s="138"/>
      <c r="C867" s="138"/>
      <c r="D867" s="138"/>
      <c r="E867" s="138"/>
      <c r="F867" s="138"/>
      <c r="G867" s="119"/>
    </row>
    <row r="868" ht="46.5" customHeight="1">
      <c r="A868" s="145"/>
      <c r="B868" s="138"/>
      <c r="C868" s="138"/>
      <c r="D868" s="138"/>
      <c r="E868" s="138"/>
      <c r="F868" s="138"/>
      <c r="G868" s="119"/>
    </row>
    <row r="869" ht="46.5" customHeight="1">
      <c r="A869" s="145"/>
      <c r="B869" s="138"/>
      <c r="C869" s="138"/>
      <c r="D869" s="138"/>
      <c r="E869" s="138"/>
      <c r="F869" s="138"/>
      <c r="G869" s="119"/>
    </row>
    <row r="870" ht="46.5" customHeight="1">
      <c r="A870" s="145"/>
      <c r="B870" s="138"/>
      <c r="C870" s="138"/>
      <c r="D870" s="138"/>
      <c r="E870" s="138"/>
      <c r="F870" s="138"/>
      <c r="G870" s="119"/>
    </row>
    <row r="871" ht="46.5" customHeight="1">
      <c r="A871" s="145"/>
      <c r="B871" s="138"/>
      <c r="C871" s="138"/>
      <c r="D871" s="138"/>
      <c r="E871" s="138"/>
      <c r="F871" s="138"/>
      <c r="G871" s="119"/>
    </row>
    <row r="872" ht="46.5" customHeight="1">
      <c r="A872" s="145"/>
      <c r="B872" s="138"/>
      <c r="C872" s="138"/>
      <c r="D872" s="138"/>
      <c r="E872" s="138"/>
      <c r="F872" s="138"/>
      <c r="G872" s="119"/>
    </row>
    <row r="873" ht="46.5" customHeight="1">
      <c r="A873" s="145"/>
      <c r="B873" s="138"/>
      <c r="C873" s="138"/>
      <c r="D873" s="138"/>
      <c r="E873" s="138"/>
      <c r="F873" s="138"/>
      <c r="G873" s="119"/>
    </row>
    <row r="874" ht="46.5" customHeight="1">
      <c r="A874" s="145"/>
      <c r="B874" s="138"/>
      <c r="C874" s="138"/>
      <c r="D874" s="138"/>
      <c r="E874" s="138"/>
      <c r="F874" s="138"/>
      <c r="G874" s="119"/>
    </row>
    <row r="875" ht="46.5" customHeight="1">
      <c r="A875" s="145"/>
      <c r="B875" s="138"/>
      <c r="C875" s="138"/>
      <c r="D875" s="138"/>
      <c r="E875" s="138"/>
      <c r="F875" s="138"/>
      <c r="G875" s="119"/>
    </row>
    <row r="876" ht="46.5" customHeight="1">
      <c r="A876" s="145"/>
      <c r="B876" s="138"/>
      <c r="C876" s="138"/>
      <c r="D876" s="138"/>
      <c r="E876" s="138"/>
      <c r="F876" s="138"/>
      <c r="G876" s="119"/>
    </row>
    <row r="877" ht="46.5" customHeight="1">
      <c r="A877" s="145"/>
      <c r="B877" s="138"/>
      <c r="C877" s="138"/>
      <c r="D877" s="138"/>
      <c r="E877" s="138"/>
      <c r="F877" s="138"/>
      <c r="G877" s="119"/>
    </row>
    <row r="878" ht="46.5" customHeight="1">
      <c r="A878" s="145"/>
      <c r="B878" s="138"/>
      <c r="C878" s="138"/>
      <c r="D878" s="138"/>
      <c r="E878" s="138"/>
      <c r="F878" s="138"/>
      <c r="G878" s="119"/>
    </row>
    <row r="879" ht="46.5" customHeight="1">
      <c r="A879" s="145"/>
      <c r="B879" s="138"/>
      <c r="C879" s="138"/>
      <c r="D879" s="138"/>
      <c r="E879" s="138"/>
      <c r="F879" s="138"/>
      <c r="G879" s="119"/>
    </row>
    <row r="880" ht="46.5" customHeight="1">
      <c r="A880" s="145"/>
      <c r="B880" s="138"/>
      <c r="C880" s="138"/>
      <c r="D880" s="138"/>
      <c r="E880" s="138"/>
      <c r="F880" s="138"/>
      <c r="G880" s="119"/>
    </row>
    <row r="881" ht="46.5" customHeight="1">
      <c r="A881" s="145"/>
      <c r="B881" s="138"/>
      <c r="C881" s="138"/>
      <c r="D881" s="138"/>
      <c r="E881" s="138"/>
      <c r="F881" s="138"/>
      <c r="G881" s="119"/>
    </row>
    <row r="882" ht="46.5" customHeight="1">
      <c r="A882" s="145"/>
      <c r="B882" s="138"/>
      <c r="C882" s="138"/>
      <c r="D882" s="138"/>
      <c r="E882" s="138"/>
      <c r="F882" s="138"/>
      <c r="G882" s="119"/>
    </row>
    <row r="883" ht="46.5" customHeight="1">
      <c r="A883" s="145"/>
      <c r="B883" s="138"/>
      <c r="C883" s="138"/>
      <c r="D883" s="138"/>
      <c r="E883" s="138"/>
      <c r="F883" s="138"/>
      <c r="G883" s="119"/>
    </row>
    <row r="884" ht="46.5" customHeight="1">
      <c r="A884" s="145"/>
      <c r="B884" s="138"/>
      <c r="C884" s="138"/>
      <c r="D884" s="138"/>
      <c r="E884" s="138"/>
      <c r="F884" s="138"/>
      <c r="G884" s="119"/>
    </row>
    <row r="885" ht="46.5" customHeight="1">
      <c r="A885" s="145"/>
      <c r="B885" s="138"/>
      <c r="C885" s="138"/>
      <c r="D885" s="138"/>
      <c r="E885" s="138"/>
      <c r="F885" s="138"/>
      <c r="G885" s="119"/>
    </row>
    <row r="886" ht="46.5" customHeight="1">
      <c r="A886" s="145"/>
      <c r="B886" s="138"/>
      <c r="C886" s="138"/>
      <c r="D886" s="138"/>
      <c r="E886" s="138"/>
      <c r="F886" s="138"/>
      <c r="G886" s="119"/>
    </row>
    <row r="887" ht="46.5" customHeight="1">
      <c r="A887" s="145"/>
      <c r="B887" s="138"/>
      <c r="C887" s="138"/>
      <c r="D887" s="138"/>
      <c r="E887" s="138"/>
      <c r="F887" s="138"/>
      <c r="G887" s="119"/>
    </row>
    <row r="888" ht="46.5" customHeight="1">
      <c r="A888" s="145"/>
      <c r="B888" s="138"/>
      <c r="C888" s="138"/>
      <c r="D888" s="138"/>
      <c r="E888" s="138"/>
      <c r="F888" s="138"/>
      <c r="G888" s="119"/>
    </row>
    <row r="889" ht="46.5" customHeight="1">
      <c r="A889" s="145"/>
      <c r="B889" s="138"/>
      <c r="C889" s="138"/>
      <c r="D889" s="138"/>
      <c r="E889" s="138"/>
      <c r="F889" s="138"/>
      <c r="G889" s="119"/>
    </row>
    <row r="890" ht="46.5" customHeight="1">
      <c r="A890" s="145"/>
      <c r="B890" s="138"/>
      <c r="C890" s="138"/>
      <c r="D890" s="138"/>
      <c r="E890" s="138"/>
      <c r="F890" s="138"/>
      <c r="G890" s="119"/>
    </row>
    <row r="891" ht="46.5" customHeight="1">
      <c r="A891" s="145"/>
      <c r="B891" s="138"/>
      <c r="C891" s="138"/>
      <c r="D891" s="138"/>
      <c r="E891" s="138"/>
      <c r="F891" s="138"/>
      <c r="G891" s="119"/>
    </row>
    <row r="892" ht="46.5" customHeight="1">
      <c r="A892" s="145"/>
      <c r="B892" s="138"/>
      <c r="C892" s="138"/>
      <c r="D892" s="138"/>
      <c r="E892" s="138"/>
      <c r="F892" s="138"/>
      <c r="G892" s="119"/>
    </row>
    <row r="893" ht="46.5" customHeight="1">
      <c r="A893" s="145"/>
      <c r="B893" s="138"/>
      <c r="C893" s="138"/>
      <c r="D893" s="138"/>
      <c r="E893" s="138"/>
      <c r="F893" s="138"/>
      <c r="G893" s="119"/>
    </row>
    <row r="894" ht="46.5" customHeight="1">
      <c r="A894" s="145"/>
      <c r="B894" s="138"/>
      <c r="C894" s="138"/>
      <c r="D894" s="138"/>
      <c r="E894" s="138"/>
      <c r="F894" s="138"/>
      <c r="G894" s="119"/>
    </row>
    <row r="895" ht="46.5" customHeight="1">
      <c r="A895" s="145"/>
      <c r="B895" s="138"/>
      <c r="C895" s="138"/>
      <c r="D895" s="138"/>
      <c r="E895" s="138"/>
      <c r="F895" s="138"/>
      <c r="G895" s="119"/>
    </row>
    <row r="896" ht="46.5" customHeight="1">
      <c r="A896" s="145"/>
      <c r="B896" s="138"/>
      <c r="C896" s="138"/>
      <c r="D896" s="138"/>
      <c r="E896" s="138"/>
      <c r="F896" s="138"/>
      <c r="G896" s="119"/>
    </row>
    <row r="897" ht="46.5" customHeight="1">
      <c r="A897" s="145"/>
      <c r="B897" s="138"/>
      <c r="C897" s="138"/>
      <c r="D897" s="138"/>
      <c r="E897" s="138"/>
      <c r="F897" s="138"/>
      <c r="G897" s="119"/>
    </row>
    <row r="898" ht="46.5" customHeight="1">
      <c r="A898" s="145"/>
      <c r="B898" s="138"/>
      <c r="C898" s="138"/>
      <c r="D898" s="138"/>
      <c r="E898" s="138"/>
      <c r="F898" s="138"/>
      <c r="G898" s="119"/>
    </row>
    <row r="899" ht="46.5" customHeight="1">
      <c r="A899" s="145"/>
      <c r="B899" s="138"/>
      <c r="C899" s="138"/>
      <c r="D899" s="138"/>
      <c r="E899" s="138"/>
      <c r="F899" s="138"/>
      <c r="G899" s="119"/>
    </row>
    <row r="900" ht="46.5" customHeight="1">
      <c r="A900" s="145"/>
      <c r="B900" s="138"/>
      <c r="C900" s="138"/>
      <c r="D900" s="138"/>
      <c r="E900" s="138"/>
      <c r="F900" s="138"/>
      <c r="G900" s="119"/>
    </row>
    <row r="901" ht="46.5" customHeight="1">
      <c r="A901" s="145"/>
      <c r="B901" s="138"/>
      <c r="C901" s="138"/>
      <c r="D901" s="138"/>
      <c r="E901" s="138"/>
      <c r="F901" s="138"/>
      <c r="G901" s="119"/>
    </row>
    <row r="902" ht="46.5" customHeight="1">
      <c r="A902" s="145"/>
      <c r="B902" s="138"/>
      <c r="C902" s="138"/>
      <c r="D902" s="138"/>
      <c r="E902" s="138"/>
      <c r="F902" s="138"/>
      <c r="G902" s="119"/>
    </row>
    <row r="903" ht="46.5" customHeight="1">
      <c r="A903" s="145"/>
      <c r="B903" s="138"/>
      <c r="C903" s="138"/>
      <c r="D903" s="138"/>
      <c r="E903" s="138"/>
      <c r="F903" s="138"/>
      <c r="G903" s="119"/>
    </row>
    <row r="904" ht="46.5" customHeight="1">
      <c r="A904" s="145"/>
      <c r="B904" s="138"/>
      <c r="C904" s="138"/>
      <c r="D904" s="138"/>
      <c r="E904" s="138"/>
      <c r="F904" s="138"/>
      <c r="G904" s="119"/>
    </row>
    <row r="905" ht="46.5" customHeight="1">
      <c r="A905" s="145"/>
      <c r="B905" s="138"/>
      <c r="C905" s="138"/>
      <c r="D905" s="138"/>
      <c r="E905" s="138"/>
      <c r="F905" s="138"/>
      <c r="G905" s="119"/>
    </row>
    <row r="906" ht="46.5" customHeight="1">
      <c r="A906" s="145"/>
      <c r="B906" s="138"/>
      <c r="C906" s="138"/>
      <c r="D906" s="138"/>
      <c r="E906" s="138"/>
      <c r="F906" s="138"/>
      <c r="G906" s="119"/>
    </row>
    <row r="907" ht="46.5" customHeight="1">
      <c r="A907" s="145"/>
      <c r="B907" s="138"/>
      <c r="C907" s="138"/>
      <c r="D907" s="138"/>
      <c r="E907" s="138"/>
      <c r="F907" s="138"/>
      <c r="G907" s="119"/>
    </row>
    <row r="908" ht="46.5" customHeight="1">
      <c r="A908" s="145"/>
      <c r="B908" s="138"/>
      <c r="C908" s="138"/>
      <c r="D908" s="138"/>
      <c r="E908" s="138"/>
      <c r="F908" s="138"/>
      <c r="G908" s="119"/>
    </row>
    <row r="909" ht="46.5" customHeight="1">
      <c r="A909" s="145"/>
      <c r="B909" s="138"/>
      <c r="C909" s="138"/>
      <c r="D909" s="138"/>
      <c r="E909" s="138"/>
      <c r="F909" s="138"/>
      <c r="G909" s="119"/>
    </row>
    <row r="910" ht="46.5" customHeight="1">
      <c r="A910" s="145"/>
      <c r="B910" s="138"/>
      <c r="C910" s="138"/>
      <c r="D910" s="138"/>
      <c r="E910" s="138"/>
      <c r="F910" s="138"/>
      <c r="G910" s="119"/>
    </row>
    <row r="911" ht="46.5" customHeight="1">
      <c r="A911" s="145"/>
      <c r="B911" s="138"/>
      <c r="C911" s="138"/>
      <c r="D911" s="138"/>
      <c r="E911" s="138"/>
      <c r="F911" s="138"/>
      <c r="G911" s="119"/>
    </row>
    <row r="912" ht="46.5" customHeight="1">
      <c r="A912" s="145"/>
      <c r="B912" s="138"/>
      <c r="C912" s="138"/>
      <c r="D912" s="138"/>
      <c r="E912" s="138"/>
      <c r="F912" s="138"/>
      <c r="G912" s="119"/>
    </row>
    <row r="913" ht="46.5" customHeight="1">
      <c r="A913" s="145"/>
      <c r="B913" s="138"/>
      <c r="C913" s="138"/>
      <c r="D913" s="138"/>
      <c r="E913" s="138"/>
      <c r="F913" s="138"/>
      <c r="G913" s="119"/>
    </row>
    <row r="914" ht="46.5" customHeight="1">
      <c r="A914" s="145"/>
      <c r="B914" s="138"/>
      <c r="C914" s="138"/>
      <c r="D914" s="138"/>
      <c r="E914" s="138"/>
      <c r="F914" s="138"/>
      <c r="G914" s="119"/>
    </row>
    <row r="915" ht="46.5" customHeight="1">
      <c r="A915" s="145"/>
      <c r="B915" s="138"/>
      <c r="C915" s="138"/>
      <c r="D915" s="138"/>
      <c r="E915" s="138"/>
      <c r="F915" s="138"/>
      <c r="G915" s="119"/>
    </row>
    <row r="916" ht="46.5" customHeight="1">
      <c r="A916" s="145"/>
      <c r="B916" s="138"/>
      <c r="C916" s="138"/>
      <c r="D916" s="138"/>
      <c r="E916" s="138"/>
      <c r="F916" s="138"/>
      <c r="G916" s="119"/>
    </row>
    <row r="917" ht="46.5" customHeight="1">
      <c r="A917" s="145"/>
      <c r="B917" s="138"/>
      <c r="C917" s="138"/>
      <c r="D917" s="138"/>
      <c r="E917" s="138"/>
      <c r="F917" s="138"/>
      <c r="G917" s="119"/>
    </row>
    <row r="918" ht="46.5" customHeight="1">
      <c r="A918" s="145"/>
      <c r="B918" s="138"/>
      <c r="C918" s="138"/>
      <c r="D918" s="138"/>
      <c r="E918" s="138"/>
      <c r="F918" s="138"/>
      <c r="G918" s="119"/>
    </row>
    <row r="919" ht="46.5" customHeight="1">
      <c r="A919" s="145"/>
      <c r="B919" s="138"/>
      <c r="C919" s="138"/>
      <c r="D919" s="138"/>
      <c r="E919" s="138"/>
      <c r="F919" s="138"/>
      <c r="G919" s="119"/>
    </row>
    <row r="920" ht="46.5" customHeight="1">
      <c r="A920" s="145"/>
      <c r="B920" s="138"/>
      <c r="C920" s="138"/>
      <c r="D920" s="138"/>
      <c r="E920" s="138"/>
      <c r="F920" s="138"/>
      <c r="G920" s="119"/>
    </row>
    <row r="921" ht="46.5" customHeight="1">
      <c r="A921" s="145"/>
      <c r="B921" s="138"/>
      <c r="C921" s="138"/>
      <c r="D921" s="138"/>
      <c r="E921" s="138"/>
      <c r="F921" s="138"/>
      <c r="G921" s="119"/>
    </row>
    <row r="922" ht="46.5" customHeight="1">
      <c r="A922" s="145"/>
      <c r="B922" s="138"/>
      <c r="C922" s="138"/>
      <c r="D922" s="138"/>
      <c r="E922" s="138"/>
      <c r="F922" s="138"/>
      <c r="G922" s="119"/>
    </row>
    <row r="923" ht="46.5" customHeight="1">
      <c r="A923" s="145"/>
      <c r="B923" s="138"/>
      <c r="C923" s="138"/>
      <c r="D923" s="138"/>
      <c r="E923" s="138"/>
      <c r="F923" s="138"/>
      <c r="G923" s="119"/>
    </row>
    <row r="924" ht="46.5" customHeight="1">
      <c r="A924" s="145"/>
      <c r="B924" s="138"/>
      <c r="C924" s="138"/>
      <c r="D924" s="138"/>
      <c r="E924" s="138"/>
      <c r="F924" s="138"/>
      <c r="G924" s="119"/>
    </row>
    <row r="925" ht="46.5" customHeight="1">
      <c r="A925" s="145"/>
      <c r="B925" s="138"/>
      <c r="C925" s="138"/>
      <c r="D925" s="138"/>
      <c r="E925" s="138"/>
      <c r="F925" s="138"/>
      <c r="G925" s="119"/>
    </row>
    <row r="926" ht="46.5" customHeight="1">
      <c r="A926" s="145"/>
      <c r="B926" s="138"/>
      <c r="C926" s="138"/>
      <c r="D926" s="138"/>
      <c r="E926" s="138"/>
      <c r="F926" s="138"/>
      <c r="G926" s="119"/>
    </row>
    <row r="927" ht="46.5" customHeight="1">
      <c r="A927" s="145"/>
      <c r="B927" s="138"/>
      <c r="C927" s="138"/>
      <c r="D927" s="138"/>
      <c r="E927" s="138"/>
      <c r="F927" s="138"/>
      <c r="G927" s="119"/>
    </row>
    <row r="928" ht="46.5" customHeight="1">
      <c r="A928" s="145"/>
      <c r="B928" s="138"/>
      <c r="C928" s="138"/>
      <c r="D928" s="138"/>
      <c r="E928" s="138"/>
      <c r="F928" s="138"/>
      <c r="G928" s="119"/>
    </row>
    <row r="929" ht="46.5" customHeight="1">
      <c r="A929" s="145"/>
      <c r="B929" s="138"/>
      <c r="C929" s="138"/>
      <c r="D929" s="138"/>
      <c r="E929" s="138"/>
      <c r="F929" s="138"/>
      <c r="G929" s="119"/>
    </row>
    <row r="930" ht="46.5" customHeight="1">
      <c r="A930" s="145"/>
      <c r="B930" s="138"/>
      <c r="C930" s="138"/>
      <c r="D930" s="138"/>
      <c r="E930" s="138"/>
      <c r="F930" s="138"/>
      <c r="G930" s="119"/>
    </row>
    <row r="931" ht="46.5" customHeight="1">
      <c r="A931" s="145"/>
      <c r="B931" s="138"/>
      <c r="C931" s="138"/>
      <c r="D931" s="138"/>
      <c r="E931" s="138"/>
      <c r="F931" s="138"/>
      <c r="G931" s="119"/>
    </row>
    <row r="932" ht="46.5" customHeight="1">
      <c r="A932" s="145"/>
      <c r="B932" s="138"/>
      <c r="C932" s="138"/>
      <c r="D932" s="138"/>
      <c r="E932" s="138"/>
      <c r="F932" s="138"/>
      <c r="G932" s="119"/>
    </row>
    <row r="933" ht="46.5" customHeight="1">
      <c r="A933" s="145"/>
      <c r="B933" s="138"/>
      <c r="C933" s="138"/>
      <c r="D933" s="138"/>
      <c r="E933" s="138"/>
      <c r="F933" s="138"/>
      <c r="G933" s="119"/>
    </row>
    <row r="934" ht="46.5" customHeight="1">
      <c r="A934" s="145"/>
      <c r="B934" s="138"/>
      <c r="C934" s="138"/>
      <c r="D934" s="138"/>
      <c r="E934" s="138"/>
      <c r="F934" s="138"/>
      <c r="G934" s="119"/>
    </row>
    <row r="935" ht="46.5" customHeight="1">
      <c r="A935" s="145"/>
      <c r="B935" s="138"/>
      <c r="C935" s="138"/>
      <c r="D935" s="138"/>
      <c r="E935" s="138"/>
      <c r="F935" s="138"/>
      <c r="G935" s="119"/>
    </row>
    <row r="936" ht="46.5" customHeight="1">
      <c r="A936" s="145"/>
      <c r="B936" s="138"/>
      <c r="C936" s="138"/>
      <c r="D936" s="138"/>
      <c r="E936" s="138"/>
      <c r="F936" s="138"/>
      <c r="G936" s="119"/>
    </row>
    <row r="937" ht="46.5" customHeight="1">
      <c r="A937" s="145"/>
      <c r="B937" s="138"/>
      <c r="C937" s="138"/>
      <c r="D937" s="138"/>
      <c r="E937" s="138"/>
      <c r="F937" s="138"/>
      <c r="G937" s="119"/>
    </row>
    <row r="938" ht="46.5" customHeight="1">
      <c r="A938" s="145"/>
      <c r="B938" s="138"/>
      <c r="C938" s="138"/>
      <c r="D938" s="138"/>
      <c r="E938" s="138"/>
      <c r="F938" s="138"/>
      <c r="G938" s="119"/>
    </row>
    <row r="939" ht="46.5" customHeight="1">
      <c r="A939" s="145"/>
      <c r="B939" s="138"/>
      <c r="C939" s="138"/>
      <c r="D939" s="138"/>
      <c r="E939" s="138"/>
      <c r="F939" s="138"/>
      <c r="G939" s="119"/>
    </row>
    <row r="940" ht="46.5" customHeight="1">
      <c r="A940" s="145"/>
      <c r="B940" s="138"/>
      <c r="C940" s="138"/>
      <c r="D940" s="138"/>
      <c r="E940" s="138"/>
      <c r="F940" s="138"/>
      <c r="G940" s="119"/>
    </row>
    <row r="941" ht="46.5" customHeight="1">
      <c r="A941" s="145"/>
      <c r="B941" s="138"/>
      <c r="C941" s="138"/>
      <c r="D941" s="138"/>
      <c r="E941" s="138"/>
      <c r="F941" s="138"/>
      <c r="G941" s="119"/>
    </row>
    <row r="942" ht="46.5" customHeight="1">
      <c r="A942" s="145"/>
      <c r="B942" s="138"/>
      <c r="C942" s="138"/>
      <c r="D942" s="138"/>
      <c r="E942" s="138"/>
      <c r="F942" s="138"/>
      <c r="G942" s="119"/>
    </row>
    <row r="943" ht="46.5" customHeight="1">
      <c r="A943" s="145"/>
      <c r="B943" s="138"/>
      <c r="C943" s="138"/>
      <c r="D943" s="138"/>
      <c r="E943" s="138"/>
      <c r="F943" s="138"/>
      <c r="G943" s="119"/>
    </row>
    <row r="944" ht="46.5" customHeight="1">
      <c r="A944" s="145"/>
      <c r="B944" s="138"/>
      <c r="C944" s="138"/>
      <c r="D944" s="138"/>
      <c r="E944" s="138"/>
      <c r="F944" s="138"/>
      <c r="G944" s="119"/>
    </row>
    <row r="945" ht="46.5" customHeight="1">
      <c r="A945" s="145"/>
      <c r="B945" s="138"/>
      <c r="C945" s="138"/>
      <c r="D945" s="138"/>
      <c r="E945" s="138"/>
      <c r="F945" s="138"/>
      <c r="G945" s="119"/>
    </row>
    <row r="946" ht="46.5" customHeight="1">
      <c r="A946" s="145"/>
      <c r="B946" s="138"/>
      <c r="C946" s="138"/>
      <c r="D946" s="138"/>
      <c r="E946" s="138"/>
      <c r="F946" s="138"/>
      <c r="G946" s="119"/>
    </row>
    <row r="947" ht="46.5" customHeight="1">
      <c r="A947" s="145"/>
      <c r="B947" s="138"/>
      <c r="C947" s="138"/>
      <c r="D947" s="138"/>
      <c r="E947" s="138"/>
      <c r="F947" s="138"/>
      <c r="G947" s="119"/>
    </row>
    <row r="948" ht="46.5" customHeight="1">
      <c r="A948" s="145"/>
      <c r="B948" s="138"/>
      <c r="C948" s="138"/>
      <c r="D948" s="138"/>
      <c r="E948" s="138"/>
      <c r="F948" s="138"/>
      <c r="G948" s="119"/>
    </row>
    <row r="949" ht="46.5" customHeight="1">
      <c r="A949" s="145"/>
      <c r="B949" s="138"/>
      <c r="C949" s="138"/>
      <c r="D949" s="138"/>
      <c r="E949" s="138"/>
      <c r="F949" s="138"/>
      <c r="G949" s="119"/>
    </row>
    <row r="950" ht="46.5" customHeight="1">
      <c r="A950" s="145"/>
      <c r="B950" s="138"/>
      <c r="C950" s="138"/>
      <c r="D950" s="138"/>
      <c r="E950" s="138"/>
      <c r="F950" s="138"/>
      <c r="G950" s="119"/>
    </row>
    <row r="951" ht="46.5" customHeight="1">
      <c r="A951" s="145"/>
      <c r="B951" s="138"/>
      <c r="C951" s="138"/>
      <c r="D951" s="138"/>
      <c r="E951" s="138"/>
      <c r="F951" s="138"/>
      <c r="G951" s="119"/>
    </row>
    <row r="952" ht="46.5" customHeight="1">
      <c r="A952" s="145"/>
      <c r="B952" s="138"/>
      <c r="C952" s="138"/>
      <c r="D952" s="138"/>
      <c r="E952" s="138"/>
      <c r="F952" s="138"/>
      <c r="G952" s="119"/>
    </row>
    <row r="953" ht="46.5" customHeight="1">
      <c r="A953" s="145"/>
      <c r="B953" s="138"/>
      <c r="C953" s="138"/>
      <c r="D953" s="138"/>
      <c r="E953" s="138"/>
      <c r="F953" s="138"/>
      <c r="G953" s="119"/>
    </row>
    <row r="954" ht="46.5" customHeight="1">
      <c r="A954" s="145"/>
      <c r="B954" s="138"/>
      <c r="C954" s="138"/>
      <c r="D954" s="138"/>
      <c r="E954" s="138"/>
      <c r="F954" s="138"/>
      <c r="G954" s="119"/>
    </row>
    <row r="955" ht="46.5" customHeight="1">
      <c r="A955" s="145"/>
      <c r="B955" s="138"/>
      <c r="C955" s="138"/>
      <c r="D955" s="138"/>
      <c r="E955" s="138"/>
      <c r="F955" s="138"/>
      <c r="G955" s="119"/>
    </row>
    <row r="956" ht="46.5" customHeight="1">
      <c r="A956" s="145"/>
      <c r="B956" s="138"/>
      <c r="C956" s="138"/>
      <c r="D956" s="138"/>
      <c r="E956" s="138"/>
      <c r="F956" s="138"/>
      <c r="G956" s="119"/>
    </row>
    <row r="957" ht="46.5" customHeight="1">
      <c r="A957" s="145"/>
      <c r="B957" s="138"/>
      <c r="C957" s="138"/>
      <c r="D957" s="138"/>
      <c r="E957" s="138"/>
      <c r="F957" s="138"/>
      <c r="G957" s="119"/>
    </row>
    <row r="958" ht="46.5" customHeight="1">
      <c r="A958" s="145"/>
      <c r="B958" s="138"/>
      <c r="C958" s="138"/>
      <c r="D958" s="138"/>
      <c r="E958" s="138"/>
      <c r="F958" s="138"/>
      <c r="G958" s="119"/>
    </row>
    <row r="959" ht="46.5" customHeight="1">
      <c r="A959" s="145"/>
      <c r="B959" s="138"/>
      <c r="C959" s="138"/>
      <c r="D959" s="138"/>
      <c r="E959" s="138"/>
      <c r="F959" s="138"/>
      <c r="G959" s="119"/>
    </row>
    <row r="960" ht="46.5" customHeight="1">
      <c r="A960" s="145"/>
      <c r="B960" s="138"/>
      <c r="C960" s="138"/>
      <c r="D960" s="138"/>
      <c r="E960" s="138"/>
      <c r="F960" s="138"/>
      <c r="G960" s="119"/>
    </row>
    <row r="961" ht="46.5" customHeight="1">
      <c r="A961" s="145"/>
      <c r="B961" s="138"/>
      <c r="C961" s="138"/>
      <c r="D961" s="138"/>
      <c r="E961" s="138"/>
      <c r="F961" s="138"/>
      <c r="G961" s="119"/>
    </row>
    <row r="962" ht="46.5" customHeight="1">
      <c r="A962" s="145"/>
      <c r="B962" s="138"/>
      <c r="C962" s="138"/>
      <c r="D962" s="138"/>
      <c r="E962" s="138"/>
      <c r="F962" s="138"/>
      <c r="G962" s="119"/>
    </row>
    <row r="963" ht="46.5" customHeight="1">
      <c r="A963" s="145"/>
      <c r="B963" s="138"/>
      <c r="C963" s="138"/>
      <c r="D963" s="138"/>
      <c r="E963" s="138"/>
      <c r="F963" s="138"/>
      <c r="G963" s="119"/>
    </row>
    <row r="964" ht="46.5" customHeight="1">
      <c r="A964" s="145"/>
      <c r="B964" s="138"/>
      <c r="C964" s="138"/>
      <c r="D964" s="138"/>
      <c r="E964" s="138"/>
      <c r="F964" s="138"/>
      <c r="G964" s="119"/>
    </row>
    <row r="965" ht="46.5" customHeight="1">
      <c r="A965" s="145"/>
      <c r="B965" s="138"/>
      <c r="C965" s="138"/>
      <c r="D965" s="138"/>
      <c r="E965" s="138"/>
      <c r="F965" s="138"/>
      <c r="G965" s="119"/>
    </row>
    <row r="966" ht="46.5" customHeight="1">
      <c r="A966" s="145"/>
      <c r="B966" s="138"/>
      <c r="C966" s="138"/>
      <c r="D966" s="138"/>
      <c r="E966" s="138"/>
      <c r="F966" s="138"/>
      <c r="G966" s="119"/>
    </row>
    <row r="967" ht="46.5" customHeight="1">
      <c r="A967" s="145"/>
      <c r="B967" s="138"/>
      <c r="C967" s="138"/>
      <c r="D967" s="138"/>
      <c r="E967" s="138"/>
      <c r="F967" s="138"/>
      <c r="G967" s="119"/>
    </row>
    <row r="968" ht="46.5" customHeight="1">
      <c r="A968" s="145"/>
      <c r="B968" s="138"/>
      <c r="C968" s="138"/>
      <c r="D968" s="138"/>
      <c r="E968" s="138"/>
      <c r="F968" s="138"/>
      <c r="G968" s="119"/>
    </row>
    <row r="969" ht="46.5" customHeight="1">
      <c r="A969" s="145"/>
      <c r="B969" s="138"/>
      <c r="C969" s="138"/>
      <c r="D969" s="138"/>
      <c r="E969" s="138"/>
      <c r="F969" s="138"/>
      <c r="G969" s="119"/>
    </row>
    <row r="970" ht="46.5" customHeight="1">
      <c r="A970" s="145"/>
      <c r="B970" s="138"/>
      <c r="C970" s="138"/>
      <c r="D970" s="138"/>
      <c r="E970" s="138"/>
      <c r="F970" s="138"/>
      <c r="G970" s="119"/>
    </row>
    <row r="971" ht="46.5" customHeight="1">
      <c r="A971" s="145"/>
      <c r="B971" s="138"/>
      <c r="C971" s="138"/>
      <c r="D971" s="138"/>
      <c r="E971" s="138"/>
      <c r="F971" s="138"/>
      <c r="G971" s="119"/>
    </row>
    <row r="972" ht="46.5" customHeight="1">
      <c r="A972" s="145"/>
      <c r="B972" s="138"/>
      <c r="C972" s="138"/>
      <c r="D972" s="138"/>
      <c r="E972" s="138"/>
      <c r="F972" s="138"/>
      <c r="G972" s="119"/>
    </row>
    <row r="973" ht="46.5" customHeight="1">
      <c r="A973" s="145"/>
      <c r="B973" s="138"/>
      <c r="C973" s="138"/>
      <c r="D973" s="138"/>
      <c r="E973" s="138"/>
      <c r="F973" s="138"/>
      <c r="G973" s="119"/>
    </row>
    <row r="974" ht="46.5" customHeight="1">
      <c r="A974" s="145"/>
      <c r="B974" s="138"/>
      <c r="C974" s="138"/>
      <c r="D974" s="138"/>
      <c r="E974" s="138"/>
      <c r="F974" s="138"/>
      <c r="G974" s="119"/>
    </row>
    <row r="975" ht="46.5" customHeight="1">
      <c r="A975" s="145"/>
      <c r="B975" s="138"/>
      <c r="C975" s="138"/>
      <c r="D975" s="138"/>
      <c r="E975" s="138"/>
      <c r="F975" s="138"/>
      <c r="G975" s="119"/>
    </row>
    <row r="976" ht="46.5" customHeight="1">
      <c r="A976" s="145"/>
      <c r="B976" s="138"/>
      <c r="C976" s="138"/>
      <c r="D976" s="138"/>
      <c r="E976" s="138"/>
      <c r="F976" s="138"/>
      <c r="G976" s="119"/>
    </row>
    <row r="977" ht="46.5" customHeight="1">
      <c r="A977" s="145"/>
      <c r="B977" s="138"/>
      <c r="C977" s="138"/>
      <c r="D977" s="138"/>
      <c r="E977" s="138"/>
      <c r="F977" s="138"/>
      <c r="G977" s="119"/>
    </row>
    <row r="978" ht="46.5" customHeight="1">
      <c r="A978" s="145"/>
      <c r="B978" s="138"/>
      <c r="C978" s="138"/>
      <c r="D978" s="138"/>
      <c r="E978" s="138"/>
      <c r="F978" s="138"/>
      <c r="G978" s="119"/>
    </row>
    <row r="979" ht="46.5" customHeight="1">
      <c r="A979" s="145"/>
      <c r="B979" s="138"/>
      <c r="C979" s="138"/>
      <c r="D979" s="138"/>
      <c r="E979" s="138"/>
      <c r="F979" s="138"/>
      <c r="G979" s="119"/>
    </row>
    <row r="980" ht="46.5" customHeight="1">
      <c r="A980" s="145"/>
      <c r="B980" s="138"/>
      <c r="C980" s="138"/>
      <c r="D980" s="138"/>
      <c r="E980" s="138"/>
      <c r="F980" s="138"/>
      <c r="G980" s="119"/>
    </row>
    <row r="981" ht="46.5" customHeight="1">
      <c r="A981" s="145"/>
      <c r="B981" s="138"/>
      <c r="C981" s="138"/>
      <c r="D981" s="138"/>
      <c r="E981" s="138"/>
      <c r="F981" s="138"/>
      <c r="G981" s="119"/>
    </row>
    <row r="982" ht="46.5" customHeight="1">
      <c r="A982" s="145"/>
      <c r="B982" s="138"/>
      <c r="C982" s="138"/>
      <c r="D982" s="138"/>
      <c r="E982" s="138"/>
      <c r="F982" s="138"/>
      <c r="G982" s="119"/>
    </row>
    <row r="983" ht="46.5" customHeight="1">
      <c r="A983" s="145"/>
      <c r="B983" s="138"/>
      <c r="C983" s="138"/>
      <c r="D983" s="138"/>
      <c r="E983" s="138"/>
      <c r="F983" s="138"/>
      <c r="G983" s="119"/>
    </row>
    <row r="984" ht="46.5" customHeight="1">
      <c r="A984" s="145"/>
      <c r="B984" s="138"/>
      <c r="C984" s="138"/>
      <c r="D984" s="138"/>
      <c r="E984" s="138"/>
      <c r="F984" s="138"/>
      <c r="G984" s="119"/>
    </row>
    <row r="985" ht="46.5" customHeight="1">
      <c r="A985" s="145"/>
      <c r="B985" s="138"/>
      <c r="C985" s="138"/>
      <c r="D985" s="138"/>
      <c r="E985" s="138"/>
      <c r="F985" s="138"/>
      <c r="G985" s="119"/>
    </row>
    <row r="986" ht="46.5" customHeight="1">
      <c r="A986" s="145"/>
      <c r="B986" s="138"/>
      <c r="C986" s="138"/>
      <c r="D986" s="138"/>
      <c r="E986" s="138"/>
      <c r="F986" s="138"/>
      <c r="G986" s="119"/>
    </row>
    <row r="987" ht="46.5" customHeight="1">
      <c r="A987" s="145"/>
      <c r="B987" s="138"/>
      <c r="C987" s="138"/>
      <c r="D987" s="138"/>
      <c r="E987" s="138"/>
      <c r="F987" s="138"/>
      <c r="G987" s="119"/>
    </row>
    <row r="988" ht="46.5" customHeight="1">
      <c r="A988" s="145"/>
      <c r="B988" s="138"/>
      <c r="C988" s="138"/>
      <c r="D988" s="138"/>
      <c r="E988" s="138"/>
      <c r="F988" s="138"/>
      <c r="G988" s="119"/>
    </row>
    <row r="989" ht="46.5" customHeight="1">
      <c r="A989" s="145"/>
      <c r="B989" s="138"/>
      <c r="C989" s="138"/>
      <c r="D989" s="138"/>
      <c r="E989" s="138"/>
      <c r="F989" s="138"/>
      <c r="G989" s="119"/>
    </row>
    <row r="990" ht="46.5" customHeight="1">
      <c r="A990" s="145"/>
      <c r="B990" s="138"/>
      <c r="C990" s="138"/>
      <c r="D990" s="138"/>
      <c r="E990" s="138"/>
      <c r="F990" s="138"/>
      <c r="G990" s="119"/>
    </row>
    <row r="991" ht="46.5" customHeight="1">
      <c r="A991" s="145"/>
      <c r="B991" s="138"/>
      <c r="C991" s="138"/>
      <c r="D991" s="138"/>
      <c r="E991" s="138"/>
      <c r="F991" s="138"/>
      <c r="G991" s="119"/>
    </row>
    <row r="992" ht="46.5" customHeight="1">
      <c r="A992" s="145"/>
      <c r="B992" s="138"/>
      <c r="C992" s="138"/>
      <c r="D992" s="138"/>
      <c r="E992" s="138"/>
      <c r="F992" s="138"/>
      <c r="G992" s="119"/>
    </row>
    <row r="993" ht="46.5" customHeight="1">
      <c r="A993" s="145"/>
      <c r="B993" s="138"/>
      <c r="C993" s="138"/>
      <c r="D993" s="138"/>
      <c r="E993" s="138"/>
      <c r="F993" s="138"/>
      <c r="G993" s="119"/>
    </row>
    <row r="994" ht="46.5" customHeight="1">
      <c r="A994" s="145"/>
      <c r="B994" s="138"/>
      <c r="C994" s="138"/>
      <c r="D994" s="138"/>
      <c r="E994" s="138"/>
      <c r="F994" s="138"/>
      <c r="G994" s="119"/>
    </row>
    <row r="995" ht="46.5" customHeight="1">
      <c r="A995" s="145"/>
      <c r="B995" s="138"/>
      <c r="C995" s="138"/>
      <c r="D995" s="138"/>
      <c r="E995" s="138"/>
      <c r="F995" s="138"/>
      <c r="G995" s="119"/>
    </row>
    <row r="996" ht="46.5" customHeight="1">
      <c r="A996" s="145"/>
      <c r="B996" s="138"/>
      <c r="C996" s="138"/>
      <c r="D996" s="138"/>
      <c r="E996" s="138"/>
      <c r="F996" s="138"/>
      <c r="G996" s="119"/>
    </row>
    <row r="997" ht="46.5" customHeight="1">
      <c r="A997" s="145"/>
      <c r="B997" s="138"/>
      <c r="C997" s="138"/>
      <c r="D997" s="138"/>
      <c r="E997" s="138"/>
      <c r="F997" s="138"/>
      <c r="G997" s="119"/>
    </row>
    <row r="998" ht="46.5" customHeight="1">
      <c r="A998" s="145"/>
      <c r="B998" s="138"/>
      <c r="C998" s="138"/>
      <c r="D998" s="138"/>
      <c r="E998" s="138"/>
      <c r="F998" s="138"/>
      <c r="G998" s="119"/>
    </row>
    <row r="999" ht="46.5" customHeight="1">
      <c r="A999" s="145"/>
      <c r="B999" s="138"/>
      <c r="C999" s="138"/>
      <c r="D999" s="138"/>
      <c r="E999" s="138"/>
      <c r="F999" s="138"/>
      <c r="G999" s="119"/>
    </row>
    <row r="1000" ht="46.5" customHeight="1">
      <c r="A1000" s="145"/>
      <c r="B1000" s="138"/>
      <c r="C1000" s="138"/>
      <c r="D1000" s="138"/>
      <c r="E1000" s="138"/>
      <c r="F1000" s="138"/>
      <c r="G1000" s="119"/>
    </row>
    <row r="1001" ht="46.5" customHeight="1">
      <c r="A1001" s="145"/>
      <c r="B1001" s="138"/>
      <c r="C1001" s="138"/>
      <c r="D1001" s="138"/>
      <c r="E1001" s="138"/>
      <c r="F1001" s="138"/>
      <c r="G1001" s="119"/>
    </row>
    <row r="1002" ht="46.5" customHeight="1">
      <c r="A1002" s="145"/>
      <c r="B1002" s="138"/>
      <c r="C1002" s="138"/>
      <c r="D1002" s="138"/>
      <c r="E1002" s="138"/>
      <c r="F1002" s="138"/>
      <c r="G1002" s="119"/>
    </row>
    <row r="1003" ht="46.5" customHeight="1">
      <c r="A1003" s="145"/>
      <c r="B1003" s="138"/>
      <c r="C1003" s="138"/>
      <c r="D1003" s="138"/>
      <c r="E1003" s="138"/>
      <c r="F1003" s="138"/>
      <c r="G1003" s="119"/>
    </row>
    <row r="1004" ht="46.5" customHeight="1">
      <c r="A1004" s="145"/>
      <c r="B1004" s="138"/>
      <c r="C1004" s="138"/>
      <c r="D1004" s="138"/>
      <c r="E1004" s="138"/>
      <c r="F1004" s="138"/>
      <c r="G1004" s="119"/>
    </row>
    <row r="1005" ht="46.5" customHeight="1">
      <c r="A1005" s="145"/>
      <c r="B1005" s="138"/>
      <c r="C1005" s="138"/>
      <c r="D1005" s="138"/>
      <c r="E1005" s="138"/>
      <c r="F1005" s="138"/>
      <c r="G1005" s="119"/>
    </row>
    <row r="1006" ht="46.5" customHeight="1">
      <c r="A1006" s="145"/>
      <c r="B1006" s="138"/>
      <c r="C1006" s="138"/>
      <c r="D1006" s="138"/>
      <c r="E1006" s="138"/>
      <c r="F1006" s="138"/>
      <c r="G1006" s="119"/>
    </row>
    <row r="1007" ht="46.5" customHeight="1">
      <c r="A1007" s="145"/>
      <c r="B1007" s="138"/>
      <c r="C1007" s="138"/>
      <c r="D1007" s="138"/>
      <c r="E1007" s="138"/>
      <c r="F1007" s="138"/>
      <c r="G1007" s="119"/>
    </row>
    <row r="1008" ht="46.5" customHeight="1">
      <c r="A1008" s="145"/>
      <c r="B1008" s="138"/>
      <c r="C1008" s="138"/>
      <c r="D1008" s="138"/>
      <c r="E1008" s="138"/>
      <c r="F1008" s="138"/>
      <c r="G1008" s="119"/>
    </row>
    <row r="1009" ht="46.5" customHeight="1">
      <c r="A1009" s="145"/>
      <c r="B1009" s="138"/>
      <c r="C1009" s="138"/>
      <c r="D1009" s="138"/>
      <c r="E1009" s="138"/>
      <c r="F1009" s="138"/>
      <c r="G1009" s="119"/>
    </row>
    <row r="1010" ht="46.5" customHeight="1">
      <c r="A1010" s="145"/>
      <c r="B1010" s="138"/>
      <c r="C1010" s="138"/>
      <c r="D1010" s="138"/>
      <c r="E1010" s="138"/>
      <c r="F1010" s="138"/>
      <c r="G1010" s="119"/>
    </row>
    <row r="1011" ht="46.5" customHeight="1">
      <c r="A1011" s="145"/>
      <c r="B1011" s="138"/>
      <c r="C1011" s="138"/>
      <c r="D1011" s="138"/>
      <c r="E1011" s="138"/>
      <c r="F1011" s="138"/>
      <c r="G1011" s="119"/>
    </row>
    <row r="1012" ht="46.5" customHeight="1">
      <c r="A1012" s="145"/>
      <c r="B1012" s="138"/>
      <c r="C1012" s="138"/>
      <c r="D1012" s="138"/>
      <c r="E1012" s="138"/>
      <c r="F1012" s="138"/>
      <c r="G1012" s="119"/>
    </row>
    <row r="1013" ht="46.5" customHeight="1">
      <c r="A1013" s="145"/>
      <c r="B1013" s="138"/>
      <c r="C1013" s="138"/>
      <c r="D1013" s="138"/>
      <c r="E1013" s="138"/>
      <c r="F1013" s="138"/>
      <c r="G1013" s="119"/>
    </row>
    <row r="1014" ht="46.5" customHeight="1">
      <c r="A1014" s="145"/>
      <c r="B1014" s="138"/>
      <c r="C1014" s="138"/>
      <c r="D1014" s="138"/>
      <c r="E1014" s="138"/>
      <c r="F1014" s="138"/>
      <c r="G1014" s="119"/>
    </row>
    <row r="1015" ht="46.5" customHeight="1">
      <c r="A1015" s="145"/>
      <c r="B1015" s="138"/>
      <c r="C1015" s="138"/>
      <c r="D1015" s="138"/>
      <c r="E1015" s="138"/>
      <c r="F1015" s="138"/>
      <c r="G1015" s="119"/>
    </row>
    <row r="1016" ht="46.5" customHeight="1">
      <c r="A1016" s="145"/>
      <c r="B1016" s="138"/>
      <c r="C1016" s="138"/>
      <c r="D1016" s="138"/>
      <c r="E1016" s="138"/>
      <c r="F1016" s="138"/>
      <c r="G1016" s="119"/>
    </row>
    <row r="1017" ht="46.5" customHeight="1">
      <c r="A1017" s="145"/>
      <c r="B1017" s="138"/>
      <c r="C1017" s="138"/>
      <c r="D1017" s="138"/>
      <c r="E1017" s="138"/>
      <c r="F1017" s="138"/>
      <c r="G1017" s="119"/>
    </row>
    <row r="1018" ht="46.5" customHeight="1">
      <c r="A1018" s="145"/>
      <c r="B1018" s="138"/>
      <c r="C1018" s="138"/>
      <c r="D1018" s="138"/>
      <c r="E1018" s="138"/>
      <c r="F1018" s="138"/>
      <c r="G1018" s="119"/>
    </row>
    <row r="1019" ht="46.5" customHeight="1">
      <c r="A1019" s="145"/>
      <c r="B1019" s="138"/>
      <c r="C1019" s="138"/>
      <c r="D1019" s="138"/>
      <c r="E1019" s="138"/>
      <c r="F1019" s="138"/>
      <c r="G1019" s="119"/>
    </row>
    <row r="1020" ht="46.5" customHeight="1">
      <c r="A1020" s="145"/>
      <c r="B1020" s="138"/>
      <c r="C1020" s="138"/>
      <c r="D1020" s="138"/>
      <c r="E1020" s="138"/>
      <c r="F1020" s="138"/>
      <c r="G1020" s="119"/>
    </row>
    <row r="1021" ht="46.5" customHeight="1">
      <c r="A1021" s="145"/>
      <c r="B1021" s="138"/>
      <c r="C1021" s="138"/>
      <c r="D1021" s="138"/>
      <c r="E1021" s="138"/>
      <c r="F1021" s="138"/>
      <c r="G1021" s="119"/>
    </row>
    <row r="1022" ht="46.5" customHeight="1">
      <c r="A1022" s="145"/>
      <c r="B1022" s="138"/>
      <c r="C1022" s="138"/>
      <c r="D1022" s="138"/>
      <c r="E1022" s="138"/>
      <c r="F1022" s="138"/>
      <c r="G1022" s="119"/>
    </row>
    <row r="1023" ht="46.5" customHeight="1">
      <c r="A1023" s="145"/>
      <c r="B1023" s="138"/>
      <c r="C1023" s="138"/>
      <c r="D1023" s="138"/>
      <c r="E1023" s="138"/>
      <c r="F1023" s="138"/>
      <c r="G1023" s="119"/>
    </row>
    <row r="1024" ht="46.5" customHeight="1">
      <c r="A1024" s="145"/>
      <c r="B1024" s="138"/>
      <c r="C1024" s="138"/>
      <c r="D1024" s="138"/>
      <c r="E1024" s="138"/>
      <c r="F1024" s="138"/>
      <c r="G1024" s="119"/>
    </row>
    <row r="1025" ht="46.5" customHeight="1">
      <c r="A1025" s="145"/>
      <c r="B1025" s="138"/>
      <c r="C1025" s="138"/>
      <c r="D1025" s="138"/>
      <c r="E1025" s="138"/>
      <c r="F1025" s="138"/>
      <c r="G1025" s="119"/>
    </row>
    <row r="1026" ht="46.5" customHeight="1">
      <c r="A1026" s="145"/>
      <c r="B1026" s="138"/>
      <c r="C1026" s="138"/>
      <c r="D1026" s="138"/>
      <c r="E1026" s="138"/>
      <c r="F1026" s="138"/>
      <c r="G1026" s="119"/>
    </row>
    <row r="1027" ht="46.5" customHeight="1">
      <c r="A1027" s="145"/>
      <c r="B1027" s="138"/>
      <c r="C1027" s="138"/>
      <c r="D1027" s="138"/>
      <c r="E1027" s="138"/>
      <c r="F1027" s="138"/>
      <c r="G1027" s="119"/>
    </row>
    <row r="1028" ht="46.5" customHeight="1">
      <c r="A1028" s="145"/>
      <c r="B1028" s="138"/>
      <c r="C1028" s="138"/>
      <c r="D1028" s="138"/>
      <c r="E1028" s="138"/>
      <c r="F1028" s="138"/>
      <c r="G1028" s="119"/>
    </row>
    <row r="1029" ht="46.5" customHeight="1">
      <c r="A1029" s="145"/>
      <c r="B1029" s="138"/>
      <c r="C1029" s="138"/>
      <c r="D1029" s="138"/>
      <c r="E1029" s="138"/>
      <c r="F1029" s="138"/>
      <c r="G1029" s="119"/>
    </row>
    <row r="1030" ht="46.5" customHeight="1">
      <c r="A1030" s="145"/>
      <c r="B1030" s="138"/>
      <c r="C1030" s="138"/>
      <c r="D1030" s="138"/>
      <c r="E1030" s="138"/>
      <c r="F1030" s="138"/>
      <c r="G1030" s="119"/>
    </row>
    <row r="1031" ht="46.5" customHeight="1">
      <c r="A1031" s="145"/>
      <c r="B1031" s="138"/>
      <c r="C1031" s="138"/>
      <c r="D1031" s="138"/>
      <c r="E1031" s="138"/>
      <c r="F1031" s="138"/>
      <c r="G1031" s="119"/>
    </row>
    <row r="1032" ht="46.5" customHeight="1">
      <c r="A1032" s="145"/>
      <c r="B1032" s="138"/>
      <c r="C1032" s="138"/>
      <c r="D1032" s="138"/>
      <c r="E1032" s="138"/>
      <c r="F1032" s="138"/>
      <c r="G1032" s="119"/>
    </row>
    <row r="1033" ht="46.5" customHeight="1">
      <c r="A1033" s="145"/>
      <c r="B1033" s="138"/>
      <c r="C1033" s="138"/>
      <c r="D1033" s="138"/>
      <c r="E1033" s="138"/>
      <c r="F1033" s="138"/>
      <c r="G1033" s="119"/>
    </row>
    <row r="1034" ht="46.5" customHeight="1">
      <c r="A1034" s="145"/>
      <c r="B1034" s="138"/>
      <c r="C1034" s="138"/>
      <c r="D1034" s="138"/>
      <c r="E1034" s="138"/>
      <c r="F1034" s="138"/>
      <c r="G1034" s="119"/>
    </row>
    <row r="1035" ht="46.5" customHeight="1">
      <c r="A1035" s="145"/>
      <c r="B1035" s="138"/>
      <c r="C1035" s="138"/>
      <c r="D1035" s="138"/>
      <c r="E1035" s="138"/>
      <c r="F1035" s="138"/>
      <c r="G1035" s="119"/>
    </row>
    <row r="1036" ht="46.5" customHeight="1">
      <c r="A1036" s="145"/>
      <c r="B1036" s="138"/>
      <c r="C1036" s="138"/>
      <c r="D1036" s="138"/>
      <c r="E1036" s="138"/>
      <c r="F1036" s="138"/>
      <c r="G1036" s="119"/>
    </row>
    <row r="1037" ht="46.5" customHeight="1">
      <c r="A1037" s="145"/>
      <c r="B1037" s="138"/>
      <c r="C1037" s="138"/>
      <c r="D1037" s="138"/>
      <c r="E1037" s="138"/>
      <c r="F1037" s="138"/>
      <c r="G1037" s="119"/>
    </row>
    <row r="1038" ht="46.5" customHeight="1">
      <c r="A1038" s="145"/>
      <c r="B1038" s="138"/>
      <c r="C1038" s="138"/>
      <c r="D1038" s="138"/>
      <c r="E1038" s="138"/>
      <c r="F1038" s="138"/>
      <c r="G1038" s="119"/>
    </row>
    <row r="1039" ht="46.5" customHeight="1">
      <c r="A1039" s="145"/>
      <c r="B1039" s="138"/>
      <c r="C1039" s="138"/>
      <c r="D1039" s="138"/>
      <c r="E1039" s="138"/>
      <c r="F1039" s="138"/>
      <c r="G1039" s="119"/>
    </row>
    <row r="1040" ht="46.5" customHeight="1">
      <c r="A1040" s="145"/>
      <c r="B1040" s="138"/>
      <c r="C1040" s="138"/>
      <c r="D1040" s="138"/>
      <c r="E1040" s="138"/>
      <c r="F1040" s="138"/>
      <c r="G1040" s="119"/>
    </row>
    <row r="1041" ht="46.5" customHeight="1">
      <c r="A1041" s="145"/>
      <c r="B1041" s="138"/>
      <c r="C1041" s="138"/>
      <c r="D1041" s="138"/>
      <c r="E1041" s="138"/>
      <c r="F1041" s="138"/>
      <c r="G1041" s="119"/>
    </row>
    <row r="1042" ht="46.5" customHeight="1">
      <c r="A1042" s="145"/>
      <c r="B1042" s="138"/>
      <c r="C1042" s="138"/>
      <c r="D1042" s="138"/>
      <c r="E1042" s="138"/>
      <c r="F1042" s="138"/>
      <c r="G1042" s="119"/>
    </row>
    <row r="1043" ht="46.5" customHeight="1">
      <c r="A1043" s="145"/>
      <c r="B1043" s="138"/>
      <c r="C1043" s="138"/>
      <c r="D1043" s="138"/>
      <c r="E1043" s="138"/>
      <c r="F1043" s="138"/>
      <c r="G1043" s="119"/>
    </row>
    <row r="1044" ht="46.5" customHeight="1">
      <c r="A1044" s="145"/>
      <c r="B1044" s="138"/>
      <c r="C1044" s="138"/>
      <c r="D1044" s="138"/>
      <c r="E1044" s="138"/>
      <c r="F1044" s="138"/>
      <c r="G1044" s="119"/>
    </row>
    <row r="1045" ht="46.5" customHeight="1">
      <c r="A1045" s="145"/>
      <c r="B1045" s="138"/>
      <c r="C1045" s="138"/>
      <c r="D1045" s="138"/>
      <c r="E1045" s="138"/>
      <c r="F1045" s="138"/>
      <c r="G1045" s="119"/>
    </row>
    <row r="1046" ht="46.5" customHeight="1">
      <c r="A1046" s="145"/>
      <c r="B1046" s="138"/>
      <c r="C1046" s="138"/>
      <c r="D1046" s="138"/>
      <c r="E1046" s="138"/>
      <c r="F1046" s="138"/>
      <c r="G1046" s="119"/>
    </row>
    <row r="1047" ht="46.5" customHeight="1">
      <c r="A1047" s="145"/>
      <c r="B1047" s="138"/>
      <c r="C1047" s="138"/>
      <c r="D1047" s="138"/>
      <c r="E1047" s="138"/>
      <c r="F1047" s="138"/>
      <c r="G1047" s="119"/>
    </row>
    <row r="1048" ht="46.5" customHeight="1">
      <c r="A1048" s="145"/>
      <c r="B1048" s="138"/>
      <c r="C1048" s="138"/>
      <c r="D1048" s="138"/>
      <c r="E1048" s="138"/>
      <c r="F1048" s="138"/>
      <c r="G1048" s="119"/>
    </row>
    <row r="1049" ht="46.5" customHeight="1">
      <c r="A1049" s="145"/>
      <c r="B1049" s="138"/>
      <c r="C1049" s="138"/>
      <c r="D1049" s="138"/>
      <c r="E1049" s="138"/>
      <c r="F1049" s="138"/>
      <c r="G1049" s="119"/>
    </row>
    <row r="1050" ht="46.5" customHeight="1">
      <c r="A1050" s="145"/>
      <c r="B1050" s="138"/>
      <c r="C1050" s="138"/>
      <c r="D1050" s="138"/>
      <c r="E1050" s="138"/>
      <c r="F1050" s="138"/>
      <c r="G1050" s="119"/>
    </row>
    <row r="1051" ht="46.5" customHeight="1">
      <c r="A1051" s="145"/>
      <c r="B1051" s="138"/>
      <c r="C1051" s="138"/>
      <c r="D1051" s="138"/>
      <c r="E1051" s="138"/>
      <c r="F1051" s="138"/>
      <c r="G1051" s="119"/>
    </row>
    <row r="1052" ht="46.5" customHeight="1">
      <c r="A1052" s="145"/>
      <c r="B1052" s="138"/>
      <c r="C1052" s="138"/>
      <c r="D1052" s="138"/>
      <c r="E1052" s="138"/>
      <c r="F1052" s="138"/>
      <c r="G1052" s="119"/>
    </row>
    <row r="1053" ht="46.5" customHeight="1">
      <c r="A1053" s="145"/>
      <c r="B1053" s="138"/>
      <c r="C1053" s="138"/>
      <c r="D1053" s="138"/>
      <c r="E1053" s="138"/>
      <c r="F1053" s="138"/>
      <c r="G1053" s="119"/>
    </row>
    <row r="1054" ht="46.5" customHeight="1">
      <c r="A1054" s="145"/>
      <c r="B1054" s="138"/>
      <c r="C1054" s="138"/>
      <c r="D1054" s="138"/>
      <c r="E1054" s="138"/>
      <c r="F1054" s="138"/>
      <c r="G1054" s="119"/>
    </row>
    <row r="1055" ht="46.5" customHeight="1">
      <c r="A1055" s="145"/>
      <c r="B1055" s="138"/>
      <c r="C1055" s="138"/>
      <c r="D1055" s="138"/>
      <c r="E1055" s="138"/>
      <c r="F1055" s="138"/>
      <c r="G1055" s="119"/>
    </row>
    <row r="1056" ht="46.5" customHeight="1">
      <c r="A1056" s="145"/>
      <c r="B1056" s="138"/>
      <c r="C1056" s="138"/>
      <c r="D1056" s="138"/>
      <c r="E1056" s="138"/>
      <c r="F1056" s="138"/>
      <c r="G1056" s="119"/>
    </row>
    <row r="1057" ht="46.5" customHeight="1">
      <c r="A1057" s="145"/>
      <c r="B1057" s="138"/>
      <c r="C1057" s="138"/>
      <c r="D1057" s="138"/>
      <c r="E1057" s="138"/>
      <c r="F1057" s="138"/>
      <c r="G1057" s="119"/>
    </row>
    <row r="1058" ht="46.5" customHeight="1">
      <c r="A1058" s="145"/>
      <c r="B1058" s="138"/>
      <c r="C1058" s="138"/>
      <c r="D1058" s="138"/>
      <c r="E1058" s="138"/>
      <c r="F1058" s="138"/>
      <c r="G1058" s="119"/>
    </row>
    <row r="1059" ht="46.5" customHeight="1">
      <c r="A1059" s="145"/>
      <c r="B1059" s="138"/>
      <c r="C1059" s="138"/>
      <c r="D1059" s="138"/>
      <c r="E1059" s="138"/>
      <c r="F1059" s="138"/>
      <c r="G1059" s="119"/>
    </row>
    <row r="1060" ht="46.5" customHeight="1">
      <c r="A1060" s="145"/>
      <c r="B1060" s="138"/>
      <c r="C1060" s="138"/>
      <c r="D1060" s="138"/>
      <c r="E1060" s="138"/>
      <c r="F1060" s="138"/>
      <c r="G1060" s="119"/>
    </row>
    <row r="1061" ht="46.5" customHeight="1">
      <c r="A1061" s="145"/>
      <c r="B1061" s="138"/>
      <c r="C1061" s="138"/>
      <c r="D1061" s="138"/>
      <c r="E1061" s="138"/>
      <c r="F1061" s="138"/>
      <c r="G1061" s="119"/>
    </row>
    <row r="1062" ht="46.5" customHeight="1">
      <c r="A1062" s="145"/>
      <c r="B1062" s="138"/>
      <c r="C1062" s="138"/>
      <c r="D1062" s="138"/>
      <c r="E1062" s="138"/>
      <c r="F1062" s="138"/>
      <c r="G1062" s="119"/>
    </row>
    <row r="1063" ht="46.5" customHeight="1">
      <c r="A1063" s="145"/>
      <c r="B1063" s="138"/>
      <c r="C1063" s="138"/>
      <c r="D1063" s="138"/>
      <c r="E1063" s="138"/>
      <c r="F1063" s="138"/>
      <c r="G1063" s="119"/>
    </row>
    <row r="1064" ht="46.5" customHeight="1">
      <c r="A1064" s="145"/>
      <c r="B1064" s="138"/>
      <c r="C1064" s="138"/>
      <c r="D1064" s="138"/>
      <c r="E1064" s="138"/>
      <c r="F1064" s="138"/>
      <c r="G1064" s="119"/>
    </row>
    <row r="1065" ht="46.5" customHeight="1">
      <c r="A1065" s="145"/>
      <c r="B1065" s="138"/>
      <c r="C1065" s="138"/>
      <c r="D1065" s="138"/>
      <c r="E1065" s="138"/>
      <c r="F1065" s="138"/>
      <c r="G1065" s="119"/>
    </row>
    <row r="1066" ht="46.5" customHeight="1">
      <c r="A1066" s="145"/>
      <c r="B1066" s="138"/>
      <c r="C1066" s="138"/>
      <c r="D1066" s="138"/>
      <c r="E1066" s="138"/>
      <c r="F1066" s="138"/>
      <c r="G1066" s="119"/>
    </row>
    <row r="1067" ht="46.5" customHeight="1">
      <c r="A1067" s="145"/>
      <c r="B1067" s="138"/>
      <c r="C1067" s="138"/>
      <c r="D1067" s="138"/>
      <c r="E1067" s="138"/>
      <c r="F1067" s="138"/>
      <c r="G1067" s="119"/>
    </row>
    <row r="1068" ht="46.5" customHeight="1">
      <c r="A1068" s="145"/>
      <c r="B1068" s="138"/>
      <c r="C1068" s="138"/>
      <c r="D1068" s="138"/>
      <c r="E1068" s="138"/>
      <c r="F1068" s="138"/>
      <c r="G1068" s="119"/>
    </row>
    <row r="1069" ht="46.5" customHeight="1">
      <c r="A1069" s="145"/>
      <c r="B1069" s="138"/>
      <c r="C1069" s="138"/>
      <c r="D1069" s="138"/>
      <c r="E1069" s="138"/>
      <c r="F1069" s="138"/>
      <c r="G1069" s="119"/>
    </row>
    <row r="1070" ht="46.5" customHeight="1">
      <c r="A1070" s="145"/>
      <c r="B1070" s="138"/>
      <c r="C1070" s="138"/>
      <c r="D1070" s="138"/>
      <c r="E1070" s="138"/>
      <c r="F1070" s="138"/>
      <c r="G1070" s="119"/>
    </row>
    <row r="1071" ht="46.5" customHeight="1">
      <c r="A1071" s="145"/>
      <c r="B1071" s="138"/>
      <c r="C1071" s="138"/>
      <c r="D1071" s="138"/>
      <c r="E1071" s="138"/>
      <c r="F1071" s="138"/>
      <c r="G1071" s="119"/>
    </row>
    <row r="1072" ht="46.5" customHeight="1">
      <c r="A1072" s="145"/>
      <c r="B1072" s="138"/>
      <c r="C1072" s="138"/>
      <c r="D1072" s="138"/>
      <c r="E1072" s="138"/>
      <c r="F1072" s="138"/>
      <c r="G1072" s="119"/>
    </row>
    <row r="1073" ht="46.5" customHeight="1">
      <c r="A1073" s="145"/>
      <c r="B1073" s="138"/>
      <c r="C1073" s="138"/>
      <c r="D1073" s="138"/>
      <c r="E1073" s="138"/>
      <c r="F1073" s="138"/>
      <c r="G1073" s="119"/>
    </row>
    <row r="1074" ht="46.5" customHeight="1">
      <c r="A1074" s="145"/>
      <c r="B1074" s="138"/>
      <c r="C1074" s="138"/>
      <c r="D1074" s="138"/>
      <c r="E1074" s="138"/>
      <c r="F1074" s="138"/>
      <c r="G1074" s="119"/>
    </row>
    <row r="1075" ht="46.5" customHeight="1">
      <c r="A1075" s="145"/>
      <c r="B1075" s="138"/>
      <c r="C1075" s="138"/>
      <c r="D1075" s="138"/>
      <c r="E1075" s="138"/>
      <c r="F1075" s="138"/>
      <c r="G1075" s="119"/>
    </row>
    <row r="1076" ht="46.5" customHeight="1">
      <c r="A1076" s="145"/>
      <c r="B1076" s="138"/>
      <c r="C1076" s="138"/>
      <c r="D1076" s="138"/>
      <c r="E1076" s="138"/>
      <c r="F1076" s="138"/>
      <c r="G1076" s="119"/>
    </row>
    <row r="1077" ht="46.5" customHeight="1">
      <c r="A1077" s="145"/>
      <c r="B1077" s="138"/>
      <c r="C1077" s="138"/>
      <c r="D1077" s="138"/>
      <c r="E1077" s="138"/>
      <c r="F1077" s="138"/>
      <c r="G1077" s="119"/>
    </row>
    <row r="1078" ht="46.5" customHeight="1">
      <c r="A1078" s="145"/>
      <c r="B1078" s="138"/>
      <c r="C1078" s="138"/>
      <c r="D1078" s="138"/>
      <c r="E1078" s="138"/>
      <c r="F1078" s="138"/>
      <c r="G1078" s="119"/>
    </row>
    <row r="1079" ht="46.5" customHeight="1">
      <c r="A1079" s="145"/>
      <c r="B1079" s="138"/>
      <c r="C1079" s="138"/>
      <c r="D1079" s="138"/>
      <c r="E1079" s="138"/>
      <c r="F1079" s="138"/>
      <c r="G1079" s="119"/>
    </row>
    <row r="1080" ht="46.5" customHeight="1">
      <c r="A1080" s="145"/>
      <c r="B1080" s="138"/>
      <c r="C1080" s="138"/>
      <c r="D1080" s="138"/>
      <c r="E1080" s="138"/>
      <c r="F1080" s="138"/>
      <c r="G1080" s="119"/>
    </row>
    <row r="1081" ht="46.5" customHeight="1">
      <c r="A1081" s="145"/>
      <c r="B1081" s="138"/>
      <c r="C1081" s="138"/>
      <c r="D1081" s="138"/>
      <c r="E1081" s="138"/>
      <c r="F1081" s="138"/>
      <c r="G1081" s="119"/>
    </row>
    <row r="1082" ht="46.5" customHeight="1">
      <c r="A1082" s="145"/>
      <c r="B1082" s="138"/>
      <c r="C1082" s="138"/>
      <c r="D1082" s="138"/>
      <c r="E1082" s="138"/>
      <c r="F1082" s="138"/>
      <c r="G1082" s="119"/>
    </row>
    <row r="1083" ht="46.5" customHeight="1">
      <c r="A1083" s="145"/>
      <c r="B1083" s="138"/>
      <c r="C1083" s="138"/>
      <c r="D1083" s="138"/>
      <c r="E1083" s="138"/>
      <c r="F1083" s="138"/>
      <c r="G1083" s="119"/>
    </row>
    <row r="1084" ht="46.5" customHeight="1">
      <c r="A1084" s="145"/>
      <c r="B1084" s="138"/>
      <c r="C1084" s="138"/>
      <c r="D1084" s="138"/>
      <c r="E1084" s="138"/>
      <c r="F1084" s="138"/>
      <c r="G1084" s="119"/>
    </row>
    <row r="1085" ht="46.5" customHeight="1">
      <c r="A1085" s="145"/>
      <c r="B1085" s="138"/>
      <c r="C1085" s="138"/>
      <c r="D1085" s="138"/>
      <c r="E1085" s="138"/>
      <c r="F1085" s="138"/>
      <c r="G1085" s="119"/>
    </row>
  </sheetData>
  <dataValidations>
    <dataValidation type="custom" allowBlank="1" showDropDown="1" sqref="A2:A1085">
      <formula1>OR(NOT(ISERROR(DATEVALUE(A2))), AND(ISNUMBER(A2), LEFT(CELL("format", A2))="D"))</formula1>
    </dataValidation>
    <dataValidation allowBlank="1" showDropDown="1" sqref="G2:G1085"/>
  </dataValidations>
  <hyperlinks>
    <hyperlink r:id="rId1" location="gid=185916215" ref="F3"/>
    <hyperlink r:id="rId2" location="gid=185916215" ref="F4"/>
    <hyperlink r:id="rId3" location="gid=1812499697" ref="F9"/>
    <hyperlink r:id="rId4" location="gid=1032390457" ref="F33"/>
    <hyperlink r:id="rId5" location="gid=1231407674" ref="F42"/>
    <hyperlink r:id="rId6" location="gid=1231407674" ref="F43"/>
    <hyperlink r:id="rId7" location="gid=1231407674" ref="F44"/>
    <hyperlink r:id="rId8" location="gid=1231407674" ref="F45"/>
  </hyperlinks>
  <drawing r:id="rId9"/>
  <tableParts count="1">
    <tablePart r:id="rId1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3.5"/>
    <col customWidth="1" min="3" max="3" width="11.0"/>
    <col customWidth="1" min="4" max="4" width="32.25"/>
    <col customWidth="1" min="5" max="5" width="11.0"/>
    <col customWidth="1" min="6" max="6" width="55.63"/>
    <col customWidth="1" min="7" max="7" width="73.25"/>
  </cols>
  <sheetData>
    <row r="1" ht="66.0" customHeight="1">
      <c r="A1" s="3" t="s">
        <v>2</v>
      </c>
      <c r="B1" s="27" t="s">
        <v>526</v>
      </c>
      <c r="C1" s="27" t="s">
        <v>584</v>
      </c>
      <c r="D1" s="27" t="s">
        <v>32</v>
      </c>
      <c r="E1" s="27" t="s">
        <v>33</v>
      </c>
      <c r="F1" s="27" t="s">
        <v>34</v>
      </c>
      <c r="G1" s="3" t="s">
        <v>8</v>
      </c>
      <c r="H1" s="146"/>
      <c r="I1" s="146"/>
      <c r="J1" s="146"/>
      <c r="K1" s="146"/>
      <c r="L1" s="146"/>
      <c r="M1" s="146"/>
      <c r="N1" s="146"/>
      <c r="O1" s="146"/>
      <c r="P1" s="146"/>
      <c r="Q1" s="146"/>
      <c r="R1" s="146"/>
      <c r="S1" s="146"/>
      <c r="T1" s="146"/>
      <c r="U1" s="146"/>
      <c r="V1" s="146"/>
      <c r="W1" s="146"/>
      <c r="X1" s="146"/>
      <c r="Y1" s="146"/>
      <c r="Z1" s="146"/>
    </row>
    <row r="2" ht="22.5" customHeight="1">
      <c r="A2" s="141">
        <v>45856.0</v>
      </c>
      <c r="B2" s="142"/>
      <c r="C2" s="68"/>
      <c r="D2" s="68"/>
      <c r="E2" s="68"/>
      <c r="F2" s="29"/>
      <c r="G2" s="31"/>
      <c r="H2" s="146"/>
      <c r="I2" s="146"/>
      <c r="J2" s="146"/>
      <c r="K2" s="146"/>
      <c r="L2" s="146"/>
      <c r="M2" s="146"/>
      <c r="N2" s="146"/>
      <c r="O2" s="146"/>
      <c r="P2" s="146"/>
      <c r="Q2" s="146"/>
      <c r="R2" s="146"/>
      <c r="S2" s="146"/>
      <c r="T2" s="146"/>
      <c r="U2" s="146"/>
      <c r="V2" s="146"/>
      <c r="W2" s="146"/>
      <c r="X2" s="146"/>
      <c r="Y2" s="146"/>
      <c r="Z2" s="146"/>
    </row>
    <row r="3" ht="22.5" customHeight="1">
      <c r="A3" s="141">
        <v>45859.0</v>
      </c>
      <c r="B3" s="142">
        <v>8.0</v>
      </c>
      <c r="C3" s="68"/>
      <c r="D3" s="68" t="s">
        <v>654</v>
      </c>
      <c r="E3" s="29" t="s">
        <v>628</v>
      </c>
      <c r="F3" s="147" t="s">
        <v>655</v>
      </c>
      <c r="G3" s="31"/>
      <c r="H3" s="146"/>
      <c r="I3" s="146"/>
      <c r="J3" s="146"/>
      <c r="K3" s="146"/>
      <c r="L3" s="146"/>
      <c r="M3" s="146"/>
      <c r="N3" s="146"/>
      <c r="O3" s="146"/>
      <c r="P3" s="146"/>
      <c r="Q3" s="146"/>
      <c r="R3" s="146"/>
      <c r="S3" s="146"/>
      <c r="T3" s="146"/>
      <c r="U3" s="146"/>
      <c r="V3" s="146"/>
      <c r="W3" s="146"/>
      <c r="X3" s="146"/>
      <c r="Y3" s="146"/>
      <c r="Z3" s="146"/>
    </row>
    <row r="4" ht="22.5" customHeight="1">
      <c r="A4" s="141">
        <v>45860.0</v>
      </c>
      <c r="B4" s="142">
        <v>8.0</v>
      </c>
      <c r="C4" s="68"/>
      <c r="D4" s="68" t="s">
        <v>654</v>
      </c>
      <c r="E4" s="29" t="s">
        <v>628</v>
      </c>
      <c r="F4" s="29" t="s">
        <v>656</v>
      </c>
      <c r="G4" s="31"/>
      <c r="H4" s="146"/>
      <c r="I4" s="146"/>
      <c r="J4" s="146"/>
      <c r="K4" s="146"/>
      <c r="L4" s="146"/>
      <c r="M4" s="146"/>
      <c r="N4" s="146"/>
      <c r="O4" s="146"/>
      <c r="P4" s="146"/>
      <c r="Q4" s="146"/>
      <c r="R4" s="146"/>
      <c r="S4" s="146"/>
      <c r="T4" s="146"/>
      <c r="U4" s="146"/>
      <c r="V4" s="146"/>
      <c r="W4" s="146"/>
      <c r="X4" s="146"/>
      <c r="Y4" s="146"/>
      <c r="Z4" s="146"/>
    </row>
    <row r="5" ht="22.5" customHeight="1">
      <c r="A5" s="141">
        <v>45861.0</v>
      </c>
      <c r="B5" s="142">
        <v>8.0</v>
      </c>
      <c r="C5" s="68"/>
      <c r="D5" s="68" t="s">
        <v>654</v>
      </c>
      <c r="E5" s="29" t="s">
        <v>628</v>
      </c>
      <c r="F5" s="29" t="s">
        <v>657</v>
      </c>
      <c r="G5" s="31"/>
      <c r="H5" s="146"/>
      <c r="I5" s="146"/>
      <c r="J5" s="146"/>
      <c r="K5" s="146"/>
      <c r="L5" s="146"/>
      <c r="M5" s="146"/>
      <c r="N5" s="146"/>
      <c r="O5" s="146"/>
      <c r="P5" s="146"/>
      <c r="Q5" s="146"/>
      <c r="R5" s="146"/>
      <c r="S5" s="146"/>
      <c r="T5" s="146"/>
      <c r="U5" s="146"/>
      <c r="V5" s="146"/>
      <c r="W5" s="146"/>
      <c r="X5" s="146"/>
      <c r="Y5" s="146"/>
      <c r="Z5" s="146"/>
    </row>
    <row r="6" ht="22.5" customHeight="1">
      <c r="A6" s="141">
        <v>45862.0</v>
      </c>
      <c r="B6" s="142">
        <v>8.0</v>
      </c>
      <c r="C6" s="68"/>
      <c r="D6" s="68" t="s">
        <v>654</v>
      </c>
      <c r="E6" s="29" t="s">
        <v>628</v>
      </c>
      <c r="F6" s="29" t="s">
        <v>658</v>
      </c>
      <c r="G6" s="36"/>
      <c r="H6" s="146"/>
      <c r="I6" s="146"/>
      <c r="J6" s="146"/>
      <c r="K6" s="146"/>
      <c r="L6" s="146"/>
      <c r="M6" s="146"/>
      <c r="N6" s="146"/>
      <c r="O6" s="146"/>
      <c r="P6" s="146"/>
      <c r="Q6" s="146"/>
      <c r="R6" s="146"/>
      <c r="S6" s="146"/>
      <c r="T6" s="146"/>
      <c r="U6" s="146"/>
      <c r="V6" s="146"/>
      <c r="W6" s="146"/>
      <c r="X6" s="146"/>
      <c r="Y6" s="146"/>
      <c r="Z6" s="146"/>
    </row>
    <row r="7" ht="22.5" customHeight="1">
      <c r="A7" s="141">
        <v>45863.0</v>
      </c>
      <c r="B7" s="142">
        <v>8.0</v>
      </c>
      <c r="C7" s="68"/>
      <c r="D7" s="68" t="s">
        <v>654</v>
      </c>
      <c r="E7" s="29" t="s">
        <v>628</v>
      </c>
      <c r="F7" s="29" t="s">
        <v>659</v>
      </c>
      <c r="G7" s="36"/>
      <c r="H7" s="146"/>
      <c r="I7" s="146"/>
      <c r="J7" s="146"/>
      <c r="K7" s="146"/>
      <c r="L7" s="146"/>
      <c r="M7" s="146"/>
      <c r="N7" s="146"/>
      <c r="O7" s="146"/>
      <c r="P7" s="146"/>
      <c r="Q7" s="146"/>
      <c r="R7" s="146"/>
      <c r="S7" s="146"/>
      <c r="T7" s="146"/>
      <c r="U7" s="146"/>
      <c r="V7" s="146"/>
      <c r="W7" s="146"/>
      <c r="X7" s="146"/>
      <c r="Y7" s="146"/>
      <c r="Z7" s="146"/>
    </row>
    <row r="8" ht="22.5" customHeight="1">
      <c r="A8" s="141">
        <v>45866.0</v>
      </c>
      <c r="B8" s="142">
        <v>8.0</v>
      </c>
      <c r="C8" s="68"/>
      <c r="D8" s="68" t="s">
        <v>654</v>
      </c>
      <c r="E8" s="29" t="s">
        <v>36</v>
      </c>
      <c r="F8" s="29" t="s">
        <v>660</v>
      </c>
      <c r="G8" s="37" t="s">
        <v>661</v>
      </c>
      <c r="H8" s="146"/>
      <c r="I8" s="146"/>
      <c r="J8" s="146"/>
      <c r="K8" s="146"/>
      <c r="L8" s="146"/>
      <c r="M8" s="146"/>
      <c r="N8" s="146"/>
      <c r="O8" s="146"/>
      <c r="P8" s="146"/>
      <c r="Q8" s="146"/>
      <c r="R8" s="146"/>
      <c r="S8" s="146"/>
      <c r="T8" s="146"/>
      <c r="U8" s="146"/>
      <c r="V8" s="146"/>
      <c r="W8" s="146"/>
      <c r="X8" s="146"/>
      <c r="Y8" s="146"/>
      <c r="Z8" s="146"/>
    </row>
    <row r="9" ht="22.5" customHeight="1">
      <c r="A9" s="141">
        <v>45867.0</v>
      </c>
      <c r="B9" s="142">
        <v>8.0</v>
      </c>
      <c r="C9" s="68"/>
      <c r="D9" s="68" t="s">
        <v>662</v>
      </c>
      <c r="E9" s="29" t="s">
        <v>628</v>
      </c>
      <c r="F9" s="147" t="s">
        <v>663</v>
      </c>
      <c r="G9" s="37" t="s">
        <v>664</v>
      </c>
      <c r="H9" s="146"/>
      <c r="I9" s="146"/>
      <c r="J9" s="146"/>
      <c r="K9" s="146"/>
      <c r="L9" s="146"/>
      <c r="M9" s="146"/>
      <c r="N9" s="146"/>
      <c r="O9" s="146"/>
      <c r="P9" s="146"/>
      <c r="Q9" s="146"/>
      <c r="R9" s="146"/>
      <c r="S9" s="146"/>
      <c r="T9" s="146"/>
      <c r="U9" s="146"/>
      <c r="V9" s="146"/>
      <c r="W9" s="146"/>
      <c r="X9" s="146"/>
      <c r="Y9" s="146"/>
      <c r="Z9" s="146"/>
    </row>
    <row r="10" ht="22.5" customHeight="1">
      <c r="A10" s="141">
        <v>45868.0</v>
      </c>
      <c r="B10" s="142">
        <v>8.0</v>
      </c>
      <c r="C10" s="68"/>
      <c r="D10" s="68" t="s">
        <v>662</v>
      </c>
      <c r="E10" s="29" t="s">
        <v>628</v>
      </c>
      <c r="F10" s="147" t="s">
        <v>663</v>
      </c>
      <c r="G10" s="37" t="s">
        <v>664</v>
      </c>
      <c r="H10" s="146"/>
      <c r="I10" s="146"/>
      <c r="J10" s="146"/>
      <c r="K10" s="146"/>
      <c r="L10" s="146"/>
      <c r="M10" s="146"/>
      <c r="N10" s="146"/>
      <c r="O10" s="146"/>
      <c r="P10" s="146"/>
      <c r="Q10" s="146"/>
      <c r="R10" s="146"/>
      <c r="S10" s="146"/>
      <c r="T10" s="146"/>
      <c r="U10" s="146"/>
      <c r="V10" s="146"/>
      <c r="W10" s="146"/>
      <c r="X10" s="146"/>
      <c r="Y10" s="146"/>
      <c r="Z10" s="146"/>
    </row>
    <row r="11" ht="22.5" customHeight="1">
      <c r="A11" s="141">
        <v>45869.0</v>
      </c>
      <c r="B11" s="142">
        <v>8.0</v>
      </c>
      <c r="C11" s="72"/>
      <c r="D11" s="68" t="s">
        <v>662</v>
      </c>
      <c r="E11" s="29" t="s">
        <v>628</v>
      </c>
      <c r="F11" s="29" t="s">
        <v>665</v>
      </c>
      <c r="G11" s="29" t="s">
        <v>666</v>
      </c>
      <c r="H11" s="146"/>
      <c r="I11" s="146"/>
      <c r="J11" s="146"/>
      <c r="K11" s="146"/>
      <c r="L11" s="146"/>
      <c r="M11" s="146"/>
      <c r="N11" s="146"/>
      <c r="O11" s="146"/>
      <c r="P11" s="146"/>
      <c r="Q11" s="146"/>
      <c r="R11" s="146"/>
      <c r="S11" s="146"/>
      <c r="T11" s="146"/>
      <c r="U11" s="146"/>
      <c r="V11" s="146"/>
      <c r="W11" s="146"/>
      <c r="X11" s="146"/>
      <c r="Y11" s="146"/>
      <c r="Z11" s="146"/>
    </row>
    <row r="12" ht="22.5" customHeight="1">
      <c r="A12" s="141">
        <v>45870.0</v>
      </c>
      <c r="B12" s="142">
        <v>8.0</v>
      </c>
      <c r="C12" s="72"/>
      <c r="D12" s="68" t="s">
        <v>662</v>
      </c>
      <c r="E12" s="29" t="s">
        <v>628</v>
      </c>
      <c r="F12" s="29" t="s">
        <v>667</v>
      </c>
      <c r="G12" s="29" t="s">
        <v>668</v>
      </c>
      <c r="H12" s="146"/>
      <c r="I12" s="146"/>
      <c r="J12" s="146"/>
      <c r="K12" s="146"/>
      <c r="L12" s="146"/>
      <c r="M12" s="146"/>
      <c r="N12" s="146"/>
      <c r="O12" s="146"/>
      <c r="P12" s="146"/>
      <c r="Q12" s="146"/>
      <c r="R12" s="146"/>
      <c r="S12" s="146"/>
      <c r="T12" s="146"/>
      <c r="U12" s="146"/>
      <c r="V12" s="146"/>
      <c r="W12" s="146"/>
      <c r="X12" s="146"/>
      <c r="Y12" s="146"/>
      <c r="Z12" s="146"/>
    </row>
    <row r="13" ht="22.5" customHeight="1">
      <c r="A13" s="141">
        <v>45873.0</v>
      </c>
      <c r="B13" s="142">
        <v>8.0</v>
      </c>
      <c r="C13" s="72"/>
      <c r="D13" s="68" t="s">
        <v>662</v>
      </c>
      <c r="E13" s="29" t="s">
        <v>628</v>
      </c>
      <c r="F13" s="29" t="s">
        <v>669</v>
      </c>
      <c r="G13" s="29" t="s">
        <v>670</v>
      </c>
      <c r="H13" s="146"/>
      <c r="I13" s="146"/>
      <c r="J13" s="146"/>
      <c r="K13" s="146"/>
      <c r="L13" s="146"/>
      <c r="M13" s="146"/>
      <c r="N13" s="146"/>
      <c r="O13" s="146"/>
      <c r="P13" s="146"/>
      <c r="Q13" s="146"/>
      <c r="R13" s="146"/>
      <c r="S13" s="146"/>
      <c r="T13" s="146"/>
      <c r="U13" s="146"/>
      <c r="V13" s="146"/>
      <c r="W13" s="146"/>
      <c r="X13" s="146"/>
      <c r="Y13" s="146"/>
      <c r="Z13" s="146"/>
    </row>
    <row r="14" ht="22.5" customHeight="1">
      <c r="A14" s="141">
        <v>45874.0</v>
      </c>
      <c r="B14" s="142">
        <v>8.0</v>
      </c>
      <c r="C14" s="72"/>
      <c r="D14" s="68" t="s">
        <v>662</v>
      </c>
      <c r="E14" s="29" t="s">
        <v>628</v>
      </c>
      <c r="F14" s="29" t="s">
        <v>671</v>
      </c>
      <c r="G14" s="29" t="s">
        <v>672</v>
      </c>
      <c r="H14" s="146"/>
      <c r="I14" s="146"/>
      <c r="J14" s="146"/>
      <c r="K14" s="146"/>
      <c r="L14" s="146"/>
      <c r="M14" s="146"/>
      <c r="N14" s="146"/>
      <c r="O14" s="146"/>
      <c r="P14" s="146"/>
      <c r="Q14" s="146"/>
      <c r="R14" s="146"/>
      <c r="S14" s="146"/>
      <c r="T14" s="146"/>
      <c r="U14" s="146"/>
      <c r="V14" s="146"/>
      <c r="W14" s="146"/>
      <c r="X14" s="146"/>
      <c r="Y14" s="146"/>
      <c r="Z14" s="146"/>
    </row>
    <row r="15" ht="22.5" customHeight="1">
      <c r="A15" s="141">
        <v>45875.0</v>
      </c>
      <c r="B15" s="142">
        <v>8.0</v>
      </c>
      <c r="C15" s="72"/>
      <c r="D15" s="68" t="s">
        <v>662</v>
      </c>
      <c r="E15" s="29" t="s">
        <v>628</v>
      </c>
      <c r="F15" s="29" t="s">
        <v>673</v>
      </c>
      <c r="G15" s="29" t="s">
        <v>674</v>
      </c>
      <c r="H15" s="146"/>
      <c r="I15" s="146"/>
      <c r="J15" s="146"/>
      <c r="K15" s="146"/>
      <c r="L15" s="146"/>
      <c r="M15" s="146"/>
      <c r="N15" s="146"/>
      <c r="O15" s="146"/>
      <c r="P15" s="146"/>
      <c r="Q15" s="146"/>
      <c r="R15" s="146"/>
      <c r="S15" s="146"/>
      <c r="T15" s="146"/>
      <c r="U15" s="146"/>
      <c r="V15" s="146"/>
      <c r="W15" s="146"/>
      <c r="X15" s="146"/>
      <c r="Y15" s="146"/>
      <c r="Z15" s="146"/>
    </row>
    <row r="16" ht="22.5" customHeight="1">
      <c r="A16" s="141">
        <v>45876.0</v>
      </c>
      <c r="B16" s="142">
        <v>8.0</v>
      </c>
      <c r="C16" s="47"/>
      <c r="D16" s="68" t="s">
        <v>662</v>
      </c>
      <c r="E16" s="29" t="s">
        <v>628</v>
      </c>
      <c r="F16" s="29" t="s">
        <v>675</v>
      </c>
      <c r="G16" s="29" t="s">
        <v>676</v>
      </c>
      <c r="H16" s="146"/>
      <c r="I16" s="146"/>
      <c r="J16" s="146"/>
      <c r="K16" s="146"/>
      <c r="L16" s="146"/>
      <c r="M16" s="146"/>
      <c r="N16" s="146"/>
      <c r="O16" s="146"/>
      <c r="P16" s="146"/>
      <c r="Q16" s="146"/>
      <c r="R16" s="146"/>
      <c r="S16" s="146"/>
      <c r="T16" s="146"/>
      <c r="U16" s="146"/>
      <c r="V16" s="146"/>
      <c r="W16" s="146"/>
      <c r="X16" s="146"/>
      <c r="Y16" s="146"/>
      <c r="Z16" s="146"/>
    </row>
    <row r="17" ht="22.5" customHeight="1">
      <c r="A17" s="141">
        <v>45877.0</v>
      </c>
      <c r="B17" s="142">
        <v>8.0</v>
      </c>
      <c r="C17" s="47"/>
      <c r="D17" s="68" t="s">
        <v>662</v>
      </c>
      <c r="E17" s="29" t="s">
        <v>628</v>
      </c>
      <c r="F17" s="29" t="s">
        <v>677</v>
      </c>
      <c r="G17" s="29" t="s">
        <v>676</v>
      </c>
      <c r="H17" s="146"/>
      <c r="I17" s="146"/>
      <c r="J17" s="146"/>
      <c r="K17" s="146"/>
      <c r="L17" s="146"/>
      <c r="M17" s="146"/>
      <c r="N17" s="146"/>
      <c r="O17" s="146"/>
      <c r="P17" s="146"/>
      <c r="Q17" s="146"/>
      <c r="R17" s="146"/>
      <c r="S17" s="146"/>
      <c r="T17" s="146"/>
      <c r="U17" s="146"/>
      <c r="V17" s="146"/>
      <c r="W17" s="146"/>
      <c r="X17" s="146"/>
      <c r="Y17" s="146"/>
      <c r="Z17" s="146"/>
    </row>
    <row r="18" ht="22.5" customHeight="1">
      <c r="A18" s="141">
        <v>45880.0</v>
      </c>
      <c r="B18" s="142">
        <v>8.0</v>
      </c>
      <c r="C18" s="49"/>
      <c r="D18" s="68" t="s">
        <v>662</v>
      </c>
      <c r="E18" s="29" t="s">
        <v>628</v>
      </c>
      <c r="F18" s="29" t="s">
        <v>678</v>
      </c>
      <c r="G18" s="29" t="s">
        <v>679</v>
      </c>
      <c r="H18" s="146"/>
      <c r="I18" s="146"/>
      <c r="J18" s="146"/>
      <c r="K18" s="146"/>
      <c r="L18" s="146"/>
      <c r="M18" s="146"/>
      <c r="N18" s="146"/>
      <c r="O18" s="146"/>
      <c r="P18" s="146"/>
      <c r="Q18" s="146"/>
      <c r="R18" s="146"/>
      <c r="S18" s="146"/>
      <c r="T18" s="146"/>
      <c r="U18" s="146"/>
      <c r="V18" s="146"/>
      <c r="W18" s="146"/>
      <c r="X18" s="146"/>
      <c r="Y18" s="146"/>
      <c r="Z18" s="146"/>
    </row>
    <row r="19" ht="22.5" customHeight="1">
      <c r="A19" s="141">
        <v>45881.0</v>
      </c>
      <c r="B19" s="142">
        <v>8.0</v>
      </c>
      <c r="C19" s="49"/>
      <c r="D19" s="68" t="s">
        <v>680</v>
      </c>
      <c r="E19" s="29" t="s">
        <v>628</v>
      </c>
      <c r="F19" s="30" t="s">
        <v>681</v>
      </c>
      <c r="G19" s="37" t="s">
        <v>682</v>
      </c>
      <c r="H19" s="146"/>
      <c r="I19" s="146"/>
      <c r="J19" s="146"/>
      <c r="K19" s="146"/>
      <c r="L19" s="146"/>
      <c r="M19" s="146"/>
      <c r="N19" s="146"/>
      <c r="O19" s="146"/>
      <c r="P19" s="146"/>
      <c r="Q19" s="146"/>
      <c r="R19" s="146"/>
      <c r="S19" s="146"/>
      <c r="T19" s="146"/>
      <c r="U19" s="146"/>
      <c r="V19" s="146"/>
      <c r="W19" s="146"/>
      <c r="X19" s="146"/>
      <c r="Y19" s="146"/>
      <c r="Z19" s="146"/>
    </row>
    <row r="20" ht="22.5" customHeight="1">
      <c r="A20" s="141">
        <v>45882.0</v>
      </c>
      <c r="B20" s="142">
        <v>8.0</v>
      </c>
      <c r="C20" s="49"/>
      <c r="D20" s="68" t="s">
        <v>662</v>
      </c>
      <c r="E20" s="29" t="s">
        <v>628</v>
      </c>
      <c r="F20" s="29" t="s">
        <v>683</v>
      </c>
      <c r="G20" s="37" t="s">
        <v>684</v>
      </c>
      <c r="H20" s="146"/>
      <c r="I20" s="146"/>
      <c r="J20" s="146"/>
      <c r="K20" s="146"/>
      <c r="L20" s="146"/>
      <c r="M20" s="146"/>
      <c r="N20" s="146"/>
      <c r="O20" s="146"/>
      <c r="P20" s="146"/>
      <c r="Q20" s="146"/>
      <c r="R20" s="146"/>
      <c r="S20" s="146"/>
      <c r="T20" s="146"/>
      <c r="U20" s="146"/>
      <c r="V20" s="146"/>
      <c r="W20" s="146"/>
      <c r="X20" s="146"/>
      <c r="Y20" s="146"/>
      <c r="Z20" s="146"/>
    </row>
    <row r="21" ht="22.5" customHeight="1">
      <c r="A21" s="141">
        <v>45883.0</v>
      </c>
      <c r="B21" s="142">
        <v>8.0</v>
      </c>
      <c r="C21" s="49"/>
      <c r="D21" s="68" t="s">
        <v>662</v>
      </c>
      <c r="E21" s="29" t="s">
        <v>628</v>
      </c>
      <c r="F21" s="29" t="s">
        <v>685</v>
      </c>
      <c r="G21" s="37" t="s">
        <v>686</v>
      </c>
      <c r="H21" s="146"/>
      <c r="I21" s="146"/>
      <c r="J21" s="146"/>
      <c r="K21" s="146"/>
      <c r="L21" s="146"/>
      <c r="M21" s="146"/>
      <c r="N21" s="146"/>
      <c r="O21" s="146"/>
      <c r="P21" s="146"/>
      <c r="Q21" s="146"/>
      <c r="R21" s="146"/>
      <c r="S21" s="146"/>
      <c r="T21" s="146"/>
      <c r="U21" s="146"/>
      <c r="V21" s="146"/>
      <c r="W21" s="146"/>
      <c r="X21" s="146"/>
      <c r="Y21" s="146"/>
      <c r="Z21" s="146"/>
    </row>
    <row r="22" ht="22.5" customHeight="1">
      <c r="A22" s="141">
        <v>45884.0</v>
      </c>
      <c r="B22" s="142">
        <v>8.0</v>
      </c>
      <c r="C22" s="49"/>
      <c r="D22" s="68" t="s">
        <v>662</v>
      </c>
      <c r="E22" s="29" t="s">
        <v>628</v>
      </c>
      <c r="F22" s="29" t="s">
        <v>687</v>
      </c>
      <c r="G22" s="37" t="s">
        <v>688</v>
      </c>
      <c r="H22" s="146"/>
      <c r="I22" s="146"/>
      <c r="J22" s="146"/>
      <c r="K22" s="146"/>
      <c r="L22" s="146"/>
      <c r="M22" s="146"/>
      <c r="N22" s="146"/>
      <c r="O22" s="146"/>
      <c r="P22" s="146"/>
      <c r="Q22" s="146"/>
      <c r="R22" s="146"/>
      <c r="S22" s="146"/>
      <c r="T22" s="146"/>
      <c r="U22" s="146"/>
      <c r="V22" s="146"/>
      <c r="W22" s="146"/>
      <c r="X22" s="146"/>
      <c r="Y22" s="146"/>
      <c r="Z22" s="146"/>
    </row>
    <row r="23" ht="22.5" customHeight="1">
      <c r="A23" s="141">
        <v>45887.0</v>
      </c>
      <c r="B23" s="142">
        <v>8.0</v>
      </c>
      <c r="C23" s="49"/>
      <c r="D23" s="49" t="s">
        <v>689</v>
      </c>
      <c r="E23" s="29" t="s">
        <v>628</v>
      </c>
      <c r="F23" s="143" t="s">
        <v>690</v>
      </c>
      <c r="G23" s="79" t="s">
        <v>691</v>
      </c>
      <c r="H23" s="146"/>
      <c r="I23" s="146"/>
      <c r="J23" s="146"/>
      <c r="K23" s="146"/>
      <c r="L23" s="146"/>
      <c r="M23" s="146"/>
      <c r="N23" s="146"/>
      <c r="O23" s="146"/>
      <c r="P23" s="146"/>
      <c r="Q23" s="146"/>
      <c r="R23" s="146"/>
      <c r="S23" s="146"/>
      <c r="T23" s="146"/>
      <c r="U23" s="146"/>
      <c r="V23" s="146"/>
      <c r="W23" s="146"/>
      <c r="X23" s="146"/>
      <c r="Y23" s="146"/>
      <c r="Z23" s="146"/>
    </row>
    <row r="24" ht="22.5" customHeight="1">
      <c r="A24" s="141">
        <v>45888.0</v>
      </c>
      <c r="B24" s="142">
        <v>8.0</v>
      </c>
      <c r="C24" s="49"/>
      <c r="D24" s="68" t="s">
        <v>662</v>
      </c>
      <c r="E24" s="29" t="s">
        <v>628</v>
      </c>
      <c r="F24" s="29" t="s">
        <v>687</v>
      </c>
      <c r="G24" s="53"/>
      <c r="H24" s="146"/>
      <c r="I24" s="146"/>
      <c r="J24" s="146"/>
      <c r="K24" s="146"/>
      <c r="L24" s="146"/>
      <c r="M24" s="146"/>
      <c r="N24" s="146"/>
      <c r="O24" s="146"/>
      <c r="P24" s="146"/>
      <c r="Q24" s="146"/>
      <c r="R24" s="146"/>
      <c r="S24" s="146"/>
      <c r="T24" s="146"/>
      <c r="U24" s="146"/>
      <c r="V24" s="146"/>
      <c r="W24" s="146"/>
      <c r="X24" s="146"/>
      <c r="Y24" s="146"/>
      <c r="Z24" s="146"/>
    </row>
    <row r="25" ht="22.5" customHeight="1">
      <c r="A25" s="141">
        <v>45889.0</v>
      </c>
      <c r="B25" s="142">
        <v>8.0</v>
      </c>
      <c r="C25" s="49"/>
      <c r="D25" s="68" t="s">
        <v>662</v>
      </c>
      <c r="E25" s="29" t="s">
        <v>628</v>
      </c>
      <c r="F25" s="29" t="s">
        <v>692</v>
      </c>
      <c r="G25" s="53"/>
      <c r="H25" s="146"/>
      <c r="I25" s="146"/>
      <c r="J25" s="146"/>
      <c r="K25" s="146"/>
      <c r="L25" s="146"/>
      <c r="M25" s="146"/>
      <c r="N25" s="146"/>
      <c r="O25" s="146"/>
      <c r="P25" s="146"/>
      <c r="Q25" s="146"/>
      <c r="R25" s="146"/>
      <c r="S25" s="146"/>
      <c r="T25" s="146"/>
      <c r="U25" s="146"/>
      <c r="V25" s="146"/>
      <c r="W25" s="146"/>
      <c r="X25" s="146"/>
      <c r="Y25" s="146"/>
      <c r="Z25" s="146"/>
    </row>
    <row r="26" ht="22.5" customHeight="1">
      <c r="A26" s="141">
        <v>45890.0</v>
      </c>
      <c r="B26" s="142">
        <v>8.0</v>
      </c>
      <c r="C26" s="49"/>
      <c r="D26" s="68" t="s">
        <v>662</v>
      </c>
      <c r="E26" s="29" t="s">
        <v>628</v>
      </c>
      <c r="F26" s="29" t="s">
        <v>693</v>
      </c>
      <c r="G26" s="53"/>
      <c r="H26" s="146"/>
      <c r="I26" s="146"/>
      <c r="J26" s="146"/>
      <c r="K26" s="146"/>
      <c r="L26" s="146"/>
      <c r="M26" s="146"/>
      <c r="N26" s="146"/>
      <c r="O26" s="146"/>
      <c r="P26" s="146"/>
      <c r="Q26" s="146"/>
      <c r="R26" s="146"/>
      <c r="S26" s="146"/>
      <c r="T26" s="146"/>
      <c r="U26" s="146"/>
      <c r="V26" s="146"/>
      <c r="W26" s="146"/>
      <c r="X26" s="146"/>
      <c r="Y26" s="146"/>
      <c r="Z26" s="146"/>
    </row>
    <row r="27" ht="22.5" customHeight="1">
      <c r="A27" s="141">
        <v>45891.0</v>
      </c>
      <c r="B27" s="142">
        <v>8.0</v>
      </c>
      <c r="C27" s="49"/>
      <c r="D27" s="68" t="s">
        <v>662</v>
      </c>
      <c r="E27" s="29" t="s">
        <v>628</v>
      </c>
      <c r="F27" s="29" t="s">
        <v>694</v>
      </c>
      <c r="G27" s="53"/>
      <c r="H27" s="146"/>
      <c r="I27" s="146"/>
      <c r="J27" s="146"/>
      <c r="K27" s="146"/>
      <c r="L27" s="146"/>
      <c r="M27" s="146"/>
      <c r="N27" s="146"/>
      <c r="O27" s="146"/>
      <c r="P27" s="146"/>
      <c r="Q27" s="146"/>
      <c r="R27" s="146"/>
      <c r="S27" s="146"/>
      <c r="T27" s="146"/>
      <c r="U27" s="146"/>
      <c r="V27" s="146"/>
      <c r="W27" s="146"/>
      <c r="X27" s="146"/>
      <c r="Y27" s="146"/>
      <c r="Z27" s="146"/>
    </row>
    <row r="28" ht="22.5" customHeight="1">
      <c r="A28" s="141">
        <v>45894.0</v>
      </c>
      <c r="B28" s="142">
        <v>8.0</v>
      </c>
      <c r="C28" s="49"/>
      <c r="D28" s="68" t="s">
        <v>662</v>
      </c>
      <c r="E28" s="29" t="s">
        <v>628</v>
      </c>
      <c r="F28" s="29" t="s">
        <v>695</v>
      </c>
      <c r="G28" s="53"/>
      <c r="H28" s="146"/>
      <c r="I28" s="146"/>
      <c r="J28" s="146"/>
      <c r="K28" s="146"/>
      <c r="L28" s="146"/>
      <c r="M28" s="146"/>
      <c r="N28" s="146"/>
      <c r="O28" s="146"/>
      <c r="P28" s="146"/>
      <c r="Q28" s="146"/>
      <c r="R28" s="146"/>
      <c r="S28" s="146"/>
      <c r="T28" s="146"/>
      <c r="U28" s="146"/>
      <c r="V28" s="146"/>
      <c r="W28" s="146"/>
      <c r="X28" s="146"/>
      <c r="Y28" s="146"/>
      <c r="Z28" s="146"/>
    </row>
    <row r="29" ht="22.5" customHeight="1">
      <c r="A29" s="141">
        <v>45895.0</v>
      </c>
      <c r="B29" s="142">
        <v>8.0</v>
      </c>
      <c r="C29" s="49"/>
      <c r="D29" s="68" t="s">
        <v>662</v>
      </c>
      <c r="E29" s="29" t="s">
        <v>628</v>
      </c>
      <c r="F29" s="29" t="s">
        <v>696</v>
      </c>
      <c r="G29" s="53"/>
      <c r="H29" s="146"/>
      <c r="I29" s="146"/>
      <c r="J29" s="146"/>
      <c r="K29" s="146"/>
      <c r="L29" s="146"/>
      <c r="M29" s="146"/>
      <c r="N29" s="146"/>
      <c r="O29" s="146"/>
      <c r="P29" s="146"/>
      <c r="Q29" s="146"/>
      <c r="R29" s="146"/>
      <c r="S29" s="146"/>
      <c r="T29" s="146"/>
      <c r="U29" s="146"/>
      <c r="V29" s="146"/>
      <c r="W29" s="146"/>
      <c r="X29" s="146"/>
      <c r="Y29" s="146"/>
      <c r="Z29" s="146"/>
    </row>
    <row r="30" ht="22.5" customHeight="1">
      <c r="A30" s="141">
        <v>45896.0</v>
      </c>
      <c r="B30" s="142">
        <v>8.0</v>
      </c>
      <c r="C30" s="49"/>
      <c r="D30" s="68" t="s">
        <v>662</v>
      </c>
      <c r="E30" s="29" t="s">
        <v>628</v>
      </c>
      <c r="F30" s="29" t="s">
        <v>697</v>
      </c>
      <c r="G30" s="53"/>
      <c r="H30" s="146"/>
      <c r="I30" s="146"/>
      <c r="J30" s="146"/>
      <c r="K30" s="146"/>
      <c r="L30" s="146"/>
      <c r="M30" s="146"/>
      <c r="N30" s="146"/>
      <c r="O30" s="146"/>
      <c r="P30" s="146"/>
      <c r="Q30" s="146"/>
      <c r="R30" s="146"/>
      <c r="S30" s="146"/>
      <c r="T30" s="146"/>
      <c r="U30" s="146"/>
      <c r="V30" s="146"/>
      <c r="W30" s="146"/>
      <c r="X30" s="146"/>
      <c r="Y30" s="146"/>
      <c r="Z30" s="146"/>
    </row>
    <row r="31" ht="22.5" customHeight="1">
      <c r="A31" s="141">
        <v>45897.0</v>
      </c>
      <c r="B31" s="142">
        <v>8.0</v>
      </c>
      <c r="C31" s="49"/>
      <c r="D31" s="68" t="s">
        <v>662</v>
      </c>
      <c r="E31" s="29" t="s">
        <v>628</v>
      </c>
      <c r="F31" s="29" t="s">
        <v>698</v>
      </c>
      <c r="G31" s="53"/>
      <c r="H31" s="146"/>
      <c r="I31" s="146"/>
      <c r="J31" s="146"/>
      <c r="K31" s="146"/>
      <c r="L31" s="146"/>
      <c r="M31" s="146"/>
      <c r="N31" s="146"/>
      <c r="O31" s="146"/>
      <c r="P31" s="146"/>
      <c r="Q31" s="146"/>
      <c r="R31" s="146"/>
      <c r="S31" s="146"/>
      <c r="T31" s="146"/>
      <c r="U31" s="146"/>
      <c r="V31" s="146"/>
      <c r="W31" s="146"/>
      <c r="X31" s="146"/>
      <c r="Y31" s="146"/>
      <c r="Z31" s="146"/>
    </row>
    <row r="32" ht="22.5" customHeight="1">
      <c r="A32" s="141">
        <v>45898.0</v>
      </c>
      <c r="B32" s="142">
        <v>8.0</v>
      </c>
      <c r="C32" s="49"/>
      <c r="D32" s="68" t="s">
        <v>662</v>
      </c>
      <c r="E32" s="29" t="s">
        <v>628</v>
      </c>
      <c r="F32" s="29" t="s">
        <v>699</v>
      </c>
      <c r="G32" s="53"/>
      <c r="H32" s="146"/>
      <c r="I32" s="146"/>
      <c r="J32" s="146"/>
      <c r="K32" s="146"/>
      <c r="L32" s="146"/>
      <c r="M32" s="146"/>
      <c r="N32" s="146"/>
      <c r="O32" s="146"/>
      <c r="P32" s="146"/>
      <c r="Q32" s="146"/>
      <c r="R32" s="146"/>
      <c r="S32" s="146"/>
      <c r="T32" s="146"/>
      <c r="U32" s="146"/>
      <c r="V32" s="146"/>
      <c r="W32" s="146"/>
      <c r="X32" s="146"/>
      <c r="Y32" s="146"/>
      <c r="Z32" s="146"/>
    </row>
    <row r="33" ht="22.5" customHeight="1">
      <c r="A33" s="141">
        <v>45901.0</v>
      </c>
      <c r="B33" s="142">
        <v>8.0</v>
      </c>
      <c r="C33" s="49"/>
      <c r="D33" s="68" t="s">
        <v>627</v>
      </c>
      <c r="E33" s="29" t="s">
        <v>628</v>
      </c>
      <c r="F33" s="29" t="s">
        <v>700</v>
      </c>
      <c r="G33" s="79" t="s">
        <v>701</v>
      </c>
      <c r="H33" s="146"/>
      <c r="I33" s="146"/>
      <c r="J33" s="146"/>
      <c r="K33" s="146"/>
      <c r="L33" s="146"/>
      <c r="M33" s="146"/>
      <c r="N33" s="146"/>
      <c r="O33" s="146"/>
      <c r="P33" s="146"/>
      <c r="Q33" s="146"/>
      <c r="R33" s="146"/>
      <c r="S33" s="146"/>
      <c r="T33" s="146"/>
      <c r="U33" s="146"/>
      <c r="V33" s="146"/>
      <c r="W33" s="146"/>
      <c r="X33" s="146"/>
      <c r="Y33" s="146"/>
      <c r="Z33" s="146"/>
    </row>
    <row r="34" ht="22.5" customHeight="1">
      <c r="A34" s="141">
        <v>45902.0</v>
      </c>
      <c r="B34" s="142">
        <v>8.0</v>
      </c>
      <c r="C34" s="51"/>
      <c r="D34" s="68" t="s">
        <v>627</v>
      </c>
      <c r="E34" s="29" t="s">
        <v>628</v>
      </c>
      <c r="F34" s="29" t="s">
        <v>702</v>
      </c>
      <c r="G34" s="79" t="s">
        <v>701</v>
      </c>
      <c r="H34" s="146"/>
      <c r="I34" s="146"/>
      <c r="J34" s="146"/>
      <c r="K34" s="146"/>
      <c r="L34" s="146"/>
      <c r="M34" s="146"/>
      <c r="N34" s="146"/>
      <c r="O34" s="146"/>
      <c r="P34" s="146"/>
      <c r="Q34" s="146"/>
      <c r="R34" s="146"/>
      <c r="S34" s="146"/>
      <c r="T34" s="146"/>
      <c r="U34" s="146"/>
      <c r="V34" s="146"/>
      <c r="W34" s="146"/>
      <c r="X34" s="146"/>
      <c r="Y34" s="146"/>
      <c r="Z34" s="146"/>
    </row>
    <row r="35" ht="22.5" customHeight="1">
      <c r="A35" s="141">
        <v>45903.0</v>
      </c>
      <c r="B35" s="142">
        <v>8.0</v>
      </c>
      <c r="C35" s="51"/>
      <c r="D35" s="68" t="s">
        <v>627</v>
      </c>
      <c r="E35" s="29" t="s">
        <v>628</v>
      </c>
      <c r="F35" s="29" t="s">
        <v>703</v>
      </c>
      <c r="G35" s="79" t="s">
        <v>701</v>
      </c>
      <c r="H35" s="146"/>
      <c r="I35" s="146"/>
      <c r="J35" s="146"/>
      <c r="K35" s="146"/>
      <c r="L35" s="146"/>
      <c r="M35" s="146"/>
      <c r="N35" s="146"/>
      <c r="O35" s="146"/>
      <c r="P35" s="146"/>
      <c r="Q35" s="146"/>
      <c r="R35" s="146"/>
      <c r="S35" s="146"/>
      <c r="T35" s="146"/>
      <c r="U35" s="146"/>
      <c r="V35" s="146"/>
      <c r="W35" s="146"/>
      <c r="X35" s="146"/>
      <c r="Y35" s="146"/>
      <c r="Z35" s="146"/>
    </row>
    <row r="36" ht="22.5" customHeight="1">
      <c r="A36" s="141">
        <v>45904.0</v>
      </c>
      <c r="B36" s="142">
        <v>8.0</v>
      </c>
      <c r="C36" s="51"/>
      <c r="D36" s="68" t="s">
        <v>627</v>
      </c>
      <c r="E36" s="29" t="s">
        <v>628</v>
      </c>
      <c r="F36" s="29" t="s">
        <v>704</v>
      </c>
      <c r="G36" s="79" t="s">
        <v>705</v>
      </c>
      <c r="H36" s="146"/>
      <c r="I36" s="146"/>
      <c r="J36" s="146"/>
      <c r="K36" s="146"/>
      <c r="L36" s="146"/>
      <c r="M36" s="146"/>
      <c r="N36" s="146"/>
      <c r="O36" s="146"/>
      <c r="P36" s="146"/>
      <c r="Q36" s="146"/>
      <c r="R36" s="146"/>
      <c r="S36" s="146"/>
      <c r="T36" s="146"/>
      <c r="U36" s="146"/>
      <c r="V36" s="146"/>
      <c r="W36" s="146"/>
      <c r="X36" s="146"/>
      <c r="Y36" s="146"/>
      <c r="Z36" s="146"/>
    </row>
    <row r="37" ht="22.5" customHeight="1">
      <c r="A37" s="141">
        <v>45905.0</v>
      </c>
      <c r="B37" s="142">
        <v>8.0</v>
      </c>
      <c r="C37" s="51"/>
      <c r="D37" s="55" t="s">
        <v>19</v>
      </c>
      <c r="E37" s="55" t="s">
        <v>19</v>
      </c>
      <c r="F37" s="55" t="s">
        <v>19</v>
      </c>
      <c r="G37" s="79" t="s">
        <v>19</v>
      </c>
      <c r="H37" s="146"/>
      <c r="I37" s="146"/>
      <c r="J37" s="146"/>
      <c r="K37" s="146"/>
      <c r="L37" s="146"/>
      <c r="M37" s="146"/>
      <c r="N37" s="146"/>
      <c r="O37" s="146"/>
      <c r="P37" s="146"/>
      <c r="Q37" s="146"/>
      <c r="R37" s="146"/>
      <c r="S37" s="146"/>
      <c r="T37" s="146"/>
      <c r="U37" s="146"/>
      <c r="V37" s="146"/>
      <c r="W37" s="146"/>
      <c r="X37" s="146"/>
      <c r="Y37" s="146"/>
      <c r="Z37" s="146"/>
    </row>
    <row r="38" ht="22.5" customHeight="1">
      <c r="A38" s="141">
        <v>45908.0</v>
      </c>
      <c r="B38" s="142">
        <v>8.0</v>
      </c>
      <c r="C38" s="51"/>
      <c r="D38" s="55" t="s">
        <v>706</v>
      </c>
      <c r="E38" s="29" t="s">
        <v>628</v>
      </c>
      <c r="F38" s="143" t="s">
        <v>707</v>
      </c>
      <c r="G38" s="79" t="s">
        <v>708</v>
      </c>
      <c r="H38" s="146"/>
      <c r="I38" s="146"/>
      <c r="J38" s="146"/>
      <c r="K38" s="146"/>
      <c r="L38" s="146"/>
      <c r="M38" s="146"/>
      <c r="N38" s="146"/>
      <c r="O38" s="146"/>
      <c r="P38" s="146"/>
      <c r="Q38" s="146"/>
      <c r="R38" s="146"/>
      <c r="S38" s="146"/>
      <c r="T38" s="146"/>
      <c r="U38" s="146"/>
      <c r="V38" s="146"/>
      <c r="W38" s="146"/>
      <c r="X38" s="146"/>
      <c r="Y38" s="146"/>
      <c r="Z38" s="146"/>
    </row>
    <row r="39" ht="22.5" customHeight="1">
      <c r="A39" s="141">
        <v>45909.0</v>
      </c>
      <c r="B39" s="142">
        <v>8.0</v>
      </c>
      <c r="C39" s="51"/>
      <c r="D39" s="68" t="s">
        <v>627</v>
      </c>
      <c r="E39" s="29" t="s">
        <v>628</v>
      </c>
      <c r="F39" s="143" t="s">
        <v>626</v>
      </c>
      <c r="G39" s="79" t="s">
        <v>705</v>
      </c>
      <c r="H39" s="146"/>
      <c r="I39" s="146"/>
      <c r="J39" s="146"/>
      <c r="K39" s="146"/>
      <c r="L39" s="146"/>
      <c r="M39" s="146"/>
      <c r="N39" s="146"/>
      <c r="O39" s="146"/>
      <c r="P39" s="146"/>
      <c r="Q39" s="146"/>
      <c r="R39" s="146"/>
      <c r="S39" s="146"/>
      <c r="T39" s="146"/>
      <c r="U39" s="146"/>
      <c r="V39" s="146"/>
      <c r="W39" s="146"/>
      <c r="X39" s="146"/>
      <c r="Y39" s="146"/>
      <c r="Z39" s="146"/>
    </row>
    <row r="40" ht="22.5" customHeight="1">
      <c r="A40" s="141">
        <v>45910.0</v>
      </c>
      <c r="B40" s="142">
        <v>8.0</v>
      </c>
      <c r="C40" s="51"/>
      <c r="D40" s="68" t="s">
        <v>627</v>
      </c>
      <c r="E40" s="29" t="s">
        <v>628</v>
      </c>
      <c r="F40" s="55" t="s">
        <v>709</v>
      </c>
      <c r="G40" s="79" t="s">
        <v>705</v>
      </c>
      <c r="H40" s="146"/>
      <c r="I40" s="146"/>
      <c r="J40" s="146"/>
      <c r="K40" s="146"/>
      <c r="L40" s="146"/>
      <c r="M40" s="146"/>
      <c r="N40" s="146"/>
      <c r="O40" s="146"/>
      <c r="P40" s="146"/>
      <c r="Q40" s="146"/>
      <c r="R40" s="146"/>
      <c r="S40" s="146"/>
      <c r="T40" s="146"/>
      <c r="U40" s="146"/>
      <c r="V40" s="146"/>
      <c r="W40" s="146"/>
      <c r="X40" s="146"/>
      <c r="Y40" s="146"/>
      <c r="Z40" s="146"/>
    </row>
    <row r="41" ht="22.5" customHeight="1">
      <c r="A41" s="141">
        <v>45911.0</v>
      </c>
      <c r="B41" s="142">
        <v>8.0</v>
      </c>
      <c r="C41" s="51"/>
      <c r="D41" s="68" t="s">
        <v>627</v>
      </c>
      <c r="E41" s="29" t="s">
        <v>628</v>
      </c>
      <c r="F41" s="55" t="s">
        <v>710</v>
      </c>
      <c r="G41" s="79" t="s">
        <v>711</v>
      </c>
      <c r="H41" s="146"/>
      <c r="I41" s="146"/>
      <c r="J41" s="146"/>
      <c r="K41" s="146"/>
      <c r="L41" s="146"/>
      <c r="M41" s="146"/>
      <c r="N41" s="146"/>
      <c r="O41" s="146"/>
      <c r="P41" s="146"/>
      <c r="Q41" s="146"/>
      <c r="R41" s="146"/>
      <c r="S41" s="146"/>
      <c r="T41" s="146"/>
      <c r="U41" s="146"/>
      <c r="V41" s="146"/>
      <c r="W41" s="146"/>
      <c r="X41" s="146"/>
      <c r="Y41" s="146"/>
      <c r="Z41" s="146"/>
    </row>
    <row r="42" ht="22.5" customHeight="1">
      <c r="A42" s="141">
        <v>45912.0</v>
      </c>
      <c r="B42" s="142">
        <v>8.0</v>
      </c>
      <c r="C42" s="51"/>
      <c r="D42" s="68" t="s">
        <v>627</v>
      </c>
      <c r="E42" s="29" t="s">
        <v>628</v>
      </c>
      <c r="F42" s="55" t="s">
        <v>712</v>
      </c>
      <c r="G42" s="79" t="s">
        <v>713</v>
      </c>
      <c r="H42" s="146"/>
      <c r="I42" s="146"/>
      <c r="J42" s="146"/>
      <c r="K42" s="146"/>
      <c r="L42" s="146"/>
      <c r="M42" s="146"/>
      <c r="N42" s="146"/>
      <c r="O42" s="146"/>
      <c r="P42" s="146"/>
      <c r="Q42" s="146"/>
      <c r="R42" s="146"/>
      <c r="S42" s="146"/>
      <c r="T42" s="146"/>
      <c r="U42" s="146"/>
      <c r="V42" s="146"/>
      <c r="W42" s="146"/>
      <c r="X42" s="146"/>
      <c r="Y42" s="146"/>
      <c r="Z42" s="146"/>
    </row>
    <row r="43" ht="22.5" customHeight="1">
      <c r="A43" s="141">
        <v>45915.0</v>
      </c>
      <c r="B43" s="142">
        <v>8.0</v>
      </c>
      <c r="C43" s="51"/>
      <c r="D43" s="68" t="s">
        <v>714</v>
      </c>
      <c r="E43" s="29" t="s">
        <v>628</v>
      </c>
      <c r="F43" s="55" t="s">
        <v>715</v>
      </c>
      <c r="G43" s="79" t="s">
        <v>713</v>
      </c>
      <c r="H43" s="146"/>
      <c r="I43" s="146"/>
      <c r="J43" s="146"/>
      <c r="K43" s="146"/>
      <c r="L43" s="146"/>
      <c r="M43" s="146"/>
      <c r="N43" s="146"/>
      <c r="O43" s="146"/>
      <c r="P43" s="146"/>
      <c r="Q43" s="146"/>
      <c r="R43" s="146"/>
      <c r="S43" s="146"/>
      <c r="T43" s="146"/>
      <c r="U43" s="146"/>
      <c r="V43" s="146"/>
      <c r="W43" s="146"/>
      <c r="X43" s="146"/>
      <c r="Y43" s="146"/>
      <c r="Z43" s="146"/>
    </row>
    <row r="44" ht="22.5" customHeight="1">
      <c r="A44" s="141">
        <v>45916.0</v>
      </c>
      <c r="B44" s="142">
        <v>8.0</v>
      </c>
      <c r="C44" s="51"/>
      <c r="D44" s="68" t="s">
        <v>714</v>
      </c>
      <c r="E44" s="29" t="s">
        <v>628</v>
      </c>
      <c r="F44" s="55" t="s">
        <v>716</v>
      </c>
      <c r="G44" s="79" t="s">
        <v>713</v>
      </c>
      <c r="H44" s="146"/>
      <c r="I44" s="146"/>
      <c r="J44" s="146"/>
      <c r="K44" s="146"/>
      <c r="L44" s="146"/>
      <c r="M44" s="146"/>
      <c r="N44" s="146"/>
      <c r="O44" s="146"/>
      <c r="P44" s="146"/>
      <c r="Q44" s="146"/>
      <c r="R44" s="146"/>
      <c r="S44" s="146"/>
      <c r="T44" s="146"/>
      <c r="U44" s="146"/>
      <c r="V44" s="146"/>
      <c r="W44" s="146"/>
      <c r="X44" s="146"/>
      <c r="Y44" s="146"/>
      <c r="Z44" s="146"/>
    </row>
    <row r="45" ht="22.5" customHeight="1">
      <c r="A45" s="141">
        <v>45917.0</v>
      </c>
      <c r="B45" s="142">
        <v>8.0</v>
      </c>
      <c r="C45" s="51"/>
      <c r="D45" s="68" t="s">
        <v>627</v>
      </c>
      <c r="E45" s="29" t="s">
        <v>628</v>
      </c>
      <c r="F45" s="55" t="s">
        <v>717</v>
      </c>
      <c r="G45" s="79" t="s">
        <v>718</v>
      </c>
      <c r="H45" s="146"/>
      <c r="I45" s="146"/>
      <c r="J45" s="146"/>
      <c r="K45" s="146"/>
      <c r="L45" s="146"/>
      <c r="M45" s="146"/>
      <c r="N45" s="146"/>
      <c r="O45" s="146"/>
      <c r="P45" s="146"/>
      <c r="Q45" s="146"/>
      <c r="R45" s="146"/>
      <c r="S45" s="146"/>
      <c r="T45" s="146"/>
      <c r="U45" s="146"/>
      <c r="V45" s="146"/>
      <c r="W45" s="146"/>
      <c r="X45" s="146"/>
      <c r="Y45" s="146"/>
      <c r="Z45" s="146"/>
    </row>
    <row r="46" ht="22.5" customHeight="1">
      <c r="A46" s="141">
        <v>45918.0</v>
      </c>
      <c r="B46" s="142">
        <v>8.0</v>
      </c>
      <c r="C46" s="51"/>
      <c r="D46" s="68" t="s">
        <v>627</v>
      </c>
      <c r="E46" s="29" t="s">
        <v>628</v>
      </c>
      <c r="F46" s="55" t="s">
        <v>719</v>
      </c>
      <c r="G46" s="79" t="s">
        <v>718</v>
      </c>
      <c r="H46" s="146"/>
      <c r="I46" s="146"/>
      <c r="J46" s="146"/>
      <c r="K46" s="146"/>
      <c r="L46" s="146"/>
      <c r="M46" s="146"/>
      <c r="N46" s="146"/>
      <c r="O46" s="146"/>
      <c r="P46" s="146"/>
      <c r="Q46" s="146"/>
      <c r="R46" s="146"/>
      <c r="S46" s="146"/>
      <c r="T46" s="146"/>
      <c r="U46" s="146"/>
      <c r="V46" s="146"/>
      <c r="W46" s="146"/>
      <c r="X46" s="146"/>
      <c r="Y46" s="146"/>
      <c r="Z46" s="146"/>
    </row>
    <row r="47" ht="22.5" customHeight="1">
      <c r="A47" s="141">
        <v>45919.0</v>
      </c>
      <c r="B47" s="142">
        <v>8.0</v>
      </c>
      <c r="C47" s="51"/>
      <c r="D47" s="68" t="s">
        <v>627</v>
      </c>
      <c r="E47" s="29" t="s">
        <v>628</v>
      </c>
      <c r="F47" s="143" t="s">
        <v>720</v>
      </c>
      <c r="G47" s="79" t="s">
        <v>718</v>
      </c>
      <c r="H47" s="146"/>
      <c r="I47" s="146"/>
      <c r="J47" s="146"/>
      <c r="K47" s="146"/>
      <c r="L47" s="146"/>
      <c r="M47" s="146"/>
      <c r="N47" s="146"/>
      <c r="O47" s="146"/>
      <c r="P47" s="146"/>
      <c r="Q47" s="146"/>
      <c r="R47" s="146"/>
      <c r="S47" s="146"/>
      <c r="T47" s="146"/>
      <c r="U47" s="146"/>
      <c r="V47" s="146"/>
      <c r="W47" s="146"/>
      <c r="X47" s="146"/>
      <c r="Y47" s="146"/>
      <c r="Z47" s="146"/>
    </row>
    <row r="48" ht="22.5" customHeight="1">
      <c r="A48" s="141">
        <v>45922.0</v>
      </c>
      <c r="B48" s="142">
        <v>8.0</v>
      </c>
      <c r="C48" s="51"/>
      <c r="D48" s="68" t="s">
        <v>627</v>
      </c>
      <c r="E48" s="29" t="s">
        <v>628</v>
      </c>
      <c r="F48" s="55" t="s">
        <v>629</v>
      </c>
      <c r="G48" s="79" t="s">
        <v>718</v>
      </c>
      <c r="H48" s="146"/>
      <c r="I48" s="146"/>
      <c r="J48" s="146"/>
      <c r="K48" s="146"/>
      <c r="L48" s="146"/>
      <c r="M48" s="146"/>
      <c r="N48" s="146"/>
      <c r="O48" s="146"/>
      <c r="P48" s="146"/>
      <c r="Q48" s="146"/>
      <c r="R48" s="146"/>
      <c r="S48" s="146"/>
      <c r="T48" s="146"/>
      <c r="U48" s="146"/>
      <c r="V48" s="146"/>
      <c r="W48" s="146"/>
      <c r="X48" s="146"/>
      <c r="Y48" s="146"/>
      <c r="Z48" s="146"/>
    </row>
    <row r="49" ht="22.5" customHeight="1">
      <c r="A49" s="141">
        <v>45923.0</v>
      </c>
      <c r="B49" s="142">
        <v>8.0</v>
      </c>
      <c r="C49" s="51"/>
      <c r="D49" s="68" t="s">
        <v>627</v>
      </c>
      <c r="E49" s="29" t="s">
        <v>628</v>
      </c>
      <c r="F49" s="55" t="s">
        <v>630</v>
      </c>
      <c r="G49" s="79" t="s">
        <v>718</v>
      </c>
      <c r="H49" s="146"/>
      <c r="I49" s="146"/>
      <c r="J49" s="146"/>
      <c r="K49" s="146"/>
      <c r="L49" s="146"/>
      <c r="M49" s="146"/>
      <c r="N49" s="146"/>
      <c r="O49" s="146"/>
      <c r="P49" s="146"/>
      <c r="Q49" s="146"/>
      <c r="R49" s="146"/>
      <c r="S49" s="146"/>
      <c r="T49" s="146"/>
      <c r="U49" s="146"/>
      <c r="V49" s="146"/>
      <c r="W49" s="146"/>
      <c r="X49" s="146"/>
      <c r="Y49" s="146"/>
      <c r="Z49" s="146"/>
    </row>
    <row r="50" ht="22.5" customHeight="1">
      <c r="A50" s="141">
        <v>45924.0</v>
      </c>
      <c r="B50" s="142">
        <v>8.0</v>
      </c>
      <c r="C50" s="51"/>
      <c r="D50" s="68" t="s">
        <v>627</v>
      </c>
      <c r="E50" s="29" t="s">
        <v>628</v>
      </c>
      <c r="F50" s="55" t="s">
        <v>631</v>
      </c>
      <c r="G50" s="79" t="s">
        <v>718</v>
      </c>
      <c r="H50" s="146"/>
      <c r="I50" s="146"/>
      <c r="J50" s="146"/>
      <c r="K50" s="146"/>
      <c r="L50" s="146"/>
      <c r="M50" s="146"/>
      <c r="N50" s="146"/>
      <c r="O50" s="146"/>
      <c r="P50" s="146"/>
      <c r="Q50" s="146"/>
      <c r="R50" s="146"/>
      <c r="S50" s="146"/>
      <c r="T50" s="146"/>
      <c r="U50" s="146"/>
      <c r="V50" s="146"/>
      <c r="W50" s="146"/>
      <c r="X50" s="146"/>
      <c r="Y50" s="146"/>
      <c r="Z50" s="146"/>
    </row>
    <row r="51" ht="22.5" customHeight="1">
      <c r="A51" s="141">
        <v>45925.0</v>
      </c>
      <c r="B51" s="142">
        <v>8.0</v>
      </c>
      <c r="C51" s="51"/>
      <c r="D51" s="68" t="s">
        <v>627</v>
      </c>
      <c r="E51" s="29" t="s">
        <v>628</v>
      </c>
      <c r="F51" s="55" t="s">
        <v>632</v>
      </c>
      <c r="G51" s="79" t="s">
        <v>718</v>
      </c>
      <c r="H51" s="146"/>
      <c r="I51" s="146"/>
      <c r="J51" s="146"/>
      <c r="K51" s="146"/>
      <c r="L51" s="146"/>
      <c r="M51" s="146"/>
      <c r="N51" s="146"/>
      <c r="O51" s="146"/>
      <c r="P51" s="146"/>
      <c r="Q51" s="146"/>
      <c r="R51" s="146"/>
      <c r="S51" s="146"/>
      <c r="T51" s="146"/>
      <c r="U51" s="146"/>
      <c r="V51" s="146"/>
      <c r="W51" s="146"/>
      <c r="X51" s="146"/>
      <c r="Y51" s="146"/>
      <c r="Z51" s="146"/>
    </row>
    <row r="52" ht="22.5" customHeight="1">
      <c r="A52" s="141">
        <v>45926.0</v>
      </c>
      <c r="B52" s="142">
        <v>8.0</v>
      </c>
      <c r="C52" s="51"/>
      <c r="D52" s="68" t="s">
        <v>627</v>
      </c>
      <c r="E52" s="29" t="s">
        <v>628</v>
      </c>
      <c r="F52" s="55" t="s">
        <v>633</v>
      </c>
      <c r="G52" s="79" t="s">
        <v>718</v>
      </c>
      <c r="H52" s="146"/>
      <c r="I52" s="146"/>
      <c r="J52" s="146"/>
      <c r="K52" s="146"/>
      <c r="L52" s="146"/>
      <c r="M52" s="146"/>
      <c r="N52" s="146"/>
      <c r="O52" s="146"/>
      <c r="P52" s="146"/>
      <c r="Q52" s="146"/>
      <c r="R52" s="146"/>
      <c r="S52" s="146"/>
      <c r="T52" s="146"/>
      <c r="U52" s="146"/>
      <c r="V52" s="146"/>
      <c r="W52" s="146"/>
      <c r="X52" s="146"/>
      <c r="Y52" s="146"/>
      <c r="Z52" s="146"/>
    </row>
    <row r="53" ht="22.5" customHeight="1">
      <c r="A53" s="141">
        <v>45929.0</v>
      </c>
      <c r="B53" s="142">
        <v>8.0</v>
      </c>
      <c r="C53" s="51"/>
      <c r="D53" s="68" t="s">
        <v>627</v>
      </c>
      <c r="E53" s="29" t="s">
        <v>628</v>
      </c>
      <c r="F53" s="55" t="s">
        <v>634</v>
      </c>
      <c r="G53" s="79" t="s">
        <v>718</v>
      </c>
      <c r="H53" s="146"/>
      <c r="I53" s="146"/>
      <c r="J53" s="146"/>
      <c r="K53" s="146"/>
      <c r="L53" s="146"/>
      <c r="M53" s="146"/>
      <c r="N53" s="146"/>
      <c r="O53" s="146"/>
      <c r="P53" s="146"/>
      <c r="Q53" s="146"/>
      <c r="R53" s="146"/>
      <c r="S53" s="146"/>
      <c r="T53" s="146"/>
      <c r="U53" s="146"/>
      <c r="V53" s="146"/>
      <c r="W53" s="146"/>
      <c r="X53" s="146"/>
      <c r="Y53" s="146"/>
      <c r="Z53" s="146"/>
    </row>
    <row r="54" ht="22.5" customHeight="1">
      <c r="A54" s="141">
        <v>45930.0</v>
      </c>
      <c r="B54" s="142">
        <v>8.0</v>
      </c>
      <c r="C54" s="51"/>
      <c r="D54" s="68" t="s">
        <v>627</v>
      </c>
      <c r="E54" s="29" t="s">
        <v>628</v>
      </c>
      <c r="F54" s="55" t="s">
        <v>635</v>
      </c>
      <c r="G54" s="79" t="s">
        <v>718</v>
      </c>
      <c r="H54" s="146"/>
      <c r="I54" s="146"/>
      <c r="J54" s="146"/>
      <c r="K54" s="146"/>
      <c r="L54" s="146"/>
      <c r="M54" s="146"/>
      <c r="N54" s="146"/>
      <c r="O54" s="146"/>
      <c r="P54" s="146"/>
      <c r="Q54" s="146"/>
      <c r="R54" s="146"/>
      <c r="S54" s="146"/>
      <c r="T54" s="146"/>
      <c r="U54" s="146"/>
      <c r="V54" s="146"/>
      <c r="W54" s="146"/>
      <c r="X54" s="146"/>
      <c r="Y54" s="146"/>
      <c r="Z54" s="146"/>
    </row>
    <row r="55" ht="22.5" customHeight="1">
      <c r="A55" s="141">
        <v>45931.0</v>
      </c>
      <c r="B55" s="142">
        <v>8.0</v>
      </c>
      <c r="C55" s="51"/>
      <c r="D55" s="68" t="s">
        <v>627</v>
      </c>
      <c r="E55" s="29" t="s">
        <v>628</v>
      </c>
      <c r="F55" s="55" t="s">
        <v>636</v>
      </c>
      <c r="G55" s="79" t="s">
        <v>718</v>
      </c>
      <c r="H55" s="146"/>
      <c r="I55" s="146"/>
      <c r="J55" s="146"/>
      <c r="K55" s="146"/>
      <c r="L55" s="146"/>
      <c r="M55" s="146"/>
      <c r="N55" s="146"/>
      <c r="O55" s="146"/>
      <c r="P55" s="146"/>
      <c r="Q55" s="146"/>
      <c r="R55" s="146"/>
      <c r="S55" s="146"/>
      <c r="T55" s="146"/>
      <c r="U55" s="146"/>
      <c r="V55" s="146"/>
      <c r="W55" s="146"/>
      <c r="X55" s="146"/>
      <c r="Y55" s="146"/>
      <c r="Z55" s="146"/>
    </row>
    <row r="56" ht="22.5" customHeight="1">
      <c r="A56" s="141">
        <v>45932.0</v>
      </c>
      <c r="B56" s="142">
        <v>8.0</v>
      </c>
      <c r="C56" s="51"/>
      <c r="D56" s="68" t="s">
        <v>627</v>
      </c>
      <c r="E56" s="29" t="s">
        <v>628</v>
      </c>
      <c r="F56" s="55" t="s">
        <v>637</v>
      </c>
      <c r="G56" s="79" t="s">
        <v>718</v>
      </c>
      <c r="H56" s="146"/>
      <c r="I56" s="146"/>
      <c r="J56" s="146"/>
      <c r="K56" s="146"/>
      <c r="L56" s="146"/>
      <c r="M56" s="146"/>
      <c r="N56" s="146"/>
      <c r="O56" s="146"/>
      <c r="P56" s="146"/>
      <c r="Q56" s="146"/>
      <c r="R56" s="146"/>
      <c r="S56" s="146"/>
      <c r="T56" s="146"/>
      <c r="U56" s="146"/>
      <c r="V56" s="146"/>
      <c r="W56" s="146"/>
      <c r="X56" s="146"/>
      <c r="Y56" s="146"/>
      <c r="Z56" s="146"/>
    </row>
    <row r="57" ht="22.5" customHeight="1">
      <c r="A57" s="141">
        <v>45933.0</v>
      </c>
      <c r="B57" s="142">
        <v>8.0</v>
      </c>
      <c r="C57" s="51"/>
      <c r="D57" s="68" t="s">
        <v>627</v>
      </c>
      <c r="E57" s="29" t="s">
        <v>628</v>
      </c>
      <c r="F57" s="55" t="s">
        <v>638</v>
      </c>
      <c r="G57" s="79" t="s">
        <v>718</v>
      </c>
      <c r="H57" s="146"/>
      <c r="I57" s="146"/>
      <c r="J57" s="146"/>
      <c r="K57" s="146"/>
      <c r="L57" s="146"/>
      <c r="M57" s="146"/>
      <c r="N57" s="146"/>
      <c r="O57" s="146"/>
      <c r="P57" s="146"/>
      <c r="Q57" s="146"/>
      <c r="R57" s="146"/>
      <c r="S57" s="146"/>
      <c r="T57" s="146"/>
      <c r="U57" s="146"/>
      <c r="V57" s="146"/>
      <c r="W57" s="146"/>
      <c r="X57" s="146"/>
      <c r="Y57" s="146"/>
      <c r="Z57" s="146"/>
    </row>
    <row r="58" ht="22.5" customHeight="1">
      <c r="A58" s="141">
        <v>45936.0</v>
      </c>
      <c r="B58" s="142">
        <v>8.0</v>
      </c>
      <c r="C58" s="51"/>
      <c r="D58" s="68" t="s">
        <v>627</v>
      </c>
      <c r="E58" s="29" t="s">
        <v>628</v>
      </c>
      <c r="F58" s="55" t="s">
        <v>639</v>
      </c>
      <c r="G58" s="79" t="s">
        <v>718</v>
      </c>
      <c r="H58" s="146"/>
      <c r="I58" s="146"/>
      <c r="J58" s="146"/>
      <c r="K58" s="146"/>
      <c r="L58" s="146"/>
      <c r="M58" s="146"/>
      <c r="N58" s="146"/>
      <c r="O58" s="146"/>
      <c r="P58" s="146"/>
      <c r="Q58" s="146"/>
      <c r="R58" s="146"/>
      <c r="S58" s="146"/>
      <c r="T58" s="146"/>
      <c r="U58" s="146"/>
      <c r="V58" s="146"/>
      <c r="W58" s="146"/>
      <c r="X58" s="146"/>
      <c r="Y58" s="146"/>
      <c r="Z58" s="146"/>
    </row>
    <row r="59" ht="22.5" customHeight="1">
      <c r="A59" s="141">
        <v>45937.0</v>
      </c>
      <c r="B59" s="142">
        <v>8.0</v>
      </c>
      <c r="C59" s="51"/>
      <c r="D59" s="68" t="s">
        <v>627</v>
      </c>
      <c r="E59" s="29" t="s">
        <v>628</v>
      </c>
      <c r="F59" s="55" t="s">
        <v>640</v>
      </c>
      <c r="G59" s="79" t="s">
        <v>718</v>
      </c>
      <c r="H59" s="146"/>
      <c r="I59" s="146"/>
      <c r="J59" s="146"/>
      <c r="K59" s="146"/>
      <c r="L59" s="146"/>
      <c r="M59" s="146"/>
      <c r="N59" s="146"/>
      <c r="O59" s="146"/>
      <c r="P59" s="146"/>
      <c r="Q59" s="146"/>
      <c r="R59" s="146"/>
      <c r="S59" s="146"/>
      <c r="T59" s="146"/>
      <c r="U59" s="146"/>
      <c r="V59" s="146"/>
      <c r="W59" s="146"/>
      <c r="X59" s="146"/>
      <c r="Y59" s="146"/>
      <c r="Z59" s="146"/>
    </row>
    <row r="60" ht="22.5" customHeight="1">
      <c r="A60" s="141">
        <v>45938.0</v>
      </c>
      <c r="B60" s="142">
        <v>8.0</v>
      </c>
      <c r="C60" s="51"/>
      <c r="D60" s="68" t="s">
        <v>627</v>
      </c>
      <c r="E60" s="29" t="s">
        <v>628</v>
      </c>
      <c r="F60" s="55" t="s">
        <v>641</v>
      </c>
      <c r="G60" s="79" t="s">
        <v>718</v>
      </c>
      <c r="H60" s="146"/>
      <c r="I60" s="146"/>
      <c r="J60" s="146"/>
      <c r="K60" s="146"/>
      <c r="L60" s="146"/>
      <c r="M60" s="146"/>
      <c r="N60" s="146"/>
      <c r="O60" s="146"/>
      <c r="P60" s="146"/>
      <c r="Q60" s="146"/>
      <c r="R60" s="146"/>
      <c r="S60" s="146"/>
      <c r="T60" s="146"/>
      <c r="U60" s="146"/>
      <c r="V60" s="146"/>
      <c r="W60" s="146"/>
      <c r="X60" s="146"/>
      <c r="Y60" s="146"/>
      <c r="Z60" s="146"/>
    </row>
    <row r="61" ht="22.5" customHeight="1">
      <c r="A61" s="141">
        <v>45939.0</v>
      </c>
      <c r="B61" s="142">
        <v>8.0</v>
      </c>
      <c r="C61" s="51"/>
      <c r="D61" s="68" t="s">
        <v>627</v>
      </c>
      <c r="E61" s="29" t="s">
        <v>628</v>
      </c>
      <c r="F61" s="55" t="s">
        <v>642</v>
      </c>
      <c r="G61" s="79" t="s">
        <v>718</v>
      </c>
      <c r="H61" s="146"/>
      <c r="I61" s="146"/>
      <c r="J61" s="146"/>
      <c r="K61" s="146"/>
      <c r="L61" s="146"/>
      <c r="M61" s="146"/>
      <c r="N61" s="146"/>
      <c r="O61" s="146"/>
      <c r="P61" s="146"/>
      <c r="Q61" s="146"/>
      <c r="R61" s="146"/>
      <c r="S61" s="146"/>
      <c r="T61" s="146"/>
      <c r="U61" s="146"/>
      <c r="V61" s="146"/>
      <c r="W61" s="146"/>
      <c r="X61" s="146"/>
      <c r="Y61" s="146"/>
      <c r="Z61" s="146"/>
    </row>
    <row r="62" ht="22.5" customHeight="1">
      <c r="A62" s="141">
        <v>45940.0</v>
      </c>
      <c r="B62" s="142">
        <v>8.0</v>
      </c>
      <c r="C62" s="51"/>
      <c r="D62" s="68" t="s">
        <v>627</v>
      </c>
      <c r="E62" s="29" t="s">
        <v>628</v>
      </c>
      <c r="F62" s="55" t="s">
        <v>643</v>
      </c>
      <c r="G62" s="79" t="s">
        <v>718</v>
      </c>
      <c r="H62" s="146"/>
      <c r="I62" s="146"/>
      <c r="J62" s="146"/>
      <c r="K62" s="146"/>
      <c r="L62" s="146"/>
      <c r="M62" s="146"/>
      <c r="N62" s="146"/>
      <c r="O62" s="146"/>
      <c r="P62" s="146"/>
      <c r="Q62" s="146"/>
      <c r="R62" s="146"/>
      <c r="S62" s="146"/>
      <c r="T62" s="146"/>
      <c r="U62" s="146"/>
      <c r="V62" s="146"/>
      <c r="W62" s="146"/>
      <c r="X62" s="146"/>
      <c r="Y62" s="146"/>
      <c r="Z62" s="146"/>
    </row>
    <row r="63" ht="22.5" customHeight="1">
      <c r="A63" s="141">
        <v>45943.0</v>
      </c>
      <c r="B63" s="142">
        <v>8.0</v>
      </c>
      <c r="C63" s="51"/>
      <c r="D63" s="68" t="s">
        <v>627</v>
      </c>
      <c r="E63" s="29" t="s">
        <v>628</v>
      </c>
      <c r="F63" s="55" t="s">
        <v>644</v>
      </c>
      <c r="G63" s="79" t="s">
        <v>718</v>
      </c>
      <c r="H63" s="146"/>
      <c r="I63" s="146"/>
      <c r="J63" s="146"/>
      <c r="K63" s="146"/>
      <c r="L63" s="146"/>
      <c r="M63" s="146"/>
      <c r="N63" s="146"/>
      <c r="O63" s="146"/>
      <c r="P63" s="146"/>
      <c r="Q63" s="146"/>
      <c r="R63" s="146"/>
      <c r="S63" s="146"/>
      <c r="T63" s="146"/>
      <c r="U63" s="146"/>
      <c r="V63" s="146"/>
      <c r="W63" s="146"/>
      <c r="X63" s="146"/>
      <c r="Y63" s="146"/>
      <c r="Z63" s="146"/>
    </row>
    <row r="64" ht="22.5" customHeight="1">
      <c r="A64" s="141">
        <v>45944.0</v>
      </c>
      <c r="B64" s="142">
        <v>8.0</v>
      </c>
      <c r="C64" s="51"/>
      <c r="D64" s="68" t="s">
        <v>627</v>
      </c>
      <c r="E64" s="29" t="s">
        <v>628</v>
      </c>
      <c r="F64" s="55" t="s">
        <v>645</v>
      </c>
      <c r="G64" s="79" t="s">
        <v>718</v>
      </c>
      <c r="H64" s="146"/>
      <c r="I64" s="146"/>
      <c r="J64" s="146"/>
      <c r="K64" s="146"/>
      <c r="L64" s="146"/>
      <c r="M64" s="146"/>
      <c r="N64" s="146"/>
      <c r="O64" s="146"/>
      <c r="P64" s="146"/>
      <c r="Q64" s="146"/>
      <c r="R64" s="146"/>
      <c r="S64" s="146"/>
      <c r="T64" s="146"/>
      <c r="U64" s="146"/>
      <c r="V64" s="146"/>
      <c r="W64" s="146"/>
      <c r="X64" s="146"/>
      <c r="Y64" s="146"/>
      <c r="Z64" s="146"/>
    </row>
    <row r="65" ht="22.5" customHeight="1">
      <c r="A65" s="141">
        <v>45945.0</v>
      </c>
      <c r="B65" s="142">
        <v>8.0</v>
      </c>
      <c r="C65" s="51"/>
      <c r="D65" s="68" t="s">
        <v>627</v>
      </c>
      <c r="E65" s="29" t="s">
        <v>628</v>
      </c>
      <c r="F65" s="55" t="s">
        <v>646</v>
      </c>
      <c r="G65" s="79" t="s">
        <v>718</v>
      </c>
      <c r="H65" s="146"/>
      <c r="I65" s="146"/>
      <c r="J65" s="146"/>
      <c r="K65" s="146"/>
      <c r="L65" s="146"/>
      <c r="M65" s="146"/>
      <c r="N65" s="146"/>
      <c r="O65" s="146"/>
      <c r="P65" s="146"/>
      <c r="Q65" s="146"/>
      <c r="R65" s="146"/>
      <c r="S65" s="146"/>
      <c r="T65" s="146"/>
      <c r="U65" s="146"/>
      <c r="V65" s="146"/>
      <c r="W65" s="146"/>
      <c r="X65" s="146"/>
      <c r="Y65" s="146"/>
      <c r="Z65" s="146"/>
    </row>
    <row r="66" ht="22.5" customHeight="1">
      <c r="A66" s="141">
        <v>45946.0</v>
      </c>
      <c r="B66" s="142">
        <v>8.0</v>
      </c>
      <c r="C66" s="51"/>
      <c r="D66" s="68" t="s">
        <v>627</v>
      </c>
      <c r="E66" s="29" t="s">
        <v>628</v>
      </c>
      <c r="F66" s="55" t="s">
        <v>647</v>
      </c>
      <c r="G66" s="79" t="s">
        <v>718</v>
      </c>
      <c r="H66" s="146"/>
      <c r="I66" s="146"/>
      <c r="J66" s="146"/>
      <c r="K66" s="146"/>
      <c r="L66" s="146"/>
      <c r="M66" s="146"/>
      <c r="N66" s="146"/>
      <c r="O66" s="146"/>
      <c r="P66" s="146"/>
      <c r="Q66" s="146"/>
      <c r="R66" s="146"/>
      <c r="S66" s="146"/>
      <c r="T66" s="146"/>
      <c r="U66" s="146"/>
      <c r="V66" s="146"/>
      <c r="W66" s="146"/>
      <c r="X66" s="146"/>
      <c r="Y66" s="146"/>
      <c r="Z66" s="146"/>
    </row>
    <row r="67" ht="22.5" customHeight="1">
      <c r="A67" s="141">
        <v>45947.0</v>
      </c>
      <c r="B67" s="142">
        <v>8.0</v>
      </c>
      <c r="C67" s="51"/>
      <c r="D67" s="68" t="s">
        <v>627</v>
      </c>
      <c r="E67" s="29" t="s">
        <v>628</v>
      </c>
      <c r="F67" s="55" t="s">
        <v>648</v>
      </c>
      <c r="G67" s="79" t="s">
        <v>718</v>
      </c>
      <c r="H67" s="146"/>
      <c r="I67" s="146"/>
      <c r="J67" s="146"/>
      <c r="K67" s="146"/>
      <c r="L67" s="146"/>
      <c r="M67" s="146"/>
      <c r="N67" s="146"/>
      <c r="O67" s="146"/>
      <c r="P67" s="146"/>
      <c r="Q67" s="146"/>
      <c r="R67" s="146"/>
      <c r="S67" s="146"/>
      <c r="T67" s="146"/>
      <c r="U67" s="146"/>
      <c r="V67" s="146"/>
      <c r="W67" s="146"/>
      <c r="X67" s="146"/>
      <c r="Y67" s="146"/>
      <c r="Z67" s="146"/>
    </row>
    <row r="68" ht="22.5" customHeight="1">
      <c r="A68" s="141">
        <v>45950.0</v>
      </c>
      <c r="B68" s="142">
        <v>8.0</v>
      </c>
      <c r="C68" s="51"/>
      <c r="D68" s="68" t="s">
        <v>627</v>
      </c>
      <c r="E68" s="29" t="s">
        <v>628</v>
      </c>
      <c r="F68" s="55" t="s">
        <v>649</v>
      </c>
      <c r="G68" s="79" t="s">
        <v>718</v>
      </c>
      <c r="H68" s="146"/>
      <c r="I68" s="146"/>
      <c r="J68" s="146"/>
      <c r="K68" s="146"/>
      <c r="L68" s="146"/>
      <c r="M68" s="146"/>
      <c r="N68" s="146"/>
      <c r="O68" s="146"/>
      <c r="P68" s="146"/>
      <c r="Q68" s="146"/>
      <c r="R68" s="146"/>
      <c r="S68" s="146"/>
      <c r="T68" s="146"/>
      <c r="U68" s="146"/>
      <c r="V68" s="146"/>
      <c r="W68" s="146"/>
      <c r="X68" s="146"/>
      <c r="Y68" s="146"/>
      <c r="Z68" s="146"/>
    </row>
    <row r="69" ht="22.5" customHeight="1">
      <c r="A69" s="141">
        <v>45951.0</v>
      </c>
      <c r="B69" s="142">
        <v>8.0</v>
      </c>
      <c r="C69" s="51"/>
      <c r="D69" s="68" t="s">
        <v>627</v>
      </c>
      <c r="E69" s="29" t="s">
        <v>628</v>
      </c>
      <c r="F69" s="55" t="s">
        <v>650</v>
      </c>
      <c r="G69" s="79" t="s">
        <v>718</v>
      </c>
      <c r="H69" s="146"/>
      <c r="I69" s="146"/>
      <c r="J69" s="146"/>
      <c r="K69" s="146"/>
      <c r="L69" s="146"/>
      <c r="M69" s="146"/>
      <c r="N69" s="146"/>
      <c r="O69" s="146"/>
      <c r="P69" s="146"/>
      <c r="Q69" s="146"/>
      <c r="R69" s="146"/>
      <c r="S69" s="146"/>
      <c r="T69" s="146"/>
      <c r="U69" s="146"/>
      <c r="V69" s="146"/>
      <c r="W69" s="146"/>
      <c r="X69" s="146"/>
      <c r="Y69" s="146"/>
      <c r="Z69" s="146"/>
    </row>
    <row r="70" ht="22.5" customHeight="1">
      <c r="A70" s="141">
        <v>45952.0</v>
      </c>
      <c r="B70" s="142">
        <v>8.0</v>
      </c>
      <c r="C70" s="51"/>
      <c r="D70" s="68" t="s">
        <v>627</v>
      </c>
      <c r="E70" s="29" t="s">
        <v>628</v>
      </c>
      <c r="F70" s="55" t="s">
        <v>651</v>
      </c>
      <c r="G70" s="79" t="s">
        <v>718</v>
      </c>
      <c r="H70" s="146"/>
      <c r="I70" s="146"/>
      <c r="J70" s="146"/>
      <c r="K70" s="146"/>
      <c r="L70" s="146"/>
      <c r="M70" s="146"/>
      <c r="N70" s="146"/>
      <c r="O70" s="146"/>
      <c r="P70" s="146"/>
      <c r="Q70" s="146"/>
      <c r="R70" s="146"/>
      <c r="S70" s="146"/>
      <c r="T70" s="146"/>
      <c r="U70" s="146"/>
      <c r="V70" s="146"/>
      <c r="W70" s="146"/>
      <c r="X70" s="146"/>
      <c r="Y70" s="146"/>
      <c r="Z70" s="146"/>
    </row>
    <row r="71" ht="22.5" customHeight="1">
      <c r="A71" s="141">
        <v>45953.0</v>
      </c>
      <c r="B71" s="142">
        <v>8.0</v>
      </c>
      <c r="C71" s="51"/>
      <c r="D71" s="68" t="s">
        <v>627</v>
      </c>
      <c r="E71" s="29" t="s">
        <v>628</v>
      </c>
      <c r="F71" s="55" t="s">
        <v>652</v>
      </c>
      <c r="G71" s="79" t="s">
        <v>718</v>
      </c>
      <c r="H71" s="146"/>
      <c r="I71" s="146"/>
      <c r="J71" s="146"/>
      <c r="K71" s="146"/>
      <c r="L71" s="146"/>
      <c r="M71" s="146"/>
      <c r="N71" s="146"/>
      <c r="O71" s="146"/>
      <c r="P71" s="146"/>
      <c r="Q71" s="146"/>
      <c r="R71" s="146"/>
      <c r="S71" s="146"/>
      <c r="T71" s="146"/>
      <c r="U71" s="146"/>
      <c r="V71" s="146"/>
      <c r="W71" s="146"/>
      <c r="X71" s="146"/>
      <c r="Y71" s="146"/>
      <c r="Z71" s="146"/>
    </row>
    <row r="72" ht="22.5" customHeight="1">
      <c r="A72" s="141">
        <v>45954.0</v>
      </c>
      <c r="B72" s="142">
        <v>8.0</v>
      </c>
      <c r="C72" s="51"/>
      <c r="D72" s="68" t="s">
        <v>627</v>
      </c>
      <c r="E72" s="29" t="s">
        <v>628</v>
      </c>
      <c r="F72" s="55" t="s">
        <v>653</v>
      </c>
      <c r="G72" s="79" t="s">
        <v>718</v>
      </c>
      <c r="H72" s="146"/>
      <c r="I72" s="146"/>
      <c r="J72" s="146"/>
      <c r="K72" s="146"/>
      <c r="L72" s="146"/>
      <c r="M72" s="146"/>
      <c r="N72" s="146"/>
      <c r="O72" s="146"/>
      <c r="P72" s="146"/>
      <c r="Q72" s="146"/>
      <c r="R72" s="146"/>
      <c r="S72" s="146"/>
      <c r="T72" s="146"/>
      <c r="U72" s="146"/>
      <c r="V72" s="146"/>
      <c r="W72" s="146"/>
      <c r="X72" s="146"/>
      <c r="Y72" s="146"/>
      <c r="Z72" s="146"/>
    </row>
    <row r="73" ht="22.5" customHeight="1">
      <c r="A73" s="141"/>
      <c r="B73" s="142"/>
      <c r="C73" s="51"/>
      <c r="D73" s="68"/>
      <c r="E73" s="29"/>
      <c r="F73" s="55"/>
      <c r="G73" s="53"/>
      <c r="H73" s="146"/>
      <c r="I73" s="146"/>
      <c r="J73" s="146"/>
      <c r="K73" s="146"/>
      <c r="L73" s="146"/>
      <c r="M73" s="146"/>
      <c r="N73" s="146"/>
      <c r="O73" s="146"/>
      <c r="P73" s="146"/>
      <c r="Q73" s="146"/>
      <c r="R73" s="146"/>
      <c r="S73" s="146"/>
      <c r="T73" s="146"/>
      <c r="U73" s="146"/>
      <c r="V73" s="146"/>
      <c r="W73" s="146"/>
      <c r="X73" s="146"/>
      <c r="Y73" s="146"/>
      <c r="Z73" s="146"/>
    </row>
    <row r="74" ht="22.5" customHeight="1">
      <c r="A74" s="141"/>
      <c r="B74" s="142"/>
      <c r="C74" s="51"/>
      <c r="D74" s="68"/>
      <c r="E74" s="29"/>
      <c r="F74" s="55"/>
      <c r="G74" s="53"/>
      <c r="H74" s="146"/>
      <c r="I74" s="146"/>
      <c r="J74" s="146"/>
      <c r="K74" s="146"/>
      <c r="L74" s="146"/>
      <c r="M74" s="146"/>
      <c r="N74" s="146"/>
      <c r="O74" s="146"/>
      <c r="P74" s="146"/>
      <c r="Q74" s="146"/>
      <c r="R74" s="146"/>
      <c r="S74" s="146"/>
      <c r="T74" s="146"/>
      <c r="U74" s="146"/>
      <c r="V74" s="146"/>
      <c r="W74" s="146"/>
      <c r="X74" s="146"/>
      <c r="Y74" s="146"/>
      <c r="Z74" s="146"/>
    </row>
    <row r="75" ht="22.5" customHeight="1">
      <c r="A75" s="141"/>
      <c r="B75" s="142"/>
      <c r="C75" s="51"/>
      <c r="D75" s="68"/>
      <c r="E75" s="29"/>
      <c r="F75" s="55"/>
      <c r="G75" s="53"/>
      <c r="H75" s="146"/>
      <c r="I75" s="146"/>
      <c r="J75" s="146"/>
      <c r="K75" s="146"/>
      <c r="L75" s="146"/>
      <c r="M75" s="146"/>
      <c r="N75" s="146"/>
      <c r="O75" s="146"/>
      <c r="P75" s="146"/>
      <c r="Q75" s="146"/>
      <c r="R75" s="146"/>
      <c r="S75" s="146"/>
      <c r="T75" s="146"/>
      <c r="U75" s="146"/>
      <c r="V75" s="146"/>
      <c r="W75" s="146"/>
      <c r="X75" s="146"/>
      <c r="Y75" s="146"/>
      <c r="Z75" s="146"/>
    </row>
    <row r="76" ht="22.5" customHeight="1">
      <c r="A76" s="141"/>
      <c r="B76" s="142"/>
      <c r="C76" s="51"/>
      <c r="D76" s="68"/>
      <c r="E76" s="29"/>
      <c r="F76" s="55"/>
      <c r="G76" s="53"/>
      <c r="H76" s="146"/>
      <c r="I76" s="146"/>
      <c r="J76" s="146"/>
      <c r="K76" s="146"/>
      <c r="L76" s="146"/>
      <c r="M76" s="146"/>
      <c r="N76" s="146"/>
      <c r="O76" s="146"/>
      <c r="P76" s="146"/>
      <c r="Q76" s="146"/>
      <c r="R76" s="146"/>
      <c r="S76" s="146"/>
      <c r="T76" s="146"/>
      <c r="U76" s="146"/>
      <c r="V76" s="146"/>
      <c r="W76" s="146"/>
      <c r="X76" s="146"/>
      <c r="Y76" s="146"/>
      <c r="Z76" s="146"/>
    </row>
    <row r="77" ht="22.5" customHeight="1">
      <c r="A77" s="141"/>
      <c r="B77" s="142"/>
      <c r="C77" s="51"/>
      <c r="D77" s="68"/>
      <c r="E77" s="29"/>
      <c r="F77" s="55"/>
      <c r="G77" s="53"/>
      <c r="H77" s="146"/>
      <c r="I77" s="146"/>
      <c r="J77" s="146"/>
      <c r="K77" s="146"/>
      <c r="L77" s="146"/>
      <c r="M77" s="146"/>
      <c r="N77" s="146"/>
      <c r="O77" s="146"/>
      <c r="P77" s="146"/>
      <c r="Q77" s="146"/>
      <c r="R77" s="146"/>
      <c r="S77" s="146"/>
      <c r="T77" s="146"/>
      <c r="U77" s="146"/>
      <c r="V77" s="146"/>
      <c r="W77" s="146"/>
      <c r="X77" s="146"/>
      <c r="Y77" s="146"/>
      <c r="Z77" s="146"/>
    </row>
    <row r="78" ht="22.5" customHeight="1">
      <c r="A78" s="141"/>
      <c r="B78" s="142"/>
      <c r="C78" s="51"/>
      <c r="D78" s="68"/>
      <c r="E78" s="29"/>
      <c r="F78" s="55"/>
      <c r="G78" s="53"/>
      <c r="H78" s="146"/>
      <c r="I78" s="146"/>
      <c r="J78" s="146"/>
      <c r="K78" s="146"/>
      <c r="L78" s="146"/>
      <c r="M78" s="146"/>
      <c r="N78" s="146"/>
      <c r="O78" s="146"/>
      <c r="P78" s="146"/>
      <c r="Q78" s="146"/>
      <c r="R78" s="146"/>
      <c r="S78" s="146"/>
      <c r="T78" s="146"/>
      <c r="U78" s="146"/>
      <c r="V78" s="146"/>
      <c r="W78" s="146"/>
      <c r="X78" s="146"/>
      <c r="Y78" s="146"/>
      <c r="Z78" s="146"/>
    </row>
    <row r="79" ht="22.5" customHeight="1">
      <c r="A79" s="141"/>
      <c r="B79" s="142"/>
      <c r="C79" s="51"/>
      <c r="D79" s="68"/>
      <c r="E79" s="29"/>
      <c r="F79" s="55"/>
      <c r="G79" s="53"/>
      <c r="H79" s="146"/>
      <c r="I79" s="146"/>
      <c r="J79" s="146"/>
      <c r="K79" s="146"/>
      <c r="L79" s="146"/>
      <c r="M79" s="146"/>
      <c r="N79" s="146"/>
      <c r="O79" s="146"/>
      <c r="P79" s="146"/>
      <c r="Q79" s="146"/>
      <c r="R79" s="146"/>
      <c r="S79" s="146"/>
      <c r="T79" s="146"/>
      <c r="U79" s="146"/>
      <c r="V79" s="146"/>
      <c r="W79" s="146"/>
      <c r="X79" s="146"/>
      <c r="Y79" s="146"/>
      <c r="Z79" s="146"/>
    </row>
    <row r="80" ht="22.5" customHeight="1">
      <c r="A80" s="141"/>
      <c r="B80" s="142"/>
      <c r="C80" s="51"/>
      <c r="D80" s="68"/>
      <c r="E80" s="29"/>
      <c r="F80" s="55"/>
      <c r="G80" s="53"/>
      <c r="H80" s="146"/>
      <c r="I80" s="146"/>
      <c r="J80" s="146"/>
      <c r="K80" s="146"/>
      <c r="L80" s="146"/>
      <c r="M80" s="146"/>
      <c r="N80" s="146"/>
      <c r="O80" s="146"/>
      <c r="P80" s="146"/>
      <c r="Q80" s="146"/>
      <c r="R80" s="146"/>
      <c r="S80" s="146"/>
      <c r="T80" s="146"/>
      <c r="U80" s="146"/>
      <c r="V80" s="146"/>
      <c r="W80" s="146"/>
      <c r="X80" s="146"/>
      <c r="Y80" s="146"/>
      <c r="Z80" s="146"/>
    </row>
    <row r="81" ht="22.5" customHeight="1">
      <c r="A81" s="141"/>
      <c r="B81" s="142"/>
      <c r="C81" s="51"/>
      <c r="D81" s="68"/>
      <c r="E81" s="29"/>
      <c r="F81" s="55"/>
      <c r="G81" s="53"/>
      <c r="H81" s="146"/>
      <c r="I81" s="146"/>
      <c r="J81" s="146"/>
      <c r="K81" s="146"/>
      <c r="L81" s="146"/>
      <c r="M81" s="146"/>
      <c r="N81" s="146"/>
      <c r="O81" s="146"/>
      <c r="P81" s="146"/>
      <c r="Q81" s="146"/>
      <c r="R81" s="146"/>
      <c r="S81" s="146"/>
      <c r="T81" s="146"/>
      <c r="U81" s="146"/>
      <c r="V81" s="146"/>
      <c r="W81" s="146"/>
      <c r="X81" s="146"/>
      <c r="Y81" s="146"/>
      <c r="Z81" s="146"/>
    </row>
    <row r="82" ht="22.5" customHeight="1">
      <c r="A82" s="141"/>
      <c r="B82" s="142"/>
      <c r="C82" s="51"/>
      <c r="D82" s="68"/>
      <c r="E82" s="29"/>
      <c r="F82" s="55"/>
      <c r="G82" s="53"/>
      <c r="H82" s="146"/>
      <c r="I82" s="146"/>
      <c r="J82" s="146"/>
      <c r="K82" s="146"/>
      <c r="L82" s="146"/>
      <c r="M82" s="146"/>
      <c r="N82" s="146"/>
      <c r="O82" s="146"/>
      <c r="P82" s="146"/>
      <c r="Q82" s="146"/>
      <c r="R82" s="146"/>
      <c r="S82" s="146"/>
      <c r="T82" s="146"/>
      <c r="U82" s="146"/>
      <c r="V82" s="146"/>
      <c r="W82" s="146"/>
      <c r="X82" s="146"/>
      <c r="Y82" s="146"/>
      <c r="Z82" s="146"/>
    </row>
    <row r="83" ht="22.5" customHeight="1">
      <c r="A83" s="141"/>
      <c r="B83" s="142"/>
      <c r="C83" s="51"/>
      <c r="D83" s="68"/>
      <c r="E83" s="29"/>
      <c r="F83" s="55"/>
      <c r="G83" s="53"/>
      <c r="H83" s="146"/>
      <c r="I83" s="146"/>
      <c r="J83" s="146"/>
      <c r="K83" s="146"/>
      <c r="L83" s="146"/>
      <c r="M83" s="146"/>
      <c r="N83" s="146"/>
      <c r="O83" s="146"/>
      <c r="P83" s="146"/>
      <c r="Q83" s="146"/>
      <c r="R83" s="146"/>
      <c r="S83" s="146"/>
      <c r="T83" s="146"/>
      <c r="U83" s="146"/>
      <c r="V83" s="146"/>
      <c r="W83" s="146"/>
      <c r="X83" s="146"/>
      <c r="Y83" s="146"/>
      <c r="Z83" s="146"/>
    </row>
    <row r="84" ht="22.5" customHeight="1">
      <c r="A84" s="141"/>
      <c r="B84" s="142"/>
      <c r="C84" s="51"/>
      <c r="D84" s="68"/>
      <c r="E84" s="29"/>
      <c r="F84" s="55"/>
      <c r="G84" s="53"/>
      <c r="H84" s="146"/>
      <c r="I84" s="146"/>
      <c r="J84" s="146"/>
      <c r="K84" s="146"/>
      <c r="L84" s="146"/>
      <c r="M84" s="146"/>
      <c r="N84" s="146"/>
      <c r="O84" s="146"/>
      <c r="P84" s="146"/>
      <c r="Q84" s="146"/>
      <c r="R84" s="146"/>
      <c r="S84" s="146"/>
      <c r="T84" s="146"/>
      <c r="U84" s="146"/>
      <c r="V84" s="146"/>
      <c r="W84" s="146"/>
      <c r="X84" s="146"/>
      <c r="Y84" s="146"/>
      <c r="Z84" s="146"/>
    </row>
    <row r="85" ht="22.5" customHeight="1">
      <c r="A85" s="141"/>
      <c r="B85" s="142"/>
      <c r="C85" s="51"/>
      <c r="D85" s="68"/>
      <c r="E85" s="29"/>
      <c r="F85" s="55"/>
      <c r="G85" s="53"/>
      <c r="H85" s="146"/>
      <c r="I85" s="146"/>
      <c r="J85" s="146"/>
      <c r="K85" s="146"/>
      <c r="L85" s="146"/>
      <c r="M85" s="146"/>
      <c r="N85" s="146"/>
      <c r="O85" s="146"/>
      <c r="P85" s="146"/>
      <c r="Q85" s="146"/>
      <c r="R85" s="146"/>
      <c r="S85" s="146"/>
      <c r="T85" s="146"/>
      <c r="U85" s="146"/>
      <c r="V85" s="146"/>
      <c r="W85" s="146"/>
      <c r="X85" s="146"/>
      <c r="Y85" s="146"/>
      <c r="Z85" s="146"/>
    </row>
    <row r="86" ht="22.5" customHeight="1">
      <c r="A86" s="141"/>
      <c r="B86" s="142"/>
      <c r="C86" s="51"/>
      <c r="D86" s="68"/>
      <c r="E86" s="29"/>
      <c r="F86" s="55"/>
      <c r="G86" s="53"/>
      <c r="H86" s="146"/>
      <c r="I86" s="146"/>
      <c r="J86" s="146"/>
      <c r="K86" s="146"/>
      <c r="L86" s="146"/>
      <c r="M86" s="146"/>
      <c r="N86" s="146"/>
      <c r="O86" s="146"/>
      <c r="P86" s="146"/>
      <c r="Q86" s="146"/>
      <c r="R86" s="146"/>
      <c r="S86" s="146"/>
      <c r="T86" s="146"/>
      <c r="U86" s="146"/>
      <c r="V86" s="146"/>
      <c r="W86" s="146"/>
      <c r="X86" s="146"/>
      <c r="Y86" s="146"/>
      <c r="Z86" s="146"/>
    </row>
    <row r="87" ht="22.5" customHeight="1">
      <c r="A87" s="141"/>
      <c r="B87" s="142"/>
      <c r="C87" s="51"/>
      <c r="D87" s="68"/>
      <c r="E87" s="29"/>
      <c r="F87" s="55"/>
      <c r="G87" s="53"/>
      <c r="H87" s="146"/>
      <c r="I87" s="146"/>
      <c r="J87" s="146"/>
      <c r="K87" s="146"/>
      <c r="L87" s="146"/>
      <c r="M87" s="146"/>
      <c r="N87" s="146"/>
      <c r="O87" s="146"/>
      <c r="P87" s="146"/>
      <c r="Q87" s="146"/>
      <c r="R87" s="146"/>
      <c r="S87" s="146"/>
      <c r="T87" s="146"/>
      <c r="U87" s="146"/>
      <c r="V87" s="146"/>
      <c r="W87" s="146"/>
      <c r="X87" s="146"/>
      <c r="Y87" s="146"/>
      <c r="Z87" s="146"/>
    </row>
    <row r="88" ht="22.5" customHeight="1">
      <c r="A88" s="141"/>
      <c r="B88" s="142"/>
      <c r="C88" s="51"/>
      <c r="D88" s="68"/>
      <c r="E88" s="29"/>
      <c r="F88" s="55"/>
      <c r="G88" s="53"/>
      <c r="H88" s="146"/>
      <c r="I88" s="146"/>
      <c r="J88" s="146"/>
      <c r="K88" s="146"/>
      <c r="L88" s="146"/>
      <c r="M88" s="146"/>
      <c r="N88" s="146"/>
      <c r="O88" s="146"/>
      <c r="P88" s="146"/>
      <c r="Q88" s="146"/>
      <c r="R88" s="146"/>
      <c r="S88" s="146"/>
      <c r="T88" s="146"/>
      <c r="U88" s="146"/>
      <c r="V88" s="146"/>
      <c r="W88" s="146"/>
      <c r="X88" s="146"/>
      <c r="Y88" s="146"/>
      <c r="Z88" s="146"/>
    </row>
    <row r="89" ht="22.5" customHeight="1">
      <c r="A89" s="141"/>
      <c r="B89" s="142"/>
      <c r="C89" s="51"/>
      <c r="D89" s="68"/>
      <c r="E89" s="29"/>
      <c r="F89" s="55"/>
      <c r="G89" s="53"/>
      <c r="H89" s="146"/>
      <c r="I89" s="146"/>
      <c r="J89" s="146"/>
      <c r="K89" s="146"/>
      <c r="L89" s="146"/>
      <c r="M89" s="146"/>
      <c r="N89" s="146"/>
      <c r="O89" s="146"/>
      <c r="P89" s="146"/>
      <c r="Q89" s="146"/>
      <c r="R89" s="146"/>
      <c r="S89" s="146"/>
      <c r="T89" s="146"/>
      <c r="U89" s="146"/>
      <c r="V89" s="146"/>
      <c r="W89" s="146"/>
      <c r="X89" s="146"/>
      <c r="Y89" s="146"/>
      <c r="Z89" s="146"/>
    </row>
    <row r="90" ht="22.5" customHeight="1">
      <c r="A90" s="141"/>
      <c r="B90" s="142"/>
      <c r="C90" s="51"/>
      <c r="D90" s="68"/>
      <c r="E90" s="29"/>
      <c r="F90" s="55"/>
      <c r="G90" s="53"/>
      <c r="H90" s="146"/>
      <c r="I90" s="146"/>
      <c r="J90" s="146"/>
      <c r="K90" s="146"/>
      <c r="L90" s="146"/>
      <c r="M90" s="146"/>
      <c r="N90" s="146"/>
      <c r="O90" s="146"/>
      <c r="P90" s="146"/>
      <c r="Q90" s="146"/>
      <c r="R90" s="146"/>
      <c r="S90" s="146"/>
      <c r="T90" s="146"/>
      <c r="U90" s="146"/>
      <c r="V90" s="146"/>
      <c r="W90" s="146"/>
      <c r="X90" s="146"/>
      <c r="Y90" s="146"/>
      <c r="Z90" s="146"/>
    </row>
    <row r="91" ht="22.5" customHeight="1">
      <c r="A91" s="141"/>
      <c r="B91" s="142"/>
      <c r="C91" s="51"/>
      <c r="D91" s="68"/>
      <c r="E91" s="29"/>
      <c r="F91" s="55"/>
      <c r="G91" s="53"/>
      <c r="H91" s="146"/>
      <c r="I91" s="146"/>
      <c r="J91" s="146"/>
      <c r="K91" s="146"/>
      <c r="L91" s="146"/>
      <c r="M91" s="146"/>
      <c r="N91" s="146"/>
      <c r="O91" s="146"/>
      <c r="P91" s="146"/>
      <c r="Q91" s="146"/>
      <c r="R91" s="146"/>
      <c r="S91" s="146"/>
      <c r="T91" s="146"/>
      <c r="U91" s="146"/>
      <c r="V91" s="146"/>
      <c r="W91" s="146"/>
      <c r="X91" s="146"/>
      <c r="Y91" s="146"/>
      <c r="Z91" s="146"/>
    </row>
    <row r="92" ht="22.5" customHeight="1">
      <c r="A92" s="141"/>
      <c r="B92" s="142"/>
      <c r="C92" s="51"/>
      <c r="D92" s="68"/>
      <c r="E92" s="29"/>
      <c r="F92" s="55"/>
      <c r="G92" s="53"/>
      <c r="H92" s="146"/>
      <c r="I92" s="146"/>
      <c r="J92" s="146"/>
      <c r="K92" s="146"/>
      <c r="L92" s="146"/>
      <c r="M92" s="146"/>
      <c r="N92" s="146"/>
      <c r="O92" s="146"/>
      <c r="P92" s="146"/>
      <c r="Q92" s="146"/>
      <c r="R92" s="146"/>
      <c r="S92" s="146"/>
      <c r="T92" s="146"/>
      <c r="U92" s="146"/>
      <c r="V92" s="146"/>
      <c r="W92" s="146"/>
      <c r="X92" s="146"/>
      <c r="Y92" s="146"/>
      <c r="Z92" s="146"/>
    </row>
    <row r="93" ht="22.5" customHeight="1">
      <c r="A93" s="141"/>
      <c r="B93" s="142"/>
      <c r="C93" s="51"/>
      <c r="D93" s="68"/>
      <c r="E93" s="29"/>
      <c r="F93" s="55"/>
      <c r="G93" s="53"/>
      <c r="H93" s="146"/>
      <c r="I93" s="146"/>
      <c r="J93" s="146"/>
      <c r="K93" s="146"/>
      <c r="L93" s="146"/>
      <c r="M93" s="146"/>
      <c r="N93" s="146"/>
      <c r="O93" s="146"/>
      <c r="P93" s="146"/>
      <c r="Q93" s="146"/>
      <c r="R93" s="146"/>
      <c r="S93" s="146"/>
      <c r="T93" s="146"/>
      <c r="U93" s="146"/>
      <c r="V93" s="146"/>
      <c r="W93" s="146"/>
      <c r="X93" s="146"/>
      <c r="Y93" s="146"/>
      <c r="Z93" s="146"/>
    </row>
    <row r="94" ht="22.5" customHeight="1">
      <c r="A94" s="141"/>
      <c r="B94" s="142"/>
      <c r="C94" s="51"/>
      <c r="D94" s="68"/>
      <c r="E94" s="29"/>
      <c r="F94" s="55"/>
      <c r="G94" s="53"/>
      <c r="H94" s="146"/>
      <c r="I94" s="146"/>
      <c r="J94" s="146"/>
      <c r="K94" s="146"/>
      <c r="L94" s="146"/>
      <c r="M94" s="146"/>
      <c r="N94" s="146"/>
      <c r="O94" s="146"/>
      <c r="P94" s="146"/>
      <c r="Q94" s="146"/>
      <c r="R94" s="146"/>
      <c r="S94" s="146"/>
      <c r="T94" s="146"/>
      <c r="U94" s="146"/>
      <c r="V94" s="146"/>
      <c r="W94" s="146"/>
      <c r="X94" s="146"/>
      <c r="Y94" s="146"/>
      <c r="Z94" s="146"/>
    </row>
    <row r="95" ht="22.5" customHeight="1">
      <c r="A95" s="141"/>
      <c r="B95" s="142"/>
      <c r="C95" s="51"/>
      <c r="D95" s="68"/>
      <c r="E95" s="29"/>
      <c r="F95" s="55"/>
      <c r="G95" s="53"/>
      <c r="H95" s="146"/>
      <c r="I95" s="146"/>
      <c r="J95" s="146"/>
      <c r="K95" s="146"/>
      <c r="L95" s="146"/>
      <c r="M95" s="146"/>
      <c r="N95" s="146"/>
      <c r="O95" s="146"/>
      <c r="P95" s="146"/>
      <c r="Q95" s="146"/>
      <c r="R95" s="146"/>
      <c r="S95" s="146"/>
      <c r="T95" s="146"/>
      <c r="U95" s="146"/>
      <c r="V95" s="146"/>
      <c r="W95" s="146"/>
      <c r="X95" s="146"/>
      <c r="Y95" s="146"/>
      <c r="Z95" s="146"/>
    </row>
    <row r="96" ht="22.5" customHeight="1">
      <c r="A96" s="141"/>
      <c r="B96" s="142"/>
      <c r="C96" s="51"/>
      <c r="D96" s="68"/>
      <c r="E96" s="29"/>
      <c r="F96" s="55"/>
      <c r="G96" s="53"/>
      <c r="H96" s="146"/>
      <c r="I96" s="146"/>
      <c r="J96" s="146"/>
      <c r="K96" s="146"/>
      <c r="L96" s="146"/>
      <c r="M96" s="146"/>
      <c r="N96" s="146"/>
      <c r="O96" s="146"/>
      <c r="P96" s="146"/>
      <c r="Q96" s="146"/>
      <c r="R96" s="146"/>
      <c r="S96" s="146"/>
      <c r="T96" s="146"/>
      <c r="U96" s="146"/>
      <c r="V96" s="146"/>
      <c r="W96" s="146"/>
      <c r="X96" s="146"/>
      <c r="Y96" s="146"/>
      <c r="Z96" s="146"/>
    </row>
    <row r="97" ht="22.5" customHeight="1">
      <c r="A97" s="141"/>
      <c r="B97" s="142"/>
      <c r="C97" s="51"/>
      <c r="D97" s="68"/>
      <c r="E97" s="29"/>
      <c r="F97" s="55"/>
      <c r="G97" s="53"/>
      <c r="H97" s="146"/>
      <c r="I97" s="146"/>
      <c r="J97" s="146"/>
      <c r="K97" s="146"/>
      <c r="L97" s="146"/>
      <c r="M97" s="146"/>
      <c r="N97" s="146"/>
      <c r="O97" s="146"/>
      <c r="P97" s="146"/>
      <c r="Q97" s="146"/>
      <c r="R97" s="146"/>
      <c r="S97" s="146"/>
      <c r="T97" s="146"/>
      <c r="U97" s="146"/>
      <c r="V97" s="146"/>
      <c r="W97" s="146"/>
      <c r="X97" s="146"/>
      <c r="Y97" s="146"/>
      <c r="Z97" s="146"/>
    </row>
    <row r="98" ht="22.5" customHeight="1">
      <c r="A98" s="141"/>
      <c r="B98" s="142"/>
      <c r="C98" s="51"/>
      <c r="D98" s="68"/>
      <c r="E98" s="29"/>
      <c r="F98" s="55"/>
      <c r="G98" s="53"/>
      <c r="H98" s="146"/>
      <c r="I98" s="146"/>
      <c r="J98" s="146"/>
      <c r="K98" s="146"/>
      <c r="L98" s="146"/>
      <c r="M98" s="146"/>
      <c r="N98" s="146"/>
      <c r="O98" s="146"/>
      <c r="P98" s="146"/>
      <c r="Q98" s="146"/>
      <c r="R98" s="146"/>
      <c r="S98" s="146"/>
      <c r="T98" s="146"/>
      <c r="U98" s="146"/>
      <c r="V98" s="146"/>
      <c r="W98" s="146"/>
      <c r="X98" s="146"/>
      <c r="Y98" s="146"/>
      <c r="Z98" s="146"/>
    </row>
    <row r="99" ht="22.5" customHeight="1">
      <c r="A99" s="141"/>
      <c r="B99" s="142"/>
      <c r="C99" s="51"/>
      <c r="D99" s="68"/>
      <c r="E99" s="29"/>
      <c r="F99" s="55"/>
      <c r="G99" s="53"/>
      <c r="H99" s="146"/>
      <c r="I99" s="146"/>
      <c r="J99" s="146"/>
      <c r="K99" s="146"/>
      <c r="L99" s="146"/>
      <c r="M99" s="146"/>
      <c r="N99" s="146"/>
      <c r="O99" s="146"/>
      <c r="P99" s="146"/>
      <c r="Q99" s="146"/>
      <c r="R99" s="146"/>
      <c r="S99" s="146"/>
      <c r="T99" s="146"/>
      <c r="U99" s="146"/>
      <c r="V99" s="146"/>
      <c r="W99" s="146"/>
      <c r="X99" s="146"/>
      <c r="Y99" s="146"/>
      <c r="Z99" s="146"/>
    </row>
    <row r="100" ht="22.5" customHeight="1">
      <c r="A100" s="141"/>
      <c r="B100" s="142"/>
      <c r="C100" s="51"/>
      <c r="D100" s="68"/>
      <c r="E100" s="29"/>
      <c r="F100" s="55"/>
      <c r="G100" s="53"/>
      <c r="H100" s="146"/>
      <c r="I100" s="146"/>
      <c r="J100" s="146"/>
      <c r="K100" s="146"/>
      <c r="L100" s="146"/>
      <c r="M100" s="146"/>
      <c r="N100" s="146"/>
      <c r="O100" s="146"/>
      <c r="P100" s="146"/>
      <c r="Q100" s="146"/>
      <c r="R100" s="146"/>
      <c r="S100" s="146"/>
      <c r="T100" s="146"/>
      <c r="U100" s="146"/>
      <c r="V100" s="146"/>
      <c r="W100" s="146"/>
      <c r="X100" s="146"/>
      <c r="Y100" s="146"/>
      <c r="Z100" s="146"/>
    </row>
    <row r="101" ht="22.5" customHeight="1">
      <c r="A101" s="141"/>
      <c r="B101" s="142"/>
      <c r="C101" s="51"/>
      <c r="D101" s="68"/>
      <c r="E101" s="29"/>
      <c r="F101" s="55"/>
      <c r="G101" s="53"/>
      <c r="H101" s="146"/>
      <c r="I101" s="146"/>
      <c r="J101" s="146"/>
      <c r="K101" s="146"/>
      <c r="L101" s="146"/>
      <c r="M101" s="146"/>
      <c r="N101" s="146"/>
      <c r="O101" s="146"/>
      <c r="P101" s="146"/>
      <c r="Q101" s="146"/>
      <c r="R101" s="146"/>
      <c r="S101" s="146"/>
      <c r="T101" s="146"/>
      <c r="U101" s="146"/>
      <c r="V101" s="146"/>
      <c r="W101" s="146"/>
      <c r="X101" s="146"/>
      <c r="Y101" s="146"/>
      <c r="Z101" s="146"/>
    </row>
    <row r="102" ht="22.5" customHeight="1">
      <c r="A102" s="145"/>
      <c r="B102" s="138"/>
      <c r="C102" s="138"/>
      <c r="D102" s="138"/>
      <c r="E102" s="138"/>
      <c r="F102" s="138"/>
      <c r="G102" s="119"/>
      <c r="H102" s="146"/>
      <c r="I102" s="146"/>
      <c r="J102" s="146"/>
      <c r="K102" s="146"/>
      <c r="L102" s="146"/>
      <c r="M102" s="146"/>
      <c r="N102" s="146"/>
      <c r="O102" s="146"/>
      <c r="P102" s="146"/>
      <c r="Q102" s="146"/>
      <c r="R102" s="146"/>
      <c r="S102" s="146"/>
      <c r="T102" s="146"/>
      <c r="U102" s="146"/>
      <c r="V102" s="146"/>
      <c r="W102" s="146"/>
      <c r="X102" s="146"/>
      <c r="Y102" s="146"/>
      <c r="Z102" s="146"/>
    </row>
    <row r="103" ht="22.5" customHeight="1">
      <c r="A103" s="145"/>
      <c r="B103" s="138"/>
      <c r="C103" s="138"/>
      <c r="D103" s="138"/>
      <c r="E103" s="138"/>
      <c r="F103" s="138"/>
      <c r="G103" s="119"/>
      <c r="H103" s="146"/>
      <c r="I103" s="146"/>
      <c r="J103" s="146"/>
      <c r="K103" s="146"/>
      <c r="L103" s="146"/>
      <c r="M103" s="146"/>
      <c r="N103" s="146"/>
      <c r="O103" s="146"/>
      <c r="P103" s="146"/>
      <c r="Q103" s="146"/>
      <c r="R103" s="146"/>
      <c r="S103" s="146"/>
      <c r="T103" s="146"/>
      <c r="U103" s="146"/>
      <c r="V103" s="146"/>
      <c r="W103" s="146"/>
      <c r="X103" s="146"/>
      <c r="Y103" s="146"/>
      <c r="Z103" s="146"/>
    </row>
    <row r="104" ht="22.5" customHeight="1">
      <c r="A104" s="145"/>
      <c r="B104" s="138"/>
      <c r="C104" s="138"/>
      <c r="D104" s="138"/>
      <c r="E104" s="138"/>
      <c r="F104" s="138"/>
      <c r="G104" s="119"/>
      <c r="H104" s="146"/>
      <c r="I104" s="146"/>
      <c r="J104" s="146"/>
      <c r="K104" s="146"/>
      <c r="L104" s="146"/>
      <c r="M104" s="146"/>
      <c r="N104" s="146"/>
      <c r="O104" s="146"/>
      <c r="P104" s="146"/>
      <c r="Q104" s="146"/>
      <c r="R104" s="146"/>
      <c r="S104" s="146"/>
      <c r="T104" s="146"/>
      <c r="U104" s="146"/>
      <c r="V104" s="146"/>
      <c r="W104" s="146"/>
      <c r="X104" s="146"/>
      <c r="Y104" s="146"/>
      <c r="Z104" s="146"/>
    </row>
    <row r="105" ht="22.5" customHeight="1">
      <c r="A105" s="145"/>
      <c r="B105" s="138"/>
      <c r="C105" s="138"/>
      <c r="D105" s="138"/>
      <c r="E105" s="138"/>
      <c r="F105" s="138"/>
      <c r="G105" s="119"/>
      <c r="H105" s="146"/>
      <c r="I105" s="146"/>
      <c r="J105" s="146"/>
      <c r="K105" s="146"/>
      <c r="L105" s="146"/>
      <c r="M105" s="146"/>
      <c r="N105" s="146"/>
      <c r="O105" s="146"/>
      <c r="P105" s="146"/>
      <c r="Q105" s="146"/>
      <c r="R105" s="146"/>
      <c r="S105" s="146"/>
      <c r="T105" s="146"/>
      <c r="U105" s="146"/>
      <c r="V105" s="146"/>
      <c r="W105" s="146"/>
      <c r="X105" s="146"/>
      <c r="Y105" s="146"/>
      <c r="Z105" s="146"/>
    </row>
    <row r="106" ht="22.5" customHeight="1">
      <c r="A106" s="145"/>
      <c r="B106" s="138"/>
      <c r="C106" s="138"/>
      <c r="D106" s="138"/>
      <c r="E106" s="138"/>
      <c r="F106" s="138"/>
      <c r="G106" s="119"/>
      <c r="H106" s="146"/>
      <c r="I106" s="146"/>
      <c r="J106" s="146"/>
      <c r="K106" s="146"/>
      <c r="L106" s="146"/>
      <c r="M106" s="146"/>
      <c r="N106" s="146"/>
      <c r="O106" s="146"/>
      <c r="P106" s="146"/>
      <c r="Q106" s="146"/>
      <c r="R106" s="146"/>
      <c r="S106" s="146"/>
      <c r="T106" s="146"/>
      <c r="U106" s="146"/>
      <c r="V106" s="146"/>
      <c r="W106" s="146"/>
      <c r="X106" s="146"/>
      <c r="Y106" s="146"/>
      <c r="Z106" s="146"/>
    </row>
    <row r="107" ht="22.5" customHeight="1">
      <c r="A107" s="145"/>
      <c r="B107" s="138"/>
      <c r="C107" s="138"/>
      <c r="D107" s="138"/>
      <c r="E107" s="138"/>
      <c r="F107" s="138"/>
      <c r="G107" s="119"/>
      <c r="H107" s="146"/>
      <c r="I107" s="146"/>
      <c r="J107" s="146"/>
      <c r="K107" s="146"/>
      <c r="L107" s="146"/>
      <c r="M107" s="146"/>
      <c r="N107" s="146"/>
      <c r="O107" s="146"/>
      <c r="P107" s="146"/>
      <c r="Q107" s="146"/>
      <c r="R107" s="146"/>
      <c r="S107" s="146"/>
      <c r="T107" s="146"/>
      <c r="U107" s="146"/>
      <c r="V107" s="146"/>
      <c r="W107" s="146"/>
      <c r="X107" s="146"/>
      <c r="Y107" s="146"/>
      <c r="Z107" s="146"/>
    </row>
    <row r="108" ht="22.5" customHeight="1">
      <c r="A108" s="145"/>
      <c r="B108" s="138"/>
      <c r="C108" s="138"/>
      <c r="D108" s="138"/>
      <c r="E108" s="138"/>
      <c r="F108" s="138"/>
      <c r="G108" s="119"/>
      <c r="H108" s="146"/>
      <c r="I108" s="146"/>
      <c r="J108" s="146"/>
      <c r="K108" s="146"/>
      <c r="L108" s="146"/>
      <c r="M108" s="146"/>
      <c r="N108" s="146"/>
      <c r="O108" s="146"/>
      <c r="P108" s="146"/>
      <c r="Q108" s="146"/>
      <c r="R108" s="146"/>
      <c r="S108" s="146"/>
      <c r="T108" s="146"/>
      <c r="U108" s="146"/>
      <c r="V108" s="146"/>
      <c r="W108" s="146"/>
      <c r="X108" s="146"/>
      <c r="Y108" s="146"/>
      <c r="Z108" s="146"/>
    </row>
    <row r="109" ht="22.5" customHeight="1">
      <c r="A109" s="145"/>
      <c r="B109" s="138"/>
      <c r="C109" s="138"/>
      <c r="D109" s="138"/>
      <c r="E109" s="138"/>
      <c r="F109" s="138"/>
      <c r="G109" s="119"/>
      <c r="H109" s="146"/>
      <c r="I109" s="146"/>
      <c r="J109" s="146"/>
      <c r="K109" s="146"/>
      <c r="L109" s="146"/>
      <c r="M109" s="146"/>
      <c r="N109" s="146"/>
      <c r="O109" s="146"/>
      <c r="P109" s="146"/>
      <c r="Q109" s="146"/>
      <c r="R109" s="146"/>
      <c r="S109" s="146"/>
      <c r="T109" s="146"/>
      <c r="U109" s="146"/>
      <c r="V109" s="146"/>
      <c r="W109" s="146"/>
      <c r="X109" s="146"/>
      <c r="Y109" s="146"/>
      <c r="Z109" s="146"/>
    </row>
    <row r="110" ht="22.5" customHeight="1">
      <c r="A110" s="145"/>
      <c r="B110" s="138"/>
      <c r="C110" s="138"/>
      <c r="D110" s="138"/>
      <c r="E110" s="138"/>
      <c r="F110" s="138"/>
      <c r="G110" s="119"/>
      <c r="H110" s="146"/>
      <c r="I110" s="146"/>
      <c r="J110" s="146"/>
      <c r="K110" s="146"/>
      <c r="L110" s="146"/>
      <c r="M110" s="146"/>
      <c r="N110" s="146"/>
      <c r="O110" s="146"/>
      <c r="P110" s="146"/>
      <c r="Q110" s="146"/>
      <c r="R110" s="146"/>
      <c r="S110" s="146"/>
      <c r="T110" s="146"/>
      <c r="U110" s="146"/>
      <c r="V110" s="146"/>
      <c r="W110" s="146"/>
      <c r="X110" s="146"/>
      <c r="Y110" s="146"/>
      <c r="Z110" s="146"/>
    </row>
    <row r="111" ht="22.5" customHeight="1">
      <c r="A111" s="145"/>
      <c r="B111" s="138"/>
      <c r="C111" s="138"/>
      <c r="D111" s="138"/>
      <c r="E111" s="138"/>
      <c r="F111" s="138"/>
      <c r="G111" s="119"/>
      <c r="H111" s="146"/>
      <c r="I111" s="146"/>
      <c r="J111" s="146"/>
      <c r="K111" s="146"/>
      <c r="L111" s="146"/>
      <c r="M111" s="146"/>
      <c r="N111" s="146"/>
      <c r="O111" s="146"/>
      <c r="P111" s="146"/>
      <c r="Q111" s="146"/>
      <c r="R111" s="146"/>
      <c r="S111" s="146"/>
      <c r="T111" s="146"/>
      <c r="U111" s="146"/>
      <c r="V111" s="146"/>
      <c r="W111" s="146"/>
      <c r="X111" s="146"/>
      <c r="Y111" s="146"/>
      <c r="Z111" s="146"/>
    </row>
    <row r="112" ht="22.5" customHeight="1">
      <c r="A112" s="145"/>
      <c r="B112" s="138"/>
      <c r="C112" s="138"/>
      <c r="D112" s="138"/>
      <c r="E112" s="138"/>
      <c r="F112" s="138"/>
      <c r="G112" s="119"/>
      <c r="H112" s="146"/>
      <c r="I112" s="146"/>
      <c r="J112" s="146"/>
      <c r="K112" s="146"/>
      <c r="L112" s="146"/>
      <c r="M112" s="146"/>
      <c r="N112" s="146"/>
      <c r="O112" s="146"/>
      <c r="P112" s="146"/>
      <c r="Q112" s="146"/>
      <c r="R112" s="146"/>
      <c r="S112" s="146"/>
      <c r="T112" s="146"/>
      <c r="U112" s="146"/>
      <c r="V112" s="146"/>
      <c r="W112" s="146"/>
      <c r="X112" s="146"/>
      <c r="Y112" s="146"/>
      <c r="Z112" s="146"/>
    </row>
  </sheetData>
  <dataValidations>
    <dataValidation type="custom" allowBlank="1" showDropDown="1" sqref="A2:A112">
      <formula1>OR(NOT(ISERROR(DATEVALUE(A2))), AND(ISNUMBER(A2), LEFT(CELL("format", A2))="D"))</formula1>
    </dataValidation>
    <dataValidation allowBlank="1" showDropDown="1" sqref="G2:G112"/>
  </dataValidations>
  <hyperlinks>
    <hyperlink r:id="rId1" location="gid=976686498" ref="F3"/>
    <hyperlink r:id="rId2" location="gid=1854407253" ref="F9"/>
    <hyperlink r:id="rId3" location="gid=1854407253" ref="F10"/>
    <hyperlink r:id="rId4" ref="F19"/>
    <hyperlink r:id="rId5" location="gid=337168106" ref="F23"/>
    <hyperlink r:id="rId6" location="gid=1685918422" ref="F38"/>
    <hyperlink r:id="rId7" location="gid=1231407674" ref="F39"/>
    <hyperlink r:id="rId8" location="gid=1231407684" ref="F47"/>
  </hyperlinks>
  <drawing r:id="rId9"/>
  <tableParts count="1">
    <tablePart r:id="rId1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1.63"/>
    <col customWidth="1" min="3" max="3" width="11.5"/>
    <col customWidth="1" min="4" max="4" width="11.0"/>
    <col customWidth="1" min="5" max="5" width="33.88"/>
    <col customWidth="1" min="6" max="6" width="16.75"/>
    <col customWidth="1" min="7" max="7" width="67.13"/>
    <col customWidth="1" min="8" max="8" width="66.88"/>
  </cols>
  <sheetData>
    <row r="1" ht="66.0" customHeight="1">
      <c r="A1" s="3" t="s">
        <v>2</v>
      </c>
      <c r="B1" s="27" t="s">
        <v>526</v>
      </c>
      <c r="C1" s="27" t="s">
        <v>721</v>
      </c>
      <c r="D1" s="27" t="s">
        <v>722</v>
      </c>
      <c r="E1" s="27" t="s">
        <v>32</v>
      </c>
      <c r="F1" s="27" t="s">
        <v>33</v>
      </c>
      <c r="G1" s="27" t="s">
        <v>34</v>
      </c>
      <c r="H1" s="3" t="s">
        <v>8</v>
      </c>
      <c r="I1" s="146"/>
      <c r="J1" s="146"/>
      <c r="K1" s="146"/>
      <c r="L1" s="146"/>
      <c r="M1" s="146"/>
      <c r="N1" s="146"/>
      <c r="O1" s="146"/>
      <c r="P1" s="146"/>
      <c r="Q1" s="146"/>
      <c r="R1" s="146"/>
      <c r="S1" s="146"/>
      <c r="T1" s="146"/>
      <c r="U1" s="146"/>
      <c r="V1" s="146"/>
      <c r="W1" s="146"/>
      <c r="X1" s="146"/>
      <c r="Y1" s="146"/>
      <c r="Z1" s="146"/>
      <c r="AA1" s="146"/>
    </row>
    <row r="2" ht="22.5" customHeight="1">
      <c r="A2" s="141">
        <v>45856.0</v>
      </c>
      <c r="B2" s="142"/>
      <c r="C2" s="142">
        <v>8.0</v>
      </c>
      <c r="D2" s="68"/>
      <c r="E2" s="68" t="s">
        <v>723</v>
      </c>
      <c r="F2" s="68" t="s">
        <v>36</v>
      </c>
      <c r="G2" s="30" t="s">
        <v>724</v>
      </c>
      <c r="H2" s="31"/>
      <c r="I2" s="146"/>
      <c r="J2" s="146"/>
      <c r="K2" s="146"/>
      <c r="L2" s="146"/>
      <c r="M2" s="146"/>
      <c r="N2" s="146"/>
      <c r="O2" s="146"/>
      <c r="P2" s="146"/>
      <c r="Q2" s="146"/>
      <c r="R2" s="146"/>
      <c r="S2" s="146"/>
      <c r="T2" s="146"/>
      <c r="U2" s="146"/>
      <c r="V2" s="146"/>
      <c r="W2" s="146"/>
      <c r="X2" s="146"/>
      <c r="Y2" s="146"/>
      <c r="Z2" s="146"/>
      <c r="AA2" s="146"/>
    </row>
    <row r="3" ht="22.5" customHeight="1">
      <c r="A3" s="141">
        <v>45859.0</v>
      </c>
      <c r="B3" s="142"/>
      <c r="C3" s="142">
        <v>8.0</v>
      </c>
      <c r="D3" s="29"/>
      <c r="E3" s="29" t="s">
        <v>725</v>
      </c>
      <c r="F3" s="29" t="s">
        <v>36</v>
      </c>
      <c r="G3" s="30" t="s">
        <v>724</v>
      </c>
      <c r="H3" s="31"/>
      <c r="I3" s="146"/>
      <c r="J3" s="146"/>
      <c r="K3" s="146"/>
      <c r="L3" s="146"/>
      <c r="M3" s="146"/>
      <c r="N3" s="146"/>
      <c r="O3" s="146"/>
      <c r="P3" s="146"/>
      <c r="Q3" s="146"/>
      <c r="R3" s="146"/>
      <c r="S3" s="146"/>
      <c r="T3" s="146"/>
      <c r="U3" s="146"/>
      <c r="V3" s="146"/>
      <c r="W3" s="146"/>
      <c r="X3" s="146"/>
      <c r="Y3" s="146"/>
      <c r="Z3" s="146"/>
      <c r="AA3" s="146"/>
    </row>
    <row r="4" ht="22.5" customHeight="1">
      <c r="A4" s="141">
        <v>45860.0</v>
      </c>
      <c r="B4" s="142"/>
      <c r="C4" s="142">
        <v>8.0</v>
      </c>
      <c r="D4" s="29"/>
      <c r="E4" s="29" t="s">
        <v>726</v>
      </c>
      <c r="F4" s="29" t="s">
        <v>36</v>
      </c>
      <c r="G4" s="147" t="s">
        <v>727</v>
      </c>
      <c r="H4" s="29" t="s">
        <v>728</v>
      </c>
      <c r="I4" s="146"/>
      <c r="J4" s="146"/>
      <c r="K4" s="146"/>
      <c r="L4" s="146"/>
      <c r="M4" s="146"/>
      <c r="N4" s="146"/>
      <c r="O4" s="146"/>
      <c r="P4" s="146"/>
      <c r="Q4" s="146"/>
      <c r="R4" s="146"/>
      <c r="S4" s="146"/>
      <c r="T4" s="146"/>
      <c r="U4" s="146"/>
      <c r="V4" s="146"/>
      <c r="W4" s="146"/>
      <c r="X4" s="146"/>
      <c r="Y4" s="146"/>
      <c r="Z4" s="146"/>
      <c r="AA4" s="146"/>
    </row>
    <row r="5" ht="22.5" customHeight="1">
      <c r="A5" s="141">
        <v>45861.0</v>
      </c>
      <c r="B5" s="142">
        <v>8.0</v>
      </c>
      <c r="C5" s="142"/>
      <c r="D5" s="29"/>
      <c r="E5" s="29" t="s">
        <v>729</v>
      </c>
      <c r="F5" s="29" t="s">
        <v>39</v>
      </c>
      <c r="G5" s="147" t="s">
        <v>655</v>
      </c>
      <c r="H5" s="31"/>
      <c r="I5" s="146"/>
      <c r="J5" s="146"/>
      <c r="K5" s="146"/>
      <c r="L5" s="146"/>
      <c r="M5" s="146"/>
      <c r="N5" s="146"/>
      <c r="O5" s="146"/>
      <c r="P5" s="146"/>
      <c r="Q5" s="146"/>
      <c r="R5" s="146"/>
      <c r="S5" s="146"/>
      <c r="T5" s="146"/>
      <c r="U5" s="146"/>
      <c r="V5" s="146"/>
      <c r="W5" s="146"/>
      <c r="X5" s="146"/>
      <c r="Y5" s="146"/>
      <c r="Z5" s="146"/>
      <c r="AA5" s="146"/>
    </row>
    <row r="6" ht="22.5" customHeight="1">
      <c r="A6" s="141">
        <v>45862.0</v>
      </c>
      <c r="B6" s="142">
        <v>8.0</v>
      </c>
      <c r="C6" s="142"/>
      <c r="D6" s="29"/>
      <c r="E6" s="29" t="s">
        <v>729</v>
      </c>
      <c r="F6" s="29" t="s">
        <v>39</v>
      </c>
      <c r="G6" s="147" t="s">
        <v>655</v>
      </c>
      <c r="H6" s="36"/>
      <c r="I6" s="146"/>
      <c r="J6" s="146"/>
      <c r="K6" s="146"/>
      <c r="L6" s="146"/>
      <c r="M6" s="146"/>
      <c r="N6" s="146"/>
      <c r="O6" s="146"/>
      <c r="P6" s="146"/>
      <c r="Q6" s="146"/>
      <c r="R6" s="146"/>
      <c r="S6" s="146"/>
      <c r="T6" s="146"/>
      <c r="U6" s="146"/>
      <c r="V6" s="146"/>
      <c r="W6" s="146"/>
      <c r="X6" s="146"/>
      <c r="Y6" s="146"/>
      <c r="Z6" s="146"/>
      <c r="AA6" s="146"/>
    </row>
    <row r="7" ht="22.5" customHeight="1">
      <c r="A7" s="141">
        <v>45863.0</v>
      </c>
      <c r="B7" s="142">
        <v>8.0</v>
      </c>
      <c r="C7" s="142"/>
      <c r="D7" s="72"/>
      <c r="E7" s="29" t="s">
        <v>729</v>
      </c>
      <c r="F7" s="29" t="s">
        <v>39</v>
      </c>
      <c r="G7" s="147" t="s">
        <v>655</v>
      </c>
      <c r="H7" s="36"/>
      <c r="I7" s="146"/>
      <c r="J7" s="146"/>
      <c r="K7" s="146"/>
      <c r="L7" s="146"/>
      <c r="M7" s="146"/>
      <c r="N7" s="146"/>
      <c r="O7" s="146"/>
      <c r="P7" s="146"/>
      <c r="Q7" s="146"/>
      <c r="R7" s="146"/>
      <c r="S7" s="146"/>
      <c r="T7" s="146"/>
      <c r="U7" s="146"/>
      <c r="V7" s="146"/>
      <c r="W7" s="146"/>
      <c r="X7" s="146"/>
      <c r="Y7" s="146"/>
      <c r="Z7" s="146"/>
      <c r="AA7" s="146"/>
    </row>
    <row r="8" ht="22.5" customHeight="1">
      <c r="A8" s="141">
        <v>45866.0</v>
      </c>
      <c r="B8" s="148">
        <v>8.0</v>
      </c>
      <c r="C8" s="142"/>
      <c r="D8" s="72"/>
      <c r="E8" s="72" t="s">
        <v>729</v>
      </c>
      <c r="F8" s="72" t="s">
        <v>36</v>
      </c>
      <c r="G8" s="147" t="s">
        <v>655</v>
      </c>
      <c r="H8" s="36"/>
      <c r="I8" s="146"/>
      <c r="J8" s="146"/>
      <c r="K8" s="146"/>
      <c r="L8" s="146"/>
      <c r="M8" s="146"/>
      <c r="N8" s="146"/>
      <c r="O8" s="146"/>
      <c r="P8" s="146"/>
      <c r="Q8" s="146"/>
      <c r="R8" s="146"/>
      <c r="S8" s="146"/>
      <c r="T8" s="146"/>
      <c r="U8" s="146"/>
      <c r="V8" s="146"/>
      <c r="W8" s="146"/>
      <c r="X8" s="146"/>
      <c r="Y8" s="146"/>
      <c r="Z8" s="146"/>
      <c r="AA8" s="146"/>
    </row>
    <row r="9" ht="22.5" customHeight="1">
      <c r="A9" s="141">
        <v>45867.0</v>
      </c>
      <c r="B9" s="148">
        <v>8.0</v>
      </c>
      <c r="C9" s="142"/>
      <c r="D9" s="72"/>
      <c r="E9" s="72" t="s">
        <v>730</v>
      </c>
      <c r="F9" s="29" t="s">
        <v>39</v>
      </c>
      <c r="G9" s="147" t="s">
        <v>731</v>
      </c>
      <c r="H9" s="36"/>
      <c r="I9" s="146"/>
      <c r="J9" s="146"/>
      <c r="K9" s="146"/>
      <c r="L9" s="146"/>
      <c r="M9" s="146"/>
      <c r="N9" s="146"/>
      <c r="O9" s="146"/>
      <c r="P9" s="146"/>
      <c r="Q9" s="146"/>
      <c r="R9" s="146"/>
      <c r="S9" s="146"/>
      <c r="T9" s="146"/>
      <c r="U9" s="146"/>
      <c r="V9" s="146"/>
      <c r="W9" s="146"/>
      <c r="X9" s="146"/>
      <c r="Y9" s="146"/>
      <c r="Z9" s="146"/>
      <c r="AA9" s="146"/>
    </row>
    <row r="10" ht="22.5" customHeight="1">
      <c r="A10" s="141">
        <v>45868.0</v>
      </c>
      <c r="B10" s="28" t="s">
        <v>732</v>
      </c>
      <c r="C10" s="142">
        <v>4.0</v>
      </c>
      <c r="D10" s="49"/>
      <c r="E10" s="68" t="s">
        <v>733</v>
      </c>
      <c r="F10" s="29" t="s">
        <v>734</v>
      </c>
      <c r="G10" s="147" t="s">
        <v>731</v>
      </c>
      <c r="H10" s="36"/>
      <c r="I10" s="146"/>
      <c r="J10" s="146"/>
      <c r="K10" s="146"/>
      <c r="L10" s="146"/>
      <c r="M10" s="146"/>
      <c r="N10" s="146"/>
      <c r="O10" s="146"/>
      <c r="P10" s="146"/>
      <c r="Q10" s="146"/>
      <c r="R10" s="146"/>
      <c r="S10" s="146"/>
      <c r="T10" s="146"/>
      <c r="U10" s="146"/>
      <c r="V10" s="146"/>
      <c r="W10" s="146"/>
      <c r="X10" s="146"/>
      <c r="Y10" s="146"/>
      <c r="Z10" s="146"/>
      <c r="AA10" s="146"/>
    </row>
    <row r="11" ht="22.5" customHeight="1">
      <c r="A11" s="141">
        <v>45869.0</v>
      </c>
      <c r="B11" s="28" t="s">
        <v>735</v>
      </c>
      <c r="C11" s="149">
        <v>4.0</v>
      </c>
      <c r="D11" s="49"/>
      <c r="E11" s="68" t="s">
        <v>736</v>
      </c>
      <c r="F11" s="29" t="s">
        <v>734</v>
      </c>
      <c r="G11" s="147" t="s">
        <v>731</v>
      </c>
      <c r="H11" s="31"/>
      <c r="I11" s="146"/>
      <c r="J11" s="146"/>
      <c r="K11" s="146"/>
      <c r="L11" s="146"/>
      <c r="M11" s="146"/>
      <c r="N11" s="146"/>
      <c r="O11" s="146"/>
      <c r="P11" s="146"/>
      <c r="Q11" s="146"/>
      <c r="R11" s="146"/>
      <c r="S11" s="146"/>
      <c r="T11" s="146"/>
      <c r="U11" s="146"/>
      <c r="V11" s="146"/>
      <c r="W11" s="146"/>
      <c r="X11" s="146"/>
      <c r="Y11" s="146"/>
      <c r="Z11" s="146"/>
      <c r="AA11" s="146"/>
    </row>
    <row r="12" ht="22.5" customHeight="1">
      <c r="A12" s="141">
        <v>45870.0</v>
      </c>
      <c r="B12" s="148">
        <v>8.0</v>
      </c>
      <c r="C12" s="149"/>
      <c r="D12" s="49"/>
      <c r="E12" s="49" t="s">
        <v>730</v>
      </c>
      <c r="F12" s="29" t="s">
        <v>39</v>
      </c>
      <c r="G12" s="147" t="s">
        <v>731</v>
      </c>
      <c r="H12" s="31"/>
      <c r="I12" s="146"/>
      <c r="J12" s="146"/>
      <c r="K12" s="146"/>
      <c r="L12" s="146"/>
      <c r="M12" s="146"/>
      <c r="N12" s="146"/>
      <c r="O12" s="146"/>
      <c r="P12" s="146"/>
      <c r="Q12" s="146"/>
      <c r="R12" s="146"/>
      <c r="S12" s="146"/>
      <c r="T12" s="146"/>
      <c r="U12" s="146"/>
      <c r="V12" s="146"/>
      <c r="W12" s="146"/>
      <c r="X12" s="146"/>
      <c r="Y12" s="146"/>
      <c r="Z12" s="146"/>
      <c r="AA12" s="146"/>
    </row>
    <row r="13" ht="22.5" customHeight="1">
      <c r="A13" s="141">
        <v>45873.0</v>
      </c>
      <c r="B13" s="148">
        <v>8.0</v>
      </c>
      <c r="C13" s="149"/>
      <c r="D13" s="49"/>
      <c r="E13" s="49" t="s">
        <v>730</v>
      </c>
      <c r="F13" s="29" t="s">
        <v>39</v>
      </c>
      <c r="G13" s="147" t="s">
        <v>731</v>
      </c>
      <c r="H13" s="31"/>
      <c r="I13" s="146"/>
      <c r="J13" s="146"/>
      <c r="K13" s="146"/>
      <c r="L13" s="146"/>
      <c r="M13" s="146"/>
      <c r="N13" s="146"/>
      <c r="O13" s="146"/>
      <c r="P13" s="146"/>
      <c r="Q13" s="146"/>
      <c r="R13" s="146"/>
      <c r="S13" s="146"/>
      <c r="T13" s="146"/>
      <c r="U13" s="146"/>
      <c r="V13" s="146"/>
      <c r="W13" s="146"/>
      <c r="X13" s="146"/>
      <c r="Y13" s="146"/>
      <c r="Z13" s="146"/>
      <c r="AA13" s="146"/>
    </row>
    <row r="14" ht="22.5" customHeight="1">
      <c r="A14" s="141">
        <v>45874.0</v>
      </c>
      <c r="B14" s="148">
        <v>8.0</v>
      </c>
      <c r="C14" s="149"/>
      <c r="D14" s="49"/>
      <c r="E14" s="49" t="s">
        <v>730</v>
      </c>
      <c r="F14" s="29" t="s">
        <v>39</v>
      </c>
      <c r="G14" s="147" t="s">
        <v>731</v>
      </c>
      <c r="H14" s="31"/>
      <c r="I14" s="146"/>
      <c r="J14" s="146"/>
      <c r="K14" s="146"/>
      <c r="L14" s="146"/>
      <c r="M14" s="146"/>
      <c r="N14" s="146"/>
      <c r="O14" s="146"/>
      <c r="P14" s="146"/>
      <c r="Q14" s="146"/>
      <c r="R14" s="146"/>
      <c r="S14" s="146"/>
      <c r="T14" s="146"/>
      <c r="U14" s="146"/>
      <c r="V14" s="146"/>
      <c r="W14" s="146"/>
      <c r="X14" s="146"/>
      <c r="Y14" s="146"/>
      <c r="Z14" s="146"/>
      <c r="AA14" s="146"/>
    </row>
    <row r="15" ht="22.5" customHeight="1">
      <c r="A15" s="141">
        <v>45875.0</v>
      </c>
      <c r="B15" s="148">
        <v>8.0</v>
      </c>
      <c r="C15" s="149"/>
      <c r="D15" s="49"/>
      <c r="E15" s="49" t="s">
        <v>730</v>
      </c>
      <c r="F15" s="29" t="s">
        <v>39</v>
      </c>
      <c r="G15" s="147" t="s">
        <v>731</v>
      </c>
      <c r="H15" s="31"/>
      <c r="I15" s="146"/>
      <c r="J15" s="146"/>
      <c r="K15" s="146"/>
      <c r="L15" s="146"/>
      <c r="M15" s="146"/>
      <c r="N15" s="146"/>
      <c r="O15" s="146"/>
      <c r="P15" s="146"/>
      <c r="Q15" s="146"/>
      <c r="R15" s="146"/>
      <c r="S15" s="146"/>
      <c r="T15" s="146"/>
      <c r="U15" s="146"/>
      <c r="V15" s="146"/>
      <c r="W15" s="146"/>
      <c r="X15" s="146"/>
      <c r="Y15" s="146"/>
      <c r="Z15" s="146"/>
      <c r="AA15" s="146"/>
    </row>
    <row r="16" ht="22.5" customHeight="1">
      <c r="A16" s="141">
        <v>45876.0</v>
      </c>
      <c r="B16" s="148">
        <v>8.0</v>
      </c>
      <c r="C16" s="150"/>
      <c r="D16" s="47"/>
      <c r="E16" s="49" t="s">
        <v>730</v>
      </c>
      <c r="F16" s="29" t="s">
        <v>39</v>
      </c>
      <c r="G16" s="147" t="s">
        <v>731</v>
      </c>
      <c r="H16" s="36"/>
      <c r="I16" s="146"/>
      <c r="J16" s="146"/>
      <c r="K16" s="146"/>
      <c r="L16" s="146"/>
      <c r="M16" s="146"/>
      <c r="N16" s="146"/>
      <c r="O16" s="146"/>
      <c r="P16" s="146"/>
      <c r="Q16" s="146"/>
      <c r="R16" s="146"/>
      <c r="S16" s="146"/>
      <c r="T16" s="146"/>
      <c r="U16" s="146"/>
      <c r="V16" s="146"/>
      <c r="W16" s="146"/>
      <c r="X16" s="146"/>
      <c r="Y16" s="146"/>
      <c r="Z16" s="146"/>
      <c r="AA16" s="146"/>
    </row>
    <row r="17" ht="22.5" customHeight="1">
      <c r="A17" s="141">
        <v>45877.0</v>
      </c>
      <c r="B17" s="148">
        <v>8.0</v>
      </c>
      <c r="C17" s="150"/>
      <c r="D17" s="47"/>
      <c r="E17" s="49" t="s">
        <v>730</v>
      </c>
      <c r="F17" s="29" t="s">
        <v>39</v>
      </c>
      <c r="G17" s="147" t="s">
        <v>731</v>
      </c>
      <c r="H17" s="36"/>
      <c r="I17" s="146"/>
      <c r="J17" s="146"/>
      <c r="K17" s="146"/>
      <c r="L17" s="146"/>
      <c r="M17" s="146"/>
      <c r="N17" s="146"/>
      <c r="O17" s="146"/>
      <c r="P17" s="146"/>
      <c r="Q17" s="146"/>
      <c r="R17" s="146"/>
      <c r="S17" s="146"/>
      <c r="T17" s="146"/>
      <c r="U17" s="146"/>
      <c r="V17" s="146"/>
      <c r="W17" s="146"/>
      <c r="X17" s="146"/>
      <c r="Y17" s="146"/>
      <c r="Z17" s="146"/>
      <c r="AA17" s="146"/>
    </row>
    <row r="18" ht="22.5" customHeight="1">
      <c r="A18" s="141">
        <v>45880.0</v>
      </c>
      <c r="B18" s="148">
        <v>8.0</v>
      </c>
      <c r="C18" s="148"/>
      <c r="D18" s="47"/>
      <c r="E18" s="49" t="s">
        <v>730</v>
      </c>
      <c r="F18" s="29" t="s">
        <v>39</v>
      </c>
      <c r="G18" s="147" t="s">
        <v>731</v>
      </c>
      <c r="H18" s="36"/>
      <c r="I18" s="146"/>
      <c r="J18" s="146"/>
      <c r="K18" s="146"/>
      <c r="L18" s="146"/>
      <c r="M18" s="146"/>
      <c r="N18" s="146"/>
      <c r="O18" s="146"/>
      <c r="P18" s="146"/>
      <c r="Q18" s="146"/>
      <c r="R18" s="146"/>
      <c r="S18" s="146"/>
      <c r="T18" s="146"/>
      <c r="U18" s="146"/>
      <c r="V18" s="146"/>
      <c r="W18" s="146"/>
      <c r="X18" s="146"/>
      <c r="Y18" s="146"/>
      <c r="Z18" s="146"/>
      <c r="AA18" s="146"/>
    </row>
    <row r="19" ht="22.5" customHeight="1">
      <c r="A19" s="141">
        <v>45881.0</v>
      </c>
      <c r="B19" s="148">
        <v>8.0</v>
      </c>
      <c r="C19" s="148"/>
      <c r="D19" s="47"/>
      <c r="E19" s="49" t="s">
        <v>730</v>
      </c>
      <c r="F19" s="29" t="s">
        <v>39</v>
      </c>
      <c r="G19" s="147" t="s">
        <v>731</v>
      </c>
      <c r="H19" s="36"/>
      <c r="I19" s="146"/>
      <c r="J19" s="146"/>
      <c r="K19" s="146"/>
      <c r="L19" s="146"/>
      <c r="M19" s="146"/>
      <c r="N19" s="146"/>
      <c r="O19" s="146"/>
      <c r="P19" s="146"/>
      <c r="Q19" s="146"/>
      <c r="R19" s="146"/>
      <c r="S19" s="146"/>
      <c r="T19" s="146"/>
      <c r="U19" s="146"/>
      <c r="V19" s="146"/>
      <c r="W19" s="146"/>
      <c r="X19" s="146"/>
      <c r="Y19" s="146"/>
      <c r="Z19" s="146"/>
      <c r="AA19" s="146"/>
    </row>
    <row r="20" ht="22.5" customHeight="1">
      <c r="A20" s="141">
        <v>45882.0</v>
      </c>
      <c r="B20" s="148">
        <v>8.0</v>
      </c>
      <c r="C20" s="148"/>
      <c r="D20" s="47"/>
      <c r="E20" s="49" t="s">
        <v>730</v>
      </c>
      <c r="F20" s="29" t="s">
        <v>39</v>
      </c>
      <c r="G20" s="147" t="s">
        <v>731</v>
      </c>
      <c r="H20" s="36"/>
      <c r="I20" s="146"/>
      <c r="J20" s="146"/>
      <c r="K20" s="146"/>
      <c r="L20" s="146"/>
      <c r="M20" s="146"/>
      <c r="N20" s="146"/>
      <c r="O20" s="146"/>
      <c r="P20" s="146"/>
      <c r="Q20" s="146"/>
      <c r="R20" s="146"/>
      <c r="S20" s="146"/>
      <c r="T20" s="146"/>
      <c r="U20" s="146"/>
      <c r="V20" s="146"/>
      <c r="W20" s="146"/>
      <c r="X20" s="146"/>
      <c r="Y20" s="146"/>
      <c r="Z20" s="146"/>
      <c r="AA20" s="146"/>
    </row>
    <row r="21" ht="22.5" customHeight="1">
      <c r="A21" s="141">
        <v>45883.0</v>
      </c>
      <c r="B21" s="148">
        <v>8.0</v>
      </c>
      <c r="C21" s="148"/>
      <c r="D21" s="47"/>
      <c r="E21" s="49" t="s">
        <v>730</v>
      </c>
      <c r="F21" s="29" t="s">
        <v>39</v>
      </c>
      <c r="G21" s="147" t="s">
        <v>731</v>
      </c>
      <c r="H21" s="36"/>
      <c r="I21" s="146"/>
      <c r="J21" s="146"/>
      <c r="K21" s="146"/>
      <c r="L21" s="146"/>
      <c r="M21" s="146"/>
      <c r="N21" s="146"/>
      <c r="O21" s="146"/>
      <c r="P21" s="146"/>
      <c r="Q21" s="146"/>
      <c r="R21" s="146"/>
      <c r="S21" s="146"/>
      <c r="T21" s="146"/>
      <c r="U21" s="146"/>
      <c r="V21" s="146"/>
      <c r="W21" s="146"/>
      <c r="X21" s="146"/>
      <c r="Y21" s="146"/>
      <c r="Z21" s="146"/>
      <c r="AA21" s="146"/>
    </row>
    <row r="22" ht="22.5" customHeight="1">
      <c r="A22" s="141">
        <v>45884.0</v>
      </c>
      <c r="B22" s="148">
        <v>8.0</v>
      </c>
      <c r="C22" s="148"/>
      <c r="D22" s="49"/>
      <c r="E22" s="49" t="s">
        <v>730</v>
      </c>
      <c r="F22" s="29" t="s">
        <v>39</v>
      </c>
      <c r="G22" s="147" t="s">
        <v>731</v>
      </c>
      <c r="H22" s="36"/>
      <c r="I22" s="146"/>
      <c r="J22" s="146"/>
      <c r="K22" s="146"/>
      <c r="L22" s="146"/>
      <c r="M22" s="146"/>
      <c r="N22" s="146"/>
      <c r="O22" s="146"/>
      <c r="P22" s="146"/>
      <c r="Q22" s="146"/>
      <c r="R22" s="146"/>
      <c r="S22" s="146"/>
      <c r="T22" s="146"/>
      <c r="U22" s="146"/>
      <c r="V22" s="146"/>
      <c r="W22" s="146"/>
      <c r="X22" s="146"/>
      <c r="Y22" s="146"/>
      <c r="Z22" s="146"/>
      <c r="AA22" s="146"/>
    </row>
    <row r="23" ht="22.5" customHeight="1">
      <c r="A23" s="141">
        <v>45887.0</v>
      </c>
      <c r="B23" s="148">
        <v>8.0</v>
      </c>
      <c r="C23" s="148"/>
      <c r="D23" s="51"/>
      <c r="E23" s="49" t="s">
        <v>730</v>
      </c>
      <c r="F23" s="29" t="s">
        <v>39</v>
      </c>
      <c r="G23" s="147" t="s">
        <v>731</v>
      </c>
      <c r="H23" s="53"/>
      <c r="I23" s="146"/>
      <c r="J23" s="146"/>
      <c r="K23" s="146"/>
      <c r="L23" s="146"/>
      <c r="M23" s="146"/>
      <c r="N23" s="146"/>
      <c r="O23" s="146"/>
      <c r="P23" s="146"/>
      <c r="Q23" s="146"/>
      <c r="R23" s="146"/>
      <c r="S23" s="146"/>
      <c r="T23" s="146"/>
      <c r="U23" s="146"/>
      <c r="V23" s="146"/>
      <c r="W23" s="146"/>
      <c r="X23" s="146"/>
      <c r="Y23" s="146"/>
      <c r="Z23" s="146"/>
      <c r="AA23" s="146"/>
    </row>
    <row r="24" ht="22.5" customHeight="1">
      <c r="A24" s="141">
        <v>45888.0</v>
      </c>
      <c r="B24" s="148">
        <v>8.0</v>
      </c>
      <c r="C24" s="148"/>
      <c r="D24" s="51"/>
      <c r="E24" s="49" t="s">
        <v>730</v>
      </c>
      <c r="F24" s="29" t="s">
        <v>39</v>
      </c>
      <c r="G24" s="147" t="s">
        <v>731</v>
      </c>
      <c r="H24" s="53"/>
      <c r="I24" s="146"/>
      <c r="J24" s="146"/>
      <c r="K24" s="146"/>
      <c r="L24" s="146"/>
      <c r="M24" s="146"/>
      <c r="N24" s="146"/>
      <c r="O24" s="146"/>
      <c r="P24" s="146"/>
      <c r="Q24" s="146"/>
      <c r="R24" s="146"/>
      <c r="S24" s="146"/>
      <c r="T24" s="146"/>
      <c r="U24" s="146"/>
      <c r="V24" s="146"/>
      <c r="W24" s="146"/>
      <c r="X24" s="146"/>
      <c r="Y24" s="146"/>
      <c r="Z24" s="146"/>
      <c r="AA24" s="146"/>
    </row>
    <row r="25" ht="22.5" customHeight="1">
      <c r="A25" s="141">
        <v>45889.0</v>
      </c>
      <c r="B25" s="148">
        <v>8.0</v>
      </c>
      <c r="C25" s="148"/>
      <c r="D25" s="51"/>
      <c r="E25" s="49" t="s">
        <v>730</v>
      </c>
      <c r="F25" s="29" t="s">
        <v>39</v>
      </c>
      <c r="G25" s="147" t="s">
        <v>731</v>
      </c>
      <c r="H25" s="53"/>
      <c r="I25" s="146"/>
      <c r="J25" s="146"/>
      <c r="K25" s="146"/>
      <c r="L25" s="146"/>
      <c r="M25" s="146"/>
      <c r="N25" s="146"/>
      <c r="O25" s="146"/>
      <c r="P25" s="146"/>
      <c r="Q25" s="146"/>
      <c r="R25" s="146"/>
      <c r="S25" s="146"/>
      <c r="T25" s="146"/>
      <c r="U25" s="146"/>
      <c r="V25" s="146"/>
      <c r="W25" s="146"/>
      <c r="X25" s="146"/>
      <c r="Y25" s="146"/>
      <c r="Z25" s="146"/>
      <c r="AA25" s="146"/>
    </row>
    <row r="26" ht="22.5" customHeight="1">
      <c r="A26" s="141">
        <v>45890.0</v>
      </c>
      <c r="B26" s="148">
        <v>8.0</v>
      </c>
      <c r="C26" s="148"/>
      <c r="D26" s="51"/>
      <c r="E26" s="49" t="s">
        <v>730</v>
      </c>
      <c r="F26" s="29" t="s">
        <v>39</v>
      </c>
      <c r="G26" s="147" t="s">
        <v>731</v>
      </c>
      <c r="H26" s="53"/>
      <c r="I26" s="146"/>
      <c r="J26" s="146"/>
      <c r="K26" s="146"/>
      <c r="L26" s="146"/>
      <c r="M26" s="146"/>
      <c r="N26" s="146"/>
      <c r="O26" s="146"/>
      <c r="P26" s="146"/>
      <c r="Q26" s="146"/>
      <c r="R26" s="146"/>
      <c r="S26" s="146"/>
      <c r="T26" s="146"/>
      <c r="U26" s="146"/>
      <c r="V26" s="146"/>
      <c r="W26" s="146"/>
      <c r="X26" s="146"/>
      <c r="Y26" s="146"/>
      <c r="Z26" s="146"/>
      <c r="AA26" s="146"/>
    </row>
    <row r="27" ht="22.5" customHeight="1">
      <c r="A27" s="141">
        <v>45891.0</v>
      </c>
      <c r="B27" s="148">
        <v>8.0</v>
      </c>
      <c r="C27" s="148"/>
      <c r="D27" s="51"/>
      <c r="E27" s="49" t="s">
        <v>730</v>
      </c>
      <c r="F27" s="29" t="s">
        <v>39</v>
      </c>
      <c r="G27" s="147" t="s">
        <v>731</v>
      </c>
      <c r="H27" s="53"/>
      <c r="I27" s="146"/>
      <c r="J27" s="146"/>
      <c r="K27" s="146"/>
      <c r="L27" s="146"/>
      <c r="M27" s="146"/>
      <c r="N27" s="146"/>
      <c r="O27" s="146"/>
      <c r="P27" s="146"/>
      <c r="Q27" s="146"/>
      <c r="R27" s="146"/>
      <c r="S27" s="146"/>
      <c r="T27" s="146"/>
      <c r="U27" s="146"/>
      <c r="V27" s="146"/>
      <c r="W27" s="146"/>
      <c r="X27" s="146"/>
      <c r="Y27" s="146"/>
      <c r="Z27" s="146"/>
      <c r="AA27" s="146"/>
    </row>
    <row r="28" ht="22.5" customHeight="1">
      <c r="A28" s="141">
        <v>45894.0</v>
      </c>
      <c r="B28" s="148">
        <v>8.0</v>
      </c>
      <c r="C28" s="148"/>
      <c r="D28" s="51"/>
      <c r="E28" s="49" t="s">
        <v>730</v>
      </c>
      <c r="F28" s="29" t="s">
        <v>39</v>
      </c>
      <c r="G28" s="147" t="s">
        <v>731</v>
      </c>
      <c r="H28" s="53"/>
      <c r="I28" s="146"/>
      <c r="J28" s="146"/>
      <c r="K28" s="146"/>
      <c r="L28" s="146"/>
      <c r="M28" s="146"/>
      <c r="N28" s="146"/>
      <c r="O28" s="146"/>
      <c r="P28" s="146"/>
      <c r="Q28" s="146"/>
      <c r="R28" s="146"/>
      <c r="S28" s="146"/>
      <c r="T28" s="146"/>
      <c r="U28" s="146"/>
      <c r="V28" s="146"/>
      <c r="W28" s="146"/>
      <c r="X28" s="146"/>
      <c r="Y28" s="146"/>
      <c r="Z28" s="146"/>
      <c r="AA28" s="146"/>
    </row>
    <row r="29" ht="22.5" customHeight="1">
      <c r="A29" s="141">
        <v>45895.0</v>
      </c>
      <c r="B29" s="148">
        <v>8.0</v>
      </c>
      <c r="C29" s="148"/>
      <c r="D29" s="51"/>
      <c r="E29" s="49" t="s">
        <v>730</v>
      </c>
      <c r="F29" s="29" t="s">
        <v>39</v>
      </c>
      <c r="G29" s="147" t="s">
        <v>731</v>
      </c>
      <c r="H29" s="53"/>
      <c r="I29" s="146"/>
      <c r="J29" s="146"/>
      <c r="K29" s="146"/>
      <c r="L29" s="146"/>
      <c r="M29" s="146"/>
      <c r="N29" s="146"/>
      <c r="O29" s="146"/>
      <c r="P29" s="146"/>
      <c r="Q29" s="146"/>
      <c r="R29" s="146"/>
      <c r="S29" s="146"/>
      <c r="T29" s="146"/>
      <c r="U29" s="146"/>
      <c r="V29" s="146"/>
      <c r="W29" s="146"/>
      <c r="X29" s="146"/>
      <c r="Y29" s="146"/>
      <c r="Z29" s="146"/>
      <c r="AA29" s="146"/>
    </row>
    <row r="30" ht="22.5" customHeight="1">
      <c r="A30" s="141">
        <v>45896.0</v>
      </c>
      <c r="B30" s="148">
        <v>8.0</v>
      </c>
      <c r="C30" s="148"/>
      <c r="D30" s="51"/>
      <c r="E30" s="49" t="s">
        <v>730</v>
      </c>
      <c r="F30" s="29" t="s">
        <v>39</v>
      </c>
      <c r="G30" s="147" t="s">
        <v>731</v>
      </c>
      <c r="H30" s="53"/>
      <c r="I30" s="146"/>
      <c r="J30" s="146"/>
      <c r="K30" s="146"/>
      <c r="L30" s="146"/>
      <c r="M30" s="146"/>
      <c r="N30" s="146"/>
      <c r="O30" s="146"/>
      <c r="P30" s="146"/>
      <c r="Q30" s="146"/>
      <c r="R30" s="146"/>
      <c r="S30" s="146"/>
      <c r="T30" s="146"/>
      <c r="U30" s="146"/>
      <c r="V30" s="146"/>
      <c r="W30" s="146"/>
      <c r="X30" s="146"/>
      <c r="Y30" s="146"/>
      <c r="Z30" s="146"/>
      <c r="AA30" s="146"/>
    </row>
    <row r="31" ht="22.5" customHeight="1">
      <c r="A31" s="141">
        <v>45897.0</v>
      </c>
      <c r="B31" s="148">
        <v>8.0</v>
      </c>
      <c r="C31" s="148"/>
      <c r="D31" s="51"/>
      <c r="E31" s="49" t="s">
        <v>730</v>
      </c>
      <c r="F31" s="29" t="s">
        <v>39</v>
      </c>
      <c r="G31" s="147" t="s">
        <v>731</v>
      </c>
      <c r="H31" s="53"/>
      <c r="I31" s="146"/>
      <c r="J31" s="146"/>
      <c r="K31" s="146"/>
      <c r="L31" s="146"/>
      <c r="M31" s="146"/>
      <c r="N31" s="146"/>
      <c r="O31" s="146"/>
      <c r="P31" s="146"/>
      <c r="Q31" s="146"/>
      <c r="R31" s="146"/>
      <c r="S31" s="146"/>
      <c r="T31" s="146"/>
      <c r="U31" s="146"/>
      <c r="V31" s="146"/>
      <c r="W31" s="146"/>
      <c r="X31" s="146"/>
      <c r="Y31" s="146"/>
      <c r="Z31" s="146"/>
      <c r="AA31" s="146"/>
    </row>
    <row r="32" ht="22.5" customHeight="1">
      <c r="A32" s="141">
        <v>45898.0</v>
      </c>
      <c r="B32" s="148">
        <v>8.0</v>
      </c>
      <c r="C32" s="148"/>
      <c r="D32" s="51"/>
      <c r="E32" s="49" t="s">
        <v>730</v>
      </c>
      <c r="F32" s="29" t="s">
        <v>39</v>
      </c>
      <c r="G32" s="147" t="s">
        <v>731</v>
      </c>
      <c r="H32" s="53"/>
      <c r="I32" s="146"/>
      <c r="J32" s="146"/>
      <c r="K32" s="146"/>
      <c r="L32" s="146"/>
      <c r="M32" s="146"/>
      <c r="N32" s="146"/>
      <c r="O32" s="146"/>
      <c r="P32" s="146"/>
      <c r="Q32" s="146"/>
      <c r="R32" s="146"/>
      <c r="S32" s="146"/>
      <c r="T32" s="146"/>
      <c r="U32" s="146"/>
      <c r="V32" s="146"/>
      <c r="W32" s="146"/>
      <c r="X32" s="146"/>
      <c r="Y32" s="146"/>
      <c r="Z32" s="146"/>
      <c r="AA32" s="146"/>
    </row>
    <row r="33" ht="22.5" customHeight="1">
      <c r="A33" s="141">
        <v>45901.0</v>
      </c>
      <c r="B33" s="148">
        <v>8.0</v>
      </c>
      <c r="C33" s="148"/>
      <c r="D33" s="51"/>
      <c r="E33" s="49" t="s">
        <v>730</v>
      </c>
      <c r="F33" s="29" t="s">
        <v>39</v>
      </c>
      <c r="G33" s="147" t="s">
        <v>731</v>
      </c>
      <c r="H33" s="53"/>
      <c r="I33" s="146"/>
      <c r="J33" s="146"/>
      <c r="K33" s="146"/>
      <c r="L33" s="146"/>
      <c r="M33" s="146"/>
      <c r="N33" s="146"/>
      <c r="O33" s="146"/>
      <c r="P33" s="146"/>
      <c r="Q33" s="146"/>
      <c r="R33" s="146"/>
      <c r="S33" s="146"/>
      <c r="T33" s="146"/>
      <c r="U33" s="146"/>
      <c r="V33" s="146"/>
      <c r="W33" s="146"/>
      <c r="X33" s="146"/>
      <c r="Y33" s="146"/>
      <c r="Z33" s="146"/>
      <c r="AA33" s="146"/>
    </row>
    <row r="34" ht="22.5" customHeight="1">
      <c r="A34" s="141">
        <v>45902.0</v>
      </c>
      <c r="B34" s="58">
        <v>8.0</v>
      </c>
      <c r="C34" s="151"/>
      <c r="D34" s="51"/>
      <c r="E34" s="49" t="s">
        <v>737</v>
      </c>
      <c r="F34" s="29" t="s">
        <v>39</v>
      </c>
      <c r="G34" s="147" t="s">
        <v>731</v>
      </c>
      <c r="H34" s="53"/>
      <c r="I34" s="146"/>
      <c r="J34" s="146"/>
      <c r="K34" s="146"/>
      <c r="L34" s="146"/>
      <c r="M34" s="146"/>
      <c r="N34" s="146"/>
      <c r="O34" s="146"/>
      <c r="P34" s="146"/>
      <c r="Q34" s="146"/>
      <c r="R34" s="146"/>
      <c r="S34" s="146"/>
      <c r="T34" s="146"/>
      <c r="U34" s="146"/>
      <c r="V34" s="146"/>
      <c r="W34" s="146"/>
      <c r="X34" s="146"/>
      <c r="Y34" s="146"/>
      <c r="Z34" s="146"/>
      <c r="AA34" s="146"/>
    </row>
    <row r="35" ht="22.5" customHeight="1">
      <c r="A35" s="141">
        <v>45903.0</v>
      </c>
      <c r="B35" s="28">
        <v>4.0</v>
      </c>
      <c r="C35" s="151"/>
      <c r="D35" s="51"/>
      <c r="E35" s="68" t="s">
        <v>738</v>
      </c>
      <c r="F35" s="29" t="s">
        <v>39</v>
      </c>
      <c r="G35" s="147" t="s">
        <v>731</v>
      </c>
      <c r="H35" s="53"/>
      <c r="I35" s="146"/>
      <c r="J35" s="146"/>
      <c r="K35" s="146"/>
      <c r="L35" s="146"/>
      <c r="M35" s="146"/>
      <c r="N35" s="146"/>
      <c r="O35" s="146"/>
      <c r="P35" s="146"/>
      <c r="Q35" s="146"/>
      <c r="R35" s="146"/>
      <c r="S35" s="146"/>
      <c r="T35" s="146"/>
      <c r="U35" s="146"/>
      <c r="V35" s="146"/>
      <c r="W35" s="146"/>
      <c r="X35" s="146"/>
      <c r="Y35" s="146"/>
      <c r="Z35" s="146"/>
      <c r="AA35" s="146"/>
    </row>
    <row r="36" ht="22.5" customHeight="1">
      <c r="A36" s="141">
        <v>45904.0</v>
      </c>
      <c r="B36" s="58">
        <v>8.0</v>
      </c>
      <c r="C36" s="151"/>
      <c r="D36" s="51"/>
      <c r="E36" s="49" t="s">
        <v>737</v>
      </c>
      <c r="F36" s="29" t="s">
        <v>39</v>
      </c>
      <c r="G36" s="147" t="s">
        <v>731</v>
      </c>
      <c r="H36" s="53"/>
      <c r="I36" s="146"/>
      <c r="J36" s="146"/>
      <c r="K36" s="146"/>
      <c r="L36" s="146"/>
      <c r="M36" s="146"/>
      <c r="N36" s="146"/>
      <c r="O36" s="146"/>
      <c r="P36" s="146"/>
      <c r="Q36" s="146"/>
      <c r="R36" s="146"/>
      <c r="S36" s="146"/>
      <c r="T36" s="146"/>
      <c r="U36" s="146"/>
      <c r="V36" s="146"/>
      <c r="W36" s="146"/>
      <c r="X36" s="146"/>
      <c r="Y36" s="146"/>
      <c r="Z36" s="146"/>
      <c r="AA36" s="146"/>
    </row>
    <row r="37" ht="22.5" customHeight="1">
      <c r="A37" s="141">
        <v>45905.0</v>
      </c>
      <c r="B37" s="58">
        <v>8.0</v>
      </c>
      <c r="C37" s="151"/>
      <c r="D37" s="51"/>
      <c r="E37" s="55" t="s">
        <v>19</v>
      </c>
      <c r="F37" s="29"/>
      <c r="G37" s="51"/>
      <c r="H37" s="53"/>
      <c r="I37" s="146"/>
      <c r="J37" s="146"/>
      <c r="K37" s="146"/>
      <c r="L37" s="146"/>
      <c r="M37" s="146"/>
      <c r="N37" s="146"/>
      <c r="O37" s="146"/>
      <c r="P37" s="146"/>
      <c r="Q37" s="146"/>
      <c r="R37" s="146"/>
      <c r="S37" s="146"/>
      <c r="T37" s="146"/>
      <c r="U37" s="146"/>
      <c r="V37" s="146"/>
      <c r="W37" s="146"/>
      <c r="X37" s="146"/>
      <c r="Y37" s="146"/>
      <c r="Z37" s="146"/>
      <c r="AA37" s="146"/>
    </row>
    <row r="38" ht="22.5" customHeight="1">
      <c r="A38" s="141">
        <v>45908.0</v>
      </c>
      <c r="B38" s="58">
        <v>8.0</v>
      </c>
      <c r="C38" s="151"/>
      <c r="D38" s="51"/>
      <c r="E38" s="49" t="s">
        <v>737</v>
      </c>
      <c r="F38" s="29" t="s">
        <v>39</v>
      </c>
      <c r="G38" s="147" t="s">
        <v>731</v>
      </c>
      <c r="H38" s="53"/>
      <c r="I38" s="146"/>
      <c r="J38" s="146"/>
      <c r="K38" s="146"/>
      <c r="L38" s="146"/>
      <c r="M38" s="146"/>
      <c r="N38" s="146"/>
      <c r="O38" s="146"/>
      <c r="P38" s="146"/>
      <c r="Q38" s="146"/>
      <c r="R38" s="146"/>
      <c r="S38" s="146"/>
      <c r="T38" s="146"/>
      <c r="U38" s="146"/>
      <c r="V38" s="146"/>
      <c r="W38" s="146"/>
      <c r="X38" s="146"/>
      <c r="Y38" s="146"/>
      <c r="Z38" s="146"/>
      <c r="AA38" s="146"/>
    </row>
    <row r="39" ht="22.5" customHeight="1">
      <c r="A39" s="141">
        <v>45909.0</v>
      </c>
      <c r="B39" s="58">
        <v>8.0</v>
      </c>
      <c r="C39" s="151"/>
      <c r="D39" s="51"/>
      <c r="E39" s="55" t="s">
        <v>739</v>
      </c>
      <c r="F39" s="29" t="s">
        <v>39</v>
      </c>
      <c r="G39" s="143" t="s">
        <v>707</v>
      </c>
      <c r="H39" s="53"/>
      <c r="I39" s="146"/>
      <c r="J39" s="146"/>
      <c r="K39" s="146"/>
      <c r="L39" s="146"/>
      <c r="M39" s="146"/>
      <c r="N39" s="146"/>
      <c r="O39" s="146"/>
      <c r="P39" s="146"/>
      <c r="Q39" s="146"/>
      <c r="R39" s="146"/>
      <c r="S39" s="146"/>
      <c r="T39" s="146"/>
      <c r="U39" s="146"/>
      <c r="V39" s="146"/>
      <c r="W39" s="146"/>
      <c r="X39" s="146"/>
      <c r="Y39" s="146"/>
      <c r="Z39" s="146"/>
      <c r="AA39" s="146"/>
    </row>
    <row r="40" ht="22.5" customHeight="1">
      <c r="A40" s="141">
        <v>45910.0</v>
      </c>
      <c r="B40" s="58">
        <v>8.0</v>
      </c>
      <c r="C40" s="151"/>
      <c r="D40" s="51"/>
      <c r="E40" s="55" t="s">
        <v>739</v>
      </c>
      <c r="F40" s="29" t="s">
        <v>39</v>
      </c>
      <c r="G40" s="152" t="s">
        <v>707</v>
      </c>
      <c r="H40" s="53"/>
      <c r="I40" s="146"/>
      <c r="J40" s="146"/>
      <c r="K40" s="146"/>
      <c r="L40" s="146"/>
      <c r="M40" s="146"/>
      <c r="N40" s="146"/>
      <c r="O40" s="146"/>
      <c r="P40" s="146"/>
      <c r="Q40" s="146"/>
      <c r="R40" s="146"/>
      <c r="S40" s="146"/>
      <c r="T40" s="146"/>
      <c r="U40" s="146"/>
      <c r="V40" s="146"/>
      <c r="W40" s="146"/>
      <c r="X40" s="146"/>
      <c r="Y40" s="146"/>
      <c r="Z40" s="146"/>
      <c r="AA40" s="146"/>
    </row>
    <row r="41" ht="22.5" customHeight="1">
      <c r="A41" s="141">
        <v>45911.0</v>
      </c>
      <c r="B41" s="58">
        <v>4.0</v>
      </c>
      <c r="C41" s="58">
        <v>4.0</v>
      </c>
      <c r="D41" s="51"/>
      <c r="E41" s="68" t="s">
        <v>740</v>
      </c>
      <c r="F41" s="55" t="s">
        <v>741</v>
      </c>
      <c r="G41" s="153" t="s">
        <v>742</v>
      </c>
      <c r="H41" s="53"/>
      <c r="I41" s="146"/>
      <c r="J41" s="146"/>
      <c r="K41" s="146"/>
      <c r="L41" s="146"/>
      <c r="M41" s="146"/>
      <c r="N41" s="146"/>
      <c r="O41" s="146"/>
      <c r="P41" s="146"/>
      <c r="Q41" s="146"/>
      <c r="R41" s="146"/>
      <c r="S41" s="146"/>
      <c r="T41" s="146"/>
      <c r="U41" s="146"/>
      <c r="V41" s="146"/>
      <c r="W41" s="146"/>
      <c r="X41" s="146"/>
      <c r="Y41" s="146"/>
      <c r="Z41" s="146"/>
      <c r="AA41" s="146"/>
    </row>
    <row r="42" ht="22.5" customHeight="1">
      <c r="A42" s="141">
        <v>45912.0</v>
      </c>
      <c r="B42" s="151"/>
      <c r="C42" s="58">
        <v>8.0</v>
      </c>
      <c r="D42" s="51"/>
      <c r="E42" s="55" t="s">
        <v>743</v>
      </c>
      <c r="F42" s="55" t="s">
        <v>39</v>
      </c>
      <c r="G42" s="143" t="s">
        <v>744</v>
      </c>
      <c r="H42" s="53"/>
      <c r="I42" s="146"/>
      <c r="J42" s="146"/>
      <c r="K42" s="146"/>
      <c r="L42" s="146"/>
      <c r="M42" s="146"/>
      <c r="N42" s="146"/>
      <c r="O42" s="146"/>
      <c r="P42" s="146"/>
      <c r="Q42" s="146"/>
      <c r="R42" s="146"/>
      <c r="S42" s="146"/>
      <c r="T42" s="146"/>
      <c r="U42" s="146"/>
      <c r="V42" s="146"/>
      <c r="W42" s="146"/>
      <c r="X42" s="146"/>
      <c r="Y42" s="146"/>
      <c r="Z42" s="146"/>
      <c r="AA42" s="146"/>
    </row>
    <row r="43" ht="22.5" customHeight="1">
      <c r="A43" s="141">
        <v>45915.0</v>
      </c>
      <c r="B43" s="151"/>
      <c r="C43" s="58">
        <v>8.0</v>
      </c>
      <c r="D43" s="51"/>
      <c r="E43" s="55" t="s">
        <v>743</v>
      </c>
      <c r="F43" s="55" t="s">
        <v>745</v>
      </c>
      <c r="G43" s="143" t="s">
        <v>744</v>
      </c>
      <c r="H43" s="53"/>
      <c r="I43" s="146"/>
      <c r="J43" s="146"/>
      <c r="K43" s="146"/>
      <c r="L43" s="146"/>
      <c r="M43" s="146"/>
      <c r="N43" s="146"/>
      <c r="O43" s="146"/>
      <c r="P43" s="146"/>
      <c r="Q43" s="146"/>
      <c r="R43" s="146"/>
      <c r="S43" s="146"/>
      <c r="T43" s="146"/>
      <c r="U43" s="146"/>
      <c r="V43" s="146"/>
      <c r="W43" s="146"/>
      <c r="X43" s="146"/>
      <c r="Y43" s="146"/>
      <c r="Z43" s="146"/>
      <c r="AA43" s="146"/>
    </row>
    <row r="44" ht="22.5" customHeight="1">
      <c r="A44" s="141">
        <v>45916.0</v>
      </c>
      <c r="B44" s="58">
        <v>8.0</v>
      </c>
      <c r="C44" s="151"/>
      <c r="D44" s="51"/>
      <c r="E44" s="49" t="s">
        <v>746</v>
      </c>
      <c r="F44" s="55" t="s">
        <v>39</v>
      </c>
      <c r="G44" s="152" t="s">
        <v>707</v>
      </c>
      <c r="H44" s="53"/>
      <c r="I44" s="146"/>
      <c r="J44" s="146"/>
      <c r="K44" s="146"/>
      <c r="L44" s="146"/>
      <c r="M44" s="146"/>
      <c r="N44" s="146"/>
      <c r="O44" s="146"/>
      <c r="P44" s="146"/>
      <c r="Q44" s="146"/>
      <c r="R44" s="146"/>
      <c r="S44" s="146"/>
      <c r="T44" s="146"/>
      <c r="U44" s="146"/>
      <c r="V44" s="146"/>
      <c r="W44" s="146"/>
      <c r="X44" s="146"/>
      <c r="Y44" s="146"/>
      <c r="Z44" s="146"/>
      <c r="AA44" s="146"/>
    </row>
    <row r="45" ht="22.5" customHeight="1">
      <c r="A45" s="141">
        <v>45917.0</v>
      </c>
      <c r="B45" s="28" t="s">
        <v>747</v>
      </c>
      <c r="C45" s="58">
        <v>4.0</v>
      </c>
      <c r="D45" s="51"/>
      <c r="E45" s="68" t="s">
        <v>748</v>
      </c>
      <c r="F45" s="55" t="s">
        <v>741</v>
      </c>
      <c r="G45" s="51"/>
      <c r="H45" s="53"/>
      <c r="I45" s="146"/>
      <c r="J45" s="146"/>
      <c r="K45" s="146"/>
      <c r="L45" s="146"/>
      <c r="M45" s="146"/>
      <c r="N45" s="146"/>
      <c r="O45" s="146"/>
      <c r="P45" s="146"/>
      <c r="Q45" s="146"/>
      <c r="R45" s="146"/>
      <c r="S45" s="146"/>
      <c r="T45" s="146"/>
      <c r="U45" s="146"/>
      <c r="V45" s="146"/>
      <c r="W45" s="146"/>
      <c r="X45" s="146"/>
      <c r="Y45" s="146"/>
      <c r="Z45" s="146"/>
      <c r="AA45" s="146"/>
    </row>
    <row r="46" ht="22.5" customHeight="1">
      <c r="A46" s="141">
        <v>45918.0</v>
      </c>
      <c r="B46" s="58"/>
      <c r="C46" s="58">
        <v>8.0</v>
      </c>
      <c r="D46" s="51"/>
      <c r="E46" s="55" t="s">
        <v>749</v>
      </c>
      <c r="F46" s="55" t="s">
        <v>745</v>
      </c>
      <c r="G46" s="51"/>
      <c r="H46" s="53"/>
      <c r="I46" s="146"/>
      <c r="J46" s="146"/>
      <c r="K46" s="146"/>
      <c r="L46" s="146"/>
      <c r="M46" s="146"/>
      <c r="N46" s="146"/>
      <c r="O46" s="146"/>
      <c r="P46" s="146"/>
      <c r="Q46" s="146"/>
      <c r="R46" s="146"/>
      <c r="S46" s="146"/>
      <c r="T46" s="146"/>
      <c r="U46" s="146"/>
      <c r="V46" s="146"/>
      <c r="W46" s="146"/>
      <c r="X46" s="146"/>
      <c r="Y46" s="146"/>
      <c r="Z46" s="146"/>
      <c r="AA46" s="146"/>
    </row>
    <row r="47" ht="22.5" customHeight="1">
      <c r="A47" s="141">
        <v>45919.0</v>
      </c>
      <c r="B47" s="151"/>
      <c r="C47" s="58">
        <v>8.0</v>
      </c>
      <c r="D47" s="51"/>
      <c r="E47" s="55" t="s">
        <v>750</v>
      </c>
      <c r="F47" s="55" t="s">
        <v>39</v>
      </c>
      <c r="G47" s="51"/>
      <c r="H47" s="53"/>
      <c r="I47" s="146"/>
      <c r="J47" s="146"/>
      <c r="K47" s="146"/>
      <c r="L47" s="146"/>
      <c r="M47" s="146"/>
      <c r="N47" s="146"/>
      <c r="O47" s="146"/>
      <c r="P47" s="146"/>
      <c r="Q47" s="146"/>
      <c r="R47" s="146"/>
      <c r="S47" s="146"/>
      <c r="T47" s="146"/>
      <c r="U47" s="146"/>
      <c r="V47" s="146"/>
      <c r="W47" s="146"/>
      <c r="X47" s="146"/>
      <c r="Y47" s="146"/>
      <c r="Z47" s="146"/>
      <c r="AA47" s="146"/>
    </row>
    <row r="48" ht="22.5" customHeight="1">
      <c r="A48" s="141">
        <v>45922.0</v>
      </c>
      <c r="B48" s="151"/>
      <c r="C48" s="58">
        <v>8.0</v>
      </c>
      <c r="D48" s="51"/>
      <c r="E48" s="55" t="s">
        <v>750</v>
      </c>
      <c r="F48" s="55" t="s">
        <v>745</v>
      </c>
      <c r="G48" s="51"/>
      <c r="H48" s="53"/>
      <c r="I48" s="146"/>
      <c r="J48" s="146"/>
      <c r="K48" s="146"/>
      <c r="L48" s="146"/>
      <c r="M48" s="146"/>
      <c r="N48" s="146"/>
      <c r="O48" s="146"/>
      <c r="P48" s="146"/>
      <c r="Q48" s="146"/>
      <c r="R48" s="146"/>
      <c r="S48" s="146"/>
      <c r="T48" s="146"/>
      <c r="U48" s="146"/>
      <c r="V48" s="146"/>
      <c r="W48" s="146"/>
      <c r="X48" s="146"/>
      <c r="Y48" s="146"/>
      <c r="Z48" s="146"/>
      <c r="AA48" s="146"/>
    </row>
    <row r="49" ht="22.5" customHeight="1">
      <c r="A49" s="141">
        <v>45923.0</v>
      </c>
      <c r="B49" s="58">
        <v>8.0</v>
      </c>
      <c r="C49" s="151"/>
      <c r="D49" s="51"/>
      <c r="E49" s="55" t="s">
        <v>737</v>
      </c>
      <c r="F49" s="55" t="s">
        <v>39</v>
      </c>
      <c r="G49" s="143" t="s">
        <v>731</v>
      </c>
      <c r="H49" s="53"/>
      <c r="I49" s="146"/>
      <c r="J49" s="146"/>
      <c r="K49" s="146"/>
      <c r="L49" s="146"/>
      <c r="M49" s="146"/>
      <c r="N49" s="146"/>
      <c r="O49" s="146"/>
      <c r="P49" s="146"/>
      <c r="Q49" s="146"/>
      <c r="R49" s="146"/>
      <c r="S49" s="146"/>
      <c r="T49" s="146"/>
      <c r="U49" s="146"/>
      <c r="V49" s="146"/>
      <c r="W49" s="146"/>
      <c r="X49" s="146"/>
      <c r="Y49" s="146"/>
      <c r="Z49" s="146"/>
      <c r="AA49" s="146"/>
    </row>
    <row r="50" ht="22.5" customHeight="1">
      <c r="A50" s="141">
        <v>45924.0</v>
      </c>
      <c r="B50" s="58">
        <v>8.0</v>
      </c>
      <c r="C50" s="151"/>
      <c r="D50" s="51"/>
      <c r="E50" s="55" t="s">
        <v>737</v>
      </c>
      <c r="F50" s="55" t="s">
        <v>39</v>
      </c>
      <c r="G50" s="55" t="s">
        <v>751</v>
      </c>
      <c r="H50" s="53"/>
      <c r="I50" s="146"/>
      <c r="J50" s="146"/>
      <c r="K50" s="146"/>
      <c r="L50" s="146"/>
      <c r="M50" s="146"/>
      <c r="N50" s="146"/>
      <c r="O50" s="146"/>
      <c r="P50" s="146"/>
      <c r="Q50" s="146"/>
      <c r="R50" s="146"/>
      <c r="S50" s="146"/>
      <c r="T50" s="146"/>
      <c r="U50" s="146"/>
      <c r="V50" s="146"/>
      <c r="W50" s="146"/>
      <c r="X50" s="146"/>
      <c r="Y50" s="146"/>
      <c r="Z50" s="146"/>
      <c r="AA50" s="146"/>
    </row>
    <row r="51" ht="22.5" customHeight="1">
      <c r="A51" s="141">
        <v>45925.0</v>
      </c>
      <c r="B51" s="58">
        <v>8.0</v>
      </c>
      <c r="C51" s="151"/>
      <c r="D51" s="51"/>
      <c r="E51" s="55" t="s">
        <v>737</v>
      </c>
      <c r="F51" s="55" t="s">
        <v>39</v>
      </c>
      <c r="G51" s="55" t="s">
        <v>752</v>
      </c>
      <c r="H51" s="53"/>
      <c r="I51" s="146"/>
      <c r="J51" s="146"/>
      <c r="K51" s="146"/>
      <c r="L51" s="146"/>
      <c r="M51" s="146"/>
      <c r="N51" s="146"/>
      <c r="O51" s="146"/>
      <c r="P51" s="146"/>
      <c r="Q51" s="146"/>
      <c r="R51" s="146"/>
      <c r="S51" s="146"/>
      <c r="T51" s="146"/>
      <c r="U51" s="146"/>
      <c r="V51" s="146"/>
      <c r="W51" s="146"/>
      <c r="X51" s="146"/>
      <c r="Y51" s="146"/>
      <c r="Z51" s="146"/>
      <c r="AA51" s="146"/>
    </row>
    <row r="52" ht="22.5" customHeight="1">
      <c r="A52" s="141">
        <v>45926.0</v>
      </c>
      <c r="B52" s="58">
        <v>8.0</v>
      </c>
      <c r="C52" s="151"/>
      <c r="D52" s="51"/>
      <c r="E52" s="55" t="s">
        <v>737</v>
      </c>
      <c r="F52" s="55" t="s">
        <v>39</v>
      </c>
      <c r="G52" s="55" t="s">
        <v>753</v>
      </c>
      <c r="H52" s="53"/>
      <c r="I52" s="146"/>
      <c r="J52" s="146"/>
      <c r="K52" s="146"/>
      <c r="L52" s="146"/>
      <c r="M52" s="146"/>
      <c r="N52" s="146"/>
      <c r="O52" s="146"/>
      <c r="P52" s="146"/>
      <c r="Q52" s="146"/>
      <c r="R52" s="146"/>
      <c r="S52" s="146"/>
      <c r="T52" s="146"/>
      <c r="U52" s="146"/>
      <c r="V52" s="146"/>
      <c r="W52" s="146"/>
      <c r="X52" s="146"/>
      <c r="Y52" s="146"/>
      <c r="Z52" s="146"/>
      <c r="AA52" s="146"/>
    </row>
    <row r="53" ht="22.5" customHeight="1">
      <c r="A53" s="141">
        <v>45929.0</v>
      </c>
      <c r="B53" s="58">
        <v>8.0</v>
      </c>
      <c r="C53" s="151"/>
      <c r="D53" s="51"/>
      <c r="E53" s="55" t="s">
        <v>737</v>
      </c>
      <c r="F53" s="55" t="s">
        <v>39</v>
      </c>
      <c r="G53" s="55" t="s">
        <v>754</v>
      </c>
      <c r="H53" s="53"/>
      <c r="I53" s="146"/>
      <c r="J53" s="146"/>
      <c r="K53" s="146"/>
      <c r="L53" s="146"/>
      <c r="M53" s="146"/>
      <c r="N53" s="146"/>
      <c r="O53" s="146"/>
      <c r="P53" s="146"/>
      <c r="Q53" s="146"/>
      <c r="R53" s="146"/>
      <c r="S53" s="146"/>
      <c r="T53" s="146"/>
      <c r="U53" s="146"/>
      <c r="V53" s="146"/>
      <c r="W53" s="146"/>
      <c r="X53" s="146"/>
      <c r="Y53" s="146"/>
      <c r="Z53" s="146"/>
      <c r="AA53" s="146"/>
    </row>
    <row r="54" ht="22.5" customHeight="1">
      <c r="A54" s="141">
        <v>45930.0</v>
      </c>
      <c r="B54" s="58">
        <v>8.0</v>
      </c>
      <c r="C54" s="151"/>
      <c r="D54" s="51"/>
      <c r="E54" s="55" t="s">
        <v>737</v>
      </c>
      <c r="F54" s="55" t="s">
        <v>39</v>
      </c>
      <c r="G54" s="55" t="s">
        <v>755</v>
      </c>
      <c r="H54" s="53"/>
      <c r="I54" s="146"/>
      <c r="J54" s="146"/>
      <c r="K54" s="146"/>
      <c r="L54" s="146"/>
      <c r="M54" s="146"/>
      <c r="N54" s="146"/>
      <c r="O54" s="146"/>
      <c r="P54" s="146"/>
      <c r="Q54" s="146"/>
      <c r="R54" s="146"/>
      <c r="S54" s="146"/>
      <c r="T54" s="146"/>
      <c r="U54" s="146"/>
      <c r="V54" s="146"/>
      <c r="W54" s="146"/>
      <c r="X54" s="146"/>
      <c r="Y54" s="146"/>
      <c r="Z54" s="146"/>
      <c r="AA54" s="146"/>
    </row>
    <row r="55" ht="22.5" customHeight="1">
      <c r="A55" s="141">
        <v>45931.0</v>
      </c>
      <c r="B55" s="58">
        <v>8.0</v>
      </c>
      <c r="C55" s="151"/>
      <c r="D55" s="51"/>
      <c r="E55" s="55" t="s">
        <v>737</v>
      </c>
      <c r="F55" s="55" t="s">
        <v>39</v>
      </c>
      <c r="G55" s="55" t="s">
        <v>756</v>
      </c>
      <c r="H55" s="53"/>
      <c r="I55" s="146"/>
      <c r="J55" s="146"/>
      <c r="K55" s="146"/>
      <c r="L55" s="146"/>
      <c r="M55" s="146"/>
      <c r="N55" s="146"/>
      <c r="O55" s="146"/>
      <c r="P55" s="146"/>
      <c r="Q55" s="146"/>
      <c r="R55" s="146"/>
      <c r="S55" s="146"/>
      <c r="T55" s="146"/>
      <c r="U55" s="146"/>
      <c r="V55" s="146"/>
      <c r="W55" s="146"/>
      <c r="X55" s="146"/>
      <c r="Y55" s="146"/>
      <c r="Z55" s="146"/>
      <c r="AA55" s="146"/>
    </row>
    <row r="56" ht="22.5" customHeight="1">
      <c r="A56" s="141">
        <v>45932.0</v>
      </c>
      <c r="B56" s="58">
        <v>8.0</v>
      </c>
      <c r="C56" s="151"/>
      <c r="D56" s="51"/>
      <c r="E56" s="55" t="s">
        <v>737</v>
      </c>
      <c r="F56" s="55" t="s">
        <v>39</v>
      </c>
      <c r="G56" s="55" t="s">
        <v>757</v>
      </c>
      <c r="H56" s="53"/>
      <c r="I56" s="146"/>
      <c r="J56" s="146"/>
      <c r="K56" s="146"/>
      <c r="L56" s="146"/>
      <c r="M56" s="146"/>
      <c r="N56" s="146"/>
      <c r="O56" s="146"/>
      <c r="P56" s="146"/>
      <c r="Q56" s="146"/>
      <c r="R56" s="146"/>
      <c r="S56" s="146"/>
      <c r="T56" s="146"/>
      <c r="U56" s="146"/>
      <c r="V56" s="146"/>
      <c r="W56" s="146"/>
      <c r="X56" s="146"/>
      <c r="Y56" s="146"/>
      <c r="Z56" s="146"/>
      <c r="AA56" s="146"/>
    </row>
    <row r="57" ht="22.5" customHeight="1">
      <c r="A57" s="141">
        <v>45933.0</v>
      </c>
      <c r="B57" s="58">
        <v>8.0</v>
      </c>
      <c r="C57" s="151"/>
      <c r="D57" s="51"/>
      <c r="E57" s="55" t="s">
        <v>737</v>
      </c>
      <c r="F57" s="55" t="s">
        <v>39</v>
      </c>
      <c r="G57" s="55" t="s">
        <v>758</v>
      </c>
      <c r="H57" s="53"/>
      <c r="I57" s="146"/>
      <c r="J57" s="146"/>
      <c r="K57" s="146"/>
      <c r="L57" s="146"/>
      <c r="M57" s="146"/>
      <c r="N57" s="146"/>
      <c r="O57" s="146"/>
      <c r="P57" s="146"/>
      <c r="Q57" s="146"/>
      <c r="R57" s="146"/>
      <c r="S57" s="146"/>
      <c r="T57" s="146"/>
      <c r="U57" s="146"/>
      <c r="V57" s="146"/>
      <c r="W57" s="146"/>
      <c r="X57" s="146"/>
      <c r="Y57" s="146"/>
      <c r="Z57" s="146"/>
      <c r="AA57" s="146"/>
    </row>
    <row r="58" ht="22.5" customHeight="1">
      <c r="A58" s="141">
        <v>45936.0</v>
      </c>
      <c r="B58" s="28" t="s">
        <v>759</v>
      </c>
      <c r="C58" s="58">
        <v>4.0</v>
      </c>
      <c r="D58" s="51"/>
      <c r="E58" s="68" t="s">
        <v>760</v>
      </c>
      <c r="F58" s="55" t="s">
        <v>761</v>
      </c>
      <c r="G58" s="51"/>
      <c r="H58" s="53"/>
      <c r="I58" s="146"/>
      <c r="J58" s="146"/>
      <c r="K58" s="146"/>
      <c r="L58" s="146"/>
      <c r="M58" s="146"/>
      <c r="N58" s="146"/>
      <c r="O58" s="146"/>
      <c r="P58" s="146"/>
      <c r="Q58" s="146"/>
      <c r="R58" s="146"/>
      <c r="S58" s="146"/>
      <c r="T58" s="146"/>
      <c r="U58" s="146"/>
      <c r="V58" s="146"/>
      <c r="W58" s="146"/>
      <c r="X58" s="146"/>
      <c r="Y58" s="146"/>
      <c r="Z58" s="146"/>
      <c r="AA58" s="146"/>
    </row>
    <row r="59" ht="22.5" customHeight="1">
      <c r="A59" s="141">
        <v>45937.0</v>
      </c>
      <c r="B59" s="58">
        <v>8.0</v>
      </c>
      <c r="C59" s="151"/>
      <c r="D59" s="51"/>
      <c r="E59" s="55" t="s">
        <v>737</v>
      </c>
      <c r="F59" s="55" t="s">
        <v>39</v>
      </c>
      <c r="G59" s="55" t="s">
        <v>762</v>
      </c>
      <c r="H59" s="53"/>
      <c r="I59" s="146"/>
      <c r="J59" s="146"/>
      <c r="K59" s="146"/>
      <c r="L59" s="146"/>
      <c r="M59" s="146"/>
      <c r="N59" s="146"/>
      <c r="O59" s="146"/>
      <c r="P59" s="146"/>
      <c r="Q59" s="146"/>
      <c r="R59" s="146"/>
      <c r="S59" s="146"/>
      <c r="T59" s="146"/>
      <c r="U59" s="146"/>
      <c r="V59" s="146"/>
      <c r="W59" s="146"/>
      <c r="X59" s="146"/>
      <c r="Y59" s="146"/>
      <c r="Z59" s="146"/>
      <c r="AA59" s="146"/>
    </row>
    <row r="60" ht="22.5" customHeight="1">
      <c r="A60" s="141">
        <v>45938.0</v>
      </c>
      <c r="B60" s="58">
        <v>8.0</v>
      </c>
      <c r="C60" s="151"/>
      <c r="D60" s="51"/>
      <c r="E60" s="55" t="s">
        <v>737</v>
      </c>
      <c r="F60" s="55" t="s">
        <v>39</v>
      </c>
      <c r="G60" s="55" t="s">
        <v>763</v>
      </c>
      <c r="H60" s="53"/>
      <c r="I60" s="146"/>
      <c r="J60" s="146"/>
      <c r="K60" s="146"/>
      <c r="L60" s="146"/>
      <c r="M60" s="146"/>
      <c r="N60" s="146"/>
      <c r="O60" s="146"/>
      <c r="P60" s="146"/>
      <c r="Q60" s="146"/>
      <c r="R60" s="146"/>
      <c r="S60" s="146"/>
      <c r="T60" s="146"/>
      <c r="U60" s="146"/>
      <c r="V60" s="146"/>
      <c r="W60" s="146"/>
      <c r="X60" s="146"/>
      <c r="Y60" s="146"/>
      <c r="Z60" s="146"/>
      <c r="AA60" s="146"/>
    </row>
    <row r="61" ht="22.5" customHeight="1">
      <c r="A61" s="141">
        <v>45939.0</v>
      </c>
      <c r="B61" s="58">
        <v>8.0</v>
      </c>
      <c r="C61" s="151"/>
      <c r="D61" s="51"/>
      <c r="E61" s="55" t="s">
        <v>737</v>
      </c>
      <c r="F61" s="55" t="s">
        <v>39</v>
      </c>
      <c r="G61" s="55" t="s">
        <v>762</v>
      </c>
      <c r="H61" s="53"/>
      <c r="I61" s="146"/>
      <c r="J61" s="146"/>
      <c r="K61" s="146"/>
      <c r="L61" s="146"/>
      <c r="M61" s="146"/>
      <c r="N61" s="146"/>
      <c r="O61" s="146"/>
      <c r="P61" s="146"/>
      <c r="Q61" s="146"/>
      <c r="R61" s="146"/>
      <c r="S61" s="146"/>
      <c r="T61" s="146"/>
      <c r="U61" s="146"/>
      <c r="V61" s="146"/>
      <c r="W61" s="146"/>
      <c r="X61" s="146"/>
      <c r="Y61" s="146"/>
      <c r="Z61" s="146"/>
      <c r="AA61" s="146"/>
    </row>
    <row r="62" ht="22.5" customHeight="1">
      <c r="A62" s="141">
        <v>45940.0</v>
      </c>
      <c r="B62" s="58">
        <v>8.0</v>
      </c>
      <c r="C62" s="151"/>
      <c r="D62" s="51"/>
      <c r="E62" s="55" t="s">
        <v>737</v>
      </c>
      <c r="F62" s="55" t="s">
        <v>39</v>
      </c>
      <c r="G62" s="55" t="s">
        <v>763</v>
      </c>
      <c r="H62" s="53"/>
      <c r="I62" s="146"/>
      <c r="J62" s="146"/>
      <c r="K62" s="146"/>
      <c r="L62" s="146"/>
      <c r="M62" s="146"/>
      <c r="N62" s="146"/>
      <c r="O62" s="146"/>
      <c r="P62" s="146"/>
      <c r="Q62" s="146"/>
      <c r="R62" s="146"/>
      <c r="S62" s="146"/>
      <c r="T62" s="146"/>
      <c r="U62" s="146"/>
      <c r="V62" s="146"/>
      <c r="W62" s="146"/>
      <c r="X62" s="146"/>
      <c r="Y62" s="146"/>
      <c r="Z62" s="146"/>
      <c r="AA62" s="146"/>
    </row>
    <row r="63" ht="22.5" customHeight="1">
      <c r="A63" s="141">
        <v>45943.0</v>
      </c>
      <c r="B63" s="58">
        <v>8.0</v>
      </c>
      <c r="C63" s="151"/>
      <c r="D63" s="51"/>
      <c r="E63" s="55" t="s">
        <v>737</v>
      </c>
      <c r="F63" s="55" t="s">
        <v>39</v>
      </c>
      <c r="G63" s="55" t="s">
        <v>763</v>
      </c>
      <c r="H63" s="53"/>
      <c r="I63" s="146"/>
      <c r="J63" s="146"/>
      <c r="K63" s="146"/>
      <c r="L63" s="146"/>
      <c r="M63" s="146"/>
      <c r="N63" s="146"/>
      <c r="O63" s="146"/>
      <c r="P63" s="146"/>
      <c r="Q63" s="146"/>
      <c r="R63" s="146"/>
      <c r="S63" s="146"/>
      <c r="T63" s="146"/>
      <c r="U63" s="146"/>
      <c r="V63" s="146"/>
      <c r="W63" s="146"/>
      <c r="X63" s="146"/>
      <c r="Y63" s="146"/>
      <c r="Z63" s="146"/>
      <c r="AA63" s="146"/>
    </row>
    <row r="64" ht="22.5" customHeight="1">
      <c r="A64" s="141">
        <v>45944.0</v>
      </c>
      <c r="B64" s="28" t="s">
        <v>764</v>
      </c>
      <c r="C64" s="58">
        <v>4.0</v>
      </c>
      <c r="D64" s="51"/>
      <c r="E64" s="68" t="s">
        <v>765</v>
      </c>
      <c r="F64" s="55" t="s">
        <v>761</v>
      </c>
      <c r="G64" s="51"/>
      <c r="H64" s="53"/>
      <c r="I64" s="146"/>
      <c r="J64" s="146"/>
      <c r="K64" s="146"/>
      <c r="L64" s="146"/>
      <c r="M64" s="146"/>
      <c r="N64" s="146"/>
      <c r="O64" s="146"/>
      <c r="P64" s="146"/>
      <c r="Q64" s="146"/>
      <c r="R64" s="146"/>
      <c r="S64" s="146"/>
      <c r="T64" s="146"/>
      <c r="U64" s="146"/>
      <c r="V64" s="146"/>
      <c r="W64" s="146"/>
      <c r="X64" s="146"/>
      <c r="Y64" s="146"/>
      <c r="Z64" s="146"/>
      <c r="AA64" s="146"/>
    </row>
    <row r="65" ht="22.5" customHeight="1">
      <c r="A65" s="141">
        <v>45945.0</v>
      </c>
      <c r="B65" s="58">
        <v>8.0</v>
      </c>
      <c r="C65" s="151"/>
      <c r="D65" s="51"/>
      <c r="E65" s="55" t="s">
        <v>737</v>
      </c>
      <c r="F65" s="55" t="s">
        <v>39</v>
      </c>
      <c r="G65" s="55" t="s">
        <v>763</v>
      </c>
      <c r="H65" s="53"/>
      <c r="I65" s="146"/>
      <c r="J65" s="146"/>
      <c r="K65" s="146"/>
      <c r="L65" s="146"/>
      <c r="M65" s="146"/>
      <c r="N65" s="146"/>
      <c r="O65" s="146"/>
      <c r="P65" s="146"/>
      <c r="Q65" s="146"/>
      <c r="R65" s="146"/>
      <c r="S65" s="146"/>
      <c r="T65" s="146"/>
      <c r="U65" s="146"/>
      <c r="V65" s="146"/>
      <c r="W65" s="146"/>
      <c r="X65" s="146"/>
      <c r="Y65" s="146"/>
      <c r="Z65" s="146"/>
      <c r="AA65" s="146"/>
    </row>
    <row r="66" ht="22.5" customHeight="1">
      <c r="A66" s="141">
        <v>45946.0</v>
      </c>
      <c r="B66" s="151"/>
      <c r="C66" s="58">
        <v>4.0</v>
      </c>
      <c r="D66" s="55">
        <v>4.0</v>
      </c>
      <c r="E66" s="68" t="s">
        <v>766</v>
      </c>
      <c r="F66" s="55" t="s">
        <v>767</v>
      </c>
      <c r="G66" s="51"/>
      <c r="H66" s="53"/>
      <c r="I66" s="146"/>
      <c r="J66" s="146"/>
      <c r="K66" s="146"/>
      <c r="L66" s="146"/>
      <c r="M66" s="146"/>
      <c r="N66" s="146"/>
      <c r="O66" s="146"/>
      <c r="P66" s="146"/>
      <c r="Q66" s="146"/>
      <c r="R66" s="146"/>
      <c r="S66" s="146"/>
      <c r="T66" s="146"/>
      <c r="U66" s="146"/>
      <c r="V66" s="146"/>
      <c r="W66" s="146"/>
      <c r="X66" s="146"/>
      <c r="Y66" s="146"/>
      <c r="Z66" s="146"/>
      <c r="AA66" s="146"/>
    </row>
    <row r="67" ht="22.5" customHeight="1">
      <c r="A67" s="141">
        <v>45947.0</v>
      </c>
      <c r="B67" s="151"/>
      <c r="C67" s="58">
        <v>4.0</v>
      </c>
      <c r="D67" s="55">
        <v>4.0</v>
      </c>
      <c r="E67" s="68" t="s">
        <v>768</v>
      </c>
      <c r="F67" s="55" t="s">
        <v>769</v>
      </c>
      <c r="G67" s="51"/>
      <c r="H67" s="53"/>
      <c r="I67" s="146"/>
      <c r="J67" s="146"/>
      <c r="K67" s="146"/>
      <c r="L67" s="146"/>
      <c r="M67" s="146"/>
      <c r="N67" s="146"/>
      <c r="O67" s="146"/>
      <c r="P67" s="146"/>
      <c r="Q67" s="146"/>
      <c r="R67" s="146"/>
      <c r="S67" s="146"/>
      <c r="T67" s="146"/>
      <c r="U67" s="146"/>
      <c r="V67" s="146"/>
      <c r="W67" s="146"/>
      <c r="X67" s="146"/>
      <c r="Y67" s="146"/>
      <c r="Z67" s="146"/>
      <c r="AA67" s="146"/>
    </row>
    <row r="68" ht="22.5" customHeight="1">
      <c r="A68" s="141">
        <v>45950.0</v>
      </c>
      <c r="B68" s="58">
        <v>8.0</v>
      </c>
      <c r="C68" s="151"/>
      <c r="D68" s="51"/>
      <c r="E68" s="55" t="s">
        <v>737</v>
      </c>
      <c r="F68" s="55" t="s">
        <v>39</v>
      </c>
      <c r="G68" s="55" t="s">
        <v>762</v>
      </c>
      <c r="H68" s="53"/>
      <c r="I68" s="146"/>
      <c r="J68" s="146"/>
      <c r="K68" s="146"/>
      <c r="L68" s="146"/>
      <c r="M68" s="146"/>
      <c r="N68" s="146"/>
      <c r="O68" s="146"/>
      <c r="P68" s="146"/>
      <c r="Q68" s="146"/>
      <c r="R68" s="146"/>
      <c r="S68" s="146"/>
      <c r="T68" s="146"/>
      <c r="U68" s="146"/>
      <c r="V68" s="146"/>
      <c r="W68" s="146"/>
      <c r="X68" s="146"/>
      <c r="Y68" s="146"/>
      <c r="Z68" s="146"/>
      <c r="AA68" s="146"/>
    </row>
    <row r="69" ht="22.5" customHeight="1">
      <c r="A69" s="141">
        <v>45951.0</v>
      </c>
      <c r="B69" s="58">
        <v>8.0</v>
      </c>
      <c r="C69" s="151"/>
      <c r="D69" s="51"/>
      <c r="E69" s="55" t="s">
        <v>737</v>
      </c>
      <c r="F69" s="55" t="s">
        <v>39</v>
      </c>
      <c r="G69" s="55" t="s">
        <v>762</v>
      </c>
      <c r="H69" s="53"/>
      <c r="I69" s="146"/>
      <c r="J69" s="146"/>
      <c r="K69" s="146"/>
      <c r="L69" s="146"/>
      <c r="M69" s="146"/>
      <c r="N69" s="146"/>
      <c r="O69" s="146"/>
      <c r="P69" s="146"/>
      <c r="Q69" s="146"/>
      <c r="R69" s="146"/>
      <c r="S69" s="146"/>
      <c r="T69" s="146"/>
      <c r="U69" s="146"/>
      <c r="V69" s="146"/>
      <c r="W69" s="146"/>
      <c r="X69" s="146"/>
      <c r="Y69" s="146"/>
      <c r="Z69" s="146"/>
      <c r="AA69" s="146"/>
    </row>
    <row r="70" ht="22.5" customHeight="1">
      <c r="A70" s="141">
        <v>45952.0</v>
      </c>
      <c r="B70" s="58">
        <v>8.0</v>
      </c>
      <c r="C70" s="151"/>
      <c r="D70" s="51"/>
      <c r="E70" s="55" t="s">
        <v>737</v>
      </c>
      <c r="F70" s="55" t="s">
        <v>39</v>
      </c>
      <c r="G70" s="55" t="s">
        <v>762</v>
      </c>
      <c r="H70" s="53"/>
      <c r="I70" s="146"/>
      <c r="J70" s="146"/>
      <c r="K70" s="146"/>
      <c r="L70" s="146"/>
      <c r="M70" s="146"/>
      <c r="N70" s="146"/>
      <c r="O70" s="146"/>
      <c r="P70" s="146"/>
      <c r="Q70" s="146"/>
      <c r="R70" s="146"/>
      <c r="S70" s="146"/>
      <c r="T70" s="146"/>
      <c r="U70" s="146"/>
      <c r="V70" s="146"/>
      <c r="W70" s="146"/>
      <c r="X70" s="146"/>
      <c r="Y70" s="146"/>
      <c r="Z70" s="146"/>
      <c r="AA70" s="146"/>
    </row>
    <row r="71" ht="22.5" customHeight="1">
      <c r="A71" s="141">
        <v>45953.0</v>
      </c>
      <c r="B71" s="58">
        <v>8.0</v>
      </c>
      <c r="C71" s="151"/>
      <c r="D71" s="51"/>
      <c r="E71" s="55" t="s">
        <v>737</v>
      </c>
      <c r="F71" s="55" t="s">
        <v>39</v>
      </c>
      <c r="G71" s="55" t="s">
        <v>762</v>
      </c>
      <c r="H71" s="53"/>
      <c r="I71" s="146"/>
      <c r="J71" s="146"/>
      <c r="K71" s="146"/>
      <c r="L71" s="146"/>
      <c r="M71" s="146"/>
      <c r="N71" s="146"/>
      <c r="O71" s="146"/>
      <c r="P71" s="146"/>
      <c r="Q71" s="146"/>
      <c r="R71" s="146"/>
      <c r="S71" s="146"/>
      <c r="T71" s="146"/>
      <c r="U71" s="146"/>
      <c r="V71" s="146"/>
      <c r="W71" s="146"/>
      <c r="X71" s="146"/>
      <c r="Y71" s="146"/>
      <c r="Z71" s="146"/>
      <c r="AA71" s="146"/>
    </row>
    <row r="72" ht="22.5" customHeight="1">
      <c r="A72" s="141">
        <v>45954.0</v>
      </c>
      <c r="B72" s="58">
        <v>8.0</v>
      </c>
      <c r="C72" s="151"/>
      <c r="D72" s="51"/>
      <c r="E72" s="55" t="s">
        <v>737</v>
      </c>
      <c r="F72" s="55" t="s">
        <v>39</v>
      </c>
      <c r="G72" s="55" t="s">
        <v>762</v>
      </c>
      <c r="H72" s="53"/>
      <c r="I72" s="146"/>
      <c r="J72" s="146"/>
      <c r="K72" s="146"/>
      <c r="L72" s="146"/>
      <c r="M72" s="146"/>
      <c r="N72" s="146"/>
      <c r="O72" s="146"/>
      <c r="P72" s="146"/>
      <c r="Q72" s="146"/>
      <c r="R72" s="146"/>
      <c r="S72" s="146"/>
      <c r="T72" s="146"/>
      <c r="U72" s="146"/>
      <c r="V72" s="146"/>
      <c r="W72" s="146"/>
      <c r="X72" s="146"/>
      <c r="Y72" s="146"/>
      <c r="Z72" s="146"/>
      <c r="AA72" s="146"/>
    </row>
    <row r="73" ht="22.5" customHeight="1">
      <c r="A73" s="141">
        <v>45957.0</v>
      </c>
      <c r="B73" s="151"/>
      <c r="C73" s="151"/>
      <c r="D73" s="51"/>
      <c r="E73" s="51"/>
      <c r="F73" s="51"/>
      <c r="G73" s="51"/>
      <c r="H73" s="53"/>
      <c r="I73" s="146"/>
      <c r="J73" s="146"/>
      <c r="K73" s="146"/>
      <c r="L73" s="146"/>
      <c r="M73" s="146"/>
      <c r="N73" s="146"/>
      <c r="O73" s="146"/>
      <c r="P73" s="146"/>
      <c r="Q73" s="146"/>
      <c r="R73" s="146"/>
      <c r="S73" s="146"/>
      <c r="T73" s="146"/>
      <c r="U73" s="146"/>
      <c r="V73" s="146"/>
      <c r="W73" s="146"/>
      <c r="X73" s="146"/>
      <c r="Y73" s="146"/>
      <c r="Z73" s="146"/>
      <c r="AA73" s="146"/>
    </row>
    <row r="74" ht="22.5" customHeight="1">
      <c r="A74" s="141">
        <v>45958.0</v>
      </c>
      <c r="B74" s="151"/>
      <c r="C74" s="151"/>
      <c r="D74" s="51"/>
      <c r="E74" s="51"/>
      <c r="F74" s="51"/>
      <c r="G74" s="51"/>
      <c r="H74" s="53"/>
      <c r="I74" s="146"/>
      <c r="J74" s="146"/>
      <c r="K74" s="146"/>
      <c r="L74" s="146"/>
      <c r="M74" s="146"/>
      <c r="N74" s="146"/>
      <c r="O74" s="146"/>
      <c r="P74" s="146"/>
      <c r="Q74" s="146"/>
      <c r="R74" s="146"/>
      <c r="S74" s="146"/>
      <c r="T74" s="146"/>
      <c r="U74" s="146"/>
      <c r="V74" s="146"/>
      <c r="W74" s="146"/>
      <c r="X74" s="146"/>
      <c r="Y74" s="146"/>
      <c r="Z74" s="146"/>
      <c r="AA74" s="146"/>
    </row>
    <row r="75" ht="22.5" customHeight="1">
      <c r="A75" s="141">
        <v>45959.0</v>
      </c>
      <c r="B75" s="151"/>
      <c r="C75" s="151"/>
      <c r="D75" s="51"/>
      <c r="E75" s="51"/>
      <c r="F75" s="51"/>
      <c r="G75" s="51"/>
      <c r="H75" s="53"/>
      <c r="I75" s="146"/>
      <c r="J75" s="146"/>
      <c r="K75" s="146"/>
      <c r="L75" s="146"/>
      <c r="M75" s="146"/>
      <c r="N75" s="146"/>
      <c r="O75" s="146"/>
      <c r="P75" s="146"/>
      <c r="Q75" s="146"/>
      <c r="R75" s="146"/>
      <c r="S75" s="146"/>
      <c r="T75" s="146"/>
      <c r="U75" s="146"/>
      <c r="V75" s="146"/>
      <c r="W75" s="146"/>
      <c r="X75" s="146"/>
      <c r="Y75" s="146"/>
      <c r="Z75" s="146"/>
      <c r="AA75" s="146"/>
    </row>
    <row r="76" ht="22.5" customHeight="1">
      <c r="A76" s="141">
        <v>45960.0</v>
      </c>
      <c r="B76" s="151"/>
      <c r="C76" s="151"/>
      <c r="D76" s="51"/>
      <c r="E76" s="51"/>
      <c r="F76" s="51"/>
      <c r="G76" s="51"/>
      <c r="H76" s="53"/>
      <c r="I76" s="146"/>
      <c r="J76" s="146"/>
      <c r="K76" s="146"/>
      <c r="L76" s="146"/>
      <c r="M76" s="146"/>
      <c r="N76" s="146"/>
      <c r="O76" s="146"/>
      <c r="P76" s="146"/>
      <c r="Q76" s="146"/>
      <c r="R76" s="146"/>
      <c r="S76" s="146"/>
      <c r="T76" s="146"/>
      <c r="U76" s="146"/>
      <c r="V76" s="146"/>
      <c r="W76" s="146"/>
      <c r="X76" s="146"/>
      <c r="Y76" s="146"/>
      <c r="Z76" s="146"/>
      <c r="AA76" s="146"/>
    </row>
    <row r="77" ht="22.5" customHeight="1">
      <c r="A77" s="145"/>
      <c r="B77" s="154"/>
      <c r="C77" s="154"/>
      <c r="D77" s="138"/>
      <c r="E77" s="138"/>
      <c r="F77" s="138"/>
      <c r="G77" s="138"/>
      <c r="H77" s="119"/>
      <c r="I77" s="146"/>
      <c r="J77" s="146"/>
      <c r="K77" s="146"/>
      <c r="L77" s="146"/>
      <c r="M77" s="146"/>
      <c r="N77" s="146"/>
      <c r="O77" s="146"/>
      <c r="P77" s="146"/>
      <c r="Q77" s="146"/>
      <c r="R77" s="146"/>
      <c r="S77" s="146"/>
      <c r="T77" s="146"/>
      <c r="U77" s="146"/>
      <c r="V77" s="146"/>
      <c r="W77" s="146"/>
      <c r="X77" s="146"/>
      <c r="Y77" s="146"/>
      <c r="Z77" s="146"/>
      <c r="AA77" s="146"/>
    </row>
    <row r="78" ht="22.5" customHeight="1">
      <c r="A78" s="145"/>
      <c r="B78" s="154"/>
      <c r="C78" s="154"/>
      <c r="D78" s="138"/>
      <c r="E78" s="138"/>
      <c r="F78" s="138"/>
      <c r="G78" s="138"/>
      <c r="H78" s="119"/>
      <c r="I78" s="146"/>
      <c r="J78" s="146"/>
      <c r="K78" s="146"/>
      <c r="L78" s="146"/>
      <c r="M78" s="146"/>
      <c r="N78" s="146"/>
      <c r="O78" s="146"/>
      <c r="P78" s="146"/>
      <c r="Q78" s="146"/>
      <c r="R78" s="146"/>
      <c r="S78" s="146"/>
      <c r="T78" s="146"/>
      <c r="U78" s="146"/>
      <c r="V78" s="146"/>
      <c r="W78" s="146"/>
      <c r="X78" s="146"/>
      <c r="Y78" s="146"/>
      <c r="Z78" s="146"/>
      <c r="AA78" s="146"/>
    </row>
    <row r="79" ht="22.5" customHeight="1">
      <c r="A79" s="145"/>
      <c r="B79" s="154"/>
      <c r="C79" s="154"/>
      <c r="D79" s="138"/>
      <c r="E79" s="138"/>
      <c r="F79" s="138"/>
      <c r="G79" s="138"/>
      <c r="H79" s="119"/>
      <c r="I79" s="146"/>
      <c r="J79" s="146"/>
      <c r="K79" s="146"/>
      <c r="L79" s="146"/>
      <c r="M79" s="146"/>
      <c r="N79" s="146"/>
      <c r="O79" s="146"/>
      <c r="P79" s="146"/>
      <c r="Q79" s="146"/>
      <c r="R79" s="146"/>
      <c r="S79" s="146"/>
      <c r="T79" s="146"/>
      <c r="U79" s="146"/>
      <c r="V79" s="146"/>
      <c r="W79" s="146"/>
      <c r="X79" s="146"/>
      <c r="Y79" s="146"/>
      <c r="Z79" s="146"/>
      <c r="AA79" s="146"/>
    </row>
    <row r="80" ht="22.5" customHeight="1">
      <c r="A80" s="145"/>
      <c r="B80" s="154"/>
      <c r="C80" s="154"/>
      <c r="D80" s="138"/>
      <c r="E80" s="138"/>
      <c r="F80" s="138"/>
      <c r="G80" s="138"/>
      <c r="H80" s="119"/>
      <c r="I80" s="146"/>
      <c r="J80" s="146"/>
      <c r="K80" s="146"/>
      <c r="L80" s="146"/>
      <c r="M80" s="146"/>
      <c r="N80" s="146"/>
      <c r="O80" s="146"/>
      <c r="P80" s="146"/>
      <c r="Q80" s="146"/>
      <c r="R80" s="146"/>
      <c r="S80" s="146"/>
      <c r="T80" s="146"/>
      <c r="U80" s="146"/>
      <c r="V80" s="146"/>
      <c r="W80" s="146"/>
      <c r="X80" s="146"/>
      <c r="Y80" s="146"/>
      <c r="Z80" s="146"/>
      <c r="AA80" s="146"/>
    </row>
    <row r="81" ht="22.5" customHeight="1">
      <c r="A81" s="145"/>
      <c r="B81" s="154"/>
      <c r="C81" s="154"/>
      <c r="D81" s="138"/>
      <c r="E81" s="138"/>
      <c r="F81" s="138"/>
      <c r="G81" s="138"/>
      <c r="H81" s="119"/>
      <c r="I81" s="146"/>
      <c r="J81" s="146"/>
      <c r="K81" s="146"/>
      <c r="L81" s="146"/>
      <c r="M81" s="146"/>
      <c r="N81" s="146"/>
      <c r="O81" s="146"/>
      <c r="P81" s="146"/>
      <c r="Q81" s="146"/>
      <c r="R81" s="146"/>
      <c r="S81" s="146"/>
      <c r="T81" s="146"/>
      <c r="U81" s="146"/>
      <c r="V81" s="146"/>
      <c r="W81" s="146"/>
      <c r="X81" s="146"/>
      <c r="Y81" s="146"/>
      <c r="Z81" s="146"/>
      <c r="AA81" s="146"/>
    </row>
    <row r="82" ht="22.5" customHeight="1">
      <c r="A82" s="145"/>
      <c r="B82" s="154"/>
      <c r="C82" s="154"/>
      <c r="D82" s="138"/>
      <c r="E82" s="138"/>
      <c r="F82" s="138"/>
      <c r="G82" s="138"/>
      <c r="H82" s="119"/>
      <c r="I82" s="146"/>
      <c r="J82" s="146"/>
      <c r="K82" s="146"/>
      <c r="L82" s="146"/>
      <c r="M82" s="146"/>
      <c r="N82" s="146"/>
      <c r="O82" s="146"/>
      <c r="P82" s="146"/>
      <c r="Q82" s="146"/>
      <c r="R82" s="146"/>
      <c r="S82" s="146"/>
      <c r="T82" s="146"/>
      <c r="U82" s="146"/>
      <c r="V82" s="146"/>
      <c r="W82" s="146"/>
      <c r="X82" s="146"/>
      <c r="Y82" s="146"/>
      <c r="Z82" s="146"/>
      <c r="AA82" s="146"/>
    </row>
    <row r="83" ht="22.5" customHeight="1">
      <c r="A83" s="145"/>
      <c r="B83" s="154"/>
      <c r="C83" s="154"/>
      <c r="D83" s="138"/>
      <c r="E83" s="138"/>
      <c r="F83" s="138"/>
      <c r="G83" s="138"/>
      <c r="H83" s="119"/>
      <c r="I83" s="146"/>
      <c r="J83" s="146"/>
      <c r="K83" s="146"/>
      <c r="L83" s="146"/>
      <c r="M83" s="146"/>
      <c r="N83" s="146"/>
      <c r="O83" s="146"/>
      <c r="P83" s="146"/>
      <c r="Q83" s="146"/>
      <c r="R83" s="146"/>
      <c r="S83" s="146"/>
      <c r="T83" s="146"/>
      <c r="U83" s="146"/>
      <c r="V83" s="146"/>
      <c r="W83" s="146"/>
      <c r="X83" s="146"/>
      <c r="Y83" s="146"/>
      <c r="Z83" s="146"/>
      <c r="AA83" s="146"/>
    </row>
    <row r="84" ht="22.5" customHeight="1">
      <c r="A84" s="145"/>
      <c r="B84" s="154"/>
      <c r="C84" s="154"/>
      <c r="D84" s="138"/>
      <c r="E84" s="138"/>
      <c r="F84" s="138"/>
      <c r="G84" s="138"/>
      <c r="H84" s="119"/>
      <c r="I84" s="146"/>
      <c r="J84" s="146"/>
      <c r="K84" s="146"/>
      <c r="L84" s="146"/>
      <c r="M84" s="146"/>
      <c r="N84" s="146"/>
      <c r="O84" s="146"/>
      <c r="P84" s="146"/>
      <c r="Q84" s="146"/>
      <c r="R84" s="146"/>
      <c r="S84" s="146"/>
      <c r="T84" s="146"/>
      <c r="U84" s="146"/>
      <c r="V84" s="146"/>
      <c r="W84" s="146"/>
      <c r="X84" s="146"/>
      <c r="Y84" s="146"/>
      <c r="Z84" s="146"/>
      <c r="AA84" s="146"/>
    </row>
    <row r="85" ht="22.5" customHeight="1">
      <c r="A85" s="145"/>
      <c r="B85" s="154"/>
      <c r="C85" s="154"/>
      <c r="D85" s="138"/>
      <c r="E85" s="138"/>
      <c r="F85" s="138"/>
      <c r="G85" s="138"/>
      <c r="H85" s="119"/>
      <c r="I85" s="146"/>
      <c r="J85" s="146"/>
      <c r="K85" s="146"/>
      <c r="L85" s="146"/>
      <c r="M85" s="146"/>
      <c r="N85" s="146"/>
      <c r="O85" s="146"/>
      <c r="P85" s="146"/>
      <c r="Q85" s="146"/>
      <c r="R85" s="146"/>
      <c r="S85" s="146"/>
      <c r="T85" s="146"/>
      <c r="U85" s="146"/>
      <c r="V85" s="146"/>
      <c r="W85" s="146"/>
      <c r="X85" s="146"/>
      <c r="Y85" s="146"/>
      <c r="Z85" s="146"/>
      <c r="AA85" s="146"/>
    </row>
    <row r="86" ht="22.5" customHeight="1">
      <c r="A86" s="145"/>
      <c r="B86" s="154"/>
      <c r="C86" s="154"/>
      <c r="D86" s="138"/>
      <c r="E86" s="138"/>
      <c r="F86" s="138"/>
      <c r="G86" s="138"/>
      <c r="H86" s="119"/>
      <c r="I86" s="146"/>
      <c r="J86" s="146"/>
      <c r="K86" s="146"/>
      <c r="L86" s="146"/>
      <c r="M86" s="146"/>
      <c r="N86" s="146"/>
      <c r="O86" s="146"/>
      <c r="P86" s="146"/>
      <c r="Q86" s="146"/>
      <c r="R86" s="146"/>
      <c r="S86" s="146"/>
      <c r="T86" s="146"/>
      <c r="U86" s="146"/>
      <c r="V86" s="146"/>
      <c r="W86" s="146"/>
      <c r="X86" s="146"/>
      <c r="Y86" s="146"/>
      <c r="Z86" s="146"/>
      <c r="AA86" s="146"/>
    </row>
    <row r="87" ht="22.5" customHeight="1">
      <c r="A87" s="145"/>
      <c r="B87" s="154"/>
      <c r="C87" s="154"/>
      <c r="D87" s="138"/>
      <c r="E87" s="138"/>
      <c r="F87" s="138"/>
      <c r="G87" s="138"/>
      <c r="H87" s="119"/>
      <c r="I87" s="146"/>
      <c r="J87" s="146"/>
      <c r="K87" s="146"/>
      <c r="L87" s="146"/>
      <c r="M87" s="146"/>
      <c r="N87" s="146"/>
      <c r="O87" s="146"/>
      <c r="P87" s="146"/>
      <c r="Q87" s="146"/>
      <c r="R87" s="146"/>
      <c r="S87" s="146"/>
      <c r="T87" s="146"/>
      <c r="U87" s="146"/>
      <c r="V87" s="146"/>
      <c r="W87" s="146"/>
      <c r="X87" s="146"/>
      <c r="Y87" s="146"/>
      <c r="Z87" s="146"/>
      <c r="AA87" s="146"/>
    </row>
    <row r="88" ht="22.5" customHeight="1">
      <c r="A88" s="145"/>
      <c r="B88" s="154"/>
      <c r="C88" s="154"/>
      <c r="D88" s="138"/>
      <c r="E88" s="138"/>
      <c r="F88" s="138"/>
      <c r="G88" s="138"/>
      <c r="H88" s="119"/>
      <c r="I88" s="146"/>
      <c r="J88" s="146"/>
      <c r="K88" s="146"/>
      <c r="L88" s="146"/>
      <c r="M88" s="146"/>
      <c r="N88" s="146"/>
      <c r="O88" s="146"/>
      <c r="P88" s="146"/>
      <c r="Q88" s="146"/>
      <c r="R88" s="146"/>
      <c r="S88" s="146"/>
      <c r="T88" s="146"/>
      <c r="U88" s="146"/>
      <c r="V88" s="146"/>
      <c r="W88" s="146"/>
      <c r="X88" s="146"/>
      <c r="Y88" s="146"/>
      <c r="Z88" s="146"/>
      <c r="AA88" s="146"/>
    </row>
    <row r="89" ht="22.5" customHeight="1">
      <c r="A89" s="145"/>
      <c r="B89" s="154"/>
      <c r="C89" s="154"/>
      <c r="D89" s="138"/>
      <c r="E89" s="138"/>
      <c r="F89" s="138"/>
      <c r="G89" s="138"/>
      <c r="H89" s="119"/>
      <c r="I89" s="146"/>
      <c r="J89" s="146"/>
      <c r="K89" s="146"/>
      <c r="L89" s="146"/>
      <c r="M89" s="146"/>
      <c r="N89" s="146"/>
      <c r="O89" s="146"/>
      <c r="P89" s="146"/>
      <c r="Q89" s="146"/>
      <c r="R89" s="146"/>
      <c r="S89" s="146"/>
      <c r="T89" s="146"/>
      <c r="U89" s="146"/>
      <c r="V89" s="146"/>
      <c r="W89" s="146"/>
      <c r="X89" s="146"/>
      <c r="Y89" s="146"/>
      <c r="Z89" s="146"/>
      <c r="AA89" s="146"/>
    </row>
    <row r="90" ht="22.5" customHeight="1">
      <c r="A90" s="145"/>
      <c r="B90" s="154"/>
      <c r="C90" s="154"/>
      <c r="D90" s="138"/>
      <c r="E90" s="138"/>
      <c r="F90" s="138"/>
      <c r="G90" s="138"/>
      <c r="H90" s="119"/>
      <c r="I90" s="146"/>
      <c r="J90" s="146"/>
      <c r="K90" s="146"/>
      <c r="L90" s="146"/>
      <c r="M90" s="146"/>
      <c r="N90" s="146"/>
      <c r="O90" s="146"/>
      <c r="P90" s="146"/>
      <c r="Q90" s="146"/>
      <c r="R90" s="146"/>
      <c r="S90" s="146"/>
      <c r="T90" s="146"/>
      <c r="U90" s="146"/>
      <c r="V90" s="146"/>
      <c r="W90" s="146"/>
      <c r="X90" s="146"/>
      <c r="Y90" s="146"/>
      <c r="Z90" s="146"/>
      <c r="AA90" s="146"/>
    </row>
    <row r="91" ht="22.5" customHeight="1">
      <c r="A91" s="145"/>
      <c r="B91" s="154"/>
      <c r="C91" s="154"/>
      <c r="D91" s="138"/>
      <c r="E91" s="138"/>
      <c r="F91" s="138"/>
      <c r="G91" s="138"/>
      <c r="H91" s="119"/>
      <c r="I91" s="146"/>
      <c r="J91" s="146"/>
      <c r="K91" s="146"/>
      <c r="L91" s="146"/>
      <c r="M91" s="146"/>
      <c r="N91" s="146"/>
      <c r="O91" s="146"/>
      <c r="P91" s="146"/>
      <c r="Q91" s="146"/>
      <c r="R91" s="146"/>
      <c r="S91" s="146"/>
      <c r="T91" s="146"/>
      <c r="U91" s="146"/>
      <c r="V91" s="146"/>
      <c r="W91" s="146"/>
      <c r="X91" s="146"/>
      <c r="Y91" s="146"/>
      <c r="Z91" s="146"/>
      <c r="AA91" s="146"/>
    </row>
    <row r="92" ht="22.5" customHeight="1">
      <c r="A92" s="145"/>
      <c r="B92" s="154"/>
      <c r="C92" s="154"/>
      <c r="D92" s="138"/>
      <c r="E92" s="138"/>
      <c r="F92" s="138"/>
      <c r="G92" s="138"/>
      <c r="H92" s="119"/>
      <c r="I92" s="146"/>
      <c r="J92" s="146"/>
      <c r="K92" s="146"/>
      <c r="L92" s="146"/>
      <c r="M92" s="146"/>
      <c r="N92" s="146"/>
      <c r="O92" s="146"/>
      <c r="P92" s="146"/>
      <c r="Q92" s="146"/>
      <c r="R92" s="146"/>
      <c r="S92" s="146"/>
      <c r="T92" s="146"/>
      <c r="U92" s="146"/>
      <c r="V92" s="146"/>
      <c r="W92" s="146"/>
      <c r="X92" s="146"/>
      <c r="Y92" s="146"/>
      <c r="Z92" s="146"/>
      <c r="AA92" s="146"/>
    </row>
    <row r="93" ht="22.5" customHeight="1">
      <c r="A93" s="145"/>
      <c r="B93" s="154"/>
      <c r="C93" s="154"/>
      <c r="D93" s="138"/>
      <c r="E93" s="138"/>
      <c r="F93" s="138"/>
      <c r="G93" s="138"/>
      <c r="H93" s="119"/>
      <c r="I93" s="146"/>
      <c r="J93" s="146"/>
      <c r="K93" s="146"/>
      <c r="L93" s="146"/>
      <c r="M93" s="146"/>
      <c r="N93" s="146"/>
      <c r="O93" s="146"/>
      <c r="P93" s="146"/>
      <c r="Q93" s="146"/>
      <c r="R93" s="146"/>
      <c r="S93" s="146"/>
      <c r="T93" s="146"/>
      <c r="U93" s="146"/>
      <c r="V93" s="146"/>
      <c r="W93" s="146"/>
      <c r="X93" s="146"/>
      <c r="Y93" s="146"/>
      <c r="Z93" s="146"/>
      <c r="AA93" s="146"/>
    </row>
    <row r="94" ht="22.5" customHeight="1">
      <c r="A94" s="145"/>
      <c r="B94" s="154"/>
      <c r="C94" s="154"/>
      <c r="D94" s="138"/>
      <c r="E94" s="138"/>
      <c r="F94" s="138"/>
      <c r="G94" s="138"/>
      <c r="H94" s="119"/>
      <c r="I94" s="146"/>
      <c r="J94" s="146"/>
      <c r="K94" s="146"/>
      <c r="L94" s="146"/>
      <c r="M94" s="146"/>
      <c r="N94" s="146"/>
      <c r="O94" s="146"/>
      <c r="P94" s="146"/>
      <c r="Q94" s="146"/>
      <c r="R94" s="146"/>
      <c r="S94" s="146"/>
      <c r="T94" s="146"/>
      <c r="U94" s="146"/>
      <c r="V94" s="146"/>
      <c r="W94" s="146"/>
      <c r="X94" s="146"/>
      <c r="Y94" s="146"/>
      <c r="Z94" s="146"/>
      <c r="AA94" s="146"/>
    </row>
    <row r="95" ht="22.5" customHeight="1">
      <c r="A95" s="145"/>
      <c r="B95" s="154"/>
      <c r="C95" s="154"/>
      <c r="D95" s="138"/>
      <c r="E95" s="138"/>
      <c r="F95" s="138"/>
      <c r="G95" s="138"/>
      <c r="H95" s="119"/>
      <c r="I95" s="146"/>
      <c r="J95" s="146"/>
      <c r="K95" s="146"/>
      <c r="L95" s="146"/>
      <c r="M95" s="146"/>
      <c r="N95" s="146"/>
      <c r="O95" s="146"/>
      <c r="P95" s="146"/>
      <c r="Q95" s="146"/>
      <c r="R95" s="146"/>
      <c r="S95" s="146"/>
      <c r="T95" s="146"/>
      <c r="U95" s="146"/>
      <c r="V95" s="146"/>
      <c r="W95" s="146"/>
      <c r="X95" s="146"/>
      <c r="Y95" s="146"/>
      <c r="Z95" s="146"/>
      <c r="AA95" s="146"/>
    </row>
    <row r="96" ht="22.5" customHeight="1">
      <c r="A96" s="145"/>
      <c r="B96" s="154"/>
      <c r="C96" s="154"/>
      <c r="D96" s="138"/>
      <c r="E96" s="138"/>
      <c r="F96" s="138"/>
      <c r="G96" s="138"/>
      <c r="H96" s="119"/>
      <c r="I96" s="146"/>
      <c r="J96" s="146"/>
      <c r="K96" s="146"/>
      <c r="L96" s="146"/>
      <c r="M96" s="146"/>
      <c r="N96" s="146"/>
      <c r="O96" s="146"/>
      <c r="P96" s="146"/>
      <c r="Q96" s="146"/>
      <c r="R96" s="146"/>
      <c r="S96" s="146"/>
      <c r="T96" s="146"/>
      <c r="U96" s="146"/>
      <c r="V96" s="146"/>
      <c r="W96" s="146"/>
      <c r="X96" s="146"/>
      <c r="Y96" s="146"/>
      <c r="Z96" s="146"/>
      <c r="AA96" s="146"/>
    </row>
    <row r="97" ht="22.5" customHeight="1">
      <c r="A97" s="145"/>
      <c r="B97" s="154"/>
      <c r="C97" s="154"/>
      <c r="D97" s="138"/>
      <c r="E97" s="138"/>
      <c r="F97" s="138"/>
      <c r="G97" s="138"/>
      <c r="H97" s="119"/>
      <c r="I97" s="146"/>
      <c r="J97" s="146"/>
      <c r="K97" s="146"/>
      <c r="L97" s="146"/>
      <c r="M97" s="146"/>
      <c r="N97" s="146"/>
      <c r="O97" s="146"/>
      <c r="P97" s="146"/>
      <c r="Q97" s="146"/>
      <c r="R97" s="146"/>
      <c r="S97" s="146"/>
      <c r="T97" s="146"/>
      <c r="U97" s="146"/>
      <c r="V97" s="146"/>
      <c r="W97" s="146"/>
      <c r="X97" s="146"/>
      <c r="Y97" s="146"/>
      <c r="Z97" s="146"/>
      <c r="AA97" s="146"/>
    </row>
    <row r="98" ht="22.5" customHeight="1">
      <c r="A98" s="145"/>
      <c r="B98" s="154"/>
      <c r="C98" s="154"/>
      <c r="D98" s="138"/>
      <c r="E98" s="138"/>
      <c r="F98" s="138"/>
      <c r="G98" s="138"/>
      <c r="H98" s="119"/>
      <c r="I98" s="146"/>
      <c r="J98" s="146"/>
      <c r="K98" s="146"/>
      <c r="L98" s="146"/>
      <c r="M98" s="146"/>
      <c r="N98" s="146"/>
      <c r="O98" s="146"/>
      <c r="P98" s="146"/>
      <c r="Q98" s="146"/>
      <c r="R98" s="146"/>
      <c r="S98" s="146"/>
      <c r="T98" s="146"/>
      <c r="U98" s="146"/>
      <c r="V98" s="146"/>
      <c r="W98" s="146"/>
      <c r="X98" s="146"/>
      <c r="Y98" s="146"/>
      <c r="Z98" s="146"/>
      <c r="AA98" s="146"/>
    </row>
    <row r="99" ht="22.5" customHeight="1">
      <c r="A99" s="145"/>
      <c r="B99" s="154"/>
      <c r="C99" s="154"/>
      <c r="D99" s="138"/>
      <c r="E99" s="138"/>
      <c r="F99" s="138"/>
      <c r="G99" s="138"/>
      <c r="H99" s="119"/>
      <c r="I99" s="146"/>
      <c r="J99" s="146"/>
      <c r="K99" s="146"/>
      <c r="L99" s="146"/>
      <c r="M99" s="146"/>
      <c r="N99" s="146"/>
      <c r="O99" s="146"/>
      <c r="P99" s="146"/>
      <c r="Q99" s="146"/>
      <c r="R99" s="146"/>
      <c r="S99" s="146"/>
      <c r="T99" s="146"/>
      <c r="U99" s="146"/>
      <c r="V99" s="146"/>
      <c r="W99" s="146"/>
      <c r="X99" s="146"/>
      <c r="Y99" s="146"/>
      <c r="Z99" s="146"/>
      <c r="AA99" s="146"/>
    </row>
    <row r="100" ht="22.5" customHeight="1">
      <c r="A100" s="145"/>
      <c r="B100" s="154"/>
      <c r="C100" s="154"/>
      <c r="D100" s="138"/>
      <c r="E100" s="138"/>
      <c r="F100" s="138"/>
      <c r="G100" s="138"/>
      <c r="H100" s="119"/>
      <c r="I100" s="146"/>
      <c r="J100" s="146"/>
      <c r="K100" s="146"/>
      <c r="L100" s="146"/>
      <c r="M100" s="146"/>
      <c r="N100" s="146"/>
      <c r="O100" s="146"/>
      <c r="P100" s="146"/>
      <c r="Q100" s="146"/>
      <c r="R100" s="146"/>
      <c r="S100" s="146"/>
      <c r="T100" s="146"/>
      <c r="U100" s="146"/>
      <c r="V100" s="146"/>
      <c r="W100" s="146"/>
      <c r="X100" s="146"/>
      <c r="Y100" s="146"/>
      <c r="Z100" s="146"/>
      <c r="AA100" s="146"/>
    </row>
    <row r="101" ht="22.5" customHeight="1">
      <c r="A101" s="145"/>
      <c r="B101" s="154"/>
      <c r="C101" s="154"/>
      <c r="D101" s="138"/>
      <c r="E101" s="138"/>
      <c r="F101" s="138"/>
      <c r="G101" s="138"/>
      <c r="H101" s="119"/>
      <c r="I101" s="146"/>
      <c r="J101" s="146"/>
      <c r="K101" s="146"/>
      <c r="L101" s="146"/>
      <c r="M101" s="146"/>
      <c r="N101" s="146"/>
      <c r="O101" s="146"/>
      <c r="P101" s="146"/>
      <c r="Q101" s="146"/>
      <c r="R101" s="146"/>
      <c r="S101" s="146"/>
      <c r="T101" s="146"/>
      <c r="U101" s="146"/>
      <c r="V101" s="146"/>
      <c r="W101" s="146"/>
      <c r="X101" s="146"/>
      <c r="Y101" s="146"/>
      <c r="Z101" s="146"/>
      <c r="AA101" s="146"/>
    </row>
    <row r="102" ht="22.5" customHeight="1">
      <c r="A102" s="145"/>
      <c r="B102" s="154"/>
      <c r="C102" s="154"/>
      <c r="D102" s="138"/>
      <c r="E102" s="138"/>
      <c r="F102" s="138"/>
      <c r="G102" s="138"/>
      <c r="H102" s="119"/>
      <c r="I102" s="146"/>
      <c r="J102" s="146"/>
      <c r="K102" s="146"/>
      <c r="L102" s="146"/>
      <c r="M102" s="146"/>
      <c r="N102" s="146"/>
      <c r="O102" s="146"/>
      <c r="P102" s="146"/>
      <c r="Q102" s="146"/>
      <c r="R102" s="146"/>
      <c r="S102" s="146"/>
      <c r="T102" s="146"/>
      <c r="U102" s="146"/>
      <c r="V102" s="146"/>
      <c r="W102" s="146"/>
      <c r="X102" s="146"/>
      <c r="Y102" s="146"/>
      <c r="Z102" s="146"/>
      <c r="AA102" s="146"/>
    </row>
    <row r="103" ht="22.5" customHeight="1">
      <c r="A103" s="145"/>
      <c r="B103" s="154"/>
      <c r="C103" s="154"/>
      <c r="D103" s="138"/>
      <c r="E103" s="138"/>
      <c r="F103" s="138"/>
      <c r="G103" s="138"/>
      <c r="H103" s="119"/>
      <c r="I103" s="146"/>
      <c r="J103" s="146"/>
      <c r="K103" s="146"/>
      <c r="L103" s="146"/>
      <c r="M103" s="146"/>
      <c r="N103" s="146"/>
      <c r="O103" s="146"/>
      <c r="P103" s="146"/>
      <c r="Q103" s="146"/>
      <c r="R103" s="146"/>
      <c r="S103" s="146"/>
      <c r="T103" s="146"/>
      <c r="U103" s="146"/>
      <c r="V103" s="146"/>
      <c r="W103" s="146"/>
      <c r="X103" s="146"/>
      <c r="Y103" s="146"/>
      <c r="Z103" s="146"/>
      <c r="AA103" s="146"/>
    </row>
    <row r="104" ht="22.5" customHeight="1">
      <c r="A104" s="145"/>
      <c r="B104" s="154"/>
      <c r="C104" s="154"/>
      <c r="D104" s="138"/>
      <c r="E104" s="138"/>
      <c r="F104" s="138"/>
      <c r="G104" s="138"/>
      <c r="H104" s="119"/>
      <c r="I104" s="146"/>
      <c r="J104" s="146"/>
      <c r="K104" s="146"/>
      <c r="L104" s="146"/>
      <c r="M104" s="146"/>
      <c r="N104" s="146"/>
      <c r="O104" s="146"/>
      <c r="P104" s="146"/>
      <c r="Q104" s="146"/>
      <c r="R104" s="146"/>
      <c r="S104" s="146"/>
      <c r="T104" s="146"/>
      <c r="U104" s="146"/>
      <c r="V104" s="146"/>
      <c r="W104" s="146"/>
      <c r="X104" s="146"/>
      <c r="Y104" s="146"/>
      <c r="Z104" s="146"/>
      <c r="AA104" s="146"/>
    </row>
    <row r="105" ht="22.5" customHeight="1">
      <c r="A105" s="145"/>
      <c r="B105" s="154"/>
      <c r="C105" s="154"/>
      <c r="D105" s="138"/>
      <c r="E105" s="138"/>
      <c r="F105" s="138"/>
      <c r="G105" s="138"/>
      <c r="H105" s="119"/>
      <c r="I105" s="146"/>
      <c r="J105" s="146"/>
      <c r="K105" s="146"/>
      <c r="L105" s="146"/>
      <c r="M105" s="146"/>
      <c r="N105" s="146"/>
      <c r="O105" s="146"/>
      <c r="P105" s="146"/>
      <c r="Q105" s="146"/>
      <c r="R105" s="146"/>
      <c r="S105" s="146"/>
      <c r="T105" s="146"/>
      <c r="U105" s="146"/>
      <c r="V105" s="146"/>
      <c r="W105" s="146"/>
      <c r="X105" s="146"/>
      <c r="Y105" s="146"/>
      <c r="Z105" s="146"/>
      <c r="AA105" s="146"/>
    </row>
    <row r="106" ht="22.5" customHeight="1">
      <c r="A106" s="145"/>
      <c r="B106" s="154"/>
      <c r="C106" s="154"/>
      <c r="D106" s="138"/>
      <c r="E106" s="138"/>
      <c r="F106" s="138"/>
      <c r="G106" s="138"/>
      <c r="H106" s="119"/>
      <c r="I106" s="146"/>
      <c r="J106" s="146"/>
      <c r="K106" s="146"/>
      <c r="L106" s="146"/>
      <c r="M106" s="146"/>
      <c r="N106" s="146"/>
      <c r="O106" s="146"/>
      <c r="P106" s="146"/>
      <c r="Q106" s="146"/>
      <c r="R106" s="146"/>
      <c r="S106" s="146"/>
      <c r="T106" s="146"/>
      <c r="U106" s="146"/>
      <c r="V106" s="146"/>
      <c r="W106" s="146"/>
      <c r="X106" s="146"/>
      <c r="Y106" s="146"/>
      <c r="Z106" s="146"/>
      <c r="AA106" s="146"/>
    </row>
    <row r="107" ht="22.5" customHeight="1">
      <c r="A107" s="145"/>
      <c r="B107" s="154"/>
      <c r="C107" s="154"/>
      <c r="D107" s="138"/>
      <c r="E107" s="138"/>
      <c r="F107" s="138"/>
      <c r="G107" s="138"/>
      <c r="H107" s="119"/>
      <c r="I107" s="146"/>
      <c r="J107" s="146"/>
      <c r="K107" s="146"/>
      <c r="L107" s="146"/>
      <c r="M107" s="146"/>
      <c r="N107" s="146"/>
      <c r="O107" s="146"/>
      <c r="P107" s="146"/>
      <c r="Q107" s="146"/>
      <c r="R107" s="146"/>
      <c r="S107" s="146"/>
      <c r="T107" s="146"/>
      <c r="U107" s="146"/>
      <c r="V107" s="146"/>
      <c r="W107" s="146"/>
      <c r="X107" s="146"/>
      <c r="Y107" s="146"/>
      <c r="Z107" s="146"/>
      <c r="AA107" s="146"/>
    </row>
    <row r="108" ht="22.5" customHeight="1">
      <c r="A108" s="145"/>
      <c r="B108" s="154"/>
      <c r="C108" s="154"/>
      <c r="D108" s="138"/>
      <c r="E108" s="138"/>
      <c r="F108" s="138"/>
      <c r="G108" s="138"/>
      <c r="H108" s="119"/>
      <c r="I108" s="146"/>
      <c r="J108" s="146"/>
      <c r="K108" s="146"/>
      <c r="L108" s="146"/>
      <c r="M108" s="146"/>
      <c r="N108" s="146"/>
      <c r="O108" s="146"/>
      <c r="P108" s="146"/>
      <c r="Q108" s="146"/>
      <c r="R108" s="146"/>
      <c r="S108" s="146"/>
      <c r="T108" s="146"/>
      <c r="U108" s="146"/>
      <c r="V108" s="146"/>
      <c r="W108" s="146"/>
      <c r="X108" s="146"/>
      <c r="Y108" s="146"/>
      <c r="Z108" s="146"/>
      <c r="AA108" s="146"/>
    </row>
    <row r="109" ht="22.5" customHeight="1">
      <c r="A109" s="145"/>
      <c r="B109" s="154"/>
      <c r="C109" s="154"/>
      <c r="D109" s="138"/>
      <c r="E109" s="138"/>
      <c r="F109" s="138"/>
      <c r="G109" s="138"/>
      <c r="H109" s="119"/>
      <c r="I109" s="146"/>
      <c r="J109" s="146"/>
      <c r="K109" s="146"/>
      <c r="L109" s="146"/>
      <c r="M109" s="146"/>
      <c r="N109" s="146"/>
      <c r="O109" s="146"/>
      <c r="P109" s="146"/>
      <c r="Q109" s="146"/>
      <c r="R109" s="146"/>
      <c r="S109" s="146"/>
      <c r="T109" s="146"/>
      <c r="U109" s="146"/>
      <c r="V109" s="146"/>
      <c r="W109" s="146"/>
      <c r="X109" s="146"/>
      <c r="Y109" s="146"/>
      <c r="Z109" s="146"/>
      <c r="AA109" s="146"/>
    </row>
    <row r="110" ht="22.5" customHeight="1">
      <c r="A110" s="145"/>
      <c r="B110" s="154"/>
      <c r="C110" s="154"/>
      <c r="D110" s="138"/>
      <c r="E110" s="138"/>
      <c r="F110" s="138"/>
      <c r="G110" s="138"/>
      <c r="H110" s="119"/>
      <c r="I110" s="146"/>
      <c r="J110" s="146"/>
      <c r="K110" s="146"/>
      <c r="L110" s="146"/>
      <c r="M110" s="146"/>
      <c r="N110" s="146"/>
      <c r="O110" s="146"/>
      <c r="P110" s="146"/>
      <c r="Q110" s="146"/>
      <c r="R110" s="146"/>
      <c r="S110" s="146"/>
      <c r="T110" s="146"/>
      <c r="U110" s="146"/>
      <c r="V110" s="146"/>
      <c r="W110" s="146"/>
      <c r="X110" s="146"/>
      <c r="Y110" s="146"/>
      <c r="Z110" s="146"/>
      <c r="AA110" s="146"/>
    </row>
    <row r="111" ht="22.5" customHeight="1">
      <c r="A111" s="145"/>
      <c r="B111" s="154"/>
      <c r="C111" s="154"/>
      <c r="D111" s="138"/>
      <c r="E111" s="138"/>
      <c r="F111" s="138"/>
      <c r="G111" s="138"/>
      <c r="H111" s="119"/>
      <c r="I111" s="146"/>
      <c r="J111" s="146"/>
      <c r="K111" s="146"/>
      <c r="L111" s="146"/>
      <c r="M111" s="146"/>
      <c r="N111" s="146"/>
      <c r="O111" s="146"/>
      <c r="P111" s="146"/>
      <c r="Q111" s="146"/>
      <c r="R111" s="146"/>
      <c r="S111" s="146"/>
      <c r="T111" s="146"/>
      <c r="U111" s="146"/>
      <c r="V111" s="146"/>
      <c r="W111" s="146"/>
      <c r="X111" s="146"/>
      <c r="Y111" s="146"/>
      <c r="Z111" s="146"/>
      <c r="AA111" s="146"/>
    </row>
    <row r="112" ht="22.5" customHeight="1">
      <c r="A112" s="145"/>
      <c r="B112" s="154"/>
      <c r="C112" s="154"/>
      <c r="D112" s="138"/>
      <c r="E112" s="138"/>
      <c r="F112" s="138"/>
      <c r="G112" s="138"/>
      <c r="H112" s="119"/>
      <c r="I112" s="146"/>
      <c r="J112" s="146"/>
      <c r="K112" s="146"/>
      <c r="L112" s="146"/>
      <c r="M112" s="146"/>
      <c r="N112" s="146"/>
      <c r="O112" s="146"/>
      <c r="P112" s="146"/>
      <c r="Q112" s="146"/>
      <c r="R112" s="146"/>
      <c r="S112" s="146"/>
      <c r="T112" s="146"/>
      <c r="U112" s="146"/>
      <c r="V112" s="146"/>
      <c r="W112" s="146"/>
      <c r="X112" s="146"/>
      <c r="Y112" s="146"/>
      <c r="Z112" s="146"/>
      <c r="AA112" s="146"/>
    </row>
    <row r="113" ht="22.5" customHeight="1">
      <c r="A113" s="145"/>
      <c r="B113" s="154"/>
      <c r="C113" s="154"/>
      <c r="D113" s="138"/>
      <c r="E113" s="138"/>
      <c r="F113" s="138"/>
      <c r="G113" s="138"/>
      <c r="H113" s="119"/>
      <c r="I113" s="146"/>
      <c r="J113" s="146"/>
      <c r="K113" s="146"/>
      <c r="L113" s="146"/>
      <c r="M113" s="146"/>
      <c r="N113" s="146"/>
      <c r="O113" s="146"/>
      <c r="P113" s="146"/>
      <c r="Q113" s="146"/>
      <c r="R113" s="146"/>
      <c r="S113" s="146"/>
      <c r="T113" s="146"/>
      <c r="U113" s="146"/>
      <c r="V113" s="146"/>
      <c r="W113" s="146"/>
      <c r="X113" s="146"/>
      <c r="Y113" s="146"/>
      <c r="Z113" s="146"/>
      <c r="AA113" s="146"/>
    </row>
    <row r="114" ht="22.5" customHeight="1">
      <c r="A114" s="145"/>
      <c r="B114" s="154"/>
      <c r="C114" s="154"/>
      <c r="D114" s="138"/>
      <c r="E114" s="138"/>
      <c r="F114" s="138"/>
      <c r="G114" s="138"/>
      <c r="H114" s="119"/>
      <c r="I114" s="146"/>
      <c r="J114" s="146"/>
      <c r="K114" s="146"/>
      <c r="L114" s="146"/>
      <c r="M114" s="146"/>
      <c r="N114" s="146"/>
      <c r="O114" s="146"/>
      <c r="P114" s="146"/>
      <c r="Q114" s="146"/>
      <c r="R114" s="146"/>
      <c r="S114" s="146"/>
      <c r="T114" s="146"/>
      <c r="U114" s="146"/>
      <c r="V114" s="146"/>
      <c r="W114" s="146"/>
      <c r="X114" s="146"/>
      <c r="Y114" s="146"/>
      <c r="Z114" s="146"/>
      <c r="AA114" s="146"/>
    </row>
    <row r="115" ht="22.5" customHeight="1">
      <c r="A115" s="145"/>
      <c r="B115" s="154"/>
      <c r="C115" s="154"/>
      <c r="D115" s="138"/>
      <c r="E115" s="138"/>
      <c r="F115" s="138"/>
      <c r="G115" s="138"/>
      <c r="H115" s="119"/>
      <c r="I115" s="146"/>
      <c r="J115" s="146"/>
      <c r="K115" s="146"/>
      <c r="L115" s="146"/>
      <c r="M115" s="146"/>
      <c r="N115" s="146"/>
      <c r="O115" s="146"/>
      <c r="P115" s="146"/>
      <c r="Q115" s="146"/>
      <c r="R115" s="146"/>
      <c r="S115" s="146"/>
      <c r="T115" s="146"/>
      <c r="U115" s="146"/>
      <c r="V115" s="146"/>
      <c r="W115" s="146"/>
      <c r="X115" s="146"/>
      <c r="Y115" s="146"/>
      <c r="Z115" s="146"/>
      <c r="AA115" s="146"/>
    </row>
    <row r="116" ht="22.5" customHeight="1">
      <c r="A116" s="145"/>
      <c r="B116" s="154"/>
      <c r="C116" s="154"/>
      <c r="D116" s="138"/>
      <c r="E116" s="138"/>
      <c r="F116" s="138"/>
      <c r="G116" s="138"/>
      <c r="H116" s="119"/>
      <c r="I116" s="146"/>
      <c r="J116" s="146"/>
      <c r="K116" s="146"/>
      <c r="L116" s="146"/>
      <c r="M116" s="146"/>
      <c r="N116" s="146"/>
      <c r="O116" s="146"/>
      <c r="P116" s="146"/>
      <c r="Q116" s="146"/>
      <c r="R116" s="146"/>
      <c r="S116" s="146"/>
      <c r="T116" s="146"/>
      <c r="U116" s="146"/>
      <c r="V116" s="146"/>
      <c r="W116" s="146"/>
      <c r="X116" s="146"/>
      <c r="Y116" s="146"/>
      <c r="Z116" s="146"/>
      <c r="AA116" s="146"/>
    </row>
    <row r="117" ht="22.5" customHeight="1">
      <c r="A117" s="145"/>
      <c r="B117" s="154"/>
      <c r="C117" s="154"/>
      <c r="D117" s="138"/>
      <c r="E117" s="138"/>
      <c r="F117" s="138"/>
      <c r="G117" s="138"/>
      <c r="H117" s="119"/>
      <c r="I117" s="146"/>
      <c r="J117" s="146"/>
      <c r="K117" s="146"/>
      <c r="L117" s="146"/>
      <c r="M117" s="146"/>
      <c r="N117" s="146"/>
      <c r="O117" s="146"/>
      <c r="P117" s="146"/>
      <c r="Q117" s="146"/>
      <c r="R117" s="146"/>
      <c r="S117" s="146"/>
      <c r="T117" s="146"/>
      <c r="U117" s="146"/>
      <c r="V117" s="146"/>
      <c r="W117" s="146"/>
      <c r="X117" s="146"/>
      <c r="Y117" s="146"/>
      <c r="Z117" s="146"/>
      <c r="AA117" s="146"/>
    </row>
    <row r="118" ht="22.5" customHeight="1">
      <c r="A118" s="145"/>
      <c r="B118" s="154"/>
      <c r="C118" s="154"/>
      <c r="D118" s="138"/>
      <c r="E118" s="138"/>
      <c r="F118" s="138"/>
      <c r="G118" s="138"/>
      <c r="H118" s="119"/>
      <c r="I118" s="146"/>
      <c r="J118" s="146"/>
      <c r="K118" s="146"/>
      <c r="L118" s="146"/>
      <c r="M118" s="146"/>
      <c r="N118" s="146"/>
      <c r="O118" s="146"/>
      <c r="P118" s="146"/>
      <c r="Q118" s="146"/>
      <c r="R118" s="146"/>
      <c r="S118" s="146"/>
      <c r="T118" s="146"/>
      <c r="U118" s="146"/>
      <c r="V118" s="146"/>
      <c r="W118" s="146"/>
      <c r="X118" s="146"/>
      <c r="Y118" s="146"/>
      <c r="Z118" s="146"/>
      <c r="AA118" s="146"/>
    </row>
    <row r="119" ht="22.5" customHeight="1">
      <c r="A119" s="145"/>
      <c r="B119" s="154"/>
      <c r="C119" s="154"/>
      <c r="D119" s="138"/>
      <c r="E119" s="138"/>
      <c r="F119" s="138"/>
      <c r="G119" s="138"/>
      <c r="H119" s="119"/>
      <c r="I119" s="146"/>
      <c r="J119" s="146"/>
      <c r="K119" s="146"/>
      <c r="L119" s="146"/>
      <c r="M119" s="146"/>
      <c r="N119" s="146"/>
      <c r="O119" s="146"/>
      <c r="P119" s="146"/>
      <c r="Q119" s="146"/>
      <c r="R119" s="146"/>
      <c r="S119" s="146"/>
      <c r="T119" s="146"/>
      <c r="U119" s="146"/>
      <c r="V119" s="146"/>
      <c r="W119" s="146"/>
      <c r="X119" s="146"/>
      <c r="Y119" s="146"/>
      <c r="Z119" s="146"/>
      <c r="AA119" s="146"/>
    </row>
    <row r="120" ht="22.5" customHeight="1">
      <c r="A120" s="145"/>
      <c r="B120" s="154"/>
      <c r="C120" s="154"/>
      <c r="D120" s="138"/>
      <c r="E120" s="138"/>
      <c r="F120" s="138"/>
      <c r="G120" s="138"/>
      <c r="H120" s="119"/>
      <c r="I120" s="146"/>
      <c r="J120" s="146"/>
      <c r="K120" s="146"/>
      <c r="L120" s="146"/>
      <c r="M120" s="146"/>
      <c r="N120" s="146"/>
      <c r="O120" s="146"/>
      <c r="P120" s="146"/>
      <c r="Q120" s="146"/>
      <c r="R120" s="146"/>
      <c r="S120" s="146"/>
      <c r="T120" s="146"/>
      <c r="U120" s="146"/>
      <c r="V120" s="146"/>
      <c r="W120" s="146"/>
      <c r="X120" s="146"/>
      <c r="Y120" s="146"/>
      <c r="Z120" s="146"/>
      <c r="AA120" s="146"/>
    </row>
    <row r="121" ht="22.5" customHeight="1">
      <c r="A121" s="145"/>
      <c r="B121" s="154"/>
      <c r="C121" s="154"/>
      <c r="D121" s="138"/>
      <c r="E121" s="138"/>
      <c r="F121" s="138"/>
      <c r="G121" s="138"/>
      <c r="H121" s="119"/>
      <c r="I121" s="146"/>
      <c r="J121" s="146"/>
      <c r="K121" s="146"/>
      <c r="L121" s="146"/>
      <c r="M121" s="146"/>
      <c r="N121" s="146"/>
      <c r="O121" s="146"/>
      <c r="P121" s="146"/>
      <c r="Q121" s="146"/>
      <c r="R121" s="146"/>
      <c r="S121" s="146"/>
      <c r="T121" s="146"/>
      <c r="U121" s="146"/>
      <c r="V121" s="146"/>
      <c r="W121" s="146"/>
      <c r="X121" s="146"/>
      <c r="Y121" s="146"/>
      <c r="Z121" s="146"/>
      <c r="AA121" s="146"/>
    </row>
    <row r="122" ht="22.5" customHeight="1">
      <c r="A122" s="145"/>
      <c r="B122" s="154"/>
      <c r="C122" s="154"/>
      <c r="D122" s="138"/>
      <c r="E122" s="138"/>
      <c r="F122" s="138"/>
      <c r="G122" s="138"/>
      <c r="H122" s="119"/>
      <c r="I122" s="146"/>
      <c r="J122" s="146"/>
      <c r="K122" s="146"/>
      <c r="L122" s="146"/>
      <c r="M122" s="146"/>
      <c r="N122" s="146"/>
      <c r="O122" s="146"/>
      <c r="P122" s="146"/>
      <c r="Q122" s="146"/>
      <c r="R122" s="146"/>
      <c r="S122" s="146"/>
      <c r="T122" s="146"/>
      <c r="U122" s="146"/>
      <c r="V122" s="146"/>
      <c r="W122" s="146"/>
      <c r="X122" s="146"/>
      <c r="Y122" s="146"/>
      <c r="Z122" s="146"/>
      <c r="AA122" s="146"/>
    </row>
    <row r="123" ht="22.5" customHeight="1">
      <c r="A123" s="145"/>
      <c r="B123" s="154"/>
      <c r="C123" s="154"/>
      <c r="D123" s="138"/>
      <c r="E123" s="138"/>
      <c r="F123" s="138"/>
      <c r="G123" s="138"/>
      <c r="H123" s="119"/>
      <c r="I123" s="146"/>
      <c r="J123" s="146"/>
      <c r="K123" s="146"/>
      <c r="L123" s="146"/>
      <c r="M123" s="146"/>
      <c r="N123" s="146"/>
      <c r="O123" s="146"/>
      <c r="P123" s="146"/>
      <c r="Q123" s="146"/>
      <c r="R123" s="146"/>
      <c r="S123" s="146"/>
      <c r="T123" s="146"/>
      <c r="U123" s="146"/>
      <c r="V123" s="146"/>
      <c r="W123" s="146"/>
      <c r="X123" s="146"/>
      <c r="Y123" s="146"/>
      <c r="Z123" s="146"/>
      <c r="AA123" s="146"/>
    </row>
    <row r="124" ht="22.5" customHeight="1">
      <c r="A124" s="145"/>
      <c r="B124" s="154"/>
      <c r="C124" s="154"/>
      <c r="D124" s="138"/>
      <c r="E124" s="138"/>
      <c r="F124" s="138"/>
      <c r="G124" s="138"/>
      <c r="H124" s="119"/>
      <c r="I124" s="146"/>
      <c r="J124" s="146"/>
      <c r="K124" s="146"/>
      <c r="L124" s="146"/>
      <c r="M124" s="146"/>
      <c r="N124" s="146"/>
      <c r="O124" s="146"/>
      <c r="P124" s="146"/>
      <c r="Q124" s="146"/>
      <c r="R124" s="146"/>
      <c r="S124" s="146"/>
      <c r="T124" s="146"/>
      <c r="U124" s="146"/>
      <c r="V124" s="146"/>
      <c r="W124" s="146"/>
      <c r="X124" s="146"/>
      <c r="Y124" s="146"/>
      <c r="Z124" s="146"/>
      <c r="AA124" s="146"/>
    </row>
    <row r="125" ht="22.5" customHeight="1">
      <c r="A125" s="145"/>
      <c r="B125" s="154"/>
      <c r="C125" s="154"/>
      <c r="D125" s="138"/>
      <c r="E125" s="138"/>
      <c r="F125" s="138"/>
      <c r="G125" s="138"/>
      <c r="H125" s="119"/>
      <c r="I125" s="146"/>
      <c r="J125" s="146"/>
      <c r="K125" s="146"/>
      <c r="L125" s="146"/>
      <c r="M125" s="146"/>
      <c r="N125" s="146"/>
      <c r="O125" s="146"/>
      <c r="P125" s="146"/>
      <c r="Q125" s="146"/>
      <c r="R125" s="146"/>
      <c r="S125" s="146"/>
      <c r="T125" s="146"/>
      <c r="U125" s="146"/>
      <c r="V125" s="146"/>
      <c r="W125" s="146"/>
      <c r="X125" s="146"/>
      <c r="Y125" s="146"/>
      <c r="Z125" s="146"/>
      <c r="AA125" s="146"/>
    </row>
    <row r="126" ht="22.5" customHeight="1">
      <c r="A126" s="145"/>
      <c r="B126" s="154"/>
      <c r="C126" s="154"/>
      <c r="D126" s="138"/>
      <c r="E126" s="138"/>
      <c r="F126" s="138"/>
      <c r="G126" s="138"/>
      <c r="H126" s="119"/>
      <c r="I126" s="146"/>
      <c r="J126" s="146"/>
      <c r="K126" s="146"/>
      <c r="L126" s="146"/>
      <c r="M126" s="146"/>
      <c r="N126" s="146"/>
      <c r="O126" s="146"/>
      <c r="P126" s="146"/>
      <c r="Q126" s="146"/>
      <c r="R126" s="146"/>
      <c r="S126" s="146"/>
      <c r="T126" s="146"/>
      <c r="U126" s="146"/>
      <c r="V126" s="146"/>
      <c r="W126" s="146"/>
      <c r="X126" s="146"/>
      <c r="Y126" s="146"/>
      <c r="Z126" s="146"/>
      <c r="AA126" s="146"/>
    </row>
    <row r="127" ht="22.5" customHeight="1">
      <c r="A127" s="145"/>
      <c r="B127" s="154"/>
      <c r="C127" s="154"/>
      <c r="D127" s="138"/>
      <c r="E127" s="138"/>
      <c r="F127" s="138"/>
      <c r="G127" s="138"/>
      <c r="H127" s="119"/>
      <c r="I127" s="146"/>
      <c r="J127" s="146"/>
      <c r="K127" s="146"/>
      <c r="L127" s="146"/>
      <c r="M127" s="146"/>
      <c r="N127" s="146"/>
      <c r="O127" s="146"/>
      <c r="P127" s="146"/>
      <c r="Q127" s="146"/>
      <c r="R127" s="146"/>
      <c r="S127" s="146"/>
      <c r="T127" s="146"/>
      <c r="U127" s="146"/>
      <c r="V127" s="146"/>
      <c r="W127" s="146"/>
      <c r="X127" s="146"/>
      <c r="Y127" s="146"/>
      <c r="Z127" s="146"/>
      <c r="AA127" s="146"/>
    </row>
    <row r="128" ht="22.5" customHeight="1">
      <c r="A128" s="145"/>
      <c r="B128" s="154"/>
      <c r="C128" s="154"/>
      <c r="D128" s="138"/>
      <c r="E128" s="138"/>
      <c r="F128" s="138"/>
      <c r="G128" s="138"/>
      <c r="H128" s="119"/>
      <c r="I128" s="146"/>
      <c r="J128" s="146"/>
      <c r="K128" s="146"/>
      <c r="L128" s="146"/>
      <c r="M128" s="146"/>
      <c r="N128" s="146"/>
      <c r="O128" s="146"/>
      <c r="P128" s="146"/>
      <c r="Q128" s="146"/>
      <c r="R128" s="146"/>
      <c r="S128" s="146"/>
      <c r="T128" s="146"/>
      <c r="U128" s="146"/>
      <c r="V128" s="146"/>
      <c r="W128" s="146"/>
      <c r="X128" s="146"/>
      <c r="Y128" s="146"/>
      <c r="Z128" s="146"/>
      <c r="AA128" s="146"/>
    </row>
    <row r="129" ht="22.5" customHeight="1">
      <c r="A129" s="145"/>
      <c r="B129" s="154"/>
      <c r="C129" s="154"/>
      <c r="D129" s="138"/>
      <c r="E129" s="138"/>
      <c r="F129" s="138"/>
      <c r="G129" s="138"/>
      <c r="H129" s="119"/>
      <c r="I129" s="146"/>
      <c r="J129" s="146"/>
      <c r="K129" s="146"/>
      <c r="L129" s="146"/>
      <c r="M129" s="146"/>
      <c r="N129" s="146"/>
      <c r="O129" s="146"/>
      <c r="P129" s="146"/>
      <c r="Q129" s="146"/>
      <c r="R129" s="146"/>
      <c r="S129" s="146"/>
      <c r="T129" s="146"/>
      <c r="U129" s="146"/>
      <c r="V129" s="146"/>
      <c r="W129" s="146"/>
      <c r="X129" s="146"/>
      <c r="Y129" s="146"/>
      <c r="Z129" s="146"/>
      <c r="AA129" s="146"/>
    </row>
    <row r="130" ht="22.5" customHeight="1">
      <c r="A130" s="145"/>
      <c r="B130" s="154"/>
      <c r="C130" s="154"/>
      <c r="D130" s="138"/>
      <c r="E130" s="138"/>
      <c r="F130" s="138"/>
      <c r="G130" s="138"/>
      <c r="H130" s="119"/>
      <c r="I130" s="146"/>
      <c r="J130" s="146"/>
      <c r="K130" s="146"/>
      <c r="L130" s="146"/>
      <c r="M130" s="146"/>
      <c r="N130" s="146"/>
      <c r="O130" s="146"/>
      <c r="P130" s="146"/>
      <c r="Q130" s="146"/>
      <c r="R130" s="146"/>
      <c r="S130" s="146"/>
      <c r="T130" s="146"/>
      <c r="U130" s="146"/>
      <c r="V130" s="146"/>
      <c r="W130" s="146"/>
      <c r="X130" s="146"/>
      <c r="Y130" s="146"/>
      <c r="Z130" s="146"/>
      <c r="AA130" s="146"/>
    </row>
    <row r="131" ht="22.5" customHeight="1">
      <c r="A131" s="145"/>
      <c r="B131" s="154"/>
      <c r="C131" s="154"/>
      <c r="D131" s="138"/>
      <c r="E131" s="138"/>
      <c r="F131" s="138"/>
      <c r="G131" s="138"/>
      <c r="H131" s="119"/>
      <c r="I131" s="146"/>
      <c r="J131" s="146"/>
      <c r="K131" s="146"/>
      <c r="L131" s="146"/>
      <c r="M131" s="146"/>
      <c r="N131" s="146"/>
      <c r="O131" s="146"/>
      <c r="P131" s="146"/>
      <c r="Q131" s="146"/>
      <c r="R131" s="146"/>
      <c r="S131" s="146"/>
      <c r="T131" s="146"/>
      <c r="U131" s="146"/>
      <c r="V131" s="146"/>
      <c r="W131" s="146"/>
      <c r="X131" s="146"/>
      <c r="Y131" s="146"/>
      <c r="Z131" s="146"/>
      <c r="AA131" s="146"/>
    </row>
    <row r="132" ht="22.5" customHeight="1">
      <c r="A132" s="145"/>
      <c r="B132" s="154"/>
      <c r="C132" s="154"/>
      <c r="D132" s="138"/>
      <c r="E132" s="138"/>
      <c r="F132" s="138"/>
      <c r="G132" s="138"/>
      <c r="H132" s="119"/>
      <c r="I132" s="146"/>
      <c r="J132" s="146"/>
      <c r="K132" s="146"/>
      <c r="L132" s="146"/>
      <c r="M132" s="146"/>
      <c r="N132" s="146"/>
      <c r="O132" s="146"/>
      <c r="P132" s="146"/>
      <c r="Q132" s="146"/>
      <c r="R132" s="146"/>
      <c r="S132" s="146"/>
      <c r="T132" s="146"/>
      <c r="U132" s="146"/>
      <c r="V132" s="146"/>
      <c r="W132" s="146"/>
      <c r="X132" s="146"/>
      <c r="Y132" s="146"/>
      <c r="Z132" s="146"/>
      <c r="AA132" s="146"/>
    </row>
    <row r="133" ht="22.5" customHeight="1">
      <c r="A133" s="145"/>
      <c r="B133" s="154"/>
      <c r="C133" s="154"/>
      <c r="D133" s="138"/>
      <c r="E133" s="138"/>
      <c r="F133" s="138"/>
      <c r="G133" s="138"/>
      <c r="H133" s="119"/>
      <c r="I133" s="146"/>
      <c r="J133" s="146"/>
      <c r="K133" s="146"/>
      <c r="L133" s="146"/>
      <c r="M133" s="146"/>
      <c r="N133" s="146"/>
      <c r="O133" s="146"/>
      <c r="P133" s="146"/>
      <c r="Q133" s="146"/>
      <c r="R133" s="146"/>
      <c r="S133" s="146"/>
      <c r="T133" s="146"/>
      <c r="U133" s="146"/>
      <c r="V133" s="146"/>
      <c r="W133" s="146"/>
      <c r="X133" s="146"/>
      <c r="Y133" s="146"/>
      <c r="Z133" s="146"/>
      <c r="AA133" s="146"/>
    </row>
    <row r="134" ht="22.5" customHeight="1">
      <c r="A134" s="145"/>
      <c r="B134" s="154"/>
      <c r="C134" s="154"/>
      <c r="D134" s="138"/>
      <c r="E134" s="138"/>
      <c r="F134" s="138"/>
      <c r="G134" s="138"/>
      <c r="H134" s="119"/>
      <c r="I134" s="146"/>
      <c r="J134" s="146"/>
      <c r="K134" s="146"/>
      <c r="L134" s="146"/>
      <c r="M134" s="146"/>
      <c r="N134" s="146"/>
      <c r="O134" s="146"/>
      <c r="P134" s="146"/>
      <c r="Q134" s="146"/>
      <c r="R134" s="146"/>
      <c r="S134" s="146"/>
      <c r="T134" s="146"/>
      <c r="U134" s="146"/>
      <c r="V134" s="146"/>
      <c r="W134" s="146"/>
      <c r="X134" s="146"/>
      <c r="Y134" s="146"/>
      <c r="Z134" s="146"/>
      <c r="AA134" s="146"/>
    </row>
    <row r="135" ht="22.5" customHeight="1">
      <c r="A135" s="145"/>
      <c r="B135" s="154"/>
      <c r="C135" s="154"/>
      <c r="D135" s="138"/>
      <c r="E135" s="138"/>
      <c r="F135" s="138"/>
      <c r="G135" s="138"/>
      <c r="H135" s="119"/>
      <c r="I135" s="146"/>
      <c r="J135" s="146"/>
      <c r="K135" s="146"/>
      <c r="L135" s="146"/>
      <c r="M135" s="146"/>
      <c r="N135" s="146"/>
      <c r="O135" s="146"/>
      <c r="P135" s="146"/>
      <c r="Q135" s="146"/>
      <c r="R135" s="146"/>
      <c r="S135" s="146"/>
      <c r="T135" s="146"/>
      <c r="U135" s="146"/>
      <c r="V135" s="146"/>
      <c r="W135" s="146"/>
      <c r="X135" s="146"/>
      <c r="Y135" s="146"/>
      <c r="Z135" s="146"/>
      <c r="AA135" s="146"/>
    </row>
    <row r="136" ht="22.5" customHeight="1">
      <c r="A136" s="145"/>
      <c r="B136" s="154"/>
      <c r="C136" s="154"/>
      <c r="D136" s="138"/>
      <c r="E136" s="138"/>
      <c r="F136" s="138"/>
      <c r="G136" s="138"/>
      <c r="H136" s="119"/>
      <c r="I136" s="146"/>
      <c r="J136" s="146"/>
      <c r="K136" s="146"/>
      <c r="L136" s="146"/>
      <c r="M136" s="146"/>
      <c r="N136" s="146"/>
      <c r="O136" s="146"/>
      <c r="P136" s="146"/>
      <c r="Q136" s="146"/>
      <c r="R136" s="146"/>
      <c r="S136" s="146"/>
      <c r="T136" s="146"/>
      <c r="U136" s="146"/>
      <c r="V136" s="146"/>
      <c r="W136" s="146"/>
      <c r="X136" s="146"/>
      <c r="Y136" s="146"/>
      <c r="Z136" s="146"/>
      <c r="AA136" s="146"/>
    </row>
    <row r="137" ht="22.5" customHeight="1">
      <c r="A137" s="145"/>
      <c r="B137" s="154"/>
      <c r="C137" s="154"/>
      <c r="D137" s="138"/>
      <c r="E137" s="138"/>
      <c r="F137" s="138"/>
      <c r="G137" s="138"/>
      <c r="H137" s="119"/>
      <c r="I137" s="146"/>
      <c r="J137" s="146"/>
      <c r="K137" s="146"/>
      <c r="L137" s="146"/>
      <c r="M137" s="146"/>
      <c r="N137" s="146"/>
      <c r="O137" s="146"/>
      <c r="P137" s="146"/>
      <c r="Q137" s="146"/>
      <c r="R137" s="146"/>
      <c r="S137" s="146"/>
      <c r="T137" s="146"/>
      <c r="U137" s="146"/>
      <c r="V137" s="146"/>
      <c r="W137" s="146"/>
      <c r="X137" s="146"/>
      <c r="Y137" s="146"/>
      <c r="Z137" s="146"/>
      <c r="AA137" s="146"/>
    </row>
    <row r="138" ht="22.5" customHeight="1">
      <c r="A138" s="145"/>
      <c r="B138" s="154"/>
      <c r="C138" s="154"/>
      <c r="D138" s="138"/>
      <c r="E138" s="138"/>
      <c r="F138" s="138"/>
      <c r="G138" s="138"/>
      <c r="H138" s="119"/>
      <c r="I138" s="146"/>
      <c r="J138" s="146"/>
      <c r="K138" s="146"/>
      <c r="L138" s="146"/>
      <c r="M138" s="146"/>
      <c r="N138" s="146"/>
      <c r="O138" s="146"/>
      <c r="P138" s="146"/>
      <c r="Q138" s="146"/>
      <c r="R138" s="146"/>
      <c r="S138" s="146"/>
      <c r="T138" s="146"/>
      <c r="U138" s="146"/>
      <c r="V138" s="146"/>
      <c r="W138" s="146"/>
      <c r="X138" s="146"/>
      <c r="Y138" s="146"/>
      <c r="Z138" s="146"/>
      <c r="AA138" s="146"/>
    </row>
    <row r="139" ht="22.5" customHeight="1">
      <c r="A139" s="145"/>
      <c r="B139" s="154"/>
      <c r="C139" s="154"/>
      <c r="D139" s="138"/>
      <c r="E139" s="138"/>
      <c r="F139" s="138"/>
      <c r="G139" s="138"/>
      <c r="H139" s="119"/>
      <c r="I139" s="146"/>
      <c r="J139" s="146"/>
      <c r="K139" s="146"/>
      <c r="L139" s="146"/>
      <c r="M139" s="146"/>
      <c r="N139" s="146"/>
      <c r="O139" s="146"/>
      <c r="P139" s="146"/>
      <c r="Q139" s="146"/>
      <c r="R139" s="146"/>
      <c r="S139" s="146"/>
      <c r="T139" s="146"/>
      <c r="U139" s="146"/>
      <c r="V139" s="146"/>
      <c r="W139" s="146"/>
      <c r="X139" s="146"/>
      <c r="Y139" s="146"/>
      <c r="Z139" s="146"/>
      <c r="AA139" s="146"/>
    </row>
    <row r="140" ht="22.5" customHeight="1">
      <c r="A140" s="145"/>
      <c r="B140" s="154"/>
      <c r="C140" s="154"/>
      <c r="D140" s="138"/>
      <c r="E140" s="138"/>
      <c r="F140" s="138"/>
      <c r="G140" s="138"/>
      <c r="H140" s="119"/>
      <c r="I140" s="146"/>
      <c r="J140" s="146"/>
      <c r="K140" s="146"/>
      <c r="L140" s="146"/>
      <c r="M140" s="146"/>
      <c r="N140" s="146"/>
      <c r="O140" s="146"/>
      <c r="P140" s="146"/>
      <c r="Q140" s="146"/>
      <c r="R140" s="146"/>
      <c r="S140" s="146"/>
      <c r="T140" s="146"/>
      <c r="U140" s="146"/>
      <c r="V140" s="146"/>
      <c r="W140" s="146"/>
      <c r="X140" s="146"/>
      <c r="Y140" s="146"/>
      <c r="Z140" s="146"/>
      <c r="AA140" s="146"/>
    </row>
    <row r="141" ht="22.5" customHeight="1">
      <c r="A141" s="145"/>
      <c r="B141" s="154"/>
      <c r="C141" s="154"/>
      <c r="D141" s="138"/>
      <c r="E141" s="138"/>
      <c r="F141" s="138"/>
      <c r="G141" s="138"/>
      <c r="H141" s="119"/>
      <c r="I141" s="146"/>
      <c r="J141" s="146"/>
      <c r="K141" s="146"/>
      <c r="L141" s="146"/>
      <c r="M141" s="146"/>
      <c r="N141" s="146"/>
      <c r="O141" s="146"/>
      <c r="P141" s="146"/>
      <c r="Q141" s="146"/>
      <c r="R141" s="146"/>
      <c r="S141" s="146"/>
      <c r="T141" s="146"/>
      <c r="U141" s="146"/>
      <c r="V141" s="146"/>
      <c r="W141" s="146"/>
      <c r="X141" s="146"/>
      <c r="Y141" s="146"/>
      <c r="Z141" s="146"/>
      <c r="AA141" s="146"/>
    </row>
    <row r="142" ht="22.5" customHeight="1">
      <c r="A142" s="145"/>
      <c r="B142" s="154"/>
      <c r="C142" s="154"/>
      <c r="D142" s="138"/>
      <c r="E142" s="138"/>
      <c r="F142" s="138"/>
      <c r="G142" s="138"/>
      <c r="H142" s="119"/>
      <c r="I142" s="146"/>
      <c r="J142" s="146"/>
      <c r="K142" s="146"/>
      <c r="L142" s="146"/>
      <c r="M142" s="146"/>
      <c r="N142" s="146"/>
      <c r="O142" s="146"/>
      <c r="P142" s="146"/>
      <c r="Q142" s="146"/>
      <c r="R142" s="146"/>
      <c r="S142" s="146"/>
      <c r="T142" s="146"/>
      <c r="U142" s="146"/>
      <c r="V142" s="146"/>
      <c r="W142" s="146"/>
      <c r="X142" s="146"/>
      <c r="Y142" s="146"/>
      <c r="Z142" s="146"/>
      <c r="AA142" s="146"/>
    </row>
    <row r="143" ht="22.5" customHeight="1">
      <c r="A143" s="145"/>
      <c r="B143" s="154"/>
      <c r="C143" s="154"/>
      <c r="D143" s="138"/>
      <c r="E143" s="138"/>
      <c r="F143" s="138"/>
      <c r="G143" s="138"/>
      <c r="H143" s="119"/>
      <c r="I143" s="146"/>
      <c r="J143" s="146"/>
      <c r="K143" s="146"/>
      <c r="L143" s="146"/>
      <c r="M143" s="146"/>
      <c r="N143" s="146"/>
      <c r="O143" s="146"/>
      <c r="P143" s="146"/>
      <c r="Q143" s="146"/>
      <c r="R143" s="146"/>
      <c r="S143" s="146"/>
      <c r="T143" s="146"/>
      <c r="U143" s="146"/>
      <c r="V143" s="146"/>
      <c r="W143" s="146"/>
      <c r="X143" s="146"/>
      <c r="Y143" s="146"/>
      <c r="Z143" s="146"/>
      <c r="AA143" s="146"/>
    </row>
    <row r="144" ht="22.5" customHeight="1">
      <c r="A144" s="145"/>
      <c r="B144" s="154"/>
      <c r="C144" s="154"/>
      <c r="D144" s="138"/>
      <c r="E144" s="138"/>
      <c r="F144" s="138"/>
      <c r="G144" s="138"/>
      <c r="H144" s="119"/>
      <c r="I144" s="146"/>
      <c r="J144" s="146"/>
      <c r="K144" s="146"/>
      <c r="L144" s="146"/>
      <c r="M144" s="146"/>
      <c r="N144" s="146"/>
      <c r="O144" s="146"/>
      <c r="P144" s="146"/>
      <c r="Q144" s="146"/>
      <c r="R144" s="146"/>
      <c r="S144" s="146"/>
      <c r="T144" s="146"/>
      <c r="U144" s="146"/>
      <c r="V144" s="146"/>
      <c r="W144" s="146"/>
      <c r="X144" s="146"/>
      <c r="Y144" s="146"/>
      <c r="Z144" s="146"/>
      <c r="AA144" s="146"/>
    </row>
    <row r="145" ht="22.5" customHeight="1">
      <c r="A145" s="145"/>
      <c r="B145" s="154"/>
      <c r="C145" s="154"/>
      <c r="D145" s="138"/>
      <c r="E145" s="138"/>
      <c r="F145" s="138"/>
      <c r="G145" s="138"/>
      <c r="H145" s="119"/>
      <c r="I145" s="146"/>
      <c r="J145" s="146"/>
      <c r="K145" s="146"/>
      <c r="L145" s="146"/>
      <c r="M145" s="146"/>
      <c r="N145" s="146"/>
      <c r="O145" s="146"/>
      <c r="P145" s="146"/>
      <c r="Q145" s="146"/>
      <c r="R145" s="146"/>
      <c r="S145" s="146"/>
      <c r="T145" s="146"/>
      <c r="U145" s="146"/>
      <c r="V145" s="146"/>
      <c r="W145" s="146"/>
      <c r="X145" s="146"/>
      <c r="Y145" s="146"/>
      <c r="Z145" s="146"/>
      <c r="AA145" s="146"/>
    </row>
    <row r="146" ht="22.5" customHeight="1">
      <c r="A146" s="145"/>
      <c r="B146" s="154"/>
      <c r="C146" s="154"/>
      <c r="D146" s="138"/>
      <c r="E146" s="138"/>
      <c r="F146" s="138"/>
      <c r="G146" s="138"/>
      <c r="H146" s="119"/>
      <c r="I146" s="146"/>
      <c r="J146" s="146"/>
      <c r="K146" s="146"/>
      <c r="L146" s="146"/>
      <c r="M146" s="146"/>
      <c r="N146" s="146"/>
      <c r="O146" s="146"/>
      <c r="P146" s="146"/>
      <c r="Q146" s="146"/>
      <c r="R146" s="146"/>
      <c r="S146" s="146"/>
      <c r="T146" s="146"/>
      <c r="U146" s="146"/>
      <c r="V146" s="146"/>
      <c r="W146" s="146"/>
      <c r="X146" s="146"/>
      <c r="Y146" s="146"/>
      <c r="Z146" s="146"/>
      <c r="AA146" s="146"/>
    </row>
    <row r="147" ht="22.5" customHeight="1">
      <c r="A147" s="145"/>
      <c r="B147" s="154"/>
      <c r="C147" s="154"/>
      <c r="D147" s="138"/>
      <c r="E147" s="138"/>
      <c r="F147" s="138"/>
      <c r="G147" s="138"/>
      <c r="H147" s="119"/>
      <c r="I147" s="146"/>
      <c r="J147" s="146"/>
      <c r="K147" s="146"/>
      <c r="L147" s="146"/>
      <c r="M147" s="146"/>
      <c r="N147" s="146"/>
      <c r="O147" s="146"/>
      <c r="P147" s="146"/>
      <c r="Q147" s="146"/>
      <c r="R147" s="146"/>
      <c r="S147" s="146"/>
      <c r="T147" s="146"/>
      <c r="U147" s="146"/>
      <c r="V147" s="146"/>
      <c r="W147" s="146"/>
      <c r="X147" s="146"/>
      <c r="Y147" s="146"/>
      <c r="Z147" s="146"/>
      <c r="AA147" s="146"/>
    </row>
    <row r="148" ht="22.5" customHeight="1">
      <c r="A148" s="145"/>
      <c r="B148" s="154"/>
      <c r="C148" s="154"/>
      <c r="D148" s="138"/>
      <c r="E148" s="138"/>
      <c r="F148" s="138"/>
      <c r="G148" s="138"/>
      <c r="H148" s="119"/>
      <c r="I148" s="146"/>
      <c r="J148" s="146"/>
      <c r="K148" s="146"/>
      <c r="L148" s="146"/>
      <c r="M148" s="146"/>
      <c r="N148" s="146"/>
      <c r="O148" s="146"/>
      <c r="P148" s="146"/>
      <c r="Q148" s="146"/>
      <c r="R148" s="146"/>
      <c r="S148" s="146"/>
      <c r="T148" s="146"/>
      <c r="U148" s="146"/>
      <c r="V148" s="146"/>
      <c r="W148" s="146"/>
      <c r="X148" s="146"/>
      <c r="Y148" s="146"/>
      <c r="Z148" s="146"/>
      <c r="AA148" s="146"/>
    </row>
    <row r="149" ht="22.5" customHeight="1">
      <c r="A149" s="145"/>
      <c r="B149" s="154"/>
      <c r="C149" s="154"/>
      <c r="D149" s="138"/>
      <c r="E149" s="138"/>
      <c r="F149" s="138"/>
      <c r="G149" s="138"/>
      <c r="H149" s="119"/>
      <c r="I149" s="146"/>
      <c r="J149" s="146"/>
      <c r="K149" s="146"/>
      <c r="L149" s="146"/>
      <c r="M149" s="146"/>
      <c r="N149" s="146"/>
      <c r="O149" s="146"/>
      <c r="P149" s="146"/>
      <c r="Q149" s="146"/>
      <c r="R149" s="146"/>
      <c r="S149" s="146"/>
      <c r="T149" s="146"/>
      <c r="U149" s="146"/>
      <c r="V149" s="146"/>
      <c r="W149" s="146"/>
      <c r="X149" s="146"/>
      <c r="Y149" s="146"/>
      <c r="Z149" s="146"/>
      <c r="AA149" s="146"/>
    </row>
    <row r="150" ht="22.5" customHeight="1">
      <c r="A150" s="145"/>
      <c r="B150" s="154"/>
      <c r="C150" s="154"/>
      <c r="D150" s="138"/>
      <c r="E150" s="138"/>
      <c r="F150" s="138"/>
      <c r="G150" s="138"/>
      <c r="H150" s="119"/>
      <c r="I150" s="146"/>
      <c r="J150" s="146"/>
      <c r="K150" s="146"/>
      <c r="L150" s="146"/>
      <c r="M150" s="146"/>
      <c r="N150" s="146"/>
      <c r="O150" s="146"/>
      <c r="P150" s="146"/>
      <c r="Q150" s="146"/>
      <c r="R150" s="146"/>
      <c r="S150" s="146"/>
      <c r="T150" s="146"/>
      <c r="U150" s="146"/>
      <c r="V150" s="146"/>
      <c r="W150" s="146"/>
      <c r="X150" s="146"/>
      <c r="Y150" s="146"/>
      <c r="Z150" s="146"/>
      <c r="AA150" s="146"/>
    </row>
    <row r="151" ht="22.5" customHeight="1">
      <c r="A151" s="145"/>
      <c r="B151" s="154"/>
      <c r="C151" s="154"/>
      <c r="D151" s="138"/>
      <c r="E151" s="138"/>
      <c r="F151" s="138"/>
      <c r="G151" s="138"/>
      <c r="H151" s="119"/>
      <c r="I151" s="146"/>
      <c r="J151" s="146"/>
      <c r="K151" s="146"/>
      <c r="L151" s="146"/>
      <c r="M151" s="146"/>
      <c r="N151" s="146"/>
      <c r="O151" s="146"/>
      <c r="P151" s="146"/>
      <c r="Q151" s="146"/>
      <c r="R151" s="146"/>
      <c r="S151" s="146"/>
      <c r="T151" s="146"/>
      <c r="U151" s="146"/>
      <c r="V151" s="146"/>
      <c r="W151" s="146"/>
      <c r="X151" s="146"/>
      <c r="Y151" s="146"/>
      <c r="Z151" s="146"/>
      <c r="AA151" s="146"/>
    </row>
    <row r="152" ht="22.5" customHeight="1">
      <c r="A152" s="145"/>
      <c r="B152" s="154"/>
      <c r="C152" s="154"/>
      <c r="D152" s="138"/>
      <c r="E152" s="138"/>
      <c r="F152" s="138"/>
      <c r="G152" s="138"/>
      <c r="H152" s="119"/>
      <c r="I152" s="146"/>
      <c r="J152" s="146"/>
      <c r="K152" s="146"/>
      <c r="L152" s="146"/>
      <c r="M152" s="146"/>
      <c r="N152" s="146"/>
      <c r="O152" s="146"/>
      <c r="P152" s="146"/>
      <c r="Q152" s="146"/>
      <c r="R152" s="146"/>
      <c r="S152" s="146"/>
      <c r="T152" s="146"/>
      <c r="U152" s="146"/>
      <c r="V152" s="146"/>
      <c r="W152" s="146"/>
      <c r="X152" s="146"/>
      <c r="Y152" s="146"/>
      <c r="Z152" s="146"/>
      <c r="AA152" s="146"/>
    </row>
    <row r="153" ht="22.5" customHeight="1">
      <c r="A153" s="145"/>
      <c r="B153" s="154"/>
      <c r="C153" s="154"/>
      <c r="D153" s="138"/>
      <c r="E153" s="138"/>
      <c r="F153" s="138"/>
      <c r="G153" s="138"/>
      <c r="H153" s="119"/>
      <c r="I153" s="146"/>
      <c r="J153" s="146"/>
      <c r="K153" s="146"/>
      <c r="L153" s="146"/>
      <c r="M153" s="146"/>
      <c r="N153" s="146"/>
      <c r="O153" s="146"/>
      <c r="P153" s="146"/>
      <c r="Q153" s="146"/>
      <c r="R153" s="146"/>
      <c r="S153" s="146"/>
      <c r="T153" s="146"/>
      <c r="U153" s="146"/>
      <c r="V153" s="146"/>
      <c r="W153" s="146"/>
      <c r="X153" s="146"/>
      <c r="Y153" s="146"/>
      <c r="Z153" s="146"/>
      <c r="AA153" s="146"/>
    </row>
    <row r="154" ht="22.5" customHeight="1">
      <c r="A154" s="145"/>
      <c r="B154" s="154"/>
      <c r="C154" s="154"/>
      <c r="D154" s="138"/>
      <c r="E154" s="138"/>
      <c r="F154" s="138"/>
      <c r="G154" s="138"/>
      <c r="H154" s="119"/>
      <c r="I154" s="146"/>
      <c r="J154" s="146"/>
      <c r="K154" s="146"/>
      <c r="L154" s="146"/>
      <c r="M154" s="146"/>
      <c r="N154" s="146"/>
      <c r="O154" s="146"/>
      <c r="P154" s="146"/>
      <c r="Q154" s="146"/>
      <c r="R154" s="146"/>
      <c r="S154" s="146"/>
      <c r="T154" s="146"/>
      <c r="U154" s="146"/>
      <c r="V154" s="146"/>
      <c r="W154" s="146"/>
      <c r="X154" s="146"/>
      <c r="Y154" s="146"/>
      <c r="Z154" s="146"/>
      <c r="AA154" s="146"/>
    </row>
    <row r="155" ht="22.5" customHeight="1">
      <c r="A155" s="145"/>
      <c r="B155" s="154"/>
      <c r="C155" s="154"/>
      <c r="D155" s="138"/>
      <c r="E155" s="138"/>
      <c r="F155" s="138"/>
      <c r="G155" s="138"/>
      <c r="H155" s="119"/>
      <c r="I155" s="146"/>
      <c r="J155" s="146"/>
      <c r="K155" s="146"/>
      <c r="L155" s="146"/>
      <c r="M155" s="146"/>
      <c r="N155" s="146"/>
      <c r="O155" s="146"/>
      <c r="P155" s="146"/>
      <c r="Q155" s="146"/>
      <c r="R155" s="146"/>
      <c r="S155" s="146"/>
      <c r="T155" s="146"/>
      <c r="U155" s="146"/>
      <c r="V155" s="146"/>
      <c r="W155" s="146"/>
      <c r="X155" s="146"/>
      <c r="Y155" s="146"/>
      <c r="Z155" s="146"/>
      <c r="AA155" s="146"/>
    </row>
    <row r="156" ht="22.5" customHeight="1">
      <c r="A156" s="145"/>
      <c r="B156" s="154"/>
      <c r="C156" s="154"/>
      <c r="D156" s="138"/>
      <c r="E156" s="138"/>
      <c r="F156" s="138"/>
      <c r="G156" s="138"/>
      <c r="H156" s="119"/>
      <c r="I156" s="146"/>
      <c r="J156" s="146"/>
      <c r="K156" s="146"/>
      <c r="L156" s="146"/>
      <c r="M156" s="146"/>
      <c r="N156" s="146"/>
      <c r="O156" s="146"/>
      <c r="P156" s="146"/>
      <c r="Q156" s="146"/>
      <c r="R156" s="146"/>
      <c r="S156" s="146"/>
      <c r="T156" s="146"/>
      <c r="U156" s="146"/>
      <c r="V156" s="146"/>
      <c r="W156" s="146"/>
      <c r="X156" s="146"/>
      <c r="Y156" s="146"/>
      <c r="Z156" s="146"/>
      <c r="AA156" s="146"/>
    </row>
    <row r="157" ht="22.5" customHeight="1">
      <c r="A157" s="145"/>
      <c r="B157" s="154"/>
      <c r="C157" s="154"/>
      <c r="D157" s="138"/>
      <c r="E157" s="138"/>
      <c r="F157" s="138"/>
      <c r="G157" s="138"/>
      <c r="H157" s="119"/>
      <c r="I157" s="146"/>
      <c r="J157" s="146"/>
      <c r="K157" s="146"/>
      <c r="L157" s="146"/>
      <c r="M157" s="146"/>
      <c r="N157" s="146"/>
      <c r="O157" s="146"/>
      <c r="P157" s="146"/>
      <c r="Q157" s="146"/>
      <c r="R157" s="146"/>
      <c r="S157" s="146"/>
      <c r="T157" s="146"/>
      <c r="U157" s="146"/>
      <c r="V157" s="146"/>
      <c r="W157" s="146"/>
      <c r="X157" s="146"/>
      <c r="Y157" s="146"/>
      <c r="Z157" s="146"/>
      <c r="AA157" s="146"/>
    </row>
    <row r="158" ht="22.5" customHeight="1">
      <c r="A158" s="145"/>
      <c r="B158" s="154"/>
      <c r="C158" s="154"/>
      <c r="D158" s="138"/>
      <c r="E158" s="138"/>
      <c r="F158" s="138"/>
      <c r="G158" s="138"/>
      <c r="H158" s="119"/>
      <c r="I158" s="146"/>
      <c r="J158" s="146"/>
      <c r="K158" s="146"/>
      <c r="L158" s="146"/>
      <c r="M158" s="146"/>
      <c r="N158" s="146"/>
      <c r="O158" s="146"/>
      <c r="P158" s="146"/>
      <c r="Q158" s="146"/>
      <c r="R158" s="146"/>
      <c r="S158" s="146"/>
      <c r="T158" s="146"/>
      <c r="U158" s="146"/>
      <c r="V158" s="146"/>
      <c r="W158" s="146"/>
      <c r="X158" s="146"/>
      <c r="Y158" s="146"/>
      <c r="Z158" s="146"/>
      <c r="AA158" s="146"/>
    </row>
    <row r="159" ht="22.5" customHeight="1">
      <c r="A159" s="145"/>
      <c r="B159" s="154"/>
      <c r="C159" s="154"/>
      <c r="D159" s="138"/>
      <c r="E159" s="138"/>
      <c r="F159" s="138"/>
      <c r="G159" s="138"/>
      <c r="H159" s="119"/>
      <c r="I159" s="146"/>
      <c r="J159" s="146"/>
      <c r="K159" s="146"/>
      <c r="L159" s="146"/>
      <c r="M159" s="146"/>
      <c r="N159" s="146"/>
      <c r="O159" s="146"/>
      <c r="P159" s="146"/>
      <c r="Q159" s="146"/>
      <c r="R159" s="146"/>
      <c r="S159" s="146"/>
      <c r="T159" s="146"/>
      <c r="U159" s="146"/>
      <c r="V159" s="146"/>
      <c r="W159" s="146"/>
      <c r="X159" s="146"/>
      <c r="Y159" s="146"/>
      <c r="Z159" s="146"/>
      <c r="AA159" s="146"/>
    </row>
    <row r="160" ht="22.5" customHeight="1">
      <c r="A160" s="145"/>
      <c r="B160" s="154"/>
      <c r="C160" s="154"/>
      <c r="D160" s="138"/>
      <c r="E160" s="138"/>
      <c r="F160" s="138"/>
      <c r="G160" s="138"/>
      <c r="H160" s="119"/>
      <c r="I160" s="146"/>
      <c r="J160" s="146"/>
      <c r="K160" s="146"/>
      <c r="L160" s="146"/>
      <c r="M160" s="146"/>
      <c r="N160" s="146"/>
      <c r="O160" s="146"/>
      <c r="P160" s="146"/>
      <c r="Q160" s="146"/>
      <c r="R160" s="146"/>
      <c r="S160" s="146"/>
      <c r="T160" s="146"/>
      <c r="U160" s="146"/>
      <c r="V160" s="146"/>
      <c r="W160" s="146"/>
      <c r="X160" s="146"/>
      <c r="Y160" s="146"/>
      <c r="Z160" s="146"/>
      <c r="AA160" s="146"/>
    </row>
    <row r="161" ht="22.5" customHeight="1">
      <c r="A161" s="145"/>
      <c r="B161" s="154"/>
      <c r="C161" s="154"/>
      <c r="D161" s="138"/>
      <c r="E161" s="138"/>
      <c r="F161" s="138"/>
      <c r="G161" s="138"/>
      <c r="H161" s="119"/>
      <c r="I161" s="146"/>
      <c r="J161" s="146"/>
      <c r="K161" s="146"/>
      <c r="L161" s="146"/>
      <c r="M161" s="146"/>
      <c r="N161" s="146"/>
      <c r="O161" s="146"/>
      <c r="P161" s="146"/>
      <c r="Q161" s="146"/>
      <c r="R161" s="146"/>
      <c r="S161" s="146"/>
      <c r="T161" s="146"/>
      <c r="U161" s="146"/>
      <c r="V161" s="146"/>
      <c r="W161" s="146"/>
      <c r="X161" s="146"/>
      <c r="Y161" s="146"/>
      <c r="Z161" s="146"/>
      <c r="AA161" s="146"/>
    </row>
    <row r="162" ht="22.5" customHeight="1">
      <c r="A162" s="145"/>
      <c r="B162" s="154"/>
      <c r="C162" s="154"/>
      <c r="D162" s="138"/>
      <c r="E162" s="138"/>
      <c r="F162" s="138"/>
      <c r="G162" s="138"/>
      <c r="H162" s="119"/>
      <c r="I162" s="146"/>
      <c r="J162" s="146"/>
      <c r="K162" s="146"/>
      <c r="L162" s="146"/>
      <c r="M162" s="146"/>
      <c r="N162" s="146"/>
      <c r="O162" s="146"/>
      <c r="P162" s="146"/>
      <c r="Q162" s="146"/>
      <c r="R162" s="146"/>
      <c r="S162" s="146"/>
      <c r="T162" s="146"/>
      <c r="U162" s="146"/>
      <c r="V162" s="146"/>
      <c r="W162" s="146"/>
      <c r="X162" s="146"/>
      <c r="Y162" s="146"/>
      <c r="Z162" s="146"/>
      <c r="AA162" s="146"/>
    </row>
    <row r="163" ht="22.5" customHeight="1">
      <c r="A163" s="145"/>
      <c r="B163" s="154"/>
      <c r="C163" s="154"/>
      <c r="D163" s="138"/>
      <c r="E163" s="138"/>
      <c r="F163" s="138"/>
      <c r="G163" s="138"/>
      <c r="H163" s="119"/>
      <c r="I163" s="146"/>
      <c r="J163" s="146"/>
      <c r="K163" s="146"/>
      <c r="L163" s="146"/>
      <c r="M163" s="146"/>
      <c r="N163" s="146"/>
      <c r="O163" s="146"/>
      <c r="P163" s="146"/>
      <c r="Q163" s="146"/>
      <c r="R163" s="146"/>
      <c r="S163" s="146"/>
      <c r="T163" s="146"/>
      <c r="U163" s="146"/>
      <c r="V163" s="146"/>
      <c r="W163" s="146"/>
      <c r="X163" s="146"/>
      <c r="Y163" s="146"/>
      <c r="Z163" s="146"/>
      <c r="AA163" s="146"/>
    </row>
    <row r="164" ht="22.5" customHeight="1">
      <c r="A164" s="145"/>
      <c r="B164" s="154"/>
      <c r="C164" s="154"/>
      <c r="D164" s="138"/>
      <c r="E164" s="138"/>
      <c r="F164" s="138"/>
      <c r="G164" s="138"/>
      <c r="H164" s="119"/>
      <c r="I164" s="146"/>
      <c r="J164" s="146"/>
      <c r="K164" s="146"/>
      <c r="L164" s="146"/>
      <c r="M164" s="146"/>
      <c r="N164" s="146"/>
      <c r="O164" s="146"/>
      <c r="P164" s="146"/>
      <c r="Q164" s="146"/>
      <c r="R164" s="146"/>
      <c r="S164" s="146"/>
      <c r="T164" s="146"/>
      <c r="U164" s="146"/>
      <c r="V164" s="146"/>
      <c r="W164" s="146"/>
      <c r="X164" s="146"/>
      <c r="Y164" s="146"/>
      <c r="Z164" s="146"/>
      <c r="AA164" s="146"/>
    </row>
    <row r="165" ht="22.5" customHeight="1">
      <c r="A165" s="145"/>
      <c r="B165" s="154"/>
      <c r="C165" s="154"/>
      <c r="D165" s="138"/>
      <c r="E165" s="138"/>
      <c r="F165" s="138"/>
      <c r="G165" s="138"/>
      <c r="H165" s="119"/>
      <c r="I165" s="146"/>
      <c r="J165" s="146"/>
      <c r="K165" s="146"/>
      <c r="L165" s="146"/>
      <c r="M165" s="146"/>
      <c r="N165" s="146"/>
      <c r="O165" s="146"/>
      <c r="P165" s="146"/>
      <c r="Q165" s="146"/>
      <c r="R165" s="146"/>
      <c r="S165" s="146"/>
      <c r="T165" s="146"/>
      <c r="U165" s="146"/>
      <c r="V165" s="146"/>
      <c r="W165" s="146"/>
      <c r="X165" s="146"/>
      <c r="Y165" s="146"/>
      <c r="Z165" s="146"/>
      <c r="AA165" s="146"/>
    </row>
    <row r="166" ht="22.5" customHeight="1">
      <c r="A166" s="145"/>
      <c r="B166" s="154"/>
      <c r="C166" s="154"/>
      <c r="D166" s="138"/>
      <c r="E166" s="138"/>
      <c r="F166" s="138"/>
      <c r="G166" s="138"/>
      <c r="H166" s="119"/>
      <c r="I166" s="146"/>
      <c r="J166" s="146"/>
      <c r="K166" s="146"/>
      <c r="L166" s="146"/>
      <c r="M166" s="146"/>
      <c r="N166" s="146"/>
      <c r="O166" s="146"/>
      <c r="P166" s="146"/>
      <c r="Q166" s="146"/>
      <c r="R166" s="146"/>
      <c r="S166" s="146"/>
      <c r="T166" s="146"/>
      <c r="U166" s="146"/>
      <c r="V166" s="146"/>
      <c r="W166" s="146"/>
      <c r="X166" s="146"/>
      <c r="Y166" s="146"/>
      <c r="Z166" s="146"/>
      <c r="AA166" s="146"/>
    </row>
    <row r="167" ht="22.5" customHeight="1">
      <c r="A167" s="145"/>
      <c r="B167" s="154"/>
      <c r="C167" s="154"/>
      <c r="D167" s="138"/>
      <c r="E167" s="138"/>
      <c r="F167" s="138"/>
      <c r="G167" s="138"/>
      <c r="H167" s="119"/>
      <c r="I167" s="146"/>
      <c r="J167" s="146"/>
      <c r="K167" s="146"/>
      <c r="L167" s="146"/>
      <c r="M167" s="146"/>
      <c r="N167" s="146"/>
      <c r="O167" s="146"/>
      <c r="P167" s="146"/>
      <c r="Q167" s="146"/>
      <c r="R167" s="146"/>
      <c r="S167" s="146"/>
      <c r="T167" s="146"/>
      <c r="U167" s="146"/>
      <c r="V167" s="146"/>
      <c r="W167" s="146"/>
      <c r="X167" s="146"/>
      <c r="Y167" s="146"/>
      <c r="Z167" s="146"/>
      <c r="AA167" s="146"/>
    </row>
    <row r="168" ht="22.5" customHeight="1">
      <c r="A168" s="145"/>
      <c r="B168" s="154"/>
      <c r="C168" s="154"/>
      <c r="D168" s="138"/>
      <c r="E168" s="138"/>
      <c r="F168" s="138"/>
      <c r="G168" s="138"/>
      <c r="H168" s="119"/>
      <c r="I168" s="146"/>
      <c r="J168" s="146"/>
      <c r="K168" s="146"/>
      <c r="L168" s="146"/>
      <c r="M168" s="146"/>
      <c r="N168" s="146"/>
      <c r="O168" s="146"/>
      <c r="P168" s="146"/>
      <c r="Q168" s="146"/>
      <c r="R168" s="146"/>
      <c r="S168" s="146"/>
      <c r="T168" s="146"/>
      <c r="U168" s="146"/>
      <c r="V168" s="146"/>
      <c r="W168" s="146"/>
      <c r="X168" s="146"/>
      <c r="Y168" s="146"/>
      <c r="Z168" s="146"/>
      <c r="AA168" s="146"/>
    </row>
    <row r="169" ht="22.5" customHeight="1">
      <c r="A169" s="145"/>
      <c r="B169" s="154"/>
      <c r="C169" s="154"/>
      <c r="D169" s="138"/>
      <c r="E169" s="138"/>
      <c r="F169" s="138"/>
      <c r="G169" s="138"/>
      <c r="H169" s="119"/>
      <c r="I169" s="146"/>
      <c r="J169" s="146"/>
      <c r="K169" s="146"/>
      <c r="L169" s="146"/>
      <c r="M169" s="146"/>
      <c r="N169" s="146"/>
      <c r="O169" s="146"/>
      <c r="P169" s="146"/>
      <c r="Q169" s="146"/>
      <c r="R169" s="146"/>
      <c r="S169" s="146"/>
      <c r="T169" s="146"/>
      <c r="U169" s="146"/>
      <c r="V169" s="146"/>
      <c r="W169" s="146"/>
      <c r="X169" s="146"/>
      <c r="Y169" s="146"/>
      <c r="Z169" s="146"/>
      <c r="AA169" s="146"/>
    </row>
    <row r="170" ht="22.5" customHeight="1">
      <c r="A170" s="145"/>
      <c r="B170" s="154"/>
      <c r="C170" s="154"/>
      <c r="D170" s="138"/>
      <c r="E170" s="138"/>
      <c r="F170" s="138"/>
      <c r="G170" s="138"/>
      <c r="H170" s="119"/>
      <c r="I170" s="146"/>
      <c r="J170" s="146"/>
      <c r="K170" s="146"/>
      <c r="L170" s="146"/>
      <c r="M170" s="146"/>
      <c r="N170" s="146"/>
      <c r="O170" s="146"/>
      <c r="P170" s="146"/>
      <c r="Q170" s="146"/>
      <c r="R170" s="146"/>
      <c r="S170" s="146"/>
      <c r="T170" s="146"/>
      <c r="U170" s="146"/>
      <c r="V170" s="146"/>
      <c r="W170" s="146"/>
      <c r="X170" s="146"/>
      <c r="Y170" s="146"/>
      <c r="Z170" s="146"/>
      <c r="AA170" s="146"/>
    </row>
    <row r="171" ht="22.5" customHeight="1">
      <c r="A171" s="145"/>
      <c r="B171" s="154"/>
      <c r="C171" s="154"/>
      <c r="D171" s="138"/>
      <c r="E171" s="138"/>
      <c r="F171" s="138"/>
      <c r="G171" s="138"/>
      <c r="H171" s="119"/>
      <c r="I171" s="146"/>
      <c r="J171" s="146"/>
      <c r="K171" s="146"/>
      <c r="L171" s="146"/>
      <c r="M171" s="146"/>
      <c r="N171" s="146"/>
      <c r="O171" s="146"/>
      <c r="P171" s="146"/>
      <c r="Q171" s="146"/>
      <c r="R171" s="146"/>
      <c r="S171" s="146"/>
      <c r="T171" s="146"/>
      <c r="U171" s="146"/>
      <c r="V171" s="146"/>
      <c r="W171" s="146"/>
      <c r="X171" s="146"/>
      <c r="Y171" s="146"/>
      <c r="Z171" s="146"/>
      <c r="AA171" s="146"/>
    </row>
    <row r="172" ht="22.5" customHeight="1">
      <c r="A172" s="145"/>
      <c r="B172" s="154"/>
      <c r="C172" s="154"/>
      <c r="D172" s="138"/>
      <c r="E172" s="138"/>
      <c r="F172" s="138"/>
      <c r="G172" s="138"/>
      <c r="H172" s="119"/>
      <c r="I172" s="146"/>
      <c r="J172" s="146"/>
      <c r="K172" s="146"/>
      <c r="L172" s="146"/>
      <c r="M172" s="146"/>
      <c r="N172" s="146"/>
      <c r="O172" s="146"/>
      <c r="P172" s="146"/>
      <c r="Q172" s="146"/>
      <c r="R172" s="146"/>
      <c r="S172" s="146"/>
      <c r="T172" s="146"/>
      <c r="U172" s="146"/>
      <c r="V172" s="146"/>
      <c r="W172" s="146"/>
      <c r="X172" s="146"/>
      <c r="Y172" s="146"/>
      <c r="Z172" s="146"/>
      <c r="AA172" s="146"/>
    </row>
    <row r="173" ht="22.5" customHeight="1">
      <c r="A173" s="145"/>
      <c r="B173" s="154"/>
      <c r="C173" s="154"/>
      <c r="D173" s="138"/>
      <c r="E173" s="138"/>
      <c r="F173" s="138"/>
      <c r="G173" s="138"/>
      <c r="H173" s="119"/>
      <c r="I173" s="146"/>
      <c r="J173" s="146"/>
      <c r="K173" s="146"/>
      <c r="L173" s="146"/>
      <c r="M173" s="146"/>
      <c r="N173" s="146"/>
      <c r="O173" s="146"/>
      <c r="P173" s="146"/>
      <c r="Q173" s="146"/>
      <c r="R173" s="146"/>
      <c r="S173" s="146"/>
      <c r="T173" s="146"/>
      <c r="U173" s="146"/>
      <c r="V173" s="146"/>
      <c r="W173" s="146"/>
      <c r="X173" s="146"/>
      <c r="Y173" s="146"/>
      <c r="Z173" s="146"/>
      <c r="AA173" s="146"/>
    </row>
    <row r="174" ht="22.5" customHeight="1">
      <c r="A174" s="145"/>
      <c r="B174" s="154"/>
      <c r="C174" s="154"/>
      <c r="D174" s="138"/>
      <c r="E174" s="138"/>
      <c r="F174" s="138"/>
      <c r="G174" s="138"/>
      <c r="H174" s="119"/>
      <c r="I174" s="146"/>
      <c r="J174" s="146"/>
      <c r="K174" s="146"/>
      <c r="L174" s="146"/>
      <c r="M174" s="146"/>
      <c r="N174" s="146"/>
      <c r="O174" s="146"/>
      <c r="P174" s="146"/>
      <c r="Q174" s="146"/>
      <c r="R174" s="146"/>
      <c r="S174" s="146"/>
      <c r="T174" s="146"/>
      <c r="U174" s="146"/>
      <c r="V174" s="146"/>
      <c r="W174" s="146"/>
      <c r="X174" s="146"/>
      <c r="Y174" s="146"/>
      <c r="Z174" s="146"/>
      <c r="AA174" s="146"/>
    </row>
    <row r="175" ht="22.5" customHeight="1">
      <c r="A175" s="145"/>
      <c r="B175" s="154"/>
      <c r="C175" s="154"/>
      <c r="D175" s="138"/>
      <c r="E175" s="138"/>
      <c r="F175" s="138"/>
      <c r="G175" s="138"/>
      <c r="H175" s="119"/>
      <c r="I175" s="146"/>
      <c r="J175" s="146"/>
      <c r="K175" s="146"/>
      <c r="L175" s="146"/>
      <c r="M175" s="146"/>
      <c r="N175" s="146"/>
      <c r="O175" s="146"/>
      <c r="P175" s="146"/>
      <c r="Q175" s="146"/>
      <c r="R175" s="146"/>
      <c r="S175" s="146"/>
      <c r="T175" s="146"/>
      <c r="U175" s="146"/>
      <c r="V175" s="146"/>
      <c r="W175" s="146"/>
      <c r="X175" s="146"/>
      <c r="Y175" s="146"/>
      <c r="Z175" s="146"/>
      <c r="AA175" s="146"/>
    </row>
    <row r="176" ht="22.5" customHeight="1">
      <c r="A176" s="145"/>
      <c r="B176" s="154"/>
      <c r="C176" s="154"/>
      <c r="D176" s="138"/>
      <c r="E176" s="138"/>
      <c r="F176" s="138"/>
      <c r="G176" s="138"/>
      <c r="H176" s="119"/>
      <c r="I176" s="146"/>
      <c r="J176" s="146"/>
      <c r="K176" s="146"/>
      <c r="L176" s="146"/>
      <c r="M176" s="146"/>
      <c r="N176" s="146"/>
      <c r="O176" s="146"/>
      <c r="P176" s="146"/>
      <c r="Q176" s="146"/>
      <c r="R176" s="146"/>
      <c r="S176" s="146"/>
      <c r="T176" s="146"/>
      <c r="U176" s="146"/>
      <c r="V176" s="146"/>
      <c r="W176" s="146"/>
      <c r="X176" s="146"/>
      <c r="Y176" s="146"/>
      <c r="Z176" s="146"/>
      <c r="AA176" s="146"/>
    </row>
    <row r="177" ht="22.5" customHeight="1">
      <c r="A177" s="145"/>
      <c r="B177" s="154"/>
      <c r="C177" s="154"/>
      <c r="D177" s="138"/>
      <c r="E177" s="138"/>
      <c r="F177" s="138"/>
      <c r="G177" s="138"/>
      <c r="H177" s="119"/>
      <c r="I177" s="146"/>
      <c r="J177" s="146"/>
      <c r="K177" s="146"/>
      <c r="L177" s="146"/>
      <c r="M177" s="146"/>
      <c r="N177" s="146"/>
      <c r="O177" s="146"/>
      <c r="P177" s="146"/>
      <c r="Q177" s="146"/>
      <c r="R177" s="146"/>
      <c r="S177" s="146"/>
      <c r="T177" s="146"/>
      <c r="U177" s="146"/>
      <c r="V177" s="146"/>
      <c r="W177" s="146"/>
      <c r="X177" s="146"/>
      <c r="Y177" s="146"/>
      <c r="Z177" s="146"/>
      <c r="AA177" s="146"/>
    </row>
    <row r="178" ht="22.5" customHeight="1">
      <c r="A178" s="145"/>
      <c r="B178" s="154"/>
      <c r="C178" s="154"/>
      <c r="D178" s="138"/>
      <c r="E178" s="138"/>
      <c r="F178" s="138"/>
      <c r="G178" s="138"/>
      <c r="H178" s="119"/>
      <c r="I178" s="146"/>
      <c r="J178" s="146"/>
      <c r="K178" s="146"/>
      <c r="L178" s="146"/>
      <c r="M178" s="146"/>
      <c r="N178" s="146"/>
      <c r="O178" s="146"/>
      <c r="P178" s="146"/>
      <c r="Q178" s="146"/>
      <c r="R178" s="146"/>
      <c r="S178" s="146"/>
      <c r="T178" s="146"/>
      <c r="U178" s="146"/>
      <c r="V178" s="146"/>
      <c r="W178" s="146"/>
      <c r="X178" s="146"/>
      <c r="Y178" s="146"/>
      <c r="Z178" s="146"/>
      <c r="AA178" s="146"/>
    </row>
    <row r="179" ht="22.5" customHeight="1">
      <c r="A179" s="145"/>
      <c r="B179" s="154"/>
      <c r="C179" s="154"/>
      <c r="D179" s="138"/>
      <c r="E179" s="138"/>
      <c r="F179" s="138"/>
      <c r="G179" s="138"/>
      <c r="H179" s="119"/>
      <c r="I179" s="146"/>
      <c r="J179" s="146"/>
      <c r="K179" s="146"/>
      <c r="L179" s="146"/>
      <c r="M179" s="146"/>
      <c r="N179" s="146"/>
      <c r="O179" s="146"/>
      <c r="P179" s="146"/>
      <c r="Q179" s="146"/>
      <c r="R179" s="146"/>
      <c r="S179" s="146"/>
      <c r="T179" s="146"/>
      <c r="U179" s="146"/>
      <c r="V179" s="146"/>
      <c r="W179" s="146"/>
      <c r="X179" s="146"/>
      <c r="Y179" s="146"/>
      <c r="Z179" s="146"/>
      <c r="AA179" s="146"/>
    </row>
    <row r="180" ht="22.5" customHeight="1">
      <c r="A180" s="145"/>
      <c r="B180" s="154"/>
      <c r="C180" s="154"/>
      <c r="D180" s="138"/>
      <c r="E180" s="138"/>
      <c r="F180" s="138"/>
      <c r="G180" s="138"/>
      <c r="H180" s="119"/>
      <c r="I180" s="146"/>
      <c r="J180" s="146"/>
      <c r="K180" s="146"/>
      <c r="L180" s="146"/>
      <c r="M180" s="146"/>
      <c r="N180" s="146"/>
      <c r="O180" s="146"/>
      <c r="P180" s="146"/>
      <c r="Q180" s="146"/>
      <c r="R180" s="146"/>
      <c r="S180" s="146"/>
      <c r="T180" s="146"/>
      <c r="U180" s="146"/>
      <c r="V180" s="146"/>
      <c r="W180" s="146"/>
      <c r="X180" s="146"/>
      <c r="Y180" s="146"/>
      <c r="Z180" s="146"/>
      <c r="AA180" s="146"/>
    </row>
    <row r="181" ht="22.5" customHeight="1">
      <c r="A181" s="145"/>
      <c r="B181" s="154"/>
      <c r="C181" s="154"/>
      <c r="D181" s="138"/>
      <c r="E181" s="138"/>
      <c r="F181" s="138"/>
      <c r="G181" s="138"/>
      <c r="H181" s="119"/>
      <c r="I181" s="146"/>
      <c r="J181" s="146"/>
      <c r="K181" s="146"/>
      <c r="L181" s="146"/>
      <c r="M181" s="146"/>
      <c r="N181" s="146"/>
      <c r="O181" s="146"/>
      <c r="P181" s="146"/>
      <c r="Q181" s="146"/>
      <c r="R181" s="146"/>
      <c r="S181" s="146"/>
      <c r="T181" s="146"/>
      <c r="U181" s="146"/>
      <c r="V181" s="146"/>
      <c r="W181" s="146"/>
      <c r="X181" s="146"/>
      <c r="Y181" s="146"/>
      <c r="Z181" s="146"/>
      <c r="AA181" s="146"/>
    </row>
    <row r="182" ht="22.5" customHeight="1">
      <c r="A182" s="145"/>
      <c r="B182" s="154"/>
      <c r="C182" s="154"/>
      <c r="D182" s="138"/>
      <c r="E182" s="138"/>
      <c r="F182" s="138"/>
      <c r="G182" s="138"/>
      <c r="H182" s="119"/>
      <c r="I182" s="146"/>
      <c r="J182" s="146"/>
      <c r="K182" s="146"/>
      <c r="L182" s="146"/>
      <c r="M182" s="146"/>
      <c r="N182" s="146"/>
      <c r="O182" s="146"/>
      <c r="P182" s="146"/>
      <c r="Q182" s="146"/>
      <c r="R182" s="146"/>
      <c r="S182" s="146"/>
      <c r="T182" s="146"/>
      <c r="U182" s="146"/>
      <c r="V182" s="146"/>
      <c r="W182" s="146"/>
      <c r="X182" s="146"/>
      <c r="Y182" s="146"/>
      <c r="Z182" s="146"/>
      <c r="AA182" s="146"/>
    </row>
    <row r="183" ht="22.5" customHeight="1">
      <c r="A183" s="145"/>
      <c r="B183" s="154"/>
      <c r="C183" s="154"/>
      <c r="D183" s="138"/>
      <c r="E183" s="138"/>
      <c r="F183" s="138"/>
      <c r="G183" s="138"/>
      <c r="H183" s="119"/>
      <c r="I183" s="146"/>
      <c r="J183" s="146"/>
      <c r="K183" s="146"/>
      <c r="L183" s="146"/>
      <c r="M183" s="146"/>
      <c r="N183" s="146"/>
      <c r="O183" s="146"/>
      <c r="P183" s="146"/>
      <c r="Q183" s="146"/>
      <c r="R183" s="146"/>
      <c r="S183" s="146"/>
      <c r="T183" s="146"/>
      <c r="U183" s="146"/>
      <c r="V183" s="146"/>
      <c r="W183" s="146"/>
      <c r="X183" s="146"/>
      <c r="Y183" s="146"/>
      <c r="Z183" s="146"/>
      <c r="AA183" s="146"/>
    </row>
    <row r="184" ht="22.5" customHeight="1">
      <c r="A184" s="145"/>
      <c r="B184" s="154"/>
      <c r="C184" s="154"/>
      <c r="D184" s="138"/>
      <c r="E184" s="138"/>
      <c r="F184" s="138"/>
      <c r="G184" s="138"/>
      <c r="H184" s="119"/>
      <c r="I184" s="146"/>
      <c r="J184" s="146"/>
      <c r="K184" s="146"/>
      <c r="L184" s="146"/>
      <c r="M184" s="146"/>
      <c r="N184" s="146"/>
      <c r="O184" s="146"/>
      <c r="P184" s="146"/>
      <c r="Q184" s="146"/>
      <c r="R184" s="146"/>
      <c r="S184" s="146"/>
      <c r="T184" s="146"/>
      <c r="U184" s="146"/>
      <c r="V184" s="146"/>
      <c r="W184" s="146"/>
      <c r="X184" s="146"/>
      <c r="Y184" s="146"/>
      <c r="Z184" s="146"/>
      <c r="AA184" s="146"/>
    </row>
    <row r="185" ht="22.5" customHeight="1">
      <c r="A185" s="145"/>
      <c r="B185" s="154"/>
      <c r="C185" s="154"/>
      <c r="D185" s="138"/>
      <c r="E185" s="138"/>
      <c r="F185" s="138"/>
      <c r="G185" s="138"/>
      <c r="H185" s="119"/>
      <c r="I185" s="146"/>
      <c r="J185" s="146"/>
      <c r="K185" s="146"/>
      <c r="L185" s="146"/>
      <c r="M185" s="146"/>
      <c r="N185" s="146"/>
      <c r="O185" s="146"/>
      <c r="P185" s="146"/>
      <c r="Q185" s="146"/>
      <c r="R185" s="146"/>
      <c r="S185" s="146"/>
      <c r="T185" s="146"/>
      <c r="U185" s="146"/>
      <c r="V185" s="146"/>
      <c r="W185" s="146"/>
      <c r="X185" s="146"/>
      <c r="Y185" s="146"/>
      <c r="Z185" s="146"/>
      <c r="AA185" s="146"/>
    </row>
    <row r="186" ht="22.5" customHeight="1">
      <c r="A186" s="145"/>
      <c r="B186" s="154"/>
      <c r="C186" s="154"/>
      <c r="D186" s="138"/>
      <c r="E186" s="138"/>
      <c r="F186" s="138"/>
      <c r="G186" s="138"/>
      <c r="H186" s="119"/>
      <c r="I186" s="146"/>
      <c r="J186" s="146"/>
      <c r="K186" s="146"/>
      <c r="L186" s="146"/>
      <c r="M186" s="146"/>
      <c r="N186" s="146"/>
      <c r="O186" s="146"/>
      <c r="P186" s="146"/>
      <c r="Q186" s="146"/>
      <c r="R186" s="146"/>
      <c r="S186" s="146"/>
      <c r="T186" s="146"/>
      <c r="U186" s="146"/>
      <c r="V186" s="146"/>
      <c r="W186" s="146"/>
      <c r="X186" s="146"/>
      <c r="Y186" s="146"/>
      <c r="Z186" s="146"/>
      <c r="AA186" s="146"/>
    </row>
    <row r="187" ht="22.5" customHeight="1">
      <c r="A187" s="145"/>
      <c r="B187" s="154"/>
      <c r="C187" s="154"/>
      <c r="D187" s="138"/>
      <c r="E187" s="138"/>
      <c r="F187" s="138"/>
      <c r="G187" s="138"/>
      <c r="H187" s="119"/>
      <c r="I187" s="146"/>
      <c r="J187" s="146"/>
      <c r="K187" s="146"/>
      <c r="L187" s="146"/>
      <c r="M187" s="146"/>
      <c r="N187" s="146"/>
      <c r="O187" s="146"/>
      <c r="P187" s="146"/>
      <c r="Q187" s="146"/>
      <c r="R187" s="146"/>
      <c r="S187" s="146"/>
      <c r="T187" s="146"/>
      <c r="U187" s="146"/>
      <c r="V187" s="146"/>
      <c r="W187" s="146"/>
      <c r="X187" s="146"/>
      <c r="Y187" s="146"/>
      <c r="Z187" s="146"/>
      <c r="AA187" s="146"/>
    </row>
    <row r="188" ht="22.5" customHeight="1">
      <c r="A188" s="145"/>
      <c r="B188" s="154"/>
      <c r="C188" s="154"/>
      <c r="D188" s="138"/>
      <c r="E188" s="138"/>
      <c r="F188" s="138"/>
      <c r="G188" s="138"/>
      <c r="H188" s="119"/>
      <c r="I188" s="146"/>
      <c r="J188" s="146"/>
      <c r="K188" s="146"/>
      <c r="L188" s="146"/>
      <c r="M188" s="146"/>
      <c r="N188" s="146"/>
      <c r="O188" s="146"/>
      <c r="P188" s="146"/>
      <c r="Q188" s="146"/>
      <c r="R188" s="146"/>
      <c r="S188" s="146"/>
      <c r="T188" s="146"/>
      <c r="U188" s="146"/>
      <c r="V188" s="146"/>
      <c r="W188" s="146"/>
      <c r="X188" s="146"/>
      <c r="Y188" s="146"/>
      <c r="Z188" s="146"/>
      <c r="AA188" s="146"/>
    </row>
    <row r="189" ht="22.5" customHeight="1">
      <c r="A189" s="145"/>
      <c r="B189" s="154"/>
      <c r="C189" s="154"/>
      <c r="D189" s="138"/>
      <c r="E189" s="138"/>
      <c r="F189" s="138"/>
      <c r="G189" s="138"/>
      <c r="H189" s="119"/>
      <c r="I189" s="146"/>
      <c r="J189" s="146"/>
      <c r="K189" s="146"/>
      <c r="L189" s="146"/>
      <c r="M189" s="146"/>
      <c r="N189" s="146"/>
      <c r="O189" s="146"/>
      <c r="P189" s="146"/>
      <c r="Q189" s="146"/>
      <c r="R189" s="146"/>
      <c r="S189" s="146"/>
      <c r="T189" s="146"/>
      <c r="U189" s="146"/>
      <c r="V189" s="146"/>
      <c r="W189" s="146"/>
      <c r="X189" s="146"/>
      <c r="Y189" s="146"/>
      <c r="Z189" s="146"/>
      <c r="AA189" s="146"/>
    </row>
    <row r="190" ht="22.5" customHeight="1">
      <c r="A190" s="145"/>
      <c r="B190" s="154"/>
      <c r="C190" s="154"/>
      <c r="D190" s="138"/>
      <c r="E190" s="138"/>
      <c r="F190" s="138"/>
      <c r="G190" s="138"/>
      <c r="H190" s="119"/>
      <c r="I190" s="146"/>
      <c r="J190" s="146"/>
      <c r="K190" s="146"/>
      <c r="L190" s="146"/>
      <c r="M190" s="146"/>
      <c r="N190" s="146"/>
      <c r="O190" s="146"/>
      <c r="P190" s="146"/>
      <c r="Q190" s="146"/>
      <c r="R190" s="146"/>
      <c r="S190" s="146"/>
      <c r="T190" s="146"/>
      <c r="U190" s="146"/>
      <c r="V190" s="146"/>
      <c r="W190" s="146"/>
      <c r="X190" s="146"/>
      <c r="Y190" s="146"/>
      <c r="Z190" s="146"/>
      <c r="AA190" s="146"/>
    </row>
    <row r="191" ht="22.5" customHeight="1">
      <c r="A191" s="145"/>
      <c r="B191" s="154"/>
      <c r="C191" s="154"/>
      <c r="D191" s="138"/>
      <c r="E191" s="138"/>
      <c r="F191" s="138"/>
      <c r="G191" s="138"/>
      <c r="H191" s="119"/>
      <c r="I191" s="146"/>
      <c r="J191" s="146"/>
      <c r="K191" s="146"/>
      <c r="L191" s="146"/>
      <c r="M191" s="146"/>
      <c r="N191" s="146"/>
      <c r="O191" s="146"/>
      <c r="P191" s="146"/>
      <c r="Q191" s="146"/>
      <c r="R191" s="146"/>
      <c r="S191" s="146"/>
      <c r="T191" s="146"/>
      <c r="U191" s="146"/>
      <c r="V191" s="146"/>
      <c r="W191" s="146"/>
      <c r="X191" s="146"/>
      <c r="Y191" s="146"/>
      <c r="Z191" s="146"/>
      <c r="AA191" s="146"/>
    </row>
    <row r="192" ht="22.5" customHeight="1">
      <c r="A192" s="145"/>
      <c r="B192" s="154"/>
      <c r="C192" s="154"/>
      <c r="D192" s="138"/>
      <c r="E192" s="138"/>
      <c r="F192" s="138"/>
      <c r="G192" s="138"/>
      <c r="H192" s="119"/>
      <c r="I192" s="146"/>
      <c r="J192" s="146"/>
      <c r="K192" s="146"/>
      <c r="L192" s="146"/>
      <c r="M192" s="146"/>
      <c r="N192" s="146"/>
      <c r="O192" s="146"/>
      <c r="P192" s="146"/>
      <c r="Q192" s="146"/>
      <c r="R192" s="146"/>
      <c r="S192" s="146"/>
      <c r="T192" s="146"/>
      <c r="U192" s="146"/>
      <c r="V192" s="146"/>
      <c r="W192" s="146"/>
      <c r="X192" s="146"/>
      <c r="Y192" s="146"/>
      <c r="Z192" s="146"/>
      <c r="AA192" s="146"/>
    </row>
    <row r="193" ht="22.5" customHeight="1">
      <c r="A193" s="145"/>
      <c r="B193" s="154"/>
      <c r="C193" s="154"/>
      <c r="D193" s="138"/>
      <c r="E193" s="138"/>
      <c r="F193" s="138"/>
      <c r="G193" s="138"/>
      <c r="H193" s="119"/>
      <c r="I193" s="146"/>
      <c r="J193" s="146"/>
      <c r="K193" s="146"/>
      <c r="L193" s="146"/>
      <c r="M193" s="146"/>
      <c r="N193" s="146"/>
      <c r="O193" s="146"/>
      <c r="P193" s="146"/>
      <c r="Q193" s="146"/>
      <c r="R193" s="146"/>
      <c r="S193" s="146"/>
      <c r="T193" s="146"/>
      <c r="U193" s="146"/>
      <c r="V193" s="146"/>
      <c r="W193" s="146"/>
      <c r="X193" s="146"/>
      <c r="Y193" s="146"/>
      <c r="Z193" s="146"/>
      <c r="AA193" s="146"/>
    </row>
    <row r="194" ht="22.5" customHeight="1">
      <c r="A194" s="145"/>
      <c r="B194" s="154"/>
      <c r="C194" s="154"/>
      <c r="D194" s="138"/>
      <c r="E194" s="138"/>
      <c r="F194" s="138"/>
      <c r="G194" s="138"/>
      <c r="H194" s="119"/>
      <c r="I194" s="146"/>
      <c r="J194" s="146"/>
      <c r="K194" s="146"/>
      <c r="L194" s="146"/>
      <c r="M194" s="146"/>
      <c r="N194" s="146"/>
      <c r="O194" s="146"/>
      <c r="P194" s="146"/>
      <c r="Q194" s="146"/>
      <c r="R194" s="146"/>
      <c r="S194" s="146"/>
      <c r="T194" s="146"/>
      <c r="U194" s="146"/>
      <c r="V194" s="146"/>
      <c r="W194" s="146"/>
      <c r="X194" s="146"/>
      <c r="Y194" s="146"/>
      <c r="Z194" s="146"/>
      <c r="AA194" s="146"/>
    </row>
    <row r="195" ht="22.5" customHeight="1">
      <c r="A195" s="145"/>
      <c r="B195" s="154"/>
      <c r="C195" s="154"/>
      <c r="D195" s="138"/>
      <c r="E195" s="138"/>
      <c r="F195" s="138"/>
      <c r="G195" s="138"/>
      <c r="H195" s="119"/>
      <c r="I195" s="146"/>
      <c r="J195" s="146"/>
      <c r="K195" s="146"/>
      <c r="L195" s="146"/>
      <c r="M195" s="146"/>
      <c r="N195" s="146"/>
      <c r="O195" s="146"/>
      <c r="P195" s="146"/>
      <c r="Q195" s="146"/>
      <c r="R195" s="146"/>
      <c r="S195" s="146"/>
      <c r="T195" s="146"/>
      <c r="U195" s="146"/>
      <c r="V195" s="146"/>
      <c r="W195" s="146"/>
      <c r="X195" s="146"/>
      <c r="Y195" s="146"/>
      <c r="Z195" s="146"/>
      <c r="AA195" s="146"/>
    </row>
    <row r="196" ht="22.5" customHeight="1">
      <c r="A196" s="145"/>
      <c r="B196" s="154"/>
      <c r="C196" s="154"/>
      <c r="D196" s="138"/>
      <c r="E196" s="138"/>
      <c r="F196" s="138"/>
      <c r="G196" s="138"/>
      <c r="H196" s="119"/>
      <c r="I196" s="146"/>
      <c r="J196" s="146"/>
      <c r="K196" s="146"/>
      <c r="L196" s="146"/>
      <c r="M196" s="146"/>
      <c r="N196" s="146"/>
      <c r="O196" s="146"/>
      <c r="P196" s="146"/>
      <c r="Q196" s="146"/>
      <c r="R196" s="146"/>
      <c r="S196" s="146"/>
      <c r="T196" s="146"/>
      <c r="U196" s="146"/>
      <c r="V196" s="146"/>
      <c r="W196" s="146"/>
      <c r="X196" s="146"/>
      <c r="Y196" s="146"/>
      <c r="Z196" s="146"/>
      <c r="AA196" s="146"/>
    </row>
    <row r="197" ht="22.5" customHeight="1">
      <c r="A197" s="145"/>
      <c r="B197" s="154"/>
      <c r="C197" s="154"/>
      <c r="D197" s="138"/>
      <c r="E197" s="138"/>
      <c r="F197" s="138"/>
      <c r="G197" s="138"/>
      <c r="H197" s="119"/>
      <c r="I197" s="146"/>
      <c r="J197" s="146"/>
      <c r="K197" s="146"/>
      <c r="L197" s="146"/>
      <c r="M197" s="146"/>
      <c r="N197" s="146"/>
      <c r="O197" s="146"/>
      <c r="P197" s="146"/>
      <c r="Q197" s="146"/>
      <c r="R197" s="146"/>
      <c r="S197" s="146"/>
      <c r="T197" s="146"/>
      <c r="U197" s="146"/>
      <c r="V197" s="146"/>
      <c r="W197" s="146"/>
      <c r="X197" s="146"/>
      <c r="Y197" s="146"/>
      <c r="Z197" s="146"/>
      <c r="AA197" s="146"/>
    </row>
    <row r="198" ht="22.5" customHeight="1">
      <c r="A198" s="145"/>
      <c r="B198" s="154"/>
      <c r="C198" s="154"/>
      <c r="D198" s="138"/>
      <c r="E198" s="138"/>
      <c r="F198" s="138"/>
      <c r="G198" s="138"/>
      <c r="H198" s="119"/>
      <c r="I198" s="146"/>
      <c r="J198" s="146"/>
      <c r="K198" s="146"/>
      <c r="L198" s="146"/>
      <c r="M198" s="146"/>
      <c r="N198" s="146"/>
      <c r="O198" s="146"/>
      <c r="P198" s="146"/>
      <c r="Q198" s="146"/>
      <c r="R198" s="146"/>
      <c r="S198" s="146"/>
      <c r="T198" s="146"/>
      <c r="U198" s="146"/>
      <c r="V198" s="146"/>
      <c r="W198" s="146"/>
      <c r="X198" s="146"/>
      <c r="Y198" s="146"/>
      <c r="Z198" s="146"/>
      <c r="AA198" s="146"/>
    </row>
    <row r="199" ht="22.5" customHeight="1">
      <c r="A199" s="145"/>
      <c r="B199" s="154"/>
      <c r="C199" s="154"/>
      <c r="D199" s="138"/>
      <c r="E199" s="138"/>
      <c r="F199" s="138"/>
      <c r="G199" s="138"/>
      <c r="H199" s="119"/>
      <c r="I199" s="146"/>
      <c r="J199" s="146"/>
      <c r="K199" s="146"/>
      <c r="L199" s="146"/>
      <c r="M199" s="146"/>
      <c r="N199" s="146"/>
      <c r="O199" s="146"/>
      <c r="P199" s="146"/>
      <c r="Q199" s="146"/>
      <c r="R199" s="146"/>
      <c r="S199" s="146"/>
      <c r="T199" s="146"/>
      <c r="U199" s="146"/>
      <c r="V199" s="146"/>
      <c r="W199" s="146"/>
      <c r="X199" s="146"/>
      <c r="Y199" s="146"/>
      <c r="Z199" s="146"/>
      <c r="AA199" s="146"/>
    </row>
    <row r="200" ht="22.5" customHeight="1">
      <c r="A200" s="145"/>
      <c r="B200" s="154"/>
      <c r="C200" s="154"/>
      <c r="D200" s="138"/>
      <c r="E200" s="138"/>
      <c r="F200" s="138"/>
      <c r="G200" s="138"/>
      <c r="H200" s="119"/>
      <c r="I200" s="146"/>
      <c r="J200" s="146"/>
      <c r="K200" s="146"/>
      <c r="L200" s="146"/>
      <c r="M200" s="146"/>
      <c r="N200" s="146"/>
      <c r="O200" s="146"/>
      <c r="P200" s="146"/>
      <c r="Q200" s="146"/>
      <c r="R200" s="146"/>
      <c r="S200" s="146"/>
      <c r="T200" s="146"/>
      <c r="U200" s="146"/>
      <c r="V200" s="146"/>
      <c r="W200" s="146"/>
      <c r="X200" s="146"/>
      <c r="Y200" s="146"/>
      <c r="Z200" s="146"/>
      <c r="AA200" s="146"/>
    </row>
    <row r="201" ht="22.5" customHeight="1">
      <c r="A201" s="145"/>
      <c r="B201" s="154"/>
      <c r="C201" s="154"/>
      <c r="D201" s="138"/>
      <c r="E201" s="138"/>
      <c r="F201" s="138"/>
      <c r="G201" s="138"/>
      <c r="H201" s="119"/>
      <c r="I201" s="146"/>
      <c r="J201" s="146"/>
      <c r="K201" s="146"/>
      <c r="L201" s="146"/>
      <c r="M201" s="146"/>
      <c r="N201" s="146"/>
      <c r="O201" s="146"/>
      <c r="P201" s="146"/>
      <c r="Q201" s="146"/>
      <c r="R201" s="146"/>
      <c r="S201" s="146"/>
      <c r="T201" s="146"/>
      <c r="U201" s="146"/>
      <c r="V201" s="146"/>
      <c r="W201" s="146"/>
      <c r="X201" s="146"/>
      <c r="Y201" s="146"/>
      <c r="Z201" s="146"/>
      <c r="AA201" s="146"/>
    </row>
    <row r="202" ht="22.5" customHeight="1">
      <c r="A202" s="145"/>
      <c r="B202" s="154"/>
      <c r="C202" s="154"/>
      <c r="D202" s="138"/>
      <c r="E202" s="138"/>
      <c r="F202" s="138"/>
      <c r="G202" s="138"/>
      <c r="H202" s="119"/>
      <c r="I202" s="146"/>
      <c r="J202" s="146"/>
      <c r="K202" s="146"/>
      <c r="L202" s="146"/>
      <c r="M202" s="146"/>
      <c r="N202" s="146"/>
      <c r="O202" s="146"/>
      <c r="P202" s="146"/>
      <c r="Q202" s="146"/>
      <c r="R202" s="146"/>
      <c r="S202" s="146"/>
      <c r="T202" s="146"/>
      <c r="U202" s="146"/>
      <c r="V202" s="146"/>
      <c r="W202" s="146"/>
      <c r="X202" s="146"/>
      <c r="Y202" s="146"/>
      <c r="Z202" s="146"/>
      <c r="AA202" s="146"/>
    </row>
    <row r="203" ht="22.5" customHeight="1">
      <c r="A203" s="145"/>
      <c r="B203" s="154"/>
      <c r="C203" s="154"/>
      <c r="D203" s="138"/>
      <c r="E203" s="138"/>
      <c r="F203" s="138"/>
      <c r="G203" s="138"/>
      <c r="H203" s="119"/>
      <c r="I203" s="146"/>
      <c r="J203" s="146"/>
      <c r="K203" s="146"/>
      <c r="L203" s="146"/>
      <c r="M203" s="146"/>
      <c r="N203" s="146"/>
      <c r="O203" s="146"/>
      <c r="P203" s="146"/>
      <c r="Q203" s="146"/>
      <c r="R203" s="146"/>
      <c r="S203" s="146"/>
      <c r="T203" s="146"/>
      <c r="U203" s="146"/>
      <c r="V203" s="146"/>
      <c r="W203" s="146"/>
      <c r="X203" s="146"/>
      <c r="Y203" s="146"/>
      <c r="Z203" s="146"/>
      <c r="AA203" s="146"/>
    </row>
    <row r="204" ht="22.5" customHeight="1">
      <c r="A204" s="145"/>
      <c r="B204" s="154"/>
      <c r="C204" s="154"/>
      <c r="D204" s="138"/>
      <c r="E204" s="138"/>
      <c r="F204" s="138"/>
      <c r="G204" s="138"/>
      <c r="H204" s="119"/>
      <c r="I204" s="146"/>
      <c r="J204" s="146"/>
      <c r="K204" s="146"/>
      <c r="L204" s="146"/>
      <c r="M204" s="146"/>
      <c r="N204" s="146"/>
      <c r="O204" s="146"/>
      <c r="P204" s="146"/>
      <c r="Q204" s="146"/>
      <c r="R204" s="146"/>
      <c r="S204" s="146"/>
      <c r="T204" s="146"/>
      <c r="U204" s="146"/>
      <c r="V204" s="146"/>
      <c r="W204" s="146"/>
      <c r="X204" s="146"/>
      <c r="Y204" s="146"/>
      <c r="Z204" s="146"/>
      <c r="AA204" s="146"/>
    </row>
    <row r="205" ht="22.5" customHeight="1">
      <c r="A205" s="145"/>
      <c r="B205" s="154"/>
      <c r="C205" s="154"/>
      <c r="D205" s="138"/>
      <c r="E205" s="138"/>
      <c r="F205" s="138"/>
      <c r="G205" s="138"/>
      <c r="H205" s="119"/>
      <c r="I205" s="146"/>
      <c r="J205" s="146"/>
      <c r="K205" s="146"/>
      <c r="L205" s="146"/>
      <c r="M205" s="146"/>
      <c r="N205" s="146"/>
      <c r="O205" s="146"/>
      <c r="P205" s="146"/>
      <c r="Q205" s="146"/>
      <c r="R205" s="146"/>
      <c r="S205" s="146"/>
      <c r="T205" s="146"/>
      <c r="U205" s="146"/>
      <c r="V205" s="146"/>
      <c r="W205" s="146"/>
      <c r="X205" s="146"/>
      <c r="Y205" s="146"/>
      <c r="Z205" s="146"/>
      <c r="AA205" s="146"/>
    </row>
    <row r="206" ht="22.5" customHeight="1">
      <c r="A206" s="145"/>
      <c r="B206" s="154"/>
      <c r="C206" s="154"/>
      <c r="D206" s="138"/>
      <c r="E206" s="138"/>
      <c r="F206" s="138"/>
      <c r="G206" s="138"/>
      <c r="H206" s="119"/>
      <c r="I206" s="146"/>
      <c r="J206" s="146"/>
      <c r="K206" s="146"/>
      <c r="L206" s="146"/>
      <c r="M206" s="146"/>
      <c r="N206" s="146"/>
      <c r="O206" s="146"/>
      <c r="P206" s="146"/>
      <c r="Q206" s="146"/>
      <c r="R206" s="146"/>
      <c r="S206" s="146"/>
      <c r="T206" s="146"/>
      <c r="U206" s="146"/>
      <c r="V206" s="146"/>
      <c r="W206" s="146"/>
      <c r="X206" s="146"/>
      <c r="Y206" s="146"/>
      <c r="Z206" s="146"/>
      <c r="AA206" s="146"/>
    </row>
    <row r="207" ht="22.5" customHeight="1">
      <c r="A207" s="145"/>
      <c r="B207" s="154"/>
      <c r="C207" s="154"/>
      <c r="D207" s="138"/>
      <c r="E207" s="138"/>
      <c r="F207" s="138"/>
      <c r="G207" s="138"/>
      <c r="H207" s="119"/>
      <c r="I207" s="146"/>
      <c r="J207" s="146"/>
      <c r="K207" s="146"/>
      <c r="L207" s="146"/>
      <c r="M207" s="146"/>
      <c r="N207" s="146"/>
      <c r="O207" s="146"/>
      <c r="P207" s="146"/>
      <c r="Q207" s="146"/>
      <c r="R207" s="146"/>
      <c r="S207" s="146"/>
      <c r="T207" s="146"/>
      <c r="U207" s="146"/>
      <c r="V207" s="146"/>
      <c r="W207" s="146"/>
      <c r="X207" s="146"/>
      <c r="Y207" s="146"/>
      <c r="Z207" s="146"/>
      <c r="AA207" s="146"/>
    </row>
    <row r="208" ht="22.5" customHeight="1">
      <c r="A208" s="145"/>
      <c r="B208" s="154"/>
      <c r="C208" s="154"/>
      <c r="D208" s="138"/>
      <c r="E208" s="138"/>
      <c r="F208" s="138"/>
      <c r="G208" s="138"/>
      <c r="H208" s="119"/>
      <c r="I208" s="146"/>
      <c r="J208" s="146"/>
      <c r="K208" s="146"/>
      <c r="L208" s="146"/>
      <c r="M208" s="146"/>
      <c r="N208" s="146"/>
      <c r="O208" s="146"/>
      <c r="P208" s="146"/>
      <c r="Q208" s="146"/>
      <c r="R208" s="146"/>
      <c r="S208" s="146"/>
      <c r="T208" s="146"/>
      <c r="U208" s="146"/>
      <c r="V208" s="146"/>
      <c r="W208" s="146"/>
      <c r="X208" s="146"/>
      <c r="Y208" s="146"/>
      <c r="Z208" s="146"/>
      <c r="AA208" s="146"/>
    </row>
    <row r="209" ht="22.5" customHeight="1">
      <c r="A209" s="145"/>
      <c r="B209" s="154"/>
      <c r="C209" s="154"/>
      <c r="D209" s="138"/>
      <c r="E209" s="138"/>
      <c r="F209" s="138"/>
      <c r="G209" s="138"/>
      <c r="H209" s="119"/>
      <c r="I209" s="146"/>
      <c r="J209" s="146"/>
      <c r="K209" s="146"/>
      <c r="L209" s="146"/>
      <c r="M209" s="146"/>
      <c r="N209" s="146"/>
      <c r="O209" s="146"/>
      <c r="P209" s="146"/>
      <c r="Q209" s="146"/>
      <c r="R209" s="146"/>
      <c r="S209" s="146"/>
      <c r="T209" s="146"/>
      <c r="U209" s="146"/>
      <c r="V209" s="146"/>
      <c r="W209" s="146"/>
      <c r="X209" s="146"/>
      <c r="Y209" s="146"/>
      <c r="Z209" s="146"/>
      <c r="AA209" s="146"/>
    </row>
    <row r="210" ht="22.5" customHeight="1">
      <c r="A210" s="145"/>
      <c r="B210" s="154"/>
      <c r="C210" s="154"/>
      <c r="D210" s="138"/>
      <c r="E210" s="138"/>
      <c r="F210" s="138"/>
      <c r="G210" s="138"/>
      <c r="H210" s="119"/>
      <c r="I210" s="146"/>
      <c r="J210" s="146"/>
      <c r="K210" s="146"/>
      <c r="L210" s="146"/>
      <c r="M210" s="146"/>
      <c r="N210" s="146"/>
      <c r="O210" s="146"/>
      <c r="P210" s="146"/>
      <c r="Q210" s="146"/>
      <c r="R210" s="146"/>
      <c r="S210" s="146"/>
      <c r="T210" s="146"/>
      <c r="U210" s="146"/>
      <c r="V210" s="146"/>
      <c r="W210" s="146"/>
      <c r="X210" s="146"/>
      <c r="Y210" s="146"/>
      <c r="Z210" s="146"/>
      <c r="AA210" s="146"/>
    </row>
    <row r="211" ht="22.5" customHeight="1">
      <c r="A211" s="145"/>
      <c r="B211" s="154"/>
      <c r="C211" s="154"/>
      <c r="D211" s="138"/>
      <c r="E211" s="138"/>
      <c r="F211" s="138"/>
      <c r="G211" s="138"/>
      <c r="H211" s="119"/>
      <c r="I211" s="146"/>
      <c r="J211" s="146"/>
      <c r="K211" s="146"/>
      <c r="L211" s="146"/>
      <c r="M211" s="146"/>
      <c r="N211" s="146"/>
      <c r="O211" s="146"/>
      <c r="P211" s="146"/>
      <c r="Q211" s="146"/>
      <c r="R211" s="146"/>
      <c r="S211" s="146"/>
      <c r="T211" s="146"/>
      <c r="U211" s="146"/>
      <c r="V211" s="146"/>
      <c r="W211" s="146"/>
      <c r="X211" s="146"/>
      <c r="Y211" s="146"/>
      <c r="Z211" s="146"/>
      <c r="AA211" s="146"/>
    </row>
    <row r="212" ht="22.5" customHeight="1">
      <c r="A212" s="145"/>
      <c r="B212" s="154"/>
      <c r="C212" s="154"/>
      <c r="D212" s="138"/>
      <c r="E212" s="138"/>
      <c r="F212" s="138"/>
      <c r="G212" s="138"/>
      <c r="H212" s="119"/>
      <c r="I212" s="146"/>
      <c r="J212" s="146"/>
      <c r="K212" s="146"/>
      <c r="L212" s="146"/>
      <c r="M212" s="146"/>
      <c r="N212" s="146"/>
      <c r="O212" s="146"/>
      <c r="P212" s="146"/>
      <c r="Q212" s="146"/>
      <c r="R212" s="146"/>
      <c r="S212" s="146"/>
      <c r="T212" s="146"/>
      <c r="U212" s="146"/>
      <c r="V212" s="146"/>
      <c r="W212" s="146"/>
      <c r="X212" s="146"/>
      <c r="Y212" s="146"/>
      <c r="Z212" s="146"/>
      <c r="AA212" s="146"/>
    </row>
    <row r="213" ht="22.5" customHeight="1">
      <c r="A213" s="145"/>
      <c r="B213" s="154"/>
      <c r="C213" s="154"/>
      <c r="D213" s="138"/>
      <c r="E213" s="138"/>
      <c r="F213" s="138"/>
      <c r="G213" s="138"/>
      <c r="H213" s="119"/>
      <c r="I213" s="146"/>
      <c r="J213" s="146"/>
      <c r="K213" s="146"/>
      <c r="L213" s="146"/>
      <c r="M213" s="146"/>
      <c r="N213" s="146"/>
      <c r="O213" s="146"/>
      <c r="P213" s="146"/>
      <c r="Q213" s="146"/>
      <c r="R213" s="146"/>
      <c r="S213" s="146"/>
      <c r="T213" s="146"/>
      <c r="U213" s="146"/>
      <c r="V213" s="146"/>
      <c r="W213" s="146"/>
      <c r="X213" s="146"/>
      <c r="Y213" s="146"/>
      <c r="Z213" s="146"/>
      <c r="AA213" s="146"/>
    </row>
    <row r="214" ht="22.5" customHeight="1">
      <c r="A214" s="145"/>
      <c r="B214" s="154"/>
      <c r="C214" s="154"/>
      <c r="D214" s="138"/>
      <c r="E214" s="138"/>
      <c r="F214" s="138"/>
      <c r="G214" s="138"/>
      <c r="H214" s="119"/>
      <c r="I214" s="146"/>
      <c r="J214" s="146"/>
      <c r="K214" s="146"/>
      <c r="L214" s="146"/>
      <c r="M214" s="146"/>
      <c r="N214" s="146"/>
      <c r="O214" s="146"/>
      <c r="P214" s="146"/>
      <c r="Q214" s="146"/>
      <c r="R214" s="146"/>
      <c r="S214" s="146"/>
      <c r="T214" s="146"/>
      <c r="U214" s="146"/>
      <c r="V214" s="146"/>
      <c r="W214" s="146"/>
      <c r="X214" s="146"/>
      <c r="Y214" s="146"/>
      <c r="Z214" s="146"/>
      <c r="AA214" s="146"/>
    </row>
    <row r="215" ht="22.5" customHeight="1">
      <c r="A215" s="145"/>
      <c r="B215" s="154"/>
      <c r="C215" s="154"/>
      <c r="D215" s="138"/>
      <c r="E215" s="138"/>
      <c r="F215" s="138"/>
      <c r="G215" s="138"/>
      <c r="H215" s="119"/>
      <c r="I215" s="146"/>
      <c r="J215" s="146"/>
      <c r="K215" s="146"/>
      <c r="L215" s="146"/>
      <c r="M215" s="146"/>
      <c r="N215" s="146"/>
      <c r="O215" s="146"/>
      <c r="P215" s="146"/>
      <c r="Q215" s="146"/>
      <c r="R215" s="146"/>
      <c r="S215" s="146"/>
      <c r="T215" s="146"/>
      <c r="U215" s="146"/>
      <c r="V215" s="146"/>
      <c r="W215" s="146"/>
      <c r="X215" s="146"/>
      <c r="Y215" s="146"/>
      <c r="Z215" s="146"/>
      <c r="AA215" s="146"/>
    </row>
    <row r="216" ht="22.5" customHeight="1">
      <c r="A216" s="145"/>
      <c r="B216" s="154"/>
      <c r="C216" s="154"/>
      <c r="D216" s="138"/>
      <c r="E216" s="138"/>
      <c r="F216" s="138"/>
      <c r="G216" s="138"/>
      <c r="H216" s="119"/>
      <c r="I216" s="146"/>
      <c r="J216" s="146"/>
      <c r="K216" s="146"/>
      <c r="L216" s="146"/>
      <c r="M216" s="146"/>
      <c r="N216" s="146"/>
      <c r="O216" s="146"/>
      <c r="P216" s="146"/>
      <c r="Q216" s="146"/>
      <c r="R216" s="146"/>
      <c r="S216" s="146"/>
      <c r="T216" s="146"/>
      <c r="U216" s="146"/>
      <c r="V216" s="146"/>
      <c r="W216" s="146"/>
      <c r="X216" s="146"/>
      <c r="Y216" s="146"/>
      <c r="Z216" s="146"/>
      <c r="AA216" s="146"/>
    </row>
    <row r="217" ht="22.5" customHeight="1">
      <c r="A217" s="145"/>
      <c r="B217" s="154"/>
      <c r="C217" s="154"/>
      <c r="D217" s="138"/>
      <c r="E217" s="138"/>
      <c r="F217" s="138"/>
      <c r="G217" s="138"/>
      <c r="H217" s="119"/>
      <c r="I217" s="146"/>
      <c r="J217" s="146"/>
      <c r="K217" s="146"/>
      <c r="L217" s="146"/>
      <c r="M217" s="146"/>
      <c r="N217" s="146"/>
      <c r="O217" s="146"/>
      <c r="P217" s="146"/>
      <c r="Q217" s="146"/>
      <c r="R217" s="146"/>
      <c r="S217" s="146"/>
      <c r="T217" s="146"/>
      <c r="U217" s="146"/>
      <c r="V217" s="146"/>
      <c r="W217" s="146"/>
      <c r="X217" s="146"/>
      <c r="Y217" s="146"/>
      <c r="Z217" s="146"/>
      <c r="AA217" s="146"/>
    </row>
    <row r="218" ht="22.5" customHeight="1">
      <c r="A218" s="145"/>
      <c r="B218" s="154"/>
      <c r="C218" s="154"/>
      <c r="D218" s="138"/>
      <c r="E218" s="138"/>
      <c r="F218" s="138"/>
      <c r="G218" s="138"/>
      <c r="H218" s="119"/>
      <c r="I218" s="146"/>
      <c r="J218" s="146"/>
      <c r="K218" s="146"/>
      <c r="L218" s="146"/>
      <c r="M218" s="146"/>
      <c r="N218" s="146"/>
      <c r="O218" s="146"/>
      <c r="P218" s="146"/>
      <c r="Q218" s="146"/>
      <c r="R218" s="146"/>
      <c r="S218" s="146"/>
      <c r="T218" s="146"/>
      <c r="U218" s="146"/>
      <c r="V218" s="146"/>
      <c r="W218" s="146"/>
      <c r="X218" s="146"/>
      <c r="Y218" s="146"/>
      <c r="Z218" s="146"/>
      <c r="AA218" s="146"/>
    </row>
    <row r="219" ht="22.5" customHeight="1">
      <c r="A219" s="145"/>
      <c r="B219" s="154"/>
      <c r="C219" s="154"/>
      <c r="D219" s="138"/>
      <c r="E219" s="138"/>
      <c r="F219" s="138"/>
      <c r="G219" s="138"/>
      <c r="H219" s="119"/>
      <c r="I219" s="146"/>
      <c r="J219" s="146"/>
      <c r="K219" s="146"/>
      <c r="L219" s="146"/>
      <c r="M219" s="146"/>
      <c r="N219" s="146"/>
      <c r="O219" s="146"/>
      <c r="P219" s="146"/>
      <c r="Q219" s="146"/>
      <c r="R219" s="146"/>
      <c r="S219" s="146"/>
      <c r="T219" s="146"/>
      <c r="U219" s="146"/>
      <c r="V219" s="146"/>
      <c r="W219" s="146"/>
      <c r="X219" s="146"/>
      <c r="Y219" s="146"/>
      <c r="Z219" s="146"/>
      <c r="AA219" s="146"/>
    </row>
    <row r="220" ht="22.5" customHeight="1">
      <c r="A220" s="145"/>
      <c r="B220" s="154"/>
      <c r="C220" s="154"/>
      <c r="D220" s="138"/>
      <c r="E220" s="138"/>
      <c r="F220" s="138"/>
      <c r="G220" s="138"/>
      <c r="H220" s="119"/>
      <c r="I220" s="146"/>
      <c r="J220" s="146"/>
      <c r="K220" s="146"/>
      <c r="L220" s="146"/>
      <c r="M220" s="146"/>
      <c r="N220" s="146"/>
      <c r="O220" s="146"/>
      <c r="P220" s="146"/>
      <c r="Q220" s="146"/>
      <c r="R220" s="146"/>
      <c r="S220" s="146"/>
      <c r="T220" s="146"/>
      <c r="U220" s="146"/>
      <c r="V220" s="146"/>
      <c r="W220" s="146"/>
      <c r="X220" s="146"/>
      <c r="Y220" s="146"/>
      <c r="Z220" s="146"/>
      <c r="AA220" s="146"/>
    </row>
    <row r="221" ht="22.5" customHeight="1">
      <c r="A221" s="145"/>
      <c r="B221" s="154"/>
      <c r="C221" s="154"/>
      <c r="D221" s="138"/>
      <c r="E221" s="138"/>
      <c r="F221" s="138"/>
      <c r="G221" s="138"/>
      <c r="H221" s="119"/>
      <c r="I221" s="146"/>
      <c r="J221" s="146"/>
      <c r="K221" s="146"/>
      <c r="L221" s="146"/>
      <c r="M221" s="146"/>
      <c r="N221" s="146"/>
      <c r="O221" s="146"/>
      <c r="P221" s="146"/>
      <c r="Q221" s="146"/>
      <c r="R221" s="146"/>
      <c r="S221" s="146"/>
      <c r="T221" s="146"/>
      <c r="U221" s="146"/>
      <c r="V221" s="146"/>
      <c r="W221" s="146"/>
      <c r="X221" s="146"/>
      <c r="Y221" s="146"/>
      <c r="Z221" s="146"/>
      <c r="AA221" s="146"/>
    </row>
    <row r="222" ht="22.5" customHeight="1">
      <c r="A222" s="145"/>
      <c r="B222" s="154"/>
      <c r="C222" s="154"/>
      <c r="D222" s="138"/>
      <c r="E222" s="138"/>
      <c r="F222" s="138"/>
      <c r="G222" s="138"/>
      <c r="H222" s="119"/>
      <c r="I222" s="146"/>
      <c r="J222" s="146"/>
      <c r="K222" s="146"/>
      <c r="L222" s="146"/>
      <c r="M222" s="146"/>
      <c r="N222" s="146"/>
      <c r="O222" s="146"/>
      <c r="P222" s="146"/>
      <c r="Q222" s="146"/>
      <c r="R222" s="146"/>
      <c r="S222" s="146"/>
      <c r="T222" s="146"/>
      <c r="U222" s="146"/>
      <c r="V222" s="146"/>
      <c r="W222" s="146"/>
      <c r="X222" s="146"/>
      <c r="Y222" s="146"/>
      <c r="Z222" s="146"/>
      <c r="AA222" s="146"/>
    </row>
    <row r="223" ht="22.5" customHeight="1">
      <c r="A223" s="145"/>
      <c r="B223" s="154"/>
      <c r="C223" s="154"/>
      <c r="D223" s="138"/>
      <c r="E223" s="138"/>
      <c r="F223" s="138"/>
      <c r="G223" s="138"/>
      <c r="H223" s="119"/>
      <c r="I223" s="146"/>
      <c r="J223" s="146"/>
      <c r="K223" s="146"/>
      <c r="L223" s="146"/>
      <c r="M223" s="146"/>
      <c r="N223" s="146"/>
      <c r="O223" s="146"/>
      <c r="P223" s="146"/>
      <c r="Q223" s="146"/>
      <c r="R223" s="146"/>
      <c r="S223" s="146"/>
      <c r="T223" s="146"/>
      <c r="U223" s="146"/>
      <c r="V223" s="146"/>
      <c r="W223" s="146"/>
      <c r="X223" s="146"/>
      <c r="Y223" s="146"/>
      <c r="Z223" s="146"/>
      <c r="AA223" s="146"/>
    </row>
    <row r="224" ht="22.5" customHeight="1">
      <c r="A224" s="145"/>
      <c r="B224" s="154"/>
      <c r="C224" s="154"/>
      <c r="D224" s="138"/>
      <c r="E224" s="138"/>
      <c r="F224" s="138"/>
      <c r="G224" s="138"/>
      <c r="H224" s="119"/>
      <c r="I224" s="146"/>
      <c r="J224" s="146"/>
      <c r="K224" s="146"/>
      <c r="L224" s="146"/>
      <c r="M224" s="146"/>
      <c r="N224" s="146"/>
      <c r="O224" s="146"/>
      <c r="P224" s="146"/>
      <c r="Q224" s="146"/>
      <c r="R224" s="146"/>
      <c r="S224" s="146"/>
      <c r="T224" s="146"/>
      <c r="U224" s="146"/>
      <c r="V224" s="146"/>
      <c r="W224" s="146"/>
      <c r="X224" s="146"/>
      <c r="Y224" s="146"/>
      <c r="Z224" s="146"/>
      <c r="AA224" s="146"/>
    </row>
    <row r="225" ht="22.5" customHeight="1">
      <c r="A225" s="145"/>
      <c r="B225" s="154"/>
      <c r="C225" s="154"/>
      <c r="D225" s="138"/>
      <c r="E225" s="138"/>
      <c r="F225" s="138"/>
      <c r="G225" s="138"/>
      <c r="H225" s="119"/>
      <c r="I225" s="146"/>
      <c r="J225" s="146"/>
      <c r="K225" s="146"/>
      <c r="L225" s="146"/>
      <c r="M225" s="146"/>
      <c r="N225" s="146"/>
      <c r="O225" s="146"/>
      <c r="P225" s="146"/>
      <c r="Q225" s="146"/>
      <c r="R225" s="146"/>
      <c r="S225" s="146"/>
      <c r="T225" s="146"/>
      <c r="U225" s="146"/>
      <c r="V225" s="146"/>
      <c r="W225" s="146"/>
      <c r="X225" s="146"/>
      <c r="Y225" s="146"/>
      <c r="Z225" s="146"/>
      <c r="AA225" s="146"/>
    </row>
    <row r="226" ht="22.5" customHeight="1">
      <c r="A226" s="145"/>
      <c r="B226" s="154"/>
      <c r="C226" s="154"/>
      <c r="D226" s="138"/>
      <c r="E226" s="138"/>
      <c r="F226" s="138"/>
      <c r="G226" s="138"/>
      <c r="H226" s="119"/>
      <c r="I226" s="146"/>
      <c r="J226" s="146"/>
      <c r="K226" s="146"/>
      <c r="L226" s="146"/>
      <c r="M226" s="146"/>
      <c r="N226" s="146"/>
      <c r="O226" s="146"/>
      <c r="P226" s="146"/>
      <c r="Q226" s="146"/>
      <c r="R226" s="146"/>
      <c r="S226" s="146"/>
      <c r="T226" s="146"/>
      <c r="U226" s="146"/>
      <c r="V226" s="146"/>
      <c r="W226" s="146"/>
      <c r="X226" s="146"/>
      <c r="Y226" s="146"/>
      <c r="Z226" s="146"/>
      <c r="AA226" s="146"/>
    </row>
    <row r="227" ht="22.5" customHeight="1">
      <c r="A227" s="145"/>
      <c r="B227" s="154"/>
      <c r="C227" s="154"/>
      <c r="D227" s="138"/>
      <c r="E227" s="138"/>
      <c r="F227" s="138"/>
      <c r="G227" s="138"/>
      <c r="H227" s="119"/>
      <c r="I227" s="146"/>
      <c r="J227" s="146"/>
      <c r="K227" s="146"/>
      <c r="L227" s="146"/>
      <c r="M227" s="146"/>
      <c r="N227" s="146"/>
      <c r="O227" s="146"/>
      <c r="P227" s="146"/>
      <c r="Q227" s="146"/>
      <c r="R227" s="146"/>
      <c r="S227" s="146"/>
      <c r="T227" s="146"/>
      <c r="U227" s="146"/>
      <c r="V227" s="146"/>
      <c r="W227" s="146"/>
      <c r="X227" s="146"/>
      <c r="Y227" s="146"/>
      <c r="Z227" s="146"/>
      <c r="AA227" s="146"/>
    </row>
    <row r="228" ht="22.5" customHeight="1">
      <c r="A228" s="145"/>
      <c r="B228" s="154"/>
      <c r="C228" s="154"/>
      <c r="D228" s="138"/>
      <c r="E228" s="138"/>
      <c r="F228" s="138"/>
      <c r="G228" s="138"/>
      <c r="H228" s="119"/>
      <c r="I228" s="146"/>
      <c r="J228" s="146"/>
      <c r="K228" s="146"/>
      <c r="L228" s="146"/>
      <c r="M228" s="146"/>
      <c r="N228" s="146"/>
      <c r="O228" s="146"/>
      <c r="P228" s="146"/>
      <c r="Q228" s="146"/>
      <c r="R228" s="146"/>
      <c r="S228" s="146"/>
      <c r="T228" s="146"/>
      <c r="U228" s="146"/>
      <c r="V228" s="146"/>
      <c r="W228" s="146"/>
      <c r="X228" s="146"/>
      <c r="Y228" s="146"/>
      <c r="Z228" s="146"/>
      <c r="AA228" s="146"/>
    </row>
    <row r="229" ht="22.5" customHeight="1">
      <c r="A229" s="145"/>
      <c r="B229" s="154"/>
      <c r="C229" s="154"/>
      <c r="D229" s="138"/>
      <c r="E229" s="138"/>
      <c r="F229" s="138"/>
      <c r="G229" s="138"/>
      <c r="H229" s="119"/>
      <c r="I229" s="146"/>
      <c r="J229" s="146"/>
      <c r="K229" s="146"/>
      <c r="L229" s="146"/>
      <c r="M229" s="146"/>
      <c r="N229" s="146"/>
      <c r="O229" s="146"/>
      <c r="P229" s="146"/>
      <c r="Q229" s="146"/>
      <c r="R229" s="146"/>
      <c r="S229" s="146"/>
      <c r="T229" s="146"/>
      <c r="U229" s="146"/>
      <c r="V229" s="146"/>
      <c r="W229" s="146"/>
      <c r="X229" s="146"/>
      <c r="Y229" s="146"/>
      <c r="Z229" s="146"/>
      <c r="AA229" s="146"/>
    </row>
    <row r="230" ht="22.5" customHeight="1">
      <c r="A230" s="145"/>
      <c r="B230" s="154"/>
      <c r="C230" s="154"/>
      <c r="D230" s="138"/>
      <c r="E230" s="138"/>
      <c r="F230" s="138"/>
      <c r="G230" s="138"/>
      <c r="H230" s="119"/>
      <c r="I230" s="146"/>
      <c r="J230" s="146"/>
      <c r="K230" s="146"/>
      <c r="L230" s="146"/>
      <c r="M230" s="146"/>
      <c r="N230" s="146"/>
      <c r="O230" s="146"/>
      <c r="P230" s="146"/>
      <c r="Q230" s="146"/>
      <c r="R230" s="146"/>
      <c r="S230" s="146"/>
      <c r="T230" s="146"/>
      <c r="U230" s="146"/>
      <c r="V230" s="146"/>
      <c r="W230" s="146"/>
      <c r="X230" s="146"/>
      <c r="Y230" s="146"/>
      <c r="Z230" s="146"/>
      <c r="AA230" s="146"/>
    </row>
    <row r="231" ht="22.5" customHeight="1">
      <c r="A231" s="145"/>
      <c r="B231" s="154"/>
      <c r="C231" s="154"/>
      <c r="D231" s="138"/>
      <c r="E231" s="138"/>
      <c r="F231" s="138"/>
      <c r="G231" s="138"/>
      <c r="H231" s="119"/>
      <c r="I231" s="146"/>
      <c r="J231" s="146"/>
      <c r="K231" s="146"/>
      <c r="L231" s="146"/>
      <c r="M231" s="146"/>
      <c r="N231" s="146"/>
      <c r="O231" s="146"/>
      <c r="P231" s="146"/>
      <c r="Q231" s="146"/>
      <c r="R231" s="146"/>
      <c r="S231" s="146"/>
      <c r="T231" s="146"/>
      <c r="U231" s="146"/>
      <c r="V231" s="146"/>
      <c r="W231" s="146"/>
      <c r="X231" s="146"/>
      <c r="Y231" s="146"/>
      <c r="Z231" s="146"/>
      <c r="AA231" s="146"/>
    </row>
    <row r="232" ht="22.5" customHeight="1">
      <c r="A232" s="145"/>
      <c r="B232" s="154"/>
      <c r="C232" s="154"/>
      <c r="D232" s="138"/>
      <c r="E232" s="138"/>
      <c r="F232" s="138"/>
      <c r="G232" s="138"/>
      <c r="H232" s="119"/>
      <c r="I232" s="146"/>
      <c r="J232" s="146"/>
      <c r="K232" s="146"/>
      <c r="L232" s="146"/>
      <c r="M232" s="146"/>
      <c r="N232" s="146"/>
      <c r="O232" s="146"/>
      <c r="P232" s="146"/>
      <c r="Q232" s="146"/>
      <c r="R232" s="146"/>
      <c r="S232" s="146"/>
      <c r="T232" s="146"/>
      <c r="U232" s="146"/>
      <c r="V232" s="146"/>
      <c r="W232" s="146"/>
      <c r="X232" s="146"/>
      <c r="Y232" s="146"/>
      <c r="Z232" s="146"/>
      <c r="AA232" s="146"/>
    </row>
    <row r="233" ht="22.5" customHeight="1">
      <c r="A233" s="145"/>
      <c r="B233" s="154"/>
      <c r="C233" s="154"/>
      <c r="D233" s="138"/>
      <c r="E233" s="138"/>
      <c r="F233" s="138"/>
      <c r="G233" s="138"/>
      <c r="H233" s="119"/>
      <c r="I233" s="146"/>
      <c r="J233" s="146"/>
      <c r="K233" s="146"/>
      <c r="L233" s="146"/>
      <c r="M233" s="146"/>
      <c r="N233" s="146"/>
      <c r="O233" s="146"/>
      <c r="P233" s="146"/>
      <c r="Q233" s="146"/>
      <c r="R233" s="146"/>
      <c r="S233" s="146"/>
      <c r="T233" s="146"/>
      <c r="U233" s="146"/>
      <c r="V233" s="146"/>
      <c r="W233" s="146"/>
      <c r="X233" s="146"/>
      <c r="Y233" s="146"/>
      <c r="Z233" s="146"/>
      <c r="AA233" s="146"/>
    </row>
    <row r="234" ht="22.5" customHeight="1">
      <c r="A234" s="145"/>
      <c r="B234" s="154"/>
      <c r="C234" s="154"/>
      <c r="D234" s="138"/>
      <c r="E234" s="138"/>
      <c r="F234" s="138"/>
      <c r="G234" s="138"/>
      <c r="H234" s="119"/>
      <c r="I234" s="146"/>
      <c r="J234" s="146"/>
      <c r="K234" s="146"/>
      <c r="L234" s="146"/>
      <c r="M234" s="146"/>
      <c r="N234" s="146"/>
      <c r="O234" s="146"/>
      <c r="P234" s="146"/>
      <c r="Q234" s="146"/>
      <c r="R234" s="146"/>
      <c r="S234" s="146"/>
      <c r="T234" s="146"/>
      <c r="U234" s="146"/>
      <c r="V234" s="146"/>
      <c r="W234" s="146"/>
      <c r="X234" s="146"/>
      <c r="Y234" s="146"/>
      <c r="Z234" s="146"/>
      <c r="AA234" s="146"/>
    </row>
    <row r="235" ht="22.5" customHeight="1">
      <c r="A235" s="145"/>
      <c r="B235" s="154"/>
      <c r="C235" s="154"/>
      <c r="D235" s="138"/>
      <c r="E235" s="138"/>
      <c r="F235" s="138"/>
      <c r="G235" s="138"/>
      <c r="H235" s="119"/>
      <c r="I235" s="146"/>
      <c r="J235" s="146"/>
      <c r="K235" s="146"/>
      <c r="L235" s="146"/>
      <c r="M235" s="146"/>
      <c r="N235" s="146"/>
      <c r="O235" s="146"/>
      <c r="P235" s="146"/>
      <c r="Q235" s="146"/>
      <c r="R235" s="146"/>
      <c r="S235" s="146"/>
      <c r="T235" s="146"/>
      <c r="U235" s="146"/>
      <c r="V235" s="146"/>
      <c r="W235" s="146"/>
      <c r="X235" s="146"/>
      <c r="Y235" s="146"/>
      <c r="Z235" s="146"/>
      <c r="AA235" s="146"/>
    </row>
    <row r="236" ht="22.5" customHeight="1">
      <c r="A236" s="145"/>
      <c r="B236" s="154"/>
      <c r="C236" s="154"/>
      <c r="D236" s="138"/>
      <c r="E236" s="138"/>
      <c r="F236" s="138"/>
      <c r="G236" s="138"/>
      <c r="H236" s="119"/>
      <c r="I236" s="146"/>
      <c r="J236" s="146"/>
      <c r="K236" s="146"/>
      <c r="L236" s="146"/>
      <c r="M236" s="146"/>
      <c r="N236" s="146"/>
      <c r="O236" s="146"/>
      <c r="P236" s="146"/>
      <c r="Q236" s="146"/>
      <c r="R236" s="146"/>
      <c r="S236" s="146"/>
      <c r="T236" s="146"/>
      <c r="U236" s="146"/>
      <c r="V236" s="146"/>
      <c r="W236" s="146"/>
      <c r="X236" s="146"/>
      <c r="Y236" s="146"/>
      <c r="Z236" s="146"/>
      <c r="AA236" s="146"/>
    </row>
    <row r="237" ht="22.5" customHeight="1">
      <c r="A237" s="145"/>
      <c r="B237" s="154"/>
      <c r="C237" s="154"/>
      <c r="D237" s="138"/>
      <c r="E237" s="138"/>
      <c r="F237" s="138"/>
      <c r="G237" s="138"/>
      <c r="H237" s="119"/>
      <c r="I237" s="146"/>
      <c r="J237" s="146"/>
      <c r="K237" s="146"/>
      <c r="L237" s="146"/>
      <c r="M237" s="146"/>
      <c r="N237" s="146"/>
      <c r="O237" s="146"/>
      <c r="P237" s="146"/>
      <c r="Q237" s="146"/>
      <c r="R237" s="146"/>
      <c r="S237" s="146"/>
      <c r="T237" s="146"/>
      <c r="U237" s="146"/>
      <c r="V237" s="146"/>
      <c r="W237" s="146"/>
      <c r="X237" s="146"/>
      <c r="Y237" s="146"/>
      <c r="Z237" s="146"/>
      <c r="AA237" s="146"/>
    </row>
    <row r="238" ht="22.5" customHeight="1">
      <c r="A238" s="145"/>
      <c r="B238" s="154"/>
      <c r="C238" s="154"/>
      <c r="D238" s="138"/>
      <c r="E238" s="138"/>
      <c r="F238" s="138"/>
      <c r="G238" s="138"/>
      <c r="H238" s="119"/>
      <c r="I238" s="146"/>
      <c r="J238" s="146"/>
      <c r="K238" s="146"/>
      <c r="L238" s="146"/>
      <c r="M238" s="146"/>
      <c r="N238" s="146"/>
      <c r="O238" s="146"/>
      <c r="P238" s="146"/>
      <c r="Q238" s="146"/>
      <c r="R238" s="146"/>
      <c r="S238" s="146"/>
      <c r="T238" s="146"/>
      <c r="U238" s="146"/>
      <c r="V238" s="146"/>
      <c r="W238" s="146"/>
      <c r="X238" s="146"/>
      <c r="Y238" s="146"/>
      <c r="Z238" s="146"/>
      <c r="AA238" s="146"/>
    </row>
    <row r="239" ht="22.5" customHeight="1">
      <c r="A239" s="145"/>
      <c r="B239" s="154"/>
      <c r="C239" s="154"/>
      <c r="D239" s="138"/>
      <c r="E239" s="138"/>
      <c r="F239" s="138"/>
      <c r="G239" s="138"/>
      <c r="H239" s="119"/>
      <c r="I239" s="146"/>
      <c r="J239" s="146"/>
      <c r="K239" s="146"/>
      <c r="L239" s="146"/>
      <c r="M239" s="146"/>
      <c r="N239" s="146"/>
      <c r="O239" s="146"/>
      <c r="P239" s="146"/>
      <c r="Q239" s="146"/>
      <c r="R239" s="146"/>
      <c r="S239" s="146"/>
      <c r="T239" s="146"/>
      <c r="U239" s="146"/>
      <c r="V239" s="146"/>
      <c r="W239" s="146"/>
      <c r="X239" s="146"/>
      <c r="Y239" s="146"/>
      <c r="Z239" s="146"/>
      <c r="AA239" s="146"/>
    </row>
    <row r="240" ht="22.5" customHeight="1">
      <c r="A240" s="145"/>
      <c r="B240" s="154"/>
      <c r="C240" s="154"/>
      <c r="D240" s="138"/>
      <c r="E240" s="138"/>
      <c r="F240" s="138"/>
      <c r="G240" s="138"/>
      <c r="H240" s="119"/>
      <c r="I240" s="146"/>
      <c r="J240" s="146"/>
      <c r="K240" s="146"/>
      <c r="L240" s="146"/>
      <c r="M240" s="146"/>
      <c r="N240" s="146"/>
      <c r="O240" s="146"/>
      <c r="P240" s="146"/>
      <c r="Q240" s="146"/>
      <c r="R240" s="146"/>
      <c r="S240" s="146"/>
      <c r="T240" s="146"/>
      <c r="U240" s="146"/>
      <c r="V240" s="146"/>
      <c r="W240" s="146"/>
      <c r="X240" s="146"/>
      <c r="Y240" s="146"/>
      <c r="Z240" s="146"/>
      <c r="AA240" s="146"/>
    </row>
    <row r="241" ht="22.5" customHeight="1">
      <c r="A241" s="145"/>
      <c r="B241" s="154"/>
      <c r="C241" s="154"/>
      <c r="D241" s="138"/>
      <c r="E241" s="138"/>
      <c r="F241" s="138"/>
      <c r="G241" s="138"/>
      <c r="H241" s="119"/>
      <c r="I241" s="146"/>
      <c r="J241" s="146"/>
      <c r="K241" s="146"/>
      <c r="L241" s="146"/>
      <c r="M241" s="146"/>
      <c r="N241" s="146"/>
      <c r="O241" s="146"/>
      <c r="P241" s="146"/>
      <c r="Q241" s="146"/>
      <c r="R241" s="146"/>
      <c r="S241" s="146"/>
      <c r="T241" s="146"/>
      <c r="U241" s="146"/>
      <c r="V241" s="146"/>
      <c r="W241" s="146"/>
      <c r="X241" s="146"/>
      <c r="Y241" s="146"/>
      <c r="Z241" s="146"/>
      <c r="AA241" s="146"/>
    </row>
    <row r="242" ht="22.5" customHeight="1">
      <c r="A242" s="145"/>
      <c r="B242" s="154"/>
      <c r="C242" s="154"/>
      <c r="D242" s="138"/>
      <c r="E242" s="138"/>
      <c r="F242" s="138"/>
      <c r="G242" s="138"/>
      <c r="H242" s="119"/>
      <c r="I242" s="146"/>
      <c r="J242" s="146"/>
      <c r="K242" s="146"/>
      <c r="L242" s="146"/>
      <c r="M242" s="146"/>
      <c r="N242" s="146"/>
      <c r="O242" s="146"/>
      <c r="P242" s="146"/>
      <c r="Q242" s="146"/>
      <c r="R242" s="146"/>
      <c r="S242" s="146"/>
      <c r="T242" s="146"/>
      <c r="U242" s="146"/>
      <c r="V242" s="146"/>
      <c r="W242" s="146"/>
      <c r="X242" s="146"/>
      <c r="Y242" s="146"/>
      <c r="Z242" s="146"/>
      <c r="AA242" s="146"/>
    </row>
    <row r="243" ht="22.5" customHeight="1">
      <c r="A243" s="145"/>
      <c r="B243" s="154"/>
      <c r="C243" s="154"/>
      <c r="D243" s="138"/>
      <c r="E243" s="138"/>
      <c r="F243" s="138"/>
      <c r="G243" s="138"/>
      <c r="H243" s="119"/>
      <c r="I243" s="146"/>
      <c r="J243" s="146"/>
      <c r="K243" s="146"/>
      <c r="L243" s="146"/>
      <c r="M243" s="146"/>
      <c r="N243" s="146"/>
      <c r="O243" s="146"/>
      <c r="P243" s="146"/>
      <c r="Q243" s="146"/>
      <c r="R243" s="146"/>
      <c r="S243" s="146"/>
      <c r="T243" s="146"/>
      <c r="U243" s="146"/>
      <c r="V243" s="146"/>
      <c r="W243" s="146"/>
      <c r="X243" s="146"/>
      <c r="Y243" s="146"/>
      <c r="Z243" s="146"/>
      <c r="AA243" s="146"/>
    </row>
    <row r="244" ht="22.5" customHeight="1">
      <c r="A244" s="145"/>
      <c r="B244" s="154"/>
      <c r="C244" s="154"/>
      <c r="D244" s="138"/>
      <c r="E244" s="138"/>
      <c r="F244" s="138"/>
      <c r="G244" s="138"/>
      <c r="H244" s="119"/>
      <c r="I244" s="146"/>
      <c r="J244" s="146"/>
      <c r="K244" s="146"/>
      <c r="L244" s="146"/>
      <c r="M244" s="146"/>
      <c r="N244" s="146"/>
      <c r="O244" s="146"/>
      <c r="P244" s="146"/>
      <c r="Q244" s="146"/>
      <c r="R244" s="146"/>
      <c r="S244" s="146"/>
      <c r="T244" s="146"/>
      <c r="U244" s="146"/>
      <c r="V244" s="146"/>
      <c r="W244" s="146"/>
      <c r="X244" s="146"/>
      <c r="Y244" s="146"/>
      <c r="Z244" s="146"/>
      <c r="AA244" s="146"/>
    </row>
    <row r="245" ht="22.5" customHeight="1">
      <c r="A245" s="145"/>
      <c r="B245" s="154"/>
      <c r="C245" s="154"/>
      <c r="D245" s="138"/>
      <c r="E245" s="138"/>
      <c r="F245" s="138"/>
      <c r="G245" s="138"/>
      <c r="H245" s="119"/>
      <c r="I245" s="146"/>
      <c r="J245" s="146"/>
      <c r="K245" s="146"/>
      <c r="L245" s="146"/>
      <c r="M245" s="146"/>
      <c r="N245" s="146"/>
      <c r="O245" s="146"/>
      <c r="P245" s="146"/>
      <c r="Q245" s="146"/>
      <c r="R245" s="146"/>
      <c r="S245" s="146"/>
      <c r="T245" s="146"/>
      <c r="U245" s="146"/>
      <c r="V245" s="146"/>
      <c r="W245" s="146"/>
      <c r="X245" s="146"/>
      <c r="Y245" s="146"/>
      <c r="Z245" s="146"/>
      <c r="AA245" s="146"/>
    </row>
    <row r="246" ht="22.5" customHeight="1">
      <c r="A246" s="145"/>
      <c r="B246" s="154"/>
      <c r="C246" s="154"/>
      <c r="D246" s="138"/>
      <c r="E246" s="138"/>
      <c r="F246" s="138"/>
      <c r="G246" s="138"/>
      <c r="H246" s="119"/>
      <c r="I246" s="146"/>
      <c r="J246" s="146"/>
      <c r="K246" s="146"/>
      <c r="L246" s="146"/>
      <c r="M246" s="146"/>
      <c r="N246" s="146"/>
      <c r="O246" s="146"/>
      <c r="P246" s="146"/>
      <c r="Q246" s="146"/>
      <c r="R246" s="146"/>
      <c r="S246" s="146"/>
      <c r="T246" s="146"/>
      <c r="U246" s="146"/>
      <c r="V246" s="146"/>
      <c r="W246" s="146"/>
      <c r="X246" s="146"/>
      <c r="Y246" s="146"/>
      <c r="Z246" s="146"/>
      <c r="AA246" s="146"/>
    </row>
    <row r="247" ht="22.5" customHeight="1">
      <c r="A247" s="145"/>
      <c r="B247" s="154"/>
      <c r="C247" s="154"/>
      <c r="D247" s="138"/>
      <c r="E247" s="138"/>
      <c r="F247" s="138"/>
      <c r="G247" s="138"/>
      <c r="H247" s="119"/>
      <c r="I247" s="146"/>
      <c r="J247" s="146"/>
      <c r="K247" s="146"/>
      <c r="L247" s="146"/>
      <c r="M247" s="146"/>
      <c r="N247" s="146"/>
      <c r="O247" s="146"/>
      <c r="P247" s="146"/>
      <c r="Q247" s="146"/>
      <c r="R247" s="146"/>
      <c r="S247" s="146"/>
      <c r="T247" s="146"/>
      <c r="U247" s="146"/>
      <c r="V247" s="146"/>
      <c r="W247" s="146"/>
      <c r="X247" s="146"/>
      <c r="Y247" s="146"/>
      <c r="Z247" s="146"/>
      <c r="AA247" s="146"/>
    </row>
    <row r="248" ht="22.5" customHeight="1">
      <c r="A248" s="145"/>
      <c r="B248" s="154"/>
      <c r="C248" s="154"/>
      <c r="D248" s="138"/>
      <c r="E248" s="138"/>
      <c r="F248" s="138"/>
      <c r="G248" s="138"/>
      <c r="H248" s="119"/>
      <c r="I248" s="146"/>
      <c r="J248" s="146"/>
      <c r="K248" s="146"/>
      <c r="L248" s="146"/>
      <c r="M248" s="146"/>
      <c r="N248" s="146"/>
      <c r="O248" s="146"/>
      <c r="P248" s="146"/>
      <c r="Q248" s="146"/>
      <c r="R248" s="146"/>
      <c r="S248" s="146"/>
      <c r="T248" s="146"/>
      <c r="U248" s="146"/>
      <c r="V248" s="146"/>
      <c r="W248" s="146"/>
      <c r="X248" s="146"/>
      <c r="Y248" s="146"/>
      <c r="Z248" s="146"/>
      <c r="AA248" s="146"/>
    </row>
    <row r="249" ht="22.5" customHeight="1">
      <c r="A249" s="145"/>
      <c r="B249" s="154"/>
      <c r="C249" s="154"/>
      <c r="D249" s="138"/>
      <c r="E249" s="138"/>
      <c r="F249" s="138"/>
      <c r="G249" s="138"/>
      <c r="H249" s="119"/>
      <c r="I249" s="146"/>
      <c r="J249" s="146"/>
      <c r="K249" s="146"/>
      <c r="L249" s="146"/>
      <c r="M249" s="146"/>
      <c r="N249" s="146"/>
      <c r="O249" s="146"/>
      <c r="P249" s="146"/>
      <c r="Q249" s="146"/>
      <c r="R249" s="146"/>
      <c r="S249" s="146"/>
      <c r="T249" s="146"/>
      <c r="U249" s="146"/>
      <c r="V249" s="146"/>
      <c r="W249" s="146"/>
      <c r="X249" s="146"/>
      <c r="Y249" s="146"/>
      <c r="Z249" s="146"/>
      <c r="AA249" s="146"/>
    </row>
    <row r="250" ht="22.5" customHeight="1">
      <c r="A250" s="145"/>
      <c r="B250" s="154"/>
      <c r="C250" s="154"/>
      <c r="D250" s="138"/>
      <c r="E250" s="138"/>
      <c r="F250" s="138"/>
      <c r="G250" s="138"/>
      <c r="H250" s="119"/>
      <c r="I250" s="146"/>
      <c r="J250" s="146"/>
      <c r="K250" s="146"/>
      <c r="L250" s="146"/>
      <c r="M250" s="146"/>
      <c r="N250" s="146"/>
      <c r="O250" s="146"/>
      <c r="P250" s="146"/>
      <c r="Q250" s="146"/>
      <c r="R250" s="146"/>
      <c r="S250" s="146"/>
      <c r="T250" s="146"/>
      <c r="U250" s="146"/>
      <c r="V250" s="146"/>
      <c r="W250" s="146"/>
      <c r="X250" s="146"/>
      <c r="Y250" s="146"/>
      <c r="Z250" s="146"/>
      <c r="AA250" s="146"/>
    </row>
    <row r="251" ht="22.5" customHeight="1">
      <c r="A251" s="145"/>
      <c r="B251" s="154"/>
      <c r="C251" s="154"/>
      <c r="D251" s="138"/>
      <c r="E251" s="138"/>
      <c r="F251" s="138"/>
      <c r="G251" s="138"/>
      <c r="H251" s="119"/>
      <c r="I251" s="146"/>
      <c r="J251" s="146"/>
      <c r="K251" s="146"/>
      <c r="L251" s="146"/>
      <c r="M251" s="146"/>
      <c r="N251" s="146"/>
      <c r="O251" s="146"/>
      <c r="P251" s="146"/>
      <c r="Q251" s="146"/>
      <c r="R251" s="146"/>
      <c r="S251" s="146"/>
      <c r="T251" s="146"/>
      <c r="U251" s="146"/>
      <c r="V251" s="146"/>
      <c r="W251" s="146"/>
      <c r="X251" s="146"/>
      <c r="Y251" s="146"/>
      <c r="Z251" s="146"/>
      <c r="AA251" s="146"/>
    </row>
    <row r="252" ht="22.5" customHeight="1">
      <c r="A252" s="145"/>
      <c r="B252" s="154"/>
      <c r="C252" s="154"/>
      <c r="D252" s="138"/>
      <c r="E252" s="138"/>
      <c r="F252" s="138"/>
      <c r="G252" s="138"/>
      <c r="H252" s="119"/>
      <c r="I252" s="146"/>
      <c r="J252" s="146"/>
      <c r="K252" s="146"/>
      <c r="L252" s="146"/>
      <c r="M252" s="146"/>
      <c r="N252" s="146"/>
      <c r="O252" s="146"/>
      <c r="P252" s="146"/>
      <c r="Q252" s="146"/>
      <c r="R252" s="146"/>
      <c r="S252" s="146"/>
      <c r="T252" s="146"/>
      <c r="U252" s="146"/>
      <c r="V252" s="146"/>
      <c r="W252" s="146"/>
      <c r="X252" s="146"/>
      <c r="Y252" s="146"/>
      <c r="Z252" s="146"/>
      <c r="AA252" s="146"/>
    </row>
    <row r="253" ht="22.5" customHeight="1">
      <c r="A253" s="145"/>
      <c r="B253" s="154"/>
      <c r="C253" s="154"/>
      <c r="D253" s="138"/>
      <c r="E253" s="138"/>
      <c r="F253" s="138"/>
      <c r="G253" s="138"/>
      <c r="H253" s="119"/>
      <c r="I253" s="146"/>
      <c r="J253" s="146"/>
      <c r="K253" s="146"/>
      <c r="L253" s="146"/>
      <c r="M253" s="146"/>
      <c r="N253" s="146"/>
      <c r="O253" s="146"/>
      <c r="P253" s="146"/>
      <c r="Q253" s="146"/>
      <c r="R253" s="146"/>
      <c r="S253" s="146"/>
      <c r="T253" s="146"/>
      <c r="U253" s="146"/>
      <c r="V253" s="146"/>
      <c r="W253" s="146"/>
      <c r="X253" s="146"/>
      <c r="Y253" s="146"/>
      <c r="Z253" s="146"/>
      <c r="AA253" s="146"/>
    </row>
    <row r="254" ht="22.5" customHeight="1">
      <c r="A254" s="145"/>
      <c r="B254" s="154"/>
      <c r="C254" s="154"/>
      <c r="D254" s="138"/>
      <c r="E254" s="138"/>
      <c r="F254" s="138"/>
      <c r="G254" s="138"/>
      <c r="H254" s="119"/>
      <c r="I254" s="146"/>
      <c r="J254" s="146"/>
      <c r="K254" s="146"/>
      <c r="L254" s="146"/>
      <c r="M254" s="146"/>
      <c r="N254" s="146"/>
      <c r="O254" s="146"/>
      <c r="P254" s="146"/>
      <c r="Q254" s="146"/>
      <c r="R254" s="146"/>
      <c r="S254" s="146"/>
      <c r="T254" s="146"/>
      <c r="U254" s="146"/>
      <c r="V254" s="146"/>
      <c r="W254" s="146"/>
      <c r="X254" s="146"/>
      <c r="Y254" s="146"/>
      <c r="Z254" s="146"/>
      <c r="AA254" s="146"/>
    </row>
    <row r="255" ht="22.5" customHeight="1">
      <c r="A255" s="145"/>
      <c r="B255" s="154"/>
      <c r="C255" s="154"/>
      <c r="D255" s="138"/>
      <c r="E255" s="138"/>
      <c r="F255" s="138"/>
      <c r="G255" s="138"/>
      <c r="H255" s="119"/>
      <c r="I255" s="146"/>
      <c r="J255" s="146"/>
      <c r="K255" s="146"/>
      <c r="L255" s="146"/>
      <c r="M255" s="146"/>
      <c r="N255" s="146"/>
      <c r="O255" s="146"/>
      <c r="P255" s="146"/>
      <c r="Q255" s="146"/>
      <c r="R255" s="146"/>
      <c r="S255" s="146"/>
      <c r="T255" s="146"/>
      <c r="U255" s="146"/>
      <c r="V255" s="146"/>
      <c r="W255" s="146"/>
      <c r="X255" s="146"/>
      <c r="Y255" s="146"/>
      <c r="Z255" s="146"/>
      <c r="AA255" s="146"/>
    </row>
    <row r="256" ht="22.5" customHeight="1">
      <c r="A256" s="145"/>
      <c r="B256" s="154"/>
      <c r="C256" s="154"/>
      <c r="D256" s="138"/>
      <c r="E256" s="138"/>
      <c r="F256" s="138"/>
      <c r="G256" s="138"/>
      <c r="H256" s="119"/>
      <c r="I256" s="146"/>
      <c r="J256" s="146"/>
      <c r="K256" s="146"/>
      <c r="L256" s="146"/>
      <c r="M256" s="146"/>
      <c r="N256" s="146"/>
      <c r="O256" s="146"/>
      <c r="P256" s="146"/>
      <c r="Q256" s="146"/>
      <c r="R256" s="146"/>
      <c r="S256" s="146"/>
      <c r="T256" s="146"/>
      <c r="U256" s="146"/>
      <c r="V256" s="146"/>
      <c r="W256" s="146"/>
      <c r="X256" s="146"/>
      <c r="Y256" s="146"/>
      <c r="Z256" s="146"/>
      <c r="AA256" s="146"/>
    </row>
    <row r="257" ht="22.5" customHeight="1">
      <c r="A257" s="145"/>
      <c r="B257" s="154"/>
      <c r="C257" s="154"/>
      <c r="D257" s="138"/>
      <c r="E257" s="138"/>
      <c r="F257" s="138"/>
      <c r="G257" s="138"/>
      <c r="H257" s="119"/>
      <c r="I257" s="146"/>
      <c r="J257" s="146"/>
      <c r="K257" s="146"/>
      <c r="L257" s="146"/>
      <c r="M257" s="146"/>
      <c r="N257" s="146"/>
      <c r="O257" s="146"/>
      <c r="P257" s="146"/>
      <c r="Q257" s="146"/>
      <c r="R257" s="146"/>
      <c r="S257" s="146"/>
      <c r="T257" s="146"/>
      <c r="U257" s="146"/>
      <c r="V257" s="146"/>
      <c r="W257" s="146"/>
      <c r="X257" s="146"/>
      <c r="Y257" s="146"/>
      <c r="Z257" s="146"/>
      <c r="AA257" s="146"/>
    </row>
    <row r="258" ht="22.5" customHeight="1">
      <c r="A258" s="145"/>
      <c r="B258" s="154"/>
      <c r="C258" s="154"/>
      <c r="D258" s="138"/>
      <c r="E258" s="138"/>
      <c r="F258" s="138"/>
      <c r="G258" s="138"/>
      <c r="H258" s="119"/>
      <c r="I258" s="146"/>
      <c r="J258" s="146"/>
      <c r="K258" s="146"/>
      <c r="L258" s="146"/>
      <c r="M258" s="146"/>
      <c r="N258" s="146"/>
      <c r="O258" s="146"/>
      <c r="P258" s="146"/>
      <c r="Q258" s="146"/>
      <c r="R258" s="146"/>
      <c r="S258" s="146"/>
      <c r="T258" s="146"/>
      <c r="U258" s="146"/>
      <c r="V258" s="146"/>
      <c r="W258" s="146"/>
      <c r="X258" s="146"/>
      <c r="Y258" s="146"/>
      <c r="Z258" s="146"/>
      <c r="AA258" s="146"/>
    </row>
    <row r="259" ht="22.5" customHeight="1">
      <c r="A259" s="145"/>
      <c r="B259" s="154"/>
      <c r="C259" s="154"/>
      <c r="D259" s="138"/>
      <c r="E259" s="138"/>
      <c r="F259" s="138"/>
      <c r="G259" s="138"/>
      <c r="H259" s="119"/>
      <c r="I259" s="146"/>
      <c r="J259" s="146"/>
      <c r="K259" s="146"/>
      <c r="L259" s="146"/>
      <c r="M259" s="146"/>
      <c r="N259" s="146"/>
      <c r="O259" s="146"/>
      <c r="P259" s="146"/>
      <c r="Q259" s="146"/>
      <c r="R259" s="146"/>
      <c r="S259" s="146"/>
      <c r="T259" s="146"/>
      <c r="U259" s="146"/>
      <c r="V259" s="146"/>
      <c r="W259" s="146"/>
      <c r="X259" s="146"/>
      <c r="Y259" s="146"/>
      <c r="Z259" s="146"/>
      <c r="AA259" s="146"/>
    </row>
    <row r="260" ht="22.5" customHeight="1">
      <c r="A260" s="145"/>
      <c r="B260" s="154"/>
      <c r="C260" s="154"/>
      <c r="D260" s="138"/>
      <c r="E260" s="138"/>
      <c r="F260" s="138"/>
      <c r="G260" s="138"/>
      <c r="H260" s="119"/>
      <c r="I260" s="146"/>
      <c r="J260" s="146"/>
      <c r="K260" s="146"/>
      <c r="L260" s="146"/>
      <c r="M260" s="146"/>
      <c r="N260" s="146"/>
      <c r="O260" s="146"/>
      <c r="P260" s="146"/>
      <c r="Q260" s="146"/>
      <c r="R260" s="146"/>
      <c r="S260" s="146"/>
      <c r="T260" s="146"/>
      <c r="U260" s="146"/>
      <c r="V260" s="146"/>
      <c r="W260" s="146"/>
      <c r="X260" s="146"/>
      <c r="Y260" s="146"/>
      <c r="Z260" s="146"/>
      <c r="AA260" s="146"/>
    </row>
    <row r="261" ht="22.5" customHeight="1">
      <c r="A261" s="145"/>
      <c r="B261" s="154"/>
      <c r="C261" s="154"/>
      <c r="D261" s="138"/>
      <c r="E261" s="138"/>
      <c r="F261" s="138"/>
      <c r="G261" s="138"/>
      <c r="H261" s="119"/>
      <c r="I261" s="146"/>
      <c r="J261" s="146"/>
      <c r="K261" s="146"/>
      <c r="L261" s="146"/>
      <c r="M261" s="146"/>
      <c r="N261" s="146"/>
      <c r="O261" s="146"/>
      <c r="P261" s="146"/>
      <c r="Q261" s="146"/>
      <c r="R261" s="146"/>
      <c r="S261" s="146"/>
      <c r="T261" s="146"/>
      <c r="U261" s="146"/>
      <c r="V261" s="146"/>
      <c r="W261" s="146"/>
      <c r="X261" s="146"/>
      <c r="Y261" s="146"/>
      <c r="Z261" s="146"/>
      <c r="AA261" s="146"/>
    </row>
    <row r="262" ht="22.5" customHeight="1">
      <c r="A262" s="145"/>
      <c r="B262" s="154"/>
      <c r="C262" s="154"/>
      <c r="D262" s="138"/>
      <c r="E262" s="138"/>
      <c r="F262" s="138"/>
      <c r="G262" s="138"/>
      <c r="H262" s="119"/>
      <c r="I262" s="146"/>
      <c r="J262" s="146"/>
      <c r="K262" s="146"/>
      <c r="L262" s="146"/>
      <c r="M262" s="146"/>
      <c r="N262" s="146"/>
      <c r="O262" s="146"/>
      <c r="P262" s="146"/>
      <c r="Q262" s="146"/>
      <c r="R262" s="146"/>
      <c r="S262" s="146"/>
      <c r="T262" s="146"/>
      <c r="U262" s="146"/>
      <c r="V262" s="146"/>
      <c r="W262" s="146"/>
      <c r="X262" s="146"/>
      <c r="Y262" s="146"/>
      <c r="Z262" s="146"/>
      <c r="AA262" s="146"/>
    </row>
    <row r="263" ht="22.5" customHeight="1">
      <c r="A263" s="145"/>
      <c r="B263" s="154"/>
      <c r="C263" s="154"/>
      <c r="D263" s="138"/>
      <c r="E263" s="138"/>
      <c r="F263" s="138"/>
      <c r="G263" s="138"/>
      <c r="H263" s="119"/>
      <c r="I263" s="146"/>
      <c r="J263" s="146"/>
      <c r="K263" s="146"/>
      <c r="L263" s="146"/>
      <c r="M263" s="146"/>
      <c r="N263" s="146"/>
      <c r="O263" s="146"/>
      <c r="P263" s="146"/>
      <c r="Q263" s="146"/>
      <c r="R263" s="146"/>
      <c r="S263" s="146"/>
      <c r="T263" s="146"/>
      <c r="U263" s="146"/>
      <c r="V263" s="146"/>
      <c r="W263" s="146"/>
      <c r="X263" s="146"/>
      <c r="Y263" s="146"/>
      <c r="Z263" s="146"/>
      <c r="AA263" s="146"/>
    </row>
    <row r="264" ht="22.5" customHeight="1">
      <c r="A264" s="145"/>
      <c r="B264" s="154"/>
      <c r="C264" s="154"/>
      <c r="D264" s="138"/>
      <c r="E264" s="138"/>
      <c r="F264" s="138"/>
      <c r="G264" s="138"/>
      <c r="H264" s="119"/>
      <c r="I264" s="146"/>
      <c r="J264" s="146"/>
      <c r="K264" s="146"/>
      <c r="L264" s="146"/>
      <c r="M264" s="146"/>
      <c r="N264" s="146"/>
      <c r="O264" s="146"/>
      <c r="P264" s="146"/>
      <c r="Q264" s="146"/>
      <c r="R264" s="146"/>
      <c r="S264" s="146"/>
      <c r="T264" s="146"/>
      <c r="U264" s="146"/>
      <c r="V264" s="146"/>
      <c r="W264" s="146"/>
      <c r="X264" s="146"/>
      <c r="Y264" s="146"/>
      <c r="Z264" s="146"/>
      <c r="AA264" s="146"/>
    </row>
    <row r="265" ht="22.5" customHeight="1">
      <c r="A265" s="145"/>
      <c r="B265" s="154"/>
      <c r="C265" s="154"/>
      <c r="D265" s="138"/>
      <c r="E265" s="138"/>
      <c r="F265" s="138"/>
      <c r="G265" s="138"/>
      <c r="H265" s="119"/>
      <c r="I265" s="146"/>
      <c r="J265" s="146"/>
      <c r="K265" s="146"/>
      <c r="L265" s="146"/>
      <c r="M265" s="146"/>
      <c r="N265" s="146"/>
      <c r="O265" s="146"/>
      <c r="P265" s="146"/>
      <c r="Q265" s="146"/>
      <c r="R265" s="146"/>
      <c r="S265" s="146"/>
      <c r="T265" s="146"/>
      <c r="U265" s="146"/>
      <c r="V265" s="146"/>
      <c r="W265" s="146"/>
      <c r="X265" s="146"/>
      <c r="Y265" s="146"/>
      <c r="Z265" s="146"/>
      <c r="AA265" s="146"/>
    </row>
    <row r="266" ht="22.5" customHeight="1">
      <c r="A266" s="145"/>
      <c r="B266" s="154"/>
      <c r="C266" s="154"/>
      <c r="D266" s="138"/>
      <c r="E266" s="138"/>
      <c r="F266" s="138"/>
      <c r="G266" s="138"/>
      <c r="H266" s="119"/>
      <c r="I266" s="146"/>
      <c r="J266" s="146"/>
      <c r="K266" s="146"/>
      <c r="L266" s="146"/>
      <c r="M266" s="146"/>
      <c r="N266" s="146"/>
      <c r="O266" s="146"/>
      <c r="P266" s="146"/>
      <c r="Q266" s="146"/>
      <c r="R266" s="146"/>
      <c r="S266" s="146"/>
      <c r="T266" s="146"/>
      <c r="U266" s="146"/>
      <c r="V266" s="146"/>
      <c r="W266" s="146"/>
      <c r="X266" s="146"/>
      <c r="Y266" s="146"/>
      <c r="Z266" s="146"/>
      <c r="AA266" s="146"/>
    </row>
    <row r="267" ht="22.5" customHeight="1">
      <c r="A267" s="145"/>
      <c r="B267" s="154"/>
      <c r="C267" s="154"/>
      <c r="D267" s="138"/>
      <c r="E267" s="138"/>
      <c r="F267" s="138"/>
      <c r="G267" s="138"/>
      <c r="H267" s="119"/>
      <c r="I267" s="146"/>
      <c r="J267" s="146"/>
      <c r="K267" s="146"/>
      <c r="L267" s="146"/>
      <c r="M267" s="146"/>
      <c r="N267" s="146"/>
      <c r="O267" s="146"/>
      <c r="P267" s="146"/>
      <c r="Q267" s="146"/>
      <c r="R267" s="146"/>
      <c r="S267" s="146"/>
      <c r="T267" s="146"/>
      <c r="U267" s="146"/>
      <c r="V267" s="146"/>
      <c r="W267" s="146"/>
      <c r="X267" s="146"/>
      <c r="Y267" s="146"/>
      <c r="Z267" s="146"/>
      <c r="AA267" s="146"/>
    </row>
    <row r="268" ht="22.5" customHeight="1">
      <c r="A268" s="145"/>
      <c r="B268" s="154"/>
      <c r="C268" s="154"/>
      <c r="D268" s="138"/>
      <c r="E268" s="138"/>
      <c r="F268" s="138"/>
      <c r="G268" s="138"/>
      <c r="H268" s="119"/>
      <c r="I268" s="146"/>
      <c r="J268" s="146"/>
      <c r="K268" s="146"/>
      <c r="L268" s="146"/>
      <c r="M268" s="146"/>
      <c r="N268" s="146"/>
      <c r="O268" s="146"/>
      <c r="P268" s="146"/>
      <c r="Q268" s="146"/>
      <c r="R268" s="146"/>
      <c r="S268" s="146"/>
      <c r="T268" s="146"/>
      <c r="U268" s="146"/>
      <c r="V268" s="146"/>
      <c r="W268" s="146"/>
      <c r="X268" s="146"/>
      <c r="Y268" s="146"/>
      <c r="Z268" s="146"/>
      <c r="AA268" s="146"/>
    </row>
    <row r="269" ht="22.5" customHeight="1">
      <c r="A269" s="145"/>
      <c r="B269" s="154"/>
      <c r="C269" s="154"/>
      <c r="D269" s="138"/>
      <c r="E269" s="138"/>
      <c r="F269" s="138"/>
      <c r="G269" s="138"/>
      <c r="H269" s="119"/>
      <c r="I269" s="146"/>
      <c r="J269" s="146"/>
      <c r="K269" s="146"/>
      <c r="L269" s="146"/>
      <c r="M269" s="146"/>
      <c r="N269" s="146"/>
      <c r="O269" s="146"/>
      <c r="P269" s="146"/>
      <c r="Q269" s="146"/>
      <c r="R269" s="146"/>
      <c r="S269" s="146"/>
      <c r="T269" s="146"/>
      <c r="U269" s="146"/>
      <c r="V269" s="146"/>
      <c r="W269" s="146"/>
      <c r="X269" s="146"/>
      <c r="Y269" s="146"/>
      <c r="Z269" s="146"/>
      <c r="AA269" s="146"/>
    </row>
    <row r="270" ht="22.5" customHeight="1">
      <c r="A270" s="145"/>
      <c r="B270" s="154"/>
      <c r="C270" s="154"/>
      <c r="D270" s="138"/>
      <c r="E270" s="138"/>
      <c r="F270" s="138"/>
      <c r="G270" s="138"/>
      <c r="H270" s="119"/>
      <c r="I270" s="146"/>
      <c r="J270" s="146"/>
      <c r="K270" s="146"/>
      <c r="L270" s="146"/>
      <c r="M270" s="146"/>
      <c r="N270" s="146"/>
      <c r="O270" s="146"/>
      <c r="P270" s="146"/>
      <c r="Q270" s="146"/>
      <c r="R270" s="146"/>
      <c r="S270" s="146"/>
      <c r="T270" s="146"/>
      <c r="U270" s="146"/>
      <c r="V270" s="146"/>
      <c r="W270" s="146"/>
      <c r="X270" s="146"/>
      <c r="Y270" s="146"/>
      <c r="Z270" s="146"/>
      <c r="AA270" s="146"/>
    </row>
    <row r="271" ht="22.5" customHeight="1">
      <c r="A271" s="145"/>
      <c r="B271" s="154"/>
      <c r="C271" s="154"/>
      <c r="D271" s="138"/>
      <c r="E271" s="138"/>
      <c r="F271" s="138"/>
      <c r="G271" s="138"/>
      <c r="H271" s="119"/>
      <c r="I271" s="146"/>
      <c r="J271" s="146"/>
      <c r="K271" s="146"/>
      <c r="L271" s="146"/>
      <c r="M271" s="146"/>
      <c r="N271" s="146"/>
      <c r="O271" s="146"/>
      <c r="P271" s="146"/>
      <c r="Q271" s="146"/>
      <c r="R271" s="146"/>
      <c r="S271" s="146"/>
      <c r="T271" s="146"/>
      <c r="U271" s="146"/>
      <c r="V271" s="146"/>
      <c r="W271" s="146"/>
      <c r="X271" s="146"/>
      <c r="Y271" s="146"/>
      <c r="Z271" s="146"/>
      <c r="AA271" s="146"/>
    </row>
    <row r="272" ht="22.5" customHeight="1">
      <c r="A272" s="145"/>
      <c r="B272" s="154"/>
      <c r="C272" s="154"/>
      <c r="D272" s="138"/>
      <c r="E272" s="138"/>
      <c r="F272" s="138"/>
      <c r="G272" s="138"/>
      <c r="H272" s="119"/>
      <c r="I272" s="146"/>
      <c r="J272" s="146"/>
      <c r="K272" s="146"/>
      <c r="L272" s="146"/>
      <c r="M272" s="146"/>
      <c r="N272" s="146"/>
      <c r="O272" s="146"/>
      <c r="P272" s="146"/>
      <c r="Q272" s="146"/>
      <c r="R272" s="146"/>
      <c r="S272" s="146"/>
      <c r="T272" s="146"/>
      <c r="U272" s="146"/>
      <c r="V272" s="146"/>
      <c r="W272" s="146"/>
      <c r="X272" s="146"/>
      <c r="Y272" s="146"/>
      <c r="Z272" s="146"/>
      <c r="AA272" s="146"/>
    </row>
    <row r="273" ht="22.5" customHeight="1">
      <c r="A273" s="145"/>
      <c r="B273" s="154"/>
      <c r="C273" s="154"/>
      <c r="D273" s="138"/>
      <c r="E273" s="138"/>
      <c r="F273" s="138"/>
      <c r="G273" s="138"/>
      <c r="H273" s="119"/>
      <c r="I273" s="146"/>
      <c r="J273" s="146"/>
      <c r="K273" s="146"/>
      <c r="L273" s="146"/>
      <c r="M273" s="146"/>
      <c r="N273" s="146"/>
      <c r="O273" s="146"/>
      <c r="P273" s="146"/>
      <c r="Q273" s="146"/>
      <c r="R273" s="146"/>
      <c r="S273" s="146"/>
      <c r="T273" s="146"/>
      <c r="U273" s="146"/>
      <c r="V273" s="146"/>
      <c r="W273" s="146"/>
      <c r="X273" s="146"/>
      <c r="Y273" s="146"/>
      <c r="Z273" s="146"/>
      <c r="AA273" s="146"/>
    </row>
    <row r="274" ht="22.5" customHeight="1">
      <c r="A274" s="145"/>
      <c r="B274" s="154"/>
      <c r="C274" s="154"/>
      <c r="D274" s="138"/>
      <c r="E274" s="138"/>
      <c r="F274" s="138"/>
      <c r="G274" s="138"/>
      <c r="H274" s="119"/>
      <c r="I274" s="146"/>
      <c r="J274" s="146"/>
      <c r="K274" s="146"/>
      <c r="L274" s="146"/>
      <c r="M274" s="146"/>
      <c r="N274" s="146"/>
      <c r="O274" s="146"/>
      <c r="P274" s="146"/>
      <c r="Q274" s="146"/>
      <c r="R274" s="146"/>
      <c r="S274" s="146"/>
      <c r="T274" s="146"/>
      <c r="U274" s="146"/>
      <c r="V274" s="146"/>
      <c r="W274" s="146"/>
      <c r="X274" s="146"/>
      <c r="Y274" s="146"/>
      <c r="Z274" s="146"/>
      <c r="AA274" s="146"/>
    </row>
    <row r="275" ht="22.5" customHeight="1">
      <c r="A275" s="145"/>
      <c r="B275" s="154"/>
      <c r="C275" s="154"/>
      <c r="D275" s="138"/>
      <c r="E275" s="138"/>
      <c r="F275" s="138"/>
      <c r="G275" s="138"/>
      <c r="H275" s="119"/>
      <c r="I275" s="146"/>
      <c r="J275" s="146"/>
      <c r="K275" s="146"/>
      <c r="L275" s="146"/>
      <c r="M275" s="146"/>
      <c r="N275" s="146"/>
      <c r="O275" s="146"/>
      <c r="P275" s="146"/>
      <c r="Q275" s="146"/>
      <c r="R275" s="146"/>
      <c r="S275" s="146"/>
      <c r="T275" s="146"/>
      <c r="U275" s="146"/>
      <c r="V275" s="146"/>
      <c r="W275" s="146"/>
      <c r="X275" s="146"/>
      <c r="Y275" s="146"/>
      <c r="Z275" s="146"/>
      <c r="AA275" s="146"/>
    </row>
    <row r="276" ht="22.5" customHeight="1">
      <c r="A276" s="145"/>
      <c r="B276" s="154"/>
      <c r="C276" s="154"/>
      <c r="D276" s="138"/>
      <c r="E276" s="138"/>
      <c r="F276" s="138"/>
      <c r="G276" s="138"/>
      <c r="H276" s="119"/>
      <c r="I276" s="146"/>
      <c r="J276" s="146"/>
      <c r="K276" s="146"/>
      <c r="L276" s="146"/>
      <c r="M276" s="146"/>
      <c r="N276" s="146"/>
      <c r="O276" s="146"/>
      <c r="P276" s="146"/>
      <c r="Q276" s="146"/>
      <c r="R276" s="146"/>
      <c r="S276" s="146"/>
      <c r="T276" s="146"/>
      <c r="U276" s="146"/>
      <c r="V276" s="146"/>
      <c r="W276" s="146"/>
      <c r="X276" s="146"/>
      <c r="Y276" s="146"/>
      <c r="Z276" s="146"/>
      <c r="AA276" s="146"/>
    </row>
    <row r="277" ht="22.5" customHeight="1">
      <c r="A277" s="145"/>
      <c r="B277" s="154"/>
      <c r="C277" s="154"/>
      <c r="D277" s="138"/>
      <c r="E277" s="138"/>
      <c r="F277" s="138"/>
      <c r="G277" s="138"/>
      <c r="H277" s="119"/>
      <c r="I277" s="146"/>
      <c r="J277" s="146"/>
      <c r="K277" s="146"/>
      <c r="L277" s="146"/>
      <c r="M277" s="146"/>
      <c r="N277" s="146"/>
      <c r="O277" s="146"/>
      <c r="P277" s="146"/>
      <c r="Q277" s="146"/>
      <c r="R277" s="146"/>
      <c r="S277" s="146"/>
      <c r="T277" s="146"/>
      <c r="U277" s="146"/>
      <c r="V277" s="146"/>
      <c r="W277" s="146"/>
      <c r="X277" s="146"/>
      <c r="Y277" s="146"/>
      <c r="Z277" s="146"/>
      <c r="AA277" s="146"/>
    </row>
    <row r="278" ht="22.5" customHeight="1">
      <c r="A278" s="145"/>
      <c r="B278" s="154"/>
      <c r="C278" s="154"/>
      <c r="D278" s="138"/>
      <c r="E278" s="138"/>
      <c r="F278" s="138"/>
      <c r="G278" s="138"/>
      <c r="H278" s="119"/>
      <c r="I278" s="146"/>
      <c r="J278" s="146"/>
      <c r="K278" s="146"/>
      <c r="L278" s="146"/>
      <c r="M278" s="146"/>
      <c r="N278" s="146"/>
      <c r="O278" s="146"/>
      <c r="P278" s="146"/>
      <c r="Q278" s="146"/>
      <c r="R278" s="146"/>
      <c r="S278" s="146"/>
      <c r="T278" s="146"/>
      <c r="U278" s="146"/>
      <c r="V278" s="146"/>
      <c r="W278" s="146"/>
      <c r="X278" s="146"/>
      <c r="Y278" s="146"/>
      <c r="Z278" s="146"/>
      <c r="AA278" s="146"/>
    </row>
    <row r="279" ht="22.5" customHeight="1">
      <c r="A279" s="145"/>
      <c r="B279" s="154"/>
      <c r="C279" s="154"/>
      <c r="D279" s="138"/>
      <c r="E279" s="138"/>
      <c r="F279" s="138"/>
      <c r="G279" s="138"/>
      <c r="H279" s="119"/>
      <c r="I279" s="146"/>
      <c r="J279" s="146"/>
      <c r="K279" s="146"/>
      <c r="L279" s="146"/>
      <c r="M279" s="146"/>
      <c r="N279" s="146"/>
      <c r="O279" s="146"/>
      <c r="P279" s="146"/>
      <c r="Q279" s="146"/>
      <c r="R279" s="146"/>
      <c r="S279" s="146"/>
      <c r="T279" s="146"/>
      <c r="U279" s="146"/>
      <c r="V279" s="146"/>
      <c r="W279" s="146"/>
      <c r="X279" s="146"/>
      <c r="Y279" s="146"/>
      <c r="Z279" s="146"/>
      <c r="AA279" s="146"/>
    </row>
    <row r="280" ht="22.5" customHeight="1">
      <c r="A280" s="145"/>
      <c r="B280" s="154"/>
      <c r="C280" s="154"/>
      <c r="D280" s="138"/>
      <c r="E280" s="138"/>
      <c r="F280" s="138"/>
      <c r="G280" s="138"/>
      <c r="H280" s="119"/>
      <c r="I280" s="146"/>
      <c r="J280" s="146"/>
      <c r="K280" s="146"/>
      <c r="L280" s="146"/>
      <c r="M280" s="146"/>
      <c r="N280" s="146"/>
      <c r="O280" s="146"/>
      <c r="P280" s="146"/>
      <c r="Q280" s="146"/>
      <c r="R280" s="146"/>
      <c r="S280" s="146"/>
      <c r="T280" s="146"/>
      <c r="U280" s="146"/>
      <c r="V280" s="146"/>
      <c r="W280" s="146"/>
      <c r="X280" s="146"/>
      <c r="Y280" s="146"/>
      <c r="Z280" s="146"/>
      <c r="AA280" s="146"/>
    </row>
    <row r="281" ht="22.5" customHeight="1">
      <c r="A281" s="145"/>
      <c r="B281" s="154"/>
      <c r="C281" s="154"/>
      <c r="D281" s="138"/>
      <c r="E281" s="138"/>
      <c r="F281" s="138"/>
      <c r="G281" s="138"/>
      <c r="H281" s="119"/>
      <c r="I281" s="146"/>
      <c r="J281" s="146"/>
      <c r="K281" s="146"/>
      <c r="L281" s="146"/>
      <c r="M281" s="146"/>
      <c r="N281" s="146"/>
      <c r="O281" s="146"/>
      <c r="P281" s="146"/>
      <c r="Q281" s="146"/>
      <c r="R281" s="146"/>
      <c r="S281" s="146"/>
      <c r="T281" s="146"/>
      <c r="U281" s="146"/>
      <c r="V281" s="146"/>
      <c r="W281" s="146"/>
      <c r="X281" s="146"/>
      <c r="Y281" s="146"/>
      <c r="Z281" s="146"/>
      <c r="AA281" s="146"/>
    </row>
    <row r="282" ht="22.5" customHeight="1">
      <c r="A282" s="145"/>
      <c r="B282" s="154"/>
      <c r="C282" s="154"/>
      <c r="D282" s="138"/>
      <c r="E282" s="138"/>
      <c r="F282" s="138"/>
      <c r="G282" s="138"/>
      <c r="H282" s="119"/>
      <c r="I282" s="146"/>
      <c r="J282" s="146"/>
      <c r="K282" s="146"/>
      <c r="L282" s="146"/>
      <c r="M282" s="146"/>
      <c r="N282" s="146"/>
      <c r="O282" s="146"/>
      <c r="P282" s="146"/>
      <c r="Q282" s="146"/>
      <c r="R282" s="146"/>
      <c r="S282" s="146"/>
      <c r="T282" s="146"/>
      <c r="U282" s="146"/>
      <c r="V282" s="146"/>
      <c r="W282" s="146"/>
      <c r="X282" s="146"/>
      <c r="Y282" s="146"/>
      <c r="Z282" s="146"/>
      <c r="AA282" s="146"/>
    </row>
    <row r="283" ht="22.5" customHeight="1">
      <c r="A283" s="145"/>
      <c r="B283" s="154"/>
      <c r="C283" s="154"/>
      <c r="D283" s="138"/>
      <c r="E283" s="138"/>
      <c r="F283" s="138"/>
      <c r="G283" s="138"/>
      <c r="H283" s="119"/>
      <c r="I283" s="146"/>
      <c r="J283" s="146"/>
      <c r="K283" s="146"/>
      <c r="L283" s="146"/>
      <c r="M283" s="146"/>
      <c r="N283" s="146"/>
      <c r="O283" s="146"/>
      <c r="P283" s="146"/>
      <c r="Q283" s="146"/>
      <c r="R283" s="146"/>
      <c r="S283" s="146"/>
      <c r="T283" s="146"/>
      <c r="U283" s="146"/>
      <c r="V283" s="146"/>
      <c r="W283" s="146"/>
      <c r="X283" s="146"/>
      <c r="Y283" s="146"/>
      <c r="Z283" s="146"/>
      <c r="AA283" s="146"/>
    </row>
    <row r="284" ht="22.5" customHeight="1">
      <c r="A284" s="145"/>
      <c r="B284" s="154"/>
      <c r="C284" s="154"/>
      <c r="D284" s="138"/>
      <c r="E284" s="138"/>
      <c r="F284" s="138"/>
      <c r="G284" s="138"/>
      <c r="H284" s="119"/>
      <c r="I284" s="146"/>
      <c r="J284" s="146"/>
      <c r="K284" s="146"/>
      <c r="L284" s="146"/>
      <c r="M284" s="146"/>
      <c r="N284" s="146"/>
      <c r="O284" s="146"/>
      <c r="P284" s="146"/>
      <c r="Q284" s="146"/>
      <c r="R284" s="146"/>
      <c r="S284" s="146"/>
      <c r="T284" s="146"/>
      <c r="U284" s="146"/>
      <c r="V284" s="146"/>
      <c r="W284" s="146"/>
      <c r="X284" s="146"/>
      <c r="Y284" s="146"/>
      <c r="Z284" s="146"/>
      <c r="AA284" s="146"/>
    </row>
    <row r="285" ht="22.5" customHeight="1">
      <c r="A285" s="145"/>
      <c r="B285" s="154"/>
      <c r="C285" s="154"/>
      <c r="D285" s="138"/>
      <c r="E285" s="138"/>
      <c r="F285" s="138"/>
      <c r="G285" s="138"/>
      <c r="H285" s="119"/>
      <c r="I285" s="146"/>
      <c r="J285" s="146"/>
      <c r="K285" s="146"/>
      <c r="L285" s="146"/>
      <c r="M285" s="146"/>
      <c r="N285" s="146"/>
      <c r="O285" s="146"/>
      <c r="P285" s="146"/>
      <c r="Q285" s="146"/>
      <c r="R285" s="146"/>
      <c r="S285" s="146"/>
      <c r="T285" s="146"/>
      <c r="U285" s="146"/>
      <c r="V285" s="146"/>
      <c r="W285" s="146"/>
      <c r="X285" s="146"/>
      <c r="Y285" s="146"/>
      <c r="Z285" s="146"/>
      <c r="AA285" s="146"/>
    </row>
    <row r="286" ht="22.5" customHeight="1">
      <c r="A286" s="145"/>
      <c r="B286" s="154"/>
      <c r="C286" s="154"/>
      <c r="D286" s="138"/>
      <c r="E286" s="138"/>
      <c r="F286" s="138"/>
      <c r="G286" s="138"/>
      <c r="H286" s="119"/>
      <c r="I286" s="146"/>
      <c r="J286" s="146"/>
      <c r="K286" s="146"/>
      <c r="L286" s="146"/>
      <c r="M286" s="146"/>
      <c r="N286" s="146"/>
      <c r="O286" s="146"/>
      <c r="P286" s="146"/>
      <c r="Q286" s="146"/>
      <c r="R286" s="146"/>
      <c r="S286" s="146"/>
      <c r="T286" s="146"/>
      <c r="U286" s="146"/>
      <c r="V286" s="146"/>
      <c r="W286" s="146"/>
      <c r="X286" s="146"/>
      <c r="Y286" s="146"/>
      <c r="Z286" s="146"/>
      <c r="AA286" s="146"/>
    </row>
    <row r="287" ht="22.5" customHeight="1">
      <c r="A287" s="145"/>
      <c r="B287" s="154"/>
      <c r="C287" s="154"/>
      <c r="D287" s="138"/>
      <c r="E287" s="138"/>
      <c r="F287" s="138"/>
      <c r="G287" s="138"/>
      <c r="H287" s="119"/>
      <c r="I287" s="146"/>
      <c r="J287" s="146"/>
      <c r="K287" s="146"/>
      <c r="L287" s="146"/>
      <c r="M287" s="146"/>
      <c r="N287" s="146"/>
      <c r="O287" s="146"/>
      <c r="P287" s="146"/>
      <c r="Q287" s="146"/>
      <c r="R287" s="146"/>
      <c r="S287" s="146"/>
      <c r="T287" s="146"/>
      <c r="U287" s="146"/>
      <c r="V287" s="146"/>
      <c r="W287" s="146"/>
      <c r="X287" s="146"/>
      <c r="Y287" s="146"/>
      <c r="Z287" s="146"/>
      <c r="AA287" s="146"/>
    </row>
    <row r="288" ht="22.5" customHeight="1">
      <c r="A288" s="145"/>
      <c r="B288" s="154"/>
      <c r="C288" s="154"/>
      <c r="D288" s="138"/>
      <c r="E288" s="138"/>
      <c r="F288" s="138"/>
      <c r="G288" s="138"/>
      <c r="H288" s="119"/>
      <c r="I288" s="146"/>
      <c r="J288" s="146"/>
      <c r="K288" s="146"/>
      <c r="L288" s="146"/>
      <c r="M288" s="146"/>
      <c r="N288" s="146"/>
      <c r="O288" s="146"/>
      <c r="P288" s="146"/>
      <c r="Q288" s="146"/>
      <c r="R288" s="146"/>
      <c r="S288" s="146"/>
      <c r="T288" s="146"/>
      <c r="U288" s="146"/>
      <c r="V288" s="146"/>
      <c r="W288" s="146"/>
      <c r="X288" s="146"/>
      <c r="Y288" s="146"/>
      <c r="Z288" s="146"/>
      <c r="AA288" s="146"/>
    </row>
    <row r="289" ht="22.5" customHeight="1">
      <c r="A289" s="145"/>
      <c r="B289" s="154"/>
      <c r="C289" s="154"/>
      <c r="D289" s="138"/>
      <c r="E289" s="138"/>
      <c r="F289" s="138"/>
      <c r="G289" s="138"/>
      <c r="H289" s="119"/>
      <c r="I289" s="146"/>
      <c r="J289" s="146"/>
      <c r="K289" s="146"/>
      <c r="L289" s="146"/>
      <c r="M289" s="146"/>
      <c r="N289" s="146"/>
      <c r="O289" s="146"/>
      <c r="P289" s="146"/>
      <c r="Q289" s="146"/>
      <c r="R289" s="146"/>
      <c r="S289" s="146"/>
      <c r="T289" s="146"/>
      <c r="U289" s="146"/>
      <c r="V289" s="146"/>
      <c r="W289" s="146"/>
      <c r="X289" s="146"/>
      <c r="Y289" s="146"/>
      <c r="Z289" s="146"/>
      <c r="AA289" s="146"/>
    </row>
    <row r="290" ht="22.5" customHeight="1">
      <c r="A290" s="145"/>
      <c r="B290" s="154"/>
      <c r="C290" s="154"/>
      <c r="D290" s="138"/>
      <c r="E290" s="138"/>
      <c r="F290" s="138"/>
      <c r="G290" s="138"/>
      <c r="H290" s="119"/>
      <c r="I290" s="146"/>
      <c r="J290" s="146"/>
      <c r="K290" s="146"/>
      <c r="L290" s="146"/>
      <c r="M290" s="146"/>
      <c r="N290" s="146"/>
      <c r="O290" s="146"/>
      <c r="P290" s="146"/>
      <c r="Q290" s="146"/>
      <c r="R290" s="146"/>
      <c r="S290" s="146"/>
      <c r="T290" s="146"/>
      <c r="U290" s="146"/>
      <c r="V290" s="146"/>
      <c r="W290" s="146"/>
      <c r="X290" s="146"/>
      <c r="Y290" s="146"/>
      <c r="Z290" s="146"/>
      <c r="AA290" s="146"/>
    </row>
    <row r="291" ht="22.5" customHeight="1">
      <c r="A291" s="145"/>
      <c r="B291" s="154"/>
      <c r="C291" s="154"/>
      <c r="D291" s="138"/>
      <c r="E291" s="138"/>
      <c r="F291" s="138"/>
      <c r="G291" s="138"/>
      <c r="H291" s="119"/>
      <c r="I291" s="146"/>
      <c r="J291" s="146"/>
      <c r="K291" s="146"/>
      <c r="L291" s="146"/>
      <c r="M291" s="146"/>
      <c r="N291" s="146"/>
      <c r="O291" s="146"/>
      <c r="P291" s="146"/>
      <c r="Q291" s="146"/>
      <c r="R291" s="146"/>
      <c r="S291" s="146"/>
      <c r="T291" s="146"/>
      <c r="U291" s="146"/>
      <c r="V291" s="146"/>
      <c r="W291" s="146"/>
      <c r="X291" s="146"/>
      <c r="Y291" s="146"/>
      <c r="Z291" s="146"/>
      <c r="AA291" s="146"/>
    </row>
    <row r="292" ht="22.5" customHeight="1">
      <c r="A292" s="145"/>
      <c r="B292" s="154"/>
      <c r="C292" s="154"/>
      <c r="D292" s="138"/>
      <c r="E292" s="138"/>
      <c r="F292" s="138"/>
      <c r="G292" s="138"/>
      <c r="H292" s="119"/>
      <c r="I292" s="146"/>
      <c r="J292" s="146"/>
      <c r="K292" s="146"/>
      <c r="L292" s="146"/>
      <c r="M292" s="146"/>
      <c r="N292" s="146"/>
      <c r="O292" s="146"/>
      <c r="P292" s="146"/>
      <c r="Q292" s="146"/>
      <c r="R292" s="146"/>
      <c r="S292" s="146"/>
      <c r="T292" s="146"/>
      <c r="U292" s="146"/>
      <c r="V292" s="146"/>
      <c r="W292" s="146"/>
      <c r="X292" s="146"/>
      <c r="Y292" s="146"/>
      <c r="Z292" s="146"/>
      <c r="AA292" s="146"/>
    </row>
    <row r="293" ht="22.5" customHeight="1">
      <c r="A293" s="145"/>
      <c r="B293" s="154"/>
      <c r="C293" s="154"/>
      <c r="D293" s="138"/>
      <c r="E293" s="138"/>
      <c r="F293" s="138"/>
      <c r="G293" s="138"/>
      <c r="H293" s="119"/>
      <c r="I293" s="146"/>
      <c r="J293" s="146"/>
      <c r="K293" s="146"/>
      <c r="L293" s="146"/>
      <c r="M293" s="146"/>
      <c r="N293" s="146"/>
      <c r="O293" s="146"/>
      <c r="P293" s="146"/>
      <c r="Q293" s="146"/>
      <c r="R293" s="146"/>
      <c r="S293" s="146"/>
      <c r="T293" s="146"/>
      <c r="U293" s="146"/>
      <c r="V293" s="146"/>
      <c r="W293" s="146"/>
      <c r="X293" s="146"/>
      <c r="Y293" s="146"/>
      <c r="Z293" s="146"/>
      <c r="AA293" s="146"/>
    </row>
    <row r="294" ht="22.5" customHeight="1">
      <c r="A294" s="145"/>
      <c r="B294" s="154"/>
      <c r="C294" s="154"/>
      <c r="D294" s="138"/>
      <c r="E294" s="138"/>
      <c r="F294" s="138"/>
      <c r="G294" s="138"/>
      <c r="H294" s="119"/>
      <c r="I294" s="146"/>
      <c r="J294" s="146"/>
      <c r="K294" s="146"/>
      <c r="L294" s="146"/>
      <c r="M294" s="146"/>
      <c r="N294" s="146"/>
      <c r="O294" s="146"/>
      <c r="P294" s="146"/>
      <c r="Q294" s="146"/>
      <c r="R294" s="146"/>
      <c r="S294" s="146"/>
      <c r="T294" s="146"/>
      <c r="U294" s="146"/>
      <c r="V294" s="146"/>
      <c r="W294" s="146"/>
      <c r="X294" s="146"/>
      <c r="Y294" s="146"/>
      <c r="Z294" s="146"/>
      <c r="AA294" s="146"/>
    </row>
    <row r="295" ht="22.5" customHeight="1">
      <c r="A295" s="145"/>
      <c r="B295" s="154"/>
      <c r="C295" s="154"/>
      <c r="D295" s="138"/>
      <c r="E295" s="138"/>
      <c r="F295" s="138"/>
      <c r="G295" s="138"/>
      <c r="H295" s="119"/>
      <c r="I295" s="146"/>
      <c r="J295" s="146"/>
      <c r="K295" s="146"/>
      <c r="L295" s="146"/>
      <c r="M295" s="146"/>
      <c r="N295" s="146"/>
      <c r="O295" s="146"/>
      <c r="P295" s="146"/>
      <c r="Q295" s="146"/>
      <c r="R295" s="146"/>
      <c r="S295" s="146"/>
      <c r="T295" s="146"/>
      <c r="U295" s="146"/>
      <c r="V295" s="146"/>
      <c r="W295" s="146"/>
      <c r="X295" s="146"/>
      <c r="Y295" s="146"/>
      <c r="Z295" s="146"/>
      <c r="AA295" s="146"/>
    </row>
    <row r="296" ht="22.5" customHeight="1">
      <c r="A296" s="145"/>
      <c r="B296" s="154"/>
      <c r="C296" s="154"/>
      <c r="D296" s="138"/>
      <c r="E296" s="138"/>
      <c r="F296" s="138"/>
      <c r="G296" s="138"/>
      <c r="H296" s="119"/>
      <c r="I296" s="146"/>
      <c r="J296" s="146"/>
      <c r="K296" s="146"/>
      <c r="L296" s="146"/>
      <c r="M296" s="146"/>
      <c r="N296" s="146"/>
      <c r="O296" s="146"/>
      <c r="P296" s="146"/>
      <c r="Q296" s="146"/>
      <c r="R296" s="146"/>
      <c r="S296" s="146"/>
      <c r="T296" s="146"/>
      <c r="U296" s="146"/>
      <c r="V296" s="146"/>
      <c r="W296" s="146"/>
      <c r="X296" s="146"/>
      <c r="Y296" s="146"/>
      <c r="Z296" s="146"/>
      <c r="AA296" s="146"/>
    </row>
    <row r="297" ht="22.5" customHeight="1">
      <c r="A297" s="145"/>
      <c r="B297" s="154"/>
      <c r="C297" s="154"/>
      <c r="D297" s="138"/>
      <c r="E297" s="138"/>
      <c r="F297" s="138"/>
      <c r="G297" s="138"/>
      <c r="H297" s="119"/>
      <c r="I297" s="146"/>
      <c r="J297" s="146"/>
      <c r="K297" s="146"/>
      <c r="L297" s="146"/>
      <c r="M297" s="146"/>
      <c r="N297" s="146"/>
      <c r="O297" s="146"/>
      <c r="P297" s="146"/>
      <c r="Q297" s="146"/>
      <c r="R297" s="146"/>
      <c r="S297" s="146"/>
      <c r="T297" s="146"/>
      <c r="U297" s="146"/>
      <c r="V297" s="146"/>
      <c r="W297" s="146"/>
      <c r="X297" s="146"/>
      <c r="Y297" s="146"/>
      <c r="Z297" s="146"/>
      <c r="AA297" s="146"/>
    </row>
    <row r="298" ht="22.5" customHeight="1">
      <c r="A298" s="145"/>
      <c r="B298" s="154"/>
      <c r="C298" s="154"/>
      <c r="D298" s="138"/>
      <c r="E298" s="138"/>
      <c r="F298" s="138"/>
      <c r="G298" s="138"/>
      <c r="H298" s="119"/>
      <c r="I298" s="146"/>
      <c r="J298" s="146"/>
      <c r="K298" s="146"/>
      <c r="L298" s="146"/>
      <c r="M298" s="146"/>
      <c r="N298" s="146"/>
      <c r="O298" s="146"/>
      <c r="P298" s="146"/>
      <c r="Q298" s="146"/>
      <c r="R298" s="146"/>
      <c r="S298" s="146"/>
      <c r="T298" s="146"/>
      <c r="U298" s="146"/>
      <c r="V298" s="146"/>
      <c r="W298" s="146"/>
      <c r="X298" s="146"/>
      <c r="Y298" s="146"/>
      <c r="Z298" s="146"/>
      <c r="AA298" s="146"/>
    </row>
    <row r="299" ht="22.5" customHeight="1">
      <c r="A299" s="145"/>
      <c r="B299" s="154"/>
      <c r="C299" s="154"/>
      <c r="D299" s="138"/>
      <c r="E299" s="138"/>
      <c r="F299" s="138"/>
      <c r="G299" s="138"/>
      <c r="H299" s="119"/>
      <c r="I299" s="146"/>
      <c r="J299" s="146"/>
      <c r="K299" s="146"/>
      <c r="L299" s="146"/>
      <c r="M299" s="146"/>
      <c r="N299" s="146"/>
      <c r="O299" s="146"/>
      <c r="P299" s="146"/>
      <c r="Q299" s="146"/>
      <c r="R299" s="146"/>
      <c r="S299" s="146"/>
      <c r="T299" s="146"/>
      <c r="U299" s="146"/>
      <c r="V299" s="146"/>
      <c r="W299" s="146"/>
      <c r="X299" s="146"/>
      <c r="Y299" s="146"/>
      <c r="Z299" s="146"/>
      <c r="AA299" s="146"/>
    </row>
    <row r="300" ht="22.5" customHeight="1">
      <c r="A300" s="145"/>
      <c r="B300" s="154"/>
      <c r="C300" s="154"/>
      <c r="D300" s="138"/>
      <c r="E300" s="138"/>
      <c r="F300" s="138"/>
      <c r="G300" s="138"/>
      <c r="H300" s="119"/>
      <c r="I300" s="146"/>
      <c r="J300" s="146"/>
      <c r="K300" s="146"/>
      <c r="L300" s="146"/>
      <c r="M300" s="146"/>
      <c r="N300" s="146"/>
      <c r="O300" s="146"/>
      <c r="P300" s="146"/>
      <c r="Q300" s="146"/>
      <c r="R300" s="146"/>
      <c r="S300" s="146"/>
      <c r="T300" s="146"/>
      <c r="U300" s="146"/>
      <c r="V300" s="146"/>
      <c r="W300" s="146"/>
      <c r="X300" s="146"/>
      <c r="Y300" s="146"/>
      <c r="Z300" s="146"/>
      <c r="AA300" s="146"/>
    </row>
    <row r="301" ht="22.5" customHeight="1">
      <c r="A301" s="145"/>
      <c r="B301" s="154"/>
      <c r="C301" s="154"/>
      <c r="D301" s="138"/>
      <c r="E301" s="138"/>
      <c r="F301" s="138"/>
      <c r="G301" s="138"/>
      <c r="H301" s="119"/>
      <c r="I301" s="146"/>
      <c r="J301" s="146"/>
      <c r="K301" s="146"/>
      <c r="L301" s="146"/>
      <c r="M301" s="146"/>
      <c r="N301" s="146"/>
      <c r="O301" s="146"/>
      <c r="P301" s="146"/>
      <c r="Q301" s="146"/>
      <c r="R301" s="146"/>
      <c r="S301" s="146"/>
      <c r="T301" s="146"/>
      <c r="U301" s="146"/>
      <c r="V301" s="146"/>
      <c r="W301" s="146"/>
      <c r="X301" s="146"/>
      <c r="Y301" s="146"/>
      <c r="Z301" s="146"/>
      <c r="AA301" s="146"/>
    </row>
    <row r="302" ht="22.5" customHeight="1">
      <c r="A302" s="145"/>
      <c r="B302" s="154"/>
      <c r="C302" s="154"/>
      <c r="D302" s="138"/>
      <c r="E302" s="138"/>
      <c r="F302" s="138"/>
      <c r="G302" s="138"/>
      <c r="H302" s="119"/>
      <c r="I302" s="146"/>
      <c r="J302" s="146"/>
      <c r="K302" s="146"/>
      <c r="L302" s="146"/>
      <c r="M302" s="146"/>
      <c r="N302" s="146"/>
      <c r="O302" s="146"/>
      <c r="P302" s="146"/>
      <c r="Q302" s="146"/>
      <c r="R302" s="146"/>
      <c r="S302" s="146"/>
      <c r="T302" s="146"/>
      <c r="U302" s="146"/>
      <c r="V302" s="146"/>
      <c r="W302" s="146"/>
      <c r="X302" s="146"/>
      <c r="Y302" s="146"/>
      <c r="Z302" s="146"/>
      <c r="AA302" s="146"/>
    </row>
    <row r="303" ht="22.5" customHeight="1">
      <c r="A303" s="145"/>
      <c r="B303" s="154"/>
      <c r="C303" s="154"/>
      <c r="D303" s="138"/>
      <c r="E303" s="138"/>
      <c r="F303" s="138"/>
      <c r="G303" s="138"/>
      <c r="H303" s="119"/>
      <c r="I303" s="146"/>
      <c r="J303" s="146"/>
      <c r="K303" s="146"/>
      <c r="L303" s="146"/>
      <c r="M303" s="146"/>
      <c r="N303" s="146"/>
      <c r="O303" s="146"/>
      <c r="P303" s="146"/>
      <c r="Q303" s="146"/>
      <c r="R303" s="146"/>
      <c r="S303" s="146"/>
      <c r="T303" s="146"/>
      <c r="U303" s="146"/>
      <c r="V303" s="146"/>
      <c r="W303" s="146"/>
      <c r="X303" s="146"/>
      <c r="Y303" s="146"/>
      <c r="Z303" s="146"/>
      <c r="AA303" s="146"/>
    </row>
    <row r="304" ht="22.5" customHeight="1">
      <c r="A304" s="145"/>
      <c r="B304" s="154"/>
      <c r="C304" s="154"/>
      <c r="D304" s="138"/>
      <c r="E304" s="138"/>
      <c r="F304" s="138"/>
      <c r="G304" s="138"/>
      <c r="H304" s="119"/>
      <c r="I304" s="146"/>
      <c r="J304" s="146"/>
      <c r="K304" s="146"/>
      <c r="L304" s="146"/>
      <c r="M304" s="146"/>
      <c r="N304" s="146"/>
      <c r="O304" s="146"/>
      <c r="P304" s="146"/>
      <c r="Q304" s="146"/>
      <c r="R304" s="146"/>
      <c r="S304" s="146"/>
      <c r="T304" s="146"/>
      <c r="U304" s="146"/>
      <c r="V304" s="146"/>
      <c r="W304" s="146"/>
      <c r="X304" s="146"/>
      <c r="Y304" s="146"/>
      <c r="Z304" s="146"/>
      <c r="AA304" s="146"/>
    </row>
    <row r="305" ht="22.5" customHeight="1">
      <c r="A305" s="145"/>
      <c r="B305" s="154"/>
      <c r="C305" s="154"/>
      <c r="D305" s="138"/>
      <c r="E305" s="138"/>
      <c r="F305" s="138"/>
      <c r="G305" s="138"/>
      <c r="H305" s="119"/>
      <c r="I305" s="146"/>
      <c r="J305" s="146"/>
      <c r="K305" s="146"/>
      <c r="L305" s="146"/>
      <c r="M305" s="146"/>
      <c r="N305" s="146"/>
      <c r="O305" s="146"/>
      <c r="P305" s="146"/>
      <c r="Q305" s="146"/>
      <c r="R305" s="146"/>
      <c r="S305" s="146"/>
      <c r="T305" s="146"/>
      <c r="U305" s="146"/>
      <c r="V305" s="146"/>
      <c r="W305" s="146"/>
      <c r="X305" s="146"/>
      <c r="Y305" s="146"/>
      <c r="Z305" s="146"/>
      <c r="AA305" s="146"/>
    </row>
    <row r="306" ht="22.5" customHeight="1">
      <c r="A306" s="145"/>
      <c r="B306" s="154"/>
      <c r="C306" s="154"/>
      <c r="D306" s="138"/>
      <c r="E306" s="138"/>
      <c r="F306" s="138"/>
      <c r="G306" s="138"/>
      <c r="H306" s="119"/>
      <c r="I306" s="146"/>
      <c r="J306" s="146"/>
      <c r="K306" s="146"/>
      <c r="L306" s="146"/>
      <c r="M306" s="146"/>
      <c r="N306" s="146"/>
      <c r="O306" s="146"/>
      <c r="P306" s="146"/>
      <c r="Q306" s="146"/>
      <c r="R306" s="146"/>
      <c r="S306" s="146"/>
      <c r="T306" s="146"/>
      <c r="U306" s="146"/>
      <c r="V306" s="146"/>
      <c r="W306" s="146"/>
      <c r="X306" s="146"/>
      <c r="Y306" s="146"/>
      <c r="Z306" s="146"/>
      <c r="AA306" s="146"/>
    </row>
    <row r="307" ht="22.5" customHeight="1">
      <c r="A307" s="145"/>
      <c r="B307" s="154"/>
      <c r="C307" s="154"/>
      <c r="D307" s="138"/>
      <c r="E307" s="138"/>
      <c r="F307" s="138"/>
      <c r="G307" s="138"/>
      <c r="H307" s="119"/>
      <c r="I307" s="146"/>
      <c r="J307" s="146"/>
      <c r="K307" s="146"/>
      <c r="L307" s="146"/>
      <c r="M307" s="146"/>
      <c r="N307" s="146"/>
      <c r="O307" s="146"/>
      <c r="P307" s="146"/>
      <c r="Q307" s="146"/>
      <c r="R307" s="146"/>
      <c r="S307" s="146"/>
      <c r="T307" s="146"/>
      <c r="U307" s="146"/>
      <c r="V307" s="146"/>
      <c r="W307" s="146"/>
      <c r="X307" s="146"/>
      <c r="Y307" s="146"/>
      <c r="Z307" s="146"/>
      <c r="AA307" s="146"/>
    </row>
    <row r="308" ht="22.5" customHeight="1">
      <c r="A308" s="145"/>
      <c r="B308" s="154"/>
      <c r="C308" s="154"/>
      <c r="D308" s="138"/>
      <c r="E308" s="138"/>
      <c r="F308" s="138"/>
      <c r="G308" s="138"/>
      <c r="H308" s="119"/>
      <c r="I308" s="146"/>
      <c r="J308" s="146"/>
      <c r="K308" s="146"/>
      <c r="L308" s="146"/>
      <c r="M308" s="146"/>
      <c r="N308" s="146"/>
      <c r="O308" s="146"/>
      <c r="P308" s="146"/>
      <c r="Q308" s="146"/>
      <c r="R308" s="146"/>
      <c r="S308" s="146"/>
      <c r="T308" s="146"/>
      <c r="U308" s="146"/>
      <c r="V308" s="146"/>
      <c r="W308" s="146"/>
      <c r="X308" s="146"/>
      <c r="Y308" s="146"/>
      <c r="Z308" s="146"/>
      <c r="AA308" s="146"/>
    </row>
    <row r="309" ht="22.5" customHeight="1">
      <c r="A309" s="145"/>
      <c r="B309" s="154"/>
      <c r="C309" s="154"/>
      <c r="D309" s="138"/>
      <c r="E309" s="138"/>
      <c r="F309" s="138"/>
      <c r="G309" s="138"/>
      <c r="H309" s="119"/>
      <c r="I309" s="146"/>
      <c r="J309" s="146"/>
      <c r="K309" s="146"/>
      <c r="L309" s="146"/>
      <c r="M309" s="146"/>
      <c r="N309" s="146"/>
      <c r="O309" s="146"/>
      <c r="P309" s="146"/>
      <c r="Q309" s="146"/>
      <c r="R309" s="146"/>
      <c r="S309" s="146"/>
      <c r="T309" s="146"/>
      <c r="U309" s="146"/>
      <c r="V309" s="146"/>
      <c r="W309" s="146"/>
      <c r="X309" s="146"/>
      <c r="Y309" s="146"/>
      <c r="Z309" s="146"/>
      <c r="AA309" s="146"/>
    </row>
    <row r="310" ht="22.5" customHeight="1">
      <c r="A310" s="145"/>
      <c r="B310" s="154"/>
      <c r="C310" s="154"/>
      <c r="D310" s="138"/>
      <c r="E310" s="138"/>
      <c r="F310" s="138"/>
      <c r="G310" s="138"/>
      <c r="H310" s="119"/>
      <c r="I310" s="146"/>
      <c r="J310" s="146"/>
      <c r="K310" s="146"/>
      <c r="L310" s="146"/>
      <c r="M310" s="146"/>
      <c r="N310" s="146"/>
      <c r="O310" s="146"/>
      <c r="P310" s="146"/>
      <c r="Q310" s="146"/>
      <c r="R310" s="146"/>
      <c r="S310" s="146"/>
      <c r="T310" s="146"/>
      <c r="U310" s="146"/>
      <c r="V310" s="146"/>
      <c r="W310" s="146"/>
      <c r="X310" s="146"/>
      <c r="Y310" s="146"/>
      <c r="Z310" s="146"/>
      <c r="AA310" s="146"/>
    </row>
    <row r="311" ht="22.5" customHeight="1">
      <c r="A311" s="145"/>
      <c r="B311" s="154"/>
      <c r="C311" s="154"/>
      <c r="D311" s="138"/>
      <c r="E311" s="138"/>
      <c r="F311" s="138"/>
      <c r="G311" s="138"/>
      <c r="H311" s="119"/>
      <c r="I311" s="146"/>
      <c r="J311" s="146"/>
      <c r="K311" s="146"/>
      <c r="L311" s="146"/>
      <c r="M311" s="146"/>
      <c r="N311" s="146"/>
      <c r="O311" s="146"/>
      <c r="P311" s="146"/>
      <c r="Q311" s="146"/>
      <c r="R311" s="146"/>
      <c r="S311" s="146"/>
      <c r="T311" s="146"/>
      <c r="U311" s="146"/>
      <c r="V311" s="146"/>
      <c r="W311" s="146"/>
      <c r="X311" s="146"/>
      <c r="Y311" s="146"/>
      <c r="Z311" s="146"/>
      <c r="AA311" s="146"/>
    </row>
    <row r="312" ht="22.5" customHeight="1">
      <c r="A312" s="145"/>
      <c r="B312" s="154"/>
      <c r="C312" s="154"/>
      <c r="D312" s="138"/>
      <c r="E312" s="138"/>
      <c r="F312" s="138"/>
      <c r="G312" s="138"/>
      <c r="H312" s="119"/>
      <c r="I312" s="146"/>
      <c r="J312" s="146"/>
      <c r="K312" s="146"/>
      <c r="L312" s="146"/>
      <c r="M312" s="146"/>
      <c r="N312" s="146"/>
      <c r="O312" s="146"/>
      <c r="P312" s="146"/>
      <c r="Q312" s="146"/>
      <c r="R312" s="146"/>
      <c r="S312" s="146"/>
      <c r="T312" s="146"/>
      <c r="U312" s="146"/>
      <c r="V312" s="146"/>
      <c r="W312" s="146"/>
      <c r="X312" s="146"/>
      <c r="Y312" s="146"/>
      <c r="Z312" s="146"/>
      <c r="AA312" s="146"/>
    </row>
    <row r="313" ht="22.5" customHeight="1">
      <c r="A313" s="145"/>
      <c r="B313" s="154"/>
      <c r="C313" s="154"/>
      <c r="D313" s="138"/>
      <c r="E313" s="138"/>
      <c r="F313" s="138"/>
      <c r="G313" s="138"/>
      <c r="H313" s="119"/>
      <c r="I313" s="146"/>
      <c r="J313" s="146"/>
      <c r="K313" s="146"/>
      <c r="L313" s="146"/>
      <c r="M313" s="146"/>
      <c r="N313" s="146"/>
      <c r="O313" s="146"/>
      <c r="P313" s="146"/>
      <c r="Q313" s="146"/>
      <c r="R313" s="146"/>
      <c r="S313" s="146"/>
      <c r="T313" s="146"/>
      <c r="U313" s="146"/>
      <c r="V313" s="146"/>
      <c r="W313" s="146"/>
      <c r="X313" s="146"/>
      <c r="Y313" s="146"/>
      <c r="Z313" s="146"/>
      <c r="AA313" s="146"/>
    </row>
    <row r="314" ht="22.5" customHeight="1">
      <c r="A314" s="145"/>
      <c r="B314" s="154"/>
      <c r="C314" s="154"/>
      <c r="D314" s="138"/>
      <c r="E314" s="138"/>
      <c r="F314" s="138"/>
      <c r="G314" s="138"/>
      <c r="H314" s="119"/>
      <c r="I314" s="146"/>
      <c r="J314" s="146"/>
      <c r="K314" s="146"/>
      <c r="L314" s="146"/>
      <c r="M314" s="146"/>
      <c r="N314" s="146"/>
      <c r="O314" s="146"/>
      <c r="P314" s="146"/>
      <c r="Q314" s="146"/>
      <c r="R314" s="146"/>
      <c r="S314" s="146"/>
      <c r="T314" s="146"/>
      <c r="U314" s="146"/>
      <c r="V314" s="146"/>
      <c r="W314" s="146"/>
      <c r="X314" s="146"/>
      <c r="Y314" s="146"/>
      <c r="Z314" s="146"/>
      <c r="AA314" s="146"/>
    </row>
    <row r="315" ht="22.5" customHeight="1">
      <c r="A315" s="145"/>
      <c r="B315" s="154"/>
      <c r="C315" s="154"/>
      <c r="D315" s="138"/>
      <c r="E315" s="138"/>
      <c r="F315" s="138"/>
      <c r="G315" s="138"/>
      <c r="H315" s="119"/>
      <c r="I315" s="146"/>
      <c r="J315" s="146"/>
      <c r="K315" s="146"/>
      <c r="L315" s="146"/>
      <c r="M315" s="146"/>
      <c r="N315" s="146"/>
      <c r="O315" s="146"/>
      <c r="P315" s="146"/>
      <c r="Q315" s="146"/>
      <c r="R315" s="146"/>
      <c r="S315" s="146"/>
      <c r="T315" s="146"/>
      <c r="U315" s="146"/>
      <c r="V315" s="146"/>
      <c r="W315" s="146"/>
      <c r="X315" s="146"/>
      <c r="Y315" s="146"/>
      <c r="Z315" s="146"/>
      <c r="AA315" s="146"/>
    </row>
    <row r="316" ht="22.5" customHeight="1">
      <c r="A316" s="145"/>
      <c r="B316" s="154"/>
      <c r="C316" s="154"/>
      <c r="D316" s="138"/>
      <c r="E316" s="138"/>
      <c r="F316" s="138"/>
      <c r="G316" s="138"/>
      <c r="H316" s="119"/>
      <c r="I316" s="146"/>
      <c r="J316" s="146"/>
      <c r="K316" s="146"/>
      <c r="L316" s="146"/>
      <c r="M316" s="146"/>
      <c r="N316" s="146"/>
      <c r="O316" s="146"/>
      <c r="P316" s="146"/>
      <c r="Q316" s="146"/>
      <c r="R316" s="146"/>
      <c r="S316" s="146"/>
      <c r="T316" s="146"/>
      <c r="U316" s="146"/>
      <c r="V316" s="146"/>
      <c r="W316" s="146"/>
      <c r="X316" s="146"/>
      <c r="Y316" s="146"/>
      <c r="Z316" s="146"/>
      <c r="AA316" s="146"/>
    </row>
    <row r="317" ht="22.5" customHeight="1">
      <c r="A317" s="145"/>
      <c r="B317" s="154"/>
      <c r="C317" s="154"/>
      <c r="D317" s="138"/>
      <c r="E317" s="138"/>
      <c r="F317" s="138"/>
      <c r="G317" s="138"/>
      <c r="H317" s="119"/>
      <c r="I317" s="146"/>
      <c r="J317" s="146"/>
      <c r="K317" s="146"/>
      <c r="L317" s="146"/>
      <c r="M317" s="146"/>
      <c r="N317" s="146"/>
      <c r="O317" s="146"/>
      <c r="P317" s="146"/>
      <c r="Q317" s="146"/>
      <c r="R317" s="146"/>
      <c r="S317" s="146"/>
      <c r="T317" s="146"/>
      <c r="U317" s="146"/>
      <c r="V317" s="146"/>
      <c r="W317" s="146"/>
      <c r="X317" s="146"/>
      <c r="Y317" s="146"/>
      <c r="Z317" s="146"/>
      <c r="AA317" s="146"/>
    </row>
    <row r="318" ht="22.5" customHeight="1">
      <c r="A318" s="145"/>
      <c r="B318" s="154"/>
      <c r="C318" s="154"/>
      <c r="D318" s="138"/>
      <c r="E318" s="138"/>
      <c r="F318" s="138"/>
      <c r="G318" s="138"/>
      <c r="H318" s="119"/>
      <c r="I318" s="146"/>
      <c r="J318" s="146"/>
      <c r="K318" s="146"/>
      <c r="L318" s="146"/>
      <c r="M318" s="146"/>
      <c r="N318" s="146"/>
      <c r="O318" s="146"/>
      <c r="P318" s="146"/>
      <c r="Q318" s="146"/>
      <c r="R318" s="146"/>
      <c r="S318" s="146"/>
      <c r="T318" s="146"/>
      <c r="U318" s="146"/>
      <c r="V318" s="146"/>
      <c r="W318" s="146"/>
      <c r="X318" s="146"/>
      <c r="Y318" s="146"/>
      <c r="Z318" s="146"/>
      <c r="AA318" s="146"/>
    </row>
    <row r="319" ht="22.5" customHeight="1">
      <c r="A319" s="145"/>
      <c r="B319" s="154"/>
      <c r="C319" s="154"/>
      <c r="D319" s="138"/>
      <c r="E319" s="138"/>
      <c r="F319" s="138"/>
      <c r="G319" s="138"/>
      <c r="H319" s="119"/>
      <c r="I319" s="146"/>
      <c r="J319" s="146"/>
      <c r="K319" s="146"/>
      <c r="L319" s="146"/>
      <c r="M319" s="146"/>
      <c r="N319" s="146"/>
      <c r="O319" s="146"/>
      <c r="P319" s="146"/>
      <c r="Q319" s="146"/>
      <c r="R319" s="146"/>
      <c r="S319" s="146"/>
      <c r="T319" s="146"/>
      <c r="U319" s="146"/>
      <c r="V319" s="146"/>
      <c r="W319" s="146"/>
      <c r="X319" s="146"/>
      <c r="Y319" s="146"/>
      <c r="Z319" s="146"/>
      <c r="AA319" s="146"/>
    </row>
    <row r="320" ht="22.5" customHeight="1">
      <c r="A320" s="145"/>
      <c r="B320" s="154"/>
      <c r="C320" s="154"/>
      <c r="D320" s="138"/>
      <c r="E320" s="138"/>
      <c r="F320" s="138"/>
      <c r="G320" s="138"/>
      <c r="H320" s="119"/>
      <c r="I320" s="146"/>
      <c r="J320" s="146"/>
      <c r="K320" s="146"/>
      <c r="L320" s="146"/>
      <c r="M320" s="146"/>
      <c r="N320" s="146"/>
      <c r="O320" s="146"/>
      <c r="P320" s="146"/>
      <c r="Q320" s="146"/>
      <c r="R320" s="146"/>
      <c r="S320" s="146"/>
      <c r="T320" s="146"/>
      <c r="U320" s="146"/>
      <c r="V320" s="146"/>
      <c r="W320" s="146"/>
      <c r="X320" s="146"/>
      <c r="Y320" s="146"/>
      <c r="Z320" s="146"/>
      <c r="AA320" s="146"/>
    </row>
    <row r="321" ht="22.5" customHeight="1">
      <c r="A321" s="145"/>
      <c r="B321" s="154"/>
      <c r="C321" s="154"/>
      <c r="D321" s="138"/>
      <c r="E321" s="138"/>
      <c r="F321" s="138"/>
      <c r="G321" s="138"/>
      <c r="H321" s="119"/>
      <c r="I321" s="146"/>
      <c r="J321" s="146"/>
      <c r="K321" s="146"/>
      <c r="L321" s="146"/>
      <c r="M321" s="146"/>
      <c r="N321" s="146"/>
      <c r="O321" s="146"/>
      <c r="P321" s="146"/>
      <c r="Q321" s="146"/>
      <c r="R321" s="146"/>
      <c r="S321" s="146"/>
      <c r="T321" s="146"/>
      <c r="U321" s="146"/>
      <c r="V321" s="146"/>
      <c r="W321" s="146"/>
      <c r="X321" s="146"/>
      <c r="Y321" s="146"/>
      <c r="Z321" s="146"/>
      <c r="AA321" s="146"/>
    </row>
    <row r="322" ht="22.5" customHeight="1">
      <c r="A322" s="145"/>
      <c r="B322" s="154"/>
      <c r="C322" s="154"/>
      <c r="D322" s="138"/>
      <c r="E322" s="138"/>
      <c r="F322" s="138"/>
      <c r="G322" s="138"/>
      <c r="H322" s="119"/>
      <c r="I322" s="146"/>
      <c r="J322" s="146"/>
      <c r="K322" s="146"/>
      <c r="L322" s="146"/>
      <c r="M322" s="146"/>
      <c r="N322" s="146"/>
      <c r="O322" s="146"/>
      <c r="P322" s="146"/>
      <c r="Q322" s="146"/>
      <c r="R322" s="146"/>
      <c r="S322" s="146"/>
      <c r="T322" s="146"/>
      <c r="U322" s="146"/>
      <c r="V322" s="146"/>
      <c r="W322" s="146"/>
      <c r="X322" s="146"/>
      <c r="Y322" s="146"/>
      <c r="Z322" s="146"/>
      <c r="AA322" s="146"/>
    </row>
    <row r="323" ht="22.5" customHeight="1">
      <c r="A323" s="145"/>
      <c r="B323" s="154"/>
      <c r="C323" s="154"/>
      <c r="D323" s="138"/>
      <c r="E323" s="138"/>
      <c r="F323" s="138"/>
      <c r="G323" s="138"/>
      <c r="H323" s="119"/>
      <c r="I323" s="146"/>
      <c r="J323" s="146"/>
      <c r="K323" s="146"/>
      <c r="L323" s="146"/>
      <c r="M323" s="146"/>
      <c r="N323" s="146"/>
      <c r="O323" s="146"/>
      <c r="P323" s="146"/>
      <c r="Q323" s="146"/>
      <c r="R323" s="146"/>
      <c r="S323" s="146"/>
      <c r="T323" s="146"/>
      <c r="U323" s="146"/>
      <c r="V323" s="146"/>
      <c r="W323" s="146"/>
      <c r="X323" s="146"/>
      <c r="Y323" s="146"/>
      <c r="Z323" s="146"/>
      <c r="AA323" s="146"/>
    </row>
    <row r="324" ht="22.5" customHeight="1">
      <c r="A324" s="145"/>
      <c r="B324" s="154"/>
      <c r="C324" s="154"/>
      <c r="D324" s="138"/>
      <c r="E324" s="138"/>
      <c r="F324" s="138"/>
      <c r="G324" s="138"/>
      <c r="H324" s="119"/>
      <c r="I324" s="146"/>
      <c r="J324" s="146"/>
      <c r="K324" s="146"/>
      <c r="L324" s="146"/>
      <c r="M324" s="146"/>
      <c r="N324" s="146"/>
      <c r="O324" s="146"/>
      <c r="P324" s="146"/>
      <c r="Q324" s="146"/>
      <c r="R324" s="146"/>
      <c r="S324" s="146"/>
      <c r="T324" s="146"/>
      <c r="U324" s="146"/>
      <c r="V324" s="146"/>
      <c r="W324" s="146"/>
      <c r="X324" s="146"/>
      <c r="Y324" s="146"/>
      <c r="Z324" s="146"/>
      <c r="AA324" s="146"/>
    </row>
    <row r="325" ht="22.5" customHeight="1">
      <c r="A325" s="145"/>
      <c r="B325" s="154"/>
      <c r="C325" s="154"/>
      <c r="D325" s="138"/>
      <c r="E325" s="138"/>
      <c r="F325" s="138"/>
      <c r="G325" s="138"/>
      <c r="H325" s="119"/>
      <c r="I325" s="146"/>
      <c r="J325" s="146"/>
      <c r="K325" s="146"/>
      <c r="L325" s="146"/>
      <c r="M325" s="146"/>
      <c r="N325" s="146"/>
      <c r="O325" s="146"/>
      <c r="P325" s="146"/>
      <c r="Q325" s="146"/>
      <c r="R325" s="146"/>
      <c r="S325" s="146"/>
      <c r="T325" s="146"/>
      <c r="U325" s="146"/>
      <c r="V325" s="146"/>
      <c r="W325" s="146"/>
      <c r="X325" s="146"/>
      <c r="Y325" s="146"/>
      <c r="Z325" s="146"/>
      <c r="AA325" s="146"/>
    </row>
    <row r="326" ht="22.5" customHeight="1">
      <c r="A326" s="145"/>
      <c r="B326" s="154"/>
      <c r="C326" s="154"/>
      <c r="D326" s="138"/>
      <c r="E326" s="138"/>
      <c r="F326" s="138"/>
      <c r="G326" s="138"/>
      <c r="H326" s="119"/>
      <c r="I326" s="146"/>
      <c r="J326" s="146"/>
      <c r="K326" s="146"/>
      <c r="L326" s="146"/>
      <c r="M326" s="146"/>
      <c r="N326" s="146"/>
      <c r="O326" s="146"/>
      <c r="P326" s="146"/>
      <c r="Q326" s="146"/>
      <c r="R326" s="146"/>
      <c r="S326" s="146"/>
      <c r="T326" s="146"/>
      <c r="U326" s="146"/>
      <c r="V326" s="146"/>
      <c r="W326" s="146"/>
      <c r="X326" s="146"/>
      <c r="Y326" s="146"/>
      <c r="Z326" s="146"/>
      <c r="AA326" s="146"/>
    </row>
    <row r="327" ht="22.5" customHeight="1">
      <c r="A327" s="145"/>
      <c r="B327" s="154"/>
      <c r="C327" s="154"/>
      <c r="D327" s="138"/>
      <c r="E327" s="138"/>
      <c r="F327" s="138"/>
      <c r="G327" s="138"/>
      <c r="H327" s="119"/>
      <c r="I327" s="146"/>
      <c r="J327" s="146"/>
      <c r="K327" s="146"/>
      <c r="L327" s="146"/>
      <c r="M327" s="146"/>
      <c r="N327" s="146"/>
      <c r="O327" s="146"/>
      <c r="P327" s="146"/>
      <c r="Q327" s="146"/>
      <c r="R327" s="146"/>
      <c r="S327" s="146"/>
      <c r="T327" s="146"/>
      <c r="U327" s="146"/>
      <c r="V327" s="146"/>
      <c r="W327" s="146"/>
      <c r="X327" s="146"/>
      <c r="Y327" s="146"/>
      <c r="Z327" s="146"/>
      <c r="AA327" s="146"/>
    </row>
    <row r="328" ht="22.5" customHeight="1">
      <c r="A328" s="145"/>
      <c r="B328" s="154"/>
      <c r="C328" s="154"/>
      <c r="D328" s="138"/>
      <c r="E328" s="138"/>
      <c r="F328" s="138"/>
      <c r="G328" s="138"/>
      <c r="H328" s="119"/>
      <c r="I328" s="146"/>
      <c r="J328" s="146"/>
      <c r="K328" s="146"/>
      <c r="L328" s="146"/>
      <c r="M328" s="146"/>
      <c r="N328" s="146"/>
      <c r="O328" s="146"/>
      <c r="P328" s="146"/>
      <c r="Q328" s="146"/>
      <c r="R328" s="146"/>
      <c r="S328" s="146"/>
      <c r="T328" s="146"/>
      <c r="U328" s="146"/>
      <c r="V328" s="146"/>
      <c r="W328" s="146"/>
      <c r="X328" s="146"/>
      <c r="Y328" s="146"/>
      <c r="Z328" s="146"/>
      <c r="AA328" s="146"/>
    </row>
    <row r="329" ht="22.5" customHeight="1">
      <c r="A329" s="145"/>
      <c r="B329" s="154"/>
      <c r="C329" s="154"/>
      <c r="D329" s="138"/>
      <c r="E329" s="138"/>
      <c r="F329" s="138"/>
      <c r="G329" s="138"/>
      <c r="H329" s="119"/>
      <c r="I329" s="146"/>
      <c r="J329" s="146"/>
      <c r="K329" s="146"/>
      <c r="L329" s="146"/>
      <c r="M329" s="146"/>
      <c r="N329" s="146"/>
      <c r="O329" s="146"/>
      <c r="P329" s="146"/>
      <c r="Q329" s="146"/>
      <c r="R329" s="146"/>
      <c r="S329" s="146"/>
      <c r="T329" s="146"/>
      <c r="U329" s="146"/>
      <c r="V329" s="146"/>
      <c r="W329" s="146"/>
      <c r="X329" s="146"/>
      <c r="Y329" s="146"/>
      <c r="Z329" s="146"/>
      <c r="AA329" s="146"/>
    </row>
    <row r="330" ht="22.5" customHeight="1">
      <c r="A330" s="145"/>
      <c r="B330" s="154"/>
      <c r="C330" s="154"/>
      <c r="D330" s="138"/>
      <c r="E330" s="138"/>
      <c r="F330" s="138"/>
      <c r="G330" s="138"/>
      <c r="H330" s="119"/>
      <c r="I330" s="146"/>
      <c r="J330" s="146"/>
      <c r="K330" s="146"/>
      <c r="L330" s="146"/>
      <c r="M330" s="146"/>
      <c r="N330" s="146"/>
      <c r="O330" s="146"/>
      <c r="P330" s="146"/>
      <c r="Q330" s="146"/>
      <c r="R330" s="146"/>
      <c r="S330" s="146"/>
      <c r="T330" s="146"/>
      <c r="U330" s="146"/>
      <c r="V330" s="146"/>
      <c r="W330" s="146"/>
      <c r="X330" s="146"/>
      <c r="Y330" s="146"/>
      <c r="Z330" s="146"/>
      <c r="AA330" s="146"/>
    </row>
    <row r="331" ht="22.5" customHeight="1">
      <c r="A331" s="145"/>
      <c r="B331" s="154"/>
      <c r="C331" s="154"/>
      <c r="D331" s="138"/>
      <c r="E331" s="138"/>
      <c r="F331" s="138"/>
      <c r="G331" s="138"/>
      <c r="H331" s="119"/>
      <c r="I331" s="146"/>
      <c r="J331" s="146"/>
      <c r="K331" s="146"/>
      <c r="L331" s="146"/>
      <c r="M331" s="146"/>
      <c r="N331" s="146"/>
      <c r="O331" s="146"/>
      <c r="P331" s="146"/>
      <c r="Q331" s="146"/>
      <c r="R331" s="146"/>
      <c r="S331" s="146"/>
      <c r="T331" s="146"/>
      <c r="U331" s="146"/>
      <c r="V331" s="146"/>
      <c r="W331" s="146"/>
      <c r="X331" s="146"/>
      <c r="Y331" s="146"/>
      <c r="Z331" s="146"/>
      <c r="AA331" s="146"/>
    </row>
    <row r="332" ht="22.5" customHeight="1">
      <c r="A332" s="145"/>
      <c r="B332" s="154"/>
      <c r="C332" s="154"/>
      <c r="D332" s="138"/>
      <c r="E332" s="138"/>
      <c r="F332" s="138"/>
      <c r="G332" s="138"/>
      <c r="H332" s="119"/>
      <c r="I332" s="146"/>
      <c r="J332" s="146"/>
      <c r="K332" s="146"/>
      <c r="L332" s="146"/>
      <c r="M332" s="146"/>
      <c r="N332" s="146"/>
      <c r="O332" s="146"/>
      <c r="P332" s="146"/>
      <c r="Q332" s="146"/>
      <c r="R332" s="146"/>
      <c r="S332" s="146"/>
      <c r="T332" s="146"/>
      <c r="U332" s="146"/>
      <c r="V332" s="146"/>
      <c r="W332" s="146"/>
      <c r="X332" s="146"/>
      <c r="Y332" s="146"/>
      <c r="Z332" s="146"/>
      <c r="AA332" s="146"/>
    </row>
    <row r="333" ht="22.5" customHeight="1">
      <c r="A333" s="145"/>
      <c r="B333" s="154"/>
      <c r="C333" s="154"/>
      <c r="D333" s="138"/>
      <c r="E333" s="138"/>
      <c r="F333" s="138"/>
      <c r="G333" s="138"/>
      <c r="H333" s="119"/>
      <c r="I333" s="146"/>
      <c r="J333" s="146"/>
      <c r="K333" s="146"/>
      <c r="L333" s="146"/>
      <c r="M333" s="146"/>
      <c r="N333" s="146"/>
      <c r="O333" s="146"/>
      <c r="P333" s="146"/>
      <c r="Q333" s="146"/>
      <c r="R333" s="146"/>
      <c r="S333" s="146"/>
      <c r="T333" s="146"/>
      <c r="U333" s="146"/>
      <c r="V333" s="146"/>
      <c r="W333" s="146"/>
      <c r="X333" s="146"/>
      <c r="Y333" s="146"/>
      <c r="Z333" s="146"/>
      <c r="AA333" s="146"/>
    </row>
    <row r="334" ht="22.5" customHeight="1">
      <c r="A334" s="145"/>
      <c r="B334" s="154"/>
      <c r="C334" s="154"/>
      <c r="D334" s="138"/>
      <c r="E334" s="138"/>
      <c r="F334" s="138"/>
      <c r="G334" s="138"/>
      <c r="H334" s="119"/>
      <c r="I334" s="146"/>
      <c r="J334" s="146"/>
      <c r="K334" s="146"/>
      <c r="L334" s="146"/>
      <c r="M334" s="146"/>
      <c r="N334" s="146"/>
      <c r="O334" s="146"/>
      <c r="P334" s="146"/>
      <c r="Q334" s="146"/>
      <c r="R334" s="146"/>
      <c r="S334" s="146"/>
      <c r="T334" s="146"/>
      <c r="U334" s="146"/>
      <c r="V334" s="146"/>
      <c r="W334" s="146"/>
      <c r="X334" s="146"/>
      <c r="Y334" s="146"/>
      <c r="Z334" s="146"/>
      <c r="AA334" s="146"/>
    </row>
    <row r="335" ht="22.5" customHeight="1">
      <c r="A335" s="145"/>
      <c r="B335" s="154"/>
      <c r="C335" s="154"/>
      <c r="D335" s="138"/>
      <c r="E335" s="138"/>
      <c r="F335" s="138"/>
      <c r="G335" s="138"/>
      <c r="H335" s="119"/>
      <c r="I335" s="146"/>
      <c r="J335" s="146"/>
      <c r="K335" s="146"/>
      <c r="L335" s="146"/>
      <c r="M335" s="146"/>
      <c r="N335" s="146"/>
      <c r="O335" s="146"/>
      <c r="P335" s="146"/>
      <c r="Q335" s="146"/>
      <c r="R335" s="146"/>
      <c r="S335" s="146"/>
      <c r="T335" s="146"/>
      <c r="U335" s="146"/>
      <c r="V335" s="146"/>
      <c r="W335" s="146"/>
      <c r="X335" s="146"/>
      <c r="Y335" s="146"/>
      <c r="Z335" s="146"/>
      <c r="AA335" s="146"/>
    </row>
    <row r="336" ht="22.5" customHeight="1">
      <c r="A336" s="145"/>
      <c r="B336" s="154"/>
      <c r="C336" s="154"/>
      <c r="D336" s="138"/>
      <c r="E336" s="138"/>
      <c r="F336" s="138"/>
      <c r="G336" s="138"/>
      <c r="H336" s="119"/>
      <c r="I336" s="146"/>
      <c r="J336" s="146"/>
      <c r="K336" s="146"/>
      <c r="L336" s="146"/>
      <c r="M336" s="146"/>
      <c r="N336" s="146"/>
      <c r="O336" s="146"/>
      <c r="P336" s="146"/>
      <c r="Q336" s="146"/>
      <c r="R336" s="146"/>
      <c r="S336" s="146"/>
      <c r="T336" s="146"/>
      <c r="U336" s="146"/>
      <c r="V336" s="146"/>
      <c r="W336" s="146"/>
      <c r="X336" s="146"/>
      <c r="Y336" s="146"/>
      <c r="Z336" s="146"/>
      <c r="AA336" s="146"/>
    </row>
    <row r="337" ht="22.5" customHeight="1">
      <c r="A337" s="145"/>
      <c r="B337" s="154"/>
      <c r="C337" s="154"/>
      <c r="D337" s="138"/>
      <c r="E337" s="138"/>
      <c r="F337" s="138"/>
      <c r="G337" s="138"/>
      <c r="H337" s="119"/>
      <c r="I337" s="146"/>
      <c r="J337" s="146"/>
      <c r="K337" s="146"/>
      <c r="L337" s="146"/>
      <c r="M337" s="146"/>
      <c r="N337" s="146"/>
      <c r="O337" s="146"/>
      <c r="P337" s="146"/>
      <c r="Q337" s="146"/>
      <c r="R337" s="146"/>
      <c r="S337" s="146"/>
      <c r="T337" s="146"/>
      <c r="U337" s="146"/>
      <c r="V337" s="146"/>
      <c r="W337" s="146"/>
      <c r="X337" s="146"/>
      <c r="Y337" s="146"/>
      <c r="Z337" s="146"/>
      <c r="AA337" s="146"/>
    </row>
    <row r="338" ht="22.5" customHeight="1">
      <c r="A338" s="145"/>
      <c r="B338" s="154"/>
      <c r="C338" s="154"/>
      <c r="D338" s="138"/>
      <c r="E338" s="138"/>
      <c r="F338" s="138"/>
      <c r="G338" s="138"/>
      <c r="H338" s="119"/>
      <c r="I338" s="146"/>
      <c r="J338" s="146"/>
      <c r="K338" s="146"/>
      <c r="L338" s="146"/>
      <c r="M338" s="146"/>
      <c r="N338" s="146"/>
      <c r="O338" s="146"/>
      <c r="P338" s="146"/>
      <c r="Q338" s="146"/>
      <c r="R338" s="146"/>
      <c r="S338" s="146"/>
      <c r="T338" s="146"/>
      <c r="U338" s="146"/>
      <c r="V338" s="146"/>
      <c r="W338" s="146"/>
      <c r="X338" s="146"/>
      <c r="Y338" s="146"/>
      <c r="Z338" s="146"/>
      <c r="AA338" s="146"/>
    </row>
    <row r="339" ht="22.5" customHeight="1">
      <c r="A339" s="145"/>
      <c r="B339" s="154"/>
      <c r="C339" s="154"/>
      <c r="D339" s="138"/>
      <c r="E339" s="138"/>
      <c r="F339" s="138"/>
      <c r="G339" s="138"/>
      <c r="H339" s="119"/>
      <c r="I339" s="146"/>
      <c r="J339" s="146"/>
      <c r="K339" s="146"/>
      <c r="L339" s="146"/>
      <c r="M339" s="146"/>
      <c r="N339" s="146"/>
      <c r="O339" s="146"/>
      <c r="P339" s="146"/>
      <c r="Q339" s="146"/>
      <c r="R339" s="146"/>
      <c r="S339" s="146"/>
      <c r="T339" s="146"/>
      <c r="U339" s="146"/>
      <c r="V339" s="146"/>
      <c r="W339" s="146"/>
      <c r="X339" s="146"/>
      <c r="Y339" s="146"/>
      <c r="Z339" s="146"/>
      <c r="AA339" s="146"/>
    </row>
    <row r="340" ht="22.5" customHeight="1">
      <c r="A340" s="145"/>
      <c r="B340" s="154"/>
      <c r="C340" s="154"/>
      <c r="D340" s="138"/>
      <c r="E340" s="138"/>
      <c r="F340" s="138"/>
      <c r="G340" s="138"/>
      <c r="H340" s="119"/>
      <c r="I340" s="146"/>
      <c r="J340" s="146"/>
      <c r="K340" s="146"/>
      <c r="L340" s="146"/>
      <c r="M340" s="146"/>
      <c r="N340" s="146"/>
      <c r="O340" s="146"/>
      <c r="P340" s="146"/>
      <c r="Q340" s="146"/>
      <c r="R340" s="146"/>
      <c r="S340" s="146"/>
      <c r="T340" s="146"/>
      <c r="U340" s="146"/>
      <c r="V340" s="146"/>
      <c r="W340" s="146"/>
      <c r="X340" s="146"/>
      <c r="Y340" s="146"/>
      <c r="Z340" s="146"/>
      <c r="AA340" s="146"/>
    </row>
    <row r="341" ht="22.5" customHeight="1">
      <c r="A341" s="145"/>
      <c r="B341" s="154"/>
      <c r="C341" s="154"/>
      <c r="D341" s="138"/>
      <c r="E341" s="138"/>
      <c r="F341" s="138"/>
      <c r="G341" s="138"/>
      <c r="H341" s="119"/>
      <c r="I341" s="146"/>
      <c r="J341" s="146"/>
      <c r="K341" s="146"/>
      <c r="L341" s="146"/>
      <c r="M341" s="146"/>
      <c r="N341" s="146"/>
      <c r="O341" s="146"/>
      <c r="P341" s="146"/>
      <c r="Q341" s="146"/>
      <c r="R341" s="146"/>
      <c r="S341" s="146"/>
      <c r="T341" s="146"/>
      <c r="U341" s="146"/>
      <c r="V341" s="146"/>
      <c r="W341" s="146"/>
      <c r="X341" s="146"/>
      <c r="Y341" s="146"/>
      <c r="Z341" s="146"/>
      <c r="AA341" s="146"/>
    </row>
    <row r="342" ht="22.5" customHeight="1">
      <c r="A342" s="145"/>
      <c r="B342" s="154"/>
      <c r="C342" s="154"/>
      <c r="D342" s="138"/>
      <c r="E342" s="138"/>
      <c r="F342" s="138"/>
      <c r="G342" s="138"/>
      <c r="H342" s="119"/>
      <c r="I342" s="146"/>
      <c r="J342" s="146"/>
      <c r="K342" s="146"/>
      <c r="L342" s="146"/>
      <c r="M342" s="146"/>
      <c r="N342" s="146"/>
      <c r="O342" s="146"/>
      <c r="P342" s="146"/>
      <c r="Q342" s="146"/>
      <c r="R342" s="146"/>
      <c r="S342" s="146"/>
      <c r="T342" s="146"/>
      <c r="U342" s="146"/>
      <c r="V342" s="146"/>
      <c r="W342" s="146"/>
      <c r="X342" s="146"/>
      <c r="Y342" s="146"/>
      <c r="Z342" s="146"/>
      <c r="AA342" s="146"/>
    </row>
    <row r="343" ht="22.5" customHeight="1">
      <c r="A343" s="145"/>
      <c r="B343" s="154"/>
      <c r="C343" s="154"/>
      <c r="D343" s="138"/>
      <c r="E343" s="138"/>
      <c r="F343" s="138"/>
      <c r="G343" s="138"/>
      <c r="H343" s="119"/>
      <c r="I343" s="146"/>
      <c r="J343" s="146"/>
      <c r="K343" s="146"/>
      <c r="L343" s="146"/>
      <c r="M343" s="146"/>
      <c r="N343" s="146"/>
      <c r="O343" s="146"/>
      <c r="P343" s="146"/>
      <c r="Q343" s="146"/>
      <c r="R343" s="146"/>
      <c r="S343" s="146"/>
      <c r="T343" s="146"/>
      <c r="U343" s="146"/>
      <c r="V343" s="146"/>
      <c r="W343" s="146"/>
      <c r="X343" s="146"/>
      <c r="Y343" s="146"/>
      <c r="Z343" s="146"/>
      <c r="AA343" s="146"/>
    </row>
    <row r="344" ht="22.5" customHeight="1">
      <c r="A344" s="145"/>
      <c r="B344" s="154"/>
      <c r="C344" s="154"/>
      <c r="D344" s="138"/>
      <c r="E344" s="138"/>
      <c r="F344" s="138"/>
      <c r="G344" s="138"/>
      <c r="H344" s="119"/>
      <c r="I344" s="146"/>
      <c r="J344" s="146"/>
      <c r="K344" s="146"/>
      <c r="L344" s="146"/>
      <c r="M344" s="146"/>
      <c r="N344" s="146"/>
      <c r="O344" s="146"/>
      <c r="P344" s="146"/>
      <c r="Q344" s="146"/>
      <c r="R344" s="146"/>
      <c r="S344" s="146"/>
      <c r="T344" s="146"/>
      <c r="U344" s="146"/>
      <c r="V344" s="146"/>
      <c r="W344" s="146"/>
      <c r="X344" s="146"/>
      <c r="Y344" s="146"/>
      <c r="Z344" s="146"/>
      <c r="AA344" s="146"/>
    </row>
    <row r="345" ht="22.5" customHeight="1">
      <c r="A345" s="145"/>
      <c r="B345" s="154"/>
      <c r="C345" s="154"/>
      <c r="D345" s="138"/>
      <c r="E345" s="138"/>
      <c r="F345" s="138"/>
      <c r="G345" s="138"/>
      <c r="H345" s="119"/>
      <c r="I345" s="146"/>
      <c r="J345" s="146"/>
      <c r="K345" s="146"/>
      <c r="L345" s="146"/>
      <c r="M345" s="146"/>
      <c r="N345" s="146"/>
      <c r="O345" s="146"/>
      <c r="P345" s="146"/>
      <c r="Q345" s="146"/>
      <c r="R345" s="146"/>
      <c r="S345" s="146"/>
      <c r="T345" s="146"/>
      <c r="U345" s="146"/>
      <c r="V345" s="146"/>
      <c r="W345" s="146"/>
      <c r="X345" s="146"/>
      <c r="Y345" s="146"/>
      <c r="Z345" s="146"/>
      <c r="AA345" s="146"/>
    </row>
    <row r="346" ht="22.5" customHeight="1">
      <c r="A346" s="145"/>
      <c r="B346" s="154"/>
      <c r="C346" s="154"/>
      <c r="D346" s="138"/>
      <c r="E346" s="138"/>
      <c r="F346" s="138"/>
      <c r="G346" s="138"/>
      <c r="H346" s="119"/>
      <c r="I346" s="146"/>
      <c r="J346" s="146"/>
      <c r="K346" s="146"/>
      <c r="L346" s="146"/>
      <c r="M346" s="146"/>
      <c r="N346" s="146"/>
      <c r="O346" s="146"/>
      <c r="P346" s="146"/>
      <c r="Q346" s="146"/>
      <c r="R346" s="146"/>
      <c r="S346" s="146"/>
      <c r="T346" s="146"/>
      <c r="U346" s="146"/>
      <c r="V346" s="146"/>
      <c r="W346" s="146"/>
      <c r="X346" s="146"/>
      <c r="Y346" s="146"/>
      <c r="Z346" s="146"/>
      <c r="AA346" s="146"/>
    </row>
    <row r="347" ht="22.5" customHeight="1">
      <c r="A347" s="145"/>
      <c r="B347" s="154"/>
      <c r="C347" s="154"/>
      <c r="D347" s="138"/>
      <c r="E347" s="138"/>
      <c r="F347" s="138"/>
      <c r="G347" s="138"/>
      <c r="H347" s="119"/>
      <c r="I347" s="146"/>
      <c r="J347" s="146"/>
      <c r="K347" s="146"/>
      <c r="L347" s="146"/>
      <c r="M347" s="146"/>
      <c r="N347" s="146"/>
      <c r="O347" s="146"/>
      <c r="P347" s="146"/>
      <c r="Q347" s="146"/>
      <c r="R347" s="146"/>
      <c r="S347" s="146"/>
      <c r="T347" s="146"/>
      <c r="U347" s="146"/>
      <c r="V347" s="146"/>
      <c r="W347" s="146"/>
      <c r="X347" s="146"/>
      <c r="Y347" s="146"/>
      <c r="Z347" s="146"/>
      <c r="AA347" s="146"/>
    </row>
    <row r="348" ht="22.5" customHeight="1">
      <c r="A348" s="145"/>
      <c r="B348" s="154"/>
      <c r="C348" s="154"/>
      <c r="D348" s="138"/>
      <c r="E348" s="138"/>
      <c r="F348" s="138"/>
      <c r="G348" s="138"/>
      <c r="H348" s="119"/>
      <c r="I348" s="146"/>
      <c r="J348" s="146"/>
      <c r="K348" s="146"/>
      <c r="L348" s="146"/>
      <c r="M348" s="146"/>
      <c r="N348" s="146"/>
      <c r="O348" s="146"/>
      <c r="P348" s="146"/>
      <c r="Q348" s="146"/>
      <c r="R348" s="146"/>
      <c r="S348" s="146"/>
      <c r="T348" s="146"/>
      <c r="U348" s="146"/>
      <c r="V348" s="146"/>
      <c r="W348" s="146"/>
      <c r="X348" s="146"/>
      <c r="Y348" s="146"/>
      <c r="Z348" s="146"/>
      <c r="AA348" s="146"/>
    </row>
    <row r="349" ht="22.5" customHeight="1">
      <c r="A349" s="145"/>
      <c r="B349" s="154"/>
      <c r="C349" s="154"/>
      <c r="D349" s="138"/>
      <c r="E349" s="138"/>
      <c r="F349" s="138"/>
      <c r="G349" s="138"/>
      <c r="H349" s="119"/>
      <c r="I349" s="146"/>
      <c r="J349" s="146"/>
      <c r="K349" s="146"/>
      <c r="L349" s="146"/>
      <c r="M349" s="146"/>
      <c r="N349" s="146"/>
      <c r="O349" s="146"/>
      <c r="P349" s="146"/>
      <c r="Q349" s="146"/>
      <c r="R349" s="146"/>
      <c r="S349" s="146"/>
      <c r="T349" s="146"/>
      <c r="U349" s="146"/>
      <c r="V349" s="146"/>
      <c r="W349" s="146"/>
      <c r="X349" s="146"/>
      <c r="Y349" s="146"/>
      <c r="Z349" s="146"/>
      <c r="AA349" s="146"/>
    </row>
    <row r="350" ht="22.5" customHeight="1">
      <c r="A350" s="145"/>
      <c r="B350" s="154"/>
      <c r="C350" s="154"/>
      <c r="D350" s="138"/>
      <c r="E350" s="138"/>
      <c r="F350" s="138"/>
      <c r="G350" s="138"/>
      <c r="H350" s="119"/>
      <c r="I350" s="146"/>
      <c r="J350" s="146"/>
      <c r="K350" s="146"/>
      <c r="L350" s="146"/>
      <c r="M350" s="146"/>
      <c r="N350" s="146"/>
      <c r="O350" s="146"/>
      <c r="P350" s="146"/>
      <c r="Q350" s="146"/>
      <c r="R350" s="146"/>
      <c r="S350" s="146"/>
      <c r="T350" s="146"/>
      <c r="U350" s="146"/>
      <c r="V350" s="146"/>
      <c r="W350" s="146"/>
      <c r="X350" s="146"/>
      <c r="Y350" s="146"/>
      <c r="Z350" s="146"/>
      <c r="AA350" s="146"/>
    </row>
    <row r="351" ht="22.5" customHeight="1">
      <c r="A351" s="145"/>
      <c r="B351" s="154"/>
      <c r="C351" s="154"/>
      <c r="D351" s="138"/>
      <c r="E351" s="138"/>
      <c r="F351" s="138"/>
      <c r="G351" s="138"/>
      <c r="H351" s="119"/>
      <c r="I351" s="146"/>
      <c r="J351" s="146"/>
      <c r="K351" s="146"/>
      <c r="L351" s="146"/>
      <c r="M351" s="146"/>
      <c r="N351" s="146"/>
      <c r="O351" s="146"/>
      <c r="P351" s="146"/>
      <c r="Q351" s="146"/>
      <c r="R351" s="146"/>
      <c r="S351" s="146"/>
      <c r="T351" s="146"/>
      <c r="U351" s="146"/>
      <c r="V351" s="146"/>
      <c r="W351" s="146"/>
      <c r="X351" s="146"/>
      <c r="Y351" s="146"/>
      <c r="Z351" s="146"/>
      <c r="AA351" s="146"/>
    </row>
    <row r="352" ht="22.5" customHeight="1">
      <c r="A352" s="145"/>
      <c r="B352" s="154"/>
      <c r="C352" s="154"/>
      <c r="D352" s="138"/>
      <c r="E352" s="138"/>
      <c r="F352" s="138"/>
      <c r="G352" s="138"/>
      <c r="H352" s="119"/>
      <c r="I352" s="146"/>
      <c r="J352" s="146"/>
      <c r="K352" s="146"/>
      <c r="L352" s="146"/>
      <c r="M352" s="146"/>
      <c r="N352" s="146"/>
      <c r="O352" s="146"/>
      <c r="P352" s="146"/>
      <c r="Q352" s="146"/>
      <c r="R352" s="146"/>
      <c r="S352" s="146"/>
      <c r="T352" s="146"/>
      <c r="U352" s="146"/>
      <c r="V352" s="146"/>
      <c r="W352" s="146"/>
      <c r="X352" s="146"/>
      <c r="Y352" s="146"/>
      <c r="Z352" s="146"/>
      <c r="AA352" s="146"/>
    </row>
    <row r="353" ht="22.5" customHeight="1">
      <c r="A353" s="145"/>
      <c r="B353" s="154"/>
      <c r="C353" s="154"/>
      <c r="D353" s="138"/>
      <c r="E353" s="138"/>
      <c r="F353" s="138"/>
      <c r="G353" s="138"/>
      <c r="H353" s="119"/>
      <c r="I353" s="146"/>
      <c r="J353" s="146"/>
      <c r="K353" s="146"/>
      <c r="L353" s="146"/>
      <c r="M353" s="146"/>
      <c r="N353" s="146"/>
      <c r="O353" s="146"/>
      <c r="P353" s="146"/>
      <c r="Q353" s="146"/>
      <c r="R353" s="146"/>
      <c r="S353" s="146"/>
      <c r="T353" s="146"/>
      <c r="U353" s="146"/>
      <c r="V353" s="146"/>
      <c r="W353" s="146"/>
      <c r="X353" s="146"/>
      <c r="Y353" s="146"/>
      <c r="Z353" s="146"/>
      <c r="AA353" s="146"/>
    </row>
    <row r="354" ht="22.5" customHeight="1">
      <c r="A354" s="145"/>
      <c r="B354" s="154"/>
      <c r="C354" s="154"/>
      <c r="D354" s="138"/>
      <c r="E354" s="138"/>
      <c r="F354" s="138"/>
      <c r="G354" s="138"/>
      <c r="H354" s="119"/>
      <c r="I354" s="146"/>
      <c r="J354" s="146"/>
      <c r="K354" s="146"/>
      <c r="L354" s="146"/>
      <c r="M354" s="146"/>
      <c r="N354" s="146"/>
      <c r="O354" s="146"/>
      <c r="P354" s="146"/>
      <c r="Q354" s="146"/>
      <c r="R354" s="146"/>
      <c r="S354" s="146"/>
      <c r="T354" s="146"/>
      <c r="U354" s="146"/>
      <c r="V354" s="146"/>
      <c r="W354" s="146"/>
      <c r="X354" s="146"/>
      <c r="Y354" s="146"/>
      <c r="Z354" s="146"/>
      <c r="AA354" s="146"/>
    </row>
    <row r="355" ht="22.5" customHeight="1">
      <c r="A355" s="145"/>
      <c r="B355" s="154"/>
      <c r="C355" s="154"/>
      <c r="D355" s="138"/>
      <c r="E355" s="138"/>
      <c r="F355" s="138"/>
      <c r="G355" s="138"/>
      <c r="H355" s="119"/>
      <c r="I355" s="146"/>
      <c r="J355" s="146"/>
      <c r="K355" s="146"/>
      <c r="L355" s="146"/>
      <c r="M355" s="146"/>
      <c r="N355" s="146"/>
      <c r="O355" s="146"/>
      <c r="P355" s="146"/>
      <c r="Q355" s="146"/>
      <c r="R355" s="146"/>
      <c r="S355" s="146"/>
      <c r="T355" s="146"/>
      <c r="U355" s="146"/>
      <c r="V355" s="146"/>
      <c r="W355" s="146"/>
      <c r="X355" s="146"/>
      <c r="Y355" s="146"/>
      <c r="Z355" s="146"/>
      <c r="AA355" s="146"/>
    </row>
    <row r="356" ht="22.5" customHeight="1">
      <c r="A356" s="145"/>
      <c r="B356" s="154"/>
      <c r="C356" s="154"/>
      <c r="D356" s="138"/>
      <c r="E356" s="138"/>
      <c r="F356" s="138"/>
      <c r="G356" s="138"/>
      <c r="H356" s="119"/>
      <c r="I356" s="146"/>
      <c r="J356" s="146"/>
      <c r="K356" s="146"/>
      <c r="L356" s="146"/>
      <c r="M356" s="146"/>
      <c r="N356" s="146"/>
      <c r="O356" s="146"/>
      <c r="P356" s="146"/>
      <c r="Q356" s="146"/>
      <c r="R356" s="146"/>
      <c r="S356" s="146"/>
      <c r="T356" s="146"/>
      <c r="U356" s="146"/>
      <c r="V356" s="146"/>
      <c r="W356" s="146"/>
      <c r="X356" s="146"/>
      <c r="Y356" s="146"/>
      <c r="Z356" s="146"/>
      <c r="AA356" s="146"/>
    </row>
    <row r="357" ht="22.5" customHeight="1">
      <c r="A357" s="145"/>
      <c r="B357" s="154"/>
      <c r="C357" s="154"/>
      <c r="D357" s="138"/>
      <c r="E357" s="138"/>
      <c r="F357" s="138"/>
      <c r="G357" s="138"/>
      <c r="H357" s="119"/>
      <c r="I357" s="146"/>
      <c r="J357" s="146"/>
      <c r="K357" s="146"/>
      <c r="L357" s="146"/>
      <c r="M357" s="146"/>
      <c r="N357" s="146"/>
      <c r="O357" s="146"/>
      <c r="P357" s="146"/>
      <c r="Q357" s="146"/>
      <c r="R357" s="146"/>
      <c r="S357" s="146"/>
      <c r="T357" s="146"/>
      <c r="U357" s="146"/>
      <c r="V357" s="146"/>
      <c r="W357" s="146"/>
      <c r="X357" s="146"/>
      <c r="Y357" s="146"/>
      <c r="Z357" s="146"/>
      <c r="AA357" s="146"/>
    </row>
    <row r="358" ht="22.5" customHeight="1">
      <c r="A358" s="145"/>
      <c r="B358" s="154"/>
      <c r="C358" s="154"/>
      <c r="D358" s="138"/>
      <c r="E358" s="138"/>
      <c r="F358" s="138"/>
      <c r="G358" s="138"/>
      <c r="H358" s="119"/>
      <c r="I358" s="146"/>
      <c r="J358" s="146"/>
      <c r="K358" s="146"/>
      <c r="L358" s="146"/>
      <c r="M358" s="146"/>
      <c r="N358" s="146"/>
      <c r="O358" s="146"/>
      <c r="P358" s="146"/>
      <c r="Q358" s="146"/>
      <c r="R358" s="146"/>
      <c r="S358" s="146"/>
      <c r="T358" s="146"/>
      <c r="U358" s="146"/>
      <c r="V358" s="146"/>
      <c r="W358" s="146"/>
      <c r="X358" s="146"/>
      <c r="Y358" s="146"/>
      <c r="Z358" s="146"/>
      <c r="AA358" s="146"/>
    </row>
    <row r="359" ht="22.5" customHeight="1">
      <c r="A359" s="145"/>
      <c r="B359" s="154"/>
      <c r="C359" s="154"/>
      <c r="D359" s="138"/>
      <c r="E359" s="138"/>
      <c r="F359" s="138"/>
      <c r="G359" s="138"/>
      <c r="H359" s="119"/>
      <c r="I359" s="146"/>
      <c r="J359" s="146"/>
      <c r="K359" s="146"/>
      <c r="L359" s="146"/>
      <c r="M359" s="146"/>
      <c r="N359" s="146"/>
      <c r="O359" s="146"/>
      <c r="P359" s="146"/>
      <c r="Q359" s="146"/>
      <c r="R359" s="146"/>
      <c r="S359" s="146"/>
      <c r="T359" s="146"/>
      <c r="U359" s="146"/>
      <c r="V359" s="146"/>
      <c r="W359" s="146"/>
      <c r="X359" s="146"/>
      <c r="Y359" s="146"/>
      <c r="Z359" s="146"/>
      <c r="AA359" s="146"/>
    </row>
    <row r="360" ht="22.5" customHeight="1">
      <c r="A360" s="145"/>
      <c r="B360" s="154"/>
      <c r="C360" s="154"/>
      <c r="D360" s="138"/>
      <c r="E360" s="138"/>
      <c r="F360" s="138"/>
      <c r="G360" s="138"/>
      <c r="H360" s="119"/>
      <c r="I360" s="146"/>
      <c r="J360" s="146"/>
      <c r="K360" s="146"/>
      <c r="L360" s="146"/>
      <c r="M360" s="146"/>
      <c r="N360" s="146"/>
      <c r="O360" s="146"/>
      <c r="P360" s="146"/>
      <c r="Q360" s="146"/>
      <c r="R360" s="146"/>
      <c r="S360" s="146"/>
      <c r="T360" s="146"/>
      <c r="U360" s="146"/>
      <c r="V360" s="146"/>
      <c r="W360" s="146"/>
      <c r="X360" s="146"/>
      <c r="Y360" s="146"/>
      <c r="Z360" s="146"/>
      <c r="AA360" s="146"/>
    </row>
    <row r="361" ht="22.5" customHeight="1">
      <c r="A361" s="145"/>
      <c r="B361" s="154"/>
      <c r="C361" s="154"/>
      <c r="D361" s="138"/>
      <c r="E361" s="138"/>
      <c r="F361" s="138"/>
      <c r="G361" s="138"/>
      <c r="H361" s="119"/>
      <c r="I361" s="146"/>
      <c r="J361" s="146"/>
      <c r="K361" s="146"/>
      <c r="L361" s="146"/>
      <c r="M361" s="146"/>
      <c r="N361" s="146"/>
      <c r="O361" s="146"/>
      <c r="P361" s="146"/>
      <c r="Q361" s="146"/>
      <c r="R361" s="146"/>
      <c r="S361" s="146"/>
      <c r="T361" s="146"/>
      <c r="U361" s="146"/>
      <c r="V361" s="146"/>
      <c r="W361" s="146"/>
      <c r="X361" s="146"/>
      <c r="Y361" s="146"/>
      <c r="Z361" s="146"/>
      <c r="AA361" s="146"/>
    </row>
    <row r="362" ht="22.5" customHeight="1">
      <c r="A362" s="145"/>
      <c r="B362" s="154"/>
      <c r="C362" s="154"/>
      <c r="D362" s="138"/>
      <c r="E362" s="138"/>
      <c r="F362" s="138"/>
      <c r="G362" s="138"/>
      <c r="H362" s="119"/>
      <c r="I362" s="146"/>
      <c r="J362" s="146"/>
      <c r="K362" s="146"/>
      <c r="L362" s="146"/>
      <c r="M362" s="146"/>
      <c r="N362" s="146"/>
      <c r="O362" s="146"/>
      <c r="P362" s="146"/>
      <c r="Q362" s="146"/>
      <c r="R362" s="146"/>
      <c r="S362" s="146"/>
      <c r="T362" s="146"/>
      <c r="U362" s="146"/>
      <c r="V362" s="146"/>
      <c r="W362" s="146"/>
      <c r="X362" s="146"/>
      <c r="Y362" s="146"/>
      <c r="Z362" s="146"/>
      <c r="AA362" s="146"/>
    </row>
    <row r="363" ht="22.5" customHeight="1">
      <c r="A363" s="145"/>
      <c r="B363" s="154"/>
      <c r="C363" s="154"/>
      <c r="D363" s="138"/>
      <c r="E363" s="138"/>
      <c r="F363" s="138"/>
      <c r="G363" s="138"/>
      <c r="H363" s="119"/>
      <c r="I363" s="146"/>
      <c r="J363" s="146"/>
      <c r="K363" s="146"/>
      <c r="L363" s="146"/>
      <c r="M363" s="146"/>
      <c r="N363" s="146"/>
      <c r="O363" s="146"/>
      <c r="P363" s="146"/>
      <c r="Q363" s="146"/>
      <c r="R363" s="146"/>
      <c r="S363" s="146"/>
      <c r="T363" s="146"/>
      <c r="U363" s="146"/>
      <c r="V363" s="146"/>
      <c r="W363" s="146"/>
      <c r="X363" s="146"/>
      <c r="Y363" s="146"/>
      <c r="Z363" s="146"/>
      <c r="AA363" s="146"/>
    </row>
    <row r="364" ht="22.5" customHeight="1">
      <c r="A364" s="145"/>
      <c r="B364" s="154"/>
      <c r="C364" s="154"/>
      <c r="D364" s="138"/>
      <c r="E364" s="138"/>
      <c r="F364" s="138"/>
      <c r="G364" s="138"/>
      <c r="H364" s="119"/>
      <c r="I364" s="146"/>
      <c r="J364" s="146"/>
      <c r="K364" s="146"/>
      <c r="L364" s="146"/>
      <c r="M364" s="146"/>
      <c r="N364" s="146"/>
      <c r="O364" s="146"/>
      <c r="P364" s="146"/>
      <c r="Q364" s="146"/>
      <c r="R364" s="146"/>
      <c r="S364" s="146"/>
      <c r="T364" s="146"/>
      <c r="U364" s="146"/>
      <c r="V364" s="146"/>
      <c r="W364" s="146"/>
      <c r="X364" s="146"/>
      <c r="Y364" s="146"/>
      <c r="Z364" s="146"/>
      <c r="AA364" s="146"/>
    </row>
    <row r="365" ht="22.5" customHeight="1">
      <c r="A365" s="145"/>
      <c r="B365" s="154"/>
      <c r="C365" s="154"/>
      <c r="D365" s="138"/>
      <c r="E365" s="138"/>
      <c r="F365" s="138"/>
      <c r="G365" s="138"/>
      <c r="H365" s="119"/>
      <c r="I365" s="146"/>
      <c r="J365" s="146"/>
      <c r="K365" s="146"/>
      <c r="L365" s="146"/>
      <c r="M365" s="146"/>
      <c r="N365" s="146"/>
      <c r="O365" s="146"/>
      <c r="P365" s="146"/>
      <c r="Q365" s="146"/>
      <c r="R365" s="146"/>
      <c r="S365" s="146"/>
      <c r="T365" s="146"/>
      <c r="U365" s="146"/>
      <c r="V365" s="146"/>
      <c r="W365" s="146"/>
      <c r="X365" s="146"/>
      <c r="Y365" s="146"/>
      <c r="Z365" s="146"/>
      <c r="AA365" s="146"/>
    </row>
    <row r="366" ht="22.5" customHeight="1">
      <c r="A366" s="145"/>
      <c r="B366" s="154"/>
      <c r="C366" s="154"/>
      <c r="D366" s="138"/>
      <c r="E366" s="138"/>
      <c r="F366" s="138"/>
      <c r="G366" s="138"/>
      <c r="H366" s="119"/>
      <c r="I366" s="146"/>
      <c r="J366" s="146"/>
      <c r="K366" s="146"/>
      <c r="L366" s="146"/>
      <c r="M366" s="146"/>
      <c r="N366" s="146"/>
      <c r="O366" s="146"/>
      <c r="P366" s="146"/>
      <c r="Q366" s="146"/>
      <c r="R366" s="146"/>
      <c r="S366" s="146"/>
      <c r="T366" s="146"/>
      <c r="U366" s="146"/>
      <c r="V366" s="146"/>
      <c r="W366" s="146"/>
      <c r="X366" s="146"/>
      <c r="Y366" s="146"/>
      <c r="Z366" s="146"/>
      <c r="AA366" s="146"/>
    </row>
    <row r="367" ht="22.5" customHeight="1">
      <c r="A367" s="145"/>
      <c r="B367" s="154"/>
      <c r="C367" s="154"/>
      <c r="D367" s="138"/>
      <c r="E367" s="138"/>
      <c r="F367" s="138"/>
      <c r="G367" s="138"/>
      <c r="H367" s="119"/>
      <c r="I367" s="146"/>
      <c r="J367" s="146"/>
      <c r="K367" s="146"/>
      <c r="L367" s="146"/>
      <c r="M367" s="146"/>
      <c r="N367" s="146"/>
      <c r="O367" s="146"/>
      <c r="P367" s="146"/>
      <c r="Q367" s="146"/>
      <c r="R367" s="146"/>
      <c r="S367" s="146"/>
      <c r="T367" s="146"/>
      <c r="U367" s="146"/>
      <c r="V367" s="146"/>
      <c r="W367" s="146"/>
      <c r="X367" s="146"/>
      <c r="Y367" s="146"/>
      <c r="Z367" s="146"/>
      <c r="AA367" s="146"/>
    </row>
    <row r="368" ht="22.5" customHeight="1">
      <c r="A368" s="145"/>
      <c r="B368" s="154"/>
      <c r="C368" s="154"/>
      <c r="D368" s="138"/>
      <c r="E368" s="138"/>
      <c r="F368" s="138"/>
      <c r="G368" s="138"/>
      <c r="H368" s="119"/>
      <c r="I368" s="146"/>
      <c r="J368" s="146"/>
      <c r="K368" s="146"/>
      <c r="L368" s="146"/>
      <c r="M368" s="146"/>
      <c r="N368" s="146"/>
      <c r="O368" s="146"/>
      <c r="P368" s="146"/>
      <c r="Q368" s="146"/>
      <c r="R368" s="146"/>
      <c r="S368" s="146"/>
      <c r="T368" s="146"/>
      <c r="U368" s="146"/>
      <c r="V368" s="146"/>
      <c r="W368" s="146"/>
      <c r="X368" s="146"/>
      <c r="Y368" s="146"/>
      <c r="Z368" s="146"/>
      <c r="AA368" s="146"/>
    </row>
    <row r="369" ht="22.5" customHeight="1">
      <c r="A369" s="145"/>
      <c r="B369" s="154"/>
      <c r="C369" s="154"/>
      <c r="D369" s="138"/>
      <c r="E369" s="138"/>
      <c r="F369" s="138"/>
      <c r="G369" s="138"/>
      <c r="H369" s="119"/>
      <c r="I369" s="146"/>
      <c r="J369" s="146"/>
      <c r="K369" s="146"/>
      <c r="L369" s="146"/>
      <c r="M369" s="146"/>
      <c r="N369" s="146"/>
      <c r="O369" s="146"/>
      <c r="P369" s="146"/>
      <c r="Q369" s="146"/>
      <c r="R369" s="146"/>
      <c r="S369" s="146"/>
      <c r="T369" s="146"/>
      <c r="U369" s="146"/>
      <c r="V369" s="146"/>
      <c r="W369" s="146"/>
      <c r="X369" s="146"/>
      <c r="Y369" s="146"/>
      <c r="Z369" s="146"/>
      <c r="AA369" s="146"/>
    </row>
    <row r="370" ht="22.5" customHeight="1">
      <c r="A370" s="145"/>
      <c r="B370" s="154"/>
      <c r="C370" s="154"/>
      <c r="D370" s="138"/>
      <c r="E370" s="138"/>
      <c r="F370" s="138"/>
      <c r="G370" s="138"/>
      <c r="H370" s="119"/>
      <c r="I370" s="146"/>
      <c r="J370" s="146"/>
      <c r="K370" s="146"/>
      <c r="L370" s="146"/>
      <c r="M370" s="146"/>
      <c r="N370" s="146"/>
      <c r="O370" s="146"/>
      <c r="P370" s="146"/>
      <c r="Q370" s="146"/>
      <c r="R370" s="146"/>
      <c r="S370" s="146"/>
      <c r="T370" s="146"/>
      <c r="U370" s="146"/>
      <c r="V370" s="146"/>
      <c r="W370" s="146"/>
      <c r="X370" s="146"/>
      <c r="Y370" s="146"/>
      <c r="Z370" s="146"/>
      <c r="AA370" s="146"/>
    </row>
    <row r="371" ht="22.5" customHeight="1">
      <c r="A371" s="145"/>
      <c r="B371" s="154"/>
      <c r="C371" s="154"/>
      <c r="D371" s="138"/>
      <c r="E371" s="138"/>
      <c r="F371" s="138"/>
      <c r="G371" s="138"/>
      <c r="H371" s="119"/>
      <c r="I371" s="146"/>
      <c r="J371" s="146"/>
      <c r="K371" s="146"/>
      <c r="L371" s="146"/>
      <c r="M371" s="146"/>
      <c r="N371" s="146"/>
      <c r="O371" s="146"/>
      <c r="P371" s="146"/>
      <c r="Q371" s="146"/>
      <c r="R371" s="146"/>
      <c r="S371" s="146"/>
      <c r="T371" s="146"/>
      <c r="U371" s="146"/>
      <c r="V371" s="146"/>
      <c r="W371" s="146"/>
      <c r="X371" s="146"/>
      <c r="Y371" s="146"/>
      <c r="Z371" s="146"/>
      <c r="AA371" s="146"/>
    </row>
    <row r="372" ht="22.5" customHeight="1">
      <c r="A372" s="145"/>
      <c r="B372" s="154"/>
      <c r="C372" s="154"/>
      <c r="D372" s="138"/>
      <c r="E372" s="138"/>
      <c r="F372" s="138"/>
      <c r="G372" s="138"/>
      <c r="H372" s="119"/>
      <c r="I372" s="146"/>
      <c r="J372" s="146"/>
      <c r="K372" s="146"/>
      <c r="L372" s="146"/>
      <c r="M372" s="146"/>
      <c r="N372" s="146"/>
      <c r="O372" s="146"/>
      <c r="P372" s="146"/>
      <c r="Q372" s="146"/>
      <c r="R372" s="146"/>
      <c r="S372" s="146"/>
      <c r="T372" s="146"/>
      <c r="U372" s="146"/>
      <c r="V372" s="146"/>
      <c r="W372" s="146"/>
      <c r="X372" s="146"/>
      <c r="Y372" s="146"/>
      <c r="Z372" s="146"/>
      <c r="AA372" s="146"/>
    </row>
    <row r="373" ht="22.5" customHeight="1">
      <c r="A373" s="145"/>
      <c r="B373" s="154"/>
      <c r="C373" s="154"/>
      <c r="D373" s="138"/>
      <c r="E373" s="138"/>
      <c r="F373" s="138"/>
      <c r="G373" s="138"/>
      <c r="H373" s="119"/>
      <c r="I373" s="146"/>
      <c r="J373" s="146"/>
      <c r="K373" s="146"/>
      <c r="L373" s="146"/>
      <c r="M373" s="146"/>
      <c r="N373" s="146"/>
      <c r="O373" s="146"/>
      <c r="P373" s="146"/>
      <c r="Q373" s="146"/>
      <c r="R373" s="146"/>
      <c r="S373" s="146"/>
      <c r="T373" s="146"/>
      <c r="U373" s="146"/>
      <c r="V373" s="146"/>
      <c r="W373" s="146"/>
      <c r="X373" s="146"/>
      <c r="Y373" s="146"/>
      <c r="Z373" s="146"/>
      <c r="AA373" s="146"/>
    </row>
    <row r="374" ht="22.5" customHeight="1">
      <c r="A374" s="145"/>
      <c r="B374" s="154"/>
      <c r="C374" s="154"/>
      <c r="D374" s="138"/>
      <c r="E374" s="138"/>
      <c r="F374" s="138"/>
      <c r="G374" s="138"/>
      <c r="H374" s="119"/>
      <c r="I374" s="146"/>
      <c r="J374" s="146"/>
      <c r="K374" s="146"/>
      <c r="L374" s="146"/>
      <c r="M374" s="146"/>
      <c r="N374" s="146"/>
      <c r="O374" s="146"/>
      <c r="P374" s="146"/>
      <c r="Q374" s="146"/>
      <c r="R374" s="146"/>
      <c r="S374" s="146"/>
      <c r="T374" s="146"/>
      <c r="U374" s="146"/>
      <c r="V374" s="146"/>
      <c r="W374" s="146"/>
      <c r="X374" s="146"/>
      <c r="Y374" s="146"/>
      <c r="Z374" s="146"/>
      <c r="AA374" s="146"/>
    </row>
    <row r="375" ht="22.5" customHeight="1">
      <c r="A375" s="145"/>
      <c r="B375" s="154"/>
      <c r="C375" s="154"/>
      <c r="D375" s="138"/>
      <c r="E375" s="138"/>
      <c r="F375" s="138"/>
      <c r="G375" s="138"/>
      <c r="H375" s="119"/>
      <c r="I375" s="146"/>
      <c r="J375" s="146"/>
      <c r="K375" s="146"/>
      <c r="L375" s="146"/>
      <c r="M375" s="146"/>
      <c r="N375" s="146"/>
      <c r="O375" s="146"/>
      <c r="P375" s="146"/>
      <c r="Q375" s="146"/>
      <c r="R375" s="146"/>
      <c r="S375" s="146"/>
      <c r="T375" s="146"/>
      <c r="U375" s="146"/>
      <c r="V375" s="146"/>
      <c r="W375" s="146"/>
      <c r="X375" s="146"/>
      <c r="Y375" s="146"/>
      <c r="Z375" s="146"/>
      <c r="AA375" s="146"/>
    </row>
    <row r="376" ht="22.5" customHeight="1">
      <c r="A376" s="145"/>
      <c r="B376" s="154"/>
      <c r="C376" s="154"/>
      <c r="D376" s="138"/>
      <c r="E376" s="138"/>
      <c r="F376" s="138"/>
      <c r="G376" s="138"/>
      <c r="H376" s="119"/>
      <c r="I376" s="146"/>
      <c r="J376" s="146"/>
      <c r="K376" s="146"/>
      <c r="L376" s="146"/>
      <c r="M376" s="146"/>
      <c r="N376" s="146"/>
      <c r="O376" s="146"/>
      <c r="P376" s="146"/>
      <c r="Q376" s="146"/>
      <c r="R376" s="146"/>
      <c r="S376" s="146"/>
      <c r="T376" s="146"/>
      <c r="U376" s="146"/>
      <c r="V376" s="146"/>
      <c r="W376" s="146"/>
      <c r="X376" s="146"/>
      <c r="Y376" s="146"/>
      <c r="Z376" s="146"/>
      <c r="AA376" s="146"/>
    </row>
    <row r="377" ht="22.5" customHeight="1">
      <c r="A377" s="145"/>
      <c r="B377" s="154"/>
      <c r="C377" s="154"/>
      <c r="D377" s="138"/>
      <c r="E377" s="138"/>
      <c r="F377" s="138"/>
      <c r="G377" s="138"/>
      <c r="H377" s="119"/>
      <c r="I377" s="146"/>
      <c r="J377" s="146"/>
      <c r="K377" s="146"/>
      <c r="L377" s="146"/>
      <c r="M377" s="146"/>
      <c r="N377" s="146"/>
      <c r="O377" s="146"/>
      <c r="P377" s="146"/>
      <c r="Q377" s="146"/>
      <c r="R377" s="146"/>
      <c r="S377" s="146"/>
      <c r="T377" s="146"/>
      <c r="U377" s="146"/>
      <c r="V377" s="146"/>
      <c r="W377" s="146"/>
      <c r="X377" s="146"/>
      <c r="Y377" s="146"/>
      <c r="Z377" s="146"/>
      <c r="AA377" s="146"/>
    </row>
    <row r="378" ht="22.5" customHeight="1">
      <c r="A378" s="145"/>
      <c r="B378" s="154"/>
      <c r="C378" s="154"/>
      <c r="D378" s="138"/>
      <c r="E378" s="138"/>
      <c r="F378" s="138"/>
      <c r="G378" s="138"/>
      <c r="H378" s="119"/>
      <c r="I378" s="146"/>
      <c r="J378" s="146"/>
      <c r="K378" s="146"/>
      <c r="L378" s="146"/>
      <c r="M378" s="146"/>
      <c r="N378" s="146"/>
      <c r="O378" s="146"/>
      <c r="P378" s="146"/>
      <c r="Q378" s="146"/>
      <c r="R378" s="146"/>
      <c r="S378" s="146"/>
      <c r="T378" s="146"/>
      <c r="U378" s="146"/>
      <c r="V378" s="146"/>
      <c r="W378" s="146"/>
      <c r="X378" s="146"/>
      <c r="Y378" s="146"/>
      <c r="Z378" s="146"/>
      <c r="AA378" s="146"/>
    </row>
    <row r="379" ht="22.5" customHeight="1">
      <c r="A379" s="145"/>
      <c r="B379" s="154"/>
      <c r="C379" s="154"/>
      <c r="D379" s="138"/>
      <c r="E379" s="138"/>
      <c r="F379" s="138"/>
      <c r="G379" s="138"/>
      <c r="H379" s="119"/>
      <c r="I379" s="146"/>
      <c r="J379" s="146"/>
      <c r="K379" s="146"/>
      <c r="L379" s="146"/>
      <c r="M379" s="146"/>
      <c r="N379" s="146"/>
      <c r="O379" s="146"/>
      <c r="P379" s="146"/>
      <c r="Q379" s="146"/>
      <c r="R379" s="146"/>
      <c r="S379" s="146"/>
      <c r="T379" s="146"/>
      <c r="U379" s="146"/>
      <c r="V379" s="146"/>
      <c r="W379" s="146"/>
      <c r="X379" s="146"/>
      <c r="Y379" s="146"/>
      <c r="Z379" s="146"/>
      <c r="AA379" s="146"/>
    </row>
    <row r="380" ht="22.5" customHeight="1">
      <c r="A380" s="145"/>
      <c r="B380" s="154"/>
      <c r="C380" s="154"/>
      <c r="D380" s="138"/>
      <c r="E380" s="138"/>
      <c r="F380" s="138"/>
      <c r="G380" s="138"/>
      <c r="H380" s="119"/>
      <c r="I380" s="146"/>
      <c r="J380" s="146"/>
      <c r="K380" s="146"/>
      <c r="L380" s="146"/>
      <c r="M380" s="146"/>
      <c r="N380" s="146"/>
      <c r="O380" s="146"/>
      <c r="P380" s="146"/>
      <c r="Q380" s="146"/>
      <c r="R380" s="146"/>
      <c r="S380" s="146"/>
      <c r="T380" s="146"/>
      <c r="U380" s="146"/>
      <c r="V380" s="146"/>
      <c r="W380" s="146"/>
      <c r="X380" s="146"/>
      <c r="Y380" s="146"/>
      <c r="Z380" s="146"/>
      <c r="AA380" s="146"/>
    </row>
    <row r="381" ht="22.5" customHeight="1">
      <c r="A381" s="145"/>
      <c r="B381" s="154"/>
      <c r="C381" s="154"/>
      <c r="D381" s="138"/>
      <c r="E381" s="138"/>
      <c r="F381" s="138"/>
      <c r="G381" s="138"/>
      <c r="H381" s="119"/>
      <c r="I381" s="146"/>
      <c r="J381" s="146"/>
      <c r="K381" s="146"/>
      <c r="L381" s="146"/>
      <c r="M381" s="146"/>
      <c r="N381" s="146"/>
      <c r="O381" s="146"/>
      <c r="P381" s="146"/>
      <c r="Q381" s="146"/>
      <c r="R381" s="146"/>
      <c r="S381" s="146"/>
      <c r="T381" s="146"/>
      <c r="U381" s="146"/>
      <c r="V381" s="146"/>
      <c r="W381" s="146"/>
      <c r="X381" s="146"/>
      <c r="Y381" s="146"/>
      <c r="Z381" s="146"/>
      <c r="AA381" s="146"/>
    </row>
    <row r="382" ht="22.5" customHeight="1">
      <c r="A382" s="145"/>
      <c r="B382" s="154"/>
      <c r="C382" s="154"/>
      <c r="D382" s="138"/>
      <c r="E382" s="138"/>
      <c r="F382" s="138"/>
      <c r="G382" s="138"/>
      <c r="H382" s="119"/>
      <c r="I382" s="146"/>
      <c r="J382" s="146"/>
      <c r="K382" s="146"/>
      <c r="L382" s="146"/>
      <c r="M382" s="146"/>
      <c r="N382" s="146"/>
      <c r="O382" s="146"/>
      <c r="P382" s="146"/>
      <c r="Q382" s="146"/>
      <c r="R382" s="146"/>
      <c r="S382" s="146"/>
      <c r="T382" s="146"/>
      <c r="U382" s="146"/>
      <c r="V382" s="146"/>
      <c r="W382" s="146"/>
      <c r="X382" s="146"/>
      <c r="Y382" s="146"/>
      <c r="Z382" s="146"/>
      <c r="AA382" s="146"/>
    </row>
    <row r="383" ht="22.5" customHeight="1">
      <c r="A383" s="145"/>
      <c r="B383" s="154"/>
      <c r="C383" s="154"/>
      <c r="D383" s="138"/>
      <c r="E383" s="138"/>
      <c r="F383" s="138"/>
      <c r="G383" s="138"/>
      <c r="H383" s="119"/>
      <c r="I383" s="146"/>
      <c r="J383" s="146"/>
      <c r="K383" s="146"/>
      <c r="L383" s="146"/>
      <c r="M383" s="146"/>
      <c r="N383" s="146"/>
      <c r="O383" s="146"/>
      <c r="P383" s="146"/>
      <c r="Q383" s="146"/>
      <c r="R383" s="146"/>
      <c r="S383" s="146"/>
      <c r="T383" s="146"/>
      <c r="U383" s="146"/>
      <c r="V383" s="146"/>
      <c r="W383" s="146"/>
      <c r="X383" s="146"/>
      <c r="Y383" s="146"/>
      <c r="Z383" s="146"/>
      <c r="AA383" s="146"/>
    </row>
    <row r="384" ht="22.5" customHeight="1">
      <c r="A384" s="145"/>
      <c r="B384" s="154"/>
      <c r="C384" s="154"/>
      <c r="D384" s="138"/>
      <c r="E384" s="138"/>
      <c r="F384" s="138"/>
      <c r="G384" s="138"/>
      <c r="H384" s="119"/>
      <c r="I384" s="146"/>
      <c r="J384" s="146"/>
      <c r="K384" s="146"/>
      <c r="L384" s="146"/>
      <c r="M384" s="146"/>
      <c r="N384" s="146"/>
      <c r="O384" s="146"/>
      <c r="P384" s="146"/>
      <c r="Q384" s="146"/>
      <c r="R384" s="146"/>
      <c r="S384" s="146"/>
      <c r="T384" s="146"/>
      <c r="U384" s="146"/>
      <c r="V384" s="146"/>
      <c r="W384" s="146"/>
      <c r="X384" s="146"/>
      <c r="Y384" s="146"/>
      <c r="Z384" s="146"/>
      <c r="AA384" s="146"/>
    </row>
    <row r="385" ht="22.5" customHeight="1">
      <c r="A385" s="145"/>
      <c r="B385" s="154"/>
      <c r="C385" s="154"/>
      <c r="D385" s="138"/>
      <c r="E385" s="138"/>
      <c r="F385" s="138"/>
      <c r="G385" s="138"/>
      <c r="H385" s="119"/>
      <c r="I385" s="146"/>
      <c r="J385" s="146"/>
      <c r="K385" s="146"/>
      <c r="L385" s="146"/>
      <c r="M385" s="146"/>
      <c r="N385" s="146"/>
      <c r="O385" s="146"/>
      <c r="P385" s="146"/>
      <c r="Q385" s="146"/>
      <c r="R385" s="146"/>
      <c r="S385" s="146"/>
      <c r="T385" s="146"/>
      <c r="U385" s="146"/>
      <c r="V385" s="146"/>
      <c r="W385" s="146"/>
      <c r="X385" s="146"/>
      <c r="Y385" s="146"/>
      <c r="Z385" s="146"/>
      <c r="AA385" s="146"/>
    </row>
    <row r="386" ht="22.5" customHeight="1">
      <c r="A386" s="145"/>
      <c r="B386" s="154"/>
      <c r="C386" s="154"/>
      <c r="D386" s="138"/>
      <c r="E386" s="138"/>
      <c r="F386" s="138"/>
      <c r="G386" s="138"/>
      <c r="H386" s="119"/>
      <c r="I386" s="146"/>
      <c r="J386" s="146"/>
      <c r="K386" s="146"/>
      <c r="L386" s="146"/>
      <c r="M386" s="146"/>
      <c r="N386" s="146"/>
      <c r="O386" s="146"/>
      <c r="P386" s="146"/>
      <c r="Q386" s="146"/>
      <c r="R386" s="146"/>
      <c r="S386" s="146"/>
      <c r="T386" s="146"/>
      <c r="U386" s="146"/>
      <c r="V386" s="146"/>
      <c r="W386" s="146"/>
      <c r="X386" s="146"/>
      <c r="Y386" s="146"/>
      <c r="Z386" s="146"/>
      <c r="AA386" s="146"/>
    </row>
    <row r="387" ht="22.5" customHeight="1">
      <c r="A387" s="145"/>
      <c r="B387" s="154"/>
      <c r="C387" s="154"/>
      <c r="D387" s="138"/>
      <c r="E387" s="138"/>
      <c r="F387" s="138"/>
      <c r="G387" s="138"/>
      <c r="H387" s="119"/>
      <c r="I387" s="146"/>
      <c r="J387" s="146"/>
      <c r="K387" s="146"/>
      <c r="L387" s="146"/>
      <c r="M387" s="146"/>
      <c r="N387" s="146"/>
      <c r="O387" s="146"/>
      <c r="P387" s="146"/>
      <c r="Q387" s="146"/>
      <c r="R387" s="146"/>
      <c r="S387" s="146"/>
      <c r="T387" s="146"/>
      <c r="U387" s="146"/>
      <c r="V387" s="146"/>
      <c r="W387" s="146"/>
      <c r="X387" s="146"/>
      <c r="Y387" s="146"/>
      <c r="Z387" s="146"/>
      <c r="AA387" s="146"/>
    </row>
    <row r="388" ht="22.5" customHeight="1">
      <c r="A388" s="145"/>
      <c r="B388" s="154"/>
      <c r="C388" s="154"/>
      <c r="D388" s="138"/>
      <c r="E388" s="138"/>
      <c r="F388" s="138"/>
      <c r="G388" s="138"/>
      <c r="H388" s="119"/>
      <c r="I388" s="146"/>
      <c r="J388" s="146"/>
      <c r="K388" s="146"/>
      <c r="L388" s="146"/>
      <c r="M388" s="146"/>
      <c r="N388" s="146"/>
      <c r="O388" s="146"/>
      <c r="P388" s="146"/>
      <c r="Q388" s="146"/>
      <c r="R388" s="146"/>
      <c r="S388" s="146"/>
      <c r="T388" s="146"/>
      <c r="U388" s="146"/>
      <c r="V388" s="146"/>
      <c r="W388" s="146"/>
      <c r="X388" s="146"/>
      <c r="Y388" s="146"/>
      <c r="Z388" s="146"/>
      <c r="AA388" s="146"/>
    </row>
    <row r="389" ht="22.5" customHeight="1">
      <c r="A389" s="145"/>
      <c r="B389" s="154"/>
      <c r="C389" s="154"/>
      <c r="D389" s="138"/>
      <c r="E389" s="138"/>
      <c r="F389" s="138"/>
      <c r="G389" s="138"/>
      <c r="H389" s="119"/>
      <c r="I389" s="146"/>
      <c r="J389" s="146"/>
      <c r="K389" s="146"/>
      <c r="L389" s="146"/>
      <c r="M389" s="146"/>
      <c r="N389" s="146"/>
      <c r="O389" s="146"/>
      <c r="P389" s="146"/>
      <c r="Q389" s="146"/>
      <c r="R389" s="146"/>
      <c r="S389" s="146"/>
      <c r="T389" s="146"/>
      <c r="U389" s="146"/>
      <c r="V389" s="146"/>
      <c r="W389" s="146"/>
      <c r="X389" s="146"/>
      <c r="Y389" s="146"/>
      <c r="Z389" s="146"/>
      <c r="AA389" s="146"/>
    </row>
    <row r="390" ht="22.5" customHeight="1">
      <c r="A390" s="145"/>
      <c r="B390" s="154"/>
      <c r="C390" s="154"/>
      <c r="D390" s="138"/>
      <c r="E390" s="138"/>
      <c r="F390" s="138"/>
      <c r="G390" s="138"/>
      <c r="H390" s="119"/>
      <c r="I390" s="146"/>
      <c r="J390" s="146"/>
      <c r="K390" s="146"/>
      <c r="L390" s="146"/>
      <c r="M390" s="146"/>
      <c r="N390" s="146"/>
      <c r="O390" s="146"/>
      <c r="P390" s="146"/>
      <c r="Q390" s="146"/>
      <c r="R390" s="146"/>
      <c r="S390" s="146"/>
      <c r="T390" s="146"/>
      <c r="U390" s="146"/>
      <c r="V390" s="146"/>
      <c r="W390" s="146"/>
      <c r="X390" s="146"/>
      <c r="Y390" s="146"/>
      <c r="Z390" s="146"/>
      <c r="AA390" s="146"/>
    </row>
    <row r="391" ht="22.5" customHeight="1">
      <c r="A391" s="145"/>
      <c r="B391" s="154"/>
      <c r="C391" s="154"/>
      <c r="D391" s="138"/>
      <c r="E391" s="138"/>
      <c r="F391" s="138"/>
      <c r="G391" s="138"/>
      <c r="H391" s="119"/>
      <c r="I391" s="146"/>
      <c r="J391" s="146"/>
      <c r="K391" s="146"/>
      <c r="L391" s="146"/>
      <c r="M391" s="146"/>
      <c r="N391" s="146"/>
      <c r="O391" s="146"/>
      <c r="P391" s="146"/>
      <c r="Q391" s="146"/>
      <c r="R391" s="146"/>
      <c r="S391" s="146"/>
      <c r="T391" s="146"/>
      <c r="U391" s="146"/>
      <c r="V391" s="146"/>
      <c r="W391" s="146"/>
      <c r="X391" s="146"/>
      <c r="Y391" s="146"/>
      <c r="Z391" s="146"/>
      <c r="AA391" s="146"/>
    </row>
    <row r="392" ht="22.5" customHeight="1">
      <c r="A392" s="145"/>
      <c r="B392" s="154"/>
      <c r="C392" s="154"/>
      <c r="D392" s="138"/>
      <c r="E392" s="138"/>
      <c r="F392" s="138"/>
      <c r="G392" s="138"/>
      <c r="H392" s="119"/>
      <c r="I392" s="146"/>
      <c r="J392" s="146"/>
      <c r="K392" s="146"/>
      <c r="L392" s="146"/>
      <c r="M392" s="146"/>
      <c r="N392" s="146"/>
      <c r="O392" s="146"/>
      <c r="P392" s="146"/>
      <c r="Q392" s="146"/>
      <c r="R392" s="146"/>
      <c r="S392" s="146"/>
      <c r="T392" s="146"/>
      <c r="U392" s="146"/>
      <c r="V392" s="146"/>
      <c r="W392" s="146"/>
      <c r="X392" s="146"/>
      <c r="Y392" s="146"/>
      <c r="Z392" s="146"/>
      <c r="AA392" s="146"/>
    </row>
    <row r="393" ht="22.5" customHeight="1">
      <c r="A393" s="145"/>
      <c r="B393" s="154"/>
      <c r="C393" s="154"/>
      <c r="D393" s="138"/>
      <c r="E393" s="138"/>
      <c r="F393" s="138"/>
      <c r="G393" s="138"/>
      <c r="H393" s="119"/>
      <c r="I393" s="146"/>
      <c r="J393" s="146"/>
      <c r="K393" s="146"/>
      <c r="L393" s="146"/>
      <c r="M393" s="146"/>
      <c r="N393" s="146"/>
      <c r="O393" s="146"/>
      <c r="P393" s="146"/>
      <c r="Q393" s="146"/>
      <c r="R393" s="146"/>
      <c r="S393" s="146"/>
      <c r="T393" s="146"/>
      <c r="U393" s="146"/>
      <c r="V393" s="146"/>
      <c r="W393" s="146"/>
      <c r="X393" s="146"/>
      <c r="Y393" s="146"/>
      <c r="Z393" s="146"/>
      <c r="AA393" s="146"/>
    </row>
    <row r="394" ht="22.5" customHeight="1">
      <c r="A394" s="145"/>
      <c r="B394" s="154"/>
      <c r="C394" s="154"/>
      <c r="D394" s="138"/>
      <c r="E394" s="138"/>
      <c r="F394" s="138"/>
      <c r="G394" s="138"/>
      <c r="H394" s="119"/>
      <c r="I394" s="146"/>
      <c r="J394" s="146"/>
      <c r="K394" s="146"/>
      <c r="L394" s="146"/>
      <c r="M394" s="146"/>
      <c r="N394" s="146"/>
      <c r="O394" s="146"/>
      <c r="P394" s="146"/>
      <c r="Q394" s="146"/>
      <c r="R394" s="146"/>
      <c r="S394" s="146"/>
      <c r="T394" s="146"/>
      <c r="U394" s="146"/>
      <c r="V394" s="146"/>
      <c r="W394" s="146"/>
      <c r="X394" s="146"/>
      <c r="Y394" s="146"/>
      <c r="Z394" s="146"/>
      <c r="AA394" s="146"/>
    </row>
    <row r="395" ht="22.5" customHeight="1">
      <c r="A395" s="145"/>
      <c r="B395" s="154"/>
      <c r="C395" s="154"/>
      <c r="D395" s="138"/>
      <c r="E395" s="138"/>
      <c r="F395" s="138"/>
      <c r="G395" s="138"/>
      <c r="H395" s="119"/>
      <c r="I395" s="146"/>
      <c r="J395" s="146"/>
      <c r="K395" s="146"/>
      <c r="L395" s="146"/>
      <c r="M395" s="146"/>
      <c r="N395" s="146"/>
      <c r="O395" s="146"/>
      <c r="P395" s="146"/>
      <c r="Q395" s="146"/>
      <c r="R395" s="146"/>
      <c r="S395" s="146"/>
      <c r="T395" s="146"/>
      <c r="U395" s="146"/>
      <c r="V395" s="146"/>
      <c r="W395" s="146"/>
      <c r="X395" s="146"/>
      <c r="Y395" s="146"/>
      <c r="Z395" s="146"/>
      <c r="AA395" s="146"/>
    </row>
    <row r="396" ht="22.5" customHeight="1">
      <c r="A396" s="145"/>
      <c r="B396" s="154"/>
      <c r="C396" s="154"/>
      <c r="D396" s="138"/>
      <c r="E396" s="138"/>
      <c r="F396" s="138"/>
      <c r="G396" s="138"/>
      <c r="H396" s="119"/>
      <c r="I396" s="146"/>
      <c r="J396" s="146"/>
      <c r="K396" s="146"/>
      <c r="L396" s="146"/>
      <c r="M396" s="146"/>
      <c r="N396" s="146"/>
      <c r="O396" s="146"/>
      <c r="P396" s="146"/>
      <c r="Q396" s="146"/>
      <c r="R396" s="146"/>
      <c r="S396" s="146"/>
      <c r="T396" s="146"/>
      <c r="U396" s="146"/>
      <c r="V396" s="146"/>
      <c r="W396" s="146"/>
      <c r="X396" s="146"/>
      <c r="Y396" s="146"/>
      <c r="Z396" s="146"/>
      <c r="AA396" s="146"/>
    </row>
    <row r="397" ht="22.5" customHeight="1">
      <c r="A397" s="145"/>
      <c r="B397" s="154"/>
      <c r="C397" s="154"/>
      <c r="D397" s="138"/>
      <c r="E397" s="138"/>
      <c r="F397" s="138"/>
      <c r="G397" s="138"/>
      <c r="H397" s="119"/>
      <c r="I397" s="146"/>
      <c r="J397" s="146"/>
      <c r="K397" s="146"/>
      <c r="L397" s="146"/>
      <c r="M397" s="146"/>
      <c r="N397" s="146"/>
      <c r="O397" s="146"/>
      <c r="P397" s="146"/>
      <c r="Q397" s="146"/>
      <c r="R397" s="146"/>
      <c r="S397" s="146"/>
      <c r="T397" s="146"/>
      <c r="U397" s="146"/>
      <c r="V397" s="146"/>
      <c r="W397" s="146"/>
      <c r="X397" s="146"/>
      <c r="Y397" s="146"/>
      <c r="Z397" s="146"/>
      <c r="AA397" s="146"/>
    </row>
    <row r="398" ht="22.5" customHeight="1">
      <c r="A398" s="145"/>
      <c r="B398" s="154"/>
      <c r="C398" s="154"/>
      <c r="D398" s="138"/>
      <c r="E398" s="138"/>
      <c r="F398" s="138"/>
      <c r="G398" s="138"/>
      <c r="H398" s="119"/>
      <c r="I398" s="146"/>
      <c r="J398" s="146"/>
      <c r="K398" s="146"/>
      <c r="L398" s="146"/>
      <c r="M398" s="146"/>
      <c r="N398" s="146"/>
      <c r="O398" s="146"/>
      <c r="P398" s="146"/>
      <c r="Q398" s="146"/>
      <c r="R398" s="146"/>
      <c r="S398" s="146"/>
      <c r="T398" s="146"/>
      <c r="U398" s="146"/>
      <c r="V398" s="146"/>
      <c r="W398" s="146"/>
      <c r="X398" s="146"/>
      <c r="Y398" s="146"/>
      <c r="Z398" s="146"/>
      <c r="AA398" s="146"/>
    </row>
    <row r="399" ht="22.5" customHeight="1">
      <c r="A399" s="145"/>
      <c r="B399" s="154"/>
      <c r="C399" s="154"/>
      <c r="D399" s="138"/>
      <c r="E399" s="138"/>
      <c r="F399" s="138"/>
      <c r="G399" s="138"/>
      <c r="H399" s="119"/>
      <c r="I399" s="146"/>
      <c r="J399" s="146"/>
      <c r="K399" s="146"/>
      <c r="L399" s="146"/>
      <c r="M399" s="146"/>
      <c r="N399" s="146"/>
      <c r="O399" s="146"/>
      <c r="P399" s="146"/>
      <c r="Q399" s="146"/>
      <c r="R399" s="146"/>
      <c r="S399" s="146"/>
      <c r="T399" s="146"/>
      <c r="U399" s="146"/>
      <c r="V399" s="146"/>
      <c r="W399" s="146"/>
      <c r="X399" s="146"/>
      <c r="Y399" s="146"/>
      <c r="Z399" s="146"/>
      <c r="AA399" s="146"/>
    </row>
    <row r="400" ht="22.5" customHeight="1">
      <c r="A400" s="145"/>
      <c r="B400" s="154"/>
      <c r="C400" s="154"/>
      <c r="D400" s="138"/>
      <c r="E400" s="138"/>
      <c r="F400" s="138"/>
      <c r="G400" s="138"/>
      <c r="H400" s="119"/>
      <c r="I400" s="146"/>
      <c r="J400" s="146"/>
      <c r="K400" s="146"/>
      <c r="L400" s="146"/>
      <c r="M400" s="146"/>
      <c r="N400" s="146"/>
      <c r="O400" s="146"/>
      <c r="P400" s="146"/>
      <c r="Q400" s="146"/>
      <c r="R400" s="146"/>
      <c r="S400" s="146"/>
      <c r="T400" s="146"/>
      <c r="U400" s="146"/>
      <c r="V400" s="146"/>
      <c r="W400" s="146"/>
      <c r="X400" s="146"/>
      <c r="Y400" s="146"/>
      <c r="Z400" s="146"/>
      <c r="AA400" s="146"/>
    </row>
    <row r="401" ht="22.5" customHeight="1">
      <c r="A401" s="145"/>
      <c r="B401" s="154"/>
      <c r="C401" s="154"/>
      <c r="D401" s="138"/>
      <c r="E401" s="138"/>
      <c r="F401" s="138"/>
      <c r="G401" s="138"/>
      <c r="H401" s="119"/>
      <c r="I401" s="146"/>
      <c r="J401" s="146"/>
      <c r="K401" s="146"/>
      <c r="L401" s="146"/>
      <c r="M401" s="146"/>
      <c r="N401" s="146"/>
      <c r="O401" s="146"/>
      <c r="P401" s="146"/>
      <c r="Q401" s="146"/>
      <c r="R401" s="146"/>
      <c r="S401" s="146"/>
      <c r="T401" s="146"/>
      <c r="U401" s="146"/>
      <c r="V401" s="146"/>
      <c r="W401" s="146"/>
      <c r="X401" s="146"/>
      <c r="Y401" s="146"/>
      <c r="Z401" s="146"/>
      <c r="AA401" s="146"/>
    </row>
    <row r="402" ht="22.5" customHeight="1">
      <c r="A402" s="145"/>
      <c r="B402" s="154"/>
      <c r="C402" s="154"/>
      <c r="D402" s="138"/>
      <c r="E402" s="138"/>
      <c r="F402" s="138"/>
      <c r="G402" s="138"/>
      <c r="H402" s="119"/>
      <c r="I402" s="146"/>
      <c r="J402" s="146"/>
      <c r="K402" s="146"/>
      <c r="L402" s="146"/>
      <c r="M402" s="146"/>
      <c r="N402" s="146"/>
      <c r="O402" s="146"/>
      <c r="P402" s="146"/>
      <c r="Q402" s="146"/>
      <c r="R402" s="146"/>
      <c r="S402" s="146"/>
      <c r="T402" s="146"/>
      <c r="U402" s="146"/>
      <c r="V402" s="146"/>
      <c r="W402" s="146"/>
      <c r="X402" s="146"/>
      <c r="Y402" s="146"/>
      <c r="Z402" s="146"/>
      <c r="AA402" s="146"/>
    </row>
    <row r="403" ht="22.5" customHeight="1">
      <c r="A403" s="145"/>
      <c r="B403" s="154"/>
      <c r="C403" s="154"/>
      <c r="D403" s="138"/>
      <c r="E403" s="138"/>
      <c r="F403" s="138"/>
      <c r="G403" s="138"/>
      <c r="H403" s="119"/>
      <c r="I403" s="146"/>
      <c r="J403" s="146"/>
      <c r="K403" s="146"/>
      <c r="L403" s="146"/>
      <c r="M403" s="146"/>
      <c r="N403" s="146"/>
      <c r="O403" s="146"/>
      <c r="P403" s="146"/>
      <c r="Q403" s="146"/>
      <c r="R403" s="146"/>
      <c r="S403" s="146"/>
      <c r="T403" s="146"/>
      <c r="U403" s="146"/>
      <c r="V403" s="146"/>
      <c r="W403" s="146"/>
      <c r="X403" s="146"/>
      <c r="Y403" s="146"/>
      <c r="Z403" s="146"/>
      <c r="AA403" s="146"/>
    </row>
    <row r="404" ht="22.5" customHeight="1">
      <c r="A404" s="145"/>
      <c r="B404" s="154"/>
      <c r="C404" s="154"/>
      <c r="D404" s="138"/>
      <c r="E404" s="138"/>
      <c r="F404" s="138"/>
      <c r="G404" s="138"/>
      <c r="H404" s="119"/>
      <c r="I404" s="146"/>
      <c r="J404" s="146"/>
      <c r="K404" s="146"/>
      <c r="L404" s="146"/>
      <c r="M404" s="146"/>
      <c r="N404" s="146"/>
      <c r="O404" s="146"/>
      <c r="P404" s="146"/>
      <c r="Q404" s="146"/>
      <c r="R404" s="146"/>
      <c r="S404" s="146"/>
      <c r="T404" s="146"/>
      <c r="U404" s="146"/>
      <c r="V404" s="146"/>
      <c r="W404" s="146"/>
      <c r="X404" s="146"/>
      <c r="Y404" s="146"/>
      <c r="Z404" s="146"/>
      <c r="AA404" s="146"/>
    </row>
    <row r="405" ht="22.5" customHeight="1">
      <c r="A405" s="145"/>
      <c r="B405" s="154"/>
      <c r="C405" s="154"/>
      <c r="D405" s="138"/>
      <c r="E405" s="138"/>
      <c r="F405" s="138"/>
      <c r="G405" s="138"/>
      <c r="H405" s="119"/>
      <c r="I405" s="146"/>
      <c r="J405" s="146"/>
      <c r="K405" s="146"/>
      <c r="L405" s="146"/>
      <c r="M405" s="146"/>
      <c r="N405" s="146"/>
      <c r="O405" s="146"/>
      <c r="P405" s="146"/>
      <c r="Q405" s="146"/>
      <c r="R405" s="146"/>
      <c r="S405" s="146"/>
      <c r="T405" s="146"/>
      <c r="U405" s="146"/>
      <c r="V405" s="146"/>
      <c r="W405" s="146"/>
      <c r="X405" s="146"/>
      <c r="Y405" s="146"/>
      <c r="Z405" s="146"/>
      <c r="AA405" s="146"/>
    </row>
    <row r="406" ht="22.5" customHeight="1">
      <c r="A406" s="145"/>
      <c r="B406" s="154"/>
      <c r="C406" s="154"/>
      <c r="D406" s="138"/>
      <c r="E406" s="138"/>
      <c r="F406" s="138"/>
      <c r="G406" s="138"/>
      <c r="H406" s="119"/>
      <c r="I406" s="146"/>
      <c r="J406" s="146"/>
      <c r="K406" s="146"/>
      <c r="L406" s="146"/>
      <c r="M406" s="146"/>
      <c r="N406" s="146"/>
      <c r="O406" s="146"/>
      <c r="P406" s="146"/>
      <c r="Q406" s="146"/>
      <c r="R406" s="146"/>
      <c r="S406" s="146"/>
      <c r="T406" s="146"/>
      <c r="U406" s="146"/>
      <c r="V406" s="146"/>
      <c r="W406" s="146"/>
      <c r="X406" s="146"/>
      <c r="Y406" s="146"/>
      <c r="Z406" s="146"/>
      <c r="AA406" s="146"/>
    </row>
    <row r="407" ht="22.5" customHeight="1">
      <c r="A407" s="145"/>
      <c r="B407" s="154"/>
      <c r="C407" s="154"/>
      <c r="D407" s="138"/>
      <c r="E407" s="138"/>
      <c r="F407" s="138"/>
      <c r="G407" s="138"/>
      <c r="H407" s="119"/>
      <c r="I407" s="146"/>
      <c r="J407" s="146"/>
      <c r="K407" s="146"/>
      <c r="L407" s="146"/>
      <c r="M407" s="146"/>
      <c r="N407" s="146"/>
      <c r="O407" s="146"/>
      <c r="P407" s="146"/>
      <c r="Q407" s="146"/>
      <c r="R407" s="146"/>
      <c r="S407" s="146"/>
      <c r="T407" s="146"/>
      <c r="U407" s="146"/>
      <c r="V407" s="146"/>
      <c r="W407" s="146"/>
      <c r="X407" s="146"/>
      <c r="Y407" s="146"/>
      <c r="Z407" s="146"/>
      <c r="AA407" s="146"/>
    </row>
    <row r="408" ht="22.5" customHeight="1">
      <c r="A408" s="145"/>
      <c r="B408" s="154"/>
      <c r="C408" s="154"/>
      <c r="D408" s="138"/>
      <c r="E408" s="138"/>
      <c r="F408" s="138"/>
      <c r="G408" s="138"/>
      <c r="H408" s="119"/>
      <c r="I408" s="146"/>
      <c r="J408" s="146"/>
      <c r="K408" s="146"/>
      <c r="L408" s="146"/>
      <c r="M408" s="146"/>
      <c r="N408" s="146"/>
      <c r="O408" s="146"/>
      <c r="P408" s="146"/>
      <c r="Q408" s="146"/>
      <c r="R408" s="146"/>
      <c r="S408" s="146"/>
      <c r="T408" s="146"/>
      <c r="U408" s="146"/>
      <c r="V408" s="146"/>
      <c r="W408" s="146"/>
      <c r="X408" s="146"/>
      <c r="Y408" s="146"/>
      <c r="Z408" s="146"/>
      <c r="AA408" s="146"/>
    </row>
    <row r="409" ht="22.5" customHeight="1">
      <c r="A409" s="145"/>
      <c r="B409" s="154"/>
      <c r="C409" s="154"/>
      <c r="D409" s="138"/>
      <c r="E409" s="138"/>
      <c r="F409" s="138"/>
      <c r="G409" s="138"/>
      <c r="H409" s="119"/>
      <c r="I409" s="146"/>
      <c r="J409" s="146"/>
      <c r="K409" s="146"/>
      <c r="L409" s="146"/>
      <c r="M409" s="146"/>
      <c r="N409" s="146"/>
      <c r="O409" s="146"/>
      <c r="P409" s="146"/>
      <c r="Q409" s="146"/>
      <c r="R409" s="146"/>
      <c r="S409" s="146"/>
      <c r="T409" s="146"/>
      <c r="U409" s="146"/>
      <c r="V409" s="146"/>
      <c r="W409" s="146"/>
      <c r="X409" s="146"/>
      <c r="Y409" s="146"/>
      <c r="Z409" s="146"/>
      <c r="AA409" s="146"/>
    </row>
    <row r="410" ht="22.5" customHeight="1">
      <c r="A410" s="145"/>
      <c r="B410" s="154"/>
      <c r="C410" s="154"/>
      <c r="D410" s="138"/>
      <c r="E410" s="138"/>
      <c r="F410" s="138"/>
      <c r="G410" s="138"/>
      <c r="H410" s="119"/>
      <c r="I410" s="146"/>
      <c r="J410" s="146"/>
      <c r="K410" s="146"/>
      <c r="L410" s="146"/>
      <c r="M410" s="146"/>
      <c r="N410" s="146"/>
      <c r="O410" s="146"/>
      <c r="P410" s="146"/>
      <c r="Q410" s="146"/>
      <c r="R410" s="146"/>
      <c r="S410" s="146"/>
      <c r="T410" s="146"/>
      <c r="U410" s="146"/>
      <c r="V410" s="146"/>
      <c r="W410" s="146"/>
      <c r="X410" s="146"/>
      <c r="Y410" s="146"/>
      <c r="Z410" s="146"/>
      <c r="AA410" s="146"/>
    </row>
    <row r="411" ht="22.5" customHeight="1">
      <c r="A411" s="145"/>
      <c r="B411" s="154"/>
      <c r="C411" s="154"/>
      <c r="D411" s="138"/>
      <c r="E411" s="138"/>
      <c r="F411" s="138"/>
      <c r="G411" s="138"/>
      <c r="H411" s="119"/>
      <c r="I411" s="146"/>
      <c r="J411" s="146"/>
      <c r="K411" s="146"/>
      <c r="L411" s="146"/>
      <c r="M411" s="146"/>
      <c r="N411" s="146"/>
      <c r="O411" s="146"/>
      <c r="P411" s="146"/>
      <c r="Q411" s="146"/>
      <c r="R411" s="146"/>
      <c r="S411" s="146"/>
      <c r="T411" s="146"/>
      <c r="U411" s="146"/>
      <c r="V411" s="146"/>
      <c r="W411" s="146"/>
      <c r="X411" s="146"/>
      <c r="Y411" s="146"/>
      <c r="Z411" s="146"/>
      <c r="AA411" s="146"/>
    </row>
    <row r="412" ht="22.5" customHeight="1">
      <c r="A412" s="145"/>
      <c r="B412" s="154"/>
      <c r="C412" s="154"/>
      <c r="D412" s="138"/>
      <c r="E412" s="138"/>
      <c r="F412" s="138"/>
      <c r="G412" s="138"/>
      <c r="H412" s="119"/>
      <c r="I412" s="146"/>
      <c r="J412" s="146"/>
      <c r="K412" s="146"/>
      <c r="L412" s="146"/>
      <c r="M412" s="146"/>
      <c r="N412" s="146"/>
      <c r="O412" s="146"/>
      <c r="P412" s="146"/>
      <c r="Q412" s="146"/>
      <c r="R412" s="146"/>
      <c r="S412" s="146"/>
      <c r="T412" s="146"/>
      <c r="U412" s="146"/>
      <c r="V412" s="146"/>
      <c r="W412" s="146"/>
      <c r="X412" s="146"/>
      <c r="Y412" s="146"/>
      <c r="Z412" s="146"/>
      <c r="AA412" s="146"/>
    </row>
    <row r="413" ht="22.5" customHeight="1">
      <c r="A413" s="145"/>
      <c r="B413" s="154"/>
      <c r="C413" s="154"/>
      <c r="D413" s="138"/>
      <c r="E413" s="138"/>
      <c r="F413" s="138"/>
      <c r="G413" s="138"/>
      <c r="H413" s="119"/>
      <c r="I413" s="146"/>
      <c r="J413" s="146"/>
      <c r="K413" s="146"/>
      <c r="L413" s="146"/>
      <c r="M413" s="146"/>
      <c r="N413" s="146"/>
      <c r="O413" s="146"/>
      <c r="P413" s="146"/>
      <c r="Q413" s="146"/>
      <c r="R413" s="146"/>
      <c r="S413" s="146"/>
      <c r="T413" s="146"/>
      <c r="U413" s="146"/>
      <c r="V413" s="146"/>
      <c r="W413" s="146"/>
      <c r="X413" s="146"/>
      <c r="Y413" s="146"/>
      <c r="Z413" s="146"/>
      <c r="AA413" s="146"/>
    </row>
    <row r="414" ht="22.5" customHeight="1">
      <c r="A414" s="145"/>
      <c r="B414" s="154"/>
      <c r="C414" s="154"/>
      <c r="D414" s="138"/>
      <c r="E414" s="138"/>
      <c r="F414" s="138"/>
      <c r="G414" s="138"/>
      <c r="H414" s="119"/>
      <c r="I414" s="146"/>
      <c r="J414" s="146"/>
      <c r="K414" s="146"/>
      <c r="L414" s="146"/>
      <c r="M414" s="146"/>
      <c r="N414" s="146"/>
      <c r="O414" s="146"/>
      <c r="P414" s="146"/>
      <c r="Q414" s="146"/>
      <c r="R414" s="146"/>
      <c r="S414" s="146"/>
      <c r="T414" s="146"/>
      <c r="U414" s="146"/>
      <c r="V414" s="146"/>
      <c r="W414" s="146"/>
      <c r="X414" s="146"/>
      <c r="Y414" s="146"/>
      <c r="Z414" s="146"/>
      <c r="AA414" s="146"/>
    </row>
    <row r="415" ht="22.5" customHeight="1">
      <c r="A415" s="145"/>
      <c r="B415" s="154"/>
      <c r="C415" s="154"/>
      <c r="D415" s="138"/>
      <c r="E415" s="138"/>
      <c r="F415" s="138"/>
      <c r="G415" s="138"/>
      <c r="H415" s="119"/>
      <c r="I415" s="146"/>
      <c r="J415" s="146"/>
      <c r="K415" s="146"/>
      <c r="L415" s="146"/>
      <c r="M415" s="146"/>
      <c r="N415" s="146"/>
      <c r="O415" s="146"/>
      <c r="P415" s="146"/>
      <c r="Q415" s="146"/>
      <c r="R415" s="146"/>
      <c r="S415" s="146"/>
      <c r="T415" s="146"/>
      <c r="U415" s="146"/>
      <c r="V415" s="146"/>
      <c r="W415" s="146"/>
      <c r="X415" s="146"/>
      <c r="Y415" s="146"/>
      <c r="Z415" s="146"/>
      <c r="AA415" s="146"/>
    </row>
    <row r="416" ht="22.5" customHeight="1">
      <c r="A416" s="145"/>
      <c r="B416" s="154"/>
      <c r="C416" s="154"/>
      <c r="D416" s="138"/>
      <c r="E416" s="138"/>
      <c r="F416" s="138"/>
      <c r="G416" s="138"/>
      <c r="H416" s="119"/>
      <c r="I416" s="146"/>
      <c r="J416" s="146"/>
      <c r="K416" s="146"/>
      <c r="L416" s="146"/>
      <c r="M416" s="146"/>
      <c r="N416" s="146"/>
      <c r="O416" s="146"/>
      <c r="P416" s="146"/>
      <c r="Q416" s="146"/>
      <c r="R416" s="146"/>
      <c r="S416" s="146"/>
      <c r="T416" s="146"/>
      <c r="U416" s="146"/>
      <c r="V416" s="146"/>
      <c r="W416" s="146"/>
      <c r="X416" s="146"/>
      <c r="Y416" s="146"/>
      <c r="Z416" s="146"/>
      <c r="AA416" s="146"/>
    </row>
    <row r="417" ht="22.5" customHeight="1">
      <c r="A417" s="145"/>
      <c r="B417" s="154"/>
      <c r="C417" s="154"/>
      <c r="D417" s="138"/>
      <c r="E417" s="138"/>
      <c r="F417" s="138"/>
      <c r="G417" s="138"/>
      <c r="H417" s="119"/>
      <c r="I417" s="146"/>
      <c r="J417" s="146"/>
      <c r="K417" s="146"/>
      <c r="L417" s="146"/>
      <c r="M417" s="146"/>
      <c r="N417" s="146"/>
      <c r="O417" s="146"/>
      <c r="P417" s="146"/>
      <c r="Q417" s="146"/>
      <c r="R417" s="146"/>
      <c r="S417" s="146"/>
      <c r="T417" s="146"/>
      <c r="U417" s="146"/>
      <c r="V417" s="146"/>
      <c r="W417" s="146"/>
      <c r="X417" s="146"/>
      <c r="Y417" s="146"/>
      <c r="Z417" s="146"/>
      <c r="AA417" s="146"/>
    </row>
    <row r="418" ht="22.5" customHeight="1">
      <c r="A418" s="145"/>
      <c r="B418" s="154"/>
      <c r="C418" s="154"/>
      <c r="D418" s="138"/>
      <c r="E418" s="138"/>
      <c r="F418" s="138"/>
      <c r="G418" s="138"/>
      <c r="H418" s="119"/>
      <c r="I418" s="146"/>
      <c r="J418" s="146"/>
      <c r="K418" s="146"/>
      <c r="L418" s="146"/>
      <c r="M418" s="146"/>
      <c r="N418" s="146"/>
      <c r="O418" s="146"/>
      <c r="P418" s="146"/>
      <c r="Q418" s="146"/>
      <c r="R418" s="146"/>
      <c r="S418" s="146"/>
      <c r="T418" s="146"/>
      <c r="U418" s="146"/>
      <c r="V418" s="146"/>
      <c r="W418" s="146"/>
      <c r="X418" s="146"/>
      <c r="Y418" s="146"/>
      <c r="Z418" s="146"/>
      <c r="AA418" s="146"/>
    </row>
    <row r="419" ht="22.5" customHeight="1">
      <c r="A419" s="145"/>
      <c r="B419" s="154"/>
      <c r="C419" s="154"/>
      <c r="D419" s="138"/>
      <c r="E419" s="138"/>
      <c r="F419" s="138"/>
      <c r="G419" s="138"/>
      <c r="H419" s="119"/>
      <c r="I419" s="146"/>
      <c r="J419" s="146"/>
      <c r="K419" s="146"/>
      <c r="L419" s="146"/>
      <c r="M419" s="146"/>
      <c r="N419" s="146"/>
      <c r="O419" s="146"/>
      <c r="P419" s="146"/>
      <c r="Q419" s="146"/>
      <c r="R419" s="146"/>
      <c r="S419" s="146"/>
      <c r="T419" s="146"/>
      <c r="U419" s="146"/>
      <c r="V419" s="146"/>
      <c r="W419" s="146"/>
      <c r="X419" s="146"/>
      <c r="Y419" s="146"/>
      <c r="Z419" s="146"/>
      <c r="AA419" s="146"/>
    </row>
    <row r="420" ht="22.5" customHeight="1">
      <c r="A420" s="145"/>
      <c r="B420" s="154"/>
      <c r="C420" s="154"/>
      <c r="D420" s="138"/>
      <c r="E420" s="138"/>
      <c r="F420" s="138"/>
      <c r="G420" s="138"/>
      <c r="H420" s="119"/>
      <c r="I420" s="146"/>
      <c r="J420" s="146"/>
      <c r="K420" s="146"/>
      <c r="L420" s="146"/>
      <c r="M420" s="146"/>
      <c r="N420" s="146"/>
      <c r="O420" s="146"/>
      <c r="P420" s="146"/>
      <c r="Q420" s="146"/>
      <c r="R420" s="146"/>
      <c r="S420" s="146"/>
      <c r="T420" s="146"/>
      <c r="U420" s="146"/>
      <c r="V420" s="146"/>
      <c r="W420" s="146"/>
      <c r="X420" s="146"/>
      <c r="Y420" s="146"/>
      <c r="Z420" s="146"/>
      <c r="AA420" s="146"/>
    </row>
    <row r="421" ht="22.5" customHeight="1">
      <c r="A421" s="145"/>
      <c r="B421" s="154"/>
      <c r="C421" s="154"/>
      <c r="D421" s="138"/>
      <c r="E421" s="138"/>
      <c r="F421" s="138"/>
      <c r="G421" s="138"/>
      <c r="H421" s="119"/>
      <c r="I421" s="146"/>
      <c r="J421" s="146"/>
      <c r="K421" s="146"/>
      <c r="L421" s="146"/>
      <c r="M421" s="146"/>
      <c r="N421" s="146"/>
      <c r="O421" s="146"/>
      <c r="P421" s="146"/>
      <c r="Q421" s="146"/>
      <c r="R421" s="146"/>
      <c r="S421" s="146"/>
      <c r="T421" s="146"/>
      <c r="U421" s="146"/>
      <c r="V421" s="146"/>
      <c r="W421" s="146"/>
      <c r="X421" s="146"/>
      <c r="Y421" s="146"/>
      <c r="Z421" s="146"/>
      <c r="AA421" s="146"/>
    </row>
    <row r="422" ht="22.5" customHeight="1">
      <c r="A422" s="145"/>
      <c r="B422" s="154"/>
      <c r="C422" s="154"/>
      <c r="D422" s="138"/>
      <c r="E422" s="138"/>
      <c r="F422" s="138"/>
      <c r="G422" s="138"/>
      <c r="H422" s="119"/>
      <c r="I422" s="146"/>
      <c r="J422" s="146"/>
      <c r="K422" s="146"/>
      <c r="L422" s="146"/>
      <c r="M422" s="146"/>
      <c r="N422" s="146"/>
      <c r="O422" s="146"/>
      <c r="P422" s="146"/>
      <c r="Q422" s="146"/>
      <c r="R422" s="146"/>
      <c r="S422" s="146"/>
      <c r="T422" s="146"/>
      <c r="U422" s="146"/>
      <c r="V422" s="146"/>
      <c r="W422" s="146"/>
      <c r="X422" s="146"/>
      <c r="Y422" s="146"/>
      <c r="Z422" s="146"/>
      <c r="AA422" s="146"/>
    </row>
    <row r="423" ht="22.5" customHeight="1">
      <c r="A423" s="145"/>
      <c r="B423" s="154"/>
      <c r="C423" s="154"/>
      <c r="D423" s="138"/>
      <c r="E423" s="138"/>
      <c r="F423" s="138"/>
      <c r="G423" s="138"/>
      <c r="H423" s="119"/>
      <c r="I423" s="146"/>
      <c r="J423" s="146"/>
      <c r="K423" s="146"/>
      <c r="L423" s="146"/>
      <c r="M423" s="146"/>
      <c r="N423" s="146"/>
      <c r="O423" s="146"/>
      <c r="P423" s="146"/>
      <c r="Q423" s="146"/>
      <c r="R423" s="146"/>
      <c r="S423" s="146"/>
      <c r="T423" s="146"/>
      <c r="U423" s="146"/>
      <c r="V423" s="146"/>
      <c r="W423" s="146"/>
      <c r="X423" s="146"/>
      <c r="Y423" s="146"/>
      <c r="Z423" s="146"/>
      <c r="AA423" s="146"/>
    </row>
    <row r="424" ht="22.5" customHeight="1">
      <c r="A424" s="145"/>
      <c r="B424" s="154"/>
      <c r="C424" s="154"/>
      <c r="D424" s="138"/>
      <c r="E424" s="138"/>
      <c r="F424" s="138"/>
      <c r="G424" s="138"/>
      <c r="H424" s="119"/>
      <c r="I424" s="146"/>
      <c r="J424" s="146"/>
      <c r="K424" s="146"/>
      <c r="L424" s="146"/>
      <c r="M424" s="146"/>
      <c r="N424" s="146"/>
      <c r="O424" s="146"/>
      <c r="P424" s="146"/>
      <c r="Q424" s="146"/>
      <c r="R424" s="146"/>
      <c r="S424" s="146"/>
      <c r="T424" s="146"/>
      <c r="U424" s="146"/>
      <c r="V424" s="146"/>
      <c r="W424" s="146"/>
      <c r="X424" s="146"/>
      <c r="Y424" s="146"/>
      <c r="Z424" s="146"/>
      <c r="AA424" s="146"/>
    </row>
    <row r="425" ht="22.5" customHeight="1">
      <c r="A425" s="145"/>
      <c r="B425" s="154"/>
      <c r="C425" s="154"/>
      <c r="D425" s="138"/>
      <c r="E425" s="138"/>
      <c r="F425" s="138"/>
      <c r="G425" s="138"/>
      <c r="H425" s="119"/>
      <c r="I425" s="146"/>
      <c r="J425" s="146"/>
      <c r="K425" s="146"/>
      <c r="L425" s="146"/>
      <c r="M425" s="146"/>
      <c r="N425" s="146"/>
      <c r="O425" s="146"/>
      <c r="P425" s="146"/>
      <c r="Q425" s="146"/>
      <c r="R425" s="146"/>
      <c r="S425" s="146"/>
      <c r="T425" s="146"/>
      <c r="U425" s="146"/>
      <c r="V425" s="146"/>
      <c r="W425" s="146"/>
      <c r="X425" s="146"/>
      <c r="Y425" s="146"/>
      <c r="Z425" s="146"/>
      <c r="AA425" s="146"/>
    </row>
    <row r="426" ht="22.5" customHeight="1">
      <c r="A426" s="145"/>
      <c r="B426" s="154"/>
      <c r="C426" s="154"/>
      <c r="D426" s="138"/>
      <c r="E426" s="138"/>
      <c r="F426" s="138"/>
      <c r="G426" s="138"/>
      <c r="H426" s="119"/>
      <c r="I426" s="146"/>
      <c r="J426" s="146"/>
      <c r="K426" s="146"/>
      <c r="L426" s="146"/>
      <c r="M426" s="146"/>
      <c r="N426" s="146"/>
      <c r="O426" s="146"/>
      <c r="P426" s="146"/>
      <c r="Q426" s="146"/>
      <c r="R426" s="146"/>
      <c r="S426" s="146"/>
      <c r="T426" s="146"/>
      <c r="U426" s="146"/>
      <c r="V426" s="146"/>
      <c r="W426" s="146"/>
      <c r="X426" s="146"/>
      <c r="Y426" s="146"/>
      <c r="Z426" s="146"/>
      <c r="AA426" s="146"/>
    </row>
    <row r="427" ht="22.5" customHeight="1">
      <c r="A427" s="145"/>
      <c r="B427" s="154"/>
      <c r="C427" s="154"/>
      <c r="D427" s="138"/>
      <c r="E427" s="138"/>
      <c r="F427" s="138"/>
      <c r="G427" s="138"/>
      <c r="H427" s="119"/>
      <c r="I427" s="146"/>
      <c r="J427" s="146"/>
      <c r="K427" s="146"/>
      <c r="L427" s="146"/>
      <c r="M427" s="146"/>
      <c r="N427" s="146"/>
      <c r="O427" s="146"/>
      <c r="P427" s="146"/>
      <c r="Q427" s="146"/>
      <c r="R427" s="146"/>
      <c r="S427" s="146"/>
      <c r="T427" s="146"/>
      <c r="U427" s="146"/>
      <c r="V427" s="146"/>
      <c r="W427" s="146"/>
      <c r="X427" s="146"/>
      <c r="Y427" s="146"/>
      <c r="Z427" s="146"/>
      <c r="AA427" s="146"/>
    </row>
    <row r="428" ht="22.5" customHeight="1">
      <c r="A428" s="145"/>
      <c r="B428" s="154"/>
      <c r="C428" s="154"/>
      <c r="D428" s="138"/>
      <c r="E428" s="138"/>
      <c r="F428" s="138"/>
      <c r="G428" s="138"/>
      <c r="H428" s="119"/>
      <c r="I428" s="146"/>
      <c r="J428" s="146"/>
      <c r="K428" s="146"/>
      <c r="L428" s="146"/>
      <c r="M428" s="146"/>
      <c r="N428" s="146"/>
      <c r="O428" s="146"/>
      <c r="P428" s="146"/>
      <c r="Q428" s="146"/>
      <c r="R428" s="146"/>
      <c r="S428" s="146"/>
      <c r="T428" s="146"/>
      <c r="U428" s="146"/>
      <c r="V428" s="146"/>
      <c r="W428" s="146"/>
      <c r="X428" s="146"/>
      <c r="Y428" s="146"/>
      <c r="Z428" s="146"/>
      <c r="AA428" s="146"/>
    </row>
    <row r="429" ht="22.5" customHeight="1">
      <c r="A429" s="145"/>
      <c r="B429" s="154"/>
      <c r="C429" s="154"/>
      <c r="D429" s="138"/>
      <c r="E429" s="138"/>
      <c r="F429" s="138"/>
      <c r="G429" s="138"/>
      <c r="H429" s="119"/>
      <c r="I429" s="146"/>
      <c r="J429" s="146"/>
      <c r="K429" s="146"/>
      <c r="L429" s="146"/>
      <c r="M429" s="146"/>
      <c r="N429" s="146"/>
      <c r="O429" s="146"/>
      <c r="P429" s="146"/>
      <c r="Q429" s="146"/>
      <c r="R429" s="146"/>
      <c r="S429" s="146"/>
      <c r="T429" s="146"/>
      <c r="U429" s="146"/>
      <c r="V429" s="146"/>
      <c r="W429" s="146"/>
      <c r="X429" s="146"/>
      <c r="Y429" s="146"/>
      <c r="Z429" s="146"/>
      <c r="AA429" s="146"/>
    </row>
    <row r="430" ht="22.5" customHeight="1">
      <c r="A430" s="145"/>
      <c r="B430" s="154"/>
      <c r="C430" s="154"/>
      <c r="D430" s="138"/>
      <c r="E430" s="138"/>
      <c r="F430" s="138"/>
      <c r="G430" s="138"/>
      <c r="H430" s="119"/>
      <c r="I430" s="146"/>
      <c r="J430" s="146"/>
      <c r="K430" s="146"/>
      <c r="L430" s="146"/>
      <c r="M430" s="146"/>
      <c r="N430" s="146"/>
      <c r="O430" s="146"/>
      <c r="P430" s="146"/>
      <c r="Q430" s="146"/>
      <c r="R430" s="146"/>
      <c r="S430" s="146"/>
      <c r="T430" s="146"/>
      <c r="U430" s="146"/>
      <c r="V430" s="146"/>
      <c r="W430" s="146"/>
      <c r="X430" s="146"/>
      <c r="Y430" s="146"/>
      <c r="Z430" s="146"/>
      <c r="AA430" s="146"/>
    </row>
    <row r="431" ht="22.5" customHeight="1">
      <c r="A431" s="145"/>
      <c r="B431" s="154"/>
      <c r="C431" s="154"/>
      <c r="D431" s="138"/>
      <c r="E431" s="138"/>
      <c r="F431" s="138"/>
      <c r="G431" s="138"/>
      <c r="H431" s="119"/>
      <c r="I431" s="146"/>
      <c r="J431" s="146"/>
      <c r="K431" s="146"/>
      <c r="L431" s="146"/>
      <c r="M431" s="146"/>
      <c r="N431" s="146"/>
      <c r="O431" s="146"/>
      <c r="P431" s="146"/>
      <c r="Q431" s="146"/>
      <c r="R431" s="146"/>
      <c r="S431" s="146"/>
      <c r="T431" s="146"/>
      <c r="U431" s="146"/>
      <c r="V431" s="146"/>
      <c r="W431" s="146"/>
      <c r="X431" s="146"/>
      <c r="Y431" s="146"/>
      <c r="Z431" s="146"/>
      <c r="AA431" s="146"/>
    </row>
    <row r="432" ht="22.5" customHeight="1">
      <c r="A432" s="145"/>
      <c r="B432" s="154"/>
      <c r="C432" s="154"/>
      <c r="D432" s="138"/>
      <c r="E432" s="138"/>
      <c r="F432" s="138"/>
      <c r="G432" s="138"/>
      <c r="H432" s="119"/>
      <c r="I432" s="146"/>
      <c r="J432" s="146"/>
      <c r="K432" s="146"/>
      <c r="L432" s="146"/>
      <c r="M432" s="146"/>
      <c r="N432" s="146"/>
      <c r="O432" s="146"/>
      <c r="P432" s="146"/>
      <c r="Q432" s="146"/>
      <c r="R432" s="146"/>
      <c r="S432" s="146"/>
      <c r="T432" s="146"/>
      <c r="U432" s="146"/>
      <c r="V432" s="146"/>
      <c r="W432" s="146"/>
      <c r="X432" s="146"/>
      <c r="Y432" s="146"/>
      <c r="Z432" s="146"/>
      <c r="AA432" s="146"/>
    </row>
    <row r="433" ht="22.5" customHeight="1">
      <c r="A433" s="145"/>
      <c r="B433" s="154"/>
      <c r="C433" s="154"/>
      <c r="D433" s="138"/>
      <c r="E433" s="138"/>
      <c r="F433" s="138"/>
      <c r="G433" s="138"/>
      <c r="H433" s="119"/>
      <c r="I433" s="146"/>
      <c r="J433" s="146"/>
      <c r="K433" s="146"/>
      <c r="L433" s="146"/>
      <c r="M433" s="146"/>
      <c r="N433" s="146"/>
      <c r="O433" s="146"/>
      <c r="P433" s="146"/>
      <c r="Q433" s="146"/>
      <c r="R433" s="146"/>
      <c r="S433" s="146"/>
      <c r="T433" s="146"/>
      <c r="U433" s="146"/>
      <c r="V433" s="146"/>
      <c r="W433" s="146"/>
      <c r="X433" s="146"/>
      <c r="Y433" s="146"/>
      <c r="Z433" s="146"/>
      <c r="AA433" s="146"/>
    </row>
    <row r="434" ht="22.5" customHeight="1">
      <c r="A434" s="145"/>
      <c r="B434" s="154"/>
      <c r="C434" s="154"/>
      <c r="D434" s="138"/>
      <c r="E434" s="138"/>
      <c r="F434" s="138"/>
      <c r="G434" s="138"/>
      <c r="H434" s="119"/>
      <c r="I434" s="146"/>
      <c r="J434" s="146"/>
      <c r="K434" s="146"/>
      <c r="L434" s="146"/>
      <c r="M434" s="146"/>
      <c r="N434" s="146"/>
      <c r="O434" s="146"/>
      <c r="P434" s="146"/>
      <c r="Q434" s="146"/>
      <c r="R434" s="146"/>
      <c r="S434" s="146"/>
      <c r="T434" s="146"/>
      <c r="U434" s="146"/>
      <c r="V434" s="146"/>
      <c r="W434" s="146"/>
      <c r="X434" s="146"/>
      <c r="Y434" s="146"/>
      <c r="Z434" s="146"/>
      <c r="AA434" s="146"/>
    </row>
    <row r="435" ht="22.5" customHeight="1">
      <c r="A435" s="145"/>
      <c r="B435" s="154"/>
      <c r="C435" s="154"/>
      <c r="D435" s="138"/>
      <c r="E435" s="138"/>
      <c r="F435" s="138"/>
      <c r="G435" s="138"/>
      <c r="H435" s="119"/>
      <c r="I435" s="146"/>
      <c r="J435" s="146"/>
      <c r="K435" s="146"/>
      <c r="L435" s="146"/>
      <c r="M435" s="146"/>
      <c r="N435" s="146"/>
      <c r="O435" s="146"/>
      <c r="P435" s="146"/>
      <c r="Q435" s="146"/>
      <c r="R435" s="146"/>
      <c r="S435" s="146"/>
      <c r="T435" s="146"/>
      <c r="U435" s="146"/>
      <c r="V435" s="146"/>
      <c r="W435" s="146"/>
      <c r="X435" s="146"/>
      <c r="Y435" s="146"/>
      <c r="Z435" s="146"/>
      <c r="AA435" s="146"/>
    </row>
    <row r="436" ht="22.5" customHeight="1">
      <c r="A436" s="145"/>
      <c r="B436" s="154"/>
      <c r="C436" s="154"/>
      <c r="D436" s="138"/>
      <c r="E436" s="138"/>
      <c r="F436" s="138"/>
      <c r="G436" s="138"/>
      <c r="H436" s="119"/>
      <c r="I436" s="146"/>
      <c r="J436" s="146"/>
      <c r="K436" s="146"/>
      <c r="L436" s="146"/>
      <c r="M436" s="146"/>
      <c r="N436" s="146"/>
      <c r="O436" s="146"/>
      <c r="P436" s="146"/>
      <c r="Q436" s="146"/>
      <c r="R436" s="146"/>
      <c r="S436" s="146"/>
      <c r="T436" s="146"/>
      <c r="U436" s="146"/>
      <c r="V436" s="146"/>
      <c r="W436" s="146"/>
      <c r="X436" s="146"/>
      <c r="Y436" s="146"/>
      <c r="Z436" s="146"/>
      <c r="AA436" s="146"/>
    </row>
    <row r="437" ht="22.5" customHeight="1">
      <c r="A437" s="145"/>
      <c r="B437" s="154"/>
      <c r="C437" s="154"/>
      <c r="D437" s="138"/>
      <c r="E437" s="138"/>
      <c r="F437" s="138"/>
      <c r="G437" s="138"/>
      <c r="H437" s="119"/>
      <c r="I437" s="146"/>
      <c r="J437" s="146"/>
      <c r="K437" s="146"/>
      <c r="L437" s="146"/>
      <c r="M437" s="146"/>
      <c r="N437" s="146"/>
      <c r="O437" s="146"/>
      <c r="P437" s="146"/>
      <c r="Q437" s="146"/>
      <c r="R437" s="146"/>
      <c r="S437" s="146"/>
      <c r="T437" s="146"/>
      <c r="U437" s="146"/>
      <c r="V437" s="146"/>
      <c r="W437" s="146"/>
      <c r="X437" s="146"/>
      <c r="Y437" s="146"/>
      <c r="Z437" s="146"/>
      <c r="AA437" s="146"/>
    </row>
    <row r="438" ht="22.5" customHeight="1">
      <c r="A438" s="145"/>
      <c r="B438" s="154"/>
      <c r="C438" s="154"/>
      <c r="D438" s="138"/>
      <c r="E438" s="138"/>
      <c r="F438" s="138"/>
      <c r="G438" s="138"/>
      <c r="H438" s="119"/>
      <c r="I438" s="146"/>
      <c r="J438" s="146"/>
      <c r="K438" s="146"/>
      <c r="L438" s="146"/>
      <c r="M438" s="146"/>
      <c r="N438" s="146"/>
      <c r="O438" s="146"/>
      <c r="P438" s="146"/>
      <c r="Q438" s="146"/>
      <c r="R438" s="146"/>
      <c r="S438" s="146"/>
      <c r="T438" s="146"/>
      <c r="U438" s="146"/>
      <c r="V438" s="146"/>
      <c r="W438" s="146"/>
      <c r="X438" s="146"/>
      <c r="Y438" s="146"/>
      <c r="Z438" s="146"/>
      <c r="AA438" s="146"/>
    </row>
    <row r="439" ht="22.5" customHeight="1">
      <c r="A439" s="145"/>
      <c r="B439" s="154"/>
      <c r="C439" s="154"/>
      <c r="D439" s="138"/>
      <c r="E439" s="138"/>
      <c r="F439" s="138"/>
      <c r="G439" s="138"/>
      <c r="H439" s="119"/>
      <c r="I439" s="146"/>
      <c r="J439" s="146"/>
      <c r="K439" s="146"/>
      <c r="L439" s="146"/>
      <c r="M439" s="146"/>
      <c r="N439" s="146"/>
      <c r="O439" s="146"/>
      <c r="P439" s="146"/>
      <c r="Q439" s="146"/>
      <c r="R439" s="146"/>
      <c r="S439" s="146"/>
      <c r="T439" s="146"/>
      <c r="U439" s="146"/>
      <c r="V439" s="146"/>
      <c r="W439" s="146"/>
      <c r="X439" s="146"/>
      <c r="Y439" s="146"/>
      <c r="Z439" s="146"/>
      <c r="AA439" s="146"/>
    </row>
    <row r="440" ht="22.5" customHeight="1">
      <c r="A440" s="145"/>
      <c r="B440" s="154"/>
      <c r="C440" s="154"/>
      <c r="D440" s="138"/>
      <c r="E440" s="138"/>
      <c r="F440" s="138"/>
      <c r="G440" s="138"/>
      <c r="H440" s="119"/>
      <c r="I440" s="146"/>
      <c r="J440" s="146"/>
      <c r="K440" s="146"/>
      <c r="L440" s="146"/>
      <c r="M440" s="146"/>
      <c r="N440" s="146"/>
      <c r="O440" s="146"/>
      <c r="P440" s="146"/>
      <c r="Q440" s="146"/>
      <c r="R440" s="146"/>
      <c r="S440" s="146"/>
      <c r="T440" s="146"/>
      <c r="U440" s="146"/>
      <c r="V440" s="146"/>
      <c r="W440" s="146"/>
      <c r="X440" s="146"/>
      <c r="Y440" s="146"/>
      <c r="Z440" s="146"/>
      <c r="AA440" s="146"/>
    </row>
    <row r="441" ht="22.5" customHeight="1">
      <c r="A441" s="145"/>
      <c r="B441" s="154"/>
      <c r="C441" s="154"/>
      <c r="D441" s="138"/>
      <c r="E441" s="138"/>
      <c r="F441" s="138"/>
      <c r="G441" s="138"/>
      <c r="H441" s="119"/>
      <c r="I441" s="146"/>
      <c r="J441" s="146"/>
      <c r="K441" s="146"/>
      <c r="L441" s="146"/>
      <c r="M441" s="146"/>
      <c r="N441" s="146"/>
      <c r="O441" s="146"/>
      <c r="P441" s="146"/>
      <c r="Q441" s="146"/>
      <c r="R441" s="146"/>
      <c r="S441" s="146"/>
      <c r="T441" s="146"/>
      <c r="U441" s="146"/>
      <c r="V441" s="146"/>
      <c r="W441" s="146"/>
      <c r="X441" s="146"/>
      <c r="Y441" s="146"/>
      <c r="Z441" s="146"/>
      <c r="AA441" s="146"/>
    </row>
    <row r="442" ht="22.5" customHeight="1">
      <c r="A442" s="145"/>
      <c r="B442" s="154"/>
      <c r="C442" s="154"/>
      <c r="D442" s="138"/>
      <c r="E442" s="138"/>
      <c r="F442" s="138"/>
      <c r="G442" s="138"/>
      <c r="H442" s="119"/>
      <c r="I442" s="146"/>
      <c r="J442" s="146"/>
      <c r="K442" s="146"/>
      <c r="L442" s="146"/>
      <c r="M442" s="146"/>
      <c r="N442" s="146"/>
      <c r="O442" s="146"/>
      <c r="P442" s="146"/>
      <c r="Q442" s="146"/>
      <c r="R442" s="146"/>
      <c r="S442" s="146"/>
      <c r="T442" s="146"/>
      <c r="U442" s="146"/>
      <c r="V442" s="146"/>
      <c r="W442" s="146"/>
      <c r="X442" s="146"/>
      <c r="Y442" s="146"/>
      <c r="Z442" s="146"/>
      <c r="AA442" s="146"/>
    </row>
    <row r="443" ht="22.5" customHeight="1">
      <c r="A443" s="145"/>
      <c r="B443" s="154"/>
      <c r="C443" s="154"/>
      <c r="D443" s="138"/>
      <c r="E443" s="138"/>
      <c r="F443" s="138"/>
      <c r="G443" s="138"/>
      <c r="H443" s="119"/>
      <c r="I443" s="146"/>
      <c r="J443" s="146"/>
      <c r="K443" s="146"/>
      <c r="L443" s="146"/>
      <c r="M443" s="146"/>
      <c r="N443" s="146"/>
      <c r="O443" s="146"/>
      <c r="P443" s="146"/>
      <c r="Q443" s="146"/>
      <c r="R443" s="146"/>
      <c r="S443" s="146"/>
      <c r="T443" s="146"/>
      <c r="U443" s="146"/>
      <c r="V443" s="146"/>
      <c r="W443" s="146"/>
      <c r="X443" s="146"/>
      <c r="Y443" s="146"/>
      <c r="Z443" s="146"/>
      <c r="AA443" s="146"/>
    </row>
    <row r="444" ht="22.5" customHeight="1">
      <c r="A444" s="145"/>
      <c r="B444" s="154"/>
      <c r="C444" s="154"/>
      <c r="D444" s="138"/>
      <c r="E444" s="138"/>
      <c r="F444" s="138"/>
      <c r="G444" s="138"/>
      <c r="H444" s="119"/>
      <c r="I444" s="146"/>
      <c r="J444" s="146"/>
      <c r="K444" s="146"/>
      <c r="L444" s="146"/>
      <c r="M444" s="146"/>
      <c r="N444" s="146"/>
      <c r="O444" s="146"/>
      <c r="P444" s="146"/>
      <c r="Q444" s="146"/>
      <c r="R444" s="146"/>
      <c r="S444" s="146"/>
      <c r="T444" s="146"/>
      <c r="U444" s="146"/>
      <c r="V444" s="146"/>
      <c r="W444" s="146"/>
      <c r="X444" s="146"/>
      <c r="Y444" s="146"/>
      <c r="Z444" s="146"/>
      <c r="AA444" s="146"/>
    </row>
    <row r="445" ht="22.5" customHeight="1">
      <c r="A445" s="145"/>
      <c r="B445" s="154"/>
      <c r="C445" s="154"/>
      <c r="D445" s="138"/>
      <c r="E445" s="138"/>
      <c r="F445" s="138"/>
      <c r="G445" s="138"/>
      <c r="H445" s="119"/>
      <c r="I445" s="146"/>
      <c r="J445" s="146"/>
      <c r="K445" s="146"/>
      <c r="L445" s="146"/>
      <c r="M445" s="146"/>
      <c r="N445" s="146"/>
      <c r="O445" s="146"/>
      <c r="P445" s="146"/>
      <c r="Q445" s="146"/>
      <c r="R445" s="146"/>
      <c r="S445" s="146"/>
      <c r="T445" s="146"/>
      <c r="U445" s="146"/>
      <c r="V445" s="146"/>
      <c r="W445" s="146"/>
      <c r="X445" s="146"/>
      <c r="Y445" s="146"/>
      <c r="Z445" s="146"/>
      <c r="AA445" s="146"/>
    </row>
    <row r="446" ht="22.5" customHeight="1">
      <c r="A446" s="145"/>
      <c r="B446" s="154"/>
      <c r="C446" s="154"/>
      <c r="D446" s="138"/>
      <c r="E446" s="138"/>
      <c r="F446" s="138"/>
      <c r="G446" s="138"/>
      <c r="H446" s="119"/>
      <c r="I446" s="146"/>
      <c r="J446" s="146"/>
      <c r="K446" s="146"/>
      <c r="L446" s="146"/>
      <c r="M446" s="146"/>
      <c r="N446" s="146"/>
      <c r="O446" s="146"/>
      <c r="P446" s="146"/>
      <c r="Q446" s="146"/>
      <c r="R446" s="146"/>
      <c r="S446" s="146"/>
      <c r="T446" s="146"/>
      <c r="U446" s="146"/>
      <c r="V446" s="146"/>
      <c r="W446" s="146"/>
      <c r="X446" s="146"/>
      <c r="Y446" s="146"/>
      <c r="Z446" s="146"/>
      <c r="AA446" s="146"/>
    </row>
    <row r="447" ht="22.5" customHeight="1">
      <c r="A447" s="145"/>
      <c r="B447" s="154"/>
      <c r="C447" s="154"/>
      <c r="D447" s="138"/>
      <c r="E447" s="138"/>
      <c r="F447" s="138"/>
      <c r="G447" s="138"/>
      <c r="H447" s="119"/>
      <c r="I447" s="146"/>
      <c r="J447" s="146"/>
      <c r="K447" s="146"/>
      <c r="L447" s="146"/>
      <c r="M447" s="146"/>
      <c r="N447" s="146"/>
      <c r="O447" s="146"/>
      <c r="P447" s="146"/>
      <c r="Q447" s="146"/>
      <c r="R447" s="146"/>
      <c r="S447" s="146"/>
      <c r="T447" s="146"/>
      <c r="U447" s="146"/>
      <c r="V447" s="146"/>
      <c r="W447" s="146"/>
      <c r="X447" s="146"/>
      <c r="Y447" s="146"/>
      <c r="Z447" s="146"/>
      <c r="AA447" s="146"/>
    </row>
    <row r="448" ht="22.5" customHeight="1">
      <c r="A448" s="145"/>
      <c r="B448" s="154"/>
      <c r="C448" s="154"/>
      <c r="D448" s="138"/>
      <c r="E448" s="138"/>
      <c r="F448" s="138"/>
      <c r="G448" s="138"/>
      <c r="H448" s="119"/>
      <c r="I448" s="146"/>
      <c r="J448" s="146"/>
      <c r="K448" s="146"/>
      <c r="L448" s="146"/>
      <c r="M448" s="146"/>
      <c r="N448" s="146"/>
      <c r="O448" s="146"/>
      <c r="P448" s="146"/>
      <c r="Q448" s="146"/>
      <c r="R448" s="146"/>
      <c r="S448" s="146"/>
      <c r="T448" s="146"/>
      <c r="U448" s="146"/>
      <c r="V448" s="146"/>
      <c r="W448" s="146"/>
      <c r="X448" s="146"/>
      <c r="Y448" s="146"/>
      <c r="Z448" s="146"/>
      <c r="AA448" s="146"/>
    </row>
    <row r="449" ht="22.5" customHeight="1">
      <c r="A449" s="145"/>
      <c r="B449" s="154"/>
      <c r="C449" s="154"/>
      <c r="D449" s="138"/>
      <c r="E449" s="138"/>
      <c r="F449" s="138"/>
      <c r="G449" s="138"/>
      <c r="H449" s="119"/>
      <c r="I449" s="146"/>
      <c r="J449" s="146"/>
      <c r="K449" s="146"/>
      <c r="L449" s="146"/>
      <c r="M449" s="146"/>
      <c r="N449" s="146"/>
      <c r="O449" s="146"/>
      <c r="P449" s="146"/>
      <c r="Q449" s="146"/>
      <c r="R449" s="146"/>
      <c r="S449" s="146"/>
      <c r="T449" s="146"/>
      <c r="U449" s="146"/>
      <c r="V449" s="146"/>
      <c r="W449" s="146"/>
      <c r="X449" s="146"/>
      <c r="Y449" s="146"/>
      <c r="Z449" s="146"/>
      <c r="AA449" s="146"/>
    </row>
    <row r="450" ht="22.5" customHeight="1">
      <c r="A450" s="145"/>
      <c r="B450" s="154"/>
      <c r="C450" s="154"/>
      <c r="D450" s="138"/>
      <c r="E450" s="138"/>
      <c r="F450" s="138"/>
      <c r="G450" s="138"/>
      <c r="H450" s="119"/>
      <c r="I450" s="146"/>
      <c r="J450" s="146"/>
      <c r="K450" s="146"/>
      <c r="L450" s="146"/>
      <c r="M450" s="146"/>
      <c r="N450" s="146"/>
      <c r="O450" s="146"/>
      <c r="P450" s="146"/>
      <c r="Q450" s="146"/>
      <c r="R450" s="146"/>
      <c r="S450" s="146"/>
      <c r="T450" s="146"/>
      <c r="U450" s="146"/>
      <c r="V450" s="146"/>
      <c r="W450" s="146"/>
      <c r="X450" s="146"/>
      <c r="Y450" s="146"/>
      <c r="Z450" s="146"/>
      <c r="AA450" s="146"/>
    </row>
    <row r="451" ht="22.5" customHeight="1">
      <c r="A451" s="145"/>
      <c r="B451" s="154"/>
      <c r="C451" s="154"/>
      <c r="D451" s="138"/>
      <c r="E451" s="138"/>
      <c r="F451" s="138"/>
      <c r="G451" s="138"/>
      <c r="H451" s="119"/>
      <c r="I451" s="146"/>
      <c r="J451" s="146"/>
      <c r="K451" s="146"/>
      <c r="L451" s="146"/>
      <c r="M451" s="146"/>
      <c r="N451" s="146"/>
      <c r="O451" s="146"/>
      <c r="P451" s="146"/>
      <c r="Q451" s="146"/>
      <c r="R451" s="146"/>
      <c r="S451" s="146"/>
      <c r="T451" s="146"/>
      <c r="U451" s="146"/>
      <c r="V451" s="146"/>
      <c r="W451" s="146"/>
      <c r="X451" s="146"/>
      <c r="Y451" s="146"/>
      <c r="Z451" s="146"/>
      <c r="AA451" s="146"/>
    </row>
    <row r="452" ht="22.5" customHeight="1">
      <c r="A452" s="145"/>
      <c r="B452" s="154"/>
      <c r="C452" s="154"/>
      <c r="D452" s="138"/>
      <c r="E452" s="138"/>
      <c r="F452" s="138"/>
      <c r="G452" s="138"/>
      <c r="H452" s="119"/>
      <c r="I452" s="146"/>
      <c r="J452" s="146"/>
      <c r="K452" s="146"/>
      <c r="L452" s="146"/>
      <c r="M452" s="146"/>
      <c r="N452" s="146"/>
      <c r="O452" s="146"/>
      <c r="P452" s="146"/>
      <c r="Q452" s="146"/>
      <c r="R452" s="146"/>
      <c r="S452" s="146"/>
      <c r="T452" s="146"/>
      <c r="U452" s="146"/>
      <c r="V452" s="146"/>
      <c r="W452" s="146"/>
      <c r="X452" s="146"/>
      <c r="Y452" s="146"/>
      <c r="Z452" s="146"/>
      <c r="AA452" s="146"/>
    </row>
    <row r="453" ht="22.5" customHeight="1">
      <c r="A453" s="145"/>
      <c r="B453" s="154"/>
      <c r="C453" s="154"/>
      <c r="D453" s="138"/>
      <c r="E453" s="138"/>
      <c r="F453" s="138"/>
      <c r="G453" s="138"/>
      <c r="H453" s="119"/>
      <c r="I453" s="146"/>
      <c r="J453" s="146"/>
      <c r="K453" s="146"/>
      <c r="L453" s="146"/>
      <c r="M453" s="146"/>
      <c r="N453" s="146"/>
      <c r="O453" s="146"/>
      <c r="P453" s="146"/>
      <c r="Q453" s="146"/>
      <c r="R453" s="146"/>
      <c r="S453" s="146"/>
      <c r="T453" s="146"/>
      <c r="U453" s="146"/>
      <c r="V453" s="146"/>
      <c r="W453" s="146"/>
      <c r="X453" s="146"/>
      <c r="Y453" s="146"/>
      <c r="Z453" s="146"/>
      <c r="AA453" s="146"/>
    </row>
    <row r="454" ht="22.5" customHeight="1">
      <c r="A454" s="145"/>
      <c r="B454" s="154"/>
      <c r="C454" s="154"/>
      <c r="D454" s="138"/>
      <c r="E454" s="138"/>
      <c r="F454" s="138"/>
      <c r="G454" s="138"/>
      <c r="H454" s="119"/>
      <c r="I454" s="146"/>
      <c r="J454" s="146"/>
      <c r="K454" s="146"/>
      <c r="L454" s="146"/>
      <c r="M454" s="146"/>
      <c r="N454" s="146"/>
      <c r="O454" s="146"/>
      <c r="P454" s="146"/>
      <c r="Q454" s="146"/>
      <c r="R454" s="146"/>
      <c r="S454" s="146"/>
      <c r="T454" s="146"/>
      <c r="U454" s="146"/>
      <c r="V454" s="146"/>
      <c r="W454" s="146"/>
      <c r="X454" s="146"/>
      <c r="Y454" s="146"/>
      <c r="Z454" s="146"/>
      <c r="AA454" s="146"/>
    </row>
    <row r="455" ht="22.5" customHeight="1">
      <c r="A455" s="145"/>
      <c r="B455" s="154"/>
      <c r="C455" s="154"/>
      <c r="D455" s="138"/>
      <c r="E455" s="138"/>
      <c r="F455" s="138"/>
      <c r="G455" s="138"/>
      <c r="H455" s="119"/>
      <c r="I455" s="146"/>
      <c r="J455" s="146"/>
      <c r="K455" s="146"/>
      <c r="L455" s="146"/>
      <c r="M455" s="146"/>
      <c r="N455" s="146"/>
      <c r="O455" s="146"/>
      <c r="P455" s="146"/>
      <c r="Q455" s="146"/>
      <c r="R455" s="146"/>
      <c r="S455" s="146"/>
      <c r="T455" s="146"/>
      <c r="U455" s="146"/>
      <c r="V455" s="146"/>
      <c r="W455" s="146"/>
      <c r="X455" s="146"/>
      <c r="Y455" s="146"/>
      <c r="Z455" s="146"/>
      <c r="AA455" s="146"/>
    </row>
    <row r="456" ht="22.5" customHeight="1">
      <c r="A456" s="145"/>
      <c r="B456" s="154"/>
      <c r="C456" s="154"/>
      <c r="D456" s="138"/>
      <c r="E456" s="138"/>
      <c r="F456" s="138"/>
      <c r="G456" s="138"/>
      <c r="H456" s="119"/>
      <c r="I456" s="146"/>
      <c r="J456" s="146"/>
      <c r="K456" s="146"/>
      <c r="L456" s="146"/>
      <c r="M456" s="146"/>
      <c r="N456" s="146"/>
      <c r="O456" s="146"/>
      <c r="P456" s="146"/>
      <c r="Q456" s="146"/>
      <c r="R456" s="146"/>
      <c r="S456" s="146"/>
      <c r="T456" s="146"/>
      <c r="U456" s="146"/>
      <c r="V456" s="146"/>
      <c r="W456" s="146"/>
      <c r="X456" s="146"/>
      <c r="Y456" s="146"/>
      <c r="Z456" s="146"/>
      <c r="AA456" s="146"/>
    </row>
    <row r="457" ht="22.5" customHeight="1">
      <c r="A457" s="145"/>
      <c r="B457" s="154"/>
      <c r="C457" s="154"/>
      <c r="D457" s="138"/>
      <c r="E457" s="138"/>
      <c r="F457" s="138"/>
      <c r="G457" s="138"/>
      <c r="H457" s="119"/>
      <c r="I457" s="146"/>
      <c r="J457" s="146"/>
      <c r="K457" s="146"/>
      <c r="L457" s="146"/>
      <c r="M457" s="146"/>
      <c r="N457" s="146"/>
      <c r="O457" s="146"/>
      <c r="P457" s="146"/>
      <c r="Q457" s="146"/>
      <c r="R457" s="146"/>
      <c r="S457" s="146"/>
      <c r="T457" s="146"/>
      <c r="U457" s="146"/>
      <c r="V457" s="146"/>
      <c r="W457" s="146"/>
      <c r="X457" s="146"/>
      <c r="Y457" s="146"/>
      <c r="Z457" s="146"/>
      <c r="AA457" s="146"/>
    </row>
    <row r="458" ht="22.5" customHeight="1">
      <c r="A458" s="145"/>
      <c r="B458" s="154"/>
      <c r="C458" s="154"/>
      <c r="D458" s="138"/>
      <c r="E458" s="138"/>
      <c r="F458" s="138"/>
      <c r="G458" s="138"/>
      <c r="H458" s="119"/>
      <c r="I458" s="146"/>
      <c r="J458" s="146"/>
      <c r="K458" s="146"/>
      <c r="L458" s="146"/>
      <c r="M458" s="146"/>
      <c r="N458" s="146"/>
      <c r="O458" s="146"/>
      <c r="P458" s="146"/>
      <c r="Q458" s="146"/>
      <c r="R458" s="146"/>
      <c r="S458" s="146"/>
      <c r="T458" s="146"/>
      <c r="U458" s="146"/>
      <c r="V458" s="146"/>
      <c r="W458" s="146"/>
      <c r="X458" s="146"/>
      <c r="Y458" s="146"/>
      <c r="Z458" s="146"/>
      <c r="AA458" s="146"/>
    </row>
    <row r="459" ht="22.5" customHeight="1">
      <c r="A459" s="145"/>
      <c r="B459" s="154"/>
      <c r="C459" s="154"/>
      <c r="D459" s="138"/>
      <c r="E459" s="138"/>
      <c r="F459" s="138"/>
      <c r="G459" s="138"/>
      <c r="H459" s="119"/>
      <c r="I459" s="146"/>
      <c r="J459" s="146"/>
      <c r="K459" s="146"/>
      <c r="L459" s="146"/>
      <c r="M459" s="146"/>
      <c r="N459" s="146"/>
      <c r="O459" s="146"/>
      <c r="P459" s="146"/>
      <c r="Q459" s="146"/>
      <c r="R459" s="146"/>
      <c r="S459" s="146"/>
      <c r="T459" s="146"/>
      <c r="U459" s="146"/>
      <c r="V459" s="146"/>
      <c r="W459" s="146"/>
      <c r="X459" s="146"/>
      <c r="Y459" s="146"/>
      <c r="Z459" s="146"/>
      <c r="AA459" s="146"/>
    </row>
    <row r="460" ht="22.5" customHeight="1">
      <c r="A460" s="145"/>
      <c r="B460" s="154"/>
      <c r="C460" s="154"/>
      <c r="D460" s="138"/>
      <c r="E460" s="138"/>
      <c r="F460" s="138"/>
      <c r="G460" s="138"/>
      <c r="H460" s="119"/>
      <c r="I460" s="146"/>
      <c r="J460" s="146"/>
      <c r="K460" s="146"/>
      <c r="L460" s="146"/>
      <c r="M460" s="146"/>
      <c r="N460" s="146"/>
      <c r="O460" s="146"/>
      <c r="P460" s="146"/>
      <c r="Q460" s="146"/>
      <c r="R460" s="146"/>
      <c r="S460" s="146"/>
      <c r="T460" s="146"/>
      <c r="U460" s="146"/>
      <c r="V460" s="146"/>
      <c r="W460" s="146"/>
      <c r="X460" s="146"/>
      <c r="Y460" s="146"/>
      <c r="Z460" s="146"/>
      <c r="AA460" s="146"/>
    </row>
    <row r="461" ht="22.5" customHeight="1">
      <c r="A461" s="145"/>
      <c r="B461" s="154"/>
      <c r="C461" s="154"/>
      <c r="D461" s="138"/>
      <c r="E461" s="138"/>
      <c r="F461" s="138"/>
      <c r="G461" s="138"/>
      <c r="H461" s="119"/>
      <c r="I461" s="146"/>
      <c r="J461" s="146"/>
      <c r="K461" s="146"/>
      <c r="L461" s="146"/>
      <c r="M461" s="146"/>
      <c r="N461" s="146"/>
      <c r="O461" s="146"/>
      <c r="P461" s="146"/>
      <c r="Q461" s="146"/>
      <c r="R461" s="146"/>
      <c r="S461" s="146"/>
      <c r="T461" s="146"/>
      <c r="U461" s="146"/>
      <c r="V461" s="146"/>
      <c r="W461" s="146"/>
      <c r="X461" s="146"/>
      <c r="Y461" s="146"/>
      <c r="Z461" s="146"/>
      <c r="AA461" s="146"/>
    </row>
    <row r="462" ht="22.5" customHeight="1">
      <c r="A462" s="145"/>
      <c r="B462" s="154"/>
      <c r="C462" s="154"/>
      <c r="D462" s="138"/>
      <c r="E462" s="138"/>
      <c r="F462" s="138"/>
      <c r="G462" s="138"/>
      <c r="H462" s="119"/>
      <c r="I462" s="146"/>
      <c r="J462" s="146"/>
      <c r="K462" s="146"/>
      <c r="L462" s="146"/>
      <c r="M462" s="146"/>
      <c r="N462" s="146"/>
      <c r="O462" s="146"/>
      <c r="P462" s="146"/>
      <c r="Q462" s="146"/>
      <c r="R462" s="146"/>
      <c r="S462" s="146"/>
      <c r="T462" s="146"/>
      <c r="U462" s="146"/>
      <c r="V462" s="146"/>
      <c r="W462" s="146"/>
      <c r="X462" s="146"/>
      <c r="Y462" s="146"/>
      <c r="Z462" s="146"/>
      <c r="AA462" s="146"/>
    </row>
    <row r="463" ht="22.5" customHeight="1">
      <c r="A463" s="145"/>
      <c r="B463" s="154"/>
      <c r="C463" s="154"/>
      <c r="D463" s="138"/>
      <c r="E463" s="138"/>
      <c r="F463" s="138"/>
      <c r="G463" s="138"/>
      <c r="H463" s="119"/>
      <c r="I463" s="146"/>
      <c r="J463" s="146"/>
      <c r="K463" s="146"/>
      <c r="L463" s="146"/>
      <c r="M463" s="146"/>
      <c r="N463" s="146"/>
      <c r="O463" s="146"/>
      <c r="P463" s="146"/>
      <c r="Q463" s="146"/>
      <c r="R463" s="146"/>
      <c r="S463" s="146"/>
      <c r="T463" s="146"/>
      <c r="U463" s="146"/>
      <c r="V463" s="146"/>
      <c r="W463" s="146"/>
      <c r="X463" s="146"/>
      <c r="Y463" s="146"/>
      <c r="Z463" s="146"/>
      <c r="AA463" s="146"/>
    </row>
    <row r="464" ht="22.5" customHeight="1">
      <c r="A464" s="145"/>
      <c r="B464" s="154"/>
      <c r="C464" s="154"/>
      <c r="D464" s="138"/>
      <c r="E464" s="138"/>
      <c r="F464" s="138"/>
      <c r="G464" s="138"/>
      <c r="H464" s="119"/>
      <c r="I464" s="146"/>
      <c r="J464" s="146"/>
      <c r="K464" s="146"/>
      <c r="L464" s="146"/>
      <c r="M464" s="146"/>
      <c r="N464" s="146"/>
      <c r="O464" s="146"/>
      <c r="P464" s="146"/>
      <c r="Q464" s="146"/>
      <c r="R464" s="146"/>
      <c r="S464" s="146"/>
      <c r="T464" s="146"/>
      <c r="U464" s="146"/>
      <c r="V464" s="146"/>
      <c r="W464" s="146"/>
      <c r="X464" s="146"/>
      <c r="Y464" s="146"/>
      <c r="Z464" s="146"/>
      <c r="AA464" s="146"/>
    </row>
    <row r="465" ht="22.5" customHeight="1">
      <c r="A465" s="145"/>
      <c r="B465" s="154"/>
      <c r="C465" s="154"/>
      <c r="D465" s="138"/>
      <c r="E465" s="138"/>
      <c r="F465" s="138"/>
      <c r="G465" s="138"/>
      <c r="H465" s="119"/>
      <c r="I465" s="146"/>
      <c r="J465" s="146"/>
      <c r="K465" s="146"/>
      <c r="L465" s="146"/>
      <c r="M465" s="146"/>
      <c r="N465" s="146"/>
      <c r="O465" s="146"/>
      <c r="P465" s="146"/>
      <c r="Q465" s="146"/>
      <c r="R465" s="146"/>
      <c r="S465" s="146"/>
      <c r="T465" s="146"/>
      <c r="U465" s="146"/>
      <c r="V465" s="146"/>
      <c r="W465" s="146"/>
      <c r="X465" s="146"/>
      <c r="Y465" s="146"/>
      <c r="Z465" s="146"/>
      <c r="AA465" s="146"/>
    </row>
    <row r="466" ht="22.5" customHeight="1">
      <c r="A466" s="145"/>
      <c r="B466" s="154"/>
      <c r="C466" s="154"/>
      <c r="D466" s="138"/>
      <c r="E466" s="138"/>
      <c r="F466" s="138"/>
      <c r="G466" s="138"/>
      <c r="H466" s="119"/>
      <c r="I466" s="146"/>
      <c r="J466" s="146"/>
      <c r="K466" s="146"/>
      <c r="L466" s="146"/>
      <c r="M466" s="146"/>
      <c r="N466" s="146"/>
      <c r="O466" s="146"/>
      <c r="P466" s="146"/>
      <c r="Q466" s="146"/>
      <c r="R466" s="146"/>
      <c r="S466" s="146"/>
      <c r="T466" s="146"/>
      <c r="U466" s="146"/>
      <c r="V466" s="146"/>
      <c r="W466" s="146"/>
      <c r="X466" s="146"/>
      <c r="Y466" s="146"/>
      <c r="Z466" s="146"/>
      <c r="AA466" s="146"/>
    </row>
    <row r="467" ht="22.5" customHeight="1">
      <c r="A467" s="145"/>
      <c r="B467" s="154"/>
      <c r="C467" s="154"/>
      <c r="D467" s="138"/>
      <c r="E467" s="138"/>
      <c r="F467" s="138"/>
      <c r="G467" s="138"/>
      <c r="H467" s="119"/>
      <c r="I467" s="146"/>
      <c r="J467" s="146"/>
      <c r="K467" s="146"/>
      <c r="L467" s="146"/>
      <c r="M467" s="146"/>
      <c r="N467" s="146"/>
      <c r="O467" s="146"/>
      <c r="P467" s="146"/>
      <c r="Q467" s="146"/>
      <c r="R467" s="146"/>
      <c r="S467" s="146"/>
      <c r="T467" s="146"/>
      <c r="U467" s="146"/>
      <c r="V467" s="146"/>
      <c r="W467" s="146"/>
      <c r="X467" s="146"/>
      <c r="Y467" s="146"/>
      <c r="Z467" s="146"/>
      <c r="AA467" s="146"/>
    </row>
    <row r="468" ht="22.5" customHeight="1">
      <c r="A468" s="145"/>
      <c r="B468" s="154"/>
      <c r="C468" s="154"/>
      <c r="D468" s="138"/>
      <c r="E468" s="138"/>
      <c r="F468" s="138"/>
      <c r="G468" s="138"/>
      <c r="H468" s="119"/>
      <c r="I468" s="146"/>
      <c r="J468" s="146"/>
      <c r="K468" s="146"/>
      <c r="L468" s="146"/>
      <c r="M468" s="146"/>
      <c r="N468" s="146"/>
      <c r="O468" s="146"/>
      <c r="P468" s="146"/>
      <c r="Q468" s="146"/>
      <c r="R468" s="146"/>
      <c r="S468" s="146"/>
      <c r="T468" s="146"/>
      <c r="U468" s="146"/>
      <c r="V468" s="146"/>
      <c r="W468" s="146"/>
      <c r="X468" s="146"/>
      <c r="Y468" s="146"/>
      <c r="Z468" s="146"/>
      <c r="AA468" s="146"/>
    </row>
    <row r="469" ht="22.5" customHeight="1">
      <c r="A469" s="145"/>
      <c r="B469" s="154"/>
      <c r="C469" s="154"/>
      <c r="D469" s="138"/>
      <c r="E469" s="138"/>
      <c r="F469" s="138"/>
      <c r="G469" s="138"/>
      <c r="H469" s="119"/>
      <c r="I469" s="146"/>
      <c r="J469" s="146"/>
      <c r="K469" s="146"/>
      <c r="L469" s="146"/>
      <c r="M469" s="146"/>
      <c r="N469" s="146"/>
      <c r="O469" s="146"/>
      <c r="P469" s="146"/>
      <c r="Q469" s="146"/>
      <c r="R469" s="146"/>
      <c r="S469" s="146"/>
      <c r="T469" s="146"/>
      <c r="U469" s="146"/>
      <c r="V469" s="146"/>
      <c r="W469" s="146"/>
      <c r="X469" s="146"/>
      <c r="Y469" s="146"/>
      <c r="Z469" s="146"/>
      <c r="AA469" s="146"/>
    </row>
    <row r="470" ht="22.5" customHeight="1">
      <c r="A470" s="145"/>
      <c r="B470" s="154"/>
      <c r="C470" s="154"/>
      <c r="D470" s="138"/>
      <c r="E470" s="138"/>
      <c r="F470" s="138"/>
      <c r="G470" s="138"/>
      <c r="H470" s="119"/>
      <c r="I470" s="146"/>
      <c r="J470" s="146"/>
      <c r="K470" s="146"/>
      <c r="L470" s="146"/>
      <c r="M470" s="146"/>
      <c r="N470" s="146"/>
      <c r="O470" s="146"/>
      <c r="P470" s="146"/>
      <c r="Q470" s="146"/>
      <c r="R470" s="146"/>
      <c r="S470" s="146"/>
      <c r="T470" s="146"/>
      <c r="U470" s="146"/>
      <c r="V470" s="146"/>
      <c r="W470" s="146"/>
      <c r="X470" s="146"/>
      <c r="Y470" s="146"/>
      <c r="Z470" s="146"/>
      <c r="AA470" s="146"/>
    </row>
    <row r="471" ht="22.5" customHeight="1">
      <c r="A471" s="145"/>
      <c r="B471" s="154"/>
      <c r="C471" s="154"/>
      <c r="D471" s="138"/>
      <c r="E471" s="138"/>
      <c r="F471" s="138"/>
      <c r="G471" s="138"/>
      <c r="H471" s="119"/>
      <c r="I471" s="146"/>
      <c r="J471" s="146"/>
      <c r="K471" s="146"/>
      <c r="L471" s="146"/>
      <c r="M471" s="146"/>
      <c r="N471" s="146"/>
      <c r="O471" s="146"/>
      <c r="P471" s="146"/>
      <c r="Q471" s="146"/>
      <c r="R471" s="146"/>
      <c r="S471" s="146"/>
      <c r="T471" s="146"/>
      <c r="U471" s="146"/>
      <c r="V471" s="146"/>
      <c r="W471" s="146"/>
      <c r="X471" s="146"/>
      <c r="Y471" s="146"/>
      <c r="Z471" s="146"/>
      <c r="AA471" s="146"/>
    </row>
    <row r="472" ht="22.5" customHeight="1">
      <c r="A472" s="145"/>
      <c r="B472" s="154"/>
      <c r="C472" s="154"/>
      <c r="D472" s="138"/>
      <c r="E472" s="138"/>
      <c r="F472" s="138"/>
      <c r="G472" s="138"/>
      <c r="H472" s="119"/>
      <c r="I472" s="146"/>
      <c r="J472" s="146"/>
      <c r="K472" s="146"/>
      <c r="L472" s="146"/>
      <c r="M472" s="146"/>
      <c r="N472" s="146"/>
      <c r="O472" s="146"/>
      <c r="P472" s="146"/>
      <c r="Q472" s="146"/>
      <c r="R472" s="146"/>
      <c r="S472" s="146"/>
      <c r="T472" s="146"/>
      <c r="U472" s="146"/>
      <c r="V472" s="146"/>
      <c r="W472" s="146"/>
      <c r="X472" s="146"/>
      <c r="Y472" s="146"/>
      <c r="Z472" s="146"/>
      <c r="AA472" s="146"/>
    </row>
    <row r="473" ht="22.5" customHeight="1">
      <c r="A473" s="145"/>
      <c r="B473" s="154"/>
      <c r="C473" s="154"/>
      <c r="D473" s="138"/>
      <c r="E473" s="138"/>
      <c r="F473" s="138"/>
      <c r="G473" s="138"/>
      <c r="H473" s="119"/>
      <c r="I473" s="146"/>
      <c r="J473" s="146"/>
      <c r="K473" s="146"/>
      <c r="L473" s="146"/>
      <c r="M473" s="146"/>
      <c r="N473" s="146"/>
      <c r="O473" s="146"/>
      <c r="P473" s="146"/>
      <c r="Q473" s="146"/>
      <c r="R473" s="146"/>
      <c r="S473" s="146"/>
      <c r="T473" s="146"/>
      <c r="U473" s="146"/>
      <c r="V473" s="146"/>
      <c r="W473" s="146"/>
      <c r="X473" s="146"/>
      <c r="Y473" s="146"/>
      <c r="Z473" s="146"/>
      <c r="AA473" s="146"/>
    </row>
    <row r="474" ht="22.5" customHeight="1">
      <c r="A474" s="145"/>
      <c r="B474" s="154"/>
      <c r="C474" s="154"/>
      <c r="D474" s="138"/>
      <c r="E474" s="138"/>
      <c r="F474" s="138"/>
      <c r="G474" s="138"/>
      <c r="H474" s="119"/>
      <c r="I474" s="146"/>
      <c r="J474" s="146"/>
      <c r="K474" s="146"/>
      <c r="L474" s="146"/>
      <c r="M474" s="146"/>
      <c r="N474" s="146"/>
      <c r="O474" s="146"/>
      <c r="P474" s="146"/>
      <c r="Q474" s="146"/>
      <c r="R474" s="146"/>
      <c r="S474" s="146"/>
      <c r="T474" s="146"/>
      <c r="U474" s="146"/>
      <c r="V474" s="146"/>
      <c r="W474" s="146"/>
      <c r="X474" s="146"/>
      <c r="Y474" s="146"/>
      <c r="Z474" s="146"/>
      <c r="AA474" s="146"/>
    </row>
    <row r="475" ht="22.5" customHeight="1">
      <c r="A475" s="145"/>
      <c r="B475" s="154"/>
      <c r="C475" s="154"/>
      <c r="D475" s="138"/>
      <c r="E475" s="138"/>
      <c r="F475" s="138"/>
      <c r="G475" s="138"/>
      <c r="H475" s="119"/>
      <c r="I475" s="146"/>
      <c r="J475" s="146"/>
      <c r="K475" s="146"/>
      <c r="L475" s="146"/>
      <c r="M475" s="146"/>
      <c r="N475" s="146"/>
      <c r="O475" s="146"/>
      <c r="P475" s="146"/>
      <c r="Q475" s="146"/>
      <c r="R475" s="146"/>
      <c r="S475" s="146"/>
      <c r="T475" s="146"/>
      <c r="U475" s="146"/>
      <c r="V475" s="146"/>
      <c r="W475" s="146"/>
      <c r="X475" s="146"/>
      <c r="Y475" s="146"/>
      <c r="Z475" s="146"/>
      <c r="AA475" s="146"/>
    </row>
    <row r="476" ht="22.5" customHeight="1">
      <c r="A476" s="145"/>
      <c r="B476" s="154"/>
      <c r="C476" s="154"/>
      <c r="D476" s="138"/>
      <c r="E476" s="138"/>
      <c r="F476" s="138"/>
      <c r="G476" s="138"/>
      <c r="H476" s="119"/>
      <c r="I476" s="146"/>
      <c r="J476" s="146"/>
      <c r="K476" s="146"/>
      <c r="L476" s="146"/>
      <c r="M476" s="146"/>
      <c r="N476" s="146"/>
      <c r="O476" s="146"/>
      <c r="P476" s="146"/>
      <c r="Q476" s="146"/>
      <c r="R476" s="146"/>
      <c r="S476" s="146"/>
      <c r="T476" s="146"/>
      <c r="U476" s="146"/>
      <c r="V476" s="146"/>
      <c r="W476" s="146"/>
      <c r="X476" s="146"/>
      <c r="Y476" s="146"/>
      <c r="Z476" s="146"/>
      <c r="AA476" s="146"/>
    </row>
    <row r="477" ht="22.5" customHeight="1">
      <c r="A477" s="145"/>
      <c r="B477" s="154"/>
      <c r="C477" s="154"/>
      <c r="D477" s="138"/>
      <c r="E477" s="138"/>
      <c r="F477" s="138"/>
      <c r="G477" s="138"/>
      <c r="H477" s="119"/>
      <c r="I477" s="146"/>
      <c r="J477" s="146"/>
      <c r="K477" s="146"/>
      <c r="L477" s="146"/>
      <c r="M477" s="146"/>
      <c r="N477" s="146"/>
      <c r="O477" s="146"/>
      <c r="P477" s="146"/>
      <c r="Q477" s="146"/>
      <c r="R477" s="146"/>
      <c r="S477" s="146"/>
      <c r="T477" s="146"/>
      <c r="U477" s="146"/>
      <c r="V477" s="146"/>
      <c r="W477" s="146"/>
      <c r="X477" s="146"/>
      <c r="Y477" s="146"/>
      <c r="Z477" s="146"/>
      <c r="AA477" s="146"/>
    </row>
    <row r="478" ht="22.5" customHeight="1">
      <c r="A478" s="145"/>
      <c r="B478" s="154"/>
      <c r="C478" s="154"/>
      <c r="D478" s="138"/>
      <c r="E478" s="138"/>
      <c r="F478" s="138"/>
      <c r="G478" s="138"/>
      <c r="H478" s="119"/>
      <c r="I478" s="146"/>
      <c r="J478" s="146"/>
      <c r="K478" s="146"/>
      <c r="L478" s="146"/>
      <c r="M478" s="146"/>
      <c r="N478" s="146"/>
      <c r="O478" s="146"/>
      <c r="P478" s="146"/>
      <c r="Q478" s="146"/>
      <c r="R478" s="146"/>
      <c r="S478" s="146"/>
      <c r="T478" s="146"/>
      <c r="U478" s="146"/>
      <c r="V478" s="146"/>
      <c r="W478" s="146"/>
      <c r="X478" s="146"/>
      <c r="Y478" s="146"/>
      <c r="Z478" s="146"/>
      <c r="AA478" s="146"/>
    </row>
    <row r="479" ht="22.5" customHeight="1">
      <c r="A479" s="145"/>
      <c r="B479" s="154"/>
      <c r="C479" s="154"/>
      <c r="D479" s="138"/>
      <c r="E479" s="138"/>
      <c r="F479" s="138"/>
      <c r="G479" s="138"/>
      <c r="H479" s="119"/>
      <c r="I479" s="146"/>
      <c r="J479" s="146"/>
      <c r="K479" s="146"/>
      <c r="L479" s="146"/>
      <c r="M479" s="146"/>
      <c r="N479" s="146"/>
      <c r="O479" s="146"/>
      <c r="P479" s="146"/>
      <c r="Q479" s="146"/>
      <c r="R479" s="146"/>
      <c r="S479" s="146"/>
      <c r="T479" s="146"/>
      <c r="U479" s="146"/>
      <c r="V479" s="146"/>
      <c r="W479" s="146"/>
      <c r="X479" s="146"/>
      <c r="Y479" s="146"/>
      <c r="Z479" s="146"/>
      <c r="AA479" s="146"/>
    </row>
    <row r="480" ht="22.5" customHeight="1">
      <c r="A480" s="145"/>
      <c r="B480" s="154"/>
      <c r="C480" s="154"/>
      <c r="D480" s="138"/>
      <c r="E480" s="138"/>
      <c r="F480" s="138"/>
      <c r="G480" s="138"/>
      <c r="H480" s="119"/>
      <c r="I480" s="146"/>
      <c r="J480" s="146"/>
      <c r="K480" s="146"/>
      <c r="L480" s="146"/>
      <c r="M480" s="146"/>
      <c r="N480" s="146"/>
      <c r="O480" s="146"/>
      <c r="P480" s="146"/>
      <c r="Q480" s="146"/>
      <c r="R480" s="146"/>
      <c r="S480" s="146"/>
      <c r="T480" s="146"/>
      <c r="U480" s="146"/>
      <c r="V480" s="146"/>
      <c r="W480" s="146"/>
      <c r="X480" s="146"/>
      <c r="Y480" s="146"/>
      <c r="Z480" s="146"/>
      <c r="AA480" s="146"/>
    </row>
    <row r="481" ht="22.5" customHeight="1">
      <c r="A481" s="145"/>
      <c r="B481" s="154"/>
      <c r="C481" s="154"/>
      <c r="D481" s="138"/>
      <c r="E481" s="138"/>
      <c r="F481" s="138"/>
      <c r="G481" s="138"/>
      <c r="H481" s="119"/>
      <c r="I481" s="146"/>
      <c r="J481" s="146"/>
      <c r="K481" s="146"/>
      <c r="L481" s="146"/>
      <c r="M481" s="146"/>
      <c r="N481" s="146"/>
      <c r="O481" s="146"/>
      <c r="P481" s="146"/>
      <c r="Q481" s="146"/>
      <c r="R481" s="146"/>
      <c r="S481" s="146"/>
      <c r="T481" s="146"/>
      <c r="U481" s="146"/>
      <c r="V481" s="146"/>
      <c r="W481" s="146"/>
      <c r="X481" s="146"/>
      <c r="Y481" s="146"/>
      <c r="Z481" s="146"/>
      <c r="AA481" s="146"/>
    </row>
    <row r="482" ht="22.5" customHeight="1">
      <c r="A482" s="145"/>
      <c r="B482" s="154"/>
      <c r="C482" s="154"/>
      <c r="D482" s="138"/>
      <c r="E482" s="138"/>
      <c r="F482" s="138"/>
      <c r="G482" s="138"/>
      <c r="H482" s="119"/>
      <c r="I482" s="146"/>
      <c r="J482" s="146"/>
      <c r="K482" s="146"/>
      <c r="L482" s="146"/>
      <c r="M482" s="146"/>
      <c r="N482" s="146"/>
      <c r="O482" s="146"/>
      <c r="P482" s="146"/>
      <c r="Q482" s="146"/>
      <c r="R482" s="146"/>
      <c r="S482" s="146"/>
      <c r="T482" s="146"/>
      <c r="U482" s="146"/>
      <c r="V482" s="146"/>
      <c r="W482" s="146"/>
      <c r="X482" s="146"/>
      <c r="Y482" s="146"/>
      <c r="Z482" s="146"/>
      <c r="AA482" s="146"/>
    </row>
    <row r="483" ht="22.5" customHeight="1">
      <c r="A483" s="145"/>
      <c r="B483" s="154"/>
      <c r="C483" s="154"/>
      <c r="D483" s="138"/>
      <c r="E483" s="138"/>
      <c r="F483" s="138"/>
      <c r="G483" s="138"/>
      <c r="H483" s="119"/>
      <c r="I483" s="146"/>
      <c r="J483" s="146"/>
      <c r="K483" s="146"/>
      <c r="L483" s="146"/>
      <c r="M483" s="146"/>
      <c r="N483" s="146"/>
      <c r="O483" s="146"/>
      <c r="P483" s="146"/>
      <c r="Q483" s="146"/>
      <c r="R483" s="146"/>
      <c r="S483" s="146"/>
      <c r="T483" s="146"/>
      <c r="U483" s="146"/>
      <c r="V483" s="146"/>
      <c r="W483" s="146"/>
      <c r="X483" s="146"/>
      <c r="Y483" s="146"/>
      <c r="Z483" s="146"/>
      <c r="AA483" s="146"/>
    </row>
    <row r="484" ht="22.5" customHeight="1">
      <c r="A484" s="145"/>
      <c r="B484" s="154"/>
      <c r="C484" s="154"/>
      <c r="D484" s="138"/>
      <c r="E484" s="138"/>
      <c r="F484" s="138"/>
      <c r="G484" s="138"/>
      <c r="H484" s="119"/>
      <c r="I484" s="146"/>
      <c r="J484" s="146"/>
      <c r="K484" s="146"/>
      <c r="L484" s="146"/>
      <c r="M484" s="146"/>
      <c r="N484" s="146"/>
      <c r="O484" s="146"/>
      <c r="P484" s="146"/>
      <c r="Q484" s="146"/>
      <c r="R484" s="146"/>
      <c r="S484" s="146"/>
      <c r="T484" s="146"/>
      <c r="U484" s="146"/>
      <c r="V484" s="146"/>
      <c r="W484" s="146"/>
      <c r="X484" s="146"/>
      <c r="Y484" s="146"/>
      <c r="Z484" s="146"/>
      <c r="AA484" s="146"/>
    </row>
    <row r="485" ht="22.5" customHeight="1">
      <c r="A485" s="145"/>
      <c r="B485" s="154"/>
      <c r="C485" s="154"/>
      <c r="D485" s="138"/>
      <c r="E485" s="138"/>
      <c r="F485" s="138"/>
      <c r="G485" s="138"/>
      <c r="H485" s="119"/>
      <c r="I485" s="146"/>
      <c r="J485" s="146"/>
      <c r="K485" s="146"/>
      <c r="L485" s="146"/>
      <c r="M485" s="146"/>
      <c r="N485" s="146"/>
      <c r="O485" s="146"/>
      <c r="P485" s="146"/>
      <c r="Q485" s="146"/>
      <c r="R485" s="146"/>
      <c r="S485" s="146"/>
      <c r="T485" s="146"/>
      <c r="U485" s="146"/>
      <c r="V485" s="146"/>
      <c r="W485" s="146"/>
      <c r="X485" s="146"/>
      <c r="Y485" s="146"/>
      <c r="Z485" s="146"/>
      <c r="AA485" s="146"/>
    </row>
    <row r="486" ht="22.5" customHeight="1">
      <c r="A486" s="145"/>
      <c r="B486" s="154"/>
      <c r="C486" s="154"/>
      <c r="D486" s="138"/>
      <c r="E486" s="138"/>
      <c r="F486" s="138"/>
      <c r="G486" s="138"/>
      <c r="H486" s="119"/>
      <c r="I486" s="146"/>
      <c r="J486" s="146"/>
      <c r="K486" s="146"/>
      <c r="L486" s="146"/>
      <c r="M486" s="146"/>
      <c r="N486" s="146"/>
      <c r="O486" s="146"/>
      <c r="P486" s="146"/>
      <c r="Q486" s="146"/>
      <c r="R486" s="146"/>
      <c r="S486" s="146"/>
      <c r="T486" s="146"/>
      <c r="U486" s="146"/>
      <c r="V486" s="146"/>
      <c r="W486" s="146"/>
      <c r="X486" s="146"/>
      <c r="Y486" s="146"/>
      <c r="Z486" s="146"/>
      <c r="AA486" s="146"/>
    </row>
    <row r="487" ht="22.5" customHeight="1">
      <c r="A487" s="145"/>
      <c r="B487" s="154"/>
      <c r="C487" s="154"/>
      <c r="D487" s="138"/>
      <c r="E487" s="138"/>
      <c r="F487" s="138"/>
      <c r="G487" s="138"/>
      <c r="H487" s="119"/>
      <c r="I487" s="146"/>
      <c r="J487" s="146"/>
      <c r="K487" s="146"/>
      <c r="L487" s="146"/>
      <c r="M487" s="146"/>
      <c r="N487" s="146"/>
      <c r="O487" s="146"/>
      <c r="P487" s="146"/>
      <c r="Q487" s="146"/>
      <c r="R487" s="146"/>
      <c r="S487" s="146"/>
      <c r="T487" s="146"/>
      <c r="U487" s="146"/>
      <c r="V487" s="146"/>
      <c r="W487" s="146"/>
      <c r="X487" s="146"/>
      <c r="Y487" s="146"/>
      <c r="Z487" s="146"/>
      <c r="AA487" s="146"/>
    </row>
    <row r="488" ht="22.5" customHeight="1">
      <c r="A488" s="145"/>
      <c r="B488" s="154"/>
      <c r="C488" s="154"/>
      <c r="D488" s="138"/>
      <c r="E488" s="138"/>
      <c r="F488" s="138"/>
      <c r="G488" s="138"/>
      <c r="H488" s="119"/>
      <c r="I488" s="146"/>
      <c r="J488" s="146"/>
      <c r="K488" s="146"/>
      <c r="L488" s="146"/>
      <c r="M488" s="146"/>
      <c r="N488" s="146"/>
      <c r="O488" s="146"/>
      <c r="P488" s="146"/>
      <c r="Q488" s="146"/>
      <c r="R488" s="146"/>
      <c r="S488" s="146"/>
      <c r="T488" s="146"/>
      <c r="U488" s="146"/>
      <c r="V488" s="146"/>
      <c r="W488" s="146"/>
      <c r="X488" s="146"/>
      <c r="Y488" s="146"/>
      <c r="Z488" s="146"/>
      <c r="AA488" s="146"/>
    </row>
    <row r="489" ht="22.5" customHeight="1">
      <c r="A489" s="145"/>
      <c r="B489" s="154"/>
      <c r="C489" s="154"/>
      <c r="D489" s="138"/>
      <c r="E489" s="138"/>
      <c r="F489" s="138"/>
      <c r="G489" s="138"/>
      <c r="H489" s="119"/>
      <c r="I489" s="146"/>
      <c r="J489" s="146"/>
      <c r="K489" s="146"/>
      <c r="L489" s="146"/>
      <c r="M489" s="146"/>
      <c r="N489" s="146"/>
      <c r="O489" s="146"/>
      <c r="P489" s="146"/>
      <c r="Q489" s="146"/>
      <c r="R489" s="146"/>
      <c r="S489" s="146"/>
      <c r="T489" s="146"/>
      <c r="U489" s="146"/>
      <c r="V489" s="146"/>
      <c r="W489" s="146"/>
      <c r="X489" s="146"/>
      <c r="Y489" s="146"/>
      <c r="Z489" s="146"/>
      <c r="AA489" s="146"/>
    </row>
    <row r="490" ht="22.5" customHeight="1">
      <c r="A490" s="145"/>
      <c r="B490" s="154"/>
      <c r="C490" s="154"/>
      <c r="D490" s="138"/>
      <c r="E490" s="138"/>
      <c r="F490" s="138"/>
      <c r="G490" s="138"/>
      <c r="H490" s="119"/>
      <c r="I490" s="146"/>
      <c r="J490" s="146"/>
      <c r="K490" s="146"/>
      <c r="L490" s="146"/>
      <c r="M490" s="146"/>
      <c r="N490" s="146"/>
      <c r="O490" s="146"/>
      <c r="P490" s="146"/>
      <c r="Q490" s="146"/>
      <c r="R490" s="146"/>
      <c r="S490" s="146"/>
      <c r="T490" s="146"/>
      <c r="U490" s="146"/>
      <c r="V490" s="146"/>
      <c r="W490" s="146"/>
      <c r="X490" s="146"/>
      <c r="Y490" s="146"/>
      <c r="Z490" s="146"/>
      <c r="AA490" s="146"/>
    </row>
    <row r="491" ht="22.5" customHeight="1">
      <c r="A491" s="145"/>
      <c r="B491" s="154"/>
      <c r="C491" s="154"/>
      <c r="D491" s="138"/>
      <c r="E491" s="138"/>
      <c r="F491" s="138"/>
      <c r="G491" s="138"/>
      <c r="H491" s="119"/>
      <c r="I491" s="146"/>
      <c r="J491" s="146"/>
      <c r="K491" s="146"/>
      <c r="L491" s="146"/>
      <c r="M491" s="146"/>
      <c r="N491" s="146"/>
      <c r="O491" s="146"/>
      <c r="P491" s="146"/>
      <c r="Q491" s="146"/>
      <c r="R491" s="146"/>
      <c r="S491" s="146"/>
      <c r="T491" s="146"/>
      <c r="U491" s="146"/>
      <c r="V491" s="146"/>
      <c r="W491" s="146"/>
      <c r="X491" s="146"/>
      <c r="Y491" s="146"/>
      <c r="Z491" s="146"/>
      <c r="AA491" s="146"/>
    </row>
    <row r="492" ht="22.5" customHeight="1">
      <c r="A492" s="145"/>
      <c r="B492" s="154"/>
      <c r="C492" s="154"/>
      <c r="D492" s="138"/>
      <c r="E492" s="138"/>
      <c r="F492" s="138"/>
      <c r="G492" s="138"/>
      <c r="H492" s="119"/>
      <c r="I492" s="146"/>
      <c r="J492" s="146"/>
      <c r="K492" s="146"/>
      <c r="L492" s="146"/>
      <c r="M492" s="146"/>
      <c r="N492" s="146"/>
      <c r="O492" s="146"/>
      <c r="P492" s="146"/>
      <c r="Q492" s="146"/>
      <c r="R492" s="146"/>
      <c r="S492" s="146"/>
      <c r="T492" s="146"/>
      <c r="U492" s="146"/>
      <c r="V492" s="146"/>
      <c r="W492" s="146"/>
      <c r="X492" s="146"/>
      <c r="Y492" s="146"/>
      <c r="Z492" s="146"/>
      <c r="AA492" s="146"/>
    </row>
    <row r="493" ht="22.5" customHeight="1">
      <c r="A493" s="145"/>
      <c r="B493" s="154"/>
      <c r="C493" s="154"/>
      <c r="D493" s="138"/>
      <c r="E493" s="138"/>
      <c r="F493" s="138"/>
      <c r="G493" s="138"/>
      <c r="H493" s="119"/>
      <c r="I493" s="146"/>
      <c r="J493" s="146"/>
      <c r="K493" s="146"/>
      <c r="L493" s="146"/>
      <c r="M493" s="146"/>
      <c r="N493" s="146"/>
      <c r="O493" s="146"/>
      <c r="P493" s="146"/>
      <c r="Q493" s="146"/>
      <c r="R493" s="146"/>
      <c r="S493" s="146"/>
      <c r="T493" s="146"/>
      <c r="U493" s="146"/>
      <c r="V493" s="146"/>
      <c r="W493" s="146"/>
      <c r="X493" s="146"/>
      <c r="Y493" s="146"/>
      <c r="Z493" s="146"/>
      <c r="AA493" s="146"/>
    </row>
    <row r="494" ht="22.5" customHeight="1">
      <c r="A494" s="145"/>
      <c r="B494" s="154"/>
      <c r="C494" s="154"/>
      <c r="D494" s="138"/>
      <c r="E494" s="138"/>
      <c r="F494" s="138"/>
      <c r="G494" s="138"/>
      <c r="H494" s="119"/>
      <c r="I494" s="146"/>
      <c r="J494" s="146"/>
      <c r="K494" s="146"/>
      <c r="L494" s="146"/>
      <c r="M494" s="146"/>
      <c r="N494" s="146"/>
      <c r="O494" s="146"/>
      <c r="P494" s="146"/>
      <c r="Q494" s="146"/>
      <c r="R494" s="146"/>
      <c r="S494" s="146"/>
      <c r="T494" s="146"/>
      <c r="U494" s="146"/>
      <c r="V494" s="146"/>
      <c r="W494" s="146"/>
      <c r="X494" s="146"/>
      <c r="Y494" s="146"/>
      <c r="Z494" s="146"/>
      <c r="AA494" s="146"/>
    </row>
    <row r="495" ht="22.5" customHeight="1">
      <c r="A495" s="145"/>
      <c r="B495" s="154"/>
      <c r="C495" s="154"/>
      <c r="D495" s="138"/>
      <c r="E495" s="138"/>
      <c r="F495" s="138"/>
      <c r="G495" s="138"/>
      <c r="H495" s="119"/>
      <c r="I495" s="146"/>
      <c r="J495" s="146"/>
      <c r="K495" s="146"/>
      <c r="L495" s="146"/>
      <c r="M495" s="146"/>
      <c r="N495" s="146"/>
      <c r="O495" s="146"/>
      <c r="P495" s="146"/>
      <c r="Q495" s="146"/>
      <c r="R495" s="146"/>
      <c r="S495" s="146"/>
      <c r="T495" s="146"/>
      <c r="U495" s="146"/>
      <c r="V495" s="146"/>
      <c r="W495" s="146"/>
      <c r="X495" s="146"/>
      <c r="Y495" s="146"/>
      <c r="Z495" s="146"/>
      <c r="AA495" s="146"/>
    </row>
    <row r="496" ht="22.5" customHeight="1">
      <c r="A496" s="145"/>
      <c r="B496" s="154"/>
      <c r="C496" s="154"/>
      <c r="D496" s="138"/>
      <c r="E496" s="138"/>
      <c r="F496" s="138"/>
      <c r="G496" s="138"/>
      <c r="H496" s="119"/>
      <c r="I496" s="146"/>
      <c r="J496" s="146"/>
      <c r="K496" s="146"/>
      <c r="L496" s="146"/>
      <c r="M496" s="146"/>
      <c r="N496" s="146"/>
      <c r="O496" s="146"/>
      <c r="P496" s="146"/>
      <c r="Q496" s="146"/>
      <c r="R496" s="146"/>
      <c r="S496" s="146"/>
      <c r="T496" s="146"/>
      <c r="U496" s="146"/>
      <c r="V496" s="146"/>
      <c r="W496" s="146"/>
      <c r="X496" s="146"/>
      <c r="Y496" s="146"/>
      <c r="Z496" s="146"/>
      <c r="AA496" s="146"/>
    </row>
    <row r="497" ht="22.5" customHeight="1">
      <c r="A497" s="145"/>
      <c r="B497" s="154"/>
      <c r="C497" s="154"/>
      <c r="D497" s="138"/>
      <c r="E497" s="138"/>
      <c r="F497" s="138"/>
      <c r="G497" s="138"/>
      <c r="H497" s="119"/>
      <c r="I497" s="146"/>
      <c r="J497" s="146"/>
      <c r="K497" s="146"/>
      <c r="L497" s="146"/>
      <c r="M497" s="146"/>
      <c r="N497" s="146"/>
      <c r="O497" s="146"/>
      <c r="P497" s="146"/>
      <c r="Q497" s="146"/>
      <c r="R497" s="146"/>
      <c r="S497" s="146"/>
      <c r="T497" s="146"/>
      <c r="U497" s="146"/>
      <c r="V497" s="146"/>
      <c r="W497" s="146"/>
      <c r="X497" s="146"/>
      <c r="Y497" s="146"/>
      <c r="Z497" s="146"/>
      <c r="AA497" s="146"/>
    </row>
    <row r="498" ht="22.5" customHeight="1">
      <c r="A498" s="145"/>
      <c r="B498" s="154"/>
      <c r="C498" s="154"/>
      <c r="D498" s="138"/>
      <c r="E498" s="138"/>
      <c r="F498" s="138"/>
      <c r="G498" s="138"/>
      <c r="H498" s="119"/>
      <c r="I498" s="146"/>
      <c r="J498" s="146"/>
      <c r="K498" s="146"/>
      <c r="L498" s="146"/>
      <c r="M498" s="146"/>
      <c r="N498" s="146"/>
      <c r="O498" s="146"/>
      <c r="P498" s="146"/>
      <c r="Q498" s="146"/>
      <c r="R498" s="146"/>
      <c r="S498" s="146"/>
      <c r="T498" s="146"/>
      <c r="U498" s="146"/>
      <c r="V498" s="146"/>
      <c r="W498" s="146"/>
      <c r="X498" s="146"/>
      <c r="Y498" s="146"/>
      <c r="Z498" s="146"/>
      <c r="AA498" s="146"/>
    </row>
    <row r="499" ht="22.5" customHeight="1">
      <c r="A499" s="145"/>
      <c r="B499" s="154"/>
      <c r="C499" s="154"/>
      <c r="D499" s="138"/>
      <c r="E499" s="138"/>
      <c r="F499" s="138"/>
      <c r="G499" s="138"/>
      <c r="H499" s="119"/>
      <c r="I499" s="146"/>
      <c r="J499" s="146"/>
      <c r="K499" s="146"/>
      <c r="L499" s="146"/>
      <c r="M499" s="146"/>
      <c r="N499" s="146"/>
      <c r="O499" s="146"/>
      <c r="P499" s="146"/>
      <c r="Q499" s="146"/>
      <c r="R499" s="146"/>
      <c r="S499" s="146"/>
      <c r="T499" s="146"/>
      <c r="U499" s="146"/>
      <c r="V499" s="146"/>
      <c r="W499" s="146"/>
      <c r="X499" s="146"/>
      <c r="Y499" s="146"/>
      <c r="Z499" s="146"/>
      <c r="AA499" s="146"/>
    </row>
    <row r="500" ht="22.5" customHeight="1">
      <c r="A500" s="145"/>
      <c r="B500" s="154"/>
      <c r="C500" s="154"/>
      <c r="D500" s="138"/>
      <c r="E500" s="138"/>
      <c r="F500" s="138"/>
      <c r="G500" s="138"/>
      <c r="H500" s="119"/>
      <c r="I500" s="146"/>
      <c r="J500" s="146"/>
      <c r="K500" s="146"/>
      <c r="L500" s="146"/>
      <c r="M500" s="146"/>
      <c r="N500" s="146"/>
      <c r="O500" s="146"/>
      <c r="P500" s="146"/>
      <c r="Q500" s="146"/>
      <c r="R500" s="146"/>
      <c r="S500" s="146"/>
      <c r="T500" s="146"/>
      <c r="U500" s="146"/>
      <c r="V500" s="146"/>
      <c r="W500" s="146"/>
      <c r="X500" s="146"/>
      <c r="Y500" s="146"/>
      <c r="Z500" s="146"/>
      <c r="AA500" s="146"/>
    </row>
    <row r="501" ht="22.5" customHeight="1">
      <c r="A501" s="145"/>
      <c r="B501" s="154"/>
      <c r="C501" s="154"/>
      <c r="D501" s="138"/>
      <c r="E501" s="138"/>
      <c r="F501" s="138"/>
      <c r="G501" s="138"/>
      <c r="H501" s="119"/>
      <c r="I501" s="146"/>
      <c r="J501" s="146"/>
      <c r="K501" s="146"/>
      <c r="L501" s="146"/>
      <c r="M501" s="146"/>
      <c r="N501" s="146"/>
      <c r="O501" s="146"/>
      <c r="P501" s="146"/>
      <c r="Q501" s="146"/>
      <c r="R501" s="146"/>
      <c r="S501" s="146"/>
      <c r="T501" s="146"/>
      <c r="U501" s="146"/>
      <c r="V501" s="146"/>
      <c r="W501" s="146"/>
      <c r="X501" s="146"/>
      <c r="Y501" s="146"/>
      <c r="Z501" s="146"/>
      <c r="AA501" s="146"/>
    </row>
    <row r="502" ht="22.5" customHeight="1">
      <c r="A502" s="145"/>
      <c r="B502" s="154"/>
      <c r="C502" s="154"/>
      <c r="D502" s="138"/>
      <c r="E502" s="138"/>
      <c r="F502" s="138"/>
      <c r="G502" s="138"/>
      <c r="H502" s="119"/>
      <c r="I502" s="146"/>
      <c r="J502" s="146"/>
      <c r="K502" s="146"/>
      <c r="L502" s="146"/>
      <c r="M502" s="146"/>
      <c r="N502" s="146"/>
      <c r="O502" s="146"/>
      <c r="P502" s="146"/>
      <c r="Q502" s="146"/>
      <c r="R502" s="146"/>
      <c r="S502" s="146"/>
      <c r="T502" s="146"/>
      <c r="U502" s="146"/>
      <c r="V502" s="146"/>
      <c r="W502" s="146"/>
      <c r="X502" s="146"/>
      <c r="Y502" s="146"/>
      <c r="Z502" s="146"/>
      <c r="AA502" s="146"/>
    </row>
    <row r="503" ht="22.5" customHeight="1">
      <c r="A503" s="145"/>
      <c r="B503" s="154"/>
      <c r="C503" s="154"/>
      <c r="D503" s="138"/>
      <c r="E503" s="138"/>
      <c r="F503" s="138"/>
      <c r="G503" s="138"/>
      <c r="H503" s="119"/>
      <c r="I503" s="146"/>
      <c r="J503" s="146"/>
      <c r="K503" s="146"/>
      <c r="L503" s="146"/>
      <c r="M503" s="146"/>
      <c r="N503" s="146"/>
      <c r="O503" s="146"/>
      <c r="P503" s="146"/>
      <c r="Q503" s="146"/>
      <c r="R503" s="146"/>
      <c r="S503" s="146"/>
      <c r="T503" s="146"/>
      <c r="U503" s="146"/>
      <c r="V503" s="146"/>
      <c r="W503" s="146"/>
      <c r="X503" s="146"/>
      <c r="Y503" s="146"/>
      <c r="Z503" s="146"/>
      <c r="AA503" s="146"/>
    </row>
    <row r="504" ht="22.5" customHeight="1">
      <c r="A504" s="145"/>
      <c r="B504" s="154"/>
      <c r="C504" s="154"/>
      <c r="D504" s="138"/>
      <c r="E504" s="138"/>
      <c r="F504" s="138"/>
      <c r="G504" s="138"/>
      <c r="H504" s="119"/>
      <c r="I504" s="146"/>
      <c r="J504" s="146"/>
      <c r="K504" s="146"/>
      <c r="L504" s="146"/>
      <c r="M504" s="146"/>
      <c r="N504" s="146"/>
      <c r="O504" s="146"/>
      <c r="P504" s="146"/>
      <c r="Q504" s="146"/>
      <c r="R504" s="146"/>
      <c r="S504" s="146"/>
      <c r="T504" s="146"/>
      <c r="U504" s="146"/>
      <c r="V504" s="146"/>
      <c r="W504" s="146"/>
      <c r="X504" s="146"/>
      <c r="Y504" s="146"/>
      <c r="Z504" s="146"/>
      <c r="AA504" s="146"/>
    </row>
    <row r="505" ht="22.5" customHeight="1">
      <c r="A505" s="145"/>
      <c r="B505" s="154"/>
      <c r="C505" s="154"/>
      <c r="D505" s="138"/>
      <c r="E505" s="138"/>
      <c r="F505" s="138"/>
      <c r="G505" s="138"/>
      <c r="H505" s="119"/>
      <c r="I505" s="146"/>
      <c r="J505" s="146"/>
      <c r="K505" s="146"/>
      <c r="L505" s="146"/>
      <c r="M505" s="146"/>
      <c r="N505" s="146"/>
      <c r="O505" s="146"/>
      <c r="P505" s="146"/>
      <c r="Q505" s="146"/>
      <c r="R505" s="146"/>
      <c r="S505" s="146"/>
      <c r="T505" s="146"/>
      <c r="U505" s="146"/>
      <c r="V505" s="146"/>
      <c r="W505" s="146"/>
      <c r="X505" s="146"/>
      <c r="Y505" s="146"/>
      <c r="Z505" s="146"/>
      <c r="AA505" s="146"/>
    </row>
    <row r="506" ht="22.5" customHeight="1">
      <c r="A506" s="145"/>
      <c r="B506" s="154"/>
      <c r="C506" s="154"/>
      <c r="D506" s="138"/>
      <c r="E506" s="138"/>
      <c r="F506" s="138"/>
      <c r="G506" s="138"/>
      <c r="H506" s="119"/>
      <c r="I506" s="146"/>
      <c r="J506" s="146"/>
      <c r="K506" s="146"/>
      <c r="L506" s="146"/>
      <c r="M506" s="146"/>
      <c r="N506" s="146"/>
      <c r="O506" s="146"/>
      <c r="P506" s="146"/>
      <c r="Q506" s="146"/>
      <c r="R506" s="146"/>
      <c r="S506" s="146"/>
      <c r="T506" s="146"/>
      <c r="U506" s="146"/>
      <c r="V506" s="146"/>
      <c r="W506" s="146"/>
      <c r="X506" s="146"/>
      <c r="Y506" s="146"/>
      <c r="Z506" s="146"/>
      <c r="AA506" s="146"/>
    </row>
    <row r="507" ht="22.5" customHeight="1">
      <c r="A507" s="145"/>
      <c r="B507" s="154"/>
      <c r="C507" s="154"/>
      <c r="D507" s="138"/>
      <c r="E507" s="138"/>
      <c r="F507" s="138"/>
      <c r="G507" s="138"/>
      <c r="H507" s="119"/>
      <c r="I507" s="146"/>
      <c r="J507" s="146"/>
      <c r="K507" s="146"/>
      <c r="L507" s="146"/>
      <c r="M507" s="146"/>
      <c r="N507" s="146"/>
      <c r="O507" s="146"/>
      <c r="P507" s="146"/>
      <c r="Q507" s="146"/>
      <c r="R507" s="146"/>
      <c r="S507" s="146"/>
      <c r="T507" s="146"/>
      <c r="U507" s="146"/>
      <c r="V507" s="146"/>
      <c r="W507" s="146"/>
      <c r="X507" s="146"/>
      <c r="Y507" s="146"/>
      <c r="Z507" s="146"/>
      <c r="AA507" s="146"/>
    </row>
    <row r="508" ht="22.5" customHeight="1">
      <c r="A508" s="145"/>
      <c r="B508" s="154"/>
      <c r="C508" s="154"/>
      <c r="D508" s="138"/>
      <c r="E508" s="138"/>
      <c r="F508" s="138"/>
      <c r="G508" s="138"/>
      <c r="H508" s="119"/>
      <c r="I508" s="146"/>
      <c r="J508" s="146"/>
      <c r="K508" s="146"/>
      <c r="L508" s="146"/>
      <c r="M508" s="146"/>
      <c r="N508" s="146"/>
      <c r="O508" s="146"/>
      <c r="P508" s="146"/>
      <c r="Q508" s="146"/>
      <c r="R508" s="146"/>
      <c r="S508" s="146"/>
      <c r="T508" s="146"/>
      <c r="U508" s="146"/>
      <c r="V508" s="146"/>
      <c r="W508" s="146"/>
      <c r="X508" s="146"/>
      <c r="Y508" s="146"/>
      <c r="Z508" s="146"/>
      <c r="AA508" s="146"/>
    </row>
    <row r="509" ht="22.5" customHeight="1">
      <c r="A509" s="145"/>
      <c r="B509" s="154"/>
      <c r="C509" s="154"/>
      <c r="D509" s="138"/>
      <c r="E509" s="138"/>
      <c r="F509" s="138"/>
      <c r="G509" s="138"/>
      <c r="H509" s="119"/>
      <c r="I509" s="146"/>
      <c r="J509" s="146"/>
      <c r="K509" s="146"/>
      <c r="L509" s="146"/>
      <c r="M509" s="146"/>
      <c r="N509" s="146"/>
      <c r="O509" s="146"/>
      <c r="P509" s="146"/>
      <c r="Q509" s="146"/>
      <c r="R509" s="146"/>
      <c r="S509" s="146"/>
      <c r="T509" s="146"/>
      <c r="U509" s="146"/>
      <c r="V509" s="146"/>
      <c r="W509" s="146"/>
      <c r="X509" s="146"/>
      <c r="Y509" s="146"/>
      <c r="Z509" s="146"/>
      <c r="AA509" s="146"/>
    </row>
    <row r="510" ht="22.5" customHeight="1">
      <c r="A510" s="145"/>
      <c r="B510" s="154"/>
      <c r="C510" s="154"/>
      <c r="D510" s="138"/>
      <c r="E510" s="138"/>
      <c r="F510" s="138"/>
      <c r="G510" s="138"/>
      <c r="H510" s="119"/>
      <c r="I510" s="146"/>
      <c r="J510" s="146"/>
      <c r="K510" s="146"/>
      <c r="L510" s="146"/>
      <c r="M510" s="146"/>
      <c r="N510" s="146"/>
      <c r="O510" s="146"/>
      <c r="P510" s="146"/>
      <c r="Q510" s="146"/>
      <c r="R510" s="146"/>
      <c r="S510" s="146"/>
      <c r="T510" s="146"/>
      <c r="U510" s="146"/>
      <c r="V510" s="146"/>
      <c r="W510" s="146"/>
      <c r="X510" s="146"/>
      <c r="Y510" s="146"/>
      <c r="Z510" s="146"/>
      <c r="AA510" s="146"/>
    </row>
    <row r="511" ht="22.5" customHeight="1">
      <c r="A511" s="145"/>
      <c r="B511" s="154"/>
      <c r="C511" s="154"/>
      <c r="D511" s="138"/>
      <c r="E511" s="138"/>
      <c r="F511" s="138"/>
      <c r="G511" s="138"/>
      <c r="H511" s="119"/>
      <c r="I511" s="146"/>
      <c r="J511" s="146"/>
      <c r="K511" s="146"/>
      <c r="L511" s="146"/>
      <c r="M511" s="146"/>
      <c r="N511" s="146"/>
      <c r="O511" s="146"/>
      <c r="P511" s="146"/>
      <c r="Q511" s="146"/>
      <c r="R511" s="146"/>
      <c r="S511" s="146"/>
      <c r="T511" s="146"/>
      <c r="U511" s="146"/>
      <c r="V511" s="146"/>
      <c r="W511" s="146"/>
      <c r="X511" s="146"/>
      <c r="Y511" s="146"/>
      <c r="Z511" s="146"/>
      <c r="AA511" s="146"/>
    </row>
    <row r="512" ht="22.5" customHeight="1">
      <c r="A512" s="145"/>
      <c r="B512" s="154"/>
      <c r="C512" s="154"/>
      <c r="D512" s="138"/>
      <c r="E512" s="138"/>
      <c r="F512" s="138"/>
      <c r="G512" s="138"/>
      <c r="H512" s="119"/>
      <c r="I512" s="146"/>
      <c r="J512" s="146"/>
      <c r="K512" s="146"/>
      <c r="L512" s="146"/>
      <c r="M512" s="146"/>
      <c r="N512" s="146"/>
      <c r="O512" s="146"/>
      <c r="P512" s="146"/>
      <c r="Q512" s="146"/>
      <c r="R512" s="146"/>
      <c r="S512" s="146"/>
      <c r="T512" s="146"/>
      <c r="U512" s="146"/>
      <c r="V512" s="146"/>
      <c r="W512" s="146"/>
      <c r="X512" s="146"/>
      <c r="Y512" s="146"/>
      <c r="Z512" s="146"/>
      <c r="AA512" s="146"/>
    </row>
    <row r="513" ht="22.5" customHeight="1">
      <c r="A513" s="145"/>
      <c r="B513" s="154"/>
      <c r="C513" s="154"/>
      <c r="D513" s="138"/>
      <c r="E513" s="138"/>
      <c r="F513" s="138"/>
      <c r="G513" s="138"/>
      <c r="H513" s="119"/>
      <c r="I513" s="146"/>
      <c r="J513" s="146"/>
      <c r="K513" s="146"/>
      <c r="L513" s="146"/>
      <c r="M513" s="146"/>
      <c r="N513" s="146"/>
      <c r="O513" s="146"/>
      <c r="P513" s="146"/>
      <c r="Q513" s="146"/>
      <c r="R513" s="146"/>
      <c r="S513" s="146"/>
      <c r="T513" s="146"/>
      <c r="U513" s="146"/>
      <c r="V513" s="146"/>
      <c r="W513" s="146"/>
      <c r="X513" s="146"/>
      <c r="Y513" s="146"/>
      <c r="Z513" s="146"/>
      <c r="AA513" s="146"/>
    </row>
    <row r="514" ht="22.5" customHeight="1">
      <c r="A514" s="145"/>
      <c r="B514" s="154"/>
      <c r="C514" s="154"/>
      <c r="D514" s="138"/>
      <c r="E514" s="138"/>
      <c r="F514" s="138"/>
      <c r="G514" s="138"/>
      <c r="H514" s="119"/>
      <c r="I514" s="146"/>
      <c r="J514" s="146"/>
      <c r="K514" s="146"/>
      <c r="L514" s="146"/>
      <c r="M514" s="146"/>
      <c r="N514" s="146"/>
      <c r="O514" s="146"/>
      <c r="P514" s="146"/>
      <c r="Q514" s="146"/>
      <c r="R514" s="146"/>
      <c r="S514" s="146"/>
      <c r="T514" s="146"/>
      <c r="U514" s="146"/>
      <c r="V514" s="146"/>
      <c r="W514" s="146"/>
      <c r="X514" s="146"/>
      <c r="Y514" s="146"/>
      <c r="Z514" s="146"/>
      <c r="AA514" s="146"/>
    </row>
    <row r="515" ht="22.5" customHeight="1">
      <c r="A515" s="145"/>
      <c r="B515" s="154"/>
      <c r="C515" s="154"/>
      <c r="D515" s="138"/>
      <c r="E515" s="138"/>
      <c r="F515" s="138"/>
      <c r="G515" s="138"/>
      <c r="H515" s="119"/>
      <c r="I515" s="146"/>
      <c r="J515" s="146"/>
      <c r="K515" s="146"/>
      <c r="L515" s="146"/>
      <c r="M515" s="146"/>
      <c r="N515" s="146"/>
      <c r="O515" s="146"/>
      <c r="P515" s="146"/>
      <c r="Q515" s="146"/>
      <c r="R515" s="146"/>
      <c r="S515" s="146"/>
      <c r="T515" s="146"/>
      <c r="U515" s="146"/>
      <c r="V515" s="146"/>
      <c r="W515" s="146"/>
      <c r="X515" s="146"/>
      <c r="Y515" s="146"/>
      <c r="Z515" s="146"/>
      <c r="AA515" s="146"/>
    </row>
    <row r="516" ht="22.5" customHeight="1">
      <c r="A516" s="145"/>
      <c r="B516" s="154"/>
      <c r="C516" s="154"/>
      <c r="D516" s="138"/>
      <c r="E516" s="138"/>
      <c r="F516" s="138"/>
      <c r="G516" s="138"/>
      <c r="H516" s="119"/>
      <c r="I516" s="146"/>
      <c r="J516" s="146"/>
      <c r="K516" s="146"/>
      <c r="L516" s="146"/>
      <c r="M516" s="146"/>
      <c r="N516" s="146"/>
      <c r="O516" s="146"/>
      <c r="P516" s="146"/>
      <c r="Q516" s="146"/>
      <c r="R516" s="146"/>
      <c r="S516" s="146"/>
      <c r="T516" s="146"/>
      <c r="U516" s="146"/>
      <c r="V516" s="146"/>
      <c r="W516" s="146"/>
      <c r="X516" s="146"/>
      <c r="Y516" s="146"/>
      <c r="Z516" s="146"/>
      <c r="AA516" s="146"/>
    </row>
    <row r="517" ht="22.5" customHeight="1">
      <c r="A517" s="145"/>
      <c r="B517" s="154"/>
      <c r="C517" s="154"/>
      <c r="D517" s="138"/>
      <c r="E517" s="138"/>
      <c r="F517" s="138"/>
      <c r="G517" s="138"/>
      <c r="H517" s="119"/>
      <c r="I517" s="146"/>
      <c r="J517" s="146"/>
      <c r="K517" s="146"/>
      <c r="L517" s="146"/>
      <c r="M517" s="146"/>
      <c r="N517" s="146"/>
      <c r="O517" s="146"/>
      <c r="P517" s="146"/>
      <c r="Q517" s="146"/>
      <c r="R517" s="146"/>
      <c r="S517" s="146"/>
      <c r="T517" s="146"/>
      <c r="U517" s="146"/>
      <c r="V517" s="146"/>
      <c r="W517" s="146"/>
      <c r="X517" s="146"/>
      <c r="Y517" s="146"/>
      <c r="Z517" s="146"/>
      <c r="AA517" s="146"/>
    </row>
    <row r="518" ht="22.5" customHeight="1">
      <c r="A518" s="145"/>
      <c r="B518" s="154"/>
      <c r="C518" s="154"/>
      <c r="D518" s="138"/>
      <c r="E518" s="138"/>
      <c r="F518" s="138"/>
      <c r="G518" s="138"/>
      <c r="H518" s="119"/>
      <c r="I518" s="146"/>
      <c r="J518" s="146"/>
      <c r="K518" s="146"/>
      <c r="L518" s="146"/>
      <c r="M518" s="146"/>
      <c r="N518" s="146"/>
      <c r="O518" s="146"/>
      <c r="P518" s="146"/>
      <c r="Q518" s="146"/>
      <c r="R518" s="146"/>
      <c r="S518" s="146"/>
      <c r="T518" s="146"/>
      <c r="U518" s="146"/>
      <c r="V518" s="146"/>
      <c r="W518" s="146"/>
      <c r="X518" s="146"/>
      <c r="Y518" s="146"/>
      <c r="Z518" s="146"/>
      <c r="AA518" s="146"/>
    </row>
    <row r="519" ht="22.5" customHeight="1">
      <c r="A519" s="145"/>
      <c r="B519" s="154"/>
      <c r="C519" s="154"/>
      <c r="D519" s="138"/>
      <c r="E519" s="138"/>
      <c r="F519" s="138"/>
      <c r="G519" s="138"/>
      <c r="H519" s="119"/>
      <c r="I519" s="146"/>
      <c r="J519" s="146"/>
      <c r="K519" s="146"/>
      <c r="L519" s="146"/>
      <c r="M519" s="146"/>
      <c r="N519" s="146"/>
      <c r="O519" s="146"/>
      <c r="P519" s="146"/>
      <c r="Q519" s="146"/>
      <c r="R519" s="146"/>
      <c r="S519" s="146"/>
      <c r="T519" s="146"/>
      <c r="U519" s="146"/>
      <c r="V519" s="146"/>
      <c r="W519" s="146"/>
      <c r="X519" s="146"/>
      <c r="Y519" s="146"/>
      <c r="Z519" s="146"/>
      <c r="AA519" s="146"/>
    </row>
    <row r="520" ht="22.5" customHeight="1">
      <c r="A520" s="145"/>
      <c r="B520" s="154"/>
      <c r="C520" s="154"/>
      <c r="D520" s="138"/>
      <c r="E520" s="138"/>
      <c r="F520" s="138"/>
      <c r="G520" s="138"/>
      <c r="H520" s="119"/>
      <c r="I520" s="146"/>
      <c r="J520" s="146"/>
      <c r="K520" s="146"/>
      <c r="L520" s="146"/>
      <c r="M520" s="146"/>
      <c r="N520" s="146"/>
      <c r="O520" s="146"/>
      <c r="P520" s="146"/>
      <c r="Q520" s="146"/>
      <c r="R520" s="146"/>
      <c r="S520" s="146"/>
      <c r="T520" s="146"/>
      <c r="U520" s="146"/>
      <c r="V520" s="146"/>
      <c r="W520" s="146"/>
      <c r="X520" s="146"/>
      <c r="Y520" s="146"/>
      <c r="Z520" s="146"/>
      <c r="AA520" s="146"/>
    </row>
    <row r="521" ht="22.5" customHeight="1">
      <c r="A521" s="145"/>
      <c r="B521" s="154"/>
      <c r="C521" s="154"/>
      <c r="D521" s="138"/>
      <c r="E521" s="138"/>
      <c r="F521" s="138"/>
      <c r="G521" s="138"/>
      <c r="H521" s="119"/>
      <c r="I521" s="146"/>
      <c r="J521" s="146"/>
      <c r="K521" s="146"/>
      <c r="L521" s="146"/>
      <c r="M521" s="146"/>
      <c r="N521" s="146"/>
      <c r="O521" s="146"/>
      <c r="P521" s="146"/>
      <c r="Q521" s="146"/>
      <c r="R521" s="146"/>
      <c r="S521" s="146"/>
      <c r="T521" s="146"/>
      <c r="U521" s="146"/>
      <c r="V521" s="146"/>
      <c r="W521" s="146"/>
      <c r="X521" s="146"/>
      <c r="Y521" s="146"/>
      <c r="Z521" s="146"/>
      <c r="AA521" s="146"/>
    </row>
    <row r="522" ht="22.5" customHeight="1">
      <c r="A522" s="145"/>
      <c r="B522" s="154"/>
      <c r="C522" s="154"/>
      <c r="D522" s="138"/>
      <c r="E522" s="138"/>
      <c r="F522" s="138"/>
      <c r="G522" s="138"/>
      <c r="H522" s="119"/>
      <c r="I522" s="146"/>
      <c r="J522" s="146"/>
      <c r="K522" s="146"/>
      <c r="L522" s="146"/>
      <c r="M522" s="146"/>
      <c r="N522" s="146"/>
      <c r="O522" s="146"/>
      <c r="P522" s="146"/>
      <c r="Q522" s="146"/>
      <c r="R522" s="146"/>
      <c r="S522" s="146"/>
      <c r="T522" s="146"/>
      <c r="U522" s="146"/>
      <c r="V522" s="146"/>
      <c r="W522" s="146"/>
      <c r="X522" s="146"/>
      <c r="Y522" s="146"/>
      <c r="Z522" s="146"/>
      <c r="AA522" s="146"/>
    </row>
    <row r="523" ht="22.5" customHeight="1">
      <c r="A523" s="145"/>
      <c r="B523" s="154"/>
      <c r="C523" s="154"/>
      <c r="D523" s="138"/>
      <c r="E523" s="138"/>
      <c r="F523" s="138"/>
      <c r="G523" s="138"/>
      <c r="H523" s="119"/>
      <c r="I523" s="146"/>
      <c r="J523" s="146"/>
      <c r="K523" s="146"/>
      <c r="L523" s="146"/>
      <c r="M523" s="146"/>
      <c r="N523" s="146"/>
      <c r="O523" s="146"/>
      <c r="P523" s="146"/>
      <c r="Q523" s="146"/>
      <c r="R523" s="146"/>
      <c r="S523" s="146"/>
      <c r="T523" s="146"/>
      <c r="U523" s="146"/>
      <c r="V523" s="146"/>
      <c r="W523" s="146"/>
      <c r="X523" s="146"/>
      <c r="Y523" s="146"/>
      <c r="Z523" s="146"/>
      <c r="AA523" s="146"/>
    </row>
    <row r="524" ht="22.5" customHeight="1">
      <c r="A524" s="145"/>
      <c r="B524" s="154"/>
      <c r="C524" s="154"/>
      <c r="D524" s="138"/>
      <c r="E524" s="138"/>
      <c r="F524" s="138"/>
      <c r="G524" s="138"/>
      <c r="H524" s="119"/>
      <c r="I524" s="146"/>
      <c r="J524" s="146"/>
      <c r="K524" s="146"/>
      <c r="L524" s="146"/>
      <c r="M524" s="146"/>
      <c r="N524" s="146"/>
      <c r="O524" s="146"/>
      <c r="P524" s="146"/>
      <c r="Q524" s="146"/>
      <c r="R524" s="146"/>
      <c r="S524" s="146"/>
      <c r="T524" s="146"/>
      <c r="U524" s="146"/>
      <c r="V524" s="146"/>
      <c r="W524" s="146"/>
      <c r="X524" s="146"/>
      <c r="Y524" s="146"/>
      <c r="Z524" s="146"/>
      <c r="AA524" s="146"/>
    </row>
    <row r="525" ht="22.5" customHeight="1">
      <c r="A525" s="145"/>
      <c r="B525" s="154"/>
      <c r="C525" s="154"/>
      <c r="D525" s="138"/>
      <c r="E525" s="138"/>
      <c r="F525" s="138"/>
      <c r="G525" s="138"/>
      <c r="H525" s="119"/>
      <c r="I525" s="146"/>
      <c r="J525" s="146"/>
      <c r="K525" s="146"/>
      <c r="L525" s="146"/>
      <c r="M525" s="146"/>
      <c r="N525" s="146"/>
      <c r="O525" s="146"/>
      <c r="P525" s="146"/>
      <c r="Q525" s="146"/>
      <c r="R525" s="146"/>
      <c r="S525" s="146"/>
      <c r="T525" s="146"/>
      <c r="U525" s="146"/>
      <c r="V525" s="146"/>
      <c r="W525" s="146"/>
      <c r="X525" s="146"/>
      <c r="Y525" s="146"/>
      <c r="Z525" s="146"/>
      <c r="AA525" s="146"/>
    </row>
    <row r="526" ht="22.5" customHeight="1">
      <c r="A526" s="145"/>
      <c r="B526" s="154"/>
      <c r="C526" s="154"/>
      <c r="D526" s="138"/>
      <c r="E526" s="138"/>
      <c r="F526" s="138"/>
      <c r="G526" s="138"/>
      <c r="H526" s="119"/>
      <c r="I526" s="146"/>
      <c r="J526" s="146"/>
      <c r="K526" s="146"/>
      <c r="L526" s="146"/>
      <c r="M526" s="146"/>
      <c r="N526" s="146"/>
      <c r="O526" s="146"/>
      <c r="P526" s="146"/>
      <c r="Q526" s="146"/>
      <c r="R526" s="146"/>
      <c r="S526" s="146"/>
      <c r="T526" s="146"/>
      <c r="U526" s="146"/>
      <c r="V526" s="146"/>
      <c r="W526" s="146"/>
      <c r="X526" s="146"/>
      <c r="Y526" s="146"/>
      <c r="Z526" s="146"/>
      <c r="AA526" s="146"/>
    </row>
    <row r="527" ht="22.5" customHeight="1">
      <c r="A527" s="145"/>
      <c r="B527" s="154"/>
      <c r="C527" s="154"/>
      <c r="D527" s="138"/>
      <c r="E527" s="138"/>
      <c r="F527" s="138"/>
      <c r="G527" s="138"/>
      <c r="H527" s="119"/>
      <c r="I527" s="146"/>
      <c r="J527" s="146"/>
      <c r="K527" s="146"/>
      <c r="L527" s="146"/>
      <c r="M527" s="146"/>
      <c r="N527" s="146"/>
      <c r="O527" s="146"/>
      <c r="P527" s="146"/>
      <c r="Q527" s="146"/>
      <c r="R527" s="146"/>
      <c r="S527" s="146"/>
      <c r="T527" s="146"/>
      <c r="U527" s="146"/>
      <c r="V527" s="146"/>
      <c r="W527" s="146"/>
      <c r="X527" s="146"/>
      <c r="Y527" s="146"/>
      <c r="Z527" s="146"/>
      <c r="AA527" s="146"/>
    </row>
    <row r="528" ht="22.5" customHeight="1">
      <c r="A528" s="145"/>
      <c r="B528" s="154"/>
      <c r="C528" s="154"/>
      <c r="D528" s="138"/>
      <c r="E528" s="138"/>
      <c r="F528" s="138"/>
      <c r="G528" s="138"/>
      <c r="H528" s="119"/>
      <c r="I528" s="146"/>
      <c r="J528" s="146"/>
      <c r="K528" s="146"/>
      <c r="L528" s="146"/>
      <c r="M528" s="146"/>
      <c r="N528" s="146"/>
      <c r="O528" s="146"/>
      <c r="P528" s="146"/>
      <c r="Q528" s="146"/>
      <c r="R528" s="146"/>
      <c r="S528" s="146"/>
      <c r="T528" s="146"/>
      <c r="U528" s="146"/>
      <c r="V528" s="146"/>
      <c r="W528" s="146"/>
      <c r="X528" s="146"/>
      <c r="Y528" s="146"/>
      <c r="Z528" s="146"/>
      <c r="AA528" s="146"/>
    </row>
    <row r="529" ht="22.5" customHeight="1">
      <c r="A529" s="145"/>
      <c r="B529" s="154"/>
      <c r="C529" s="154"/>
      <c r="D529" s="138"/>
      <c r="E529" s="138"/>
      <c r="F529" s="138"/>
      <c r="G529" s="138"/>
      <c r="H529" s="119"/>
      <c r="I529" s="146"/>
      <c r="J529" s="146"/>
      <c r="K529" s="146"/>
      <c r="L529" s="146"/>
      <c r="M529" s="146"/>
      <c r="N529" s="146"/>
      <c r="O529" s="146"/>
      <c r="P529" s="146"/>
      <c r="Q529" s="146"/>
      <c r="R529" s="146"/>
      <c r="S529" s="146"/>
      <c r="T529" s="146"/>
      <c r="U529" s="146"/>
      <c r="V529" s="146"/>
      <c r="W529" s="146"/>
      <c r="X529" s="146"/>
      <c r="Y529" s="146"/>
      <c r="Z529" s="146"/>
      <c r="AA529" s="146"/>
    </row>
    <row r="530" ht="22.5" customHeight="1">
      <c r="A530" s="145"/>
      <c r="B530" s="154"/>
      <c r="C530" s="154"/>
      <c r="D530" s="138"/>
      <c r="E530" s="138"/>
      <c r="F530" s="138"/>
      <c r="G530" s="138"/>
      <c r="H530" s="119"/>
      <c r="I530" s="146"/>
      <c r="J530" s="146"/>
      <c r="K530" s="146"/>
      <c r="L530" s="146"/>
      <c r="M530" s="146"/>
      <c r="N530" s="146"/>
      <c r="O530" s="146"/>
      <c r="P530" s="146"/>
      <c r="Q530" s="146"/>
      <c r="R530" s="146"/>
      <c r="S530" s="146"/>
      <c r="T530" s="146"/>
      <c r="U530" s="146"/>
      <c r="V530" s="146"/>
      <c r="W530" s="146"/>
      <c r="X530" s="146"/>
      <c r="Y530" s="146"/>
      <c r="Z530" s="146"/>
      <c r="AA530" s="146"/>
    </row>
    <row r="531" ht="22.5" customHeight="1">
      <c r="A531" s="145"/>
      <c r="B531" s="154"/>
      <c r="C531" s="154"/>
      <c r="D531" s="138"/>
      <c r="E531" s="138"/>
      <c r="F531" s="138"/>
      <c r="G531" s="138"/>
      <c r="H531" s="119"/>
      <c r="I531" s="146"/>
      <c r="J531" s="146"/>
      <c r="K531" s="146"/>
      <c r="L531" s="146"/>
      <c r="M531" s="146"/>
      <c r="N531" s="146"/>
      <c r="O531" s="146"/>
      <c r="P531" s="146"/>
      <c r="Q531" s="146"/>
      <c r="R531" s="146"/>
      <c r="S531" s="146"/>
      <c r="T531" s="146"/>
      <c r="U531" s="146"/>
      <c r="V531" s="146"/>
      <c r="W531" s="146"/>
      <c r="X531" s="146"/>
      <c r="Y531" s="146"/>
      <c r="Z531" s="146"/>
      <c r="AA531" s="146"/>
    </row>
    <row r="532" ht="22.5" customHeight="1">
      <c r="A532" s="145"/>
      <c r="B532" s="154"/>
      <c r="C532" s="154"/>
      <c r="D532" s="138"/>
      <c r="E532" s="138"/>
      <c r="F532" s="138"/>
      <c r="G532" s="138"/>
      <c r="H532" s="119"/>
      <c r="I532" s="146"/>
      <c r="J532" s="146"/>
      <c r="K532" s="146"/>
      <c r="L532" s="146"/>
      <c r="M532" s="146"/>
      <c r="N532" s="146"/>
      <c r="O532" s="146"/>
      <c r="P532" s="146"/>
      <c r="Q532" s="146"/>
      <c r="R532" s="146"/>
      <c r="S532" s="146"/>
      <c r="T532" s="146"/>
      <c r="U532" s="146"/>
      <c r="V532" s="146"/>
      <c r="W532" s="146"/>
      <c r="X532" s="146"/>
      <c r="Y532" s="146"/>
      <c r="Z532" s="146"/>
      <c r="AA532" s="146"/>
    </row>
    <row r="533" ht="22.5" customHeight="1">
      <c r="A533" s="145"/>
      <c r="B533" s="154"/>
      <c r="C533" s="154"/>
      <c r="D533" s="138"/>
      <c r="E533" s="138"/>
      <c r="F533" s="138"/>
      <c r="G533" s="138"/>
      <c r="H533" s="119"/>
      <c r="I533" s="146"/>
      <c r="J533" s="146"/>
      <c r="K533" s="146"/>
      <c r="L533" s="146"/>
      <c r="M533" s="146"/>
      <c r="N533" s="146"/>
      <c r="O533" s="146"/>
      <c r="P533" s="146"/>
      <c r="Q533" s="146"/>
      <c r="R533" s="146"/>
      <c r="S533" s="146"/>
      <c r="T533" s="146"/>
      <c r="U533" s="146"/>
      <c r="V533" s="146"/>
      <c r="W533" s="146"/>
      <c r="X533" s="146"/>
      <c r="Y533" s="146"/>
      <c r="Z533" s="146"/>
      <c r="AA533" s="146"/>
    </row>
    <row r="534" ht="22.5" customHeight="1">
      <c r="A534" s="145"/>
      <c r="B534" s="154"/>
      <c r="C534" s="154"/>
      <c r="D534" s="138"/>
      <c r="E534" s="138"/>
      <c r="F534" s="138"/>
      <c r="G534" s="138"/>
      <c r="H534" s="119"/>
      <c r="I534" s="146"/>
      <c r="J534" s="146"/>
      <c r="K534" s="146"/>
      <c r="L534" s="146"/>
      <c r="M534" s="146"/>
      <c r="N534" s="146"/>
      <c r="O534" s="146"/>
      <c r="P534" s="146"/>
      <c r="Q534" s="146"/>
      <c r="R534" s="146"/>
      <c r="S534" s="146"/>
      <c r="T534" s="146"/>
      <c r="U534" s="146"/>
      <c r="V534" s="146"/>
      <c r="W534" s="146"/>
      <c r="X534" s="146"/>
      <c r="Y534" s="146"/>
      <c r="Z534" s="146"/>
      <c r="AA534" s="146"/>
    </row>
    <row r="535" ht="22.5" customHeight="1">
      <c r="A535" s="145"/>
      <c r="B535" s="154"/>
      <c r="C535" s="154"/>
      <c r="D535" s="138"/>
      <c r="E535" s="138"/>
      <c r="F535" s="138"/>
      <c r="G535" s="138"/>
      <c r="H535" s="119"/>
      <c r="I535" s="146"/>
      <c r="J535" s="146"/>
      <c r="K535" s="146"/>
      <c r="L535" s="146"/>
      <c r="M535" s="146"/>
      <c r="N535" s="146"/>
      <c r="O535" s="146"/>
      <c r="P535" s="146"/>
      <c r="Q535" s="146"/>
      <c r="R535" s="146"/>
      <c r="S535" s="146"/>
      <c r="T535" s="146"/>
      <c r="U535" s="146"/>
      <c r="V535" s="146"/>
      <c r="W535" s="146"/>
      <c r="X535" s="146"/>
      <c r="Y535" s="146"/>
      <c r="Z535" s="146"/>
      <c r="AA535" s="146"/>
    </row>
    <row r="536" ht="22.5" customHeight="1">
      <c r="A536" s="145"/>
      <c r="B536" s="154"/>
      <c r="C536" s="154"/>
      <c r="D536" s="138"/>
      <c r="E536" s="138"/>
      <c r="F536" s="138"/>
      <c r="G536" s="138"/>
      <c r="H536" s="119"/>
      <c r="I536" s="146"/>
      <c r="J536" s="146"/>
      <c r="K536" s="146"/>
      <c r="L536" s="146"/>
      <c r="M536" s="146"/>
      <c r="N536" s="146"/>
      <c r="O536" s="146"/>
      <c r="P536" s="146"/>
      <c r="Q536" s="146"/>
      <c r="R536" s="146"/>
      <c r="S536" s="146"/>
      <c r="T536" s="146"/>
      <c r="U536" s="146"/>
      <c r="V536" s="146"/>
      <c r="W536" s="146"/>
      <c r="X536" s="146"/>
      <c r="Y536" s="146"/>
      <c r="Z536" s="146"/>
      <c r="AA536" s="146"/>
    </row>
    <row r="537" ht="22.5" customHeight="1">
      <c r="A537" s="145"/>
      <c r="B537" s="154"/>
      <c r="C537" s="154"/>
      <c r="D537" s="138"/>
      <c r="E537" s="138"/>
      <c r="F537" s="138"/>
      <c r="G537" s="138"/>
      <c r="H537" s="119"/>
      <c r="I537" s="146"/>
      <c r="J537" s="146"/>
      <c r="K537" s="146"/>
      <c r="L537" s="146"/>
      <c r="M537" s="146"/>
      <c r="N537" s="146"/>
      <c r="O537" s="146"/>
      <c r="P537" s="146"/>
      <c r="Q537" s="146"/>
      <c r="R537" s="146"/>
      <c r="S537" s="146"/>
      <c r="T537" s="146"/>
      <c r="U537" s="146"/>
      <c r="V537" s="146"/>
      <c r="W537" s="146"/>
      <c r="X537" s="146"/>
      <c r="Y537" s="146"/>
      <c r="Z537" s="146"/>
      <c r="AA537" s="146"/>
    </row>
    <row r="538" ht="22.5" customHeight="1">
      <c r="A538" s="145"/>
      <c r="B538" s="154"/>
      <c r="C538" s="154"/>
      <c r="D538" s="138"/>
      <c r="E538" s="138"/>
      <c r="F538" s="138"/>
      <c r="G538" s="138"/>
      <c r="H538" s="119"/>
      <c r="I538" s="146"/>
      <c r="J538" s="146"/>
      <c r="K538" s="146"/>
      <c r="L538" s="146"/>
      <c r="M538" s="146"/>
      <c r="N538" s="146"/>
      <c r="O538" s="146"/>
      <c r="P538" s="146"/>
      <c r="Q538" s="146"/>
      <c r="R538" s="146"/>
      <c r="S538" s="146"/>
      <c r="T538" s="146"/>
      <c r="U538" s="146"/>
      <c r="V538" s="146"/>
      <c r="W538" s="146"/>
      <c r="X538" s="146"/>
      <c r="Y538" s="146"/>
      <c r="Z538" s="146"/>
      <c r="AA538" s="146"/>
    </row>
    <row r="539" ht="22.5" customHeight="1">
      <c r="A539" s="145"/>
      <c r="B539" s="154"/>
      <c r="C539" s="154"/>
      <c r="D539" s="138"/>
      <c r="E539" s="138"/>
      <c r="F539" s="138"/>
      <c r="G539" s="138"/>
      <c r="H539" s="119"/>
      <c r="I539" s="146"/>
      <c r="J539" s="146"/>
      <c r="K539" s="146"/>
      <c r="L539" s="146"/>
      <c r="M539" s="146"/>
      <c r="N539" s="146"/>
      <c r="O539" s="146"/>
      <c r="P539" s="146"/>
      <c r="Q539" s="146"/>
      <c r="R539" s="146"/>
      <c r="S539" s="146"/>
      <c r="T539" s="146"/>
      <c r="U539" s="146"/>
      <c r="V539" s="146"/>
      <c r="W539" s="146"/>
      <c r="X539" s="146"/>
      <c r="Y539" s="146"/>
      <c r="Z539" s="146"/>
      <c r="AA539" s="146"/>
    </row>
    <row r="540" ht="22.5" customHeight="1">
      <c r="A540" s="145"/>
      <c r="B540" s="154"/>
      <c r="C540" s="154"/>
      <c r="D540" s="138"/>
      <c r="E540" s="138"/>
      <c r="F540" s="138"/>
      <c r="G540" s="138"/>
      <c r="H540" s="119"/>
      <c r="I540" s="146"/>
      <c r="J540" s="146"/>
      <c r="K540" s="146"/>
      <c r="L540" s="146"/>
      <c r="M540" s="146"/>
      <c r="N540" s="146"/>
      <c r="O540" s="146"/>
      <c r="P540" s="146"/>
      <c r="Q540" s="146"/>
      <c r="R540" s="146"/>
      <c r="S540" s="146"/>
      <c r="T540" s="146"/>
      <c r="U540" s="146"/>
      <c r="V540" s="146"/>
      <c r="W540" s="146"/>
      <c r="X540" s="146"/>
      <c r="Y540" s="146"/>
      <c r="Z540" s="146"/>
      <c r="AA540" s="146"/>
    </row>
    <row r="541" ht="22.5" customHeight="1">
      <c r="A541" s="145"/>
      <c r="B541" s="154"/>
      <c r="C541" s="154"/>
      <c r="D541" s="138"/>
      <c r="E541" s="138"/>
      <c r="F541" s="138"/>
      <c r="G541" s="138"/>
      <c r="H541" s="119"/>
      <c r="I541" s="146"/>
      <c r="J541" s="146"/>
      <c r="K541" s="146"/>
      <c r="L541" s="146"/>
      <c r="M541" s="146"/>
      <c r="N541" s="146"/>
      <c r="O541" s="146"/>
      <c r="P541" s="146"/>
      <c r="Q541" s="146"/>
      <c r="R541" s="146"/>
      <c r="S541" s="146"/>
      <c r="T541" s="146"/>
      <c r="U541" s="146"/>
      <c r="V541" s="146"/>
      <c r="W541" s="146"/>
      <c r="X541" s="146"/>
      <c r="Y541" s="146"/>
      <c r="Z541" s="146"/>
      <c r="AA541" s="146"/>
    </row>
    <row r="542" ht="22.5" customHeight="1">
      <c r="A542" s="145"/>
      <c r="B542" s="154"/>
      <c r="C542" s="154"/>
      <c r="D542" s="138"/>
      <c r="E542" s="138"/>
      <c r="F542" s="138"/>
      <c r="G542" s="138"/>
      <c r="H542" s="119"/>
      <c r="I542" s="146"/>
      <c r="J542" s="146"/>
      <c r="K542" s="146"/>
      <c r="L542" s="146"/>
      <c r="M542" s="146"/>
      <c r="N542" s="146"/>
      <c r="O542" s="146"/>
      <c r="P542" s="146"/>
      <c r="Q542" s="146"/>
      <c r="R542" s="146"/>
      <c r="S542" s="146"/>
      <c r="T542" s="146"/>
      <c r="U542" s="146"/>
      <c r="V542" s="146"/>
      <c r="W542" s="146"/>
      <c r="X542" s="146"/>
      <c r="Y542" s="146"/>
      <c r="Z542" s="146"/>
      <c r="AA542" s="146"/>
    </row>
    <row r="543" ht="22.5" customHeight="1">
      <c r="A543" s="145"/>
      <c r="B543" s="154"/>
      <c r="C543" s="154"/>
      <c r="D543" s="138"/>
      <c r="E543" s="138"/>
      <c r="F543" s="138"/>
      <c r="G543" s="138"/>
      <c r="H543" s="119"/>
      <c r="I543" s="146"/>
      <c r="J543" s="146"/>
      <c r="K543" s="146"/>
      <c r="L543" s="146"/>
      <c r="M543" s="146"/>
      <c r="N543" s="146"/>
      <c r="O543" s="146"/>
      <c r="P543" s="146"/>
      <c r="Q543" s="146"/>
      <c r="R543" s="146"/>
      <c r="S543" s="146"/>
      <c r="T543" s="146"/>
      <c r="U543" s="146"/>
      <c r="V543" s="146"/>
      <c r="W543" s="146"/>
      <c r="X543" s="146"/>
      <c r="Y543" s="146"/>
      <c r="Z543" s="146"/>
      <c r="AA543" s="146"/>
    </row>
    <row r="544" ht="22.5" customHeight="1">
      <c r="A544" s="145"/>
      <c r="B544" s="154"/>
      <c r="C544" s="154"/>
      <c r="D544" s="138"/>
      <c r="E544" s="138"/>
      <c r="F544" s="138"/>
      <c r="G544" s="138"/>
      <c r="H544" s="119"/>
      <c r="I544" s="146"/>
      <c r="J544" s="146"/>
      <c r="K544" s="146"/>
      <c r="L544" s="146"/>
      <c r="M544" s="146"/>
      <c r="N544" s="146"/>
      <c r="O544" s="146"/>
      <c r="P544" s="146"/>
      <c r="Q544" s="146"/>
      <c r="R544" s="146"/>
      <c r="S544" s="146"/>
      <c r="T544" s="146"/>
      <c r="U544" s="146"/>
      <c r="V544" s="146"/>
      <c r="W544" s="146"/>
      <c r="X544" s="146"/>
      <c r="Y544" s="146"/>
      <c r="Z544" s="146"/>
      <c r="AA544" s="146"/>
    </row>
    <row r="545" ht="22.5" customHeight="1">
      <c r="A545" s="145"/>
      <c r="B545" s="154"/>
      <c r="C545" s="154"/>
      <c r="D545" s="138"/>
      <c r="E545" s="138"/>
      <c r="F545" s="138"/>
      <c r="G545" s="138"/>
      <c r="H545" s="119"/>
      <c r="I545" s="146"/>
      <c r="J545" s="146"/>
      <c r="K545" s="146"/>
      <c r="L545" s="146"/>
      <c r="M545" s="146"/>
      <c r="N545" s="146"/>
      <c r="O545" s="146"/>
      <c r="P545" s="146"/>
      <c r="Q545" s="146"/>
      <c r="R545" s="146"/>
      <c r="S545" s="146"/>
      <c r="T545" s="146"/>
      <c r="U545" s="146"/>
      <c r="V545" s="146"/>
      <c r="W545" s="146"/>
      <c r="X545" s="146"/>
      <c r="Y545" s="146"/>
      <c r="Z545" s="146"/>
      <c r="AA545" s="146"/>
    </row>
    <row r="546" ht="22.5" customHeight="1">
      <c r="A546" s="145"/>
      <c r="B546" s="154"/>
      <c r="C546" s="154"/>
      <c r="D546" s="138"/>
      <c r="E546" s="138"/>
      <c r="F546" s="138"/>
      <c r="G546" s="138"/>
      <c r="H546" s="119"/>
      <c r="I546" s="146"/>
      <c r="J546" s="146"/>
      <c r="K546" s="146"/>
      <c r="L546" s="146"/>
      <c r="M546" s="146"/>
      <c r="N546" s="146"/>
      <c r="O546" s="146"/>
      <c r="P546" s="146"/>
      <c r="Q546" s="146"/>
      <c r="R546" s="146"/>
      <c r="S546" s="146"/>
      <c r="T546" s="146"/>
      <c r="U546" s="146"/>
      <c r="V546" s="146"/>
      <c r="W546" s="146"/>
      <c r="X546" s="146"/>
      <c r="Y546" s="146"/>
      <c r="Z546" s="146"/>
      <c r="AA546" s="146"/>
    </row>
    <row r="547" ht="22.5" customHeight="1">
      <c r="A547" s="145"/>
      <c r="B547" s="154"/>
      <c r="C547" s="154"/>
      <c r="D547" s="138"/>
      <c r="E547" s="138"/>
      <c r="F547" s="138"/>
      <c r="G547" s="138"/>
      <c r="H547" s="119"/>
      <c r="I547" s="146"/>
      <c r="J547" s="146"/>
      <c r="K547" s="146"/>
      <c r="L547" s="146"/>
      <c r="M547" s="146"/>
      <c r="N547" s="146"/>
      <c r="O547" s="146"/>
      <c r="P547" s="146"/>
      <c r="Q547" s="146"/>
      <c r="R547" s="146"/>
      <c r="S547" s="146"/>
      <c r="T547" s="146"/>
      <c r="U547" s="146"/>
      <c r="V547" s="146"/>
      <c r="W547" s="146"/>
      <c r="X547" s="146"/>
      <c r="Y547" s="146"/>
      <c r="Z547" s="146"/>
      <c r="AA547" s="146"/>
    </row>
    <row r="548" ht="22.5" customHeight="1">
      <c r="A548" s="145"/>
      <c r="B548" s="154"/>
      <c r="C548" s="154"/>
      <c r="D548" s="138"/>
      <c r="E548" s="138"/>
      <c r="F548" s="138"/>
      <c r="G548" s="138"/>
      <c r="H548" s="119"/>
      <c r="I548" s="146"/>
      <c r="J548" s="146"/>
      <c r="K548" s="146"/>
      <c r="L548" s="146"/>
      <c r="M548" s="146"/>
      <c r="N548" s="146"/>
      <c r="O548" s="146"/>
      <c r="P548" s="146"/>
      <c r="Q548" s="146"/>
      <c r="R548" s="146"/>
      <c r="S548" s="146"/>
      <c r="T548" s="146"/>
      <c r="U548" s="146"/>
      <c r="V548" s="146"/>
      <c r="W548" s="146"/>
      <c r="X548" s="146"/>
      <c r="Y548" s="146"/>
      <c r="Z548" s="146"/>
      <c r="AA548" s="146"/>
    </row>
    <row r="549" ht="22.5" customHeight="1">
      <c r="A549" s="145"/>
      <c r="B549" s="154"/>
      <c r="C549" s="154"/>
      <c r="D549" s="138"/>
      <c r="E549" s="138"/>
      <c r="F549" s="138"/>
      <c r="G549" s="138"/>
      <c r="H549" s="119"/>
      <c r="I549" s="146"/>
      <c r="J549" s="146"/>
      <c r="K549" s="146"/>
      <c r="L549" s="146"/>
      <c r="M549" s="146"/>
      <c r="N549" s="146"/>
      <c r="O549" s="146"/>
      <c r="P549" s="146"/>
      <c r="Q549" s="146"/>
      <c r="R549" s="146"/>
      <c r="S549" s="146"/>
      <c r="T549" s="146"/>
      <c r="U549" s="146"/>
      <c r="V549" s="146"/>
      <c r="W549" s="146"/>
      <c r="X549" s="146"/>
      <c r="Y549" s="146"/>
      <c r="Z549" s="146"/>
      <c r="AA549" s="146"/>
    </row>
    <row r="550" ht="22.5" customHeight="1">
      <c r="A550" s="145"/>
      <c r="B550" s="154"/>
      <c r="C550" s="154"/>
      <c r="D550" s="138"/>
      <c r="E550" s="138"/>
      <c r="F550" s="138"/>
      <c r="G550" s="138"/>
      <c r="H550" s="119"/>
      <c r="I550" s="146"/>
      <c r="J550" s="146"/>
      <c r="K550" s="146"/>
      <c r="L550" s="146"/>
      <c r="M550" s="146"/>
      <c r="N550" s="146"/>
      <c r="O550" s="146"/>
      <c r="P550" s="146"/>
      <c r="Q550" s="146"/>
      <c r="R550" s="146"/>
      <c r="S550" s="146"/>
      <c r="T550" s="146"/>
      <c r="U550" s="146"/>
      <c r="V550" s="146"/>
      <c r="W550" s="146"/>
      <c r="X550" s="146"/>
      <c r="Y550" s="146"/>
      <c r="Z550" s="146"/>
      <c r="AA550" s="146"/>
    </row>
    <row r="551" ht="22.5" customHeight="1">
      <c r="A551" s="145"/>
      <c r="B551" s="154"/>
      <c r="C551" s="154"/>
      <c r="D551" s="138"/>
      <c r="E551" s="138"/>
      <c r="F551" s="138"/>
      <c r="G551" s="138"/>
      <c r="H551" s="119"/>
      <c r="I551" s="146"/>
      <c r="J551" s="146"/>
      <c r="K551" s="146"/>
      <c r="L551" s="146"/>
      <c r="M551" s="146"/>
      <c r="N551" s="146"/>
      <c r="O551" s="146"/>
      <c r="P551" s="146"/>
      <c r="Q551" s="146"/>
      <c r="R551" s="146"/>
      <c r="S551" s="146"/>
      <c r="T551" s="146"/>
      <c r="U551" s="146"/>
      <c r="V551" s="146"/>
      <c r="W551" s="146"/>
      <c r="X551" s="146"/>
      <c r="Y551" s="146"/>
      <c r="Z551" s="146"/>
      <c r="AA551" s="146"/>
    </row>
    <row r="552" ht="22.5" customHeight="1">
      <c r="A552" s="145"/>
      <c r="B552" s="154"/>
      <c r="C552" s="154"/>
      <c r="D552" s="138"/>
      <c r="E552" s="138"/>
      <c r="F552" s="138"/>
      <c r="G552" s="138"/>
      <c r="H552" s="119"/>
      <c r="I552" s="146"/>
      <c r="J552" s="146"/>
      <c r="K552" s="146"/>
      <c r="L552" s="146"/>
      <c r="M552" s="146"/>
      <c r="N552" s="146"/>
      <c r="O552" s="146"/>
      <c r="P552" s="146"/>
      <c r="Q552" s="146"/>
      <c r="R552" s="146"/>
      <c r="S552" s="146"/>
      <c r="T552" s="146"/>
      <c r="U552" s="146"/>
      <c r="V552" s="146"/>
      <c r="W552" s="146"/>
      <c r="X552" s="146"/>
      <c r="Y552" s="146"/>
      <c r="Z552" s="146"/>
      <c r="AA552" s="146"/>
    </row>
    <row r="553" ht="22.5" customHeight="1">
      <c r="A553" s="145"/>
      <c r="B553" s="154"/>
      <c r="C553" s="154"/>
      <c r="D553" s="138"/>
      <c r="E553" s="138"/>
      <c r="F553" s="138"/>
      <c r="G553" s="138"/>
      <c r="H553" s="119"/>
      <c r="I553" s="146"/>
      <c r="J553" s="146"/>
      <c r="K553" s="146"/>
      <c r="L553" s="146"/>
      <c r="M553" s="146"/>
      <c r="N553" s="146"/>
      <c r="O553" s="146"/>
      <c r="P553" s="146"/>
      <c r="Q553" s="146"/>
      <c r="R553" s="146"/>
      <c r="S553" s="146"/>
      <c r="T553" s="146"/>
      <c r="U553" s="146"/>
      <c r="V553" s="146"/>
      <c r="W553" s="146"/>
      <c r="X553" s="146"/>
      <c r="Y553" s="146"/>
      <c r="Z553" s="146"/>
      <c r="AA553" s="146"/>
    </row>
    <row r="554" ht="22.5" customHeight="1">
      <c r="A554" s="145"/>
      <c r="B554" s="154"/>
      <c r="C554" s="154"/>
      <c r="D554" s="138"/>
      <c r="E554" s="138"/>
      <c r="F554" s="138"/>
      <c r="G554" s="138"/>
      <c r="H554" s="119"/>
      <c r="I554" s="146"/>
      <c r="J554" s="146"/>
      <c r="K554" s="146"/>
      <c r="L554" s="146"/>
      <c r="M554" s="146"/>
      <c r="N554" s="146"/>
      <c r="O554" s="146"/>
      <c r="P554" s="146"/>
      <c r="Q554" s="146"/>
      <c r="R554" s="146"/>
      <c r="S554" s="146"/>
      <c r="T554" s="146"/>
      <c r="U554" s="146"/>
      <c r="V554" s="146"/>
      <c r="W554" s="146"/>
      <c r="X554" s="146"/>
      <c r="Y554" s="146"/>
      <c r="Z554" s="146"/>
      <c r="AA554" s="146"/>
    </row>
    <row r="555" ht="22.5" customHeight="1">
      <c r="A555" s="145"/>
      <c r="B555" s="154"/>
      <c r="C555" s="154"/>
      <c r="D555" s="138"/>
      <c r="E555" s="138"/>
      <c r="F555" s="138"/>
      <c r="G555" s="138"/>
      <c r="H555" s="119"/>
      <c r="I555" s="146"/>
      <c r="J555" s="146"/>
      <c r="K555" s="146"/>
      <c r="L555" s="146"/>
      <c r="M555" s="146"/>
      <c r="N555" s="146"/>
      <c r="O555" s="146"/>
      <c r="P555" s="146"/>
      <c r="Q555" s="146"/>
      <c r="R555" s="146"/>
      <c r="S555" s="146"/>
      <c r="T555" s="146"/>
      <c r="U555" s="146"/>
      <c r="V555" s="146"/>
      <c r="W555" s="146"/>
      <c r="X555" s="146"/>
      <c r="Y555" s="146"/>
      <c r="Z555" s="146"/>
      <c r="AA555" s="146"/>
    </row>
    <row r="556" ht="22.5" customHeight="1">
      <c r="A556" s="145"/>
      <c r="B556" s="154"/>
      <c r="C556" s="154"/>
      <c r="D556" s="138"/>
      <c r="E556" s="138"/>
      <c r="F556" s="138"/>
      <c r="G556" s="138"/>
      <c r="H556" s="119"/>
      <c r="I556" s="146"/>
      <c r="J556" s="146"/>
      <c r="K556" s="146"/>
      <c r="L556" s="146"/>
      <c r="M556" s="146"/>
      <c r="N556" s="146"/>
      <c r="O556" s="146"/>
      <c r="P556" s="146"/>
      <c r="Q556" s="146"/>
      <c r="R556" s="146"/>
      <c r="S556" s="146"/>
      <c r="T556" s="146"/>
      <c r="U556" s="146"/>
      <c r="V556" s="146"/>
      <c r="W556" s="146"/>
      <c r="X556" s="146"/>
      <c r="Y556" s="146"/>
      <c r="Z556" s="146"/>
      <c r="AA556" s="146"/>
    </row>
    <row r="557" ht="22.5" customHeight="1">
      <c r="A557" s="145"/>
      <c r="B557" s="154"/>
      <c r="C557" s="154"/>
      <c r="D557" s="138"/>
      <c r="E557" s="138"/>
      <c r="F557" s="138"/>
      <c r="G557" s="138"/>
      <c r="H557" s="119"/>
      <c r="I557" s="146"/>
      <c r="J557" s="146"/>
      <c r="K557" s="146"/>
      <c r="L557" s="146"/>
      <c r="M557" s="146"/>
      <c r="N557" s="146"/>
      <c r="O557" s="146"/>
      <c r="P557" s="146"/>
      <c r="Q557" s="146"/>
      <c r="R557" s="146"/>
      <c r="S557" s="146"/>
      <c r="T557" s="146"/>
      <c r="U557" s="146"/>
      <c r="V557" s="146"/>
      <c r="W557" s="146"/>
      <c r="X557" s="146"/>
      <c r="Y557" s="146"/>
      <c r="Z557" s="146"/>
      <c r="AA557" s="146"/>
    </row>
    <row r="558" ht="22.5" customHeight="1">
      <c r="A558" s="145"/>
      <c r="B558" s="154"/>
      <c r="C558" s="154"/>
      <c r="D558" s="138"/>
      <c r="E558" s="138"/>
      <c r="F558" s="138"/>
      <c r="G558" s="138"/>
      <c r="H558" s="119"/>
      <c r="I558" s="146"/>
      <c r="J558" s="146"/>
      <c r="K558" s="146"/>
      <c r="L558" s="146"/>
      <c r="M558" s="146"/>
      <c r="N558" s="146"/>
      <c r="O558" s="146"/>
      <c r="P558" s="146"/>
      <c r="Q558" s="146"/>
      <c r="R558" s="146"/>
      <c r="S558" s="146"/>
      <c r="T558" s="146"/>
      <c r="U558" s="146"/>
      <c r="V558" s="146"/>
      <c r="W558" s="146"/>
      <c r="X558" s="146"/>
      <c r="Y558" s="146"/>
      <c r="Z558" s="146"/>
      <c r="AA558" s="146"/>
    </row>
    <row r="559" ht="22.5" customHeight="1">
      <c r="A559" s="145"/>
      <c r="B559" s="154"/>
      <c r="C559" s="154"/>
      <c r="D559" s="138"/>
      <c r="E559" s="138"/>
      <c r="F559" s="138"/>
      <c r="G559" s="138"/>
      <c r="H559" s="119"/>
      <c r="I559" s="146"/>
      <c r="J559" s="146"/>
      <c r="K559" s="146"/>
      <c r="L559" s="146"/>
      <c r="M559" s="146"/>
      <c r="N559" s="146"/>
      <c r="O559" s="146"/>
      <c r="P559" s="146"/>
      <c r="Q559" s="146"/>
      <c r="R559" s="146"/>
      <c r="S559" s="146"/>
      <c r="T559" s="146"/>
      <c r="U559" s="146"/>
      <c r="V559" s="146"/>
      <c r="W559" s="146"/>
      <c r="X559" s="146"/>
      <c r="Y559" s="146"/>
      <c r="Z559" s="146"/>
      <c r="AA559" s="146"/>
    </row>
    <row r="560" ht="22.5" customHeight="1">
      <c r="A560" s="145"/>
      <c r="B560" s="154"/>
      <c r="C560" s="154"/>
      <c r="D560" s="138"/>
      <c r="E560" s="138"/>
      <c r="F560" s="138"/>
      <c r="G560" s="138"/>
      <c r="H560" s="119"/>
      <c r="I560" s="146"/>
      <c r="J560" s="146"/>
      <c r="K560" s="146"/>
      <c r="L560" s="146"/>
      <c r="M560" s="146"/>
      <c r="N560" s="146"/>
      <c r="O560" s="146"/>
      <c r="P560" s="146"/>
      <c r="Q560" s="146"/>
      <c r="R560" s="146"/>
      <c r="S560" s="146"/>
      <c r="T560" s="146"/>
      <c r="U560" s="146"/>
      <c r="V560" s="146"/>
      <c r="W560" s="146"/>
      <c r="X560" s="146"/>
      <c r="Y560" s="146"/>
      <c r="Z560" s="146"/>
      <c r="AA560" s="146"/>
    </row>
    <row r="561" ht="22.5" customHeight="1">
      <c r="A561" s="145"/>
      <c r="B561" s="154"/>
      <c r="C561" s="154"/>
      <c r="D561" s="138"/>
      <c r="E561" s="138"/>
      <c r="F561" s="138"/>
      <c r="G561" s="138"/>
      <c r="H561" s="119"/>
      <c r="I561" s="146"/>
      <c r="J561" s="146"/>
      <c r="K561" s="146"/>
      <c r="L561" s="146"/>
      <c r="M561" s="146"/>
      <c r="N561" s="146"/>
      <c r="O561" s="146"/>
      <c r="P561" s="146"/>
      <c r="Q561" s="146"/>
      <c r="R561" s="146"/>
      <c r="S561" s="146"/>
      <c r="T561" s="146"/>
      <c r="U561" s="146"/>
      <c r="V561" s="146"/>
      <c r="W561" s="146"/>
      <c r="X561" s="146"/>
      <c r="Y561" s="146"/>
      <c r="Z561" s="146"/>
      <c r="AA561" s="146"/>
    </row>
    <row r="562" ht="22.5" customHeight="1">
      <c r="A562" s="145"/>
      <c r="B562" s="154"/>
      <c r="C562" s="154"/>
      <c r="D562" s="138"/>
      <c r="E562" s="138"/>
      <c r="F562" s="138"/>
      <c r="G562" s="138"/>
      <c r="H562" s="119"/>
      <c r="I562" s="146"/>
      <c r="J562" s="146"/>
      <c r="K562" s="146"/>
      <c r="L562" s="146"/>
      <c r="M562" s="146"/>
      <c r="N562" s="146"/>
      <c r="O562" s="146"/>
      <c r="P562" s="146"/>
      <c r="Q562" s="146"/>
      <c r="R562" s="146"/>
      <c r="S562" s="146"/>
      <c r="T562" s="146"/>
      <c r="U562" s="146"/>
      <c r="V562" s="146"/>
      <c r="W562" s="146"/>
      <c r="X562" s="146"/>
      <c r="Y562" s="146"/>
      <c r="Z562" s="146"/>
      <c r="AA562" s="146"/>
    </row>
    <row r="563" ht="22.5" customHeight="1">
      <c r="A563" s="145"/>
      <c r="B563" s="154"/>
      <c r="C563" s="154"/>
      <c r="D563" s="138"/>
      <c r="E563" s="138"/>
      <c r="F563" s="138"/>
      <c r="G563" s="138"/>
      <c r="H563" s="119"/>
      <c r="I563" s="146"/>
      <c r="J563" s="146"/>
      <c r="K563" s="146"/>
      <c r="L563" s="146"/>
      <c r="M563" s="146"/>
      <c r="N563" s="146"/>
      <c r="O563" s="146"/>
      <c r="P563" s="146"/>
      <c r="Q563" s="146"/>
      <c r="R563" s="146"/>
      <c r="S563" s="146"/>
      <c r="T563" s="146"/>
      <c r="U563" s="146"/>
      <c r="V563" s="146"/>
      <c r="W563" s="146"/>
      <c r="X563" s="146"/>
      <c r="Y563" s="146"/>
      <c r="Z563" s="146"/>
      <c r="AA563" s="146"/>
    </row>
    <row r="564" ht="22.5" customHeight="1">
      <c r="A564" s="145"/>
      <c r="B564" s="154"/>
      <c r="C564" s="154"/>
      <c r="D564" s="138"/>
      <c r="E564" s="138"/>
      <c r="F564" s="138"/>
      <c r="G564" s="138"/>
      <c r="H564" s="119"/>
      <c r="I564" s="146"/>
      <c r="J564" s="146"/>
      <c r="K564" s="146"/>
      <c r="L564" s="146"/>
      <c r="M564" s="146"/>
      <c r="N564" s="146"/>
      <c r="O564" s="146"/>
      <c r="P564" s="146"/>
      <c r="Q564" s="146"/>
      <c r="R564" s="146"/>
      <c r="S564" s="146"/>
      <c r="T564" s="146"/>
      <c r="U564" s="146"/>
      <c r="V564" s="146"/>
      <c r="W564" s="146"/>
      <c r="X564" s="146"/>
      <c r="Y564" s="146"/>
      <c r="Z564" s="146"/>
      <c r="AA564" s="146"/>
    </row>
    <row r="565" ht="22.5" customHeight="1">
      <c r="A565" s="145"/>
      <c r="B565" s="154"/>
      <c r="C565" s="154"/>
      <c r="D565" s="138"/>
      <c r="E565" s="138"/>
      <c r="F565" s="138"/>
      <c r="G565" s="138"/>
      <c r="H565" s="119"/>
      <c r="I565" s="146"/>
      <c r="J565" s="146"/>
      <c r="K565" s="146"/>
      <c r="L565" s="146"/>
      <c r="M565" s="146"/>
      <c r="N565" s="146"/>
      <c r="O565" s="146"/>
      <c r="P565" s="146"/>
      <c r="Q565" s="146"/>
      <c r="R565" s="146"/>
      <c r="S565" s="146"/>
      <c r="T565" s="146"/>
      <c r="U565" s="146"/>
      <c r="V565" s="146"/>
      <c r="W565" s="146"/>
      <c r="X565" s="146"/>
      <c r="Y565" s="146"/>
      <c r="Z565" s="146"/>
      <c r="AA565" s="146"/>
    </row>
    <row r="566" ht="22.5" customHeight="1">
      <c r="A566" s="145"/>
      <c r="B566" s="154"/>
      <c r="C566" s="154"/>
      <c r="D566" s="138"/>
      <c r="E566" s="138"/>
      <c r="F566" s="138"/>
      <c r="G566" s="138"/>
      <c r="H566" s="119"/>
      <c r="I566" s="146"/>
      <c r="J566" s="146"/>
      <c r="K566" s="146"/>
      <c r="L566" s="146"/>
      <c r="M566" s="146"/>
      <c r="N566" s="146"/>
      <c r="O566" s="146"/>
      <c r="P566" s="146"/>
      <c r="Q566" s="146"/>
      <c r="R566" s="146"/>
      <c r="S566" s="146"/>
      <c r="T566" s="146"/>
      <c r="U566" s="146"/>
      <c r="V566" s="146"/>
      <c r="W566" s="146"/>
      <c r="X566" s="146"/>
      <c r="Y566" s="146"/>
      <c r="Z566" s="146"/>
      <c r="AA566" s="146"/>
    </row>
    <row r="567" ht="22.5" customHeight="1">
      <c r="A567" s="145"/>
      <c r="B567" s="154"/>
      <c r="C567" s="154"/>
      <c r="D567" s="138"/>
      <c r="E567" s="138"/>
      <c r="F567" s="138"/>
      <c r="G567" s="138"/>
      <c r="H567" s="119"/>
      <c r="I567" s="146"/>
      <c r="J567" s="146"/>
      <c r="K567" s="146"/>
      <c r="L567" s="146"/>
      <c r="M567" s="146"/>
      <c r="N567" s="146"/>
      <c r="O567" s="146"/>
      <c r="P567" s="146"/>
      <c r="Q567" s="146"/>
      <c r="R567" s="146"/>
      <c r="S567" s="146"/>
      <c r="T567" s="146"/>
      <c r="U567" s="146"/>
      <c r="V567" s="146"/>
      <c r="W567" s="146"/>
      <c r="X567" s="146"/>
      <c r="Y567" s="146"/>
      <c r="Z567" s="146"/>
      <c r="AA567" s="146"/>
    </row>
    <row r="568" ht="22.5" customHeight="1">
      <c r="A568" s="145"/>
      <c r="B568" s="154"/>
      <c r="C568" s="154"/>
      <c r="D568" s="138"/>
      <c r="E568" s="138"/>
      <c r="F568" s="138"/>
      <c r="G568" s="138"/>
      <c r="H568" s="119"/>
      <c r="I568" s="146"/>
      <c r="J568" s="146"/>
      <c r="K568" s="146"/>
      <c r="L568" s="146"/>
      <c r="M568" s="146"/>
      <c r="N568" s="146"/>
      <c r="O568" s="146"/>
      <c r="P568" s="146"/>
      <c r="Q568" s="146"/>
      <c r="R568" s="146"/>
      <c r="S568" s="146"/>
      <c r="T568" s="146"/>
      <c r="U568" s="146"/>
      <c r="V568" s="146"/>
      <c r="W568" s="146"/>
      <c r="X568" s="146"/>
      <c r="Y568" s="146"/>
      <c r="Z568" s="146"/>
      <c r="AA568" s="146"/>
    </row>
    <row r="569" ht="22.5" customHeight="1">
      <c r="A569" s="145"/>
      <c r="B569" s="154"/>
      <c r="C569" s="154"/>
      <c r="D569" s="138"/>
      <c r="E569" s="138"/>
      <c r="F569" s="138"/>
      <c r="G569" s="138"/>
      <c r="H569" s="119"/>
      <c r="I569" s="146"/>
      <c r="J569" s="146"/>
      <c r="K569" s="146"/>
      <c r="L569" s="146"/>
      <c r="M569" s="146"/>
      <c r="N569" s="146"/>
      <c r="O569" s="146"/>
      <c r="P569" s="146"/>
      <c r="Q569" s="146"/>
      <c r="R569" s="146"/>
      <c r="S569" s="146"/>
      <c r="T569" s="146"/>
      <c r="U569" s="146"/>
      <c r="V569" s="146"/>
      <c r="W569" s="146"/>
      <c r="X569" s="146"/>
      <c r="Y569" s="146"/>
      <c r="Z569" s="146"/>
      <c r="AA569" s="146"/>
    </row>
    <row r="570" ht="22.5" customHeight="1">
      <c r="A570" s="145"/>
      <c r="B570" s="154"/>
      <c r="C570" s="154"/>
      <c r="D570" s="138"/>
      <c r="E570" s="138"/>
      <c r="F570" s="138"/>
      <c r="G570" s="138"/>
      <c r="H570" s="119"/>
      <c r="I570" s="146"/>
      <c r="J570" s="146"/>
      <c r="K570" s="146"/>
      <c r="L570" s="146"/>
      <c r="M570" s="146"/>
      <c r="N570" s="146"/>
      <c r="O570" s="146"/>
      <c r="P570" s="146"/>
      <c r="Q570" s="146"/>
      <c r="R570" s="146"/>
      <c r="S570" s="146"/>
      <c r="T570" s="146"/>
      <c r="U570" s="146"/>
      <c r="V570" s="146"/>
      <c r="W570" s="146"/>
      <c r="X570" s="146"/>
      <c r="Y570" s="146"/>
      <c r="Z570" s="146"/>
      <c r="AA570" s="146"/>
    </row>
    <row r="571" ht="22.5" customHeight="1">
      <c r="A571" s="145"/>
      <c r="B571" s="154"/>
      <c r="C571" s="154"/>
      <c r="D571" s="138"/>
      <c r="E571" s="138"/>
      <c r="F571" s="138"/>
      <c r="G571" s="138"/>
      <c r="H571" s="119"/>
      <c r="I571" s="146"/>
      <c r="J571" s="146"/>
      <c r="K571" s="146"/>
      <c r="L571" s="146"/>
      <c r="M571" s="146"/>
      <c r="N571" s="146"/>
      <c r="O571" s="146"/>
      <c r="P571" s="146"/>
      <c r="Q571" s="146"/>
      <c r="R571" s="146"/>
      <c r="S571" s="146"/>
      <c r="T571" s="146"/>
      <c r="U571" s="146"/>
      <c r="V571" s="146"/>
      <c r="W571" s="146"/>
      <c r="X571" s="146"/>
      <c r="Y571" s="146"/>
      <c r="Z571" s="146"/>
      <c r="AA571" s="146"/>
    </row>
    <row r="572" ht="22.5" customHeight="1">
      <c r="A572" s="145"/>
      <c r="B572" s="154"/>
      <c r="C572" s="154"/>
      <c r="D572" s="138"/>
      <c r="E572" s="138"/>
      <c r="F572" s="138"/>
      <c r="G572" s="138"/>
      <c r="H572" s="119"/>
      <c r="I572" s="146"/>
      <c r="J572" s="146"/>
      <c r="K572" s="146"/>
      <c r="L572" s="146"/>
      <c r="M572" s="146"/>
      <c r="N572" s="146"/>
      <c r="O572" s="146"/>
      <c r="P572" s="146"/>
      <c r="Q572" s="146"/>
      <c r="R572" s="146"/>
      <c r="S572" s="146"/>
      <c r="T572" s="146"/>
      <c r="U572" s="146"/>
      <c r="V572" s="146"/>
      <c r="W572" s="146"/>
      <c r="X572" s="146"/>
      <c r="Y572" s="146"/>
      <c r="Z572" s="146"/>
      <c r="AA572" s="146"/>
    </row>
    <row r="573" ht="22.5" customHeight="1">
      <c r="A573" s="145"/>
      <c r="B573" s="154"/>
      <c r="C573" s="154"/>
      <c r="D573" s="138"/>
      <c r="E573" s="138"/>
      <c r="F573" s="138"/>
      <c r="G573" s="138"/>
      <c r="H573" s="119"/>
      <c r="I573" s="146"/>
      <c r="J573" s="146"/>
      <c r="K573" s="146"/>
      <c r="L573" s="146"/>
      <c r="M573" s="146"/>
      <c r="N573" s="146"/>
      <c r="O573" s="146"/>
      <c r="P573" s="146"/>
      <c r="Q573" s="146"/>
      <c r="R573" s="146"/>
      <c r="S573" s="146"/>
      <c r="T573" s="146"/>
      <c r="U573" s="146"/>
      <c r="V573" s="146"/>
      <c r="W573" s="146"/>
      <c r="X573" s="146"/>
      <c r="Y573" s="146"/>
      <c r="Z573" s="146"/>
      <c r="AA573" s="146"/>
    </row>
    <row r="574" ht="22.5" customHeight="1">
      <c r="A574" s="145"/>
      <c r="B574" s="154"/>
      <c r="C574" s="154"/>
      <c r="D574" s="138"/>
      <c r="E574" s="138"/>
      <c r="F574" s="138"/>
      <c r="G574" s="138"/>
      <c r="H574" s="119"/>
      <c r="I574" s="146"/>
      <c r="J574" s="146"/>
      <c r="K574" s="146"/>
      <c r="L574" s="146"/>
      <c r="M574" s="146"/>
      <c r="N574" s="146"/>
      <c r="O574" s="146"/>
      <c r="P574" s="146"/>
      <c r="Q574" s="146"/>
      <c r="R574" s="146"/>
      <c r="S574" s="146"/>
      <c r="T574" s="146"/>
      <c r="U574" s="146"/>
      <c r="V574" s="146"/>
      <c r="W574" s="146"/>
      <c r="X574" s="146"/>
      <c r="Y574" s="146"/>
      <c r="Z574" s="146"/>
      <c r="AA574" s="146"/>
    </row>
    <row r="575" ht="22.5" customHeight="1">
      <c r="A575" s="145"/>
      <c r="B575" s="154"/>
      <c r="C575" s="154"/>
      <c r="D575" s="138"/>
      <c r="E575" s="138"/>
      <c r="F575" s="138"/>
      <c r="G575" s="138"/>
      <c r="H575" s="119"/>
      <c r="I575" s="146"/>
      <c r="J575" s="146"/>
      <c r="K575" s="146"/>
      <c r="L575" s="146"/>
      <c r="M575" s="146"/>
      <c r="N575" s="146"/>
      <c r="O575" s="146"/>
      <c r="P575" s="146"/>
      <c r="Q575" s="146"/>
      <c r="R575" s="146"/>
      <c r="S575" s="146"/>
      <c r="T575" s="146"/>
      <c r="U575" s="146"/>
      <c r="V575" s="146"/>
      <c r="W575" s="146"/>
      <c r="X575" s="146"/>
      <c r="Y575" s="146"/>
      <c r="Z575" s="146"/>
      <c r="AA575" s="146"/>
    </row>
    <row r="576" ht="22.5" customHeight="1">
      <c r="A576" s="145"/>
      <c r="B576" s="154"/>
      <c r="C576" s="154"/>
      <c r="D576" s="138"/>
      <c r="E576" s="138"/>
      <c r="F576" s="138"/>
      <c r="G576" s="138"/>
      <c r="H576" s="119"/>
      <c r="I576" s="146"/>
      <c r="J576" s="146"/>
      <c r="K576" s="146"/>
      <c r="L576" s="146"/>
      <c r="M576" s="146"/>
      <c r="N576" s="146"/>
      <c r="O576" s="146"/>
      <c r="P576" s="146"/>
      <c r="Q576" s="146"/>
      <c r="R576" s="146"/>
      <c r="S576" s="146"/>
      <c r="T576" s="146"/>
      <c r="U576" s="146"/>
      <c r="V576" s="146"/>
      <c r="W576" s="146"/>
      <c r="X576" s="146"/>
      <c r="Y576" s="146"/>
      <c r="Z576" s="146"/>
      <c r="AA576" s="146"/>
    </row>
    <row r="577" ht="22.5" customHeight="1">
      <c r="A577" s="145"/>
      <c r="B577" s="154"/>
      <c r="C577" s="154"/>
      <c r="D577" s="138"/>
      <c r="E577" s="138"/>
      <c r="F577" s="138"/>
      <c r="G577" s="138"/>
      <c r="H577" s="119"/>
      <c r="I577" s="146"/>
      <c r="J577" s="146"/>
      <c r="K577" s="146"/>
      <c r="L577" s="146"/>
      <c r="M577" s="146"/>
      <c r="N577" s="146"/>
      <c r="O577" s="146"/>
      <c r="P577" s="146"/>
      <c r="Q577" s="146"/>
      <c r="R577" s="146"/>
      <c r="S577" s="146"/>
      <c r="T577" s="146"/>
      <c r="U577" s="146"/>
      <c r="V577" s="146"/>
      <c r="W577" s="146"/>
      <c r="X577" s="146"/>
      <c r="Y577" s="146"/>
      <c r="Z577" s="146"/>
      <c r="AA577" s="146"/>
    </row>
    <row r="578" ht="22.5" customHeight="1">
      <c r="A578" s="145"/>
      <c r="B578" s="154"/>
      <c r="C578" s="154"/>
      <c r="D578" s="138"/>
      <c r="E578" s="138"/>
      <c r="F578" s="138"/>
      <c r="G578" s="138"/>
      <c r="H578" s="119"/>
      <c r="I578" s="146"/>
      <c r="J578" s="146"/>
      <c r="K578" s="146"/>
      <c r="L578" s="146"/>
      <c r="M578" s="146"/>
      <c r="N578" s="146"/>
      <c r="O578" s="146"/>
      <c r="P578" s="146"/>
      <c r="Q578" s="146"/>
      <c r="R578" s="146"/>
      <c r="S578" s="146"/>
      <c r="T578" s="146"/>
      <c r="U578" s="146"/>
      <c r="V578" s="146"/>
      <c r="W578" s="146"/>
      <c r="X578" s="146"/>
      <c r="Y578" s="146"/>
      <c r="Z578" s="146"/>
      <c r="AA578" s="146"/>
    </row>
    <row r="579" ht="22.5" customHeight="1">
      <c r="A579" s="145"/>
      <c r="B579" s="154"/>
      <c r="C579" s="154"/>
      <c r="D579" s="138"/>
      <c r="E579" s="138"/>
      <c r="F579" s="138"/>
      <c r="G579" s="138"/>
      <c r="H579" s="119"/>
      <c r="I579" s="146"/>
      <c r="J579" s="146"/>
      <c r="K579" s="146"/>
      <c r="L579" s="146"/>
      <c r="M579" s="146"/>
      <c r="N579" s="146"/>
      <c r="O579" s="146"/>
      <c r="P579" s="146"/>
      <c r="Q579" s="146"/>
      <c r="R579" s="146"/>
      <c r="S579" s="146"/>
      <c r="T579" s="146"/>
      <c r="U579" s="146"/>
      <c r="V579" s="146"/>
      <c r="W579" s="146"/>
      <c r="X579" s="146"/>
      <c r="Y579" s="146"/>
      <c r="Z579" s="146"/>
      <c r="AA579" s="146"/>
    </row>
    <row r="580" ht="22.5" customHeight="1">
      <c r="A580" s="145"/>
      <c r="B580" s="154"/>
      <c r="C580" s="154"/>
      <c r="D580" s="138"/>
      <c r="E580" s="138"/>
      <c r="F580" s="138"/>
      <c r="G580" s="138"/>
      <c r="H580" s="119"/>
      <c r="I580" s="146"/>
      <c r="J580" s="146"/>
      <c r="K580" s="146"/>
      <c r="L580" s="146"/>
      <c r="M580" s="146"/>
      <c r="N580" s="146"/>
      <c r="O580" s="146"/>
      <c r="P580" s="146"/>
      <c r="Q580" s="146"/>
      <c r="R580" s="146"/>
      <c r="S580" s="146"/>
      <c r="T580" s="146"/>
      <c r="U580" s="146"/>
      <c r="V580" s="146"/>
      <c r="W580" s="146"/>
      <c r="X580" s="146"/>
      <c r="Y580" s="146"/>
      <c r="Z580" s="146"/>
      <c r="AA580" s="146"/>
    </row>
    <row r="581" ht="22.5" customHeight="1">
      <c r="A581" s="145"/>
      <c r="B581" s="154"/>
      <c r="C581" s="154"/>
      <c r="D581" s="138"/>
      <c r="E581" s="138"/>
      <c r="F581" s="138"/>
      <c r="G581" s="138"/>
      <c r="H581" s="119"/>
      <c r="I581" s="146"/>
      <c r="J581" s="146"/>
      <c r="K581" s="146"/>
      <c r="L581" s="146"/>
      <c r="M581" s="146"/>
      <c r="N581" s="146"/>
      <c r="O581" s="146"/>
      <c r="P581" s="146"/>
      <c r="Q581" s="146"/>
      <c r="R581" s="146"/>
      <c r="S581" s="146"/>
      <c r="T581" s="146"/>
      <c r="U581" s="146"/>
      <c r="V581" s="146"/>
      <c r="W581" s="146"/>
      <c r="X581" s="146"/>
      <c r="Y581" s="146"/>
      <c r="Z581" s="146"/>
      <c r="AA581" s="146"/>
    </row>
    <row r="582" ht="22.5" customHeight="1">
      <c r="A582" s="145"/>
      <c r="B582" s="154"/>
      <c r="C582" s="154"/>
      <c r="D582" s="138"/>
      <c r="E582" s="138"/>
      <c r="F582" s="138"/>
      <c r="G582" s="138"/>
      <c r="H582" s="119"/>
      <c r="I582" s="146"/>
      <c r="J582" s="146"/>
      <c r="K582" s="146"/>
      <c r="L582" s="146"/>
      <c r="M582" s="146"/>
      <c r="N582" s="146"/>
      <c r="O582" s="146"/>
      <c r="P582" s="146"/>
      <c r="Q582" s="146"/>
      <c r="R582" s="146"/>
      <c r="S582" s="146"/>
      <c r="T582" s="146"/>
      <c r="U582" s="146"/>
      <c r="V582" s="146"/>
      <c r="W582" s="146"/>
      <c r="X582" s="146"/>
      <c r="Y582" s="146"/>
      <c r="Z582" s="146"/>
      <c r="AA582" s="146"/>
    </row>
    <row r="583" ht="22.5" customHeight="1">
      <c r="A583" s="145"/>
      <c r="B583" s="154"/>
      <c r="C583" s="154"/>
      <c r="D583" s="138"/>
      <c r="E583" s="138"/>
      <c r="F583" s="138"/>
      <c r="G583" s="138"/>
      <c r="H583" s="119"/>
      <c r="I583" s="146"/>
      <c r="J583" s="146"/>
      <c r="K583" s="146"/>
      <c r="L583" s="146"/>
      <c r="M583" s="146"/>
      <c r="N583" s="146"/>
      <c r="O583" s="146"/>
      <c r="P583" s="146"/>
      <c r="Q583" s="146"/>
      <c r="R583" s="146"/>
      <c r="S583" s="146"/>
      <c r="T583" s="146"/>
      <c r="U583" s="146"/>
      <c r="V583" s="146"/>
      <c r="W583" s="146"/>
      <c r="X583" s="146"/>
      <c r="Y583" s="146"/>
      <c r="Z583" s="146"/>
      <c r="AA583" s="146"/>
    </row>
    <row r="584" ht="22.5" customHeight="1">
      <c r="A584" s="145"/>
      <c r="B584" s="154"/>
      <c r="C584" s="154"/>
      <c r="D584" s="138"/>
      <c r="E584" s="138"/>
      <c r="F584" s="138"/>
      <c r="G584" s="138"/>
      <c r="H584" s="119"/>
      <c r="I584" s="146"/>
      <c r="J584" s="146"/>
      <c r="K584" s="146"/>
      <c r="L584" s="146"/>
      <c r="M584" s="146"/>
      <c r="N584" s="146"/>
      <c r="O584" s="146"/>
      <c r="P584" s="146"/>
      <c r="Q584" s="146"/>
      <c r="R584" s="146"/>
      <c r="S584" s="146"/>
      <c r="T584" s="146"/>
      <c r="U584" s="146"/>
      <c r="V584" s="146"/>
      <c r="W584" s="146"/>
      <c r="X584" s="146"/>
      <c r="Y584" s="146"/>
      <c r="Z584" s="146"/>
      <c r="AA584" s="146"/>
    </row>
    <row r="585" ht="22.5" customHeight="1">
      <c r="A585" s="145"/>
      <c r="B585" s="154"/>
      <c r="C585" s="154"/>
      <c r="D585" s="138"/>
      <c r="E585" s="138"/>
      <c r="F585" s="138"/>
      <c r="G585" s="138"/>
      <c r="H585" s="119"/>
      <c r="I585" s="146"/>
      <c r="J585" s="146"/>
      <c r="K585" s="146"/>
      <c r="L585" s="146"/>
      <c r="M585" s="146"/>
      <c r="N585" s="146"/>
      <c r="O585" s="146"/>
      <c r="P585" s="146"/>
      <c r="Q585" s="146"/>
      <c r="R585" s="146"/>
      <c r="S585" s="146"/>
      <c r="T585" s="146"/>
      <c r="U585" s="146"/>
      <c r="V585" s="146"/>
      <c r="W585" s="146"/>
      <c r="X585" s="146"/>
      <c r="Y585" s="146"/>
      <c r="Z585" s="146"/>
      <c r="AA585" s="146"/>
    </row>
    <row r="586" ht="22.5" customHeight="1">
      <c r="A586" s="145"/>
      <c r="B586" s="154"/>
      <c r="C586" s="154"/>
      <c r="D586" s="138"/>
      <c r="E586" s="138"/>
      <c r="F586" s="138"/>
      <c r="G586" s="138"/>
      <c r="H586" s="119"/>
      <c r="I586" s="146"/>
      <c r="J586" s="146"/>
      <c r="K586" s="146"/>
      <c r="L586" s="146"/>
      <c r="M586" s="146"/>
      <c r="N586" s="146"/>
      <c r="O586" s="146"/>
      <c r="P586" s="146"/>
      <c r="Q586" s="146"/>
      <c r="R586" s="146"/>
      <c r="S586" s="146"/>
      <c r="T586" s="146"/>
      <c r="U586" s="146"/>
      <c r="V586" s="146"/>
      <c r="W586" s="146"/>
      <c r="X586" s="146"/>
      <c r="Y586" s="146"/>
      <c r="Z586" s="146"/>
      <c r="AA586" s="146"/>
    </row>
    <row r="587" ht="22.5" customHeight="1">
      <c r="A587" s="145"/>
      <c r="B587" s="154"/>
      <c r="C587" s="154"/>
      <c r="D587" s="138"/>
      <c r="E587" s="138"/>
      <c r="F587" s="138"/>
      <c r="G587" s="138"/>
      <c r="H587" s="119"/>
      <c r="I587" s="146"/>
      <c r="J587" s="146"/>
      <c r="K587" s="146"/>
      <c r="L587" s="146"/>
      <c r="M587" s="146"/>
      <c r="N587" s="146"/>
      <c r="O587" s="146"/>
      <c r="P587" s="146"/>
      <c r="Q587" s="146"/>
      <c r="R587" s="146"/>
      <c r="S587" s="146"/>
      <c r="T587" s="146"/>
      <c r="U587" s="146"/>
      <c r="V587" s="146"/>
      <c r="W587" s="146"/>
      <c r="X587" s="146"/>
      <c r="Y587" s="146"/>
      <c r="Z587" s="146"/>
      <c r="AA587" s="146"/>
    </row>
    <row r="588" ht="22.5" customHeight="1">
      <c r="A588" s="145"/>
      <c r="B588" s="154"/>
      <c r="C588" s="154"/>
      <c r="D588" s="138"/>
      <c r="E588" s="138"/>
      <c r="F588" s="138"/>
      <c r="G588" s="138"/>
      <c r="H588" s="119"/>
      <c r="I588" s="146"/>
      <c r="J588" s="146"/>
      <c r="K588" s="146"/>
      <c r="L588" s="146"/>
      <c r="M588" s="146"/>
      <c r="N588" s="146"/>
      <c r="O588" s="146"/>
      <c r="P588" s="146"/>
      <c r="Q588" s="146"/>
      <c r="R588" s="146"/>
      <c r="S588" s="146"/>
      <c r="T588" s="146"/>
      <c r="U588" s="146"/>
      <c r="V588" s="146"/>
      <c r="W588" s="146"/>
      <c r="X588" s="146"/>
      <c r="Y588" s="146"/>
      <c r="Z588" s="146"/>
      <c r="AA588" s="146"/>
    </row>
    <row r="589" ht="22.5" customHeight="1">
      <c r="A589" s="145"/>
      <c r="B589" s="154"/>
      <c r="C589" s="154"/>
      <c r="D589" s="138"/>
      <c r="E589" s="138"/>
      <c r="F589" s="138"/>
      <c r="G589" s="138"/>
      <c r="H589" s="119"/>
      <c r="I589" s="146"/>
      <c r="J589" s="146"/>
      <c r="K589" s="146"/>
      <c r="L589" s="146"/>
      <c r="M589" s="146"/>
      <c r="N589" s="146"/>
      <c r="O589" s="146"/>
      <c r="P589" s="146"/>
      <c r="Q589" s="146"/>
      <c r="R589" s="146"/>
      <c r="S589" s="146"/>
      <c r="T589" s="146"/>
      <c r="U589" s="146"/>
      <c r="V589" s="146"/>
      <c r="W589" s="146"/>
      <c r="X589" s="146"/>
      <c r="Y589" s="146"/>
      <c r="Z589" s="146"/>
      <c r="AA589" s="146"/>
    </row>
    <row r="590" ht="22.5" customHeight="1">
      <c r="A590" s="145"/>
      <c r="B590" s="154"/>
      <c r="C590" s="154"/>
      <c r="D590" s="138"/>
      <c r="E590" s="138"/>
      <c r="F590" s="138"/>
      <c r="G590" s="138"/>
      <c r="H590" s="119"/>
      <c r="I590" s="146"/>
      <c r="J590" s="146"/>
      <c r="K590" s="146"/>
      <c r="L590" s="146"/>
      <c r="M590" s="146"/>
      <c r="N590" s="146"/>
      <c r="O590" s="146"/>
      <c r="P590" s="146"/>
      <c r="Q590" s="146"/>
      <c r="R590" s="146"/>
      <c r="S590" s="146"/>
      <c r="T590" s="146"/>
      <c r="U590" s="146"/>
      <c r="V590" s="146"/>
      <c r="W590" s="146"/>
      <c r="X590" s="146"/>
      <c r="Y590" s="146"/>
      <c r="Z590" s="146"/>
      <c r="AA590" s="146"/>
    </row>
    <row r="591" ht="22.5" customHeight="1">
      <c r="A591" s="145"/>
      <c r="B591" s="154"/>
      <c r="C591" s="154"/>
      <c r="D591" s="138"/>
      <c r="E591" s="138"/>
      <c r="F591" s="138"/>
      <c r="G591" s="138"/>
      <c r="H591" s="119"/>
      <c r="I591" s="146"/>
      <c r="J591" s="146"/>
      <c r="K591" s="146"/>
      <c r="L591" s="146"/>
      <c r="M591" s="146"/>
      <c r="N591" s="146"/>
      <c r="O591" s="146"/>
      <c r="P591" s="146"/>
      <c r="Q591" s="146"/>
      <c r="R591" s="146"/>
      <c r="S591" s="146"/>
      <c r="T591" s="146"/>
      <c r="U591" s="146"/>
      <c r="V591" s="146"/>
      <c r="W591" s="146"/>
      <c r="X591" s="146"/>
      <c r="Y591" s="146"/>
      <c r="Z591" s="146"/>
      <c r="AA591" s="146"/>
    </row>
    <row r="592" ht="22.5" customHeight="1">
      <c r="A592" s="145"/>
      <c r="B592" s="154"/>
      <c r="C592" s="154"/>
      <c r="D592" s="138"/>
      <c r="E592" s="138"/>
      <c r="F592" s="138"/>
      <c r="G592" s="138"/>
      <c r="H592" s="119"/>
      <c r="I592" s="146"/>
      <c r="J592" s="146"/>
      <c r="K592" s="146"/>
      <c r="L592" s="146"/>
      <c r="M592" s="146"/>
      <c r="N592" s="146"/>
      <c r="O592" s="146"/>
      <c r="P592" s="146"/>
      <c r="Q592" s="146"/>
      <c r="R592" s="146"/>
      <c r="S592" s="146"/>
      <c r="T592" s="146"/>
      <c r="U592" s="146"/>
      <c r="V592" s="146"/>
      <c r="W592" s="146"/>
      <c r="X592" s="146"/>
      <c r="Y592" s="146"/>
      <c r="Z592" s="146"/>
      <c r="AA592" s="146"/>
    </row>
    <row r="593" ht="22.5" customHeight="1">
      <c r="A593" s="145"/>
      <c r="B593" s="154"/>
      <c r="C593" s="154"/>
      <c r="D593" s="138"/>
      <c r="E593" s="138"/>
      <c r="F593" s="138"/>
      <c r="G593" s="138"/>
      <c r="H593" s="119"/>
      <c r="I593" s="146"/>
      <c r="J593" s="146"/>
      <c r="K593" s="146"/>
      <c r="L593" s="146"/>
      <c r="M593" s="146"/>
      <c r="N593" s="146"/>
      <c r="O593" s="146"/>
      <c r="P593" s="146"/>
      <c r="Q593" s="146"/>
      <c r="R593" s="146"/>
      <c r="S593" s="146"/>
      <c r="T593" s="146"/>
      <c r="U593" s="146"/>
      <c r="V593" s="146"/>
      <c r="W593" s="146"/>
      <c r="X593" s="146"/>
      <c r="Y593" s="146"/>
      <c r="Z593" s="146"/>
      <c r="AA593" s="146"/>
    </row>
    <row r="594" ht="22.5" customHeight="1">
      <c r="A594" s="145"/>
      <c r="B594" s="154"/>
      <c r="C594" s="154"/>
      <c r="D594" s="138"/>
      <c r="E594" s="138"/>
      <c r="F594" s="138"/>
      <c r="G594" s="138"/>
      <c r="H594" s="119"/>
      <c r="I594" s="146"/>
      <c r="J594" s="146"/>
      <c r="K594" s="146"/>
      <c r="L594" s="146"/>
      <c r="M594" s="146"/>
      <c r="N594" s="146"/>
      <c r="O594" s="146"/>
      <c r="P594" s="146"/>
      <c r="Q594" s="146"/>
      <c r="R594" s="146"/>
      <c r="S594" s="146"/>
      <c r="T594" s="146"/>
      <c r="U594" s="146"/>
      <c r="V594" s="146"/>
      <c r="W594" s="146"/>
      <c r="X594" s="146"/>
      <c r="Y594" s="146"/>
      <c r="Z594" s="146"/>
      <c r="AA594" s="146"/>
    </row>
    <row r="595" ht="22.5" customHeight="1">
      <c r="A595" s="145"/>
      <c r="B595" s="154"/>
      <c r="C595" s="154"/>
      <c r="D595" s="138"/>
      <c r="E595" s="138"/>
      <c r="F595" s="138"/>
      <c r="G595" s="138"/>
      <c r="H595" s="119"/>
      <c r="I595" s="146"/>
      <c r="J595" s="146"/>
      <c r="K595" s="146"/>
      <c r="L595" s="146"/>
      <c r="M595" s="146"/>
      <c r="N595" s="146"/>
      <c r="O595" s="146"/>
      <c r="P595" s="146"/>
      <c r="Q595" s="146"/>
      <c r="R595" s="146"/>
      <c r="S595" s="146"/>
      <c r="T595" s="146"/>
      <c r="U595" s="146"/>
      <c r="V595" s="146"/>
      <c r="W595" s="146"/>
      <c r="X595" s="146"/>
      <c r="Y595" s="146"/>
      <c r="Z595" s="146"/>
      <c r="AA595" s="146"/>
    </row>
    <row r="596" ht="22.5" customHeight="1">
      <c r="A596" s="145"/>
      <c r="B596" s="154"/>
      <c r="C596" s="154"/>
      <c r="D596" s="138"/>
      <c r="E596" s="138"/>
      <c r="F596" s="138"/>
      <c r="G596" s="138"/>
      <c r="H596" s="119"/>
      <c r="I596" s="146"/>
      <c r="J596" s="146"/>
      <c r="K596" s="146"/>
      <c r="L596" s="146"/>
      <c r="M596" s="146"/>
      <c r="N596" s="146"/>
      <c r="O596" s="146"/>
      <c r="P596" s="146"/>
      <c r="Q596" s="146"/>
      <c r="R596" s="146"/>
      <c r="S596" s="146"/>
      <c r="T596" s="146"/>
      <c r="U596" s="146"/>
      <c r="V596" s="146"/>
      <c r="W596" s="146"/>
      <c r="X596" s="146"/>
      <c r="Y596" s="146"/>
      <c r="Z596" s="146"/>
      <c r="AA596" s="146"/>
    </row>
    <row r="597" ht="22.5" customHeight="1">
      <c r="A597" s="145"/>
      <c r="B597" s="154"/>
      <c r="C597" s="154"/>
      <c r="D597" s="138"/>
      <c r="E597" s="138"/>
      <c r="F597" s="138"/>
      <c r="G597" s="138"/>
      <c r="H597" s="119"/>
      <c r="I597" s="146"/>
      <c r="J597" s="146"/>
      <c r="K597" s="146"/>
      <c r="L597" s="146"/>
      <c r="M597" s="146"/>
      <c r="N597" s="146"/>
      <c r="O597" s="146"/>
      <c r="P597" s="146"/>
      <c r="Q597" s="146"/>
      <c r="R597" s="146"/>
      <c r="S597" s="146"/>
      <c r="T597" s="146"/>
      <c r="U597" s="146"/>
      <c r="V597" s="146"/>
      <c r="W597" s="146"/>
      <c r="X597" s="146"/>
      <c r="Y597" s="146"/>
      <c r="Z597" s="146"/>
      <c r="AA597" s="146"/>
    </row>
    <row r="598" ht="22.5" customHeight="1">
      <c r="A598" s="145"/>
      <c r="B598" s="154"/>
      <c r="C598" s="154"/>
      <c r="D598" s="138"/>
      <c r="E598" s="138"/>
      <c r="F598" s="138"/>
      <c r="G598" s="138"/>
      <c r="H598" s="119"/>
      <c r="I598" s="146"/>
      <c r="J598" s="146"/>
      <c r="K598" s="146"/>
      <c r="L598" s="146"/>
      <c r="M598" s="146"/>
      <c r="N598" s="146"/>
      <c r="O598" s="146"/>
      <c r="P598" s="146"/>
      <c r="Q598" s="146"/>
      <c r="R598" s="146"/>
      <c r="S598" s="146"/>
      <c r="T598" s="146"/>
      <c r="U598" s="146"/>
      <c r="V598" s="146"/>
      <c r="W598" s="146"/>
      <c r="X598" s="146"/>
      <c r="Y598" s="146"/>
      <c r="Z598" s="146"/>
      <c r="AA598" s="146"/>
    </row>
    <row r="599" ht="22.5" customHeight="1">
      <c r="A599" s="145"/>
      <c r="B599" s="154"/>
      <c r="C599" s="154"/>
      <c r="D599" s="138"/>
      <c r="E599" s="138"/>
      <c r="F599" s="138"/>
      <c r="G599" s="138"/>
      <c r="H599" s="119"/>
      <c r="I599" s="146"/>
      <c r="J599" s="146"/>
      <c r="K599" s="146"/>
      <c r="L599" s="146"/>
      <c r="M599" s="146"/>
      <c r="N599" s="146"/>
      <c r="O599" s="146"/>
      <c r="P599" s="146"/>
      <c r="Q599" s="146"/>
      <c r="R599" s="146"/>
      <c r="S599" s="146"/>
      <c r="T599" s="146"/>
      <c r="U599" s="146"/>
      <c r="V599" s="146"/>
      <c r="W599" s="146"/>
      <c r="X599" s="146"/>
      <c r="Y599" s="146"/>
      <c r="Z599" s="146"/>
      <c r="AA599" s="146"/>
    </row>
    <row r="600" ht="22.5" customHeight="1">
      <c r="A600" s="145"/>
      <c r="B600" s="154"/>
      <c r="C600" s="154"/>
      <c r="D600" s="138"/>
      <c r="E600" s="138"/>
      <c r="F600" s="138"/>
      <c r="G600" s="138"/>
      <c r="H600" s="119"/>
      <c r="I600" s="146"/>
      <c r="J600" s="146"/>
      <c r="K600" s="146"/>
      <c r="L600" s="146"/>
      <c r="M600" s="146"/>
      <c r="N600" s="146"/>
      <c r="O600" s="146"/>
      <c r="P600" s="146"/>
      <c r="Q600" s="146"/>
      <c r="R600" s="146"/>
      <c r="S600" s="146"/>
      <c r="T600" s="146"/>
      <c r="U600" s="146"/>
      <c r="V600" s="146"/>
      <c r="W600" s="146"/>
      <c r="X600" s="146"/>
      <c r="Y600" s="146"/>
      <c r="Z600" s="146"/>
      <c r="AA600" s="146"/>
    </row>
    <row r="601" ht="22.5" customHeight="1">
      <c r="A601" s="145"/>
      <c r="B601" s="154"/>
      <c r="C601" s="154"/>
      <c r="D601" s="138"/>
      <c r="E601" s="138"/>
      <c r="F601" s="138"/>
      <c r="G601" s="138"/>
      <c r="H601" s="119"/>
      <c r="I601" s="146"/>
      <c r="J601" s="146"/>
      <c r="K601" s="146"/>
      <c r="L601" s="146"/>
      <c r="M601" s="146"/>
      <c r="N601" s="146"/>
      <c r="O601" s="146"/>
      <c r="P601" s="146"/>
      <c r="Q601" s="146"/>
      <c r="R601" s="146"/>
      <c r="S601" s="146"/>
      <c r="T601" s="146"/>
      <c r="U601" s="146"/>
      <c r="V601" s="146"/>
      <c r="W601" s="146"/>
      <c r="X601" s="146"/>
      <c r="Y601" s="146"/>
      <c r="Z601" s="146"/>
      <c r="AA601" s="146"/>
    </row>
    <row r="602" ht="22.5" customHeight="1">
      <c r="A602" s="145"/>
      <c r="B602" s="154"/>
      <c r="C602" s="154"/>
      <c r="D602" s="138"/>
      <c r="E602" s="138"/>
      <c r="F602" s="138"/>
      <c r="G602" s="138"/>
      <c r="H602" s="119"/>
      <c r="I602" s="146"/>
      <c r="J602" s="146"/>
      <c r="K602" s="146"/>
      <c r="L602" s="146"/>
      <c r="M602" s="146"/>
      <c r="N602" s="146"/>
      <c r="O602" s="146"/>
      <c r="P602" s="146"/>
      <c r="Q602" s="146"/>
      <c r="R602" s="146"/>
      <c r="S602" s="146"/>
      <c r="T602" s="146"/>
      <c r="U602" s="146"/>
      <c r="V602" s="146"/>
      <c r="W602" s="146"/>
      <c r="X602" s="146"/>
      <c r="Y602" s="146"/>
      <c r="Z602" s="146"/>
      <c r="AA602" s="146"/>
    </row>
    <row r="603" ht="22.5" customHeight="1">
      <c r="A603" s="145"/>
      <c r="B603" s="154"/>
      <c r="C603" s="154"/>
      <c r="D603" s="138"/>
      <c r="E603" s="138"/>
      <c r="F603" s="138"/>
      <c r="G603" s="138"/>
      <c r="H603" s="119"/>
      <c r="I603" s="146"/>
      <c r="J603" s="146"/>
      <c r="K603" s="146"/>
      <c r="L603" s="146"/>
      <c r="M603" s="146"/>
      <c r="N603" s="146"/>
      <c r="O603" s="146"/>
      <c r="P603" s="146"/>
      <c r="Q603" s="146"/>
      <c r="R603" s="146"/>
      <c r="S603" s="146"/>
      <c r="T603" s="146"/>
      <c r="U603" s="146"/>
      <c r="V603" s="146"/>
      <c r="W603" s="146"/>
      <c r="X603" s="146"/>
      <c r="Y603" s="146"/>
      <c r="Z603" s="146"/>
      <c r="AA603" s="146"/>
    </row>
    <row r="604" ht="22.5" customHeight="1">
      <c r="A604" s="145"/>
      <c r="B604" s="154"/>
      <c r="C604" s="154"/>
      <c r="D604" s="138"/>
      <c r="E604" s="138"/>
      <c r="F604" s="138"/>
      <c r="G604" s="138"/>
      <c r="H604" s="119"/>
      <c r="I604" s="146"/>
      <c r="J604" s="146"/>
      <c r="K604" s="146"/>
      <c r="L604" s="146"/>
      <c r="M604" s="146"/>
      <c r="N604" s="146"/>
      <c r="O604" s="146"/>
      <c r="P604" s="146"/>
      <c r="Q604" s="146"/>
      <c r="R604" s="146"/>
      <c r="S604" s="146"/>
      <c r="T604" s="146"/>
      <c r="U604" s="146"/>
      <c r="V604" s="146"/>
      <c r="W604" s="146"/>
      <c r="X604" s="146"/>
      <c r="Y604" s="146"/>
      <c r="Z604" s="146"/>
      <c r="AA604" s="146"/>
    </row>
    <row r="605" ht="22.5" customHeight="1">
      <c r="A605" s="145"/>
      <c r="B605" s="154"/>
      <c r="C605" s="154"/>
      <c r="D605" s="138"/>
      <c r="E605" s="138"/>
      <c r="F605" s="138"/>
      <c r="G605" s="138"/>
      <c r="H605" s="119"/>
      <c r="I605" s="146"/>
      <c r="J605" s="146"/>
      <c r="K605" s="146"/>
      <c r="L605" s="146"/>
      <c r="M605" s="146"/>
      <c r="N605" s="146"/>
      <c r="O605" s="146"/>
      <c r="P605" s="146"/>
      <c r="Q605" s="146"/>
      <c r="R605" s="146"/>
      <c r="S605" s="146"/>
      <c r="T605" s="146"/>
      <c r="U605" s="146"/>
      <c r="V605" s="146"/>
      <c r="W605" s="146"/>
      <c r="X605" s="146"/>
      <c r="Y605" s="146"/>
      <c r="Z605" s="146"/>
      <c r="AA605" s="146"/>
    </row>
    <row r="606" ht="22.5" customHeight="1">
      <c r="A606" s="145"/>
      <c r="B606" s="154"/>
      <c r="C606" s="154"/>
      <c r="D606" s="138"/>
      <c r="E606" s="138"/>
      <c r="F606" s="138"/>
      <c r="G606" s="138"/>
      <c r="H606" s="119"/>
      <c r="I606" s="146"/>
      <c r="J606" s="146"/>
      <c r="K606" s="146"/>
      <c r="L606" s="146"/>
      <c r="M606" s="146"/>
      <c r="N606" s="146"/>
      <c r="O606" s="146"/>
      <c r="P606" s="146"/>
      <c r="Q606" s="146"/>
      <c r="R606" s="146"/>
      <c r="S606" s="146"/>
      <c r="T606" s="146"/>
      <c r="U606" s="146"/>
      <c r="V606" s="146"/>
      <c r="W606" s="146"/>
      <c r="X606" s="146"/>
      <c r="Y606" s="146"/>
      <c r="Z606" s="146"/>
      <c r="AA606" s="146"/>
    </row>
    <row r="607" ht="22.5" customHeight="1">
      <c r="A607" s="145"/>
      <c r="B607" s="154"/>
      <c r="C607" s="154"/>
      <c r="D607" s="138"/>
      <c r="E607" s="138"/>
      <c r="F607" s="138"/>
      <c r="G607" s="138"/>
      <c r="H607" s="119"/>
      <c r="I607" s="146"/>
      <c r="J607" s="146"/>
      <c r="K607" s="146"/>
      <c r="L607" s="146"/>
      <c r="M607" s="146"/>
      <c r="N607" s="146"/>
      <c r="O607" s="146"/>
      <c r="P607" s="146"/>
      <c r="Q607" s="146"/>
      <c r="R607" s="146"/>
      <c r="S607" s="146"/>
      <c r="T607" s="146"/>
      <c r="U607" s="146"/>
      <c r="V607" s="146"/>
      <c r="W607" s="146"/>
      <c r="X607" s="146"/>
      <c r="Y607" s="146"/>
      <c r="Z607" s="146"/>
      <c r="AA607" s="146"/>
    </row>
    <row r="608" ht="22.5" customHeight="1">
      <c r="A608" s="145"/>
      <c r="B608" s="154"/>
      <c r="C608" s="154"/>
      <c r="D608" s="138"/>
      <c r="E608" s="138"/>
      <c r="F608" s="138"/>
      <c r="G608" s="138"/>
      <c r="H608" s="119"/>
      <c r="I608" s="146"/>
      <c r="J608" s="146"/>
      <c r="K608" s="146"/>
      <c r="L608" s="146"/>
      <c r="M608" s="146"/>
      <c r="N608" s="146"/>
      <c r="O608" s="146"/>
      <c r="P608" s="146"/>
      <c r="Q608" s="146"/>
      <c r="R608" s="146"/>
      <c r="S608" s="146"/>
      <c r="T608" s="146"/>
      <c r="U608" s="146"/>
      <c r="V608" s="146"/>
      <c r="W608" s="146"/>
      <c r="X608" s="146"/>
      <c r="Y608" s="146"/>
      <c r="Z608" s="146"/>
      <c r="AA608" s="146"/>
    </row>
    <row r="609" ht="22.5" customHeight="1">
      <c r="A609" s="145"/>
      <c r="B609" s="154"/>
      <c r="C609" s="154"/>
      <c r="D609" s="138"/>
      <c r="E609" s="138"/>
      <c r="F609" s="138"/>
      <c r="G609" s="138"/>
      <c r="H609" s="119"/>
      <c r="I609" s="146"/>
      <c r="J609" s="146"/>
      <c r="K609" s="146"/>
      <c r="L609" s="146"/>
      <c r="M609" s="146"/>
      <c r="N609" s="146"/>
      <c r="O609" s="146"/>
      <c r="P609" s="146"/>
      <c r="Q609" s="146"/>
      <c r="R609" s="146"/>
      <c r="S609" s="146"/>
      <c r="T609" s="146"/>
      <c r="U609" s="146"/>
      <c r="V609" s="146"/>
      <c r="W609" s="146"/>
      <c r="X609" s="146"/>
      <c r="Y609" s="146"/>
      <c r="Z609" s="146"/>
      <c r="AA609" s="146"/>
    </row>
    <row r="610" ht="22.5" customHeight="1">
      <c r="A610" s="145"/>
      <c r="B610" s="154"/>
      <c r="C610" s="154"/>
      <c r="D610" s="138"/>
      <c r="E610" s="138"/>
      <c r="F610" s="138"/>
      <c r="G610" s="138"/>
      <c r="H610" s="119"/>
      <c r="I610" s="146"/>
      <c r="J610" s="146"/>
      <c r="K610" s="146"/>
      <c r="L610" s="146"/>
      <c r="M610" s="146"/>
      <c r="N610" s="146"/>
      <c r="O610" s="146"/>
      <c r="P610" s="146"/>
      <c r="Q610" s="146"/>
      <c r="R610" s="146"/>
      <c r="S610" s="146"/>
      <c r="T610" s="146"/>
      <c r="U610" s="146"/>
      <c r="V610" s="146"/>
      <c r="W610" s="146"/>
      <c r="X610" s="146"/>
      <c r="Y610" s="146"/>
      <c r="Z610" s="146"/>
      <c r="AA610" s="146"/>
    </row>
    <row r="611" ht="22.5" customHeight="1">
      <c r="A611" s="145"/>
      <c r="B611" s="154"/>
      <c r="C611" s="154"/>
      <c r="D611" s="138"/>
      <c r="E611" s="138"/>
      <c r="F611" s="138"/>
      <c r="G611" s="138"/>
      <c r="H611" s="119"/>
      <c r="I611" s="146"/>
      <c r="J611" s="146"/>
      <c r="K611" s="146"/>
      <c r="L611" s="146"/>
      <c r="M611" s="146"/>
      <c r="N611" s="146"/>
      <c r="O611" s="146"/>
      <c r="P611" s="146"/>
      <c r="Q611" s="146"/>
      <c r="R611" s="146"/>
      <c r="S611" s="146"/>
      <c r="T611" s="146"/>
      <c r="U611" s="146"/>
      <c r="V611" s="146"/>
      <c r="W611" s="146"/>
      <c r="X611" s="146"/>
      <c r="Y611" s="146"/>
      <c r="Z611" s="146"/>
      <c r="AA611" s="146"/>
    </row>
    <row r="612" ht="22.5" customHeight="1">
      <c r="A612" s="145"/>
      <c r="B612" s="154"/>
      <c r="C612" s="154"/>
      <c r="D612" s="138"/>
      <c r="E612" s="138"/>
      <c r="F612" s="138"/>
      <c r="G612" s="138"/>
      <c r="H612" s="119"/>
      <c r="I612" s="146"/>
      <c r="J612" s="146"/>
      <c r="K612" s="146"/>
      <c r="L612" s="146"/>
      <c r="M612" s="146"/>
      <c r="N612" s="146"/>
      <c r="O612" s="146"/>
      <c r="P612" s="146"/>
      <c r="Q612" s="146"/>
      <c r="R612" s="146"/>
      <c r="S612" s="146"/>
      <c r="T612" s="146"/>
      <c r="U612" s="146"/>
      <c r="V612" s="146"/>
      <c r="W612" s="146"/>
      <c r="X612" s="146"/>
      <c r="Y612" s="146"/>
      <c r="Z612" s="146"/>
      <c r="AA612" s="146"/>
    </row>
    <row r="613" ht="22.5" customHeight="1">
      <c r="A613" s="145"/>
      <c r="B613" s="154"/>
      <c r="C613" s="154"/>
      <c r="D613" s="138"/>
      <c r="E613" s="138"/>
      <c r="F613" s="138"/>
      <c r="G613" s="138"/>
      <c r="H613" s="119"/>
      <c r="I613" s="146"/>
      <c r="J613" s="146"/>
      <c r="K613" s="146"/>
      <c r="L613" s="146"/>
      <c r="M613" s="146"/>
      <c r="N613" s="146"/>
      <c r="O613" s="146"/>
      <c r="P613" s="146"/>
      <c r="Q613" s="146"/>
      <c r="R613" s="146"/>
      <c r="S613" s="146"/>
      <c r="T613" s="146"/>
      <c r="U613" s="146"/>
      <c r="V613" s="146"/>
      <c r="W613" s="146"/>
      <c r="X613" s="146"/>
      <c r="Y613" s="146"/>
      <c r="Z613" s="146"/>
      <c r="AA613" s="146"/>
    </row>
    <row r="614" ht="22.5" customHeight="1">
      <c r="A614" s="145"/>
      <c r="B614" s="154"/>
      <c r="C614" s="154"/>
      <c r="D614" s="138"/>
      <c r="E614" s="138"/>
      <c r="F614" s="138"/>
      <c r="G614" s="138"/>
      <c r="H614" s="119"/>
      <c r="I614" s="146"/>
      <c r="J614" s="146"/>
      <c r="K614" s="146"/>
      <c r="L614" s="146"/>
      <c r="M614" s="146"/>
      <c r="N614" s="146"/>
      <c r="O614" s="146"/>
      <c r="P614" s="146"/>
      <c r="Q614" s="146"/>
      <c r="R614" s="146"/>
      <c r="S614" s="146"/>
      <c r="T614" s="146"/>
      <c r="U614" s="146"/>
      <c r="V614" s="146"/>
      <c r="W614" s="146"/>
      <c r="X614" s="146"/>
      <c r="Y614" s="146"/>
      <c r="Z614" s="146"/>
      <c r="AA614" s="146"/>
    </row>
    <row r="615" ht="22.5" customHeight="1">
      <c r="A615" s="145"/>
      <c r="B615" s="154"/>
      <c r="C615" s="154"/>
      <c r="D615" s="138"/>
      <c r="E615" s="138"/>
      <c r="F615" s="138"/>
      <c r="G615" s="138"/>
      <c r="H615" s="119"/>
      <c r="I615" s="146"/>
      <c r="J615" s="146"/>
      <c r="K615" s="146"/>
      <c r="L615" s="146"/>
      <c r="M615" s="146"/>
      <c r="N615" s="146"/>
      <c r="O615" s="146"/>
      <c r="P615" s="146"/>
      <c r="Q615" s="146"/>
      <c r="R615" s="146"/>
      <c r="S615" s="146"/>
      <c r="T615" s="146"/>
      <c r="U615" s="146"/>
      <c r="V615" s="146"/>
      <c r="W615" s="146"/>
      <c r="X615" s="146"/>
      <c r="Y615" s="146"/>
      <c r="Z615" s="146"/>
      <c r="AA615" s="146"/>
    </row>
    <row r="616" ht="22.5" customHeight="1">
      <c r="A616" s="145"/>
      <c r="B616" s="154"/>
      <c r="C616" s="154"/>
      <c r="D616" s="138"/>
      <c r="E616" s="138"/>
      <c r="F616" s="138"/>
      <c r="G616" s="138"/>
      <c r="H616" s="119"/>
      <c r="I616" s="146"/>
      <c r="J616" s="146"/>
      <c r="K616" s="146"/>
      <c r="L616" s="146"/>
      <c r="M616" s="146"/>
      <c r="N616" s="146"/>
      <c r="O616" s="146"/>
      <c r="P616" s="146"/>
      <c r="Q616" s="146"/>
      <c r="R616" s="146"/>
      <c r="S616" s="146"/>
      <c r="T616" s="146"/>
      <c r="U616" s="146"/>
      <c r="V616" s="146"/>
      <c r="W616" s="146"/>
      <c r="X616" s="146"/>
      <c r="Y616" s="146"/>
      <c r="Z616" s="146"/>
      <c r="AA616" s="146"/>
    </row>
    <row r="617" ht="22.5" customHeight="1">
      <c r="A617" s="145"/>
      <c r="B617" s="154"/>
      <c r="C617" s="154"/>
      <c r="D617" s="138"/>
      <c r="E617" s="138"/>
      <c r="F617" s="138"/>
      <c r="G617" s="138"/>
      <c r="H617" s="119"/>
      <c r="I617" s="146"/>
      <c r="J617" s="146"/>
      <c r="K617" s="146"/>
      <c r="L617" s="146"/>
      <c r="M617" s="146"/>
      <c r="N617" s="146"/>
      <c r="O617" s="146"/>
      <c r="P617" s="146"/>
      <c r="Q617" s="146"/>
      <c r="R617" s="146"/>
      <c r="S617" s="146"/>
      <c r="T617" s="146"/>
      <c r="U617" s="146"/>
      <c r="V617" s="146"/>
      <c r="W617" s="146"/>
      <c r="X617" s="146"/>
      <c r="Y617" s="146"/>
      <c r="Z617" s="146"/>
      <c r="AA617" s="146"/>
    </row>
    <row r="618" ht="22.5" customHeight="1">
      <c r="A618" s="145"/>
      <c r="B618" s="154"/>
      <c r="C618" s="154"/>
      <c r="D618" s="138"/>
      <c r="E618" s="138"/>
      <c r="F618" s="138"/>
      <c r="G618" s="138"/>
      <c r="H618" s="119"/>
      <c r="I618" s="146"/>
      <c r="J618" s="146"/>
      <c r="K618" s="146"/>
      <c r="L618" s="146"/>
      <c r="M618" s="146"/>
      <c r="N618" s="146"/>
      <c r="O618" s="146"/>
      <c r="P618" s="146"/>
      <c r="Q618" s="146"/>
      <c r="R618" s="146"/>
      <c r="S618" s="146"/>
      <c r="T618" s="146"/>
      <c r="U618" s="146"/>
      <c r="V618" s="146"/>
      <c r="W618" s="146"/>
      <c r="X618" s="146"/>
      <c r="Y618" s="146"/>
      <c r="Z618" s="146"/>
      <c r="AA618" s="146"/>
    </row>
    <row r="619" ht="22.5" customHeight="1">
      <c r="A619" s="145"/>
      <c r="B619" s="154"/>
      <c r="C619" s="154"/>
      <c r="D619" s="138"/>
      <c r="E619" s="138"/>
      <c r="F619" s="138"/>
      <c r="G619" s="138"/>
      <c r="H619" s="119"/>
      <c r="I619" s="146"/>
      <c r="J619" s="146"/>
      <c r="K619" s="146"/>
      <c r="L619" s="146"/>
      <c r="M619" s="146"/>
      <c r="N619" s="146"/>
      <c r="O619" s="146"/>
      <c r="P619" s="146"/>
      <c r="Q619" s="146"/>
      <c r="R619" s="146"/>
      <c r="S619" s="146"/>
      <c r="T619" s="146"/>
      <c r="U619" s="146"/>
      <c r="V619" s="146"/>
      <c r="W619" s="146"/>
      <c r="X619" s="146"/>
      <c r="Y619" s="146"/>
      <c r="Z619" s="146"/>
      <c r="AA619" s="146"/>
    </row>
    <row r="620" ht="22.5" customHeight="1">
      <c r="A620" s="145"/>
      <c r="B620" s="154"/>
      <c r="C620" s="154"/>
      <c r="D620" s="138"/>
      <c r="E620" s="138"/>
      <c r="F620" s="138"/>
      <c r="G620" s="138"/>
      <c r="H620" s="119"/>
      <c r="I620" s="146"/>
      <c r="J620" s="146"/>
      <c r="K620" s="146"/>
      <c r="L620" s="146"/>
      <c r="M620" s="146"/>
      <c r="N620" s="146"/>
      <c r="O620" s="146"/>
      <c r="P620" s="146"/>
      <c r="Q620" s="146"/>
      <c r="R620" s="146"/>
      <c r="S620" s="146"/>
      <c r="T620" s="146"/>
      <c r="U620" s="146"/>
      <c r="V620" s="146"/>
      <c r="W620" s="146"/>
      <c r="X620" s="146"/>
      <c r="Y620" s="146"/>
      <c r="Z620" s="146"/>
      <c r="AA620" s="146"/>
    </row>
    <row r="621" ht="22.5" customHeight="1">
      <c r="A621" s="145"/>
      <c r="B621" s="154"/>
      <c r="C621" s="154"/>
      <c r="D621" s="138"/>
      <c r="E621" s="138"/>
      <c r="F621" s="138"/>
      <c r="G621" s="138"/>
      <c r="H621" s="119"/>
      <c r="I621" s="146"/>
      <c r="J621" s="146"/>
      <c r="K621" s="146"/>
      <c r="L621" s="146"/>
      <c r="M621" s="146"/>
      <c r="N621" s="146"/>
      <c r="O621" s="146"/>
      <c r="P621" s="146"/>
      <c r="Q621" s="146"/>
      <c r="R621" s="146"/>
      <c r="S621" s="146"/>
      <c r="T621" s="146"/>
      <c r="U621" s="146"/>
      <c r="V621" s="146"/>
      <c r="W621" s="146"/>
      <c r="X621" s="146"/>
      <c r="Y621" s="146"/>
      <c r="Z621" s="146"/>
      <c r="AA621" s="146"/>
    </row>
    <row r="622" ht="22.5" customHeight="1">
      <c r="A622" s="145"/>
      <c r="B622" s="154"/>
      <c r="C622" s="154"/>
      <c r="D622" s="138"/>
      <c r="E622" s="138"/>
      <c r="F622" s="138"/>
      <c r="G622" s="138"/>
      <c r="H622" s="119"/>
      <c r="I622" s="146"/>
      <c r="J622" s="146"/>
      <c r="K622" s="146"/>
      <c r="L622" s="146"/>
      <c r="M622" s="146"/>
      <c r="N622" s="146"/>
      <c r="O622" s="146"/>
      <c r="P622" s="146"/>
      <c r="Q622" s="146"/>
      <c r="R622" s="146"/>
      <c r="S622" s="146"/>
      <c r="T622" s="146"/>
      <c r="U622" s="146"/>
      <c r="V622" s="146"/>
      <c r="W622" s="146"/>
      <c r="X622" s="146"/>
      <c r="Y622" s="146"/>
      <c r="Z622" s="146"/>
      <c r="AA622" s="146"/>
    </row>
    <row r="623" ht="22.5" customHeight="1">
      <c r="A623" s="145"/>
      <c r="B623" s="154"/>
      <c r="C623" s="154"/>
      <c r="D623" s="138"/>
      <c r="E623" s="138"/>
      <c r="F623" s="138"/>
      <c r="G623" s="138"/>
      <c r="H623" s="119"/>
      <c r="I623" s="146"/>
      <c r="J623" s="146"/>
      <c r="K623" s="146"/>
      <c r="L623" s="146"/>
      <c r="M623" s="146"/>
      <c r="N623" s="146"/>
      <c r="O623" s="146"/>
      <c r="P623" s="146"/>
      <c r="Q623" s="146"/>
      <c r="R623" s="146"/>
      <c r="S623" s="146"/>
      <c r="T623" s="146"/>
      <c r="U623" s="146"/>
      <c r="V623" s="146"/>
      <c r="W623" s="146"/>
      <c r="X623" s="146"/>
      <c r="Y623" s="146"/>
      <c r="Z623" s="146"/>
      <c r="AA623" s="146"/>
    </row>
    <row r="624" ht="22.5" customHeight="1">
      <c r="A624" s="145"/>
      <c r="B624" s="154"/>
      <c r="C624" s="154"/>
      <c r="D624" s="138"/>
      <c r="E624" s="138"/>
      <c r="F624" s="138"/>
      <c r="G624" s="138"/>
      <c r="H624" s="119"/>
      <c r="I624" s="146"/>
      <c r="J624" s="146"/>
      <c r="K624" s="146"/>
      <c r="L624" s="146"/>
      <c r="M624" s="146"/>
      <c r="N624" s="146"/>
      <c r="O624" s="146"/>
      <c r="P624" s="146"/>
      <c r="Q624" s="146"/>
      <c r="R624" s="146"/>
      <c r="S624" s="146"/>
      <c r="T624" s="146"/>
      <c r="U624" s="146"/>
      <c r="V624" s="146"/>
      <c r="W624" s="146"/>
      <c r="X624" s="146"/>
      <c r="Y624" s="146"/>
      <c r="Z624" s="146"/>
      <c r="AA624" s="146"/>
    </row>
    <row r="625" ht="22.5" customHeight="1">
      <c r="A625" s="145"/>
      <c r="B625" s="154"/>
      <c r="C625" s="154"/>
      <c r="D625" s="138"/>
      <c r="E625" s="138"/>
      <c r="F625" s="138"/>
      <c r="G625" s="138"/>
      <c r="H625" s="119"/>
      <c r="I625" s="146"/>
      <c r="J625" s="146"/>
      <c r="K625" s="146"/>
      <c r="L625" s="146"/>
      <c r="M625" s="146"/>
      <c r="N625" s="146"/>
      <c r="O625" s="146"/>
      <c r="P625" s="146"/>
      <c r="Q625" s="146"/>
      <c r="R625" s="146"/>
      <c r="S625" s="146"/>
      <c r="T625" s="146"/>
      <c r="U625" s="146"/>
      <c r="V625" s="146"/>
      <c r="W625" s="146"/>
      <c r="X625" s="146"/>
      <c r="Y625" s="146"/>
      <c r="Z625" s="146"/>
      <c r="AA625" s="146"/>
    </row>
    <row r="626" ht="22.5" customHeight="1">
      <c r="A626" s="145"/>
      <c r="B626" s="154"/>
      <c r="C626" s="154"/>
      <c r="D626" s="138"/>
      <c r="E626" s="138"/>
      <c r="F626" s="138"/>
      <c r="G626" s="138"/>
      <c r="H626" s="119"/>
      <c r="I626" s="146"/>
      <c r="J626" s="146"/>
      <c r="K626" s="146"/>
      <c r="L626" s="146"/>
      <c r="M626" s="146"/>
      <c r="N626" s="146"/>
      <c r="O626" s="146"/>
      <c r="P626" s="146"/>
      <c r="Q626" s="146"/>
      <c r="R626" s="146"/>
      <c r="S626" s="146"/>
      <c r="T626" s="146"/>
      <c r="U626" s="146"/>
      <c r="V626" s="146"/>
      <c r="W626" s="146"/>
      <c r="X626" s="146"/>
      <c r="Y626" s="146"/>
      <c r="Z626" s="146"/>
      <c r="AA626" s="146"/>
    </row>
    <row r="627" ht="22.5" customHeight="1">
      <c r="A627" s="145"/>
      <c r="B627" s="154"/>
      <c r="C627" s="154"/>
      <c r="D627" s="138"/>
      <c r="E627" s="138"/>
      <c r="F627" s="138"/>
      <c r="G627" s="138"/>
      <c r="H627" s="119"/>
      <c r="I627" s="146"/>
      <c r="J627" s="146"/>
      <c r="K627" s="146"/>
      <c r="L627" s="146"/>
      <c r="M627" s="146"/>
      <c r="N627" s="146"/>
      <c r="O627" s="146"/>
      <c r="P627" s="146"/>
      <c r="Q627" s="146"/>
      <c r="R627" s="146"/>
      <c r="S627" s="146"/>
      <c r="T627" s="146"/>
      <c r="U627" s="146"/>
      <c r="V627" s="146"/>
      <c r="W627" s="146"/>
      <c r="X627" s="146"/>
      <c r="Y627" s="146"/>
      <c r="Z627" s="146"/>
      <c r="AA627" s="146"/>
    </row>
    <row r="628" ht="22.5" customHeight="1">
      <c r="A628" s="145"/>
      <c r="B628" s="154"/>
      <c r="C628" s="154"/>
      <c r="D628" s="138"/>
      <c r="E628" s="138"/>
      <c r="F628" s="138"/>
      <c r="G628" s="138"/>
      <c r="H628" s="119"/>
      <c r="I628" s="146"/>
      <c r="J628" s="146"/>
      <c r="K628" s="146"/>
      <c r="L628" s="146"/>
      <c r="M628" s="146"/>
      <c r="N628" s="146"/>
      <c r="O628" s="146"/>
      <c r="P628" s="146"/>
      <c r="Q628" s="146"/>
      <c r="R628" s="146"/>
      <c r="S628" s="146"/>
      <c r="T628" s="146"/>
      <c r="U628" s="146"/>
      <c r="V628" s="146"/>
      <c r="W628" s="146"/>
      <c r="X628" s="146"/>
      <c r="Y628" s="146"/>
      <c r="Z628" s="146"/>
      <c r="AA628" s="146"/>
    </row>
    <row r="629" ht="22.5" customHeight="1">
      <c r="A629" s="145"/>
      <c r="B629" s="154"/>
      <c r="C629" s="154"/>
      <c r="D629" s="138"/>
      <c r="E629" s="138"/>
      <c r="F629" s="138"/>
      <c r="G629" s="138"/>
      <c r="H629" s="119"/>
      <c r="I629" s="146"/>
      <c r="J629" s="146"/>
      <c r="K629" s="146"/>
      <c r="L629" s="146"/>
      <c r="M629" s="146"/>
      <c r="N629" s="146"/>
      <c r="O629" s="146"/>
      <c r="P629" s="146"/>
      <c r="Q629" s="146"/>
      <c r="R629" s="146"/>
      <c r="S629" s="146"/>
      <c r="T629" s="146"/>
      <c r="U629" s="146"/>
      <c r="V629" s="146"/>
      <c r="W629" s="146"/>
      <c r="X629" s="146"/>
      <c r="Y629" s="146"/>
      <c r="Z629" s="146"/>
      <c r="AA629" s="146"/>
    </row>
    <row r="630" ht="22.5" customHeight="1">
      <c r="A630" s="145"/>
      <c r="B630" s="154"/>
      <c r="C630" s="154"/>
      <c r="D630" s="138"/>
      <c r="E630" s="138"/>
      <c r="F630" s="138"/>
      <c r="G630" s="138"/>
      <c r="H630" s="119"/>
      <c r="I630" s="146"/>
      <c r="J630" s="146"/>
      <c r="K630" s="146"/>
      <c r="L630" s="146"/>
      <c r="M630" s="146"/>
      <c r="N630" s="146"/>
      <c r="O630" s="146"/>
      <c r="P630" s="146"/>
      <c r="Q630" s="146"/>
      <c r="R630" s="146"/>
      <c r="S630" s="146"/>
      <c r="T630" s="146"/>
      <c r="U630" s="146"/>
      <c r="V630" s="146"/>
      <c r="W630" s="146"/>
      <c r="X630" s="146"/>
      <c r="Y630" s="146"/>
      <c r="Z630" s="146"/>
      <c r="AA630" s="146"/>
    </row>
    <row r="631" ht="22.5" customHeight="1">
      <c r="A631" s="145"/>
      <c r="B631" s="154"/>
      <c r="C631" s="154"/>
      <c r="D631" s="138"/>
      <c r="E631" s="138"/>
      <c r="F631" s="138"/>
      <c r="G631" s="138"/>
      <c r="H631" s="119"/>
      <c r="I631" s="146"/>
      <c r="J631" s="146"/>
      <c r="K631" s="146"/>
      <c r="L631" s="146"/>
      <c r="M631" s="146"/>
      <c r="N631" s="146"/>
      <c r="O631" s="146"/>
      <c r="P631" s="146"/>
      <c r="Q631" s="146"/>
      <c r="R631" s="146"/>
      <c r="S631" s="146"/>
      <c r="T631" s="146"/>
      <c r="U631" s="146"/>
      <c r="V631" s="146"/>
      <c r="W631" s="146"/>
      <c r="X631" s="146"/>
      <c r="Y631" s="146"/>
      <c r="Z631" s="146"/>
      <c r="AA631" s="146"/>
    </row>
    <row r="632" ht="22.5" customHeight="1">
      <c r="A632" s="145"/>
      <c r="B632" s="154"/>
      <c r="C632" s="154"/>
      <c r="D632" s="138"/>
      <c r="E632" s="138"/>
      <c r="F632" s="138"/>
      <c r="G632" s="138"/>
      <c r="H632" s="119"/>
      <c r="I632" s="146"/>
      <c r="J632" s="146"/>
      <c r="K632" s="146"/>
      <c r="L632" s="146"/>
      <c r="M632" s="146"/>
      <c r="N632" s="146"/>
      <c r="O632" s="146"/>
      <c r="P632" s="146"/>
      <c r="Q632" s="146"/>
      <c r="R632" s="146"/>
      <c r="S632" s="146"/>
      <c r="T632" s="146"/>
      <c r="U632" s="146"/>
      <c r="V632" s="146"/>
      <c r="W632" s="146"/>
      <c r="X632" s="146"/>
      <c r="Y632" s="146"/>
      <c r="Z632" s="146"/>
      <c r="AA632" s="146"/>
    </row>
    <row r="633" ht="22.5" customHeight="1">
      <c r="A633" s="145"/>
      <c r="B633" s="154"/>
      <c r="C633" s="154"/>
      <c r="D633" s="138"/>
      <c r="E633" s="138"/>
      <c r="F633" s="138"/>
      <c r="G633" s="138"/>
      <c r="H633" s="119"/>
      <c r="I633" s="146"/>
      <c r="J633" s="146"/>
      <c r="K633" s="146"/>
      <c r="L633" s="146"/>
      <c r="M633" s="146"/>
      <c r="N633" s="146"/>
      <c r="O633" s="146"/>
      <c r="P633" s="146"/>
      <c r="Q633" s="146"/>
      <c r="R633" s="146"/>
      <c r="S633" s="146"/>
      <c r="T633" s="146"/>
      <c r="U633" s="146"/>
      <c r="V633" s="146"/>
      <c r="W633" s="146"/>
      <c r="X633" s="146"/>
      <c r="Y633" s="146"/>
      <c r="Z633" s="146"/>
      <c r="AA633" s="146"/>
    </row>
    <row r="634" ht="22.5" customHeight="1">
      <c r="A634" s="145"/>
      <c r="B634" s="154"/>
      <c r="C634" s="154"/>
      <c r="D634" s="138"/>
      <c r="E634" s="138"/>
      <c r="F634" s="138"/>
      <c r="G634" s="138"/>
      <c r="H634" s="119"/>
      <c r="I634" s="146"/>
      <c r="J634" s="146"/>
      <c r="K634" s="146"/>
      <c r="L634" s="146"/>
      <c r="M634" s="146"/>
      <c r="N634" s="146"/>
      <c r="O634" s="146"/>
      <c r="P634" s="146"/>
      <c r="Q634" s="146"/>
      <c r="R634" s="146"/>
      <c r="S634" s="146"/>
      <c r="T634" s="146"/>
      <c r="U634" s="146"/>
      <c r="V634" s="146"/>
      <c r="W634" s="146"/>
      <c r="X634" s="146"/>
      <c r="Y634" s="146"/>
      <c r="Z634" s="146"/>
      <c r="AA634" s="146"/>
    </row>
    <row r="635" ht="22.5" customHeight="1">
      <c r="A635" s="145"/>
      <c r="B635" s="154"/>
      <c r="C635" s="154"/>
      <c r="D635" s="138"/>
      <c r="E635" s="138"/>
      <c r="F635" s="138"/>
      <c r="G635" s="138"/>
      <c r="H635" s="119"/>
      <c r="I635" s="146"/>
      <c r="J635" s="146"/>
      <c r="K635" s="146"/>
      <c r="L635" s="146"/>
      <c r="M635" s="146"/>
      <c r="N635" s="146"/>
      <c r="O635" s="146"/>
      <c r="P635" s="146"/>
      <c r="Q635" s="146"/>
      <c r="R635" s="146"/>
      <c r="S635" s="146"/>
      <c r="T635" s="146"/>
      <c r="U635" s="146"/>
      <c r="V635" s="146"/>
      <c r="W635" s="146"/>
      <c r="X635" s="146"/>
      <c r="Y635" s="146"/>
      <c r="Z635" s="146"/>
      <c r="AA635" s="146"/>
    </row>
    <row r="636" ht="22.5" customHeight="1">
      <c r="A636" s="145"/>
      <c r="B636" s="154"/>
      <c r="C636" s="154"/>
      <c r="D636" s="138"/>
      <c r="E636" s="138"/>
      <c r="F636" s="138"/>
      <c r="G636" s="138"/>
      <c r="H636" s="119"/>
      <c r="I636" s="146"/>
      <c r="J636" s="146"/>
      <c r="K636" s="146"/>
      <c r="L636" s="146"/>
      <c r="M636" s="146"/>
      <c r="N636" s="146"/>
      <c r="O636" s="146"/>
      <c r="P636" s="146"/>
      <c r="Q636" s="146"/>
      <c r="R636" s="146"/>
      <c r="S636" s="146"/>
      <c r="T636" s="146"/>
      <c r="U636" s="146"/>
      <c r="V636" s="146"/>
      <c r="W636" s="146"/>
      <c r="X636" s="146"/>
      <c r="Y636" s="146"/>
      <c r="Z636" s="146"/>
      <c r="AA636" s="146"/>
    </row>
    <row r="637" ht="22.5" customHeight="1">
      <c r="A637" s="145"/>
      <c r="B637" s="154"/>
      <c r="C637" s="154"/>
      <c r="D637" s="138"/>
      <c r="E637" s="138"/>
      <c r="F637" s="138"/>
      <c r="G637" s="138"/>
      <c r="H637" s="119"/>
      <c r="I637" s="146"/>
      <c r="J637" s="146"/>
      <c r="K637" s="146"/>
      <c r="L637" s="146"/>
      <c r="M637" s="146"/>
      <c r="N637" s="146"/>
      <c r="O637" s="146"/>
      <c r="P637" s="146"/>
      <c r="Q637" s="146"/>
      <c r="R637" s="146"/>
      <c r="S637" s="146"/>
      <c r="T637" s="146"/>
      <c r="U637" s="146"/>
      <c r="V637" s="146"/>
      <c r="W637" s="146"/>
      <c r="X637" s="146"/>
      <c r="Y637" s="146"/>
      <c r="Z637" s="146"/>
      <c r="AA637" s="146"/>
    </row>
    <row r="638" ht="22.5" customHeight="1">
      <c r="A638" s="145"/>
      <c r="B638" s="154"/>
      <c r="C638" s="154"/>
      <c r="D638" s="138"/>
      <c r="E638" s="138"/>
      <c r="F638" s="138"/>
      <c r="G638" s="138"/>
      <c r="H638" s="119"/>
      <c r="I638" s="146"/>
      <c r="J638" s="146"/>
      <c r="K638" s="146"/>
      <c r="L638" s="146"/>
      <c r="M638" s="146"/>
      <c r="N638" s="146"/>
      <c r="O638" s="146"/>
      <c r="P638" s="146"/>
      <c r="Q638" s="146"/>
      <c r="R638" s="146"/>
      <c r="S638" s="146"/>
      <c r="T638" s="146"/>
      <c r="U638" s="146"/>
      <c r="V638" s="146"/>
      <c r="W638" s="146"/>
      <c r="X638" s="146"/>
      <c r="Y638" s="146"/>
      <c r="Z638" s="146"/>
      <c r="AA638" s="146"/>
    </row>
    <row r="639" ht="22.5" customHeight="1">
      <c r="A639" s="145"/>
      <c r="B639" s="154"/>
      <c r="C639" s="154"/>
      <c r="D639" s="138"/>
      <c r="E639" s="138"/>
      <c r="F639" s="138"/>
      <c r="G639" s="138"/>
      <c r="H639" s="119"/>
      <c r="I639" s="146"/>
      <c r="J639" s="146"/>
      <c r="K639" s="146"/>
      <c r="L639" s="146"/>
      <c r="M639" s="146"/>
      <c r="N639" s="146"/>
      <c r="O639" s="146"/>
      <c r="P639" s="146"/>
      <c r="Q639" s="146"/>
      <c r="R639" s="146"/>
      <c r="S639" s="146"/>
      <c r="T639" s="146"/>
      <c r="U639" s="146"/>
      <c r="V639" s="146"/>
      <c r="W639" s="146"/>
      <c r="X639" s="146"/>
      <c r="Y639" s="146"/>
      <c r="Z639" s="146"/>
      <c r="AA639" s="146"/>
    </row>
    <row r="640" ht="22.5" customHeight="1">
      <c r="A640" s="145"/>
      <c r="B640" s="154"/>
      <c r="C640" s="154"/>
      <c r="D640" s="138"/>
      <c r="E640" s="138"/>
      <c r="F640" s="138"/>
      <c r="G640" s="138"/>
      <c r="H640" s="119"/>
      <c r="I640" s="146"/>
      <c r="J640" s="146"/>
      <c r="K640" s="146"/>
      <c r="L640" s="146"/>
      <c r="M640" s="146"/>
      <c r="N640" s="146"/>
      <c r="O640" s="146"/>
      <c r="P640" s="146"/>
      <c r="Q640" s="146"/>
      <c r="R640" s="146"/>
      <c r="S640" s="146"/>
      <c r="T640" s="146"/>
      <c r="U640" s="146"/>
      <c r="V640" s="146"/>
      <c r="W640" s="146"/>
      <c r="X640" s="146"/>
      <c r="Y640" s="146"/>
      <c r="Z640" s="146"/>
      <c r="AA640" s="146"/>
    </row>
    <row r="641" ht="22.5" customHeight="1">
      <c r="A641" s="145"/>
      <c r="B641" s="154"/>
      <c r="C641" s="154"/>
      <c r="D641" s="138"/>
      <c r="E641" s="138"/>
      <c r="F641" s="138"/>
      <c r="G641" s="138"/>
      <c r="H641" s="119"/>
      <c r="I641" s="146"/>
      <c r="J641" s="146"/>
      <c r="K641" s="146"/>
      <c r="L641" s="146"/>
      <c r="M641" s="146"/>
      <c r="N641" s="146"/>
      <c r="O641" s="146"/>
      <c r="P641" s="146"/>
      <c r="Q641" s="146"/>
      <c r="R641" s="146"/>
      <c r="S641" s="146"/>
      <c r="T641" s="146"/>
      <c r="U641" s="146"/>
      <c r="V641" s="146"/>
      <c r="W641" s="146"/>
      <c r="X641" s="146"/>
      <c r="Y641" s="146"/>
      <c r="Z641" s="146"/>
      <c r="AA641" s="146"/>
    </row>
    <row r="642" ht="22.5" customHeight="1">
      <c r="A642" s="145"/>
      <c r="B642" s="154"/>
      <c r="C642" s="154"/>
      <c r="D642" s="138"/>
      <c r="E642" s="138"/>
      <c r="F642" s="138"/>
      <c r="G642" s="138"/>
      <c r="H642" s="119"/>
      <c r="I642" s="146"/>
      <c r="J642" s="146"/>
      <c r="K642" s="146"/>
      <c r="L642" s="146"/>
      <c r="M642" s="146"/>
      <c r="N642" s="146"/>
      <c r="O642" s="146"/>
      <c r="P642" s="146"/>
      <c r="Q642" s="146"/>
      <c r="R642" s="146"/>
      <c r="S642" s="146"/>
      <c r="T642" s="146"/>
      <c r="U642" s="146"/>
      <c r="V642" s="146"/>
      <c r="W642" s="146"/>
      <c r="X642" s="146"/>
      <c r="Y642" s="146"/>
      <c r="Z642" s="146"/>
      <c r="AA642" s="146"/>
    </row>
    <row r="643" ht="22.5" customHeight="1">
      <c r="A643" s="145"/>
      <c r="B643" s="154"/>
      <c r="C643" s="154"/>
      <c r="D643" s="138"/>
      <c r="E643" s="138"/>
      <c r="F643" s="138"/>
      <c r="G643" s="138"/>
      <c r="H643" s="119"/>
      <c r="I643" s="146"/>
      <c r="J643" s="146"/>
      <c r="K643" s="146"/>
      <c r="L643" s="146"/>
      <c r="M643" s="146"/>
      <c r="N643" s="146"/>
      <c r="O643" s="146"/>
      <c r="P643" s="146"/>
      <c r="Q643" s="146"/>
      <c r="R643" s="146"/>
      <c r="S643" s="146"/>
      <c r="T643" s="146"/>
      <c r="U643" s="146"/>
      <c r="V643" s="146"/>
      <c r="W643" s="146"/>
      <c r="X643" s="146"/>
      <c r="Y643" s="146"/>
      <c r="Z643" s="146"/>
      <c r="AA643" s="146"/>
    </row>
    <row r="644" ht="22.5" customHeight="1">
      <c r="A644" s="145"/>
      <c r="B644" s="154"/>
      <c r="C644" s="154"/>
      <c r="D644" s="138"/>
      <c r="E644" s="138"/>
      <c r="F644" s="138"/>
      <c r="G644" s="138"/>
      <c r="H644" s="119"/>
      <c r="I644" s="146"/>
      <c r="J644" s="146"/>
      <c r="K644" s="146"/>
      <c r="L644" s="146"/>
      <c r="M644" s="146"/>
      <c r="N644" s="146"/>
      <c r="O644" s="146"/>
      <c r="P644" s="146"/>
      <c r="Q644" s="146"/>
      <c r="R644" s="146"/>
      <c r="S644" s="146"/>
      <c r="T644" s="146"/>
      <c r="U644" s="146"/>
      <c r="V644" s="146"/>
      <c r="W644" s="146"/>
      <c r="X644" s="146"/>
      <c r="Y644" s="146"/>
      <c r="Z644" s="146"/>
      <c r="AA644" s="146"/>
    </row>
    <row r="645" ht="22.5" customHeight="1">
      <c r="A645" s="145"/>
      <c r="B645" s="154"/>
      <c r="C645" s="154"/>
      <c r="D645" s="138"/>
      <c r="E645" s="138"/>
      <c r="F645" s="138"/>
      <c r="G645" s="138"/>
      <c r="H645" s="119"/>
      <c r="I645" s="146"/>
      <c r="J645" s="146"/>
      <c r="K645" s="146"/>
      <c r="L645" s="146"/>
      <c r="M645" s="146"/>
      <c r="N645" s="146"/>
      <c r="O645" s="146"/>
      <c r="P645" s="146"/>
      <c r="Q645" s="146"/>
      <c r="R645" s="146"/>
      <c r="S645" s="146"/>
      <c r="T645" s="146"/>
      <c r="U645" s="146"/>
      <c r="V645" s="146"/>
      <c r="W645" s="146"/>
      <c r="X645" s="146"/>
      <c r="Y645" s="146"/>
      <c r="Z645" s="146"/>
      <c r="AA645" s="146"/>
    </row>
    <row r="646" ht="22.5" customHeight="1">
      <c r="A646" s="145"/>
      <c r="B646" s="154"/>
      <c r="C646" s="154"/>
      <c r="D646" s="138"/>
      <c r="E646" s="138"/>
      <c r="F646" s="138"/>
      <c r="G646" s="138"/>
      <c r="H646" s="119"/>
      <c r="I646" s="146"/>
      <c r="J646" s="146"/>
      <c r="K646" s="146"/>
      <c r="L646" s="146"/>
      <c r="M646" s="146"/>
      <c r="N646" s="146"/>
      <c r="O646" s="146"/>
      <c r="P646" s="146"/>
      <c r="Q646" s="146"/>
      <c r="R646" s="146"/>
      <c r="S646" s="146"/>
      <c r="T646" s="146"/>
      <c r="U646" s="146"/>
      <c r="V646" s="146"/>
      <c r="W646" s="146"/>
      <c r="X646" s="146"/>
      <c r="Y646" s="146"/>
      <c r="Z646" s="146"/>
      <c r="AA646" s="146"/>
    </row>
    <row r="647" ht="22.5" customHeight="1">
      <c r="A647" s="145"/>
      <c r="B647" s="154"/>
      <c r="C647" s="154"/>
      <c r="D647" s="138"/>
      <c r="E647" s="138"/>
      <c r="F647" s="138"/>
      <c r="G647" s="138"/>
      <c r="H647" s="119"/>
      <c r="I647" s="146"/>
      <c r="J647" s="146"/>
      <c r="K647" s="146"/>
      <c r="L647" s="146"/>
      <c r="M647" s="146"/>
      <c r="N647" s="146"/>
      <c r="O647" s="146"/>
      <c r="P647" s="146"/>
      <c r="Q647" s="146"/>
      <c r="R647" s="146"/>
      <c r="S647" s="146"/>
      <c r="T647" s="146"/>
      <c r="U647" s="146"/>
      <c r="V647" s="146"/>
      <c r="W647" s="146"/>
      <c r="X647" s="146"/>
      <c r="Y647" s="146"/>
      <c r="Z647" s="146"/>
      <c r="AA647" s="146"/>
    </row>
    <row r="648" ht="22.5" customHeight="1">
      <c r="A648" s="145"/>
      <c r="B648" s="154"/>
      <c r="C648" s="154"/>
      <c r="D648" s="138"/>
      <c r="E648" s="138"/>
      <c r="F648" s="138"/>
      <c r="G648" s="138"/>
      <c r="H648" s="119"/>
      <c r="I648" s="146"/>
      <c r="J648" s="146"/>
      <c r="K648" s="146"/>
      <c r="L648" s="146"/>
      <c r="M648" s="146"/>
      <c r="N648" s="146"/>
      <c r="O648" s="146"/>
      <c r="P648" s="146"/>
      <c r="Q648" s="146"/>
      <c r="R648" s="146"/>
      <c r="S648" s="146"/>
      <c r="T648" s="146"/>
      <c r="U648" s="146"/>
      <c r="V648" s="146"/>
      <c r="W648" s="146"/>
      <c r="X648" s="146"/>
      <c r="Y648" s="146"/>
      <c r="Z648" s="146"/>
      <c r="AA648" s="146"/>
    </row>
    <row r="649" ht="22.5" customHeight="1">
      <c r="A649" s="145"/>
      <c r="B649" s="154"/>
      <c r="C649" s="154"/>
      <c r="D649" s="138"/>
      <c r="E649" s="138"/>
      <c r="F649" s="138"/>
      <c r="G649" s="138"/>
      <c r="H649" s="119"/>
      <c r="I649" s="146"/>
      <c r="J649" s="146"/>
      <c r="K649" s="146"/>
      <c r="L649" s="146"/>
      <c r="M649" s="146"/>
      <c r="N649" s="146"/>
      <c r="O649" s="146"/>
      <c r="P649" s="146"/>
      <c r="Q649" s="146"/>
      <c r="R649" s="146"/>
      <c r="S649" s="146"/>
      <c r="T649" s="146"/>
      <c r="U649" s="146"/>
      <c r="V649" s="146"/>
      <c r="W649" s="146"/>
      <c r="X649" s="146"/>
      <c r="Y649" s="146"/>
      <c r="Z649" s="146"/>
      <c r="AA649" s="146"/>
    </row>
    <row r="650" ht="22.5" customHeight="1">
      <c r="A650" s="145"/>
      <c r="B650" s="154"/>
      <c r="C650" s="154"/>
      <c r="D650" s="138"/>
      <c r="E650" s="138"/>
      <c r="F650" s="138"/>
      <c r="G650" s="138"/>
      <c r="H650" s="119"/>
      <c r="I650" s="146"/>
      <c r="J650" s="146"/>
      <c r="K650" s="146"/>
      <c r="L650" s="146"/>
      <c r="M650" s="146"/>
      <c r="N650" s="146"/>
      <c r="O650" s="146"/>
      <c r="P650" s="146"/>
      <c r="Q650" s="146"/>
      <c r="R650" s="146"/>
      <c r="S650" s="146"/>
      <c r="T650" s="146"/>
      <c r="U650" s="146"/>
      <c r="V650" s="146"/>
      <c r="W650" s="146"/>
      <c r="X650" s="146"/>
      <c r="Y650" s="146"/>
      <c r="Z650" s="146"/>
      <c r="AA650" s="146"/>
    </row>
    <row r="651" ht="22.5" customHeight="1">
      <c r="A651" s="145"/>
      <c r="B651" s="154"/>
      <c r="C651" s="154"/>
      <c r="D651" s="138"/>
      <c r="E651" s="138"/>
      <c r="F651" s="138"/>
      <c r="G651" s="138"/>
      <c r="H651" s="119"/>
      <c r="I651" s="146"/>
      <c r="J651" s="146"/>
      <c r="K651" s="146"/>
      <c r="L651" s="146"/>
      <c r="M651" s="146"/>
      <c r="N651" s="146"/>
      <c r="O651" s="146"/>
      <c r="P651" s="146"/>
      <c r="Q651" s="146"/>
      <c r="R651" s="146"/>
      <c r="S651" s="146"/>
      <c r="T651" s="146"/>
      <c r="U651" s="146"/>
      <c r="V651" s="146"/>
      <c r="W651" s="146"/>
      <c r="X651" s="146"/>
      <c r="Y651" s="146"/>
      <c r="Z651" s="146"/>
      <c r="AA651" s="146"/>
    </row>
    <row r="652" ht="22.5" customHeight="1">
      <c r="A652" s="145"/>
      <c r="B652" s="154"/>
      <c r="C652" s="154"/>
      <c r="D652" s="138"/>
      <c r="E652" s="138"/>
      <c r="F652" s="138"/>
      <c r="G652" s="138"/>
      <c r="H652" s="119"/>
      <c r="I652" s="146"/>
      <c r="J652" s="146"/>
      <c r="K652" s="146"/>
      <c r="L652" s="146"/>
      <c r="M652" s="146"/>
      <c r="N652" s="146"/>
      <c r="O652" s="146"/>
      <c r="P652" s="146"/>
      <c r="Q652" s="146"/>
      <c r="R652" s="146"/>
      <c r="S652" s="146"/>
      <c r="T652" s="146"/>
      <c r="U652" s="146"/>
      <c r="V652" s="146"/>
      <c r="W652" s="146"/>
      <c r="X652" s="146"/>
      <c r="Y652" s="146"/>
      <c r="Z652" s="146"/>
      <c r="AA652" s="146"/>
    </row>
    <row r="653" ht="22.5" customHeight="1">
      <c r="A653" s="145"/>
      <c r="B653" s="154"/>
      <c r="C653" s="154"/>
      <c r="D653" s="138"/>
      <c r="E653" s="138"/>
      <c r="F653" s="138"/>
      <c r="G653" s="138"/>
      <c r="H653" s="119"/>
      <c r="I653" s="146"/>
      <c r="J653" s="146"/>
      <c r="K653" s="146"/>
      <c r="L653" s="146"/>
      <c r="M653" s="146"/>
      <c r="N653" s="146"/>
      <c r="O653" s="146"/>
      <c r="P653" s="146"/>
      <c r="Q653" s="146"/>
      <c r="R653" s="146"/>
      <c r="S653" s="146"/>
      <c r="T653" s="146"/>
      <c r="U653" s="146"/>
      <c r="V653" s="146"/>
      <c r="W653" s="146"/>
      <c r="X653" s="146"/>
      <c r="Y653" s="146"/>
      <c r="Z653" s="146"/>
      <c r="AA653" s="146"/>
    </row>
    <row r="654" ht="22.5" customHeight="1">
      <c r="A654" s="145"/>
      <c r="B654" s="154"/>
      <c r="C654" s="154"/>
      <c r="D654" s="138"/>
      <c r="E654" s="138"/>
      <c r="F654" s="138"/>
      <c r="G654" s="138"/>
      <c r="H654" s="119"/>
      <c r="I654" s="146"/>
      <c r="J654" s="146"/>
      <c r="K654" s="146"/>
      <c r="L654" s="146"/>
      <c r="M654" s="146"/>
      <c r="N654" s="146"/>
      <c r="O654" s="146"/>
      <c r="P654" s="146"/>
      <c r="Q654" s="146"/>
      <c r="R654" s="146"/>
      <c r="S654" s="146"/>
      <c r="T654" s="146"/>
      <c r="U654" s="146"/>
      <c r="V654" s="146"/>
      <c r="W654" s="146"/>
      <c r="X654" s="146"/>
      <c r="Y654" s="146"/>
      <c r="Z654" s="146"/>
      <c r="AA654" s="146"/>
    </row>
    <row r="655" ht="22.5" customHeight="1">
      <c r="A655" s="145"/>
      <c r="B655" s="154"/>
      <c r="C655" s="154"/>
      <c r="D655" s="138"/>
      <c r="E655" s="138"/>
      <c r="F655" s="138"/>
      <c r="G655" s="138"/>
      <c r="H655" s="119"/>
      <c r="I655" s="146"/>
      <c r="J655" s="146"/>
      <c r="K655" s="146"/>
      <c r="L655" s="146"/>
      <c r="M655" s="146"/>
      <c r="N655" s="146"/>
      <c r="O655" s="146"/>
      <c r="P655" s="146"/>
      <c r="Q655" s="146"/>
      <c r="R655" s="146"/>
      <c r="S655" s="146"/>
      <c r="T655" s="146"/>
      <c r="U655" s="146"/>
      <c r="V655" s="146"/>
      <c r="W655" s="146"/>
      <c r="X655" s="146"/>
      <c r="Y655" s="146"/>
      <c r="Z655" s="146"/>
      <c r="AA655" s="146"/>
    </row>
    <row r="656" ht="22.5" customHeight="1">
      <c r="A656" s="145"/>
      <c r="B656" s="154"/>
      <c r="C656" s="154"/>
      <c r="D656" s="138"/>
      <c r="E656" s="138"/>
      <c r="F656" s="138"/>
      <c r="G656" s="138"/>
      <c r="H656" s="119"/>
      <c r="I656" s="146"/>
      <c r="J656" s="146"/>
      <c r="K656" s="146"/>
      <c r="L656" s="146"/>
      <c r="M656" s="146"/>
      <c r="N656" s="146"/>
      <c r="O656" s="146"/>
      <c r="P656" s="146"/>
      <c r="Q656" s="146"/>
      <c r="R656" s="146"/>
      <c r="S656" s="146"/>
      <c r="T656" s="146"/>
      <c r="U656" s="146"/>
      <c r="V656" s="146"/>
      <c r="W656" s="146"/>
      <c r="X656" s="146"/>
      <c r="Y656" s="146"/>
      <c r="Z656" s="146"/>
      <c r="AA656" s="146"/>
    </row>
    <row r="657" ht="22.5" customHeight="1">
      <c r="A657" s="145"/>
      <c r="B657" s="154"/>
      <c r="C657" s="154"/>
      <c r="D657" s="138"/>
      <c r="E657" s="138"/>
      <c r="F657" s="138"/>
      <c r="G657" s="138"/>
      <c r="H657" s="119"/>
      <c r="I657" s="146"/>
      <c r="J657" s="146"/>
      <c r="K657" s="146"/>
      <c r="L657" s="146"/>
      <c r="M657" s="146"/>
      <c r="N657" s="146"/>
      <c r="O657" s="146"/>
      <c r="P657" s="146"/>
      <c r="Q657" s="146"/>
      <c r="R657" s="146"/>
      <c r="S657" s="146"/>
      <c r="T657" s="146"/>
      <c r="U657" s="146"/>
      <c r="V657" s="146"/>
      <c r="W657" s="146"/>
      <c r="X657" s="146"/>
      <c r="Y657" s="146"/>
      <c r="Z657" s="146"/>
      <c r="AA657" s="146"/>
    </row>
    <row r="658" ht="22.5" customHeight="1">
      <c r="A658" s="145"/>
      <c r="B658" s="154"/>
      <c r="C658" s="154"/>
      <c r="D658" s="138"/>
      <c r="E658" s="138"/>
      <c r="F658" s="138"/>
      <c r="G658" s="138"/>
      <c r="H658" s="119"/>
      <c r="I658" s="146"/>
      <c r="J658" s="146"/>
      <c r="K658" s="146"/>
      <c r="L658" s="146"/>
      <c r="M658" s="146"/>
      <c r="N658" s="146"/>
      <c r="O658" s="146"/>
      <c r="P658" s="146"/>
      <c r="Q658" s="146"/>
      <c r="R658" s="146"/>
      <c r="S658" s="146"/>
      <c r="T658" s="146"/>
      <c r="U658" s="146"/>
      <c r="V658" s="146"/>
      <c r="W658" s="146"/>
      <c r="X658" s="146"/>
      <c r="Y658" s="146"/>
      <c r="Z658" s="146"/>
      <c r="AA658" s="146"/>
    </row>
    <row r="659" ht="22.5" customHeight="1">
      <c r="A659" s="145"/>
      <c r="B659" s="154"/>
      <c r="C659" s="154"/>
      <c r="D659" s="138"/>
      <c r="E659" s="138"/>
      <c r="F659" s="138"/>
      <c r="G659" s="138"/>
      <c r="H659" s="119"/>
      <c r="I659" s="146"/>
      <c r="J659" s="146"/>
      <c r="K659" s="146"/>
      <c r="L659" s="146"/>
      <c r="M659" s="146"/>
      <c r="N659" s="146"/>
      <c r="O659" s="146"/>
      <c r="P659" s="146"/>
      <c r="Q659" s="146"/>
      <c r="R659" s="146"/>
      <c r="S659" s="146"/>
      <c r="T659" s="146"/>
      <c r="U659" s="146"/>
      <c r="V659" s="146"/>
      <c r="W659" s="146"/>
      <c r="X659" s="146"/>
      <c r="Y659" s="146"/>
      <c r="Z659" s="146"/>
      <c r="AA659" s="146"/>
    </row>
    <row r="660" ht="22.5" customHeight="1">
      <c r="A660" s="145"/>
      <c r="B660" s="154"/>
      <c r="C660" s="154"/>
      <c r="D660" s="138"/>
      <c r="E660" s="138"/>
      <c r="F660" s="138"/>
      <c r="G660" s="138"/>
      <c r="H660" s="119"/>
      <c r="I660" s="146"/>
      <c r="J660" s="146"/>
      <c r="K660" s="146"/>
      <c r="L660" s="146"/>
      <c r="M660" s="146"/>
      <c r="N660" s="146"/>
      <c r="O660" s="146"/>
      <c r="P660" s="146"/>
      <c r="Q660" s="146"/>
      <c r="R660" s="146"/>
      <c r="S660" s="146"/>
      <c r="T660" s="146"/>
      <c r="U660" s="146"/>
      <c r="V660" s="146"/>
      <c r="W660" s="146"/>
      <c r="X660" s="146"/>
      <c r="Y660" s="146"/>
      <c r="Z660" s="146"/>
      <c r="AA660" s="146"/>
    </row>
    <row r="661" ht="22.5" customHeight="1">
      <c r="A661" s="145"/>
      <c r="B661" s="154"/>
      <c r="C661" s="154"/>
      <c r="D661" s="138"/>
      <c r="E661" s="138"/>
      <c r="F661" s="138"/>
      <c r="G661" s="138"/>
      <c r="H661" s="119"/>
      <c r="I661" s="146"/>
      <c r="J661" s="146"/>
      <c r="K661" s="146"/>
      <c r="L661" s="146"/>
      <c r="M661" s="146"/>
      <c r="N661" s="146"/>
      <c r="O661" s="146"/>
      <c r="P661" s="146"/>
      <c r="Q661" s="146"/>
      <c r="R661" s="146"/>
      <c r="S661" s="146"/>
      <c r="T661" s="146"/>
      <c r="U661" s="146"/>
      <c r="V661" s="146"/>
      <c r="W661" s="146"/>
      <c r="X661" s="146"/>
      <c r="Y661" s="146"/>
      <c r="Z661" s="146"/>
      <c r="AA661" s="146"/>
    </row>
    <row r="662" ht="22.5" customHeight="1">
      <c r="A662" s="145"/>
      <c r="B662" s="154"/>
      <c r="C662" s="154"/>
      <c r="D662" s="138"/>
      <c r="E662" s="138"/>
      <c r="F662" s="138"/>
      <c r="G662" s="138"/>
      <c r="H662" s="119"/>
      <c r="I662" s="146"/>
      <c r="J662" s="146"/>
      <c r="K662" s="146"/>
      <c r="L662" s="146"/>
      <c r="M662" s="146"/>
      <c r="N662" s="146"/>
      <c r="O662" s="146"/>
      <c r="P662" s="146"/>
      <c r="Q662" s="146"/>
      <c r="R662" s="146"/>
      <c r="S662" s="146"/>
      <c r="T662" s="146"/>
      <c r="U662" s="146"/>
      <c r="V662" s="146"/>
      <c r="W662" s="146"/>
      <c r="X662" s="146"/>
      <c r="Y662" s="146"/>
      <c r="Z662" s="146"/>
      <c r="AA662" s="146"/>
    </row>
    <row r="663" ht="22.5" customHeight="1">
      <c r="A663" s="145"/>
      <c r="B663" s="154"/>
      <c r="C663" s="154"/>
      <c r="D663" s="138"/>
      <c r="E663" s="138"/>
      <c r="F663" s="138"/>
      <c r="G663" s="138"/>
      <c r="H663" s="119"/>
      <c r="I663" s="146"/>
      <c r="J663" s="146"/>
      <c r="K663" s="146"/>
      <c r="L663" s="146"/>
      <c r="M663" s="146"/>
      <c r="N663" s="146"/>
      <c r="O663" s="146"/>
      <c r="P663" s="146"/>
      <c r="Q663" s="146"/>
      <c r="R663" s="146"/>
      <c r="S663" s="146"/>
      <c r="T663" s="146"/>
      <c r="U663" s="146"/>
      <c r="V663" s="146"/>
      <c r="W663" s="146"/>
      <c r="X663" s="146"/>
      <c r="Y663" s="146"/>
      <c r="Z663" s="146"/>
      <c r="AA663" s="146"/>
    </row>
    <row r="664" ht="22.5" customHeight="1">
      <c r="A664" s="145"/>
      <c r="B664" s="154"/>
      <c r="C664" s="154"/>
      <c r="D664" s="138"/>
      <c r="E664" s="138"/>
      <c r="F664" s="138"/>
      <c r="G664" s="138"/>
      <c r="H664" s="119"/>
      <c r="I664" s="146"/>
      <c r="J664" s="146"/>
      <c r="K664" s="146"/>
      <c r="L664" s="146"/>
      <c r="M664" s="146"/>
      <c r="N664" s="146"/>
      <c r="O664" s="146"/>
      <c r="P664" s="146"/>
      <c r="Q664" s="146"/>
      <c r="R664" s="146"/>
      <c r="S664" s="146"/>
      <c r="T664" s="146"/>
      <c r="U664" s="146"/>
      <c r="V664" s="146"/>
      <c r="W664" s="146"/>
      <c r="X664" s="146"/>
      <c r="Y664" s="146"/>
      <c r="Z664" s="146"/>
      <c r="AA664" s="146"/>
    </row>
    <row r="665" ht="22.5" customHeight="1">
      <c r="A665" s="145"/>
      <c r="B665" s="154"/>
      <c r="C665" s="154"/>
      <c r="D665" s="138"/>
      <c r="E665" s="138"/>
      <c r="F665" s="138"/>
      <c r="G665" s="138"/>
      <c r="H665" s="119"/>
      <c r="I665" s="146"/>
      <c r="J665" s="146"/>
      <c r="K665" s="146"/>
      <c r="L665" s="146"/>
      <c r="M665" s="146"/>
      <c r="N665" s="146"/>
      <c r="O665" s="146"/>
      <c r="P665" s="146"/>
      <c r="Q665" s="146"/>
      <c r="R665" s="146"/>
      <c r="S665" s="146"/>
      <c r="T665" s="146"/>
      <c r="U665" s="146"/>
      <c r="V665" s="146"/>
      <c r="W665" s="146"/>
      <c r="X665" s="146"/>
      <c r="Y665" s="146"/>
      <c r="Z665" s="146"/>
      <c r="AA665" s="146"/>
    </row>
    <row r="666" ht="22.5" customHeight="1">
      <c r="A666" s="145"/>
      <c r="B666" s="154"/>
      <c r="C666" s="154"/>
      <c r="D666" s="138"/>
      <c r="E666" s="138"/>
      <c r="F666" s="138"/>
      <c r="G666" s="138"/>
      <c r="H666" s="119"/>
      <c r="I666" s="146"/>
      <c r="J666" s="146"/>
      <c r="K666" s="146"/>
      <c r="L666" s="146"/>
      <c r="M666" s="146"/>
      <c r="N666" s="146"/>
      <c r="O666" s="146"/>
      <c r="P666" s="146"/>
      <c r="Q666" s="146"/>
      <c r="R666" s="146"/>
      <c r="S666" s="146"/>
      <c r="T666" s="146"/>
      <c r="U666" s="146"/>
      <c r="V666" s="146"/>
      <c r="W666" s="146"/>
      <c r="X666" s="146"/>
      <c r="Y666" s="146"/>
      <c r="Z666" s="146"/>
      <c r="AA666" s="146"/>
    </row>
    <row r="667" ht="22.5" customHeight="1">
      <c r="A667" s="145"/>
      <c r="B667" s="154"/>
      <c r="C667" s="154"/>
      <c r="D667" s="138"/>
      <c r="E667" s="138"/>
      <c r="F667" s="138"/>
      <c r="G667" s="138"/>
      <c r="H667" s="119"/>
      <c r="I667" s="146"/>
      <c r="J667" s="146"/>
      <c r="K667" s="146"/>
      <c r="L667" s="146"/>
      <c r="M667" s="146"/>
      <c r="N667" s="146"/>
      <c r="O667" s="146"/>
      <c r="P667" s="146"/>
      <c r="Q667" s="146"/>
      <c r="R667" s="146"/>
      <c r="S667" s="146"/>
      <c r="T667" s="146"/>
      <c r="U667" s="146"/>
      <c r="V667" s="146"/>
      <c r="W667" s="146"/>
      <c r="X667" s="146"/>
      <c r="Y667" s="146"/>
      <c r="Z667" s="146"/>
      <c r="AA667" s="146"/>
    </row>
    <row r="668" ht="22.5" customHeight="1">
      <c r="A668" s="145"/>
      <c r="B668" s="154"/>
      <c r="C668" s="154"/>
      <c r="D668" s="138"/>
      <c r="E668" s="138"/>
      <c r="F668" s="138"/>
      <c r="G668" s="138"/>
      <c r="H668" s="119"/>
      <c r="I668" s="146"/>
      <c r="J668" s="146"/>
      <c r="K668" s="146"/>
      <c r="L668" s="146"/>
      <c r="M668" s="146"/>
      <c r="N668" s="146"/>
      <c r="O668" s="146"/>
      <c r="P668" s="146"/>
      <c r="Q668" s="146"/>
      <c r="R668" s="146"/>
      <c r="S668" s="146"/>
      <c r="T668" s="146"/>
      <c r="U668" s="146"/>
      <c r="V668" s="146"/>
      <c r="W668" s="146"/>
      <c r="X668" s="146"/>
      <c r="Y668" s="146"/>
      <c r="Z668" s="146"/>
      <c r="AA668" s="146"/>
    </row>
    <row r="669" ht="22.5" customHeight="1">
      <c r="A669" s="145"/>
      <c r="B669" s="154"/>
      <c r="C669" s="154"/>
      <c r="D669" s="138"/>
      <c r="E669" s="138"/>
      <c r="F669" s="138"/>
      <c r="G669" s="138"/>
      <c r="H669" s="119"/>
      <c r="I669" s="146"/>
      <c r="J669" s="146"/>
      <c r="K669" s="146"/>
      <c r="L669" s="146"/>
      <c r="M669" s="146"/>
      <c r="N669" s="146"/>
      <c r="O669" s="146"/>
      <c r="P669" s="146"/>
      <c r="Q669" s="146"/>
      <c r="R669" s="146"/>
      <c r="S669" s="146"/>
      <c r="T669" s="146"/>
      <c r="U669" s="146"/>
      <c r="V669" s="146"/>
      <c r="W669" s="146"/>
      <c r="X669" s="146"/>
      <c r="Y669" s="146"/>
      <c r="Z669" s="146"/>
      <c r="AA669" s="146"/>
    </row>
    <row r="670" ht="22.5" customHeight="1">
      <c r="A670" s="145"/>
      <c r="B670" s="154"/>
      <c r="C670" s="154"/>
      <c r="D670" s="138"/>
      <c r="E670" s="138"/>
      <c r="F670" s="138"/>
      <c r="G670" s="138"/>
      <c r="H670" s="119"/>
      <c r="I670" s="146"/>
      <c r="J670" s="146"/>
      <c r="K670" s="146"/>
      <c r="L670" s="146"/>
      <c r="M670" s="146"/>
      <c r="N670" s="146"/>
      <c r="O670" s="146"/>
      <c r="P670" s="146"/>
      <c r="Q670" s="146"/>
      <c r="R670" s="146"/>
      <c r="S670" s="146"/>
      <c r="T670" s="146"/>
      <c r="U670" s="146"/>
      <c r="V670" s="146"/>
      <c r="W670" s="146"/>
      <c r="X670" s="146"/>
      <c r="Y670" s="146"/>
      <c r="Z670" s="146"/>
      <c r="AA670" s="146"/>
    </row>
    <row r="671" ht="22.5" customHeight="1">
      <c r="A671" s="145"/>
      <c r="B671" s="154"/>
      <c r="C671" s="154"/>
      <c r="D671" s="138"/>
      <c r="E671" s="138"/>
      <c r="F671" s="138"/>
      <c r="G671" s="138"/>
      <c r="H671" s="119"/>
      <c r="I671" s="146"/>
      <c r="J671" s="146"/>
      <c r="K671" s="146"/>
      <c r="L671" s="146"/>
      <c r="M671" s="146"/>
      <c r="N671" s="146"/>
      <c r="O671" s="146"/>
      <c r="P671" s="146"/>
      <c r="Q671" s="146"/>
      <c r="R671" s="146"/>
      <c r="S671" s="146"/>
      <c r="T671" s="146"/>
      <c r="U671" s="146"/>
      <c r="V671" s="146"/>
      <c r="W671" s="146"/>
      <c r="X671" s="146"/>
      <c r="Y671" s="146"/>
      <c r="Z671" s="146"/>
      <c r="AA671" s="146"/>
    </row>
    <row r="672" ht="22.5" customHeight="1">
      <c r="A672" s="145"/>
      <c r="B672" s="154"/>
      <c r="C672" s="154"/>
      <c r="D672" s="138"/>
      <c r="E672" s="138"/>
      <c r="F672" s="138"/>
      <c r="G672" s="138"/>
      <c r="H672" s="119"/>
      <c r="I672" s="146"/>
      <c r="J672" s="146"/>
      <c r="K672" s="146"/>
      <c r="L672" s="146"/>
      <c r="M672" s="146"/>
      <c r="N672" s="146"/>
      <c r="O672" s="146"/>
      <c r="P672" s="146"/>
      <c r="Q672" s="146"/>
      <c r="R672" s="146"/>
      <c r="S672" s="146"/>
      <c r="T672" s="146"/>
      <c r="U672" s="146"/>
      <c r="V672" s="146"/>
      <c r="W672" s="146"/>
      <c r="X672" s="146"/>
      <c r="Y672" s="146"/>
      <c r="Z672" s="146"/>
      <c r="AA672" s="146"/>
    </row>
    <row r="673" ht="22.5" customHeight="1">
      <c r="A673" s="145"/>
      <c r="B673" s="154"/>
      <c r="C673" s="154"/>
      <c r="D673" s="138"/>
      <c r="E673" s="138"/>
      <c r="F673" s="138"/>
      <c r="G673" s="138"/>
      <c r="H673" s="119"/>
      <c r="I673" s="146"/>
      <c r="J673" s="146"/>
      <c r="K673" s="146"/>
      <c r="L673" s="146"/>
      <c r="M673" s="146"/>
      <c r="N673" s="146"/>
      <c r="O673" s="146"/>
      <c r="P673" s="146"/>
      <c r="Q673" s="146"/>
      <c r="R673" s="146"/>
      <c r="S673" s="146"/>
      <c r="T673" s="146"/>
      <c r="U673" s="146"/>
      <c r="V673" s="146"/>
      <c r="W673" s="146"/>
      <c r="X673" s="146"/>
      <c r="Y673" s="146"/>
      <c r="Z673" s="146"/>
      <c r="AA673" s="146"/>
    </row>
    <row r="674" ht="22.5" customHeight="1">
      <c r="A674" s="145"/>
      <c r="B674" s="154"/>
      <c r="C674" s="154"/>
      <c r="D674" s="138"/>
      <c r="E674" s="138"/>
      <c r="F674" s="138"/>
      <c r="G674" s="138"/>
      <c r="H674" s="119"/>
      <c r="I674" s="146"/>
      <c r="J674" s="146"/>
      <c r="K674" s="146"/>
      <c r="L674" s="146"/>
      <c r="M674" s="146"/>
      <c r="N674" s="146"/>
      <c r="O674" s="146"/>
      <c r="P674" s="146"/>
      <c r="Q674" s="146"/>
      <c r="R674" s="146"/>
      <c r="S674" s="146"/>
      <c r="T674" s="146"/>
      <c r="U674" s="146"/>
      <c r="V674" s="146"/>
      <c r="W674" s="146"/>
      <c r="X674" s="146"/>
      <c r="Y674" s="146"/>
      <c r="Z674" s="146"/>
      <c r="AA674" s="146"/>
    </row>
    <row r="675" ht="22.5" customHeight="1">
      <c r="A675" s="145"/>
      <c r="B675" s="154"/>
      <c r="C675" s="154"/>
      <c r="D675" s="138"/>
      <c r="E675" s="138"/>
      <c r="F675" s="138"/>
      <c r="G675" s="138"/>
      <c r="H675" s="119"/>
      <c r="I675" s="146"/>
      <c r="J675" s="146"/>
      <c r="K675" s="146"/>
      <c r="L675" s="146"/>
      <c r="M675" s="146"/>
      <c r="N675" s="146"/>
      <c r="O675" s="146"/>
      <c r="P675" s="146"/>
      <c r="Q675" s="146"/>
      <c r="R675" s="146"/>
      <c r="S675" s="146"/>
      <c r="T675" s="146"/>
      <c r="U675" s="146"/>
      <c r="V675" s="146"/>
      <c r="W675" s="146"/>
      <c r="X675" s="146"/>
      <c r="Y675" s="146"/>
      <c r="Z675" s="146"/>
      <c r="AA675" s="146"/>
    </row>
    <row r="676" ht="22.5" customHeight="1">
      <c r="A676" s="145"/>
      <c r="B676" s="154"/>
      <c r="C676" s="154"/>
      <c r="D676" s="138"/>
      <c r="E676" s="138"/>
      <c r="F676" s="138"/>
      <c r="G676" s="138"/>
      <c r="H676" s="119"/>
      <c r="I676" s="146"/>
      <c r="J676" s="146"/>
      <c r="K676" s="146"/>
      <c r="L676" s="146"/>
      <c r="M676" s="146"/>
      <c r="N676" s="146"/>
      <c r="O676" s="146"/>
      <c r="P676" s="146"/>
      <c r="Q676" s="146"/>
      <c r="R676" s="146"/>
      <c r="S676" s="146"/>
      <c r="T676" s="146"/>
      <c r="U676" s="146"/>
      <c r="V676" s="146"/>
      <c r="W676" s="146"/>
      <c r="X676" s="146"/>
      <c r="Y676" s="146"/>
      <c r="Z676" s="146"/>
      <c r="AA676" s="146"/>
    </row>
    <row r="677" ht="22.5" customHeight="1">
      <c r="A677" s="145"/>
      <c r="B677" s="154"/>
      <c r="C677" s="154"/>
      <c r="D677" s="138"/>
      <c r="E677" s="138"/>
      <c r="F677" s="138"/>
      <c r="G677" s="138"/>
      <c r="H677" s="119"/>
      <c r="I677" s="146"/>
      <c r="J677" s="146"/>
      <c r="K677" s="146"/>
      <c r="L677" s="146"/>
      <c r="M677" s="146"/>
      <c r="N677" s="146"/>
      <c r="O677" s="146"/>
      <c r="P677" s="146"/>
      <c r="Q677" s="146"/>
      <c r="R677" s="146"/>
      <c r="S677" s="146"/>
      <c r="T677" s="146"/>
      <c r="U677" s="146"/>
      <c r="V677" s="146"/>
      <c r="W677" s="146"/>
      <c r="X677" s="146"/>
      <c r="Y677" s="146"/>
      <c r="Z677" s="146"/>
      <c r="AA677" s="146"/>
    </row>
    <row r="678" ht="22.5" customHeight="1">
      <c r="A678" s="145"/>
      <c r="B678" s="154"/>
      <c r="C678" s="154"/>
      <c r="D678" s="138"/>
      <c r="E678" s="138"/>
      <c r="F678" s="138"/>
      <c r="G678" s="138"/>
      <c r="H678" s="119"/>
      <c r="I678" s="146"/>
      <c r="J678" s="146"/>
      <c r="K678" s="146"/>
      <c r="L678" s="146"/>
      <c r="M678" s="146"/>
      <c r="N678" s="146"/>
      <c r="O678" s="146"/>
      <c r="P678" s="146"/>
      <c r="Q678" s="146"/>
      <c r="R678" s="146"/>
      <c r="S678" s="146"/>
      <c r="T678" s="146"/>
      <c r="U678" s="146"/>
      <c r="V678" s="146"/>
      <c r="W678" s="146"/>
      <c r="X678" s="146"/>
      <c r="Y678" s="146"/>
      <c r="Z678" s="146"/>
      <c r="AA678" s="146"/>
    </row>
    <row r="679" ht="22.5" customHeight="1">
      <c r="A679" s="145"/>
      <c r="B679" s="154"/>
      <c r="C679" s="154"/>
      <c r="D679" s="138"/>
      <c r="E679" s="138"/>
      <c r="F679" s="138"/>
      <c r="G679" s="138"/>
      <c r="H679" s="119"/>
      <c r="I679" s="146"/>
      <c r="J679" s="146"/>
      <c r="K679" s="146"/>
      <c r="L679" s="146"/>
      <c r="M679" s="146"/>
      <c r="N679" s="146"/>
      <c r="O679" s="146"/>
      <c r="P679" s="146"/>
      <c r="Q679" s="146"/>
      <c r="R679" s="146"/>
      <c r="S679" s="146"/>
      <c r="T679" s="146"/>
      <c r="U679" s="146"/>
      <c r="V679" s="146"/>
      <c r="W679" s="146"/>
      <c r="X679" s="146"/>
      <c r="Y679" s="146"/>
      <c r="Z679" s="146"/>
      <c r="AA679" s="146"/>
    </row>
    <row r="680" ht="22.5" customHeight="1">
      <c r="A680" s="145"/>
      <c r="B680" s="154"/>
      <c r="C680" s="154"/>
      <c r="D680" s="138"/>
      <c r="E680" s="138"/>
      <c r="F680" s="138"/>
      <c r="G680" s="138"/>
      <c r="H680" s="119"/>
      <c r="I680" s="146"/>
      <c r="J680" s="146"/>
      <c r="K680" s="146"/>
      <c r="L680" s="146"/>
      <c r="M680" s="146"/>
      <c r="N680" s="146"/>
      <c r="O680" s="146"/>
      <c r="P680" s="146"/>
      <c r="Q680" s="146"/>
      <c r="R680" s="146"/>
      <c r="S680" s="146"/>
      <c r="T680" s="146"/>
      <c r="U680" s="146"/>
      <c r="V680" s="146"/>
      <c r="W680" s="146"/>
      <c r="X680" s="146"/>
      <c r="Y680" s="146"/>
      <c r="Z680" s="146"/>
      <c r="AA680" s="146"/>
    </row>
    <row r="681" ht="22.5" customHeight="1">
      <c r="A681" s="145"/>
      <c r="B681" s="154"/>
      <c r="C681" s="154"/>
      <c r="D681" s="138"/>
      <c r="E681" s="138"/>
      <c r="F681" s="138"/>
      <c r="G681" s="138"/>
      <c r="H681" s="119"/>
      <c r="I681" s="146"/>
      <c r="J681" s="146"/>
      <c r="K681" s="146"/>
      <c r="L681" s="146"/>
      <c r="M681" s="146"/>
      <c r="N681" s="146"/>
      <c r="O681" s="146"/>
      <c r="P681" s="146"/>
      <c r="Q681" s="146"/>
      <c r="R681" s="146"/>
      <c r="S681" s="146"/>
      <c r="T681" s="146"/>
      <c r="U681" s="146"/>
      <c r="V681" s="146"/>
      <c r="W681" s="146"/>
      <c r="X681" s="146"/>
      <c r="Y681" s="146"/>
      <c r="Z681" s="146"/>
      <c r="AA681" s="146"/>
    </row>
    <row r="682" ht="22.5" customHeight="1">
      <c r="A682" s="145"/>
      <c r="B682" s="154"/>
      <c r="C682" s="154"/>
      <c r="D682" s="138"/>
      <c r="E682" s="138"/>
      <c r="F682" s="138"/>
      <c r="G682" s="138"/>
      <c r="H682" s="119"/>
      <c r="I682" s="146"/>
      <c r="J682" s="146"/>
      <c r="K682" s="146"/>
      <c r="L682" s="146"/>
      <c r="M682" s="146"/>
      <c r="N682" s="146"/>
      <c r="O682" s="146"/>
      <c r="P682" s="146"/>
      <c r="Q682" s="146"/>
      <c r="R682" s="146"/>
      <c r="S682" s="146"/>
      <c r="T682" s="146"/>
      <c r="U682" s="146"/>
      <c r="V682" s="146"/>
      <c r="W682" s="146"/>
      <c r="X682" s="146"/>
      <c r="Y682" s="146"/>
      <c r="Z682" s="146"/>
      <c r="AA682" s="146"/>
    </row>
    <row r="683" ht="22.5" customHeight="1">
      <c r="A683" s="145"/>
      <c r="B683" s="154"/>
      <c r="C683" s="154"/>
      <c r="D683" s="138"/>
      <c r="E683" s="138"/>
      <c r="F683" s="138"/>
      <c r="G683" s="138"/>
      <c r="H683" s="119"/>
      <c r="I683" s="146"/>
      <c r="J683" s="146"/>
      <c r="K683" s="146"/>
      <c r="L683" s="146"/>
      <c r="M683" s="146"/>
      <c r="N683" s="146"/>
      <c r="O683" s="146"/>
      <c r="P683" s="146"/>
      <c r="Q683" s="146"/>
      <c r="R683" s="146"/>
      <c r="S683" s="146"/>
      <c r="T683" s="146"/>
      <c r="U683" s="146"/>
      <c r="V683" s="146"/>
      <c r="W683" s="146"/>
      <c r="X683" s="146"/>
      <c r="Y683" s="146"/>
      <c r="Z683" s="146"/>
      <c r="AA683" s="146"/>
    </row>
    <row r="684" ht="22.5" customHeight="1">
      <c r="A684" s="145"/>
      <c r="B684" s="154"/>
      <c r="C684" s="154"/>
      <c r="D684" s="138"/>
      <c r="E684" s="138"/>
      <c r="F684" s="138"/>
      <c r="G684" s="138"/>
      <c r="H684" s="119"/>
      <c r="I684" s="146"/>
      <c r="J684" s="146"/>
      <c r="K684" s="146"/>
      <c r="L684" s="146"/>
      <c r="M684" s="146"/>
      <c r="N684" s="146"/>
      <c r="O684" s="146"/>
      <c r="P684" s="146"/>
      <c r="Q684" s="146"/>
      <c r="R684" s="146"/>
      <c r="S684" s="146"/>
      <c r="T684" s="146"/>
      <c r="U684" s="146"/>
      <c r="V684" s="146"/>
      <c r="W684" s="146"/>
      <c r="X684" s="146"/>
      <c r="Y684" s="146"/>
      <c r="Z684" s="146"/>
      <c r="AA684" s="146"/>
    </row>
    <row r="685" ht="22.5" customHeight="1">
      <c r="A685" s="145"/>
      <c r="B685" s="154"/>
      <c r="C685" s="154"/>
      <c r="D685" s="138"/>
      <c r="E685" s="138"/>
      <c r="F685" s="138"/>
      <c r="G685" s="138"/>
      <c r="H685" s="119"/>
      <c r="I685" s="146"/>
      <c r="J685" s="146"/>
      <c r="K685" s="146"/>
      <c r="L685" s="146"/>
      <c r="M685" s="146"/>
      <c r="N685" s="146"/>
      <c r="O685" s="146"/>
      <c r="P685" s="146"/>
      <c r="Q685" s="146"/>
      <c r="R685" s="146"/>
      <c r="S685" s="146"/>
      <c r="T685" s="146"/>
      <c r="U685" s="146"/>
      <c r="V685" s="146"/>
      <c r="W685" s="146"/>
      <c r="X685" s="146"/>
      <c r="Y685" s="146"/>
      <c r="Z685" s="146"/>
      <c r="AA685" s="146"/>
    </row>
    <row r="686" ht="22.5" customHeight="1">
      <c r="A686" s="145"/>
      <c r="B686" s="154"/>
      <c r="C686" s="154"/>
      <c r="D686" s="138"/>
      <c r="E686" s="138"/>
      <c r="F686" s="138"/>
      <c r="G686" s="138"/>
      <c r="H686" s="119"/>
      <c r="I686" s="146"/>
      <c r="J686" s="146"/>
      <c r="K686" s="146"/>
      <c r="L686" s="146"/>
      <c r="M686" s="146"/>
      <c r="N686" s="146"/>
      <c r="O686" s="146"/>
      <c r="P686" s="146"/>
      <c r="Q686" s="146"/>
      <c r="R686" s="146"/>
      <c r="S686" s="146"/>
      <c r="T686" s="146"/>
      <c r="U686" s="146"/>
      <c r="V686" s="146"/>
      <c r="W686" s="146"/>
      <c r="X686" s="146"/>
      <c r="Y686" s="146"/>
      <c r="Z686" s="146"/>
      <c r="AA686" s="146"/>
    </row>
    <row r="687" ht="22.5" customHeight="1">
      <c r="A687" s="145"/>
      <c r="B687" s="154"/>
      <c r="C687" s="154"/>
      <c r="D687" s="138"/>
      <c r="E687" s="138"/>
      <c r="F687" s="138"/>
      <c r="G687" s="138"/>
      <c r="H687" s="119"/>
      <c r="I687" s="146"/>
      <c r="J687" s="146"/>
      <c r="K687" s="146"/>
      <c r="L687" s="146"/>
      <c r="M687" s="146"/>
      <c r="N687" s="146"/>
      <c r="O687" s="146"/>
      <c r="P687" s="146"/>
      <c r="Q687" s="146"/>
      <c r="R687" s="146"/>
      <c r="S687" s="146"/>
      <c r="T687" s="146"/>
      <c r="U687" s="146"/>
      <c r="V687" s="146"/>
      <c r="W687" s="146"/>
      <c r="X687" s="146"/>
      <c r="Y687" s="146"/>
      <c r="Z687" s="146"/>
      <c r="AA687" s="146"/>
    </row>
    <row r="688" ht="22.5" customHeight="1">
      <c r="A688" s="145"/>
      <c r="B688" s="154"/>
      <c r="C688" s="154"/>
      <c r="D688" s="138"/>
      <c r="E688" s="138"/>
      <c r="F688" s="138"/>
      <c r="G688" s="138"/>
      <c r="H688" s="119"/>
      <c r="I688" s="146"/>
      <c r="J688" s="146"/>
      <c r="K688" s="146"/>
      <c r="L688" s="146"/>
      <c r="M688" s="146"/>
      <c r="N688" s="146"/>
      <c r="O688" s="146"/>
      <c r="P688" s="146"/>
      <c r="Q688" s="146"/>
      <c r="R688" s="146"/>
      <c r="S688" s="146"/>
      <c r="T688" s="146"/>
      <c r="U688" s="146"/>
      <c r="V688" s="146"/>
      <c r="W688" s="146"/>
      <c r="X688" s="146"/>
      <c r="Y688" s="146"/>
      <c r="Z688" s="146"/>
      <c r="AA688" s="146"/>
    </row>
    <row r="689" ht="22.5" customHeight="1">
      <c r="A689" s="145"/>
      <c r="B689" s="154"/>
      <c r="C689" s="154"/>
      <c r="D689" s="138"/>
      <c r="E689" s="138"/>
      <c r="F689" s="138"/>
      <c r="G689" s="138"/>
      <c r="H689" s="119"/>
      <c r="I689" s="146"/>
      <c r="J689" s="146"/>
      <c r="K689" s="146"/>
      <c r="L689" s="146"/>
      <c r="M689" s="146"/>
      <c r="N689" s="146"/>
      <c r="O689" s="146"/>
      <c r="P689" s="146"/>
      <c r="Q689" s="146"/>
      <c r="R689" s="146"/>
      <c r="S689" s="146"/>
      <c r="T689" s="146"/>
      <c r="U689" s="146"/>
      <c r="V689" s="146"/>
      <c r="W689" s="146"/>
      <c r="X689" s="146"/>
      <c r="Y689" s="146"/>
      <c r="Z689" s="146"/>
      <c r="AA689" s="146"/>
    </row>
    <row r="690" ht="22.5" customHeight="1">
      <c r="A690" s="145"/>
      <c r="B690" s="154"/>
      <c r="C690" s="154"/>
      <c r="D690" s="138"/>
      <c r="E690" s="138"/>
      <c r="F690" s="138"/>
      <c r="G690" s="138"/>
      <c r="H690" s="119"/>
      <c r="I690" s="146"/>
      <c r="J690" s="146"/>
      <c r="K690" s="146"/>
      <c r="L690" s="146"/>
      <c r="M690" s="146"/>
      <c r="N690" s="146"/>
      <c r="O690" s="146"/>
      <c r="P690" s="146"/>
      <c r="Q690" s="146"/>
      <c r="R690" s="146"/>
      <c r="S690" s="146"/>
      <c r="T690" s="146"/>
      <c r="U690" s="146"/>
      <c r="V690" s="146"/>
      <c r="W690" s="146"/>
      <c r="X690" s="146"/>
      <c r="Y690" s="146"/>
      <c r="Z690" s="146"/>
      <c r="AA690" s="146"/>
    </row>
    <row r="691" ht="22.5" customHeight="1">
      <c r="A691" s="145"/>
      <c r="B691" s="154"/>
      <c r="C691" s="154"/>
      <c r="D691" s="138"/>
      <c r="E691" s="138"/>
      <c r="F691" s="138"/>
      <c r="G691" s="138"/>
      <c r="H691" s="119"/>
      <c r="I691" s="146"/>
      <c r="J691" s="146"/>
      <c r="K691" s="146"/>
      <c r="L691" s="146"/>
      <c r="M691" s="146"/>
      <c r="N691" s="146"/>
      <c r="O691" s="146"/>
      <c r="P691" s="146"/>
      <c r="Q691" s="146"/>
      <c r="R691" s="146"/>
      <c r="S691" s="146"/>
      <c r="T691" s="146"/>
      <c r="U691" s="146"/>
      <c r="V691" s="146"/>
      <c r="W691" s="146"/>
      <c r="X691" s="146"/>
      <c r="Y691" s="146"/>
      <c r="Z691" s="146"/>
      <c r="AA691" s="146"/>
    </row>
    <row r="692" ht="22.5" customHeight="1">
      <c r="A692" s="145"/>
      <c r="B692" s="154"/>
      <c r="C692" s="154"/>
      <c r="D692" s="138"/>
      <c r="E692" s="138"/>
      <c r="F692" s="138"/>
      <c r="G692" s="138"/>
      <c r="H692" s="119"/>
      <c r="I692" s="146"/>
      <c r="J692" s="146"/>
      <c r="K692" s="146"/>
      <c r="L692" s="146"/>
      <c r="M692" s="146"/>
      <c r="N692" s="146"/>
      <c r="O692" s="146"/>
      <c r="P692" s="146"/>
      <c r="Q692" s="146"/>
      <c r="R692" s="146"/>
      <c r="S692" s="146"/>
      <c r="T692" s="146"/>
      <c r="U692" s="146"/>
      <c r="V692" s="146"/>
      <c r="W692" s="146"/>
      <c r="X692" s="146"/>
      <c r="Y692" s="146"/>
      <c r="Z692" s="146"/>
      <c r="AA692" s="146"/>
    </row>
    <row r="693" ht="22.5" customHeight="1">
      <c r="A693" s="145"/>
      <c r="B693" s="154"/>
      <c r="C693" s="154"/>
      <c r="D693" s="138"/>
      <c r="E693" s="138"/>
      <c r="F693" s="138"/>
      <c r="G693" s="138"/>
      <c r="H693" s="119"/>
      <c r="I693" s="146"/>
      <c r="J693" s="146"/>
      <c r="K693" s="146"/>
      <c r="L693" s="146"/>
      <c r="M693" s="146"/>
      <c r="N693" s="146"/>
      <c r="O693" s="146"/>
      <c r="P693" s="146"/>
      <c r="Q693" s="146"/>
      <c r="R693" s="146"/>
      <c r="S693" s="146"/>
      <c r="T693" s="146"/>
      <c r="U693" s="146"/>
      <c r="V693" s="146"/>
      <c r="W693" s="146"/>
      <c r="X693" s="146"/>
      <c r="Y693" s="146"/>
      <c r="Z693" s="146"/>
      <c r="AA693" s="146"/>
    </row>
    <row r="694" ht="22.5" customHeight="1">
      <c r="A694" s="145"/>
      <c r="B694" s="154"/>
      <c r="C694" s="154"/>
      <c r="D694" s="138"/>
      <c r="E694" s="138"/>
      <c r="F694" s="138"/>
      <c r="G694" s="138"/>
      <c r="H694" s="119"/>
      <c r="I694" s="146"/>
      <c r="J694" s="146"/>
      <c r="K694" s="146"/>
      <c r="L694" s="146"/>
      <c r="M694" s="146"/>
      <c r="N694" s="146"/>
      <c r="O694" s="146"/>
      <c r="P694" s="146"/>
      <c r="Q694" s="146"/>
      <c r="R694" s="146"/>
      <c r="S694" s="146"/>
      <c r="T694" s="146"/>
      <c r="U694" s="146"/>
      <c r="V694" s="146"/>
      <c r="W694" s="146"/>
      <c r="X694" s="146"/>
      <c r="Y694" s="146"/>
      <c r="Z694" s="146"/>
      <c r="AA694" s="146"/>
    </row>
    <row r="695" ht="22.5" customHeight="1">
      <c r="A695" s="145"/>
      <c r="B695" s="154"/>
      <c r="C695" s="154"/>
      <c r="D695" s="138"/>
      <c r="E695" s="138"/>
      <c r="F695" s="138"/>
      <c r="G695" s="138"/>
      <c r="H695" s="119"/>
      <c r="I695" s="146"/>
      <c r="J695" s="146"/>
      <c r="K695" s="146"/>
      <c r="L695" s="146"/>
      <c r="M695" s="146"/>
      <c r="N695" s="146"/>
      <c r="O695" s="146"/>
      <c r="P695" s="146"/>
      <c r="Q695" s="146"/>
      <c r="R695" s="146"/>
      <c r="S695" s="146"/>
      <c r="T695" s="146"/>
      <c r="U695" s="146"/>
      <c r="V695" s="146"/>
      <c r="W695" s="146"/>
      <c r="X695" s="146"/>
      <c r="Y695" s="146"/>
      <c r="Z695" s="146"/>
      <c r="AA695" s="146"/>
    </row>
    <row r="696" ht="22.5" customHeight="1">
      <c r="A696" s="145"/>
      <c r="B696" s="154"/>
      <c r="C696" s="154"/>
      <c r="D696" s="138"/>
      <c r="E696" s="138"/>
      <c r="F696" s="138"/>
      <c r="G696" s="138"/>
      <c r="H696" s="119"/>
      <c r="I696" s="146"/>
      <c r="J696" s="146"/>
      <c r="K696" s="146"/>
      <c r="L696" s="146"/>
      <c r="M696" s="146"/>
      <c r="N696" s="146"/>
      <c r="O696" s="146"/>
      <c r="P696" s="146"/>
      <c r="Q696" s="146"/>
      <c r="R696" s="146"/>
      <c r="S696" s="146"/>
      <c r="T696" s="146"/>
      <c r="U696" s="146"/>
      <c r="V696" s="146"/>
      <c r="W696" s="146"/>
      <c r="X696" s="146"/>
      <c r="Y696" s="146"/>
      <c r="Z696" s="146"/>
      <c r="AA696" s="146"/>
    </row>
    <row r="697" ht="22.5" customHeight="1">
      <c r="A697" s="145"/>
      <c r="B697" s="154"/>
      <c r="C697" s="154"/>
      <c r="D697" s="138"/>
      <c r="E697" s="138"/>
      <c r="F697" s="138"/>
      <c r="G697" s="138"/>
      <c r="H697" s="119"/>
      <c r="I697" s="146"/>
      <c r="J697" s="146"/>
      <c r="K697" s="146"/>
      <c r="L697" s="146"/>
      <c r="M697" s="146"/>
      <c r="N697" s="146"/>
      <c r="O697" s="146"/>
      <c r="P697" s="146"/>
      <c r="Q697" s="146"/>
      <c r="R697" s="146"/>
      <c r="S697" s="146"/>
      <c r="T697" s="146"/>
      <c r="U697" s="146"/>
      <c r="V697" s="146"/>
      <c r="W697" s="146"/>
      <c r="X697" s="146"/>
      <c r="Y697" s="146"/>
      <c r="Z697" s="146"/>
      <c r="AA697" s="146"/>
    </row>
    <row r="698" ht="22.5" customHeight="1">
      <c r="A698" s="145"/>
      <c r="B698" s="154"/>
      <c r="C698" s="154"/>
      <c r="D698" s="138"/>
      <c r="E698" s="138"/>
      <c r="F698" s="138"/>
      <c r="G698" s="138"/>
      <c r="H698" s="119"/>
      <c r="I698" s="146"/>
      <c r="J698" s="146"/>
      <c r="K698" s="146"/>
      <c r="L698" s="146"/>
      <c r="M698" s="146"/>
      <c r="N698" s="146"/>
      <c r="O698" s="146"/>
      <c r="P698" s="146"/>
      <c r="Q698" s="146"/>
      <c r="R698" s="146"/>
      <c r="S698" s="146"/>
      <c r="T698" s="146"/>
      <c r="U698" s="146"/>
      <c r="V698" s="146"/>
      <c r="W698" s="146"/>
      <c r="X698" s="146"/>
      <c r="Y698" s="146"/>
      <c r="Z698" s="146"/>
      <c r="AA698" s="146"/>
    </row>
    <row r="699" ht="22.5" customHeight="1">
      <c r="A699" s="145"/>
      <c r="B699" s="154"/>
      <c r="C699" s="154"/>
      <c r="D699" s="138"/>
      <c r="E699" s="138"/>
      <c r="F699" s="138"/>
      <c r="G699" s="138"/>
      <c r="H699" s="119"/>
      <c r="I699" s="146"/>
      <c r="J699" s="146"/>
      <c r="K699" s="146"/>
      <c r="L699" s="146"/>
      <c r="M699" s="146"/>
      <c r="N699" s="146"/>
      <c r="O699" s="146"/>
      <c r="P699" s="146"/>
      <c r="Q699" s="146"/>
      <c r="R699" s="146"/>
      <c r="S699" s="146"/>
      <c r="T699" s="146"/>
      <c r="U699" s="146"/>
      <c r="V699" s="146"/>
      <c r="W699" s="146"/>
      <c r="X699" s="146"/>
      <c r="Y699" s="146"/>
      <c r="Z699" s="146"/>
      <c r="AA699" s="146"/>
    </row>
    <row r="700" ht="22.5" customHeight="1">
      <c r="A700" s="145"/>
      <c r="B700" s="154"/>
      <c r="C700" s="154"/>
      <c r="D700" s="138"/>
      <c r="E700" s="138"/>
      <c r="F700" s="138"/>
      <c r="G700" s="138"/>
      <c r="H700" s="119"/>
      <c r="I700" s="146"/>
      <c r="J700" s="146"/>
      <c r="K700" s="146"/>
      <c r="L700" s="146"/>
      <c r="M700" s="146"/>
      <c r="N700" s="146"/>
      <c r="O700" s="146"/>
      <c r="P700" s="146"/>
      <c r="Q700" s="146"/>
      <c r="R700" s="146"/>
      <c r="S700" s="146"/>
      <c r="T700" s="146"/>
      <c r="U700" s="146"/>
      <c r="V700" s="146"/>
      <c r="W700" s="146"/>
      <c r="X700" s="146"/>
      <c r="Y700" s="146"/>
      <c r="Z700" s="146"/>
      <c r="AA700" s="146"/>
    </row>
    <row r="701" ht="22.5" customHeight="1">
      <c r="A701" s="145"/>
      <c r="B701" s="154"/>
      <c r="C701" s="154"/>
      <c r="D701" s="138"/>
      <c r="E701" s="138"/>
      <c r="F701" s="138"/>
      <c r="G701" s="138"/>
      <c r="H701" s="119"/>
      <c r="I701" s="146"/>
      <c r="J701" s="146"/>
      <c r="K701" s="146"/>
      <c r="L701" s="146"/>
      <c r="M701" s="146"/>
      <c r="N701" s="146"/>
      <c r="O701" s="146"/>
      <c r="P701" s="146"/>
      <c r="Q701" s="146"/>
      <c r="R701" s="146"/>
      <c r="S701" s="146"/>
      <c r="T701" s="146"/>
      <c r="U701" s="146"/>
      <c r="V701" s="146"/>
      <c r="W701" s="146"/>
      <c r="X701" s="146"/>
      <c r="Y701" s="146"/>
      <c r="Z701" s="146"/>
      <c r="AA701" s="146"/>
    </row>
    <row r="702" ht="22.5" customHeight="1">
      <c r="A702" s="145"/>
      <c r="B702" s="154"/>
      <c r="C702" s="154"/>
      <c r="D702" s="138"/>
      <c r="E702" s="138"/>
      <c r="F702" s="138"/>
      <c r="G702" s="138"/>
      <c r="H702" s="119"/>
      <c r="I702" s="146"/>
      <c r="J702" s="146"/>
      <c r="K702" s="146"/>
      <c r="L702" s="146"/>
      <c r="M702" s="146"/>
      <c r="N702" s="146"/>
      <c r="O702" s="146"/>
      <c r="P702" s="146"/>
      <c r="Q702" s="146"/>
      <c r="R702" s="146"/>
      <c r="S702" s="146"/>
      <c r="T702" s="146"/>
      <c r="U702" s="146"/>
      <c r="V702" s="146"/>
      <c r="W702" s="146"/>
      <c r="X702" s="146"/>
      <c r="Y702" s="146"/>
      <c r="Z702" s="146"/>
      <c r="AA702" s="146"/>
    </row>
    <row r="703" ht="22.5" customHeight="1">
      <c r="A703" s="145"/>
      <c r="B703" s="154"/>
      <c r="C703" s="154"/>
      <c r="D703" s="138"/>
      <c r="E703" s="138"/>
      <c r="F703" s="138"/>
      <c r="G703" s="138"/>
      <c r="H703" s="119"/>
      <c r="I703" s="146"/>
      <c r="J703" s="146"/>
      <c r="K703" s="146"/>
      <c r="L703" s="146"/>
      <c r="M703" s="146"/>
      <c r="N703" s="146"/>
      <c r="O703" s="146"/>
      <c r="P703" s="146"/>
      <c r="Q703" s="146"/>
      <c r="R703" s="146"/>
      <c r="S703" s="146"/>
      <c r="T703" s="146"/>
      <c r="U703" s="146"/>
      <c r="V703" s="146"/>
      <c r="W703" s="146"/>
      <c r="X703" s="146"/>
      <c r="Y703" s="146"/>
      <c r="Z703" s="146"/>
      <c r="AA703" s="146"/>
    </row>
    <row r="704" ht="22.5" customHeight="1">
      <c r="A704" s="145"/>
      <c r="B704" s="154"/>
      <c r="C704" s="154"/>
      <c r="D704" s="138"/>
      <c r="E704" s="138"/>
      <c r="F704" s="138"/>
      <c r="G704" s="138"/>
      <c r="H704" s="119"/>
      <c r="I704" s="146"/>
      <c r="J704" s="146"/>
      <c r="K704" s="146"/>
      <c r="L704" s="146"/>
      <c r="M704" s="146"/>
      <c r="N704" s="146"/>
      <c r="O704" s="146"/>
      <c r="P704" s="146"/>
      <c r="Q704" s="146"/>
      <c r="R704" s="146"/>
      <c r="S704" s="146"/>
      <c r="T704" s="146"/>
      <c r="U704" s="146"/>
      <c r="V704" s="146"/>
      <c r="W704" s="146"/>
      <c r="X704" s="146"/>
      <c r="Y704" s="146"/>
      <c r="Z704" s="146"/>
      <c r="AA704" s="146"/>
    </row>
    <row r="705" ht="22.5" customHeight="1">
      <c r="A705" s="145"/>
      <c r="B705" s="154"/>
      <c r="C705" s="154"/>
      <c r="D705" s="138"/>
      <c r="E705" s="138"/>
      <c r="F705" s="138"/>
      <c r="G705" s="138"/>
      <c r="H705" s="119"/>
      <c r="I705" s="146"/>
      <c r="J705" s="146"/>
      <c r="K705" s="146"/>
      <c r="L705" s="146"/>
      <c r="M705" s="146"/>
      <c r="N705" s="146"/>
      <c r="O705" s="146"/>
      <c r="P705" s="146"/>
      <c r="Q705" s="146"/>
      <c r="R705" s="146"/>
      <c r="S705" s="146"/>
      <c r="T705" s="146"/>
      <c r="U705" s="146"/>
      <c r="V705" s="146"/>
      <c r="W705" s="146"/>
      <c r="X705" s="146"/>
      <c r="Y705" s="146"/>
      <c r="Z705" s="146"/>
      <c r="AA705" s="146"/>
    </row>
    <row r="706" ht="22.5" customHeight="1">
      <c r="A706" s="145"/>
      <c r="B706" s="154"/>
      <c r="C706" s="154"/>
      <c r="D706" s="138"/>
      <c r="E706" s="138"/>
      <c r="F706" s="138"/>
      <c r="G706" s="138"/>
      <c r="H706" s="119"/>
      <c r="I706" s="146"/>
      <c r="J706" s="146"/>
      <c r="K706" s="146"/>
      <c r="L706" s="146"/>
      <c r="M706" s="146"/>
      <c r="N706" s="146"/>
      <c r="O706" s="146"/>
      <c r="P706" s="146"/>
      <c r="Q706" s="146"/>
      <c r="R706" s="146"/>
      <c r="S706" s="146"/>
      <c r="T706" s="146"/>
      <c r="U706" s="146"/>
      <c r="V706" s="146"/>
      <c r="W706" s="146"/>
      <c r="X706" s="146"/>
      <c r="Y706" s="146"/>
      <c r="Z706" s="146"/>
      <c r="AA706" s="146"/>
    </row>
    <row r="707" ht="22.5" customHeight="1">
      <c r="A707" s="145"/>
      <c r="B707" s="154"/>
      <c r="C707" s="154"/>
      <c r="D707" s="138"/>
      <c r="E707" s="138"/>
      <c r="F707" s="138"/>
      <c r="G707" s="138"/>
      <c r="H707" s="119"/>
      <c r="I707" s="146"/>
      <c r="J707" s="146"/>
      <c r="K707" s="146"/>
      <c r="L707" s="146"/>
      <c r="M707" s="146"/>
      <c r="N707" s="146"/>
      <c r="O707" s="146"/>
      <c r="P707" s="146"/>
      <c r="Q707" s="146"/>
      <c r="R707" s="146"/>
      <c r="S707" s="146"/>
      <c r="T707" s="146"/>
      <c r="U707" s="146"/>
      <c r="V707" s="146"/>
      <c r="W707" s="146"/>
      <c r="X707" s="146"/>
      <c r="Y707" s="146"/>
      <c r="Z707" s="146"/>
      <c r="AA707" s="146"/>
    </row>
    <row r="708" ht="22.5" customHeight="1">
      <c r="A708" s="145"/>
      <c r="B708" s="154"/>
      <c r="C708" s="154"/>
      <c r="D708" s="138"/>
      <c r="E708" s="138"/>
      <c r="F708" s="138"/>
      <c r="G708" s="138"/>
      <c r="H708" s="119"/>
      <c r="I708" s="146"/>
      <c r="J708" s="146"/>
      <c r="K708" s="146"/>
      <c r="L708" s="146"/>
      <c r="M708" s="146"/>
      <c r="N708" s="146"/>
      <c r="O708" s="146"/>
      <c r="P708" s="146"/>
      <c r="Q708" s="146"/>
      <c r="R708" s="146"/>
      <c r="S708" s="146"/>
      <c r="T708" s="146"/>
      <c r="U708" s="146"/>
      <c r="V708" s="146"/>
      <c r="W708" s="146"/>
      <c r="X708" s="146"/>
      <c r="Y708" s="146"/>
      <c r="Z708" s="146"/>
      <c r="AA708" s="146"/>
    </row>
    <row r="709" ht="22.5" customHeight="1">
      <c r="A709" s="145"/>
      <c r="B709" s="154"/>
      <c r="C709" s="154"/>
      <c r="D709" s="138"/>
      <c r="E709" s="138"/>
      <c r="F709" s="138"/>
      <c r="G709" s="138"/>
      <c r="H709" s="119"/>
      <c r="I709" s="146"/>
      <c r="J709" s="146"/>
      <c r="K709" s="146"/>
      <c r="L709" s="146"/>
      <c r="M709" s="146"/>
      <c r="N709" s="146"/>
      <c r="O709" s="146"/>
      <c r="P709" s="146"/>
      <c r="Q709" s="146"/>
      <c r="R709" s="146"/>
      <c r="S709" s="146"/>
      <c r="T709" s="146"/>
      <c r="U709" s="146"/>
      <c r="V709" s="146"/>
      <c r="W709" s="146"/>
      <c r="X709" s="146"/>
      <c r="Y709" s="146"/>
      <c r="Z709" s="146"/>
      <c r="AA709" s="146"/>
    </row>
    <row r="710" ht="22.5" customHeight="1">
      <c r="A710" s="145"/>
      <c r="B710" s="154"/>
      <c r="C710" s="154"/>
      <c r="D710" s="138"/>
      <c r="E710" s="138"/>
      <c r="F710" s="138"/>
      <c r="G710" s="138"/>
      <c r="H710" s="119"/>
      <c r="I710" s="146"/>
      <c r="J710" s="146"/>
      <c r="K710" s="146"/>
      <c r="L710" s="146"/>
      <c r="M710" s="146"/>
      <c r="N710" s="146"/>
      <c r="O710" s="146"/>
      <c r="P710" s="146"/>
      <c r="Q710" s="146"/>
      <c r="R710" s="146"/>
      <c r="S710" s="146"/>
      <c r="T710" s="146"/>
      <c r="U710" s="146"/>
      <c r="V710" s="146"/>
      <c r="W710" s="146"/>
      <c r="X710" s="146"/>
      <c r="Y710" s="146"/>
      <c r="Z710" s="146"/>
      <c r="AA710" s="146"/>
    </row>
    <row r="711" ht="22.5" customHeight="1">
      <c r="A711" s="145"/>
      <c r="B711" s="154"/>
      <c r="C711" s="154"/>
      <c r="D711" s="138"/>
      <c r="E711" s="138"/>
      <c r="F711" s="138"/>
      <c r="G711" s="138"/>
      <c r="H711" s="119"/>
      <c r="I711" s="146"/>
      <c r="J711" s="146"/>
      <c r="K711" s="146"/>
      <c r="L711" s="146"/>
      <c r="M711" s="146"/>
      <c r="N711" s="146"/>
      <c r="O711" s="146"/>
      <c r="P711" s="146"/>
      <c r="Q711" s="146"/>
      <c r="R711" s="146"/>
      <c r="S711" s="146"/>
      <c r="T711" s="146"/>
      <c r="U711" s="146"/>
      <c r="V711" s="146"/>
      <c r="W711" s="146"/>
      <c r="X711" s="146"/>
      <c r="Y711" s="146"/>
      <c r="Z711" s="146"/>
      <c r="AA711" s="146"/>
    </row>
    <row r="712" ht="22.5" customHeight="1">
      <c r="A712" s="145"/>
      <c r="B712" s="154"/>
      <c r="C712" s="154"/>
      <c r="D712" s="138"/>
      <c r="E712" s="138"/>
      <c r="F712" s="138"/>
      <c r="G712" s="138"/>
      <c r="H712" s="119"/>
      <c r="I712" s="146"/>
      <c r="J712" s="146"/>
      <c r="K712" s="146"/>
      <c r="L712" s="146"/>
      <c r="M712" s="146"/>
      <c r="N712" s="146"/>
      <c r="O712" s="146"/>
      <c r="P712" s="146"/>
      <c r="Q712" s="146"/>
      <c r="R712" s="146"/>
      <c r="S712" s="146"/>
      <c r="T712" s="146"/>
      <c r="U712" s="146"/>
      <c r="V712" s="146"/>
      <c r="W712" s="146"/>
      <c r="X712" s="146"/>
      <c r="Y712" s="146"/>
      <c r="Z712" s="146"/>
      <c r="AA712" s="146"/>
    </row>
    <row r="713" ht="22.5" customHeight="1">
      <c r="A713" s="145"/>
      <c r="B713" s="154"/>
      <c r="C713" s="154"/>
      <c r="D713" s="138"/>
      <c r="E713" s="138"/>
      <c r="F713" s="138"/>
      <c r="G713" s="138"/>
      <c r="H713" s="119"/>
      <c r="I713" s="146"/>
      <c r="J713" s="146"/>
      <c r="K713" s="146"/>
      <c r="L713" s="146"/>
      <c r="M713" s="146"/>
      <c r="N713" s="146"/>
      <c r="O713" s="146"/>
      <c r="P713" s="146"/>
      <c r="Q713" s="146"/>
      <c r="R713" s="146"/>
      <c r="S713" s="146"/>
      <c r="T713" s="146"/>
      <c r="U713" s="146"/>
      <c r="V713" s="146"/>
      <c r="W713" s="146"/>
      <c r="X713" s="146"/>
      <c r="Y713" s="146"/>
      <c r="Z713" s="146"/>
      <c r="AA713" s="146"/>
    </row>
    <row r="714" ht="22.5" customHeight="1">
      <c r="A714" s="145"/>
      <c r="B714" s="154"/>
      <c r="C714" s="154"/>
      <c r="D714" s="138"/>
      <c r="E714" s="138"/>
      <c r="F714" s="138"/>
      <c r="G714" s="138"/>
      <c r="H714" s="119"/>
      <c r="I714" s="146"/>
      <c r="J714" s="146"/>
      <c r="K714" s="146"/>
      <c r="L714" s="146"/>
      <c r="M714" s="146"/>
      <c r="N714" s="146"/>
      <c r="O714" s="146"/>
      <c r="P714" s="146"/>
      <c r="Q714" s="146"/>
      <c r="R714" s="146"/>
      <c r="S714" s="146"/>
      <c r="T714" s="146"/>
      <c r="U714" s="146"/>
      <c r="V714" s="146"/>
      <c r="W714" s="146"/>
      <c r="X714" s="146"/>
      <c r="Y714" s="146"/>
      <c r="Z714" s="146"/>
      <c r="AA714" s="146"/>
    </row>
    <row r="715" ht="22.5" customHeight="1">
      <c r="A715" s="145"/>
      <c r="B715" s="154"/>
      <c r="C715" s="154"/>
      <c r="D715" s="138"/>
      <c r="E715" s="138"/>
      <c r="F715" s="138"/>
      <c r="G715" s="138"/>
      <c r="H715" s="119"/>
      <c r="I715" s="146"/>
      <c r="J715" s="146"/>
      <c r="K715" s="146"/>
      <c r="L715" s="146"/>
      <c r="M715" s="146"/>
      <c r="N715" s="146"/>
      <c r="O715" s="146"/>
      <c r="P715" s="146"/>
      <c r="Q715" s="146"/>
      <c r="R715" s="146"/>
      <c r="S715" s="146"/>
      <c r="T715" s="146"/>
      <c r="U715" s="146"/>
      <c r="V715" s="146"/>
      <c r="W715" s="146"/>
      <c r="X715" s="146"/>
      <c r="Y715" s="146"/>
      <c r="Z715" s="146"/>
      <c r="AA715" s="146"/>
    </row>
    <row r="716" ht="22.5" customHeight="1">
      <c r="A716" s="145"/>
      <c r="B716" s="154"/>
      <c r="C716" s="154"/>
      <c r="D716" s="138"/>
      <c r="E716" s="138"/>
      <c r="F716" s="138"/>
      <c r="G716" s="138"/>
      <c r="H716" s="119"/>
      <c r="I716" s="146"/>
      <c r="J716" s="146"/>
      <c r="K716" s="146"/>
      <c r="L716" s="146"/>
      <c r="M716" s="146"/>
      <c r="N716" s="146"/>
      <c r="O716" s="146"/>
      <c r="P716" s="146"/>
      <c r="Q716" s="146"/>
      <c r="R716" s="146"/>
      <c r="S716" s="146"/>
      <c r="T716" s="146"/>
      <c r="U716" s="146"/>
      <c r="V716" s="146"/>
      <c r="W716" s="146"/>
      <c r="X716" s="146"/>
      <c r="Y716" s="146"/>
      <c r="Z716" s="146"/>
      <c r="AA716" s="146"/>
    </row>
    <row r="717" ht="22.5" customHeight="1">
      <c r="A717" s="145"/>
      <c r="B717" s="154"/>
      <c r="C717" s="154"/>
      <c r="D717" s="138"/>
      <c r="E717" s="138"/>
      <c r="F717" s="138"/>
      <c r="G717" s="138"/>
      <c r="H717" s="119"/>
      <c r="I717" s="146"/>
      <c r="J717" s="146"/>
      <c r="K717" s="146"/>
      <c r="L717" s="146"/>
      <c r="M717" s="146"/>
      <c r="N717" s="146"/>
      <c r="O717" s="146"/>
      <c r="P717" s="146"/>
      <c r="Q717" s="146"/>
      <c r="R717" s="146"/>
      <c r="S717" s="146"/>
      <c r="T717" s="146"/>
      <c r="U717" s="146"/>
      <c r="V717" s="146"/>
      <c r="W717" s="146"/>
      <c r="X717" s="146"/>
      <c r="Y717" s="146"/>
      <c r="Z717" s="146"/>
      <c r="AA717" s="146"/>
    </row>
    <row r="718" ht="22.5" customHeight="1">
      <c r="A718" s="145"/>
      <c r="B718" s="154"/>
      <c r="C718" s="154"/>
      <c r="D718" s="138"/>
      <c r="E718" s="138"/>
      <c r="F718" s="138"/>
      <c r="G718" s="138"/>
      <c r="H718" s="119"/>
      <c r="I718" s="146"/>
      <c r="J718" s="146"/>
      <c r="K718" s="146"/>
      <c r="L718" s="146"/>
      <c r="M718" s="146"/>
      <c r="N718" s="146"/>
      <c r="O718" s="146"/>
      <c r="P718" s="146"/>
      <c r="Q718" s="146"/>
      <c r="R718" s="146"/>
      <c r="S718" s="146"/>
      <c r="T718" s="146"/>
      <c r="U718" s="146"/>
      <c r="V718" s="146"/>
      <c r="W718" s="146"/>
      <c r="X718" s="146"/>
      <c r="Y718" s="146"/>
      <c r="Z718" s="146"/>
      <c r="AA718" s="146"/>
    </row>
    <row r="719" ht="22.5" customHeight="1">
      <c r="A719" s="145"/>
      <c r="B719" s="154"/>
      <c r="C719" s="154"/>
      <c r="D719" s="138"/>
      <c r="E719" s="138"/>
      <c r="F719" s="138"/>
      <c r="G719" s="138"/>
      <c r="H719" s="119"/>
      <c r="I719" s="146"/>
      <c r="J719" s="146"/>
      <c r="K719" s="146"/>
      <c r="L719" s="146"/>
      <c r="M719" s="146"/>
      <c r="N719" s="146"/>
      <c r="O719" s="146"/>
      <c r="P719" s="146"/>
      <c r="Q719" s="146"/>
      <c r="R719" s="146"/>
      <c r="S719" s="146"/>
      <c r="T719" s="146"/>
      <c r="U719" s="146"/>
      <c r="V719" s="146"/>
      <c r="W719" s="146"/>
      <c r="X719" s="146"/>
      <c r="Y719" s="146"/>
      <c r="Z719" s="146"/>
      <c r="AA719" s="146"/>
    </row>
    <row r="720" ht="22.5" customHeight="1">
      <c r="A720" s="145"/>
      <c r="B720" s="154"/>
      <c r="C720" s="154"/>
      <c r="D720" s="138"/>
      <c r="E720" s="138"/>
      <c r="F720" s="138"/>
      <c r="G720" s="138"/>
      <c r="H720" s="119"/>
      <c r="I720" s="146"/>
      <c r="J720" s="146"/>
      <c r="K720" s="146"/>
      <c r="L720" s="146"/>
      <c r="M720" s="146"/>
      <c r="N720" s="146"/>
      <c r="O720" s="146"/>
      <c r="P720" s="146"/>
      <c r="Q720" s="146"/>
      <c r="R720" s="146"/>
      <c r="S720" s="146"/>
      <c r="T720" s="146"/>
      <c r="U720" s="146"/>
      <c r="V720" s="146"/>
      <c r="W720" s="146"/>
      <c r="X720" s="146"/>
      <c r="Y720" s="146"/>
      <c r="Z720" s="146"/>
      <c r="AA720" s="146"/>
    </row>
    <row r="721" ht="22.5" customHeight="1">
      <c r="A721" s="145"/>
      <c r="B721" s="154"/>
      <c r="C721" s="154"/>
      <c r="D721" s="138"/>
      <c r="E721" s="138"/>
      <c r="F721" s="138"/>
      <c r="G721" s="138"/>
      <c r="H721" s="119"/>
      <c r="I721" s="146"/>
      <c r="J721" s="146"/>
      <c r="K721" s="146"/>
      <c r="L721" s="146"/>
      <c r="M721" s="146"/>
      <c r="N721" s="146"/>
      <c r="O721" s="146"/>
      <c r="P721" s="146"/>
      <c r="Q721" s="146"/>
      <c r="R721" s="146"/>
      <c r="S721" s="146"/>
      <c r="T721" s="146"/>
      <c r="U721" s="146"/>
      <c r="V721" s="146"/>
      <c r="W721" s="146"/>
      <c r="X721" s="146"/>
      <c r="Y721" s="146"/>
      <c r="Z721" s="146"/>
      <c r="AA721" s="146"/>
    </row>
    <row r="722" ht="22.5" customHeight="1">
      <c r="A722" s="145"/>
      <c r="B722" s="154"/>
      <c r="C722" s="154"/>
      <c r="D722" s="138"/>
      <c r="E722" s="138"/>
      <c r="F722" s="138"/>
      <c r="G722" s="138"/>
      <c r="H722" s="119"/>
      <c r="I722" s="146"/>
      <c r="J722" s="146"/>
      <c r="K722" s="146"/>
      <c r="L722" s="146"/>
      <c r="M722" s="146"/>
      <c r="N722" s="146"/>
      <c r="O722" s="146"/>
      <c r="P722" s="146"/>
      <c r="Q722" s="146"/>
      <c r="R722" s="146"/>
      <c r="S722" s="146"/>
      <c r="T722" s="146"/>
      <c r="U722" s="146"/>
      <c r="V722" s="146"/>
      <c r="W722" s="146"/>
      <c r="X722" s="146"/>
      <c r="Y722" s="146"/>
      <c r="Z722" s="146"/>
      <c r="AA722" s="146"/>
    </row>
    <row r="723" ht="22.5" customHeight="1">
      <c r="A723" s="145"/>
      <c r="B723" s="154"/>
      <c r="C723" s="154"/>
      <c r="D723" s="138"/>
      <c r="E723" s="138"/>
      <c r="F723" s="138"/>
      <c r="G723" s="138"/>
      <c r="H723" s="119"/>
      <c r="I723" s="146"/>
      <c r="J723" s="146"/>
      <c r="K723" s="146"/>
      <c r="L723" s="146"/>
      <c r="M723" s="146"/>
      <c r="N723" s="146"/>
      <c r="O723" s="146"/>
      <c r="P723" s="146"/>
      <c r="Q723" s="146"/>
      <c r="R723" s="146"/>
      <c r="S723" s="146"/>
      <c r="T723" s="146"/>
      <c r="U723" s="146"/>
      <c r="V723" s="146"/>
      <c r="W723" s="146"/>
      <c r="X723" s="146"/>
      <c r="Y723" s="146"/>
      <c r="Z723" s="146"/>
      <c r="AA723" s="146"/>
    </row>
    <row r="724" ht="22.5" customHeight="1">
      <c r="A724" s="145"/>
      <c r="B724" s="154"/>
      <c r="C724" s="154"/>
      <c r="D724" s="138"/>
      <c r="E724" s="138"/>
      <c r="F724" s="138"/>
      <c r="G724" s="138"/>
      <c r="H724" s="119"/>
      <c r="I724" s="146"/>
      <c r="J724" s="146"/>
      <c r="K724" s="146"/>
      <c r="L724" s="146"/>
      <c r="M724" s="146"/>
      <c r="N724" s="146"/>
      <c r="O724" s="146"/>
      <c r="P724" s="146"/>
      <c r="Q724" s="146"/>
      <c r="R724" s="146"/>
      <c r="S724" s="146"/>
      <c r="T724" s="146"/>
      <c r="U724" s="146"/>
      <c r="V724" s="146"/>
      <c r="W724" s="146"/>
      <c r="X724" s="146"/>
      <c r="Y724" s="146"/>
      <c r="Z724" s="146"/>
      <c r="AA724" s="146"/>
    </row>
    <row r="725" ht="22.5" customHeight="1">
      <c r="A725" s="145"/>
      <c r="B725" s="154"/>
      <c r="C725" s="154"/>
      <c r="D725" s="138"/>
      <c r="E725" s="138"/>
      <c r="F725" s="138"/>
      <c r="G725" s="138"/>
      <c r="H725" s="119"/>
      <c r="I725" s="146"/>
      <c r="J725" s="146"/>
      <c r="K725" s="146"/>
      <c r="L725" s="146"/>
      <c r="M725" s="146"/>
      <c r="N725" s="146"/>
      <c r="O725" s="146"/>
      <c r="P725" s="146"/>
      <c r="Q725" s="146"/>
      <c r="R725" s="146"/>
      <c r="S725" s="146"/>
      <c r="T725" s="146"/>
      <c r="U725" s="146"/>
      <c r="V725" s="146"/>
      <c r="W725" s="146"/>
      <c r="X725" s="146"/>
      <c r="Y725" s="146"/>
      <c r="Z725" s="146"/>
      <c r="AA725" s="146"/>
    </row>
    <row r="726" ht="22.5" customHeight="1">
      <c r="A726" s="145"/>
      <c r="B726" s="154"/>
      <c r="C726" s="154"/>
      <c r="D726" s="138"/>
      <c r="E726" s="138"/>
      <c r="F726" s="138"/>
      <c r="G726" s="138"/>
      <c r="H726" s="119"/>
      <c r="I726" s="146"/>
      <c r="J726" s="146"/>
      <c r="K726" s="146"/>
      <c r="L726" s="146"/>
      <c r="M726" s="146"/>
      <c r="N726" s="146"/>
      <c r="O726" s="146"/>
      <c r="P726" s="146"/>
      <c r="Q726" s="146"/>
      <c r="R726" s="146"/>
      <c r="S726" s="146"/>
      <c r="T726" s="146"/>
      <c r="U726" s="146"/>
      <c r="V726" s="146"/>
      <c r="W726" s="146"/>
      <c r="X726" s="146"/>
      <c r="Y726" s="146"/>
      <c r="Z726" s="146"/>
      <c r="AA726" s="146"/>
    </row>
    <row r="727" ht="22.5" customHeight="1">
      <c r="A727" s="145"/>
      <c r="B727" s="154"/>
      <c r="C727" s="154"/>
      <c r="D727" s="138"/>
      <c r="E727" s="138"/>
      <c r="F727" s="138"/>
      <c r="G727" s="138"/>
      <c r="H727" s="119"/>
      <c r="I727" s="146"/>
      <c r="J727" s="146"/>
      <c r="K727" s="146"/>
      <c r="L727" s="146"/>
      <c r="M727" s="146"/>
      <c r="N727" s="146"/>
      <c r="O727" s="146"/>
      <c r="P727" s="146"/>
      <c r="Q727" s="146"/>
      <c r="R727" s="146"/>
      <c r="S727" s="146"/>
      <c r="T727" s="146"/>
      <c r="U727" s="146"/>
      <c r="V727" s="146"/>
      <c r="W727" s="146"/>
      <c r="X727" s="146"/>
      <c r="Y727" s="146"/>
      <c r="Z727" s="146"/>
      <c r="AA727" s="146"/>
    </row>
    <row r="728" ht="22.5" customHeight="1">
      <c r="A728" s="145"/>
      <c r="B728" s="154"/>
      <c r="C728" s="154"/>
      <c r="D728" s="138"/>
      <c r="E728" s="138"/>
      <c r="F728" s="138"/>
      <c r="G728" s="138"/>
      <c r="H728" s="119"/>
      <c r="I728" s="146"/>
      <c r="J728" s="146"/>
      <c r="K728" s="146"/>
      <c r="L728" s="146"/>
      <c r="M728" s="146"/>
      <c r="N728" s="146"/>
      <c r="O728" s="146"/>
      <c r="P728" s="146"/>
      <c r="Q728" s="146"/>
      <c r="R728" s="146"/>
      <c r="S728" s="146"/>
      <c r="T728" s="146"/>
      <c r="U728" s="146"/>
      <c r="V728" s="146"/>
      <c r="W728" s="146"/>
      <c r="X728" s="146"/>
      <c r="Y728" s="146"/>
      <c r="Z728" s="146"/>
      <c r="AA728" s="146"/>
    </row>
    <row r="729" ht="22.5" customHeight="1">
      <c r="A729" s="145"/>
      <c r="B729" s="154"/>
      <c r="C729" s="154"/>
      <c r="D729" s="138"/>
      <c r="E729" s="138"/>
      <c r="F729" s="138"/>
      <c r="G729" s="138"/>
      <c r="H729" s="119"/>
      <c r="I729" s="146"/>
      <c r="J729" s="146"/>
      <c r="K729" s="146"/>
      <c r="L729" s="146"/>
      <c r="M729" s="146"/>
      <c r="N729" s="146"/>
      <c r="O729" s="146"/>
      <c r="P729" s="146"/>
      <c r="Q729" s="146"/>
      <c r="R729" s="146"/>
      <c r="S729" s="146"/>
      <c r="T729" s="146"/>
      <c r="U729" s="146"/>
      <c r="V729" s="146"/>
      <c r="W729" s="146"/>
      <c r="X729" s="146"/>
      <c r="Y729" s="146"/>
      <c r="Z729" s="146"/>
      <c r="AA729" s="146"/>
    </row>
    <row r="730" ht="22.5" customHeight="1">
      <c r="A730" s="145"/>
      <c r="B730" s="154"/>
      <c r="C730" s="154"/>
      <c r="D730" s="138"/>
      <c r="E730" s="138"/>
      <c r="F730" s="138"/>
      <c r="G730" s="138"/>
      <c r="H730" s="119"/>
      <c r="I730" s="146"/>
      <c r="J730" s="146"/>
      <c r="K730" s="146"/>
      <c r="L730" s="146"/>
      <c r="M730" s="146"/>
      <c r="N730" s="146"/>
      <c r="O730" s="146"/>
      <c r="P730" s="146"/>
      <c r="Q730" s="146"/>
      <c r="R730" s="146"/>
      <c r="S730" s="146"/>
      <c r="T730" s="146"/>
      <c r="U730" s="146"/>
      <c r="V730" s="146"/>
      <c r="W730" s="146"/>
      <c r="X730" s="146"/>
      <c r="Y730" s="146"/>
      <c r="Z730" s="146"/>
      <c r="AA730" s="146"/>
    </row>
    <row r="731" ht="22.5" customHeight="1">
      <c r="A731" s="145"/>
      <c r="B731" s="154"/>
      <c r="C731" s="154"/>
      <c r="D731" s="138"/>
      <c r="E731" s="138"/>
      <c r="F731" s="138"/>
      <c r="G731" s="138"/>
      <c r="H731" s="119"/>
      <c r="I731" s="146"/>
      <c r="J731" s="146"/>
      <c r="K731" s="146"/>
      <c r="L731" s="146"/>
      <c r="M731" s="146"/>
      <c r="N731" s="146"/>
      <c r="O731" s="146"/>
      <c r="P731" s="146"/>
      <c r="Q731" s="146"/>
      <c r="R731" s="146"/>
      <c r="S731" s="146"/>
      <c r="T731" s="146"/>
      <c r="U731" s="146"/>
      <c r="V731" s="146"/>
      <c r="W731" s="146"/>
      <c r="X731" s="146"/>
      <c r="Y731" s="146"/>
      <c r="Z731" s="146"/>
      <c r="AA731" s="146"/>
    </row>
    <row r="732" ht="22.5" customHeight="1">
      <c r="A732" s="145"/>
      <c r="B732" s="154"/>
      <c r="C732" s="154"/>
      <c r="D732" s="138"/>
      <c r="E732" s="138"/>
      <c r="F732" s="138"/>
      <c r="G732" s="138"/>
      <c r="H732" s="119"/>
      <c r="I732" s="146"/>
      <c r="J732" s="146"/>
      <c r="K732" s="146"/>
      <c r="L732" s="146"/>
      <c r="M732" s="146"/>
      <c r="N732" s="146"/>
      <c r="O732" s="146"/>
      <c r="P732" s="146"/>
      <c r="Q732" s="146"/>
      <c r="R732" s="146"/>
      <c r="S732" s="146"/>
      <c r="T732" s="146"/>
      <c r="U732" s="146"/>
      <c r="V732" s="146"/>
      <c r="W732" s="146"/>
      <c r="X732" s="146"/>
      <c r="Y732" s="146"/>
      <c r="Z732" s="146"/>
      <c r="AA732" s="146"/>
    </row>
    <row r="733" ht="22.5" customHeight="1">
      <c r="A733" s="145"/>
      <c r="B733" s="154"/>
      <c r="C733" s="154"/>
      <c r="D733" s="138"/>
      <c r="E733" s="138"/>
      <c r="F733" s="138"/>
      <c r="G733" s="138"/>
      <c r="H733" s="119"/>
      <c r="I733" s="146"/>
      <c r="J733" s="146"/>
      <c r="K733" s="146"/>
      <c r="L733" s="146"/>
      <c r="M733" s="146"/>
      <c r="N733" s="146"/>
      <c r="O733" s="146"/>
      <c r="P733" s="146"/>
      <c r="Q733" s="146"/>
      <c r="R733" s="146"/>
      <c r="S733" s="146"/>
      <c r="T733" s="146"/>
      <c r="U733" s="146"/>
      <c r="V733" s="146"/>
      <c r="W733" s="146"/>
      <c r="X733" s="146"/>
      <c r="Y733" s="146"/>
      <c r="Z733" s="146"/>
      <c r="AA733" s="146"/>
    </row>
    <row r="734" ht="22.5" customHeight="1">
      <c r="A734" s="145"/>
      <c r="B734" s="154"/>
      <c r="C734" s="154"/>
      <c r="D734" s="138"/>
      <c r="E734" s="138"/>
      <c r="F734" s="138"/>
      <c r="G734" s="138"/>
      <c r="H734" s="119"/>
      <c r="I734" s="146"/>
      <c r="J734" s="146"/>
      <c r="K734" s="146"/>
      <c r="L734" s="146"/>
      <c r="M734" s="146"/>
      <c r="N734" s="146"/>
      <c r="O734" s="146"/>
      <c r="P734" s="146"/>
      <c r="Q734" s="146"/>
      <c r="R734" s="146"/>
      <c r="S734" s="146"/>
      <c r="T734" s="146"/>
      <c r="U734" s="146"/>
      <c r="V734" s="146"/>
      <c r="W734" s="146"/>
      <c r="X734" s="146"/>
      <c r="Y734" s="146"/>
      <c r="Z734" s="146"/>
      <c r="AA734" s="146"/>
    </row>
    <row r="735" ht="22.5" customHeight="1">
      <c r="A735" s="145"/>
      <c r="B735" s="154"/>
      <c r="C735" s="154"/>
      <c r="D735" s="138"/>
      <c r="E735" s="138"/>
      <c r="F735" s="138"/>
      <c r="G735" s="138"/>
      <c r="H735" s="119"/>
      <c r="I735" s="146"/>
      <c r="J735" s="146"/>
      <c r="K735" s="146"/>
      <c r="L735" s="146"/>
      <c r="M735" s="146"/>
      <c r="N735" s="146"/>
      <c r="O735" s="146"/>
      <c r="P735" s="146"/>
      <c r="Q735" s="146"/>
      <c r="R735" s="146"/>
      <c r="S735" s="146"/>
      <c r="T735" s="146"/>
      <c r="U735" s="146"/>
      <c r="V735" s="146"/>
      <c r="W735" s="146"/>
      <c r="X735" s="146"/>
      <c r="Y735" s="146"/>
      <c r="Z735" s="146"/>
      <c r="AA735" s="146"/>
    </row>
    <row r="736" ht="22.5" customHeight="1">
      <c r="A736" s="145"/>
      <c r="B736" s="154"/>
      <c r="C736" s="154"/>
      <c r="D736" s="138"/>
      <c r="E736" s="138"/>
      <c r="F736" s="138"/>
      <c r="G736" s="138"/>
      <c r="H736" s="119"/>
      <c r="I736" s="146"/>
      <c r="J736" s="146"/>
      <c r="K736" s="146"/>
      <c r="L736" s="146"/>
      <c r="M736" s="146"/>
      <c r="N736" s="146"/>
      <c r="O736" s="146"/>
      <c r="P736" s="146"/>
      <c r="Q736" s="146"/>
      <c r="R736" s="146"/>
      <c r="S736" s="146"/>
      <c r="T736" s="146"/>
      <c r="U736" s="146"/>
      <c r="V736" s="146"/>
      <c r="W736" s="146"/>
      <c r="X736" s="146"/>
      <c r="Y736" s="146"/>
      <c r="Z736" s="146"/>
      <c r="AA736" s="146"/>
    </row>
    <row r="737" ht="22.5" customHeight="1">
      <c r="A737" s="145"/>
      <c r="B737" s="154"/>
      <c r="C737" s="154"/>
      <c r="D737" s="138"/>
      <c r="E737" s="138"/>
      <c r="F737" s="138"/>
      <c r="G737" s="138"/>
      <c r="H737" s="119"/>
      <c r="I737" s="146"/>
      <c r="J737" s="146"/>
      <c r="K737" s="146"/>
      <c r="L737" s="146"/>
      <c r="M737" s="146"/>
      <c r="N737" s="146"/>
      <c r="O737" s="146"/>
      <c r="P737" s="146"/>
      <c r="Q737" s="146"/>
      <c r="R737" s="146"/>
      <c r="S737" s="146"/>
      <c r="T737" s="146"/>
      <c r="U737" s="146"/>
      <c r="V737" s="146"/>
      <c r="W737" s="146"/>
      <c r="X737" s="146"/>
      <c r="Y737" s="146"/>
      <c r="Z737" s="146"/>
      <c r="AA737" s="146"/>
    </row>
    <row r="738" ht="22.5" customHeight="1">
      <c r="A738" s="145"/>
      <c r="B738" s="154"/>
      <c r="C738" s="154"/>
      <c r="D738" s="138"/>
      <c r="E738" s="138"/>
      <c r="F738" s="138"/>
      <c r="G738" s="138"/>
      <c r="H738" s="119"/>
      <c r="I738" s="146"/>
      <c r="J738" s="146"/>
      <c r="K738" s="146"/>
      <c r="L738" s="146"/>
      <c r="M738" s="146"/>
      <c r="N738" s="146"/>
      <c r="O738" s="146"/>
      <c r="P738" s="146"/>
      <c r="Q738" s="146"/>
      <c r="R738" s="146"/>
      <c r="S738" s="146"/>
      <c r="T738" s="146"/>
      <c r="U738" s="146"/>
      <c r="V738" s="146"/>
      <c r="W738" s="146"/>
      <c r="X738" s="146"/>
      <c r="Y738" s="146"/>
      <c r="Z738" s="146"/>
      <c r="AA738" s="146"/>
    </row>
    <row r="739" ht="22.5" customHeight="1">
      <c r="A739" s="145"/>
      <c r="B739" s="154"/>
      <c r="C739" s="154"/>
      <c r="D739" s="138"/>
      <c r="E739" s="138"/>
      <c r="F739" s="138"/>
      <c r="G739" s="138"/>
      <c r="H739" s="119"/>
      <c r="I739" s="146"/>
      <c r="J739" s="146"/>
      <c r="K739" s="146"/>
      <c r="L739" s="146"/>
      <c r="M739" s="146"/>
      <c r="N739" s="146"/>
      <c r="O739" s="146"/>
      <c r="P739" s="146"/>
      <c r="Q739" s="146"/>
      <c r="R739" s="146"/>
      <c r="S739" s="146"/>
      <c r="T739" s="146"/>
      <c r="U739" s="146"/>
      <c r="V739" s="146"/>
      <c r="W739" s="146"/>
      <c r="X739" s="146"/>
      <c r="Y739" s="146"/>
      <c r="Z739" s="146"/>
      <c r="AA739" s="146"/>
    </row>
    <row r="740" ht="22.5" customHeight="1">
      <c r="A740" s="145"/>
      <c r="B740" s="154"/>
      <c r="C740" s="154"/>
      <c r="D740" s="138"/>
      <c r="E740" s="138"/>
      <c r="F740" s="138"/>
      <c r="G740" s="138"/>
      <c r="H740" s="119"/>
      <c r="I740" s="146"/>
      <c r="J740" s="146"/>
      <c r="K740" s="146"/>
      <c r="L740" s="146"/>
      <c r="M740" s="146"/>
      <c r="N740" s="146"/>
      <c r="O740" s="146"/>
      <c r="P740" s="146"/>
      <c r="Q740" s="146"/>
      <c r="R740" s="146"/>
      <c r="S740" s="146"/>
      <c r="T740" s="146"/>
      <c r="U740" s="146"/>
      <c r="V740" s="146"/>
      <c r="W740" s="146"/>
      <c r="X740" s="146"/>
      <c r="Y740" s="146"/>
      <c r="Z740" s="146"/>
      <c r="AA740" s="146"/>
    </row>
    <row r="741" ht="22.5" customHeight="1">
      <c r="A741" s="145"/>
      <c r="B741" s="154"/>
      <c r="C741" s="154"/>
      <c r="D741" s="138"/>
      <c r="E741" s="138"/>
      <c r="F741" s="138"/>
      <c r="G741" s="138"/>
      <c r="H741" s="119"/>
      <c r="I741" s="146"/>
      <c r="J741" s="146"/>
      <c r="K741" s="146"/>
      <c r="L741" s="146"/>
      <c r="M741" s="146"/>
      <c r="N741" s="146"/>
      <c r="O741" s="146"/>
      <c r="P741" s="146"/>
      <c r="Q741" s="146"/>
      <c r="R741" s="146"/>
      <c r="S741" s="146"/>
      <c r="T741" s="146"/>
      <c r="U741" s="146"/>
      <c r="V741" s="146"/>
      <c r="W741" s="146"/>
      <c r="X741" s="146"/>
      <c r="Y741" s="146"/>
      <c r="Z741" s="146"/>
      <c r="AA741" s="146"/>
    </row>
    <row r="742" ht="22.5" customHeight="1">
      <c r="A742" s="145"/>
      <c r="B742" s="154"/>
      <c r="C742" s="154"/>
      <c r="D742" s="138"/>
      <c r="E742" s="138"/>
      <c r="F742" s="138"/>
      <c r="G742" s="138"/>
      <c r="H742" s="119"/>
      <c r="I742" s="146"/>
      <c r="J742" s="146"/>
      <c r="K742" s="146"/>
      <c r="L742" s="146"/>
      <c r="M742" s="146"/>
      <c r="N742" s="146"/>
      <c r="O742" s="146"/>
      <c r="P742" s="146"/>
      <c r="Q742" s="146"/>
      <c r="R742" s="146"/>
      <c r="S742" s="146"/>
      <c r="T742" s="146"/>
      <c r="U742" s="146"/>
      <c r="V742" s="146"/>
      <c r="W742" s="146"/>
      <c r="X742" s="146"/>
      <c r="Y742" s="146"/>
      <c r="Z742" s="146"/>
      <c r="AA742" s="146"/>
    </row>
    <row r="743" ht="22.5" customHeight="1">
      <c r="A743" s="145"/>
      <c r="B743" s="154"/>
      <c r="C743" s="154"/>
      <c r="D743" s="138"/>
      <c r="E743" s="138"/>
      <c r="F743" s="138"/>
      <c r="G743" s="138"/>
      <c r="H743" s="119"/>
      <c r="I743" s="146"/>
      <c r="J743" s="146"/>
      <c r="K743" s="146"/>
      <c r="L743" s="146"/>
      <c r="M743" s="146"/>
      <c r="N743" s="146"/>
      <c r="O743" s="146"/>
      <c r="P743" s="146"/>
      <c r="Q743" s="146"/>
      <c r="R743" s="146"/>
      <c r="S743" s="146"/>
      <c r="T743" s="146"/>
      <c r="U743" s="146"/>
      <c r="V743" s="146"/>
      <c r="W743" s="146"/>
      <c r="X743" s="146"/>
      <c r="Y743" s="146"/>
      <c r="Z743" s="146"/>
      <c r="AA743" s="146"/>
    </row>
    <row r="744" ht="22.5" customHeight="1">
      <c r="A744" s="145"/>
      <c r="B744" s="154"/>
      <c r="C744" s="154"/>
      <c r="D744" s="138"/>
      <c r="E744" s="138"/>
      <c r="F744" s="138"/>
      <c r="G744" s="138"/>
      <c r="H744" s="119"/>
      <c r="I744" s="146"/>
      <c r="J744" s="146"/>
      <c r="K744" s="146"/>
      <c r="L744" s="146"/>
      <c r="M744" s="146"/>
      <c r="N744" s="146"/>
      <c r="O744" s="146"/>
      <c r="P744" s="146"/>
      <c r="Q744" s="146"/>
      <c r="R744" s="146"/>
      <c r="S744" s="146"/>
      <c r="T744" s="146"/>
      <c r="U744" s="146"/>
      <c r="V744" s="146"/>
      <c r="W744" s="146"/>
      <c r="X744" s="146"/>
      <c r="Y744" s="146"/>
      <c r="Z744" s="146"/>
      <c r="AA744" s="146"/>
    </row>
    <row r="745" ht="22.5" customHeight="1">
      <c r="A745" s="145"/>
      <c r="B745" s="154"/>
      <c r="C745" s="154"/>
      <c r="D745" s="138"/>
      <c r="E745" s="138"/>
      <c r="F745" s="138"/>
      <c r="G745" s="138"/>
      <c r="H745" s="119"/>
      <c r="I745" s="146"/>
      <c r="J745" s="146"/>
      <c r="K745" s="146"/>
      <c r="L745" s="146"/>
      <c r="M745" s="146"/>
      <c r="N745" s="146"/>
      <c r="O745" s="146"/>
      <c r="P745" s="146"/>
      <c r="Q745" s="146"/>
      <c r="R745" s="146"/>
      <c r="S745" s="146"/>
      <c r="T745" s="146"/>
      <c r="U745" s="146"/>
      <c r="V745" s="146"/>
      <c r="W745" s="146"/>
      <c r="X745" s="146"/>
      <c r="Y745" s="146"/>
      <c r="Z745" s="146"/>
      <c r="AA745" s="146"/>
    </row>
    <row r="746" ht="22.5" customHeight="1">
      <c r="A746" s="145"/>
      <c r="B746" s="154"/>
      <c r="C746" s="154"/>
      <c r="D746" s="138"/>
      <c r="E746" s="138"/>
      <c r="F746" s="138"/>
      <c r="G746" s="138"/>
      <c r="H746" s="119"/>
      <c r="I746" s="146"/>
      <c r="J746" s="146"/>
      <c r="K746" s="146"/>
      <c r="L746" s="146"/>
      <c r="M746" s="146"/>
      <c r="N746" s="146"/>
      <c r="O746" s="146"/>
      <c r="P746" s="146"/>
      <c r="Q746" s="146"/>
      <c r="R746" s="146"/>
      <c r="S746" s="146"/>
      <c r="T746" s="146"/>
      <c r="U746" s="146"/>
      <c r="V746" s="146"/>
      <c r="W746" s="146"/>
      <c r="X746" s="146"/>
      <c r="Y746" s="146"/>
      <c r="Z746" s="146"/>
      <c r="AA746" s="146"/>
    </row>
    <row r="747" ht="22.5" customHeight="1">
      <c r="A747" s="145"/>
      <c r="B747" s="154"/>
      <c r="C747" s="154"/>
      <c r="D747" s="138"/>
      <c r="E747" s="138"/>
      <c r="F747" s="138"/>
      <c r="G747" s="138"/>
      <c r="H747" s="119"/>
      <c r="I747" s="146"/>
      <c r="J747" s="146"/>
      <c r="K747" s="146"/>
      <c r="L747" s="146"/>
      <c r="M747" s="146"/>
      <c r="N747" s="146"/>
      <c r="O747" s="146"/>
      <c r="P747" s="146"/>
      <c r="Q747" s="146"/>
      <c r="R747" s="146"/>
      <c r="S747" s="146"/>
      <c r="T747" s="146"/>
      <c r="U747" s="146"/>
      <c r="V747" s="146"/>
      <c r="W747" s="146"/>
      <c r="X747" s="146"/>
      <c r="Y747" s="146"/>
      <c r="Z747" s="146"/>
      <c r="AA747" s="146"/>
    </row>
    <row r="748" ht="22.5" customHeight="1">
      <c r="A748" s="145"/>
      <c r="B748" s="154"/>
      <c r="C748" s="154"/>
      <c r="D748" s="138"/>
      <c r="E748" s="138"/>
      <c r="F748" s="138"/>
      <c r="G748" s="138"/>
      <c r="H748" s="119"/>
      <c r="I748" s="146"/>
      <c r="J748" s="146"/>
      <c r="K748" s="146"/>
      <c r="L748" s="146"/>
      <c r="M748" s="146"/>
      <c r="N748" s="146"/>
      <c r="O748" s="146"/>
      <c r="P748" s="146"/>
      <c r="Q748" s="146"/>
      <c r="R748" s="146"/>
      <c r="S748" s="146"/>
      <c r="T748" s="146"/>
      <c r="U748" s="146"/>
      <c r="V748" s="146"/>
      <c r="W748" s="146"/>
      <c r="X748" s="146"/>
      <c r="Y748" s="146"/>
      <c r="Z748" s="146"/>
      <c r="AA748" s="146"/>
    </row>
    <row r="749" ht="22.5" customHeight="1">
      <c r="A749" s="145"/>
      <c r="B749" s="154"/>
      <c r="C749" s="154"/>
      <c r="D749" s="138"/>
      <c r="E749" s="138"/>
      <c r="F749" s="138"/>
      <c r="G749" s="138"/>
      <c r="H749" s="119"/>
      <c r="I749" s="146"/>
      <c r="J749" s="146"/>
      <c r="K749" s="146"/>
      <c r="L749" s="146"/>
      <c r="M749" s="146"/>
      <c r="N749" s="146"/>
      <c r="O749" s="146"/>
      <c r="P749" s="146"/>
      <c r="Q749" s="146"/>
      <c r="R749" s="146"/>
      <c r="S749" s="146"/>
      <c r="T749" s="146"/>
      <c r="U749" s="146"/>
      <c r="V749" s="146"/>
      <c r="W749" s="146"/>
      <c r="X749" s="146"/>
      <c r="Y749" s="146"/>
      <c r="Z749" s="146"/>
      <c r="AA749" s="146"/>
    </row>
    <row r="750" ht="22.5" customHeight="1">
      <c r="A750" s="145"/>
      <c r="B750" s="154"/>
      <c r="C750" s="154"/>
      <c r="D750" s="138"/>
      <c r="E750" s="138"/>
      <c r="F750" s="138"/>
      <c r="G750" s="138"/>
      <c r="H750" s="119"/>
      <c r="I750" s="146"/>
      <c r="J750" s="146"/>
      <c r="K750" s="146"/>
      <c r="L750" s="146"/>
      <c r="M750" s="146"/>
      <c r="N750" s="146"/>
      <c r="O750" s="146"/>
      <c r="P750" s="146"/>
      <c r="Q750" s="146"/>
      <c r="R750" s="146"/>
      <c r="S750" s="146"/>
      <c r="T750" s="146"/>
      <c r="U750" s="146"/>
      <c r="V750" s="146"/>
      <c r="W750" s="146"/>
      <c r="X750" s="146"/>
      <c r="Y750" s="146"/>
      <c r="Z750" s="146"/>
      <c r="AA750" s="146"/>
    </row>
    <row r="751" ht="22.5" customHeight="1">
      <c r="A751" s="145"/>
      <c r="B751" s="154"/>
      <c r="C751" s="154"/>
      <c r="D751" s="138"/>
      <c r="E751" s="138"/>
      <c r="F751" s="138"/>
      <c r="G751" s="138"/>
      <c r="H751" s="119"/>
      <c r="I751" s="146"/>
      <c r="J751" s="146"/>
      <c r="K751" s="146"/>
      <c r="L751" s="146"/>
      <c r="M751" s="146"/>
      <c r="N751" s="146"/>
      <c r="O751" s="146"/>
      <c r="P751" s="146"/>
      <c r="Q751" s="146"/>
      <c r="R751" s="146"/>
      <c r="S751" s="146"/>
      <c r="T751" s="146"/>
      <c r="U751" s="146"/>
      <c r="V751" s="146"/>
      <c r="W751" s="146"/>
      <c r="X751" s="146"/>
      <c r="Y751" s="146"/>
      <c r="Z751" s="146"/>
      <c r="AA751" s="146"/>
    </row>
    <row r="752" ht="22.5" customHeight="1">
      <c r="A752" s="145"/>
      <c r="B752" s="154"/>
      <c r="C752" s="154"/>
      <c r="D752" s="138"/>
      <c r="E752" s="138"/>
      <c r="F752" s="138"/>
      <c r="G752" s="138"/>
      <c r="H752" s="119"/>
      <c r="I752" s="146"/>
      <c r="J752" s="146"/>
      <c r="K752" s="146"/>
      <c r="L752" s="146"/>
      <c r="M752" s="146"/>
      <c r="N752" s="146"/>
      <c r="O752" s="146"/>
      <c r="P752" s="146"/>
      <c r="Q752" s="146"/>
      <c r="R752" s="146"/>
      <c r="S752" s="146"/>
      <c r="T752" s="146"/>
      <c r="U752" s="146"/>
      <c r="V752" s="146"/>
      <c r="W752" s="146"/>
      <c r="X752" s="146"/>
      <c r="Y752" s="146"/>
      <c r="Z752" s="146"/>
      <c r="AA752" s="146"/>
    </row>
    <row r="753" ht="22.5" customHeight="1">
      <c r="A753" s="145"/>
      <c r="B753" s="154"/>
      <c r="C753" s="154"/>
      <c r="D753" s="138"/>
      <c r="E753" s="138"/>
      <c r="F753" s="138"/>
      <c r="G753" s="138"/>
      <c r="H753" s="119"/>
      <c r="I753" s="146"/>
      <c r="J753" s="146"/>
      <c r="K753" s="146"/>
      <c r="L753" s="146"/>
      <c r="M753" s="146"/>
      <c r="N753" s="146"/>
      <c r="O753" s="146"/>
      <c r="P753" s="146"/>
      <c r="Q753" s="146"/>
      <c r="R753" s="146"/>
      <c r="S753" s="146"/>
      <c r="T753" s="146"/>
      <c r="U753" s="146"/>
      <c r="V753" s="146"/>
      <c r="W753" s="146"/>
      <c r="X753" s="146"/>
      <c r="Y753" s="146"/>
      <c r="Z753" s="146"/>
      <c r="AA753" s="146"/>
    </row>
    <row r="754" ht="22.5" customHeight="1">
      <c r="A754" s="145"/>
      <c r="B754" s="154"/>
      <c r="C754" s="154"/>
      <c r="D754" s="138"/>
      <c r="E754" s="138"/>
      <c r="F754" s="138"/>
      <c r="G754" s="138"/>
      <c r="H754" s="119"/>
      <c r="I754" s="146"/>
      <c r="J754" s="146"/>
      <c r="K754" s="146"/>
      <c r="L754" s="146"/>
      <c r="M754" s="146"/>
      <c r="N754" s="146"/>
      <c r="O754" s="146"/>
      <c r="P754" s="146"/>
      <c r="Q754" s="146"/>
      <c r="R754" s="146"/>
      <c r="S754" s="146"/>
      <c r="T754" s="146"/>
      <c r="U754" s="146"/>
      <c r="V754" s="146"/>
      <c r="W754" s="146"/>
      <c r="X754" s="146"/>
      <c r="Y754" s="146"/>
      <c r="Z754" s="146"/>
      <c r="AA754" s="146"/>
    </row>
    <row r="755" ht="22.5" customHeight="1">
      <c r="A755" s="145"/>
      <c r="B755" s="154"/>
      <c r="C755" s="154"/>
      <c r="D755" s="138"/>
      <c r="E755" s="138"/>
      <c r="F755" s="138"/>
      <c r="G755" s="138"/>
      <c r="H755" s="119"/>
      <c r="I755" s="146"/>
      <c r="J755" s="146"/>
      <c r="K755" s="146"/>
      <c r="L755" s="146"/>
      <c r="M755" s="146"/>
      <c r="N755" s="146"/>
      <c r="O755" s="146"/>
      <c r="P755" s="146"/>
      <c r="Q755" s="146"/>
      <c r="R755" s="146"/>
      <c r="S755" s="146"/>
      <c r="T755" s="146"/>
      <c r="U755" s="146"/>
      <c r="V755" s="146"/>
      <c r="W755" s="146"/>
      <c r="X755" s="146"/>
      <c r="Y755" s="146"/>
      <c r="Z755" s="146"/>
      <c r="AA755" s="146"/>
    </row>
    <row r="756" ht="22.5" customHeight="1">
      <c r="A756" s="145"/>
      <c r="B756" s="154"/>
      <c r="C756" s="154"/>
      <c r="D756" s="138"/>
      <c r="E756" s="138"/>
      <c r="F756" s="138"/>
      <c r="G756" s="138"/>
      <c r="H756" s="119"/>
      <c r="I756" s="146"/>
      <c r="J756" s="146"/>
      <c r="K756" s="146"/>
      <c r="L756" s="146"/>
      <c r="M756" s="146"/>
      <c r="N756" s="146"/>
      <c r="O756" s="146"/>
      <c r="P756" s="146"/>
      <c r="Q756" s="146"/>
      <c r="R756" s="146"/>
      <c r="S756" s="146"/>
      <c r="T756" s="146"/>
      <c r="U756" s="146"/>
      <c r="V756" s="146"/>
      <c r="W756" s="146"/>
      <c r="X756" s="146"/>
      <c r="Y756" s="146"/>
      <c r="Z756" s="146"/>
      <c r="AA756" s="146"/>
    </row>
    <row r="757" ht="22.5" customHeight="1">
      <c r="A757" s="145"/>
      <c r="B757" s="154"/>
      <c r="C757" s="154"/>
      <c r="D757" s="138"/>
      <c r="E757" s="138"/>
      <c r="F757" s="138"/>
      <c r="G757" s="138"/>
      <c r="H757" s="119"/>
      <c r="I757" s="146"/>
      <c r="J757" s="146"/>
      <c r="K757" s="146"/>
      <c r="L757" s="146"/>
      <c r="M757" s="146"/>
      <c r="N757" s="146"/>
      <c r="O757" s="146"/>
      <c r="P757" s="146"/>
      <c r="Q757" s="146"/>
      <c r="R757" s="146"/>
      <c r="S757" s="146"/>
      <c r="T757" s="146"/>
      <c r="U757" s="146"/>
      <c r="V757" s="146"/>
      <c r="W757" s="146"/>
      <c r="X757" s="146"/>
      <c r="Y757" s="146"/>
      <c r="Z757" s="146"/>
      <c r="AA757" s="146"/>
    </row>
    <row r="758" ht="22.5" customHeight="1">
      <c r="A758" s="145"/>
      <c r="B758" s="154"/>
      <c r="C758" s="154"/>
      <c r="D758" s="138"/>
      <c r="E758" s="138"/>
      <c r="F758" s="138"/>
      <c r="G758" s="138"/>
      <c r="H758" s="119"/>
      <c r="I758" s="146"/>
      <c r="J758" s="146"/>
      <c r="K758" s="146"/>
      <c r="L758" s="146"/>
      <c r="M758" s="146"/>
      <c r="N758" s="146"/>
      <c r="O758" s="146"/>
      <c r="P758" s="146"/>
      <c r="Q758" s="146"/>
      <c r="R758" s="146"/>
      <c r="S758" s="146"/>
      <c r="T758" s="146"/>
      <c r="U758" s="146"/>
      <c r="V758" s="146"/>
      <c r="W758" s="146"/>
      <c r="X758" s="146"/>
      <c r="Y758" s="146"/>
      <c r="Z758" s="146"/>
      <c r="AA758" s="146"/>
    </row>
    <row r="759" ht="22.5" customHeight="1">
      <c r="A759" s="145"/>
      <c r="B759" s="154"/>
      <c r="C759" s="154"/>
      <c r="D759" s="138"/>
      <c r="E759" s="138"/>
      <c r="F759" s="138"/>
      <c r="G759" s="138"/>
      <c r="H759" s="119"/>
      <c r="I759" s="146"/>
      <c r="J759" s="146"/>
      <c r="K759" s="146"/>
      <c r="L759" s="146"/>
      <c r="M759" s="146"/>
      <c r="N759" s="146"/>
      <c r="O759" s="146"/>
      <c r="P759" s="146"/>
      <c r="Q759" s="146"/>
      <c r="R759" s="146"/>
      <c r="S759" s="146"/>
      <c r="T759" s="146"/>
      <c r="U759" s="146"/>
      <c r="V759" s="146"/>
      <c r="W759" s="146"/>
      <c r="X759" s="146"/>
      <c r="Y759" s="146"/>
      <c r="Z759" s="146"/>
      <c r="AA759" s="146"/>
    </row>
    <row r="760" ht="22.5" customHeight="1">
      <c r="A760" s="145"/>
      <c r="B760" s="154"/>
      <c r="C760" s="154"/>
      <c r="D760" s="138"/>
      <c r="E760" s="138"/>
      <c r="F760" s="138"/>
      <c r="G760" s="138"/>
      <c r="H760" s="119"/>
      <c r="I760" s="146"/>
      <c r="J760" s="146"/>
      <c r="K760" s="146"/>
      <c r="L760" s="146"/>
      <c r="M760" s="146"/>
      <c r="N760" s="146"/>
      <c r="O760" s="146"/>
      <c r="P760" s="146"/>
      <c r="Q760" s="146"/>
      <c r="R760" s="146"/>
      <c r="S760" s="146"/>
      <c r="T760" s="146"/>
      <c r="U760" s="146"/>
      <c r="V760" s="146"/>
      <c r="W760" s="146"/>
      <c r="X760" s="146"/>
      <c r="Y760" s="146"/>
      <c r="Z760" s="146"/>
      <c r="AA760" s="146"/>
    </row>
    <row r="761" ht="22.5" customHeight="1">
      <c r="A761" s="145"/>
      <c r="B761" s="154"/>
      <c r="C761" s="154"/>
      <c r="D761" s="138"/>
      <c r="E761" s="138"/>
      <c r="F761" s="138"/>
      <c r="G761" s="138"/>
      <c r="H761" s="119"/>
      <c r="I761" s="146"/>
      <c r="J761" s="146"/>
      <c r="K761" s="146"/>
      <c r="L761" s="146"/>
      <c r="M761" s="146"/>
      <c r="N761" s="146"/>
      <c r="O761" s="146"/>
      <c r="P761" s="146"/>
      <c r="Q761" s="146"/>
      <c r="R761" s="146"/>
      <c r="S761" s="146"/>
      <c r="T761" s="146"/>
      <c r="U761" s="146"/>
      <c r="V761" s="146"/>
      <c r="W761" s="146"/>
      <c r="X761" s="146"/>
      <c r="Y761" s="146"/>
      <c r="Z761" s="146"/>
      <c r="AA761" s="146"/>
    </row>
    <row r="762" ht="22.5" customHeight="1">
      <c r="A762" s="145"/>
      <c r="B762" s="154"/>
      <c r="C762" s="154"/>
      <c r="D762" s="138"/>
      <c r="E762" s="138"/>
      <c r="F762" s="138"/>
      <c r="G762" s="138"/>
      <c r="H762" s="119"/>
      <c r="I762" s="146"/>
      <c r="J762" s="146"/>
      <c r="K762" s="146"/>
      <c r="L762" s="146"/>
      <c r="M762" s="146"/>
      <c r="N762" s="146"/>
      <c r="O762" s="146"/>
      <c r="P762" s="146"/>
      <c r="Q762" s="146"/>
      <c r="R762" s="146"/>
      <c r="S762" s="146"/>
      <c r="T762" s="146"/>
      <c r="U762" s="146"/>
      <c r="V762" s="146"/>
      <c r="W762" s="146"/>
      <c r="X762" s="146"/>
      <c r="Y762" s="146"/>
      <c r="Z762" s="146"/>
      <c r="AA762" s="146"/>
    </row>
    <row r="763" ht="22.5" customHeight="1">
      <c r="A763" s="145"/>
      <c r="B763" s="154"/>
      <c r="C763" s="154"/>
      <c r="D763" s="138"/>
      <c r="E763" s="138"/>
      <c r="F763" s="138"/>
      <c r="G763" s="138"/>
      <c r="H763" s="119"/>
      <c r="I763" s="146"/>
      <c r="J763" s="146"/>
      <c r="K763" s="146"/>
      <c r="L763" s="146"/>
      <c r="M763" s="146"/>
      <c r="N763" s="146"/>
      <c r="O763" s="146"/>
      <c r="P763" s="146"/>
      <c r="Q763" s="146"/>
      <c r="R763" s="146"/>
      <c r="S763" s="146"/>
      <c r="T763" s="146"/>
      <c r="U763" s="146"/>
      <c r="V763" s="146"/>
      <c r="W763" s="146"/>
      <c r="X763" s="146"/>
      <c r="Y763" s="146"/>
      <c r="Z763" s="146"/>
      <c r="AA763" s="146"/>
    </row>
    <row r="764" ht="22.5" customHeight="1">
      <c r="A764" s="145"/>
      <c r="B764" s="154"/>
      <c r="C764" s="154"/>
      <c r="D764" s="138"/>
      <c r="E764" s="138"/>
      <c r="F764" s="138"/>
      <c r="G764" s="138"/>
      <c r="H764" s="119"/>
      <c r="I764" s="146"/>
      <c r="J764" s="146"/>
      <c r="K764" s="146"/>
      <c r="L764" s="146"/>
      <c r="M764" s="146"/>
      <c r="N764" s="146"/>
      <c r="O764" s="146"/>
      <c r="P764" s="146"/>
      <c r="Q764" s="146"/>
      <c r="R764" s="146"/>
      <c r="S764" s="146"/>
      <c r="T764" s="146"/>
      <c r="U764" s="146"/>
      <c r="V764" s="146"/>
      <c r="W764" s="146"/>
      <c r="X764" s="146"/>
      <c r="Y764" s="146"/>
      <c r="Z764" s="146"/>
      <c r="AA764" s="146"/>
    </row>
    <row r="765" ht="22.5" customHeight="1">
      <c r="A765" s="145"/>
      <c r="B765" s="154"/>
      <c r="C765" s="154"/>
      <c r="D765" s="138"/>
      <c r="E765" s="138"/>
      <c r="F765" s="138"/>
      <c r="G765" s="138"/>
      <c r="H765" s="119"/>
      <c r="I765" s="146"/>
      <c r="J765" s="146"/>
      <c r="K765" s="146"/>
      <c r="L765" s="146"/>
      <c r="M765" s="146"/>
      <c r="N765" s="146"/>
      <c r="O765" s="146"/>
      <c r="P765" s="146"/>
      <c r="Q765" s="146"/>
      <c r="R765" s="146"/>
      <c r="S765" s="146"/>
      <c r="T765" s="146"/>
      <c r="U765" s="146"/>
      <c r="V765" s="146"/>
      <c r="W765" s="146"/>
      <c r="X765" s="146"/>
      <c r="Y765" s="146"/>
      <c r="Z765" s="146"/>
      <c r="AA765" s="146"/>
    </row>
    <row r="766" ht="22.5" customHeight="1">
      <c r="A766" s="145"/>
      <c r="B766" s="154"/>
      <c r="C766" s="154"/>
      <c r="D766" s="138"/>
      <c r="E766" s="138"/>
      <c r="F766" s="138"/>
      <c r="G766" s="138"/>
      <c r="H766" s="119"/>
      <c r="I766" s="146"/>
      <c r="J766" s="146"/>
      <c r="K766" s="146"/>
      <c r="L766" s="146"/>
      <c r="M766" s="146"/>
      <c r="N766" s="146"/>
      <c r="O766" s="146"/>
      <c r="P766" s="146"/>
      <c r="Q766" s="146"/>
      <c r="R766" s="146"/>
      <c r="S766" s="146"/>
      <c r="T766" s="146"/>
      <c r="U766" s="146"/>
      <c r="V766" s="146"/>
      <c r="W766" s="146"/>
      <c r="X766" s="146"/>
      <c r="Y766" s="146"/>
      <c r="Z766" s="146"/>
      <c r="AA766" s="146"/>
    </row>
    <row r="767" ht="22.5" customHeight="1">
      <c r="A767" s="145"/>
      <c r="B767" s="154"/>
      <c r="C767" s="154"/>
      <c r="D767" s="138"/>
      <c r="E767" s="138"/>
      <c r="F767" s="138"/>
      <c r="G767" s="138"/>
      <c r="H767" s="119"/>
      <c r="I767" s="146"/>
      <c r="J767" s="146"/>
      <c r="K767" s="146"/>
      <c r="L767" s="146"/>
      <c r="M767" s="146"/>
      <c r="N767" s="146"/>
      <c r="O767" s="146"/>
      <c r="P767" s="146"/>
      <c r="Q767" s="146"/>
      <c r="R767" s="146"/>
      <c r="S767" s="146"/>
      <c r="T767" s="146"/>
      <c r="U767" s="146"/>
      <c r="V767" s="146"/>
      <c r="W767" s="146"/>
      <c r="X767" s="146"/>
      <c r="Y767" s="146"/>
      <c r="Z767" s="146"/>
      <c r="AA767" s="146"/>
    </row>
    <row r="768" ht="22.5" customHeight="1">
      <c r="A768" s="145"/>
      <c r="B768" s="154"/>
      <c r="C768" s="154"/>
      <c r="D768" s="138"/>
      <c r="E768" s="138"/>
      <c r="F768" s="138"/>
      <c r="G768" s="138"/>
      <c r="H768" s="119"/>
      <c r="I768" s="146"/>
      <c r="J768" s="146"/>
      <c r="K768" s="146"/>
      <c r="L768" s="146"/>
      <c r="M768" s="146"/>
      <c r="N768" s="146"/>
      <c r="O768" s="146"/>
      <c r="P768" s="146"/>
      <c r="Q768" s="146"/>
      <c r="R768" s="146"/>
      <c r="S768" s="146"/>
      <c r="T768" s="146"/>
      <c r="U768" s="146"/>
      <c r="V768" s="146"/>
      <c r="W768" s="146"/>
      <c r="X768" s="146"/>
      <c r="Y768" s="146"/>
      <c r="Z768" s="146"/>
      <c r="AA768" s="146"/>
    </row>
    <row r="769" ht="22.5" customHeight="1">
      <c r="A769" s="145"/>
      <c r="B769" s="154"/>
      <c r="C769" s="154"/>
      <c r="D769" s="138"/>
      <c r="E769" s="138"/>
      <c r="F769" s="138"/>
      <c r="G769" s="138"/>
      <c r="H769" s="119"/>
      <c r="I769" s="146"/>
      <c r="J769" s="146"/>
      <c r="K769" s="146"/>
      <c r="L769" s="146"/>
      <c r="M769" s="146"/>
      <c r="N769" s="146"/>
      <c r="O769" s="146"/>
      <c r="P769" s="146"/>
      <c r="Q769" s="146"/>
      <c r="R769" s="146"/>
      <c r="S769" s="146"/>
      <c r="T769" s="146"/>
      <c r="U769" s="146"/>
      <c r="V769" s="146"/>
      <c r="W769" s="146"/>
      <c r="X769" s="146"/>
      <c r="Y769" s="146"/>
      <c r="Z769" s="146"/>
      <c r="AA769" s="146"/>
    </row>
    <row r="770" ht="22.5" customHeight="1">
      <c r="A770" s="145"/>
      <c r="B770" s="154"/>
      <c r="C770" s="154"/>
      <c r="D770" s="138"/>
      <c r="E770" s="138"/>
      <c r="F770" s="138"/>
      <c r="G770" s="138"/>
      <c r="H770" s="119"/>
      <c r="I770" s="146"/>
      <c r="J770" s="146"/>
      <c r="K770" s="146"/>
      <c r="L770" s="146"/>
      <c r="M770" s="146"/>
      <c r="N770" s="146"/>
      <c r="O770" s="146"/>
      <c r="P770" s="146"/>
      <c r="Q770" s="146"/>
      <c r="R770" s="146"/>
      <c r="S770" s="146"/>
      <c r="T770" s="146"/>
      <c r="U770" s="146"/>
      <c r="V770" s="146"/>
      <c r="W770" s="146"/>
      <c r="X770" s="146"/>
      <c r="Y770" s="146"/>
      <c r="Z770" s="146"/>
      <c r="AA770" s="146"/>
    </row>
    <row r="771" ht="22.5" customHeight="1">
      <c r="A771" s="145"/>
      <c r="B771" s="154"/>
      <c r="C771" s="154"/>
      <c r="D771" s="138"/>
      <c r="E771" s="138"/>
      <c r="F771" s="138"/>
      <c r="G771" s="138"/>
      <c r="H771" s="119"/>
      <c r="I771" s="146"/>
      <c r="J771" s="146"/>
      <c r="K771" s="146"/>
      <c r="L771" s="146"/>
      <c r="M771" s="146"/>
      <c r="N771" s="146"/>
      <c r="O771" s="146"/>
      <c r="P771" s="146"/>
      <c r="Q771" s="146"/>
      <c r="R771" s="146"/>
      <c r="S771" s="146"/>
      <c r="T771" s="146"/>
      <c r="U771" s="146"/>
      <c r="V771" s="146"/>
      <c r="W771" s="146"/>
      <c r="X771" s="146"/>
      <c r="Y771" s="146"/>
      <c r="Z771" s="146"/>
      <c r="AA771" s="146"/>
    </row>
    <row r="772" ht="22.5" customHeight="1">
      <c r="A772" s="145"/>
      <c r="B772" s="154"/>
      <c r="C772" s="154"/>
      <c r="D772" s="138"/>
      <c r="E772" s="138"/>
      <c r="F772" s="138"/>
      <c r="G772" s="138"/>
      <c r="H772" s="119"/>
      <c r="I772" s="146"/>
      <c r="J772" s="146"/>
      <c r="K772" s="146"/>
      <c r="L772" s="146"/>
      <c r="M772" s="146"/>
      <c r="N772" s="146"/>
      <c r="O772" s="146"/>
      <c r="P772" s="146"/>
      <c r="Q772" s="146"/>
      <c r="R772" s="146"/>
      <c r="S772" s="146"/>
      <c r="T772" s="146"/>
      <c r="U772" s="146"/>
      <c r="V772" s="146"/>
      <c r="W772" s="146"/>
      <c r="X772" s="146"/>
      <c r="Y772" s="146"/>
      <c r="Z772" s="146"/>
      <c r="AA772" s="146"/>
    </row>
    <row r="773" ht="22.5" customHeight="1">
      <c r="A773" s="145"/>
      <c r="B773" s="154"/>
      <c r="C773" s="154"/>
      <c r="D773" s="138"/>
      <c r="E773" s="138"/>
      <c r="F773" s="138"/>
      <c r="G773" s="138"/>
      <c r="H773" s="119"/>
      <c r="I773" s="146"/>
      <c r="J773" s="146"/>
      <c r="K773" s="146"/>
      <c r="L773" s="146"/>
      <c r="M773" s="146"/>
      <c r="N773" s="146"/>
      <c r="O773" s="146"/>
      <c r="P773" s="146"/>
      <c r="Q773" s="146"/>
      <c r="R773" s="146"/>
      <c r="S773" s="146"/>
      <c r="T773" s="146"/>
      <c r="U773" s="146"/>
      <c r="V773" s="146"/>
      <c r="W773" s="146"/>
      <c r="X773" s="146"/>
      <c r="Y773" s="146"/>
      <c r="Z773" s="146"/>
      <c r="AA773" s="146"/>
    </row>
    <row r="774" ht="22.5" customHeight="1">
      <c r="A774" s="145"/>
      <c r="B774" s="154"/>
      <c r="C774" s="154"/>
      <c r="D774" s="138"/>
      <c r="E774" s="138"/>
      <c r="F774" s="138"/>
      <c r="G774" s="138"/>
      <c r="H774" s="119"/>
      <c r="I774" s="146"/>
      <c r="J774" s="146"/>
      <c r="K774" s="146"/>
      <c r="L774" s="146"/>
      <c r="M774" s="146"/>
      <c r="N774" s="146"/>
      <c r="O774" s="146"/>
      <c r="P774" s="146"/>
      <c r="Q774" s="146"/>
      <c r="R774" s="146"/>
      <c r="S774" s="146"/>
      <c r="T774" s="146"/>
      <c r="U774" s="146"/>
      <c r="V774" s="146"/>
      <c r="W774" s="146"/>
      <c r="X774" s="146"/>
      <c r="Y774" s="146"/>
      <c r="Z774" s="146"/>
      <c r="AA774" s="146"/>
    </row>
    <row r="775" ht="22.5" customHeight="1">
      <c r="A775" s="145"/>
      <c r="B775" s="154"/>
      <c r="C775" s="154"/>
      <c r="D775" s="138"/>
      <c r="E775" s="138"/>
      <c r="F775" s="138"/>
      <c r="G775" s="138"/>
      <c r="H775" s="119"/>
      <c r="I775" s="146"/>
      <c r="J775" s="146"/>
      <c r="K775" s="146"/>
      <c r="L775" s="146"/>
      <c r="M775" s="146"/>
      <c r="N775" s="146"/>
      <c r="O775" s="146"/>
      <c r="P775" s="146"/>
      <c r="Q775" s="146"/>
      <c r="R775" s="146"/>
      <c r="S775" s="146"/>
      <c r="T775" s="146"/>
      <c r="U775" s="146"/>
      <c r="V775" s="146"/>
      <c r="W775" s="146"/>
      <c r="X775" s="146"/>
      <c r="Y775" s="146"/>
      <c r="Z775" s="146"/>
      <c r="AA775" s="146"/>
    </row>
    <row r="776" ht="22.5" customHeight="1">
      <c r="A776" s="145"/>
      <c r="B776" s="154"/>
      <c r="C776" s="154"/>
      <c r="D776" s="138"/>
      <c r="E776" s="138"/>
      <c r="F776" s="138"/>
      <c r="G776" s="138"/>
      <c r="H776" s="119"/>
      <c r="I776" s="146"/>
      <c r="J776" s="146"/>
      <c r="K776" s="146"/>
      <c r="L776" s="146"/>
      <c r="M776" s="146"/>
      <c r="N776" s="146"/>
      <c r="O776" s="146"/>
      <c r="P776" s="146"/>
      <c r="Q776" s="146"/>
      <c r="R776" s="146"/>
      <c r="S776" s="146"/>
      <c r="T776" s="146"/>
      <c r="U776" s="146"/>
      <c r="V776" s="146"/>
      <c r="W776" s="146"/>
      <c r="X776" s="146"/>
      <c r="Y776" s="146"/>
      <c r="Z776" s="146"/>
      <c r="AA776" s="146"/>
    </row>
    <row r="777" ht="22.5" customHeight="1">
      <c r="A777" s="145"/>
      <c r="B777" s="154"/>
      <c r="C777" s="154"/>
      <c r="D777" s="138"/>
      <c r="E777" s="138"/>
      <c r="F777" s="138"/>
      <c r="G777" s="138"/>
      <c r="H777" s="119"/>
      <c r="I777" s="146"/>
      <c r="J777" s="146"/>
      <c r="K777" s="146"/>
      <c r="L777" s="146"/>
      <c r="M777" s="146"/>
      <c r="N777" s="146"/>
      <c r="O777" s="146"/>
      <c r="P777" s="146"/>
      <c r="Q777" s="146"/>
      <c r="R777" s="146"/>
      <c r="S777" s="146"/>
      <c r="T777" s="146"/>
      <c r="U777" s="146"/>
      <c r="V777" s="146"/>
      <c r="W777" s="146"/>
      <c r="X777" s="146"/>
      <c r="Y777" s="146"/>
      <c r="Z777" s="146"/>
      <c r="AA777" s="146"/>
    </row>
    <row r="778" ht="22.5" customHeight="1">
      <c r="A778" s="145"/>
      <c r="B778" s="154"/>
      <c r="C778" s="154"/>
      <c r="D778" s="138"/>
      <c r="E778" s="138"/>
      <c r="F778" s="138"/>
      <c r="G778" s="138"/>
      <c r="H778" s="119"/>
      <c r="I778" s="146"/>
      <c r="J778" s="146"/>
      <c r="K778" s="146"/>
      <c r="L778" s="146"/>
      <c r="M778" s="146"/>
      <c r="N778" s="146"/>
      <c r="O778" s="146"/>
      <c r="P778" s="146"/>
      <c r="Q778" s="146"/>
      <c r="R778" s="146"/>
      <c r="S778" s="146"/>
      <c r="T778" s="146"/>
      <c r="U778" s="146"/>
      <c r="V778" s="146"/>
      <c r="W778" s="146"/>
      <c r="X778" s="146"/>
      <c r="Y778" s="146"/>
      <c r="Z778" s="146"/>
      <c r="AA778" s="146"/>
    </row>
    <row r="779" ht="22.5" customHeight="1">
      <c r="A779" s="145"/>
      <c r="B779" s="154"/>
      <c r="C779" s="154"/>
      <c r="D779" s="138"/>
      <c r="E779" s="138"/>
      <c r="F779" s="138"/>
      <c r="G779" s="138"/>
      <c r="H779" s="119"/>
      <c r="I779" s="146"/>
      <c r="J779" s="146"/>
      <c r="K779" s="146"/>
      <c r="L779" s="146"/>
      <c r="M779" s="146"/>
      <c r="N779" s="146"/>
      <c r="O779" s="146"/>
      <c r="P779" s="146"/>
      <c r="Q779" s="146"/>
      <c r="R779" s="146"/>
      <c r="S779" s="146"/>
      <c r="T779" s="146"/>
      <c r="U779" s="146"/>
      <c r="V779" s="146"/>
      <c r="W779" s="146"/>
      <c r="X779" s="146"/>
      <c r="Y779" s="146"/>
      <c r="Z779" s="146"/>
      <c r="AA779" s="146"/>
    </row>
    <row r="780" ht="22.5" customHeight="1">
      <c r="A780" s="145"/>
      <c r="B780" s="154"/>
      <c r="C780" s="154"/>
      <c r="D780" s="138"/>
      <c r="E780" s="138"/>
      <c r="F780" s="138"/>
      <c r="G780" s="138"/>
      <c r="H780" s="119"/>
      <c r="I780" s="146"/>
      <c r="J780" s="146"/>
      <c r="K780" s="146"/>
      <c r="L780" s="146"/>
      <c r="M780" s="146"/>
      <c r="N780" s="146"/>
      <c r="O780" s="146"/>
      <c r="P780" s="146"/>
      <c r="Q780" s="146"/>
      <c r="R780" s="146"/>
      <c r="S780" s="146"/>
      <c r="T780" s="146"/>
      <c r="U780" s="146"/>
      <c r="V780" s="146"/>
      <c r="W780" s="146"/>
      <c r="X780" s="146"/>
      <c r="Y780" s="146"/>
      <c r="Z780" s="146"/>
      <c r="AA780" s="146"/>
    </row>
    <row r="781" ht="22.5" customHeight="1">
      <c r="A781" s="145"/>
      <c r="B781" s="154"/>
      <c r="C781" s="154"/>
      <c r="D781" s="138"/>
      <c r="E781" s="138"/>
      <c r="F781" s="138"/>
      <c r="G781" s="138"/>
      <c r="H781" s="119"/>
      <c r="I781" s="146"/>
      <c r="J781" s="146"/>
      <c r="K781" s="146"/>
      <c r="L781" s="146"/>
      <c r="M781" s="146"/>
      <c r="N781" s="146"/>
      <c r="O781" s="146"/>
      <c r="P781" s="146"/>
      <c r="Q781" s="146"/>
      <c r="R781" s="146"/>
      <c r="S781" s="146"/>
      <c r="T781" s="146"/>
      <c r="U781" s="146"/>
      <c r="V781" s="146"/>
      <c r="W781" s="146"/>
      <c r="X781" s="146"/>
      <c r="Y781" s="146"/>
      <c r="Z781" s="146"/>
      <c r="AA781" s="146"/>
    </row>
    <row r="782" ht="22.5" customHeight="1">
      <c r="A782" s="145"/>
      <c r="B782" s="154"/>
      <c r="C782" s="154"/>
      <c r="D782" s="138"/>
      <c r="E782" s="138"/>
      <c r="F782" s="138"/>
      <c r="G782" s="138"/>
      <c r="H782" s="119"/>
      <c r="I782" s="146"/>
      <c r="J782" s="146"/>
      <c r="K782" s="146"/>
      <c r="L782" s="146"/>
      <c r="M782" s="146"/>
      <c r="N782" s="146"/>
      <c r="O782" s="146"/>
      <c r="P782" s="146"/>
      <c r="Q782" s="146"/>
      <c r="R782" s="146"/>
      <c r="S782" s="146"/>
      <c r="T782" s="146"/>
      <c r="U782" s="146"/>
      <c r="V782" s="146"/>
      <c r="W782" s="146"/>
      <c r="X782" s="146"/>
      <c r="Y782" s="146"/>
      <c r="Z782" s="146"/>
      <c r="AA782" s="146"/>
    </row>
    <row r="783" ht="22.5" customHeight="1">
      <c r="A783" s="145"/>
      <c r="B783" s="154"/>
      <c r="C783" s="154"/>
      <c r="D783" s="138"/>
      <c r="E783" s="138"/>
      <c r="F783" s="138"/>
      <c r="G783" s="138"/>
      <c r="H783" s="119"/>
      <c r="I783" s="146"/>
      <c r="J783" s="146"/>
      <c r="K783" s="146"/>
      <c r="L783" s="146"/>
      <c r="M783" s="146"/>
      <c r="N783" s="146"/>
      <c r="O783" s="146"/>
      <c r="P783" s="146"/>
      <c r="Q783" s="146"/>
      <c r="R783" s="146"/>
      <c r="S783" s="146"/>
      <c r="T783" s="146"/>
      <c r="U783" s="146"/>
      <c r="V783" s="146"/>
      <c r="W783" s="146"/>
      <c r="X783" s="146"/>
      <c r="Y783" s="146"/>
      <c r="Z783" s="146"/>
      <c r="AA783" s="146"/>
    </row>
    <row r="784" ht="22.5" customHeight="1">
      <c r="A784" s="145"/>
      <c r="B784" s="154"/>
      <c r="C784" s="154"/>
      <c r="D784" s="138"/>
      <c r="E784" s="138"/>
      <c r="F784" s="138"/>
      <c r="G784" s="138"/>
      <c r="H784" s="119"/>
      <c r="I784" s="146"/>
      <c r="J784" s="146"/>
      <c r="K784" s="146"/>
      <c r="L784" s="146"/>
      <c r="M784" s="146"/>
      <c r="N784" s="146"/>
      <c r="O784" s="146"/>
      <c r="P784" s="146"/>
      <c r="Q784" s="146"/>
      <c r="R784" s="146"/>
      <c r="S784" s="146"/>
      <c r="T784" s="146"/>
      <c r="U784" s="146"/>
      <c r="V784" s="146"/>
      <c r="W784" s="146"/>
      <c r="X784" s="146"/>
      <c r="Y784" s="146"/>
      <c r="Z784" s="146"/>
      <c r="AA784" s="146"/>
    </row>
    <row r="785" ht="22.5" customHeight="1">
      <c r="A785" s="145"/>
      <c r="B785" s="154"/>
      <c r="C785" s="154"/>
      <c r="D785" s="138"/>
      <c r="E785" s="138"/>
      <c r="F785" s="138"/>
      <c r="G785" s="138"/>
      <c r="H785" s="119"/>
      <c r="I785" s="146"/>
      <c r="J785" s="146"/>
      <c r="K785" s="146"/>
      <c r="L785" s="146"/>
      <c r="M785" s="146"/>
      <c r="N785" s="146"/>
      <c r="O785" s="146"/>
      <c r="P785" s="146"/>
      <c r="Q785" s="146"/>
      <c r="R785" s="146"/>
      <c r="S785" s="146"/>
      <c r="T785" s="146"/>
      <c r="U785" s="146"/>
      <c r="V785" s="146"/>
      <c r="W785" s="146"/>
      <c r="X785" s="146"/>
      <c r="Y785" s="146"/>
      <c r="Z785" s="146"/>
      <c r="AA785" s="146"/>
    </row>
    <row r="786" ht="22.5" customHeight="1">
      <c r="A786" s="145"/>
      <c r="B786" s="154"/>
      <c r="C786" s="154"/>
      <c r="D786" s="138"/>
      <c r="E786" s="138"/>
      <c r="F786" s="138"/>
      <c r="G786" s="138"/>
      <c r="H786" s="119"/>
      <c r="I786" s="146"/>
      <c r="J786" s="146"/>
      <c r="K786" s="146"/>
      <c r="L786" s="146"/>
      <c r="M786" s="146"/>
      <c r="N786" s="146"/>
      <c r="O786" s="146"/>
      <c r="P786" s="146"/>
      <c r="Q786" s="146"/>
      <c r="R786" s="146"/>
      <c r="S786" s="146"/>
      <c r="T786" s="146"/>
      <c r="U786" s="146"/>
      <c r="V786" s="146"/>
      <c r="W786" s="146"/>
      <c r="X786" s="146"/>
      <c r="Y786" s="146"/>
      <c r="Z786" s="146"/>
      <c r="AA786" s="146"/>
    </row>
    <row r="787" ht="22.5" customHeight="1">
      <c r="A787" s="145"/>
      <c r="B787" s="154"/>
      <c r="C787" s="154"/>
      <c r="D787" s="138"/>
      <c r="E787" s="138"/>
      <c r="F787" s="138"/>
      <c r="G787" s="138"/>
      <c r="H787" s="119"/>
      <c r="I787" s="146"/>
      <c r="J787" s="146"/>
      <c r="K787" s="146"/>
      <c r="L787" s="146"/>
      <c r="M787" s="146"/>
      <c r="N787" s="146"/>
      <c r="O787" s="146"/>
      <c r="P787" s="146"/>
      <c r="Q787" s="146"/>
      <c r="R787" s="146"/>
      <c r="S787" s="146"/>
      <c r="T787" s="146"/>
      <c r="U787" s="146"/>
      <c r="V787" s="146"/>
      <c r="W787" s="146"/>
      <c r="X787" s="146"/>
      <c r="Y787" s="146"/>
      <c r="Z787" s="146"/>
      <c r="AA787" s="146"/>
    </row>
    <row r="788" ht="22.5" customHeight="1">
      <c r="A788" s="145"/>
      <c r="B788" s="154"/>
      <c r="C788" s="154"/>
      <c r="D788" s="138"/>
      <c r="E788" s="138"/>
      <c r="F788" s="138"/>
      <c r="G788" s="138"/>
      <c r="H788" s="119"/>
      <c r="I788" s="146"/>
      <c r="J788" s="146"/>
      <c r="K788" s="146"/>
      <c r="L788" s="146"/>
      <c r="M788" s="146"/>
      <c r="N788" s="146"/>
      <c r="O788" s="146"/>
      <c r="P788" s="146"/>
      <c r="Q788" s="146"/>
      <c r="R788" s="146"/>
      <c r="S788" s="146"/>
      <c r="T788" s="146"/>
      <c r="U788" s="146"/>
      <c r="V788" s="146"/>
      <c r="W788" s="146"/>
      <c r="X788" s="146"/>
      <c r="Y788" s="146"/>
      <c r="Z788" s="146"/>
      <c r="AA788" s="146"/>
    </row>
    <row r="789" ht="22.5" customHeight="1">
      <c r="A789" s="145"/>
      <c r="B789" s="154"/>
      <c r="C789" s="154"/>
      <c r="D789" s="138"/>
      <c r="E789" s="138"/>
      <c r="F789" s="138"/>
      <c r="G789" s="138"/>
      <c r="H789" s="119"/>
      <c r="I789" s="146"/>
      <c r="J789" s="146"/>
      <c r="K789" s="146"/>
      <c r="L789" s="146"/>
      <c r="M789" s="146"/>
      <c r="N789" s="146"/>
      <c r="O789" s="146"/>
      <c r="P789" s="146"/>
      <c r="Q789" s="146"/>
      <c r="R789" s="146"/>
      <c r="S789" s="146"/>
      <c r="T789" s="146"/>
      <c r="U789" s="146"/>
      <c r="V789" s="146"/>
      <c r="W789" s="146"/>
      <c r="X789" s="146"/>
      <c r="Y789" s="146"/>
      <c r="Z789" s="146"/>
      <c r="AA789" s="146"/>
    </row>
    <row r="790" ht="22.5" customHeight="1">
      <c r="A790" s="145"/>
      <c r="B790" s="154"/>
      <c r="C790" s="154"/>
      <c r="D790" s="138"/>
      <c r="E790" s="138"/>
      <c r="F790" s="138"/>
      <c r="G790" s="138"/>
      <c r="H790" s="119"/>
      <c r="I790" s="146"/>
      <c r="J790" s="146"/>
      <c r="K790" s="146"/>
      <c r="L790" s="146"/>
      <c r="M790" s="146"/>
      <c r="N790" s="146"/>
      <c r="O790" s="146"/>
      <c r="P790" s="146"/>
      <c r="Q790" s="146"/>
      <c r="R790" s="146"/>
      <c r="S790" s="146"/>
      <c r="T790" s="146"/>
      <c r="U790" s="146"/>
      <c r="V790" s="146"/>
      <c r="W790" s="146"/>
      <c r="X790" s="146"/>
      <c r="Y790" s="146"/>
      <c r="Z790" s="146"/>
      <c r="AA790" s="146"/>
    </row>
    <row r="791" ht="22.5" customHeight="1">
      <c r="A791" s="145"/>
      <c r="B791" s="154"/>
      <c r="C791" s="154"/>
      <c r="D791" s="138"/>
      <c r="E791" s="138"/>
      <c r="F791" s="138"/>
      <c r="G791" s="138"/>
      <c r="H791" s="119"/>
      <c r="I791" s="146"/>
      <c r="J791" s="146"/>
      <c r="K791" s="146"/>
      <c r="L791" s="146"/>
      <c r="M791" s="146"/>
      <c r="N791" s="146"/>
      <c r="O791" s="146"/>
      <c r="P791" s="146"/>
      <c r="Q791" s="146"/>
      <c r="R791" s="146"/>
      <c r="S791" s="146"/>
      <c r="T791" s="146"/>
      <c r="U791" s="146"/>
      <c r="V791" s="146"/>
      <c r="W791" s="146"/>
      <c r="X791" s="146"/>
      <c r="Y791" s="146"/>
      <c r="Z791" s="146"/>
      <c r="AA791" s="146"/>
    </row>
    <row r="792" ht="22.5" customHeight="1">
      <c r="A792" s="145"/>
      <c r="B792" s="154"/>
      <c r="C792" s="154"/>
      <c r="D792" s="138"/>
      <c r="E792" s="138"/>
      <c r="F792" s="138"/>
      <c r="G792" s="138"/>
      <c r="H792" s="119"/>
      <c r="I792" s="146"/>
      <c r="J792" s="146"/>
      <c r="K792" s="146"/>
      <c r="L792" s="146"/>
      <c r="M792" s="146"/>
      <c r="N792" s="146"/>
      <c r="O792" s="146"/>
      <c r="P792" s="146"/>
      <c r="Q792" s="146"/>
      <c r="R792" s="146"/>
      <c r="S792" s="146"/>
      <c r="T792" s="146"/>
      <c r="U792" s="146"/>
      <c r="V792" s="146"/>
      <c r="W792" s="146"/>
      <c r="X792" s="146"/>
      <c r="Y792" s="146"/>
      <c r="Z792" s="146"/>
      <c r="AA792" s="146"/>
    </row>
    <row r="793" ht="22.5" customHeight="1">
      <c r="A793" s="145"/>
      <c r="B793" s="154"/>
      <c r="C793" s="154"/>
      <c r="D793" s="138"/>
      <c r="E793" s="138"/>
      <c r="F793" s="138"/>
      <c r="G793" s="138"/>
      <c r="H793" s="119"/>
      <c r="I793" s="146"/>
      <c r="J793" s="146"/>
      <c r="K793" s="146"/>
      <c r="L793" s="146"/>
      <c r="M793" s="146"/>
      <c r="N793" s="146"/>
      <c r="O793" s="146"/>
      <c r="P793" s="146"/>
      <c r="Q793" s="146"/>
      <c r="R793" s="146"/>
      <c r="S793" s="146"/>
      <c r="T793" s="146"/>
      <c r="U793" s="146"/>
      <c r="V793" s="146"/>
      <c r="W793" s="146"/>
      <c r="X793" s="146"/>
      <c r="Y793" s="146"/>
      <c r="Z793" s="146"/>
      <c r="AA793" s="146"/>
    </row>
    <row r="794" ht="22.5" customHeight="1">
      <c r="A794" s="145"/>
      <c r="B794" s="154"/>
      <c r="C794" s="154"/>
      <c r="D794" s="138"/>
      <c r="E794" s="138"/>
      <c r="F794" s="138"/>
      <c r="G794" s="138"/>
      <c r="H794" s="119"/>
      <c r="I794" s="146"/>
      <c r="J794" s="146"/>
      <c r="K794" s="146"/>
      <c r="L794" s="146"/>
      <c r="M794" s="146"/>
      <c r="N794" s="146"/>
      <c r="O794" s="146"/>
      <c r="P794" s="146"/>
      <c r="Q794" s="146"/>
      <c r="R794" s="146"/>
      <c r="S794" s="146"/>
      <c r="T794" s="146"/>
      <c r="U794" s="146"/>
      <c r="V794" s="146"/>
      <c r="W794" s="146"/>
      <c r="X794" s="146"/>
      <c r="Y794" s="146"/>
      <c r="Z794" s="146"/>
      <c r="AA794" s="146"/>
    </row>
    <row r="795" ht="22.5" customHeight="1">
      <c r="A795" s="145"/>
      <c r="B795" s="154"/>
      <c r="C795" s="154"/>
      <c r="D795" s="138"/>
      <c r="E795" s="138"/>
      <c r="F795" s="138"/>
      <c r="G795" s="138"/>
      <c r="H795" s="119"/>
      <c r="I795" s="146"/>
      <c r="J795" s="146"/>
      <c r="K795" s="146"/>
      <c r="L795" s="146"/>
      <c r="M795" s="146"/>
      <c r="N795" s="146"/>
      <c r="O795" s="146"/>
      <c r="P795" s="146"/>
      <c r="Q795" s="146"/>
      <c r="R795" s="146"/>
      <c r="S795" s="146"/>
      <c r="T795" s="146"/>
      <c r="U795" s="146"/>
      <c r="V795" s="146"/>
      <c r="W795" s="146"/>
      <c r="X795" s="146"/>
      <c r="Y795" s="146"/>
      <c r="Z795" s="146"/>
      <c r="AA795" s="146"/>
    </row>
    <row r="796" ht="22.5" customHeight="1">
      <c r="A796" s="145"/>
      <c r="B796" s="154"/>
      <c r="C796" s="154"/>
      <c r="D796" s="138"/>
      <c r="E796" s="138"/>
      <c r="F796" s="138"/>
      <c r="G796" s="138"/>
      <c r="H796" s="119"/>
      <c r="I796" s="146"/>
      <c r="J796" s="146"/>
      <c r="K796" s="146"/>
      <c r="L796" s="146"/>
      <c r="M796" s="146"/>
      <c r="N796" s="146"/>
      <c r="O796" s="146"/>
      <c r="P796" s="146"/>
      <c r="Q796" s="146"/>
      <c r="R796" s="146"/>
      <c r="S796" s="146"/>
      <c r="T796" s="146"/>
      <c r="U796" s="146"/>
      <c r="V796" s="146"/>
      <c r="W796" s="146"/>
      <c r="X796" s="146"/>
      <c r="Y796" s="146"/>
      <c r="Z796" s="146"/>
      <c r="AA796" s="146"/>
    </row>
    <row r="797" ht="22.5" customHeight="1">
      <c r="A797" s="145"/>
      <c r="B797" s="154"/>
      <c r="C797" s="154"/>
      <c r="D797" s="138"/>
      <c r="E797" s="138"/>
      <c r="F797" s="138"/>
      <c r="G797" s="138"/>
      <c r="H797" s="119"/>
      <c r="I797" s="146"/>
      <c r="J797" s="146"/>
      <c r="K797" s="146"/>
      <c r="L797" s="146"/>
      <c r="M797" s="146"/>
      <c r="N797" s="146"/>
      <c r="O797" s="146"/>
      <c r="P797" s="146"/>
      <c r="Q797" s="146"/>
      <c r="R797" s="146"/>
      <c r="S797" s="146"/>
      <c r="T797" s="146"/>
      <c r="U797" s="146"/>
      <c r="V797" s="146"/>
      <c r="W797" s="146"/>
      <c r="X797" s="146"/>
      <c r="Y797" s="146"/>
      <c r="Z797" s="146"/>
      <c r="AA797" s="146"/>
    </row>
    <row r="798" ht="22.5" customHeight="1">
      <c r="A798" s="145"/>
      <c r="B798" s="154"/>
      <c r="C798" s="154"/>
      <c r="D798" s="138"/>
      <c r="E798" s="138"/>
      <c r="F798" s="138"/>
      <c r="G798" s="138"/>
      <c r="H798" s="119"/>
      <c r="I798" s="146"/>
      <c r="J798" s="146"/>
      <c r="K798" s="146"/>
      <c r="L798" s="146"/>
      <c r="M798" s="146"/>
      <c r="N798" s="146"/>
      <c r="O798" s="146"/>
      <c r="P798" s="146"/>
      <c r="Q798" s="146"/>
      <c r="R798" s="146"/>
      <c r="S798" s="146"/>
      <c r="T798" s="146"/>
      <c r="U798" s="146"/>
      <c r="V798" s="146"/>
      <c r="W798" s="146"/>
      <c r="X798" s="146"/>
      <c r="Y798" s="146"/>
      <c r="Z798" s="146"/>
      <c r="AA798" s="146"/>
    </row>
    <row r="799" ht="22.5" customHeight="1">
      <c r="A799" s="145"/>
      <c r="B799" s="154"/>
      <c r="C799" s="154"/>
      <c r="D799" s="138"/>
      <c r="E799" s="138"/>
      <c r="F799" s="138"/>
      <c r="G799" s="138"/>
      <c r="H799" s="119"/>
      <c r="I799" s="146"/>
      <c r="J799" s="146"/>
      <c r="K799" s="146"/>
      <c r="L799" s="146"/>
      <c r="M799" s="146"/>
      <c r="N799" s="146"/>
      <c r="O799" s="146"/>
      <c r="P799" s="146"/>
      <c r="Q799" s="146"/>
      <c r="R799" s="146"/>
      <c r="S799" s="146"/>
      <c r="T799" s="146"/>
      <c r="U799" s="146"/>
      <c r="V799" s="146"/>
      <c r="W799" s="146"/>
      <c r="X799" s="146"/>
      <c r="Y799" s="146"/>
      <c r="Z799" s="146"/>
      <c r="AA799" s="146"/>
    </row>
    <row r="800" ht="22.5" customHeight="1">
      <c r="A800" s="145"/>
      <c r="B800" s="154"/>
      <c r="C800" s="154"/>
      <c r="D800" s="138"/>
      <c r="E800" s="138"/>
      <c r="F800" s="138"/>
      <c r="G800" s="138"/>
      <c r="H800" s="119"/>
      <c r="I800" s="146"/>
      <c r="J800" s="146"/>
      <c r="K800" s="146"/>
      <c r="L800" s="146"/>
      <c r="M800" s="146"/>
      <c r="N800" s="146"/>
      <c r="O800" s="146"/>
      <c r="P800" s="146"/>
      <c r="Q800" s="146"/>
      <c r="R800" s="146"/>
      <c r="S800" s="146"/>
      <c r="T800" s="146"/>
      <c r="U800" s="146"/>
      <c r="V800" s="146"/>
      <c r="W800" s="146"/>
      <c r="X800" s="146"/>
      <c r="Y800" s="146"/>
      <c r="Z800" s="146"/>
      <c r="AA800" s="146"/>
    </row>
    <row r="801" ht="22.5" customHeight="1">
      <c r="A801" s="145"/>
      <c r="B801" s="154"/>
      <c r="C801" s="154"/>
      <c r="D801" s="138"/>
      <c r="E801" s="138"/>
      <c r="F801" s="138"/>
      <c r="G801" s="138"/>
      <c r="H801" s="119"/>
      <c r="I801" s="146"/>
      <c r="J801" s="146"/>
      <c r="K801" s="146"/>
      <c r="L801" s="146"/>
      <c r="M801" s="146"/>
      <c r="N801" s="146"/>
      <c r="O801" s="146"/>
      <c r="P801" s="146"/>
      <c r="Q801" s="146"/>
      <c r="R801" s="146"/>
      <c r="S801" s="146"/>
      <c r="T801" s="146"/>
      <c r="U801" s="146"/>
      <c r="V801" s="146"/>
      <c r="W801" s="146"/>
      <c r="X801" s="146"/>
      <c r="Y801" s="146"/>
      <c r="Z801" s="146"/>
      <c r="AA801" s="146"/>
    </row>
    <row r="802" ht="22.5" customHeight="1">
      <c r="A802" s="145"/>
      <c r="B802" s="154"/>
      <c r="C802" s="154"/>
      <c r="D802" s="138"/>
      <c r="E802" s="138"/>
      <c r="F802" s="138"/>
      <c r="G802" s="138"/>
      <c r="H802" s="119"/>
      <c r="I802" s="146"/>
      <c r="J802" s="146"/>
      <c r="K802" s="146"/>
      <c r="L802" s="146"/>
      <c r="M802" s="146"/>
      <c r="N802" s="146"/>
      <c r="O802" s="146"/>
      <c r="P802" s="146"/>
      <c r="Q802" s="146"/>
      <c r="R802" s="146"/>
      <c r="S802" s="146"/>
      <c r="T802" s="146"/>
      <c r="U802" s="146"/>
      <c r="V802" s="146"/>
      <c r="W802" s="146"/>
      <c r="X802" s="146"/>
      <c r="Y802" s="146"/>
      <c r="Z802" s="146"/>
      <c r="AA802" s="146"/>
    </row>
    <row r="803" ht="22.5" customHeight="1">
      <c r="A803" s="145"/>
      <c r="B803" s="154"/>
      <c r="C803" s="154"/>
      <c r="D803" s="138"/>
      <c r="E803" s="138"/>
      <c r="F803" s="138"/>
      <c r="G803" s="138"/>
      <c r="H803" s="119"/>
      <c r="I803" s="146"/>
      <c r="J803" s="146"/>
      <c r="K803" s="146"/>
      <c r="L803" s="146"/>
      <c r="M803" s="146"/>
      <c r="N803" s="146"/>
      <c r="O803" s="146"/>
      <c r="P803" s="146"/>
      <c r="Q803" s="146"/>
      <c r="R803" s="146"/>
      <c r="S803" s="146"/>
      <c r="T803" s="146"/>
      <c r="U803" s="146"/>
      <c r="V803" s="146"/>
      <c r="W803" s="146"/>
      <c r="X803" s="146"/>
      <c r="Y803" s="146"/>
      <c r="Z803" s="146"/>
      <c r="AA803" s="146"/>
    </row>
    <row r="804" ht="22.5" customHeight="1">
      <c r="A804" s="145"/>
      <c r="B804" s="154"/>
      <c r="C804" s="154"/>
      <c r="D804" s="138"/>
      <c r="E804" s="138"/>
      <c r="F804" s="138"/>
      <c r="G804" s="138"/>
      <c r="H804" s="119"/>
      <c r="I804" s="146"/>
      <c r="J804" s="146"/>
      <c r="K804" s="146"/>
      <c r="L804" s="146"/>
      <c r="M804" s="146"/>
      <c r="N804" s="146"/>
      <c r="O804" s="146"/>
      <c r="P804" s="146"/>
      <c r="Q804" s="146"/>
      <c r="R804" s="146"/>
      <c r="S804" s="146"/>
      <c r="T804" s="146"/>
      <c r="U804" s="146"/>
      <c r="V804" s="146"/>
      <c r="W804" s="146"/>
      <c r="X804" s="146"/>
      <c r="Y804" s="146"/>
      <c r="Z804" s="146"/>
      <c r="AA804" s="146"/>
    </row>
    <row r="805" ht="22.5" customHeight="1">
      <c r="A805" s="145"/>
      <c r="B805" s="154"/>
      <c r="C805" s="154"/>
      <c r="D805" s="138"/>
      <c r="E805" s="138"/>
      <c r="F805" s="138"/>
      <c r="G805" s="138"/>
      <c r="H805" s="119"/>
      <c r="I805" s="146"/>
      <c r="J805" s="146"/>
      <c r="K805" s="146"/>
      <c r="L805" s="146"/>
      <c r="M805" s="146"/>
      <c r="N805" s="146"/>
      <c r="O805" s="146"/>
      <c r="P805" s="146"/>
      <c r="Q805" s="146"/>
      <c r="R805" s="146"/>
      <c r="S805" s="146"/>
      <c r="T805" s="146"/>
      <c r="U805" s="146"/>
      <c r="V805" s="146"/>
      <c r="W805" s="146"/>
      <c r="X805" s="146"/>
      <c r="Y805" s="146"/>
      <c r="Z805" s="146"/>
      <c r="AA805" s="146"/>
    </row>
    <row r="806" ht="22.5" customHeight="1">
      <c r="A806" s="145"/>
      <c r="B806" s="154"/>
      <c r="C806" s="154"/>
      <c r="D806" s="138"/>
      <c r="E806" s="138"/>
      <c r="F806" s="138"/>
      <c r="G806" s="138"/>
      <c r="H806" s="119"/>
      <c r="I806" s="146"/>
      <c r="J806" s="146"/>
      <c r="K806" s="146"/>
      <c r="L806" s="146"/>
      <c r="M806" s="146"/>
      <c r="N806" s="146"/>
      <c r="O806" s="146"/>
      <c r="P806" s="146"/>
      <c r="Q806" s="146"/>
      <c r="R806" s="146"/>
      <c r="S806" s="146"/>
      <c r="T806" s="146"/>
      <c r="U806" s="146"/>
      <c r="V806" s="146"/>
      <c r="W806" s="146"/>
      <c r="X806" s="146"/>
      <c r="Y806" s="146"/>
      <c r="Z806" s="146"/>
      <c r="AA806" s="146"/>
    </row>
    <row r="807" ht="22.5" customHeight="1">
      <c r="A807" s="145"/>
      <c r="B807" s="154"/>
      <c r="C807" s="154"/>
      <c r="D807" s="138"/>
      <c r="E807" s="138"/>
      <c r="F807" s="138"/>
      <c r="G807" s="138"/>
      <c r="H807" s="119"/>
      <c r="I807" s="146"/>
      <c r="J807" s="146"/>
      <c r="K807" s="146"/>
      <c r="L807" s="146"/>
      <c r="M807" s="146"/>
      <c r="N807" s="146"/>
      <c r="O807" s="146"/>
      <c r="P807" s="146"/>
      <c r="Q807" s="146"/>
      <c r="R807" s="146"/>
      <c r="S807" s="146"/>
      <c r="T807" s="146"/>
      <c r="U807" s="146"/>
      <c r="V807" s="146"/>
      <c r="W807" s="146"/>
      <c r="X807" s="146"/>
      <c r="Y807" s="146"/>
      <c r="Z807" s="146"/>
      <c r="AA807" s="146"/>
    </row>
    <row r="808" ht="22.5" customHeight="1">
      <c r="A808" s="145"/>
      <c r="B808" s="154"/>
      <c r="C808" s="154"/>
      <c r="D808" s="138"/>
      <c r="E808" s="138"/>
      <c r="F808" s="138"/>
      <c r="G808" s="138"/>
      <c r="H808" s="119"/>
      <c r="I808" s="146"/>
      <c r="J808" s="146"/>
      <c r="K808" s="146"/>
      <c r="L808" s="146"/>
      <c r="M808" s="146"/>
      <c r="N808" s="146"/>
      <c r="O808" s="146"/>
      <c r="P808" s="146"/>
      <c r="Q808" s="146"/>
      <c r="R808" s="146"/>
      <c r="S808" s="146"/>
      <c r="T808" s="146"/>
      <c r="U808" s="146"/>
      <c r="V808" s="146"/>
      <c r="W808" s="146"/>
      <c r="X808" s="146"/>
      <c r="Y808" s="146"/>
      <c r="Z808" s="146"/>
      <c r="AA808" s="146"/>
    </row>
    <row r="809" ht="22.5" customHeight="1">
      <c r="A809" s="145"/>
      <c r="B809" s="154"/>
      <c r="C809" s="154"/>
      <c r="D809" s="138"/>
      <c r="E809" s="138"/>
      <c r="F809" s="138"/>
      <c r="G809" s="138"/>
      <c r="H809" s="119"/>
      <c r="I809" s="146"/>
      <c r="J809" s="146"/>
      <c r="K809" s="146"/>
      <c r="L809" s="146"/>
      <c r="M809" s="146"/>
      <c r="N809" s="146"/>
      <c r="O809" s="146"/>
      <c r="P809" s="146"/>
      <c r="Q809" s="146"/>
      <c r="R809" s="146"/>
      <c r="S809" s="146"/>
      <c r="T809" s="146"/>
      <c r="U809" s="146"/>
      <c r="V809" s="146"/>
      <c r="W809" s="146"/>
      <c r="X809" s="146"/>
      <c r="Y809" s="146"/>
      <c r="Z809" s="146"/>
      <c r="AA809" s="146"/>
    </row>
    <row r="810" ht="22.5" customHeight="1">
      <c r="A810" s="145"/>
      <c r="B810" s="154"/>
      <c r="C810" s="154"/>
      <c r="D810" s="138"/>
      <c r="E810" s="138"/>
      <c r="F810" s="138"/>
      <c r="G810" s="138"/>
      <c r="H810" s="119"/>
      <c r="I810" s="146"/>
      <c r="J810" s="146"/>
      <c r="K810" s="146"/>
      <c r="L810" s="146"/>
      <c r="M810" s="146"/>
      <c r="N810" s="146"/>
      <c r="O810" s="146"/>
      <c r="P810" s="146"/>
      <c r="Q810" s="146"/>
      <c r="R810" s="146"/>
      <c r="S810" s="146"/>
      <c r="T810" s="146"/>
      <c r="U810" s="146"/>
      <c r="V810" s="146"/>
      <c r="W810" s="146"/>
      <c r="X810" s="146"/>
      <c r="Y810" s="146"/>
      <c r="Z810" s="146"/>
      <c r="AA810" s="146"/>
    </row>
    <row r="811" ht="22.5" customHeight="1">
      <c r="A811" s="145"/>
      <c r="B811" s="154"/>
      <c r="C811" s="154"/>
      <c r="D811" s="138"/>
      <c r="E811" s="138"/>
      <c r="F811" s="138"/>
      <c r="G811" s="138"/>
      <c r="H811" s="119"/>
      <c r="I811" s="146"/>
      <c r="J811" s="146"/>
      <c r="K811" s="146"/>
      <c r="L811" s="146"/>
      <c r="M811" s="146"/>
      <c r="N811" s="146"/>
      <c r="O811" s="146"/>
      <c r="P811" s="146"/>
      <c r="Q811" s="146"/>
      <c r="R811" s="146"/>
      <c r="S811" s="146"/>
      <c r="T811" s="146"/>
      <c r="U811" s="146"/>
      <c r="V811" s="146"/>
      <c r="W811" s="146"/>
      <c r="X811" s="146"/>
      <c r="Y811" s="146"/>
      <c r="Z811" s="146"/>
      <c r="AA811" s="146"/>
    </row>
    <row r="812" ht="22.5" customHeight="1">
      <c r="A812" s="145"/>
      <c r="B812" s="154"/>
      <c r="C812" s="154"/>
      <c r="D812" s="138"/>
      <c r="E812" s="138"/>
      <c r="F812" s="138"/>
      <c r="G812" s="138"/>
      <c r="H812" s="119"/>
      <c r="I812" s="146"/>
      <c r="J812" s="146"/>
      <c r="K812" s="146"/>
      <c r="L812" s="146"/>
      <c r="M812" s="146"/>
      <c r="N812" s="146"/>
      <c r="O812" s="146"/>
      <c r="P812" s="146"/>
      <c r="Q812" s="146"/>
      <c r="R812" s="146"/>
      <c r="S812" s="146"/>
      <c r="T812" s="146"/>
      <c r="U812" s="146"/>
      <c r="V812" s="146"/>
      <c r="W812" s="146"/>
      <c r="X812" s="146"/>
      <c r="Y812" s="146"/>
      <c r="Z812" s="146"/>
      <c r="AA812" s="146"/>
    </row>
    <row r="813" ht="22.5" customHeight="1">
      <c r="A813" s="145"/>
      <c r="B813" s="154"/>
      <c r="C813" s="154"/>
      <c r="D813" s="138"/>
      <c r="E813" s="138"/>
      <c r="F813" s="138"/>
      <c r="G813" s="138"/>
      <c r="H813" s="119"/>
      <c r="I813" s="146"/>
      <c r="J813" s="146"/>
      <c r="K813" s="146"/>
      <c r="L813" s="146"/>
      <c r="M813" s="146"/>
      <c r="N813" s="146"/>
      <c r="O813" s="146"/>
      <c r="P813" s="146"/>
      <c r="Q813" s="146"/>
      <c r="R813" s="146"/>
      <c r="S813" s="146"/>
      <c r="T813" s="146"/>
      <c r="U813" s="146"/>
      <c r="V813" s="146"/>
      <c r="W813" s="146"/>
      <c r="X813" s="146"/>
      <c r="Y813" s="146"/>
      <c r="Z813" s="146"/>
      <c r="AA813" s="146"/>
    </row>
    <row r="814" ht="22.5" customHeight="1">
      <c r="A814" s="145"/>
      <c r="B814" s="154"/>
      <c r="C814" s="154"/>
      <c r="D814" s="138"/>
      <c r="E814" s="138"/>
      <c r="F814" s="138"/>
      <c r="G814" s="138"/>
      <c r="H814" s="119"/>
      <c r="I814" s="146"/>
      <c r="J814" s="146"/>
      <c r="K814" s="146"/>
      <c r="L814" s="146"/>
      <c r="M814" s="146"/>
      <c r="N814" s="146"/>
      <c r="O814" s="146"/>
      <c r="P814" s="146"/>
      <c r="Q814" s="146"/>
      <c r="R814" s="146"/>
      <c r="S814" s="146"/>
      <c r="T814" s="146"/>
      <c r="U814" s="146"/>
      <c r="V814" s="146"/>
      <c r="W814" s="146"/>
      <c r="X814" s="146"/>
      <c r="Y814" s="146"/>
      <c r="Z814" s="146"/>
      <c r="AA814" s="146"/>
    </row>
    <row r="815" ht="22.5" customHeight="1">
      <c r="A815" s="145"/>
      <c r="B815" s="154"/>
      <c r="C815" s="154"/>
      <c r="D815" s="138"/>
      <c r="E815" s="138"/>
      <c r="F815" s="138"/>
      <c r="G815" s="138"/>
      <c r="H815" s="119"/>
      <c r="I815" s="146"/>
      <c r="J815" s="146"/>
      <c r="K815" s="146"/>
      <c r="L815" s="146"/>
      <c r="M815" s="146"/>
      <c r="N815" s="146"/>
      <c r="O815" s="146"/>
      <c r="P815" s="146"/>
      <c r="Q815" s="146"/>
      <c r="R815" s="146"/>
      <c r="S815" s="146"/>
      <c r="T815" s="146"/>
      <c r="U815" s="146"/>
      <c r="V815" s="146"/>
      <c r="W815" s="146"/>
      <c r="X815" s="146"/>
      <c r="Y815" s="146"/>
      <c r="Z815" s="146"/>
      <c r="AA815" s="146"/>
    </row>
    <row r="816" ht="22.5" customHeight="1">
      <c r="A816" s="145"/>
      <c r="B816" s="154"/>
      <c r="C816" s="154"/>
      <c r="D816" s="138"/>
      <c r="E816" s="138"/>
      <c r="F816" s="138"/>
      <c r="G816" s="138"/>
      <c r="H816" s="119"/>
      <c r="I816" s="146"/>
      <c r="J816" s="146"/>
      <c r="K816" s="146"/>
      <c r="L816" s="146"/>
      <c r="M816" s="146"/>
      <c r="N816" s="146"/>
      <c r="O816" s="146"/>
      <c r="P816" s="146"/>
      <c r="Q816" s="146"/>
      <c r="R816" s="146"/>
      <c r="S816" s="146"/>
      <c r="T816" s="146"/>
      <c r="U816" s="146"/>
      <c r="V816" s="146"/>
      <c r="W816" s="146"/>
      <c r="X816" s="146"/>
      <c r="Y816" s="146"/>
      <c r="Z816" s="146"/>
      <c r="AA816" s="146"/>
    </row>
    <row r="817" ht="22.5" customHeight="1">
      <c r="A817" s="145"/>
      <c r="B817" s="154"/>
      <c r="C817" s="154"/>
      <c r="D817" s="138"/>
      <c r="E817" s="138"/>
      <c r="F817" s="138"/>
      <c r="G817" s="138"/>
      <c r="H817" s="119"/>
      <c r="I817" s="146"/>
      <c r="J817" s="146"/>
      <c r="K817" s="146"/>
      <c r="L817" s="146"/>
      <c r="M817" s="146"/>
      <c r="N817" s="146"/>
      <c r="O817" s="146"/>
      <c r="P817" s="146"/>
      <c r="Q817" s="146"/>
      <c r="R817" s="146"/>
      <c r="S817" s="146"/>
      <c r="T817" s="146"/>
      <c r="U817" s="146"/>
      <c r="V817" s="146"/>
      <c r="W817" s="146"/>
      <c r="X817" s="146"/>
      <c r="Y817" s="146"/>
      <c r="Z817" s="146"/>
      <c r="AA817" s="146"/>
    </row>
    <row r="818" ht="22.5" customHeight="1">
      <c r="A818" s="145"/>
      <c r="B818" s="154"/>
      <c r="C818" s="154"/>
      <c r="D818" s="138"/>
      <c r="E818" s="138"/>
      <c r="F818" s="138"/>
      <c r="G818" s="138"/>
      <c r="H818" s="119"/>
      <c r="I818" s="146"/>
      <c r="J818" s="146"/>
      <c r="K818" s="146"/>
      <c r="L818" s="146"/>
      <c r="M818" s="146"/>
      <c r="N818" s="146"/>
      <c r="O818" s="146"/>
      <c r="P818" s="146"/>
      <c r="Q818" s="146"/>
      <c r="R818" s="146"/>
      <c r="S818" s="146"/>
      <c r="T818" s="146"/>
      <c r="U818" s="146"/>
      <c r="V818" s="146"/>
      <c r="W818" s="146"/>
      <c r="X818" s="146"/>
      <c r="Y818" s="146"/>
      <c r="Z818" s="146"/>
      <c r="AA818" s="146"/>
    </row>
    <row r="819" ht="22.5" customHeight="1">
      <c r="A819" s="145"/>
      <c r="B819" s="154"/>
      <c r="C819" s="154"/>
      <c r="D819" s="138"/>
      <c r="E819" s="138"/>
      <c r="F819" s="138"/>
      <c r="G819" s="138"/>
      <c r="H819" s="119"/>
      <c r="I819" s="146"/>
      <c r="J819" s="146"/>
      <c r="K819" s="146"/>
      <c r="L819" s="146"/>
      <c r="M819" s="146"/>
      <c r="N819" s="146"/>
      <c r="O819" s="146"/>
      <c r="P819" s="146"/>
      <c r="Q819" s="146"/>
      <c r="R819" s="146"/>
      <c r="S819" s="146"/>
      <c r="T819" s="146"/>
      <c r="U819" s="146"/>
      <c r="V819" s="146"/>
      <c r="W819" s="146"/>
      <c r="X819" s="146"/>
      <c r="Y819" s="146"/>
      <c r="Z819" s="146"/>
      <c r="AA819" s="146"/>
    </row>
    <row r="820" ht="22.5" customHeight="1">
      <c r="A820" s="145"/>
      <c r="B820" s="154"/>
      <c r="C820" s="154"/>
      <c r="D820" s="138"/>
      <c r="E820" s="138"/>
      <c r="F820" s="138"/>
      <c r="G820" s="138"/>
      <c r="H820" s="119"/>
      <c r="I820" s="146"/>
      <c r="J820" s="146"/>
      <c r="K820" s="146"/>
      <c r="L820" s="146"/>
      <c r="M820" s="146"/>
      <c r="N820" s="146"/>
      <c r="O820" s="146"/>
      <c r="P820" s="146"/>
      <c r="Q820" s="146"/>
      <c r="R820" s="146"/>
      <c r="S820" s="146"/>
      <c r="T820" s="146"/>
      <c r="U820" s="146"/>
      <c r="V820" s="146"/>
      <c r="W820" s="146"/>
      <c r="X820" s="146"/>
      <c r="Y820" s="146"/>
      <c r="Z820" s="146"/>
      <c r="AA820" s="146"/>
    </row>
    <row r="821" ht="22.5" customHeight="1">
      <c r="A821" s="145"/>
      <c r="B821" s="154"/>
      <c r="C821" s="154"/>
      <c r="D821" s="138"/>
      <c r="E821" s="138"/>
      <c r="F821" s="138"/>
      <c r="G821" s="138"/>
      <c r="H821" s="119"/>
      <c r="I821" s="146"/>
      <c r="J821" s="146"/>
      <c r="K821" s="146"/>
      <c r="L821" s="146"/>
      <c r="M821" s="146"/>
      <c r="N821" s="146"/>
      <c r="O821" s="146"/>
      <c r="P821" s="146"/>
      <c r="Q821" s="146"/>
      <c r="R821" s="146"/>
      <c r="S821" s="146"/>
      <c r="T821" s="146"/>
      <c r="U821" s="146"/>
      <c r="V821" s="146"/>
      <c r="W821" s="146"/>
      <c r="X821" s="146"/>
      <c r="Y821" s="146"/>
      <c r="Z821" s="146"/>
      <c r="AA821" s="146"/>
    </row>
    <row r="822" ht="22.5" customHeight="1">
      <c r="A822" s="145"/>
      <c r="B822" s="154"/>
      <c r="C822" s="154"/>
      <c r="D822" s="138"/>
      <c r="E822" s="138"/>
      <c r="F822" s="138"/>
      <c r="G822" s="138"/>
      <c r="H822" s="119"/>
      <c r="I822" s="146"/>
      <c r="J822" s="146"/>
      <c r="K822" s="146"/>
      <c r="L822" s="146"/>
      <c r="M822" s="146"/>
      <c r="N822" s="146"/>
      <c r="O822" s="146"/>
      <c r="P822" s="146"/>
      <c r="Q822" s="146"/>
      <c r="R822" s="146"/>
      <c r="S822" s="146"/>
      <c r="T822" s="146"/>
      <c r="U822" s="146"/>
      <c r="V822" s="146"/>
      <c r="W822" s="146"/>
      <c r="X822" s="146"/>
      <c r="Y822" s="146"/>
      <c r="Z822" s="146"/>
      <c r="AA822" s="146"/>
    </row>
    <row r="823" ht="22.5" customHeight="1">
      <c r="A823" s="145"/>
      <c r="B823" s="154"/>
      <c r="C823" s="154"/>
      <c r="D823" s="138"/>
      <c r="E823" s="138"/>
      <c r="F823" s="138"/>
      <c r="G823" s="138"/>
      <c r="H823" s="119"/>
      <c r="I823" s="146"/>
      <c r="J823" s="146"/>
      <c r="K823" s="146"/>
      <c r="L823" s="146"/>
      <c r="M823" s="146"/>
      <c r="N823" s="146"/>
      <c r="O823" s="146"/>
      <c r="P823" s="146"/>
      <c r="Q823" s="146"/>
      <c r="R823" s="146"/>
      <c r="S823" s="146"/>
      <c r="T823" s="146"/>
      <c r="U823" s="146"/>
      <c r="V823" s="146"/>
      <c r="W823" s="146"/>
      <c r="X823" s="146"/>
      <c r="Y823" s="146"/>
      <c r="Z823" s="146"/>
      <c r="AA823" s="146"/>
    </row>
    <row r="824" ht="22.5" customHeight="1">
      <c r="A824" s="145"/>
      <c r="B824" s="154"/>
      <c r="C824" s="154"/>
      <c r="D824" s="138"/>
      <c r="E824" s="138"/>
      <c r="F824" s="138"/>
      <c r="G824" s="138"/>
      <c r="H824" s="119"/>
      <c r="I824" s="146"/>
      <c r="J824" s="146"/>
      <c r="K824" s="146"/>
      <c r="L824" s="146"/>
      <c r="M824" s="146"/>
      <c r="N824" s="146"/>
      <c r="O824" s="146"/>
      <c r="P824" s="146"/>
      <c r="Q824" s="146"/>
      <c r="R824" s="146"/>
      <c r="S824" s="146"/>
      <c r="T824" s="146"/>
      <c r="U824" s="146"/>
      <c r="V824" s="146"/>
      <c r="W824" s="146"/>
      <c r="X824" s="146"/>
      <c r="Y824" s="146"/>
      <c r="Z824" s="146"/>
      <c r="AA824" s="146"/>
    </row>
    <row r="825" ht="22.5" customHeight="1">
      <c r="A825" s="145"/>
      <c r="B825" s="154"/>
      <c r="C825" s="154"/>
      <c r="D825" s="138"/>
      <c r="E825" s="138"/>
      <c r="F825" s="138"/>
      <c r="G825" s="138"/>
      <c r="H825" s="119"/>
      <c r="I825" s="146"/>
      <c r="J825" s="146"/>
      <c r="K825" s="146"/>
      <c r="L825" s="146"/>
      <c r="M825" s="146"/>
      <c r="N825" s="146"/>
      <c r="O825" s="146"/>
      <c r="P825" s="146"/>
      <c r="Q825" s="146"/>
      <c r="R825" s="146"/>
      <c r="S825" s="146"/>
      <c r="T825" s="146"/>
      <c r="U825" s="146"/>
      <c r="V825" s="146"/>
      <c r="W825" s="146"/>
      <c r="X825" s="146"/>
      <c r="Y825" s="146"/>
      <c r="Z825" s="146"/>
      <c r="AA825" s="146"/>
    </row>
    <row r="826" ht="22.5" customHeight="1">
      <c r="A826" s="145"/>
      <c r="B826" s="154"/>
      <c r="C826" s="154"/>
      <c r="D826" s="138"/>
      <c r="E826" s="138"/>
      <c r="F826" s="138"/>
      <c r="G826" s="138"/>
      <c r="H826" s="119"/>
      <c r="I826" s="146"/>
      <c r="J826" s="146"/>
      <c r="K826" s="146"/>
      <c r="L826" s="146"/>
      <c r="M826" s="146"/>
      <c r="N826" s="146"/>
      <c r="O826" s="146"/>
      <c r="P826" s="146"/>
      <c r="Q826" s="146"/>
      <c r="R826" s="146"/>
      <c r="S826" s="146"/>
      <c r="T826" s="146"/>
      <c r="U826" s="146"/>
      <c r="V826" s="146"/>
      <c r="W826" s="146"/>
      <c r="X826" s="146"/>
      <c r="Y826" s="146"/>
      <c r="Z826" s="146"/>
      <c r="AA826" s="146"/>
    </row>
    <row r="827" ht="22.5" customHeight="1">
      <c r="A827" s="145"/>
      <c r="B827" s="154"/>
      <c r="C827" s="154"/>
      <c r="D827" s="138"/>
      <c r="E827" s="138"/>
      <c r="F827" s="138"/>
      <c r="G827" s="138"/>
      <c r="H827" s="119"/>
      <c r="I827" s="146"/>
      <c r="J827" s="146"/>
      <c r="K827" s="146"/>
      <c r="L827" s="146"/>
      <c r="M827" s="146"/>
      <c r="N827" s="146"/>
      <c r="O827" s="146"/>
      <c r="P827" s="146"/>
      <c r="Q827" s="146"/>
      <c r="R827" s="146"/>
      <c r="S827" s="146"/>
      <c r="T827" s="146"/>
      <c r="U827" s="146"/>
      <c r="V827" s="146"/>
      <c r="W827" s="146"/>
      <c r="X827" s="146"/>
      <c r="Y827" s="146"/>
      <c r="Z827" s="146"/>
      <c r="AA827" s="146"/>
    </row>
    <row r="828" ht="22.5" customHeight="1">
      <c r="A828" s="145"/>
      <c r="B828" s="154"/>
      <c r="C828" s="154"/>
      <c r="D828" s="138"/>
      <c r="E828" s="138"/>
      <c r="F828" s="138"/>
      <c r="G828" s="138"/>
      <c r="H828" s="119"/>
      <c r="I828" s="146"/>
      <c r="J828" s="146"/>
      <c r="K828" s="146"/>
      <c r="L828" s="146"/>
      <c r="M828" s="146"/>
      <c r="N828" s="146"/>
      <c r="O828" s="146"/>
      <c r="P828" s="146"/>
      <c r="Q828" s="146"/>
      <c r="R828" s="146"/>
      <c r="S828" s="146"/>
      <c r="T828" s="146"/>
      <c r="U828" s="146"/>
      <c r="V828" s="146"/>
      <c r="W828" s="146"/>
      <c r="X828" s="146"/>
      <c r="Y828" s="146"/>
      <c r="Z828" s="146"/>
      <c r="AA828" s="146"/>
    </row>
    <row r="829" ht="22.5" customHeight="1">
      <c r="A829" s="145"/>
      <c r="B829" s="154"/>
      <c r="C829" s="154"/>
      <c r="D829" s="138"/>
      <c r="E829" s="138"/>
      <c r="F829" s="138"/>
      <c r="G829" s="138"/>
      <c r="H829" s="119"/>
      <c r="I829" s="146"/>
      <c r="J829" s="146"/>
      <c r="K829" s="146"/>
      <c r="L829" s="146"/>
      <c r="M829" s="146"/>
      <c r="N829" s="146"/>
      <c r="O829" s="146"/>
      <c r="P829" s="146"/>
      <c r="Q829" s="146"/>
      <c r="R829" s="146"/>
      <c r="S829" s="146"/>
      <c r="T829" s="146"/>
      <c r="U829" s="146"/>
      <c r="V829" s="146"/>
      <c r="W829" s="146"/>
      <c r="X829" s="146"/>
      <c r="Y829" s="146"/>
      <c r="Z829" s="146"/>
      <c r="AA829" s="146"/>
    </row>
    <row r="830" ht="22.5" customHeight="1">
      <c r="A830" s="145"/>
      <c r="B830" s="154"/>
      <c r="C830" s="154"/>
      <c r="D830" s="138"/>
      <c r="E830" s="138"/>
      <c r="F830" s="138"/>
      <c r="G830" s="138"/>
      <c r="H830" s="119"/>
      <c r="I830" s="146"/>
      <c r="J830" s="146"/>
      <c r="K830" s="146"/>
      <c r="L830" s="146"/>
      <c r="M830" s="146"/>
      <c r="N830" s="146"/>
      <c r="O830" s="146"/>
      <c r="P830" s="146"/>
      <c r="Q830" s="146"/>
      <c r="R830" s="146"/>
      <c r="S830" s="146"/>
      <c r="T830" s="146"/>
      <c r="U830" s="146"/>
      <c r="V830" s="146"/>
      <c r="W830" s="146"/>
      <c r="X830" s="146"/>
      <c r="Y830" s="146"/>
      <c r="Z830" s="146"/>
      <c r="AA830" s="146"/>
    </row>
    <row r="831" ht="22.5" customHeight="1">
      <c r="A831" s="145"/>
      <c r="B831" s="154"/>
      <c r="C831" s="154"/>
      <c r="D831" s="138"/>
      <c r="E831" s="138"/>
      <c r="F831" s="138"/>
      <c r="G831" s="138"/>
      <c r="H831" s="119"/>
      <c r="I831" s="146"/>
      <c r="J831" s="146"/>
      <c r="K831" s="146"/>
      <c r="L831" s="146"/>
      <c r="M831" s="146"/>
      <c r="N831" s="146"/>
      <c r="O831" s="146"/>
      <c r="P831" s="146"/>
      <c r="Q831" s="146"/>
      <c r="R831" s="146"/>
      <c r="S831" s="146"/>
      <c r="T831" s="146"/>
      <c r="U831" s="146"/>
      <c r="V831" s="146"/>
      <c r="W831" s="146"/>
      <c r="X831" s="146"/>
      <c r="Y831" s="146"/>
      <c r="Z831" s="146"/>
      <c r="AA831" s="146"/>
    </row>
    <row r="832" ht="22.5" customHeight="1">
      <c r="A832" s="145"/>
      <c r="B832" s="154"/>
      <c r="C832" s="154"/>
      <c r="D832" s="138"/>
      <c r="E832" s="138"/>
      <c r="F832" s="138"/>
      <c r="G832" s="138"/>
      <c r="H832" s="119"/>
      <c r="I832" s="146"/>
      <c r="J832" s="146"/>
      <c r="K832" s="146"/>
      <c r="L832" s="146"/>
      <c r="M832" s="146"/>
      <c r="N832" s="146"/>
      <c r="O832" s="146"/>
      <c r="P832" s="146"/>
      <c r="Q832" s="146"/>
      <c r="R832" s="146"/>
      <c r="S832" s="146"/>
      <c r="T832" s="146"/>
      <c r="U832" s="146"/>
      <c r="V832" s="146"/>
      <c r="W832" s="146"/>
      <c r="X832" s="146"/>
      <c r="Y832" s="146"/>
      <c r="Z832" s="146"/>
      <c r="AA832" s="146"/>
    </row>
    <row r="833" ht="22.5" customHeight="1">
      <c r="A833" s="145"/>
      <c r="B833" s="154"/>
      <c r="C833" s="154"/>
      <c r="D833" s="138"/>
      <c r="E833" s="138"/>
      <c r="F833" s="138"/>
      <c r="G833" s="138"/>
      <c r="H833" s="119"/>
      <c r="I833" s="146"/>
      <c r="J833" s="146"/>
      <c r="K833" s="146"/>
      <c r="L833" s="146"/>
      <c r="M833" s="146"/>
      <c r="N833" s="146"/>
      <c r="O833" s="146"/>
      <c r="P833" s="146"/>
      <c r="Q833" s="146"/>
      <c r="R833" s="146"/>
      <c r="S833" s="146"/>
      <c r="T833" s="146"/>
      <c r="U833" s="146"/>
      <c r="V833" s="146"/>
      <c r="W833" s="146"/>
      <c r="X833" s="146"/>
      <c r="Y833" s="146"/>
      <c r="Z833" s="146"/>
      <c r="AA833" s="146"/>
    </row>
    <row r="834" ht="22.5" customHeight="1">
      <c r="A834" s="145"/>
      <c r="B834" s="154"/>
      <c r="C834" s="154"/>
      <c r="D834" s="138"/>
      <c r="E834" s="138"/>
      <c r="F834" s="138"/>
      <c r="G834" s="138"/>
      <c r="H834" s="119"/>
      <c r="I834" s="146"/>
      <c r="J834" s="146"/>
      <c r="K834" s="146"/>
      <c r="L834" s="146"/>
      <c r="M834" s="146"/>
      <c r="N834" s="146"/>
      <c r="O834" s="146"/>
      <c r="P834" s="146"/>
      <c r="Q834" s="146"/>
      <c r="R834" s="146"/>
      <c r="S834" s="146"/>
      <c r="T834" s="146"/>
      <c r="U834" s="146"/>
      <c r="V834" s="146"/>
      <c r="W834" s="146"/>
      <c r="X834" s="146"/>
      <c r="Y834" s="146"/>
      <c r="Z834" s="146"/>
      <c r="AA834" s="146"/>
    </row>
    <row r="835" ht="22.5" customHeight="1">
      <c r="A835" s="145"/>
      <c r="B835" s="154"/>
      <c r="C835" s="154"/>
      <c r="D835" s="138"/>
      <c r="E835" s="138"/>
      <c r="F835" s="138"/>
      <c r="G835" s="138"/>
      <c r="H835" s="119"/>
      <c r="I835" s="146"/>
      <c r="J835" s="146"/>
      <c r="K835" s="146"/>
      <c r="L835" s="146"/>
      <c r="M835" s="146"/>
      <c r="N835" s="146"/>
      <c r="O835" s="146"/>
      <c r="P835" s="146"/>
      <c r="Q835" s="146"/>
      <c r="R835" s="146"/>
      <c r="S835" s="146"/>
      <c r="T835" s="146"/>
      <c r="U835" s="146"/>
      <c r="V835" s="146"/>
      <c r="W835" s="146"/>
      <c r="X835" s="146"/>
      <c r="Y835" s="146"/>
      <c r="Z835" s="146"/>
      <c r="AA835" s="146"/>
    </row>
    <row r="836" ht="22.5" customHeight="1">
      <c r="A836" s="145"/>
      <c r="B836" s="154"/>
      <c r="C836" s="154"/>
      <c r="D836" s="138"/>
      <c r="E836" s="138"/>
      <c r="F836" s="138"/>
      <c r="G836" s="138"/>
      <c r="H836" s="119"/>
      <c r="I836" s="146"/>
      <c r="J836" s="146"/>
      <c r="K836" s="146"/>
      <c r="L836" s="146"/>
      <c r="M836" s="146"/>
      <c r="N836" s="146"/>
      <c r="O836" s="146"/>
      <c r="P836" s="146"/>
      <c r="Q836" s="146"/>
      <c r="R836" s="146"/>
      <c r="S836" s="146"/>
      <c r="T836" s="146"/>
      <c r="U836" s="146"/>
      <c r="V836" s="146"/>
      <c r="W836" s="146"/>
      <c r="X836" s="146"/>
      <c r="Y836" s="146"/>
      <c r="Z836" s="146"/>
      <c r="AA836" s="146"/>
    </row>
    <row r="837" ht="22.5" customHeight="1">
      <c r="A837" s="145"/>
      <c r="B837" s="154"/>
      <c r="C837" s="154"/>
      <c r="D837" s="138"/>
      <c r="E837" s="138"/>
      <c r="F837" s="138"/>
      <c r="G837" s="138"/>
      <c r="H837" s="119"/>
      <c r="I837" s="146"/>
      <c r="J837" s="146"/>
      <c r="K837" s="146"/>
      <c r="L837" s="146"/>
      <c r="M837" s="146"/>
      <c r="N837" s="146"/>
      <c r="O837" s="146"/>
      <c r="P837" s="146"/>
      <c r="Q837" s="146"/>
      <c r="R837" s="146"/>
      <c r="S837" s="146"/>
      <c r="T837" s="146"/>
      <c r="U837" s="146"/>
      <c r="V837" s="146"/>
      <c r="W837" s="146"/>
      <c r="X837" s="146"/>
      <c r="Y837" s="146"/>
      <c r="Z837" s="146"/>
      <c r="AA837" s="146"/>
    </row>
    <row r="838" ht="22.5" customHeight="1">
      <c r="A838" s="145"/>
      <c r="B838" s="154"/>
      <c r="C838" s="154"/>
      <c r="D838" s="138"/>
      <c r="E838" s="138"/>
      <c r="F838" s="138"/>
      <c r="G838" s="138"/>
      <c r="H838" s="119"/>
      <c r="I838" s="146"/>
      <c r="J838" s="146"/>
      <c r="K838" s="146"/>
      <c r="L838" s="146"/>
      <c r="M838" s="146"/>
      <c r="N838" s="146"/>
      <c r="O838" s="146"/>
      <c r="P838" s="146"/>
      <c r="Q838" s="146"/>
      <c r="R838" s="146"/>
      <c r="S838" s="146"/>
      <c r="T838" s="146"/>
      <c r="U838" s="146"/>
      <c r="V838" s="146"/>
      <c r="W838" s="146"/>
      <c r="X838" s="146"/>
      <c r="Y838" s="146"/>
      <c r="Z838" s="146"/>
      <c r="AA838" s="146"/>
    </row>
    <row r="839" ht="22.5" customHeight="1">
      <c r="A839" s="145"/>
      <c r="B839" s="154"/>
      <c r="C839" s="154"/>
      <c r="D839" s="138"/>
      <c r="E839" s="138"/>
      <c r="F839" s="138"/>
      <c r="G839" s="138"/>
      <c r="H839" s="119"/>
      <c r="I839" s="146"/>
      <c r="J839" s="146"/>
      <c r="K839" s="146"/>
      <c r="L839" s="146"/>
      <c r="M839" s="146"/>
      <c r="N839" s="146"/>
      <c r="O839" s="146"/>
      <c r="P839" s="146"/>
      <c r="Q839" s="146"/>
      <c r="R839" s="146"/>
      <c r="S839" s="146"/>
      <c r="T839" s="146"/>
      <c r="U839" s="146"/>
      <c r="V839" s="146"/>
      <c r="W839" s="146"/>
      <c r="X839" s="146"/>
      <c r="Y839" s="146"/>
      <c r="Z839" s="146"/>
      <c r="AA839" s="146"/>
    </row>
    <row r="840" ht="22.5" customHeight="1">
      <c r="A840" s="145"/>
      <c r="B840" s="154"/>
      <c r="C840" s="154"/>
      <c r="D840" s="138"/>
      <c r="E840" s="138"/>
      <c r="F840" s="138"/>
      <c r="G840" s="138"/>
      <c r="H840" s="119"/>
      <c r="I840" s="146"/>
      <c r="J840" s="146"/>
      <c r="K840" s="146"/>
      <c r="L840" s="146"/>
      <c r="M840" s="146"/>
      <c r="N840" s="146"/>
      <c r="O840" s="146"/>
      <c r="P840" s="146"/>
      <c r="Q840" s="146"/>
      <c r="R840" s="146"/>
      <c r="S840" s="146"/>
      <c r="T840" s="146"/>
      <c r="U840" s="146"/>
      <c r="V840" s="146"/>
      <c r="W840" s="146"/>
      <c r="X840" s="146"/>
      <c r="Y840" s="146"/>
      <c r="Z840" s="146"/>
      <c r="AA840" s="146"/>
    </row>
    <row r="841" ht="22.5" customHeight="1">
      <c r="A841" s="145"/>
      <c r="B841" s="154"/>
      <c r="C841" s="154"/>
      <c r="D841" s="138"/>
      <c r="E841" s="138"/>
      <c r="F841" s="138"/>
      <c r="G841" s="138"/>
      <c r="H841" s="119"/>
      <c r="I841" s="146"/>
      <c r="J841" s="146"/>
      <c r="K841" s="146"/>
      <c r="L841" s="146"/>
      <c r="M841" s="146"/>
      <c r="N841" s="146"/>
      <c r="O841" s="146"/>
      <c r="P841" s="146"/>
      <c r="Q841" s="146"/>
      <c r="R841" s="146"/>
      <c r="S841" s="146"/>
      <c r="T841" s="146"/>
      <c r="U841" s="146"/>
      <c r="V841" s="146"/>
      <c r="W841" s="146"/>
      <c r="X841" s="146"/>
      <c r="Y841" s="146"/>
      <c r="Z841" s="146"/>
      <c r="AA841" s="146"/>
    </row>
    <row r="842" ht="22.5" customHeight="1">
      <c r="A842" s="145"/>
      <c r="B842" s="154"/>
      <c r="C842" s="154"/>
      <c r="D842" s="138"/>
      <c r="E842" s="138"/>
      <c r="F842" s="138"/>
      <c r="G842" s="138"/>
      <c r="H842" s="119"/>
      <c r="I842" s="146"/>
      <c r="J842" s="146"/>
      <c r="K842" s="146"/>
      <c r="L842" s="146"/>
      <c r="M842" s="146"/>
      <c r="N842" s="146"/>
      <c r="O842" s="146"/>
      <c r="P842" s="146"/>
      <c r="Q842" s="146"/>
      <c r="R842" s="146"/>
      <c r="S842" s="146"/>
      <c r="T842" s="146"/>
      <c r="U842" s="146"/>
      <c r="V842" s="146"/>
      <c r="W842" s="146"/>
      <c r="X842" s="146"/>
      <c r="Y842" s="146"/>
      <c r="Z842" s="146"/>
      <c r="AA842" s="146"/>
    </row>
    <row r="843" ht="22.5" customHeight="1">
      <c r="A843" s="145"/>
      <c r="B843" s="154"/>
      <c r="C843" s="154"/>
      <c r="D843" s="138"/>
      <c r="E843" s="138"/>
      <c r="F843" s="138"/>
      <c r="G843" s="138"/>
      <c r="H843" s="119"/>
      <c r="I843" s="146"/>
      <c r="J843" s="146"/>
      <c r="K843" s="146"/>
      <c r="L843" s="146"/>
      <c r="M843" s="146"/>
      <c r="N843" s="146"/>
      <c r="O843" s="146"/>
      <c r="P843" s="146"/>
      <c r="Q843" s="146"/>
      <c r="R843" s="146"/>
      <c r="S843" s="146"/>
      <c r="T843" s="146"/>
      <c r="U843" s="146"/>
      <c r="V843" s="146"/>
      <c r="W843" s="146"/>
      <c r="X843" s="146"/>
      <c r="Y843" s="146"/>
      <c r="Z843" s="146"/>
      <c r="AA843" s="146"/>
    </row>
    <row r="844" ht="22.5" customHeight="1">
      <c r="A844" s="145"/>
      <c r="B844" s="154"/>
      <c r="C844" s="154"/>
      <c r="D844" s="138"/>
      <c r="E844" s="138"/>
      <c r="F844" s="138"/>
      <c r="G844" s="138"/>
      <c r="H844" s="119"/>
      <c r="I844" s="146"/>
      <c r="J844" s="146"/>
      <c r="K844" s="146"/>
      <c r="L844" s="146"/>
      <c r="M844" s="146"/>
      <c r="N844" s="146"/>
      <c r="O844" s="146"/>
      <c r="P844" s="146"/>
      <c r="Q844" s="146"/>
      <c r="R844" s="146"/>
      <c r="S844" s="146"/>
      <c r="T844" s="146"/>
      <c r="U844" s="146"/>
      <c r="V844" s="146"/>
      <c r="W844" s="146"/>
      <c r="X844" s="146"/>
      <c r="Y844" s="146"/>
      <c r="Z844" s="146"/>
      <c r="AA844" s="146"/>
    </row>
    <row r="845" ht="22.5" customHeight="1">
      <c r="A845" s="145"/>
      <c r="B845" s="154"/>
      <c r="C845" s="154"/>
      <c r="D845" s="138"/>
      <c r="E845" s="138"/>
      <c r="F845" s="138"/>
      <c r="G845" s="138"/>
      <c r="H845" s="119"/>
      <c r="I845" s="146"/>
      <c r="J845" s="146"/>
      <c r="K845" s="146"/>
      <c r="L845" s="146"/>
      <c r="M845" s="146"/>
      <c r="N845" s="146"/>
      <c r="O845" s="146"/>
      <c r="P845" s="146"/>
      <c r="Q845" s="146"/>
      <c r="R845" s="146"/>
      <c r="S845" s="146"/>
      <c r="T845" s="146"/>
      <c r="U845" s="146"/>
      <c r="V845" s="146"/>
      <c r="W845" s="146"/>
      <c r="X845" s="146"/>
      <c r="Y845" s="146"/>
      <c r="Z845" s="146"/>
      <c r="AA845" s="146"/>
    </row>
    <row r="846" ht="22.5" customHeight="1">
      <c r="A846" s="145"/>
      <c r="B846" s="154"/>
      <c r="C846" s="154"/>
      <c r="D846" s="138"/>
      <c r="E846" s="138"/>
      <c r="F846" s="138"/>
      <c r="G846" s="138"/>
      <c r="H846" s="119"/>
      <c r="I846" s="146"/>
      <c r="J846" s="146"/>
      <c r="K846" s="146"/>
      <c r="L846" s="146"/>
      <c r="M846" s="146"/>
      <c r="N846" s="146"/>
      <c r="O846" s="146"/>
      <c r="P846" s="146"/>
      <c r="Q846" s="146"/>
      <c r="R846" s="146"/>
      <c r="S846" s="146"/>
      <c r="T846" s="146"/>
      <c r="U846" s="146"/>
      <c r="V846" s="146"/>
      <c r="W846" s="146"/>
      <c r="X846" s="146"/>
      <c r="Y846" s="146"/>
      <c r="Z846" s="146"/>
      <c r="AA846" s="146"/>
    </row>
    <row r="847" ht="22.5" customHeight="1">
      <c r="A847" s="145"/>
      <c r="B847" s="154"/>
      <c r="C847" s="154"/>
      <c r="D847" s="138"/>
      <c r="E847" s="138"/>
      <c r="F847" s="138"/>
      <c r="G847" s="138"/>
      <c r="H847" s="119"/>
      <c r="I847" s="146"/>
      <c r="J847" s="146"/>
      <c r="K847" s="146"/>
      <c r="L847" s="146"/>
      <c r="M847" s="146"/>
      <c r="N847" s="146"/>
      <c r="O847" s="146"/>
      <c r="P847" s="146"/>
      <c r="Q847" s="146"/>
      <c r="R847" s="146"/>
      <c r="S847" s="146"/>
      <c r="T847" s="146"/>
      <c r="U847" s="146"/>
      <c r="V847" s="146"/>
      <c r="W847" s="146"/>
      <c r="X847" s="146"/>
      <c r="Y847" s="146"/>
      <c r="Z847" s="146"/>
      <c r="AA847" s="146"/>
    </row>
    <row r="848" ht="22.5" customHeight="1">
      <c r="A848" s="145"/>
      <c r="B848" s="154"/>
      <c r="C848" s="154"/>
      <c r="D848" s="138"/>
      <c r="E848" s="138"/>
      <c r="F848" s="138"/>
      <c r="G848" s="138"/>
      <c r="H848" s="119"/>
      <c r="I848" s="146"/>
      <c r="J848" s="146"/>
      <c r="K848" s="146"/>
      <c r="L848" s="146"/>
      <c r="M848" s="146"/>
      <c r="N848" s="146"/>
      <c r="O848" s="146"/>
      <c r="P848" s="146"/>
      <c r="Q848" s="146"/>
      <c r="R848" s="146"/>
      <c r="S848" s="146"/>
      <c r="T848" s="146"/>
      <c r="U848" s="146"/>
      <c r="V848" s="146"/>
      <c r="W848" s="146"/>
      <c r="X848" s="146"/>
      <c r="Y848" s="146"/>
      <c r="Z848" s="146"/>
      <c r="AA848" s="146"/>
    </row>
    <row r="849" ht="22.5" customHeight="1">
      <c r="A849" s="145"/>
      <c r="B849" s="154"/>
      <c r="C849" s="154"/>
      <c r="D849" s="138"/>
      <c r="E849" s="138"/>
      <c r="F849" s="138"/>
      <c r="G849" s="138"/>
      <c r="H849" s="119"/>
      <c r="I849" s="146"/>
      <c r="J849" s="146"/>
      <c r="K849" s="146"/>
      <c r="L849" s="146"/>
      <c r="M849" s="146"/>
      <c r="N849" s="146"/>
      <c r="O849" s="146"/>
      <c r="P849" s="146"/>
      <c r="Q849" s="146"/>
      <c r="R849" s="146"/>
      <c r="S849" s="146"/>
      <c r="T849" s="146"/>
      <c r="U849" s="146"/>
      <c r="V849" s="146"/>
      <c r="W849" s="146"/>
      <c r="X849" s="146"/>
      <c r="Y849" s="146"/>
      <c r="Z849" s="146"/>
      <c r="AA849" s="146"/>
    </row>
    <row r="850" ht="22.5" customHeight="1">
      <c r="A850" s="145"/>
      <c r="B850" s="154"/>
      <c r="C850" s="154"/>
      <c r="D850" s="138"/>
      <c r="E850" s="138"/>
      <c r="F850" s="138"/>
      <c r="G850" s="138"/>
      <c r="H850" s="119"/>
      <c r="I850" s="146"/>
      <c r="J850" s="146"/>
      <c r="K850" s="146"/>
      <c r="L850" s="146"/>
      <c r="M850" s="146"/>
      <c r="N850" s="146"/>
      <c r="O850" s="146"/>
      <c r="P850" s="146"/>
      <c r="Q850" s="146"/>
      <c r="R850" s="146"/>
      <c r="S850" s="146"/>
      <c r="T850" s="146"/>
      <c r="U850" s="146"/>
      <c r="V850" s="146"/>
      <c r="W850" s="146"/>
      <c r="X850" s="146"/>
      <c r="Y850" s="146"/>
      <c r="Z850" s="146"/>
      <c r="AA850" s="146"/>
    </row>
    <row r="851" ht="22.5" customHeight="1">
      <c r="A851" s="145"/>
      <c r="B851" s="154"/>
      <c r="C851" s="154"/>
      <c r="D851" s="138"/>
      <c r="E851" s="138"/>
      <c r="F851" s="138"/>
      <c r="G851" s="138"/>
      <c r="H851" s="119"/>
      <c r="I851" s="146"/>
      <c r="J851" s="146"/>
      <c r="K851" s="146"/>
      <c r="L851" s="146"/>
      <c r="M851" s="146"/>
      <c r="N851" s="146"/>
      <c r="O851" s="146"/>
      <c r="P851" s="146"/>
      <c r="Q851" s="146"/>
      <c r="R851" s="146"/>
      <c r="S851" s="146"/>
      <c r="T851" s="146"/>
      <c r="U851" s="146"/>
      <c r="V851" s="146"/>
      <c r="W851" s="146"/>
      <c r="X851" s="146"/>
      <c r="Y851" s="146"/>
      <c r="Z851" s="146"/>
      <c r="AA851" s="146"/>
    </row>
    <row r="852" ht="22.5" customHeight="1">
      <c r="A852" s="145"/>
      <c r="B852" s="154"/>
      <c r="C852" s="154"/>
      <c r="D852" s="138"/>
      <c r="E852" s="138"/>
      <c r="F852" s="138"/>
      <c r="G852" s="138"/>
      <c r="H852" s="119"/>
      <c r="I852" s="146"/>
      <c r="J852" s="146"/>
      <c r="K852" s="146"/>
      <c r="L852" s="146"/>
      <c r="M852" s="146"/>
      <c r="N852" s="146"/>
      <c r="O852" s="146"/>
      <c r="P852" s="146"/>
      <c r="Q852" s="146"/>
      <c r="R852" s="146"/>
      <c r="S852" s="146"/>
      <c r="T852" s="146"/>
      <c r="U852" s="146"/>
      <c r="V852" s="146"/>
      <c r="W852" s="146"/>
      <c r="X852" s="146"/>
      <c r="Y852" s="146"/>
      <c r="Z852" s="146"/>
      <c r="AA852" s="146"/>
    </row>
    <row r="853" ht="22.5" customHeight="1">
      <c r="A853" s="145"/>
      <c r="B853" s="154"/>
      <c r="C853" s="154"/>
      <c r="D853" s="138"/>
      <c r="E853" s="138"/>
      <c r="F853" s="138"/>
      <c r="G853" s="138"/>
      <c r="H853" s="119"/>
      <c r="I853" s="146"/>
      <c r="J853" s="146"/>
      <c r="K853" s="146"/>
      <c r="L853" s="146"/>
      <c r="M853" s="146"/>
      <c r="N853" s="146"/>
      <c r="O853" s="146"/>
      <c r="P853" s="146"/>
      <c r="Q853" s="146"/>
      <c r="R853" s="146"/>
      <c r="S853" s="146"/>
      <c r="T853" s="146"/>
      <c r="U853" s="146"/>
      <c r="V853" s="146"/>
      <c r="W853" s="146"/>
      <c r="X853" s="146"/>
      <c r="Y853" s="146"/>
      <c r="Z853" s="146"/>
      <c r="AA853" s="146"/>
    </row>
    <row r="854" ht="22.5" customHeight="1">
      <c r="A854" s="145"/>
      <c r="B854" s="154"/>
      <c r="C854" s="154"/>
      <c r="D854" s="138"/>
      <c r="E854" s="138"/>
      <c r="F854" s="138"/>
      <c r="G854" s="138"/>
      <c r="H854" s="119"/>
      <c r="I854" s="146"/>
      <c r="J854" s="146"/>
      <c r="K854" s="146"/>
      <c r="L854" s="146"/>
      <c r="M854" s="146"/>
      <c r="N854" s="146"/>
      <c r="O854" s="146"/>
      <c r="P854" s="146"/>
      <c r="Q854" s="146"/>
      <c r="R854" s="146"/>
      <c r="S854" s="146"/>
      <c r="T854" s="146"/>
      <c r="U854" s="146"/>
      <c r="V854" s="146"/>
      <c r="W854" s="146"/>
      <c r="X854" s="146"/>
      <c r="Y854" s="146"/>
      <c r="Z854" s="146"/>
      <c r="AA854" s="146"/>
    </row>
    <row r="855" ht="22.5" customHeight="1">
      <c r="A855" s="145"/>
      <c r="B855" s="154"/>
      <c r="C855" s="154"/>
      <c r="D855" s="138"/>
      <c r="E855" s="138"/>
      <c r="F855" s="138"/>
      <c r="G855" s="138"/>
      <c r="H855" s="119"/>
      <c r="I855" s="146"/>
      <c r="J855" s="146"/>
      <c r="K855" s="146"/>
      <c r="L855" s="146"/>
      <c r="M855" s="146"/>
      <c r="N855" s="146"/>
      <c r="O855" s="146"/>
      <c r="P855" s="146"/>
      <c r="Q855" s="146"/>
      <c r="R855" s="146"/>
      <c r="S855" s="146"/>
      <c r="T855" s="146"/>
      <c r="U855" s="146"/>
      <c r="V855" s="146"/>
      <c r="W855" s="146"/>
      <c r="X855" s="146"/>
      <c r="Y855" s="146"/>
      <c r="Z855" s="146"/>
      <c r="AA855" s="146"/>
    </row>
    <row r="856" ht="22.5" customHeight="1">
      <c r="A856" s="145"/>
      <c r="B856" s="154"/>
      <c r="C856" s="154"/>
      <c r="D856" s="138"/>
      <c r="E856" s="138"/>
      <c r="F856" s="138"/>
      <c r="G856" s="138"/>
      <c r="H856" s="119"/>
      <c r="I856" s="146"/>
      <c r="J856" s="146"/>
      <c r="K856" s="146"/>
      <c r="L856" s="146"/>
      <c r="M856" s="146"/>
      <c r="N856" s="146"/>
      <c r="O856" s="146"/>
      <c r="P856" s="146"/>
      <c r="Q856" s="146"/>
      <c r="R856" s="146"/>
      <c r="S856" s="146"/>
      <c r="T856" s="146"/>
      <c r="U856" s="146"/>
      <c r="V856" s="146"/>
      <c r="W856" s="146"/>
      <c r="X856" s="146"/>
      <c r="Y856" s="146"/>
      <c r="Z856" s="146"/>
      <c r="AA856" s="146"/>
    </row>
    <row r="857" ht="22.5" customHeight="1">
      <c r="A857" s="145"/>
      <c r="B857" s="154"/>
      <c r="C857" s="154"/>
      <c r="D857" s="138"/>
      <c r="E857" s="138"/>
      <c r="F857" s="138"/>
      <c r="G857" s="138"/>
      <c r="H857" s="119"/>
      <c r="I857" s="146"/>
      <c r="J857" s="146"/>
      <c r="K857" s="146"/>
      <c r="L857" s="146"/>
      <c r="M857" s="146"/>
      <c r="N857" s="146"/>
      <c r="O857" s="146"/>
      <c r="P857" s="146"/>
      <c r="Q857" s="146"/>
      <c r="R857" s="146"/>
      <c r="S857" s="146"/>
      <c r="T857" s="146"/>
      <c r="U857" s="146"/>
      <c r="V857" s="146"/>
      <c r="W857" s="146"/>
      <c r="X857" s="146"/>
      <c r="Y857" s="146"/>
      <c r="Z857" s="146"/>
      <c r="AA857" s="146"/>
    </row>
    <row r="858" ht="22.5" customHeight="1">
      <c r="A858" s="145"/>
      <c r="B858" s="154"/>
      <c r="C858" s="154"/>
      <c r="D858" s="138"/>
      <c r="E858" s="138"/>
      <c r="F858" s="138"/>
      <c r="G858" s="138"/>
      <c r="H858" s="119"/>
      <c r="I858" s="146"/>
      <c r="J858" s="146"/>
      <c r="K858" s="146"/>
      <c r="L858" s="146"/>
      <c r="M858" s="146"/>
      <c r="N858" s="146"/>
      <c r="O858" s="146"/>
      <c r="P858" s="146"/>
      <c r="Q858" s="146"/>
      <c r="R858" s="146"/>
      <c r="S858" s="146"/>
      <c r="T858" s="146"/>
      <c r="U858" s="146"/>
      <c r="V858" s="146"/>
      <c r="W858" s="146"/>
      <c r="X858" s="146"/>
      <c r="Y858" s="146"/>
      <c r="Z858" s="146"/>
      <c r="AA858" s="146"/>
    </row>
    <row r="859" ht="22.5" customHeight="1">
      <c r="A859" s="145"/>
      <c r="B859" s="154"/>
      <c r="C859" s="154"/>
      <c r="D859" s="138"/>
      <c r="E859" s="138"/>
      <c r="F859" s="138"/>
      <c r="G859" s="138"/>
      <c r="H859" s="119"/>
      <c r="I859" s="146"/>
      <c r="J859" s="146"/>
      <c r="K859" s="146"/>
      <c r="L859" s="146"/>
      <c r="M859" s="146"/>
      <c r="N859" s="146"/>
      <c r="O859" s="146"/>
      <c r="P859" s="146"/>
      <c r="Q859" s="146"/>
      <c r="R859" s="146"/>
      <c r="S859" s="146"/>
      <c r="T859" s="146"/>
      <c r="U859" s="146"/>
      <c r="V859" s="146"/>
      <c r="W859" s="146"/>
      <c r="X859" s="146"/>
      <c r="Y859" s="146"/>
      <c r="Z859" s="146"/>
      <c r="AA859" s="146"/>
    </row>
    <row r="860" ht="22.5" customHeight="1">
      <c r="A860" s="145"/>
      <c r="B860" s="154"/>
      <c r="C860" s="154"/>
      <c r="D860" s="138"/>
      <c r="E860" s="138"/>
      <c r="F860" s="138"/>
      <c r="G860" s="138"/>
      <c r="H860" s="119"/>
      <c r="I860" s="146"/>
      <c r="J860" s="146"/>
      <c r="K860" s="146"/>
      <c r="L860" s="146"/>
      <c r="M860" s="146"/>
      <c r="N860" s="146"/>
      <c r="O860" s="146"/>
      <c r="P860" s="146"/>
      <c r="Q860" s="146"/>
      <c r="R860" s="146"/>
      <c r="S860" s="146"/>
      <c r="T860" s="146"/>
      <c r="U860" s="146"/>
      <c r="V860" s="146"/>
      <c r="W860" s="146"/>
      <c r="X860" s="146"/>
      <c r="Y860" s="146"/>
      <c r="Z860" s="146"/>
      <c r="AA860" s="146"/>
    </row>
    <row r="861" ht="22.5" customHeight="1">
      <c r="A861" s="145"/>
      <c r="B861" s="154"/>
      <c r="C861" s="154"/>
      <c r="D861" s="138"/>
      <c r="E861" s="138"/>
      <c r="F861" s="138"/>
      <c r="G861" s="138"/>
      <c r="H861" s="119"/>
      <c r="I861" s="146"/>
      <c r="J861" s="146"/>
      <c r="K861" s="146"/>
      <c r="L861" s="146"/>
      <c r="M861" s="146"/>
      <c r="N861" s="146"/>
      <c r="O861" s="146"/>
      <c r="P861" s="146"/>
      <c r="Q861" s="146"/>
      <c r="R861" s="146"/>
      <c r="S861" s="146"/>
      <c r="T861" s="146"/>
      <c r="U861" s="146"/>
      <c r="V861" s="146"/>
      <c r="W861" s="146"/>
      <c r="X861" s="146"/>
      <c r="Y861" s="146"/>
      <c r="Z861" s="146"/>
      <c r="AA861" s="146"/>
    </row>
    <row r="862" ht="22.5" customHeight="1">
      <c r="A862" s="145"/>
      <c r="B862" s="154"/>
      <c r="C862" s="154"/>
      <c r="D862" s="138"/>
      <c r="E862" s="138"/>
      <c r="F862" s="138"/>
      <c r="G862" s="138"/>
      <c r="H862" s="119"/>
      <c r="I862" s="146"/>
      <c r="J862" s="146"/>
      <c r="K862" s="146"/>
      <c r="L862" s="146"/>
      <c r="M862" s="146"/>
      <c r="N862" s="146"/>
      <c r="O862" s="146"/>
      <c r="P862" s="146"/>
      <c r="Q862" s="146"/>
      <c r="R862" s="146"/>
      <c r="S862" s="146"/>
      <c r="T862" s="146"/>
      <c r="U862" s="146"/>
      <c r="V862" s="146"/>
      <c r="W862" s="146"/>
      <c r="X862" s="146"/>
      <c r="Y862" s="146"/>
      <c r="Z862" s="146"/>
      <c r="AA862" s="146"/>
    </row>
    <row r="863" ht="22.5" customHeight="1">
      <c r="A863" s="145"/>
      <c r="B863" s="154"/>
      <c r="C863" s="154"/>
      <c r="D863" s="138"/>
      <c r="E863" s="138"/>
      <c r="F863" s="138"/>
      <c r="G863" s="138"/>
      <c r="H863" s="119"/>
      <c r="I863" s="146"/>
      <c r="J863" s="146"/>
      <c r="K863" s="146"/>
      <c r="L863" s="146"/>
      <c r="M863" s="146"/>
      <c r="N863" s="146"/>
      <c r="O863" s="146"/>
      <c r="P863" s="146"/>
      <c r="Q863" s="146"/>
      <c r="R863" s="146"/>
      <c r="S863" s="146"/>
      <c r="T863" s="146"/>
      <c r="U863" s="146"/>
      <c r="V863" s="146"/>
      <c r="W863" s="146"/>
      <c r="X863" s="146"/>
      <c r="Y863" s="146"/>
      <c r="Z863" s="146"/>
      <c r="AA863" s="146"/>
    </row>
    <row r="864" ht="22.5" customHeight="1">
      <c r="A864" s="145"/>
      <c r="B864" s="154"/>
      <c r="C864" s="154"/>
      <c r="D864" s="138"/>
      <c r="E864" s="138"/>
      <c r="F864" s="138"/>
      <c r="G864" s="138"/>
      <c r="H864" s="119"/>
      <c r="I864" s="146"/>
      <c r="J864" s="146"/>
      <c r="K864" s="146"/>
      <c r="L864" s="146"/>
      <c r="M864" s="146"/>
      <c r="N864" s="146"/>
      <c r="O864" s="146"/>
      <c r="P864" s="146"/>
      <c r="Q864" s="146"/>
      <c r="R864" s="146"/>
      <c r="S864" s="146"/>
      <c r="T864" s="146"/>
      <c r="U864" s="146"/>
      <c r="V864" s="146"/>
      <c r="W864" s="146"/>
      <c r="X864" s="146"/>
      <c r="Y864" s="146"/>
      <c r="Z864" s="146"/>
      <c r="AA864" s="146"/>
    </row>
    <row r="865" ht="22.5" customHeight="1">
      <c r="A865" s="145"/>
      <c r="B865" s="154"/>
      <c r="C865" s="154"/>
      <c r="D865" s="138"/>
      <c r="E865" s="138"/>
      <c r="F865" s="138"/>
      <c r="G865" s="138"/>
      <c r="H865" s="119"/>
      <c r="I865" s="146"/>
      <c r="J865" s="146"/>
      <c r="K865" s="146"/>
      <c r="L865" s="146"/>
      <c r="M865" s="146"/>
      <c r="N865" s="146"/>
      <c r="O865" s="146"/>
      <c r="P865" s="146"/>
      <c r="Q865" s="146"/>
      <c r="R865" s="146"/>
      <c r="S865" s="146"/>
      <c r="T865" s="146"/>
      <c r="U865" s="146"/>
      <c r="V865" s="146"/>
      <c r="W865" s="146"/>
      <c r="X865" s="146"/>
      <c r="Y865" s="146"/>
      <c r="Z865" s="146"/>
      <c r="AA865" s="146"/>
    </row>
    <row r="866" ht="22.5" customHeight="1">
      <c r="A866" s="145"/>
      <c r="B866" s="154"/>
      <c r="C866" s="154"/>
      <c r="D866" s="138"/>
      <c r="E866" s="138"/>
      <c r="F866" s="138"/>
      <c r="G866" s="138"/>
      <c r="H866" s="119"/>
      <c r="I866" s="146"/>
      <c r="J866" s="146"/>
      <c r="K866" s="146"/>
      <c r="L866" s="146"/>
      <c r="M866" s="146"/>
      <c r="N866" s="146"/>
      <c r="O866" s="146"/>
      <c r="P866" s="146"/>
      <c r="Q866" s="146"/>
      <c r="R866" s="146"/>
      <c r="S866" s="146"/>
      <c r="T866" s="146"/>
      <c r="U866" s="146"/>
      <c r="V866" s="146"/>
      <c r="W866" s="146"/>
      <c r="X866" s="146"/>
      <c r="Y866" s="146"/>
      <c r="Z866" s="146"/>
      <c r="AA866" s="146"/>
    </row>
    <row r="867" ht="22.5" customHeight="1">
      <c r="A867" s="145"/>
      <c r="B867" s="154"/>
      <c r="C867" s="154"/>
      <c r="D867" s="138"/>
      <c r="E867" s="138"/>
      <c r="F867" s="138"/>
      <c r="G867" s="138"/>
      <c r="H867" s="119"/>
      <c r="I867" s="146"/>
      <c r="J867" s="146"/>
      <c r="K867" s="146"/>
      <c r="L867" s="146"/>
      <c r="M867" s="146"/>
      <c r="N867" s="146"/>
      <c r="O867" s="146"/>
      <c r="P867" s="146"/>
      <c r="Q867" s="146"/>
      <c r="R867" s="146"/>
      <c r="S867" s="146"/>
      <c r="T867" s="146"/>
      <c r="U867" s="146"/>
      <c r="V867" s="146"/>
      <c r="W867" s="146"/>
      <c r="X867" s="146"/>
      <c r="Y867" s="146"/>
      <c r="Z867" s="146"/>
      <c r="AA867" s="146"/>
    </row>
    <row r="868" ht="22.5" customHeight="1">
      <c r="A868" s="145"/>
      <c r="B868" s="154"/>
      <c r="C868" s="154"/>
      <c r="D868" s="138"/>
      <c r="E868" s="138"/>
      <c r="F868" s="138"/>
      <c r="G868" s="138"/>
      <c r="H868" s="119"/>
      <c r="I868" s="146"/>
      <c r="J868" s="146"/>
      <c r="K868" s="146"/>
      <c r="L868" s="146"/>
      <c r="M868" s="146"/>
      <c r="N868" s="146"/>
      <c r="O868" s="146"/>
      <c r="P868" s="146"/>
      <c r="Q868" s="146"/>
      <c r="R868" s="146"/>
      <c r="S868" s="146"/>
      <c r="T868" s="146"/>
      <c r="U868" s="146"/>
      <c r="V868" s="146"/>
      <c r="W868" s="146"/>
      <c r="X868" s="146"/>
      <c r="Y868" s="146"/>
      <c r="Z868" s="146"/>
      <c r="AA868" s="146"/>
    </row>
    <row r="869" ht="22.5" customHeight="1">
      <c r="A869" s="145"/>
      <c r="B869" s="154"/>
      <c r="C869" s="154"/>
      <c r="D869" s="138"/>
      <c r="E869" s="138"/>
      <c r="F869" s="138"/>
      <c r="G869" s="138"/>
      <c r="H869" s="119"/>
      <c r="I869" s="146"/>
      <c r="J869" s="146"/>
      <c r="K869" s="146"/>
      <c r="L869" s="146"/>
      <c r="M869" s="146"/>
      <c r="N869" s="146"/>
      <c r="O869" s="146"/>
      <c r="P869" s="146"/>
      <c r="Q869" s="146"/>
      <c r="R869" s="146"/>
      <c r="S869" s="146"/>
      <c r="T869" s="146"/>
      <c r="U869" s="146"/>
      <c r="V869" s="146"/>
      <c r="W869" s="146"/>
      <c r="X869" s="146"/>
      <c r="Y869" s="146"/>
      <c r="Z869" s="146"/>
      <c r="AA869" s="146"/>
    </row>
    <row r="870" ht="22.5" customHeight="1">
      <c r="A870" s="145"/>
      <c r="B870" s="154"/>
      <c r="C870" s="154"/>
      <c r="D870" s="138"/>
      <c r="E870" s="138"/>
      <c r="F870" s="138"/>
      <c r="G870" s="138"/>
      <c r="H870" s="119"/>
      <c r="I870" s="146"/>
      <c r="J870" s="146"/>
      <c r="K870" s="146"/>
      <c r="L870" s="146"/>
      <c r="M870" s="146"/>
      <c r="N870" s="146"/>
      <c r="O870" s="146"/>
      <c r="P870" s="146"/>
      <c r="Q870" s="146"/>
      <c r="R870" s="146"/>
      <c r="S870" s="146"/>
      <c r="T870" s="146"/>
      <c r="U870" s="146"/>
      <c r="V870" s="146"/>
      <c r="W870" s="146"/>
      <c r="X870" s="146"/>
      <c r="Y870" s="146"/>
      <c r="Z870" s="146"/>
      <c r="AA870" s="146"/>
    </row>
    <row r="871" ht="22.5" customHeight="1">
      <c r="A871" s="145"/>
      <c r="B871" s="154"/>
      <c r="C871" s="154"/>
      <c r="D871" s="138"/>
      <c r="E871" s="138"/>
      <c r="F871" s="138"/>
      <c r="G871" s="138"/>
      <c r="H871" s="119"/>
      <c r="I871" s="146"/>
      <c r="J871" s="146"/>
      <c r="K871" s="146"/>
      <c r="L871" s="146"/>
      <c r="M871" s="146"/>
      <c r="N871" s="146"/>
      <c r="O871" s="146"/>
      <c r="P871" s="146"/>
      <c r="Q871" s="146"/>
      <c r="R871" s="146"/>
      <c r="S871" s="146"/>
      <c r="T871" s="146"/>
      <c r="U871" s="146"/>
      <c r="V871" s="146"/>
      <c r="W871" s="146"/>
      <c r="X871" s="146"/>
      <c r="Y871" s="146"/>
      <c r="Z871" s="146"/>
      <c r="AA871" s="146"/>
    </row>
    <row r="872" ht="22.5" customHeight="1">
      <c r="A872" s="145"/>
      <c r="B872" s="154"/>
      <c r="C872" s="154"/>
      <c r="D872" s="138"/>
      <c r="E872" s="138"/>
      <c r="F872" s="138"/>
      <c r="G872" s="138"/>
      <c r="H872" s="119"/>
      <c r="I872" s="146"/>
      <c r="J872" s="146"/>
      <c r="K872" s="146"/>
      <c r="L872" s="146"/>
      <c r="M872" s="146"/>
      <c r="N872" s="146"/>
      <c r="O872" s="146"/>
      <c r="P872" s="146"/>
      <c r="Q872" s="146"/>
      <c r="R872" s="146"/>
      <c r="S872" s="146"/>
      <c r="T872" s="146"/>
      <c r="U872" s="146"/>
      <c r="V872" s="146"/>
      <c r="W872" s="146"/>
      <c r="X872" s="146"/>
      <c r="Y872" s="146"/>
      <c r="Z872" s="146"/>
      <c r="AA872" s="146"/>
    </row>
    <row r="873" ht="22.5" customHeight="1">
      <c r="A873" s="145"/>
      <c r="B873" s="154"/>
      <c r="C873" s="154"/>
      <c r="D873" s="138"/>
      <c r="E873" s="138"/>
      <c r="F873" s="138"/>
      <c r="G873" s="138"/>
      <c r="H873" s="119"/>
      <c r="I873" s="146"/>
      <c r="J873" s="146"/>
      <c r="K873" s="146"/>
      <c r="L873" s="146"/>
      <c r="M873" s="146"/>
      <c r="N873" s="146"/>
      <c r="O873" s="146"/>
      <c r="P873" s="146"/>
      <c r="Q873" s="146"/>
      <c r="R873" s="146"/>
      <c r="S873" s="146"/>
      <c r="T873" s="146"/>
      <c r="U873" s="146"/>
      <c r="V873" s="146"/>
      <c r="W873" s="146"/>
      <c r="X873" s="146"/>
      <c r="Y873" s="146"/>
      <c r="Z873" s="146"/>
      <c r="AA873" s="146"/>
    </row>
    <row r="874" ht="22.5" customHeight="1">
      <c r="A874" s="145"/>
      <c r="B874" s="154"/>
      <c r="C874" s="154"/>
      <c r="D874" s="138"/>
      <c r="E874" s="138"/>
      <c r="F874" s="138"/>
      <c r="G874" s="138"/>
      <c r="H874" s="119"/>
      <c r="I874" s="146"/>
      <c r="J874" s="146"/>
      <c r="K874" s="146"/>
      <c r="L874" s="146"/>
      <c r="M874" s="146"/>
      <c r="N874" s="146"/>
      <c r="O874" s="146"/>
      <c r="P874" s="146"/>
      <c r="Q874" s="146"/>
      <c r="R874" s="146"/>
      <c r="S874" s="146"/>
      <c r="T874" s="146"/>
      <c r="U874" s="146"/>
      <c r="V874" s="146"/>
      <c r="W874" s="146"/>
      <c r="X874" s="146"/>
      <c r="Y874" s="146"/>
      <c r="Z874" s="146"/>
      <c r="AA874" s="146"/>
    </row>
    <row r="875" ht="22.5" customHeight="1">
      <c r="A875" s="145"/>
      <c r="B875" s="154"/>
      <c r="C875" s="154"/>
      <c r="D875" s="138"/>
      <c r="E875" s="138"/>
      <c r="F875" s="138"/>
      <c r="G875" s="138"/>
      <c r="H875" s="119"/>
      <c r="I875" s="146"/>
      <c r="J875" s="146"/>
      <c r="K875" s="146"/>
      <c r="L875" s="146"/>
      <c r="M875" s="146"/>
      <c r="N875" s="146"/>
      <c r="O875" s="146"/>
      <c r="P875" s="146"/>
      <c r="Q875" s="146"/>
      <c r="R875" s="146"/>
      <c r="S875" s="146"/>
      <c r="T875" s="146"/>
      <c r="U875" s="146"/>
      <c r="V875" s="146"/>
      <c r="W875" s="146"/>
      <c r="X875" s="146"/>
      <c r="Y875" s="146"/>
      <c r="Z875" s="146"/>
      <c r="AA875" s="146"/>
    </row>
    <row r="876" ht="22.5" customHeight="1">
      <c r="A876" s="145"/>
      <c r="B876" s="154"/>
      <c r="C876" s="154"/>
      <c r="D876" s="138"/>
      <c r="E876" s="138"/>
      <c r="F876" s="138"/>
      <c r="G876" s="138"/>
      <c r="H876" s="119"/>
      <c r="I876" s="146"/>
      <c r="J876" s="146"/>
      <c r="K876" s="146"/>
      <c r="L876" s="146"/>
      <c r="M876" s="146"/>
      <c r="N876" s="146"/>
      <c r="O876" s="146"/>
      <c r="P876" s="146"/>
      <c r="Q876" s="146"/>
      <c r="R876" s="146"/>
      <c r="S876" s="146"/>
      <c r="T876" s="146"/>
      <c r="U876" s="146"/>
      <c r="V876" s="146"/>
      <c r="W876" s="146"/>
      <c r="X876" s="146"/>
      <c r="Y876" s="146"/>
      <c r="Z876" s="146"/>
      <c r="AA876" s="146"/>
    </row>
    <row r="877" ht="22.5" customHeight="1">
      <c r="A877" s="145"/>
      <c r="B877" s="154"/>
      <c r="C877" s="154"/>
      <c r="D877" s="138"/>
      <c r="E877" s="138"/>
      <c r="F877" s="138"/>
      <c r="G877" s="138"/>
      <c r="H877" s="119"/>
      <c r="I877" s="146"/>
      <c r="J877" s="146"/>
      <c r="K877" s="146"/>
      <c r="L877" s="146"/>
      <c r="M877" s="146"/>
      <c r="N877" s="146"/>
      <c r="O877" s="146"/>
      <c r="P877" s="146"/>
      <c r="Q877" s="146"/>
      <c r="R877" s="146"/>
      <c r="S877" s="146"/>
      <c r="T877" s="146"/>
      <c r="U877" s="146"/>
      <c r="V877" s="146"/>
      <c r="W877" s="146"/>
      <c r="X877" s="146"/>
      <c r="Y877" s="146"/>
      <c r="Z877" s="146"/>
      <c r="AA877" s="146"/>
    </row>
    <row r="878" ht="22.5" customHeight="1">
      <c r="A878" s="145"/>
      <c r="B878" s="154"/>
      <c r="C878" s="154"/>
      <c r="D878" s="138"/>
      <c r="E878" s="138"/>
      <c r="F878" s="138"/>
      <c r="G878" s="138"/>
      <c r="H878" s="119"/>
      <c r="I878" s="146"/>
      <c r="J878" s="146"/>
      <c r="K878" s="146"/>
      <c r="L878" s="146"/>
      <c r="M878" s="146"/>
      <c r="N878" s="146"/>
      <c r="O878" s="146"/>
      <c r="P878" s="146"/>
      <c r="Q878" s="146"/>
      <c r="R878" s="146"/>
      <c r="S878" s="146"/>
      <c r="T878" s="146"/>
      <c r="U878" s="146"/>
      <c r="V878" s="146"/>
      <c r="W878" s="146"/>
      <c r="X878" s="146"/>
      <c r="Y878" s="146"/>
      <c r="Z878" s="146"/>
      <c r="AA878" s="146"/>
    </row>
    <row r="879" ht="22.5" customHeight="1">
      <c r="A879" s="145"/>
      <c r="B879" s="154"/>
      <c r="C879" s="154"/>
      <c r="D879" s="138"/>
      <c r="E879" s="138"/>
      <c r="F879" s="138"/>
      <c r="G879" s="138"/>
      <c r="H879" s="119"/>
      <c r="I879" s="146"/>
      <c r="J879" s="146"/>
      <c r="K879" s="146"/>
      <c r="L879" s="146"/>
      <c r="M879" s="146"/>
      <c r="N879" s="146"/>
      <c r="O879" s="146"/>
      <c r="P879" s="146"/>
      <c r="Q879" s="146"/>
      <c r="R879" s="146"/>
      <c r="S879" s="146"/>
      <c r="T879" s="146"/>
      <c r="U879" s="146"/>
      <c r="V879" s="146"/>
      <c r="W879" s="146"/>
      <c r="X879" s="146"/>
      <c r="Y879" s="146"/>
      <c r="Z879" s="146"/>
      <c r="AA879" s="146"/>
    </row>
    <row r="880" ht="22.5" customHeight="1">
      <c r="A880" s="145"/>
      <c r="B880" s="154"/>
      <c r="C880" s="154"/>
      <c r="D880" s="138"/>
      <c r="E880" s="138"/>
      <c r="F880" s="138"/>
      <c r="G880" s="138"/>
      <c r="H880" s="119"/>
      <c r="I880" s="146"/>
      <c r="J880" s="146"/>
      <c r="K880" s="146"/>
      <c r="L880" s="146"/>
      <c r="M880" s="146"/>
      <c r="N880" s="146"/>
      <c r="O880" s="146"/>
      <c r="P880" s="146"/>
      <c r="Q880" s="146"/>
      <c r="R880" s="146"/>
      <c r="S880" s="146"/>
      <c r="T880" s="146"/>
      <c r="U880" s="146"/>
      <c r="V880" s="146"/>
      <c r="W880" s="146"/>
      <c r="X880" s="146"/>
      <c r="Y880" s="146"/>
      <c r="Z880" s="146"/>
      <c r="AA880" s="146"/>
    </row>
    <row r="881" ht="22.5" customHeight="1">
      <c r="A881" s="145"/>
      <c r="B881" s="154"/>
      <c r="C881" s="154"/>
      <c r="D881" s="138"/>
      <c r="E881" s="138"/>
      <c r="F881" s="138"/>
      <c r="G881" s="138"/>
      <c r="H881" s="119"/>
      <c r="I881" s="146"/>
      <c r="J881" s="146"/>
      <c r="K881" s="146"/>
      <c r="L881" s="146"/>
      <c r="M881" s="146"/>
      <c r="N881" s="146"/>
      <c r="O881" s="146"/>
      <c r="P881" s="146"/>
      <c r="Q881" s="146"/>
      <c r="R881" s="146"/>
      <c r="S881" s="146"/>
      <c r="T881" s="146"/>
      <c r="U881" s="146"/>
      <c r="V881" s="146"/>
      <c r="W881" s="146"/>
      <c r="X881" s="146"/>
      <c r="Y881" s="146"/>
      <c r="Z881" s="146"/>
      <c r="AA881" s="146"/>
    </row>
    <row r="882" ht="22.5" customHeight="1">
      <c r="A882" s="145"/>
      <c r="B882" s="154"/>
      <c r="C882" s="154"/>
      <c r="D882" s="138"/>
      <c r="E882" s="138"/>
      <c r="F882" s="138"/>
      <c r="G882" s="138"/>
      <c r="H882" s="119"/>
      <c r="I882" s="146"/>
      <c r="J882" s="146"/>
      <c r="K882" s="146"/>
      <c r="L882" s="146"/>
      <c r="M882" s="146"/>
      <c r="N882" s="146"/>
      <c r="O882" s="146"/>
      <c r="P882" s="146"/>
      <c r="Q882" s="146"/>
      <c r="R882" s="146"/>
      <c r="S882" s="146"/>
      <c r="T882" s="146"/>
      <c r="U882" s="146"/>
      <c r="V882" s="146"/>
      <c r="W882" s="146"/>
      <c r="X882" s="146"/>
      <c r="Y882" s="146"/>
      <c r="Z882" s="146"/>
      <c r="AA882" s="146"/>
    </row>
    <row r="883" ht="22.5" customHeight="1">
      <c r="A883" s="145"/>
      <c r="B883" s="154"/>
      <c r="C883" s="154"/>
      <c r="D883" s="138"/>
      <c r="E883" s="138"/>
      <c r="F883" s="138"/>
      <c r="G883" s="138"/>
      <c r="H883" s="119"/>
      <c r="I883" s="146"/>
      <c r="J883" s="146"/>
      <c r="K883" s="146"/>
      <c r="L883" s="146"/>
      <c r="M883" s="146"/>
      <c r="N883" s="146"/>
      <c r="O883" s="146"/>
      <c r="P883" s="146"/>
      <c r="Q883" s="146"/>
      <c r="R883" s="146"/>
      <c r="S883" s="146"/>
      <c r="T883" s="146"/>
      <c r="U883" s="146"/>
      <c r="V883" s="146"/>
      <c r="W883" s="146"/>
      <c r="X883" s="146"/>
      <c r="Y883" s="146"/>
      <c r="Z883" s="146"/>
      <c r="AA883" s="146"/>
    </row>
    <row r="884" ht="22.5" customHeight="1">
      <c r="A884" s="145"/>
      <c r="B884" s="154"/>
      <c r="C884" s="154"/>
      <c r="D884" s="138"/>
      <c r="E884" s="138"/>
      <c r="F884" s="138"/>
      <c r="G884" s="138"/>
      <c r="H884" s="119"/>
      <c r="I884" s="146"/>
      <c r="J884" s="146"/>
      <c r="K884" s="146"/>
      <c r="L884" s="146"/>
      <c r="M884" s="146"/>
      <c r="N884" s="146"/>
      <c r="O884" s="146"/>
      <c r="P884" s="146"/>
      <c r="Q884" s="146"/>
      <c r="R884" s="146"/>
      <c r="S884" s="146"/>
      <c r="T884" s="146"/>
      <c r="U884" s="146"/>
      <c r="V884" s="146"/>
      <c r="W884" s="146"/>
      <c r="X884" s="146"/>
      <c r="Y884" s="146"/>
      <c r="Z884" s="146"/>
      <c r="AA884" s="146"/>
    </row>
    <row r="885" ht="22.5" customHeight="1">
      <c r="A885" s="145"/>
      <c r="B885" s="154"/>
      <c r="C885" s="154"/>
      <c r="D885" s="138"/>
      <c r="E885" s="138"/>
      <c r="F885" s="138"/>
      <c r="G885" s="138"/>
      <c r="H885" s="119"/>
      <c r="I885" s="146"/>
      <c r="J885" s="146"/>
      <c r="K885" s="146"/>
      <c r="L885" s="146"/>
      <c r="M885" s="146"/>
      <c r="N885" s="146"/>
      <c r="O885" s="146"/>
      <c r="P885" s="146"/>
      <c r="Q885" s="146"/>
      <c r="R885" s="146"/>
      <c r="S885" s="146"/>
      <c r="T885" s="146"/>
      <c r="U885" s="146"/>
      <c r="V885" s="146"/>
      <c r="W885" s="146"/>
      <c r="X885" s="146"/>
      <c r="Y885" s="146"/>
      <c r="Z885" s="146"/>
      <c r="AA885" s="146"/>
    </row>
    <row r="886" ht="22.5" customHeight="1">
      <c r="A886" s="145"/>
      <c r="B886" s="154"/>
      <c r="C886" s="154"/>
      <c r="D886" s="138"/>
      <c r="E886" s="138"/>
      <c r="F886" s="138"/>
      <c r="G886" s="138"/>
      <c r="H886" s="119"/>
      <c r="I886" s="146"/>
      <c r="J886" s="146"/>
      <c r="K886" s="146"/>
      <c r="L886" s="146"/>
      <c r="M886" s="146"/>
      <c r="N886" s="146"/>
      <c r="O886" s="146"/>
      <c r="P886" s="146"/>
      <c r="Q886" s="146"/>
      <c r="R886" s="146"/>
      <c r="S886" s="146"/>
      <c r="T886" s="146"/>
      <c r="U886" s="146"/>
      <c r="V886" s="146"/>
      <c r="W886" s="146"/>
      <c r="X886" s="146"/>
      <c r="Y886" s="146"/>
      <c r="Z886" s="146"/>
      <c r="AA886" s="146"/>
    </row>
    <row r="887" ht="22.5" customHeight="1">
      <c r="A887" s="145"/>
      <c r="B887" s="154"/>
      <c r="C887" s="154"/>
      <c r="D887" s="138"/>
      <c r="E887" s="138"/>
      <c r="F887" s="138"/>
      <c r="G887" s="138"/>
      <c r="H887" s="119"/>
      <c r="I887" s="146"/>
      <c r="J887" s="146"/>
      <c r="K887" s="146"/>
      <c r="L887" s="146"/>
      <c r="M887" s="146"/>
      <c r="N887" s="146"/>
      <c r="O887" s="146"/>
      <c r="P887" s="146"/>
      <c r="Q887" s="146"/>
      <c r="R887" s="146"/>
      <c r="S887" s="146"/>
      <c r="T887" s="146"/>
      <c r="U887" s="146"/>
      <c r="V887" s="146"/>
      <c r="W887" s="146"/>
      <c r="X887" s="146"/>
      <c r="Y887" s="146"/>
      <c r="Z887" s="146"/>
      <c r="AA887" s="146"/>
    </row>
    <row r="888" ht="22.5" customHeight="1">
      <c r="A888" s="145"/>
      <c r="B888" s="154"/>
      <c r="C888" s="154"/>
      <c r="D888" s="138"/>
      <c r="E888" s="138"/>
      <c r="F888" s="138"/>
      <c r="G888" s="138"/>
      <c r="H888" s="119"/>
      <c r="I888" s="146"/>
      <c r="J888" s="146"/>
      <c r="K888" s="146"/>
      <c r="L888" s="146"/>
      <c r="M888" s="146"/>
      <c r="N888" s="146"/>
      <c r="O888" s="146"/>
      <c r="P888" s="146"/>
      <c r="Q888" s="146"/>
      <c r="R888" s="146"/>
      <c r="S888" s="146"/>
      <c r="T888" s="146"/>
      <c r="U888" s="146"/>
      <c r="V888" s="146"/>
      <c r="W888" s="146"/>
      <c r="X888" s="146"/>
      <c r="Y888" s="146"/>
      <c r="Z888" s="146"/>
      <c r="AA888" s="146"/>
    </row>
    <row r="889" ht="22.5" customHeight="1">
      <c r="A889" s="145"/>
      <c r="B889" s="154"/>
      <c r="C889" s="154"/>
      <c r="D889" s="138"/>
      <c r="E889" s="138"/>
      <c r="F889" s="138"/>
      <c r="G889" s="138"/>
      <c r="H889" s="119"/>
      <c r="I889" s="146"/>
      <c r="J889" s="146"/>
      <c r="K889" s="146"/>
      <c r="L889" s="146"/>
      <c r="M889" s="146"/>
      <c r="N889" s="146"/>
      <c r="O889" s="146"/>
      <c r="P889" s="146"/>
      <c r="Q889" s="146"/>
      <c r="R889" s="146"/>
      <c r="S889" s="146"/>
      <c r="T889" s="146"/>
      <c r="U889" s="146"/>
      <c r="V889" s="146"/>
      <c r="W889" s="146"/>
      <c r="X889" s="146"/>
      <c r="Y889" s="146"/>
      <c r="Z889" s="146"/>
      <c r="AA889" s="146"/>
    </row>
    <row r="890" ht="22.5" customHeight="1">
      <c r="A890" s="145"/>
      <c r="B890" s="154"/>
      <c r="C890" s="154"/>
      <c r="D890" s="138"/>
      <c r="E890" s="138"/>
      <c r="F890" s="138"/>
      <c r="G890" s="138"/>
      <c r="H890" s="119"/>
      <c r="I890" s="146"/>
      <c r="J890" s="146"/>
      <c r="K890" s="146"/>
      <c r="L890" s="146"/>
      <c r="M890" s="146"/>
      <c r="N890" s="146"/>
      <c r="O890" s="146"/>
      <c r="P890" s="146"/>
      <c r="Q890" s="146"/>
      <c r="R890" s="146"/>
      <c r="S890" s="146"/>
      <c r="T890" s="146"/>
      <c r="U890" s="146"/>
      <c r="V890" s="146"/>
      <c r="W890" s="146"/>
      <c r="X890" s="146"/>
      <c r="Y890" s="146"/>
      <c r="Z890" s="146"/>
      <c r="AA890" s="146"/>
    </row>
    <row r="891" ht="22.5" customHeight="1">
      <c r="A891" s="145"/>
      <c r="B891" s="154"/>
      <c r="C891" s="154"/>
      <c r="D891" s="138"/>
      <c r="E891" s="138"/>
      <c r="F891" s="138"/>
      <c r="G891" s="138"/>
      <c r="H891" s="119"/>
      <c r="I891" s="146"/>
      <c r="J891" s="146"/>
      <c r="K891" s="146"/>
      <c r="L891" s="146"/>
      <c r="M891" s="146"/>
      <c r="N891" s="146"/>
      <c r="O891" s="146"/>
      <c r="P891" s="146"/>
      <c r="Q891" s="146"/>
      <c r="R891" s="146"/>
      <c r="S891" s="146"/>
      <c r="T891" s="146"/>
      <c r="U891" s="146"/>
      <c r="V891" s="146"/>
      <c r="W891" s="146"/>
      <c r="X891" s="146"/>
      <c r="Y891" s="146"/>
      <c r="Z891" s="146"/>
      <c r="AA891" s="146"/>
    </row>
    <row r="892" ht="22.5" customHeight="1">
      <c r="A892" s="145"/>
      <c r="B892" s="154"/>
      <c r="C892" s="154"/>
      <c r="D892" s="138"/>
      <c r="E892" s="138"/>
      <c r="F892" s="138"/>
      <c r="G892" s="138"/>
      <c r="H892" s="119"/>
      <c r="I892" s="146"/>
      <c r="J892" s="146"/>
      <c r="K892" s="146"/>
      <c r="L892" s="146"/>
      <c r="M892" s="146"/>
      <c r="N892" s="146"/>
      <c r="O892" s="146"/>
      <c r="P892" s="146"/>
      <c r="Q892" s="146"/>
      <c r="R892" s="146"/>
      <c r="S892" s="146"/>
      <c r="T892" s="146"/>
      <c r="U892" s="146"/>
      <c r="V892" s="146"/>
      <c r="W892" s="146"/>
      <c r="X892" s="146"/>
      <c r="Y892" s="146"/>
      <c r="Z892" s="146"/>
      <c r="AA892" s="146"/>
    </row>
    <row r="893" ht="22.5" customHeight="1">
      <c r="A893" s="145"/>
      <c r="B893" s="154"/>
      <c r="C893" s="154"/>
      <c r="D893" s="138"/>
      <c r="E893" s="138"/>
      <c r="F893" s="138"/>
      <c r="G893" s="138"/>
      <c r="H893" s="119"/>
      <c r="I893" s="146"/>
      <c r="J893" s="146"/>
      <c r="K893" s="146"/>
      <c r="L893" s="146"/>
      <c r="M893" s="146"/>
      <c r="N893" s="146"/>
      <c r="O893" s="146"/>
      <c r="P893" s="146"/>
      <c r="Q893" s="146"/>
      <c r="R893" s="146"/>
      <c r="S893" s="146"/>
      <c r="T893" s="146"/>
      <c r="U893" s="146"/>
      <c r="V893" s="146"/>
      <c r="W893" s="146"/>
      <c r="X893" s="146"/>
      <c r="Y893" s="146"/>
      <c r="Z893" s="146"/>
      <c r="AA893" s="146"/>
    </row>
    <row r="894" ht="22.5" customHeight="1">
      <c r="A894" s="145"/>
      <c r="B894" s="154"/>
      <c r="C894" s="154"/>
      <c r="D894" s="138"/>
      <c r="E894" s="138"/>
      <c r="F894" s="138"/>
      <c r="G894" s="138"/>
      <c r="H894" s="119"/>
      <c r="I894" s="146"/>
      <c r="J894" s="146"/>
      <c r="K894" s="146"/>
      <c r="L894" s="146"/>
      <c r="M894" s="146"/>
      <c r="N894" s="146"/>
      <c r="O894" s="146"/>
      <c r="P894" s="146"/>
      <c r="Q894" s="146"/>
      <c r="R894" s="146"/>
      <c r="S894" s="146"/>
      <c r="T894" s="146"/>
      <c r="U894" s="146"/>
      <c r="V894" s="146"/>
      <c r="W894" s="146"/>
      <c r="X894" s="146"/>
      <c r="Y894" s="146"/>
      <c r="Z894" s="146"/>
      <c r="AA894" s="146"/>
    </row>
    <row r="895" ht="22.5" customHeight="1">
      <c r="A895" s="145"/>
      <c r="B895" s="154"/>
      <c r="C895" s="154"/>
      <c r="D895" s="138"/>
      <c r="E895" s="138"/>
      <c r="F895" s="138"/>
      <c r="G895" s="138"/>
      <c r="H895" s="119"/>
      <c r="I895" s="146"/>
      <c r="J895" s="146"/>
      <c r="K895" s="146"/>
      <c r="L895" s="146"/>
      <c r="M895" s="146"/>
      <c r="N895" s="146"/>
      <c r="O895" s="146"/>
      <c r="P895" s="146"/>
      <c r="Q895" s="146"/>
      <c r="R895" s="146"/>
      <c r="S895" s="146"/>
      <c r="T895" s="146"/>
      <c r="U895" s="146"/>
      <c r="V895" s="146"/>
      <c r="W895" s="146"/>
      <c r="X895" s="146"/>
      <c r="Y895" s="146"/>
      <c r="Z895" s="146"/>
      <c r="AA895" s="146"/>
    </row>
    <row r="896" ht="22.5" customHeight="1">
      <c r="A896" s="145"/>
      <c r="B896" s="154"/>
      <c r="C896" s="154"/>
      <c r="D896" s="138"/>
      <c r="E896" s="138"/>
      <c r="F896" s="138"/>
      <c r="G896" s="138"/>
      <c r="H896" s="119"/>
      <c r="I896" s="146"/>
      <c r="J896" s="146"/>
      <c r="K896" s="146"/>
      <c r="L896" s="146"/>
      <c r="M896" s="146"/>
      <c r="N896" s="146"/>
      <c r="O896" s="146"/>
      <c r="P896" s="146"/>
      <c r="Q896" s="146"/>
      <c r="R896" s="146"/>
      <c r="S896" s="146"/>
      <c r="T896" s="146"/>
      <c r="U896" s="146"/>
      <c r="V896" s="146"/>
      <c r="W896" s="146"/>
      <c r="X896" s="146"/>
      <c r="Y896" s="146"/>
      <c r="Z896" s="146"/>
      <c r="AA896" s="146"/>
    </row>
    <row r="897" ht="22.5" customHeight="1">
      <c r="A897" s="145"/>
      <c r="B897" s="154"/>
      <c r="C897" s="154"/>
      <c r="D897" s="138"/>
      <c r="E897" s="138"/>
      <c r="F897" s="138"/>
      <c r="G897" s="138"/>
      <c r="H897" s="119"/>
      <c r="I897" s="146"/>
      <c r="J897" s="146"/>
      <c r="K897" s="146"/>
      <c r="L897" s="146"/>
      <c r="M897" s="146"/>
      <c r="N897" s="146"/>
      <c r="O897" s="146"/>
      <c r="P897" s="146"/>
      <c r="Q897" s="146"/>
      <c r="R897" s="146"/>
      <c r="S897" s="146"/>
      <c r="T897" s="146"/>
      <c r="U897" s="146"/>
      <c r="V897" s="146"/>
      <c r="W897" s="146"/>
      <c r="X897" s="146"/>
      <c r="Y897" s="146"/>
      <c r="Z897" s="146"/>
      <c r="AA897" s="146"/>
    </row>
    <row r="898" ht="22.5" customHeight="1">
      <c r="A898" s="145"/>
      <c r="B898" s="154"/>
      <c r="C898" s="154"/>
      <c r="D898" s="138"/>
      <c r="E898" s="138"/>
      <c r="F898" s="138"/>
      <c r="G898" s="138"/>
      <c r="H898" s="119"/>
      <c r="I898" s="146"/>
      <c r="J898" s="146"/>
      <c r="K898" s="146"/>
      <c r="L898" s="146"/>
      <c r="M898" s="146"/>
      <c r="N898" s="146"/>
      <c r="O898" s="146"/>
      <c r="P898" s="146"/>
      <c r="Q898" s="146"/>
      <c r="R898" s="146"/>
      <c r="S898" s="146"/>
      <c r="T898" s="146"/>
      <c r="U898" s="146"/>
      <c r="V898" s="146"/>
      <c r="W898" s="146"/>
      <c r="X898" s="146"/>
      <c r="Y898" s="146"/>
      <c r="Z898" s="146"/>
      <c r="AA898" s="146"/>
    </row>
    <row r="899" ht="22.5" customHeight="1">
      <c r="A899" s="145"/>
      <c r="B899" s="154"/>
      <c r="C899" s="154"/>
      <c r="D899" s="138"/>
      <c r="E899" s="138"/>
      <c r="F899" s="138"/>
      <c r="G899" s="138"/>
      <c r="H899" s="119"/>
      <c r="I899" s="146"/>
      <c r="J899" s="146"/>
      <c r="K899" s="146"/>
      <c r="L899" s="146"/>
      <c r="M899" s="146"/>
      <c r="N899" s="146"/>
      <c r="O899" s="146"/>
      <c r="P899" s="146"/>
      <c r="Q899" s="146"/>
      <c r="R899" s="146"/>
      <c r="S899" s="146"/>
      <c r="T899" s="146"/>
      <c r="U899" s="146"/>
      <c r="V899" s="146"/>
      <c r="W899" s="146"/>
      <c r="X899" s="146"/>
      <c r="Y899" s="146"/>
      <c r="Z899" s="146"/>
      <c r="AA899" s="146"/>
    </row>
    <row r="900" ht="22.5" customHeight="1">
      <c r="A900" s="145"/>
      <c r="B900" s="154"/>
      <c r="C900" s="154"/>
      <c r="D900" s="138"/>
      <c r="E900" s="138"/>
      <c r="F900" s="138"/>
      <c r="G900" s="138"/>
      <c r="H900" s="119"/>
      <c r="I900" s="146"/>
      <c r="J900" s="146"/>
      <c r="K900" s="146"/>
      <c r="L900" s="146"/>
      <c r="M900" s="146"/>
      <c r="N900" s="146"/>
      <c r="O900" s="146"/>
      <c r="P900" s="146"/>
      <c r="Q900" s="146"/>
      <c r="R900" s="146"/>
      <c r="S900" s="146"/>
      <c r="T900" s="146"/>
      <c r="U900" s="146"/>
      <c r="V900" s="146"/>
      <c r="W900" s="146"/>
      <c r="X900" s="146"/>
      <c r="Y900" s="146"/>
      <c r="Z900" s="146"/>
      <c r="AA900" s="146"/>
    </row>
    <row r="901" ht="22.5" customHeight="1">
      <c r="A901" s="145"/>
      <c r="B901" s="154"/>
      <c r="C901" s="154"/>
      <c r="D901" s="138"/>
      <c r="E901" s="138"/>
      <c r="F901" s="138"/>
      <c r="G901" s="138"/>
      <c r="H901" s="119"/>
      <c r="I901" s="146"/>
      <c r="J901" s="146"/>
      <c r="K901" s="146"/>
      <c r="L901" s="146"/>
      <c r="M901" s="146"/>
      <c r="N901" s="146"/>
      <c r="O901" s="146"/>
      <c r="P901" s="146"/>
      <c r="Q901" s="146"/>
      <c r="R901" s="146"/>
      <c r="S901" s="146"/>
      <c r="T901" s="146"/>
      <c r="U901" s="146"/>
      <c r="V901" s="146"/>
      <c r="W901" s="146"/>
      <c r="X901" s="146"/>
      <c r="Y901" s="146"/>
      <c r="Z901" s="146"/>
      <c r="AA901" s="146"/>
    </row>
    <row r="902" ht="22.5" customHeight="1">
      <c r="A902" s="145"/>
      <c r="B902" s="154"/>
      <c r="C902" s="154"/>
      <c r="D902" s="138"/>
      <c r="E902" s="138"/>
      <c r="F902" s="138"/>
      <c r="G902" s="138"/>
      <c r="H902" s="119"/>
      <c r="I902" s="146"/>
      <c r="J902" s="146"/>
      <c r="K902" s="146"/>
      <c r="L902" s="146"/>
      <c r="M902" s="146"/>
      <c r="N902" s="146"/>
      <c r="O902" s="146"/>
      <c r="P902" s="146"/>
      <c r="Q902" s="146"/>
      <c r="R902" s="146"/>
      <c r="S902" s="146"/>
      <c r="T902" s="146"/>
      <c r="U902" s="146"/>
      <c r="V902" s="146"/>
      <c r="W902" s="146"/>
      <c r="X902" s="146"/>
      <c r="Y902" s="146"/>
      <c r="Z902" s="146"/>
      <c r="AA902" s="146"/>
    </row>
    <row r="903" ht="22.5" customHeight="1">
      <c r="A903" s="145"/>
      <c r="B903" s="154"/>
      <c r="C903" s="154"/>
      <c r="D903" s="138"/>
      <c r="E903" s="138"/>
      <c r="F903" s="138"/>
      <c r="G903" s="138"/>
      <c r="H903" s="119"/>
      <c r="I903" s="146"/>
      <c r="J903" s="146"/>
      <c r="K903" s="146"/>
      <c r="L903" s="146"/>
      <c r="M903" s="146"/>
      <c r="N903" s="146"/>
      <c r="O903" s="146"/>
      <c r="P903" s="146"/>
      <c r="Q903" s="146"/>
      <c r="R903" s="146"/>
      <c r="S903" s="146"/>
      <c r="T903" s="146"/>
      <c r="U903" s="146"/>
      <c r="V903" s="146"/>
      <c r="W903" s="146"/>
      <c r="X903" s="146"/>
      <c r="Y903" s="146"/>
      <c r="Z903" s="146"/>
      <c r="AA903" s="146"/>
    </row>
    <row r="904" ht="22.5" customHeight="1">
      <c r="A904" s="145"/>
      <c r="B904" s="154"/>
      <c r="C904" s="154"/>
      <c r="D904" s="138"/>
      <c r="E904" s="138"/>
      <c r="F904" s="138"/>
      <c r="G904" s="138"/>
      <c r="H904" s="119"/>
      <c r="I904" s="146"/>
      <c r="J904" s="146"/>
      <c r="K904" s="146"/>
      <c r="L904" s="146"/>
      <c r="M904" s="146"/>
      <c r="N904" s="146"/>
      <c r="O904" s="146"/>
      <c r="P904" s="146"/>
      <c r="Q904" s="146"/>
      <c r="R904" s="146"/>
      <c r="S904" s="146"/>
      <c r="T904" s="146"/>
      <c r="U904" s="146"/>
      <c r="V904" s="146"/>
      <c r="W904" s="146"/>
      <c r="X904" s="146"/>
      <c r="Y904" s="146"/>
      <c r="Z904" s="146"/>
      <c r="AA904" s="146"/>
    </row>
    <row r="905" ht="22.5" customHeight="1">
      <c r="A905" s="145"/>
      <c r="B905" s="154"/>
      <c r="C905" s="154"/>
      <c r="D905" s="138"/>
      <c r="E905" s="138"/>
      <c r="F905" s="138"/>
      <c r="G905" s="138"/>
      <c r="H905" s="119"/>
      <c r="I905" s="146"/>
      <c r="J905" s="146"/>
      <c r="K905" s="146"/>
      <c r="L905" s="146"/>
      <c r="M905" s="146"/>
      <c r="N905" s="146"/>
      <c r="O905" s="146"/>
      <c r="P905" s="146"/>
      <c r="Q905" s="146"/>
      <c r="R905" s="146"/>
      <c r="S905" s="146"/>
      <c r="T905" s="146"/>
      <c r="U905" s="146"/>
      <c r="V905" s="146"/>
      <c r="W905" s="146"/>
      <c r="X905" s="146"/>
      <c r="Y905" s="146"/>
      <c r="Z905" s="146"/>
      <c r="AA905" s="146"/>
    </row>
    <row r="906" ht="22.5" customHeight="1">
      <c r="A906" s="145"/>
      <c r="B906" s="154"/>
      <c r="C906" s="154"/>
      <c r="D906" s="138"/>
      <c r="E906" s="138"/>
      <c r="F906" s="138"/>
      <c r="G906" s="138"/>
      <c r="H906" s="119"/>
      <c r="I906" s="146"/>
      <c r="J906" s="146"/>
      <c r="K906" s="146"/>
      <c r="L906" s="146"/>
      <c r="M906" s="146"/>
      <c r="N906" s="146"/>
      <c r="O906" s="146"/>
      <c r="P906" s="146"/>
      <c r="Q906" s="146"/>
      <c r="R906" s="146"/>
      <c r="S906" s="146"/>
      <c r="T906" s="146"/>
      <c r="U906" s="146"/>
      <c r="V906" s="146"/>
      <c r="W906" s="146"/>
      <c r="X906" s="146"/>
      <c r="Y906" s="146"/>
      <c r="Z906" s="146"/>
      <c r="AA906" s="146"/>
    </row>
    <row r="907" ht="22.5" customHeight="1">
      <c r="A907" s="145"/>
      <c r="B907" s="154"/>
      <c r="C907" s="154"/>
      <c r="D907" s="138"/>
      <c r="E907" s="138"/>
      <c r="F907" s="138"/>
      <c r="G907" s="138"/>
      <c r="H907" s="119"/>
      <c r="I907" s="146"/>
      <c r="J907" s="146"/>
      <c r="K907" s="146"/>
      <c r="L907" s="146"/>
      <c r="M907" s="146"/>
      <c r="N907" s="146"/>
      <c r="O907" s="146"/>
      <c r="P907" s="146"/>
      <c r="Q907" s="146"/>
      <c r="R907" s="146"/>
      <c r="S907" s="146"/>
      <c r="T907" s="146"/>
      <c r="U907" s="146"/>
      <c r="V907" s="146"/>
      <c r="W907" s="146"/>
      <c r="X907" s="146"/>
      <c r="Y907" s="146"/>
      <c r="Z907" s="146"/>
      <c r="AA907" s="146"/>
    </row>
    <row r="908" ht="22.5" customHeight="1">
      <c r="A908" s="145"/>
      <c r="B908" s="154"/>
      <c r="C908" s="154"/>
      <c r="D908" s="138"/>
      <c r="E908" s="138"/>
      <c r="F908" s="138"/>
      <c r="G908" s="138"/>
      <c r="H908" s="119"/>
      <c r="I908" s="146"/>
      <c r="J908" s="146"/>
      <c r="K908" s="146"/>
      <c r="L908" s="146"/>
      <c r="M908" s="146"/>
      <c r="N908" s="146"/>
      <c r="O908" s="146"/>
      <c r="P908" s="146"/>
      <c r="Q908" s="146"/>
      <c r="R908" s="146"/>
      <c r="S908" s="146"/>
      <c r="T908" s="146"/>
      <c r="U908" s="146"/>
      <c r="V908" s="146"/>
      <c r="W908" s="146"/>
      <c r="X908" s="146"/>
      <c r="Y908" s="146"/>
      <c r="Z908" s="146"/>
      <c r="AA908" s="146"/>
    </row>
    <row r="909" ht="22.5" customHeight="1">
      <c r="A909" s="145"/>
      <c r="B909" s="154"/>
      <c r="C909" s="154"/>
      <c r="D909" s="138"/>
      <c r="E909" s="138"/>
      <c r="F909" s="138"/>
      <c r="G909" s="138"/>
      <c r="H909" s="119"/>
      <c r="I909" s="146"/>
      <c r="J909" s="146"/>
      <c r="K909" s="146"/>
      <c r="L909" s="146"/>
      <c r="M909" s="146"/>
      <c r="N909" s="146"/>
      <c r="O909" s="146"/>
      <c r="P909" s="146"/>
      <c r="Q909" s="146"/>
      <c r="R909" s="146"/>
      <c r="S909" s="146"/>
      <c r="T909" s="146"/>
      <c r="U909" s="146"/>
      <c r="V909" s="146"/>
      <c r="W909" s="146"/>
      <c r="X909" s="146"/>
      <c r="Y909" s="146"/>
      <c r="Z909" s="146"/>
      <c r="AA909" s="146"/>
    </row>
    <row r="910" ht="22.5" customHeight="1">
      <c r="A910" s="145"/>
      <c r="B910" s="154"/>
      <c r="C910" s="154"/>
      <c r="D910" s="138"/>
      <c r="E910" s="138"/>
      <c r="F910" s="138"/>
      <c r="G910" s="138"/>
      <c r="H910" s="119"/>
      <c r="I910" s="146"/>
      <c r="J910" s="146"/>
      <c r="K910" s="146"/>
      <c r="L910" s="146"/>
      <c r="M910" s="146"/>
      <c r="N910" s="146"/>
      <c r="O910" s="146"/>
      <c r="P910" s="146"/>
      <c r="Q910" s="146"/>
      <c r="R910" s="146"/>
      <c r="S910" s="146"/>
      <c r="T910" s="146"/>
      <c r="U910" s="146"/>
      <c r="V910" s="146"/>
      <c r="W910" s="146"/>
      <c r="X910" s="146"/>
      <c r="Y910" s="146"/>
      <c r="Z910" s="146"/>
      <c r="AA910" s="146"/>
    </row>
    <row r="911" ht="22.5" customHeight="1">
      <c r="A911" s="145"/>
      <c r="B911" s="154"/>
      <c r="C911" s="154"/>
      <c r="D911" s="138"/>
      <c r="E911" s="138"/>
      <c r="F911" s="138"/>
      <c r="G911" s="138"/>
      <c r="H911" s="119"/>
      <c r="I911" s="146"/>
      <c r="J911" s="146"/>
      <c r="K911" s="146"/>
      <c r="L911" s="146"/>
      <c r="M911" s="146"/>
      <c r="N911" s="146"/>
      <c r="O911" s="146"/>
      <c r="P911" s="146"/>
      <c r="Q911" s="146"/>
      <c r="R911" s="146"/>
      <c r="S911" s="146"/>
      <c r="T911" s="146"/>
      <c r="U911" s="146"/>
      <c r="V911" s="146"/>
      <c r="W911" s="146"/>
      <c r="X911" s="146"/>
      <c r="Y911" s="146"/>
      <c r="Z911" s="146"/>
      <c r="AA911" s="146"/>
    </row>
    <row r="912" ht="22.5" customHeight="1">
      <c r="A912" s="145"/>
      <c r="B912" s="154"/>
      <c r="C912" s="154"/>
      <c r="D912" s="138"/>
      <c r="E912" s="138"/>
      <c r="F912" s="138"/>
      <c r="G912" s="138"/>
      <c r="H912" s="119"/>
      <c r="I912" s="146"/>
      <c r="J912" s="146"/>
      <c r="K912" s="146"/>
      <c r="L912" s="146"/>
      <c r="M912" s="146"/>
      <c r="N912" s="146"/>
      <c r="O912" s="146"/>
      <c r="P912" s="146"/>
      <c r="Q912" s="146"/>
      <c r="R912" s="146"/>
      <c r="S912" s="146"/>
      <c r="T912" s="146"/>
      <c r="U912" s="146"/>
      <c r="V912" s="146"/>
      <c r="W912" s="146"/>
      <c r="X912" s="146"/>
      <c r="Y912" s="146"/>
      <c r="Z912" s="146"/>
      <c r="AA912" s="146"/>
    </row>
    <row r="913" ht="22.5" customHeight="1">
      <c r="A913" s="145"/>
      <c r="B913" s="154"/>
      <c r="C913" s="154"/>
      <c r="D913" s="138"/>
      <c r="E913" s="138"/>
      <c r="F913" s="138"/>
      <c r="G913" s="138"/>
      <c r="H913" s="119"/>
      <c r="I913" s="146"/>
      <c r="J913" s="146"/>
      <c r="K913" s="146"/>
      <c r="L913" s="146"/>
      <c r="M913" s="146"/>
      <c r="N913" s="146"/>
      <c r="O913" s="146"/>
      <c r="P913" s="146"/>
      <c r="Q913" s="146"/>
      <c r="R913" s="146"/>
      <c r="S913" s="146"/>
      <c r="T913" s="146"/>
      <c r="U913" s="146"/>
      <c r="V913" s="146"/>
      <c r="W913" s="146"/>
      <c r="X913" s="146"/>
      <c r="Y913" s="146"/>
      <c r="Z913" s="146"/>
      <c r="AA913" s="146"/>
    </row>
    <row r="914" ht="22.5" customHeight="1">
      <c r="A914" s="145"/>
      <c r="B914" s="154"/>
      <c r="C914" s="154"/>
      <c r="D914" s="138"/>
      <c r="E914" s="138"/>
      <c r="F914" s="138"/>
      <c r="G914" s="138"/>
      <c r="H914" s="119"/>
      <c r="I914" s="146"/>
      <c r="J914" s="146"/>
      <c r="K914" s="146"/>
      <c r="L914" s="146"/>
      <c r="M914" s="146"/>
      <c r="N914" s="146"/>
      <c r="O914" s="146"/>
      <c r="P914" s="146"/>
      <c r="Q914" s="146"/>
      <c r="R914" s="146"/>
      <c r="S914" s="146"/>
      <c r="T914" s="146"/>
      <c r="U914" s="146"/>
      <c r="V914" s="146"/>
      <c r="W914" s="146"/>
      <c r="X914" s="146"/>
      <c r="Y914" s="146"/>
      <c r="Z914" s="146"/>
      <c r="AA914" s="146"/>
    </row>
    <row r="915" ht="22.5" customHeight="1">
      <c r="A915" s="145"/>
      <c r="B915" s="154"/>
      <c r="C915" s="154"/>
      <c r="D915" s="138"/>
      <c r="E915" s="138"/>
      <c r="F915" s="138"/>
      <c r="G915" s="138"/>
      <c r="H915" s="119"/>
      <c r="I915" s="146"/>
      <c r="J915" s="146"/>
      <c r="K915" s="146"/>
      <c r="L915" s="146"/>
      <c r="M915" s="146"/>
      <c r="N915" s="146"/>
      <c r="O915" s="146"/>
      <c r="P915" s="146"/>
      <c r="Q915" s="146"/>
      <c r="R915" s="146"/>
      <c r="S915" s="146"/>
      <c r="T915" s="146"/>
      <c r="U915" s="146"/>
      <c r="V915" s="146"/>
      <c r="W915" s="146"/>
      <c r="X915" s="146"/>
      <c r="Y915" s="146"/>
      <c r="Z915" s="146"/>
      <c r="AA915" s="146"/>
    </row>
    <row r="916" ht="22.5" customHeight="1">
      <c r="A916" s="145"/>
      <c r="B916" s="154"/>
      <c r="C916" s="154"/>
      <c r="D916" s="138"/>
      <c r="E916" s="138"/>
      <c r="F916" s="138"/>
      <c r="G916" s="138"/>
      <c r="H916" s="119"/>
      <c r="I916" s="146"/>
      <c r="J916" s="146"/>
      <c r="K916" s="146"/>
      <c r="L916" s="146"/>
      <c r="M916" s="146"/>
      <c r="N916" s="146"/>
      <c r="O916" s="146"/>
      <c r="P916" s="146"/>
      <c r="Q916" s="146"/>
      <c r="R916" s="146"/>
      <c r="S916" s="146"/>
      <c r="T916" s="146"/>
      <c r="U916" s="146"/>
      <c r="V916" s="146"/>
      <c r="W916" s="146"/>
      <c r="X916" s="146"/>
      <c r="Y916" s="146"/>
      <c r="Z916" s="146"/>
      <c r="AA916" s="146"/>
    </row>
    <row r="917" ht="22.5" customHeight="1">
      <c r="A917" s="145"/>
      <c r="B917" s="154"/>
      <c r="C917" s="154"/>
      <c r="D917" s="138"/>
      <c r="E917" s="138"/>
      <c r="F917" s="138"/>
      <c r="G917" s="138"/>
      <c r="H917" s="119"/>
      <c r="I917" s="146"/>
      <c r="J917" s="146"/>
      <c r="K917" s="146"/>
      <c r="L917" s="146"/>
      <c r="M917" s="146"/>
      <c r="N917" s="146"/>
      <c r="O917" s="146"/>
      <c r="P917" s="146"/>
      <c r="Q917" s="146"/>
      <c r="R917" s="146"/>
      <c r="S917" s="146"/>
      <c r="T917" s="146"/>
      <c r="U917" s="146"/>
      <c r="V917" s="146"/>
      <c r="W917" s="146"/>
      <c r="X917" s="146"/>
      <c r="Y917" s="146"/>
      <c r="Z917" s="146"/>
      <c r="AA917" s="146"/>
    </row>
    <row r="918" ht="22.5" customHeight="1">
      <c r="A918" s="145"/>
      <c r="B918" s="154"/>
      <c r="C918" s="154"/>
      <c r="D918" s="138"/>
      <c r="E918" s="138"/>
      <c r="F918" s="138"/>
      <c r="G918" s="138"/>
      <c r="H918" s="119"/>
      <c r="I918" s="146"/>
      <c r="J918" s="146"/>
      <c r="K918" s="146"/>
      <c r="L918" s="146"/>
      <c r="M918" s="146"/>
      <c r="N918" s="146"/>
      <c r="O918" s="146"/>
      <c r="P918" s="146"/>
      <c r="Q918" s="146"/>
      <c r="R918" s="146"/>
      <c r="S918" s="146"/>
      <c r="T918" s="146"/>
      <c r="U918" s="146"/>
      <c r="V918" s="146"/>
      <c r="W918" s="146"/>
      <c r="X918" s="146"/>
      <c r="Y918" s="146"/>
      <c r="Z918" s="146"/>
      <c r="AA918" s="146"/>
    </row>
    <row r="919" ht="22.5" customHeight="1">
      <c r="A919" s="145"/>
      <c r="B919" s="154"/>
      <c r="C919" s="154"/>
      <c r="D919" s="138"/>
      <c r="E919" s="138"/>
      <c r="F919" s="138"/>
      <c r="G919" s="138"/>
      <c r="H919" s="119"/>
      <c r="I919" s="146"/>
      <c r="J919" s="146"/>
      <c r="K919" s="146"/>
      <c r="L919" s="146"/>
      <c r="M919" s="146"/>
      <c r="N919" s="146"/>
      <c r="O919" s="146"/>
      <c r="P919" s="146"/>
      <c r="Q919" s="146"/>
      <c r="R919" s="146"/>
      <c r="S919" s="146"/>
      <c r="T919" s="146"/>
      <c r="U919" s="146"/>
      <c r="V919" s="146"/>
      <c r="W919" s="146"/>
      <c r="X919" s="146"/>
      <c r="Y919" s="146"/>
      <c r="Z919" s="146"/>
      <c r="AA919" s="146"/>
    </row>
    <row r="920" ht="22.5" customHeight="1">
      <c r="A920" s="145"/>
      <c r="B920" s="154"/>
      <c r="C920" s="154"/>
      <c r="D920" s="138"/>
      <c r="E920" s="138"/>
      <c r="F920" s="138"/>
      <c r="G920" s="138"/>
      <c r="H920" s="119"/>
      <c r="I920" s="146"/>
      <c r="J920" s="146"/>
      <c r="K920" s="146"/>
      <c r="L920" s="146"/>
      <c r="M920" s="146"/>
      <c r="N920" s="146"/>
      <c r="O920" s="146"/>
      <c r="P920" s="146"/>
      <c r="Q920" s="146"/>
      <c r="R920" s="146"/>
      <c r="S920" s="146"/>
      <c r="T920" s="146"/>
      <c r="U920" s="146"/>
      <c r="V920" s="146"/>
      <c r="W920" s="146"/>
      <c r="X920" s="146"/>
      <c r="Y920" s="146"/>
      <c r="Z920" s="146"/>
      <c r="AA920" s="146"/>
    </row>
    <row r="921" ht="22.5" customHeight="1">
      <c r="A921" s="145"/>
      <c r="B921" s="154"/>
      <c r="C921" s="154"/>
      <c r="D921" s="138"/>
      <c r="E921" s="138"/>
      <c r="F921" s="138"/>
      <c r="G921" s="138"/>
      <c r="H921" s="119"/>
      <c r="I921" s="146"/>
      <c r="J921" s="146"/>
      <c r="K921" s="146"/>
      <c r="L921" s="146"/>
      <c r="M921" s="146"/>
      <c r="N921" s="146"/>
      <c r="O921" s="146"/>
      <c r="P921" s="146"/>
      <c r="Q921" s="146"/>
      <c r="R921" s="146"/>
      <c r="S921" s="146"/>
      <c r="T921" s="146"/>
      <c r="U921" s="146"/>
      <c r="V921" s="146"/>
      <c r="W921" s="146"/>
      <c r="X921" s="146"/>
      <c r="Y921" s="146"/>
      <c r="Z921" s="146"/>
      <c r="AA921" s="146"/>
    </row>
    <row r="922" ht="22.5" customHeight="1">
      <c r="A922" s="145"/>
      <c r="B922" s="154"/>
      <c r="C922" s="154"/>
      <c r="D922" s="138"/>
      <c r="E922" s="138"/>
      <c r="F922" s="138"/>
      <c r="G922" s="138"/>
      <c r="H922" s="119"/>
      <c r="I922" s="146"/>
      <c r="J922" s="146"/>
      <c r="K922" s="146"/>
      <c r="L922" s="146"/>
      <c r="M922" s="146"/>
      <c r="N922" s="146"/>
      <c r="O922" s="146"/>
      <c r="P922" s="146"/>
      <c r="Q922" s="146"/>
      <c r="R922" s="146"/>
      <c r="S922" s="146"/>
      <c r="T922" s="146"/>
      <c r="U922" s="146"/>
      <c r="V922" s="146"/>
      <c r="W922" s="146"/>
      <c r="X922" s="146"/>
      <c r="Y922" s="146"/>
      <c r="Z922" s="146"/>
      <c r="AA922" s="146"/>
    </row>
    <row r="923" ht="22.5" customHeight="1">
      <c r="A923" s="145"/>
      <c r="B923" s="154"/>
      <c r="C923" s="154"/>
      <c r="D923" s="138"/>
      <c r="E923" s="138"/>
      <c r="F923" s="138"/>
      <c r="G923" s="138"/>
      <c r="H923" s="119"/>
      <c r="I923" s="146"/>
      <c r="J923" s="146"/>
      <c r="K923" s="146"/>
      <c r="L923" s="146"/>
      <c r="M923" s="146"/>
      <c r="N923" s="146"/>
      <c r="O923" s="146"/>
      <c r="P923" s="146"/>
      <c r="Q923" s="146"/>
      <c r="R923" s="146"/>
      <c r="S923" s="146"/>
      <c r="T923" s="146"/>
      <c r="U923" s="146"/>
      <c r="V923" s="146"/>
      <c r="W923" s="146"/>
      <c r="X923" s="146"/>
      <c r="Y923" s="146"/>
      <c r="Z923" s="146"/>
      <c r="AA923" s="146"/>
    </row>
    <row r="924" ht="22.5" customHeight="1">
      <c r="A924" s="145"/>
      <c r="B924" s="154"/>
      <c r="C924" s="154"/>
      <c r="D924" s="138"/>
      <c r="E924" s="138"/>
      <c r="F924" s="138"/>
      <c r="G924" s="138"/>
      <c r="H924" s="119"/>
      <c r="I924" s="146"/>
      <c r="J924" s="146"/>
      <c r="K924" s="146"/>
      <c r="L924" s="146"/>
      <c r="M924" s="146"/>
      <c r="N924" s="146"/>
      <c r="O924" s="146"/>
      <c r="P924" s="146"/>
      <c r="Q924" s="146"/>
      <c r="R924" s="146"/>
      <c r="S924" s="146"/>
      <c r="T924" s="146"/>
      <c r="U924" s="146"/>
      <c r="V924" s="146"/>
      <c r="W924" s="146"/>
      <c r="X924" s="146"/>
      <c r="Y924" s="146"/>
      <c r="Z924" s="146"/>
      <c r="AA924" s="146"/>
    </row>
    <row r="925" ht="22.5" customHeight="1">
      <c r="A925" s="145"/>
      <c r="B925" s="154"/>
      <c r="C925" s="154"/>
      <c r="D925" s="138"/>
      <c r="E925" s="138"/>
      <c r="F925" s="138"/>
      <c r="G925" s="138"/>
      <c r="H925" s="119"/>
      <c r="I925" s="146"/>
      <c r="J925" s="146"/>
      <c r="K925" s="146"/>
      <c r="L925" s="146"/>
      <c r="M925" s="146"/>
      <c r="N925" s="146"/>
      <c r="O925" s="146"/>
      <c r="P925" s="146"/>
      <c r="Q925" s="146"/>
      <c r="R925" s="146"/>
      <c r="S925" s="146"/>
      <c r="T925" s="146"/>
      <c r="U925" s="146"/>
      <c r="V925" s="146"/>
      <c r="W925" s="146"/>
      <c r="X925" s="146"/>
      <c r="Y925" s="146"/>
      <c r="Z925" s="146"/>
      <c r="AA925" s="146"/>
    </row>
    <row r="926" ht="22.5" customHeight="1">
      <c r="A926" s="145"/>
      <c r="B926" s="154"/>
      <c r="C926" s="154"/>
      <c r="D926" s="138"/>
      <c r="E926" s="138"/>
      <c r="F926" s="138"/>
      <c r="G926" s="138"/>
      <c r="H926" s="119"/>
      <c r="I926" s="146"/>
      <c r="J926" s="146"/>
      <c r="K926" s="146"/>
      <c r="L926" s="146"/>
      <c r="M926" s="146"/>
      <c r="N926" s="146"/>
      <c r="O926" s="146"/>
      <c r="P926" s="146"/>
      <c r="Q926" s="146"/>
      <c r="R926" s="146"/>
      <c r="S926" s="146"/>
      <c r="T926" s="146"/>
      <c r="U926" s="146"/>
      <c r="V926" s="146"/>
      <c r="W926" s="146"/>
      <c r="X926" s="146"/>
      <c r="Y926" s="146"/>
      <c r="Z926" s="146"/>
      <c r="AA926" s="146"/>
    </row>
    <row r="927" ht="22.5" customHeight="1">
      <c r="A927" s="145"/>
      <c r="B927" s="154"/>
      <c r="C927" s="154"/>
      <c r="D927" s="138"/>
      <c r="E927" s="138"/>
      <c r="F927" s="138"/>
      <c r="G927" s="138"/>
      <c r="H927" s="119"/>
      <c r="I927" s="146"/>
      <c r="J927" s="146"/>
      <c r="K927" s="146"/>
      <c r="L927" s="146"/>
      <c r="M927" s="146"/>
      <c r="N927" s="146"/>
      <c r="O927" s="146"/>
      <c r="P927" s="146"/>
      <c r="Q927" s="146"/>
      <c r="R927" s="146"/>
      <c r="S927" s="146"/>
      <c r="T927" s="146"/>
      <c r="U927" s="146"/>
      <c r="V927" s="146"/>
      <c r="W927" s="146"/>
      <c r="X927" s="146"/>
      <c r="Y927" s="146"/>
      <c r="Z927" s="146"/>
      <c r="AA927" s="146"/>
    </row>
    <row r="928" ht="22.5" customHeight="1">
      <c r="A928" s="145"/>
      <c r="B928" s="154"/>
      <c r="C928" s="154"/>
      <c r="D928" s="138"/>
      <c r="E928" s="138"/>
      <c r="F928" s="138"/>
      <c r="G928" s="138"/>
      <c r="H928" s="119"/>
      <c r="I928" s="146"/>
      <c r="J928" s="146"/>
      <c r="K928" s="146"/>
      <c r="L928" s="146"/>
      <c r="M928" s="146"/>
      <c r="N928" s="146"/>
      <c r="O928" s="146"/>
      <c r="P928" s="146"/>
      <c r="Q928" s="146"/>
      <c r="R928" s="146"/>
      <c r="S928" s="146"/>
      <c r="T928" s="146"/>
      <c r="U928" s="146"/>
      <c r="V928" s="146"/>
      <c r="W928" s="146"/>
      <c r="X928" s="146"/>
      <c r="Y928" s="146"/>
      <c r="Z928" s="146"/>
      <c r="AA928" s="146"/>
    </row>
    <row r="929" ht="22.5" customHeight="1">
      <c r="A929" s="145"/>
      <c r="B929" s="154"/>
      <c r="C929" s="154"/>
      <c r="D929" s="138"/>
      <c r="E929" s="138"/>
      <c r="F929" s="138"/>
      <c r="G929" s="138"/>
      <c r="H929" s="119"/>
      <c r="I929" s="146"/>
      <c r="J929" s="146"/>
      <c r="K929" s="146"/>
      <c r="L929" s="146"/>
      <c r="M929" s="146"/>
      <c r="N929" s="146"/>
      <c r="O929" s="146"/>
      <c r="P929" s="146"/>
      <c r="Q929" s="146"/>
      <c r="R929" s="146"/>
      <c r="S929" s="146"/>
      <c r="T929" s="146"/>
      <c r="U929" s="146"/>
      <c r="V929" s="146"/>
      <c r="W929" s="146"/>
      <c r="X929" s="146"/>
      <c r="Y929" s="146"/>
      <c r="Z929" s="146"/>
      <c r="AA929" s="146"/>
    </row>
    <row r="930" ht="22.5" customHeight="1">
      <c r="A930" s="145"/>
      <c r="B930" s="154"/>
      <c r="C930" s="154"/>
      <c r="D930" s="138"/>
      <c r="E930" s="138"/>
      <c r="F930" s="138"/>
      <c r="G930" s="138"/>
      <c r="H930" s="119"/>
      <c r="I930" s="146"/>
      <c r="J930" s="146"/>
      <c r="K930" s="146"/>
      <c r="L930" s="146"/>
      <c r="M930" s="146"/>
      <c r="N930" s="146"/>
      <c r="O930" s="146"/>
      <c r="P930" s="146"/>
      <c r="Q930" s="146"/>
      <c r="R930" s="146"/>
      <c r="S930" s="146"/>
      <c r="T930" s="146"/>
      <c r="U930" s="146"/>
      <c r="V930" s="146"/>
      <c r="W930" s="146"/>
      <c r="X930" s="146"/>
      <c r="Y930" s="146"/>
      <c r="Z930" s="146"/>
      <c r="AA930" s="146"/>
    </row>
    <row r="931" ht="22.5" customHeight="1">
      <c r="A931" s="145"/>
      <c r="B931" s="154"/>
      <c r="C931" s="154"/>
      <c r="D931" s="138"/>
      <c r="E931" s="138"/>
      <c r="F931" s="138"/>
      <c r="G931" s="138"/>
      <c r="H931" s="119"/>
      <c r="I931" s="146"/>
      <c r="J931" s="146"/>
      <c r="K931" s="146"/>
      <c r="L931" s="146"/>
      <c r="M931" s="146"/>
      <c r="N931" s="146"/>
      <c r="O931" s="146"/>
      <c r="P931" s="146"/>
      <c r="Q931" s="146"/>
      <c r="R931" s="146"/>
      <c r="S931" s="146"/>
      <c r="T931" s="146"/>
      <c r="U931" s="146"/>
      <c r="V931" s="146"/>
      <c r="W931" s="146"/>
      <c r="X931" s="146"/>
      <c r="Y931" s="146"/>
      <c r="Z931" s="146"/>
      <c r="AA931" s="146"/>
    </row>
    <row r="932" ht="22.5" customHeight="1">
      <c r="A932" s="145"/>
      <c r="B932" s="154"/>
      <c r="C932" s="154"/>
      <c r="D932" s="138"/>
      <c r="E932" s="138"/>
      <c r="F932" s="138"/>
      <c r="G932" s="138"/>
      <c r="H932" s="119"/>
      <c r="I932" s="146"/>
      <c r="J932" s="146"/>
      <c r="K932" s="146"/>
      <c r="L932" s="146"/>
      <c r="M932" s="146"/>
      <c r="N932" s="146"/>
      <c r="O932" s="146"/>
      <c r="P932" s="146"/>
      <c r="Q932" s="146"/>
      <c r="R932" s="146"/>
      <c r="S932" s="146"/>
      <c r="T932" s="146"/>
      <c r="U932" s="146"/>
      <c r="V932" s="146"/>
      <c r="W932" s="146"/>
      <c r="X932" s="146"/>
      <c r="Y932" s="146"/>
      <c r="Z932" s="146"/>
      <c r="AA932" s="146"/>
    </row>
    <row r="933" ht="22.5" customHeight="1">
      <c r="A933" s="145"/>
      <c r="B933" s="154"/>
      <c r="C933" s="154"/>
      <c r="D933" s="138"/>
      <c r="E933" s="138"/>
      <c r="F933" s="138"/>
      <c r="G933" s="138"/>
      <c r="H933" s="119"/>
      <c r="I933" s="146"/>
      <c r="J933" s="146"/>
      <c r="K933" s="146"/>
      <c r="L933" s="146"/>
      <c r="M933" s="146"/>
      <c r="N933" s="146"/>
      <c r="O933" s="146"/>
      <c r="P933" s="146"/>
      <c r="Q933" s="146"/>
      <c r="R933" s="146"/>
      <c r="S933" s="146"/>
      <c r="T933" s="146"/>
      <c r="U933" s="146"/>
      <c r="V933" s="146"/>
      <c r="W933" s="146"/>
      <c r="X933" s="146"/>
      <c r="Y933" s="146"/>
      <c r="Z933" s="146"/>
      <c r="AA933" s="146"/>
    </row>
    <row r="934" ht="22.5" customHeight="1">
      <c r="A934" s="145"/>
      <c r="B934" s="154"/>
      <c r="C934" s="154"/>
      <c r="D934" s="138"/>
      <c r="E934" s="138"/>
      <c r="F934" s="138"/>
      <c r="G934" s="138"/>
      <c r="H934" s="119"/>
      <c r="I934" s="146"/>
      <c r="J934" s="146"/>
      <c r="K934" s="146"/>
      <c r="L934" s="146"/>
      <c r="M934" s="146"/>
      <c r="N934" s="146"/>
      <c r="O934" s="146"/>
      <c r="P934" s="146"/>
      <c r="Q934" s="146"/>
      <c r="R934" s="146"/>
      <c r="S934" s="146"/>
      <c r="T934" s="146"/>
      <c r="U934" s="146"/>
      <c r="V934" s="146"/>
      <c r="W934" s="146"/>
      <c r="X934" s="146"/>
      <c r="Y934" s="146"/>
      <c r="Z934" s="146"/>
      <c r="AA934" s="146"/>
    </row>
    <row r="935" ht="22.5" customHeight="1">
      <c r="A935" s="145"/>
      <c r="B935" s="154"/>
      <c r="C935" s="154"/>
      <c r="D935" s="138"/>
      <c r="E935" s="138"/>
      <c r="F935" s="138"/>
      <c r="G935" s="138"/>
      <c r="H935" s="119"/>
      <c r="I935" s="146"/>
      <c r="J935" s="146"/>
      <c r="K935" s="146"/>
      <c r="L935" s="146"/>
      <c r="M935" s="146"/>
      <c r="N935" s="146"/>
      <c r="O935" s="146"/>
      <c r="P935" s="146"/>
      <c r="Q935" s="146"/>
      <c r="R935" s="146"/>
      <c r="S935" s="146"/>
      <c r="T935" s="146"/>
      <c r="U935" s="146"/>
      <c r="V935" s="146"/>
      <c r="W935" s="146"/>
      <c r="X935" s="146"/>
      <c r="Y935" s="146"/>
      <c r="Z935" s="146"/>
      <c r="AA935" s="146"/>
    </row>
    <row r="936" ht="22.5" customHeight="1">
      <c r="A936" s="145"/>
      <c r="B936" s="154"/>
      <c r="C936" s="154"/>
      <c r="D936" s="138"/>
      <c r="E936" s="138"/>
      <c r="F936" s="138"/>
      <c r="G936" s="138"/>
      <c r="H936" s="119"/>
      <c r="I936" s="146"/>
      <c r="J936" s="146"/>
      <c r="K936" s="146"/>
      <c r="L936" s="146"/>
      <c r="M936" s="146"/>
      <c r="N936" s="146"/>
      <c r="O936" s="146"/>
      <c r="P936" s="146"/>
      <c r="Q936" s="146"/>
      <c r="R936" s="146"/>
      <c r="S936" s="146"/>
      <c r="T936" s="146"/>
      <c r="U936" s="146"/>
      <c r="V936" s="146"/>
      <c r="W936" s="146"/>
      <c r="X936" s="146"/>
      <c r="Y936" s="146"/>
      <c r="Z936" s="146"/>
      <c r="AA936" s="146"/>
    </row>
    <row r="937" ht="22.5" customHeight="1">
      <c r="A937" s="145"/>
      <c r="B937" s="154"/>
      <c r="C937" s="154"/>
      <c r="D937" s="138"/>
      <c r="E937" s="138"/>
      <c r="F937" s="138"/>
      <c r="G937" s="138"/>
      <c r="H937" s="119"/>
      <c r="I937" s="146"/>
      <c r="J937" s="146"/>
      <c r="K937" s="146"/>
      <c r="L937" s="146"/>
      <c r="M937" s="146"/>
      <c r="N937" s="146"/>
      <c r="O937" s="146"/>
      <c r="P937" s="146"/>
      <c r="Q937" s="146"/>
      <c r="R937" s="146"/>
      <c r="S937" s="146"/>
      <c r="T937" s="146"/>
      <c r="U937" s="146"/>
      <c r="V937" s="146"/>
      <c r="W937" s="146"/>
      <c r="X937" s="146"/>
      <c r="Y937" s="146"/>
      <c r="Z937" s="146"/>
      <c r="AA937" s="146"/>
    </row>
    <row r="938" ht="22.5" customHeight="1">
      <c r="A938" s="145"/>
      <c r="B938" s="154"/>
      <c r="C938" s="154"/>
      <c r="D938" s="138"/>
      <c r="E938" s="138"/>
      <c r="F938" s="138"/>
      <c r="G938" s="138"/>
      <c r="H938" s="119"/>
      <c r="I938" s="146"/>
      <c r="J938" s="146"/>
      <c r="K938" s="146"/>
      <c r="L938" s="146"/>
      <c r="M938" s="146"/>
      <c r="N938" s="146"/>
      <c r="O938" s="146"/>
      <c r="P938" s="146"/>
      <c r="Q938" s="146"/>
      <c r="R938" s="146"/>
      <c r="S938" s="146"/>
      <c r="T938" s="146"/>
      <c r="U938" s="146"/>
      <c r="V938" s="146"/>
      <c r="W938" s="146"/>
      <c r="X938" s="146"/>
      <c r="Y938" s="146"/>
      <c r="Z938" s="146"/>
      <c r="AA938" s="146"/>
    </row>
    <row r="939" ht="22.5" customHeight="1">
      <c r="A939" s="145"/>
      <c r="B939" s="154"/>
      <c r="C939" s="154"/>
      <c r="D939" s="138"/>
      <c r="E939" s="138"/>
      <c r="F939" s="138"/>
      <c r="G939" s="138"/>
      <c r="H939" s="119"/>
      <c r="I939" s="146"/>
      <c r="J939" s="146"/>
      <c r="K939" s="146"/>
      <c r="L939" s="146"/>
      <c r="M939" s="146"/>
      <c r="N939" s="146"/>
      <c r="O939" s="146"/>
      <c r="P939" s="146"/>
      <c r="Q939" s="146"/>
      <c r="R939" s="146"/>
      <c r="S939" s="146"/>
      <c r="T939" s="146"/>
      <c r="U939" s="146"/>
      <c r="V939" s="146"/>
      <c r="W939" s="146"/>
      <c r="X939" s="146"/>
      <c r="Y939" s="146"/>
      <c r="Z939" s="146"/>
      <c r="AA939" s="146"/>
    </row>
    <row r="940" ht="22.5" customHeight="1">
      <c r="A940" s="145"/>
      <c r="B940" s="154"/>
      <c r="C940" s="154"/>
      <c r="D940" s="138"/>
      <c r="E940" s="138"/>
      <c r="F940" s="138"/>
      <c r="G940" s="138"/>
      <c r="H940" s="119"/>
      <c r="I940" s="146"/>
      <c r="J940" s="146"/>
      <c r="K940" s="146"/>
      <c r="L940" s="146"/>
      <c r="M940" s="146"/>
      <c r="N940" s="146"/>
      <c r="O940" s="146"/>
      <c r="P940" s="146"/>
      <c r="Q940" s="146"/>
      <c r="R940" s="146"/>
      <c r="S940" s="146"/>
      <c r="T940" s="146"/>
      <c r="U940" s="146"/>
      <c r="V940" s="146"/>
      <c r="W940" s="146"/>
      <c r="X940" s="146"/>
      <c r="Y940" s="146"/>
      <c r="Z940" s="146"/>
      <c r="AA940" s="146"/>
    </row>
    <row r="941" ht="22.5" customHeight="1">
      <c r="A941" s="145"/>
      <c r="B941" s="154"/>
      <c r="C941" s="154"/>
      <c r="D941" s="138"/>
      <c r="E941" s="138"/>
      <c r="F941" s="138"/>
      <c r="G941" s="138"/>
      <c r="H941" s="119"/>
      <c r="I941" s="146"/>
      <c r="J941" s="146"/>
      <c r="K941" s="146"/>
      <c r="L941" s="146"/>
      <c r="M941" s="146"/>
      <c r="N941" s="146"/>
      <c r="O941" s="146"/>
      <c r="P941" s="146"/>
      <c r="Q941" s="146"/>
      <c r="R941" s="146"/>
      <c r="S941" s="146"/>
      <c r="T941" s="146"/>
      <c r="U941" s="146"/>
      <c r="V941" s="146"/>
      <c r="W941" s="146"/>
      <c r="X941" s="146"/>
      <c r="Y941" s="146"/>
      <c r="Z941" s="146"/>
      <c r="AA941" s="146"/>
    </row>
    <row r="942" ht="22.5" customHeight="1">
      <c r="A942" s="145"/>
      <c r="B942" s="154"/>
      <c r="C942" s="154"/>
      <c r="D942" s="138"/>
      <c r="E942" s="138"/>
      <c r="F942" s="138"/>
      <c r="G942" s="138"/>
      <c r="H942" s="119"/>
      <c r="I942" s="146"/>
      <c r="J942" s="146"/>
      <c r="K942" s="146"/>
      <c r="L942" s="146"/>
      <c r="M942" s="146"/>
      <c r="N942" s="146"/>
      <c r="O942" s="146"/>
      <c r="P942" s="146"/>
      <c r="Q942" s="146"/>
      <c r="R942" s="146"/>
      <c r="S942" s="146"/>
      <c r="T942" s="146"/>
      <c r="U942" s="146"/>
      <c r="V942" s="146"/>
      <c r="W942" s="146"/>
      <c r="X942" s="146"/>
      <c r="Y942" s="146"/>
      <c r="Z942" s="146"/>
      <c r="AA942" s="146"/>
    </row>
    <row r="943" ht="22.5" customHeight="1">
      <c r="A943" s="145"/>
      <c r="B943" s="154"/>
      <c r="C943" s="154"/>
      <c r="D943" s="138"/>
      <c r="E943" s="138"/>
      <c r="F943" s="138"/>
      <c r="G943" s="138"/>
      <c r="H943" s="119"/>
      <c r="I943" s="146"/>
      <c r="J943" s="146"/>
      <c r="K943" s="146"/>
      <c r="L943" s="146"/>
      <c r="M943" s="146"/>
      <c r="N943" s="146"/>
      <c r="O943" s="146"/>
      <c r="P943" s="146"/>
      <c r="Q943" s="146"/>
      <c r="R943" s="146"/>
      <c r="S943" s="146"/>
      <c r="T943" s="146"/>
      <c r="U943" s="146"/>
      <c r="V943" s="146"/>
      <c r="W943" s="146"/>
      <c r="X943" s="146"/>
      <c r="Y943" s="146"/>
      <c r="Z943" s="146"/>
      <c r="AA943" s="146"/>
    </row>
    <row r="944" ht="22.5" customHeight="1">
      <c r="A944" s="145"/>
      <c r="B944" s="154"/>
      <c r="C944" s="154"/>
      <c r="D944" s="138"/>
      <c r="E944" s="138"/>
      <c r="F944" s="138"/>
      <c r="G944" s="138"/>
      <c r="H944" s="119"/>
      <c r="I944" s="146"/>
      <c r="J944" s="146"/>
      <c r="K944" s="146"/>
      <c r="L944" s="146"/>
      <c r="M944" s="146"/>
      <c r="N944" s="146"/>
      <c r="O944" s="146"/>
      <c r="P944" s="146"/>
      <c r="Q944" s="146"/>
      <c r="R944" s="146"/>
      <c r="S944" s="146"/>
      <c r="T944" s="146"/>
      <c r="U944" s="146"/>
      <c r="V944" s="146"/>
      <c r="W944" s="146"/>
      <c r="X944" s="146"/>
      <c r="Y944" s="146"/>
      <c r="Z944" s="146"/>
      <c r="AA944" s="146"/>
    </row>
    <row r="945" ht="22.5" customHeight="1">
      <c r="A945" s="145"/>
      <c r="B945" s="154"/>
      <c r="C945" s="154"/>
      <c r="D945" s="138"/>
      <c r="E945" s="138"/>
      <c r="F945" s="138"/>
      <c r="G945" s="138"/>
      <c r="H945" s="119"/>
      <c r="I945" s="146"/>
      <c r="J945" s="146"/>
      <c r="K945" s="146"/>
      <c r="L945" s="146"/>
      <c r="M945" s="146"/>
      <c r="N945" s="146"/>
      <c r="O945" s="146"/>
      <c r="P945" s="146"/>
      <c r="Q945" s="146"/>
      <c r="R945" s="146"/>
      <c r="S945" s="146"/>
      <c r="T945" s="146"/>
      <c r="U945" s="146"/>
      <c r="V945" s="146"/>
      <c r="W945" s="146"/>
      <c r="X945" s="146"/>
      <c r="Y945" s="146"/>
      <c r="Z945" s="146"/>
      <c r="AA945" s="146"/>
    </row>
    <row r="946" ht="22.5" customHeight="1">
      <c r="A946" s="145"/>
      <c r="B946" s="154"/>
      <c r="C946" s="154"/>
      <c r="D946" s="138"/>
      <c r="E946" s="138"/>
      <c r="F946" s="138"/>
      <c r="G946" s="138"/>
      <c r="H946" s="119"/>
      <c r="I946" s="146"/>
      <c r="J946" s="146"/>
      <c r="K946" s="146"/>
      <c r="L946" s="146"/>
      <c r="M946" s="146"/>
      <c r="N946" s="146"/>
      <c r="O946" s="146"/>
      <c r="P946" s="146"/>
      <c r="Q946" s="146"/>
      <c r="R946" s="146"/>
      <c r="S946" s="146"/>
      <c r="T946" s="146"/>
      <c r="U946" s="146"/>
      <c r="V946" s="146"/>
      <c r="W946" s="146"/>
      <c r="X946" s="146"/>
      <c r="Y946" s="146"/>
      <c r="Z946" s="146"/>
      <c r="AA946" s="146"/>
    </row>
    <row r="947" ht="22.5" customHeight="1">
      <c r="A947" s="145"/>
      <c r="B947" s="154"/>
      <c r="C947" s="154"/>
      <c r="D947" s="138"/>
      <c r="E947" s="138"/>
      <c r="F947" s="138"/>
      <c r="G947" s="138"/>
      <c r="H947" s="119"/>
      <c r="I947" s="146"/>
      <c r="J947" s="146"/>
      <c r="K947" s="146"/>
      <c r="L947" s="146"/>
      <c r="M947" s="146"/>
      <c r="N947" s="146"/>
      <c r="O947" s="146"/>
      <c r="P947" s="146"/>
      <c r="Q947" s="146"/>
      <c r="R947" s="146"/>
      <c r="S947" s="146"/>
      <c r="T947" s="146"/>
      <c r="U947" s="146"/>
      <c r="V947" s="146"/>
      <c r="W947" s="146"/>
      <c r="X947" s="146"/>
      <c r="Y947" s="146"/>
      <c r="Z947" s="146"/>
      <c r="AA947" s="146"/>
    </row>
    <row r="948" ht="22.5" customHeight="1">
      <c r="A948" s="145"/>
      <c r="B948" s="154"/>
      <c r="C948" s="154"/>
      <c r="D948" s="138"/>
      <c r="E948" s="138"/>
      <c r="F948" s="138"/>
      <c r="G948" s="138"/>
      <c r="H948" s="119"/>
      <c r="I948" s="146"/>
      <c r="J948" s="146"/>
      <c r="K948" s="146"/>
      <c r="L948" s="146"/>
      <c r="M948" s="146"/>
      <c r="N948" s="146"/>
      <c r="O948" s="146"/>
      <c r="P948" s="146"/>
      <c r="Q948" s="146"/>
      <c r="R948" s="146"/>
      <c r="S948" s="146"/>
      <c r="T948" s="146"/>
      <c r="U948" s="146"/>
      <c r="V948" s="146"/>
      <c r="W948" s="146"/>
      <c r="X948" s="146"/>
      <c r="Y948" s="146"/>
      <c r="Z948" s="146"/>
      <c r="AA948" s="146"/>
    </row>
    <row r="949" ht="22.5" customHeight="1">
      <c r="A949" s="145"/>
      <c r="B949" s="154"/>
      <c r="C949" s="154"/>
      <c r="D949" s="138"/>
      <c r="E949" s="138"/>
      <c r="F949" s="138"/>
      <c r="G949" s="138"/>
      <c r="H949" s="119"/>
      <c r="I949" s="146"/>
      <c r="J949" s="146"/>
      <c r="K949" s="146"/>
      <c r="L949" s="146"/>
      <c r="M949" s="146"/>
      <c r="N949" s="146"/>
      <c r="O949" s="146"/>
      <c r="P949" s="146"/>
      <c r="Q949" s="146"/>
      <c r="R949" s="146"/>
      <c r="S949" s="146"/>
      <c r="T949" s="146"/>
      <c r="U949" s="146"/>
      <c r="V949" s="146"/>
      <c r="W949" s="146"/>
      <c r="X949" s="146"/>
      <c r="Y949" s="146"/>
      <c r="Z949" s="146"/>
      <c r="AA949" s="146"/>
    </row>
    <row r="950" ht="22.5" customHeight="1">
      <c r="A950" s="145"/>
      <c r="B950" s="154"/>
      <c r="C950" s="154"/>
      <c r="D950" s="138"/>
      <c r="E950" s="138"/>
      <c r="F950" s="138"/>
      <c r="G950" s="138"/>
      <c r="H950" s="119"/>
      <c r="I950" s="146"/>
      <c r="J950" s="146"/>
      <c r="K950" s="146"/>
      <c r="L950" s="146"/>
      <c r="M950" s="146"/>
      <c r="N950" s="146"/>
      <c r="O950" s="146"/>
      <c r="P950" s="146"/>
      <c r="Q950" s="146"/>
      <c r="R950" s="146"/>
      <c r="S950" s="146"/>
      <c r="T950" s="146"/>
      <c r="U950" s="146"/>
      <c r="V950" s="146"/>
      <c r="W950" s="146"/>
      <c r="X950" s="146"/>
      <c r="Y950" s="146"/>
      <c r="Z950" s="146"/>
      <c r="AA950" s="146"/>
    </row>
    <row r="951" ht="22.5" customHeight="1">
      <c r="A951" s="145"/>
      <c r="B951" s="154"/>
      <c r="C951" s="154"/>
      <c r="D951" s="138"/>
      <c r="E951" s="138"/>
      <c r="F951" s="138"/>
      <c r="G951" s="138"/>
      <c r="H951" s="119"/>
      <c r="I951" s="146"/>
      <c r="J951" s="146"/>
      <c r="K951" s="146"/>
      <c r="L951" s="146"/>
      <c r="M951" s="146"/>
      <c r="N951" s="146"/>
      <c r="O951" s="146"/>
      <c r="P951" s="146"/>
      <c r="Q951" s="146"/>
      <c r="R951" s="146"/>
      <c r="S951" s="146"/>
      <c r="T951" s="146"/>
      <c r="U951" s="146"/>
      <c r="V951" s="146"/>
      <c r="W951" s="146"/>
      <c r="X951" s="146"/>
      <c r="Y951" s="146"/>
      <c r="Z951" s="146"/>
      <c r="AA951" s="146"/>
    </row>
    <row r="952" ht="22.5" customHeight="1">
      <c r="A952" s="145"/>
      <c r="B952" s="154"/>
      <c r="C952" s="154"/>
      <c r="D952" s="138"/>
      <c r="E952" s="138"/>
      <c r="F952" s="138"/>
      <c r="G952" s="138"/>
      <c r="H952" s="119"/>
      <c r="I952" s="146"/>
      <c r="J952" s="146"/>
      <c r="K952" s="146"/>
      <c r="L952" s="146"/>
      <c r="M952" s="146"/>
      <c r="N952" s="146"/>
      <c r="O952" s="146"/>
      <c r="P952" s="146"/>
      <c r="Q952" s="146"/>
      <c r="R952" s="146"/>
      <c r="S952" s="146"/>
      <c r="T952" s="146"/>
      <c r="U952" s="146"/>
      <c r="V952" s="146"/>
      <c r="W952" s="146"/>
      <c r="X952" s="146"/>
      <c r="Y952" s="146"/>
      <c r="Z952" s="146"/>
      <c r="AA952" s="146"/>
    </row>
    <row r="953" ht="22.5" customHeight="1">
      <c r="A953" s="145"/>
      <c r="B953" s="154"/>
      <c r="C953" s="154"/>
      <c r="D953" s="138"/>
      <c r="E953" s="138"/>
      <c r="F953" s="138"/>
      <c r="G953" s="138"/>
      <c r="H953" s="119"/>
      <c r="I953" s="146"/>
      <c r="J953" s="146"/>
      <c r="K953" s="146"/>
      <c r="L953" s="146"/>
      <c r="M953" s="146"/>
      <c r="N953" s="146"/>
      <c r="O953" s="146"/>
      <c r="P953" s="146"/>
      <c r="Q953" s="146"/>
      <c r="R953" s="146"/>
      <c r="S953" s="146"/>
      <c r="T953" s="146"/>
      <c r="U953" s="146"/>
      <c r="V953" s="146"/>
      <c r="W953" s="146"/>
      <c r="X953" s="146"/>
      <c r="Y953" s="146"/>
      <c r="Z953" s="146"/>
      <c r="AA953" s="146"/>
    </row>
    <row r="954" ht="22.5" customHeight="1">
      <c r="A954" s="145"/>
      <c r="B954" s="154"/>
      <c r="C954" s="154"/>
      <c r="D954" s="138"/>
      <c r="E954" s="138"/>
      <c r="F954" s="138"/>
      <c r="G954" s="138"/>
      <c r="H954" s="119"/>
      <c r="I954" s="146"/>
      <c r="J954" s="146"/>
      <c r="K954" s="146"/>
      <c r="L954" s="146"/>
      <c r="M954" s="146"/>
      <c r="N954" s="146"/>
      <c r="O954" s="146"/>
      <c r="P954" s="146"/>
      <c r="Q954" s="146"/>
      <c r="R954" s="146"/>
      <c r="S954" s="146"/>
      <c r="T954" s="146"/>
      <c r="U954" s="146"/>
      <c r="V954" s="146"/>
      <c r="W954" s="146"/>
      <c r="X954" s="146"/>
      <c r="Y954" s="146"/>
      <c r="Z954" s="146"/>
      <c r="AA954" s="146"/>
    </row>
    <row r="955" ht="22.5" customHeight="1">
      <c r="A955" s="145"/>
      <c r="B955" s="154"/>
      <c r="C955" s="154"/>
      <c r="D955" s="138"/>
      <c r="E955" s="138"/>
      <c r="F955" s="138"/>
      <c r="G955" s="138"/>
      <c r="H955" s="119"/>
      <c r="I955" s="146"/>
      <c r="J955" s="146"/>
      <c r="K955" s="146"/>
      <c r="L955" s="146"/>
      <c r="M955" s="146"/>
      <c r="N955" s="146"/>
      <c r="O955" s="146"/>
      <c r="P955" s="146"/>
      <c r="Q955" s="146"/>
      <c r="R955" s="146"/>
      <c r="S955" s="146"/>
      <c r="T955" s="146"/>
      <c r="U955" s="146"/>
      <c r="V955" s="146"/>
      <c r="W955" s="146"/>
      <c r="X955" s="146"/>
      <c r="Y955" s="146"/>
      <c r="Z955" s="146"/>
      <c r="AA955" s="146"/>
    </row>
    <row r="956" ht="22.5" customHeight="1">
      <c r="A956" s="145"/>
      <c r="B956" s="154"/>
      <c r="C956" s="154"/>
      <c r="D956" s="138"/>
      <c r="E956" s="138"/>
      <c r="F956" s="138"/>
      <c r="G956" s="138"/>
      <c r="H956" s="119"/>
      <c r="I956" s="146"/>
      <c r="J956" s="146"/>
      <c r="K956" s="146"/>
      <c r="L956" s="146"/>
      <c r="M956" s="146"/>
      <c r="N956" s="146"/>
      <c r="O956" s="146"/>
      <c r="P956" s="146"/>
      <c r="Q956" s="146"/>
      <c r="R956" s="146"/>
      <c r="S956" s="146"/>
      <c r="T956" s="146"/>
      <c r="U956" s="146"/>
      <c r="V956" s="146"/>
      <c r="W956" s="146"/>
      <c r="X956" s="146"/>
      <c r="Y956" s="146"/>
      <c r="Z956" s="146"/>
      <c r="AA956" s="146"/>
    </row>
    <row r="957" ht="22.5" customHeight="1">
      <c r="A957" s="145"/>
      <c r="B957" s="154"/>
      <c r="C957" s="154"/>
      <c r="D957" s="138"/>
      <c r="E957" s="138"/>
      <c r="F957" s="138"/>
      <c r="G957" s="138"/>
      <c r="H957" s="119"/>
      <c r="I957" s="146"/>
      <c r="J957" s="146"/>
      <c r="K957" s="146"/>
      <c r="L957" s="146"/>
      <c r="M957" s="146"/>
      <c r="N957" s="146"/>
      <c r="O957" s="146"/>
      <c r="P957" s="146"/>
      <c r="Q957" s="146"/>
      <c r="R957" s="146"/>
      <c r="S957" s="146"/>
      <c r="T957" s="146"/>
      <c r="U957" s="146"/>
      <c r="V957" s="146"/>
      <c r="W957" s="146"/>
      <c r="X957" s="146"/>
      <c r="Y957" s="146"/>
      <c r="Z957" s="146"/>
      <c r="AA957" s="146"/>
    </row>
    <row r="958" ht="22.5" customHeight="1">
      <c r="A958" s="145"/>
      <c r="B958" s="154"/>
      <c r="C958" s="154"/>
      <c r="D958" s="138"/>
      <c r="E958" s="138"/>
      <c r="F958" s="138"/>
      <c r="G958" s="138"/>
      <c r="H958" s="119"/>
      <c r="I958" s="146"/>
      <c r="J958" s="146"/>
      <c r="K958" s="146"/>
      <c r="L958" s="146"/>
      <c r="M958" s="146"/>
      <c r="N958" s="146"/>
      <c r="O958" s="146"/>
      <c r="P958" s="146"/>
      <c r="Q958" s="146"/>
      <c r="R958" s="146"/>
      <c r="S958" s="146"/>
      <c r="T958" s="146"/>
      <c r="U958" s="146"/>
      <c r="V958" s="146"/>
      <c r="W958" s="146"/>
      <c r="X958" s="146"/>
      <c r="Y958" s="146"/>
      <c r="Z958" s="146"/>
      <c r="AA958" s="146"/>
    </row>
    <row r="959" ht="22.5" customHeight="1">
      <c r="A959" s="145"/>
      <c r="B959" s="154"/>
      <c r="C959" s="154"/>
      <c r="D959" s="138"/>
      <c r="E959" s="138"/>
      <c r="F959" s="138"/>
      <c r="G959" s="138"/>
      <c r="H959" s="119"/>
      <c r="I959" s="146"/>
      <c r="J959" s="146"/>
      <c r="K959" s="146"/>
      <c r="L959" s="146"/>
      <c r="M959" s="146"/>
      <c r="N959" s="146"/>
      <c r="O959" s="146"/>
      <c r="P959" s="146"/>
      <c r="Q959" s="146"/>
      <c r="R959" s="146"/>
      <c r="S959" s="146"/>
      <c r="T959" s="146"/>
      <c r="U959" s="146"/>
      <c r="V959" s="146"/>
      <c r="W959" s="146"/>
      <c r="X959" s="146"/>
      <c r="Y959" s="146"/>
      <c r="Z959" s="146"/>
      <c r="AA959" s="146"/>
    </row>
    <row r="960" ht="22.5" customHeight="1">
      <c r="A960" s="145"/>
      <c r="B960" s="154"/>
      <c r="C960" s="154"/>
      <c r="D960" s="138"/>
      <c r="E960" s="138"/>
      <c r="F960" s="138"/>
      <c r="G960" s="138"/>
      <c r="H960" s="119"/>
      <c r="I960" s="146"/>
      <c r="J960" s="146"/>
      <c r="K960" s="146"/>
      <c r="L960" s="146"/>
      <c r="M960" s="146"/>
      <c r="N960" s="146"/>
      <c r="O960" s="146"/>
      <c r="P960" s="146"/>
      <c r="Q960" s="146"/>
      <c r="R960" s="146"/>
      <c r="S960" s="146"/>
      <c r="T960" s="146"/>
      <c r="U960" s="146"/>
      <c r="V960" s="146"/>
      <c r="W960" s="146"/>
      <c r="X960" s="146"/>
      <c r="Y960" s="146"/>
      <c r="Z960" s="146"/>
      <c r="AA960" s="146"/>
    </row>
    <row r="961" ht="22.5" customHeight="1">
      <c r="A961" s="145"/>
      <c r="B961" s="154"/>
      <c r="C961" s="154"/>
      <c r="D961" s="138"/>
      <c r="E961" s="138"/>
      <c r="F961" s="138"/>
      <c r="G961" s="138"/>
      <c r="H961" s="119"/>
      <c r="I961" s="146"/>
      <c r="J961" s="146"/>
      <c r="K961" s="146"/>
      <c r="L961" s="146"/>
      <c r="M961" s="146"/>
      <c r="N961" s="146"/>
      <c r="O961" s="146"/>
      <c r="P961" s="146"/>
      <c r="Q961" s="146"/>
      <c r="R961" s="146"/>
      <c r="S961" s="146"/>
      <c r="T961" s="146"/>
      <c r="U961" s="146"/>
      <c r="V961" s="146"/>
      <c r="W961" s="146"/>
      <c r="X961" s="146"/>
      <c r="Y961" s="146"/>
      <c r="Z961" s="146"/>
      <c r="AA961" s="146"/>
    </row>
    <row r="962" ht="22.5" customHeight="1">
      <c r="A962" s="145"/>
      <c r="B962" s="154"/>
      <c r="C962" s="154"/>
      <c r="D962" s="138"/>
      <c r="E962" s="138"/>
      <c r="F962" s="138"/>
      <c r="G962" s="138"/>
      <c r="H962" s="119"/>
      <c r="I962" s="146"/>
      <c r="J962" s="146"/>
      <c r="K962" s="146"/>
      <c r="L962" s="146"/>
      <c r="M962" s="146"/>
      <c r="N962" s="146"/>
      <c r="O962" s="146"/>
      <c r="P962" s="146"/>
      <c r="Q962" s="146"/>
      <c r="R962" s="146"/>
      <c r="S962" s="146"/>
      <c r="T962" s="146"/>
      <c r="U962" s="146"/>
      <c r="V962" s="146"/>
      <c r="W962" s="146"/>
      <c r="X962" s="146"/>
      <c r="Y962" s="146"/>
      <c r="Z962" s="146"/>
      <c r="AA962" s="146"/>
    </row>
    <row r="963" ht="22.5" customHeight="1">
      <c r="A963" s="145"/>
      <c r="B963" s="154"/>
      <c r="C963" s="154"/>
      <c r="D963" s="138"/>
      <c r="E963" s="138"/>
      <c r="F963" s="138"/>
      <c r="G963" s="138"/>
      <c r="H963" s="119"/>
      <c r="I963" s="146"/>
      <c r="J963" s="146"/>
      <c r="K963" s="146"/>
      <c r="L963" s="146"/>
      <c r="M963" s="146"/>
      <c r="N963" s="146"/>
      <c r="O963" s="146"/>
      <c r="P963" s="146"/>
      <c r="Q963" s="146"/>
      <c r="R963" s="146"/>
      <c r="S963" s="146"/>
      <c r="T963" s="146"/>
      <c r="U963" s="146"/>
      <c r="V963" s="146"/>
      <c r="W963" s="146"/>
      <c r="X963" s="146"/>
      <c r="Y963" s="146"/>
      <c r="Z963" s="146"/>
      <c r="AA963" s="146"/>
    </row>
    <row r="964" ht="22.5" customHeight="1">
      <c r="A964" s="145"/>
      <c r="B964" s="154"/>
      <c r="C964" s="154"/>
      <c r="D964" s="138"/>
      <c r="E964" s="138"/>
      <c r="F964" s="138"/>
      <c r="G964" s="138"/>
      <c r="H964" s="119"/>
      <c r="I964" s="146"/>
      <c r="J964" s="146"/>
      <c r="K964" s="146"/>
      <c r="L964" s="146"/>
      <c r="M964" s="146"/>
      <c r="N964" s="146"/>
      <c r="O964" s="146"/>
      <c r="P964" s="146"/>
      <c r="Q964" s="146"/>
      <c r="R964" s="146"/>
      <c r="S964" s="146"/>
      <c r="T964" s="146"/>
      <c r="U964" s="146"/>
      <c r="V964" s="146"/>
      <c r="W964" s="146"/>
      <c r="X964" s="146"/>
      <c r="Y964" s="146"/>
      <c r="Z964" s="146"/>
      <c r="AA964" s="146"/>
    </row>
    <row r="965" ht="22.5" customHeight="1">
      <c r="A965" s="145"/>
      <c r="B965" s="154"/>
      <c r="C965" s="154"/>
      <c r="D965" s="138"/>
      <c r="E965" s="138"/>
      <c r="F965" s="138"/>
      <c r="G965" s="138"/>
      <c r="H965" s="119"/>
      <c r="I965" s="146"/>
      <c r="J965" s="146"/>
      <c r="K965" s="146"/>
      <c r="L965" s="146"/>
      <c r="M965" s="146"/>
      <c r="N965" s="146"/>
      <c r="O965" s="146"/>
      <c r="P965" s="146"/>
      <c r="Q965" s="146"/>
      <c r="R965" s="146"/>
      <c r="S965" s="146"/>
      <c r="T965" s="146"/>
      <c r="U965" s="146"/>
      <c r="V965" s="146"/>
      <c r="W965" s="146"/>
      <c r="X965" s="146"/>
      <c r="Y965" s="146"/>
      <c r="Z965" s="146"/>
      <c r="AA965" s="146"/>
    </row>
    <row r="966" ht="22.5" customHeight="1">
      <c r="A966" s="145"/>
      <c r="B966" s="154"/>
      <c r="C966" s="154"/>
      <c r="D966" s="138"/>
      <c r="E966" s="138"/>
      <c r="F966" s="138"/>
      <c r="G966" s="138"/>
      <c r="H966" s="119"/>
      <c r="I966" s="146"/>
      <c r="J966" s="146"/>
      <c r="K966" s="146"/>
      <c r="L966" s="146"/>
      <c r="M966" s="146"/>
      <c r="N966" s="146"/>
      <c r="O966" s="146"/>
      <c r="P966" s="146"/>
      <c r="Q966" s="146"/>
      <c r="R966" s="146"/>
      <c r="S966" s="146"/>
      <c r="T966" s="146"/>
      <c r="U966" s="146"/>
      <c r="V966" s="146"/>
      <c r="W966" s="146"/>
      <c r="X966" s="146"/>
      <c r="Y966" s="146"/>
      <c r="Z966" s="146"/>
      <c r="AA966" s="146"/>
    </row>
    <row r="967" ht="22.5" customHeight="1">
      <c r="A967" s="145"/>
      <c r="B967" s="154"/>
      <c r="C967" s="154"/>
      <c r="D967" s="138"/>
      <c r="E967" s="138"/>
      <c r="F967" s="138"/>
      <c r="G967" s="138"/>
      <c r="H967" s="119"/>
      <c r="I967" s="146"/>
      <c r="J967" s="146"/>
      <c r="K967" s="146"/>
      <c r="L967" s="146"/>
      <c r="M967" s="146"/>
      <c r="N967" s="146"/>
      <c r="O967" s="146"/>
      <c r="P967" s="146"/>
      <c r="Q967" s="146"/>
      <c r="R967" s="146"/>
      <c r="S967" s="146"/>
      <c r="T967" s="146"/>
      <c r="U967" s="146"/>
      <c r="V967" s="146"/>
      <c r="W967" s="146"/>
      <c r="X967" s="146"/>
      <c r="Y967" s="146"/>
      <c r="Z967" s="146"/>
      <c r="AA967" s="146"/>
    </row>
    <row r="968" ht="22.5" customHeight="1">
      <c r="A968" s="145"/>
      <c r="B968" s="154"/>
      <c r="C968" s="154"/>
      <c r="D968" s="138"/>
      <c r="E968" s="138"/>
      <c r="F968" s="138"/>
      <c r="G968" s="138"/>
      <c r="H968" s="119"/>
      <c r="I968" s="146"/>
      <c r="J968" s="146"/>
      <c r="K968" s="146"/>
      <c r="L968" s="146"/>
      <c r="M968" s="146"/>
      <c r="N968" s="146"/>
      <c r="O968" s="146"/>
      <c r="P968" s="146"/>
      <c r="Q968" s="146"/>
      <c r="R968" s="146"/>
      <c r="S968" s="146"/>
      <c r="T968" s="146"/>
      <c r="U968" s="146"/>
      <c r="V968" s="146"/>
      <c r="W968" s="146"/>
      <c r="X968" s="146"/>
      <c r="Y968" s="146"/>
      <c r="Z968" s="146"/>
      <c r="AA968" s="146"/>
    </row>
    <row r="969" ht="22.5" customHeight="1">
      <c r="A969" s="145"/>
      <c r="B969" s="154"/>
      <c r="C969" s="154"/>
      <c r="D969" s="138"/>
      <c r="E969" s="138"/>
      <c r="F969" s="138"/>
      <c r="G969" s="138"/>
      <c r="H969" s="119"/>
      <c r="I969" s="146"/>
      <c r="J969" s="146"/>
      <c r="K969" s="146"/>
      <c r="L969" s="146"/>
      <c r="M969" s="146"/>
      <c r="N969" s="146"/>
      <c r="O969" s="146"/>
      <c r="P969" s="146"/>
      <c r="Q969" s="146"/>
      <c r="R969" s="146"/>
      <c r="S969" s="146"/>
      <c r="T969" s="146"/>
      <c r="U969" s="146"/>
      <c r="V969" s="146"/>
      <c r="W969" s="146"/>
      <c r="X969" s="146"/>
      <c r="Y969" s="146"/>
      <c r="Z969" s="146"/>
      <c r="AA969" s="146"/>
    </row>
    <row r="970" ht="22.5" customHeight="1">
      <c r="A970" s="145"/>
      <c r="B970" s="154"/>
      <c r="C970" s="154"/>
      <c r="D970" s="138"/>
      <c r="E970" s="138"/>
      <c r="F970" s="138"/>
      <c r="G970" s="138"/>
      <c r="H970" s="119"/>
      <c r="I970" s="146"/>
      <c r="J970" s="146"/>
      <c r="K970" s="146"/>
      <c r="L970" s="146"/>
      <c r="M970" s="146"/>
      <c r="N970" s="146"/>
      <c r="O970" s="146"/>
      <c r="P970" s="146"/>
      <c r="Q970" s="146"/>
      <c r="R970" s="146"/>
      <c r="S970" s="146"/>
      <c r="T970" s="146"/>
      <c r="U970" s="146"/>
      <c r="V970" s="146"/>
      <c r="W970" s="146"/>
      <c r="X970" s="146"/>
      <c r="Y970" s="146"/>
      <c r="Z970" s="146"/>
      <c r="AA970" s="146"/>
    </row>
    <row r="971" ht="22.5" customHeight="1">
      <c r="A971" s="145"/>
      <c r="B971" s="154"/>
      <c r="C971" s="154"/>
      <c r="D971" s="138"/>
      <c r="E971" s="138"/>
      <c r="F971" s="138"/>
      <c r="G971" s="138"/>
      <c r="H971" s="119"/>
      <c r="I971" s="146"/>
      <c r="J971" s="146"/>
      <c r="K971" s="146"/>
      <c r="L971" s="146"/>
      <c r="M971" s="146"/>
      <c r="N971" s="146"/>
      <c r="O971" s="146"/>
      <c r="P971" s="146"/>
      <c r="Q971" s="146"/>
      <c r="R971" s="146"/>
      <c r="S971" s="146"/>
      <c r="T971" s="146"/>
      <c r="U971" s="146"/>
      <c r="V971" s="146"/>
      <c r="W971" s="146"/>
      <c r="X971" s="146"/>
      <c r="Y971" s="146"/>
      <c r="Z971" s="146"/>
      <c r="AA971" s="146"/>
    </row>
    <row r="972" ht="22.5" customHeight="1">
      <c r="A972" s="145"/>
      <c r="B972" s="154"/>
      <c r="C972" s="154"/>
      <c r="D972" s="138"/>
      <c r="E972" s="138"/>
      <c r="F972" s="138"/>
      <c r="G972" s="138"/>
      <c r="H972" s="119"/>
      <c r="I972" s="146"/>
      <c r="J972" s="146"/>
      <c r="K972" s="146"/>
      <c r="L972" s="146"/>
      <c r="M972" s="146"/>
      <c r="N972" s="146"/>
      <c r="O972" s="146"/>
      <c r="P972" s="146"/>
      <c r="Q972" s="146"/>
      <c r="R972" s="146"/>
      <c r="S972" s="146"/>
      <c r="T972" s="146"/>
      <c r="U972" s="146"/>
      <c r="V972" s="146"/>
      <c r="W972" s="146"/>
      <c r="X972" s="146"/>
      <c r="Y972" s="146"/>
      <c r="Z972" s="146"/>
      <c r="AA972" s="146"/>
    </row>
    <row r="973" ht="22.5" customHeight="1">
      <c r="A973" s="145"/>
      <c r="B973" s="154"/>
      <c r="C973" s="154"/>
      <c r="D973" s="138"/>
      <c r="E973" s="138"/>
      <c r="F973" s="138"/>
      <c r="G973" s="138"/>
      <c r="H973" s="119"/>
      <c r="I973" s="146"/>
      <c r="J973" s="146"/>
      <c r="K973" s="146"/>
      <c r="L973" s="146"/>
      <c r="M973" s="146"/>
      <c r="N973" s="146"/>
      <c r="O973" s="146"/>
      <c r="P973" s="146"/>
      <c r="Q973" s="146"/>
      <c r="R973" s="146"/>
      <c r="S973" s="146"/>
      <c r="T973" s="146"/>
      <c r="U973" s="146"/>
      <c r="V973" s="146"/>
      <c r="W973" s="146"/>
      <c r="X973" s="146"/>
      <c r="Y973" s="146"/>
      <c r="Z973" s="146"/>
      <c r="AA973" s="146"/>
    </row>
    <row r="974" ht="22.5" customHeight="1">
      <c r="A974" s="145"/>
      <c r="B974" s="154"/>
      <c r="C974" s="154"/>
      <c r="D974" s="138"/>
      <c r="E974" s="138"/>
      <c r="F974" s="138"/>
      <c r="G974" s="138"/>
      <c r="H974" s="119"/>
      <c r="I974" s="146"/>
      <c r="J974" s="146"/>
      <c r="K974" s="146"/>
      <c r="L974" s="146"/>
      <c r="M974" s="146"/>
      <c r="N974" s="146"/>
      <c r="O974" s="146"/>
      <c r="P974" s="146"/>
      <c r="Q974" s="146"/>
      <c r="R974" s="146"/>
      <c r="S974" s="146"/>
      <c r="T974" s="146"/>
      <c r="U974" s="146"/>
      <c r="V974" s="146"/>
      <c r="W974" s="146"/>
      <c r="X974" s="146"/>
      <c r="Y974" s="146"/>
      <c r="Z974" s="146"/>
      <c r="AA974" s="146"/>
    </row>
    <row r="975" ht="22.5" customHeight="1">
      <c r="A975" s="145"/>
      <c r="B975" s="154"/>
      <c r="C975" s="154"/>
      <c r="D975" s="138"/>
      <c r="E975" s="138"/>
      <c r="F975" s="138"/>
      <c r="G975" s="138"/>
      <c r="H975" s="119"/>
      <c r="I975" s="146"/>
      <c r="J975" s="146"/>
      <c r="K975" s="146"/>
      <c r="L975" s="146"/>
      <c r="M975" s="146"/>
      <c r="N975" s="146"/>
      <c r="O975" s="146"/>
      <c r="P975" s="146"/>
      <c r="Q975" s="146"/>
      <c r="R975" s="146"/>
      <c r="S975" s="146"/>
      <c r="T975" s="146"/>
      <c r="U975" s="146"/>
      <c r="V975" s="146"/>
      <c r="W975" s="146"/>
      <c r="X975" s="146"/>
      <c r="Y975" s="146"/>
      <c r="Z975" s="146"/>
      <c r="AA975" s="146"/>
    </row>
    <row r="976" ht="22.5" customHeight="1">
      <c r="A976" s="145"/>
      <c r="B976" s="154"/>
      <c r="C976" s="154"/>
      <c r="D976" s="138"/>
      <c r="E976" s="138"/>
      <c r="F976" s="138"/>
      <c r="G976" s="138"/>
      <c r="H976" s="119"/>
      <c r="I976" s="146"/>
      <c r="J976" s="146"/>
      <c r="K976" s="146"/>
      <c r="L976" s="146"/>
      <c r="M976" s="146"/>
      <c r="N976" s="146"/>
      <c r="O976" s="146"/>
      <c r="P976" s="146"/>
      <c r="Q976" s="146"/>
      <c r="R976" s="146"/>
      <c r="S976" s="146"/>
      <c r="T976" s="146"/>
      <c r="U976" s="146"/>
      <c r="V976" s="146"/>
      <c r="W976" s="146"/>
      <c r="X976" s="146"/>
      <c r="Y976" s="146"/>
      <c r="Z976" s="146"/>
      <c r="AA976" s="146"/>
    </row>
    <row r="977" ht="22.5" customHeight="1">
      <c r="A977" s="145"/>
      <c r="B977" s="154"/>
      <c r="C977" s="154"/>
      <c r="D977" s="138"/>
      <c r="E977" s="138"/>
      <c r="F977" s="138"/>
      <c r="G977" s="138"/>
      <c r="H977" s="119"/>
      <c r="I977" s="146"/>
      <c r="J977" s="146"/>
      <c r="K977" s="146"/>
      <c r="L977" s="146"/>
      <c r="M977" s="146"/>
      <c r="N977" s="146"/>
      <c r="O977" s="146"/>
      <c r="P977" s="146"/>
      <c r="Q977" s="146"/>
      <c r="R977" s="146"/>
      <c r="S977" s="146"/>
      <c r="T977" s="146"/>
      <c r="U977" s="146"/>
      <c r="V977" s="146"/>
      <c r="W977" s="146"/>
      <c r="X977" s="146"/>
      <c r="Y977" s="146"/>
      <c r="Z977" s="146"/>
      <c r="AA977" s="146"/>
    </row>
    <row r="978" ht="22.5" customHeight="1">
      <c r="A978" s="145"/>
      <c r="B978" s="154"/>
      <c r="C978" s="154"/>
      <c r="D978" s="138"/>
      <c r="E978" s="138"/>
      <c r="F978" s="138"/>
      <c r="G978" s="138"/>
      <c r="H978" s="119"/>
      <c r="I978" s="146"/>
      <c r="J978" s="146"/>
      <c r="K978" s="146"/>
      <c r="L978" s="146"/>
      <c r="M978" s="146"/>
      <c r="N978" s="146"/>
      <c r="O978" s="146"/>
      <c r="P978" s="146"/>
      <c r="Q978" s="146"/>
      <c r="R978" s="146"/>
      <c r="S978" s="146"/>
      <c r="T978" s="146"/>
      <c r="U978" s="146"/>
      <c r="V978" s="146"/>
      <c r="W978" s="146"/>
      <c r="X978" s="146"/>
      <c r="Y978" s="146"/>
      <c r="Z978" s="146"/>
      <c r="AA978" s="146"/>
    </row>
    <row r="979" ht="22.5" customHeight="1">
      <c r="A979" s="145"/>
      <c r="B979" s="154"/>
      <c r="C979" s="154"/>
      <c r="D979" s="138"/>
      <c r="E979" s="138"/>
      <c r="F979" s="138"/>
      <c r="G979" s="138"/>
      <c r="H979" s="119"/>
      <c r="I979" s="146"/>
      <c r="J979" s="146"/>
      <c r="K979" s="146"/>
      <c r="L979" s="146"/>
      <c r="M979" s="146"/>
      <c r="N979" s="146"/>
      <c r="O979" s="146"/>
      <c r="P979" s="146"/>
      <c r="Q979" s="146"/>
      <c r="R979" s="146"/>
      <c r="S979" s="146"/>
      <c r="T979" s="146"/>
      <c r="U979" s="146"/>
      <c r="V979" s="146"/>
      <c r="W979" s="146"/>
      <c r="X979" s="146"/>
      <c r="Y979" s="146"/>
      <c r="Z979" s="146"/>
      <c r="AA979" s="146"/>
    </row>
    <row r="980" ht="22.5" customHeight="1">
      <c r="A980" s="145"/>
      <c r="B980" s="154"/>
      <c r="C980" s="154"/>
      <c r="D980" s="138"/>
      <c r="E980" s="138"/>
      <c r="F980" s="138"/>
      <c r="G980" s="138"/>
      <c r="H980" s="119"/>
      <c r="I980" s="146"/>
      <c r="J980" s="146"/>
      <c r="K980" s="146"/>
      <c r="L980" s="146"/>
      <c r="M980" s="146"/>
      <c r="N980" s="146"/>
      <c r="O980" s="146"/>
      <c r="P980" s="146"/>
      <c r="Q980" s="146"/>
      <c r="R980" s="146"/>
      <c r="S980" s="146"/>
      <c r="T980" s="146"/>
      <c r="U980" s="146"/>
      <c r="V980" s="146"/>
      <c r="W980" s="146"/>
      <c r="X980" s="146"/>
      <c r="Y980" s="146"/>
      <c r="Z980" s="146"/>
      <c r="AA980" s="146"/>
    </row>
    <row r="981" ht="22.5" customHeight="1">
      <c r="A981" s="145"/>
      <c r="B981" s="154"/>
      <c r="C981" s="154"/>
      <c r="D981" s="138"/>
      <c r="E981" s="138"/>
      <c r="F981" s="138"/>
      <c r="G981" s="138"/>
      <c r="H981" s="119"/>
      <c r="I981" s="146"/>
      <c r="J981" s="146"/>
      <c r="K981" s="146"/>
      <c r="L981" s="146"/>
      <c r="M981" s="146"/>
      <c r="N981" s="146"/>
      <c r="O981" s="146"/>
      <c r="P981" s="146"/>
      <c r="Q981" s="146"/>
      <c r="R981" s="146"/>
      <c r="S981" s="146"/>
      <c r="T981" s="146"/>
      <c r="U981" s="146"/>
      <c r="V981" s="146"/>
      <c r="W981" s="146"/>
      <c r="X981" s="146"/>
      <c r="Y981" s="146"/>
      <c r="Z981" s="146"/>
      <c r="AA981" s="146"/>
    </row>
    <row r="982" ht="22.5" customHeight="1">
      <c r="A982" s="145"/>
      <c r="B982" s="154"/>
      <c r="C982" s="154"/>
      <c r="D982" s="138"/>
      <c r="E982" s="138"/>
      <c r="F982" s="138"/>
      <c r="G982" s="138"/>
      <c r="H982" s="119"/>
      <c r="I982" s="146"/>
      <c r="J982" s="146"/>
      <c r="K982" s="146"/>
      <c r="L982" s="146"/>
      <c r="M982" s="146"/>
      <c r="N982" s="146"/>
      <c r="O982" s="146"/>
      <c r="P982" s="146"/>
      <c r="Q982" s="146"/>
      <c r="R982" s="146"/>
      <c r="S982" s="146"/>
      <c r="T982" s="146"/>
      <c r="U982" s="146"/>
      <c r="V982" s="146"/>
      <c r="W982" s="146"/>
      <c r="X982" s="146"/>
      <c r="Y982" s="146"/>
      <c r="Z982" s="146"/>
      <c r="AA982" s="146"/>
    </row>
    <row r="983" ht="22.5" customHeight="1">
      <c r="A983" s="145"/>
      <c r="B983" s="154"/>
      <c r="C983" s="154"/>
      <c r="D983" s="138"/>
      <c r="E983" s="138"/>
      <c r="F983" s="138"/>
      <c r="G983" s="138"/>
      <c r="H983" s="119"/>
      <c r="I983" s="146"/>
      <c r="J983" s="146"/>
      <c r="K983" s="146"/>
      <c r="L983" s="146"/>
      <c r="M983" s="146"/>
      <c r="N983" s="146"/>
      <c r="O983" s="146"/>
      <c r="P983" s="146"/>
      <c r="Q983" s="146"/>
      <c r="R983" s="146"/>
      <c r="S983" s="146"/>
      <c r="T983" s="146"/>
      <c r="U983" s="146"/>
      <c r="V983" s="146"/>
      <c r="W983" s="146"/>
      <c r="X983" s="146"/>
      <c r="Y983" s="146"/>
      <c r="Z983" s="146"/>
      <c r="AA983" s="146"/>
    </row>
    <row r="984" ht="22.5" customHeight="1">
      <c r="A984" s="145"/>
      <c r="B984" s="154"/>
      <c r="C984" s="154"/>
      <c r="D984" s="138"/>
      <c r="E984" s="138"/>
      <c r="F984" s="138"/>
      <c r="G984" s="138"/>
      <c r="H984" s="119"/>
      <c r="I984" s="146"/>
      <c r="J984" s="146"/>
      <c r="K984" s="146"/>
      <c r="L984" s="146"/>
      <c r="M984" s="146"/>
      <c r="N984" s="146"/>
      <c r="O984" s="146"/>
      <c r="P984" s="146"/>
      <c r="Q984" s="146"/>
      <c r="R984" s="146"/>
      <c r="S984" s="146"/>
      <c r="T984" s="146"/>
      <c r="U984" s="146"/>
      <c r="V984" s="146"/>
      <c r="W984" s="146"/>
      <c r="X984" s="146"/>
      <c r="Y984" s="146"/>
      <c r="Z984" s="146"/>
      <c r="AA984" s="146"/>
    </row>
    <row r="985" ht="22.5" customHeight="1">
      <c r="A985" s="145"/>
      <c r="B985" s="154"/>
      <c r="C985" s="154"/>
      <c r="D985" s="138"/>
      <c r="E985" s="138"/>
      <c r="F985" s="138"/>
      <c r="G985" s="138"/>
      <c r="H985" s="119"/>
      <c r="I985" s="146"/>
      <c r="J985" s="146"/>
      <c r="K985" s="146"/>
      <c r="L985" s="146"/>
      <c r="M985" s="146"/>
      <c r="N985" s="146"/>
      <c r="O985" s="146"/>
      <c r="P985" s="146"/>
      <c r="Q985" s="146"/>
      <c r="R985" s="146"/>
      <c r="S985" s="146"/>
      <c r="T985" s="146"/>
      <c r="U985" s="146"/>
      <c r="V985" s="146"/>
      <c r="W985" s="146"/>
      <c r="X985" s="146"/>
      <c r="Y985" s="146"/>
      <c r="Z985" s="146"/>
      <c r="AA985" s="146"/>
    </row>
    <row r="986" ht="22.5" customHeight="1">
      <c r="A986" s="145"/>
      <c r="B986" s="154"/>
      <c r="C986" s="154"/>
      <c r="D986" s="138"/>
      <c r="E986" s="138"/>
      <c r="F986" s="138"/>
      <c r="G986" s="138"/>
      <c r="H986" s="119"/>
      <c r="I986" s="146"/>
      <c r="J986" s="146"/>
      <c r="K986" s="146"/>
      <c r="L986" s="146"/>
      <c r="M986" s="146"/>
      <c r="N986" s="146"/>
      <c r="O986" s="146"/>
      <c r="P986" s="146"/>
      <c r="Q986" s="146"/>
      <c r="R986" s="146"/>
      <c r="S986" s="146"/>
      <c r="T986" s="146"/>
      <c r="U986" s="146"/>
      <c r="V986" s="146"/>
      <c r="W986" s="146"/>
      <c r="X986" s="146"/>
      <c r="Y986" s="146"/>
      <c r="Z986" s="146"/>
      <c r="AA986" s="146"/>
    </row>
    <row r="987" ht="22.5" customHeight="1">
      <c r="A987" s="145"/>
      <c r="B987" s="154"/>
      <c r="C987" s="154"/>
      <c r="D987" s="138"/>
      <c r="E987" s="138"/>
      <c r="F987" s="138"/>
      <c r="G987" s="138"/>
      <c r="H987" s="119"/>
      <c r="I987" s="146"/>
      <c r="J987" s="146"/>
      <c r="K987" s="146"/>
      <c r="L987" s="146"/>
      <c r="M987" s="146"/>
      <c r="N987" s="146"/>
      <c r="O987" s="146"/>
      <c r="P987" s="146"/>
      <c r="Q987" s="146"/>
      <c r="R987" s="146"/>
      <c r="S987" s="146"/>
      <c r="T987" s="146"/>
      <c r="U987" s="146"/>
      <c r="V987" s="146"/>
      <c r="W987" s="146"/>
      <c r="X987" s="146"/>
      <c r="Y987" s="146"/>
      <c r="Z987" s="146"/>
      <c r="AA987" s="146"/>
    </row>
    <row r="988" ht="22.5" customHeight="1">
      <c r="A988" s="145"/>
      <c r="B988" s="154"/>
      <c r="C988" s="154"/>
      <c r="D988" s="138"/>
      <c r="E988" s="138"/>
      <c r="F988" s="138"/>
      <c r="G988" s="138"/>
      <c r="H988" s="119"/>
      <c r="I988" s="146"/>
      <c r="J988" s="146"/>
      <c r="K988" s="146"/>
      <c r="L988" s="146"/>
      <c r="M988" s="146"/>
      <c r="N988" s="146"/>
      <c r="O988" s="146"/>
      <c r="P988" s="146"/>
      <c r="Q988" s="146"/>
      <c r="R988" s="146"/>
      <c r="S988" s="146"/>
      <c r="T988" s="146"/>
      <c r="U988" s="146"/>
      <c r="V988" s="146"/>
      <c r="W988" s="146"/>
      <c r="X988" s="146"/>
      <c r="Y988" s="146"/>
      <c r="Z988" s="146"/>
      <c r="AA988" s="146"/>
    </row>
    <row r="989" ht="22.5" customHeight="1">
      <c r="A989" s="145"/>
      <c r="B989" s="154"/>
      <c r="C989" s="154"/>
      <c r="D989" s="138"/>
      <c r="E989" s="138"/>
      <c r="F989" s="138"/>
      <c r="G989" s="138"/>
      <c r="H989" s="119"/>
      <c r="I989" s="146"/>
      <c r="J989" s="146"/>
      <c r="K989" s="146"/>
      <c r="L989" s="146"/>
      <c r="M989" s="146"/>
      <c r="N989" s="146"/>
      <c r="O989" s="146"/>
      <c r="P989" s="146"/>
      <c r="Q989" s="146"/>
      <c r="R989" s="146"/>
      <c r="S989" s="146"/>
      <c r="T989" s="146"/>
      <c r="U989" s="146"/>
      <c r="V989" s="146"/>
      <c r="W989" s="146"/>
      <c r="X989" s="146"/>
      <c r="Y989" s="146"/>
      <c r="Z989" s="146"/>
      <c r="AA989" s="146"/>
    </row>
    <row r="990" ht="22.5" customHeight="1">
      <c r="A990" s="145"/>
      <c r="B990" s="154"/>
      <c r="C990" s="154"/>
      <c r="D990" s="138"/>
      <c r="E990" s="138"/>
      <c r="F990" s="138"/>
      <c r="G990" s="138"/>
      <c r="H990" s="119"/>
      <c r="I990" s="146"/>
      <c r="J990" s="146"/>
      <c r="K990" s="146"/>
      <c r="L990" s="146"/>
      <c r="M990" s="146"/>
      <c r="N990" s="146"/>
      <c r="O990" s="146"/>
      <c r="P990" s="146"/>
      <c r="Q990" s="146"/>
      <c r="R990" s="146"/>
      <c r="S990" s="146"/>
      <c r="T990" s="146"/>
      <c r="U990" s="146"/>
      <c r="V990" s="146"/>
      <c r="W990" s="146"/>
      <c r="X990" s="146"/>
      <c r="Y990" s="146"/>
      <c r="Z990" s="146"/>
      <c r="AA990" s="146"/>
    </row>
    <row r="991" ht="22.5" customHeight="1">
      <c r="A991" s="145"/>
      <c r="B991" s="154"/>
      <c r="C991" s="154"/>
      <c r="D991" s="138"/>
      <c r="E991" s="138"/>
      <c r="F991" s="138"/>
      <c r="G991" s="138"/>
      <c r="H991" s="119"/>
      <c r="I991" s="146"/>
      <c r="J991" s="146"/>
      <c r="K991" s="146"/>
      <c r="L991" s="146"/>
      <c r="M991" s="146"/>
      <c r="N991" s="146"/>
      <c r="O991" s="146"/>
      <c r="P991" s="146"/>
      <c r="Q991" s="146"/>
      <c r="R991" s="146"/>
      <c r="S991" s="146"/>
      <c r="T991" s="146"/>
      <c r="U991" s="146"/>
      <c r="V991" s="146"/>
      <c r="W991" s="146"/>
      <c r="X991" s="146"/>
      <c r="Y991" s="146"/>
      <c r="Z991" s="146"/>
      <c r="AA991" s="146"/>
    </row>
    <row r="992" ht="22.5" customHeight="1">
      <c r="A992" s="145"/>
      <c r="B992" s="154"/>
      <c r="C992" s="154"/>
      <c r="D992" s="138"/>
      <c r="E992" s="138"/>
      <c r="F992" s="138"/>
      <c r="G992" s="138"/>
      <c r="H992" s="119"/>
      <c r="I992" s="146"/>
      <c r="J992" s="146"/>
      <c r="K992" s="146"/>
      <c r="L992" s="146"/>
      <c r="M992" s="146"/>
      <c r="N992" s="146"/>
      <c r="O992" s="146"/>
      <c r="P992" s="146"/>
      <c r="Q992" s="146"/>
      <c r="R992" s="146"/>
      <c r="S992" s="146"/>
      <c r="T992" s="146"/>
      <c r="U992" s="146"/>
      <c r="V992" s="146"/>
      <c r="W992" s="146"/>
      <c r="X992" s="146"/>
      <c r="Y992" s="146"/>
      <c r="Z992" s="146"/>
      <c r="AA992" s="146"/>
    </row>
    <row r="993" ht="22.5" customHeight="1">
      <c r="A993" s="145"/>
      <c r="B993" s="154"/>
      <c r="C993" s="154"/>
      <c r="D993" s="138"/>
      <c r="E993" s="138"/>
      <c r="F993" s="138"/>
      <c r="G993" s="138"/>
      <c r="H993" s="119"/>
      <c r="I993" s="146"/>
      <c r="J993" s="146"/>
      <c r="K993" s="146"/>
      <c r="L993" s="146"/>
      <c r="M993" s="146"/>
      <c r="N993" s="146"/>
      <c r="O993" s="146"/>
      <c r="P993" s="146"/>
      <c r="Q993" s="146"/>
      <c r="R993" s="146"/>
      <c r="S993" s="146"/>
      <c r="T993" s="146"/>
      <c r="U993" s="146"/>
      <c r="V993" s="146"/>
      <c r="W993" s="146"/>
      <c r="X993" s="146"/>
      <c r="Y993" s="146"/>
      <c r="Z993" s="146"/>
      <c r="AA993" s="146"/>
    </row>
    <row r="994" ht="22.5" customHeight="1">
      <c r="A994" s="145"/>
      <c r="B994" s="154"/>
      <c r="C994" s="154"/>
      <c r="D994" s="138"/>
      <c r="E994" s="138"/>
      <c r="F994" s="138"/>
      <c r="G994" s="138"/>
      <c r="H994" s="119"/>
      <c r="I994" s="146"/>
      <c r="J994" s="146"/>
      <c r="K994" s="146"/>
      <c r="L994" s="146"/>
      <c r="M994" s="146"/>
      <c r="N994" s="146"/>
      <c r="O994" s="146"/>
      <c r="P994" s="146"/>
      <c r="Q994" s="146"/>
      <c r="R994" s="146"/>
      <c r="S994" s="146"/>
      <c r="T994" s="146"/>
      <c r="U994" s="146"/>
      <c r="V994" s="146"/>
      <c r="W994" s="146"/>
      <c r="X994" s="146"/>
      <c r="Y994" s="146"/>
      <c r="Z994" s="146"/>
      <c r="AA994" s="146"/>
    </row>
    <row r="995" ht="22.5" customHeight="1">
      <c r="A995" s="145"/>
      <c r="B995" s="154"/>
      <c r="C995" s="154"/>
      <c r="D995" s="138"/>
      <c r="E995" s="138"/>
      <c r="F995" s="138"/>
      <c r="G995" s="138"/>
      <c r="H995" s="119"/>
      <c r="I995" s="146"/>
      <c r="J995" s="146"/>
      <c r="K995" s="146"/>
      <c r="L995" s="146"/>
      <c r="M995" s="146"/>
      <c r="N995" s="146"/>
      <c r="O995" s="146"/>
      <c r="P995" s="146"/>
      <c r="Q995" s="146"/>
      <c r="R995" s="146"/>
      <c r="S995" s="146"/>
      <c r="T995" s="146"/>
      <c r="U995" s="146"/>
      <c r="V995" s="146"/>
      <c r="W995" s="146"/>
      <c r="X995" s="146"/>
      <c r="Y995" s="146"/>
      <c r="Z995" s="146"/>
      <c r="AA995" s="146"/>
    </row>
    <row r="996" ht="22.5" customHeight="1">
      <c r="A996" s="145"/>
      <c r="B996" s="154"/>
      <c r="C996" s="154"/>
      <c r="D996" s="138"/>
      <c r="E996" s="138"/>
      <c r="F996" s="138"/>
      <c r="G996" s="138"/>
      <c r="H996" s="119"/>
      <c r="I996" s="146"/>
      <c r="J996" s="146"/>
      <c r="K996" s="146"/>
      <c r="L996" s="146"/>
      <c r="M996" s="146"/>
      <c r="N996" s="146"/>
      <c r="O996" s="146"/>
      <c r="P996" s="146"/>
      <c r="Q996" s="146"/>
      <c r="R996" s="146"/>
      <c r="S996" s="146"/>
      <c r="T996" s="146"/>
      <c r="U996" s="146"/>
      <c r="V996" s="146"/>
      <c r="W996" s="146"/>
      <c r="X996" s="146"/>
      <c r="Y996" s="146"/>
      <c r="Z996" s="146"/>
      <c r="AA996" s="146"/>
    </row>
    <row r="997" ht="22.5" customHeight="1">
      <c r="A997" s="145"/>
      <c r="B997" s="154"/>
      <c r="C997" s="154"/>
      <c r="D997" s="138"/>
      <c r="E997" s="138"/>
      <c r="F997" s="138"/>
      <c r="G997" s="138"/>
      <c r="H997" s="119"/>
      <c r="I997" s="146"/>
      <c r="J997" s="146"/>
      <c r="K997" s="146"/>
      <c r="L997" s="146"/>
      <c r="M997" s="146"/>
      <c r="N997" s="146"/>
      <c r="O997" s="146"/>
      <c r="P997" s="146"/>
      <c r="Q997" s="146"/>
      <c r="R997" s="146"/>
      <c r="S997" s="146"/>
      <c r="T997" s="146"/>
      <c r="U997" s="146"/>
      <c r="V997" s="146"/>
      <c r="W997" s="146"/>
      <c r="X997" s="146"/>
      <c r="Y997" s="146"/>
      <c r="Z997" s="146"/>
      <c r="AA997" s="146"/>
    </row>
    <row r="998" ht="22.5" customHeight="1">
      <c r="A998" s="145"/>
      <c r="B998" s="154"/>
      <c r="C998" s="154"/>
      <c r="D998" s="138"/>
      <c r="E998" s="138"/>
      <c r="F998" s="138"/>
      <c r="G998" s="138"/>
      <c r="H998" s="119"/>
      <c r="I998" s="146"/>
      <c r="J998" s="146"/>
      <c r="K998" s="146"/>
      <c r="L998" s="146"/>
      <c r="M998" s="146"/>
      <c r="N998" s="146"/>
      <c r="O998" s="146"/>
      <c r="P998" s="146"/>
      <c r="Q998" s="146"/>
      <c r="R998" s="146"/>
      <c r="S998" s="146"/>
      <c r="T998" s="146"/>
      <c r="U998" s="146"/>
      <c r="V998" s="146"/>
      <c r="W998" s="146"/>
      <c r="X998" s="146"/>
      <c r="Y998" s="146"/>
      <c r="Z998" s="146"/>
      <c r="AA998" s="146"/>
    </row>
    <row r="999" ht="22.5" customHeight="1">
      <c r="A999" s="145"/>
      <c r="B999" s="154"/>
      <c r="C999" s="154"/>
      <c r="D999" s="138"/>
      <c r="E999" s="138"/>
      <c r="F999" s="138"/>
      <c r="G999" s="138"/>
      <c r="H999" s="119"/>
      <c r="I999" s="146"/>
      <c r="J999" s="146"/>
      <c r="K999" s="146"/>
      <c r="L999" s="146"/>
      <c r="M999" s="146"/>
      <c r="N999" s="146"/>
      <c r="O999" s="146"/>
      <c r="P999" s="146"/>
      <c r="Q999" s="146"/>
      <c r="R999" s="146"/>
      <c r="S999" s="146"/>
      <c r="T999" s="146"/>
      <c r="U999" s="146"/>
      <c r="V999" s="146"/>
      <c r="W999" s="146"/>
      <c r="X999" s="146"/>
      <c r="Y999" s="146"/>
      <c r="Z999" s="146"/>
      <c r="AA999" s="146"/>
    </row>
    <row r="1000" ht="22.5" customHeight="1">
      <c r="A1000" s="145"/>
      <c r="B1000" s="154"/>
      <c r="C1000" s="154"/>
      <c r="D1000" s="138"/>
      <c r="E1000" s="138"/>
      <c r="F1000" s="138"/>
      <c r="G1000" s="138"/>
      <c r="H1000" s="119"/>
      <c r="I1000" s="146"/>
      <c r="J1000" s="146"/>
      <c r="K1000" s="146"/>
      <c r="L1000" s="146"/>
      <c r="M1000" s="146"/>
      <c r="N1000" s="146"/>
      <c r="O1000" s="146"/>
      <c r="P1000" s="146"/>
      <c r="Q1000" s="146"/>
      <c r="R1000" s="146"/>
      <c r="S1000" s="146"/>
      <c r="T1000" s="146"/>
      <c r="U1000" s="146"/>
      <c r="V1000" s="146"/>
      <c r="W1000" s="146"/>
      <c r="X1000" s="146"/>
      <c r="Y1000" s="146"/>
      <c r="Z1000" s="146"/>
      <c r="AA1000" s="146"/>
    </row>
    <row r="1001" ht="22.5" customHeight="1">
      <c r="A1001" s="145"/>
      <c r="B1001" s="154"/>
      <c r="C1001" s="154"/>
      <c r="D1001" s="138"/>
      <c r="E1001" s="138"/>
      <c r="F1001" s="138"/>
      <c r="G1001" s="138"/>
      <c r="H1001" s="119"/>
      <c r="I1001" s="146"/>
      <c r="J1001" s="146"/>
      <c r="K1001" s="146"/>
      <c r="L1001" s="146"/>
      <c r="M1001" s="146"/>
      <c r="N1001" s="146"/>
      <c r="O1001" s="146"/>
      <c r="P1001" s="146"/>
      <c r="Q1001" s="146"/>
      <c r="R1001" s="146"/>
      <c r="S1001" s="146"/>
      <c r="T1001" s="146"/>
      <c r="U1001" s="146"/>
      <c r="V1001" s="146"/>
      <c r="W1001" s="146"/>
      <c r="X1001" s="146"/>
      <c r="Y1001" s="146"/>
      <c r="Z1001" s="146"/>
      <c r="AA1001" s="146"/>
    </row>
    <row r="1002" ht="22.5" customHeight="1">
      <c r="A1002" s="145"/>
      <c r="B1002" s="154"/>
      <c r="C1002" s="154"/>
      <c r="D1002" s="138"/>
      <c r="E1002" s="138"/>
      <c r="F1002" s="138"/>
      <c r="G1002" s="138"/>
      <c r="H1002" s="119"/>
      <c r="I1002" s="146"/>
      <c r="J1002" s="146"/>
      <c r="K1002" s="146"/>
      <c r="L1002" s="146"/>
      <c r="M1002" s="146"/>
      <c r="N1002" s="146"/>
      <c r="O1002" s="146"/>
      <c r="P1002" s="146"/>
      <c r="Q1002" s="146"/>
      <c r="R1002" s="146"/>
      <c r="S1002" s="146"/>
      <c r="T1002" s="146"/>
      <c r="U1002" s="146"/>
      <c r="V1002" s="146"/>
      <c r="W1002" s="146"/>
      <c r="X1002" s="146"/>
      <c r="Y1002" s="146"/>
      <c r="Z1002" s="146"/>
      <c r="AA1002" s="146"/>
    </row>
    <row r="1003" ht="22.5" customHeight="1">
      <c r="A1003" s="145"/>
      <c r="B1003" s="154"/>
      <c r="C1003" s="154"/>
      <c r="D1003" s="138"/>
      <c r="E1003" s="138"/>
      <c r="F1003" s="138"/>
      <c r="G1003" s="138"/>
      <c r="H1003" s="119"/>
      <c r="I1003" s="146"/>
      <c r="J1003" s="146"/>
      <c r="K1003" s="146"/>
      <c r="L1003" s="146"/>
      <c r="M1003" s="146"/>
      <c r="N1003" s="146"/>
      <c r="O1003" s="146"/>
      <c r="P1003" s="146"/>
      <c r="Q1003" s="146"/>
      <c r="R1003" s="146"/>
      <c r="S1003" s="146"/>
      <c r="T1003" s="146"/>
      <c r="U1003" s="146"/>
      <c r="V1003" s="146"/>
      <c r="W1003" s="146"/>
      <c r="X1003" s="146"/>
      <c r="Y1003" s="146"/>
      <c r="Z1003" s="146"/>
      <c r="AA1003" s="146"/>
    </row>
    <row r="1004" ht="22.5" customHeight="1">
      <c r="A1004" s="145"/>
      <c r="B1004" s="154"/>
      <c r="C1004" s="154"/>
      <c r="D1004" s="138"/>
      <c r="E1004" s="138"/>
      <c r="F1004" s="138"/>
      <c r="G1004" s="138"/>
      <c r="H1004" s="119"/>
      <c r="I1004" s="146"/>
      <c r="J1004" s="146"/>
      <c r="K1004" s="146"/>
      <c r="L1004" s="146"/>
      <c r="M1004" s="146"/>
      <c r="N1004" s="146"/>
      <c r="O1004" s="146"/>
      <c r="P1004" s="146"/>
      <c r="Q1004" s="146"/>
      <c r="R1004" s="146"/>
      <c r="S1004" s="146"/>
      <c r="T1004" s="146"/>
      <c r="U1004" s="146"/>
      <c r="V1004" s="146"/>
      <c r="W1004" s="146"/>
      <c r="X1004" s="146"/>
      <c r="Y1004" s="146"/>
      <c r="Z1004" s="146"/>
      <c r="AA1004" s="146"/>
    </row>
    <row r="1005" ht="22.5" customHeight="1">
      <c r="A1005" s="145"/>
      <c r="B1005" s="154"/>
      <c r="C1005" s="154"/>
      <c r="D1005" s="138"/>
      <c r="E1005" s="138"/>
      <c r="F1005" s="138"/>
      <c r="G1005" s="138"/>
      <c r="H1005" s="119"/>
      <c r="I1005" s="146"/>
      <c r="J1005" s="146"/>
      <c r="K1005" s="146"/>
      <c r="L1005" s="146"/>
      <c r="M1005" s="146"/>
      <c r="N1005" s="146"/>
      <c r="O1005" s="146"/>
      <c r="P1005" s="146"/>
      <c r="Q1005" s="146"/>
      <c r="R1005" s="146"/>
      <c r="S1005" s="146"/>
      <c r="T1005" s="146"/>
      <c r="U1005" s="146"/>
      <c r="V1005" s="146"/>
      <c r="W1005" s="146"/>
      <c r="X1005" s="146"/>
      <c r="Y1005" s="146"/>
      <c r="Z1005" s="146"/>
      <c r="AA1005" s="146"/>
    </row>
    <row r="1006" ht="22.5" customHeight="1">
      <c r="A1006" s="145"/>
      <c r="B1006" s="154"/>
      <c r="C1006" s="154"/>
      <c r="D1006" s="138"/>
      <c r="E1006" s="138"/>
      <c r="F1006" s="138"/>
      <c r="G1006" s="138"/>
      <c r="H1006" s="119"/>
      <c r="I1006" s="146"/>
      <c r="J1006" s="146"/>
      <c r="K1006" s="146"/>
      <c r="L1006" s="146"/>
      <c r="M1006" s="146"/>
      <c r="N1006" s="146"/>
      <c r="O1006" s="146"/>
      <c r="P1006" s="146"/>
      <c r="Q1006" s="146"/>
      <c r="R1006" s="146"/>
      <c r="S1006" s="146"/>
      <c r="T1006" s="146"/>
      <c r="U1006" s="146"/>
      <c r="V1006" s="146"/>
      <c r="W1006" s="146"/>
      <c r="X1006" s="146"/>
      <c r="Y1006" s="146"/>
      <c r="Z1006" s="146"/>
      <c r="AA1006" s="146"/>
    </row>
    <row r="1007" ht="22.5" customHeight="1">
      <c r="A1007" s="145"/>
      <c r="B1007" s="154"/>
      <c r="C1007" s="154"/>
      <c r="D1007" s="138"/>
      <c r="E1007" s="138"/>
      <c r="F1007" s="138"/>
      <c r="G1007" s="138"/>
      <c r="H1007" s="119"/>
      <c r="I1007" s="146"/>
      <c r="J1007" s="146"/>
      <c r="K1007" s="146"/>
      <c r="L1007" s="146"/>
      <c r="M1007" s="146"/>
      <c r="N1007" s="146"/>
      <c r="O1007" s="146"/>
      <c r="P1007" s="146"/>
      <c r="Q1007" s="146"/>
      <c r="R1007" s="146"/>
      <c r="S1007" s="146"/>
      <c r="T1007" s="146"/>
      <c r="U1007" s="146"/>
      <c r="V1007" s="146"/>
      <c r="W1007" s="146"/>
      <c r="X1007" s="146"/>
      <c r="Y1007" s="146"/>
      <c r="Z1007" s="146"/>
      <c r="AA1007" s="146"/>
    </row>
    <row r="1008" ht="22.5" customHeight="1">
      <c r="A1008" s="145"/>
      <c r="B1008" s="154"/>
      <c r="C1008" s="154"/>
      <c r="D1008" s="138"/>
      <c r="E1008" s="138"/>
      <c r="F1008" s="138"/>
      <c r="G1008" s="138"/>
      <c r="H1008" s="119"/>
      <c r="I1008" s="146"/>
      <c r="J1008" s="146"/>
      <c r="K1008" s="146"/>
      <c r="L1008" s="146"/>
      <c r="M1008" s="146"/>
      <c r="N1008" s="146"/>
      <c r="O1008" s="146"/>
      <c r="P1008" s="146"/>
      <c r="Q1008" s="146"/>
      <c r="R1008" s="146"/>
      <c r="S1008" s="146"/>
      <c r="T1008" s="146"/>
      <c r="U1008" s="146"/>
      <c r="V1008" s="146"/>
      <c r="W1008" s="146"/>
      <c r="X1008" s="146"/>
      <c r="Y1008" s="146"/>
      <c r="Z1008" s="146"/>
      <c r="AA1008" s="146"/>
    </row>
    <row r="1009" ht="22.5" customHeight="1">
      <c r="A1009" s="145"/>
      <c r="B1009" s="154"/>
      <c r="C1009" s="154"/>
      <c r="D1009" s="138"/>
      <c r="E1009" s="138"/>
      <c r="F1009" s="138"/>
      <c r="G1009" s="138"/>
      <c r="H1009" s="119"/>
      <c r="I1009" s="146"/>
      <c r="J1009" s="146"/>
      <c r="K1009" s="146"/>
      <c r="L1009" s="146"/>
      <c r="M1009" s="146"/>
      <c r="N1009" s="146"/>
      <c r="O1009" s="146"/>
      <c r="P1009" s="146"/>
      <c r="Q1009" s="146"/>
      <c r="R1009" s="146"/>
      <c r="S1009" s="146"/>
      <c r="T1009" s="146"/>
      <c r="U1009" s="146"/>
      <c r="V1009" s="146"/>
      <c r="W1009" s="146"/>
      <c r="X1009" s="146"/>
      <c r="Y1009" s="146"/>
      <c r="Z1009" s="146"/>
      <c r="AA1009" s="146"/>
    </row>
    <row r="1010" ht="22.5" customHeight="1">
      <c r="A1010" s="145"/>
      <c r="B1010" s="154"/>
      <c r="C1010" s="154"/>
      <c r="D1010" s="138"/>
      <c r="E1010" s="138"/>
      <c r="F1010" s="138"/>
      <c r="G1010" s="138"/>
      <c r="H1010" s="119"/>
      <c r="I1010" s="146"/>
      <c r="J1010" s="146"/>
      <c r="K1010" s="146"/>
      <c r="L1010" s="146"/>
      <c r="M1010" s="146"/>
      <c r="N1010" s="146"/>
      <c r="O1010" s="146"/>
      <c r="P1010" s="146"/>
      <c r="Q1010" s="146"/>
      <c r="R1010" s="146"/>
      <c r="S1010" s="146"/>
      <c r="T1010" s="146"/>
      <c r="U1010" s="146"/>
      <c r="V1010" s="146"/>
      <c r="W1010" s="146"/>
      <c r="X1010" s="146"/>
      <c r="Y1010" s="146"/>
      <c r="Z1010" s="146"/>
      <c r="AA1010" s="146"/>
    </row>
    <row r="1011" ht="22.5" customHeight="1">
      <c r="A1011" s="145"/>
      <c r="B1011" s="154"/>
      <c r="C1011" s="154"/>
      <c r="D1011" s="138"/>
      <c r="E1011" s="138"/>
      <c r="F1011" s="138"/>
      <c r="G1011" s="138"/>
      <c r="H1011" s="119"/>
      <c r="I1011" s="146"/>
      <c r="J1011" s="146"/>
      <c r="K1011" s="146"/>
      <c r="L1011" s="146"/>
      <c r="M1011" s="146"/>
      <c r="N1011" s="146"/>
      <c r="O1011" s="146"/>
      <c r="P1011" s="146"/>
      <c r="Q1011" s="146"/>
      <c r="R1011" s="146"/>
      <c r="S1011" s="146"/>
      <c r="T1011" s="146"/>
      <c r="U1011" s="146"/>
      <c r="V1011" s="146"/>
      <c r="W1011" s="146"/>
      <c r="X1011" s="146"/>
      <c r="Y1011" s="146"/>
      <c r="Z1011" s="146"/>
      <c r="AA1011" s="146"/>
    </row>
    <row r="1012" ht="22.5" customHeight="1">
      <c r="A1012" s="145"/>
      <c r="B1012" s="154"/>
      <c r="C1012" s="154"/>
      <c r="D1012" s="138"/>
      <c r="E1012" s="138"/>
      <c r="F1012" s="138"/>
      <c r="G1012" s="138"/>
      <c r="H1012" s="119"/>
      <c r="I1012" s="146"/>
      <c r="J1012" s="146"/>
      <c r="K1012" s="146"/>
      <c r="L1012" s="146"/>
      <c r="M1012" s="146"/>
      <c r="N1012" s="146"/>
      <c r="O1012" s="146"/>
      <c r="P1012" s="146"/>
      <c r="Q1012" s="146"/>
      <c r="R1012" s="146"/>
      <c r="S1012" s="146"/>
      <c r="T1012" s="146"/>
      <c r="U1012" s="146"/>
      <c r="V1012" s="146"/>
      <c r="W1012" s="146"/>
      <c r="X1012" s="146"/>
      <c r="Y1012" s="146"/>
      <c r="Z1012" s="146"/>
      <c r="AA1012" s="146"/>
    </row>
    <row r="1013" ht="22.5" customHeight="1">
      <c r="A1013" s="145"/>
      <c r="B1013" s="154"/>
      <c r="C1013" s="154"/>
      <c r="D1013" s="138"/>
      <c r="E1013" s="138"/>
      <c r="F1013" s="138"/>
      <c r="G1013" s="138"/>
      <c r="H1013" s="119"/>
      <c r="I1013" s="146"/>
      <c r="J1013" s="146"/>
      <c r="K1013" s="146"/>
      <c r="L1013" s="146"/>
      <c r="M1013" s="146"/>
      <c r="N1013" s="146"/>
      <c r="O1013" s="146"/>
      <c r="P1013" s="146"/>
      <c r="Q1013" s="146"/>
      <c r="R1013" s="146"/>
      <c r="S1013" s="146"/>
      <c r="T1013" s="146"/>
      <c r="U1013" s="146"/>
      <c r="V1013" s="146"/>
      <c r="W1013" s="146"/>
      <c r="X1013" s="146"/>
      <c r="Y1013" s="146"/>
      <c r="Z1013" s="146"/>
      <c r="AA1013" s="146"/>
    </row>
    <row r="1014" ht="22.5" customHeight="1">
      <c r="A1014" s="145"/>
      <c r="B1014" s="154"/>
      <c r="C1014" s="154"/>
      <c r="D1014" s="138"/>
      <c r="E1014" s="138"/>
      <c r="F1014" s="138"/>
      <c r="G1014" s="138"/>
      <c r="H1014" s="119"/>
      <c r="I1014" s="146"/>
      <c r="J1014" s="146"/>
      <c r="K1014" s="146"/>
      <c r="L1014" s="146"/>
      <c r="M1014" s="146"/>
      <c r="N1014" s="146"/>
      <c r="O1014" s="146"/>
      <c r="P1014" s="146"/>
      <c r="Q1014" s="146"/>
      <c r="R1014" s="146"/>
      <c r="S1014" s="146"/>
      <c r="T1014" s="146"/>
      <c r="U1014" s="146"/>
      <c r="V1014" s="146"/>
      <c r="W1014" s="146"/>
      <c r="X1014" s="146"/>
      <c r="Y1014" s="146"/>
      <c r="Z1014" s="146"/>
      <c r="AA1014" s="146"/>
    </row>
    <row r="1015" ht="22.5" customHeight="1">
      <c r="A1015" s="145"/>
      <c r="B1015" s="154"/>
      <c r="C1015" s="154"/>
      <c r="D1015" s="138"/>
      <c r="E1015" s="138"/>
      <c r="F1015" s="138"/>
      <c r="G1015" s="138"/>
      <c r="H1015" s="119"/>
      <c r="I1015" s="146"/>
      <c r="J1015" s="146"/>
      <c r="K1015" s="146"/>
      <c r="L1015" s="146"/>
      <c r="M1015" s="146"/>
      <c r="N1015" s="146"/>
      <c r="O1015" s="146"/>
      <c r="P1015" s="146"/>
      <c r="Q1015" s="146"/>
      <c r="R1015" s="146"/>
      <c r="S1015" s="146"/>
      <c r="T1015" s="146"/>
      <c r="U1015" s="146"/>
      <c r="V1015" s="146"/>
      <c r="W1015" s="146"/>
      <c r="X1015" s="146"/>
      <c r="Y1015" s="146"/>
      <c r="Z1015" s="146"/>
      <c r="AA1015" s="146"/>
    </row>
    <row r="1016" ht="22.5" customHeight="1">
      <c r="A1016" s="145"/>
      <c r="B1016" s="154"/>
      <c r="C1016" s="154"/>
      <c r="D1016" s="138"/>
      <c r="E1016" s="138"/>
      <c r="F1016" s="138"/>
      <c r="G1016" s="138"/>
      <c r="H1016" s="119"/>
      <c r="I1016" s="146"/>
      <c r="J1016" s="146"/>
      <c r="K1016" s="146"/>
      <c r="L1016" s="146"/>
      <c r="M1016" s="146"/>
      <c r="N1016" s="146"/>
      <c r="O1016" s="146"/>
      <c r="P1016" s="146"/>
      <c r="Q1016" s="146"/>
      <c r="R1016" s="146"/>
      <c r="S1016" s="146"/>
      <c r="T1016" s="146"/>
      <c r="U1016" s="146"/>
      <c r="V1016" s="146"/>
      <c r="W1016" s="146"/>
      <c r="X1016" s="146"/>
      <c r="Y1016" s="146"/>
      <c r="Z1016" s="146"/>
      <c r="AA1016" s="146"/>
    </row>
    <row r="1017" ht="22.5" customHeight="1">
      <c r="A1017" s="145"/>
      <c r="B1017" s="154"/>
      <c r="C1017" s="154"/>
      <c r="D1017" s="138"/>
      <c r="E1017" s="138"/>
      <c r="F1017" s="138"/>
      <c r="G1017" s="138"/>
      <c r="H1017" s="119"/>
      <c r="I1017" s="146"/>
      <c r="J1017" s="146"/>
      <c r="K1017" s="146"/>
      <c r="L1017" s="146"/>
      <c r="M1017" s="146"/>
      <c r="N1017" s="146"/>
      <c r="O1017" s="146"/>
      <c r="P1017" s="146"/>
      <c r="Q1017" s="146"/>
      <c r="R1017" s="146"/>
      <c r="S1017" s="146"/>
      <c r="T1017" s="146"/>
      <c r="U1017" s="146"/>
      <c r="V1017" s="146"/>
      <c r="W1017" s="146"/>
      <c r="X1017" s="146"/>
      <c r="Y1017" s="146"/>
      <c r="Z1017" s="146"/>
      <c r="AA1017" s="146"/>
    </row>
    <row r="1018" ht="22.5" customHeight="1">
      <c r="A1018" s="145"/>
      <c r="B1018" s="154"/>
      <c r="C1018" s="154"/>
      <c r="D1018" s="138"/>
      <c r="E1018" s="138"/>
      <c r="F1018" s="138"/>
      <c r="G1018" s="138"/>
      <c r="H1018" s="119"/>
      <c r="I1018" s="146"/>
      <c r="J1018" s="146"/>
      <c r="K1018" s="146"/>
      <c r="L1018" s="146"/>
      <c r="M1018" s="146"/>
      <c r="N1018" s="146"/>
      <c r="O1018" s="146"/>
      <c r="P1018" s="146"/>
      <c r="Q1018" s="146"/>
      <c r="R1018" s="146"/>
      <c r="S1018" s="146"/>
      <c r="T1018" s="146"/>
      <c r="U1018" s="146"/>
      <c r="V1018" s="146"/>
      <c r="W1018" s="146"/>
      <c r="X1018" s="146"/>
      <c r="Y1018" s="146"/>
      <c r="Z1018" s="146"/>
      <c r="AA1018" s="146"/>
    </row>
    <row r="1019" ht="22.5" customHeight="1">
      <c r="A1019" s="145"/>
      <c r="B1019" s="154"/>
      <c r="C1019" s="154"/>
      <c r="D1019" s="138"/>
      <c r="E1019" s="138"/>
      <c r="F1019" s="138"/>
      <c r="G1019" s="138"/>
      <c r="H1019" s="119"/>
      <c r="I1019" s="146"/>
      <c r="J1019" s="146"/>
      <c r="K1019" s="146"/>
      <c r="L1019" s="146"/>
      <c r="M1019" s="146"/>
      <c r="N1019" s="146"/>
      <c r="O1019" s="146"/>
      <c r="P1019" s="146"/>
      <c r="Q1019" s="146"/>
      <c r="R1019" s="146"/>
      <c r="S1019" s="146"/>
      <c r="T1019" s="146"/>
      <c r="U1019" s="146"/>
      <c r="V1019" s="146"/>
      <c r="W1019" s="146"/>
      <c r="X1019" s="146"/>
      <c r="Y1019" s="146"/>
      <c r="Z1019" s="146"/>
      <c r="AA1019" s="146"/>
    </row>
    <row r="1020" ht="22.5" customHeight="1">
      <c r="A1020" s="145"/>
      <c r="B1020" s="154"/>
      <c r="C1020" s="154"/>
      <c r="D1020" s="138"/>
      <c r="E1020" s="138"/>
      <c r="F1020" s="138"/>
      <c r="G1020" s="138"/>
      <c r="H1020" s="119"/>
      <c r="I1020" s="146"/>
      <c r="J1020" s="146"/>
      <c r="K1020" s="146"/>
      <c r="L1020" s="146"/>
      <c r="M1020" s="146"/>
      <c r="N1020" s="146"/>
      <c r="O1020" s="146"/>
      <c r="P1020" s="146"/>
      <c r="Q1020" s="146"/>
      <c r="R1020" s="146"/>
      <c r="S1020" s="146"/>
      <c r="T1020" s="146"/>
      <c r="U1020" s="146"/>
      <c r="V1020" s="146"/>
      <c r="W1020" s="146"/>
      <c r="X1020" s="146"/>
      <c r="Y1020" s="146"/>
      <c r="Z1020" s="146"/>
      <c r="AA1020" s="146"/>
    </row>
    <row r="1021" ht="22.5" customHeight="1">
      <c r="A1021" s="145"/>
      <c r="B1021" s="154"/>
      <c r="C1021" s="154"/>
      <c r="D1021" s="138"/>
      <c r="E1021" s="138"/>
      <c r="F1021" s="138"/>
      <c r="G1021" s="138"/>
      <c r="H1021" s="119"/>
      <c r="I1021" s="146"/>
      <c r="J1021" s="146"/>
      <c r="K1021" s="146"/>
      <c r="L1021" s="146"/>
      <c r="M1021" s="146"/>
      <c r="N1021" s="146"/>
      <c r="O1021" s="146"/>
      <c r="P1021" s="146"/>
      <c r="Q1021" s="146"/>
      <c r="R1021" s="146"/>
      <c r="S1021" s="146"/>
      <c r="T1021" s="146"/>
      <c r="U1021" s="146"/>
      <c r="V1021" s="146"/>
      <c r="W1021" s="146"/>
      <c r="X1021" s="146"/>
      <c r="Y1021" s="146"/>
      <c r="Z1021" s="146"/>
      <c r="AA1021" s="146"/>
    </row>
    <row r="1022" ht="22.5" customHeight="1">
      <c r="A1022" s="145"/>
      <c r="B1022" s="154"/>
      <c r="C1022" s="154"/>
      <c r="D1022" s="138"/>
      <c r="E1022" s="138"/>
      <c r="F1022" s="138"/>
      <c r="G1022" s="138"/>
      <c r="H1022" s="119"/>
      <c r="I1022" s="146"/>
      <c r="J1022" s="146"/>
      <c r="K1022" s="146"/>
      <c r="L1022" s="146"/>
      <c r="M1022" s="146"/>
      <c r="N1022" s="146"/>
      <c r="O1022" s="146"/>
      <c r="P1022" s="146"/>
      <c r="Q1022" s="146"/>
      <c r="R1022" s="146"/>
      <c r="S1022" s="146"/>
      <c r="T1022" s="146"/>
      <c r="U1022" s="146"/>
      <c r="V1022" s="146"/>
      <c r="W1022" s="146"/>
      <c r="X1022" s="146"/>
      <c r="Y1022" s="146"/>
      <c r="Z1022" s="146"/>
      <c r="AA1022" s="146"/>
    </row>
    <row r="1023" ht="22.5" customHeight="1">
      <c r="A1023" s="145"/>
      <c r="B1023" s="154"/>
      <c r="C1023" s="154"/>
      <c r="D1023" s="138"/>
      <c r="E1023" s="138"/>
      <c r="F1023" s="138"/>
      <c r="G1023" s="138"/>
      <c r="H1023" s="119"/>
      <c r="I1023" s="146"/>
      <c r="J1023" s="146"/>
      <c r="K1023" s="146"/>
      <c r="L1023" s="146"/>
      <c r="M1023" s="146"/>
      <c r="N1023" s="146"/>
      <c r="O1023" s="146"/>
      <c r="P1023" s="146"/>
      <c r="Q1023" s="146"/>
      <c r="R1023" s="146"/>
      <c r="S1023" s="146"/>
      <c r="T1023" s="146"/>
      <c r="U1023" s="146"/>
      <c r="V1023" s="146"/>
      <c r="W1023" s="146"/>
      <c r="X1023" s="146"/>
      <c r="Y1023" s="146"/>
      <c r="Z1023" s="146"/>
      <c r="AA1023" s="146"/>
    </row>
    <row r="1024" ht="22.5" customHeight="1">
      <c r="A1024" s="145"/>
      <c r="B1024" s="154"/>
      <c r="C1024" s="154"/>
      <c r="D1024" s="138"/>
      <c r="E1024" s="138"/>
      <c r="F1024" s="138"/>
      <c r="G1024" s="138"/>
      <c r="H1024" s="119"/>
      <c r="I1024" s="146"/>
      <c r="J1024" s="146"/>
      <c r="K1024" s="146"/>
      <c r="L1024" s="146"/>
      <c r="M1024" s="146"/>
      <c r="N1024" s="146"/>
      <c r="O1024" s="146"/>
      <c r="P1024" s="146"/>
      <c r="Q1024" s="146"/>
      <c r="R1024" s="146"/>
      <c r="S1024" s="146"/>
      <c r="T1024" s="146"/>
      <c r="U1024" s="146"/>
      <c r="V1024" s="146"/>
      <c r="W1024" s="146"/>
      <c r="X1024" s="146"/>
      <c r="Y1024" s="146"/>
      <c r="Z1024" s="146"/>
      <c r="AA1024" s="146"/>
    </row>
    <row r="1025" ht="22.5" customHeight="1">
      <c r="A1025" s="145"/>
      <c r="B1025" s="154"/>
      <c r="C1025" s="154"/>
      <c r="D1025" s="138"/>
      <c r="E1025" s="138"/>
      <c r="F1025" s="138"/>
      <c r="G1025" s="138"/>
      <c r="H1025" s="119"/>
      <c r="I1025" s="146"/>
      <c r="J1025" s="146"/>
      <c r="K1025" s="146"/>
      <c r="L1025" s="146"/>
      <c r="M1025" s="146"/>
      <c r="N1025" s="146"/>
      <c r="O1025" s="146"/>
      <c r="P1025" s="146"/>
      <c r="Q1025" s="146"/>
      <c r="R1025" s="146"/>
      <c r="S1025" s="146"/>
      <c r="T1025" s="146"/>
      <c r="U1025" s="146"/>
      <c r="V1025" s="146"/>
      <c r="W1025" s="146"/>
      <c r="X1025" s="146"/>
      <c r="Y1025" s="146"/>
      <c r="Z1025" s="146"/>
      <c r="AA1025" s="146"/>
    </row>
    <row r="1026" ht="22.5" customHeight="1">
      <c r="A1026" s="145"/>
      <c r="B1026" s="154"/>
      <c r="C1026" s="154"/>
      <c r="D1026" s="138"/>
      <c r="E1026" s="138"/>
      <c r="F1026" s="138"/>
      <c r="G1026" s="138"/>
      <c r="H1026" s="119"/>
      <c r="I1026" s="146"/>
      <c r="J1026" s="146"/>
      <c r="K1026" s="146"/>
      <c r="L1026" s="146"/>
      <c r="M1026" s="146"/>
      <c r="N1026" s="146"/>
      <c r="O1026" s="146"/>
      <c r="P1026" s="146"/>
      <c r="Q1026" s="146"/>
      <c r="R1026" s="146"/>
      <c r="S1026" s="146"/>
      <c r="T1026" s="146"/>
      <c r="U1026" s="146"/>
      <c r="V1026" s="146"/>
      <c r="W1026" s="146"/>
      <c r="X1026" s="146"/>
      <c r="Y1026" s="146"/>
      <c r="Z1026" s="146"/>
      <c r="AA1026" s="146"/>
    </row>
    <row r="1027" ht="22.5" customHeight="1">
      <c r="A1027" s="145"/>
      <c r="B1027" s="154"/>
      <c r="C1027" s="154"/>
      <c r="D1027" s="138"/>
      <c r="E1027" s="138"/>
      <c r="F1027" s="138"/>
      <c r="G1027" s="138"/>
      <c r="H1027" s="119"/>
      <c r="I1027" s="146"/>
      <c r="J1027" s="146"/>
      <c r="K1027" s="146"/>
      <c r="L1027" s="146"/>
      <c r="M1027" s="146"/>
      <c r="N1027" s="146"/>
      <c r="O1027" s="146"/>
      <c r="P1027" s="146"/>
      <c r="Q1027" s="146"/>
      <c r="R1027" s="146"/>
      <c r="S1027" s="146"/>
      <c r="T1027" s="146"/>
      <c r="U1027" s="146"/>
      <c r="V1027" s="146"/>
      <c r="W1027" s="146"/>
      <c r="X1027" s="146"/>
      <c r="Y1027" s="146"/>
      <c r="Z1027" s="146"/>
      <c r="AA1027" s="146"/>
    </row>
    <row r="1028" ht="22.5" customHeight="1">
      <c r="A1028" s="145"/>
      <c r="B1028" s="154"/>
      <c r="C1028" s="154"/>
      <c r="D1028" s="138"/>
      <c r="E1028" s="138"/>
      <c r="F1028" s="138"/>
      <c r="G1028" s="138"/>
      <c r="H1028" s="119"/>
      <c r="I1028" s="146"/>
      <c r="J1028" s="146"/>
      <c r="K1028" s="146"/>
      <c r="L1028" s="146"/>
      <c r="M1028" s="146"/>
      <c r="N1028" s="146"/>
      <c r="O1028" s="146"/>
      <c r="P1028" s="146"/>
      <c r="Q1028" s="146"/>
      <c r="R1028" s="146"/>
      <c r="S1028" s="146"/>
      <c r="T1028" s="146"/>
      <c r="U1028" s="146"/>
      <c r="V1028" s="146"/>
      <c r="W1028" s="146"/>
      <c r="X1028" s="146"/>
      <c r="Y1028" s="146"/>
      <c r="Z1028" s="146"/>
      <c r="AA1028" s="146"/>
    </row>
    <row r="1029" ht="22.5" customHeight="1">
      <c r="A1029" s="145"/>
      <c r="B1029" s="154"/>
      <c r="C1029" s="154"/>
      <c r="D1029" s="138"/>
      <c r="E1029" s="138"/>
      <c r="F1029" s="138"/>
      <c r="G1029" s="138"/>
      <c r="H1029" s="119"/>
      <c r="I1029" s="146"/>
      <c r="J1029" s="146"/>
      <c r="K1029" s="146"/>
      <c r="L1029" s="146"/>
      <c r="M1029" s="146"/>
      <c r="N1029" s="146"/>
      <c r="O1029" s="146"/>
      <c r="P1029" s="146"/>
      <c r="Q1029" s="146"/>
      <c r="R1029" s="146"/>
      <c r="S1029" s="146"/>
      <c r="T1029" s="146"/>
      <c r="U1029" s="146"/>
      <c r="V1029" s="146"/>
      <c r="W1029" s="146"/>
      <c r="X1029" s="146"/>
      <c r="Y1029" s="146"/>
      <c r="Z1029" s="146"/>
      <c r="AA1029" s="146"/>
    </row>
    <row r="1030" ht="22.5" customHeight="1">
      <c r="A1030" s="145"/>
      <c r="B1030" s="154"/>
      <c r="C1030" s="154"/>
      <c r="D1030" s="138"/>
      <c r="E1030" s="138"/>
      <c r="F1030" s="138"/>
      <c r="G1030" s="138"/>
      <c r="H1030" s="119"/>
      <c r="I1030" s="146"/>
      <c r="J1030" s="146"/>
      <c r="K1030" s="146"/>
      <c r="L1030" s="146"/>
      <c r="M1030" s="146"/>
      <c r="N1030" s="146"/>
      <c r="O1030" s="146"/>
      <c r="P1030" s="146"/>
      <c r="Q1030" s="146"/>
      <c r="R1030" s="146"/>
      <c r="S1030" s="146"/>
      <c r="T1030" s="146"/>
      <c r="U1030" s="146"/>
      <c r="V1030" s="146"/>
      <c r="W1030" s="146"/>
      <c r="X1030" s="146"/>
      <c r="Y1030" s="146"/>
      <c r="Z1030" s="146"/>
      <c r="AA1030" s="146"/>
    </row>
    <row r="1031" ht="22.5" customHeight="1">
      <c r="A1031" s="145"/>
      <c r="B1031" s="154"/>
      <c r="C1031" s="154"/>
      <c r="D1031" s="138"/>
      <c r="E1031" s="138"/>
      <c r="F1031" s="138"/>
      <c r="G1031" s="138"/>
      <c r="H1031" s="119"/>
      <c r="I1031" s="146"/>
      <c r="J1031" s="146"/>
      <c r="K1031" s="146"/>
      <c r="L1031" s="146"/>
      <c r="M1031" s="146"/>
      <c r="N1031" s="146"/>
      <c r="O1031" s="146"/>
      <c r="P1031" s="146"/>
      <c r="Q1031" s="146"/>
      <c r="R1031" s="146"/>
      <c r="S1031" s="146"/>
      <c r="T1031" s="146"/>
      <c r="U1031" s="146"/>
      <c r="V1031" s="146"/>
      <c r="W1031" s="146"/>
      <c r="X1031" s="146"/>
      <c r="Y1031" s="146"/>
      <c r="Z1031" s="146"/>
      <c r="AA1031" s="146"/>
    </row>
    <row r="1032" ht="22.5" customHeight="1">
      <c r="A1032" s="145"/>
      <c r="B1032" s="154"/>
      <c r="C1032" s="154"/>
      <c r="D1032" s="138"/>
      <c r="E1032" s="138"/>
      <c r="F1032" s="138"/>
      <c r="G1032" s="138"/>
      <c r="H1032" s="119"/>
      <c r="I1032" s="146"/>
      <c r="J1032" s="146"/>
      <c r="K1032" s="146"/>
      <c r="L1032" s="146"/>
      <c r="M1032" s="146"/>
      <c r="N1032" s="146"/>
      <c r="O1032" s="146"/>
      <c r="P1032" s="146"/>
      <c r="Q1032" s="146"/>
      <c r="R1032" s="146"/>
      <c r="S1032" s="146"/>
      <c r="T1032" s="146"/>
      <c r="U1032" s="146"/>
      <c r="V1032" s="146"/>
      <c r="W1032" s="146"/>
      <c r="X1032" s="146"/>
      <c r="Y1032" s="146"/>
      <c r="Z1032" s="146"/>
      <c r="AA1032" s="146"/>
    </row>
    <row r="1033" ht="22.5" customHeight="1">
      <c r="A1033" s="145"/>
      <c r="B1033" s="154"/>
      <c r="C1033" s="154"/>
      <c r="D1033" s="138"/>
      <c r="E1033" s="138"/>
      <c r="F1033" s="138"/>
      <c r="G1033" s="138"/>
      <c r="H1033" s="119"/>
      <c r="I1033" s="146"/>
      <c r="J1033" s="146"/>
      <c r="K1033" s="146"/>
      <c r="L1033" s="146"/>
      <c r="M1033" s="146"/>
      <c r="N1033" s="146"/>
      <c r="O1033" s="146"/>
      <c r="P1033" s="146"/>
      <c r="Q1033" s="146"/>
      <c r="R1033" s="146"/>
      <c r="S1033" s="146"/>
      <c r="T1033" s="146"/>
      <c r="U1033" s="146"/>
      <c r="V1033" s="146"/>
      <c r="W1033" s="146"/>
      <c r="X1033" s="146"/>
      <c r="Y1033" s="146"/>
      <c r="Z1033" s="146"/>
      <c r="AA1033" s="146"/>
    </row>
    <row r="1034" ht="22.5" customHeight="1">
      <c r="A1034" s="145"/>
      <c r="B1034" s="154"/>
      <c r="C1034" s="154"/>
      <c r="D1034" s="138"/>
      <c r="E1034" s="138"/>
      <c r="F1034" s="138"/>
      <c r="G1034" s="138"/>
      <c r="H1034" s="119"/>
      <c r="I1034" s="146"/>
      <c r="J1034" s="146"/>
      <c r="K1034" s="146"/>
      <c r="L1034" s="146"/>
      <c r="M1034" s="146"/>
      <c r="N1034" s="146"/>
      <c r="O1034" s="146"/>
      <c r="P1034" s="146"/>
      <c r="Q1034" s="146"/>
      <c r="R1034" s="146"/>
      <c r="S1034" s="146"/>
      <c r="T1034" s="146"/>
      <c r="U1034" s="146"/>
      <c r="V1034" s="146"/>
      <c r="W1034" s="146"/>
      <c r="X1034" s="146"/>
      <c r="Y1034" s="146"/>
      <c r="Z1034" s="146"/>
      <c r="AA1034" s="146"/>
    </row>
    <row r="1035" ht="22.5" customHeight="1">
      <c r="A1035" s="145"/>
      <c r="B1035" s="154"/>
      <c r="C1035" s="154"/>
      <c r="D1035" s="138"/>
      <c r="E1035" s="138"/>
      <c r="F1035" s="138"/>
      <c r="G1035" s="138"/>
      <c r="H1035" s="119"/>
      <c r="I1035" s="146"/>
      <c r="J1035" s="146"/>
      <c r="K1035" s="146"/>
      <c r="L1035" s="146"/>
      <c r="M1035" s="146"/>
      <c r="N1035" s="146"/>
      <c r="O1035" s="146"/>
      <c r="P1035" s="146"/>
      <c r="Q1035" s="146"/>
      <c r="R1035" s="146"/>
      <c r="S1035" s="146"/>
      <c r="T1035" s="146"/>
      <c r="U1035" s="146"/>
      <c r="V1035" s="146"/>
      <c r="W1035" s="146"/>
      <c r="X1035" s="146"/>
      <c r="Y1035" s="146"/>
      <c r="Z1035" s="146"/>
      <c r="AA1035" s="146"/>
    </row>
    <row r="1036" ht="22.5" customHeight="1">
      <c r="A1036" s="145"/>
      <c r="B1036" s="154"/>
      <c r="C1036" s="154"/>
      <c r="D1036" s="138"/>
      <c r="E1036" s="138"/>
      <c r="F1036" s="138"/>
      <c r="G1036" s="138"/>
      <c r="H1036" s="119"/>
      <c r="I1036" s="146"/>
      <c r="J1036" s="146"/>
      <c r="K1036" s="146"/>
      <c r="L1036" s="146"/>
      <c r="M1036" s="146"/>
      <c r="N1036" s="146"/>
      <c r="O1036" s="146"/>
      <c r="P1036" s="146"/>
      <c r="Q1036" s="146"/>
      <c r="R1036" s="146"/>
      <c r="S1036" s="146"/>
      <c r="T1036" s="146"/>
      <c r="U1036" s="146"/>
      <c r="V1036" s="146"/>
      <c r="W1036" s="146"/>
      <c r="X1036" s="146"/>
      <c r="Y1036" s="146"/>
      <c r="Z1036" s="146"/>
      <c r="AA1036" s="146"/>
    </row>
    <row r="1037" ht="22.5" customHeight="1">
      <c r="A1037" s="145"/>
      <c r="B1037" s="154"/>
      <c r="C1037" s="154"/>
      <c r="D1037" s="138"/>
      <c r="E1037" s="138"/>
      <c r="F1037" s="138"/>
      <c r="G1037" s="138"/>
      <c r="H1037" s="119"/>
      <c r="I1037" s="146"/>
      <c r="J1037" s="146"/>
      <c r="K1037" s="146"/>
      <c r="L1037" s="146"/>
      <c r="M1037" s="146"/>
      <c r="N1037" s="146"/>
      <c r="O1037" s="146"/>
      <c r="P1037" s="146"/>
      <c r="Q1037" s="146"/>
      <c r="R1037" s="146"/>
      <c r="S1037" s="146"/>
      <c r="T1037" s="146"/>
      <c r="U1037" s="146"/>
      <c r="V1037" s="146"/>
      <c r="W1037" s="146"/>
      <c r="X1037" s="146"/>
      <c r="Y1037" s="146"/>
      <c r="Z1037" s="146"/>
      <c r="AA1037" s="146"/>
    </row>
    <row r="1038" ht="22.5" customHeight="1">
      <c r="A1038" s="145"/>
      <c r="B1038" s="154"/>
      <c r="C1038" s="154"/>
      <c r="D1038" s="138"/>
      <c r="E1038" s="138"/>
      <c r="F1038" s="138"/>
      <c r="G1038" s="138"/>
      <c r="H1038" s="119"/>
      <c r="I1038" s="146"/>
      <c r="J1038" s="146"/>
      <c r="K1038" s="146"/>
      <c r="L1038" s="146"/>
      <c r="M1038" s="146"/>
      <c r="N1038" s="146"/>
      <c r="O1038" s="146"/>
      <c r="P1038" s="146"/>
      <c r="Q1038" s="146"/>
      <c r="R1038" s="146"/>
      <c r="S1038" s="146"/>
      <c r="T1038" s="146"/>
      <c r="U1038" s="146"/>
      <c r="V1038" s="146"/>
      <c r="W1038" s="146"/>
      <c r="X1038" s="146"/>
      <c r="Y1038" s="146"/>
      <c r="Z1038" s="146"/>
      <c r="AA1038" s="146"/>
    </row>
    <row r="1039" ht="22.5" customHeight="1">
      <c r="A1039" s="145"/>
      <c r="B1039" s="154"/>
      <c r="C1039" s="154"/>
      <c r="D1039" s="138"/>
      <c r="E1039" s="138"/>
      <c r="F1039" s="138"/>
      <c r="G1039" s="138"/>
      <c r="H1039" s="119"/>
      <c r="I1039" s="146"/>
      <c r="J1039" s="146"/>
      <c r="K1039" s="146"/>
      <c r="L1039" s="146"/>
      <c r="M1039" s="146"/>
      <c r="N1039" s="146"/>
      <c r="O1039" s="146"/>
      <c r="P1039" s="146"/>
      <c r="Q1039" s="146"/>
      <c r="R1039" s="146"/>
      <c r="S1039" s="146"/>
      <c r="T1039" s="146"/>
      <c r="U1039" s="146"/>
      <c r="V1039" s="146"/>
      <c r="W1039" s="146"/>
      <c r="X1039" s="146"/>
      <c r="Y1039" s="146"/>
      <c r="Z1039" s="146"/>
      <c r="AA1039" s="146"/>
    </row>
    <row r="1040" ht="22.5" customHeight="1">
      <c r="A1040" s="145"/>
      <c r="B1040" s="154"/>
      <c r="C1040" s="154"/>
      <c r="D1040" s="138"/>
      <c r="E1040" s="138"/>
      <c r="F1040" s="138"/>
      <c r="G1040" s="138"/>
      <c r="H1040" s="119"/>
      <c r="I1040" s="146"/>
      <c r="J1040" s="146"/>
      <c r="K1040" s="146"/>
      <c r="L1040" s="146"/>
      <c r="M1040" s="146"/>
      <c r="N1040" s="146"/>
      <c r="O1040" s="146"/>
      <c r="P1040" s="146"/>
      <c r="Q1040" s="146"/>
      <c r="R1040" s="146"/>
      <c r="S1040" s="146"/>
      <c r="T1040" s="146"/>
      <c r="U1040" s="146"/>
      <c r="V1040" s="146"/>
      <c r="W1040" s="146"/>
      <c r="X1040" s="146"/>
      <c r="Y1040" s="146"/>
      <c r="Z1040" s="146"/>
      <c r="AA1040" s="146"/>
    </row>
    <row r="1041" ht="22.5" customHeight="1">
      <c r="A1041" s="145"/>
      <c r="B1041" s="154"/>
      <c r="C1041" s="154"/>
      <c r="D1041" s="138"/>
      <c r="E1041" s="138"/>
      <c r="F1041" s="138"/>
      <c r="G1041" s="138"/>
      <c r="H1041" s="119"/>
      <c r="I1041" s="146"/>
      <c r="J1041" s="146"/>
      <c r="K1041" s="146"/>
      <c r="L1041" s="146"/>
      <c r="M1041" s="146"/>
      <c r="N1041" s="146"/>
      <c r="O1041" s="146"/>
      <c r="P1041" s="146"/>
      <c r="Q1041" s="146"/>
      <c r="R1041" s="146"/>
      <c r="S1041" s="146"/>
      <c r="T1041" s="146"/>
      <c r="U1041" s="146"/>
      <c r="V1041" s="146"/>
      <c r="W1041" s="146"/>
      <c r="X1041" s="146"/>
      <c r="Y1041" s="146"/>
      <c r="Z1041" s="146"/>
      <c r="AA1041" s="146"/>
    </row>
    <row r="1042" ht="22.5" customHeight="1">
      <c r="A1042" s="145"/>
      <c r="B1042" s="154"/>
      <c r="C1042" s="154"/>
      <c r="D1042" s="138"/>
      <c r="E1042" s="138"/>
      <c r="F1042" s="138"/>
      <c r="G1042" s="138"/>
      <c r="H1042" s="119"/>
      <c r="I1042" s="146"/>
      <c r="J1042" s="146"/>
      <c r="K1042" s="146"/>
      <c r="L1042" s="146"/>
      <c r="M1042" s="146"/>
      <c r="N1042" s="146"/>
      <c r="O1042" s="146"/>
      <c r="P1042" s="146"/>
      <c r="Q1042" s="146"/>
      <c r="R1042" s="146"/>
      <c r="S1042" s="146"/>
      <c r="T1042" s="146"/>
      <c r="U1042" s="146"/>
      <c r="V1042" s="146"/>
      <c r="W1042" s="146"/>
      <c r="X1042" s="146"/>
      <c r="Y1042" s="146"/>
      <c r="Z1042" s="146"/>
      <c r="AA1042" s="146"/>
    </row>
    <row r="1043" ht="22.5" customHeight="1">
      <c r="A1043" s="145"/>
      <c r="B1043" s="154"/>
      <c r="C1043" s="154"/>
      <c r="D1043" s="138"/>
      <c r="E1043" s="138"/>
      <c r="F1043" s="138"/>
      <c r="G1043" s="138"/>
      <c r="H1043" s="119"/>
      <c r="I1043" s="146"/>
      <c r="J1043" s="146"/>
      <c r="K1043" s="146"/>
      <c r="L1043" s="146"/>
      <c r="M1043" s="146"/>
      <c r="N1043" s="146"/>
      <c r="O1043" s="146"/>
      <c r="P1043" s="146"/>
      <c r="Q1043" s="146"/>
      <c r="R1043" s="146"/>
      <c r="S1043" s="146"/>
      <c r="T1043" s="146"/>
      <c r="U1043" s="146"/>
      <c r="V1043" s="146"/>
      <c r="W1043" s="146"/>
      <c r="X1043" s="146"/>
      <c r="Y1043" s="146"/>
      <c r="Z1043" s="146"/>
      <c r="AA1043" s="146"/>
    </row>
    <row r="1044" ht="22.5" customHeight="1">
      <c r="A1044" s="145"/>
      <c r="B1044" s="154"/>
      <c r="C1044" s="154"/>
      <c r="D1044" s="138"/>
      <c r="E1044" s="138"/>
      <c r="F1044" s="138"/>
      <c r="G1044" s="138"/>
      <c r="H1044" s="119"/>
      <c r="I1044" s="146"/>
      <c r="J1044" s="146"/>
      <c r="K1044" s="146"/>
      <c r="L1044" s="146"/>
      <c r="M1044" s="146"/>
      <c r="N1044" s="146"/>
      <c r="O1044" s="146"/>
      <c r="P1044" s="146"/>
      <c r="Q1044" s="146"/>
      <c r="R1044" s="146"/>
      <c r="S1044" s="146"/>
      <c r="T1044" s="146"/>
      <c r="U1044" s="146"/>
      <c r="V1044" s="146"/>
      <c r="W1044" s="146"/>
      <c r="X1044" s="146"/>
      <c r="Y1044" s="146"/>
      <c r="Z1044" s="146"/>
      <c r="AA1044" s="146"/>
    </row>
    <row r="1045" ht="22.5" customHeight="1">
      <c r="A1045" s="145"/>
      <c r="B1045" s="154"/>
      <c r="C1045" s="154"/>
      <c r="D1045" s="138"/>
      <c r="E1045" s="138"/>
      <c r="F1045" s="138"/>
      <c r="G1045" s="138"/>
      <c r="H1045" s="119"/>
      <c r="I1045" s="146"/>
      <c r="J1045" s="146"/>
      <c r="K1045" s="146"/>
      <c r="L1045" s="146"/>
      <c r="M1045" s="146"/>
      <c r="N1045" s="146"/>
      <c r="O1045" s="146"/>
      <c r="P1045" s="146"/>
      <c r="Q1045" s="146"/>
      <c r="R1045" s="146"/>
      <c r="S1045" s="146"/>
      <c r="T1045" s="146"/>
      <c r="U1045" s="146"/>
      <c r="V1045" s="146"/>
      <c r="W1045" s="146"/>
      <c r="X1045" s="146"/>
      <c r="Y1045" s="146"/>
      <c r="Z1045" s="146"/>
      <c r="AA1045" s="146"/>
    </row>
    <row r="1046" ht="22.5" customHeight="1">
      <c r="A1046" s="145"/>
      <c r="B1046" s="154"/>
      <c r="C1046" s="154"/>
      <c r="D1046" s="138"/>
      <c r="E1046" s="138"/>
      <c r="F1046" s="138"/>
      <c r="G1046" s="138"/>
      <c r="H1046" s="119"/>
      <c r="I1046" s="146"/>
      <c r="J1046" s="146"/>
      <c r="K1046" s="146"/>
      <c r="L1046" s="146"/>
      <c r="M1046" s="146"/>
      <c r="N1046" s="146"/>
      <c r="O1046" s="146"/>
      <c r="P1046" s="146"/>
      <c r="Q1046" s="146"/>
      <c r="R1046" s="146"/>
      <c r="S1046" s="146"/>
      <c r="T1046" s="146"/>
      <c r="U1046" s="146"/>
      <c r="V1046" s="146"/>
      <c r="W1046" s="146"/>
      <c r="X1046" s="146"/>
      <c r="Y1046" s="146"/>
      <c r="Z1046" s="146"/>
      <c r="AA1046" s="146"/>
    </row>
    <row r="1047" ht="22.5" customHeight="1">
      <c r="A1047" s="145"/>
      <c r="B1047" s="154"/>
      <c r="C1047" s="154"/>
      <c r="D1047" s="138"/>
      <c r="E1047" s="138"/>
      <c r="F1047" s="138"/>
      <c r="G1047" s="138"/>
      <c r="H1047" s="119"/>
      <c r="I1047" s="146"/>
      <c r="J1047" s="146"/>
      <c r="K1047" s="146"/>
      <c r="L1047" s="146"/>
      <c r="M1047" s="146"/>
      <c r="N1047" s="146"/>
      <c r="O1047" s="146"/>
      <c r="P1047" s="146"/>
      <c r="Q1047" s="146"/>
      <c r="R1047" s="146"/>
      <c r="S1047" s="146"/>
      <c r="T1047" s="146"/>
      <c r="U1047" s="146"/>
      <c r="V1047" s="146"/>
      <c r="W1047" s="146"/>
      <c r="X1047" s="146"/>
      <c r="Y1047" s="146"/>
      <c r="Z1047" s="146"/>
      <c r="AA1047" s="146"/>
    </row>
    <row r="1048" ht="22.5" customHeight="1">
      <c r="A1048" s="145"/>
      <c r="B1048" s="154"/>
      <c r="C1048" s="154"/>
      <c r="D1048" s="138"/>
      <c r="E1048" s="138"/>
      <c r="F1048" s="138"/>
      <c r="G1048" s="138"/>
      <c r="H1048" s="119"/>
      <c r="I1048" s="146"/>
      <c r="J1048" s="146"/>
      <c r="K1048" s="146"/>
      <c r="L1048" s="146"/>
      <c r="M1048" s="146"/>
      <c r="N1048" s="146"/>
      <c r="O1048" s="146"/>
      <c r="P1048" s="146"/>
      <c r="Q1048" s="146"/>
      <c r="R1048" s="146"/>
      <c r="S1048" s="146"/>
      <c r="T1048" s="146"/>
      <c r="U1048" s="146"/>
      <c r="V1048" s="146"/>
      <c r="W1048" s="146"/>
      <c r="X1048" s="146"/>
      <c r="Y1048" s="146"/>
      <c r="Z1048" s="146"/>
      <c r="AA1048" s="146"/>
    </row>
    <row r="1049" ht="22.5" customHeight="1">
      <c r="A1049" s="145"/>
      <c r="B1049" s="154"/>
      <c r="C1049" s="154"/>
      <c r="D1049" s="138"/>
      <c r="E1049" s="138"/>
      <c r="F1049" s="138"/>
      <c r="G1049" s="138"/>
      <c r="H1049" s="119"/>
      <c r="I1049" s="146"/>
      <c r="J1049" s="146"/>
      <c r="K1049" s="146"/>
      <c r="L1049" s="146"/>
      <c r="M1049" s="146"/>
      <c r="N1049" s="146"/>
      <c r="O1049" s="146"/>
      <c r="P1049" s="146"/>
      <c r="Q1049" s="146"/>
      <c r="R1049" s="146"/>
      <c r="S1049" s="146"/>
      <c r="T1049" s="146"/>
      <c r="U1049" s="146"/>
      <c r="V1049" s="146"/>
      <c r="W1049" s="146"/>
      <c r="X1049" s="146"/>
      <c r="Y1049" s="146"/>
      <c r="Z1049" s="146"/>
      <c r="AA1049" s="146"/>
    </row>
    <row r="1050" ht="22.5" customHeight="1">
      <c r="A1050" s="145"/>
      <c r="B1050" s="154"/>
      <c r="C1050" s="154"/>
      <c r="D1050" s="138"/>
      <c r="E1050" s="138"/>
      <c r="F1050" s="138"/>
      <c r="G1050" s="138"/>
      <c r="H1050" s="119"/>
      <c r="I1050" s="146"/>
      <c r="J1050" s="146"/>
      <c r="K1050" s="146"/>
      <c r="L1050" s="146"/>
      <c r="M1050" s="146"/>
      <c r="N1050" s="146"/>
      <c r="O1050" s="146"/>
      <c r="P1050" s="146"/>
      <c r="Q1050" s="146"/>
      <c r="R1050" s="146"/>
      <c r="S1050" s="146"/>
      <c r="T1050" s="146"/>
      <c r="U1050" s="146"/>
      <c r="V1050" s="146"/>
      <c r="W1050" s="146"/>
      <c r="X1050" s="146"/>
      <c r="Y1050" s="146"/>
      <c r="Z1050" s="146"/>
      <c r="AA1050" s="146"/>
    </row>
    <row r="1051" ht="22.5" customHeight="1">
      <c r="A1051" s="145"/>
      <c r="B1051" s="154"/>
      <c r="C1051" s="154"/>
      <c r="D1051" s="138"/>
      <c r="E1051" s="138"/>
      <c r="F1051" s="138"/>
      <c r="G1051" s="138"/>
      <c r="H1051" s="119"/>
      <c r="I1051" s="146"/>
      <c r="J1051" s="146"/>
      <c r="K1051" s="146"/>
      <c r="L1051" s="146"/>
      <c r="M1051" s="146"/>
      <c r="N1051" s="146"/>
      <c r="O1051" s="146"/>
      <c r="P1051" s="146"/>
      <c r="Q1051" s="146"/>
      <c r="R1051" s="146"/>
      <c r="S1051" s="146"/>
      <c r="T1051" s="146"/>
      <c r="U1051" s="146"/>
      <c r="V1051" s="146"/>
      <c r="W1051" s="146"/>
      <c r="X1051" s="146"/>
      <c r="Y1051" s="146"/>
      <c r="Z1051" s="146"/>
      <c r="AA1051" s="146"/>
    </row>
    <row r="1052" ht="22.5" customHeight="1">
      <c r="A1052" s="145"/>
      <c r="B1052" s="154"/>
      <c r="C1052" s="154"/>
      <c r="D1052" s="138"/>
      <c r="E1052" s="138"/>
      <c r="F1052" s="138"/>
      <c r="G1052" s="138"/>
      <c r="H1052" s="119"/>
      <c r="I1052" s="146"/>
      <c r="J1052" s="146"/>
      <c r="K1052" s="146"/>
      <c r="L1052" s="146"/>
      <c r="M1052" s="146"/>
      <c r="N1052" s="146"/>
      <c r="O1052" s="146"/>
      <c r="P1052" s="146"/>
      <c r="Q1052" s="146"/>
      <c r="R1052" s="146"/>
      <c r="S1052" s="146"/>
      <c r="T1052" s="146"/>
      <c r="U1052" s="146"/>
      <c r="V1052" s="146"/>
      <c r="W1052" s="146"/>
      <c r="X1052" s="146"/>
      <c r="Y1052" s="146"/>
      <c r="Z1052" s="146"/>
      <c r="AA1052" s="146"/>
    </row>
    <row r="1053" ht="22.5" customHeight="1">
      <c r="A1053" s="145"/>
      <c r="B1053" s="154"/>
      <c r="C1053" s="154"/>
      <c r="D1053" s="138"/>
      <c r="E1053" s="138"/>
      <c r="F1053" s="138"/>
      <c r="G1053" s="138"/>
      <c r="H1053" s="119"/>
      <c r="I1053" s="146"/>
      <c r="J1053" s="146"/>
      <c r="K1053" s="146"/>
      <c r="L1053" s="146"/>
      <c r="M1053" s="146"/>
      <c r="N1053" s="146"/>
      <c r="O1053" s="146"/>
      <c r="P1053" s="146"/>
      <c r="Q1053" s="146"/>
      <c r="R1053" s="146"/>
      <c r="S1053" s="146"/>
      <c r="T1053" s="146"/>
      <c r="U1053" s="146"/>
      <c r="V1053" s="146"/>
      <c r="W1053" s="146"/>
      <c r="X1053" s="146"/>
      <c r="Y1053" s="146"/>
      <c r="Z1053" s="146"/>
      <c r="AA1053" s="146"/>
    </row>
    <row r="1054" ht="22.5" customHeight="1">
      <c r="A1054" s="145"/>
      <c r="B1054" s="154"/>
      <c r="C1054" s="154"/>
      <c r="D1054" s="138"/>
      <c r="E1054" s="138"/>
      <c r="F1054" s="138"/>
      <c r="G1054" s="138"/>
      <c r="H1054" s="119"/>
      <c r="I1054" s="146"/>
      <c r="J1054" s="146"/>
      <c r="K1054" s="146"/>
      <c r="L1054" s="146"/>
      <c r="M1054" s="146"/>
      <c r="N1054" s="146"/>
      <c r="O1054" s="146"/>
      <c r="P1054" s="146"/>
      <c r="Q1054" s="146"/>
      <c r="R1054" s="146"/>
      <c r="S1054" s="146"/>
      <c r="T1054" s="146"/>
      <c r="U1054" s="146"/>
      <c r="V1054" s="146"/>
      <c r="W1054" s="146"/>
      <c r="X1054" s="146"/>
      <c r="Y1054" s="146"/>
      <c r="Z1054" s="146"/>
      <c r="AA1054" s="146"/>
    </row>
    <row r="1055" ht="22.5" customHeight="1">
      <c r="A1055" s="145"/>
      <c r="B1055" s="154"/>
      <c r="C1055" s="154"/>
      <c r="D1055" s="138"/>
      <c r="E1055" s="138"/>
      <c r="F1055" s="138"/>
      <c r="G1055" s="138"/>
      <c r="H1055" s="119"/>
      <c r="I1055" s="146"/>
      <c r="J1055" s="146"/>
      <c r="K1055" s="146"/>
      <c r="L1055" s="146"/>
      <c r="M1055" s="146"/>
      <c r="N1055" s="146"/>
      <c r="O1055" s="146"/>
      <c r="P1055" s="146"/>
      <c r="Q1055" s="146"/>
      <c r="R1055" s="146"/>
      <c r="S1055" s="146"/>
      <c r="T1055" s="146"/>
      <c r="U1055" s="146"/>
      <c r="V1055" s="146"/>
      <c r="W1055" s="146"/>
      <c r="X1055" s="146"/>
      <c r="Y1055" s="146"/>
      <c r="Z1055" s="146"/>
      <c r="AA1055" s="146"/>
    </row>
    <row r="1056" ht="22.5" customHeight="1">
      <c r="A1056" s="145"/>
      <c r="B1056" s="154"/>
      <c r="C1056" s="154"/>
      <c r="D1056" s="138"/>
      <c r="E1056" s="138"/>
      <c r="F1056" s="138"/>
      <c r="G1056" s="138"/>
      <c r="H1056" s="119"/>
      <c r="I1056" s="146"/>
      <c r="J1056" s="146"/>
      <c r="K1056" s="146"/>
      <c r="L1056" s="146"/>
      <c r="M1056" s="146"/>
      <c r="N1056" s="146"/>
      <c r="O1056" s="146"/>
      <c r="P1056" s="146"/>
      <c r="Q1056" s="146"/>
      <c r="R1056" s="146"/>
      <c r="S1056" s="146"/>
      <c r="T1056" s="146"/>
      <c r="U1056" s="146"/>
      <c r="V1056" s="146"/>
      <c r="W1056" s="146"/>
      <c r="X1056" s="146"/>
      <c r="Y1056" s="146"/>
      <c r="Z1056" s="146"/>
      <c r="AA1056" s="146"/>
    </row>
    <row r="1057" ht="22.5" customHeight="1">
      <c r="A1057" s="145"/>
      <c r="B1057" s="154"/>
      <c r="C1057" s="154"/>
      <c r="D1057" s="138"/>
      <c r="E1057" s="138"/>
      <c r="F1057" s="138"/>
      <c r="G1057" s="138"/>
      <c r="H1057" s="119"/>
      <c r="I1057" s="146"/>
      <c r="J1057" s="146"/>
      <c r="K1057" s="146"/>
      <c r="L1057" s="146"/>
      <c r="M1057" s="146"/>
      <c r="N1057" s="146"/>
      <c r="O1057" s="146"/>
      <c r="P1057" s="146"/>
      <c r="Q1057" s="146"/>
      <c r="R1057" s="146"/>
      <c r="S1057" s="146"/>
      <c r="T1057" s="146"/>
      <c r="U1057" s="146"/>
      <c r="V1057" s="146"/>
      <c r="W1057" s="146"/>
      <c r="X1057" s="146"/>
      <c r="Y1057" s="146"/>
      <c r="Z1057" s="146"/>
      <c r="AA1057" s="146"/>
    </row>
    <row r="1058" ht="22.5" customHeight="1">
      <c r="A1058" s="145"/>
      <c r="B1058" s="154"/>
      <c r="C1058" s="154"/>
      <c r="D1058" s="138"/>
      <c r="E1058" s="138"/>
      <c r="F1058" s="138"/>
      <c r="G1058" s="138"/>
      <c r="H1058" s="119"/>
      <c r="I1058" s="146"/>
      <c r="J1058" s="146"/>
      <c r="K1058" s="146"/>
      <c r="L1058" s="146"/>
      <c r="M1058" s="146"/>
      <c r="N1058" s="146"/>
      <c r="O1058" s="146"/>
      <c r="P1058" s="146"/>
      <c r="Q1058" s="146"/>
      <c r="R1058" s="146"/>
      <c r="S1058" s="146"/>
      <c r="T1058" s="146"/>
      <c r="U1058" s="146"/>
      <c r="V1058" s="146"/>
      <c r="W1058" s="146"/>
      <c r="X1058" s="146"/>
      <c r="Y1058" s="146"/>
      <c r="Z1058" s="146"/>
      <c r="AA1058" s="146"/>
    </row>
    <row r="1059" ht="22.5" customHeight="1">
      <c r="A1059" s="145"/>
      <c r="B1059" s="154"/>
      <c r="C1059" s="154"/>
      <c r="D1059" s="138"/>
      <c r="E1059" s="138"/>
      <c r="F1059" s="138"/>
      <c r="G1059" s="138"/>
      <c r="H1059" s="119"/>
      <c r="I1059" s="146"/>
      <c r="J1059" s="146"/>
      <c r="K1059" s="146"/>
      <c r="L1059" s="146"/>
      <c r="M1059" s="146"/>
      <c r="N1059" s="146"/>
      <c r="O1059" s="146"/>
      <c r="P1059" s="146"/>
      <c r="Q1059" s="146"/>
      <c r="R1059" s="146"/>
      <c r="S1059" s="146"/>
      <c r="T1059" s="146"/>
      <c r="U1059" s="146"/>
      <c r="V1059" s="146"/>
      <c r="W1059" s="146"/>
      <c r="X1059" s="146"/>
      <c r="Y1059" s="146"/>
      <c r="Z1059" s="146"/>
      <c r="AA1059" s="146"/>
    </row>
    <row r="1060" ht="22.5" customHeight="1">
      <c r="A1060" s="145"/>
      <c r="B1060" s="154"/>
      <c r="C1060" s="154"/>
      <c r="D1060" s="138"/>
      <c r="E1060" s="138"/>
      <c r="F1060" s="138"/>
      <c r="G1060" s="138"/>
      <c r="H1060" s="119"/>
      <c r="I1060" s="146"/>
      <c r="J1060" s="146"/>
      <c r="K1060" s="146"/>
      <c r="L1060" s="146"/>
      <c r="M1060" s="146"/>
      <c r="N1060" s="146"/>
      <c r="O1060" s="146"/>
      <c r="P1060" s="146"/>
      <c r="Q1060" s="146"/>
      <c r="R1060" s="146"/>
      <c r="S1060" s="146"/>
      <c r="T1060" s="146"/>
      <c r="U1060" s="146"/>
      <c r="V1060" s="146"/>
      <c r="W1060" s="146"/>
      <c r="X1060" s="146"/>
      <c r="Y1060" s="146"/>
      <c r="Z1060" s="146"/>
      <c r="AA1060" s="146"/>
    </row>
    <row r="1061" ht="22.5" customHeight="1">
      <c r="A1061" s="145"/>
      <c r="B1061" s="154"/>
      <c r="C1061" s="154"/>
      <c r="D1061" s="138"/>
      <c r="E1061" s="138"/>
      <c r="F1061" s="138"/>
      <c r="G1061" s="138"/>
      <c r="H1061" s="119"/>
      <c r="I1061" s="146"/>
      <c r="J1061" s="146"/>
      <c r="K1061" s="146"/>
      <c r="L1061" s="146"/>
      <c r="M1061" s="146"/>
      <c r="N1061" s="146"/>
      <c r="O1061" s="146"/>
      <c r="P1061" s="146"/>
      <c r="Q1061" s="146"/>
      <c r="R1061" s="146"/>
      <c r="S1061" s="146"/>
      <c r="T1061" s="146"/>
      <c r="U1061" s="146"/>
      <c r="V1061" s="146"/>
      <c r="W1061" s="146"/>
      <c r="X1061" s="146"/>
      <c r="Y1061" s="146"/>
      <c r="Z1061" s="146"/>
      <c r="AA1061" s="146"/>
    </row>
    <row r="1062" ht="22.5" customHeight="1">
      <c r="A1062" s="145"/>
      <c r="B1062" s="154"/>
      <c r="C1062" s="154"/>
      <c r="D1062" s="138"/>
      <c r="E1062" s="138"/>
      <c r="F1062" s="138"/>
      <c r="G1062" s="138"/>
      <c r="H1062" s="119"/>
      <c r="I1062" s="146"/>
      <c r="J1062" s="146"/>
      <c r="K1062" s="146"/>
      <c r="L1062" s="146"/>
      <c r="M1062" s="146"/>
      <c r="N1062" s="146"/>
      <c r="O1062" s="146"/>
      <c r="P1062" s="146"/>
      <c r="Q1062" s="146"/>
      <c r="R1062" s="146"/>
      <c r="S1062" s="146"/>
      <c r="T1062" s="146"/>
      <c r="U1062" s="146"/>
      <c r="V1062" s="146"/>
      <c r="W1062" s="146"/>
      <c r="X1062" s="146"/>
      <c r="Y1062" s="146"/>
      <c r="Z1062" s="146"/>
      <c r="AA1062" s="146"/>
    </row>
    <row r="1063" ht="22.5" customHeight="1">
      <c r="A1063" s="145"/>
      <c r="B1063" s="154"/>
      <c r="C1063" s="154"/>
      <c r="D1063" s="138"/>
      <c r="E1063" s="138"/>
      <c r="F1063" s="138"/>
      <c r="G1063" s="138"/>
      <c r="H1063" s="119"/>
      <c r="I1063" s="146"/>
      <c r="J1063" s="146"/>
      <c r="K1063" s="146"/>
      <c r="L1063" s="146"/>
      <c r="M1063" s="146"/>
      <c r="N1063" s="146"/>
      <c r="O1063" s="146"/>
      <c r="P1063" s="146"/>
      <c r="Q1063" s="146"/>
      <c r="R1063" s="146"/>
      <c r="S1063" s="146"/>
      <c r="T1063" s="146"/>
      <c r="U1063" s="146"/>
      <c r="V1063" s="146"/>
      <c r="W1063" s="146"/>
      <c r="X1063" s="146"/>
      <c r="Y1063" s="146"/>
      <c r="Z1063" s="146"/>
      <c r="AA1063" s="146"/>
    </row>
    <row r="1064" ht="22.5" customHeight="1">
      <c r="A1064" s="145"/>
      <c r="B1064" s="154"/>
      <c r="C1064" s="154"/>
      <c r="D1064" s="138"/>
      <c r="E1064" s="138"/>
      <c r="F1064" s="138"/>
      <c r="G1064" s="138"/>
      <c r="H1064" s="119"/>
      <c r="I1064" s="146"/>
      <c r="J1064" s="146"/>
      <c r="K1064" s="146"/>
      <c r="L1064" s="146"/>
      <c r="M1064" s="146"/>
      <c r="N1064" s="146"/>
      <c r="O1064" s="146"/>
      <c r="P1064" s="146"/>
      <c r="Q1064" s="146"/>
      <c r="R1064" s="146"/>
      <c r="S1064" s="146"/>
      <c r="T1064" s="146"/>
      <c r="U1064" s="146"/>
      <c r="V1064" s="146"/>
      <c r="W1064" s="146"/>
      <c r="X1064" s="146"/>
      <c r="Y1064" s="146"/>
      <c r="Z1064" s="146"/>
      <c r="AA1064" s="146"/>
    </row>
    <row r="1065" ht="22.5" customHeight="1">
      <c r="A1065" s="145"/>
      <c r="B1065" s="154"/>
      <c r="C1065" s="154"/>
      <c r="D1065" s="138"/>
      <c r="E1065" s="138"/>
      <c r="F1065" s="138"/>
      <c r="G1065" s="138"/>
      <c r="H1065" s="119"/>
      <c r="I1065" s="146"/>
      <c r="J1065" s="146"/>
      <c r="K1065" s="146"/>
      <c r="L1065" s="146"/>
      <c r="M1065" s="146"/>
      <c r="N1065" s="146"/>
      <c r="O1065" s="146"/>
      <c r="P1065" s="146"/>
      <c r="Q1065" s="146"/>
      <c r="R1065" s="146"/>
      <c r="S1065" s="146"/>
      <c r="T1065" s="146"/>
      <c r="U1065" s="146"/>
      <c r="V1065" s="146"/>
      <c r="W1065" s="146"/>
      <c r="X1065" s="146"/>
      <c r="Y1065" s="146"/>
      <c r="Z1065" s="146"/>
      <c r="AA1065" s="146"/>
    </row>
    <row r="1066" ht="22.5" customHeight="1">
      <c r="A1066" s="145"/>
      <c r="B1066" s="154"/>
      <c r="C1066" s="154"/>
      <c r="D1066" s="138"/>
      <c r="E1066" s="138"/>
      <c r="F1066" s="138"/>
      <c r="G1066" s="138"/>
      <c r="H1066" s="119"/>
      <c r="I1066" s="146"/>
      <c r="J1066" s="146"/>
      <c r="K1066" s="146"/>
      <c r="L1066" s="146"/>
      <c r="M1066" s="146"/>
      <c r="N1066" s="146"/>
      <c r="O1066" s="146"/>
      <c r="P1066" s="146"/>
      <c r="Q1066" s="146"/>
      <c r="R1066" s="146"/>
      <c r="S1066" s="146"/>
      <c r="T1066" s="146"/>
      <c r="U1066" s="146"/>
      <c r="V1066" s="146"/>
      <c r="W1066" s="146"/>
      <c r="X1066" s="146"/>
      <c r="Y1066" s="146"/>
      <c r="Z1066" s="146"/>
      <c r="AA1066" s="146"/>
    </row>
    <row r="1067" ht="22.5" customHeight="1">
      <c r="A1067" s="145"/>
      <c r="B1067" s="154"/>
      <c r="C1067" s="154"/>
      <c r="D1067" s="138"/>
      <c r="E1067" s="138"/>
      <c r="F1067" s="138"/>
      <c r="G1067" s="138"/>
      <c r="H1067" s="119"/>
      <c r="I1067" s="146"/>
      <c r="J1067" s="146"/>
      <c r="K1067" s="146"/>
      <c r="L1067" s="146"/>
      <c r="M1067" s="146"/>
      <c r="N1067" s="146"/>
      <c r="O1067" s="146"/>
      <c r="P1067" s="146"/>
      <c r="Q1067" s="146"/>
      <c r="R1067" s="146"/>
      <c r="S1067" s="146"/>
      <c r="T1067" s="146"/>
      <c r="U1067" s="146"/>
      <c r="V1067" s="146"/>
      <c r="W1067" s="146"/>
      <c r="X1067" s="146"/>
      <c r="Y1067" s="146"/>
      <c r="Z1067" s="146"/>
      <c r="AA1067" s="146"/>
    </row>
    <row r="1068" ht="22.5" customHeight="1">
      <c r="A1068" s="145"/>
      <c r="B1068" s="154"/>
      <c r="C1068" s="154"/>
      <c r="D1068" s="138"/>
      <c r="E1068" s="138"/>
      <c r="F1068" s="138"/>
      <c r="G1068" s="138"/>
      <c r="H1068" s="119"/>
      <c r="I1068" s="146"/>
      <c r="J1068" s="146"/>
      <c r="K1068" s="146"/>
      <c r="L1068" s="146"/>
      <c r="M1068" s="146"/>
      <c r="N1068" s="146"/>
      <c r="O1068" s="146"/>
      <c r="P1068" s="146"/>
      <c r="Q1068" s="146"/>
      <c r="R1068" s="146"/>
      <c r="S1068" s="146"/>
      <c r="T1068" s="146"/>
      <c r="U1068" s="146"/>
      <c r="V1068" s="146"/>
      <c r="W1068" s="146"/>
      <c r="X1068" s="146"/>
      <c r="Y1068" s="146"/>
      <c r="Z1068" s="146"/>
      <c r="AA1068" s="146"/>
    </row>
    <row r="1069" ht="22.5" customHeight="1">
      <c r="A1069" s="145"/>
      <c r="B1069" s="154"/>
      <c r="C1069" s="154"/>
      <c r="D1069" s="138"/>
      <c r="E1069" s="138"/>
      <c r="F1069" s="138"/>
      <c r="G1069" s="138"/>
      <c r="H1069" s="119"/>
      <c r="I1069" s="146"/>
      <c r="J1069" s="146"/>
      <c r="K1069" s="146"/>
      <c r="L1069" s="146"/>
      <c r="M1069" s="146"/>
      <c r="N1069" s="146"/>
      <c r="O1069" s="146"/>
      <c r="P1069" s="146"/>
      <c r="Q1069" s="146"/>
      <c r="R1069" s="146"/>
      <c r="S1069" s="146"/>
      <c r="T1069" s="146"/>
      <c r="U1069" s="146"/>
      <c r="V1069" s="146"/>
      <c r="W1069" s="146"/>
      <c r="X1069" s="146"/>
      <c r="Y1069" s="146"/>
      <c r="Z1069" s="146"/>
      <c r="AA1069" s="146"/>
    </row>
    <row r="1070" ht="22.5" customHeight="1">
      <c r="A1070" s="145"/>
      <c r="B1070" s="154"/>
      <c r="C1070" s="154"/>
      <c r="D1070" s="138"/>
      <c r="E1070" s="138"/>
      <c r="F1070" s="138"/>
      <c r="G1070" s="138"/>
      <c r="H1070" s="119"/>
      <c r="I1070" s="146"/>
      <c r="J1070" s="146"/>
      <c r="K1070" s="146"/>
      <c r="L1070" s="146"/>
      <c r="M1070" s="146"/>
      <c r="N1070" s="146"/>
      <c r="O1070" s="146"/>
      <c r="P1070" s="146"/>
      <c r="Q1070" s="146"/>
      <c r="R1070" s="146"/>
      <c r="S1070" s="146"/>
      <c r="T1070" s="146"/>
      <c r="U1070" s="146"/>
      <c r="V1070" s="146"/>
      <c r="W1070" s="146"/>
      <c r="X1070" s="146"/>
      <c r="Y1070" s="146"/>
      <c r="Z1070" s="146"/>
      <c r="AA1070" s="146"/>
    </row>
    <row r="1071" ht="22.5" customHeight="1">
      <c r="A1071" s="145"/>
      <c r="B1071" s="154"/>
      <c r="C1071" s="154"/>
      <c r="D1071" s="138"/>
      <c r="E1071" s="138"/>
      <c r="F1071" s="138"/>
      <c r="G1071" s="138"/>
      <c r="H1071" s="119"/>
      <c r="I1071" s="146"/>
      <c r="J1071" s="146"/>
      <c r="K1071" s="146"/>
      <c r="L1071" s="146"/>
      <c r="M1071" s="146"/>
      <c r="N1071" s="146"/>
      <c r="O1071" s="146"/>
      <c r="P1071" s="146"/>
      <c r="Q1071" s="146"/>
      <c r="R1071" s="146"/>
      <c r="S1071" s="146"/>
      <c r="T1071" s="146"/>
      <c r="U1071" s="146"/>
      <c r="V1071" s="146"/>
      <c r="W1071" s="146"/>
      <c r="X1071" s="146"/>
      <c r="Y1071" s="146"/>
      <c r="Z1071" s="146"/>
      <c r="AA1071" s="146"/>
    </row>
    <row r="1072" ht="22.5" customHeight="1">
      <c r="A1072" s="145"/>
      <c r="B1072" s="154"/>
      <c r="C1072" s="154"/>
      <c r="D1072" s="138"/>
      <c r="E1072" s="138"/>
      <c r="F1072" s="138"/>
      <c r="G1072" s="138"/>
      <c r="H1072" s="119"/>
      <c r="I1072" s="146"/>
      <c r="J1072" s="146"/>
      <c r="K1072" s="146"/>
      <c r="L1072" s="146"/>
      <c r="M1072" s="146"/>
      <c r="N1072" s="146"/>
      <c r="O1072" s="146"/>
      <c r="P1072" s="146"/>
      <c r="Q1072" s="146"/>
      <c r="R1072" s="146"/>
      <c r="S1072" s="146"/>
      <c r="T1072" s="146"/>
      <c r="U1072" s="146"/>
      <c r="V1072" s="146"/>
      <c r="W1072" s="146"/>
      <c r="X1072" s="146"/>
      <c r="Y1072" s="146"/>
      <c r="Z1072" s="146"/>
      <c r="AA1072" s="146"/>
    </row>
    <row r="1073" ht="22.5" customHeight="1">
      <c r="A1073" s="145"/>
      <c r="B1073" s="154"/>
      <c r="C1073" s="154"/>
      <c r="D1073" s="138"/>
      <c r="E1073" s="138"/>
      <c r="F1073" s="138"/>
      <c r="G1073" s="138"/>
      <c r="H1073" s="119"/>
      <c r="I1073" s="146"/>
      <c r="J1073" s="146"/>
      <c r="K1073" s="146"/>
      <c r="L1073" s="146"/>
      <c r="M1073" s="146"/>
      <c r="N1073" s="146"/>
      <c r="O1073" s="146"/>
      <c r="P1073" s="146"/>
      <c r="Q1073" s="146"/>
      <c r="R1073" s="146"/>
      <c r="S1073" s="146"/>
      <c r="T1073" s="146"/>
      <c r="U1073" s="146"/>
      <c r="V1073" s="146"/>
      <c r="W1073" s="146"/>
      <c r="X1073" s="146"/>
      <c r="Y1073" s="146"/>
      <c r="Z1073" s="146"/>
      <c r="AA1073" s="146"/>
    </row>
    <row r="1074" ht="22.5" customHeight="1">
      <c r="A1074" s="145"/>
      <c r="B1074" s="154"/>
      <c r="C1074" s="154"/>
      <c r="D1074" s="138"/>
      <c r="E1074" s="138"/>
      <c r="F1074" s="138"/>
      <c r="G1074" s="138"/>
      <c r="H1074" s="119"/>
      <c r="I1074" s="146"/>
      <c r="J1074" s="146"/>
      <c r="K1074" s="146"/>
      <c r="L1074" s="146"/>
      <c r="M1074" s="146"/>
      <c r="N1074" s="146"/>
      <c r="O1074" s="146"/>
      <c r="P1074" s="146"/>
      <c r="Q1074" s="146"/>
      <c r="R1074" s="146"/>
      <c r="S1074" s="146"/>
      <c r="T1074" s="146"/>
      <c r="U1074" s="146"/>
      <c r="V1074" s="146"/>
      <c r="W1074" s="146"/>
      <c r="X1074" s="146"/>
      <c r="Y1074" s="146"/>
      <c r="Z1074" s="146"/>
      <c r="AA1074" s="146"/>
    </row>
    <row r="1075" ht="22.5" customHeight="1">
      <c r="A1075" s="145"/>
      <c r="B1075" s="154"/>
      <c r="C1075" s="154"/>
      <c r="D1075" s="138"/>
      <c r="E1075" s="138"/>
      <c r="F1075" s="138"/>
      <c r="G1075" s="138"/>
      <c r="H1075" s="119"/>
      <c r="I1075" s="146"/>
      <c r="J1075" s="146"/>
      <c r="K1075" s="146"/>
      <c r="L1075" s="146"/>
      <c r="M1075" s="146"/>
      <c r="N1075" s="146"/>
      <c r="O1075" s="146"/>
      <c r="P1075" s="146"/>
      <c r="Q1075" s="146"/>
      <c r="R1075" s="146"/>
      <c r="S1075" s="146"/>
      <c r="T1075" s="146"/>
      <c r="U1075" s="146"/>
      <c r="V1075" s="146"/>
      <c r="W1075" s="146"/>
      <c r="X1075" s="146"/>
      <c r="Y1075" s="146"/>
      <c r="Z1075" s="146"/>
      <c r="AA1075" s="146"/>
    </row>
    <row r="1076" ht="22.5" customHeight="1">
      <c r="A1076" s="145"/>
      <c r="B1076" s="154"/>
      <c r="C1076" s="154"/>
      <c r="D1076" s="138"/>
      <c r="E1076" s="138"/>
      <c r="F1076" s="138"/>
      <c r="G1076" s="138"/>
      <c r="H1076" s="119"/>
      <c r="I1076" s="146"/>
      <c r="J1076" s="146"/>
      <c r="K1076" s="146"/>
      <c r="L1076" s="146"/>
      <c r="M1076" s="146"/>
      <c r="N1076" s="146"/>
      <c r="O1076" s="146"/>
      <c r="P1076" s="146"/>
      <c r="Q1076" s="146"/>
      <c r="R1076" s="146"/>
      <c r="S1076" s="146"/>
      <c r="T1076" s="146"/>
      <c r="U1076" s="146"/>
      <c r="V1076" s="146"/>
      <c r="W1076" s="146"/>
      <c r="X1076" s="146"/>
      <c r="Y1076" s="146"/>
      <c r="Z1076" s="146"/>
      <c r="AA1076" s="146"/>
    </row>
  </sheetData>
  <dataValidations>
    <dataValidation type="custom" allowBlank="1" showDropDown="1" sqref="A2:A1076">
      <formula1>OR(NOT(ISERROR(DATEVALUE(A2))), AND(ISNUMBER(A2), LEFT(CELL("format", A2))="D"))</formula1>
    </dataValidation>
    <dataValidation allowBlank="1" showDropDown="1" sqref="H2:H1076"/>
  </dataValidations>
  <hyperlinks>
    <hyperlink r:id="rId1" ref="G2"/>
    <hyperlink r:id="rId2" ref="G3"/>
    <hyperlink r:id="rId3" ref="G4"/>
    <hyperlink r:id="rId4" location="gid=976686498" ref="G5"/>
    <hyperlink r:id="rId5" location="gid=976686498" ref="G6"/>
    <hyperlink r:id="rId6" location="gid=976686498" ref="G7"/>
    <hyperlink r:id="rId7" location="gid=976686498" ref="G8"/>
    <hyperlink r:id="rId8" location="gid=0" ref="G9"/>
    <hyperlink r:id="rId9" location="gid=0" ref="G10"/>
    <hyperlink r:id="rId10" location="gid=0" ref="G11"/>
    <hyperlink r:id="rId11" location="gid=0" ref="G12"/>
    <hyperlink r:id="rId12" location="gid=0" ref="G13"/>
    <hyperlink r:id="rId13" location="gid=0" ref="G14"/>
    <hyperlink r:id="rId14" location="gid=0" ref="G15"/>
    <hyperlink r:id="rId15" location="gid=0" ref="G16"/>
    <hyperlink r:id="rId16" location="gid=0" ref="G17"/>
    <hyperlink r:id="rId17" location="gid=0" ref="G18"/>
    <hyperlink r:id="rId18" location="gid=0" ref="G19"/>
    <hyperlink r:id="rId19" location="gid=0" ref="G20"/>
    <hyperlink r:id="rId20" location="gid=0" ref="G21"/>
    <hyperlink r:id="rId21" location="gid=0" ref="G22"/>
    <hyperlink r:id="rId22" location="gid=0" ref="G23"/>
    <hyperlink r:id="rId23" location="gid=0" ref="G24"/>
    <hyperlink r:id="rId24" location="gid=0" ref="G25"/>
    <hyperlink r:id="rId25" location="gid=0" ref="G26"/>
    <hyperlink r:id="rId26" location="gid=0" ref="G27"/>
    <hyperlink r:id="rId27" location="gid=0" ref="G28"/>
    <hyperlink r:id="rId28" location="gid=0" ref="G29"/>
    <hyperlink r:id="rId29" location="gid=0" ref="G30"/>
    <hyperlink r:id="rId30" location="gid=0" ref="G31"/>
    <hyperlink r:id="rId31" location="gid=0" ref="G32"/>
    <hyperlink r:id="rId32" location="gid=0" ref="G33"/>
    <hyperlink r:id="rId33" location="gid=0" ref="G34"/>
    <hyperlink r:id="rId34" location="gid=0" ref="G35"/>
    <hyperlink r:id="rId35" location="gid=0" ref="G36"/>
    <hyperlink r:id="rId36" location="gid=0" ref="G38"/>
    <hyperlink r:id="rId37" location="gid=1685918422" ref="G39"/>
    <hyperlink r:id="rId38" ref="G40"/>
    <hyperlink r:id="rId39" location="gid=1685918422" ref="G41"/>
    <hyperlink r:id="rId40" ref="G42"/>
    <hyperlink r:id="rId41" ref="G43"/>
    <hyperlink r:id="rId42" ref="G44"/>
    <hyperlink r:id="rId43" location="gid=0" ref="G49"/>
  </hyperlinks>
  <drawing r:id="rId44"/>
  <tableParts count="1">
    <tablePart r:id="rId4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3.5"/>
    <col customWidth="1" min="3" max="3" width="11.0"/>
    <col customWidth="1" min="4" max="4" width="6.75"/>
    <col customWidth="1" min="5" max="5" width="44.75"/>
    <col customWidth="1" min="6" max="6" width="11.0"/>
    <col customWidth="1" min="7" max="7" width="52.13"/>
    <col customWidth="1" min="8" max="8" width="18.13"/>
    <col customWidth="1" min="9" max="9" width="10.88"/>
    <col customWidth="1" min="10" max="10" width="42.88"/>
  </cols>
  <sheetData>
    <row r="1" ht="66.0" customHeight="1">
      <c r="A1" s="3" t="s">
        <v>2</v>
      </c>
      <c r="B1" s="27" t="s">
        <v>770</v>
      </c>
      <c r="C1" s="3" t="s">
        <v>771</v>
      </c>
      <c r="D1" s="3" t="s">
        <v>584</v>
      </c>
      <c r="E1" s="27" t="s">
        <v>32</v>
      </c>
      <c r="F1" s="27" t="s">
        <v>33</v>
      </c>
      <c r="G1" s="27" t="s">
        <v>34</v>
      </c>
      <c r="H1" s="3" t="s">
        <v>8</v>
      </c>
      <c r="J1" s="140" t="s">
        <v>772</v>
      </c>
    </row>
    <row r="2" ht="22.5" customHeight="1">
      <c r="A2" s="5">
        <v>45856.0</v>
      </c>
      <c r="B2" s="28">
        <v>8.0</v>
      </c>
      <c r="C2" s="6"/>
      <c r="D2" s="6"/>
      <c r="E2" s="68" t="s">
        <v>773</v>
      </c>
      <c r="F2" s="8" t="s">
        <v>36</v>
      </c>
      <c r="G2" s="32" t="s">
        <v>774</v>
      </c>
      <c r="H2" s="7"/>
      <c r="J2" s="155"/>
    </row>
    <row r="3" ht="22.5" customHeight="1">
      <c r="A3" s="5">
        <v>45859.0</v>
      </c>
      <c r="B3" s="28">
        <v>8.0</v>
      </c>
      <c r="C3" s="6">
        <v>1.0</v>
      </c>
      <c r="D3" s="8"/>
      <c r="E3" s="29" t="s">
        <v>775</v>
      </c>
      <c r="F3" s="8" t="s">
        <v>36</v>
      </c>
      <c r="G3" s="32" t="s">
        <v>776</v>
      </c>
      <c r="H3" s="7"/>
      <c r="J3" s="156" t="s">
        <v>777</v>
      </c>
    </row>
    <row r="4" ht="22.5" customHeight="1">
      <c r="A4" s="5">
        <v>45860.0</v>
      </c>
      <c r="B4" s="28">
        <v>8.0</v>
      </c>
      <c r="C4" s="6">
        <v>2.0</v>
      </c>
      <c r="D4" s="8"/>
      <c r="E4" s="29" t="s">
        <v>778</v>
      </c>
      <c r="F4" s="8" t="s">
        <v>36</v>
      </c>
      <c r="G4" s="32" t="s">
        <v>779</v>
      </c>
      <c r="H4" s="7"/>
      <c r="J4" s="156" t="s">
        <v>780</v>
      </c>
    </row>
    <row r="5" ht="22.5" customHeight="1">
      <c r="A5" s="5">
        <v>45861.0</v>
      </c>
      <c r="B5" s="28">
        <v>8.0</v>
      </c>
      <c r="C5" s="6"/>
      <c r="D5" s="8"/>
      <c r="E5" s="29" t="s">
        <v>781</v>
      </c>
      <c r="F5" s="8" t="s">
        <v>39</v>
      </c>
      <c r="G5" s="32" t="s">
        <v>782</v>
      </c>
      <c r="H5" s="7"/>
      <c r="J5" s="155"/>
    </row>
    <row r="6" ht="22.5" customHeight="1">
      <c r="A6" s="5">
        <v>45862.0</v>
      </c>
      <c r="B6" s="28">
        <v>8.0</v>
      </c>
      <c r="C6" s="6"/>
      <c r="D6" s="8"/>
      <c r="E6" s="29" t="s">
        <v>781</v>
      </c>
      <c r="F6" s="8" t="s">
        <v>39</v>
      </c>
      <c r="G6" s="32" t="s">
        <v>783</v>
      </c>
      <c r="H6" s="13"/>
      <c r="J6" s="155"/>
    </row>
    <row r="7" ht="22.5" customHeight="1">
      <c r="A7" s="5">
        <v>45863.0</v>
      </c>
      <c r="B7" s="28">
        <v>10.0</v>
      </c>
      <c r="C7" s="6"/>
      <c r="D7" s="12"/>
      <c r="E7" s="29" t="s">
        <v>784</v>
      </c>
      <c r="F7" s="12" t="s">
        <v>36</v>
      </c>
      <c r="G7" s="32" t="s">
        <v>785</v>
      </c>
      <c r="H7" s="13"/>
      <c r="J7" s="156" t="s">
        <v>786</v>
      </c>
    </row>
    <row r="8" ht="104.25" customHeight="1">
      <c r="A8" s="5">
        <v>45866.0</v>
      </c>
      <c r="B8" s="28">
        <v>8.0</v>
      </c>
      <c r="C8" s="6"/>
      <c r="D8" s="12"/>
      <c r="E8" s="29" t="s">
        <v>787</v>
      </c>
      <c r="F8" s="12" t="s">
        <v>36</v>
      </c>
      <c r="G8" s="32" t="s">
        <v>788</v>
      </c>
      <c r="H8" s="13"/>
      <c r="J8" s="157" t="s">
        <v>789</v>
      </c>
    </row>
    <row r="9" ht="22.5" customHeight="1">
      <c r="A9" s="5">
        <v>45867.0</v>
      </c>
      <c r="B9" s="28">
        <v>8.0</v>
      </c>
      <c r="C9" s="6"/>
      <c r="D9" s="12"/>
      <c r="E9" s="29" t="s">
        <v>790</v>
      </c>
      <c r="F9" s="12" t="s">
        <v>36</v>
      </c>
      <c r="G9" s="32" t="s">
        <v>791</v>
      </c>
      <c r="H9" s="13"/>
      <c r="J9" s="155"/>
    </row>
    <row r="10" ht="22.5" customHeight="1">
      <c r="A10" s="5">
        <v>45868.0</v>
      </c>
      <c r="B10" s="28">
        <v>8.0</v>
      </c>
      <c r="C10" s="6"/>
      <c r="D10" s="11"/>
      <c r="E10" s="29" t="s">
        <v>792</v>
      </c>
      <c r="F10" s="12" t="s">
        <v>39</v>
      </c>
      <c r="G10" s="32" t="s">
        <v>793</v>
      </c>
      <c r="H10" s="13"/>
      <c r="J10" s="155"/>
    </row>
    <row r="11" ht="22.5" customHeight="1">
      <c r="A11" s="5">
        <v>45869.0</v>
      </c>
      <c r="B11" s="28">
        <v>11.5</v>
      </c>
      <c r="C11" s="12"/>
      <c r="D11" s="11"/>
      <c r="E11" s="29" t="s">
        <v>792</v>
      </c>
      <c r="F11" s="11" t="s">
        <v>36</v>
      </c>
      <c r="G11" s="32" t="s">
        <v>794</v>
      </c>
      <c r="H11" s="7"/>
      <c r="J11" s="156" t="s">
        <v>795</v>
      </c>
    </row>
    <row r="12" ht="22.5" customHeight="1">
      <c r="A12" s="5">
        <v>45870.0</v>
      </c>
      <c r="B12" s="28">
        <v>11.0</v>
      </c>
      <c r="C12" s="12"/>
      <c r="D12" s="11"/>
      <c r="E12" s="29" t="s">
        <v>790</v>
      </c>
      <c r="F12" s="11" t="s">
        <v>39</v>
      </c>
      <c r="G12" s="32" t="s">
        <v>796</v>
      </c>
      <c r="H12" s="7"/>
      <c r="J12" s="156" t="s">
        <v>797</v>
      </c>
    </row>
    <row r="13" ht="22.5" customHeight="1">
      <c r="A13" s="5">
        <v>45873.0</v>
      </c>
      <c r="B13" s="28">
        <v>8.0</v>
      </c>
      <c r="C13" s="12"/>
      <c r="D13" s="11"/>
      <c r="E13" s="29" t="s">
        <v>798</v>
      </c>
      <c r="F13" s="11" t="s">
        <v>36</v>
      </c>
      <c r="G13" s="32" t="s">
        <v>799</v>
      </c>
      <c r="H13" s="7"/>
      <c r="J13" s="155"/>
    </row>
    <row r="14" ht="22.5" customHeight="1">
      <c r="A14" s="5">
        <v>45874.0</v>
      </c>
      <c r="B14" s="28">
        <v>10.5</v>
      </c>
      <c r="C14" s="12"/>
      <c r="D14" s="11"/>
      <c r="E14" s="29" t="s">
        <v>800</v>
      </c>
      <c r="F14" s="11" t="s">
        <v>36</v>
      </c>
      <c r="G14" s="32" t="s">
        <v>801</v>
      </c>
      <c r="H14" s="7"/>
      <c r="J14" s="156" t="s">
        <v>802</v>
      </c>
    </row>
    <row r="15" ht="22.5" customHeight="1">
      <c r="A15" s="5">
        <v>45875.0</v>
      </c>
      <c r="B15" s="28">
        <v>10.5</v>
      </c>
      <c r="C15" s="12"/>
      <c r="D15" s="11"/>
      <c r="E15" s="29" t="s">
        <v>803</v>
      </c>
      <c r="F15" s="11" t="s">
        <v>36</v>
      </c>
      <c r="G15" s="32" t="s">
        <v>804</v>
      </c>
      <c r="H15" s="7"/>
      <c r="J15" s="156" t="s">
        <v>802</v>
      </c>
    </row>
    <row r="16" ht="22.5" customHeight="1">
      <c r="A16" s="5">
        <v>45876.0</v>
      </c>
      <c r="B16" s="28">
        <v>9.5</v>
      </c>
      <c r="C16" s="45"/>
      <c r="D16" s="45"/>
      <c r="E16" s="29" t="s">
        <v>805</v>
      </c>
      <c r="F16" s="11" t="s">
        <v>39</v>
      </c>
      <c r="G16" s="32" t="s">
        <v>806</v>
      </c>
      <c r="H16" s="13"/>
      <c r="J16" s="156" t="s">
        <v>807</v>
      </c>
    </row>
    <row r="17" ht="22.5" customHeight="1">
      <c r="A17" s="5">
        <v>45877.0</v>
      </c>
      <c r="B17" s="28">
        <v>8.0</v>
      </c>
      <c r="C17" s="45"/>
      <c r="D17" s="45"/>
      <c r="E17" s="29" t="s">
        <v>808</v>
      </c>
      <c r="F17" s="11" t="s">
        <v>36</v>
      </c>
      <c r="G17" s="32" t="s">
        <v>809</v>
      </c>
      <c r="H17" s="13"/>
      <c r="J17" s="155"/>
    </row>
    <row r="18" ht="22.5" customHeight="1">
      <c r="A18" s="5">
        <v>45880.0</v>
      </c>
      <c r="B18" s="28">
        <v>10.5</v>
      </c>
      <c r="C18" s="11"/>
      <c r="D18" s="45"/>
      <c r="E18" s="29" t="s">
        <v>805</v>
      </c>
      <c r="F18" s="11" t="s">
        <v>39</v>
      </c>
      <c r="G18" s="32" t="s">
        <v>810</v>
      </c>
      <c r="H18" s="13"/>
      <c r="J18" s="156" t="s">
        <v>802</v>
      </c>
    </row>
    <row r="19" ht="22.5" customHeight="1">
      <c r="A19" s="5">
        <v>45881.0</v>
      </c>
      <c r="B19" s="28">
        <v>11.5</v>
      </c>
      <c r="C19" s="11"/>
      <c r="D19" s="45"/>
      <c r="E19" s="29" t="s">
        <v>811</v>
      </c>
      <c r="F19" s="11" t="s">
        <v>39</v>
      </c>
      <c r="G19" s="32" t="s">
        <v>812</v>
      </c>
      <c r="H19" s="13"/>
      <c r="J19" s="156" t="s">
        <v>795</v>
      </c>
    </row>
    <row r="20" ht="22.5" customHeight="1">
      <c r="A20" s="5">
        <v>45882.0</v>
      </c>
      <c r="B20" s="28">
        <v>11.5</v>
      </c>
      <c r="C20" s="11"/>
      <c r="D20" s="45"/>
      <c r="E20" s="29" t="s">
        <v>811</v>
      </c>
      <c r="F20" s="11" t="s">
        <v>36</v>
      </c>
      <c r="G20" s="32" t="s">
        <v>813</v>
      </c>
      <c r="H20" s="13"/>
      <c r="J20" s="156" t="s">
        <v>795</v>
      </c>
    </row>
    <row r="21" ht="22.5" customHeight="1">
      <c r="A21" s="5">
        <v>45883.0</v>
      </c>
      <c r="B21" s="28">
        <v>11.5</v>
      </c>
      <c r="C21" s="11"/>
      <c r="D21" s="45"/>
      <c r="E21" s="29" t="s">
        <v>805</v>
      </c>
      <c r="F21" s="11" t="s">
        <v>39</v>
      </c>
      <c r="G21" s="32" t="s">
        <v>814</v>
      </c>
      <c r="H21" s="13"/>
      <c r="J21" s="156" t="s">
        <v>795</v>
      </c>
    </row>
    <row r="22" ht="22.5" customHeight="1">
      <c r="A22" s="5">
        <v>45884.0</v>
      </c>
      <c r="B22" s="28">
        <v>8.0</v>
      </c>
      <c r="C22" s="11"/>
      <c r="D22" s="11"/>
      <c r="E22" s="158" t="s">
        <v>805</v>
      </c>
      <c r="F22" s="159" t="s">
        <v>39</v>
      </c>
      <c r="G22" s="160" t="s">
        <v>815</v>
      </c>
      <c r="H22" s="13"/>
      <c r="J22" s="155"/>
    </row>
    <row r="23" ht="22.5" customHeight="1">
      <c r="A23" s="5">
        <v>45887.0</v>
      </c>
      <c r="B23" s="28">
        <v>8.0</v>
      </c>
      <c r="C23" s="11"/>
      <c r="D23" s="22"/>
      <c r="E23" s="29" t="s">
        <v>816</v>
      </c>
      <c r="F23" s="22"/>
      <c r="G23" s="51"/>
      <c r="H23" s="19"/>
      <c r="J23" s="155"/>
    </row>
    <row r="24" ht="22.5" customHeight="1">
      <c r="A24" s="5">
        <v>45888.0</v>
      </c>
      <c r="B24" s="28">
        <v>8.0</v>
      </c>
      <c r="C24" s="11"/>
      <c r="D24" s="22"/>
      <c r="E24" s="29" t="s">
        <v>816</v>
      </c>
      <c r="F24" s="22"/>
      <c r="G24" s="51"/>
      <c r="H24" s="19"/>
      <c r="J24" s="155"/>
    </row>
    <row r="25" ht="22.5" customHeight="1">
      <c r="A25" s="5">
        <v>45889.0</v>
      </c>
      <c r="B25" s="28">
        <v>11.0</v>
      </c>
      <c r="C25" s="11"/>
      <c r="D25" s="22"/>
      <c r="E25" s="158" t="s">
        <v>805</v>
      </c>
      <c r="F25" s="161" t="s">
        <v>39</v>
      </c>
      <c r="G25" s="160" t="s">
        <v>817</v>
      </c>
      <c r="H25" s="19"/>
      <c r="J25" s="156" t="s">
        <v>797</v>
      </c>
    </row>
    <row r="26" ht="22.5" customHeight="1">
      <c r="A26" s="5">
        <v>45890.0</v>
      </c>
      <c r="B26" s="28">
        <v>11.0</v>
      </c>
      <c r="C26" s="11"/>
      <c r="D26" s="22"/>
      <c r="E26" s="158" t="s">
        <v>805</v>
      </c>
      <c r="F26" s="161" t="s">
        <v>39</v>
      </c>
      <c r="G26" s="160" t="s">
        <v>818</v>
      </c>
      <c r="H26" s="19"/>
      <c r="J26" s="156" t="s">
        <v>797</v>
      </c>
    </row>
    <row r="27" ht="22.5" customHeight="1">
      <c r="A27" s="5">
        <v>45891.0</v>
      </c>
      <c r="B27" s="28">
        <v>8.0</v>
      </c>
      <c r="C27" s="11"/>
      <c r="D27" s="22"/>
      <c r="E27" s="158" t="s">
        <v>805</v>
      </c>
      <c r="F27" s="162" t="s">
        <v>36</v>
      </c>
      <c r="G27" s="160" t="s">
        <v>819</v>
      </c>
      <c r="H27" s="19"/>
      <c r="J27" s="155"/>
    </row>
    <row r="28" ht="22.5" customHeight="1">
      <c r="A28" s="5">
        <v>45894.0</v>
      </c>
      <c r="B28" s="28">
        <v>11.0</v>
      </c>
      <c r="C28" s="11"/>
      <c r="D28" s="22"/>
      <c r="E28" s="163" t="s">
        <v>820</v>
      </c>
      <c r="F28" s="161" t="s">
        <v>39</v>
      </c>
      <c r="G28" s="164" t="s">
        <v>821</v>
      </c>
      <c r="H28" s="19"/>
      <c r="J28" s="156" t="s">
        <v>797</v>
      </c>
    </row>
    <row r="29" ht="22.5" customHeight="1">
      <c r="A29" s="5">
        <v>45895.0</v>
      </c>
      <c r="B29" s="28">
        <v>11.0</v>
      </c>
      <c r="C29" s="11"/>
      <c r="D29" s="22"/>
      <c r="E29" s="163" t="s">
        <v>820</v>
      </c>
      <c r="F29" s="161" t="s">
        <v>39</v>
      </c>
      <c r="G29" s="164" t="s">
        <v>822</v>
      </c>
      <c r="H29" s="19"/>
      <c r="J29" s="156" t="s">
        <v>797</v>
      </c>
    </row>
    <row r="30" ht="22.5" customHeight="1">
      <c r="A30" s="5">
        <v>45896.0</v>
      </c>
      <c r="B30" s="28">
        <v>11.0</v>
      </c>
      <c r="C30" s="11"/>
      <c r="D30" s="22"/>
      <c r="E30" s="163" t="s">
        <v>820</v>
      </c>
      <c r="F30" s="161" t="s">
        <v>39</v>
      </c>
      <c r="G30" s="164" t="s">
        <v>823</v>
      </c>
      <c r="H30" s="19"/>
      <c r="J30" s="156" t="s">
        <v>797</v>
      </c>
    </row>
    <row r="31" ht="22.5" customHeight="1">
      <c r="A31" s="5">
        <v>45897.0</v>
      </c>
      <c r="B31" s="28">
        <v>8.0</v>
      </c>
      <c r="C31" s="11"/>
      <c r="D31" s="22"/>
      <c r="E31" s="29" t="s">
        <v>824</v>
      </c>
      <c r="F31" s="22"/>
      <c r="G31" s="51"/>
      <c r="H31" s="19"/>
      <c r="J31" s="155"/>
    </row>
    <row r="32" ht="22.5" customHeight="1">
      <c r="A32" s="5">
        <v>45898.0</v>
      </c>
      <c r="B32" s="28">
        <v>8.0</v>
      </c>
      <c r="C32" s="11"/>
      <c r="D32" s="22"/>
      <c r="E32" s="29" t="s">
        <v>824</v>
      </c>
      <c r="F32" s="22"/>
      <c r="G32" s="51"/>
      <c r="H32" s="19"/>
      <c r="J32" s="155"/>
    </row>
    <row r="33" ht="22.5" customHeight="1">
      <c r="A33" s="5">
        <v>45901.0</v>
      </c>
      <c r="B33" s="28">
        <v>11.0</v>
      </c>
      <c r="C33" s="11"/>
      <c r="D33" s="22"/>
      <c r="E33" s="163" t="s">
        <v>825</v>
      </c>
      <c r="F33" s="162" t="s">
        <v>36</v>
      </c>
      <c r="G33" s="164" t="s">
        <v>826</v>
      </c>
      <c r="H33" s="19"/>
      <c r="J33" s="156" t="s">
        <v>797</v>
      </c>
    </row>
    <row r="34" ht="22.5" customHeight="1">
      <c r="A34" s="5">
        <v>45902.0</v>
      </c>
      <c r="B34" s="28">
        <v>11.0</v>
      </c>
      <c r="C34" s="11"/>
      <c r="D34" s="22"/>
      <c r="E34" s="163" t="s">
        <v>827</v>
      </c>
      <c r="F34" s="162" t="s">
        <v>36</v>
      </c>
      <c r="G34" s="164" t="s">
        <v>828</v>
      </c>
      <c r="H34" s="19"/>
      <c r="J34" s="156" t="s">
        <v>797</v>
      </c>
    </row>
    <row r="35" ht="22.5" customHeight="1">
      <c r="A35" s="5">
        <v>45903.0</v>
      </c>
      <c r="B35" s="28">
        <v>11.0</v>
      </c>
      <c r="C35" s="11"/>
      <c r="D35" s="22"/>
      <c r="E35" s="163" t="s">
        <v>829</v>
      </c>
      <c r="F35" s="161" t="s">
        <v>39</v>
      </c>
      <c r="G35" s="164" t="s">
        <v>830</v>
      </c>
      <c r="H35" s="19"/>
      <c r="J35" s="156" t="s">
        <v>797</v>
      </c>
    </row>
    <row r="36" ht="22.5" customHeight="1">
      <c r="A36" s="5">
        <v>45904.0</v>
      </c>
      <c r="B36" s="28">
        <v>11.0</v>
      </c>
      <c r="C36" s="11"/>
      <c r="D36" s="22"/>
      <c r="E36" s="163" t="s">
        <v>829</v>
      </c>
      <c r="F36" s="162" t="s">
        <v>36</v>
      </c>
      <c r="G36" s="164" t="s">
        <v>831</v>
      </c>
      <c r="H36" s="19"/>
      <c r="J36" s="156" t="s">
        <v>797</v>
      </c>
    </row>
    <row r="37" ht="22.5" customHeight="1">
      <c r="A37" s="5">
        <v>45908.0</v>
      </c>
      <c r="B37" s="28">
        <v>11.0</v>
      </c>
      <c r="C37" s="11"/>
      <c r="D37" s="22"/>
      <c r="E37" s="163" t="s">
        <v>832</v>
      </c>
      <c r="F37" s="162" t="s">
        <v>36</v>
      </c>
      <c r="G37" s="164" t="s">
        <v>833</v>
      </c>
      <c r="H37" s="19"/>
      <c r="J37" s="156" t="s">
        <v>797</v>
      </c>
    </row>
    <row r="38" ht="22.5" customHeight="1">
      <c r="A38" s="5">
        <v>45909.0</v>
      </c>
      <c r="B38" s="28">
        <v>12.0</v>
      </c>
      <c r="C38" s="22"/>
      <c r="D38" s="22"/>
      <c r="E38" s="55" t="s">
        <v>834</v>
      </c>
      <c r="F38" s="162" t="s">
        <v>36</v>
      </c>
      <c r="G38" s="164" t="s">
        <v>835</v>
      </c>
      <c r="H38" s="19"/>
      <c r="J38" s="156" t="s">
        <v>836</v>
      </c>
    </row>
    <row r="39" ht="22.5" customHeight="1">
      <c r="A39" s="5">
        <v>45910.0</v>
      </c>
      <c r="B39" s="28">
        <v>11.0</v>
      </c>
      <c r="C39" s="22"/>
      <c r="D39" s="22"/>
      <c r="E39" s="55" t="s">
        <v>837</v>
      </c>
      <c r="F39" s="162" t="s">
        <v>36</v>
      </c>
      <c r="G39" s="164" t="s">
        <v>838</v>
      </c>
      <c r="H39" s="19"/>
      <c r="J39" s="156" t="s">
        <v>797</v>
      </c>
    </row>
    <row r="40" ht="22.5" customHeight="1">
      <c r="A40" s="5">
        <v>45911.0</v>
      </c>
      <c r="B40" s="28">
        <v>11.0</v>
      </c>
      <c r="C40" s="22"/>
      <c r="D40" s="22"/>
      <c r="E40" s="55" t="s">
        <v>839</v>
      </c>
      <c r="F40" s="162" t="s">
        <v>36</v>
      </c>
      <c r="G40" s="164" t="s">
        <v>840</v>
      </c>
      <c r="H40" s="19"/>
      <c r="J40" s="156" t="s">
        <v>797</v>
      </c>
    </row>
    <row r="41" ht="22.5" customHeight="1">
      <c r="A41" s="5">
        <v>45912.0</v>
      </c>
      <c r="B41" s="28">
        <v>11.0</v>
      </c>
      <c r="C41" s="22"/>
      <c r="D41" s="22"/>
      <c r="E41" s="55" t="s">
        <v>841</v>
      </c>
      <c r="F41" s="64" t="s">
        <v>39</v>
      </c>
      <c r="G41" s="164" t="s">
        <v>842</v>
      </c>
      <c r="H41" s="19"/>
      <c r="J41" s="156" t="s">
        <v>797</v>
      </c>
    </row>
    <row r="42" ht="22.5" customHeight="1">
      <c r="A42" s="5">
        <v>45913.0</v>
      </c>
      <c r="B42" s="28">
        <v>8.0</v>
      </c>
      <c r="C42" s="22"/>
      <c r="D42" s="22"/>
      <c r="E42" s="55" t="s">
        <v>841</v>
      </c>
      <c r="F42" s="64" t="s">
        <v>36</v>
      </c>
      <c r="G42" s="164" t="s">
        <v>843</v>
      </c>
      <c r="H42" s="19"/>
      <c r="J42" s="156"/>
    </row>
    <row r="43" ht="22.5" customHeight="1">
      <c r="A43" s="5">
        <v>45915.0</v>
      </c>
      <c r="B43" s="28">
        <v>8.0</v>
      </c>
      <c r="C43" s="22"/>
      <c r="D43" s="22"/>
      <c r="E43" s="55" t="s">
        <v>844</v>
      </c>
      <c r="F43" s="64" t="s">
        <v>39</v>
      </c>
      <c r="G43" s="164" t="s">
        <v>845</v>
      </c>
      <c r="H43" s="19"/>
      <c r="J43" s="155"/>
    </row>
    <row r="44" ht="22.5" customHeight="1">
      <c r="A44" s="5">
        <v>45916.0</v>
      </c>
      <c r="B44" s="28">
        <v>10.0</v>
      </c>
      <c r="C44" s="22"/>
      <c r="D44" s="22"/>
      <c r="E44" s="55" t="s">
        <v>844</v>
      </c>
      <c r="F44" s="64" t="s">
        <v>36</v>
      </c>
      <c r="G44" s="164" t="s">
        <v>846</v>
      </c>
      <c r="H44" s="19"/>
      <c r="J44" s="156" t="s">
        <v>847</v>
      </c>
    </row>
    <row r="45" ht="22.5" customHeight="1">
      <c r="A45" s="5">
        <v>45917.0</v>
      </c>
      <c r="B45" s="28">
        <v>12.0</v>
      </c>
      <c r="C45" s="22"/>
      <c r="D45" s="22"/>
      <c r="E45" s="55" t="s">
        <v>848</v>
      </c>
      <c r="F45" s="64" t="s">
        <v>36</v>
      </c>
      <c r="G45" s="164" t="s">
        <v>849</v>
      </c>
      <c r="H45" s="19"/>
      <c r="J45" s="156" t="s">
        <v>836</v>
      </c>
    </row>
    <row r="46" ht="22.5" customHeight="1">
      <c r="A46" s="5">
        <v>45918.0</v>
      </c>
      <c r="B46" s="28">
        <v>11.5</v>
      </c>
      <c r="C46" s="22"/>
      <c r="D46" s="22"/>
      <c r="E46" s="55" t="s">
        <v>850</v>
      </c>
      <c r="F46" s="64" t="s">
        <v>36</v>
      </c>
      <c r="G46" s="164" t="s">
        <v>851</v>
      </c>
      <c r="H46" s="19"/>
      <c r="J46" s="156" t="s">
        <v>795</v>
      </c>
    </row>
    <row r="47" ht="22.5" customHeight="1">
      <c r="A47" s="5">
        <v>45919.0</v>
      </c>
      <c r="B47" s="28">
        <v>8.0</v>
      </c>
      <c r="C47" s="22"/>
      <c r="D47" s="22"/>
      <c r="E47" s="55" t="s">
        <v>852</v>
      </c>
      <c r="F47" s="64" t="s">
        <v>36</v>
      </c>
      <c r="G47" s="164" t="s">
        <v>853</v>
      </c>
      <c r="H47" s="19"/>
      <c r="J47" s="156"/>
    </row>
    <row r="48" ht="22.5" customHeight="1">
      <c r="A48" s="5">
        <v>45922.0</v>
      </c>
      <c r="B48" s="28">
        <v>8.0</v>
      </c>
      <c r="C48" s="22"/>
      <c r="D48" s="22"/>
      <c r="E48" s="158" t="s">
        <v>820</v>
      </c>
      <c r="F48" s="165" t="s">
        <v>39</v>
      </c>
      <c r="G48" s="160" t="s">
        <v>854</v>
      </c>
      <c r="H48" s="19"/>
      <c r="J48" s="155"/>
    </row>
    <row r="49" ht="22.5" customHeight="1">
      <c r="A49" s="5">
        <v>45923.0</v>
      </c>
      <c r="B49" s="28">
        <v>8.0</v>
      </c>
      <c r="C49" s="22"/>
      <c r="D49" s="22"/>
      <c r="E49" s="158" t="s">
        <v>820</v>
      </c>
      <c r="F49" s="165" t="s">
        <v>39</v>
      </c>
      <c r="G49" s="160" t="s">
        <v>855</v>
      </c>
      <c r="H49" s="19"/>
      <c r="J49" s="155"/>
    </row>
    <row r="50" ht="22.5" customHeight="1">
      <c r="A50" s="5">
        <v>45924.0</v>
      </c>
      <c r="B50" s="28">
        <v>8.0</v>
      </c>
      <c r="C50" s="22"/>
      <c r="D50" s="22"/>
      <c r="E50" s="158" t="s">
        <v>820</v>
      </c>
      <c r="F50" s="64" t="s">
        <v>36</v>
      </c>
      <c r="G50" s="160" t="s">
        <v>856</v>
      </c>
      <c r="H50" s="19"/>
      <c r="J50" s="155"/>
    </row>
    <row r="51" ht="22.5" customHeight="1">
      <c r="A51" s="5">
        <v>45925.0</v>
      </c>
      <c r="B51" s="28">
        <v>8.0</v>
      </c>
      <c r="C51" s="22"/>
      <c r="D51" s="22"/>
      <c r="E51" s="163" t="s">
        <v>857</v>
      </c>
      <c r="F51" s="165" t="s">
        <v>39</v>
      </c>
      <c r="G51" s="164" t="s">
        <v>858</v>
      </c>
      <c r="H51" s="19"/>
      <c r="J51" s="155"/>
    </row>
    <row r="52" ht="22.5" customHeight="1">
      <c r="A52" s="5">
        <v>45926.0</v>
      </c>
      <c r="B52" s="28">
        <v>8.0</v>
      </c>
      <c r="C52" s="22"/>
      <c r="D52" s="22"/>
      <c r="E52" s="163" t="s">
        <v>859</v>
      </c>
      <c r="F52" s="64" t="s">
        <v>36</v>
      </c>
      <c r="G52" s="164" t="s">
        <v>860</v>
      </c>
      <c r="H52" s="19"/>
      <c r="J52" s="155"/>
    </row>
    <row r="53" ht="22.5" customHeight="1">
      <c r="A53" s="5">
        <v>45929.0</v>
      </c>
      <c r="B53" s="28">
        <v>8.0</v>
      </c>
      <c r="C53" s="22"/>
      <c r="D53" s="22"/>
      <c r="E53" s="163" t="s">
        <v>86</v>
      </c>
      <c r="F53" s="64"/>
      <c r="G53" s="164"/>
      <c r="H53" s="19"/>
      <c r="J53" s="155"/>
    </row>
    <row r="54" ht="22.5" customHeight="1">
      <c r="A54" s="5">
        <v>45930.0</v>
      </c>
      <c r="B54" s="28">
        <v>13.0</v>
      </c>
      <c r="C54" s="22"/>
      <c r="D54" s="22"/>
      <c r="E54" s="163" t="s">
        <v>861</v>
      </c>
      <c r="F54" s="64" t="s">
        <v>36</v>
      </c>
      <c r="G54" s="164" t="s">
        <v>862</v>
      </c>
      <c r="H54" s="19"/>
      <c r="J54" s="156" t="s">
        <v>863</v>
      </c>
    </row>
    <row r="55" ht="22.5" customHeight="1">
      <c r="A55" s="5">
        <v>45931.0</v>
      </c>
      <c r="B55" s="28">
        <v>13.0</v>
      </c>
      <c r="C55" s="22"/>
      <c r="D55" s="22"/>
      <c r="E55" s="163" t="s">
        <v>861</v>
      </c>
      <c r="F55" s="64" t="s">
        <v>36</v>
      </c>
      <c r="G55" s="164" t="s">
        <v>864</v>
      </c>
      <c r="H55" s="19"/>
      <c r="J55" s="156" t="s">
        <v>863</v>
      </c>
    </row>
    <row r="56" ht="22.5" customHeight="1">
      <c r="A56" s="5">
        <v>45932.0</v>
      </c>
      <c r="B56" s="28">
        <v>13.0</v>
      </c>
      <c r="C56" s="22"/>
      <c r="D56" s="22"/>
      <c r="E56" s="163" t="s">
        <v>865</v>
      </c>
      <c r="F56" s="64" t="s">
        <v>36</v>
      </c>
      <c r="G56" s="164" t="s">
        <v>866</v>
      </c>
      <c r="H56" s="19"/>
      <c r="J56" s="156" t="s">
        <v>863</v>
      </c>
    </row>
    <row r="57" ht="22.5" customHeight="1">
      <c r="A57" s="5">
        <v>45933.0</v>
      </c>
      <c r="B57" s="28">
        <v>13.0</v>
      </c>
      <c r="C57" s="22"/>
      <c r="D57" s="22"/>
      <c r="E57" s="163" t="s">
        <v>861</v>
      </c>
      <c r="F57" s="64" t="s">
        <v>36</v>
      </c>
      <c r="G57" s="164" t="s">
        <v>867</v>
      </c>
      <c r="H57" s="19"/>
      <c r="J57" s="156" t="s">
        <v>863</v>
      </c>
    </row>
    <row r="58" ht="22.5" customHeight="1">
      <c r="A58" s="5">
        <v>45936.0</v>
      </c>
      <c r="B58" s="28">
        <v>12.0</v>
      </c>
      <c r="C58" s="22"/>
      <c r="D58" s="22"/>
      <c r="E58" s="163" t="s">
        <v>868</v>
      </c>
      <c r="F58" s="64" t="s">
        <v>36</v>
      </c>
      <c r="G58" s="164" t="s">
        <v>869</v>
      </c>
      <c r="H58" s="19"/>
      <c r="J58" s="156" t="s">
        <v>836</v>
      </c>
    </row>
    <row r="59" ht="22.5" customHeight="1">
      <c r="A59" s="5">
        <v>45937.0</v>
      </c>
      <c r="B59" s="28">
        <v>8.0</v>
      </c>
      <c r="C59" s="22"/>
      <c r="D59" s="22"/>
      <c r="E59" s="163" t="s">
        <v>870</v>
      </c>
      <c r="F59" s="64" t="s">
        <v>36</v>
      </c>
      <c r="G59" s="164" t="s">
        <v>871</v>
      </c>
      <c r="H59" s="19"/>
      <c r="J59" s="155"/>
    </row>
    <row r="60" ht="22.5" customHeight="1">
      <c r="A60" s="5">
        <v>45938.0</v>
      </c>
      <c r="B60" s="28">
        <v>11.0</v>
      </c>
      <c r="C60" s="22"/>
      <c r="D60" s="22"/>
      <c r="E60" s="163" t="s">
        <v>872</v>
      </c>
      <c r="F60" s="64" t="s">
        <v>36</v>
      </c>
      <c r="G60" s="164" t="s">
        <v>873</v>
      </c>
      <c r="H60" s="19"/>
      <c r="J60" s="156" t="s">
        <v>797</v>
      </c>
    </row>
    <row r="61" ht="22.5" customHeight="1">
      <c r="A61" s="5">
        <v>45939.0</v>
      </c>
      <c r="B61" s="28">
        <v>8.0</v>
      </c>
      <c r="C61" s="22"/>
      <c r="D61" s="22"/>
      <c r="E61" s="163" t="s">
        <v>874</v>
      </c>
      <c r="F61" s="64" t="s">
        <v>36</v>
      </c>
      <c r="G61" s="164" t="s">
        <v>875</v>
      </c>
      <c r="H61" s="19"/>
      <c r="J61" s="155"/>
    </row>
    <row r="62" ht="22.5" customHeight="1">
      <c r="A62" s="5">
        <v>45940.0</v>
      </c>
      <c r="B62" s="28">
        <v>8.0</v>
      </c>
      <c r="C62" s="22"/>
      <c r="D62" s="22"/>
      <c r="E62" s="163" t="s">
        <v>876</v>
      </c>
      <c r="F62" s="64" t="s">
        <v>36</v>
      </c>
      <c r="G62" s="164" t="s">
        <v>877</v>
      </c>
      <c r="H62" s="19"/>
      <c r="J62" s="155"/>
    </row>
    <row r="63" ht="22.5" customHeight="1">
      <c r="A63" s="5">
        <v>45943.0</v>
      </c>
      <c r="B63" s="28">
        <v>8.0</v>
      </c>
      <c r="C63" s="22"/>
      <c r="D63" s="22"/>
      <c r="E63" s="163" t="s">
        <v>878</v>
      </c>
      <c r="F63" s="64"/>
      <c r="G63" s="164"/>
      <c r="H63" s="19"/>
      <c r="J63" s="155"/>
    </row>
    <row r="64" ht="22.5" customHeight="1">
      <c r="A64" s="5">
        <v>45944.0</v>
      </c>
      <c r="B64" s="28">
        <v>8.0</v>
      </c>
      <c r="C64" s="22"/>
      <c r="D64" s="22"/>
      <c r="E64" s="163" t="s">
        <v>878</v>
      </c>
      <c r="F64" s="64"/>
      <c r="G64" s="164"/>
      <c r="H64" s="19"/>
      <c r="J64" s="155"/>
    </row>
    <row r="65" ht="22.5" customHeight="1">
      <c r="A65" s="5">
        <v>45945.0</v>
      </c>
      <c r="B65" s="28">
        <v>8.0</v>
      </c>
      <c r="C65" s="22"/>
      <c r="D65" s="22"/>
      <c r="E65" s="163" t="s">
        <v>86</v>
      </c>
      <c r="F65" s="64"/>
      <c r="G65" s="164"/>
      <c r="H65" s="19"/>
      <c r="J65" s="155"/>
    </row>
    <row r="66" ht="22.5" customHeight="1">
      <c r="A66" s="5">
        <v>45946.0</v>
      </c>
      <c r="B66" s="28">
        <v>8.0</v>
      </c>
      <c r="C66" s="22"/>
      <c r="D66" s="22"/>
      <c r="E66" s="163" t="s">
        <v>86</v>
      </c>
      <c r="F66" s="64"/>
      <c r="G66" s="164"/>
      <c r="H66" s="19"/>
      <c r="J66" s="155"/>
    </row>
    <row r="67" ht="22.5" customHeight="1">
      <c r="A67" s="5">
        <v>45947.0</v>
      </c>
      <c r="B67" s="28">
        <v>8.0</v>
      </c>
      <c r="C67" s="22"/>
      <c r="D67" s="22"/>
      <c r="E67" s="163" t="s">
        <v>86</v>
      </c>
      <c r="F67" s="64"/>
      <c r="G67" s="164"/>
      <c r="H67" s="19"/>
      <c r="J67" s="155"/>
    </row>
    <row r="68" ht="22.5" customHeight="1">
      <c r="A68" s="5">
        <v>45950.0</v>
      </c>
      <c r="B68" s="28">
        <v>8.0</v>
      </c>
      <c r="C68" s="22"/>
      <c r="D68" s="22"/>
      <c r="E68" s="163" t="s">
        <v>879</v>
      </c>
      <c r="F68" s="64" t="s">
        <v>36</v>
      </c>
      <c r="G68" s="164" t="s">
        <v>880</v>
      </c>
      <c r="H68" s="19"/>
      <c r="J68" s="155"/>
    </row>
    <row r="69" ht="22.5" customHeight="1">
      <c r="A69" s="5">
        <v>45951.0</v>
      </c>
      <c r="B69" s="28">
        <v>8.0</v>
      </c>
      <c r="C69" s="22"/>
      <c r="D69" s="22"/>
      <c r="E69" s="163" t="s">
        <v>881</v>
      </c>
      <c r="F69" s="64" t="s">
        <v>39</v>
      </c>
      <c r="G69" s="164"/>
      <c r="H69" s="19"/>
      <c r="J69" s="155"/>
    </row>
    <row r="70" ht="22.5" customHeight="1">
      <c r="A70" s="5">
        <v>45952.0</v>
      </c>
      <c r="B70" s="28">
        <v>8.0</v>
      </c>
      <c r="C70" s="22"/>
      <c r="D70" s="22"/>
      <c r="E70" s="163" t="s">
        <v>882</v>
      </c>
      <c r="F70" s="64" t="s">
        <v>36</v>
      </c>
      <c r="G70" s="164" t="s">
        <v>883</v>
      </c>
      <c r="H70" s="19"/>
      <c r="J70" s="155"/>
    </row>
    <row r="71" ht="22.5" customHeight="1">
      <c r="A71" s="5">
        <v>45953.0</v>
      </c>
      <c r="B71" s="28">
        <v>13.0</v>
      </c>
      <c r="C71" s="22"/>
      <c r="D71" s="22"/>
      <c r="E71" s="163" t="s">
        <v>884</v>
      </c>
      <c r="F71" s="64" t="s">
        <v>39</v>
      </c>
      <c r="G71" s="164" t="s">
        <v>885</v>
      </c>
      <c r="H71" s="19"/>
      <c r="J71" s="156" t="s">
        <v>863</v>
      </c>
    </row>
    <row r="72" ht="22.5" customHeight="1">
      <c r="A72" s="5">
        <v>45954.0</v>
      </c>
      <c r="B72" s="28">
        <v>8.0</v>
      </c>
      <c r="C72" s="22"/>
      <c r="D72" s="22"/>
      <c r="E72" s="163" t="s">
        <v>886</v>
      </c>
      <c r="F72" s="64" t="s">
        <v>36</v>
      </c>
      <c r="G72" s="164" t="s">
        <v>887</v>
      </c>
      <c r="H72" s="19"/>
      <c r="J72" s="155"/>
    </row>
    <row r="73" ht="22.5" customHeight="1">
      <c r="A73" s="5">
        <v>45957.0</v>
      </c>
      <c r="B73" s="28">
        <v>12.0</v>
      </c>
      <c r="C73" s="22"/>
      <c r="D73" s="22"/>
      <c r="E73" s="163" t="s">
        <v>884</v>
      </c>
      <c r="F73" s="64" t="s">
        <v>39</v>
      </c>
      <c r="G73" s="164" t="s">
        <v>888</v>
      </c>
      <c r="H73" s="19"/>
      <c r="J73" s="156" t="s">
        <v>836</v>
      </c>
    </row>
    <row r="74" ht="22.5" customHeight="1">
      <c r="A74" s="5">
        <v>45958.0</v>
      </c>
      <c r="B74" s="28">
        <v>11.5</v>
      </c>
      <c r="C74" s="22"/>
      <c r="D74" s="22"/>
      <c r="E74" s="163" t="s">
        <v>889</v>
      </c>
      <c r="F74" s="64" t="s">
        <v>39</v>
      </c>
      <c r="G74" s="164" t="s">
        <v>890</v>
      </c>
      <c r="H74" s="19"/>
      <c r="J74" s="156" t="s">
        <v>795</v>
      </c>
    </row>
    <row r="75" ht="22.5" customHeight="1">
      <c r="A75" s="5">
        <v>45959.0</v>
      </c>
      <c r="B75" s="28">
        <v>12.0</v>
      </c>
      <c r="C75" s="22"/>
      <c r="D75" s="22"/>
      <c r="E75" s="163" t="s">
        <v>889</v>
      </c>
      <c r="F75" s="64" t="s">
        <v>36</v>
      </c>
      <c r="G75" s="164" t="s">
        <v>891</v>
      </c>
      <c r="H75" s="19"/>
      <c r="J75" s="156" t="s">
        <v>836</v>
      </c>
    </row>
    <row r="76" ht="22.5" customHeight="1">
      <c r="A76" s="5">
        <v>45960.0</v>
      </c>
      <c r="B76" s="28">
        <v>11.5</v>
      </c>
      <c r="C76" s="22"/>
      <c r="D76" s="22"/>
      <c r="E76" s="163" t="s">
        <v>892</v>
      </c>
      <c r="F76" s="64" t="s">
        <v>36</v>
      </c>
      <c r="G76" s="164" t="s">
        <v>893</v>
      </c>
      <c r="H76" s="19"/>
      <c r="J76" s="156" t="s">
        <v>795</v>
      </c>
    </row>
    <row r="77" ht="22.5" customHeight="1">
      <c r="A77" s="5">
        <v>45961.0</v>
      </c>
      <c r="B77" s="28">
        <v>12.0</v>
      </c>
      <c r="C77" s="22"/>
      <c r="D77" s="22"/>
      <c r="E77" s="163" t="s">
        <v>894</v>
      </c>
      <c r="F77" s="64" t="s">
        <v>36</v>
      </c>
      <c r="G77" s="164" t="s">
        <v>895</v>
      </c>
      <c r="H77" s="19"/>
      <c r="J77" s="155"/>
    </row>
    <row r="78" ht="22.5" customHeight="1">
      <c r="A78" s="5">
        <v>45964.0</v>
      </c>
      <c r="B78" s="28">
        <v>12.0</v>
      </c>
      <c r="C78" s="166"/>
      <c r="D78" s="166"/>
      <c r="E78" s="163" t="s">
        <v>884</v>
      </c>
      <c r="F78" s="64" t="s">
        <v>39</v>
      </c>
      <c r="G78" s="164" t="s">
        <v>896</v>
      </c>
      <c r="H78" s="167"/>
      <c r="J78" s="155"/>
    </row>
    <row r="79" ht="22.5" customHeight="1">
      <c r="A79" s="5">
        <v>45965.0</v>
      </c>
      <c r="B79" s="28">
        <v>12.0</v>
      </c>
      <c r="C79" s="22"/>
      <c r="D79" s="22"/>
      <c r="E79" s="163" t="s">
        <v>897</v>
      </c>
      <c r="F79" s="64" t="s">
        <v>36</v>
      </c>
      <c r="G79" s="164" t="s">
        <v>898</v>
      </c>
      <c r="H79" s="19"/>
      <c r="J79" s="155"/>
    </row>
    <row r="80" ht="22.5" customHeight="1">
      <c r="A80" s="5">
        <v>45966.0</v>
      </c>
      <c r="B80" s="28">
        <v>12.0</v>
      </c>
      <c r="C80" s="22"/>
      <c r="D80" s="22"/>
      <c r="E80" s="163" t="s">
        <v>899</v>
      </c>
      <c r="F80" s="64" t="s">
        <v>36</v>
      </c>
      <c r="G80" s="164" t="s">
        <v>900</v>
      </c>
      <c r="H80" s="19"/>
      <c r="J80" s="155"/>
    </row>
    <row r="81" ht="22.5" customHeight="1">
      <c r="A81" s="5">
        <v>45967.0</v>
      </c>
      <c r="B81" s="28">
        <v>12.0</v>
      </c>
      <c r="C81" s="22"/>
      <c r="D81" s="22"/>
      <c r="E81" s="163" t="s">
        <v>901</v>
      </c>
      <c r="F81" s="64" t="s">
        <v>36</v>
      </c>
      <c r="G81" s="164" t="s">
        <v>902</v>
      </c>
      <c r="H81" s="19"/>
      <c r="J81" s="155"/>
    </row>
    <row r="82" ht="22.5" customHeight="1">
      <c r="A82" s="5">
        <v>45968.0</v>
      </c>
      <c r="B82" s="28">
        <v>12.0</v>
      </c>
      <c r="C82" s="22"/>
      <c r="D82" s="22"/>
      <c r="E82" s="163" t="s">
        <v>286</v>
      </c>
      <c r="F82" s="64"/>
      <c r="G82" s="164"/>
      <c r="H82" s="19"/>
      <c r="J82" s="155"/>
    </row>
    <row r="83" ht="22.5" customHeight="1">
      <c r="A83" s="5">
        <v>45971.0</v>
      </c>
      <c r="B83" s="28">
        <v>12.0</v>
      </c>
      <c r="C83" s="22"/>
      <c r="D83" s="22"/>
      <c r="E83" s="163" t="s">
        <v>903</v>
      </c>
      <c r="F83" s="64" t="s">
        <v>36</v>
      </c>
      <c r="G83" s="164" t="s">
        <v>904</v>
      </c>
      <c r="H83" s="19"/>
      <c r="J83" s="155"/>
    </row>
    <row r="84" ht="22.5" customHeight="1">
      <c r="A84" s="5">
        <v>45972.0</v>
      </c>
      <c r="B84" s="28">
        <v>12.0</v>
      </c>
      <c r="C84" s="22"/>
      <c r="D84" s="22"/>
      <c r="E84" s="163" t="s">
        <v>905</v>
      </c>
      <c r="F84" s="64" t="s">
        <v>36</v>
      </c>
      <c r="G84" s="164" t="s">
        <v>906</v>
      </c>
      <c r="H84" s="19"/>
      <c r="J84" s="155"/>
    </row>
    <row r="85" ht="22.5" customHeight="1">
      <c r="A85" s="5">
        <v>45973.0</v>
      </c>
      <c r="B85" s="28">
        <v>12.0</v>
      </c>
      <c r="C85" s="22"/>
      <c r="D85" s="22"/>
      <c r="E85" s="163" t="s">
        <v>884</v>
      </c>
      <c r="F85" s="64" t="s">
        <v>39</v>
      </c>
      <c r="G85" s="164" t="s">
        <v>907</v>
      </c>
      <c r="H85" s="19"/>
      <c r="J85" s="155"/>
    </row>
    <row r="86" ht="22.5" customHeight="1">
      <c r="A86" s="5">
        <v>45974.0</v>
      </c>
      <c r="B86" s="28">
        <v>12.0</v>
      </c>
      <c r="C86" s="22"/>
      <c r="D86" s="22"/>
      <c r="E86" s="163" t="s">
        <v>884</v>
      </c>
      <c r="F86" s="64" t="s">
        <v>39</v>
      </c>
      <c r="G86" s="164" t="s">
        <v>908</v>
      </c>
      <c r="H86" s="19"/>
      <c r="J86" s="155"/>
    </row>
    <row r="87" ht="22.5" customHeight="1">
      <c r="A87" s="5">
        <v>45975.0</v>
      </c>
      <c r="B87" s="28">
        <v>12.0</v>
      </c>
      <c r="C87" s="22"/>
      <c r="D87" s="22"/>
      <c r="E87" s="163" t="s">
        <v>884</v>
      </c>
      <c r="F87" s="64" t="s">
        <v>39</v>
      </c>
      <c r="G87" s="164" t="s">
        <v>909</v>
      </c>
      <c r="H87" s="19"/>
      <c r="J87" s="155"/>
    </row>
    <row r="88" ht="22.5" customHeight="1">
      <c r="A88" s="5">
        <v>45978.0</v>
      </c>
      <c r="B88" s="28">
        <v>12.0</v>
      </c>
      <c r="C88" s="22"/>
      <c r="D88" s="22"/>
      <c r="E88" s="163" t="s">
        <v>910</v>
      </c>
      <c r="F88" s="64" t="s">
        <v>39</v>
      </c>
      <c r="G88" s="164" t="s">
        <v>911</v>
      </c>
      <c r="H88" s="19"/>
      <c r="J88" s="155"/>
    </row>
    <row r="89" ht="22.5" customHeight="1">
      <c r="A89" s="5">
        <v>45979.0</v>
      </c>
      <c r="B89" s="28">
        <v>12.0</v>
      </c>
      <c r="C89" s="22"/>
      <c r="D89" s="22"/>
      <c r="E89" s="163" t="s">
        <v>912</v>
      </c>
      <c r="F89" s="64" t="s">
        <v>36</v>
      </c>
      <c r="G89" s="164" t="s">
        <v>913</v>
      </c>
      <c r="H89" s="19"/>
      <c r="J89" s="155"/>
    </row>
    <row r="90" ht="22.5" customHeight="1">
      <c r="A90" s="5">
        <v>45980.0</v>
      </c>
      <c r="B90" s="28">
        <v>12.0</v>
      </c>
      <c r="C90" s="22"/>
      <c r="D90" s="22"/>
      <c r="E90" s="163" t="s">
        <v>884</v>
      </c>
      <c r="F90" s="64" t="s">
        <v>39</v>
      </c>
      <c r="G90" s="164" t="s">
        <v>914</v>
      </c>
      <c r="H90" s="19"/>
      <c r="J90" s="155"/>
    </row>
    <row r="91" ht="22.5" customHeight="1">
      <c r="A91" s="5">
        <v>45981.0</v>
      </c>
      <c r="B91" s="28">
        <v>12.0</v>
      </c>
      <c r="C91" s="22"/>
      <c r="D91" s="22"/>
      <c r="E91" s="163" t="s">
        <v>884</v>
      </c>
      <c r="F91" s="64" t="s">
        <v>39</v>
      </c>
      <c r="G91" s="164" t="s">
        <v>915</v>
      </c>
      <c r="H91" s="19"/>
      <c r="J91" s="155"/>
    </row>
    <row r="92" ht="22.5" customHeight="1">
      <c r="A92" s="5">
        <v>45982.0</v>
      </c>
      <c r="B92" s="28">
        <v>12.0</v>
      </c>
      <c r="C92" s="22"/>
      <c r="D92" s="22"/>
      <c r="E92" s="163" t="s">
        <v>884</v>
      </c>
      <c r="F92" s="64" t="s">
        <v>39</v>
      </c>
      <c r="G92" s="164" t="s">
        <v>916</v>
      </c>
      <c r="H92" s="19"/>
      <c r="J92" s="155"/>
    </row>
    <row r="93" ht="22.5" customHeight="1">
      <c r="A93" s="5">
        <v>45985.0</v>
      </c>
      <c r="B93" s="28">
        <v>12.0</v>
      </c>
      <c r="C93" s="22"/>
      <c r="D93" s="22"/>
      <c r="E93" s="163" t="s">
        <v>884</v>
      </c>
      <c r="F93" s="64" t="s">
        <v>39</v>
      </c>
      <c r="G93" s="164" t="s">
        <v>917</v>
      </c>
      <c r="H93" s="19"/>
      <c r="J93" s="155"/>
    </row>
    <row r="94" ht="22.5" customHeight="1">
      <c r="A94" s="5">
        <v>45986.0</v>
      </c>
      <c r="B94" s="28">
        <v>12.0</v>
      </c>
      <c r="C94" s="22"/>
      <c r="D94" s="22"/>
      <c r="E94" s="163" t="s">
        <v>884</v>
      </c>
      <c r="F94" s="64" t="s">
        <v>39</v>
      </c>
      <c r="G94" s="164" t="s">
        <v>918</v>
      </c>
      <c r="H94" s="19"/>
      <c r="J94" s="155"/>
    </row>
    <row r="95" ht="22.5" customHeight="1">
      <c r="A95" s="5">
        <v>45987.0</v>
      </c>
      <c r="B95" s="28">
        <v>12.0</v>
      </c>
      <c r="C95" s="22"/>
      <c r="D95" s="22"/>
      <c r="E95" s="163" t="s">
        <v>884</v>
      </c>
      <c r="F95" s="64" t="s">
        <v>39</v>
      </c>
      <c r="G95" s="164" t="s">
        <v>919</v>
      </c>
      <c r="H95" s="19"/>
      <c r="J95" s="155"/>
    </row>
    <row r="96" ht="22.5" customHeight="1">
      <c r="A96" s="5">
        <v>45988.0</v>
      </c>
      <c r="B96" s="28">
        <v>12.0</v>
      </c>
      <c r="C96" s="22"/>
      <c r="D96" s="22"/>
      <c r="E96" s="163" t="s">
        <v>884</v>
      </c>
      <c r="F96" s="64" t="s">
        <v>39</v>
      </c>
      <c r="G96" s="164" t="s">
        <v>920</v>
      </c>
      <c r="H96" s="19"/>
      <c r="J96" s="155"/>
    </row>
    <row r="97" ht="22.5" customHeight="1">
      <c r="A97" s="5">
        <v>45989.0</v>
      </c>
      <c r="B97" s="28">
        <v>12.0</v>
      </c>
      <c r="C97" s="22"/>
      <c r="D97" s="22"/>
      <c r="E97" s="163" t="s">
        <v>884</v>
      </c>
      <c r="F97" s="64" t="s">
        <v>39</v>
      </c>
      <c r="G97" s="164" t="s">
        <v>921</v>
      </c>
      <c r="H97" s="19"/>
      <c r="J97" s="155"/>
    </row>
    <row r="98" ht="22.5" customHeight="1">
      <c r="A98" s="5">
        <v>45992.0</v>
      </c>
      <c r="B98" s="28">
        <v>12.0</v>
      </c>
      <c r="C98" s="22"/>
      <c r="D98" s="22"/>
      <c r="E98" s="163" t="s">
        <v>884</v>
      </c>
      <c r="F98" s="64" t="s">
        <v>39</v>
      </c>
      <c r="G98" s="164" t="s">
        <v>922</v>
      </c>
      <c r="H98" s="19"/>
      <c r="J98" s="155"/>
    </row>
    <row r="99" ht="22.5" customHeight="1">
      <c r="A99" s="5">
        <v>45993.0</v>
      </c>
      <c r="B99" s="28">
        <v>12.0</v>
      </c>
      <c r="C99" s="22"/>
      <c r="D99" s="22"/>
      <c r="E99" s="163" t="s">
        <v>884</v>
      </c>
      <c r="F99" s="64" t="s">
        <v>39</v>
      </c>
      <c r="G99" s="164" t="s">
        <v>923</v>
      </c>
      <c r="H99" s="19"/>
      <c r="J99" s="155"/>
    </row>
    <row r="100" ht="22.5" customHeight="1">
      <c r="A100" s="5">
        <v>45994.0</v>
      </c>
      <c r="B100" s="28">
        <v>12.0</v>
      </c>
      <c r="C100" s="22"/>
      <c r="D100" s="22"/>
      <c r="E100" s="163" t="s">
        <v>884</v>
      </c>
      <c r="F100" s="64" t="s">
        <v>39</v>
      </c>
      <c r="G100" s="164" t="s">
        <v>924</v>
      </c>
      <c r="H100" s="19"/>
      <c r="J100" s="155"/>
    </row>
    <row r="101" ht="22.5" customHeight="1">
      <c r="A101" s="5">
        <v>45995.0</v>
      </c>
      <c r="B101" s="28">
        <v>12.0</v>
      </c>
      <c r="C101" s="22"/>
      <c r="D101" s="22"/>
      <c r="E101" s="163" t="s">
        <v>884</v>
      </c>
      <c r="F101" s="64" t="s">
        <v>39</v>
      </c>
      <c r="G101" s="164" t="s">
        <v>925</v>
      </c>
      <c r="H101" s="19"/>
      <c r="J101" s="155"/>
    </row>
    <row r="102" ht="22.5" customHeight="1">
      <c r="A102" s="5">
        <v>45996.0</v>
      </c>
      <c r="B102" s="28">
        <v>12.0</v>
      </c>
      <c r="C102" s="22"/>
      <c r="D102" s="22"/>
      <c r="E102" s="163" t="s">
        <v>884</v>
      </c>
      <c r="F102" s="64" t="s">
        <v>36</v>
      </c>
      <c r="G102" s="164" t="s">
        <v>926</v>
      </c>
      <c r="H102" s="19"/>
      <c r="J102" s="155"/>
    </row>
    <row r="103" ht="22.5" customHeight="1">
      <c r="A103" s="5">
        <v>45999.0</v>
      </c>
      <c r="B103" s="28">
        <v>12.0</v>
      </c>
      <c r="C103" s="22"/>
      <c r="D103" s="22"/>
      <c r="E103" s="163"/>
      <c r="F103" s="64"/>
      <c r="G103" s="164"/>
      <c r="H103" s="19"/>
      <c r="J103" s="155"/>
    </row>
    <row r="104" ht="22.5" customHeight="1">
      <c r="A104" s="5">
        <v>46000.0</v>
      </c>
      <c r="B104" s="28">
        <v>12.0</v>
      </c>
      <c r="C104" s="22"/>
      <c r="D104" s="22"/>
      <c r="E104" s="163"/>
      <c r="F104" s="64"/>
      <c r="G104" s="164"/>
      <c r="H104" s="19"/>
      <c r="J104" s="155"/>
    </row>
    <row r="105" ht="22.5" customHeight="1">
      <c r="A105" s="5">
        <v>46001.0</v>
      </c>
      <c r="B105" s="28">
        <v>12.0</v>
      </c>
      <c r="C105" s="22"/>
      <c r="D105" s="22"/>
      <c r="E105" s="163"/>
      <c r="F105" s="64"/>
      <c r="G105" s="164"/>
      <c r="H105" s="19"/>
      <c r="J105" s="155"/>
    </row>
    <row r="106" ht="22.5" customHeight="1">
      <c r="A106" s="5">
        <v>46002.0</v>
      </c>
      <c r="B106" s="28">
        <v>12.0</v>
      </c>
      <c r="C106" s="22"/>
      <c r="D106" s="22"/>
      <c r="E106" s="163"/>
      <c r="F106" s="64"/>
      <c r="G106" s="164"/>
      <c r="H106" s="19"/>
      <c r="J106" s="155"/>
    </row>
    <row r="107" ht="22.5" customHeight="1">
      <c r="A107" s="5">
        <v>46003.0</v>
      </c>
      <c r="B107" s="28">
        <v>12.0</v>
      </c>
      <c r="C107" s="22"/>
      <c r="D107" s="22"/>
      <c r="E107" s="163"/>
      <c r="F107" s="64"/>
      <c r="G107" s="164"/>
      <c r="H107" s="19"/>
      <c r="J107" s="155"/>
    </row>
    <row r="108" ht="22.5" customHeight="1">
      <c r="A108" s="5">
        <v>45968.0</v>
      </c>
      <c r="B108" s="28">
        <v>12.0</v>
      </c>
      <c r="C108" s="22"/>
      <c r="D108" s="22"/>
      <c r="E108" s="163"/>
      <c r="F108" s="64"/>
      <c r="G108" s="164"/>
      <c r="H108" s="19"/>
      <c r="J108" s="155"/>
    </row>
    <row r="109" ht="22.5" customHeight="1">
      <c r="A109" s="5">
        <v>45967.0</v>
      </c>
      <c r="B109" s="28">
        <v>12.0</v>
      </c>
      <c r="C109" s="22"/>
      <c r="D109" s="22"/>
      <c r="E109" s="163"/>
      <c r="F109" s="64"/>
      <c r="G109" s="164"/>
      <c r="H109" s="19"/>
      <c r="J109" s="155"/>
    </row>
    <row r="110" ht="22.5" customHeight="1">
      <c r="A110" s="5">
        <v>45968.0</v>
      </c>
      <c r="B110" s="28">
        <v>12.0</v>
      </c>
      <c r="C110" s="22"/>
      <c r="D110" s="22"/>
      <c r="E110" s="163"/>
      <c r="F110" s="64"/>
      <c r="G110" s="164"/>
      <c r="H110" s="19"/>
      <c r="J110" s="155"/>
    </row>
    <row r="111" ht="22.5" customHeight="1">
      <c r="A111" s="5">
        <v>45967.0</v>
      </c>
      <c r="B111" s="28">
        <v>12.0</v>
      </c>
      <c r="C111" s="22"/>
      <c r="D111" s="22"/>
      <c r="E111" s="163"/>
      <c r="F111" s="64"/>
      <c r="G111" s="164"/>
      <c r="H111" s="19"/>
      <c r="J111" s="155"/>
    </row>
    <row r="112" ht="22.5" customHeight="1">
      <c r="A112" s="5">
        <v>45968.0</v>
      </c>
      <c r="B112" s="28">
        <v>12.0</v>
      </c>
      <c r="C112" s="22"/>
      <c r="D112" s="22"/>
      <c r="E112" s="163"/>
      <c r="F112" s="64"/>
      <c r="G112" s="164"/>
      <c r="H112" s="19"/>
      <c r="J112" s="155"/>
    </row>
    <row r="113" ht="22.5" customHeight="1">
      <c r="A113" s="5">
        <v>45967.0</v>
      </c>
      <c r="B113" s="28">
        <v>12.0</v>
      </c>
      <c r="C113" s="22"/>
      <c r="D113" s="22"/>
      <c r="E113" s="163"/>
      <c r="F113" s="64"/>
      <c r="G113" s="164"/>
      <c r="H113" s="19"/>
      <c r="J113" s="155"/>
    </row>
    <row r="114" ht="22.5" customHeight="1">
      <c r="A114" s="5">
        <v>45968.0</v>
      </c>
      <c r="B114" s="28">
        <v>12.0</v>
      </c>
      <c r="C114" s="22"/>
      <c r="D114" s="22"/>
      <c r="E114" s="163"/>
      <c r="F114" s="64"/>
      <c r="G114" s="164"/>
      <c r="H114" s="19"/>
      <c r="J114" s="155"/>
    </row>
    <row r="115" ht="22.5" customHeight="1">
      <c r="A115" s="5">
        <v>45967.0</v>
      </c>
      <c r="B115" s="28">
        <v>12.0</v>
      </c>
      <c r="C115" s="22"/>
      <c r="D115" s="22"/>
      <c r="E115" s="163"/>
      <c r="F115" s="64"/>
      <c r="G115" s="164"/>
      <c r="H115" s="19"/>
      <c r="J115" s="155"/>
    </row>
    <row r="116" ht="22.5" customHeight="1">
      <c r="A116" s="5">
        <v>45968.0</v>
      </c>
      <c r="B116" s="28">
        <v>12.0</v>
      </c>
      <c r="C116" s="22"/>
      <c r="D116" s="22"/>
      <c r="E116" s="163"/>
      <c r="F116" s="64"/>
      <c r="G116" s="164"/>
      <c r="H116" s="19"/>
      <c r="J116" s="155"/>
    </row>
    <row r="117" ht="22.5" customHeight="1">
      <c r="A117" s="5">
        <v>45967.0</v>
      </c>
      <c r="B117" s="28">
        <v>12.0</v>
      </c>
      <c r="C117" s="22"/>
      <c r="D117" s="22"/>
      <c r="E117" s="163"/>
      <c r="F117" s="64"/>
      <c r="G117" s="164"/>
      <c r="H117" s="19"/>
      <c r="J117" s="155"/>
    </row>
    <row r="118" ht="22.5" customHeight="1">
      <c r="A118" s="5">
        <v>45968.0</v>
      </c>
      <c r="B118" s="28">
        <v>12.0</v>
      </c>
      <c r="C118" s="22"/>
      <c r="D118" s="22"/>
      <c r="E118" s="163"/>
      <c r="F118" s="64"/>
      <c r="G118" s="164"/>
      <c r="H118" s="19"/>
      <c r="J118" s="155"/>
    </row>
    <row r="119" ht="22.5" customHeight="1">
      <c r="A119" s="5">
        <v>45967.0</v>
      </c>
      <c r="B119" s="28">
        <v>12.0</v>
      </c>
      <c r="C119" s="22"/>
      <c r="D119" s="22"/>
      <c r="E119" s="163"/>
      <c r="F119" s="64"/>
      <c r="G119" s="164"/>
      <c r="H119" s="19"/>
      <c r="J119" s="155"/>
    </row>
    <row r="120" ht="22.5" customHeight="1">
      <c r="A120" s="5">
        <v>45968.0</v>
      </c>
      <c r="B120" s="28">
        <v>12.0</v>
      </c>
      <c r="C120" s="22"/>
      <c r="D120" s="22"/>
      <c r="E120" s="163"/>
      <c r="F120" s="64"/>
      <c r="G120" s="164"/>
      <c r="H120" s="19"/>
      <c r="J120" s="155"/>
    </row>
    <row r="121" ht="22.5" customHeight="1">
      <c r="A121" s="5">
        <v>45967.0</v>
      </c>
      <c r="B121" s="28">
        <v>12.0</v>
      </c>
      <c r="C121" s="22"/>
      <c r="D121" s="22"/>
      <c r="E121" s="163"/>
      <c r="F121" s="64"/>
      <c r="G121" s="164"/>
      <c r="H121" s="19"/>
      <c r="J121" s="155"/>
    </row>
    <row r="122" ht="22.5" customHeight="1">
      <c r="A122" s="5">
        <v>45968.0</v>
      </c>
      <c r="B122" s="28">
        <v>12.0</v>
      </c>
      <c r="C122" s="22"/>
      <c r="D122" s="22"/>
      <c r="E122" s="163"/>
      <c r="F122" s="64"/>
      <c r="G122" s="164"/>
      <c r="H122" s="19"/>
      <c r="J122" s="155"/>
    </row>
    <row r="123" ht="22.5" customHeight="1">
      <c r="A123" s="5">
        <v>45967.0</v>
      </c>
      <c r="B123" s="28">
        <v>12.0</v>
      </c>
      <c r="C123" s="22"/>
      <c r="D123" s="22"/>
      <c r="E123" s="163"/>
      <c r="F123" s="64"/>
      <c r="G123" s="164"/>
      <c r="H123" s="19"/>
      <c r="J123" s="155"/>
    </row>
    <row r="124" ht="22.5" customHeight="1">
      <c r="A124" s="5">
        <v>45968.0</v>
      </c>
      <c r="B124" s="28">
        <v>12.0</v>
      </c>
      <c r="C124" s="22"/>
      <c r="D124" s="22"/>
      <c r="E124" s="163"/>
      <c r="F124" s="64"/>
      <c r="G124" s="164"/>
      <c r="H124" s="19"/>
      <c r="J124" s="155"/>
    </row>
    <row r="125" ht="22.5" customHeight="1">
      <c r="A125" s="5">
        <v>45967.0</v>
      </c>
      <c r="B125" s="28">
        <v>12.0</v>
      </c>
      <c r="C125" s="22"/>
      <c r="D125" s="22"/>
      <c r="E125" s="163"/>
      <c r="F125" s="64"/>
      <c r="G125" s="164"/>
      <c r="H125" s="19"/>
      <c r="J125" s="155"/>
    </row>
    <row r="126" ht="22.5" customHeight="1">
      <c r="A126" s="5">
        <v>45968.0</v>
      </c>
      <c r="B126" s="28">
        <v>12.0</v>
      </c>
      <c r="C126" s="22"/>
      <c r="D126" s="22"/>
      <c r="E126" s="163"/>
      <c r="F126" s="64"/>
      <c r="G126" s="164"/>
      <c r="H126" s="19"/>
      <c r="J126" s="155"/>
    </row>
    <row r="127" ht="22.5" customHeight="1">
      <c r="A127" s="5">
        <v>45967.0</v>
      </c>
      <c r="B127" s="28">
        <v>12.0</v>
      </c>
      <c r="C127" s="22"/>
      <c r="D127" s="22"/>
      <c r="E127" s="163"/>
      <c r="F127" s="64"/>
      <c r="G127" s="164"/>
      <c r="H127" s="19"/>
      <c r="J127" s="155"/>
    </row>
    <row r="128" ht="22.5" customHeight="1">
      <c r="A128" s="5">
        <v>45968.0</v>
      </c>
      <c r="B128" s="28">
        <v>12.0</v>
      </c>
      <c r="C128" s="22"/>
      <c r="D128" s="22"/>
      <c r="E128" s="163"/>
      <c r="F128" s="64"/>
      <c r="G128" s="164"/>
      <c r="H128" s="19"/>
      <c r="J128" s="155"/>
    </row>
    <row r="129" ht="22.5" customHeight="1">
      <c r="A129" s="5">
        <v>45967.0</v>
      </c>
      <c r="B129" s="28">
        <v>12.0</v>
      </c>
      <c r="C129" s="22"/>
      <c r="D129" s="22"/>
      <c r="E129" s="163"/>
      <c r="F129" s="64"/>
      <c r="G129" s="164"/>
      <c r="H129" s="19"/>
      <c r="J129" s="155"/>
    </row>
    <row r="130" ht="22.5" customHeight="1">
      <c r="A130" s="5">
        <v>45968.0</v>
      </c>
      <c r="B130" s="28">
        <v>12.0</v>
      </c>
      <c r="C130" s="22"/>
      <c r="D130" s="22"/>
      <c r="E130" s="163"/>
      <c r="F130" s="64"/>
      <c r="G130" s="164"/>
      <c r="H130" s="19"/>
      <c r="J130" s="155"/>
    </row>
    <row r="131" ht="22.5" customHeight="1">
      <c r="A131" s="5">
        <v>45967.0</v>
      </c>
      <c r="B131" s="28">
        <v>12.0</v>
      </c>
      <c r="C131" s="22"/>
      <c r="D131" s="22"/>
      <c r="E131" s="163"/>
      <c r="F131" s="64"/>
      <c r="G131" s="164"/>
      <c r="H131" s="19"/>
      <c r="J131" s="155"/>
    </row>
    <row r="132" ht="22.5" customHeight="1">
      <c r="A132" s="5">
        <v>45968.0</v>
      </c>
      <c r="B132" s="28">
        <v>12.0</v>
      </c>
      <c r="C132" s="22"/>
      <c r="D132" s="22"/>
      <c r="E132" s="163"/>
      <c r="F132" s="64"/>
      <c r="G132" s="164"/>
      <c r="H132" s="19"/>
      <c r="J132" s="155"/>
    </row>
    <row r="133" ht="22.5" customHeight="1">
      <c r="A133" s="5">
        <v>45967.0</v>
      </c>
      <c r="B133" s="28">
        <v>12.0</v>
      </c>
      <c r="C133" s="22"/>
      <c r="D133" s="22"/>
      <c r="E133" s="163"/>
      <c r="F133" s="64"/>
      <c r="G133" s="164"/>
      <c r="H133" s="19"/>
      <c r="J133" s="155"/>
    </row>
    <row r="134" ht="22.5" customHeight="1">
      <c r="A134" s="5">
        <v>45968.0</v>
      </c>
      <c r="B134" s="28">
        <v>12.0</v>
      </c>
      <c r="C134" s="22"/>
      <c r="D134" s="22"/>
      <c r="E134" s="163"/>
      <c r="F134" s="64"/>
      <c r="G134" s="164"/>
      <c r="H134" s="19"/>
      <c r="J134" s="155"/>
    </row>
    <row r="135" ht="22.5" customHeight="1">
      <c r="A135" s="5">
        <v>45967.0</v>
      </c>
      <c r="B135" s="28">
        <v>12.0</v>
      </c>
      <c r="C135" s="22"/>
      <c r="D135" s="22"/>
      <c r="E135" s="163"/>
      <c r="F135" s="64"/>
      <c r="G135" s="164"/>
      <c r="H135" s="19"/>
      <c r="J135" s="155"/>
    </row>
    <row r="136" ht="22.5" customHeight="1">
      <c r="A136" s="5">
        <v>45968.0</v>
      </c>
      <c r="B136" s="28">
        <v>12.0</v>
      </c>
      <c r="C136" s="22"/>
      <c r="D136" s="22"/>
      <c r="E136" s="163"/>
      <c r="F136" s="64"/>
      <c r="G136" s="164"/>
      <c r="H136" s="19"/>
      <c r="J136" s="155"/>
    </row>
    <row r="137" ht="22.5" customHeight="1">
      <c r="A137" s="5">
        <v>45967.0</v>
      </c>
      <c r="B137" s="28">
        <v>12.0</v>
      </c>
      <c r="C137" s="22"/>
      <c r="D137" s="22"/>
      <c r="E137" s="163"/>
      <c r="F137" s="64"/>
      <c r="G137" s="164"/>
      <c r="H137" s="19"/>
      <c r="J137" s="155"/>
    </row>
    <row r="138" ht="22.5" customHeight="1">
      <c r="A138" s="5">
        <v>45968.0</v>
      </c>
      <c r="B138" s="28">
        <v>12.0</v>
      </c>
      <c r="C138" s="22"/>
      <c r="D138" s="22"/>
      <c r="E138" s="163"/>
      <c r="F138" s="64"/>
      <c r="G138" s="164"/>
      <c r="H138" s="19"/>
      <c r="J138" s="155"/>
    </row>
    <row r="139" ht="22.5" customHeight="1">
      <c r="A139" s="5">
        <v>45967.0</v>
      </c>
      <c r="B139" s="28">
        <v>12.0</v>
      </c>
      <c r="C139" s="22"/>
      <c r="D139" s="22"/>
      <c r="E139" s="163"/>
      <c r="F139" s="64"/>
      <c r="G139" s="164"/>
      <c r="H139" s="19"/>
      <c r="J139" s="155"/>
    </row>
    <row r="140" ht="22.5" customHeight="1">
      <c r="A140" s="5">
        <v>45968.0</v>
      </c>
      <c r="B140" s="28">
        <v>12.0</v>
      </c>
      <c r="C140" s="22"/>
      <c r="D140" s="22"/>
      <c r="E140" s="163"/>
      <c r="F140" s="64"/>
      <c r="G140" s="164"/>
      <c r="H140" s="19"/>
      <c r="J140" s="155"/>
    </row>
    <row r="141" ht="22.5" customHeight="1">
      <c r="A141" s="5">
        <v>45967.0</v>
      </c>
      <c r="B141" s="28">
        <v>12.0</v>
      </c>
      <c r="C141" s="22"/>
      <c r="D141" s="22"/>
      <c r="E141" s="163"/>
      <c r="F141" s="64"/>
      <c r="G141" s="164"/>
      <c r="H141" s="19"/>
      <c r="J141" s="155"/>
    </row>
    <row r="142" ht="22.5" customHeight="1">
      <c r="A142" s="5">
        <v>45968.0</v>
      </c>
      <c r="B142" s="28">
        <v>12.0</v>
      </c>
      <c r="C142" s="22"/>
      <c r="D142" s="22"/>
      <c r="E142" s="163"/>
      <c r="F142" s="64"/>
      <c r="G142" s="164"/>
      <c r="H142" s="19"/>
      <c r="J142" s="155"/>
    </row>
    <row r="143" ht="22.5" customHeight="1">
      <c r="A143" s="5">
        <v>45967.0</v>
      </c>
      <c r="B143" s="28">
        <v>12.0</v>
      </c>
      <c r="C143" s="22"/>
      <c r="D143" s="22"/>
      <c r="E143" s="163"/>
      <c r="F143" s="64"/>
      <c r="G143" s="164"/>
      <c r="H143" s="19"/>
      <c r="J143" s="155"/>
    </row>
    <row r="144" ht="22.5" customHeight="1">
      <c r="A144" s="5">
        <v>45968.0</v>
      </c>
      <c r="B144" s="28">
        <v>12.0</v>
      </c>
      <c r="C144" s="22"/>
      <c r="D144" s="22"/>
      <c r="E144" s="163"/>
      <c r="F144" s="64"/>
      <c r="G144" s="164"/>
      <c r="H144" s="19"/>
      <c r="J144" s="155"/>
    </row>
    <row r="145" ht="22.5" customHeight="1">
      <c r="A145" s="5">
        <v>45967.0</v>
      </c>
      <c r="B145" s="28">
        <v>12.0</v>
      </c>
      <c r="C145" s="22"/>
      <c r="D145" s="22"/>
      <c r="E145" s="163"/>
      <c r="F145" s="64"/>
      <c r="G145" s="164"/>
      <c r="H145" s="19"/>
      <c r="J145" s="155"/>
    </row>
    <row r="146" ht="22.5" customHeight="1">
      <c r="A146" s="5">
        <v>45968.0</v>
      </c>
      <c r="B146" s="28">
        <v>12.0</v>
      </c>
      <c r="C146" s="22"/>
      <c r="D146" s="22"/>
      <c r="E146" s="163"/>
      <c r="F146" s="64"/>
      <c r="G146" s="164"/>
      <c r="H146" s="19"/>
      <c r="J146" s="155"/>
    </row>
    <row r="147" ht="22.5" customHeight="1">
      <c r="A147" s="5">
        <v>45967.0</v>
      </c>
      <c r="B147" s="28">
        <v>12.0</v>
      </c>
      <c r="C147" s="22"/>
      <c r="D147" s="22"/>
      <c r="E147" s="163"/>
      <c r="F147" s="64"/>
      <c r="G147" s="164"/>
      <c r="H147" s="19"/>
      <c r="J147" s="155"/>
    </row>
    <row r="148" ht="22.5" customHeight="1">
      <c r="A148" s="5">
        <v>45968.0</v>
      </c>
      <c r="B148" s="28">
        <v>12.0</v>
      </c>
      <c r="C148" s="22"/>
      <c r="D148" s="22"/>
      <c r="E148" s="163"/>
      <c r="F148" s="64"/>
      <c r="G148" s="164"/>
      <c r="H148" s="19"/>
      <c r="J148" s="155"/>
    </row>
    <row r="149" ht="22.5" customHeight="1">
      <c r="A149" s="5">
        <v>45967.0</v>
      </c>
      <c r="B149" s="28">
        <v>12.0</v>
      </c>
      <c r="C149" s="22"/>
      <c r="D149" s="22"/>
      <c r="E149" s="163"/>
      <c r="F149" s="64"/>
      <c r="G149" s="164"/>
      <c r="H149" s="19"/>
      <c r="J149" s="155"/>
    </row>
    <row r="150" ht="22.5" customHeight="1">
      <c r="A150" s="5">
        <v>45968.0</v>
      </c>
      <c r="B150" s="28">
        <v>12.0</v>
      </c>
      <c r="C150" s="22"/>
      <c r="D150" s="22"/>
      <c r="E150" s="163"/>
      <c r="F150" s="64"/>
      <c r="G150" s="164"/>
      <c r="H150" s="19"/>
      <c r="J150" s="155"/>
    </row>
    <row r="151" ht="22.5" customHeight="1">
      <c r="A151" s="5">
        <v>45967.0</v>
      </c>
      <c r="B151" s="28">
        <v>12.0</v>
      </c>
      <c r="C151" s="22"/>
      <c r="D151" s="22"/>
      <c r="E151" s="163"/>
      <c r="F151" s="64"/>
      <c r="G151" s="164"/>
      <c r="H151" s="19"/>
      <c r="J151" s="155"/>
    </row>
    <row r="152" ht="22.5" customHeight="1">
      <c r="A152" s="5">
        <v>45968.0</v>
      </c>
      <c r="B152" s="28">
        <v>12.0</v>
      </c>
      <c r="C152" s="22"/>
      <c r="D152" s="22"/>
      <c r="E152" s="163"/>
      <c r="F152" s="64"/>
      <c r="G152" s="164"/>
      <c r="H152" s="19"/>
      <c r="J152" s="155"/>
    </row>
    <row r="153" ht="22.5" customHeight="1">
      <c r="A153" s="5">
        <v>45967.0</v>
      </c>
      <c r="B153" s="28">
        <v>12.0</v>
      </c>
      <c r="C153" s="22"/>
      <c r="D153" s="22"/>
      <c r="E153" s="163"/>
      <c r="F153" s="64"/>
      <c r="G153" s="164"/>
      <c r="H153" s="19"/>
      <c r="J153" s="155"/>
    </row>
    <row r="154" ht="22.5" customHeight="1">
      <c r="A154" s="5">
        <v>45968.0</v>
      </c>
      <c r="B154" s="28">
        <v>12.0</v>
      </c>
      <c r="C154" s="22"/>
      <c r="D154" s="22"/>
      <c r="E154" s="163"/>
      <c r="F154" s="64"/>
      <c r="G154" s="164"/>
      <c r="H154" s="19"/>
      <c r="J154" s="155"/>
    </row>
    <row r="155" ht="22.5" customHeight="1">
      <c r="A155" s="5">
        <v>45967.0</v>
      </c>
      <c r="B155" s="28">
        <v>12.0</v>
      </c>
      <c r="C155" s="22"/>
      <c r="D155" s="22"/>
      <c r="E155" s="163"/>
      <c r="F155" s="64"/>
      <c r="G155" s="164"/>
      <c r="H155" s="19"/>
      <c r="J155" s="155"/>
    </row>
    <row r="156" ht="22.5" customHeight="1">
      <c r="A156" s="5">
        <v>45968.0</v>
      </c>
      <c r="B156" s="28">
        <v>12.0</v>
      </c>
      <c r="C156" s="22"/>
      <c r="D156" s="22"/>
      <c r="E156" s="163"/>
      <c r="F156" s="64"/>
      <c r="G156" s="164"/>
      <c r="H156" s="19"/>
      <c r="J156" s="155"/>
    </row>
    <row r="157" ht="22.5" customHeight="1">
      <c r="A157" s="5">
        <v>45967.0</v>
      </c>
      <c r="B157" s="28">
        <v>12.0</v>
      </c>
      <c r="C157" s="22"/>
      <c r="D157" s="22"/>
      <c r="E157" s="163"/>
      <c r="F157" s="64"/>
      <c r="G157" s="164"/>
      <c r="H157" s="19"/>
      <c r="J157" s="155"/>
    </row>
    <row r="158" ht="22.5" customHeight="1">
      <c r="A158" s="5">
        <v>45968.0</v>
      </c>
      <c r="B158" s="28">
        <v>12.0</v>
      </c>
      <c r="C158" s="22"/>
      <c r="D158" s="22"/>
      <c r="E158" s="163"/>
      <c r="F158" s="64"/>
      <c r="G158" s="164"/>
      <c r="H158" s="19"/>
      <c r="J158" s="155"/>
    </row>
    <row r="159" ht="22.5" customHeight="1">
      <c r="A159" s="5">
        <v>45967.0</v>
      </c>
      <c r="B159" s="28">
        <v>12.0</v>
      </c>
      <c r="C159" s="22"/>
      <c r="D159" s="22"/>
      <c r="E159" s="163"/>
      <c r="F159" s="64"/>
      <c r="G159" s="164"/>
      <c r="H159" s="19"/>
      <c r="J159" s="155"/>
    </row>
    <row r="160" ht="22.5" customHeight="1">
      <c r="A160" s="5">
        <v>45968.0</v>
      </c>
      <c r="B160" s="28">
        <v>12.0</v>
      </c>
      <c r="C160" s="22"/>
      <c r="D160" s="22"/>
      <c r="E160" s="163"/>
      <c r="F160" s="64"/>
      <c r="G160" s="164"/>
      <c r="H160" s="19"/>
      <c r="J160" s="155"/>
    </row>
    <row r="161" ht="22.5" customHeight="1">
      <c r="A161" s="5">
        <v>45967.0</v>
      </c>
      <c r="B161" s="28">
        <v>12.0</v>
      </c>
      <c r="C161" s="22"/>
      <c r="D161" s="22"/>
      <c r="E161" s="163"/>
      <c r="F161" s="64"/>
      <c r="G161" s="164"/>
      <c r="H161" s="19"/>
      <c r="J161" s="155"/>
    </row>
    <row r="162" ht="22.5" customHeight="1">
      <c r="A162" s="5">
        <v>45968.0</v>
      </c>
      <c r="B162" s="28">
        <v>12.0</v>
      </c>
      <c r="C162" s="22"/>
      <c r="D162" s="22"/>
      <c r="E162" s="163"/>
      <c r="F162" s="64"/>
      <c r="G162" s="164"/>
      <c r="H162" s="19"/>
      <c r="J162" s="155"/>
    </row>
    <row r="163" ht="22.5" customHeight="1">
      <c r="A163" s="5">
        <v>45967.0</v>
      </c>
      <c r="B163" s="28">
        <v>12.0</v>
      </c>
      <c r="C163" s="22"/>
      <c r="D163" s="22"/>
      <c r="E163" s="163"/>
      <c r="F163" s="64"/>
      <c r="G163" s="164"/>
      <c r="H163" s="19"/>
      <c r="J163" s="155"/>
    </row>
    <row r="164" ht="22.5" customHeight="1">
      <c r="A164" s="5">
        <v>45968.0</v>
      </c>
      <c r="B164" s="28">
        <v>12.0</v>
      </c>
      <c r="C164" s="22"/>
      <c r="D164" s="22"/>
      <c r="E164" s="163"/>
      <c r="F164" s="64"/>
      <c r="G164" s="164"/>
      <c r="H164" s="19"/>
      <c r="J164" s="155"/>
    </row>
    <row r="165" ht="22.5" customHeight="1">
      <c r="A165" s="5">
        <v>45967.0</v>
      </c>
      <c r="B165" s="28">
        <v>12.0</v>
      </c>
      <c r="C165" s="22"/>
      <c r="D165" s="22"/>
      <c r="E165" s="163"/>
      <c r="F165" s="64"/>
      <c r="G165" s="164"/>
      <c r="H165" s="19"/>
      <c r="J165" s="155"/>
    </row>
    <row r="166" ht="22.5" customHeight="1">
      <c r="A166" s="5">
        <v>45968.0</v>
      </c>
      <c r="B166" s="28">
        <v>12.0</v>
      </c>
      <c r="C166" s="22"/>
      <c r="D166" s="22"/>
      <c r="E166" s="163"/>
      <c r="F166" s="64"/>
      <c r="G166" s="164"/>
      <c r="H166" s="19"/>
      <c r="J166" s="155"/>
    </row>
    <row r="167" ht="22.5" customHeight="1">
      <c r="A167" s="5">
        <v>45967.0</v>
      </c>
      <c r="B167" s="28">
        <v>12.0</v>
      </c>
      <c r="C167" s="22"/>
      <c r="D167" s="22"/>
      <c r="E167" s="163"/>
      <c r="F167" s="64"/>
      <c r="G167" s="164"/>
      <c r="H167" s="19"/>
      <c r="J167" s="155"/>
    </row>
    <row r="168" ht="22.5" customHeight="1">
      <c r="A168" s="5">
        <v>45968.0</v>
      </c>
      <c r="B168" s="28">
        <v>12.0</v>
      </c>
      <c r="C168" s="22"/>
      <c r="D168" s="22"/>
      <c r="E168" s="163"/>
      <c r="F168" s="64"/>
      <c r="G168" s="164"/>
      <c r="H168" s="19"/>
      <c r="J168" s="155"/>
    </row>
    <row r="169" ht="22.5" customHeight="1">
      <c r="A169" s="5">
        <v>45967.0</v>
      </c>
      <c r="B169" s="28">
        <v>12.0</v>
      </c>
      <c r="C169" s="22"/>
      <c r="D169" s="22"/>
      <c r="E169" s="163"/>
      <c r="F169" s="64"/>
      <c r="G169" s="164"/>
      <c r="H169" s="19"/>
      <c r="J169" s="155"/>
    </row>
    <row r="170" ht="22.5" customHeight="1">
      <c r="A170" s="5">
        <v>45968.0</v>
      </c>
      <c r="B170" s="28">
        <v>12.0</v>
      </c>
      <c r="C170" s="22"/>
      <c r="D170" s="22"/>
      <c r="E170" s="163"/>
      <c r="F170" s="64"/>
      <c r="G170" s="164"/>
      <c r="H170" s="19"/>
      <c r="J170" s="155"/>
    </row>
    <row r="171" ht="22.5" customHeight="1">
      <c r="A171" s="5">
        <v>45967.0</v>
      </c>
      <c r="B171" s="28">
        <v>12.0</v>
      </c>
      <c r="C171" s="22"/>
      <c r="D171" s="22"/>
      <c r="E171" s="163"/>
      <c r="F171" s="64"/>
      <c r="G171" s="164"/>
      <c r="H171" s="19"/>
      <c r="J171" s="155"/>
    </row>
    <row r="172" ht="22.5" customHeight="1">
      <c r="A172" s="5">
        <v>45968.0</v>
      </c>
      <c r="B172" s="28">
        <v>12.0</v>
      </c>
      <c r="C172" s="22"/>
      <c r="D172" s="22"/>
      <c r="E172" s="163"/>
      <c r="F172" s="64"/>
      <c r="G172" s="164"/>
      <c r="H172" s="19"/>
      <c r="J172" s="155"/>
    </row>
    <row r="173" ht="22.5" customHeight="1">
      <c r="A173" s="5">
        <v>45967.0</v>
      </c>
      <c r="B173" s="28">
        <v>12.0</v>
      </c>
      <c r="C173" s="22"/>
      <c r="D173" s="22"/>
      <c r="E173" s="163"/>
      <c r="F173" s="64"/>
      <c r="G173" s="164"/>
      <c r="H173" s="19"/>
      <c r="J173" s="155"/>
    </row>
    <row r="174" ht="22.5" customHeight="1">
      <c r="A174" s="5">
        <v>45968.0</v>
      </c>
      <c r="B174" s="28">
        <v>12.0</v>
      </c>
      <c r="C174" s="22"/>
      <c r="D174" s="22"/>
      <c r="E174" s="163"/>
      <c r="F174" s="64"/>
      <c r="G174" s="164"/>
      <c r="H174" s="19"/>
      <c r="J174" s="155"/>
    </row>
    <row r="175" ht="22.5" customHeight="1">
      <c r="A175" s="5">
        <v>45967.0</v>
      </c>
      <c r="B175" s="28">
        <v>12.0</v>
      </c>
      <c r="C175" s="22"/>
      <c r="D175" s="22"/>
      <c r="E175" s="163"/>
      <c r="F175" s="64"/>
      <c r="G175" s="164"/>
      <c r="H175" s="19"/>
      <c r="J175" s="155"/>
    </row>
    <row r="176" ht="22.5" customHeight="1">
      <c r="A176" s="5">
        <v>45968.0</v>
      </c>
      <c r="B176" s="28">
        <v>12.0</v>
      </c>
      <c r="C176" s="22"/>
      <c r="D176" s="22"/>
      <c r="E176" s="163"/>
      <c r="F176" s="64"/>
      <c r="G176" s="164"/>
      <c r="H176" s="19"/>
      <c r="J176" s="155"/>
    </row>
    <row r="177" ht="22.5" customHeight="1">
      <c r="A177" s="5">
        <v>45967.0</v>
      </c>
      <c r="B177" s="28">
        <v>12.0</v>
      </c>
      <c r="C177" s="22"/>
      <c r="D177" s="22"/>
      <c r="E177" s="163"/>
      <c r="F177" s="64"/>
      <c r="G177" s="164"/>
      <c r="H177" s="19"/>
      <c r="J177" s="155"/>
    </row>
    <row r="178" ht="22.5" customHeight="1">
      <c r="A178" s="5">
        <v>45968.0</v>
      </c>
      <c r="B178" s="28">
        <v>12.0</v>
      </c>
      <c r="C178" s="22"/>
      <c r="D178" s="22"/>
      <c r="E178" s="163"/>
      <c r="F178" s="64"/>
      <c r="G178" s="164"/>
      <c r="H178" s="19"/>
      <c r="J178" s="155"/>
    </row>
    <row r="179" ht="22.5" customHeight="1">
      <c r="A179" s="5">
        <v>45967.0</v>
      </c>
      <c r="B179" s="28">
        <v>12.0</v>
      </c>
      <c r="C179" s="22"/>
      <c r="D179" s="22"/>
      <c r="E179" s="163"/>
      <c r="F179" s="64"/>
      <c r="G179" s="164"/>
      <c r="H179" s="19"/>
      <c r="J179" s="155"/>
    </row>
    <row r="180" ht="22.5" customHeight="1">
      <c r="A180" s="5">
        <v>45968.0</v>
      </c>
      <c r="B180" s="28">
        <v>12.0</v>
      </c>
      <c r="C180" s="22"/>
      <c r="D180" s="22"/>
      <c r="E180" s="163"/>
      <c r="F180" s="64"/>
      <c r="G180" s="164"/>
      <c r="H180" s="19"/>
      <c r="J180" s="155"/>
    </row>
    <row r="181" ht="22.5" customHeight="1">
      <c r="A181" s="5">
        <v>45967.0</v>
      </c>
      <c r="B181" s="28">
        <v>12.0</v>
      </c>
      <c r="C181" s="22"/>
      <c r="D181" s="22"/>
      <c r="E181" s="163"/>
      <c r="F181" s="64"/>
      <c r="G181" s="164"/>
      <c r="H181" s="19"/>
      <c r="J181" s="155"/>
    </row>
    <row r="182" ht="22.5" customHeight="1">
      <c r="A182" s="5">
        <v>45968.0</v>
      </c>
      <c r="B182" s="28">
        <v>12.0</v>
      </c>
      <c r="C182" s="22"/>
      <c r="D182" s="22"/>
      <c r="E182" s="163"/>
      <c r="F182" s="64"/>
      <c r="G182" s="164"/>
      <c r="H182" s="19"/>
      <c r="J182" s="155"/>
    </row>
    <row r="183" ht="22.5" customHeight="1">
      <c r="A183" s="5">
        <v>45967.0</v>
      </c>
      <c r="B183" s="28">
        <v>12.0</v>
      </c>
      <c r="C183" s="22"/>
      <c r="D183" s="22"/>
      <c r="E183" s="163"/>
      <c r="F183" s="64"/>
      <c r="G183" s="164"/>
      <c r="H183" s="19"/>
      <c r="J183" s="155"/>
    </row>
    <row r="184" ht="22.5" customHeight="1">
      <c r="A184" s="5">
        <v>45968.0</v>
      </c>
      <c r="B184" s="28">
        <v>12.0</v>
      </c>
      <c r="C184" s="22"/>
      <c r="D184" s="22"/>
      <c r="E184" s="163"/>
      <c r="F184" s="64"/>
      <c r="G184" s="164"/>
      <c r="H184" s="19"/>
      <c r="J184" s="155"/>
    </row>
    <row r="185" ht="22.5" customHeight="1">
      <c r="A185" s="5">
        <v>45967.0</v>
      </c>
      <c r="B185" s="28">
        <v>12.0</v>
      </c>
      <c r="C185" s="22"/>
      <c r="D185" s="22"/>
      <c r="E185" s="163"/>
      <c r="F185" s="64"/>
      <c r="G185" s="164"/>
      <c r="H185" s="19"/>
      <c r="J185" s="155"/>
    </row>
    <row r="186" ht="22.5" customHeight="1">
      <c r="A186" s="5">
        <v>45968.0</v>
      </c>
      <c r="B186" s="28">
        <v>12.0</v>
      </c>
      <c r="C186" s="22"/>
      <c r="D186" s="22"/>
      <c r="E186" s="163"/>
      <c r="F186" s="64"/>
      <c r="G186" s="164"/>
      <c r="H186" s="19"/>
      <c r="J186" s="155"/>
    </row>
    <row r="187" ht="22.5" customHeight="1">
      <c r="A187" s="5">
        <v>45967.0</v>
      </c>
      <c r="B187" s="28">
        <v>12.0</v>
      </c>
      <c r="C187" s="22"/>
      <c r="D187" s="22"/>
      <c r="E187" s="163"/>
      <c r="F187" s="64"/>
      <c r="G187" s="164"/>
      <c r="H187" s="19"/>
      <c r="J187" s="155"/>
    </row>
    <row r="188" ht="22.5" customHeight="1">
      <c r="A188" s="5">
        <v>45968.0</v>
      </c>
      <c r="B188" s="28">
        <v>12.0</v>
      </c>
      <c r="C188" s="22"/>
      <c r="D188" s="22"/>
      <c r="E188" s="163"/>
      <c r="F188" s="64"/>
      <c r="G188" s="164"/>
      <c r="H188" s="19"/>
      <c r="J188" s="155"/>
    </row>
    <row r="189" ht="22.5" customHeight="1">
      <c r="A189" s="5">
        <v>45967.0</v>
      </c>
      <c r="B189" s="28">
        <v>12.0</v>
      </c>
      <c r="C189" s="22"/>
      <c r="D189" s="22"/>
      <c r="E189" s="163"/>
      <c r="F189" s="64"/>
      <c r="G189" s="164"/>
      <c r="H189" s="19"/>
      <c r="J189" s="155"/>
    </row>
    <row r="190" ht="22.5" customHeight="1">
      <c r="A190" s="5">
        <v>45968.0</v>
      </c>
      <c r="B190" s="28">
        <v>12.0</v>
      </c>
      <c r="C190" s="22"/>
      <c r="D190" s="22"/>
      <c r="E190" s="163"/>
      <c r="F190" s="64"/>
      <c r="G190" s="164"/>
      <c r="H190" s="19"/>
      <c r="J190" s="155"/>
    </row>
    <row r="191" ht="22.5" customHeight="1">
      <c r="A191" s="5">
        <v>45967.0</v>
      </c>
      <c r="B191" s="28">
        <v>12.0</v>
      </c>
      <c r="C191" s="22"/>
      <c r="D191" s="22"/>
      <c r="E191" s="163"/>
      <c r="F191" s="64"/>
      <c r="G191" s="164"/>
      <c r="H191" s="19"/>
      <c r="J191" s="155"/>
    </row>
    <row r="192" ht="22.5" customHeight="1">
      <c r="A192" s="5">
        <v>45968.0</v>
      </c>
      <c r="B192" s="28">
        <v>12.0</v>
      </c>
      <c r="C192" s="22"/>
      <c r="D192" s="22"/>
      <c r="E192" s="163"/>
      <c r="F192" s="64"/>
      <c r="G192" s="164"/>
      <c r="H192" s="19"/>
      <c r="J192" s="155"/>
    </row>
    <row r="193" ht="22.5" customHeight="1">
      <c r="A193" s="5">
        <v>45967.0</v>
      </c>
      <c r="B193" s="28">
        <v>12.0</v>
      </c>
      <c r="C193" s="22"/>
      <c r="D193" s="22"/>
      <c r="E193" s="163"/>
      <c r="F193" s="64"/>
      <c r="G193" s="164"/>
      <c r="H193" s="19"/>
      <c r="J193" s="155"/>
    </row>
    <row r="194" ht="22.5" customHeight="1">
      <c r="A194" s="5">
        <v>45968.0</v>
      </c>
      <c r="B194" s="28">
        <v>12.0</v>
      </c>
      <c r="C194" s="22"/>
      <c r="D194" s="22"/>
      <c r="E194" s="163"/>
      <c r="F194" s="64"/>
      <c r="G194" s="164"/>
      <c r="H194" s="19"/>
      <c r="J194" s="155"/>
    </row>
    <row r="195" ht="22.5" customHeight="1">
      <c r="A195" s="5">
        <v>45967.0</v>
      </c>
      <c r="B195" s="28">
        <v>12.0</v>
      </c>
      <c r="C195" s="22"/>
      <c r="D195" s="22"/>
      <c r="E195" s="163"/>
      <c r="F195" s="64"/>
      <c r="G195" s="164"/>
      <c r="H195" s="19"/>
      <c r="J195" s="155"/>
    </row>
    <row r="196" ht="22.5" customHeight="1">
      <c r="A196" s="5">
        <v>45968.0</v>
      </c>
      <c r="B196" s="28">
        <v>12.0</v>
      </c>
      <c r="C196" s="22"/>
      <c r="D196" s="22"/>
      <c r="E196" s="163"/>
      <c r="F196" s="64"/>
      <c r="G196" s="164"/>
      <c r="H196" s="19"/>
      <c r="J196" s="155"/>
    </row>
    <row r="197" ht="22.5" customHeight="1">
      <c r="A197" s="5">
        <v>45967.0</v>
      </c>
      <c r="B197" s="28">
        <v>12.0</v>
      </c>
      <c r="C197" s="22"/>
      <c r="D197" s="22"/>
      <c r="E197" s="163"/>
      <c r="F197" s="64"/>
      <c r="G197" s="164"/>
      <c r="H197" s="19"/>
      <c r="J197" s="155"/>
    </row>
    <row r="198" ht="22.5" customHeight="1">
      <c r="A198" s="5">
        <v>45968.0</v>
      </c>
      <c r="B198" s="28">
        <v>12.0</v>
      </c>
      <c r="C198" s="22"/>
      <c r="D198" s="22"/>
      <c r="E198" s="163"/>
      <c r="F198" s="64"/>
      <c r="G198" s="164"/>
      <c r="H198" s="19"/>
      <c r="J198" s="155"/>
    </row>
    <row r="199" ht="22.5" customHeight="1">
      <c r="A199" s="5">
        <v>45967.0</v>
      </c>
      <c r="B199" s="28">
        <v>12.0</v>
      </c>
      <c r="C199" s="22"/>
      <c r="D199" s="22"/>
      <c r="E199" s="163"/>
      <c r="F199" s="64"/>
      <c r="G199" s="164"/>
      <c r="H199" s="19"/>
      <c r="J199" s="155"/>
    </row>
    <row r="200" ht="22.5" customHeight="1">
      <c r="A200" s="5">
        <v>45968.0</v>
      </c>
      <c r="B200" s="28">
        <v>12.0</v>
      </c>
      <c r="C200" s="22"/>
      <c r="D200" s="22"/>
      <c r="E200" s="163"/>
      <c r="F200" s="64"/>
      <c r="G200" s="164"/>
      <c r="H200" s="19"/>
      <c r="J200" s="155"/>
    </row>
    <row r="201" ht="22.5" customHeight="1">
      <c r="A201" s="5">
        <v>45967.0</v>
      </c>
      <c r="B201" s="28">
        <v>12.0</v>
      </c>
      <c r="C201" s="22"/>
      <c r="D201" s="22"/>
      <c r="E201" s="163"/>
      <c r="F201" s="64"/>
      <c r="G201" s="164"/>
      <c r="H201" s="19"/>
      <c r="J201" s="155"/>
    </row>
    <row r="202" ht="22.5" customHeight="1">
      <c r="A202" s="5">
        <v>45968.0</v>
      </c>
      <c r="B202" s="28">
        <v>12.0</v>
      </c>
      <c r="C202" s="22"/>
      <c r="D202" s="22"/>
      <c r="E202" s="163"/>
      <c r="F202" s="64"/>
      <c r="G202" s="164"/>
      <c r="H202" s="19"/>
      <c r="J202" s="155"/>
    </row>
    <row r="203" ht="22.5" customHeight="1">
      <c r="A203" s="5">
        <v>45967.0</v>
      </c>
      <c r="B203" s="28">
        <v>12.0</v>
      </c>
      <c r="C203" s="22"/>
      <c r="D203" s="22"/>
      <c r="E203" s="163"/>
      <c r="F203" s="64"/>
      <c r="G203" s="164"/>
      <c r="H203" s="19"/>
      <c r="J203" s="155"/>
    </row>
    <row r="204" ht="22.5" customHeight="1">
      <c r="A204" s="5">
        <v>45968.0</v>
      </c>
      <c r="B204" s="28">
        <v>12.0</v>
      </c>
      <c r="C204" s="22"/>
      <c r="D204" s="22"/>
      <c r="E204" s="163"/>
      <c r="F204" s="64"/>
      <c r="G204" s="164"/>
      <c r="H204" s="19"/>
      <c r="J204" s="155"/>
    </row>
    <row r="205" ht="22.5" customHeight="1">
      <c r="A205" s="5">
        <v>45967.0</v>
      </c>
      <c r="B205" s="28">
        <v>12.0</v>
      </c>
      <c r="C205" s="22"/>
      <c r="D205" s="22"/>
      <c r="E205" s="163"/>
      <c r="F205" s="64"/>
      <c r="G205" s="164"/>
      <c r="H205" s="19"/>
      <c r="J205" s="155"/>
    </row>
    <row r="206" ht="22.5" customHeight="1">
      <c r="A206" s="5">
        <v>45968.0</v>
      </c>
      <c r="B206" s="28">
        <v>12.0</v>
      </c>
      <c r="C206" s="22"/>
      <c r="D206" s="22"/>
      <c r="E206" s="163"/>
      <c r="F206" s="64"/>
      <c r="G206" s="164"/>
      <c r="H206" s="19"/>
      <c r="J206" s="155"/>
    </row>
    <row r="207" ht="22.5" customHeight="1">
      <c r="A207" s="5">
        <v>45967.0</v>
      </c>
      <c r="B207" s="28">
        <v>12.0</v>
      </c>
      <c r="C207" s="22"/>
      <c r="D207" s="22"/>
      <c r="E207" s="163"/>
      <c r="F207" s="64"/>
      <c r="G207" s="164"/>
      <c r="H207" s="19"/>
      <c r="J207" s="155"/>
    </row>
    <row r="208" ht="22.5" customHeight="1">
      <c r="A208" s="5">
        <v>45968.0</v>
      </c>
      <c r="B208" s="28">
        <v>12.0</v>
      </c>
      <c r="C208" s="22"/>
      <c r="D208" s="22"/>
      <c r="E208" s="163"/>
      <c r="F208" s="64"/>
      <c r="G208" s="164"/>
      <c r="H208" s="19"/>
      <c r="J208" s="155"/>
    </row>
    <row r="209" ht="22.5" customHeight="1">
      <c r="A209" s="5">
        <v>45967.0</v>
      </c>
      <c r="B209" s="28">
        <v>12.0</v>
      </c>
      <c r="C209" s="22"/>
      <c r="D209" s="22"/>
      <c r="E209" s="163"/>
      <c r="F209" s="64"/>
      <c r="G209" s="164"/>
      <c r="H209" s="19"/>
      <c r="J209" s="155"/>
    </row>
    <row r="210" ht="22.5" customHeight="1">
      <c r="A210" s="5">
        <v>45968.0</v>
      </c>
      <c r="B210" s="28">
        <v>12.0</v>
      </c>
      <c r="C210" s="22"/>
      <c r="D210" s="22"/>
      <c r="E210" s="163"/>
      <c r="F210" s="64"/>
      <c r="G210" s="164"/>
      <c r="H210" s="19"/>
      <c r="J210" s="155"/>
    </row>
    <row r="211" ht="22.5" customHeight="1">
      <c r="A211" s="5">
        <v>45967.0</v>
      </c>
      <c r="B211" s="28">
        <v>12.0</v>
      </c>
      <c r="C211" s="22"/>
      <c r="D211" s="22"/>
      <c r="E211" s="163"/>
      <c r="F211" s="64"/>
      <c r="G211" s="164"/>
      <c r="H211" s="19"/>
      <c r="J211" s="155"/>
    </row>
    <row r="212" ht="22.5" customHeight="1">
      <c r="A212" s="5">
        <v>45968.0</v>
      </c>
      <c r="B212" s="28">
        <v>12.0</v>
      </c>
      <c r="C212" s="22"/>
      <c r="D212" s="22"/>
      <c r="E212" s="163"/>
      <c r="F212" s="64"/>
      <c r="G212" s="164"/>
      <c r="H212" s="19"/>
      <c r="J212" s="155"/>
    </row>
    <row r="213" ht="22.5" customHeight="1">
      <c r="A213" s="5">
        <v>45967.0</v>
      </c>
      <c r="B213" s="28">
        <v>12.0</v>
      </c>
      <c r="C213" s="22"/>
      <c r="D213" s="22"/>
      <c r="E213" s="163"/>
      <c r="F213" s="64"/>
      <c r="G213" s="164"/>
      <c r="H213" s="19"/>
      <c r="J213" s="155"/>
    </row>
    <row r="214" ht="22.5" customHeight="1">
      <c r="A214" s="5">
        <v>45968.0</v>
      </c>
      <c r="B214" s="28">
        <v>12.0</v>
      </c>
      <c r="C214" s="22"/>
      <c r="D214" s="22"/>
      <c r="E214" s="163"/>
      <c r="F214" s="64"/>
      <c r="G214" s="164"/>
      <c r="H214" s="19"/>
      <c r="J214" s="155"/>
    </row>
    <row r="215" ht="22.5" customHeight="1">
      <c r="A215" s="5">
        <v>45967.0</v>
      </c>
      <c r="B215" s="28">
        <v>12.0</v>
      </c>
      <c r="C215" s="22"/>
      <c r="D215" s="22"/>
      <c r="E215" s="163"/>
      <c r="F215" s="64"/>
      <c r="G215" s="164"/>
      <c r="H215" s="19"/>
      <c r="J215" s="155"/>
    </row>
    <row r="216" ht="22.5" customHeight="1">
      <c r="A216" s="5">
        <v>45968.0</v>
      </c>
      <c r="B216" s="28">
        <v>12.0</v>
      </c>
      <c r="C216" s="22"/>
      <c r="D216" s="22"/>
      <c r="E216" s="163"/>
      <c r="F216" s="64"/>
      <c r="G216" s="164"/>
      <c r="H216" s="19"/>
      <c r="J216" s="155"/>
    </row>
    <row r="217" ht="22.5" customHeight="1">
      <c r="A217" s="5">
        <v>45967.0</v>
      </c>
      <c r="B217" s="28">
        <v>12.0</v>
      </c>
      <c r="C217" s="22"/>
      <c r="D217" s="22"/>
      <c r="E217" s="163"/>
      <c r="F217" s="64"/>
      <c r="G217" s="164"/>
      <c r="H217" s="19"/>
      <c r="J217" s="155"/>
    </row>
    <row r="218" ht="22.5" customHeight="1">
      <c r="A218" s="5">
        <v>45968.0</v>
      </c>
      <c r="B218" s="28">
        <v>12.0</v>
      </c>
      <c r="C218" s="22"/>
      <c r="D218" s="22"/>
      <c r="E218" s="163"/>
      <c r="F218" s="64"/>
      <c r="G218" s="164"/>
      <c r="H218" s="19"/>
      <c r="J218" s="155"/>
    </row>
    <row r="219" ht="22.5" customHeight="1">
      <c r="A219" s="5">
        <v>45967.0</v>
      </c>
      <c r="B219" s="28">
        <v>12.0</v>
      </c>
      <c r="C219" s="22"/>
      <c r="D219" s="22"/>
      <c r="E219" s="163"/>
      <c r="F219" s="64"/>
      <c r="G219" s="164"/>
      <c r="H219" s="19"/>
      <c r="J219" s="155"/>
    </row>
    <row r="220" ht="22.5" customHeight="1">
      <c r="A220" s="5">
        <v>45968.0</v>
      </c>
      <c r="B220" s="28">
        <v>12.0</v>
      </c>
      <c r="C220" s="22"/>
      <c r="D220" s="22"/>
      <c r="E220" s="163"/>
      <c r="F220" s="64"/>
      <c r="G220" s="164"/>
      <c r="H220" s="19"/>
      <c r="J220" s="155"/>
    </row>
    <row r="221" ht="22.5" customHeight="1">
      <c r="A221" s="5">
        <v>45967.0</v>
      </c>
      <c r="B221" s="28">
        <v>12.0</v>
      </c>
      <c r="C221" s="22"/>
      <c r="D221" s="22"/>
      <c r="E221" s="163"/>
      <c r="F221" s="64"/>
      <c r="G221" s="164"/>
      <c r="H221" s="19"/>
      <c r="J221" s="155"/>
    </row>
    <row r="222" ht="22.5" customHeight="1">
      <c r="A222" s="5">
        <v>45968.0</v>
      </c>
      <c r="B222" s="28">
        <v>12.0</v>
      </c>
      <c r="C222" s="22"/>
      <c r="D222" s="22"/>
      <c r="E222" s="163"/>
      <c r="F222" s="64"/>
      <c r="G222" s="164"/>
      <c r="H222" s="19"/>
      <c r="J222" s="155"/>
    </row>
    <row r="223" ht="22.5" customHeight="1">
      <c r="A223" s="5">
        <v>45967.0</v>
      </c>
      <c r="B223" s="28">
        <v>12.0</v>
      </c>
      <c r="C223" s="22"/>
      <c r="D223" s="22"/>
      <c r="E223" s="163"/>
      <c r="F223" s="64"/>
      <c r="G223" s="164"/>
      <c r="H223" s="19"/>
      <c r="J223" s="155"/>
    </row>
    <row r="224" ht="22.5" customHeight="1">
      <c r="A224" s="5">
        <v>45968.0</v>
      </c>
      <c r="B224" s="28">
        <v>12.0</v>
      </c>
      <c r="C224" s="22"/>
      <c r="D224" s="22"/>
      <c r="E224" s="163"/>
      <c r="F224" s="64"/>
      <c r="G224" s="164"/>
      <c r="H224" s="19"/>
      <c r="J224" s="155"/>
    </row>
    <row r="225" ht="22.5" customHeight="1">
      <c r="A225" s="5">
        <v>45967.0</v>
      </c>
      <c r="B225" s="28">
        <v>12.0</v>
      </c>
      <c r="C225" s="22"/>
      <c r="D225" s="22"/>
      <c r="E225" s="163"/>
      <c r="F225" s="64"/>
      <c r="G225" s="164"/>
      <c r="H225" s="19"/>
      <c r="J225" s="155"/>
    </row>
    <row r="226" ht="22.5" customHeight="1">
      <c r="A226" s="5">
        <v>45968.0</v>
      </c>
      <c r="B226" s="28">
        <v>12.0</v>
      </c>
      <c r="C226" s="22"/>
      <c r="D226" s="22"/>
      <c r="E226" s="163"/>
      <c r="F226" s="64"/>
      <c r="G226" s="164"/>
      <c r="H226" s="19"/>
      <c r="J226" s="155"/>
    </row>
    <row r="227" ht="22.5" customHeight="1">
      <c r="A227" s="5">
        <v>45967.0</v>
      </c>
      <c r="B227" s="28">
        <v>12.0</v>
      </c>
      <c r="C227" s="22"/>
      <c r="D227" s="22"/>
      <c r="E227" s="163"/>
      <c r="F227" s="64"/>
      <c r="G227" s="164"/>
      <c r="H227" s="19"/>
      <c r="J227" s="155"/>
    </row>
    <row r="228" ht="22.5" customHeight="1">
      <c r="A228" s="5">
        <v>45968.0</v>
      </c>
      <c r="B228" s="28">
        <v>12.0</v>
      </c>
      <c r="C228" s="22"/>
      <c r="D228" s="22"/>
      <c r="E228" s="163"/>
      <c r="F228" s="64"/>
      <c r="G228" s="164"/>
      <c r="H228" s="19"/>
      <c r="J228" s="155"/>
    </row>
    <row r="229" ht="22.5" customHeight="1">
      <c r="A229" s="5">
        <v>45967.0</v>
      </c>
      <c r="B229" s="28">
        <v>12.0</v>
      </c>
      <c r="C229" s="22"/>
      <c r="D229" s="22"/>
      <c r="E229" s="163"/>
      <c r="F229" s="64"/>
      <c r="G229" s="164"/>
      <c r="H229" s="19"/>
      <c r="J229" s="155"/>
    </row>
    <row r="230" ht="22.5" customHeight="1">
      <c r="A230" s="5">
        <v>45968.0</v>
      </c>
      <c r="B230" s="28">
        <v>12.0</v>
      </c>
      <c r="C230" s="22"/>
      <c r="D230" s="22"/>
      <c r="E230" s="163"/>
      <c r="F230" s="64"/>
      <c r="G230" s="164"/>
      <c r="H230" s="19"/>
      <c r="J230" s="155"/>
    </row>
    <row r="231" ht="22.5" customHeight="1">
      <c r="A231" s="5">
        <v>45967.0</v>
      </c>
      <c r="B231" s="28">
        <v>12.0</v>
      </c>
      <c r="C231" s="22"/>
      <c r="D231" s="22"/>
      <c r="E231" s="163"/>
      <c r="F231" s="64"/>
      <c r="G231" s="164"/>
      <c r="H231" s="19"/>
      <c r="J231" s="155"/>
    </row>
    <row r="232" ht="22.5" customHeight="1">
      <c r="A232" s="5">
        <v>45968.0</v>
      </c>
      <c r="B232" s="28">
        <v>12.0</v>
      </c>
      <c r="C232" s="22"/>
      <c r="D232" s="22"/>
      <c r="E232" s="163"/>
      <c r="F232" s="64"/>
      <c r="G232" s="164"/>
      <c r="H232" s="19"/>
      <c r="J232" s="155"/>
    </row>
    <row r="233" ht="22.5" customHeight="1">
      <c r="A233" s="5">
        <v>45967.0</v>
      </c>
      <c r="B233" s="28">
        <v>12.0</v>
      </c>
      <c r="C233" s="22"/>
      <c r="D233" s="22"/>
      <c r="E233" s="163"/>
      <c r="F233" s="64"/>
      <c r="G233" s="164"/>
      <c r="H233" s="19"/>
      <c r="J233" s="155"/>
    </row>
    <row r="234" ht="22.5" customHeight="1">
      <c r="A234" s="5">
        <v>45968.0</v>
      </c>
      <c r="B234" s="28">
        <v>12.0</v>
      </c>
      <c r="C234" s="22"/>
      <c r="D234" s="22"/>
      <c r="E234" s="163"/>
      <c r="F234" s="64"/>
      <c r="G234" s="164"/>
      <c r="H234" s="19"/>
      <c r="J234" s="155"/>
    </row>
    <row r="235" ht="22.5" customHeight="1">
      <c r="A235" s="5">
        <v>45967.0</v>
      </c>
      <c r="B235" s="28">
        <v>12.0</v>
      </c>
      <c r="C235" s="22"/>
      <c r="D235" s="22"/>
      <c r="E235" s="163"/>
      <c r="F235" s="64"/>
      <c r="G235" s="164"/>
      <c r="H235" s="19"/>
      <c r="J235" s="155"/>
    </row>
    <row r="236" ht="22.5" customHeight="1">
      <c r="A236" s="5">
        <v>45968.0</v>
      </c>
      <c r="B236" s="28">
        <v>12.0</v>
      </c>
      <c r="C236" s="22"/>
      <c r="D236" s="22"/>
      <c r="E236" s="163"/>
      <c r="F236" s="64"/>
      <c r="G236" s="164"/>
      <c r="H236" s="19"/>
      <c r="J236" s="155"/>
    </row>
    <row r="237" ht="22.5" customHeight="1">
      <c r="A237" s="5">
        <v>45967.0</v>
      </c>
      <c r="B237" s="28">
        <v>12.0</v>
      </c>
      <c r="C237" s="22"/>
      <c r="D237" s="22"/>
      <c r="E237" s="163"/>
      <c r="F237" s="64"/>
      <c r="G237" s="164"/>
      <c r="H237" s="19"/>
      <c r="J237" s="155"/>
    </row>
    <row r="238" ht="22.5" customHeight="1">
      <c r="A238" s="5">
        <v>45968.0</v>
      </c>
      <c r="B238" s="28">
        <v>12.0</v>
      </c>
      <c r="C238" s="22"/>
      <c r="D238" s="22"/>
      <c r="E238" s="163"/>
      <c r="F238" s="64"/>
      <c r="G238" s="164"/>
      <c r="H238" s="19"/>
      <c r="J238" s="155"/>
    </row>
    <row r="239" ht="22.5" customHeight="1">
      <c r="A239" s="5">
        <v>45967.0</v>
      </c>
      <c r="B239" s="28">
        <v>12.0</v>
      </c>
      <c r="C239" s="22"/>
      <c r="D239" s="22"/>
      <c r="E239" s="163"/>
      <c r="F239" s="64"/>
      <c r="G239" s="164"/>
      <c r="H239" s="19"/>
      <c r="J239" s="155"/>
    </row>
    <row r="240" ht="22.5" customHeight="1">
      <c r="A240" s="5">
        <v>45968.0</v>
      </c>
      <c r="B240" s="28">
        <v>12.0</v>
      </c>
      <c r="C240" s="22"/>
      <c r="D240" s="22"/>
      <c r="E240" s="163"/>
      <c r="F240" s="64"/>
      <c r="G240" s="164"/>
      <c r="H240" s="19"/>
      <c r="J240" s="155"/>
    </row>
    <row r="241" ht="22.5" customHeight="1">
      <c r="A241" s="5">
        <v>45967.0</v>
      </c>
      <c r="B241" s="28">
        <v>12.0</v>
      </c>
      <c r="C241" s="22"/>
      <c r="D241" s="22"/>
      <c r="E241" s="163"/>
      <c r="F241" s="64"/>
      <c r="G241" s="164"/>
      <c r="H241" s="19"/>
      <c r="J241" s="155"/>
    </row>
    <row r="242" ht="22.5" customHeight="1">
      <c r="A242" s="5">
        <v>45968.0</v>
      </c>
      <c r="B242" s="28">
        <v>12.0</v>
      </c>
      <c r="C242" s="22"/>
      <c r="D242" s="22"/>
      <c r="E242" s="163"/>
      <c r="F242" s="64"/>
      <c r="G242" s="164"/>
      <c r="H242" s="19"/>
      <c r="J242" s="155"/>
    </row>
    <row r="243" ht="22.5" customHeight="1">
      <c r="A243" s="5">
        <v>45967.0</v>
      </c>
      <c r="B243" s="28">
        <v>12.0</v>
      </c>
      <c r="C243" s="22"/>
      <c r="D243" s="22"/>
      <c r="E243" s="163"/>
      <c r="F243" s="64"/>
      <c r="G243" s="164"/>
      <c r="H243" s="19"/>
      <c r="J243" s="155"/>
    </row>
    <row r="244" ht="22.5" customHeight="1">
      <c r="A244" s="5">
        <v>45968.0</v>
      </c>
      <c r="B244" s="28">
        <v>12.0</v>
      </c>
      <c r="C244" s="22"/>
      <c r="D244" s="22"/>
      <c r="E244" s="163"/>
      <c r="F244" s="64"/>
      <c r="G244" s="164"/>
      <c r="H244" s="19"/>
      <c r="J244" s="155"/>
    </row>
    <row r="245" ht="22.5" customHeight="1">
      <c r="A245" s="5">
        <v>45967.0</v>
      </c>
      <c r="B245" s="28">
        <v>12.0</v>
      </c>
      <c r="C245" s="22"/>
      <c r="D245" s="22"/>
      <c r="E245" s="163"/>
      <c r="F245" s="64"/>
      <c r="G245" s="164"/>
      <c r="H245" s="19"/>
      <c r="J245" s="155"/>
    </row>
    <row r="246" ht="22.5" customHeight="1">
      <c r="A246" s="5">
        <v>45968.0</v>
      </c>
      <c r="B246" s="28">
        <v>12.0</v>
      </c>
      <c r="C246" s="22"/>
      <c r="D246" s="22"/>
      <c r="E246" s="163"/>
      <c r="F246" s="64"/>
      <c r="G246" s="164"/>
      <c r="H246" s="19"/>
      <c r="J246" s="155"/>
    </row>
    <row r="247" ht="22.5" customHeight="1">
      <c r="A247" s="5">
        <v>45967.0</v>
      </c>
      <c r="B247" s="28">
        <v>12.0</v>
      </c>
      <c r="C247" s="22"/>
      <c r="D247" s="22"/>
      <c r="E247" s="163"/>
      <c r="F247" s="64"/>
      <c r="G247" s="164"/>
      <c r="H247" s="19"/>
      <c r="J247" s="155"/>
    </row>
    <row r="248" ht="22.5" customHeight="1">
      <c r="A248" s="5">
        <v>45968.0</v>
      </c>
      <c r="B248" s="28">
        <v>12.0</v>
      </c>
      <c r="C248" s="22"/>
      <c r="D248" s="22"/>
      <c r="E248" s="163"/>
      <c r="F248" s="64"/>
      <c r="G248" s="164"/>
      <c r="H248" s="19"/>
      <c r="J248" s="155"/>
    </row>
    <row r="249" ht="22.5" customHeight="1">
      <c r="A249" s="5">
        <v>45967.0</v>
      </c>
      <c r="B249" s="28">
        <v>12.0</v>
      </c>
      <c r="C249" s="22"/>
      <c r="D249" s="22"/>
      <c r="E249" s="163"/>
      <c r="F249" s="64"/>
      <c r="G249" s="164"/>
      <c r="H249" s="19"/>
      <c r="J249" s="155"/>
    </row>
    <row r="250" ht="22.5" customHeight="1">
      <c r="A250" s="5">
        <v>45968.0</v>
      </c>
      <c r="B250" s="28">
        <v>12.0</v>
      </c>
      <c r="C250" s="22"/>
      <c r="D250" s="22"/>
      <c r="E250" s="163"/>
      <c r="F250" s="64"/>
      <c r="G250" s="164"/>
      <c r="H250" s="19"/>
      <c r="J250" s="155"/>
    </row>
    <row r="251" ht="22.5" customHeight="1">
      <c r="A251" s="5">
        <v>45967.0</v>
      </c>
      <c r="B251" s="28">
        <v>12.0</v>
      </c>
      <c r="C251" s="22"/>
      <c r="D251" s="22"/>
      <c r="E251" s="163"/>
      <c r="F251" s="64"/>
      <c r="G251" s="164"/>
      <c r="H251" s="19"/>
      <c r="J251" s="155"/>
    </row>
    <row r="252" ht="22.5" customHeight="1">
      <c r="A252" s="5">
        <v>45968.0</v>
      </c>
      <c r="B252" s="28">
        <v>12.0</v>
      </c>
      <c r="C252" s="22"/>
      <c r="D252" s="22"/>
      <c r="E252" s="163"/>
      <c r="F252" s="64"/>
      <c r="G252" s="164"/>
      <c r="H252" s="19"/>
      <c r="J252" s="155"/>
    </row>
    <row r="253" ht="22.5" customHeight="1">
      <c r="A253" s="5">
        <v>45967.0</v>
      </c>
      <c r="B253" s="28">
        <v>12.0</v>
      </c>
      <c r="C253" s="22"/>
      <c r="D253" s="22"/>
      <c r="E253" s="163"/>
      <c r="F253" s="64"/>
      <c r="G253" s="164"/>
      <c r="H253" s="19"/>
      <c r="J253" s="155"/>
    </row>
    <row r="254" ht="22.5" customHeight="1">
      <c r="A254" s="5">
        <v>45968.0</v>
      </c>
      <c r="B254" s="28">
        <v>12.0</v>
      </c>
      <c r="C254" s="22"/>
      <c r="D254" s="22"/>
      <c r="E254" s="163"/>
      <c r="F254" s="64"/>
      <c r="G254" s="164"/>
      <c r="H254" s="19"/>
      <c r="J254" s="155"/>
    </row>
    <row r="255" ht="22.5" customHeight="1">
      <c r="A255" s="5">
        <v>45967.0</v>
      </c>
      <c r="B255" s="28">
        <v>12.0</v>
      </c>
      <c r="C255" s="22"/>
      <c r="D255" s="22"/>
      <c r="E255" s="163"/>
      <c r="F255" s="64"/>
      <c r="G255" s="164"/>
      <c r="H255" s="19"/>
      <c r="J255" s="155"/>
    </row>
    <row r="256" ht="22.5" customHeight="1">
      <c r="A256" s="5">
        <v>45968.0</v>
      </c>
      <c r="B256" s="28">
        <v>12.0</v>
      </c>
      <c r="C256" s="22"/>
      <c r="D256" s="22"/>
      <c r="E256" s="163"/>
      <c r="F256" s="64"/>
      <c r="G256" s="164"/>
      <c r="H256" s="19"/>
      <c r="J256" s="155"/>
    </row>
    <row r="257" ht="22.5" customHeight="1">
      <c r="A257" s="5">
        <v>45967.0</v>
      </c>
      <c r="B257" s="28">
        <v>12.0</v>
      </c>
      <c r="C257" s="22"/>
      <c r="D257" s="22"/>
      <c r="E257" s="163"/>
      <c r="F257" s="64"/>
      <c r="G257" s="164"/>
      <c r="H257" s="19"/>
      <c r="J257" s="155"/>
    </row>
    <row r="258" ht="22.5" customHeight="1">
      <c r="A258" s="5">
        <v>45968.0</v>
      </c>
      <c r="B258" s="28">
        <v>12.0</v>
      </c>
      <c r="C258" s="22"/>
      <c r="D258" s="22"/>
      <c r="E258" s="163"/>
      <c r="F258" s="64"/>
      <c r="G258" s="164"/>
      <c r="H258" s="19"/>
      <c r="J258" s="155"/>
    </row>
    <row r="259" ht="22.5" customHeight="1">
      <c r="A259" s="5">
        <v>45967.0</v>
      </c>
      <c r="B259" s="28">
        <v>12.0</v>
      </c>
      <c r="C259" s="22"/>
      <c r="D259" s="22"/>
      <c r="E259" s="163"/>
      <c r="F259" s="64"/>
      <c r="G259" s="164"/>
      <c r="H259" s="19"/>
      <c r="J259" s="155"/>
    </row>
    <row r="260" ht="22.5" customHeight="1">
      <c r="A260" s="5">
        <v>45968.0</v>
      </c>
      <c r="B260" s="28">
        <v>12.0</v>
      </c>
      <c r="C260" s="22"/>
      <c r="D260" s="22"/>
      <c r="E260" s="163"/>
      <c r="F260" s="64"/>
      <c r="G260" s="164"/>
      <c r="H260" s="19"/>
      <c r="J260" s="155"/>
    </row>
    <row r="261" ht="22.5" customHeight="1">
      <c r="A261" s="5">
        <v>45967.0</v>
      </c>
      <c r="B261" s="28">
        <v>12.0</v>
      </c>
      <c r="C261" s="22"/>
      <c r="D261" s="22"/>
      <c r="E261" s="163"/>
      <c r="F261" s="64"/>
      <c r="G261" s="164"/>
      <c r="H261" s="19"/>
      <c r="J261" s="155"/>
    </row>
    <row r="262" ht="22.5" customHeight="1">
      <c r="A262" s="5">
        <v>45968.0</v>
      </c>
      <c r="B262" s="28">
        <v>12.0</v>
      </c>
      <c r="C262" s="22"/>
      <c r="D262" s="22"/>
      <c r="E262" s="163"/>
      <c r="F262" s="64"/>
      <c r="G262" s="164"/>
      <c r="H262" s="19"/>
      <c r="J262" s="155"/>
    </row>
    <row r="263" ht="22.5" customHeight="1">
      <c r="A263" s="5">
        <v>45967.0</v>
      </c>
      <c r="B263" s="28">
        <v>12.0</v>
      </c>
      <c r="C263" s="22"/>
      <c r="D263" s="22"/>
      <c r="E263" s="163"/>
      <c r="F263" s="64"/>
      <c r="G263" s="164"/>
      <c r="H263" s="19"/>
      <c r="J263" s="155"/>
    </row>
    <row r="264" ht="22.5" customHeight="1">
      <c r="A264" s="5">
        <v>45968.0</v>
      </c>
      <c r="B264" s="28">
        <v>12.0</v>
      </c>
      <c r="C264" s="22"/>
      <c r="D264" s="22"/>
      <c r="E264" s="163"/>
      <c r="F264" s="64"/>
      <c r="G264" s="164"/>
      <c r="H264" s="19"/>
      <c r="J264" s="155"/>
    </row>
    <row r="265" ht="22.5" customHeight="1">
      <c r="A265" s="5">
        <v>45967.0</v>
      </c>
      <c r="B265" s="28">
        <v>12.0</v>
      </c>
      <c r="C265" s="22"/>
      <c r="D265" s="22"/>
      <c r="E265" s="163"/>
      <c r="F265" s="64"/>
      <c r="G265" s="164"/>
      <c r="H265" s="19"/>
      <c r="J265" s="155"/>
    </row>
    <row r="266" ht="22.5" customHeight="1">
      <c r="A266" s="5">
        <v>45968.0</v>
      </c>
      <c r="B266" s="28">
        <v>12.0</v>
      </c>
      <c r="C266" s="22"/>
      <c r="D266" s="22"/>
      <c r="E266" s="163"/>
      <c r="F266" s="64"/>
      <c r="G266" s="164"/>
      <c r="H266" s="19"/>
      <c r="J266" s="155"/>
    </row>
    <row r="267" ht="22.5" customHeight="1">
      <c r="A267" s="5">
        <v>45967.0</v>
      </c>
      <c r="B267" s="28">
        <v>12.0</v>
      </c>
      <c r="C267" s="22"/>
      <c r="D267" s="22"/>
      <c r="E267" s="163"/>
      <c r="F267" s="64"/>
      <c r="G267" s="164"/>
      <c r="H267" s="19"/>
      <c r="J267" s="155"/>
    </row>
    <row r="268" ht="22.5" customHeight="1">
      <c r="A268" s="5">
        <v>45968.0</v>
      </c>
      <c r="B268" s="28">
        <v>12.0</v>
      </c>
      <c r="C268" s="22"/>
      <c r="D268" s="22"/>
      <c r="E268" s="163"/>
      <c r="F268" s="64"/>
      <c r="G268" s="164"/>
      <c r="H268" s="19"/>
      <c r="J268" s="155"/>
    </row>
    <row r="269" ht="22.5" customHeight="1">
      <c r="A269" s="5">
        <v>45967.0</v>
      </c>
      <c r="B269" s="28">
        <v>12.0</v>
      </c>
      <c r="C269" s="22"/>
      <c r="D269" s="22"/>
      <c r="E269" s="163"/>
      <c r="F269" s="64"/>
      <c r="G269" s="164"/>
      <c r="H269" s="19"/>
      <c r="J269" s="155"/>
    </row>
    <row r="270" ht="22.5" customHeight="1">
      <c r="A270" s="5">
        <v>45968.0</v>
      </c>
      <c r="B270" s="28">
        <v>12.0</v>
      </c>
      <c r="C270" s="22"/>
      <c r="D270" s="22"/>
      <c r="E270" s="163"/>
      <c r="F270" s="64"/>
      <c r="G270" s="164"/>
      <c r="H270" s="19"/>
      <c r="J270" s="155"/>
    </row>
    <row r="271" ht="22.5" customHeight="1">
      <c r="A271" s="5">
        <v>45967.0</v>
      </c>
      <c r="B271" s="28">
        <v>12.0</v>
      </c>
      <c r="C271" s="22"/>
      <c r="D271" s="22"/>
      <c r="E271" s="163"/>
      <c r="F271" s="64"/>
      <c r="G271" s="164"/>
      <c r="H271" s="19"/>
      <c r="J271" s="155"/>
    </row>
    <row r="272" ht="22.5" customHeight="1">
      <c r="A272" s="5">
        <v>45968.0</v>
      </c>
      <c r="B272" s="28">
        <v>12.0</v>
      </c>
      <c r="C272" s="22"/>
      <c r="D272" s="22"/>
      <c r="E272" s="163"/>
      <c r="F272" s="64"/>
      <c r="G272" s="164"/>
      <c r="H272" s="19"/>
      <c r="J272" s="155"/>
    </row>
    <row r="273" ht="22.5" customHeight="1">
      <c r="A273" s="5">
        <v>45967.0</v>
      </c>
      <c r="B273" s="28">
        <v>12.0</v>
      </c>
      <c r="C273" s="22"/>
      <c r="D273" s="22"/>
      <c r="E273" s="163"/>
      <c r="F273" s="64"/>
      <c r="G273" s="164"/>
      <c r="H273" s="19"/>
      <c r="J273" s="155"/>
    </row>
    <row r="274" ht="22.5" customHeight="1">
      <c r="A274" s="5">
        <v>45968.0</v>
      </c>
      <c r="B274" s="28">
        <v>12.0</v>
      </c>
      <c r="C274" s="22"/>
      <c r="D274" s="22"/>
      <c r="E274" s="163"/>
      <c r="F274" s="64"/>
      <c r="G274" s="164"/>
      <c r="H274" s="19"/>
      <c r="J274" s="155"/>
    </row>
    <row r="275" ht="22.5" customHeight="1">
      <c r="A275" s="5">
        <v>45967.0</v>
      </c>
      <c r="B275" s="28">
        <v>12.0</v>
      </c>
      <c r="C275" s="22"/>
      <c r="D275" s="22"/>
      <c r="E275" s="163"/>
      <c r="F275" s="64"/>
      <c r="G275" s="164"/>
      <c r="H275" s="19"/>
      <c r="J275" s="155"/>
    </row>
    <row r="276" ht="22.5" customHeight="1">
      <c r="A276" s="5">
        <v>45968.0</v>
      </c>
      <c r="B276" s="28">
        <v>12.0</v>
      </c>
      <c r="C276" s="22"/>
      <c r="D276" s="22"/>
      <c r="E276" s="163"/>
      <c r="F276" s="64"/>
      <c r="G276" s="164"/>
      <c r="H276" s="19"/>
      <c r="J276" s="155"/>
    </row>
    <row r="277" ht="22.5" customHeight="1">
      <c r="A277" s="5">
        <v>45967.0</v>
      </c>
      <c r="B277" s="28">
        <v>12.0</v>
      </c>
      <c r="C277" s="22"/>
      <c r="D277" s="22"/>
      <c r="E277" s="163"/>
      <c r="F277" s="64"/>
      <c r="G277" s="164"/>
      <c r="H277" s="19"/>
      <c r="J277" s="155"/>
    </row>
    <row r="278" ht="22.5" customHeight="1">
      <c r="A278" s="5">
        <v>45968.0</v>
      </c>
      <c r="B278" s="28">
        <v>12.0</v>
      </c>
      <c r="C278" s="22"/>
      <c r="D278" s="22"/>
      <c r="E278" s="163"/>
      <c r="F278" s="64"/>
      <c r="G278" s="164"/>
      <c r="H278" s="19"/>
      <c r="J278" s="155"/>
    </row>
    <row r="279" ht="22.5" customHeight="1">
      <c r="A279" s="5">
        <v>45967.0</v>
      </c>
      <c r="B279" s="28">
        <v>12.0</v>
      </c>
      <c r="C279" s="22"/>
      <c r="D279" s="22"/>
      <c r="E279" s="163"/>
      <c r="F279" s="64"/>
      <c r="G279" s="164"/>
      <c r="H279" s="19"/>
      <c r="J279" s="155"/>
    </row>
    <row r="280" ht="22.5" customHeight="1">
      <c r="A280" s="5">
        <v>45968.0</v>
      </c>
      <c r="B280" s="28">
        <v>12.0</v>
      </c>
      <c r="C280" s="22"/>
      <c r="D280" s="22"/>
      <c r="E280" s="163"/>
      <c r="F280" s="64"/>
      <c r="G280" s="164"/>
      <c r="H280" s="19"/>
      <c r="J280" s="155"/>
    </row>
    <row r="281" ht="22.5" customHeight="1">
      <c r="A281" s="5">
        <v>45967.0</v>
      </c>
      <c r="B281" s="28">
        <v>12.0</v>
      </c>
      <c r="C281" s="22"/>
      <c r="D281" s="22"/>
      <c r="E281" s="163"/>
      <c r="F281" s="64"/>
      <c r="G281" s="164"/>
      <c r="H281" s="19"/>
      <c r="J281" s="155"/>
    </row>
    <row r="282" ht="22.5" customHeight="1">
      <c r="A282" s="5">
        <v>45968.0</v>
      </c>
      <c r="B282" s="28">
        <v>12.0</v>
      </c>
      <c r="C282" s="22"/>
      <c r="D282" s="22"/>
      <c r="E282" s="163"/>
      <c r="F282" s="64"/>
      <c r="G282" s="164"/>
      <c r="H282" s="19"/>
      <c r="J282" s="155"/>
    </row>
    <row r="283" ht="22.5" customHeight="1">
      <c r="A283" s="5">
        <v>45967.0</v>
      </c>
      <c r="B283" s="28">
        <v>12.0</v>
      </c>
      <c r="C283" s="22"/>
      <c r="D283" s="22"/>
      <c r="E283" s="163"/>
      <c r="F283" s="64"/>
      <c r="G283" s="164"/>
      <c r="H283" s="19"/>
      <c r="J283" s="155"/>
    </row>
    <row r="284" ht="22.5" customHeight="1">
      <c r="A284" s="5">
        <v>45968.0</v>
      </c>
      <c r="B284" s="28">
        <v>12.0</v>
      </c>
      <c r="C284" s="22"/>
      <c r="D284" s="22"/>
      <c r="E284" s="163"/>
      <c r="F284" s="64"/>
      <c r="G284" s="164"/>
      <c r="H284" s="19"/>
      <c r="J284" s="155"/>
    </row>
    <row r="285" ht="22.5" customHeight="1">
      <c r="A285" s="5">
        <v>45967.0</v>
      </c>
      <c r="B285" s="28">
        <v>12.0</v>
      </c>
      <c r="C285" s="22"/>
      <c r="D285" s="22"/>
      <c r="E285" s="163"/>
      <c r="F285" s="64"/>
      <c r="G285" s="164"/>
      <c r="H285" s="19"/>
      <c r="J285" s="155"/>
    </row>
    <row r="286" ht="22.5" customHeight="1">
      <c r="A286" s="5">
        <v>45968.0</v>
      </c>
      <c r="B286" s="28">
        <v>12.0</v>
      </c>
      <c r="C286" s="22"/>
      <c r="D286" s="22"/>
      <c r="E286" s="163"/>
      <c r="F286" s="64"/>
      <c r="G286" s="164"/>
      <c r="H286" s="19"/>
      <c r="J286" s="155"/>
    </row>
    <row r="287" ht="22.5" customHeight="1">
      <c r="A287" s="5">
        <v>45967.0</v>
      </c>
      <c r="B287" s="28">
        <v>12.0</v>
      </c>
      <c r="C287" s="22"/>
      <c r="D287" s="22"/>
      <c r="E287" s="163"/>
      <c r="F287" s="64"/>
      <c r="G287" s="164"/>
      <c r="H287" s="19"/>
      <c r="J287" s="155"/>
    </row>
    <row r="288" ht="22.5" customHeight="1">
      <c r="A288" s="5">
        <v>45968.0</v>
      </c>
      <c r="B288" s="28">
        <v>12.0</v>
      </c>
      <c r="C288" s="22"/>
      <c r="D288" s="22"/>
      <c r="E288" s="163"/>
      <c r="F288" s="64"/>
      <c r="G288" s="164"/>
      <c r="H288" s="19"/>
      <c r="J288" s="155"/>
    </row>
    <row r="289" ht="22.5" customHeight="1">
      <c r="A289" s="5">
        <v>45967.0</v>
      </c>
      <c r="B289" s="28">
        <v>12.0</v>
      </c>
      <c r="C289" s="22"/>
      <c r="D289" s="22"/>
      <c r="E289" s="163"/>
      <c r="F289" s="64"/>
      <c r="G289" s="164"/>
      <c r="H289" s="19"/>
      <c r="J289" s="155"/>
    </row>
    <row r="290" ht="22.5" customHeight="1">
      <c r="A290" s="5">
        <v>45968.0</v>
      </c>
      <c r="B290" s="28">
        <v>12.0</v>
      </c>
      <c r="C290" s="22"/>
      <c r="D290" s="22"/>
      <c r="E290" s="163"/>
      <c r="F290" s="64"/>
      <c r="G290" s="164"/>
      <c r="H290" s="19"/>
      <c r="J290" s="155"/>
    </row>
    <row r="291" ht="22.5" customHeight="1">
      <c r="A291" s="5">
        <v>45967.0</v>
      </c>
      <c r="B291" s="28">
        <v>12.0</v>
      </c>
      <c r="C291" s="22"/>
      <c r="D291" s="22"/>
      <c r="E291" s="163"/>
      <c r="F291" s="64"/>
      <c r="G291" s="164"/>
      <c r="H291" s="19"/>
      <c r="J291" s="155"/>
    </row>
    <row r="292" ht="22.5" customHeight="1">
      <c r="A292" s="5">
        <v>45968.0</v>
      </c>
      <c r="B292" s="28">
        <v>12.0</v>
      </c>
      <c r="C292" s="22"/>
      <c r="D292" s="22"/>
      <c r="E292" s="163"/>
      <c r="F292" s="64"/>
      <c r="G292" s="164"/>
      <c r="H292" s="19"/>
      <c r="J292" s="155"/>
    </row>
    <row r="293" ht="22.5" customHeight="1">
      <c r="A293" s="5">
        <v>45967.0</v>
      </c>
      <c r="B293" s="28">
        <v>12.0</v>
      </c>
      <c r="C293" s="22"/>
      <c r="D293" s="22"/>
      <c r="E293" s="163"/>
      <c r="F293" s="64"/>
      <c r="G293" s="164"/>
      <c r="H293" s="19"/>
      <c r="J293" s="155"/>
    </row>
    <row r="294" ht="22.5" customHeight="1">
      <c r="A294" s="5">
        <v>45968.0</v>
      </c>
      <c r="B294" s="28">
        <v>12.0</v>
      </c>
      <c r="C294" s="22"/>
      <c r="D294" s="22"/>
      <c r="E294" s="163"/>
      <c r="F294" s="64"/>
      <c r="G294" s="164"/>
      <c r="H294" s="19"/>
      <c r="J294" s="155"/>
    </row>
    <row r="295" ht="22.5" customHeight="1">
      <c r="A295" s="5">
        <v>45967.0</v>
      </c>
      <c r="B295" s="28">
        <v>12.0</v>
      </c>
      <c r="C295" s="22"/>
      <c r="D295" s="22"/>
      <c r="E295" s="163"/>
      <c r="F295" s="64"/>
      <c r="G295" s="164"/>
      <c r="H295" s="19"/>
      <c r="J295" s="155"/>
    </row>
    <row r="296" ht="22.5" customHeight="1">
      <c r="A296" s="5">
        <v>45968.0</v>
      </c>
      <c r="B296" s="28">
        <v>12.0</v>
      </c>
      <c r="C296" s="22"/>
      <c r="D296" s="22"/>
      <c r="E296" s="163"/>
      <c r="F296" s="64"/>
      <c r="G296" s="164"/>
      <c r="H296" s="19"/>
      <c r="J296" s="155"/>
    </row>
    <row r="297" ht="22.5" customHeight="1">
      <c r="A297" s="5">
        <v>45967.0</v>
      </c>
      <c r="B297" s="28">
        <v>12.0</v>
      </c>
      <c r="C297" s="22"/>
      <c r="D297" s="22"/>
      <c r="E297" s="163"/>
      <c r="F297" s="64"/>
      <c r="G297" s="164"/>
      <c r="H297" s="19"/>
      <c r="J297" s="155"/>
    </row>
    <row r="298" ht="22.5" customHeight="1">
      <c r="A298" s="5">
        <v>45968.0</v>
      </c>
      <c r="B298" s="28">
        <v>12.0</v>
      </c>
      <c r="C298" s="22"/>
      <c r="D298" s="22"/>
      <c r="E298" s="163"/>
      <c r="F298" s="64"/>
      <c r="G298" s="164"/>
      <c r="H298" s="19"/>
      <c r="J298" s="155"/>
    </row>
    <row r="299" ht="22.5" customHeight="1">
      <c r="A299" s="5">
        <v>45967.0</v>
      </c>
      <c r="B299" s="28">
        <v>12.0</v>
      </c>
      <c r="C299" s="22"/>
      <c r="D299" s="22"/>
      <c r="E299" s="163"/>
      <c r="F299" s="64"/>
      <c r="G299" s="164"/>
      <c r="H299" s="19"/>
      <c r="J299" s="155"/>
    </row>
    <row r="300" ht="22.5" customHeight="1">
      <c r="A300" s="5">
        <v>45968.0</v>
      </c>
      <c r="B300" s="28">
        <v>12.0</v>
      </c>
      <c r="C300" s="22"/>
      <c r="D300" s="22"/>
      <c r="E300" s="163"/>
      <c r="F300" s="64"/>
      <c r="G300" s="164"/>
      <c r="H300" s="19"/>
      <c r="J300" s="155"/>
    </row>
    <row r="301" ht="22.5" customHeight="1">
      <c r="A301" s="5">
        <v>45967.0</v>
      </c>
      <c r="B301" s="28">
        <v>12.0</v>
      </c>
      <c r="C301" s="22"/>
      <c r="D301" s="22"/>
      <c r="E301" s="163"/>
      <c r="F301" s="64"/>
      <c r="G301" s="164"/>
      <c r="H301" s="19"/>
      <c r="J301" s="155"/>
    </row>
    <row r="302" ht="22.5" customHeight="1">
      <c r="A302" s="5">
        <v>45968.0</v>
      </c>
      <c r="B302" s="28">
        <v>12.0</v>
      </c>
      <c r="C302" s="22"/>
      <c r="D302" s="22"/>
      <c r="E302" s="163"/>
      <c r="F302" s="64"/>
      <c r="G302" s="164"/>
      <c r="H302" s="19"/>
      <c r="J302" s="155"/>
    </row>
    <row r="303" ht="22.5" customHeight="1">
      <c r="A303" s="5">
        <v>45967.0</v>
      </c>
      <c r="B303" s="28">
        <v>12.0</v>
      </c>
      <c r="C303" s="22"/>
      <c r="D303" s="22"/>
      <c r="E303" s="163"/>
      <c r="F303" s="64"/>
      <c r="G303" s="164"/>
      <c r="H303" s="19"/>
      <c r="J303" s="155"/>
    </row>
    <row r="304" ht="22.5" customHeight="1">
      <c r="A304" s="5">
        <v>45968.0</v>
      </c>
      <c r="B304" s="28">
        <v>12.0</v>
      </c>
      <c r="C304" s="22"/>
      <c r="D304" s="22"/>
      <c r="E304" s="163"/>
      <c r="F304" s="64"/>
      <c r="G304" s="164"/>
      <c r="H304" s="19"/>
      <c r="J304" s="155"/>
    </row>
    <row r="305" ht="22.5" customHeight="1">
      <c r="A305" s="5">
        <v>45967.0</v>
      </c>
      <c r="B305" s="28">
        <v>12.0</v>
      </c>
      <c r="C305" s="22"/>
      <c r="D305" s="22"/>
      <c r="E305" s="163"/>
      <c r="F305" s="64"/>
      <c r="G305" s="164"/>
      <c r="H305" s="19"/>
      <c r="J305" s="155"/>
    </row>
    <row r="306" ht="22.5" customHeight="1">
      <c r="A306" s="5">
        <v>45968.0</v>
      </c>
      <c r="B306" s="28">
        <v>12.0</v>
      </c>
      <c r="C306" s="22"/>
      <c r="D306" s="22"/>
      <c r="E306" s="163"/>
      <c r="F306" s="64"/>
      <c r="G306" s="164"/>
      <c r="H306" s="19"/>
      <c r="J306" s="155"/>
    </row>
    <row r="307" ht="22.5" customHeight="1">
      <c r="A307" s="5">
        <v>45967.0</v>
      </c>
      <c r="B307" s="28">
        <v>12.0</v>
      </c>
      <c r="C307" s="22"/>
      <c r="D307" s="22"/>
      <c r="E307" s="163"/>
      <c r="F307" s="64"/>
      <c r="G307" s="164"/>
      <c r="H307" s="19"/>
      <c r="J307" s="155"/>
    </row>
    <row r="308" ht="22.5" customHeight="1">
      <c r="A308" s="5">
        <v>45968.0</v>
      </c>
      <c r="B308" s="28">
        <v>12.0</v>
      </c>
      <c r="C308" s="22"/>
      <c r="D308" s="22"/>
      <c r="E308" s="163"/>
      <c r="F308" s="64"/>
      <c r="G308" s="164"/>
      <c r="H308" s="19"/>
      <c r="J308" s="155"/>
    </row>
    <row r="309" ht="22.5" customHeight="1">
      <c r="A309" s="5">
        <v>45967.0</v>
      </c>
      <c r="B309" s="28">
        <v>12.0</v>
      </c>
      <c r="C309" s="22"/>
      <c r="D309" s="22"/>
      <c r="E309" s="163"/>
      <c r="F309" s="64"/>
      <c r="G309" s="164"/>
      <c r="H309" s="19"/>
      <c r="J309" s="155"/>
    </row>
    <row r="310" ht="22.5" customHeight="1">
      <c r="A310" s="5">
        <v>45968.0</v>
      </c>
      <c r="B310" s="28">
        <v>12.0</v>
      </c>
      <c r="C310" s="22"/>
      <c r="D310" s="22"/>
      <c r="E310" s="163"/>
      <c r="F310" s="64"/>
      <c r="G310" s="164"/>
      <c r="H310" s="19"/>
      <c r="J310" s="155"/>
    </row>
    <row r="311" ht="22.5" customHeight="1">
      <c r="A311" s="5">
        <v>45967.0</v>
      </c>
      <c r="B311" s="28">
        <v>12.0</v>
      </c>
      <c r="C311" s="22"/>
      <c r="D311" s="22"/>
      <c r="E311" s="163"/>
      <c r="F311" s="64"/>
      <c r="G311" s="164"/>
      <c r="H311" s="19"/>
      <c r="J311" s="155"/>
    </row>
    <row r="312" ht="22.5" customHeight="1">
      <c r="A312" s="5">
        <v>45968.0</v>
      </c>
      <c r="B312" s="28">
        <v>12.0</v>
      </c>
      <c r="C312" s="22"/>
      <c r="D312" s="22"/>
      <c r="E312" s="163"/>
      <c r="F312" s="64"/>
      <c r="G312" s="164"/>
      <c r="H312" s="19"/>
      <c r="J312" s="155"/>
    </row>
    <row r="313" ht="22.5" customHeight="1">
      <c r="A313" s="5">
        <v>45967.0</v>
      </c>
      <c r="B313" s="28">
        <v>12.0</v>
      </c>
      <c r="C313" s="22"/>
      <c r="D313" s="22"/>
      <c r="E313" s="163"/>
      <c r="F313" s="64"/>
      <c r="G313" s="164"/>
      <c r="H313" s="19"/>
      <c r="J313" s="155"/>
    </row>
    <row r="314" ht="22.5" customHeight="1">
      <c r="A314" s="5">
        <v>45968.0</v>
      </c>
      <c r="B314" s="28">
        <v>12.0</v>
      </c>
      <c r="C314" s="22"/>
      <c r="D314" s="22"/>
      <c r="E314" s="163"/>
      <c r="F314" s="64"/>
      <c r="G314" s="164"/>
      <c r="H314" s="19"/>
      <c r="J314" s="155"/>
    </row>
    <row r="315" ht="22.5" customHeight="1">
      <c r="A315" s="5">
        <v>45967.0</v>
      </c>
      <c r="B315" s="28">
        <v>12.0</v>
      </c>
      <c r="C315" s="22"/>
      <c r="D315" s="22"/>
      <c r="E315" s="163"/>
      <c r="F315" s="64"/>
      <c r="G315" s="164"/>
      <c r="H315" s="19"/>
      <c r="J315" s="155"/>
    </row>
    <row r="316" ht="22.5" customHeight="1">
      <c r="A316" s="5">
        <v>45968.0</v>
      </c>
      <c r="B316" s="28">
        <v>12.0</v>
      </c>
      <c r="C316" s="22"/>
      <c r="D316" s="22"/>
      <c r="E316" s="163"/>
      <c r="F316" s="64"/>
      <c r="G316" s="164"/>
      <c r="H316" s="19"/>
      <c r="J316" s="155"/>
    </row>
    <row r="317" ht="22.5" customHeight="1">
      <c r="A317" s="5">
        <v>45967.0</v>
      </c>
      <c r="B317" s="28">
        <v>12.0</v>
      </c>
      <c r="C317" s="22"/>
      <c r="D317" s="22"/>
      <c r="E317" s="163"/>
      <c r="F317" s="64"/>
      <c r="G317" s="164"/>
      <c r="H317" s="19"/>
      <c r="J317" s="155"/>
    </row>
    <row r="318" ht="22.5" customHeight="1">
      <c r="A318" s="5">
        <v>45968.0</v>
      </c>
      <c r="B318" s="28">
        <v>12.0</v>
      </c>
      <c r="C318" s="22"/>
      <c r="D318" s="22"/>
      <c r="E318" s="163"/>
      <c r="F318" s="64"/>
      <c r="G318" s="164"/>
      <c r="H318" s="19"/>
      <c r="J318" s="155"/>
    </row>
    <row r="319" ht="22.5" customHeight="1">
      <c r="A319" s="5">
        <v>45967.0</v>
      </c>
      <c r="B319" s="28">
        <v>12.0</v>
      </c>
      <c r="C319" s="22"/>
      <c r="D319" s="22"/>
      <c r="E319" s="163"/>
      <c r="F319" s="64"/>
      <c r="G319" s="164"/>
      <c r="H319" s="19"/>
      <c r="J319" s="155"/>
    </row>
    <row r="320" ht="22.5" customHeight="1">
      <c r="A320" s="5">
        <v>45968.0</v>
      </c>
      <c r="B320" s="28">
        <v>12.0</v>
      </c>
      <c r="C320" s="22"/>
      <c r="D320" s="22"/>
      <c r="E320" s="163"/>
      <c r="F320" s="64"/>
      <c r="G320" s="164"/>
      <c r="H320" s="19"/>
      <c r="J320" s="155"/>
    </row>
    <row r="321" ht="22.5" customHeight="1">
      <c r="A321" s="5">
        <v>45967.0</v>
      </c>
      <c r="B321" s="28">
        <v>12.0</v>
      </c>
      <c r="C321" s="22"/>
      <c r="D321" s="22"/>
      <c r="E321" s="163"/>
      <c r="F321" s="64"/>
      <c r="G321" s="164"/>
      <c r="H321" s="19"/>
      <c r="J321" s="155"/>
    </row>
    <row r="322" ht="22.5" customHeight="1">
      <c r="A322" s="5">
        <v>45968.0</v>
      </c>
      <c r="B322" s="28">
        <v>12.0</v>
      </c>
      <c r="C322" s="22"/>
      <c r="D322" s="22"/>
      <c r="E322" s="163"/>
      <c r="F322" s="64"/>
      <c r="G322" s="164"/>
      <c r="H322" s="19"/>
      <c r="J322" s="155"/>
    </row>
    <row r="323" ht="22.5" customHeight="1">
      <c r="A323" s="5">
        <v>45967.0</v>
      </c>
      <c r="B323" s="28">
        <v>12.0</v>
      </c>
      <c r="C323" s="22"/>
      <c r="D323" s="22"/>
      <c r="E323" s="163"/>
      <c r="F323" s="64"/>
      <c r="G323" s="164"/>
      <c r="H323" s="19"/>
      <c r="J323" s="155"/>
    </row>
    <row r="324" ht="22.5" customHeight="1">
      <c r="A324" s="5">
        <v>45968.0</v>
      </c>
      <c r="B324" s="28">
        <v>12.0</v>
      </c>
      <c r="C324" s="22"/>
      <c r="D324" s="22"/>
      <c r="E324" s="163"/>
      <c r="F324" s="64"/>
      <c r="G324" s="164"/>
      <c r="H324" s="19"/>
      <c r="J324" s="155"/>
    </row>
    <row r="325" ht="22.5" customHeight="1">
      <c r="A325" s="5">
        <v>45967.0</v>
      </c>
      <c r="B325" s="28">
        <v>12.0</v>
      </c>
      <c r="C325" s="22"/>
      <c r="D325" s="22"/>
      <c r="E325" s="163"/>
      <c r="F325" s="64"/>
      <c r="G325" s="164"/>
      <c r="H325" s="19"/>
      <c r="J325" s="155"/>
    </row>
    <row r="326" ht="22.5" customHeight="1">
      <c r="A326" s="5">
        <v>45968.0</v>
      </c>
      <c r="B326" s="28">
        <v>12.0</v>
      </c>
      <c r="C326" s="22"/>
      <c r="D326" s="22"/>
      <c r="E326" s="163"/>
      <c r="F326" s="64"/>
      <c r="G326" s="164"/>
      <c r="H326" s="19"/>
      <c r="J326" s="155"/>
    </row>
    <row r="327" ht="22.5" customHeight="1">
      <c r="A327" s="5">
        <v>45967.0</v>
      </c>
      <c r="B327" s="28">
        <v>12.0</v>
      </c>
      <c r="C327" s="22"/>
      <c r="D327" s="22"/>
      <c r="E327" s="163"/>
      <c r="F327" s="64"/>
      <c r="G327" s="164"/>
      <c r="H327" s="19"/>
      <c r="J327" s="155"/>
    </row>
    <row r="328" ht="22.5" customHeight="1">
      <c r="A328" s="5">
        <v>45968.0</v>
      </c>
      <c r="B328" s="28">
        <v>12.0</v>
      </c>
      <c r="C328" s="22"/>
      <c r="D328" s="22"/>
      <c r="E328" s="163"/>
      <c r="F328" s="64"/>
      <c r="G328" s="164"/>
      <c r="H328" s="19"/>
      <c r="J328" s="155"/>
    </row>
    <row r="329" ht="22.5" customHeight="1">
      <c r="A329" s="5">
        <v>45967.0</v>
      </c>
      <c r="B329" s="28">
        <v>12.0</v>
      </c>
      <c r="C329" s="22"/>
      <c r="D329" s="22"/>
      <c r="E329" s="163"/>
      <c r="F329" s="64"/>
      <c r="G329" s="164"/>
      <c r="H329" s="19"/>
      <c r="J329" s="155"/>
    </row>
    <row r="330" ht="22.5" customHeight="1">
      <c r="A330" s="5">
        <v>45968.0</v>
      </c>
      <c r="B330" s="28">
        <v>12.0</v>
      </c>
      <c r="C330" s="22"/>
      <c r="D330" s="22"/>
      <c r="E330" s="163"/>
      <c r="F330" s="64"/>
      <c r="G330" s="164"/>
      <c r="H330" s="19"/>
      <c r="J330" s="155"/>
    </row>
    <row r="331" ht="22.5" customHeight="1">
      <c r="A331" s="5">
        <v>45967.0</v>
      </c>
      <c r="B331" s="28">
        <v>12.0</v>
      </c>
      <c r="C331" s="22"/>
      <c r="D331" s="22"/>
      <c r="E331" s="163"/>
      <c r="F331" s="64"/>
      <c r="G331" s="164"/>
      <c r="H331" s="19"/>
      <c r="J331" s="155"/>
    </row>
    <row r="332" ht="22.5" customHeight="1">
      <c r="A332" s="5">
        <v>45968.0</v>
      </c>
      <c r="B332" s="28">
        <v>12.0</v>
      </c>
      <c r="C332" s="22"/>
      <c r="D332" s="22"/>
      <c r="E332" s="163"/>
      <c r="F332" s="64"/>
      <c r="G332" s="164"/>
      <c r="H332" s="19"/>
      <c r="J332" s="155"/>
    </row>
    <row r="333" ht="22.5" customHeight="1">
      <c r="A333" s="5">
        <v>45967.0</v>
      </c>
      <c r="B333" s="28">
        <v>12.0</v>
      </c>
      <c r="C333" s="22"/>
      <c r="D333" s="22"/>
      <c r="E333" s="163"/>
      <c r="F333" s="64"/>
      <c r="G333" s="164"/>
      <c r="H333" s="19"/>
      <c r="J333" s="155"/>
    </row>
    <row r="334" ht="22.5" customHeight="1">
      <c r="A334" s="5">
        <v>45968.0</v>
      </c>
      <c r="B334" s="28">
        <v>12.0</v>
      </c>
      <c r="C334" s="22"/>
      <c r="D334" s="22"/>
      <c r="E334" s="163"/>
      <c r="F334" s="64"/>
      <c r="G334" s="164"/>
      <c r="H334" s="19"/>
      <c r="J334" s="155"/>
    </row>
    <row r="335" ht="22.5" customHeight="1">
      <c r="A335" s="5">
        <v>45967.0</v>
      </c>
      <c r="B335" s="28">
        <v>12.0</v>
      </c>
      <c r="C335" s="22"/>
      <c r="D335" s="22"/>
      <c r="E335" s="163"/>
      <c r="F335" s="64"/>
      <c r="G335" s="164"/>
      <c r="H335" s="19"/>
      <c r="J335" s="155"/>
    </row>
    <row r="336" ht="22.5" customHeight="1">
      <c r="A336" s="5">
        <v>45968.0</v>
      </c>
      <c r="B336" s="28">
        <v>12.0</v>
      </c>
      <c r="C336" s="22"/>
      <c r="D336" s="22"/>
      <c r="E336" s="163"/>
      <c r="F336" s="64"/>
      <c r="G336" s="164"/>
      <c r="H336" s="19"/>
      <c r="J336" s="155"/>
    </row>
    <row r="337" ht="22.5" customHeight="1">
      <c r="A337" s="5">
        <v>45967.0</v>
      </c>
      <c r="B337" s="28">
        <v>12.0</v>
      </c>
      <c r="C337" s="22"/>
      <c r="D337" s="22"/>
      <c r="E337" s="163"/>
      <c r="F337" s="64"/>
      <c r="G337" s="164"/>
      <c r="H337" s="19"/>
      <c r="J337" s="155"/>
    </row>
    <row r="338" ht="22.5" customHeight="1">
      <c r="A338" s="5">
        <v>45968.0</v>
      </c>
      <c r="B338" s="28">
        <v>12.0</v>
      </c>
      <c r="C338" s="22"/>
      <c r="D338" s="22"/>
      <c r="E338" s="163"/>
      <c r="F338" s="64"/>
      <c r="G338" s="164"/>
      <c r="H338" s="19"/>
      <c r="J338" s="155"/>
    </row>
    <row r="339" ht="22.5" customHeight="1">
      <c r="A339" s="5">
        <v>45967.0</v>
      </c>
      <c r="B339" s="28">
        <v>12.0</v>
      </c>
      <c r="C339" s="22"/>
      <c r="D339" s="22"/>
      <c r="E339" s="163"/>
      <c r="F339" s="64"/>
      <c r="G339" s="164"/>
      <c r="H339" s="19"/>
      <c r="J339" s="155"/>
    </row>
    <row r="340" ht="22.5" customHeight="1">
      <c r="A340" s="5">
        <v>45968.0</v>
      </c>
      <c r="B340" s="28">
        <v>12.0</v>
      </c>
      <c r="C340" s="22"/>
      <c r="D340" s="22"/>
      <c r="E340" s="163"/>
      <c r="F340" s="64"/>
      <c r="G340" s="164"/>
      <c r="H340" s="19"/>
      <c r="J340" s="155"/>
    </row>
    <row r="341" ht="22.5" customHeight="1">
      <c r="A341" s="5">
        <v>45967.0</v>
      </c>
      <c r="B341" s="28">
        <v>12.0</v>
      </c>
      <c r="C341" s="22"/>
      <c r="D341" s="22"/>
      <c r="E341" s="163"/>
      <c r="F341" s="64"/>
      <c r="G341" s="164"/>
      <c r="H341" s="19"/>
      <c r="J341" s="155"/>
    </row>
    <row r="342" ht="22.5" customHeight="1">
      <c r="A342" s="5">
        <v>45968.0</v>
      </c>
      <c r="B342" s="28">
        <v>12.0</v>
      </c>
      <c r="C342" s="22"/>
      <c r="D342" s="22"/>
      <c r="E342" s="163"/>
      <c r="F342" s="64"/>
      <c r="G342" s="164"/>
      <c r="H342" s="19"/>
      <c r="J342" s="155"/>
    </row>
    <row r="343" ht="22.5" customHeight="1">
      <c r="A343" s="5">
        <v>45967.0</v>
      </c>
      <c r="B343" s="28">
        <v>12.0</v>
      </c>
      <c r="C343" s="22"/>
      <c r="D343" s="22"/>
      <c r="E343" s="163"/>
      <c r="F343" s="64"/>
      <c r="G343" s="164"/>
      <c r="H343" s="19"/>
      <c r="J343" s="155"/>
    </row>
    <row r="344" ht="22.5" customHeight="1">
      <c r="A344" s="5">
        <v>45968.0</v>
      </c>
      <c r="B344" s="28">
        <v>12.0</v>
      </c>
      <c r="C344" s="22"/>
      <c r="D344" s="22"/>
      <c r="E344" s="163"/>
      <c r="F344" s="64"/>
      <c r="G344" s="164"/>
      <c r="H344" s="19"/>
      <c r="J344" s="155"/>
    </row>
    <row r="345" ht="22.5" customHeight="1">
      <c r="A345" s="5">
        <v>45967.0</v>
      </c>
      <c r="B345" s="28">
        <v>12.0</v>
      </c>
      <c r="C345" s="22"/>
      <c r="D345" s="22"/>
      <c r="E345" s="163"/>
      <c r="F345" s="64"/>
      <c r="G345" s="164"/>
      <c r="H345" s="19"/>
      <c r="J345" s="155"/>
    </row>
    <row r="346" ht="22.5" customHeight="1">
      <c r="A346" s="5">
        <v>45968.0</v>
      </c>
      <c r="B346" s="28">
        <v>12.0</v>
      </c>
      <c r="C346" s="22"/>
      <c r="D346" s="22"/>
      <c r="E346" s="163"/>
      <c r="F346" s="64"/>
      <c r="G346" s="164"/>
      <c r="H346" s="19"/>
      <c r="J346" s="155"/>
    </row>
    <row r="347" ht="22.5" customHeight="1">
      <c r="A347" s="5">
        <v>45967.0</v>
      </c>
      <c r="B347" s="28">
        <v>12.0</v>
      </c>
      <c r="C347" s="22"/>
      <c r="D347" s="22"/>
      <c r="E347" s="163"/>
      <c r="F347" s="64"/>
      <c r="G347" s="164"/>
      <c r="H347" s="19"/>
      <c r="J347" s="155"/>
    </row>
    <row r="348" ht="22.5" customHeight="1">
      <c r="A348" s="5">
        <v>45968.0</v>
      </c>
      <c r="B348" s="28">
        <v>12.0</v>
      </c>
      <c r="C348" s="22"/>
      <c r="D348" s="22"/>
      <c r="E348" s="163"/>
      <c r="F348" s="64"/>
      <c r="G348" s="164"/>
      <c r="H348" s="19"/>
      <c r="J348" s="155"/>
    </row>
    <row r="349" ht="22.5" customHeight="1">
      <c r="A349" s="5">
        <v>45967.0</v>
      </c>
      <c r="B349" s="28">
        <v>12.0</v>
      </c>
      <c r="C349" s="22"/>
      <c r="D349" s="22"/>
      <c r="E349" s="163"/>
      <c r="F349" s="64"/>
      <c r="G349" s="164"/>
      <c r="H349" s="19"/>
      <c r="J349" s="155"/>
    </row>
    <row r="350" ht="22.5" customHeight="1">
      <c r="A350" s="5">
        <v>45968.0</v>
      </c>
      <c r="B350" s="28">
        <v>12.0</v>
      </c>
      <c r="C350" s="22"/>
      <c r="D350" s="22"/>
      <c r="E350" s="163"/>
      <c r="F350" s="64"/>
      <c r="G350" s="164"/>
      <c r="H350" s="19"/>
      <c r="J350" s="155"/>
    </row>
    <row r="351" ht="22.5" customHeight="1">
      <c r="A351" s="5">
        <v>45967.0</v>
      </c>
      <c r="B351" s="28">
        <v>12.0</v>
      </c>
      <c r="C351" s="22"/>
      <c r="D351" s="22"/>
      <c r="E351" s="163"/>
      <c r="F351" s="64"/>
      <c r="G351" s="164"/>
      <c r="H351" s="19"/>
      <c r="J351" s="155"/>
    </row>
    <row r="352" ht="22.5" customHeight="1">
      <c r="A352" s="5">
        <v>45968.0</v>
      </c>
      <c r="B352" s="28">
        <v>12.0</v>
      </c>
      <c r="C352" s="22"/>
      <c r="D352" s="22"/>
      <c r="E352" s="163"/>
      <c r="F352" s="64"/>
      <c r="G352" s="164"/>
      <c r="H352" s="19"/>
      <c r="J352" s="155"/>
    </row>
    <row r="353" ht="22.5" customHeight="1">
      <c r="A353" s="5">
        <v>45967.0</v>
      </c>
      <c r="B353" s="28">
        <v>12.0</v>
      </c>
      <c r="C353" s="22"/>
      <c r="D353" s="22"/>
      <c r="E353" s="163"/>
      <c r="F353" s="64"/>
      <c r="G353" s="164"/>
      <c r="H353" s="19"/>
      <c r="J353" s="155"/>
    </row>
    <row r="354" ht="22.5" customHeight="1">
      <c r="A354" s="5">
        <v>45968.0</v>
      </c>
      <c r="B354" s="28">
        <v>12.0</v>
      </c>
      <c r="C354" s="22"/>
      <c r="D354" s="22"/>
      <c r="E354" s="163"/>
      <c r="F354" s="64"/>
      <c r="G354" s="164"/>
      <c r="H354" s="19"/>
      <c r="J354" s="155"/>
    </row>
    <row r="355" ht="22.5" customHeight="1">
      <c r="A355" s="5">
        <v>45967.0</v>
      </c>
      <c r="B355" s="28">
        <v>12.0</v>
      </c>
      <c r="C355" s="22"/>
      <c r="D355" s="22"/>
      <c r="E355" s="163"/>
      <c r="F355" s="64"/>
      <c r="G355" s="164"/>
      <c r="H355" s="19"/>
      <c r="J355" s="155"/>
    </row>
    <row r="356" ht="22.5" customHeight="1">
      <c r="A356" s="5">
        <v>45968.0</v>
      </c>
      <c r="B356" s="28">
        <v>12.0</v>
      </c>
      <c r="C356" s="22"/>
      <c r="D356" s="22"/>
      <c r="E356" s="163"/>
      <c r="F356" s="64"/>
      <c r="G356" s="164"/>
      <c r="H356" s="19"/>
      <c r="J356" s="155"/>
    </row>
    <row r="357" ht="22.5" customHeight="1">
      <c r="A357" s="5">
        <v>45967.0</v>
      </c>
      <c r="B357" s="28">
        <v>12.0</v>
      </c>
      <c r="C357" s="22"/>
      <c r="D357" s="22"/>
      <c r="E357" s="163"/>
      <c r="F357" s="64"/>
      <c r="G357" s="164"/>
      <c r="H357" s="19"/>
      <c r="J357" s="155"/>
    </row>
    <row r="358" ht="22.5" customHeight="1">
      <c r="A358" s="5">
        <v>45968.0</v>
      </c>
      <c r="B358" s="28">
        <v>12.0</v>
      </c>
      <c r="C358" s="22"/>
      <c r="D358" s="22"/>
      <c r="E358" s="163"/>
      <c r="F358" s="64"/>
      <c r="G358" s="164"/>
      <c r="H358" s="19"/>
      <c r="J358" s="155"/>
    </row>
    <row r="359" ht="22.5" customHeight="1">
      <c r="A359" s="5">
        <v>45967.0</v>
      </c>
      <c r="B359" s="28">
        <v>12.0</v>
      </c>
      <c r="C359" s="22"/>
      <c r="D359" s="22"/>
      <c r="E359" s="163"/>
      <c r="F359" s="64"/>
      <c r="G359" s="164"/>
      <c r="H359" s="19"/>
      <c r="J359" s="155"/>
    </row>
    <row r="360" ht="22.5" customHeight="1">
      <c r="A360" s="5">
        <v>45968.0</v>
      </c>
      <c r="B360" s="28">
        <v>12.0</v>
      </c>
      <c r="C360" s="22"/>
      <c r="D360" s="22"/>
      <c r="E360" s="163"/>
      <c r="F360" s="64"/>
      <c r="G360" s="164"/>
      <c r="H360" s="19"/>
      <c r="J360" s="155"/>
    </row>
    <row r="361" ht="22.5" customHeight="1">
      <c r="A361" s="5">
        <v>45967.0</v>
      </c>
      <c r="B361" s="28">
        <v>12.0</v>
      </c>
      <c r="C361" s="22"/>
      <c r="D361" s="22"/>
      <c r="E361" s="163"/>
      <c r="F361" s="64"/>
      <c r="G361" s="164"/>
      <c r="H361" s="19"/>
      <c r="J361" s="155"/>
    </row>
    <row r="362" ht="22.5" customHeight="1">
      <c r="A362" s="5">
        <v>45968.0</v>
      </c>
      <c r="B362" s="28">
        <v>12.0</v>
      </c>
      <c r="C362" s="22"/>
      <c r="D362" s="22"/>
      <c r="E362" s="163"/>
      <c r="F362" s="64"/>
      <c r="G362" s="164"/>
      <c r="H362" s="19"/>
      <c r="J362" s="155"/>
    </row>
    <row r="363" ht="22.5" customHeight="1">
      <c r="A363" s="5">
        <v>45967.0</v>
      </c>
      <c r="B363" s="28">
        <v>12.0</v>
      </c>
      <c r="C363" s="22"/>
      <c r="D363" s="22"/>
      <c r="E363" s="163"/>
      <c r="F363" s="64"/>
      <c r="G363" s="164"/>
      <c r="H363" s="19"/>
      <c r="J363" s="155"/>
    </row>
    <row r="364" ht="22.5" customHeight="1">
      <c r="A364" s="5">
        <v>45968.0</v>
      </c>
      <c r="B364" s="28">
        <v>12.0</v>
      </c>
      <c r="C364" s="22"/>
      <c r="D364" s="22"/>
      <c r="E364" s="163"/>
      <c r="F364" s="64"/>
      <c r="G364" s="164"/>
      <c r="H364" s="19"/>
      <c r="J364" s="155"/>
    </row>
    <row r="365" ht="22.5" customHeight="1">
      <c r="A365" s="5">
        <v>45967.0</v>
      </c>
      <c r="B365" s="28">
        <v>12.0</v>
      </c>
      <c r="C365" s="22"/>
      <c r="D365" s="22"/>
      <c r="E365" s="163"/>
      <c r="F365" s="64"/>
      <c r="G365" s="164"/>
      <c r="H365" s="19"/>
      <c r="J365" s="155"/>
    </row>
    <row r="366" ht="22.5" customHeight="1">
      <c r="A366" s="5">
        <v>45968.0</v>
      </c>
      <c r="B366" s="28">
        <v>12.0</v>
      </c>
      <c r="C366" s="22"/>
      <c r="D366" s="22"/>
      <c r="E366" s="163"/>
      <c r="F366" s="64"/>
      <c r="G366" s="164"/>
      <c r="H366" s="19"/>
      <c r="J366" s="155"/>
    </row>
    <row r="367" ht="22.5" customHeight="1">
      <c r="A367" s="5">
        <v>45967.0</v>
      </c>
      <c r="B367" s="28">
        <v>12.0</v>
      </c>
      <c r="C367" s="22"/>
      <c r="D367" s="22"/>
      <c r="E367" s="163"/>
      <c r="F367" s="64"/>
      <c r="G367" s="164"/>
      <c r="H367" s="19"/>
      <c r="J367" s="155"/>
    </row>
    <row r="368" ht="22.5" customHeight="1">
      <c r="A368" s="5">
        <v>45968.0</v>
      </c>
      <c r="B368" s="28">
        <v>12.0</v>
      </c>
      <c r="C368" s="22"/>
      <c r="D368" s="22"/>
      <c r="E368" s="163"/>
      <c r="F368" s="64"/>
      <c r="G368" s="164"/>
      <c r="H368" s="19"/>
      <c r="J368" s="155"/>
    </row>
    <row r="369" ht="22.5" customHeight="1">
      <c r="A369" s="5">
        <v>45967.0</v>
      </c>
      <c r="B369" s="28">
        <v>12.0</v>
      </c>
      <c r="C369" s="22"/>
      <c r="D369" s="22"/>
      <c r="E369" s="163"/>
      <c r="F369" s="64"/>
      <c r="G369" s="164"/>
      <c r="H369" s="19"/>
      <c r="J369" s="155"/>
    </row>
    <row r="370" ht="22.5" customHeight="1">
      <c r="A370" s="5">
        <v>45968.0</v>
      </c>
      <c r="B370" s="28">
        <v>12.0</v>
      </c>
      <c r="C370" s="22"/>
      <c r="D370" s="22"/>
      <c r="E370" s="163"/>
      <c r="F370" s="64"/>
      <c r="G370" s="164"/>
      <c r="H370" s="19"/>
      <c r="J370" s="155"/>
    </row>
    <row r="371" ht="22.5" customHeight="1">
      <c r="A371" s="5">
        <v>45967.0</v>
      </c>
      <c r="B371" s="28">
        <v>12.0</v>
      </c>
      <c r="C371" s="22"/>
      <c r="D371" s="22"/>
      <c r="E371" s="163"/>
      <c r="F371" s="64"/>
      <c r="G371" s="164"/>
      <c r="H371" s="19"/>
      <c r="J371" s="155"/>
    </row>
    <row r="372" ht="22.5" customHeight="1">
      <c r="A372" s="5">
        <v>45968.0</v>
      </c>
      <c r="B372" s="28">
        <v>12.0</v>
      </c>
      <c r="C372" s="22"/>
      <c r="D372" s="22"/>
      <c r="E372" s="163"/>
      <c r="F372" s="64"/>
      <c r="G372" s="164"/>
      <c r="H372" s="19"/>
      <c r="J372" s="155"/>
    </row>
    <row r="373" ht="22.5" customHeight="1">
      <c r="A373" s="5">
        <v>45967.0</v>
      </c>
      <c r="B373" s="28">
        <v>12.0</v>
      </c>
      <c r="C373" s="22"/>
      <c r="D373" s="22"/>
      <c r="E373" s="163"/>
      <c r="F373" s="64"/>
      <c r="G373" s="164"/>
      <c r="H373" s="19"/>
      <c r="J373" s="155"/>
    </row>
    <row r="374" ht="22.5" customHeight="1">
      <c r="A374" s="5">
        <v>45968.0</v>
      </c>
      <c r="B374" s="28">
        <v>12.0</v>
      </c>
      <c r="C374" s="22"/>
      <c r="D374" s="22"/>
      <c r="E374" s="163"/>
      <c r="F374" s="64"/>
      <c r="G374" s="164"/>
      <c r="H374" s="19"/>
      <c r="J374" s="155"/>
    </row>
    <row r="375" ht="22.5" customHeight="1">
      <c r="A375" s="5">
        <v>45967.0</v>
      </c>
      <c r="B375" s="28">
        <v>12.0</v>
      </c>
      <c r="C375" s="22"/>
      <c r="D375" s="22"/>
      <c r="E375" s="163"/>
      <c r="F375" s="64"/>
      <c r="G375" s="164"/>
      <c r="H375" s="19"/>
      <c r="J375" s="155"/>
    </row>
    <row r="376" ht="22.5" customHeight="1">
      <c r="A376" s="5">
        <v>45968.0</v>
      </c>
      <c r="B376" s="28">
        <v>12.0</v>
      </c>
      <c r="C376" s="22"/>
      <c r="D376" s="22"/>
      <c r="E376" s="163"/>
      <c r="F376" s="64"/>
      <c r="G376" s="164"/>
      <c r="H376" s="19"/>
      <c r="J376" s="155"/>
    </row>
    <row r="377" ht="22.5" customHeight="1">
      <c r="A377" s="5">
        <v>45967.0</v>
      </c>
      <c r="B377" s="28">
        <v>12.0</v>
      </c>
      <c r="C377" s="22"/>
      <c r="D377" s="22"/>
      <c r="E377" s="163"/>
      <c r="F377" s="64"/>
      <c r="G377" s="164"/>
      <c r="H377" s="19"/>
      <c r="J377" s="155"/>
    </row>
    <row r="378" ht="22.5" customHeight="1">
      <c r="A378" s="5">
        <v>45968.0</v>
      </c>
      <c r="B378" s="28">
        <v>12.0</v>
      </c>
      <c r="C378" s="22"/>
      <c r="D378" s="22"/>
      <c r="E378" s="163"/>
      <c r="F378" s="64"/>
      <c r="G378" s="164"/>
      <c r="H378" s="19"/>
      <c r="J378" s="155"/>
    </row>
    <row r="379" ht="22.5" customHeight="1">
      <c r="A379" s="5">
        <v>45967.0</v>
      </c>
      <c r="B379" s="28">
        <v>12.0</v>
      </c>
      <c r="C379" s="22"/>
      <c r="D379" s="22"/>
      <c r="E379" s="163"/>
      <c r="F379" s="64"/>
      <c r="G379" s="164"/>
      <c r="H379" s="19"/>
      <c r="J379" s="155"/>
    </row>
    <row r="380" ht="22.5" customHeight="1">
      <c r="A380" s="5">
        <v>45968.0</v>
      </c>
      <c r="B380" s="28">
        <v>12.0</v>
      </c>
      <c r="C380" s="22"/>
      <c r="D380" s="22"/>
      <c r="E380" s="163"/>
      <c r="F380" s="64"/>
      <c r="G380" s="164"/>
      <c r="H380" s="19"/>
      <c r="J380" s="155"/>
    </row>
    <row r="381" ht="22.5" customHeight="1">
      <c r="A381" s="5">
        <v>45967.0</v>
      </c>
      <c r="B381" s="28">
        <v>12.0</v>
      </c>
      <c r="C381" s="22"/>
      <c r="D381" s="22"/>
      <c r="E381" s="163"/>
      <c r="F381" s="64"/>
      <c r="G381" s="164"/>
      <c r="H381" s="19"/>
      <c r="J381" s="155"/>
    </row>
    <row r="382" ht="22.5" customHeight="1">
      <c r="A382" s="5">
        <v>45968.0</v>
      </c>
      <c r="B382" s="28">
        <v>12.0</v>
      </c>
      <c r="C382" s="22"/>
      <c r="D382" s="22"/>
      <c r="E382" s="163"/>
      <c r="F382" s="64"/>
      <c r="G382" s="164"/>
      <c r="H382" s="19"/>
      <c r="J382" s="155"/>
    </row>
    <row r="383" ht="22.5" customHeight="1">
      <c r="A383" s="5">
        <v>45967.0</v>
      </c>
      <c r="B383" s="28">
        <v>12.0</v>
      </c>
      <c r="C383" s="22"/>
      <c r="D383" s="22"/>
      <c r="E383" s="163"/>
      <c r="F383" s="64"/>
      <c r="G383" s="164"/>
      <c r="H383" s="19"/>
      <c r="J383" s="155"/>
    </row>
    <row r="384" ht="22.5" customHeight="1">
      <c r="A384" s="5">
        <v>45968.0</v>
      </c>
      <c r="B384" s="28">
        <v>12.0</v>
      </c>
      <c r="C384" s="22"/>
      <c r="D384" s="22"/>
      <c r="E384" s="163"/>
      <c r="F384" s="64"/>
      <c r="G384" s="164"/>
      <c r="H384" s="19"/>
      <c r="J384" s="155"/>
    </row>
    <row r="385" ht="22.5" customHeight="1">
      <c r="A385" s="5">
        <v>45967.0</v>
      </c>
      <c r="B385" s="28">
        <v>12.0</v>
      </c>
      <c r="C385" s="22"/>
      <c r="D385" s="22"/>
      <c r="E385" s="163"/>
      <c r="F385" s="64"/>
      <c r="G385" s="164"/>
      <c r="H385" s="19"/>
      <c r="J385" s="155"/>
    </row>
    <row r="386" ht="22.5" customHeight="1">
      <c r="A386" s="5">
        <v>45968.0</v>
      </c>
      <c r="B386" s="28">
        <v>12.0</v>
      </c>
      <c r="C386" s="22"/>
      <c r="D386" s="22"/>
      <c r="E386" s="163"/>
      <c r="F386" s="64"/>
      <c r="G386" s="164"/>
      <c r="H386" s="19"/>
      <c r="J386" s="155"/>
    </row>
    <row r="387" ht="22.5" customHeight="1">
      <c r="A387" s="5">
        <v>45967.0</v>
      </c>
      <c r="B387" s="28">
        <v>12.0</v>
      </c>
      <c r="C387" s="22"/>
      <c r="D387" s="22"/>
      <c r="E387" s="163"/>
      <c r="F387" s="64"/>
      <c r="G387" s="164"/>
      <c r="H387" s="19"/>
      <c r="J387" s="155"/>
    </row>
    <row r="388" ht="22.5" customHeight="1">
      <c r="A388" s="5">
        <v>45968.0</v>
      </c>
      <c r="B388" s="28">
        <v>12.0</v>
      </c>
      <c r="C388" s="22"/>
      <c r="D388" s="22"/>
      <c r="E388" s="163"/>
      <c r="F388" s="64"/>
      <c r="G388" s="164"/>
      <c r="H388" s="19"/>
      <c r="J388" s="155"/>
    </row>
    <row r="389" ht="22.5" customHeight="1">
      <c r="A389" s="5">
        <v>45967.0</v>
      </c>
      <c r="B389" s="28">
        <v>12.0</v>
      </c>
      <c r="C389" s="22"/>
      <c r="D389" s="22"/>
      <c r="E389" s="163"/>
      <c r="F389" s="64"/>
      <c r="G389" s="164"/>
      <c r="H389" s="19"/>
      <c r="J389" s="155"/>
    </row>
    <row r="390" ht="22.5" customHeight="1">
      <c r="A390" s="5">
        <v>45968.0</v>
      </c>
      <c r="B390" s="28">
        <v>12.0</v>
      </c>
      <c r="C390" s="22"/>
      <c r="D390" s="22"/>
      <c r="E390" s="163"/>
      <c r="F390" s="64"/>
      <c r="G390" s="164"/>
      <c r="H390" s="19"/>
      <c r="J390" s="155"/>
    </row>
    <row r="391" ht="22.5" customHeight="1">
      <c r="A391" s="5">
        <v>45967.0</v>
      </c>
      <c r="B391" s="28">
        <v>12.0</v>
      </c>
      <c r="C391" s="22"/>
      <c r="D391" s="22"/>
      <c r="E391" s="163"/>
      <c r="F391" s="64"/>
      <c r="G391" s="164"/>
      <c r="H391" s="19"/>
      <c r="J391" s="155"/>
    </row>
    <row r="392" ht="22.5" customHeight="1">
      <c r="A392" s="5">
        <v>45968.0</v>
      </c>
      <c r="B392" s="28">
        <v>12.0</v>
      </c>
      <c r="C392" s="22"/>
      <c r="D392" s="22"/>
      <c r="E392" s="163"/>
      <c r="F392" s="64"/>
      <c r="G392" s="164"/>
      <c r="H392" s="19"/>
      <c r="J392" s="155"/>
    </row>
    <row r="393" ht="22.5" customHeight="1">
      <c r="A393" s="5">
        <v>45967.0</v>
      </c>
      <c r="B393" s="28">
        <v>12.0</v>
      </c>
      <c r="C393" s="22"/>
      <c r="D393" s="22"/>
      <c r="E393" s="163"/>
      <c r="F393" s="64"/>
      <c r="G393" s="164"/>
      <c r="H393" s="19"/>
      <c r="J393" s="155"/>
    </row>
    <row r="394" ht="22.5" customHeight="1">
      <c r="A394" s="5">
        <v>45968.0</v>
      </c>
      <c r="B394" s="28">
        <v>12.0</v>
      </c>
      <c r="C394" s="22"/>
      <c r="D394" s="22"/>
      <c r="E394" s="163"/>
      <c r="F394" s="64"/>
      <c r="G394" s="164"/>
      <c r="H394" s="19"/>
      <c r="J394" s="155"/>
    </row>
    <row r="395" ht="22.5" customHeight="1">
      <c r="A395" s="5">
        <v>45967.0</v>
      </c>
      <c r="B395" s="28">
        <v>12.0</v>
      </c>
      <c r="C395" s="22"/>
      <c r="D395" s="22"/>
      <c r="E395" s="163"/>
      <c r="F395" s="64"/>
      <c r="G395" s="164"/>
      <c r="H395" s="19"/>
      <c r="J395" s="155"/>
    </row>
    <row r="396" ht="22.5" customHeight="1">
      <c r="A396" s="5">
        <v>45968.0</v>
      </c>
      <c r="B396" s="28">
        <v>12.0</v>
      </c>
      <c r="C396" s="22"/>
      <c r="D396" s="22"/>
      <c r="E396" s="163"/>
      <c r="F396" s="64"/>
      <c r="G396" s="164"/>
      <c r="H396" s="19"/>
      <c r="J396" s="155"/>
    </row>
    <row r="397" ht="22.5" customHeight="1">
      <c r="A397" s="5">
        <v>45967.0</v>
      </c>
      <c r="B397" s="28">
        <v>12.0</v>
      </c>
      <c r="C397" s="22"/>
      <c r="D397" s="22"/>
      <c r="E397" s="163"/>
      <c r="F397" s="64"/>
      <c r="G397" s="164"/>
      <c r="H397" s="19"/>
      <c r="J397" s="155"/>
    </row>
    <row r="398" ht="22.5" customHeight="1">
      <c r="A398" s="5">
        <v>45968.0</v>
      </c>
      <c r="B398" s="28">
        <v>12.0</v>
      </c>
      <c r="C398" s="22"/>
      <c r="D398" s="22"/>
      <c r="E398" s="163"/>
      <c r="F398" s="64"/>
      <c r="G398" s="164"/>
      <c r="H398" s="19"/>
      <c r="J398" s="155"/>
    </row>
    <row r="399" ht="22.5" customHeight="1">
      <c r="A399" s="5">
        <v>45967.0</v>
      </c>
      <c r="B399" s="28">
        <v>12.0</v>
      </c>
      <c r="C399" s="22"/>
      <c r="D399" s="22"/>
      <c r="E399" s="163"/>
      <c r="F399" s="64"/>
      <c r="G399" s="164"/>
      <c r="H399" s="19"/>
      <c r="J399" s="155"/>
    </row>
    <row r="400" ht="22.5" customHeight="1">
      <c r="A400" s="5">
        <v>45968.0</v>
      </c>
      <c r="B400" s="28">
        <v>12.0</v>
      </c>
      <c r="C400" s="22"/>
      <c r="D400" s="22"/>
      <c r="E400" s="163"/>
      <c r="F400" s="64"/>
      <c r="G400" s="164"/>
      <c r="H400" s="19"/>
      <c r="J400" s="155"/>
    </row>
    <row r="401" ht="22.5" customHeight="1">
      <c r="A401" s="5">
        <v>45967.0</v>
      </c>
      <c r="B401" s="28">
        <v>12.0</v>
      </c>
      <c r="C401" s="22"/>
      <c r="D401" s="22"/>
      <c r="E401" s="163"/>
      <c r="F401" s="64"/>
      <c r="G401" s="164"/>
      <c r="H401" s="19"/>
      <c r="J401" s="155"/>
    </row>
    <row r="402" ht="22.5" customHeight="1">
      <c r="A402" s="5">
        <v>45968.0</v>
      </c>
      <c r="B402" s="28">
        <v>12.0</v>
      </c>
      <c r="C402" s="22"/>
      <c r="D402" s="22"/>
      <c r="E402" s="163"/>
      <c r="F402" s="64"/>
      <c r="G402" s="164"/>
      <c r="H402" s="19"/>
      <c r="J402" s="155"/>
    </row>
    <row r="403" ht="22.5" customHeight="1">
      <c r="A403" s="5">
        <v>45967.0</v>
      </c>
      <c r="B403" s="28">
        <v>12.0</v>
      </c>
      <c r="C403" s="22"/>
      <c r="D403" s="22"/>
      <c r="E403" s="163"/>
      <c r="F403" s="64"/>
      <c r="G403" s="164"/>
      <c r="H403" s="19"/>
      <c r="J403" s="155"/>
    </row>
    <row r="404" ht="22.5" customHeight="1">
      <c r="A404" s="5">
        <v>45968.0</v>
      </c>
      <c r="B404" s="28">
        <v>12.0</v>
      </c>
      <c r="C404" s="22"/>
      <c r="D404" s="22"/>
      <c r="E404" s="163"/>
      <c r="F404" s="64"/>
      <c r="G404" s="164"/>
      <c r="H404" s="19"/>
      <c r="J404" s="155"/>
    </row>
    <row r="405" ht="22.5" customHeight="1">
      <c r="A405" s="5">
        <v>45967.0</v>
      </c>
      <c r="B405" s="28">
        <v>12.0</v>
      </c>
      <c r="C405" s="22"/>
      <c r="D405" s="22"/>
      <c r="E405" s="163"/>
      <c r="F405" s="64"/>
      <c r="G405" s="164"/>
      <c r="H405" s="19"/>
      <c r="J405" s="155"/>
    </row>
    <row r="406" ht="22.5" customHeight="1">
      <c r="A406" s="5">
        <v>45968.0</v>
      </c>
      <c r="B406" s="28">
        <v>12.0</v>
      </c>
      <c r="C406" s="22"/>
      <c r="D406" s="22"/>
      <c r="E406" s="163"/>
      <c r="F406" s="64"/>
      <c r="G406" s="164"/>
      <c r="H406" s="19"/>
      <c r="J406" s="155"/>
    </row>
    <row r="407" ht="22.5" customHeight="1">
      <c r="A407" s="5">
        <v>45967.0</v>
      </c>
      <c r="B407" s="28">
        <v>12.0</v>
      </c>
      <c r="C407" s="22"/>
      <c r="D407" s="22"/>
      <c r="E407" s="163"/>
      <c r="F407" s="64"/>
      <c r="G407" s="164"/>
      <c r="H407" s="19"/>
      <c r="J407" s="155"/>
    </row>
    <row r="408" ht="22.5" customHeight="1">
      <c r="A408" s="5">
        <v>45968.0</v>
      </c>
      <c r="B408" s="28">
        <v>12.0</v>
      </c>
      <c r="C408" s="22"/>
      <c r="D408" s="22"/>
      <c r="E408" s="163"/>
      <c r="F408" s="64"/>
      <c r="G408" s="164"/>
      <c r="H408" s="19"/>
      <c r="J408" s="155"/>
    </row>
    <row r="409" ht="22.5" customHeight="1">
      <c r="A409" s="5">
        <v>45967.0</v>
      </c>
      <c r="B409" s="28">
        <v>12.0</v>
      </c>
      <c r="C409" s="22"/>
      <c r="D409" s="22"/>
      <c r="E409" s="163"/>
      <c r="F409" s="64"/>
      <c r="G409" s="164"/>
      <c r="H409" s="19"/>
      <c r="J409" s="155"/>
    </row>
    <row r="410" ht="22.5" customHeight="1">
      <c r="A410" s="5">
        <v>45968.0</v>
      </c>
      <c r="B410" s="28">
        <v>12.0</v>
      </c>
      <c r="C410" s="22"/>
      <c r="D410" s="22"/>
      <c r="E410" s="163"/>
      <c r="F410" s="64"/>
      <c r="G410" s="164"/>
      <c r="H410" s="19"/>
      <c r="J410" s="155"/>
    </row>
    <row r="411" ht="22.5" customHeight="1">
      <c r="A411" s="5">
        <v>45967.0</v>
      </c>
      <c r="B411" s="28">
        <v>12.0</v>
      </c>
      <c r="C411" s="22"/>
      <c r="D411" s="22"/>
      <c r="E411" s="163"/>
      <c r="F411" s="64"/>
      <c r="G411" s="164"/>
      <c r="H411" s="19"/>
      <c r="J411" s="155"/>
    </row>
    <row r="412" ht="22.5" customHeight="1">
      <c r="A412" s="5">
        <v>45968.0</v>
      </c>
      <c r="B412" s="28">
        <v>12.0</v>
      </c>
      <c r="C412" s="22"/>
      <c r="D412" s="22"/>
      <c r="E412" s="163"/>
      <c r="F412" s="64"/>
      <c r="G412" s="164"/>
      <c r="H412" s="19"/>
      <c r="J412" s="155"/>
    </row>
    <row r="413" ht="22.5" customHeight="1">
      <c r="A413" s="5">
        <v>45967.0</v>
      </c>
      <c r="B413" s="28">
        <v>12.0</v>
      </c>
      <c r="C413" s="22"/>
      <c r="D413" s="22"/>
      <c r="E413" s="163"/>
      <c r="F413" s="64"/>
      <c r="G413" s="164"/>
      <c r="H413" s="19"/>
      <c r="J413" s="155"/>
    </row>
    <row r="414" ht="22.5" customHeight="1">
      <c r="A414" s="5">
        <v>45968.0</v>
      </c>
      <c r="B414" s="28">
        <v>12.0</v>
      </c>
      <c r="C414" s="22"/>
      <c r="D414" s="22"/>
      <c r="E414" s="163"/>
      <c r="F414" s="64"/>
      <c r="G414" s="164"/>
      <c r="H414" s="19"/>
      <c r="J414" s="155"/>
    </row>
    <row r="415" ht="22.5" customHeight="1">
      <c r="A415" s="5">
        <v>45967.0</v>
      </c>
      <c r="B415" s="28">
        <v>12.0</v>
      </c>
      <c r="C415" s="22"/>
      <c r="D415" s="22"/>
      <c r="E415" s="163"/>
      <c r="F415" s="64"/>
      <c r="G415" s="164"/>
      <c r="H415" s="19"/>
      <c r="J415" s="155"/>
    </row>
    <row r="416" ht="22.5" customHeight="1">
      <c r="A416" s="5">
        <v>45968.0</v>
      </c>
      <c r="B416" s="28">
        <v>12.0</v>
      </c>
      <c r="C416" s="22"/>
      <c r="D416" s="22"/>
      <c r="E416" s="163"/>
      <c r="F416" s="64"/>
      <c r="G416" s="164"/>
      <c r="H416" s="19"/>
      <c r="J416" s="155"/>
    </row>
    <row r="417" ht="22.5" customHeight="1">
      <c r="A417" s="5">
        <v>45967.0</v>
      </c>
      <c r="B417" s="28">
        <v>12.0</v>
      </c>
      <c r="C417" s="22"/>
      <c r="D417" s="22"/>
      <c r="E417" s="163"/>
      <c r="F417" s="64"/>
      <c r="G417" s="164"/>
      <c r="H417" s="19"/>
      <c r="J417" s="155"/>
    </row>
    <row r="418" ht="22.5" customHeight="1">
      <c r="A418" s="5">
        <v>45968.0</v>
      </c>
      <c r="B418" s="28">
        <v>12.0</v>
      </c>
      <c r="C418" s="22"/>
      <c r="D418" s="22"/>
      <c r="E418" s="163"/>
      <c r="F418" s="64"/>
      <c r="G418" s="164"/>
      <c r="H418" s="19"/>
      <c r="J418" s="155"/>
    </row>
    <row r="419" ht="22.5" customHeight="1">
      <c r="A419" s="5">
        <v>45967.0</v>
      </c>
      <c r="B419" s="28">
        <v>12.0</v>
      </c>
      <c r="C419" s="22"/>
      <c r="D419" s="22"/>
      <c r="E419" s="163"/>
      <c r="F419" s="64"/>
      <c r="G419" s="164"/>
      <c r="H419" s="19"/>
      <c r="J419" s="155"/>
    </row>
    <row r="420" ht="22.5" customHeight="1">
      <c r="A420" s="5">
        <v>45968.0</v>
      </c>
      <c r="B420" s="28">
        <v>12.0</v>
      </c>
      <c r="C420" s="22"/>
      <c r="D420" s="22"/>
      <c r="E420" s="163"/>
      <c r="F420" s="64"/>
      <c r="G420" s="164"/>
      <c r="H420" s="19"/>
      <c r="J420" s="155"/>
    </row>
    <row r="421" ht="22.5" customHeight="1">
      <c r="A421" s="5">
        <v>45967.0</v>
      </c>
      <c r="B421" s="28">
        <v>12.0</v>
      </c>
      <c r="C421" s="22"/>
      <c r="D421" s="22"/>
      <c r="E421" s="163"/>
      <c r="F421" s="64"/>
      <c r="G421" s="164"/>
      <c r="H421" s="19"/>
      <c r="J421" s="155"/>
    </row>
    <row r="422" ht="22.5" customHeight="1">
      <c r="A422" s="5">
        <v>45968.0</v>
      </c>
      <c r="B422" s="28">
        <v>12.0</v>
      </c>
      <c r="C422" s="22"/>
      <c r="D422" s="22"/>
      <c r="E422" s="163"/>
      <c r="F422" s="64"/>
      <c r="G422" s="164"/>
      <c r="H422" s="19"/>
      <c r="J422" s="155"/>
    </row>
    <row r="423" ht="22.5" customHeight="1">
      <c r="A423" s="5">
        <v>45967.0</v>
      </c>
      <c r="B423" s="28">
        <v>12.0</v>
      </c>
      <c r="C423" s="22"/>
      <c r="D423" s="22"/>
      <c r="E423" s="163"/>
      <c r="F423" s="64"/>
      <c r="G423" s="164"/>
      <c r="H423" s="19"/>
      <c r="J423" s="155"/>
    </row>
    <row r="424" ht="22.5" customHeight="1">
      <c r="A424" s="5">
        <v>45968.0</v>
      </c>
      <c r="B424" s="28">
        <v>12.0</v>
      </c>
      <c r="C424" s="22"/>
      <c r="D424" s="22"/>
      <c r="E424" s="163"/>
      <c r="F424" s="64"/>
      <c r="G424" s="164"/>
      <c r="H424" s="19"/>
      <c r="J424" s="155"/>
    </row>
    <row r="425" ht="22.5" customHeight="1">
      <c r="A425" s="5">
        <v>45967.0</v>
      </c>
      <c r="B425" s="28">
        <v>12.0</v>
      </c>
      <c r="C425" s="22"/>
      <c r="D425" s="22"/>
      <c r="E425" s="163"/>
      <c r="F425" s="64"/>
      <c r="G425" s="164"/>
      <c r="H425" s="19"/>
      <c r="J425" s="155"/>
    </row>
    <row r="426" ht="22.5" customHeight="1">
      <c r="A426" s="5">
        <v>45968.0</v>
      </c>
      <c r="B426" s="28">
        <v>12.0</v>
      </c>
      <c r="C426" s="22"/>
      <c r="D426" s="22"/>
      <c r="E426" s="163"/>
      <c r="F426" s="64"/>
      <c r="G426" s="164"/>
      <c r="H426" s="19"/>
      <c r="J426" s="155"/>
    </row>
    <row r="427" ht="22.5" customHeight="1">
      <c r="A427" s="5">
        <v>45967.0</v>
      </c>
      <c r="B427" s="28">
        <v>12.0</v>
      </c>
      <c r="C427" s="22"/>
      <c r="D427" s="22"/>
      <c r="E427" s="163"/>
      <c r="F427" s="64"/>
      <c r="G427" s="164"/>
      <c r="H427" s="19"/>
      <c r="J427" s="155"/>
    </row>
    <row r="428" ht="22.5" customHeight="1">
      <c r="A428" s="5">
        <v>45968.0</v>
      </c>
      <c r="B428" s="28">
        <v>12.0</v>
      </c>
      <c r="C428" s="22"/>
      <c r="D428" s="22"/>
      <c r="E428" s="163"/>
      <c r="F428" s="64"/>
      <c r="G428" s="164"/>
      <c r="H428" s="19"/>
      <c r="J428" s="155"/>
    </row>
    <row r="429" ht="22.5" customHeight="1">
      <c r="A429" s="5">
        <v>45967.0</v>
      </c>
      <c r="B429" s="28">
        <v>12.0</v>
      </c>
      <c r="C429" s="22"/>
      <c r="D429" s="22"/>
      <c r="E429" s="163"/>
      <c r="F429" s="64"/>
      <c r="G429" s="164"/>
      <c r="H429" s="19"/>
      <c r="J429" s="155"/>
    </row>
    <row r="430" ht="22.5" customHeight="1">
      <c r="A430" s="5">
        <v>45968.0</v>
      </c>
      <c r="B430" s="28">
        <v>12.0</v>
      </c>
      <c r="C430" s="22"/>
      <c r="D430" s="22"/>
      <c r="E430" s="163"/>
      <c r="F430" s="64"/>
      <c r="G430" s="164"/>
      <c r="H430" s="19"/>
      <c r="J430" s="155"/>
    </row>
    <row r="431" ht="22.5" customHeight="1">
      <c r="A431" s="5">
        <v>45967.0</v>
      </c>
      <c r="B431" s="28">
        <v>12.0</v>
      </c>
      <c r="C431" s="22"/>
      <c r="D431" s="22"/>
      <c r="E431" s="163"/>
      <c r="F431" s="64"/>
      <c r="G431" s="164"/>
      <c r="H431" s="19"/>
      <c r="J431" s="155"/>
    </row>
    <row r="432" ht="22.5" customHeight="1">
      <c r="A432" s="5">
        <v>45968.0</v>
      </c>
      <c r="B432" s="28">
        <v>12.0</v>
      </c>
      <c r="C432" s="22"/>
      <c r="D432" s="22"/>
      <c r="E432" s="163"/>
      <c r="F432" s="64"/>
      <c r="G432" s="164"/>
      <c r="H432" s="19"/>
      <c r="J432" s="155"/>
    </row>
    <row r="433" ht="22.5" customHeight="1">
      <c r="A433" s="5">
        <v>45967.0</v>
      </c>
      <c r="B433" s="28">
        <v>12.0</v>
      </c>
      <c r="C433" s="22"/>
      <c r="D433" s="22"/>
      <c r="E433" s="163"/>
      <c r="F433" s="64"/>
      <c r="G433" s="164"/>
      <c r="H433" s="19"/>
      <c r="J433" s="155"/>
    </row>
    <row r="434" ht="22.5" customHeight="1">
      <c r="A434" s="5">
        <v>45968.0</v>
      </c>
      <c r="B434" s="28">
        <v>12.0</v>
      </c>
      <c r="C434" s="22"/>
      <c r="D434" s="22"/>
      <c r="E434" s="163"/>
      <c r="F434" s="64"/>
      <c r="G434" s="164"/>
      <c r="H434" s="19"/>
      <c r="J434" s="155"/>
    </row>
    <row r="435" ht="22.5" customHeight="1">
      <c r="A435" s="5">
        <v>45967.0</v>
      </c>
      <c r="B435" s="28">
        <v>12.0</v>
      </c>
      <c r="C435" s="22"/>
      <c r="D435" s="22"/>
      <c r="E435" s="163"/>
      <c r="F435" s="64"/>
      <c r="G435" s="164"/>
      <c r="H435" s="19"/>
      <c r="J435" s="155"/>
    </row>
    <row r="436" ht="22.5" customHeight="1">
      <c r="A436" s="5">
        <v>45968.0</v>
      </c>
      <c r="B436" s="28">
        <v>12.0</v>
      </c>
      <c r="C436" s="22"/>
      <c r="D436" s="22"/>
      <c r="E436" s="163"/>
      <c r="F436" s="64"/>
      <c r="G436" s="164"/>
      <c r="H436" s="19"/>
      <c r="J436" s="155"/>
    </row>
    <row r="437" ht="22.5" customHeight="1">
      <c r="A437" s="5">
        <v>45967.0</v>
      </c>
      <c r="B437" s="28">
        <v>12.0</v>
      </c>
      <c r="C437" s="22"/>
      <c r="D437" s="22"/>
      <c r="E437" s="163"/>
      <c r="F437" s="64"/>
      <c r="G437" s="164"/>
      <c r="H437" s="19"/>
      <c r="J437" s="155"/>
    </row>
    <row r="438" ht="22.5" customHeight="1">
      <c r="A438" s="5">
        <v>45968.0</v>
      </c>
      <c r="B438" s="28">
        <v>12.0</v>
      </c>
      <c r="C438" s="22"/>
      <c r="D438" s="22"/>
      <c r="E438" s="163"/>
      <c r="F438" s="64"/>
      <c r="G438" s="164"/>
      <c r="H438" s="19"/>
      <c r="J438" s="155"/>
    </row>
    <row r="439" ht="22.5" customHeight="1">
      <c r="A439" s="5">
        <v>45967.0</v>
      </c>
      <c r="B439" s="28">
        <v>12.0</v>
      </c>
      <c r="C439" s="22"/>
      <c r="D439" s="22"/>
      <c r="E439" s="163"/>
      <c r="F439" s="64"/>
      <c r="G439" s="164"/>
      <c r="H439" s="19"/>
      <c r="J439" s="155"/>
    </row>
    <row r="440" ht="22.5" customHeight="1">
      <c r="A440" s="5">
        <v>45968.0</v>
      </c>
      <c r="B440" s="28">
        <v>12.0</v>
      </c>
      <c r="C440" s="22"/>
      <c r="D440" s="22"/>
      <c r="E440" s="163"/>
      <c r="F440" s="64"/>
      <c r="G440" s="164"/>
      <c r="H440" s="19"/>
      <c r="J440" s="155"/>
    </row>
    <row r="441" ht="22.5" customHeight="1">
      <c r="A441" s="5">
        <v>45967.0</v>
      </c>
      <c r="B441" s="28">
        <v>12.0</v>
      </c>
      <c r="C441" s="22"/>
      <c r="D441" s="22"/>
      <c r="E441" s="163"/>
      <c r="F441" s="64"/>
      <c r="G441" s="164"/>
      <c r="H441" s="19"/>
      <c r="J441" s="155"/>
    </row>
    <row r="442" ht="22.5" customHeight="1">
      <c r="A442" s="5">
        <v>45968.0</v>
      </c>
      <c r="B442" s="28">
        <v>12.0</v>
      </c>
      <c r="C442" s="22"/>
      <c r="D442" s="22"/>
      <c r="E442" s="163"/>
      <c r="F442" s="64"/>
      <c r="G442" s="164"/>
      <c r="H442" s="19"/>
      <c r="J442" s="155"/>
    </row>
    <row r="443" ht="22.5" customHeight="1">
      <c r="A443" s="5">
        <v>45967.0</v>
      </c>
      <c r="B443" s="28">
        <v>12.0</v>
      </c>
      <c r="C443" s="22"/>
      <c r="D443" s="22"/>
      <c r="E443" s="163"/>
      <c r="F443" s="64"/>
      <c r="G443" s="164"/>
      <c r="H443" s="19"/>
      <c r="J443" s="155"/>
    </row>
    <row r="444" ht="22.5" customHeight="1">
      <c r="A444" s="5">
        <v>45968.0</v>
      </c>
      <c r="B444" s="28">
        <v>12.0</v>
      </c>
      <c r="C444" s="22"/>
      <c r="D444" s="22"/>
      <c r="E444" s="163"/>
      <c r="F444" s="64"/>
      <c r="G444" s="164"/>
      <c r="H444" s="19"/>
      <c r="J444" s="155"/>
    </row>
    <row r="445" ht="22.5" customHeight="1">
      <c r="A445" s="5">
        <v>45967.0</v>
      </c>
      <c r="B445" s="28">
        <v>12.0</v>
      </c>
      <c r="C445" s="22"/>
      <c r="D445" s="22"/>
      <c r="E445" s="163"/>
      <c r="F445" s="64"/>
      <c r="G445" s="164"/>
      <c r="H445" s="19"/>
      <c r="J445" s="155"/>
    </row>
    <row r="446" ht="22.5" customHeight="1">
      <c r="A446" s="5">
        <v>45968.0</v>
      </c>
      <c r="B446" s="28">
        <v>12.0</v>
      </c>
      <c r="C446" s="22"/>
      <c r="D446" s="22"/>
      <c r="E446" s="163"/>
      <c r="F446" s="64"/>
      <c r="G446" s="164"/>
      <c r="H446" s="19"/>
      <c r="J446" s="155"/>
    </row>
    <row r="447" ht="22.5" customHeight="1">
      <c r="A447" s="5">
        <v>45967.0</v>
      </c>
      <c r="B447" s="28">
        <v>12.0</v>
      </c>
      <c r="C447" s="22"/>
      <c r="D447" s="22"/>
      <c r="E447" s="163"/>
      <c r="F447" s="64"/>
      <c r="G447" s="164"/>
      <c r="H447" s="19"/>
      <c r="J447" s="155"/>
    </row>
    <row r="448" ht="22.5" customHeight="1">
      <c r="A448" s="5">
        <v>45968.0</v>
      </c>
      <c r="B448" s="28">
        <v>12.0</v>
      </c>
      <c r="C448" s="22"/>
      <c r="D448" s="22"/>
      <c r="E448" s="163"/>
      <c r="F448" s="64"/>
      <c r="G448" s="164"/>
      <c r="H448" s="19"/>
      <c r="J448" s="155"/>
    </row>
    <row r="449" ht="22.5" customHeight="1">
      <c r="A449" s="5">
        <v>45967.0</v>
      </c>
      <c r="B449" s="28">
        <v>12.0</v>
      </c>
      <c r="C449" s="22"/>
      <c r="D449" s="22"/>
      <c r="E449" s="163"/>
      <c r="F449" s="64"/>
      <c r="G449" s="164"/>
      <c r="H449" s="19"/>
      <c r="J449" s="155"/>
    </row>
    <row r="450" ht="22.5" customHeight="1">
      <c r="A450" s="5">
        <v>45968.0</v>
      </c>
      <c r="B450" s="28">
        <v>12.0</v>
      </c>
      <c r="C450" s="22"/>
      <c r="D450" s="22"/>
      <c r="E450" s="163"/>
      <c r="F450" s="64"/>
      <c r="G450" s="164"/>
      <c r="H450" s="19"/>
      <c r="J450" s="155"/>
    </row>
    <row r="451" ht="22.5" customHeight="1">
      <c r="A451" s="5">
        <v>45967.0</v>
      </c>
      <c r="B451" s="28">
        <v>12.0</v>
      </c>
      <c r="C451" s="22"/>
      <c r="D451" s="22"/>
      <c r="E451" s="163"/>
      <c r="F451" s="64"/>
      <c r="G451" s="164"/>
      <c r="H451" s="19"/>
      <c r="J451" s="155"/>
    </row>
    <row r="452" ht="22.5" customHeight="1">
      <c r="A452" s="5">
        <v>45968.0</v>
      </c>
      <c r="B452" s="28">
        <v>12.0</v>
      </c>
      <c r="C452" s="22"/>
      <c r="D452" s="22"/>
      <c r="E452" s="163"/>
      <c r="F452" s="64"/>
      <c r="G452" s="164"/>
      <c r="H452" s="19"/>
      <c r="J452" s="155"/>
    </row>
    <row r="453" ht="22.5" customHeight="1">
      <c r="A453" s="5">
        <v>45967.0</v>
      </c>
      <c r="B453" s="28">
        <v>12.0</v>
      </c>
      <c r="C453" s="22"/>
      <c r="D453" s="22"/>
      <c r="E453" s="163"/>
      <c r="F453" s="64"/>
      <c r="G453" s="164"/>
      <c r="H453" s="19"/>
      <c r="J453" s="155"/>
    </row>
    <row r="454" ht="22.5" customHeight="1">
      <c r="A454" s="5">
        <v>45968.0</v>
      </c>
      <c r="B454" s="28">
        <v>12.0</v>
      </c>
      <c r="C454" s="22"/>
      <c r="D454" s="22"/>
      <c r="E454" s="163"/>
      <c r="F454" s="64"/>
      <c r="G454" s="164"/>
      <c r="H454" s="19"/>
      <c r="J454" s="155"/>
    </row>
    <row r="455" ht="22.5" customHeight="1">
      <c r="A455" s="5">
        <v>45967.0</v>
      </c>
      <c r="B455" s="28">
        <v>12.0</v>
      </c>
      <c r="C455" s="22"/>
      <c r="D455" s="22"/>
      <c r="E455" s="163"/>
      <c r="F455" s="64"/>
      <c r="G455" s="164"/>
      <c r="H455" s="19"/>
      <c r="J455" s="155"/>
    </row>
    <row r="456" ht="22.5" customHeight="1">
      <c r="A456" s="5">
        <v>45968.0</v>
      </c>
      <c r="B456" s="28">
        <v>12.0</v>
      </c>
      <c r="C456" s="22"/>
      <c r="D456" s="22"/>
      <c r="E456" s="163"/>
      <c r="F456" s="64"/>
      <c r="G456" s="164"/>
      <c r="H456" s="19"/>
      <c r="J456" s="155"/>
    </row>
    <row r="457" ht="22.5" customHeight="1">
      <c r="A457" s="24"/>
      <c r="B457" s="25"/>
      <c r="C457" s="25"/>
      <c r="D457" s="25"/>
      <c r="E457" s="138"/>
      <c r="F457" s="25"/>
      <c r="G457" s="138"/>
      <c r="H457" s="26"/>
      <c r="J457" s="155"/>
    </row>
    <row r="458" ht="22.5" customHeight="1">
      <c r="A458" s="24"/>
      <c r="B458" s="25"/>
      <c r="C458" s="25"/>
      <c r="D458" s="25"/>
      <c r="E458" s="138"/>
      <c r="F458" s="25"/>
      <c r="G458" s="138"/>
      <c r="H458" s="26"/>
      <c r="J458" s="155"/>
    </row>
    <row r="459" ht="22.5" customHeight="1">
      <c r="A459" s="24"/>
      <c r="B459" s="25"/>
      <c r="C459" s="25"/>
      <c r="D459" s="25"/>
      <c r="E459" s="138"/>
      <c r="F459" s="25"/>
      <c r="G459" s="138"/>
      <c r="H459" s="26"/>
      <c r="J459" s="155"/>
    </row>
    <row r="460" ht="22.5" customHeight="1">
      <c r="A460" s="24"/>
      <c r="B460" s="25"/>
      <c r="C460" s="25"/>
      <c r="D460" s="25"/>
      <c r="E460" s="138"/>
      <c r="F460" s="25"/>
      <c r="G460" s="138"/>
      <c r="H460" s="26"/>
      <c r="J460" s="155"/>
    </row>
    <row r="461" ht="22.5" customHeight="1">
      <c r="A461" s="24"/>
      <c r="B461" s="25"/>
      <c r="C461" s="25"/>
      <c r="D461" s="25"/>
      <c r="E461" s="138"/>
      <c r="F461" s="25"/>
      <c r="G461" s="138"/>
      <c r="H461" s="26"/>
      <c r="J461" s="155"/>
    </row>
    <row r="462" ht="22.5" customHeight="1">
      <c r="A462" s="24"/>
      <c r="B462" s="25"/>
      <c r="C462" s="25"/>
      <c r="D462" s="25"/>
      <c r="E462" s="138"/>
      <c r="F462" s="25"/>
      <c r="G462" s="138"/>
      <c r="H462" s="26"/>
      <c r="J462" s="155"/>
    </row>
    <row r="463" ht="22.5" customHeight="1">
      <c r="A463" s="24"/>
      <c r="B463" s="25"/>
      <c r="C463" s="25"/>
      <c r="D463" s="25"/>
      <c r="E463" s="138"/>
      <c r="F463" s="25"/>
      <c r="G463" s="138"/>
      <c r="H463" s="26"/>
      <c r="J463" s="155"/>
    </row>
    <row r="464" ht="22.5" customHeight="1">
      <c r="A464" s="24"/>
      <c r="B464" s="25"/>
      <c r="C464" s="25"/>
      <c r="D464" s="25"/>
      <c r="E464" s="138"/>
      <c r="F464" s="25"/>
      <c r="G464" s="138"/>
      <c r="H464" s="26"/>
      <c r="J464" s="155"/>
    </row>
    <row r="465" ht="22.5" customHeight="1">
      <c r="A465" s="24"/>
      <c r="B465" s="25"/>
      <c r="C465" s="25"/>
      <c r="D465" s="25"/>
      <c r="E465" s="138"/>
      <c r="F465" s="25"/>
      <c r="G465" s="138"/>
      <c r="H465" s="26"/>
      <c r="J465" s="155"/>
    </row>
    <row r="466" ht="22.5" customHeight="1">
      <c r="A466" s="24"/>
      <c r="B466" s="25"/>
      <c r="C466" s="25"/>
      <c r="D466" s="25"/>
      <c r="E466" s="138"/>
      <c r="F466" s="25"/>
      <c r="G466" s="138"/>
      <c r="H466" s="26"/>
      <c r="J466" s="155"/>
    </row>
    <row r="467" ht="22.5" customHeight="1">
      <c r="A467" s="24"/>
      <c r="B467" s="25"/>
      <c r="C467" s="25"/>
      <c r="D467" s="25"/>
      <c r="E467" s="138"/>
      <c r="F467" s="25"/>
      <c r="G467" s="138"/>
      <c r="H467" s="26"/>
      <c r="J467" s="155"/>
    </row>
    <row r="468" ht="22.5" customHeight="1">
      <c r="A468" s="24"/>
      <c r="B468" s="25"/>
      <c r="C468" s="25"/>
      <c r="D468" s="25"/>
      <c r="E468" s="138"/>
      <c r="F468" s="25"/>
      <c r="G468" s="138"/>
      <c r="H468" s="26"/>
      <c r="J468" s="155"/>
    </row>
    <row r="469" ht="22.5" customHeight="1">
      <c r="A469" s="24"/>
      <c r="B469" s="25"/>
      <c r="C469" s="25"/>
      <c r="D469" s="25"/>
      <c r="E469" s="138"/>
      <c r="F469" s="25"/>
      <c r="G469" s="138"/>
      <c r="H469" s="26"/>
      <c r="J469" s="155"/>
    </row>
    <row r="470" ht="22.5" customHeight="1">
      <c r="A470" s="24"/>
      <c r="B470" s="25"/>
      <c r="C470" s="25"/>
      <c r="D470" s="25"/>
      <c r="E470" s="138"/>
      <c r="F470" s="25"/>
      <c r="G470" s="138"/>
      <c r="H470" s="26"/>
      <c r="J470" s="155"/>
    </row>
    <row r="471" ht="22.5" customHeight="1">
      <c r="A471" s="24"/>
      <c r="B471" s="25"/>
      <c r="C471" s="25"/>
      <c r="D471" s="25"/>
      <c r="E471" s="138"/>
      <c r="F471" s="25"/>
      <c r="G471" s="138"/>
      <c r="H471" s="26"/>
      <c r="J471" s="155"/>
    </row>
    <row r="472" ht="22.5" customHeight="1">
      <c r="A472" s="24"/>
      <c r="B472" s="25"/>
      <c r="C472" s="25"/>
      <c r="D472" s="25"/>
      <c r="E472" s="138"/>
      <c r="F472" s="25"/>
      <c r="G472" s="138"/>
      <c r="H472" s="26"/>
      <c r="J472" s="155"/>
    </row>
    <row r="473" ht="22.5" customHeight="1">
      <c r="A473" s="24"/>
      <c r="B473" s="25"/>
      <c r="C473" s="25"/>
      <c r="D473" s="25"/>
      <c r="E473" s="138"/>
      <c r="F473" s="25"/>
      <c r="G473" s="138"/>
      <c r="H473" s="26"/>
      <c r="J473" s="155"/>
    </row>
    <row r="474" ht="22.5" customHeight="1">
      <c r="A474" s="24"/>
      <c r="B474" s="25"/>
      <c r="C474" s="25"/>
      <c r="D474" s="25"/>
      <c r="E474" s="138"/>
      <c r="F474" s="25"/>
      <c r="G474" s="138"/>
      <c r="H474" s="26"/>
      <c r="J474" s="155"/>
    </row>
    <row r="475" ht="22.5" customHeight="1">
      <c r="A475" s="24"/>
      <c r="B475" s="25"/>
      <c r="C475" s="25"/>
      <c r="D475" s="25"/>
      <c r="E475" s="138"/>
      <c r="F475" s="25"/>
      <c r="G475" s="138"/>
      <c r="H475" s="26"/>
      <c r="J475" s="155"/>
    </row>
    <row r="476" ht="22.5" customHeight="1">
      <c r="A476" s="24"/>
      <c r="B476" s="25"/>
      <c r="C476" s="25"/>
      <c r="D476" s="25"/>
      <c r="E476" s="138"/>
      <c r="F476" s="25"/>
      <c r="G476" s="138"/>
      <c r="H476" s="26"/>
      <c r="J476" s="155"/>
    </row>
    <row r="477" ht="22.5" customHeight="1">
      <c r="A477" s="24"/>
      <c r="B477" s="25"/>
      <c r="C477" s="25"/>
      <c r="D477" s="25"/>
      <c r="E477" s="138"/>
      <c r="F477" s="25"/>
      <c r="G477" s="138"/>
      <c r="H477" s="26"/>
      <c r="J477" s="155"/>
    </row>
    <row r="478" ht="22.5" customHeight="1">
      <c r="A478" s="24"/>
      <c r="B478" s="25"/>
      <c r="C478" s="25"/>
      <c r="D478" s="25"/>
      <c r="E478" s="138"/>
      <c r="F478" s="25"/>
      <c r="G478" s="138"/>
      <c r="H478" s="26"/>
      <c r="J478" s="155"/>
    </row>
    <row r="479" ht="22.5" customHeight="1">
      <c r="A479" s="24"/>
      <c r="B479" s="25"/>
      <c r="C479" s="25"/>
      <c r="D479" s="25"/>
      <c r="E479" s="138"/>
      <c r="F479" s="25"/>
      <c r="G479" s="138"/>
      <c r="H479" s="26"/>
      <c r="J479" s="155"/>
    </row>
    <row r="480" ht="22.5" customHeight="1">
      <c r="A480" s="24"/>
      <c r="B480" s="25"/>
      <c r="C480" s="25"/>
      <c r="D480" s="25"/>
      <c r="E480" s="138"/>
      <c r="F480" s="25"/>
      <c r="G480" s="138"/>
      <c r="H480" s="26"/>
      <c r="J480" s="155"/>
    </row>
    <row r="481" ht="22.5" customHeight="1">
      <c r="A481" s="24"/>
      <c r="B481" s="25"/>
      <c r="C481" s="25"/>
      <c r="D481" s="25"/>
      <c r="E481" s="138"/>
      <c r="F481" s="25"/>
      <c r="G481" s="138"/>
      <c r="H481" s="26"/>
      <c r="J481" s="155"/>
    </row>
    <row r="482" ht="22.5" customHeight="1">
      <c r="A482" s="24"/>
      <c r="B482" s="25"/>
      <c r="C482" s="25"/>
      <c r="D482" s="25"/>
      <c r="E482" s="138"/>
      <c r="F482" s="25"/>
      <c r="G482" s="138"/>
      <c r="H482" s="26"/>
      <c r="J482" s="155"/>
    </row>
    <row r="483" ht="22.5" customHeight="1">
      <c r="A483" s="24"/>
      <c r="B483" s="25"/>
      <c r="C483" s="25"/>
      <c r="D483" s="25"/>
      <c r="E483" s="138"/>
      <c r="F483" s="25"/>
      <c r="G483" s="138"/>
      <c r="H483" s="26"/>
      <c r="J483" s="155"/>
    </row>
    <row r="484" ht="22.5" customHeight="1">
      <c r="A484" s="24"/>
      <c r="B484" s="25"/>
      <c r="C484" s="25"/>
      <c r="D484" s="25"/>
      <c r="E484" s="138"/>
      <c r="F484" s="25"/>
      <c r="G484" s="138"/>
      <c r="H484" s="26"/>
      <c r="J484" s="155"/>
    </row>
    <row r="485" ht="22.5" customHeight="1">
      <c r="A485" s="24"/>
      <c r="B485" s="25"/>
      <c r="C485" s="25"/>
      <c r="D485" s="25"/>
      <c r="E485" s="138"/>
      <c r="F485" s="25"/>
      <c r="G485" s="138"/>
      <c r="H485" s="26"/>
      <c r="J485" s="155"/>
    </row>
    <row r="486" ht="22.5" customHeight="1">
      <c r="A486" s="24"/>
      <c r="B486" s="25"/>
      <c r="C486" s="25"/>
      <c r="D486" s="25"/>
      <c r="E486" s="138"/>
      <c r="F486" s="25"/>
      <c r="G486" s="138"/>
      <c r="H486" s="26"/>
      <c r="J486" s="155"/>
    </row>
    <row r="487" ht="22.5" customHeight="1">
      <c r="A487" s="24"/>
      <c r="B487" s="25"/>
      <c r="C487" s="25"/>
      <c r="D487" s="25"/>
      <c r="E487" s="138"/>
      <c r="F487" s="25"/>
      <c r="G487" s="138"/>
      <c r="H487" s="26"/>
      <c r="J487" s="155"/>
    </row>
    <row r="488" ht="22.5" customHeight="1">
      <c r="A488" s="24"/>
      <c r="B488" s="25"/>
      <c r="C488" s="25"/>
      <c r="D488" s="25"/>
      <c r="E488" s="138"/>
      <c r="F488" s="25"/>
      <c r="G488" s="138"/>
      <c r="H488" s="26"/>
      <c r="J488" s="155"/>
    </row>
    <row r="489" ht="22.5" customHeight="1">
      <c r="A489" s="24"/>
      <c r="B489" s="25"/>
      <c r="C489" s="25"/>
      <c r="D489" s="25"/>
      <c r="E489" s="138"/>
      <c r="F489" s="25"/>
      <c r="G489" s="138"/>
      <c r="H489" s="26"/>
      <c r="J489" s="155"/>
    </row>
    <row r="490" ht="22.5" customHeight="1">
      <c r="A490" s="24"/>
      <c r="B490" s="25"/>
      <c r="C490" s="25"/>
      <c r="D490" s="25"/>
      <c r="E490" s="138"/>
      <c r="F490" s="25"/>
      <c r="G490" s="138"/>
      <c r="H490" s="26"/>
      <c r="J490" s="155"/>
    </row>
    <row r="491" ht="22.5" customHeight="1">
      <c r="A491" s="24"/>
      <c r="B491" s="25"/>
      <c r="C491" s="25"/>
      <c r="D491" s="25"/>
      <c r="E491" s="138"/>
      <c r="F491" s="25"/>
      <c r="G491" s="138"/>
      <c r="H491" s="26"/>
      <c r="J491" s="155"/>
    </row>
    <row r="492" ht="22.5" customHeight="1">
      <c r="A492" s="24"/>
      <c r="B492" s="25"/>
      <c r="C492" s="25"/>
      <c r="D492" s="25"/>
      <c r="E492" s="138"/>
      <c r="F492" s="25"/>
      <c r="G492" s="138"/>
      <c r="H492" s="26"/>
      <c r="J492" s="155"/>
    </row>
    <row r="493" ht="22.5" customHeight="1">
      <c r="A493" s="24"/>
      <c r="B493" s="25"/>
      <c r="C493" s="25"/>
      <c r="D493" s="25"/>
      <c r="E493" s="138"/>
      <c r="F493" s="25"/>
      <c r="G493" s="138"/>
      <c r="H493" s="26"/>
      <c r="J493" s="155"/>
    </row>
    <row r="494" ht="22.5" customHeight="1">
      <c r="A494" s="24"/>
      <c r="B494" s="25"/>
      <c r="C494" s="25"/>
      <c r="D494" s="25"/>
      <c r="E494" s="138"/>
      <c r="F494" s="25"/>
      <c r="G494" s="138"/>
      <c r="H494" s="26"/>
      <c r="J494" s="155"/>
    </row>
    <row r="495" ht="22.5" customHeight="1">
      <c r="A495" s="24"/>
      <c r="B495" s="25"/>
      <c r="C495" s="25"/>
      <c r="D495" s="25"/>
      <c r="E495" s="138"/>
      <c r="F495" s="25"/>
      <c r="G495" s="138"/>
      <c r="H495" s="26"/>
      <c r="J495" s="155"/>
    </row>
    <row r="496" ht="22.5" customHeight="1">
      <c r="A496" s="24"/>
      <c r="B496" s="25"/>
      <c r="C496" s="25"/>
      <c r="D496" s="25"/>
      <c r="E496" s="138"/>
      <c r="F496" s="25"/>
      <c r="G496" s="138"/>
      <c r="H496" s="26"/>
      <c r="J496" s="155"/>
    </row>
    <row r="497" ht="22.5" customHeight="1">
      <c r="A497" s="24"/>
      <c r="B497" s="25"/>
      <c r="C497" s="25"/>
      <c r="D497" s="25"/>
      <c r="E497" s="138"/>
      <c r="F497" s="25"/>
      <c r="G497" s="138"/>
      <c r="H497" s="26"/>
      <c r="J497" s="155"/>
    </row>
    <row r="498" ht="22.5" customHeight="1">
      <c r="A498" s="24"/>
      <c r="B498" s="25"/>
      <c r="C498" s="25"/>
      <c r="D498" s="25"/>
      <c r="E498" s="138"/>
      <c r="F498" s="25"/>
      <c r="G498" s="138"/>
      <c r="H498" s="26"/>
      <c r="J498" s="155"/>
    </row>
    <row r="499" ht="22.5" customHeight="1">
      <c r="A499" s="24"/>
      <c r="B499" s="25"/>
      <c r="C499" s="25"/>
      <c r="D499" s="25"/>
      <c r="E499" s="138"/>
      <c r="F499" s="25"/>
      <c r="G499" s="138"/>
      <c r="H499" s="26"/>
      <c r="J499" s="155"/>
    </row>
    <row r="500" ht="22.5" customHeight="1">
      <c r="A500" s="24"/>
      <c r="B500" s="25"/>
      <c r="C500" s="25"/>
      <c r="D500" s="25"/>
      <c r="E500" s="138"/>
      <c r="F500" s="25"/>
      <c r="G500" s="138"/>
      <c r="H500" s="26"/>
      <c r="J500" s="155"/>
    </row>
    <row r="501" ht="22.5" customHeight="1">
      <c r="A501" s="24"/>
      <c r="B501" s="25"/>
      <c r="C501" s="25"/>
      <c r="D501" s="25"/>
      <c r="E501" s="138"/>
      <c r="F501" s="25"/>
      <c r="G501" s="138"/>
      <c r="H501" s="26"/>
      <c r="J501" s="155"/>
    </row>
    <row r="502" ht="22.5" customHeight="1">
      <c r="A502" s="24"/>
      <c r="B502" s="25"/>
      <c r="C502" s="25"/>
      <c r="D502" s="25"/>
      <c r="E502" s="138"/>
      <c r="F502" s="25"/>
      <c r="G502" s="138"/>
      <c r="H502" s="26"/>
      <c r="J502" s="155"/>
    </row>
    <row r="503" ht="22.5" customHeight="1">
      <c r="A503" s="24"/>
      <c r="B503" s="25"/>
      <c r="C503" s="25"/>
      <c r="D503" s="25"/>
      <c r="E503" s="138"/>
      <c r="F503" s="25"/>
      <c r="G503" s="138"/>
      <c r="H503" s="26"/>
      <c r="J503" s="155"/>
    </row>
    <row r="504" ht="22.5" customHeight="1">
      <c r="A504" s="24"/>
      <c r="B504" s="25"/>
      <c r="C504" s="25"/>
      <c r="D504" s="25"/>
      <c r="E504" s="138"/>
      <c r="F504" s="25"/>
      <c r="G504" s="138"/>
      <c r="H504" s="26"/>
      <c r="J504" s="155"/>
    </row>
    <row r="505" ht="22.5" customHeight="1">
      <c r="A505" s="24"/>
      <c r="B505" s="25"/>
      <c r="C505" s="25"/>
      <c r="D505" s="25"/>
      <c r="E505" s="138"/>
      <c r="F505" s="25"/>
      <c r="G505" s="138"/>
      <c r="H505" s="26"/>
      <c r="J505" s="155"/>
    </row>
    <row r="506" ht="22.5" customHeight="1">
      <c r="A506" s="24"/>
      <c r="B506" s="25"/>
      <c r="C506" s="25"/>
      <c r="D506" s="25"/>
      <c r="E506" s="138"/>
      <c r="F506" s="25"/>
      <c r="G506" s="138"/>
      <c r="H506" s="26"/>
      <c r="J506" s="155"/>
    </row>
    <row r="507" ht="22.5" customHeight="1">
      <c r="A507" s="24"/>
      <c r="B507" s="25"/>
      <c r="C507" s="25"/>
      <c r="D507" s="25"/>
      <c r="E507" s="138"/>
      <c r="F507" s="25"/>
      <c r="G507" s="138"/>
      <c r="H507" s="26"/>
      <c r="J507" s="155"/>
    </row>
    <row r="508" ht="22.5" customHeight="1">
      <c r="A508" s="24"/>
      <c r="B508" s="25"/>
      <c r="C508" s="25"/>
      <c r="D508" s="25"/>
      <c r="E508" s="138"/>
      <c r="F508" s="25"/>
      <c r="G508" s="138"/>
      <c r="H508" s="26"/>
      <c r="J508" s="155"/>
    </row>
    <row r="509" ht="22.5" customHeight="1">
      <c r="A509" s="24"/>
      <c r="B509" s="25"/>
      <c r="C509" s="25"/>
      <c r="D509" s="25"/>
      <c r="E509" s="138"/>
      <c r="F509" s="25"/>
      <c r="G509" s="138"/>
      <c r="H509" s="26"/>
      <c r="J509" s="155"/>
    </row>
    <row r="510" ht="22.5" customHeight="1">
      <c r="A510" s="24"/>
      <c r="B510" s="25"/>
      <c r="C510" s="25"/>
      <c r="D510" s="25"/>
      <c r="E510" s="138"/>
      <c r="F510" s="25"/>
      <c r="G510" s="138"/>
      <c r="H510" s="26"/>
      <c r="J510" s="155"/>
    </row>
    <row r="511" ht="22.5" customHeight="1">
      <c r="A511" s="24"/>
      <c r="B511" s="25"/>
      <c r="C511" s="25"/>
      <c r="D511" s="25"/>
      <c r="E511" s="138"/>
      <c r="F511" s="25"/>
      <c r="G511" s="138"/>
      <c r="H511" s="26"/>
      <c r="J511" s="155"/>
    </row>
    <row r="512" ht="22.5" customHeight="1">
      <c r="A512" s="24"/>
      <c r="B512" s="25"/>
      <c r="C512" s="25"/>
      <c r="D512" s="25"/>
      <c r="E512" s="138"/>
      <c r="F512" s="25"/>
      <c r="G512" s="138"/>
      <c r="H512" s="26"/>
      <c r="J512" s="155"/>
    </row>
    <row r="513" ht="22.5" customHeight="1">
      <c r="A513" s="24"/>
      <c r="B513" s="25"/>
      <c r="C513" s="25"/>
      <c r="D513" s="25"/>
      <c r="E513" s="138"/>
      <c r="F513" s="25"/>
      <c r="G513" s="138"/>
      <c r="H513" s="26"/>
      <c r="J513" s="155"/>
    </row>
    <row r="514" ht="22.5" customHeight="1">
      <c r="A514" s="24"/>
      <c r="B514" s="25"/>
      <c r="C514" s="25"/>
      <c r="D514" s="25"/>
      <c r="E514" s="138"/>
      <c r="F514" s="25"/>
      <c r="G514" s="138"/>
      <c r="H514" s="26"/>
      <c r="J514" s="155"/>
    </row>
    <row r="515" ht="22.5" customHeight="1">
      <c r="A515" s="24"/>
      <c r="B515" s="25"/>
      <c r="C515" s="25"/>
      <c r="D515" s="25"/>
      <c r="E515" s="138"/>
      <c r="F515" s="25"/>
      <c r="G515" s="138"/>
      <c r="H515" s="26"/>
      <c r="J515" s="155"/>
    </row>
    <row r="516" ht="22.5" customHeight="1">
      <c r="A516" s="24"/>
      <c r="B516" s="25"/>
      <c r="C516" s="25"/>
      <c r="D516" s="25"/>
      <c r="E516" s="138"/>
      <c r="F516" s="25"/>
      <c r="G516" s="138"/>
      <c r="H516" s="26"/>
      <c r="J516" s="155"/>
    </row>
    <row r="517" ht="22.5" customHeight="1">
      <c r="A517" s="24"/>
      <c r="B517" s="25"/>
      <c r="C517" s="25"/>
      <c r="D517" s="25"/>
      <c r="E517" s="138"/>
      <c r="F517" s="25"/>
      <c r="G517" s="138"/>
      <c r="H517" s="26"/>
      <c r="J517" s="155"/>
    </row>
    <row r="518" ht="22.5" customHeight="1">
      <c r="A518" s="24"/>
      <c r="B518" s="25"/>
      <c r="C518" s="25"/>
      <c r="D518" s="25"/>
      <c r="E518" s="138"/>
      <c r="F518" s="25"/>
      <c r="G518" s="138"/>
      <c r="H518" s="26"/>
      <c r="J518" s="155"/>
    </row>
    <row r="519" ht="22.5" customHeight="1">
      <c r="A519" s="24"/>
      <c r="B519" s="25"/>
      <c r="C519" s="25"/>
      <c r="D519" s="25"/>
      <c r="E519" s="138"/>
      <c r="F519" s="25"/>
      <c r="G519" s="138"/>
      <c r="H519" s="26"/>
      <c r="J519" s="155"/>
    </row>
    <row r="520" ht="22.5" customHeight="1">
      <c r="A520" s="24"/>
      <c r="B520" s="25"/>
      <c r="C520" s="25"/>
      <c r="D520" s="25"/>
      <c r="E520" s="138"/>
      <c r="F520" s="25"/>
      <c r="G520" s="138"/>
      <c r="H520" s="26"/>
      <c r="J520" s="155"/>
    </row>
    <row r="521" ht="22.5" customHeight="1">
      <c r="A521" s="24"/>
      <c r="B521" s="25"/>
      <c r="C521" s="25"/>
      <c r="D521" s="25"/>
      <c r="E521" s="138"/>
      <c r="F521" s="25"/>
      <c r="G521" s="138"/>
      <c r="H521" s="26"/>
      <c r="J521" s="155"/>
    </row>
    <row r="522" ht="22.5" customHeight="1">
      <c r="A522" s="24"/>
      <c r="B522" s="25"/>
      <c r="C522" s="25"/>
      <c r="D522" s="25"/>
      <c r="E522" s="138"/>
      <c r="F522" s="25"/>
      <c r="G522" s="138"/>
      <c r="H522" s="26"/>
      <c r="J522" s="155"/>
    </row>
    <row r="523" ht="22.5" customHeight="1">
      <c r="A523" s="24"/>
      <c r="B523" s="25"/>
      <c r="C523" s="25"/>
      <c r="D523" s="25"/>
      <c r="E523" s="138"/>
      <c r="F523" s="25"/>
      <c r="G523" s="138"/>
      <c r="H523" s="26"/>
      <c r="J523" s="155"/>
    </row>
    <row r="524" ht="22.5" customHeight="1">
      <c r="A524" s="24"/>
      <c r="B524" s="25"/>
      <c r="C524" s="25"/>
      <c r="D524" s="25"/>
      <c r="E524" s="138"/>
      <c r="F524" s="25"/>
      <c r="G524" s="138"/>
      <c r="H524" s="26"/>
      <c r="J524" s="155"/>
    </row>
    <row r="525" ht="22.5" customHeight="1">
      <c r="A525" s="24"/>
      <c r="B525" s="25"/>
      <c r="C525" s="25"/>
      <c r="D525" s="25"/>
      <c r="E525" s="138"/>
      <c r="F525" s="25"/>
      <c r="G525" s="138"/>
      <c r="H525" s="26"/>
      <c r="J525" s="155"/>
    </row>
    <row r="526" ht="22.5" customHeight="1">
      <c r="A526" s="24"/>
      <c r="B526" s="25"/>
      <c r="C526" s="25"/>
      <c r="D526" s="25"/>
      <c r="E526" s="138"/>
      <c r="F526" s="25"/>
      <c r="G526" s="138"/>
      <c r="H526" s="26"/>
      <c r="J526" s="155"/>
    </row>
    <row r="527" ht="22.5" customHeight="1">
      <c r="A527" s="24"/>
      <c r="B527" s="25"/>
      <c r="C527" s="25"/>
      <c r="D527" s="25"/>
      <c r="E527" s="138"/>
      <c r="F527" s="25"/>
      <c r="G527" s="138"/>
      <c r="H527" s="26"/>
      <c r="J527" s="155"/>
    </row>
    <row r="528" ht="22.5" customHeight="1">
      <c r="A528" s="24"/>
      <c r="B528" s="25"/>
      <c r="C528" s="25"/>
      <c r="D528" s="25"/>
      <c r="E528" s="138"/>
      <c r="F528" s="25"/>
      <c r="G528" s="138"/>
      <c r="H528" s="26"/>
      <c r="J528" s="155"/>
    </row>
    <row r="529" ht="22.5" customHeight="1">
      <c r="A529" s="24"/>
      <c r="B529" s="25"/>
      <c r="C529" s="25"/>
      <c r="D529" s="25"/>
      <c r="E529" s="138"/>
      <c r="F529" s="25"/>
      <c r="G529" s="138"/>
      <c r="H529" s="26"/>
      <c r="J529" s="155"/>
    </row>
    <row r="530" ht="22.5" customHeight="1">
      <c r="A530" s="24"/>
      <c r="B530" s="25"/>
      <c r="C530" s="25"/>
      <c r="D530" s="25"/>
      <c r="E530" s="138"/>
      <c r="F530" s="25"/>
      <c r="G530" s="138"/>
      <c r="H530" s="26"/>
      <c r="J530" s="155"/>
    </row>
    <row r="531" ht="22.5" customHeight="1">
      <c r="A531" s="24"/>
      <c r="B531" s="25"/>
      <c r="C531" s="25"/>
      <c r="D531" s="25"/>
      <c r="E531" s="138"/>
      <c r="F531" s="25"/>
      <c r="G531" s="138"/>
      <c r="H531" s="26"/>
      <c r="J531" s="155"/>
    </row>
    <row r="532" ht="22.5" customHeight="1">
      <c r="A532" s="24"/>
      <c r="B532" s="25"/>
      <c r="C532" s="25"/>
      <c r="D532" s="25"/>
      <c r="E532" s="138"/>
      <c r="F532" s="25"/>
      <c r="G532" s="138"/>
      <c r="H532" s="26"/>
      <c r="J532" s="155"/>
    </row>
    <row r="533" ht="22.5" customHeight="1">
      <c r="A533" s="24"/>
      <c r="B533" s="25"/>
      <c r="C533" s="25"/>
      <c r="D533" s="25"/>
      <c r="E533" s="138"/>
      <c r="F533" s="25"/>
      <c r="G533" s="138"/>
      <c r="H533" s="26"/>
      <c r="J533" s="155"/>
    </row>
    <row r="534" ht="22.5" customHeight="1">
      <c r="A534" s="24"/>
      <c r="B534" s="25"/>
      <c r="C534" s="25"/>
      <c r="D534" s="25"/>
      <c r="E534" s="138"/>
      <c r="F534" s="25"/>
      <c r="G534" s="138"/>
      <c r="H534" s="26"/>
      <c r="J534" s="155"/>
    </row>
    <row r="535" ht="22.5" customHeight="1">
      <c r="A535" s="24"/>
      <c r="B535" s="25"/>
      <c r="C535" s="25"/>
      <c r="D535" s="25"/>
      <c r="E535" s="138"/>
      <c r="F535" s="25"/>
      <c r="G535" s="138"/>
      <c r="H535" s="26"/>
      <c r="J535" s="155"/>
    </row>
    <row r="536" ht="22.5" customHeight="1">
      <c r="A536" s="24"/>
      <c r="B536" s="25"/>
      <c r="C536" s="25"/>
      <c r="D536" s="25"/>
      <c r="E536" s="138"/>
      <c r="F536" s="25"/>
      <c r="G536" s="138"/>
      <c r="H536" s="26"/>
      <c r="J536" s="155"/>
    </row>
    <row r="537" ht="22.5" customHeight="1">
      <c r="A537" s="24"/>
      <c r="B537" s="25"/>
      <c r="C537" s="25"/>
      <c r="D537" s="25"/>
      <c r="E537" s="138"/>
      <c r="F537" s="25"/>
      <c r="G537" s="138"/>
      <c r="H537" s="26"/>
      <c r="J537" s="155"/>
    </row>
    <row r="538" ht="22.5" customHeight="1">
      <c r="A538" s="24"/>
      <c r="B538" s="25"/>
      <c r="C538" s="25"/>
      <c r="D538" s="25"/>
      <c r="E538" s="138"/>
      <c r="F538" s="25"/>
      <c r="G538" s="138"/>
      <c r="H538" s="26"/>
      <c r="J538" s="155"/>
    </row>
    <row r="539" ht="22.5" customHeight="1">
      <c r="A539" s="24"/>
      <c r="B539" s="25"/>
      <c r="C539" s="25"/>
      <c r="D539" s="25"/>
      <c r="E539" s="138"/>
      <c r="F539" s="25"/>
      <c r="G539" s="138"/>
      <c r="H539" s="26"/>
      <c r="J539" s="155"/>
    </row>
    <row r="540" ht="22.5" customHeight="1">
      <c r="A540" s="24"/>
      <c r="B540" s="25"/>
      <c r="C540" s="25"/>
      <c r="D540" s="25"/>
      <c r="E540" s="138"/>
      <c r="F540" s="25"/>
      <c r="G540" s="138"/>
      <c r="H540" s="26"/>
      <c r="J540" s="155"/>
    </row>
    <row r="541" ht="22.5" customHeight="1">
      <c r="A541" s="24"/>
      <c r="B541" s="25"/>
      <c r="C541" s="25"/>
      <c r="D541" s="25"/>
      <c r="E541" s="138"/>
      <c r="F541" s="25"/>
      <c r="G541" s="138"/>
      <c r="H541" s="26"/>
      <c r="J541" s="155"/>
    </row>
    <row r="542" ht="22.5" customHeight="1">
      <c r="A542" s="24"/>
      <c r="B542" s="25"/>
      <c r="C542" s="25"/>
      <c r="D542" s="25"/>
      <c r="E542" s="138"/>
      <c r="F542" s="25"/>
      <c r="G542" s="138"/>
      <c r="H542" s="26"/>
      <c r="J542" s="155"/>
    </row>
    <row r="543" ht="22.5" customHeight="1">
      <c r="A543" s="24"/>
      <c r="B543" s="25"/>
      <c r="C543" s="25"/>
      <c r="D543" s="25"/>
      <c r="E543" s="138"/>
      <c r="F543" s="25"/>
      <c r="G543" s="138"/>
      <c r="H543" s="26"/>
      <c r="J543" s="155"/>
    </row>
    <row r="544" ht="22.5" customHeight="1">
      <c r="A544" s="24"/>
      <c r="B544" s="25"/>
      <c r="C544" s="25"/>
      <c r="D544" s="25"/>
      <c r="E544" s="138"/>
      <c r="F544" s="25"/>
      <c r="G544" s="138"/>
      <c r="H544" s="26"/>
      <c r="J544" s="155"/>
    </row>
    <row r="545" ht="22.5" customHeight="1">
      <c r="A545" s="24"/>
      <c r="B545" s="25"/>
      <c r="C545" s="25"/>
      <c r="D545" s="25"/>
      <c r="E545" s="138"/>
      <c r="F545" s="25"/>
      <c r="G545" s="138"/>
      <c r="H545" s="26"/>
      <c r="J545" s="155"/>
    </row>
    <row r="546" ht="22.5" customHeight="1">
      <c r="A546" s="24"/>
      <c r="B546" s="25"/>
      <c r="C546" s="25"/>
      <c r="D546" s="25"/>
      <c r="E546" s="138"/>
      <c r="F546" s="25"/>
      <c r="G546" s="138"/>
      <c r="H546" s="26"/>
      <c r="J546" s="155"/>
    </row>
    <row r="547" ht="22.5" customHeight="1">
      <c r="A547" s="24"/>
      <c r="B547" s="25"/>
      <c r="C547" s="25"/>
      <c r="D547" s="25"/>
      <c r="E547" s="138"/>
      <c r="F547" s="25"/>
      <c r="G547" s="138"/>
      <c r="H547" s="26"/>
      <c r="J547" s="155"/>
    </row>
    <row r="548" ht="22.5" customHeight="1">
      <c r="A548" s="24"/>
      <c r="B548" s="25"/>
      <c r="C548" s="25"/>
      <c r="D548" s="25"/>
      <c r="E548" s="138"/>
      <c r="F548" s="25"/>
      <c r="G548" s="138"/>
      <c r="H548" s="26"/>
      <c r="J548" s="155"/>
    </row>
    <row r="549" ht="22.5" customHeight="1">
      <c r="A549" s="24"/>
      <c r="B549" s="25"/>
      <c r="C549" s="25"/>
      <c r="D549" s="25"/>
      <c r="E549" s="138"/>
      <c r="F549" s="25"/>
      <c r="G549" s="138"/>
      <c r="H549" s="26"/>
      <c r="J549" s="155"/>
    </row>
    <row r="550" ht="22.5" customHeight="1">
      <c r="A550" s="24"/>
      <c r="B550" s="25"/>
      <c r="C550" s="25"/>
      <c r="D550" s="25"/>
      <c r="E550" s="138"/>
      <c r="F550" s="25"/>
      <c r="G550" s="138"/>
      <c r="H550" s="26"/>
      <c r="J550" s="155"/>
    </row>
    <row r="551" ht="22.5" customHeight="1">
      <c r="A551" s="24"/>
      <c r="B551" s="25"/>
      <c r="C551" s="25"/>
      <c r="D551" s="25"/>
      <c r="E551" s="138"/>
      <c r="F551" s="25"/>
      <c r="G551" s="138"/>
      <c r="H551" s="26"/>
      <c r="J551" s="155"/>
    </row>
    <row r="552" ht="22.5" customHeight="1">
      <c r="A552" s="24"/>
      <c r="B552" s="25"/>
      <c r="C552" s="25"/>
      <c r="D552" s="25"/>
      <c r="E552" s="138"/>
      <c r="F552" s="25"/>
      <c r="G552" s="138"/>
      <c r="H552" s="26"/>
      <c r="J552" s="155"/>
    </row>
    <row r="553" ht="22.5" customHeight="1">
      <c r="A553" s="24"/>
      <c r="B553" s="25"/>
      <c r="C553" s="25"/>
      <c r="D553" s="25"/>
      <c r="E553" s="138"/>
      <c r="F553" s="25"/>
      <c r="G553" s="138"/>
      <c r="H553" s="26"/>
      <c r="J553" s="155"/>
    </row>
    <row r="554" ht="22.5" customHeight="1">
      <c r="A554" s="24"/>
      <c r="B554" s="25"/>
      <c r="C554" s="25"/>
      <c r="D554" s="25"/>
      <c r="E554" s="138"/>
      <c r="F554" s="25"/>
      <c r="G554" s="138"/>
      <c r="H554" s="26"/>
      <c r="J554" s="155"/>
    </row>
    <row r="555" ht="22.5" customHeight="1">
      <c r="A555" s="24"/>
      <c r="B555" s="25"/>
      <c r="C555" s="25"/>
      <c r="D555" s="25"/>
      <c r="E555" s="138"/>
      <c r="F555" s="25"/>
      <c r="G555" s="138"/>
      <c r="H555" s="26"/>
      <c r="J555" s="155"/>
    </row>
    <row r="556" ht="22.5" customHeight="1">
      <c r="A556" s="24"/>
      <c r="B556" s="25"/>
      <c r="C556" s="25"/>
      <c r="D556" s="25"/>
      <c r="E556" s="138"/>
      <c r="F556" s="25"/>
      <c r="G556" s="138"/>
      <c r="H556" s="26"/>
      <c r="J556" s="155"/>
    </row>
    <row r="557" ht="22.5" customHeight="1">
      <c r="A557" s="24"/>
      <c r="B557" s="25"/>
      <c r="C557" s="25"/>
      <c r="D557" s="25"/>
      <c r="E557" s="138"/>
      <c r="F557" s="25"/>
      <c r="G557" s="138"/>
      <c r="H557" s="26"/>
      <c r="J557" s="155"/>
    </row>
    <row r="558" ht="22.5" customHeight="1">
      <c r="A558" s="24"/>
      <c r="B558" s="25"/>
      <c r="C558" s="25"/>
      <c r="D558" s="25"/>
      <c r="E558" s="138"/>
      <c r="F558" s="25"/>
      <c r="G558" s="138"/>
      <c r="H558" s="26"/>
      <c r="J558" s="155"/>
    </row>
    <row r="559" ht="22.5" customHeight="1">
      <c r="A559" s="24"/>
      <c r="B559" s="25"/>
      <c r="C559" s="25"/>
      <c r="D559" s="25"/>
      <c r="E559" s="138"/>
      <c r="F559" s="25"/>
      <c r="G559" s="138"/>
      <c r="H559" s="26"/>
      <c r="J559" s="155"/>
    </row>
    <row r="560" ht="22.5" customHeight="1">
      <c r="A560" s="24"/>
      <c r="B560" s="25"/>
      <c r="C560" s="25"/>
      <c r="D560" s="25"/>
      <c r="E560" s="138"/>
      <c r="F560" s="25"/>
      <c r="G560" s="138"/>
      <c r="H560" s="26"/>
      <c r="J560" s="155"/>
    </row>
    <row r="561" ht="22.5" customHeight="1">
      <c r="A561" s="24"/>
      <c r="B561" s="25"/>
      <c r="C561" s="25"/>
      <c r="D561" s="25"/>
      <c r="E561" s="138"/>
      <c r="F561" s="25"/>
      <c r="G561" s="138"/>
      <c r="H561" s="26"/>
      <c r="J561" s="155"/>
    </row>
    <row r="562" ht="22.5" customHeight="1">
      <c r="A562" s="24"/>
      <c r="B562" s="25"/>
      <c r="C562" s="25"/>
      <c r="D562" s="25"/>
      <c r="E562" s="138"/>
      <c r="F562" s="25"/>
      <c r="G562" s="138"/>
      <c r="H562" s="26"/>
      <c r="J562" s="155"/>
    </row>
    <row r="563" ht="22.5" customHeight="1">
      <c r="A563" s="24"/>
      <c r="B563" s="25"/>
      <c r="C563" s="25"/>
      <c r="D563" s="25"/>
      <c r="E563" s="138"/>
      <c r="F563" s="25"/>
      <c r="G563" s="138"/>
      <c r="H563" s="26"/>
      <c r="J563" s="155"/>
    </row>
    <row r="564" ht="22.5" customHeight="1">
      <c r="A564" s="24"/>
      <c r="B564" s="25"/>
      <c r="C564" s="25"/>
      <c r="D564" s="25"/>
      <c r="E564" s="138"/>
      <c r="F564" s="25"/>
      <c r="G564" s="138"/>
      <c r="H564" s="26"/>
      <c r="J564" s="155"/>
    </row>
    <row r="565" ht="22.5" customHeight="1">
      <c r="A565" s="24"/>
      <c r="B565" s="25"/>
      <c r="C565" s="25"/>
      <c r="D565" s="25"/>
      <c r="E565" s="138"/>
      <c r="F565" s="25"/>
      <c r="G565" s="138"/>
      <c r="H565" s="26"/>
      <c r="J565" s="155"/>
    </row>
    <row r="566" ht="22.5" customHeight="1">
      <c r="A566" s="24"/>
      <c r="B566" s="25"/>
      <c r="C566" s="25"/>
      <c r="D566" s="25"/>
      <c r="E566" s="138"/>
      <c r="F566" s="25"/>
      <c r="G566" s="138"/>
      <c r="H566" s="26"/>
      <c r="J566" s="155"/>
    </row>
    <row r="567" ht="22.5" customHeight="1">
      <c r="A567" s="24"/>
      <c r="B567" s="25"/>
      <c r="C567" s="25"/>
      <c r="D567" s="25"/>
      <c r="E567" s="138"/>
      <c r="F567" s="25"/>
      <c r="G567" s="138"/>
      <c r="H567" s="26"/>
      <c r="J567" s="155"/>
    </row>
    <row r="568" ht="22.5" customHeight="1">
      <c r="A568" s="24"/>
      <c r="B568" s="25"/>
      <c r="C568" s="25"/>
      <c r="D568" s="25"/>
      <c r="E568" s="138"/>
      <c r="F568" s="25"/>
      <c r="G568" s="138"/>
      <c r="H568" s="26"/>
      <c r="J568" s="155"/>
    </row>
    <row r="569" ht="22.5" customHeight="1">
      <c r="A569" s="24"/>
      <c r="B569" s="25"/>
      <c r="C569" s="25"/>
      <c r="D569" s="25"/>
      <c r="E569" s="138"/>
      <c r="F569" s="25"/>
      <c r="G569" s="138"/>
      <c r="H569" s="26"/>
      <c r="J569" s="155"/>
    </row>
    <row r="570" ht="22.5" customHeight="1">
      <c r="A570" s="24"/>
      <c r="B570" s="25"/>
      <c r="C570" s="25"/>
      <c r="D570" s="25"/>
      <c r="E570" s="138"/>
      <c r="F570" s="25"/>
      <c r="G570" s="138"/>
      <c r="H570" s="26"/>
      <c r="J570" s="155"/>
    </row>
    <row r="571" ht="22.5" customHeight="1">
      <c r="A571" s="24"/>
      <c r="B571" s="25"/>
      <c r="C571" s="25"/>
      <c r="D571" s="25"/>
      <c r="E571" s="138"/>
      <c r="F571" s="25"/>
      <c r="G571" s="138"/>
      <c r="H571" s="26"/>
      <c r="J571" s="155"/>
    </row>
    <row r="572" ht="22.5" customHeight="1">
      <c r="A572" s="24"/>
      <c r="B572" s="25"/>
      <c r="C572" s="25"/>
      <c r="D572" s="25"/>
      <c r="E572" s="138"/>
      <c r="F572" s="25"/>
      <c r="G572" s="138"/>
      <c r="H572" s="26"/>
      <c r="J572" s="155"/>
    </row>
    <row r="573" ht="22.5" customHeight="1">
      <c r="A573" s="24"/>
      <c r="B573" s="25"/>
      <c r="C573" s="25"/>
      <c r="D573" s="25"/>
      <c r="E573" s="138"/>
      <c r="F573" s="25"/>
      <c r="G573" s="138"/>
      <c r="H573" s="26"/>
      <c r="J573" s="155"/>
    </row>
    <row r="574" ht="22.5" customHeight="1">
      <c r="A574" s="24"/>
      <c r="B574" s="25"/>
      <c r="C574" s="25"/>
      <c r="D574" s="25"/>
      <c r="E574" s="138"/>
      <c r="F574" s="25"/>
      <c r="G574" s="138"/>
      <c r="H574" s="26"/>
      <c r="J574" s="155"/>
    </row>
    <row r="575" ht="22.5" customHeight="1">
      <c r="A575" s="24"/>
      <c r="B575" s="25"/>
      <c r="C575" s="25"/>
      <c r="D575" s="25"/>
      <c r="E575" s="138"/>
      <c r="F575" s="25"/>
      <c r="G575" s="138"/>
      <c r="H575" s="26"/>
      <c r="J575" s="155"/>
    </row>
    <row r="576" ht="22.5" customHeight="1">
      <c r="A576" s="24"/>
      <c r="B576" s="25"/>
      <c r="C576" s="25"/>
      <c r="D576" s="25"/>
      <c r="E576" s="138"/>
      <c r="F576" s="25"/>
      <c r="G576" s="138"/>
      <c r="H576" s="26"/>
      <c r="J576" s="155"/>
    </row>
    <row r="577" ht="22.5" customHeight="1">
      <c r="A577" s="24"/>
      <c r="B577" s="25"/>
      <c r="C577" s="25"/>
      <c r="D577" s="25"/>
      <c r="E577" s="138"/>
      <c r="F577" s="25"/>
      <c r="G577" s="138"/>
      <c r="H577" s="26"/>
      <c r="J577" s="155"/>
    </row>
    <row r="578" ht="22.5" customHeight="1">
      <c r="A578" s="24"/>
      <c r="B578" s="25"/>
      <c r="C578" s="25"/>
      <c r="D578" s="25"/>
      <c r="E578" s="138"/>
      <c r="F578" s="25"/>
      <c r="G578" s="138"/>
      <c r="H578" s="26"/>
      <c r="J578" s="155"/>
    </row>
    <row r="579" ht="22.5" customHeight="1">
      <c r="A579" s="24"/>
      <c r="B579" s="25"/>
      <c r="C579" s="25"/>
      <c r="D579" s="25"/>
      <c r="E579" s="138"/>
      <c r="F579" s="25"/>
      <c r="G579" s="138"/>
      <c r="H579" s="26"/>
      <c r="J579" s="155"/>
    </row>
    <row r="580" ht="22.5" customHeight="1">
      <c r="A580" s="24"/>
      <c r="B580" s="25"/>
      <c r="C580" s="25"/>
      <c r="D580" s="25"/>
      <c r="E580" s="138"/>
      <c r="F580" s="25"/>
      <c r="G580" s="138"/>
      <c r="H580" s="26"/>
      <c r="J580" s="155"/>
    </row>
    <row r="581" ht="22.5" customHeight="1">
      <c r="A581" s="24"/>
      <c r="B581" s="25"/>
      <c r="C581" s="25"/>
      <c r="D581" s="25"/>
      <c r="E581" s="138"/>
      <c r="F581" s="25"/>
      <c r="G581" s="138"/>
      <c r="H581" s="26"/>
      <c r="J581" s="155"/>
    </row>
    <row r="582" ht="22.5" customHeight="1">
      <c r="A582" s="24"/>
      <c r="B582" s="25"/>
      <c r="C582" s="25"/>
      <c r="D582" s="25"/>
      <c r="E582" s="138"/>
      <c r="F582" s="25"/>
      <c r="G582" s="138"/>
      <c r="H582" s="26"/>
      <c r="J582" s="155"/>
    </row>
    <row r="583" ht="22.5" customHeight="1">
      <c r="A583" s="24"/>
      <c r="B583" s="25"/>
      <c r="C583" s="25"/>
      <c r="D583" s="25"/>
      <c r="E583" s="138"/>
      <c r="F583" s="25"/>
      <c r="G583" s="138"/>
      <c r="H583" s="26"/>
      <c r="J583" s="155"/>
    </row>
    <row r="584" ht="22.5" customHeight="1">
      <c r="A584" s="24"/>
      <c r="B584" s="25"/>
      <c r="C584" s="25"/>
      <c r="D584" s="25"/>
      <c r="E584" s="138"/>
      <c r="F584" s="25"/>
      <c r="G584" s="138"/>
      <c r="H584" s="26"/>
      <c r="J584" s="155"/>
    </row>
    <row r="585" ht="22.5" customHeight="1">
      <c r="A585" s="24"/>
      <c r="B585" s="25"/>
      <c r="C585" s="25"/>
      <c r="D585" s="25"/>
      <c r="E585" s="138"/>
      <c r="F585" s="25"/>
      <c r="G585" s="138"/>
      <c r="H585" s="26"/>
      <c r="J585" s="155"/>
    </row>
    <row r="586" ht="22.5" customHeight="1">
      <c r="A586" s="24"/>
      <c r="B586" s="25"/>
      <c r="C586" s="25"/>
      <c r="D586" s="25"/>
      <c r="E586" s="138"/>
      <c r="F586" s="25"/>
      <c r="G586" s="138"/>
      <c r="H586" s="26"/>
      <c r="J586" s="155"/>
    </row>
    <row r="587" ht="22.5" customHeight="1">
      <c r="A587" s="24"/>
      <c r="B587" s="25"/>
      <c r="C587" s="25"/>
      <c r="D587" s="25"/>
      <c r="E587" s="138"/>
      <c r="F587" s="25"/>
      <c r="G587" s="138"/>
      <c r="H587" s="26"/>
      <c r="J587" s="155"/>
    </row>
    <row r="588" ht="22.5" customHeight="1">
      <c r="A588" s="24"/>
      <c r="B588" s="25"/>
      <c r="C588" s="25"/>
      <c r="D588" s="25"/>
      <c r="E588" s="138"/>
      <c r="F588" s="25"/>
      <c r="G588" s="138"/>
      <c r="H588" s="26"/>
      <c r="J588" s="155"/>
    </row>
    <row r="589" ht="22.5" customHeight="1">
      <c r="A589" s="24"/>
      <c r="B589" s="25"/>
      <c r="C589" s="25"/>
      <c r="D589" s="25"/>
      <c r="E589" s="138"/>
      <c r="F589" s="25"/>
      <c r="G589" s="138"/>
      <c r="H589" s="26"/>
      <c r="J589" s="155"/>
    </row>
    <row r="590" ht="22.5" customHeight="1">
      <c r="A590" s="24"/>
      <c r="B590" s="25"/>
      <c r="C590" s="25"/>
      <c r="D590" s="25"/>
      <c r="E590" s="138"/>
      <c r="F590" s="25"/>
      <c r="G590" s="138"/>
      <c r="H590" s="26"/>
      <c r="J590" s="155"/>
    </row>
    <row r="591" ht="22.5" customHeight="1">
      <c r="A591" s="24"/>
      <c r="B591" s="25"/>
      <c r="C591" s="25"/>
      <c r="D591" s="25"/>
      <c r="E591" s="138"/>
      <c r="F591" s="25"/>
      <c r="G591" s="138"/>
      <c r="H591" s="26"/>
      <c r="J591" s="155"/>
    </row>
    <row r="592" ht="22.5" customHeight="1">
      <c r="A592" s="24"/>
      <c r="B592" s="25"/>
      <c r="C592" s="25"/>
      <c r="D592" s="25"/>
      <c r="E592" s="138"/>
      <c r="F592" s="25"/>
      <c r="G592" s="138"/>
      <c r="H592" s="26"/>
      <c r="J592" s="155"/>
    </row>
    <row r="593" ht="22.5" customHeight="1">
      <c r="A593" s="24"/>
      <c r="B593" s="25"/>
      <c r="C593" s="25"/>
      <c r="D593" s="25"/>
      <c r="E593" s="138"/>
      <c r="F593" s="25"/>
      <c r="G593" s="138"/>
      <c r="H593" s="26"/>
      <c r="J593" s="155"/>
    </row>
    <row r="594" ht="22.5" customHeight="1">
      <c r="A594" s="24"/>
      <c r="B594" s="25"/>
      <c r="C594" s="25"/>
      <c r="D594" s="25"/>
      <c r="E594" s="138"/>
      <c r="F594" s="25"/>
      <c r="G594" s="138"/>
      <c r="H594" s="26"/>
      <c r="J594" s="155"/>
    </row>
    <row r="595" ht="22.5" customHeight="1">
      <c r="A595" s="24"/>
      <c r="B595" s="25"/>
      <c r="C595" s="25"/>
      <c r="D595" s="25"/>
      <c r="E595" s="138"/>
      <c r="F595" s="25"/>
      <c r="G595" s="138"/>
      <c r="H595" s="26"/>
      <c r="J595" s="155"/>
    </row>
    <row r="596" ht="22.5" customHeight="1">
      <c r="A596" s="24"/>
      <c r="B596" s="25"/>
      <c r="C596" s="25"/>
      <c r="D596" s="25"/>
      <c r="E596" s="138"/>
      <c r="F596" s="25"/>
      <c r="G596" s="138"/>
      <c r="H596" s="26"/>
      <c r="J596" s="155"/>
    </row>
    <row r="597" ht="22.5" customHeight="1">
      <c r="A597" s="24"/>
      <c r="B597" s="25"/>
      <c r="C597" s="25"/>
      <c r="D597" s="25"/>
      <c r="E597" s="138"/>
      <c r="F597" s="25"/>
      <c r="G597" s="138"/>
      <c r="H597" s="26"/>
      <c r="J597" s="155"/>
    </row>
    <row r="598" ht="22.5" customHeight="1">
      <c r="A598" s="24"/>
      <c r="B598" s="25"/>
      <c r="C598" s="25"/>
      <c r="D598" s="25"/>
      <c r="E598" s="138"/>
      <c r="F598" s="25"/>
      <c r="G598" s="138"/>
      <c r="H598" s="26"/>
      <c r="J598" s="155"/>
    </row>
    <row r="599" ht="22.5" customHeight="1">
      <c r="A599" s="24"/>
      <c r="B599" s="25"/>
      <c r="C599" s="25"/>
      <c r="D599" s="25"/>
      <c r="E599" s="138"/>
      <c r="F599" s="25"/>
      <c r="G599" s="138"/>
      <c r="H599" s="26"/>
      <c r="J599" s="155"/>
    </row>
    <row r="600" ht="22.5" customHeight="1">
      <c r="A600" s="24"/>
      <c r="B600" s="25"/>
      <c r="C600" s="25"/>
      <c r="D600" s="25"/>
      <c r="E600" s="138"/>
      <c r="F600" s="25"/>
      <c r="G600" s="138"/>
      <c r="H600" s="26"/>
      <c r="J600" s="155"/>
    </row>
    <row r="601" ht="22.5" customHeight="1">
      <c r="A601" s="24"/>
      <c r="B601" s="25"/>
      <c r="C601" s="25"/>
      <c r="D601" s="25"/>
      <c r="E601" s="138"/>
      <c r="F601" s="25"/>
      <c r="G601" s="138"/>
      <c r="H601" s="26"/>
      <c r="J601" s="155"/>
    </row>
    <row r="602" ht="22.5" customHeight="1">
      <c r="A602" s="24"/>
      <c r="B602" s="25"/>
      <c r="C602" s="25"/>
      <c r="D602" s="25"/>
      <c r="E602" s="138"/>
      <c r="F602" s="25"/>
      <c r="G602" s="138"/>
      <c r="H602" s="26"/>
      <c r="J602" s="155"/>
    </row>
    <row r="603" ht="22.5" customHeight="1">
      <c r="A603" s="24"/>
      <c r="B603" s="25"/>
      <c r="C603" s="25"/>
      <c r="D603" s="25"/>
      <c r="E603" s="138"/>
      <c r="F603" s="25"/>
      <c r="G603" s="138"/>
      <c r="H603" s="26"/>
      <c r="J603" s="155"/>
    </row>
    <row r="604" ht="22.5" customHeight="1">
      <c r="A604" s="24"/>
      <c r="B604" s="25"/>
      <c r="C604" s="25"/>
      <c r="D604" s="25"/>
      <c r="E604" s="138"/>
      <c r="F604" s="25"/>
      <c r="G604" s="138"/>
      <c r="H604" s="26"/>
      <c r="J604" s="155"/>
    </row>
    <row r="605" ht="22.5" customHeight="1">
      <c r="A605" s="24"/>
      <c r="B605" s="25"/>
      <c r="C605" s="25"/>
      <c r="D605" s="25"/>
      <c r="E605" s="138"/>
      <c r="F605" s="25"/>
      <c r="G605" s="138"/>
      <c r="H605" s="26"/>
      <c r="J605" s="155"/>
    </row>
    <row r="606" ht="22.5" customHeight="1">
      <c r="A606" s="24"/>
      <c r="B606" s="25"/>
      <c r="C606" s="25"/>
      <c r="D606" s="25"/>
      <c r="E606" s="138"/>
      <c r="F606" s="25"/>
      <c r="G606" s="138"/>
      <c r="H606" s="26"/>
      <c r="J606" s="155"/>
    </row>
    <row r="607" ht="22.5" customHeight="1">
      <c r="A607" s="24"/>
      <c r="B607" s="25"/>
      <c r="C607" s="25"/>
      <c r="D607" s="25"/>
      <c r="E607" s="138"/>
      <c r="F607" s="25"/>
      <c r="G607" s="138"/>
      <c r="H607" s="26"/>
      <c r="J607" s="155"/>
    </row>
    <row r="608" ht="22.5" customHeight="1">
      <c r="A608" s="24"/>
      <c r="B608" s="25"/>
      <c r="C608" s="25"/>
      <c r="D608" s="25"/>
      <c r="E608" s="138"/>
      <c r="F608" s="25"/>
      <c r="G608" s="138"/>
      <c r="H608" s="26"/>
      <c r="J608" s="155"/>
    </row>
    <row r="609" ht="22.5" customHeight="1">
      <c r="A609" s="24"/>
      <c r="B609" s="25"/>
      <c r="C609" s="25"/>
      <c r="D609" s="25"/>
      <c r="E609" s="138"/>
      <c r="F609" s="25"/>
      <c r="G609" s="138"/>
      <c r="H609" s="26"/>
      <c r="J609" s="155"/>
    </row>
    <row r="610" ht="22.5" customHeight="1">
      <c r="A610" s="24"/>
      <c r="B610" s="25"/>
      <c r="C610" s="25"/>
      <c r="D610" s="25"/>
      <c r="E610" s="138"/>
      <c r="F610" s="25"/>
      <c r="G610" s="138"/>
      <c r="H610" s="26"/>
      <c r="J610" s="155"/>
    </row>
    <row r="611" ht="22.5" customHeight="1">
      <c r="A611" s="24"/>
      <c r="B611" s="25"/>
      <c r="C611" s="25"/>
      <c r="D611" s="25"/>
      <c r="E611" s="138"/>
      <c r="F611" s="25"/>
      <c r="G611" s="138"/>
      <c r="H611" s="26"/>
      <c r="J611" s="155"/>
    </row>
    <row r="612" ht="22.5" customHeight="1">
      <c r="A612" s="24"/>
      <c r="B612" s="25"/>
      <c r="C612" s="25"/>
      <c r="D612" s="25"/>
      <c r="E612" s="138"/>
      <c r="F612" s="25"/>
      <c r="G612" s="138"/>
      <c r="H612" s="26"/>
      <c r="J612" s="155"/>
    </row>
    <row r="613" ht="22.5" customHeight="1">
      <c r="A613" s="24"/>
      <c r="B613" s="25"/>
      <c r="C613" s="25"/>
      <c r="D613" s="25"/>
      <c r="E613" s="138"/>
      <c r="F613" s="25"/>
      <c r="G613" s="138"/>
      <c r="H613" s="26"/>
      <c r="J613" s="155"/>
    </row>
    <row r="614" ht="22.5" customHeight="1">
      <c r="A614" s="24"/>
      <c r="B614" s="25"/>
      <c r="C614" s="25"/>
      <c r="D614" s="25"/>
      <c r="E614" s="138"/>
      <c r="F614" s="25"/>
      <c r="G614" s="138"/>
      <c r="H614" s="26"/>
      <c r="J614" s="155"/>
    </row>
    <row r="615" ht="22.5" customHeight="1">
      <c r="A615" s="24"/>
      <c r="B615" s="25"/>
      <c r="C615" s="25"/>
      <c r="D615" s="25"/>
      <c r="E615" s="138"/>
      <c r="F615" s="25"/>
      <c r="G615" s="138"/>
      <c r="H615" s="26"/>
      <c r="J615" s="155"/>
    </row>
    <row r="616" ht="22.5" customHeight="1">
      <c r="A616" s="24"/>
      <c r="B616" s="25"/>
      <c r="C616" s="25"/>
      <c r="D616" s="25"/>
      <c r="E616" s="138"/>
      <c r="F616" s="25"/>
      <c r="G616" s="138"/>
      <c r="H616" s="26"/>
      <c r="J616" s="155"/>
    </row>
    <row r="617" ht="22.5" customHeight="1">
      <c r="A617" s="24"/>
      <c r="B617" s="25"/>
      <c r="C617" s="25"/>
      <c r="D617" s="25"/>
      <c r="E617" s="138"/>
      <c r="F617" s="25"/>
      <c r="G617" s="138"/>
      <c r="H617" s="26"/>
      <c r="J617" s="155"/>
    </row>
    <row r="618" ht="22.5" customHeight="1">
      <c r="A618" s="24"/>
      <c r="B618" s="25"/>
      <c r="C618" s="25"/>
      <c r="D618" s="25"/>
      <c r="E618" s="138"/>
      <c r="F618" s="25"/>
      <c r="G618" s="138"/>
      <c r="H618" s="26"/>
      <c r="J618" s="155"/>
    </row>
    <row r="619" ht="22.5" customHeight="1">
      <c r="A619" s="24"/>
      <c r="B619" s="25"/>
      <c r="C619" s="25"/>
      <c r="D619" s="25"/>
      <c r="E619" s="138"/>
      <c r="F619" s="25"/>
      <c r="G619" s="138"/>
      <c r="H619" s="26"/>
      <c r="J619" s="155"/>
    </row>
    <row r="620" ht="22.5" customHeight="1">
      <c r="A620" s="24"/>
      <c r="B620" s="25"/>
      <c r="C620" s="25"/>
      <c r="D620" s="25"/>
      <c r="E620" s="138"/>
      <c r="F620" s="25"/>
      <c r="G620" s="138"/>
      <c r="H620" s="26"/>
      <c r="J620" s="155"/>
    </row>
    <row r="621" ht="22.5" customHeight="1">
      <c r="A621" s="24"/>
      <c r="B621" s="25"/>
      <c r="C621" s="25"/>
      <c r="D621" s="25"/>
      <c r="E621" s="138"/>
      <c r="F621" s="25"/>
      <c r="G621" s="138"/>
      <c r="H621" s="26"/>
      <c r="J621" s="155"/>
    </row>
    <row r="622" ht="22.5" customHeight="1">
      <c r="A622" s="24"/>
      <c r="B622" s="25"/>
      <c r="C622" s="25"/>
      <c r="D622" s="25"/>
      <c r="E622" s="138"/>
      <c r="F622" s="25"/>
      <c r="G622" s="138"/>
      <c r="H622" s="26"/>
      <c r="J622" s="155"/>
    </row>
    <row r="623" ht="22.5" customHeight="1">
      <c r="A623" s="24"/>
      <c r="B623" s="25"/>
      <c r="C623" s="25"/>
      <c r="D623" s="25"/>
      <c r="E623" s="138"/>
      <c r="F623" s="25"/>
      <c r="G623" s="138"/>
      <c r="H623" s="26"/>
      <c r="J623" s="155"/>
    </row>
    <row r="624" ht="22.5" customHeight="1">
      <c r="A624" s="24"/>
      <c r="B624" s="25"/>
      <c r="C624" s="25"/>
      <c r="D624" s="25"/>
      <c r="E624" s="138"/>
      <c r="F624" s="25"/>
      <c r="G624" s="138"/>
      <c r="H624" s="26"/>
      <c r="J624" s="155"/>
    </row>
    <row r="625" ht="22.5" customHeight="1">
      <c r="A625" s="24"/>
      <c r="B625" s="25"/>
      <c r="C625" s="25"/>
      <c r="D625" s="25"/>
      <c r="E625" s="138"/>
      <c r="F625" s="25"/>
      <c r="G625" s="138"/>
      <c r="H625" s="26"/>
      <c r="J625" s="155"/>
    </row>
    <row r="626" ht="22.5" customHeight="1">
      <c r="A626" s="24"/>
      <c r="B626" s="25"/>
      <c r="C626" s="25"/>
      <c r="D626" s="25"/>
      <c r="E626" s="138"/>
      <c r="F626" s="25"/>
      <c r="G626" s="138"/>
      <c r="H626" s="26"/>
      <c r="J626" s="155"/>
    </row>
    <row r="627" ht="22.5" customHeight="1">
      <c r="A627" s="24"/>
      <c r="B627" s="25"/>
      <c r="C627" s="25"/>
      <c r="D627" s="25"/>
      <c r="E627" s="138"/>
      <c r="F627" s="25"/>
      <c r="G627" s="138"/>
      <c r="H627" s="26"/>
      <c r="J627" s="155"/>
    </row>
    <row r="628" ht="22.5" customHeight="1">
      <c r="A628" s="24"/>
      <c r="B628" s="25"/>
      <c r="C628" s="25"/>
      <c r="D628" s="25"/>
      <c r="E628" s="138"/>
      <c r="F628" s="25"/>
      <c r="G628" s="138"/>
      <c r="H628" s="26"/>
      <c r="J628" s="155"/>
    </row>
    <row r="629" ht="22.5" customHeight="1">
      <c r="A629" s="24"/>
      <c r="B629" s="25"/>
      <c r="C629" s="25"/>
      <c r="D629" s="25"/>
      <c r="E629" s="138"/>
      <c r="F629" s="25"/>
      <c r="G629" s="138"/>
      <c r="H629" s="26"/>
      <c r="J629" s="155"/>
    </row>
    <row r="630" ht="22.5" customHeight="1">
      <c r="A630" s="24"/>
      <c r="B630" s="25"/>
      <c r="C630" s="25"/>
      <c r="D630" s="25"/>
      <c r="E630" s="138"/>
      <c r="F630" s="25"/>
      <c r="G630" s="138"/>
      <c r="H630" s="26"/>
      <c r="J630" s="155"/>
    </row>
    <row r="631" ht="22.5" customHeight="1">
      <c r="A631" s="24"/>
      <c r="B631" s="25"/>
      <c r="C631" s="25"/>
      <c r="D631" s="25"/>
      <c r="E631" s="138"/>
      <c r="F631" s="25"/>
      <c r="G631" s="138"/>
      <c r="H631" s="26"/>
      <c r="J631" s="155"/>
    </row>
    <row r="632" ht="22.5" customHeight="1">
      <c r="A632" s="24"/>
      <c r="B632" s="25"/>
      <c r="C632" s="25"/>
      <c r="D632" s="25"/>
      <c r="E632" s="138"/>
      <c r="F632" s="25"/>
      <c r="G632" s="138"/>
      <c r="H632" s="26"/>
      <c r="J632" s="155"/>
    </row>
    <row r="633" ht="22.5" customHeight="1">
      <c r="A633" s="24"/>
      <c r="B633" s="25"/>
      <c r="C633" s="25"/>
      <c r="D633" s="25"/>
      <c r="E633" s="138"/>
      <c r="F633" s="25"/>
      <c r="G633" s="138"/>
      <c r="H633" s="26"/>
      <c r="J633" s="155"/>
    </row>
    <row r="634" ht="22.5" customHeight="1">
      <c r="A634" s="24"/>
      <c r="B634" s="25"/>
      <c r="C634" s="25"/>
      <c r="D634" s="25"/>
      <c r="E634" s="138"/>
      <c r="F634" s="25"/>
      <c r="G634" s="138"/>
      <c r="H634" s="26"/>
      <c r="J634" s="155"/>
    </row>
    <row r="635" ht="22.5" customHeight="1">
      <c r="A635" s="24"/>
      <c r="B635" s="25"/>
      <c r="C635" s="25"/>
      <c r="D635" s="25"/>
      <c r="E635" s="138"/>
      <c r="F635" s="25"/>
      <c r="G635" s="138"/>
      <c r="H635" s="26"/>
      <c r="J635" s="155"/>
    </row>
    <row r="636" ht="22.5" customHeight="1">
      <c r="A636" s="24"/>
      <c r="B636" s="25"/>
      <c r="C636" s="25"/>
      <c r="D636" s="25"/>
      <c r="E636" s="138"/>
      <c r="F636" s="25"/>
      <c r="G636" s="138"/>
      <c r="H636" s="26"/>
      <c r="J636" s="155"/>
    </row>
    <row r="637" ht="22.5" customHeight="1">
      <c r="A637" s="24"/>
      <c r="B637" s="25"/>
      <c r="C637" s="25"/>
      <c r="D637" s="25"/>
      <c r="E637" s="138"/>
      <c r="F637" s="25"/>
      <c r="G637" s="138"/>
      <c r="H637" s="26"/>
      <c r="J637" s="155"/>
    </row>
    <row r="638" ht="22.5" customHeight="1">
      <c r="A638" s="24"/>
      <c r="B638" s="25"/>
      <c r="C638" s="25"/>
      <c r="D638" s="25"/>
      <c r="E638" s="138"/>
      <c r="F638" s="25"/>
      <c r="G638" s="138"/>
      <c r="H638" s="26"/>
      <c r="J638" s="155"/>
    </row>
    <row r="639" ht="22.5" customHeight="1">
      <c r="A639" s="24"/>
      <c r="B639" s="25"/>
      <c r="C639" s="25"/>
      <c r="D639" s="25"/>
      <c r="E639" s="138"/>
      <c r="F639" s="25"/>
      <c r="G639" s="138"/>
      <c r="H639" s="26"/>
      <c r="J639" s="155"/>
    </row>
    <row r="640" ht="22.5" customHeight="1">
      <c r="A640" s="24"/>
      <c r="B640" s="25"/>
      <c r="C640" s="25"/>
      <c r="D640" s="25"/>
      <c r="E640" s="138"/>
      <c r="F640" s="25"/>
      <c r="G640" s="138"/>
      <c r="H640" s="26"/>
      <c r="J640" s="155"/>
    </row>
    <row r="641" ht="22.5" customHeight="1">
      <c r="A641" s="24"/>
      <c r="B641" s="25"/>
      <c r="C641" s="25"/>
      <c r="D641" s="25"/>
      <c r="E641" s="138"/>
      <c r="F641" s="25"/>
      <c r="G641" s="138"/>
      <c r="H641" s="26"/>
      <c r="J641" s="155"/>
    </row>
    <row r="642" ht="22.5" customHeight="1">
      <c r="A642" s="24"/>
      <c r="B642" s="25"/>
      <c r="C642" s="25"/>
      <c r="D642" s="25"/>
      <c r="E642" s="138"/>
      <c r="F642" s="25"/>
      <c r="G642" s="138"/>
      <c r="H642" s="26"/>
      <c r="J642" s="155"/>
    </row>
    <row r="643" ht="22.5" customHeight="1">
      <c r="A643" s="24"/>
      <c r="B643" s="25"/>
      <c r="C643" s="25"/>
      <c r="D643" s="25"/>
      <c r="E643" s="138"/>
      <c r="F643" s="25"/>
      <c r="G643" s="138"/>
      <c r="H643" s="26"/>
      <c r="J643" s="155"/>
    </row>
    <row r="644" ht="22.5" customHeight="1">
      <c r="A644" s="24"/>
      <c r="B644" s="25"/>
      <c r="C644" s="25"/>
      <c r="D644" s="25"/>
      <c r="E644" s="138"/>
      <c r="F644" s="25"/>
      <c r="G644" s="138"/>
      <c r="H644" s="26"/>
      <c r="J644" s="155"/>
    </row>
    <row r="645" ht="22.5" customHeight="1">
      <c r="A645" s="24"/>
      <c r="B645" s="25"/>
      <c r="C645" s="25"/>
      <c r="D645" s="25"/>
      <c r="E645" s="138"/>
      <c r="F645" s="25"/>
      <c r="G645" s="138"/>
      <c r="H645" s="26"/>
      <c r="J645" s="155"/>
    </row>
    <row r="646" ht="22.5" customHeight="1">
      <c r="A646" s="24"/>
      <c r="B646" s="25"/>
      <c r="C646" s="25"/>
      <c r="D646" s="25"/>
      <c r="E646" s="138"/>
      <c r="F646" s="25"/>
      <c r="G646" s="138"/>
      <c r="H646" s="26"/>
      <c r="J646" s="155"/>
    </row>
    <row r="647" ht="22.5" customHeight="1">
      <c r="A647" s="24"/>
      <c r="B647" s="25"/>
      <c r="C647" s="25"/>
      <c r="D647" s="25"/>
      <c r="E647" s="138"/>
      <c r="F647" s="25"/>
      <c r="G647" s="138"/>
      <c r="H647" s="26"/>
      <c r="J647" s="155"/>
    </row>
    <row r="648" ht="22.5" customHeight="1">
      <c r="A648" s="24"/>
      <c r="B648" s="25"/>
      <c r="C648" s="25"/>
      <c r="D648" s="25"/>
      <c r="E648" s="138"/>
      <c r="F648" s="25"/>
      <c r="G648" s="138"/>
      <c r="H648" s="26"/>
      <c r="J648" s="155"/>
    </row>
    <row r="649" ht="22.5" customHeight="1">
      <c r="A649" s="24"/>
      <c r="B649" s="25"/>
      <c r="C649" s="25"/>
      <c r="D649" s="25"/>
      <c r="E649" s="138"/>
      <c r="F649" s="25"/>
      <c r="G649" s="138"/>
      <c r="H649" s="26"/>
      <c r="J649" s="155"/>
    </row>
    <row r="650" ht="22.5" customHeight="1">
      <c r="A650" s="24"/>
      <c r="B650" s="25"/>
      <c r="C650" s="25"/>
      <c r="D650" s="25"/>
      <c r="E650" s="138"/>
      <c r="F650" s="25"/>
      <c r="G650" s="138"/>
      <c r="H650" s="26"/>
      <c r="J650" s="155"/>
    </row>
    <row r="651" ht="22.5" customHeight="1">
      <c r="A651" s="24"/>
      <c r="B651" s="25"/>
      <c r="C651" s="25"/>
      <c r="D651" s="25"/>
      <c r="E651" s="138"/>
      <c r="F651" s="25"/>
      <c r="G651" s="138"/>
      <c r="H651" s="26"/>
      <c r="J651" s="155"/>
    </row>
    <row r="652" ht="22.5" customHeight="1">
      <c r="A652" s="24"/>
      <c r="B652" s="25"/>
      <c r="C652" s="25"/>
      <c r="D652" s="25"/>
      <c r="E652" s="138"/>
      <c r="F652" s="25"/>
      <c r="G652" s="138"/>
      <c r="H652" s="26"/>
      <c r="J652" s="155"/>
    </row>
    <row r="653" ht="22.5" customHeight="1">
      <c r="A653" s="24"/>
      <c r="B653" s="25"/>
      <c r="C653" s="25"/>
      <c r="D653" s="25"/>
      <c r="E653" s="138"/>
      <c r="F653" s="25"/>
      <c r="G653" s="138"/>
      <c r="H653" s="26"/>
      <c r="J653" s="155"/>
    </row>
    <row r="654" ht="22.5" customHeight="1">
      <c r="A654" s="24"/>
      <c r="B654" s="25"/>
      <c r="C654" s="25"/>
      <c r="D654" s="25"/>
      <c r="E654" s="138"/>
      <c r="F654" s="25"/>
      <c r="G654" s="138"/>
      <c r="H654" s="26"/>
      <c r="J654" s="155"/>
    </row>
    <row r="655" ht="22.5" customHeight="1">
      <c r="A655" s="24"/>
      <c r="B655" s="25"/>
      <c r="C655" s="25"/>
      <c r="D655" s="25"/>
      <c r="E655" s="138"/>
      <c r="F655" s="25"/>
      <c r="G655" s="138"/>
      <c r="H655" s="26"/>
      <c r="J655" s="155"/>
    </row>
    <row r="656" ht="22.5" customHeight="1">
      <c r="A656" s="24"/>
      <c r="B656" s="25"/>
      <c r="C656" s="25"/>
      <c r="D656" s="25"/>
      <c r="E656" s="138"/>
      <c r="F656" s="25"/>
      <c r="G656" s="138"/>
      <c r="H656" s="26"/>
      <c r="J656" s="155"/>
    </row>
    <row r="657" ht="22.5" customHeight="1">
      <c r="A657" s="24"/>
      <c r="B657" s="25"/>
      <c r="C657" s="25"/>
      <c r="D657" s="25"/>
      <c r="E657" s="138"/>
      <c r="F657" s="25"/>
      <c r="G657" s="138"/>
      <c r="H657" s="26"/>
      <c r="J657" s="155"/>
    </row>
    <row r="658" ht="22.5" customHeight="1">
      <c r="A658" s="24"/>
      <c r="B658" s="25"/>
      <c r="C658" s="25"/>
      <c r="D658" s="25"/>
      <c r="E658" s="138"/>
      <c r="F658" s="25"/>
      <c r="G658" s="138"/>
      <c r="H658" s="26"/>
      <c r="J658" s="155"/>
    </row>
    <row r="659" ht="22.5" customHeight="1">
      <c r="A659" s="24"/>
      <c r="B659" s="25"/>
      <c r="C659" s="25"/>
      <c r="D659" s="25"/>
      <c r="E659" s="138"/>
      <c r="F659" s="25"/>
      <c r="G659" s="138"/>
      <c r="H659" s="26"/>
      <c r="J659" s="155"/>
    </row>
    <row r="660" ht="22.5" customHeight="1">
      <c r="A660" s="24"/>
      <c r="B660" s="25"/>
      <c r="C660" s="25"/>
      <c r="D660" s="25"/>
      <c r="E660" s="138"/>
      <c r="F660" s="25"/>
      <c r="G660" s="138"/>
      <c r="H660" s="26"/>
      <c r="J660" s="155"/>
    </row>
    <row r="661" ht="22.5" customHeight="1">
      <c r="A661" s="24"/>
      <c r="B661" s="25"/>
      <c r="C661" s="25"/>
      <c r="D661" s="25"/>
      <c r="E661" s="138"/>
      <c r="F661" s="25"/>
      <c r="G661" s="138"/>
      <c r="H661" s="26"/>
      <c r="J661" s="155"/>
    </row>
    <row r="662" ht="22.5" customHeight="1">
      <c r="A662" s="24"/>
      <c r="B662" s="25"/>
      <c r="C662" s="25"/>
      <c r="D662" s="25"/>
      <c r="E662" s="138"/>
      <c r="F662" s="25"/>
      <c r="G662" s="138"/>
      <c r="H662" s="26"/>
      <c r="J662" s="155"/>
    </row>
    <row r="663" ht="22.5" customHeight="1">
      <c r="A663" s="24"/>
      <c r="B663" s="25"/>
      <c r="C663" s="25"/>
      <c r="D663" s="25"/>
      <c r="E663" s="138"/>
      <c r="F663" s="25"/>
      <c r="G663" s="138"/>
      <c r="H663" s="26"/>
      <c r="J663" s="155"/>
    </row>
    <row r="664" ht="22.5" customHeight="1">
      <c r="A664" s="24"/>
      <c r="B664" s="25"/>
      <c r="C664" s="25"/>
      <c r="D664" s="25"/>
      <c r="E664" s="138"/>
      <c r="F664" s="25"/>
      <c r="G664" s="138"/>
      <c r="H664" s="26"/>
      <c r="J664" s="155"/>
    </row>
    <row r="665" ht="22.5" customHeight="1">
      <c r="A665" s="24"/>
      <c r="B665" s="25"/>
      <c r="C665" s="25"/>
      <c r="D665" s="25"/>
      <c r="E665" s="138"/>
      <c r="F665" s="25"/>
      <c r="G665" s="138"/>
      <c r="H665" s="26"/>
      <c r="J665" s="155"/>
    </row>
    <row r="666" ht="22.5" customHeight="1">
      <c r="A666" s="24"/>
      <c r="B666" s="25"/>
      <c r="C666" s="25"/>
      <c r="D666" s="25"/>
      <c r="E666" s="138"/>
      <c r="F666" s="25"/>
      <c r="G666" s="138"/>
      <c r="H666" s="26"/>
      <c r="J666" s="155"/>
    </row>
    <row r="667" ht="22.5" customHeight="1">
      <c r="A667" s="24"/>
      <c r="B667" s="25"/>
      <c r="C667" s="25"/>
      <c r="D667" s="25"/>
      <c r="E667" s="138"/>
      <c r="F667" s="25"/>
      <c r="G667" s="138"/>
      <c r="H667" s="26"/>
      <c r="J667" s="155"/>
    </row>
    <row r="668" ht="22.5" customHeight="1">
      <c r="A668" s="24"/>
      <c r="B668" s="25"/>
      <c r="C668" s="25"/>
      <c r="D668" s="25"/>
      <c r="E668" s="138"/>
      <c r="F668" s="25"/>
      <c r="G668" s="138"/>
      <c r="H668" s="26"/>
      <c r="J668" s="155"/>
    </row>
    <row r="669" ht="22.5" customHeight="1">
      <c r="A669" s="24"/>
      <c r="B669" s="25"/>
      <c r="C669" s="25"/>
      <c r="D669" s="25"/>
      <c r="E669" s="138"/>
      <c r="F669" s="25"/>
      <c r="G669" s="138"/>
      <c r="H669" s="26"/>
      <c r="J669" s="155"/>
    </row>
    <row r="670" ht="22.5" customHeight="1">
      <c r="A670" s="24"/>
      <c r="B670" s="25"/>
      <c r="C670" s="25"/>
      <c r="D670" s="25"/>
      <c r="E670" s="138"/>
      <c r="F670" s="25"/>
      <c r="G670" s="138"/>
      <c r="H670" s="26"/>
      <c r="J670" s="155"/>
    </row>
    <row r="671" ht="22.5" customHeight="1">
      <c r="A671" s="24"/>
      <c r="B671" s="25"/>
      <c r="C671" s="25"/>
      <c r="D671" s="25"/>
      <c r="E671" s="138"/>
      <c r="F671" s="25"/>
      <c r="G671" s="138"/>
      <c r="H671" s="26"/>
      <c r="J671" s="155"/>
    </row>
    <row r="672" ht="22.5" customHeight="1">
      <c r="A672" s="24"/>
      <c r="B672" s="25"/>
      <c r="C672" s="25"/>
      <c r="D672" s="25"/>
      <c r="E672" s="138"/>
      <c r="F672" s="25"/>
      <c r="G672" s="138"/>
      <c r="H672" s="26"/>
      <c r="J672" s="155"/>
    </row>
    <row r="673" ht="22.5" customHeight="1">
      <c r="A673" s="24"/>
      <c r="B673" s="25"/>
      <c r="C673" s="25"/>
      <c r="D673" s="25"/>
      <c r="E673" s="138"/>
      <c r="F673" s="25"/>
      <c r="G673" s="138"/>
      <c r="H673" s="26"/>
      <c r="J673" s="155"/>
    </row>
    <row r="674" ht="22.5" customHeight="1">
      <c r="A674" s="24"/>
      <c r="B674" s="25"/>
      <c r="C674" s="25"/>
      <c r="D674" s="25"/>
      <c r="E674" s="138"/>
      <c r="F674" s="25"/>
      <c r="G674" s="138"/>
      <c r="H674" s="26"/>
      <c r="J674" s="155"/>
    </row>
    <row r="675" ht="22.5" customHeight="1">
      <c r="A675" s="24"/>
      <c r="B675" s="25"/>
      <c r="C675" s="25"/>
      <c r="D675" s="25"/>
      <c r="E675" s="138"/>
      <c r="F675" s="25"/>
      <c r="G675" s="138"/>
      <c r="H675" s="26"/>
      <c r="J675" s="155"/>
    </row>
    <row r="676" ht="22.5" customHeight="1">
      <c r="A676" s="24"/>
      <c r="B676" s="25"/>
      <c r="C676" s="25"/>
      <c r="D676" s="25"/>
      <c r="E676" s="138"/>
      <c r="F676" s="25"/>
      <c r="G676" s="138"/>
      <c r="H676" s="26"/>
      <c r="J676" s="155"/>
    </row>
    <row r="677" ht="22.5" customHeight="1">
      <c r="A677" s="24"/>
      <c r="B677" s="25"/>
      <c r="C677" s="25"/>
      <c r="D677" s="25"/>
      <c r="E677" s="138"/>
      <c r="F677" s="25"/>
      <c r="G677" s="138"/>
      <c r="H677" s="26"/>
      <c r="J677" s="155"/>
    </row>
    <row r="678" ht="22.5" customHeight="1">
      <c r="A678" s="24"/>
      <c r="B678" s="25"/>
      <c r="C678" s="25"/>
      <c r="D678" s="25"/>
      <c r="E678" s="138"/>
      <c r="F678" s="25"/>
      <c r="G678" s="138"/>
      <c r="H678" s="26"/>
      <c r="J678" s="155"/>
    </row>
    <row r="679" ht="22.5" customHeight="1">
      <c r="A679" s="24"/>
      <c r="B679" s="25"/>
      <c r="C679" s="25"/>
      <c r="D679" s="25"/>
      <c r="E679" s="138"/>
      <c r="F679" s="25"/>
      <c r="G679" s="138"/>
      <c r="H679" s="26"/>
      <c r="J679" s="155"/>
    </row>
    <row r="680" ht="22.5" customHeight="1">
      <c r="A680" s="24"/>
      <c r="B680" s="25"/>
      <c r="C680" s="25"/>
      <c r="D680" s="25"/>
      <c r="E680" s="138"/>
      <c r="F680" s="25"/>
      <c r="G680" s="138"/>
      <c r="H680" s="26"/>
      <c r="J680" s="155"/>
    </row>
    <row r="681" ht="22.5" customHeight="1">
      <c r="A681" s="24"/>
      <c r="B681" s="25"/>
      <c r="C681" s="25"/>
      <c r="D681" s="25"/>
      <c r="E681" s="138"/>
      <c r="F681" s="25"/>
      <c r="G681" s="138"/>
      <c r="H681" s="26"/>
      <c r="J681" s="155"/>
    </row>
    <row r="682" ht="22.5" customHeight="1">
      <c r="A682" s="24"/>
      <c r="B682" s="25"/>
      <c r="C682" s="25"/>
      <c r="D682" s="25"/>
      <c r="E682" s="138"/>
      <c r="F682" s="25"/>
      <c r="G682" s="138"/>
      <c r="H682" s="26"/>
      <c r="J682" s="155"/>
    </row>
    <row r="683" ht="22.5" customHeight="1">
      <c r="A683" s="24"/>
      <c r="B683" s="25"/>
      <c r="C683" s="25"/>
      <c r="D683" s="25"/>
      <c r="E683" s="138"/>
      <c r="F683" s="25"/>
      <c r="G683" s="138"/>
      <c r="H683" s="26"/>
      <c r="J683" s="155"/>
    </row>
    <row r="684" ht="22.5" customHeight="1">
      <c r="A684" s="24"/>
      <c r="B684" s="25"/>
      <c r="C684" s="25"/>
      <c r="D684" s="25"/>
      <c r="E684" s="138"/>
      <c r="F684" s="25"/>
      <c r="G684" s="138"/>
      <c r="H684" s="26"/>
      <c r="J684" s="155"/>
    </row>
    <row r="685" ht="22.5" customHeight="1">
      <c r="A685" s="24"/>
      <c r="B685" s="25"/>
      <c r="C685" s="25"/>
      <c r="D685" s="25"/>
      <c r="E685" s="138"/>
      <c r="F685" s="25"/>
      <c r="G685" s="138"/>
      <c r="H685" s="26"/>
      <c r="J685" s="155"/>
    </row>
    <row r="686" ht="22.5" customHeight="1">
      <c r="A686" s="24"/>
      <c r="B686" s="25"/>
      <c r="C686" s="25"/>
      <c r="D686" s="25"/>
      <c r="E686" s="138"/>
      <c r="F686" s="25"/>
      <c r="G686" s="138"/>
      <c r="H686" s="26"/>
      <c r="J686" s="155"/>
    </row>
    <row r="687" ht="22.5" customHeight="1">
      <c r="A687" s="24"/>
      <c r="B687" s="25"/>
      <c r="C687" s="25"/>
      <c r="D687" s="25"/>
      <c r="E687" s="138"/>
      <c r="F687" s="25"/>
      <c r="G687" s="138"/>
      <c r="H687" s="26"/>
      <c r="J687" s="155"/>
    </row>
    <row r="688" ht="22.5" customHeight="1">
      <c r="A688" s="24"/>
      <c r="B688" s="25"/>
      <c r="C688" s="25"/>
      <c r="D688" s="25"/>
      <c r="E688" s="138"/>
      <c r="F688" s="25"/>
      <c r="G688" s="138"/>
      <c r="H688" s="26"/>
      <c r="J688" s="155"/>
    </row>
    <row r="689" ht="22.5" customHeight="1">
      <c r="A689" s="24"/>
      <c r="B689" s="25"/>
      <c r="C689" s="25"/>
      <c r="D689" s="25"/>
      <c r="E689" s="138"/>
      <c r="F689" s="25"/>
      <c r="G689" s="138"/>
      <c r="H689" s="26"/>
      <c r="J689" s="155"/>
    </row>
    <row r="690" ht="22.5" customHeight="1">
      <c r="A690" s="24"/>
      <c r="B690" s="25"/>
      <c r="C690" s="25"/>
      <c r="D690" s="25"/>
      <c r="E690" s="138"/>
      <c r="F690" s="25"/>
      <c r="G690" s="138"/>
      <c r="H690" s="26"/>
      <c r="J690" s="155"/>
    </row>
    <row r="691" ht="22.5" customHeight="1">
      <c r="A691" s="24"/>
      <c r="B691" s="25"/>
      <c r="C691" s="25"/>
      <c r="D691" s="25"/>
      <c r="E691" s="138"/>
      <c r="F691" s="25"/>
      <c r="G691" s="138"/>
      <c r="H691" s="26"/>
      <c r="J691" s="155"/>
    </row>
    <row r="692" ht="22.5" customHeight="1">
      <c r="A692" s="24"/>
      <c r="B692" s="25"/>
      <c r="C692" s="25"/>
      <c r="D692" s="25"/>
      <c r="E692" s="138"/>
      <c r="F692" s="25"/>
      <c r="G692" s="138"/>
      <c r="H692" s="26"/>
      <c r="J692" s="155"/>
    </row>
    <row r="693" ht="22.5" customHeight="1">
      <c r="A693" s="24"/>
      <c r="B693" s="25"/>
      <c r="C693" s="25"/>
      <c r="D693" s="25"/>
      <c r="E693" s="138"/>
      <c r="F693" s="25"/>
      <c r="G693" s="138"/>
      <c r="H693" s="26"/>
      <c r="J693" s="155"/>
    </row>
    <row r="694" ht="22.5" customHeight="1">
      <c r="A694" s="24"/>
      <c r="B694" s="25"/>
      <c r="C694" s="25"/>
      <c r="D694" s="25"/>
      <c r="E694" s="138"/>
      <c r="F694" s="25"/>
      <c r="G694" s="138"/>
      <c r="H694" s="26"/>
      <c r="J694" s="155"/>
    </row>
    <row r="695" ht="22.5" customHeight="1">
      <c r="A695" s="24"/>
      <c r="B695" s="25"/>
      <c r="C695" s="25"/>
      <c r="D695" s="25"/>
      <c r="E695" s="138"/>
      <c r="F695" s="25"/>
      <c r="G695" s="138"/>
      <c r="H695" s="26"/>
      <c r="J695" s="155"/>
    </row>
    <row r="696" ht="22.5" customHeight="1">
      <c r="A696" s="24"/>
      <c r="B696" s="25"/>
      <c r="C696" s="25"/>
      <c r="D696" s="25"/>
      <c r="E696" s="138"/>
      <c r="F696" s="25"/>
      <c r="G696" s="138"/>
      <c r="H696" s="26"/>
      <c r="J696" s="155"/>
    </row>
    <row r="697" ht="22.5" customHeight="1">
      <c r="A697" s="24"/>
      <c r="B697" s="25"/>
      <c r="C697" s="25"/>
      <c r="D697" s="25"/>
      <c r="E697" s="138"/>
      <c r="F697" s="25"/>
      <c r="G697" s="138"/>
      <c r="H697" s="26"/>
      <c r="J697" s="155"/>
    </row>
    <row r="698" ht="22.5" customHeight="1">
      <c r="A698" s="24"/>
      <c r="B698" s="25"/>
      <c r="C698" s="25"/>
      <c r="D698" s="25"/>
      <c r="E698" s="138"/>
      <c r="F698" s="25"/>
      <c r="G698" s="138"/>
      <c r="H698" s="26"/>
      <c r="J698" s="155"/>
    </row>
    <row r="699" ht="22.5" customHeight="1">
      <c r="A699" s="24"/>
      <c r="B699" s="25"/>
      <c r="C699" s="25"/>
      <c r="D699" s="25"/>
      <c r="E699" s="138"/>
      <c r="F699" s="25"/>
      <c r="G699" s="138"/>
      <c r="H699" s="26"/>
      <c r="J699" s="155"/>
    </row>
    <row r="700" ht="22.5" customHeight="1">
      <c r="A700" s="24"/>
      <c r="B700" s="25"/>
      <c r="C700" s="25"/>
      <c r="D700" s="25"/>
      <c r="E700" s="138"/>
      <c r="F700" s="25"/>
      <c r="G700" s="138"/>
      <c r="H700" s="26"/>
      <c r="J700" s="155"/>
    </row>
    <row r="701" ht="22.5" customHeight="1">
      <c r="A701" s="24"/>
      <c r="B701" s="25"/>
      <c r="C701" s="25"/>
      <c r="D701" s="25"/>
      <c r="E701" s="138"/>
      <c r="F701" s="25"/>
      <c r="G701" s="138"/>
      <c r="H701" s="26"/>
      <c r="J701" s="155"/>
    </row>
    <row r="702" ht="22.5" customHeight="1">
      <c r="A702" s="24"/>
      <c r="B702" s="25"/>
      <c r="C702" s="25"/>
      <c r="D702" s="25"/>
      <c r="E702" s="138"/>
      <c r="F702" s="25"/>
      <c r="G702" s="138"/>
      <c r="H702" s="26"/>
      <c r="J702" s="155"/>
    </row>
    <row r="703" ht="22.5" customHeight="1">
      <c r="A703" s="24"/>
      <c r="B703" s="25"/>
      <c r="C703" s="25"/>
      <c r="D703" s="25"/>
      <c r="E703" s="138"/>
      <c r="F703" s="25"/>
      <c r="G703" s="138"/>
      <c r="H703" s="26"/>
      <c r="J703" s="155"/>
    </row>
    <row r="704" ht="22.5" customHeight="1">
      <c r="A704" s="24"/>
      <c r="B704" s="25"/>
      <c r="C704" s="25"/>
      <c r="D704" s="25"/>
      <c r="E704" s="138"/>
      <c r="F704" s="25"/>
      <c r="G704" s="138"/>
      <c r="H704" s="26"/>
      <c r="J704" s="155"/>
    </row>
    <row r="705" ht="22.5" customHeight="1">
      <c r="A705" s="24"/>
      <c r="B705" s="25"/>
      <c r="C705" s="25"/>
      <c r="D705" s="25"/>
      <c r="E705" s="138"/>
      <c r="F705" s="25"/>
      <c r="G705" s="138"/>
      <c r="H705" s="26"/>
      <c r="J705" s="155"/>
    </row>
    <row r="706" ht="22.5" customHeight="1">
      <c r="A706" s="24"/>
      <c r="B706" s="25"/>
      <c r="C706" s="25"/>
      <c r="D706" s="25"/>
      <c r="E706" s="138"/>
      <c r="F706" s="25"/>
      <c r="G706" s="138"/>
      <c r="H706" s="26"/>
      <c r="J706" s="155"/>
    </row>
    <row r="707" ht="22.5" customHeight="1">
      <c r="A707" s="24"/>
      <c r="B707" s="25"/>
      <c r="C707" s="25"/>
      <c r="D707" s="25"/>
      <c r="E707" s="138"/>
      <c r="F707" s="25"/>
      <c r="G707" s="138"/>
      <c r="H707" s="26"/>
      <c r="J707" s="155"/>
    </row>
    <row r="708" ht="22.5" customHeight="1">
      <c r="A708" s="24"/>
      <c r="B708" s="25"/>
      <c r="C708" s="25"/>
      <c r="D708" s="25"/>
      <c r="E708" s="138"/>
      <c r="F708" s="25"/>
      <c r="G708" s="138"/>
      <c r="H708" s="26"/>
      <c r="J708" s="155"/>
    </row>
    <row r="709" ht="22.5" customHeight="1">
      <c r="A709" s="24"/>
      <c r="B709" s="25"/>
      <c r="C709" s="25"/>
      <c r="D709" s="25"/>
      <c r="E709" s="138"/>
      <c r="F709" s="25"/>
      <c r="G709" s="138"/>
      <c r="H709" s="26"/>
      <c r="J709" s="155"/>
    </row>
    <row r="710" ht="22.5" customHeight="1">
      <c r="A710" s="24"/>
      <c r="B710" s="25"/>
      <c r="C710" s="25"/>
      <c r="D710" s="25"/>
      <c r="E710" s="138"/>
      <c r="F710" s="25"/>
      <c r="G710" s="138"/>
      <c r="H710" s="26"/>
      <c r="J710" s="155"/>
    </row>
    <row r="711" ht="22.5" customHeight="1">
      <c r="A711" s="24"/>
      <c r="B711" s="25"/>
      <c r="C711" s="25"/>
      <c r="D711" s="25"/>
      <c r="E711" s="138"/>
      <c r="F711" s="25"/>
      <c r="G711" s="138"/>
      <c r="H711" s="26"/>
      <c r="J711" s="155"/>
    </row>
    <row r="712" ht="22.5" customHeight="1">
      <c r="A712" s="24"/>
      <c r="B712" s="25"/>
      <c r="C712" s="25"/>
      <c r="D712" s="25"/>
      <c r="E712" s="138"/>
      <c r="F712" s="25"/>
      <c r="G712" s="138"/>
      <c r="H712" s="26"/>
      <c r="J712" s="155"/>
    </row>
    <row r="713" ht="22.5" customHeight="1">
      <c r="A713" s="24"/>
      <c r="B713" s="25"/>
      <c r="C713" s="25"/>
      <c r="D713" s="25"/>
      <c r="E713" s="138"/>
      <c r="F713" s="25"/>
      <c r="G713" s="138"/>
      <c r="H713" s="26"/>
      <c r="J713" s="155"/>
    </row>
    <row r="714" ht="22.5" customHeight="1">
      <c r="A714" s="24"/>
      <c r="B714" s="25"/>
      <c r="C714" s="25"/>
      <c r="D714" s="25"/>
      <c r="E714" s="138"/>
      <c r="F714" s="25"/>
      <c r="G714" s="138"/>
      <c r="H714" s="26"/>
      <c r="J714" s="155"/>
    </row>
    <row r="715" ht="22.5" customHeight="1">
      <c r="A715" s="24"/>
      <c r="B715" s="25"/>
      <c r="C715" s="25"/>
      <c r="D715" s="25"/>
      <c r="E715" s="138"/>
      <c r="F715" s="25"/>
      <c r="G715" s="138"/>
      <c r="H715" s="26"/>
      <c r="J715" s="155"/>
    </row>
    <row r="716" ht="22.5" customHeight="1">
      <c r="A716" s="24"/>
      <c r="B716" s="25"/>
      <c r="C716" s="25"/>
      <c r="D716" s="25"/>
      <c r="E716" s="138"/>
      <c r="F716" s="25"/>
      <c r="G716" s="138"/>
      <c r="H716" s="26"/>
      <c r="J716" s="155"/>
    </row>
    <row r="717" ht="22.5" customHeight="1">
      <c r="A717" s="24"/>
      <c r="B717" s="25"/>
      <c r="C717" s="25"/>
      <c r="D717" s="25"/>
      <c r="E717" s="138"/>
      <c r="F717" s="25"/>
      <c r="G717" s="138"/>
      <c r="H717" s="26"/>
      <c r="J717" s="155"/>
    </row>
    <row r="718" ht="22.5" customHeight="1">
      <c r="A718" s="24"/>
      <c r="B718" s="25"/>
      <c r="C718" s="25"/>
      <c r="D718" s="25"/>
      <c r="E718" s="138"/>
      <c r="F718" s="25"/>
      <c r="G718" s="138"/>
      <c r="H718" s="26"/>
      <c r="J718" s="155"/>
    </row>
    <row r="719" ht="22.5" customHeight="1">
      <c r="A719" s="24"/>
      <c r="B719" s="25"/>
      <c r="C719" s="25"/>
      <c r="D719" s="25"/>
      <c r="E719" s="138"/>
      <c r="F719" s="25"/>
      <c r="G719" s="138"/>
      <c r="H719" s="26"/>
      <c r="J719" s="155"/>
    </row>
    <row r="720" ht="22.5" customHeight="1">
      <c r="A720" s="24"/>
      <c r="B720" s="25"/>
      <c r="C720" s="25"/>
      <c r="D720" s="25"/>
      <c r="E720" s="138"/>
      <c r="F720" s="25"/>
      <c r="G720" s="138"/>
      <c r="H720" s="26"/>
      <c r="J720" s="155"/>
    </row>
    <row r="721" ht="22.5" customHeight="1">
      <c r="A721" s="24"/>
      <c r="B721" s="25"/>
      <c r="C721" s="25"/>
      <c r="D721" s="25"/>
      <c r="E721" s="138"/>
      <c r="F721" s="25"/>
      <c r="G721" s="138"/>
      <c r="H721" s="26"/>
      <c r="J721" s="155"/>
    </row>
    <row r="722" ht="22.5" customHeight="1">
      <c r="A722" s="24"/>
      <c r="B722" s="25"/>
      <c r="C722" s="25"/>
      <c r="D722" s="25"/>
      <c r="E722" s="138"/>
      <c r="F722" s="25"/>
      <c r="G722" s="138"/>
      <c r="H722" s="26"/>
      <c r="J722" s="155"/>
    </row>
    <row r="723" ht="22.5" customHeight="1">
      <c r="A723" s="24"/>
      <c r="B723" s="25"/>
      <c r="C723" s="25"/>
      <c r="D723" s="25"/>
      <c r="E723" s="138"/>
      <c r="F723" s="25"/>
      <c r="G723" s="138"/>
      <c r="H723" s="26"/>
      <c r="J723" s="155"/>
    </row>
    <row r="724" ht="22.5" customHeight="1">
      <c r="A724" s="24"/>
      <c r="B724" s="25"/>
      <c r="C724" s="25"/>
      <c r="D724" s="25"/>
      <c r="E724" s="138"/>
      <c r="F724" s="25"/>
      <c r="G724" s="138"/>
      <c r="H724" s="26"/>
      <c r="J724" s="155"/>
    </row>
    <row r="725" ht="22.5" customHeight="1">
      <c r="A725" s="24"/>
      <c r="B725" s="25"/>
      <c r="C725" s="25"/>
      <c r="D725" s="25"/>
      <c r="E725" s="138"/>
      <c r="F725" s="25"/>
      <c r="G725" s="138"/>
      <c r="H725" s="26"/>
      <c r="J725" s="155"/>
    </row>
    <row r="726" ht="22.5" customHeight="1">
      <c r="A726" s="24"/>
      <c r="B726" s="25"/>
      <c r="C726" s="25"/>
      <c r="D726" s="25"/>
      <c r="E726" s="138"/>
      <c r="F726" s="25"/>
      <c r="G726" s="138"/>
      <c r="H726" s="26"/>
      <c r="J726" s="155"/>
    </row>
    <row r="727" ht="22.5" customHeight="1">
      <c r="A727" s="24"/>
      <c r="B727" s="25"/>
      <c r="C727" s="25"/>
      <c r="D727" s="25"/>
      <c r="E727" s="138"/>
      <c r="F727" s="25"/>
      <c r="G727" s="138"/>
      <c r="H727" s="26"/>
      <c r="J727" s="155"/>
    </row>
    <row r="728" ht="22.5" customHeight="1">
      <c r="A728" s="24"/>
      <c r="B728" s="25"/>
      <c r="C728" s="25"/>
      <c r="D728" s="25"/>
      <c r="E728" s="138"/>
      <c r="F728" s="25"/>
      <c r="G728" s="138"/>
      <c r="H728" s="26"/>
      <c r="J728" s="155"/>
    </row>
    <row r="729" ht="22.5" customHeight="1">
      <c r="A729" s="24"/>
      <c r="B729" s="25"/>
      <c r="C729" s="25"/>
      <c r="D729" s="25"/>
      <c r="E729" s="138"/>
      <c r="F729" s="25"/>
      <c r="G729" s="138"/>
      <c r="H729" s="26"/>
      <c r="J729" s="155"/>
    </row>
    <row r="730" ht="22.5" customHeight="1">
      <c r="A730" s="24"/>
      <c r="B730" s="25"/>
      <c r="C730" s="25"/>
      <c r="D730" s="25"/>
      <c r="E730" s="138"/>
      <c r="F730" s="25"/>
      <c r="G730" s="138"/>
      <c r="H730" s="26"/>
      <c r="J730" s="155"/>
    </row>
    <row r="731" ht="22.5" customHeight="1">
      <c r="A731" s="24"/>
      <c r="B731" s="25"/>
      <c r="C731" s="25"/>
      <c r="D731" s="25"/>
      <c r="E731" s="138"/>
      <c r="F731" s="25"/>
      <c r="G731" s="138"/>
      <c r="H731" s="26"/>
      <c r="J731" s="155"/>
    </row>
    <row r="732" ht="22.5" customHeight="1">
      <c r="A732" s="24"/>
      <c r="B732" s="25"/>
      <c r="C732" s="25"/>
      <c r="D732" s="25"/>
      <c r="E732" s="138"/>
      <c r="F732" s="25"/>
      <c r="G732" s="138"/>
      <c r="H732" s="26"/>
      <c r="J732" s="155"/>
    </row>
    <row r="733" ht="22.5" customHeight="1">
      <c r="A733" s="24"/>
      <c r="B733" s="25"/>
      <c r="C733" s="25"/>
      <c r="D733" s="25"/>
      <c r="E733" s="138"/>
      <c r="F733" s="25"/>
      <c r="G733" s="138"/>
      <c r="H733" s="26"/>
      <c r="J733" s="155"/>
    </row>
    <row r="734" ht="22.5" customHeight="1">
      <c r="A734" s="24"/>
      <c r="B734" s="25"/>
      <c r="C734" s="25"/>
      <c r="D734" s="25"/>
      <c r="E734" s="138"/>
      <c r="F734" s="25"/>
      <c r="G734" s="138"/>
      <c r="H734" s="26"/>
      <c r="J734" s="155"/>
    </row>
    <row r="735" ht="22.5" customHeight="1">
      <c r="A735" s="24"/>
      <c r="B735" s="25"/>
      <c r="C735" s="25"/>
      <c r="D735" s="25"/>
      <c r="E735" s="138"/>
      <c r="F735" s="25"/>
      <c r="G735" s="138"/>
      <c r="H735" s="26"/>
      <c r="J735" s="155"/>
    </row>
    <row r="736" ht="22.5" customHeight="1">
      <c r="A736" s="24"/>
      <c r="B736" s="25"/>
      <c r="C736" s="25"/>
      <c r="D736" s="25"/>
      <c r="E736" s="138"/>
      <c r="F736" s="25"/>
      <c r="G736" s="138"/>
      <c r="H736" s="26"/>
      <c r="J736" s="155"/>
    </row>
    <row r="737" ht="22.5" customHeight="1">
      <c r="A737" s="24"/>
      <c r="B737" s="25"/>
      <c r="C737" s="25"/>
      <c r="D737" s="25"/>
      <c r="E737" s="138"/>
      <c r="F737" s="25"/>
      <c r="G737" s="138"/>
      <c r="H737" s="26"/>
      <c r="J737" s="155"/>
    </row>
    <row r="738" ht="22.5" customHeight="1">
      <c r="A738" s="24"/>
      <c r="B738" s="25"/>
      <c r="C738" s="25"/>
      <c r="D738" s="25"/>
      <c r="E738" s="138"/>
      <c r="F738" s="25"/>
      <c r="G738" s="138"/>
      <c r="H738" s="26"/>
      <c r="J738" s="155"/>
    </row>
    <row r="739" ht="22.5" customHeight="1">
      <c r="A739" s="24"/>
      <c r="B739" s="25"/>
      <c r="C739" s="25"/>
      <c r="D739" s="25"/>
      <c r="E739" s="138"/>
      <c r="F739" s="25"/>
      <c r="G739" s="138"/>
      <c r="H739" s="26"/>
      <c r="J739" s="155"/>
    </row>
    <row r="740" ht="22.5" customHeight="1">
      <c r="A740" s="24"/>
      <c r="B740" s="25"/>
      <c r="C740" s="25"/>
      <c r="D740" s="25"/>
      <c r="E740" s="138"/>
      <c r="F740" s="25"/>
      <c r="G740" s="138"/>
      <c r="H740" s="26"/>
      <c r="J740" s="155"/>
    </row>
    <row r="741" ht="22.5" customHeight="1">
      <c r="A741" s="24"/>
      <c r="B741" s="25"/>
      <c r="C741" s="25"/>
      <c r="D741" s="25"/>
      <c r="E741" s="138"/>
      <c r="F741" s="25"/>
      <c r="G741" s="138"/>
      <c r="H741" s="26"/>
      <c r="J741" s="155"/>
    </row>
    <row r="742" ht="22.5" customHeight="1">
      <c r="A742" s="24"/>
      <c r="B742" s="25"/>
      <c r="C742" s="25"/>
      <c r="D742" s="25"/>
      <c r="E742" s="138"/>
      <c r="F742" s="25"/>
      <c r="G742" s="138"/>
      <c r="H742" s="26"/>
      <c r="J742" s="155"/>
    </row>
    <row r="743" ht="22.5" customHeight="1">
      <c r="A743" s="24"/>
      <c r="B743" s="25"/>
      <c r="C743" s="25"/>
      <c r="D743" s="25"/>
      <c r="E743" s="138"/>
      <c r="F743" s="25"/>
      <c r="G743" s="138"/>
      <c r="H743" s="26"/>
      <c r="J743" s="155"/>
    </row>
    <row r="744" ht="22.5" customHeight="1">
      <c r="A744" s="24"/>
      <c r="B744" s="25"/>
      <c r="C744" s="25"/>
      <c r="D744" s="25"/>
      <c r="E744" s="138"/>
      <c r="F744" s="25"/>
      <c r="G744" s="138"/>
      <c r="H744" s="26"/>
      <c r="J744" s="155"/>
    </row>
    <row r="745" ht="22.5" customHeight="1">
      <c r="A745" s="24"/>
      <c r="B745" s="25"/>
      <c r="C745" s="25"/>
      <c r="D745" s="25"/>
      <c r="E745" s="138"/>
      <c r="F745" s="25"/>
      <c r="G745" s="138"/>
      <c r="H745" s="26"/>
      <c r="J745" s="155"/>
    </row>
    <row r="746" ht="22.5" customHeight="1">
      <c r="A746" s="24"/>
      <c r="B746" s="25"/>
      <c r="C746" s="25"/>
      <c r="D746" s="25"/>
      <c r="E746" s="138"/>
      <c r="F746" s="25"/>
      <c r="G746" s="138"/>
      <c r="H746" s="26"/>
      <c r="J746" s="155"/>
    </row>
    <row r="747" ht="22.5" customHeight="1">
      <c r="A747" s="24"/>
      <c r="B747" s="25"/>
      <c r="C747" s="25"/>
      <c r="D747" s="25"/>
      <c r="E747" s="138"/>
      <c r="F747" s="25"/>
      <c r="G747" s="138"/>
      <c r="H747" s="26"/>
      <c r="J747" s="155"/>
    </row>
    <row r="748" ht="22.5" customHeight="1">
      <c r="A748" s="24"/>
      <c r="B748" s="25"/>
      <c r="C748" s="25"/>
      <c r="D748" s="25"/>
      <c r="E748" s="138"/>
      <c r="F748" s="25"/>
      <c r="G748" s="138"/>
      <c r="H748" s="26"/>
      <c r="J748" s="155"/>
    </row>
    <row r="749" ht="22.5" customHeight="1">
      <c r="A749" s="24"/>
      <c r="B749" s="25"/>
      <c r="C749" s="25"/>
      <c r="D749" s="25"/>
      <c r="E749" s="138"/>
      <c r="F749" s="25"/>
      <c r="G749" s="138"/>
      <c r="H749" s="26"/>
      <c r="J749" s="155"/>
    </row>
    <row r="750" ht="22.5" customHeight="1">
      <c r="A750" s="24"/>
      <c r="B750" s="25"/>
      <c r="C750" s="25"/>
      <c r="D750" s="25"/>
      <c r="E750" s="138"/>
      <c r="F750" s="25"/>
      <c r="G750" s="138"/>
      <c r="H750" s="26"/>
      <c r="J750" s="155"/>
    </row>
    <row r="751" ht="22.5" customHeight="1">
      <c r="A751" s="24"/>
      <c r="B751" s="25"/>
      <c r="C751" s="25"/>
      <c r="D751" s="25"/>
      <c r="E751" s="138"/>
      <c r="F751" s="25"/>
      <c r="G751" s="138"/>
      <c r="H751" s="26"/>
      <c r="J751" s="155"/>
    </row>
    <row r="752" ht="22.5" customHeight="1">
      <c r="A752" s="24"/>
      <c r="B752" s="25"/>
      <c r="C752" s="25"/>
      <c r="D752" s="25"/>
      <c r="E752" s="138"/>
      <c r="F752" s="25"/>
      <c r="G752" s="138"/>
      <c r="H752" s="26"/>
      <c r="J752" s="155"/>
    </row>
    <row r="753" ht="22.5" customHeight="1">
      <c r="A753" s="24"/>
      <c r="B753" s="25"/>
      <c r="C753" s="25"/>
      <c r="D753" s="25"/>
      <c r="E753" s="138"/>
      <c r="F753" s="25"/>
      <c r="G753" s="138"/>
      <c r="H753" s="26"/>
      <c r="J753" s="155"/>
    </row>
    <row r="754" ht="22.5" customHeight="1">
      <c r="A754" s="24"/>
      <c r="B754" s="25"/>
      <c r="C754" s="25"/>
      <c r="D754" s="25"/>
      <c r="E754" s="138"/>
      <c r="F754" s="25"/>
      <c r="G754" s="138"/>
      <c r="H754" s="26"/>
      <c r="J754" s="155"/>
    </row>
    <row r="755" ht="22.5" customHeight="1">
      <c r="A755" s="24"/>
      <c r="B755" s="25"/>
      <c r="C755" s="25"/>
      <c r="D755" s="25"/>
      <c r="E755" s="138"/>
      <c r="F755" s="25"/>
      <c r="G755" s="138"/>
      <c r="H755" s="26"/>
      <c r="J755" s="155"/>
    </row>
    <row r="756" ht="22.5" customHeight="1">
      <c r="A756" s="24"/>
      <c r="B756" s="25"/>
      <c r="C756" s="25"/>
      <c r="D756" s="25"/>
      <c r="E756" s="138"/>
      <c r="F756" s="25"/>
      <c r="G756" s="138"/>
      <c r="H756" s="26"/>
      <c r="J756" s="155"/>
    </row>
    <row r="757" ht="22.5" customHeight="1">
      <c r="A757" s="24"/>
      <c r="B757" s="25"/>
      <c r="C757" s="25"/>
      <c r="D757" s="25"/>
      <c r="E757" s="138"/>
      <c r="F757" s="25"/>
      <c r="G757" s="138"/>
      <c r="H757" s="26"/>
      <c r="J757" s="155"/>
    </row>
    <row r="758" ht="22.5" customHeight="1">
      <c r="A758" s="24"/>
      <c r="B758" s="25"/>
      <c r="C758" s="25"/>
      <c r="D758" s="25"/>
      <c r="E758" s="138"/>
      <c r="F758" s="25"/>
      <c r="G758" s="138"/>
      <c r="H758" s="26"/>
      <c r="J758" s="155"/>
    </row>
    <row r="759" ht="22.5" customHeight="1">
      <c r="A759" s="24"/>
      <c r="B759" s="25"/>
      <c r="C759" s="25"/>
      <c r="D759" s="25"/>
      <c r="E759" s="138"/>
      <c r="F759" s="25"/>
      <c r="G759" s="138"/>
      <c r="H759" s="26"/>
      <c r="J759" s="155"/>
    </row>
    <row r="760" ht="22.5" customHeight="1">
      <c r="A760" s="24"/>
      <c r="B760" s="25"/>
      <c r="C760" s="25"/>
      <c r="D760" s="25"/>
      <c r="E760" s="138"/>
      <c r="F760" s="25"/>
      <c r="G760" s="138"/>
      <c r="H760" s="26"/>
      <c r="J760" s="155"/>
    </row>
    <row r="761" ht="22.5" customHeight="1">
      <c r="A761" s="24"/>
      <c r="B761" s="25"/>
      <c r="C761" s="25"/>
      <c r="D761" s="25"/>
      <c r="E761" s="138"/>
      <c r="F761" s="25"/>
      <c r="G761" s="138"/>
      <c r="H761" s="26"/>
      <c r="J761" s="155"/>
    </row>
    <row r="762" ht="22.5" customHeight="1">
      <c r="A762" s="24"/>
      <c r="B762" s="25"/>
      <c r="C762" s="25"/>
      <c r="D762" s="25"/>
      <c r="E762" s="138"/>
      <c r="F762" s="25"/>
      <c r="G762" s="138"/>
      <c r="H762" s="26"/>
      <c r="J762" s="155"/>
    </row>
    <row r="763" ht="22.5" customHeight="1">
      <c r="A763" s="24"/>
      <c r="B763" s="25"/>
      <c r="C763" s="25"/>
      <c r="D763" s="25"/>
      <c r="E763" s="138"/>
      <c r="F763" s="25"/>
      <c r="G763" s="138"/>
      <c r="H763" s="26"/>
      <c r="J763" s="155"/>
    </row>
    <row r="764" ht="22.5" customHeight="1">
      <c r="A764" s="24"/>
      <c r="B764" s="25"/>
      <c r="C764" s="25"/>
      <c r="D764" s="25"/>
      <c r="E764" s="138"/>
      <c r="F764" s="25"/>
      <c r="G764" s="138"/>
      <c r="H764" s="26"/>
      <c r="J764" s="155"/>
    </row>
    <row r="765" ht="22.5" customHeight="1">
      <c r="A765" s="24"/>
      <c r="B765" s="25"/>
      <c r="C765" s="25"/>
      <c r="D765" s="25"/>
      <c r="E765" s="138"/>
      <c r="F765" s="25"/>
      <c r="G765" s="138"/>
      <c r="H765" s="26"/>
      <c r="J765" s="155"/>
    </row>
    <row r="766" ht="22.5" customHeight="1">
      <c r="A766" s="24"/>
      <c r="B766" s="25"/>
      <c r="C766" s="25"/>
      <c r="D766" s="25"/>
      <c r="E766" s="138"/>
      <c r="F766" s="25"/>
      <c r="G766" s="138"/>
      <c r="H766" s="26"/>
      <c r="J766" s="155"/>
    </row>
    <row r="767" ht="22.5" customHeight="1">
      <c r="A767" s="24"/>
      <c r="B767" s="25"/>
      <c r="C767" s="25"/>
      <c r="D767" s="25"/>
      <c r="E767" s="138"/>
      <c r="F767" s="25"/>
      <c r="G767" s="138"/>
      <c r="H767" s="26"/>
      <c r="J767" s="155"/>
    </row>
    <row r="768" ht="22.5" customHeight="1">
      <c r="A768" s="24"/>
      <c r="B768" s="25"/>
      <c r="C768" s="25"/>
      <c r="D768" s="25"/>
      <c r="E768" s="138"/>
      <c r="F768" s="25"/>
      <c r="G768" s="138"/>
      <c r="H768" s="26"/>
      <c r="J768" s="155"/>
    </row>
    <row r="769" ht="22.5" customHeight="1">
      <c r="A769" s="24"/>
      <c r="B769" s="25"/>
      <c r="C769" s="25"/>
      <c r="D769" s="25"/>
      <c r="E769" s="138"/>
      <c r="F769" s="25"/>
      <c r="G769" s="138"/>
      <c r="H769" s="26"/>
      <c r="J769" s="155"/>
    </row>
    <row r="770" ht="22.5" customHeight="1">
      <c r="A770" s="24"/>
      <c r="B770" s="25"/>
      <c r="C770" s="25"/>
      <c r="D770" s="25"/>
      <c r="E770" s="138"/>
      <c r="F770" s="25"/>
      <c r="G770" s="138"/>
      <c r="H770" s="26"/>
      <c r="J770" s="155"/>
    </row>
    <row r="771" ht="22.5" customHeight="1">
      <c r="A771" s="24"/>
      <c r="B771" s="25"/>
      <c r="C771" s="25"/>
      <c r="D771" s="25"/>
      <c r="E771" s="138"/>
      <c r="F771" s="25"/>
      <c r="G771" s="138"/>
      <c r="H771" s="26"/>
      <c r="J771" s="155"/>
    </row>
    <row r="772" ht="22.5" customHeight="1">
      <c r="A772" s="24"/>
      <c r="B772" s="25"/>
      <c r="C772" s="25"/>
      <c r="D772" s="25"/>
      <c r="E772" s="138"/>
      <c r="F772" s="25"/>
      <c r="G772" s="138"/>
      <c r="H772" s="26"/>
      <c r="J772" s="155"/>
    </row>
    <row r="773" ht="22.5" customHeight="1">
      <c r="A773" s="24"/>
      <c r="B773" s="25"/>
      <c r="C773" s="25"/>
      <c r="D773" s="25"/>
      <c r="E773" s="138"/>
      <c r="F773" s="25"/>
      <c r="G773" s="138"/>
      <c r="H773" s="26"/>
      <c r="J773" s="155"/>
    </row>
    <row r="774" ht="22.5" customHeight="1">
      <c r="A774" s="24"/>
      <c r="B774" s="25"/>
      <c r="C774" s="25"/>
      <c r="D774" s="25"/>
      <c r="E774" s="138"/>
      <c r="F774" s="25"/>
      <c r="G774" s="138"/>
      <c r="H774" s="26"/>
      <c r="J774" s="155"/>
    </row>
    <row r="775" ht="22.5" customHeight="1">
      <c r="A775" s="24"/>
      <c r="B775" s="25"/>
      <c r="C775" s="25"/>
      <c r="D775" s="25"/>
      <c r="E775" s="138"/>
      <c r="F775" s="25"/>
      <c r="G775" s="138"/>
      <c r="H775" s="26"/>
      <c r="J775" s="155"/>
    </row>
    <row r="776" ht="22.5" customHeight="1">
      <c r="A776" s="24"/>
      <c r="B776" s="25"/>
      <c r="C776" s="25"/>
      <c r="D776" s="25"/>
      <c r="E776" s="138"/>
      <c r="F776" s="25"/>
      <c r="G776" s="138"/>
      <c r="H776" s="26"/>
      <c r="J776" s="155"/>
    </row>
    <row r="777" ht="22.5" customHeight="1">
      <c r="A777" s="24"/>
      <c r="B777" s="25"/>
      <c r="C777" s="25"/>
      <c r="D777" s="25"/>
      <c r="E777" s="138"/>
      <c r="F777" s="25"/>
      <c r="G777" s="138"/>
      <c r="H777" s="26"/>
      <c r="J777" s="155"/>
    </row>
    <row r="778" ht="22.5" customHeight="1">
      <c r="A778" s="24"/>
      <c r="B778" s="25"/>
      <c r="C778" s="25"/>
      <c r="D778" s="25"/>
      <c r="E778" s="138"/>
      <c r="F778" s="25"/>
      <c r="G778" s="138"/>
      <c r="H778" s="26"/>
      <c r="J778" s="155"/>
    </row>
    <row r="779" ht="22.5" customHeight="1">
      <c r="A779" s="24"/>
      <c r="B779" s="25"/>
      <c r="C779" s="25"/>
      <c r="D779" s="25"/>
      <c r="E779" s="138"/>
      <c r="F779" s="25"/>
      <c r="G779" s="138"/>
      <c r="H779" s="26"/>
      <c r="J779" s="155"/>
    </row>
    <row r="780" ht="22.5" customHeight="1">
      <c r="A780" s="24"/>
      <c r="B780" s="25"/>
      <c r="C780" s="25"/>
      <c r="D780" s="25"/>
      <c r="E780" s="138"/>
      <c r="F780" s="25"/>
      <c r="G780" s="138"/>
      <c r="H780" s="26"/>
      <c r="J780" s="155"/>
    </row>
    <row r="781" ht="22.5" customHeight="1">
      <c r="A781" s="24"/>
      <c r="B781" s="25"/>
      <c r="C781" s="25"/>
      <c r="D781" s="25"/>
      <c r="E781" s="138"/>
      <c r="F781" s="25"/>
      <c r="G781" s="138"/>
      <c r="H781" s="26"/>
      <c r="J781" s="155"/>
    </row>
    <row r="782" ht="22.5" customHeight="1">
      <c r="A782" s="24"/>
      <c r="B782" s="25"/>
      <c r="C782" s="25"/>
      <c r="D782" s="25"/>
      <c r="E782" s="138"/>
      <c r="F782" s="25"/>
      <c r="G782" s="138"/>
      <c r="H782" s="26"/>
      <c r="J782" s="155"/>
    </row>
    <row r="783" ht="22.5" customHeight="1">
      <c r="A783" s="24"/>
      <c r="B783" s="25"/>
      <c r="C783" s="25"/>
      <c r="D783" s="25"/>
      <c r="E783" s="138"/>
      <c r="F783" s="25"/>
      <c r="G783" s="138"/>
      <c r="H783" s="26"/>
      <c r="J783" s="155"/>
    </row>
    <row r="784" ht="22.5" customHeight="1">
      <c r="A784" s="24"/>
      <c r="B784" s="25"/>
      <c r="C784" s="25"/>
      <c r="D784" s="25"/>
      <c r="E784" s="138"/>
      <c r="F784" s="25"/>
      <c r="G784" s="138"/>
      <c r="H784" s="26"/>
      <c r="J784" s="155"/>
    </row>
    <row r="785" ht="22.5" customHeight="1">
      <c r="A785" s="24"/>
      <c r="B785" s="25"/>
      <c r="C785" s="25"/>
      <c r="D785" s="25"/>
      <c r="E785" s="138"/>
      <c r="F785" s="25"/>
      <c r="G785" s="138"/>
      <c r="H785" s="26"/>
      <c r="J785" s="155"/>
    </row>
    <row r="786" ht="22.5" customHeight="1">
      <c r="A786" s="24"/>
      <c r="B786" s="25"/>
      <c r="C786" s="25"/>
      <c r="D786" s="25"/>
      <c r="E786" s="138"/>
      <c r="F786" s="25"/>
      <c r="G786" s="138"/>
      <c r="H786" s="26"/>
      <c r="J786" s="155"/>
    </row>
    <row r="787" ht="22.5" customHeight="1">
      <c r="A787" s="24"/>
      <c r="B787" s="25"/>
      <c r="C787" s="25"/>
      <c r="D787" s="25"/>
      <c r="E787" s="138"/>
      <c r="F787" s="25"/>
      <c r="G787" s="138"/>
      <c r="H787" s="26"/>
      <c r="J787" s="155"/>
    </row>
    <row r="788" ht="22.5" customHeight="1">
      <c r="A788" s="24"/>
      <c r="B788" s="25"/>
      <c r="C788" s="25"/>
      <c r="D788" s="25"/>
      <c r="E788" s="138"/>
      <c r="F788" s="25"/>
      <c r="G788" s="138"/>
      <c r="H788" s="26"/>
      <c r="J788" s="155"/>
    </row>
    <row r="789" ht="22.5" customHeight="1">
      <c r="A789" s="24"/>
      <c r="B789" s="25"/>
      <c r="C789" s="25"/>
      <c r="D789" s="25"/>
      <c r="E789" s="138"/>
      <c r="F789" s="25"/>
      <c r="G789" s="138"/>
      <c r="H789" s="26"/>
      <c r="J789" s="155"/>
    </row>
    <row r="790" ht="22.5" customHeight="1">
      <c r="A790" s="24"/>
      <c r="B790" s="25"/>
      <c r="C790" s="25"/>
      <c r="D790" s="25"/>
      <c r="E790" s="138"/>
      <c r="F790" s="25"/>
      <c r="G790" s="138"/>
      <c r="H790" s="26"/>
      <c r="J790" s="155"/>
    </row>
    <row r="791" ht="22.5" customHeight="1">
      <c r="A791" s="24"/>
      <c r="B791" s="25"/>
      <c r="C791" s="25"/>
      <c r="D791" s="25"/>
      <c r="E791" s="138"/>
      <c r="F791" s="25"/>
      <c r="G791" s="138"/>
      <c r="H791" s="26"/>
      <c r="J791" s="155"/>
    </row>
    <row r="792" ht="22.5" customHeight="1">
      <c r="A792" s="24"/>
      <c r="B792" s="25"/>
      <c r="C792" s="25"/>
      <c r="D792" s="25"/>
      <c r="E792" s="138"/>
      <c r="F792" s="25"/>
      <c r="G792" s="138"/>
      <c r="H792" s="26"/>
      <c r="J792" s="155"/>
    </row>
    <row r="793" ht="22.5" customHeight="1">
      <c r="A793" s="24"/>
      <c r="B793" s="25"/>
      <c r="C793" s="25"/>
      <c r="D793" s="25"/>
      <c r="E793" s="138"/>
      <c r="F793" s="25"/>
      <c r="G793" s="138"/>
      <c r="H793" s="26"/>
      <c r="J793" s="155"/>
    </row>
    <row r="794" ht="22.5" customHeight="1">
      <c r="A794" s="24"/>
      <c r="B794" s="25"/>
      <c r="C794" s="25"/>
      <c r="D794" s="25"/>
      <c r="E794" s="138"/>
      <c r="F794" s="25"/>
      <c r="G794" s="138"/>
      <c r="H794" s="26"/>
      <c r="J794" s="155"/>
    </row>
    <row r="795" ht="22.5" customHeight="1">
      <c r="A795" s="24"/>
      <c r="B795" s="25"/>
      <c r="C795" s="25"/>
      <c r="D795" s="25"/>
      <c r="E795" s="138"/>
      <c r="F795" s="25"/>
      <c r="G795" s="138"/>
      <c r="H795" s="26"/>
      <c r="J795" s="155"/>
    </row>
    <row r="796" ht="22.5" customHeight="1">
      <c r="A796" s="24"/>
      <c r="B796" s="25"/>
      <c r="C796" s="25"/>
      <c r="D796" s="25"/>
      <c r="E796" s="138"/>
      <c r="F796" s="25"/>
      <c r="G796" s="138"/>
      <c r="H796" s="26"/>
      <c r="J796" s="155"/>
    </row>
    <row r="797" ht="22.5" customHeight="1">
      <c r="A797" s="24"/>
      <c r="B797" s="25"/>
      <c r="C797" s="25"/>
      <c r="D797" s="25"/>
      <c r="E797" s="138"/>
      <c r="F797" s="25"/>
      <c r="G797" s="138"/>
      <c r="H797" s="26"/>
      <c r="J797" s="155"/>
    </row>
    <row r="798" ht="22.5" customHeight="1">
      <c r="A798" s="24"/>
      <c r="B798" s="25"/>
      <c r="C798" s="25"/>
      <c r="D798" s="25"/>
      <c r="E798" s="138"/>
      <c r="F798" s="25"/>
      <c r="G798" s="138"/>
      <c r="H798" s="26"/>
      <c r="J798" s="155"/>
    </row>
    <row r="799" ht="22.5" customHeight="1">
      <c r="A799" s="24"/>
      <c r="B799" s="25"/>
      <c r="C799" s="25"/>
      <c r="D799" s="25"/>
      <c r="E799" s="138"/>
      <c r="F799" s="25"/>
      <c r="G799" s="138"/>
      <c r="H799" s="26"/>
      <c r="J799" s="155"/>
    </row>
    <row r="800" ht="22.5" customHeight="1">
      <c r="A800" s="24"/>
      <c r="B800" s="25"/>
      <c r="C800" s="25"/>
      <c r="D800" s="25"/>
      <c r="E800" s="138"/>
      <c r="F800" s="25"/>
      <c r="G800" s="138"/>
      <c r="H800" s="26"/>
      <c r="J800" s="155"/>
    </row>
    <row r="801" ht="22.5" customHeight="1">
      <c r="A801" s="24"/>
      <c r="B801" s="25"/>
      <c r="C801" s="25"/>
      <c r="D801" s="25"/>
      <c r="E801" s="138"/>
      <c r="F801" s="25"/>
      <c r="G801" s="138"/>
      <c r="H801" s="26"/>
      <c r="J801" s="155"/>
    </row>
    <row r="802" ht="22.5" customHeight="1">
      <c r="A802" s="24"/>
      <c r="B802" s="25"/>
      <c r="C802" s="25"/>
      <c r="D802" s="25"/>
      <c r="E802" s="138"/>
      <c r="F802" s="25"/>
      <c r="G802" s="138"/>
      <c r="H802" s="26"/>
      <c r="J802" s="155"/>
    </row>
    <row r="803" ht="22.5" customHeight="1">
      <c r="A803" s="24"/>
      <c r="B803" s="25"/>
      <c r="C803" s="25"/>
      <c r="D803" s="25"/>
      <c r="E803" s="138"/>
      <c r="F803" s="25"/>
      <c r="G803" s="138"/>
      <c r="H803" s="26"/>
      <c r="J803" s="155"/>
    </row>
    <row r="804" ht="22.5" customHeight="1">
      <c r="A804" s="24"/>
      <c r="B804" s="25"/>
      <c r="C804" s="25"/>
      <c r="D804" s="25"/>
      <c r="E804" s="138"/>
      <c r="F804" s="25"/>
      <c r="G804" s="138"/>
      <c r="H804" s="26"/>
      <c r="J804" s="155"/>
    </row>
    <row r="805" ht="22.5" customHeight="1">
      <c r="A805" s="24"/>
      <c r="B805" s="25"/>
      <c r="C805" s="25"/>
      <c r="D805" s="25"/>
      <c r="E805" s="138"/>
      <c r="F805" s="25"/>
      <c r="G805" s="138"/>
      <c r="H805" s="26"/>
      <c r="J805" s="155"/>
    </row>
    <row r="806" ht="22.5" customHeight="1">
      <c r="A806" s="24"/>
      <c r="B806" s="25"/>
      <c r="C806" s="25"/>
      <c r="D806" s="25"/>
      <c r="E806" s="138"/>
      <c r="F806" s="25"/>
      <c r="G806" s="138"/>
      <c r="H806" s="26"/>
      <c r="J806" s="155"/>
    </row>
    <row r="807" ht="22.5" customHeight="1">
      <c r="A807" s="24"/>
      <c r="B807" s="25"/>
      <c r="C807" s="25"/>
      <c r="D807" s="25"/>
      <c r="E807" s="138"/>
      <c r="F807" s="25"/>
      <c r="G807" s="138"/>
      <c r="H807" s="26"/>
      <c r="J807" s="155"/>
    </row>
    <row r="808" ht="22.5" customHeight="1">
      <c r="A808" s="24"/>
      <c r="B808" s="25"/>
      <c r="C808" s="25"/>
      <c r="D808" s="25"/>
      <c r="E808" s="138"/>
      <c r="F808" s="25"/>
      <c r="G808" s="138"/>
      <c r="H808" s="26"/>
      <c r="J808" s="155"/>
    </row>
    <row r="809" ht="22.5" customHeight="1">
      <c r="A809" s="24"/>
      <c r="B809" s="25"/>
      <c r="C809" s="25"/>
      <c r="D809" s="25"/>
      <c r="E809" s="138"/>
      <c r="F809" s="25"/>
      <c r="G809" s="138"/>
      <c r="H809" s="26"/>
      <c r="J809" s="155"/>
    </row>
    <row r="810" ht="22.5" customHeight="1">
      <c r="A810" s="24"/>
      <c r="B810" s="25"/>
      <c r="C810" s="25"/>
      <c r="D810" s="25"/>
      <c r="E810" s="138"/>
      <c r="F810" s="25"/>
      <c r="G810" s="138"/>
      <c r="H810" s="26"/>
      <c r="J810" s="155"/>
    </row>
    <row r="811" ht="22.5" customHeight="1">
      <c r="A811" s="24"/>
      <c r="B811" s="25"/>
      <c r="C811" s="25"/>
      <c r="D811" s="25"/>
      <c r="E811" s="138"/>
      <c r="F811" s="25"/>
      <c r="G811" s="138"/>
      <c r="H811" s="26"/>
      <c r="J811" s="155"/>
    </row>
    <row r="812" ht="22.5" customHeight="1">
      <c r="A812" s="24"/>
      <c r="B812" s="25"/>
      <c r="C812" s="25"/>
      <c r="D812" s="25"/>
      <c r="E812" s="138"/>
      <c r="F812" s="25"/>
      <c r="G812" s="138"/>
      <c r="H812" s="26"/>
      <c r="J812" s="155"/>
    </row>
    <row r="813" ht="22.5" customHeight="1">
      <c r="A813" s="24"/>
      <c r="B813" s="25"/>
      <c r="C813" s="25"/>
      <c r="D813" s="25"/>
      <c r="E813" s="138"/>
      <c r="F813" s="25"/>
      <c r="G813" s="138"/>
      <c r="H813" s="26"/>
      <c r="J813" s="155"/>
    </row>
    <row r="814" ht="22.5" customHeight="1">
      <c r="A814" s="24"/>
      <c r="B814" s="25"/>
      <c r="C814" s="25"/>
      <c r="D814" s="25"/>
      <c r="E814" s="138"/>
      <c r="F814" s="25"/>
      <c r="G814" s="138"/>
      <c r="H814" s="26"/>
      <c r="J814" s="155"/>
    </row>
    <row r="815" ht="22.5" customHeight="1">
      <c r="A815" s="24"/>
      <c r="B815" s="25"/>
      <c r="C815" s="25"/>
      <c r="D815" s="25"/>
      <c r="E815" s="138"/>
      <c r="F815" s="25"/>
      <c r="G815" s="138"/>
      <c r="H815" s="26"/>
      <c r="J815" s="155"/>
    </row>
    <row r="816" ht="22.5" customHeight="1">
      <c r="A816" s="24"/>
      <c r="B816" s="25"/>
      <c r="C816" s="25"/>
      <c r="D816" s="25"/>
      <c r="E816" s="138"/>
      <c r="F816" s="25"/>
      <c r="G816" s="138"/>
      <c r="H816" s="26"/>
      <c r="J816" s="155"/>
    </row>
    <row r="817" ht="22.5" customHeight="1">
      <c r="A817" s="24"/>
      <c r="B817" s="25"/>
      <c r="C817" s="25"/>
      <c r="D817" s="25"/>
      <c r="E817" s="138"/>
      <c r="F817" s="25"/>
      <c r="G817" s="138"/>
      <c r="H817" s="26"/>
      <c r="J817" s="155"/>
    </row>
    <row r="818" ht="22.5" customHeight="1">
      <c r="A818" s="24"/>
      <c r="B818" s="25"/>
      <c r="C818" s="25"/>
      <c r="D818" s="25"/>
      <c r="E818" s="138"/>
      <c r="F818" s="25"/>
      <c r="G818" s="138"/>
      <c r="H818" s="26"/>
      <c r="J818" s="155"/>
    </row>
    <row r="819" ht="22.5" customHeight="1">
      <c r="A819" s="24"/>
      <c r="B819" s="25"/>
      <c r="C819" s="25"/>
      <c r="D819" s="25"/>
      <c r="E819" s="138"/>
      <c r="F819" s="25"/>
      <c r="G819" s="138"/>
      <c r="H819" s="26"/>
      <c r="J819" s="155"/>
    </row>
    <row r="820" ht="22.5" customHeight="1">
      <c r="A820" s="24"/>
      <c r="B820" s="25"/>
      <c r="C820" s="25"/>
      <c r="D820" s="25"/>
      <c r="E820" s="138"/>
      <c r="F820" s="25"/>
      <c r="G820" s="138"/>
      <c r="H820" s="26"/>
      <c r="J820" s="155"/>
    </row>
    <row r="821" ht="22.5" customHeight="1">
      <c r="A821" s="24"/>
      <c r="B821" s="25"/>
      <c r="C821" s="25"/>
      <c r="D821" s="25"/>
      <c r="E821" s="138"/>
      <c r="F821" s="25"/>
      <c r="G821" s="138"/>
      <c r="H821" s="26"/>
      <c r="J821" s="155"/>
    </row>
    <row r="822" ht="22.5" customHeight="1">
      <c r="A822" s="24"/>
      <c r="B822" s="25"/>
      <c r="C822" s="25"/>
      <c r="D822" s="25"/>
      <c r="E822" s="138"/>
      <c r="F822" s="25"/>
      <c r="G822" s="138"/>
      <c r="H822" s="26"/>
      <c r="J822" s="155"/>
    </row>
    <row r="823" ht="22.5" customHeight="1">
      <c r="A823" s="24"/>
      <c r="B823" s="25"/>
      <c r="C823" s="25"/>
      <c r="D823" s="25"/>
      <c r="E823" s="138"/>
      <c r="F823" s="25"/>
      <c r="G823" s="138"/>
      <c r="H823" s="26"/>
      <c r="J823" s="155"/>
    </row>
    <row r="824" ht="22.5" customHeight="1">
      <c r="A824" s="24"/>
      <c r="B824" s="25"/>
      <c r="C824" s="25"/>
      <c r="D824" s="25"/>
      <c r="E824" s="138"/>
      <c r="F824" s="25"/>
      <c r="G824" s="138"/>
      <c r="H824" s="26"/>
      <c r="J824" s="155"/>
    </row>
    <row r="825" ht="22.5" customHeight="1">
      <c r="A825" s="24"/>
      <c r="B825" s="25"/>
      <c r="C825" s="25"/>
      <c r="D825" s="25"/>
      <c r="E825" s="138"/>
      <c r="F825" s="25"/>
      <c r="G825" s="138"/>
      <c r="H825" s="26"/>
      <c r="J825" s="155"/>
    </row>
    <row r="826" ht="22.5" customHeight="1">
      <c r="A826" s="24"/>
      <c r="B826" s="25"/>
      <c r="C826" s="25"/>
      <c r="D826" s="25"/>
      <c r="E826" s="138"/>
      <c r="F826" s="25"/>
      <c r="G826" s="138"/>
      <c r="H826" s="26"/>
      <c r="J826" s="155"/>
    </row>
    <row r="827" ht="22.5" customHeight="1">
      <c r="A827" s="24"/>
      <c r="B827" s="25"/>
      <c r="C827" s="25"/>
      <c r="D827" s="25"/>
      <c r="E827" s="138"/>
      <c r="F827" s="25"/>
      <c r="G827" s="138"/>
      <c r="H827" s="26"/>
      <c r="J827" s="155"/>
    </row>
    <row r="828" ht="22.5" customHeight="1">
      <c r="A828" s="24"/>
      <c r="B828" s="25"/>
      <c r="C828" s="25"/>
      <c r="D828" s="25"/>
      <c r="E828" s="138"/>
      <c r="F828" s="25"/>
      <c r="G828" s="138"/>
      <c r="H828" s="26"/>
      <c r="J828" s="155"/>
    </row>
    <row r="829" ht="22.5" customHeight="1">
      <c r="A829" s="24"/>
      <c r="B829" s="25"/>
      <c r="C829" s="25"/>
      <c r="D829" s="25"/>
      <c r="E829" s="138"/>
      <c r="F829" s="25"/>
      <c r="G829" s="138"/>
      <c r="H829" s="26"/>
      <c r="J829" s="155"/>
    </row>
    <row r="830" ht="22.5" customHeight="1">
      <c r="A830" s="24"/>
      <c r="B830" s="25"/>
      <c r="C830" s="25"/>
      <c r="D830" s="25"/>
      <c r="E830" s="138"/>
      <c r="F830" s="25"/>
      <c r="G830" s="138"/>
      <c r="H830" s="26"/>
      <c r="J830" s="155"/>
    </row>
    <row r="831" ht="22.5" customHeight="1">
      <c r="A831" s="24"/>
      <c r="B831" s="25"/>
      <c r="C831" s="25"/>
      <c r="D831" s="25"/>
      <c r="E831" s="138"/>
      <c r="F831" s="25"/>
      <c r="G831" s="138"/>
      <c r="H831" s="26"/>
      <c r="J831" s="155"/>
    </row>
    <row r="832" ht="22.5" customHeight="1">
      <c r="A832" s="24"/>
      <c r="B832" s="25"/>
      <c r="C832" s="25"/>
      <c r="D832" s="25"/>
      <c r="E832" s="138"/>
      <c r="F832" s="25"/>
      <c r="G832" s="138"/>
      <c r="H832" s="26"/>
      <c r="J832" s="155"/>
    </row>
    <row r="833" ht="22.5" customHeight="1">
      <c r="A833" s="24"/>
      <c r="B833" s="25"/>
      <c r="C833" s="25"/>
      <c r="D833" s="25"/>
      <c r="E833" s="138"/>
      <c r="F833" s="25"/>
      <c r="G833" s="138"/>
      <c r="H833" s="26"/>
      <c r="J833" s="155"/>
    </row>
    <row r="834" ht="22.5" customHeight="1">
      <c r="A834" s="24"/>
      <c r="B834" s="25"/>
      <c r="C834" s="25"/>
      <c r="D834" s="25"/>
      <c r="E834" s="138"/>
      <c r="F834" s="25"/>
      <c r="G834" s="138"/>
      <c r="H834" s="26"/>
      <c r="J834" s="155"/>
    </row>
    <row r="835" ht="22.5" customHeight="1">
      <c r="A835" s="24"/>
      <c r="B835" s="25"/>
      <c r="C835" s="25"/>
      <c r="D835" s="25"/>
      <c r="E835" s="138"/>
      <c r="F835" s="25"/>
      <c r="G835" s="138"/>
      <c r="H835" s="26"/>
      <c r="J835" s="155"/>
    </row>
    <row r="836" ht="22.5" customHeight="1">
      <c r="A836" s="24"/>
      <c r="B836" s="25"/>
      <c r="C836" s="25"/>
      <c r="D836" s="25"/>
      <c r="E836" s="138"/>
      <c r="F836" s="25"/>
      <c r="G836" s="138"/>
      <c r="H836" s="26"/>
      <c r="J836" s="155"/>
    </row>
    <row r="837" ht="22.5" customHeight="1">
      <c r="A837" s="24"/>
      <c r="B837" s="25"/>
      <c r="C837" s="25"/>
      <c r="D837" s="25"/>
      <c r="E837" s="138"/>
      <c r="F837" s="25"/>
      <c r="G837" s="138"/>
      <c r="H837" s="26"/>
      <c r="J837" s="155"/>
    </row>
    <row r="838" ht="22.5" customHeight="1">
      <c r="A838" s="24"/>
      <c r="B838" s="25"/>
      <c r="C838" s="25"/>
      <c r="D838" s="25"/>
      <c r="E838" s="138"/>
      <c r="F838" s="25"/>
      <c r="G838" s="138"/>
      <c r="H838" s="26"/>
      <c r="J838" s="155"/>
    </row>
    <row r="839" ht="22.5" customHeight="1">
      <c r="A839" s="24"/>
      <c r="B839" s="25"/>
      <c r="C839" s="25"/>
      <c r="D839" s="25"/>
      <c r="E839" s="138"/>
      <c r="F839" s="25"/>
      <c r="G839" s="138"/>
      <c r="H839" s="26"/>
      <c r="J839" s="155"/>
    </row>
    <row r="840" ht="22.5" customHeight="1">
      <c r="A840" s="24"/>
      <c r="B840" s="25"/>
      <c r="C840" s="25"/>
      <c r="D840" s="25"/>
      <c r="E840" s="138"/>
      <c r="F840" s="25"/>
      <c r="G840" s="138"/>
      <c r="H840" s="26"/>
      <c r="J840" s="155"/>
    </row>
    <row r="841" ht="22.5" customHeight="1">
      <c r="A841" s="24"/>
      <c r="B841" s="25"/>
      <c r="C841" s="25"/>
      <c r="D841" s="25"/>
      <c r="E841" s="138"/>
      <c r="F841" s="25"/>
      <c r="G841" s="138"/>
      <c r="H841" s="26"/>
      <c r="J841" s="155"/>
    </row>
    <row r="842" ht="22.5" customHeight="1">
      <c r="A842" s="24"/>
      <c r="B842" s="25"/>
      <c r="C842" s="25"/>
      <c r="D842" s="25"/>
      <c r="E842" s="138"/>
      <c r="F842" s="25"/>
      <c r="G842" s="138"/>
      <c r="H842" s="26"/>
      <c r="J842" s="155"/>
    </row>
    <row r="843" ht="22.5" customHeight="1">
      <c r="A843" s="24"/>
      <c r="B843" s="25"/>
      <c r="C843" s="25"/>
      <c r="D843" s="25"/>
      <c r="E843" s="138"/>
      <c r="F843" s="25"/>
      <c r="G843" s="138"/>
      <c r="H843" s="26"/>
      <c r="J843" s="155"/>
    </row>
    <row r="844" ht="22.5" customHeight="1">
      <c r="A844" s="24"/>
      <c r="B844" s="25"/>
      <c r="C844" s="25"/>
      <c r="D844" s="25"/>
      <c r="E844" s="138"/>
      <c r="F844" s="25"/>
      <c r="G844" s="138"/>
      <c r="H844" s="26"/>
      <c r="J844" s="155"/>
    </row>
    <row r="845" ht="22.5" customHeight="1">
      <c r="A845" s="24"/>
      <c r="B845" s="25"/>
      <c r="C845" s="25"/>
      <c r="D845" s="25"/>
      <c r="E845" s="138"/>
      <c r="F845" s="25"/>
      <c r="G845" s="138"/>
      <c r="H845" s="26"/>
      <c r="J845" s="155"/>
    </row>
    <row r="846" ht="22.5" customHeight="1">
      <c r="A846" s="24"/>
      <c r="B846" s="25"/>
      <c r="C846" s="25"/>
      <c r="D846" s="25"/>
      <c r="E846" s="138"/>
      <c r="F846" s="25"/>
      <c r="G846" s="138"/>
      <c r="H846" s="26"/>
      <c r="J846" s="155"/>
    </row>
    <row r="847" ht="22.5" customHeight="1">
      <c r="A847" s="24"/>
      <c r="B847" s="25"/>
      <c r="C847" s="25"/>
      <c r="D847" s="25"/>
      <c r="E847" s="138"/>
      <c r="F847" s="25"/>
      <c r="G847" s="138"/>
      <c r="H847" s="26"/>
      <c r="J847" s="155"/>
    </row>
    <row r="848" ht="22.5" customHeight="1">
      <c r="A848" s="24"/>
      <c r="B848" s="25"/>
      <c r="C848" s="25"/>
      <c r="D848" s="25"/>
      <c r="E848" s="138"/>
      <c r="F848" s="25"/>
      <c r="G848" s="138"/>
      <c r="H848" s="26"/>
      <c r="J848" s="155"/>
    </row>
    <row r="849" ht="22.5" customHeight="1">
      <c r="A849" s="24"/>
      <c r="B849" s="25"/>
      <c r="C849" s="25"/>
      <c r="D849" s="25"/>
      <c r="E849" s="138"/>
      <c r="F849" s="25"/>
      <c r="G849" s="138"/>
      <c r="H849" s="26"/>
      <c r="J849" s="155"/>
    </row>
    <row r="850" ht="22.5" customHeight="1">
      <c r="A850" s="24"/>
      <c r="B850" s="25"/>
      <c r="C850" s="25"/>
      <c r="D850" s="25"/>
      <c r="E850" s="138"/>
      <c r="F850" s="25"/>
      <c r="G850" s="138"/>
      <c r="H850" s="26"/>
      <c r="J850" s="155"/>
    </row>
    <row r="851" ht="22.5" customHeight="1">
      <c r="A851" s="24"/>
      <c r="B851" s="25"/>
      <c r="C851" s="25"/>
      <c r="D851" s="25"/>
      <c r="E851" s="138"/>
      <c r="F851" s="25"/>
      <c r="G851" s="138"/>
      <c r="H851" s="26"/>
      <c r="J851" s="155"/>
    </row>
    <row r="852" ht="22.5" customHeight="1">
      <c r="A852" s="24"/>
      <c r="B852" s="25"/>
      <c r="C852" s="25"/>
      <c r="D852" s="25"/>
      <c r="E852" s="138"/>
      <c r="F852" s="25"/>
      <c r="G852" s="138"/>
      <c r="H852" s="26"/>
      <c r="J852" s="155"/>
    </row>
    <row r="853" ht="22.5" customHeight="1">
      <c r="A853" s="24"/>
      <c r="B853" s="25"/>
      <c r="C853" s="25"/>
      <c r="D853" s="25"/>
      <c r="E853" s="138"/>
      <c r="F853" s="25"/>
      <c r="G853" s="138"/>
      <c r="H853" s="26"/>
      <c r="J853" s="155"/>
    </row>
    <row r="854" ht="22.5" customHeight="1">
      <c r="A854" s="24"/>
      <c r="B854" s="25"/>
      <c r="C854" s="25"/>
      <c r="D854" s="25"/>
      <c r="E854" s="138"/>
      <c r="F854" s="25"/>
      <c r="G854" s="138"/>
      <c r="H854" s="26"/>
      <c r="J854" s="155"/>
    </row>
    <row r="855" ht="22.5" customHeight="1">
      <c r="A855" s="24"/>
      <c r="B855" s="25"/>
      <c r="C855" s="25"/>
      <c r="D855" s="25"/>
      <c r="E855" s="138"/>
      <c r="F855" s="25"/>
      <c r="G855" s="138"/>
      <c r="H855" s="26"/>
      <c r="J855" s="155"/>
    </row>
    <row r="856" ht="22.5" customHeight="1">
      <c r="A856" s="24"/>
      <c r="B856" s="25"/>
      <c r="C856" s="25"/>
      <c r="D856" s="25"/>
      <c r="E856" s="138"/>
      <c r="F856" s="25"/>
      <c r="G856" s="138"/>
      <c r="H856" s="26"/>
      <c r="J856" s="155"/>
    </row>
    <row r="857" ht="22.5" customHeight="1">
      <c r="A857" s="24"/>
      <c r="B857" s="25"/>
      <c r="C857" s="25"/>
      <c r="D857" s="25"/>
      <c r="E857" s="138"/>
      <c r="F857" s="25"/>
      <c r="G857" s="138"/>
      <c r="H857" s="26"/>
      <c r="J857" s="155"/>
    </row>
    <row r="858" ht="22.5" customHeight="1">
      <c r="A858" s="24"/>
      <c r="B858" s="25"/>
      <c r="C858" s="25"/>
      <c r="D858" s="25"/>
      <c r="E858" s="138"/>
      <c r="F858" s="25"/>
      <c r="G858" s="138"/>
      <c r="H858" s="26"/>
      <c r="J858" s="155"/>
    </row>
    <row r="859" ht="22.5" customHeight="1">
      <c r="A859" s="24"/>
      <c r="B859" s="25"/>
      <c r="C859" s="25"/>
      <c r="D859" s="25"/>
      <c r="E859" s="138"/>
      <c r="F859" s="25"/>
      <c r="G859" s="138"/>
      <c r="H859" s="26"/>
      <c r="J859" s="155"/>
    </row>
    <row r="860" ht="22.5" customHeight="1">
      <c r="A860" s="24"/>
      <c r="B860" s="25"/>
      <c r="C860" s="25"/>
      <c r="D860" s="25"/>
      <c r="E860" s="138"/>
      <c r="F860" s="25"/>
      <c r="G860" s="138"/>
      <c r="H860" s="26"/>
      <c r="J860" s="155"/>
    </row>
    <row r="861" ht="22.5" customHeight="1">
      <c r="A861" s="24"/>
      <c r="B861" s="25"/>
      <c r="C861" s="25"/>
      <c r="D861" s="25"/>
      <c r="E861" s="138"/>
      <c r="F861" s="25"/>
      <c r="G861" s="138"/>
      <c r="H861" s="26"/>
      <c r="J861" s="155"/>
    </row>
    <row r="862" ht="22.5" customHeight="1">
      <c r="A862" s="24"/>
      <c r="B862" s="25"/>
      <c r="C862" s="25"/>
      <c r="D862" s="25"/>
      <c r="E862" s="138"/>
      <c r="F862" s="25"/>
      <c r="G862" s="138"/>
      <c r="H862" s="26"/>
      <c r="J862" s="155"/>
    </row>
    <row r="863" ht="22.5" customHeight="1">
      <c r="A863" s="24"/>
      <c r="B863" s="25"/>
      <c r="C863" s="25"/>
      <c r="D863" s="25"/>
      <c r="E863" s="138"/>
      <c r="F863" s="25"/>
      <c r="G863" s="138"/>
      <c r="H863" s="26"/>
      <c r="J863" s="155"/>
    </row>
    <row r="864" ht="22.5" customHeight="1">
      <c r="A864" s="24"/>
      <c r="B864" s="25"/>
      <c r="C864" s="25"/>
      <c r="D864" s="25"/>
      <c r="E864" s="138"/>
      <c r="F864" s="25"/>
      <c r="G864" s="138"/>
      <c r="H864" s="26"/>
      <c r="J864" s="155"/>
    </row>
    <row r="865" ht="22.5" customHeight="1">
      <c r="A865" s="24"/>
      <c r="B865" s="25"/>
      <c r="C865" s="25"/>
      <c r="D865" s="25"/>
      <c r="E865" s="138"/>
      <c r="F865" s="25"/>
      <c r="G865" s="138"/>
      <c r="H865" s="26"/>
      <c r="J865" s="155"/>
    </row>
    <row r="866" ht="22.5" customHeight="1">
      <c r="A866" s="24"/>
      <c r="B866" s="25"/>
      <c r="C866" s="25"/>
      <c r="D866" s="25"/>
      <c r="E866" s="138"/>
      <c r="F866" s="25"/>
      <c r="G866" s="138"/>
      <c r="H866" s="26"/>
      <c r="J866" s="155"/>
    </row>
    <row r="867" ht="22.5" customHeight="1">
      <c r="A867" s="24"/>
      <c r="B867" s="25"/>
      <c r="C867" s="25"/>
      <c r="D867" s="25"/>
      <c r="E867" s="138"/>
      <c r="F867" s="25"/>
      <c r="G867" s="138"/>
      <c r="H867" s="26"/>
      <c r="J867" s="155"/>
    </row>
    <row r="868" ht="22.5" customHeight="1">
      <c r="A868" s="24"/>
      <c r="B868" s="25"/>
      <c r="C868" s="25"/>
      <c r="D868" s="25"/>
      <c r="E868" s="138"/>
      <c r="F868" s="25"/>
      <c r="G868" s="138"/>
      <c r="H868" s="26"/>
      <c r="J868" s="155"/>
    </row>
    <row r="869" ht="22.5" customHeight="1">
      <c r="A869" s="24"/>
      <c r="B869" s="25"/>
      <c r="C869" s="25"/>
      <c r="D869" s="25"/>
      <c r="E869" s="138"/>
      <c r="F869" s="25"/>
      <c r="G869" s="138"/>
      <c r="H869" s="26"/>
      <c r="J869" s="155"/>
    </row>
    <row r="870" ht="22.5" customHeight="1">
      <c r="A870" s="24"/>
      <c r="B870" s="25"/>
      <c r="C870" s="25"/>
      <c r="D870" s="25"/>
      <c r="E870" s="138"/>
      <c r="F870" s="25"/>
      <c r="G870" s="138"/>
      <c r="H870" s="26"/>
      <c r="J870" s="155"/>
    </row>
    <row r="871" ht="22.5" customHeight="1">
      <c r="A871" s="24"/>
      <c r="B871" s="25"/>
      <c r="C871" s="25"/>
      <c r="D871" s="25"/>
      <c r="E871" s="138"/>
      <c r="F871" s="25"/>
      <c r="G871" s="138"/>
      <c r="H871" s="26"/>
      <c r="J871" s="155"/>
    </row>
    <row r="872" ht="22.5" customHeight="1">
      <c r="A872" s="24"/>
      <c r="B872" s="25"/>
      <c r="C872" s="25"/>
      <c r="D872" s="25"/>
      <c r="E872" s="138"/>
      <c r="F872" s="25"/>
      <c r="G872" s="138"/>
      <c r="H872" s="26"/>
      <c r="J872" s="155"/>
    </row>
    <row r="873" ht="22.5" customHeight="1">
      <c r="A873" s="24"/>
      <c r="B873" s="25"/>
      <c r="C873" s="25"/>
      <c r="D873" s="25"/>
      <c r="E873" s="138"/>
      <c r="F873" s="25"/>
      <c r="G873" s="138"/>
      <c r="H873" s="26"/>
      <c r="J873" s="155"/>
    </row>
    <row r="874" ht="22.5" customHeight="1">
      <c r="A874" s="24"/>
      <c r="B874" s="25"/>
      <c r="C874" s="25"/>
      <c r="D874" s="25"/>
      <c r="E874" s="138"/>
      <c r="F874" s="25"/>
      <c r="G874" s="138"/>
      <c r="H874" s="26"/>
      <c r="J874" s="155"/>
    </row>
    <row r="875" ht="22.5" customHeight="1">
      <c r="A875" s="24"/>
      <c r="B875" s="25"/>
      <c r="C875" s="25"/>
      <c r="D875" s="25"/>
      <c r="E875" s="138"/>
      <c r="F875" s="25"/>
      <c r="G875" s="138"/>
      <c r="H875" s="26"/>
      <c r="J875" s="155"/>
    </row>
    <row r="876" ht="22.5" customHeight="1">
      <c r="A876" s="24"/>
      <c r="B876" s="25"/>
      <c r="C876" s="25"/>
      <c r="D876" s="25"/>
      <c r="E876" s="138"/>
      <c r="F876" s="25"/>
      <c r="G876" s="138"/>
      <c r="H876" s="26"/>
      <c r="J876" s="155"/>
    </row>
    <row r="877" ht="22.5" customHeight="1">
      <c r="A877" s="24"/>
      <c r="B877" s="25"/>
      <c r="C877" s="25"/>
      <c r="D877" s="25"/>
      <c r="E877" s="138"/>
      <c r="F877" s="25"/>
      <c r="G877" s="138"/>
      <c r="H877" s="26"/>
      <c r="J877" s="155"/>
    </row>
    <row r="878" ht="22.5" customHeight="1">
      <c r="A878" s="24"/>
      <c r="B878" s="25"/>
      <c r="C878" s="25"/>
      <c r="D878" s="25"/>
      <c r="E878" s="138"/>
      <c r="F878" s="25"/>
      <c r="G878" s="138"/>
      <c r="H878" s="26"/>
      <c r="J878" s="155"/>
    </row>
    <row r="879" ht="22.5" customHeight="1">
      <c r="A879" s="24"/>
      <c r="B879" s="25"/>
      <c r="C879" s="25"/>
      <c r="D879" s="25"/>
      <c r="E879" s="138"/>
      <c r="F879" s="25"/>
      <c r="G879" s="138"/>
      <c r="H879" s="26"/>
      <c r="J879" s="155"/>
    </row>
    <row r="880" ht="22.5" customHeight="1">
      <c r="A880" s="24"/>
      <c r="B880" s="25"/>
      <c r="C880" s="25"/>
      <c r="D880" s="25"/>
      <c r="E880" s="138"/>
      <c r="F880" s="25"/>
      <c r="G880" s="138"/>
      <c r="H880" s="26"/>
      <c r="J880" s="155"/>
    </row>
    <row r="881" ht="22.5" customHeight="1">
      <c r="A881" s="24"/>
      <c r="B881" s="25"/>
      <c r="C881" s="25"/>
      <c r="D881" s="25"/>
      <c r="E881" s="138"/>
      <c r="F881" s="25"/>
      <c r="G881" s="138"/>
      <c r="H881" s="26"/>
      <c r="J881" s="155"/>
    </row>
    <row r="882" ht="22.5" customHeight="1">
      <c r="A882" s="24"/>
      <c r="B882" s="25"/>
      <c r="C882" s="25"/>
      <c r="D882" s="25"/>
      <c r="E882" s="138"/>
      <c r="F882" s="25"/>
      <c r="G882" s="138"/>
      <c r="H882" s="26"/>
      <c r="J882" s="155"/>
    </row>
    <row r="883" ht="22.5" customHeight="1">
      <c r="A883" s="24"/>
      <c r="B883" s="25"/>
      <c r="C883" s="25"/>
      <c r="D883" s="25"/>
      <c r="E883" s="138"/>
      <c r="F883" s="25"/>
      <c r="G883" s="138"/>
      <c r="H883" s="26"/>
      <c r="J883" s="155"/>
    </row>
    <row r="884" ht="22.5" customHeight="1">
      <c r="A884" s="24"/>
      <c r="B884" s="25"/>
      <c r="C884" s="25"/>
      <c r="D884" s="25"/>
      <c r="E884" s="138"/>
      <c r="F884" s="25"/>
      <c r="G884" s="138"/>
      <c r="H884" s="26"/>
      <c r="J884" s="155"/>
    </row>
    <row r="885" ht="22.5" customHeight="1">
      <c r="A885" s="24"/>
      <c r="B885" s="25"/>
      <c r="C885" s="25"/>
      <c r="D885" s="25"/>
      <c r="E885" s="138"/>
      <c r="F885" s="25"/>
      <c r="G885" s="138"/>
      <c r="H885" s="26"/>
      <c r="J885" s="155"/>
    </row>
    <row r="886" ht="22.5" customHeight="1">
      <c r="A886" s="24"/>
      <c r="B886" s="25"/>
      <c r="C886" s="25"/>
      <c r="D886" s="25"/>
      <c r="E886" s="138"/>
      <c r="F886" s="25"/>
      <c r="G886" s="138"/>
      <c r="H886" s="26"/>
      <c r="J886" s="155"/>
    </row>
    <row r="887" ht="22.5" customHeight="1">
      <c r="A887" s="24"/>
      <c r="B887" s="25"/>
      <c r="C887" s="25"/>
      <c r="D887" s="25"/>
      <c r="E887" s="138"/>
      <c r="F887" s="25"/>
      <c r="G887" s="138"/>
      <c r="H887" s="26"/>
      <c r="J887" s="155"/>
    </row>
    <row r="888" ht="22.5" customHeight="1">
      <c r="A888" s="24"/>
      <c r="B888" s="25"/>
      <c r="C888" s="25"/>
      <c r="D888" s="25"/>
      <c r="E888" s="138"/>
      <c r="F888" s="25"/>
      <c r="G888" s="138"/>
      <c r="H888" s="26"/>
      <c r="J888" s="155"/>
    </row>
    <row r="889" ht="22.5" customHeight="1">
      <c r="A889" s="24"/>
      <c r="B889" s="25"/>
      <c r="C889" s="25"/>
      <c r="D889" s="25"/>
      <c r="E889" s="138"/>
      <c r="F889" s="25"/>
      <c r="G889" s="138"/>
      <c r="H889" s="26"/>
      <c r="J889" s="155"/>
    </row>
    <row r="890" ht="22.5" customHeight="1">
      <c r="A890" s="24"/>
      <c r="B890" s="25"/>
      <c r="C890" s="25"/>
      <c r="D890" s="25"/>
      <c r="E890" s="138"/>
      <c r="F890" s="25"/>
      <c r="G890" s="138"/>
      <c r="H890" s="26"/>
      <c r="J890" s="155"/>
    </row>
    <row r="891" ht="22.5" customHeight="1">
      <c r="A891" s="24"/>
      <c r="B891" s="25"/>
      <c r="C891" s="25"/>
      <c r="D891" s="25"/>
      <c r="E891" s="138"/>
      <c r="F891" s="25"/>
      <c r="G891" s="138"/>
      <c r="H891" s="26"/>
      <c r="J891" s="155"/>
    </row>
    <row r="892" ht="22.5" customHeight="1">
      <c r="A892" s="24"/>
      <c r="B892" s="25"/>
      <c r="C892" s="25"/>
      <c r="D892" s="25"/>
      <c r="E892" s="138"/>
      <c r="F892" s="25"/>
      <c r="G892" s="138"/>
      <c r="H892" s="26"/>
      <c r="J892" s="155"/>
    </row>
    <row r="893" ht="22.5" customHeight="1">
      <c r="A893" s="24"/>
      <c r="B893" s="25"/>
      <c r="C893" s="25"/>
      <c r="D893" s="25"/>
      <c r="E893" s="138"/>
      <c r="F893" s="25"/>
      <c r="G893" s="138"/>
      <c r="H893" s="26"/>
      <c r="J893" s="155"/>
    </row>
    <row r="894" ht="22.5" customHeight="1">
      <c r="A894" s="24"/>
      <c r="B894" s="25"/>
      <c r="C894" s="25"/>
      <c r="D894" s="25"/>
      <c r="E894" s="138"/>
      <c r="F894" s="25"/>
      <c r="G894" s="138"/>
      <c r="H894" s="26"/>
      <c r="J894" s="155"/>
    </row>
    <row r="895" ht="22.5" customHeight="1">
      <c r="A895" s="24"/>
      <c r="B895" s="25"/>
      <c r="C895" s="25"/>
      <c r="D895" s="25"/>
      <c r="E895" s="138"/>
      <c r="F895" s="25"/>
      <c r="G895" s="138"/>
      <c r="H895" s="26"/>
      <c r="J895" s="155"/>
    </row>
    <row r="896" ht="22.5" customHeight="1">
      <c r="A896" s="24"/>
      <c r="B896" s="25"/>
      <c r="C896" s="25"/>
      <c r="D896" s="25"/>
      <c r="E896" s="138"/>
      <c r="F896" s="25"/>
      <c r="G896" s="138"/>
      <c r="H896" s="26"/>
      <c r="J896" s="155"/>
    </row>
    <row r="897" ht="22.5" customHeight="1">
      <c r="A897" s="24"/>
      <c r="B897" s="25"/>
      <c r="C897" s="25"/>
      <c r="D897" s="25"/>
      <c r="E897" s="138"/>
      <c r="F897" s="25"/>
      <c r="G897" s="138"/>
      <c r="H897" s="26"/>
      <c r="J897" s="155"/>
    </row>
    <row r="898" ht="22.5" customHeight="1">
      <c r="A898" s="24"/>
      <c r="B898" s="25"/>
      <c r="C898" s="25"/>
      <c r="D898" s="25"/>
      <c r="E898" s="138"/>
      <c r="F898" s="25"/>
      <c r="G898" s="138"/>
      <c r="H898" s="26"/>
      <c r="J898" s="155"/>
    </row>
    <row r="899" ht="22.5" customHeight="1">
      <c r="A899" s="24"/>
      <c r="B899" s="25"/>
      <c r="C899" s="25"/>
      <c r="D899" s="25"/>
      <c r="E899" s="138"/>
      <c r="F899" s="25"/>
      <c r="G899" s="138"/>
      <c r="H899" s="26"/>
      <c r="J899" s="155"/>
    </row>
    <row r="900" ht="22.5" customHeight="1">
      <c r="A900" s="24"/>
      <c r="B900" s="25"/>
      <c r="C900" s="25"/>
      <c r="D900" s="25"/>
      <c r="E900" s="138"/>
      <c r="F900" s="25"/>
      <c r="G900" s="138"/>
      <c r="H900" s="26"/>
      <c r="J900" s="155"/>
    </row>
    <row r="901" ht="22.5" customHeight="1">
      <c r="A901" s="24"/>
      <c r="B901" s="25"/>
      <c r="C901" s="25"/>
      <c r="D901" s="25"/>
      <c r="E901" s="138"/>
      <c r="F901" s="25"/>
      <c r="G901" s="138"/>
      <c r="H901" s="26"/>
      <c r="J901" s="155"/>
    </row>
    <row r="902" ht="22.5" customHeight="1">
      <c r="A902" s="24"/>
      <c r="B902" s="25"/>
      <c r="C902" s="25"/>
      <c r="D902" s="25"/>
      <c r="E902" s="138"/>
      <c r="F902" s="25"/>
      <c r="G902" s="138"/>
      <c r="H902" s="26"/>
      <c r="J902" s="155"/>
    </row>
    <row r="903" ht="22.5" customHeight="1">
      <c r="A903" s="24"/>
      <c r="B903" s="25"/>
      <c r="C903" s="25"/>
      <c r="D903" s="25"/>
      <c r="E903" s="138"/>
      <c r="F903" s="25"/>
      <c r="G903" s="138"/>
      <c r="H903" s="26"/>
      <c r="J903" s="155"/>
    </row>
    <row r="904" ht="22.5" customHeight="1">
      <c r="A904" s="24"/>
      <c r="B904" s="25"/>
      <c r="C904" s="25"/>
      <c r="D904" s="25"/>
      <c r="E904" s="138"/>
      <c r="F904" s="25"/>
      <c r="G904" s="138"/>
      <c r="H904" s="26"/>
      <c r="J904" s="155"/>
    </row>
    <row r="905" ht="22.5" customHeight="1">
      <c r="A905" s="24"/>
      <c r="B905" s="25"/>
      <c r="C905" s="25"/>
      <c r="D905" s="25"/>
      <c r="E905" s="138"/>
      <c r="F905" s="25"/>
      <c r="G905" s="138"/>
      <c r="H905" s="26"/>
      <c r="J905" s="155"/>
    </row>
    <row r="906" ht="22.5" customHeight="1">
      <c r="A906" s="24"/>
      <c r="B906" s="25"/>
      <c r="C906" s="25"/>
      <c r="D906" s="25"/>
      <c r="E906" s="138"/>
      <c r="F906" s="25"/>
      <c r="G906" s="138"/>
      <c r="H906" s="26"/>
      <c r="J906" s="155"/>
    </row>
    <row r="907" ht="22.5" customHeight="1">
      <c r="A907" s="24"/>
      <c r="B907" s="25"/>
      <c r="C907" s="25"/>
      <c r="D907" s="25"/>
      <c r="E907" s="138"/>
      <c r="F907" s="25"/>
      <c r="G907" s="138"/>
      <c r="H907" s="26"/>
      <c r="J907" s="155"/>
    </row>
    <row r="908" ht="22.5" customHeight="1">
      <c r="A908" s="24"/>
      <c r="B908" s="25"/>
      <c r="C908" s="25"/>
      <c r="D908" s="25"/>
      <c r="E908" s="138"/>
      <c r="F908" s="25"/>
      <c r="G908" s="138"/>
      <c r="H908" s="26"/>
      <c r="J908" s="155"/>
    </row>
    <row r="909" ht="22.5" customHeight="1">
      <c r="A909" s="24"/>
      <c r="B909" s="25"/>
      <c r="C909" s="25"/>
      <c r="D909" s="25"/>
      <c r="E909" s="138"/>
      <c r="F909" s="25"/>
      <c r="G909" s="138"/>
      <c r="H909" s="26"/>
      <c r="J909" s="155"/>
    </row>
    <row r="910" ht="22.5" customHeight="1">
      <c r="A910" s="24"/>
      <c r="B910" s="25"/>
      <c r="C910" s="25"/>
      <c r="D910" s="25"/>
      <c r="E910" s="138"/>
      <c r="F910" s="25"/>
      <c r="G910" s="138"/>
      <c r="H910" s="26"/>
      <c r="J910" s="155"/>
    </row>
    <row r="911" ht="22.5" customHeight="1">
      <c r="A911" s="24"/>
      <c r="B911" s="25"/>
      <c r="C911" s="25"/>
      <c r="D911" s="25"/>
      <c r="E911" s="138"/>
      <c r="F911" s="25"/>
      <c r="G911" s="138"/>
      <c r="H911" s="26"/>
      <c r="J911" s="155"/>
    </row>
    <row r="912" ht="22.5" customHeight="1">
      <c r="A912" s="24"/>
      <c r="B912" s="25"/>
      <c r="C912" s="25"/>
      <c r="D912" s="25"/>
      <c r="E912" s="138"/>
      <c r="F912" s="25"/>
      <c r="G912" s="138"/>
      <c r="H912" s="26"/>
      <c r="J912" s="155"/>
    </row>
    <row r="913" ht="22.5" customHeight="1">
      <c r="A913" s="24"/>
      <c r="B913" s="25"/>
      <c r="C913" s="25"/>
      <c r="D913" s="25"/>
      <c r="E913" s="138"/>
      <c r="F913" s="25"/>
      <c r="G913" s="138"/>
      <c r="H913" s="26"/>
      <c r="J913" s="155"/>
    </row>
    <row r="914" ht="22.5" customHeight="1">
      <c r="A914" s="24"/>
      <c r="B914" s="25"/>
      <c r="C914" s="25"/>
      <c r="D914" s="25"/>
      <c r="E914" s="138"/>
      <c r="F914" s="25"/>
      <c r="G914" s="138"/>
      <c r="H914" s="26"/>
      <c r="J914" s="155"/>
    </row>
    <row r="915" ht="22.5" customHeight="1">
      <c r="A915" s="24"/>
      <c r="B915" s="25"/>
      <c r="C915" s="25"/>
      <c r="D915" s="25"/>
      <c r="E915" s="138"/>
      <c r="F915" s="25"/>
      <c r="G915" s="138"/>
      <c r="H915" s="26"/>
      <c r="J915" s="155"/>
    </row>
    <row r="916" ht="22.5" customHeight="1">
      <c r="A916" s="24"/>
      <c r="B916" s="25"/>
      <c r="C916" s="25"/>
      <c r="D916" s="25"/>
      <c r="E916" s="138"/>
      <c r="F916" s="25"/>
      <c r="G916" s="138"/>
      <c r="H916" s="26"/>
      <c r="J916" s="155"/>
    </row>
    <row r="917" ht="22.5" customHeight="1">
      <c r="A917" s="24"/>
      <c r="B917" s="25"/>
      <c r="C917" s="25"/>
      <c r="D917" s="25"/>
      <c r="E917" s="138"/>
      <c r="F917" s="25"/>
      <c r="G917" s="138"/>
      <c r="H917" s="26"/>
      <c r="J917" s="155"/>
    </row>
    <row r="918" ht="22.5" customHeight="1">
      <c r="A918" s="24"/>
      <c r="B918" s="25"/>
      <c r="C918" s="25"/>
      <c r="D918" s="25"/>
      <c r="E918" s="138"/>
      <c r="F918" s="25"/>
      <c r="G918" s="138"/>
      <c r="H918" s="26"/>
      <c r="J918" s="155"/>
    </row>
    <row r="919" ht="22.5" customHeight="1">
      <c r="A919" s="24"/>
      <c r="B919" s="25"/>
      <c r="C919" s="25"/>
      <c r="D919" s="25"/>
      <c r="E919" s="138"/>
      <c r="F919" s="25"/>
      <c r="G919" s="138"/>
      <c r="H919" s="26"/>
      <c r="J919" s="155"/>
    </row>
    <row r="920" ht="22.5" customHeight="1">
      <c r="A920" s="24"/>
      <c r="B920" s="25"/>
      <c r="C920" s="25"/>
      <c r="D920" s="25"/>
      <c r="E920" s="138"/>
      <c r="F920" s="25"/>
      <c r="G920" s="138"/>
      <c r="H920" s="26"/>
      <c r="J920" s="155"/>
    </row>
    <row r="921" ht="22.5" customHeight="1">
      <c r="A921" s="24"/>
      <c r="B921" s="25"/>
      <c r="C921" s="25"/>
      <c r="D921" s="25"/>
      <c r="E921" s="138"/>
      <c r="F921" s="25"/>
      <c r="G921" s="138"/>
      <c r="H921" s="26"/>
      <c r="J921" s="155"/>
    </row>
    <row r="922" ht="22.5" customHeight="1">
      <c r="A922" s="24"/>
      <c r="B922" s="25"/>
      <c r="C922" s="25"/>
      <c r="D922" s="25"/>
      <c r="E922" s="138"/>
      <c r="F922" s="25"/>
      <c r="G922" s="138"/>
      <c r="H922" s="26"/>
      <c r="J922" s="155"/>
    </row>
    <row r="923" ht="22.5" customHeight="1">
      <c r="A923" s="24"/>
      <c r="B923" s="25"/>
      <c r="C923" s="25"/>
      <c r="D923" s="25"/>
      <c r="E923" s="138"/>
      <c r="F923" s="25"/>
      <c r="G923" s="138"/>
      <c r="H923" s="26"/>
      <c r="J923" s="155"/>
    </row>
    <row r="924" ht="22.5" customHeight="1">
      <c r="A924" s="24"/>
      <c r="B924" s="25"/>
      <c r="C924" s="25"/>
      <c r="D924" s="25"/>
      <c r="E924" s="138"/>
      <c r="F924" s="25"/>
      <c r="G924" s="138"/>
      <c r="H924" s="26"/>
      <c r="J924" s="155"/>
    </row>
    <row r="925" ht="22.5" customHeight="1">
      <c r="A925" s="24"/>
      <c r="B925" s="25"/>
      <c r="C925" s="25"/>
      <c r="D925" s="25"/>
      <c r="E925" s="138"/>
      <c r="F925" s="25"/>
      <c r="G925" s="138"/>
      <c r="H925" s="26"/>
      <c r="J925" s="155"/>
    </row>
    <row r="926" ht="22.5" customHeight="1">
      <c r="A926" s="24"/>
      <c r="B926" s="25"/>
      <c r="C926" s="25"/>
      <c r="D926" s="25"/>
      <c r="E926" s="138"/>
      <c r="F926" s="25"/>
      <c r="G926" s="138"/>
      <c r="H926" s="26"/>
      <c r="J926" s="155"/>
    </row>
    <row r="927" ht="22.5" customHeight="1">
      <c r="A927" s="24"/>
      <c r="B927" s="25"/>
      <c r="C927" s="25"/>
      <c r="D927" s="25"/>
      <c r="E927" s="138"/>
      <c r="F927" s="25"/>
      <c r="G927" s="138"/>
      <c r="H927" s="26"/>
      <c r="J927" s="155"/>
    </row>
    <row r="928" ht="22.5" customHeight="1">
      <c r="A928" s="24"/>
      <c r="B928" s="25"/>
      <c r="C928" s="25"/>
      <c r="D928" s="25"/>
      <c r="E928" s="138"/>
      <c r="F928" s="25"/>
      <c r="G928" s="138"/>
      <c r="H928" s="26"/>
      <c r="J928" s="155"/>
    </row>
    <row r="929" ht="22.5" customHeight="1">
      <c r="A929" s="24"/>
      <c r="B929" s="25"/>
      <c r="C929" s="25"/>
      <c r="D929" s="25"/>
      <c r="E929" s="138"/>
      <c r="F929" s="25"/>
      <c r="G929" s="138"/>
      <c r="H929" s="26"/>
      <c r="J929" s="155"/>
    </row>
    <row r="930" ht="22.5" customHeight="1">
      <c r="A930" s="24"/>
      <c r="B930" s="25"/>
      <c r="C930" s="25"/>
      <c r="D930" s="25"/>
      <c r="E930" s="138"/>
      <c r="F930" s="25"/>
      <c r="G930" s="138"/>
      <c r="H930" s="26"/>
      <c r="J930" s="155"/>
    </row>
    <row r="931" ht="22.5" customHeight="1">
      <c r="A931" s="24"/>
      <c r="B931" s="25"/>
      <c r="C931" s="25"/>
      <c r="D931" s="25"/>
      <c r="E931" s="138"/>
      <c r="F931" s="25"/>
      <c r="G931" s="138"/>
      <c r="H931" s="26"/>
      <c r="J931" s="155"/>
    </row>
    <row r="932" ht="22.5" customHeight="1">
      <c r="A932" s="24"/>
      <c r="B932" s="25"/>
      <c r="C932" s="25"/>
      <c r="D932" s="25"/>
      <c r="E932" s="138"/>
      <c r="F932" s="25"/>
      <c r="G932" s="138"/>
      <c r="H932" s="26"/>
      <c r="J932" s="155"/>
    </row>
    <row r="933" ht="22.5" customHeight="1">
      <c r="A933" s="24"/>
      <c r="B933" s="25"/>
      <c r="C933" s="25"/>
      <c r="D933" s="25"/>
      <c r="E933" s="138"/>
      <c r="F933" s="25"/>
      <c r="G933" s="138"/>
      <c r="H933" s="26"/>
      <c r="J933" s="155"/>
    </row>
    <row r="934" ht="22.5" customHeight="1">
      <c r="A934" s="24"/>
      <c r="B934" s="25"/>
      <c r="C934" s="25"/>
      <c r="D934" s="25"/>
      <c r="E934" s="138"/>
      <c r="F934" s="25"/>
      <c r="G934" s="138"/>
      <c r="H934" s="26"/>
      <c r="J934" s="155"/>
    </row>
    <row r="935" ht="22.5" customHeight="1">
      <c r="A935" s="24"/>
      <c r="B935" s="25"/>
      <c r="C935" s="25"/>
      <c r="D935" s="25"/>
      <c r="E935" s="138"/>
      <c r="F935" s="25"/>
      <c r="G935" s="138"/>
      <c r="H935" s="26"/>
      <c r="J935" s="155"/>
    </row>
    <row r="936" ht="22.5" customHeight="1">
      <c r="A936" s="24"/>
      <c r="B936" s="25"/>
      <c r="C936" s="25"/>
      <c r="D936" s="25"/>
      <c r="E936" s="138"/>
      <c r="F936" s="25"/>
      <c r="G936" s="138"/>
      <c r="H936" s="26"/>
      <c r="J936" s="155"/>
    </row>
    <row r="937" ht="22.5" customHeight="1">
      <c r="A937" s="24"/>
      <c r="B937" s="25"/>
      <c r="C937" s="25"/>
      <c r="D937" s="25"/>
      <c r="E937" s="138"/>
      <c r="F937" s="25"/>
      <c r="G937" s="138"/>
      <c r="H937" s="26"/>
      <c r="J937" s="155"/>
    </row>
    <row r="938" ht="22.5" customHeight="1">
      <c r="A938" s="24"/>
      <c r="B938" s="25"/>
      <c r="C938" s="25"/>
      <c r="D938" s="25"/>
      <c r="E938" s="138"/>
      <c r="F938" s="25"/>
      <c r="G938" s="138"/>
      <c r="H938" s="26"/>
      <c r="J938" s="155"/>
    </row>
    <row r="939" ht="22.5" customHeight="1">
      <c r="A939" s="24"/>
      <c r="B939" s="25"/>
      <c r="C939" s="25"/>
      <c r="D939" s="25"/>
      <c r="E939" s="138"/>
      <c r="F939" s="25"/>
      <c r="G939" s="138"/>
      <c r="H939" s="26"/>
      <c r="J939" s="155"/>
    </row>
    <row r="940" ht="22.5" customHeight="1">
      <c r="A940" s="24"/>
      <c r="B940" s="25"/>
      <c r="C940" s="25"/>
      <c r="D940" s="25"/>
      <c r="E940" s="138"/>
      <c r="F940" s="25"/>
      <c r="G940" s="138"/>
      <c r="H940" s="26"/>
      <c r="J940" s="155"/>
    </row>
    <row r="941" ht="22.5" customHeight="1">
      <c r="A941" s="24"/>
      <c r="B941" s="25"/>
      <c r="C941" s="25"/>
      <c r="D941" s="25"/>
      <c r="E941" s="138"/>
      <c r="F941" s="25"/>
      <c r="G941" s="138"/>
      <c r="H941" s="26"/>
      <c r="J941" s="155"/>
    </row>
    <row r="942" ht="22.5" customHeight="1">
      <c r="A942" s="24"/>
      <c r="B942" s="25"/>
      <c r="C942" s="25"/>
      <c r="D942" s="25"/>
      <c r="E942" s="138"/>
      <c r="F942" s="25"/>
      <c r="G942" s="138"/>
      <c r="H942" s="26"/>
      <c r="J942" s="155"/>
    </row>
    <row r="943" ht="22.5" customHeight="1">
      <c r="A943" s="24"/>
      <c r="B943" s="25"/>
      <c r="C943" s="25"/>
      <c r="D943" s="25"/>
      <c r="E943" s="138"/>
      <c r="F943" s="25"/>
      <c r="G943" s="138"/>
      <c r="H943" s="26"/>
      <c r="J943" s="155"/>
    </row>
    <row r="944" ht="22.5" customHeight="1">
      <c r="A944" s="24"/>
      <c r="B944" s="25"/>
      <c r="C944" s="25"/>
      <c r="D944" s="25"/>
      <c r="E944" s="138"/>
      <c r="F944" s="25"/>
      <c r="G944" s="138"/>
      <c r="H944" s="26"/>
      <c r="J944" s="155"/>
    </row>
    <row r="945" ht="22.5" customHeight="1">
      <c r="A945" s="24"/>
      <c r="B945" s="25"/>
      <c r="C945" s="25"/>
      <c r="D945" s="25"/>
      <c r="E945" s="138"/>
      <c r="F945" s="25"/>
      <c r="G945" s="138"/>
      <c r="H945" s="26"/>
      <c r="J945" s="155"/>
    </row>
    <row r="946" ht="22.5" customHeight="1">
      <c r="A946" s="24"/>
      <c r="B946" s="25"/>
      <c r="C946" s="25"/>
      <c r="D946" s="25"/>
      <c r="E946" s="138"/>
      <c r="F946" s="25"/>
      <c r="G946" s="138"/>
      <c r="H946" s="26"/>
      <c r="J946" s="155"/>
    </row>
    <row r="947" ht="22.5" customHeight="1">
      <c r="A947" s="24"/>
      <c r="B947" s="25"/>
      <c r="C947" s="25"/>
      <c r="D947" s="25"/>
      <c r="E947" s="138"/>
      <c r="F947" s="25"/>
      <c r="G947" s="138"/>
      <c r="H947" s="26"/>
      <c r="J947" s="155"/>
    </row>
    <row r="948" ht="22.5" customHeight="1">
      <c r="A948" s="24"/>
      <c r="B948" s="25"/>
      <c r="C948" s="25"/>
      <c r="D948" s="25"/>
      <c r="E948" s="138"/>
      <c r="F948" s="25"/>
      <c r="G948" s="138"/>
      <c r="H948" s="26"/>
      <c r="J948" s="155"/>
    </row>
    <row r="949" ht="22.5" customHeight="1">
      <c r="A949" s="24"/>
      <c r="B949" s="25"/>
      <c r="C949" s="25"/>
      <c r="D949" s="25"/>
      <c r="E949" s="138"/>
      <c r="F949" s="25"/>
      <c r="G949" s="138"/>
      <c r="H949" s="26"/>
      <c r="J949" s="155"/>
    </row>
    <row r="950" ht="22.5" customHeight="1">
      <c r="A950" s="24"/>
      <c r="B950" s="25"/>
      <c r="C950" s="25"/>
      <c r="D950" s="25"/>
      <c r="E950" s="138"/>
      <c r="F950" s="25"/>
      <c r="G950" s="138"/>
      <c r="H950" s="26"/>
      <c r="J950" s="155"/>
    </row>
    <row r="951" ht="22.5" customHeight="1">
      <c r="A951" s="24"/>
      <c r="B951" s="25"/>
      <c r="C951" s="25"/>
      <c r="D951" s="25"/>
      <c r="E951" s="138"/>
      <c r="F951" s="25"/>
      <c r="G951" s="138"/>
      <c r="H951" s="26"/>
      <c r="J951" s="155"/>
    </row>
    <row r="952" ht="22.5" customHeight="1">
      <c r="A952" s="24"/>
      <c r="B952" s="25"/>
      <c r="C952" s="25"/>
      <c r="D952" s="25"/>
      <c r="E952" s="138"/>
      <c r="F952" s="25"/>
      <c r="G952" s="138"/>
      <c r="H952" s="26"/>
      <c r="J952" s="155"/>
    </row>
    <row r="953" ht="22.5" customHeight="1">
      <c r="A953" s="24"/>
      <c r="B953" s="25"/>
      <c r="C953" s="25"/>
      <c r="D953" s="25"/>
      <c r="E953" s="138"/>
      <c r="F953" s="25"/>
      <c r="G953" s="138"/>
      <c r="H953" s="26"/>
      <c r="J953" s="155"/>
    </row>
    <row r="954" ht="22.5" customHeight="1">
      <c r="A954" s="24"/>
      <c r="B954" s="25"/>
      <c r="C954" s="25"/>
      <c r="D954" s="25"/>
      <c r="E954" s="138"/>
      <c r="F954" s="25"/>
      <c r="G954" s="138"/>
      <c r="H954" s="26"/>
      <c r="J954" s="155"/>
    </row>
    <row r="955" ht="22.5" customHeight="1">
      <c r="A955" s="24"/>
      <c r="B955" s="25"/>
      <c r="C955" s="25"/>
      <c r="D955" s="25"/>
      <c r="E955" s="138"/>
      <c r="F955" s="25"/>
      <c r="G955" s="138"/>
      <c r="H955" s="26"/>
      <c r="J955" s="155"/>
    </row>
    <row r="956" ht="22.5" customHeight="1">
      <c r="A956" s="24"/>
      <c r="B956" s="25"/>
      <c r="C956" s="25"/>
      <c r="D956" s="25"/>
      <c r="E956" s="138"/>
      <c r="F956" s="25"/>
      <c r="G956" s="138"/>
      <c r="H956" s="26"/>
      <c r="J956" s="155"/>
    </row>
    <row r="957" ht="22.5" customHeight="1">
      <c r="A957" s="24"/>
      <c r="B957" s="25"/>
      <c r="C957" s="25"/>
      <c r="D957" s="25"/>
      <c r="E957" s="138"/>
      <c r="F957" s="25"/>
      <c r="G957" s="138"/>
      <c r="H957" s="26"/>
      <c r="J957" s="155"/>
    </row>
    <row r="958" ht="22.5" customHeight="1">
      <c r="A958" s="24"/>
      <c r="B958" s="25"/>
      <c r="C958" s="25"/>
      <c r="D958" s="25"/>
      <c r="E958" s="138"/>
      <c r="F958" s="25"/>
      <c r="G958" s="138"/>
      <c r="H958" s="26"/>
      <c r="J958" s="155"/>
    </row>
    <row r="959" ht="22.5" customHeight="1">
      <c r="A959" s="24"/>
      <c r="B959" s="25"/>
      <c r="C959" s="25"/>
      <c r="D959" s="25"/>
      <c r="E959" s="138"/>
      <c r="F959" s="25"/>
      <c r="G959" s="138"/>
      <c r="H959" s="26"/>
      <c r="J959" s="155"/>
    </row>
    <row r="960" ht="22.5" customHeight="1">
      <c r="A960" s="24"/>
      <c r="B960" s="25"/>
      <c r="C960" s="25"/>
      <c r="D960" s="25"/>
      <c r="E960" s="138"/>
      <c r="F960" s="25"/>
      <c r="G960" s="138"/>
      <c r="H960" s="26"/>
      <c r="J960" s="155"/>
    </row>
    <row r="961" ht="22.5" customHeight="1">
      <c r="A961" s="24"/>
      <c r="B961" s="25"/>
      <c r="C961" s="25"/>
      <c r="D961" s="25"/>
      <c r="E961" s="138"/>
      <c r="F961" s="25"/>
      <c r="G961" s="138"/>
      <c r="H961" s="26"/>
      <c r="J961" s="155"/>
    </row>
    <row r="962" ht="22.5" customHeight="1">
      <c r="A962" s="24"/>
      <c r="B962" s="25"/>
      <c r="C962" s="25"/>
      <c r="D962" s="25"/>
      <c r="E962" s="138"/>
      <c r="F962" s="25"/>
      <c r="G962" s="138"/>
      <c r="H962" s="26"/>
      <c r="J962" s="155"/>
    </row>
    <row r="963" ht="22.5" customHeight="1">
      <c r="A963" s="24"/>
      <c r="B963" s="25"/>
      <c r="C963" s="25"/>
      <c r="D963" s="25"/>
      <c r="E963" s="138"/>
      <c r="F963" s="25"/>
      <c r="G963" s="138"/>
      <c r="H963" s="26"/>
      <c r="J963" s="155"/>
    </row>
    <row r="964" ht="22.5" customHeight="1">
      <c r="A964" s="24"/>
      <c r="B964" s="25"/>
      <c r="C964" s="25"/>
      <c r="D964" s="25"/>
      <c r="E964" s="138"/>
      <c r="F964" s="25"/>
      <c r="G964" s="138"/>
      <c r="H964" s="26"/>
      <c r="J964" s="155"/>
    </row>
    <row r="965" ht="22.5" customHeight="1">
      <c r="A965" s="24"/>
      <c r="B965" s="25"/>
      <c r="C965" s="25"/>
      <c r="D965" s="25"/>
      <c r="E965" s="138"/>
      <c r="F965" s="25"/>
      <c r="G965" s="138"/>
      <c r="H965" s="26"/>
      <c r="J965" s="155"/>
    </row>
    <row r="966" ht="22.5" customHeight="1">
      <c r="A966" s="24"/>
      <c r="B966" s="25"/>
      <c r="C966" s="25"/>
      <c r="D966" s="25"/>
      <c r="E966" s="138"/>
      <c r="F966" s="25"/>
      <c r="G966" s="138"/>
      <c r="H966" s="26"/>
      <c r="J966" s="155"/>
    </row>
    <row r="967" ht="22.5" customHeight="1">
      <c r="A967" s="24"/>
      <c r="B967" s="25"/>
      <c r="C967" s="25"/>
      <c r="D967" s="25"/>
      <c r="E967" s="138"/>
      <c r="F967" s="25"/>
      <c r="G967" s="138"/>
      <c r="H967" s="26"/>
      <c r="J967" s="155"/>
    </row>
    <row r="968" ht="22.5" customHeight="1">
      <c r="A968" s="24"/>
      <c r="B968" s="25"/>
      <c r="C968" s="25"/>
      <c r="D968" s="25"/>
      <c r="E968" s="138"/>
      <c r="F968" s="25"/>
      <c r="G968" s="138"/>
      <c r="H968" s="26"/>
      <c r="J968" s="155"/>
    </row>
    <row r="969" ht="22.5" customHeight="1">
      <c r="A969" s="24"/>
      <c r="B969" s="25"/>
      <c r="C969" s="25"/>
      <c r="D969" s="25"/>
      <c r="E969" s="138"/>
      <c r="F969" s="25"/>
      <c r="G969" s="138"/>
      <c r="H969" s="26"/>
      <c r="J969" s="155"/>
    </row>
    <row r="970" ht="22.5" customHeight="1">
      <c r="A970" s="24"/>
      <c r="B970" s="25"/>
      <c r="C970" s="25"/>
      <c r="D970" s="25"/>
      <c r="E970" s="138"/>
      <c r="F970" s="25"/>
      <c r="G970" s="138"/>
      <c r="H970" s="26"/>
      <c r="J970" s="155"/>
    </row>
    <row r="971" ht="22.5" customHeight="1">
      <c r="A971" s="24"/>
      <c r="B971" s="25"/>
      <c r="C971" s="25"/>
      <c r="D971" s="25"/>
      <c r="E971" s="138"/>
      <c r="F971" s="25"/>
      <c r="G971" s="138"/>
      <c r="H971" s="26"/>
      <c r="J971" s="155"/>
    </row>
    <row r="972" ht="22.5" customHeight="1">
      <c r="A972" s="24"/>
      <c r="B972" s="25"/>
      <c r="C972" s="25"/>
      <c r="D972" s="25"/>
      <c r="E972" s="138"/>
      <c r="F972" s="25"/>
      <c r="G972" s="138"/>
      <c r="H972" s="26"/>
      <c r="J972" s="155"/>
    </row>
    <row r="973" ht="22.5" customHeight="1">
      <c r="A973" s="24"/>
      <c r="B973" s="25"/>
      <c r="C973" s="25"/>
      <c r="D973" s="25"/>
      <c r="E973" s="138"/>
      <c r="F973" s="25"/>
      <c r="G973" s="138"/>
      <c r="H973" s="26"/>
      <c r="J973" s="155"/>
    </row>
    <row r="974" ht="22.5" customHeight="1">
      <c r="A974" s="24"/>
      <c r="B974" s="25"/>
      <c r="C974" s="25"/>
      <c r="D974" s="25"/>
      <c r="E974" s="138"/>
      <c r="F974" s="25"/>
      <c r="G974" s="138"/>
      <c r="H974" s="26"/>
      <c r="J974" s="155"/>
    </row>
    <row r="975" ht="22.5" customHeight="1">
      <c r="A975" s="24"/>
      <c r="B975" s="25"/>
      <c r="C975" s="25"/>
      <c r="D975" s="25"/>
      <c r="E975" s="138"/>
      <c r="F975" s="25"/>
      <c r="G975" s="138"/>
      <c r="H975" s="26"/>
      <c r="J975" s="155"/>
    </row>
    <row r="976" ht="22.5" customHeight="1">
      <c r="A976" s="24"/>
      <c r="B976" s="25"/>
      <c r="C976" s="25"/>
      <c r="D976" s="25"/>
      <c r="E976" s="138"/>
      <c r="F976" s="25"/>
      <c r="G976" s="138"/>
      <c r="H976" s="26"/>
      <c r="J976" s="155"/>
    </row>
    <row r="977" ht="22.5" customHeight="1">
      <c r="A977" s="24"/>
      <c r="B977" s="25"/>
      <c r="C977" s="25"/>
      <c r="D977" s="25"/>
      <c r="E977" s="138"/>
      <c r="F977" s="25"/>
      <c r="G977" s="138"/>
      <c r="H977" s="26"/>
      <c r="J977" s="155"/>
    </row>
    <row r="978" ht="22.5" customHeight="1">
      <c r="A978" s="24"/>
      <c r="B978" s="25"/>
      <c r="C978" s="25"/>
      <c r="D978" s="25"/>
      <c r="E978" s="138"/>
      <c r="F978" s="25"/>
      <c r="G978" s="138"/>
      <c r="H978" s="26"/>
      <c r="J978" s="155"/>
    </row>
    <row r="979" ht="22.5" customHeight="1">
      <c r="A979" s="24"/>
      <c r="B979" s="25"/>
      <c r="C979" s="25"/>
      <c r="D979" s="25"/>
      <c r="E979" s="138"/>
      <c r="F979" s="25"/>
      <c r="G979" s="138"/>
      <c r="H979" s="26"/>
      <c r="J979" s="155"/>
    </row>
    <row r="980" ht="22.5" customHeight="1">
      <c r="A980" s="24"/>
      <c r="B980" s="25"/>
      <c r="C980" s="25"/>
      <c r="D980" s="25"/>
      <c r="E980" s="138"/>
      <c r="F980" s="25"/>
      <c r="G980" s="138"/>
      <c r="H980" s="26"/>
      <c r="J980" s="155"/>
    </row>
    <row r="981" ht="22.5" customHeight="1">
      <c r="A981" s="24"/>
      <c r="B981" s="25"/>
      <c r="C981" s="25"/>
      <c r="D981" s="25"/>
      <c r="E981" s="138"/>
      <c r="F981" s="25"/>
      <c r="G981" s="138"/>
      <c r="H981" s="26"/>
      <c r="J981" s="155"/>
    </row>
    <row r="982" ht="22.5" customHeight="1">
      <c r="A982" s="24"/>
      <c r="B982" s="25"/>
      <c r="C982" s="25"/>
      <c r="D982" s="25"/>
      <c r="E982" s="138"/>
      <c r="F982" s="25"/>
      <c r="G982" s="138"/>
      <c r="H982" s="26"/>
      <c r="J982" s="155"/>
    </row>
    <row r="983" ht="22.5" customHeight="1">
      <c r="A983" s="24"/>
      <c r="B983" s="25"/>
      <c r="C983" s="25"/>
      <c r="D983" s="25"/>
      <c r="E983" s="138"/>
      <c r="F983" s="25"/>
      <c r="G983" s="138"/>
      <c r="H983" s="26"/>
      <c r="J983" s="155"/>
    </row>
    <row r="984" ht="22.5" customHeight="1">
      <c r="A984" s="24"/>
      <c r="B984" s="25"/>
      <c r="C984" s="25"/>
      <c r="D984" s="25"/>
      <c r="E984" s="138"/>
      <c r="F984" s="25"/>
      <c r="G984" s="138"/>
      <c r="H984" s="26"/>
      <c r="J984" s="155"/>
    </row>
    <row r="985" ht="22.5" customHeight="1">
      <c r="A985" s="24"/>
      <c r="B985" s="25"/>
      <c r="C985" s="25"/>
      <c r="D985" s="25"/>
      <c r="E985" s="138"/>
      <c r="F985" s="25"/>
      <c r="G985" s="138"/>
      <c r="H985" s="26"/>
      <c r="J985" s="155"/>
    </row>
    <row r="986" ht="22.5" customHeight="1">
      <c r="A986" s="24"/>
      <c r="B986" s="25"/>
      <c r="C986" s="25"/>
      <c r="D986" s="25"/>
      <c r="E986" s="138"/>
      <c r="F986" s="25"/>
      <c r="G986" s="138"/>
      <c r="H986" s="26"/>
      <c r="J986" s="155"/>
    </row>
    <row r="987" ht="22.5" customHeight="1">
      <c r="A987" s="24"/>
      <c r="B987" s="25"/>
      <c r="C987" s="25"/>
      <c r="D987" s="25"/>
      <c r="E987" s="138"/>
      <c r="F987" s="25"/>
      <c r="G987" s="138"/>
      <c r="H987" s="26"/>
      <c r="J987" s="155"/>
    </row>
    <row r="988" ht="22.5" customHeight="1">
      <c r="A988" s="24"/>
      <c r="B988" s="25"/>
      <c r="C988" s="25"/>
      <c r="D988" s="25"/>
      <c r="E988" s="138"/>
      <c r="F988" s="25"/>
      <c r="G988" s="138"/>
      <c r="H988" s="26"/>
      <c r="J988" s="155"/>
    </row>
    <row r="989" ht="22.5" customHeight="1">
      <c r="A989" s="24"/>
      <c r="B989" s="25"/>
      <c r="C989" s="25"/>
      <c r="D989" s="25"/>
      <c r="E989" s="138"/>
      <c r="F989" s="25"/>
      <c r="G989" s="138"/>
      <c r="H989" s="26"/>
      <c r="J989" s="155"/>
    </row>
    <row r="990" ht="22.5" customHeight="1">
      <c r="A990" s="24"/>
      <c r="B990" s="25"/>
      <c r="C990" s="25"/>
      <c r="D990" s="25"/>
      <c r="E990" s="138"/>
      <c r="F990" s="25"/>
      <c r="G990" s="138"/>
      <c r="H990" s="26"/>
      <c r="J990" s="155"/>
    </row>
    <row r="991" ht="22.5" customHeight="1">
      <c r="A991" s="24"/>
      <c r="B991" s="25"/>
      <c r="C991" s="25"/>
      <c r="D991" s="25"/>
      <c r="E991" s="138"/>
      <c r="F991" s="25"/>
      <c r="G991" s="138"/>
      <c r="H991" s="26"/>
      <c r="J991" s="155"/>
    </row>
    <row r="992" ht="22.5" customHeight="1">
      <c r="A992" s="24"/>
      <c r="B992" s="25"/>
      <c r="C992" s="25"/>
      <c r="D992" s="25"/>
      <c r="E992" s="138"/>
      <c r="F992" s="25"/>
      <c r="G992" s="138"/>
      <c r="H992" s="26"/>
      <c r="J992" s="155"/>
    </row>
    <row r="993" ht="22.5" customHeight="1">
      <c r="A993" s="24"/>
      <c r="B993" s="25"/>
      <c r="C993" s="25"/>
      <c r="D993" s="25"/>
      <c r="E993" s="138"/>
      <c r="F993" s="25"/>
      <c r="G993" s="138"/>
      <c r="H993" s="26"/>
      <c r="J993" s="155"/>
    </row>
    <row r="994" ht="22.5" customHeight="1">
      <c r="A994" s="24"/>
      <c r="B994" s="25"/>
      <c r="C994" s="25"/>
      <c r="D994" s="25"/>
      <c r="E994" s="138"/>
      <c r="F994" s="25"/>
      <c r="G994" s="138"/>
      <c r="H994" s="26"/>
      <c r="J994" s="155"/>
    </row>
    <row r="995" ht="22.5" customHeight="1">
      <c r="A995" s="24"/>
      <c r="B995" s="25"/>
      <c r="C995" s="25"/>
      <c r="D995" s="25"/>
      <c r="E995" s="138"/>
      <c r="F995" s="25"/>
      <c r="G995" s="138"/>
      <c r="H995" s="26"/>
      <c r="J995" s="155"/>
    </row>
    <row r="996" ht="22.5" customHeight="1">
      <c r="A996" s="24"/>
      <c r="B996" s="25"/>
      <c r="C996" s="25"/>
      <c r="D996" s="25"/>
      <c r="E996" s="138"/>
      <c r="F996" s="25"/>
      <c r="G996" s="138"/>
      <c r="H996" s="26"/>
      <c r="J996" s="155"/>
    </row>
    <row r="997" ht="22.5" customHeight="1">
      <c r="A997" s="24"/>
      <c r="B997" s="25"/>
      <c r="C997" s="25"/>
      <c r="D997" s="25"/>
      <c r="E997" s="138"/>
      <c r="F997" s="25"/>
      <c r="G997" s="138"/>
      <c r="H997" s="26"/>
      <c r="J997" s="155"/>
    </row>
    <row r="998" ht="22.5" customHeight="1">
      <c r="A998" s="24"/>
      <c r="B998" s="25"/>
      <c r="C998" s="25"/>
      <c r="D998" s="25"/>
      <c r="E998" s="138"/>
      <c r="F998" s="25"/>
      <c r="G998" s="138"/>
      <c r="H998" s="26"/>
      <c r="J998" s="155"/>
    </row>
    <row r="999" ht="22.5" customHeight="1">
      <c r="A999" s="24"/>
      <c r="B999" s="25"/>
      <c r="C999" s="25"/>
      <c r="D999" s="25"/>
      <c r="E999" s="138"/>
      <c r="F999" s="25"/>
      <c r="G999" s="138"/>
      <c r="H999" s="26"/>
      <c r="J999" s="155"/>
    </row>
    <row r="1000" ht="22.5" customHeight="1">
      <c r="A1000" s="24"/>
      <c r="B1000" s="25"/>
      <c r="C1000" s="25"/>
      <c r="D1000" s="25"/>
      <c r="E1000" s="138"/>
      <c r="F1000" s="25"/>
      <c r="G1000" s="138"/>
      <c r="H1000" s="26"/>
      <c r="J1000" s="155"/>
    </row>
    <row r="1001" ht="22.5" customHeight="1">
      <c r="A1001" s="24"/>
      <c r="B1001" s="25"/>
      <c r="C1001" s="25"/>
      <c r="D1001" s="25"/>
      <c r="E1001" s="138"/>
      <c r="F1001" s="25"/>
      <c r="G1001" s="138"/>
      <c r="H1001" s="26"/>
      <c r="J1001" s="155"/>
    </row>
    <row r="1002" ht="22.5" customHeight="1">
      <c r="A1002" s="24"/>
      <c r="B1002" s="25"/>
      <c r="C1002" s="25"/>
      <c r="D1002" s="25"/>
      <c r="E1002" s="138"/>
      <c r="F1002" s="25"/>
      <c r="G1002" s="138"/>
      <c r="H1002" s="26"/>
      <c r="J1002" s="155"/>
    </row>
    <row r="1003" ht="22.5" customHeight="1">
      <c r="A1003" s="24"/>
      <c r="B1003" s="25"/>
      <c r="C1003" s="25"/>
      <c r="D1003" s="25"/>
      <c r="E1003" s="138"/>
      <c r="F1003" s="25"/>
      <c r="G1003" s="138"/>
      <c r="H1003" s="26"/>
      <c r="J1003" s="155"/>
    </row>
    <row r="1004" ht="22.5" customHeight="1">
      <c r="A1004" s="24"/>
      <c r="B1004" s="25"/>
      <c r="C1004" s="25"/>
      <c r="D1004" s="25"/>
      <c r="E1004" s="138"/>
      <c r="F1004" s="25"/>
      <c r="G1004" s="138"/>
      <c r="H1004" s="26"/>
      <c r="J1004" s="155"/>
    </row>
    <row r="1005" ht="22.5" customHeight="1">
      <c r="A1005" s="24"/>
      <c r="B1005" s="25"/>
      <c r="C1005" s="25"/>
      <c r="D1005" s="25"/>
      <c r="E1005" s="138"/>
      <c r="F1005" s="25"/>
      <c r="G1005" s="138"/>
      <c r="H1005" s="26"/>
      <c r="J1005" s="155"/>
    </row>
    <row r="1006" ht="22.5" customHeight="1">
      <c r="A1006" s="24"/>
      <c r="B1006" s="25"/>
      <c r="C1006" s="25"/>
      <c r="D1006" s="25"/>
      <c r="E1006" s="138"/>
      <c r="F1006" s="25"/>
      <c r="G1006" s="138"/>
      <c r="H1006" s="26"/>
      <c r="J1006" s="155"/>
    </row>
    <row r="1007" ht="22.5" customHeight="1">
      <c r="A1007" s="24"/>
      <c r="B1007" s="25"/>
      <c r="C1007" s="25"/>
      <c r="D1007" s="25"/>
      <c r="E1007" s="138"/>
      <c r="F1007" s="25"/>
      <c r="G1007" s="138"/>
      <c r="H1007" s="26"/>
      <c r="J1007" s="155"/>
    </row>
    <row r="1008" ht="22.5" customHeight="1">
      <c r="A1008" s="24"/>
      <c r="B1008" s="25"/>
      <c r="C1008" s="25"/>
      <c r="D1008" s="25"/>
      <c r="E1008" s="138"/>
      <c r="F1008" s="25"/>
      <c r="G1008" s="138"/>
      <c r="H1008" s="26"/>
      <c r="J1008" s="155"/>
    </row>
    <row r="1009" ht="22.5" customHeight="1">
      <c r="A1009" s="24"/>
      <c r="B1009" s="25"/>
      <c r="C1009" s="25"/>
      <c r="D1009" s="25"/>
      <c r="E1009" s="138"/>
      <c r="F1009" s="25"/>
      <c r="G1009" s="138"/>
      <c r="H1009" s="26"/>
      <c r="J1009" s="155"/>
    </row>
    <row r="1010" ht="22.5" customHeight="1">
      <c r="A1010" s="24"/>
      <c r="B1010" s="25"/>
      <c r="C1010" s="25"/>
      <c r="D1010" s="25"/>
      <c r="E1010" s="138"/>
      <c r="F1010" s="25"/>
      <c r="G1010" s="138"/>
      <c r="H1010" s="26"/>
      <c r="J1010" s="155"/>
    </row>
    <row r="1011" ht="22.5" customHeight="1">
      <c r="A1011" s="24"/>
      <c r="B1011" s="25"/>
      <c r="C1011" s="25"/>
      <c r="D1011" s="25"/>
      <c r="E1011" s="138"/>
      <c r="F1011" s="25"/>
      <c r="G1011" s="138"/>
      <c r="H1011" s="26"/>
      <c r="J1011" s="155"/>
    </row>
    <row r="1012" ht="22.5" customHeight="1">
      <c r="A1012" s="24"/>
      <c r="B1012" s="25"/>
      <c r="C1012" s="25"/>
      <c r="D1012" s="25"/>
      <c r="E1012" s="138"/>
      <c r="F1012" s="25"/>
      <c r="G1012" s="138"/>
      <c r="H1012" s="26"/>
      <c r="J1012" s="155"/>
    </row>
    <row r="1013" ht="22.5" customHeight="1">
      <c r="A1013" s="24"/>
      <c r="B1013" s="25"/>
      <c r="C1013" s="25"/>
      <c r="D1013" s="25"/>
      <c r="E1013" s="138"/>
      <c r="F1013" s="25"/>
      <c r="G1013" s="138"/>
      <c r="H1013" s="26"/>
      <c r="J1013" s="155"/>
    </row>
    <row r="1014" ht="22.5" customHeight="1">
      <c r="A1014" s="24"/>
      <c r="B1014" s="25"/>
      <c r="C1014" s="25"/>
      <c r="D1014" s="25"/>
      <c r="E1014" s="138"/>
      <c r="F1014" s="25"/>
      <c r="G1014" s="138"/>
      <c r="H1014" s="26"/>
      <c r="J1014" s="155"/>
    </row>
    <row r="1015" ht="22.5" customHeight="1">
      <c r="A1015" s="24"/>
      <c r="B1015" s="25"/>
      <c r="C1015" s="25"/>
      <c r="D1015" s="25"/>
      <c r="E1015" s="138"/>
      <c r="F1015" s="25"/>
      <c r="G1015" s="138"/>
      <c r="H1015" s="26"/>
      <c r="J1015" s="155"/>
    </row>
    <row r="1016" ht="22.5" customHeight="1">
      <c r="A1016" s="24"/>
      <c r="B1016" s="25"/>
      <c r="C1016" s="25"/>
      <c r="D1016" s="25"/>
      <c r="E1016" s="138"/>
      <c r="F1016" s="25"/>
      <c r="G1016" s="138"/>
      <c r="H1016" s="26"/>
      <c r="J1016" s="155"/>
    </row>
    <row r="1017" ht="22.5" customHeight="1">
      <c r="A1017" s="24"/>
      <c r="B1017" s="25"/>
      <c r="C1017" s="25"/>
      <c r="D1017" s="25"/>
      <c r="E1017" s="138"/>
      <c r="F1017" s="25"/>
      <c r="G1017" s="138"/>
      <c r="H1017" s="26"/>
      <c r="J1017" s="155"/>
    </row>
    <row r="1018" ht="22.5" customHeight="1">
      <c r="A1018" s="24"/>
      <c r="B1018" s="25"/>
      <c r="C1018" s="25"/>
      <c r="D1018" s="25"/>
      <c r="E1018" s="138"/>
      <c r="F1018" s="25"/>
      <c r="G1018" s="138"/>
      <c r="H1018" s="26"/>
      <c r="J1018" s="155"/>
    </row>
    <row r="1019" ht="22.5" customHeight="1">
      <c r="A1019" s="24"/>
      <c r="B1019" s="25"/>
      <c r="C1019" s="25"/>
      <c r="D1019" s="25"/>
      <c r="E1019" s="138"/>
      <c r="F1019" s="25"/>
      <c r="G1019" s="138"/>
      <c r="H1019" s="26"/>
      <c r="J1019" s="155"/>
    </row>
    <row r="1020" ht="22.5" customHeight="1">
      <c r="A1020" s="24"/>
      <c r="B1020" s="25"/>
      <c r="C1020" s="25"/>
      <c r="D1020" s="25"/>
      <c r="E1020" s="138"/>
      <c r="F1020" s="25"/>
      <c r="G1020" s="138"/>
      <c r="H1020" s="26"/>
      <c r="J1020" s="155"/>
    </row>
    <row r="1021" ht="22.5" customHeight="1">
      <c r="A1021" s="24"/>
      <c r="B1021" s="25"/>
      <c r="C1021" s="25"/>
      <c r="D1021" s="25"/>
      <c r="E1021" s="138"/>
      <c r="F1021" s="25"/>
      <c r="G1021" s="138"/>
      <c r="H1021" s="26"/>
      <c r="J1021" s="155"/>
    </row>
    <row r="1022" ht="22.5" customHeight="1">
      <c r="A1022" s="24"/>
      <c r="B1022" s="25"/>
      <c r="C1022" s="25"/>
      <c r="D1022" s="25"/>
      <c r="E1022" s="138"/>
      <c r="F1022" s="25"/>
      <c r="G1022" s="138"/>
      <c r="H1022" s="26"/>
      <c r="J1022" s="155"/>
    </row>
    <row r="1023" ht="22.5" customHeight="1">
      <c r="A1023" s="24"/>
      <c r="B1023" s="25"/>
      <c r="C1023" s="25"/>
      <c r="D1023" s="25"/>
      <c r="E1023" s="138"/>
      <c r="F1023" s="25"/>
      <c r="G1023" s="138"/>
      <c r="H1023" s="26"/>
      <c r="J1023" s="155"/>
    </row>
    <row r="1024" ht="22.5" customHeight="1">
      <c r="A1024" s="24"/>
      <c r="B1024" s="25"/>
      <c r="C1024" s="25"/>
      <c r="D1024" s="25"/>
      <c r="E1024" s="138"/>
      <c r="F1024" s="25"/>
      <c r="G1024" s="138"/>
      <c r="H1024" s="26"/>
      <c r="J1024" s="155"/>
    </row>
    <row r="1025" ht="22.5" customHeight="1">
      <c r="A1025" s="24"/>
      <c r="B1025" s="25"/>
      <c r="C1025" s="25"/>
      <c r="D1025" s="25"/>
      <c r="E1025" s="138"/>
      <c r="F1025" s="25"/>
      <c r="G1025" s="138"/>
      <c r="H1025" s="26"/>
      <c r="J1025" s="155"/>
    </row>
    <row r="1026" ht="22.5" customHeight="1">
      <c r="A1026" s="24"/>
      <c r="B1026" s="25"/>
      <c r="C1026" s="25"/>
      <c r="D1026" s="25"/>
      <c r="E1026" s="138"/>
      <c r="F1026" s="25"/>
      <c r="G1026" s="138"/>
      <c r="H1026" s="26"/>
      <c r="J1026" s="155"/>
    </row>
    <row r="1027" ht="22.5" customHeight="1">
      <c r="A1027" s="24"/>
      <c r="B1027" s="25"/>
      <c r="C1027" s="25"/>
      <c r="D1027" s="25"/>
      <c r="E1027" s="138"/>
      <c r="F1027" s="25"/>
      <c r="G1027" s="138"/>
      <c r="H1027" s="26"/>
      <c r="J1027" s="155"/>
    </row>
    <row r="1028" ht="22.5" customHeight="1">
      <c r="A1028" s="24"/>
      <c r="B1028" s="25"/>
      <c r="C1028" s="25"/>
      <c r="D1028" s="25"/>
      <c r="E1028" s="138"/>
      <c r="F1028" s="25"/>
      <c r="G1028" s="138"/>
      <c r="H1028" s="26"/>
      <c r="J1028" s="155"/>
    </row>
    <row r="1029" ht="22.5" customHeight="1">
      <c r="A1029" s="24"/>
      <c r="B1029" s="25"/>
      <c r="C1029" s="25"/>
      <c r="D1029" s="25"/>
      <c r="E1029" s="138"/>
      <c r="F1029" s="25"/>
      <c r="G1029" s="138"/>
      <c r="H1029" s="26"/>
      <c r="J1029" s="155"/>
    </row>
    <row r="1030" ht="22.5" customHeight="1">
      <c r="A1030" s="24"/>
      <c r="B1030" s="25"/>
      <c r="C1030" s="25"/>
      <c r="D1030" s="25"/>
      <c r="E1030" s="138"/>
      <c r="F1030" s="25"/>
      <c r="G1030" s="138"/>
      <c r="H1030" s="26"/>
      <c r="J1030" s="155"/>
    </row>
    <row r="1031" ht="22.5" customHeight="1">
      <c r="A1031" s="24"/>
      <c r="B1031" s="25"/>
      <c r="C1031" s="25"/>
      <c r="D1031" s="25"/>
      <c r="E1031" s="138"/>
      <c r="F1031" s="25"/>
      <c r="G1031" s="138"/>
      <c r="H1031" s="26"/>
      <c r="J1031" s="155"/>
    </row>
    <row r="1032" ht="22.5" customHeight="1">
      <c r="A1032" s="24"/>
      <c r="B1032" s="25"/>
      <c r="C1032" s="25"/>
      <c r="D1032" s="25"/>
      <c r="E1032" s="138"/>
      <c r="F1032" s="25"/>
      <c r="G1032" s="138"/>
      <c r="H1032" s="26"/>
      <c r="J1032" s="155"/>
    </row>
    <row r="1033" ht="22.5" customHeight="1">
      <c r="A1033" s="24"/>
      <c r="B1033" s="25"/>
      <c r="C1033" s="25"/>
      <c r="D1033" s="25"/>
      <c r="E1033" s="138"/>
      <c r="F1033" s="25"/>
      <c r="G1033" s="138"/>
      <c r="H1033" s="26"/>
      <c r="J1033" s="155"/>
    </row>
    <row r="1034" ht="22.5" customHeight="1">
      <c r="A1034" s="24"/>
      <c r="B1034" s="25"/>
      <c r="C1034" s="25"/>
      <c r="D1034" s="25"/>
      <c r="E1034" s="138"/>
      <c r="F1034" s="25"/>
      <c r="G1034" s="138"/>
      <c r="H1034" s="26"/>
      <c r="J1034" s="155"/>
    </row>
    <row r="1035" ht="22.5" customHeight="1">
      <c r="A1035" s="24"/>
      <c r="B1035" s="25"/>
      <c r="C1035" s="25"/>
      <c r="D1035" s="25"/>
      <c r="E1035" s="138"/>
      <c r="F1035" s="25"/>
      <c r="G1035" s="138"/>
      <c r="H1035" s="26"/>
      <c r="J1035" s="155"/>
    </row>
    <row r="1036" ht="22.5" customHeight="1">
      <c r="A1036" s="24"/>
      <c r="B1036" s="25"/>
      <c r="C1036" s="25"/>
      <c r="D1036" s="25"/>
      <c r="E1036" s="138"/>
      <c r="F1036" s="25"/>
      <c r="G1036" s="138"/>
      <c r="H1036" s="26"/>
      <c r="J1036" s="155"/>
    </row>
    <row r="1037" ht="22.5" customHeight="1">
      <c r="A1037" s="24"/>
      <c r="B1037" s="25"/>
      <c r="C1037" s="25"/>
      <c r="D1037" s="25"/>
      <c r="E1037" s="138"/>
      <c r="F1037" s="25"/>
      <c r="G1037" s="138"/>
      <c r="H1037" s="26"/>
      <c r="J1037" s="155"/>
    </row>
    <row r="1038" ht="22.5" customHeight="1">
      <c r="A1038" s="24"/>
      <c r="B1038" s="25"/>
      <c r="C1038" s="25"/>
      <c r="D1038" s="25"/>
      <c r="E1038" s="138"/>
      <c r="F1038" s="25"/>
      <c r="G1038" s="138"/>
      <c r="H1038" s="26"/>
      <c r="J1038" s="155"/>
    </row>
    <row r="1039" ht="22.5" customHeight="1">
      <c r="A1039" s="24"/>
      <c r="B1039" s="25"/>
      <c r="C1039" s="25"/>
      <c r="D1039" s="25"/>
      <c r="E1039" s="138"/>
      <c r="F1039" s="25"/>
      <c r="G1039" s="138"/>
      <c r="H1039" s="26"/>
      <c r="J1039" s="155"/>
    </row>
    <row r="1040" ht="22.5" customHeight="1">
      <c r="A1040" s="24"/>
      <c r="B1040" s="25"/>
      <c r="C1040" s="25"/>
      <c r="D1040" s="25"/>
      <c r="E1040" s="138"/>
      <c r="F1040" s="25"/>
      <c r="G1040" s="138"/>
      <c r="H1040" s="26"/>
      <c r="J1040" s="155"/>
    </row>
    <row r="1041" ht="22.5" customHeight="1">
      <c r="A1041" s="24"/>
      <c r="B1041" s="25"/>
      <c r="C1041" s="25"/>
      <c r="D1041" s="25"/>
      <c r="E1041" s="138"/>
      <c r="F1041" s="25"/>
      <c r="G1041" s="138"/>
      <c r="H1041" s="26"/>
      <c r="J1041" s="155"/>
    </row>
    <row r="1042" ht="22.5" customHeight="1">
      <c r="A1042" s="24"/>
      <c r="B1042" s="25"/>
      <c r="C1042" s="25"/>
      <c r="D1042" s="25"/>
      <c r="E1042" s="138"/>
      <c r="F1042" s="25"/>
      <c r="G1042" s="138"/>
      <c r="H1042" s="26"/>
      <c r="J1042" s="155"/>
    </row>
    <row r="1043" ht="22.5" customHeight="1">
      <c r="A1043" s="24"/>
      <c r="B1043" s="25"/>
      <c r="C1043" s="25"/>
      <c r="D1043" s="25"/>
      <c r="E1043" s="138"/>
      <c r="F1043" s="25"/>
      <c r="G1043" s="138"/>
      <c r="H1043" s="26"/>
      <c r="J1043" s="155"/>
    </row>
    <row r="1044" ht="22.5" customHeight="1">
      <c r="A1044" s="24"/>
      <c r="B1044" s="25"/>
      <c r="C1044" s="25"/>
      <c r="D1044" s="25"/>
      <c r="E1044" s="138"/>
      <c r="F1044" s="25"/>
      <c r="G1044" s="138"/>
      <c r="H1044" s="26"/>
      <c r="J1044" s="155"/>
    </row>
    <row r="1045" ht="22.5" customHeight="1">
      <c r="A1045" s="24"/>
      <c r="B1045" s="25"/>
      <c r="C1045" s="25"/>
      <c r="D1045" s="25"/>
      <c r="E1045" s="138"/>
      <c r="F1045" s="25"/>
      <c r="G1045" s="138"/>
      <c r="H1045" s="26"/>
      <c r="J1045" s="155"/>
    </row>
    <row r="1046" ht="22.5" customHeight="1">
      <c r="A1046" s="24"/>
      <c r="B1046" s="25"/>
      <c r="C1046" s="25"/>
      <c r="D1046" s="25"/>
      <c r="E1046" s="138"/>
      <c r="F1046" s="25"/>
      <c r="G1046" s="138"/>
      <c r="H1046" s="26"/>
      <c r="J1046" s="155"/>
    </row>
    <row r="1047" ht="22.5" customHeight="1">
      <c r="A1047" s="24"/>
      <c r="B1047" s="25"/>
      <c r="C1047" s="25"/>
      <c r="D1047" s="25"/>
      <c r="E1047" s="138"/>
      <c r="F1047" s="25"/>
      <c r="G1047" s="138"/>
      <c r="H1047" s="26"/>
      <c r="J1047" s="155"/>
    </row>
    <row r="1048" ht="22.5" customHeight="1">
      <c r="A1048" s="24"/>
      <c r="B1048" s="25"/>
      <c r="C1048" s="25"/>
      <c r="D1048" s="25"/>
      <c r="E1048" s="138"/>
      <c r="F1048" s="25"/>
      <c r="G1048" s="138"/>
      <c r="H1048" s="26"/>
      <c r="J1048" s="155"/>
    </row>
    <row r="1049" ht="22.5" customHeight="1">
      <c r="A1049" s="24"/>
      <c r="B1049" s="25"/>
      <c r="C1049" s="25"/>
      <c r="D1049" s="25"/>
      <c r="E1049" s="138"/>
      <c r="F1049" s="25"/>
      <c r="G1049" s="138"/>
      <c r="H1049" s="26"/>
      <c r="J1049" s="155"/>
    </row>
    <row r="1050" ht="22.5" customHeight="1">
      <c r="A1050" s="24"/>
      <c r="B1050" s="25"/>
      <c r="C1050" s="25"/>
      <c r="D1050" s="25"/>
      <c r="E1050" s="138"/>
      <c r="F1050" s="25"/>
      <c r="G1050" s="138"/>
      <c r="H1050" s="26"/>
      <c r="J1050" s="155"/>
    </row>
    <row r="1051" ht="22.5" customHeight="1">
      <c r="A1051" s="24"/>
      <c r="B1051" s="25"/>
      <c r="C1051" s="25"/>
      <c r="D1051" s="25"/>
      <c r="E1051" s="138"/>
      <c r="F1051" s="25"/>
      <c r="G1051" s="138"/>
      <c r="H1051" s="26"/>
      <c r="J1051" s="155"/>
    </row>
    <row r="1052" ht="22.5" customHeight="1">
      <c r="A1052" s="24"/>
      <c r="B1052" s="25"/>
      <c r="C1052" s="25"/>
      <c r="D1052" s="25"/>
      <c r="E1052" s="138"/>
      <c r="F1052" s="25"/>
      <c r="G1052" s="138"/>
      <c r="H1052" s="26"/>
      <c r="J1052" s="155"/>
    </row>
    <row r="1053" ht="22.5" customHeight="1">
      <c r="A1053" s="24"/>
      <c r="B1053" s="25"/>
      <c r="C1053" s="25"/>
      <c r="D1053" s="25"/>
      <c r="E1053" s="138"/>
      <c r="F1053" s="25"/>
      <c r="G1053" s="138"/>
      <c r="H1053" s="26"/>
      <c r="J1053" s="155"/>
    </row>
    <row r="1054" ht="22.5" customHeight="1">
      <c r="A1054" s="24"/>
      <c r="B1054" s="25"/>
      <c r="C1054" s="25"/>
      <c r="D1054" s="25"/>
      <c r="E1054" s="138"/>
      <c r="F1054" s="25"/>
      <c r="G1054" s="138"/>
      <c r="H1054" s="26"/>
      <c r="J1054" s="155"/>
    </row>
    <row r="1055" ht="22.5" customHeight="1">
      <c r="A1055" s="24"/>
      <c r="B1055" s="25"/>
      <c r="C1055" s="25"/>
      <c r="D1055" s="25"/>
      <c r="E1055" s="138"/>
      <c r="F1055" s="25"/>
      <c r="G1055" s="138"/>
      <c r="H1055" s="26"/>
      <c r="J1055" s="155"/>
    </row>
    <row r="1056" ht="22.5" customHeight="1">
      <c r="A1056" s="24"/>
      <c r="B1056" s="25"/>
      <c r="C1056" s="25"/>
      <c r="D1056" s="25"/>
      <c r="E1056" s="138"/>
      <c r="F1056" s="25"/>
      <c r="G1056" s="138"/>
      <c r="H1056" s="26"/>
      <c r="J1056" s="155"/>
    </row>
    <row r="1057" ht="22.5" customHeight="1">
      <c r="A1057" s="24"/>
      <c r="B1057" s="25"/>
      <c r="C1057" s="25"/>
      <c r="D1057" s="25"/>
      <c r="E1057" s="138"/>
      <c r="F1057" s="25"/>
      <c r="G1057" s="138"/>
      <c r="H1057" s="26"/>
      <c r="J1057" s="155"/>
    </row>
    <row r="1058" ht="22.5" customHeight="1">
      <c r="A1058" s="24"/>
      <c r="B1058" s="25"/>
      <c r="C1058" s="25"/>
      <c r="D1058" s="25"/>
      <c r="E1058" s="138"/>
      <c r="F1058" s="25"/>
      <c r="G1058" s="138"/>
      <c r="H1058" s="26"/>
      <c r="J1058" s="155"/>
    </row>
    <row r="1059" ht="22.5" customHeight="1">
      <c r="A1059" s="24"/>
      <c r="B1059" s="25"/>
      <c r="C1059" s="25"/>
      <c r="D1059" s="25"/>
      <c r="E1059" s="138"/>
      <c r="F1059" s="25"/>
      <c r="G1059" s="138"/>
      <c r="H1059" s="26"/>
      <c r="J1059" s="155"/>
    </row>
    <row r="1060" ht="22.5" customHeight="1">
      <c r="A1060" s="24"/>
      <c r="B1060" s="25"/>
      <c r="C1060" s="25"/>
      <c r="D1060" s="25"/>
      <c r="E1060" s="138"/>
      <c r="F1060" s="25"/>
      <c r="G1060" s="138"/>
      <c r="H1060" s="26"/>
      <c r="J1060" s="155"/>
    </row>
    <row r="1061" ht="22.5" customHeight="1">
      <c r="A1061" s="24"/>
      <c r="B1061" s="25"/>
      <c r="C1061" s="25"/>
      <c r="D1061" s="25"/>
      <c r="E1061" s="138"/>
      <c r="F1061" s="25"/>
      <c r="G1061" s="138"/>
      <c r="H1061" s="26"/>
      <c r="J1061" s="155"/>
    </row>
    <row r="1062" ht="22.5" customHeight="1">
      <c r="A1062" s="24"/>
      <c r="B1062" s="25"/>
      <c r="C1062" s="25"/>
      <c r="D1062" s="25"/>
      <c r="E1062" s="138"/>
      <c r="F1062" s="25"/>
      <c r="G1062" s="138"/>
      <c r="H1062" s="26"/>
      <c r="J1062" s="155"/>
    </row>
    <row r="1063" ht="22.5" customHeight="1">
      <c r="A1063" s="24"/>
      <c r="B1063" s="25"/>
      <c r="C1063" s="25"/>
      <c r="D1063" s="25"/>
      <c r="E1063" s="138"/>
      <c r="F1063" s="25"/>
      <c r="G1063" s="138"/>
      <c r="H1063" s="26"/>
      <c r="J1063" s="155"/>
    </row>
    <row r="1064" ht="22.5" customHeight="1">
      <c r="A1064" s="24"/>
      <c r="B1064" s="25"/>
      <c r="C1064" s="25"/>
      <c r="D1064" s="25"/>
      <c r="E1064" s="138"/>
      <c r="F1064" s="25"/>
      <c r="G1064" s="138"/>
      <c r="H1064" s="26"/>
      <c r="J1064" s="155"/>
    </row>
    <row r="1065" ht="22.5" customHeight="1">
      <c r="A1065" s="24"/>
      <c r="B1065" s="25"/>
      <c r="C1065" s="25"/>
      <c r="D1065" s="25"/>
      <c r="E1065" s="138"/>
      <c r="F1065" s="25"/>
      <c r="G1065" s="138"/>
      <c r="H1065" s="26"/>
      <c r="J1065" s="155"/>
    </row>
    <row r="1066" ht="22.5" customHeight="1">
      <c r="A1066" s="24"/>
      <c r="B1066" s="25"/>
      <c r="C1066" s="25"/>
      <c r="D1066" s="25"/>
      <c r="E1066" s="138"/>
      <c r="F1066" s="25"/>
      <c r="G1066" s="138"/>
      <c r="H1066" s="26"/>
      <c r="J1066" s="155"/>
    </row>
    <row r="1067" ht="22.5" customHeight="1">
      <c r="A1067" s="24"/>
      <c r="B1067" s="25"/>
      <c r="C1067" s="25"/>
      <c r="D1067" s="25"/>
      <c r="E1067" s="138"/>
      <c r="F1067" s="25"/>
      <c r="G1067" s="138"/>
      <c r="H1067" s="26"/>
      <c r="J1067" s="155"/>
    </row>
    <row r="1068" ht="22.5" customHeight="1">
      <c r="A1068" s="24"/>
      <c r="B1068" s="25"/>
      <c r="C1068" s="25"/>
      <c r="D1068" s="25"/>
      <c r="E1068" s="138"/>
      <c r="F1068" s="25"/>
      <c r="G1068" s="138"/>
      <c r="H1068" s="26"/>
      <c r="J1068" s="155"/>
    </row>
    <row r="1069" ht="22.5" customHeight="1">
      <c r="A1069" s="24"/>
      <c r="B1069" s="25"/>
      <c r="C1069" s="25"/>
      <c r="D1069" s="25"/>
      <c r="E1069" s="138"/>
      <c r="F1069" s="25"/>
      <c r="G1069" s="138"/>
      <c r="H1069" s="26"/>
      <c r="J1069" s="155"/>
    </row>
    <row r="1070" ht="22.5" customHeight="1">
      <c r="A1070" s="24"/>
      <c r="B1070" s="25"/>
      <c r="C1070" s="25"/>
      <c r="D1070" s="25"/>
      <c r="E1070" s="138"/>
      <c r="F1070" s="25"/>
      <c r="G1070" s="138"/>
      <c r="H1070" s="26"/>
      <c r="J1070" s="155"/>
    </row>
    <row r="1071" ht="22.5" customHeight="1">
      <c r="A1071" s="24"/>
      <c r="B1071" s="25"/>
      <c r="C1071" s="25"/>
      <c r="D1071" s="25"/>
      <c r="E1071" s="138"/>
      <c r="F1071" s="25"/>
      <c r="G1071" s="138"/>
      <c r="H1071" s="26"/>
      <c r="J1071" s="155"/>
    </row>
    <row r="1072" ht="22.5" customHeight="1">
      <c r="A1072" s="24"/>
      <c r="B1072" s="25"/>
      <c r="C1072" s="25"/>
      <c r="D1072" s="25"/>
      <c r="E1072" s="138"/>
      <c r="F1072" s="25"/>
      <c r="G1072" s="138"/>
      <c r="H1072" s="26"/>
      <c r="J1072" s="155"/>
    </row>
    <row r="1073" ht="22.5" customHeight="1">
      <c r="A1073" s="24"/>
      <c r="B1073" s="25"/>
      <c r="C1073" s="25"/>
      <c r="D1073" s="25"/>
      <c r="E1073" s="138"/>
      <c r="F1073" s="25"/>
      <c r="G1073" s="138"/>
      <c r="H1073" s="26"/>
      <c r="J1073" s="155"/>
    </row>
    <row r="1074" ht="22.5" customHeight="1">
      <c r="A1074" s="24"/>
      <c r="B1074" s="25"/>
      <c r="C1074" s="25"/>
      <c r="D1074" s="25"/>
      <c r="E1074" s="138"/>
      <c r="F1074" s="25"/>
      <c r="G1074" s="138"/>
      <c r="H1074" s="26"/>
      <c r="J1074" s="155"/>
    </row>
    <row r="1075" ht="22.5" customHeight="1">
      <c r="A1075" s="24"/>
      <c r="B1075" s="25"/>
      <c r="C1075" s="25"/>
      <c r="D1075" s="25"/>
      <c r="E1075" s="138"/>
      <c r="F1075" s="25"/>
      <c r="G1075" s="138"/>
      <c r="H1075" s="26"/>
      <c r="J1075" s="155"/>
    </row>
    <row r="1076" ht="22.5" customHeight="1">
      <c r="A1076" s="24"/>
      <c r="B1076" s="25"/>
      <c r="C1076" s="25"/>
      <c r="D1076" s="25"/>
      <c r="E1076" s="138"/>
      <c r="F1076" s="25"/>
      <c r="G1076" s="138"/>
      <c r="H1076" s="26"/>
      <c r="J1076" s="155"/>
    </row>
    <row r="1077" ht="22.5" customHeight="1">
      <c r="A1077" s="24"/>
      <c r="B1077" s="25"/>
      <c r="C1077" s="25"/>
      <c r="D1077" s="25"/>
      <c r="E1077" s="138"/>
      <c r="F1077" s="25"/>
      <c r="G1077" s="138"/>
      <c r="H1077" s="26"/>
      <c r="J1077" s="155"/>
    </row>
    <row r="1078" ht="22.5" customHeight="1">
      <c r="A1078" s="24"/>
      <c r="B1078" s="25"/>
      <c r="C1078" s="25"/>
      <c r="D1078" s="25"/>
      <c r="E1078" s="138"/>
      <c r="F1078" s="25"/>
      <c r="G1078" s="138"/>
      <c r="H1078" s="26"/>
      <c r="J1078" s="155"/>
    </row>
    <row r="1079" ht="22.5" customHeight="1">
      <c r="A1079" s="24"/>
      <c r="B1079" s="25"/>
      <c r="C1079" s="25"/>
      <c r="D1079" s="25"/>
      <c r="E1079" s="138"/>
      <c r="F1079" s="25"/>
      <c r="G1079" s="138"/>
      <c r="H1079" s="26"/>
      <c r="J1079" s="155"/>
    </row>
  </sheetData>
  <dataValidations>
    <dataValidation type="custom" allowBlank="1" showDropDown="1" sqref="A2:A1079">
      <formula1>OR(NOT(ISERROR(DATEVALUE(A2))), AND(ISNUMBER(A2), LEFT(CELL("format", A2))="D"))</formula1>
    </dataValidation>
    <dataValidation allowBlank="1" showDropDown="1" sqref="H2:H1079"/>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5"/>
    <hyperlink r:id="rId23" ref="G26"/>
    <hyperlink r:id="rId24" ref="G27"/>
    <hyperlink r:id="rId25" ref="G28"/>
    <hyperlink r:id="rId26" ref="G29"/>
    <hyperlink r:id="rId27" ref="G30"/>
    <hyperlink r:id="rId28" ref="G33"/>
    <hyperlink r:id="rId29" ref="G34"/>
    <hyperlink r:id="rId30" ref="G35"/>
    <hyperlink r:id="rId31" ref="G36"/>
    <hyperlink r:id="rId32" ref="G37"/>
    <hyperlink r:id="rId33" ref="G38"/>
    <hyperlink r:id="rId34" ref="G39"/>
    <hyperlink r:id="rId35" ref="G40"/>
    <hyperlink r:id="rId36" ref="G41"/>
    <hyperlink r:id="rId37" ref="G42"/>
    <hyperlink r:id="rId38" ref="G43"/>
    <hyperlink r:id="rId39" ref="G44"/>
    <hyperlink r:id="rId40" ref="G45"/>
    <hyperlink r:id="rId41" ref="G46"/>
    <hyperlink r:id="rId42" ref="G47"/>
    <hyperlink r:id="rId43" ref="G48"/>
    <hyperlink r:id="rId44" ref="G49"/>
    <hyperlink r:id="rId45" ref="G50"/>
    <hyperlink r:id="rId46" ref="G51"/>
    <hyperlink r:id="rId47" ref="G52"/>
    <hyperlink r:id="rId48" ref="G54"/>
    <hyperlink r:id="rId49" ref="G55"/>
    <hyperlink r:id="rId50" ref="G56"/>
    <hyperlink r:id="rId51" ref="G57"/>
    <hyperlink r:id="rId52" ref="G58"/>
    <hyperlink r:id="rId53" ref="G59"/>
    <hyperlink r:id="rId54" ref="G60"/>
    <hyperlink r:id="rId55" ref="G61"/>
    <hyperlink r:id="rId56" ref="G62"/>
    <hyperlink r:id="rId57" ref="G68"/>
    <hyperlink r:id="rId58" ref="G70"/>
    <hyperlink r:id="rId59" ref="G71"/>
    <hyperlink r:id="rId60" ref="G72"/>
    <hyperlink r:id="rId61" ref="G73"/>
    <hyperlink r:id="rId62" ref="G74"/>
    <hyperlink r:id="rId63" ref="G75"/>
    <hyperlink r:id="rId64" ref="G76"/>
    <hyperlink r:id="rId65" ref="G77"/>
    <hyperlink r:id="rId66" ref="G78"/>
    <hyperlink r:id="rId67" ref="G79"/>
    <hyperlink r:id="rId68" ref="G80"/>
    <hyperlink r:id="rId69" ref="G81"/>
    <hyperlink r:id="rId70" ref="G83"/>
    <hyperlink r:id="rId71" ref="G84"/>
    <hyperlink r:id="rId72" ref="G85"/>
    <hyperlink r:id="rId73" ref="G86"/>
    <hyperlink r:id="rId74" ref="G87"/>
    <hyperlink r:id="rId75" ref="G88"/>
    <hyperlink r:id="rId76" ref="G89"/>
    <hyperlink r:id="rId77" ref="G90"/>
    <hyperlink r:id="rId78" ref="G91"/>
    <hyperlink r:id="rId79" ref="G92"/>
    <hyperlink r:id="rId80" ref="G93"/>
    <hyperlink r:id="rId81" ref="G94"/>
    <hyperlink r:id="rId82" ref="G95"/>
    <hyperlink r:id="rId83" ref="G96"/>
    <hyperlink r:id="rId84" ref="G97"/>
    <hyperlink r:id="rId85" ref="G98"/>
    <hyperlink r:id="rId86" ref="G99"/>
    <hyperlink r:id="rId87" ref="G100"/>
    <hyperlink r:id="rId88" ref="G101"/>
    <hyperlink r:id="rId89" ref="G102"/>
  </hyperlinks>
  <drawing r:id="rId90"/>
  <tableParts count="1">
    <tablePart r:id="rId9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3.5"/>
    <col customWidth="1" min="3" max="4" width="10.75"/>
    <col customWidth="1" min="5" max="5" width="38.0"/>
    <col customWidth="1" min="6" max="6" width="11.0"/>
    <col customWidth="1" min="7" max="7" width="39.5"/>
    <col customWidth="1" min="8" max="8" width="32.63"/>
  </cols>
  <sheetData>
    <row r="1" ht="66.0" customHeight="1">
      <c r="A1" s="3" t="s">
        <v>2</v>
      </c>
      <c r="B1" s="27" t="s">
        <v>30</v>
      </c>
      <c r="C1" s="27" t="s">
        <v>927</v>
      </c>
      <c r="D1" s="27" t="s">
        <v>928</v>
      </c>
      <c r="E1" s="27" t="s">
        <v>32</v>
      </c>
      <c r="F1" s="27" t="s">
        <v>33</v>
      </c>
      <c r="G1" s="27" t="s">
        <v>34</v>
      </c>
      <c r="H1" s="3" t="s">
        <v>8</v>
      </c>
    </row>
    <row r="2" ht="22.5" customHeight="1">
      <c r="A2" s="5">
        <v>45856.0</v>
      </c>
      <c r="B2" s="28">
        <v>8.0</v>
      </c>
      <c r="C2" s="28"/>
      <c r="D2" s="28"/>
      <c r="E2" s="68" t="s">
        <v>929</v>
      </c>
      <c r="F2" s="6" t="s">
        <v>930</v>
      </c>
      <c r="G2" s="30" t="s">
        <v>931</v>
      </c>
      <c r="H2" s="168"/>
    </row>
    <row r="3" ht="22.5" customHeight="1">
      <c r="A3" s="5">
        <v>45859.0</v>
      </c>
      <c r="B3" s="28">
        <v>8.0</v>
      </c>
      <c r="C3" s="28"/>
      <c r="D3" s="169"/>
      <c r="E3" s="68" t="s">
        <v>929</v>
      </c>
      <c r="F3" s="6" t="s">
        <v>930</v>
      </c>
      <c r="G3" s="30" t="s">
        <v>932</v>
      </c>
      <c r="H3" s="7"/>
    </row>
    <row r="4" ht="22.5" customHeight="1">
      <c r="A4" s="5">
        <v>45860.0</v>
      </c>
      <c r="B4" s="28">
        <v>8.0</v>
      </c>
      <c r="C4" s="28"/>
      <c r="D4" s="169"/>
      <c r="E4" s="68" t="s">
        <v>929</v>
      </c>
      <c r="F4" s="6" t="s">
        <v>933</v>
      </c>
      <c r="G4" s="30" t="s">
        <v>934</v>
      </c>
      <c r="H4" s="29" t="s">
        <v>935</v>
      </c>
    </row>
    <row r="5" ht="22.5" customHeight="1">
      <c r="A5" s="5">
        <v>45861.0</v>
      </c>
      <c r="B5" s="28">
        <v>8.0</v>
      </c>
      <c r="C5" s="28"/>
      <c r="D5" s="169"/>
      <c r="E5" s="68" t="s">
        <v>936</v>
      </c>
      <c r="F5" s="6" t="s">
        <v>933</v>
      </c>
      <c r="G5" s="30" t="s">
        <v>937</v>
      </c>
      <c r="H5" s="8"/>
    </row>
    <row r="6" ht="22.5" customHeight="1">
      <c r="A6" s="5">
        <v>45862.0</v>
      </c>
      <c r="B6" s="28">
        <v>8.0</v>
      </c>
      <c r="C6" s="170"/>
      <c r="D6" s="171"/>
      <c r="E6" s="172" t="s">
        <v>938</v>
      </c>
      <c r="F6" s="173"/>
      <c r="G6" s="172"/>
      <c r="H6" s="174"/>
    </row>
    <row r="7" ht="22.5" customHeight="1">
      <c r="A7" s="5">
        <v>45863.0</v>
      </c>
      <c r="B7" s="28">
        <v>8.0</v>
      </c>
      <c r="C7" s="170"/>
      <c r="D7" s="170"/>
      <c r="E7" s="172" t="s">
        <v>938</v>
      </c>
      <c r="F7" s="175"/>
      <c r="G7" s="172"/>
      <c r="H7" s="174"/>
    </row>
    <row r="8" ht="22.5" customHeight="1">
      <c r="A8" s="131">
        <v>45866.0</v>
      </c>
      <c r="B8" s="132"/>
      <c r="C8" s="176"/>
      <c r="D8" s="176"/>
      <c r="E8" s="177" t="s">
        <v>86</v>
      </c>
      <c r="F8" s="178"/>
      <c r="G8" s="179"/>
      <c r="H8" s="180" t="s">
        <v>939</v>
      </c>
    </row>
    <row r="9" ht="22.5" customHeight="1">
      <c r="A9" s="131">
        <v>45867.0</v>
      </c>
      <c r="B9" s="132"/>
      <c r="C9" s="176"/>
      <c r="D9" s="176"/>
      <c r="E9" s="177" t="s">
        <v>86</v>
      </c>
      <c r="F9" s="178"/>
      <c r="G9" s="179"/>
      <c r="H9" s="180" t="s">
        <v>939</v>
      </c>
    </row>
    <row r="10" ht="22.5" customHeight="1">
      <c r="A10" s="5">
        <v>45868.0</v>
      </c>
      <c r="B10" s="28">
        <v>8.0</v>
      </c>
      <c r="C10" s="170"/>
      <c r="D10" s="170"/>
      <c r="E10" s="181" t="s">
        <v>940</v>
      </c>
      <c r="F10" s="175"/>
      <c r="G10" s="172"/>
      <c r="H10" s="174"/>
    </row>
    <row r="11" ht="22.5" customHeight="1">
      <c r="A11" s="5">
        <v>45869.0</v>
      </c>
      <c r="B11" s="28">
        <v>8.0</v>
      </c>
      <c r="C11" s="170"/>
      <c r="D11" s="170"/>
      <c r="E11" s="181" t="s">
        <v>940</v>
      </c>
      <c r="F11" s="175"/>
      <c r="G11" s="172"/>
      <c r="H11" s="174"/>
    </row>
    <row r="12" ht="22.5" customHeight="1">
      <c r="A12" s="5">
        <v>45870.0</v>
      </c>
      <c r="B12" s="28">
        <v>11.0</v>
      </c>
      <c r="C12" s="170"/>
      <c r="D12" s="170"/>
      <c r="E12" s="181" t="s">
        <v>285</v>
      </c>
      <c r="F12" s="175"/>
      <c r="G12" s="172"/>
      <c r="H12" s="174"/>
    </row>
    <row r="13" ht="22.5" customHeight="1">
      <c r="A13" s="5">
        <v>45873.0</v>
      </c>
      <c r="B13" s="28">
        <v>8.0</v>
      </c>
      <c r="C13" s="170"/>
      <c r="D13" s="170"/>
      <c r="E13" s="181" t="s">
        <v>285</v>
      </c>
      <c r="F13" s="175"/>
      <c r="G13" s="172"/>
      <c r="H13" s="174"/>
    </row>
    <row r="14" ht="22.5" customHeight="1">
      <c r="A14" s="5">
        <v>45874.0</v>
      </c>
      <c r="B14" s="28" t="s">
        <v>941</v>
      </c>
      <c r="C14" s="170"/>
      <c r="D14" s="170"/>
      <c r="E14" s="181" t="s">
        <v>285</v>
      </c>
      <c r="F14" s="175"/>
      <c r="G14" s="172"/>
      <c r="H14" s="174"/>
    </row>
    <row r="15" ht="22.5" customHeight="1">
      <c r="A15" s="5">
        <v>45875.0</v>
      </c>
      <c r="B15" s="28" t="s">
        <v>941</v>
      </c>
      <c r="C15" s="170"/>
      <c r="D15" s="170"/>
      <c r="E15" s="181" t="s">
        <v>285</v>
      </c>
      <c r="F15" s="175"/>
      <c r="G15" s="172"/>
      <c r="H15" s="174"/>
    </row>
    <row r="16" ht="22.5" customHeight="1">
      <c r="A16" s="5">
        <v>45876.0</v>
      </c>
      <c r="B16" s="28">
        <v>12.0</v>
      </c>
      <c r="C16" s="182"/>
      <c r="D16" s="182"/>
      <c r="E16" s="181" t="s">
        <v>285</v>
      </c>
      <c r="F16" s="183"/>
      <c r="G16" s="184"/>
      <c r="H16" s="174"/>
    </row>
    <row r="17" ht="22.5" customHeight="1">
      <c r="A17" s="5">
        <v>45877.0</v>
      </c>
      <c r="B17" s="28">
        <v>8.0</v>
      </c>
      <c r="C17" s="182"/>
      <c r="D17" s="182"/>
      <c r="E17" s="181" t="s">
        <v>285</v>
      </c>
      <c r="F17" s="183"/>
      <c r="G17" s="184"/>
      <c r="H17" s="174"/>
    </row>
    <row r="18" ht="22.5" customHeight="1">
      <c r="A18" s="5">
        <v>45880.0</v>
      </c>
      <c r="B18" s="28" t="s">
        <v>942</v>
      </c>
      <c r="C18" s="170"/>
      <c r="D18" s="182"/>
      <c r="E18" s="181" t="s">
        <v>943</v>
      </c>
      <c r="F18" s="175" t="s">
        <v>930</v>
      </c>
      <c r="G18" s="185" t="s">
        <v>944</v>
      </c>
      <c r="H18" s="174"/>
    </row>
    <row r="19" ht="22.5" customHeight="1">
      <c r="A19" s="5">
        <v>45881.0</v>
      </c>
      <c r="B19" s="28" t="s">
        <v>945</v>
      </c>
      <c r="C19" s="170"/>
      <c r="D19" s="182"/>
      <c r="E19" s="181" t="s">
        <v>943</v>
      </c>
      <c r="F19" s="175" t="s">
        <v>85</v>
      </c>
      <c r="G19" s="185" t="s">
        <v>944</v>
      </c>
      <c r="H19" s="174"/>
    </row>
    <row r="20" ht="22.5" customHeight="1">
      <c r="A20" s="5">
        <v>45882.0</v>
      </c>
      <c r="B20" s="28" t="s">
        <v>945</v>
      </c>
      <c r="C20" s="170"/>
      <c r="D20" s="182"/>
      <c r="E20" s="181" t="s">
        <v>946</v>
      </c>
      <c r="F20" s="175" t="s">
        <v>930</v>
      </c>
      <c r="G20" s="184"/>
      <c r="H20" s="174"/>
    </row>
    <row r="21" ht="22.5" customHeight="1">
      <c r="A21" s="5">
        <v>45883.0</v>
      </c>
      <c r="B21" s="28" t="s">
        <v>945</v>
      </c>
      <c r="C21" s="170"/>
      <c r="D21" s="182"/>
      <c r="E21" s="181" t="s">
        <v>946</v>
      </c>
      <c r="F21" s="175" t="s">
        <v>930</v>
      </c>
      <c r="G21" s="184"/>
      <c r="H21" s="174"/>
    </row>
    <row r="22" ht="22.5" customHeight="1">
      <c r="A22" s="5">
        <v>45884.0</v>
      </c>
      <c r="B22" s="28">
        <v>8.0</v>
      </c>
      <c r="C22" s="170"/>
      <c r="D22" s="170"/>
      <c r="E22" s="181" t="s">
        <v>946</v>
      </c>
      <c r="F22" s="175" t="s">
        <v>85</v>
      </c>
      <c r="G22" s="172"/>
      <c r="H22" s="174"/>
    </row>
    <row r="23" ht="22.5" customHeight="1">
      <c r="A23" s="5">
        <v>45887.0</v>
      </c>
      <c r="B23" s="28"/>
      <c r="C23" s="170"/>
      <c r="D23" s="63">
        <v>8.0</v>
      </c>
      <c r="E23" s="186" t="s">
        <v>947</v>
      </c>
      <c r="F23" s="175" t="s">
        <v>948</v>
      </c>
      <c r="G23" s="152" t="s">
        <v>949</v>
      </c>
      <c r="H23" s="19"/>
    </row>
    <row r="24" ht="22.5" customHeight="1">
      <c r="A24" s="5">
        <v>45888.0</v>
      </c>
      <c r="B24" s="170" t="s">
        <v>950</v>
      </c>
      <c r="C24" s="170"/>
      <c r="D24" s="28">
        <v>8.0</v>
      </c>
      <c r="E24" s="186" t="s">
        <v>951</v>
      </c>
      <c r="F24" s="175" t="s">
        <v>948</v>
      </c>
      <c r="G24" s="143" t="s">
        <v>952</v>
      </c>
      <c r="H24" s="19"/>
    </row>
    <row r="25" ht="22.5" customHeight="1">
      <c r="A25" s="5">
        <v>45889.0</v>
      </c>
      <c r="B25" s="170" t="s">
        <v>953</v>
      </c>
      <c r="C25" s="170"/>
      <c r="D25" s="28">
        <v>8.0</v>
      </c>
      <c r="E25" s="186" t="s">
        <v>954</v>
      </c>
      <c r="F25" s="175" t="s">
        <v>948</v>
      </c>
      <c r="G25" s="143" t="s">
        <v>952</v>
      </c>
      <c r="H25" s="19"/>
    </row>
    <row r="26" ht="22.5" customHeight="1">
      <c r="A26" s="5">
        <v>45890.0</v>
      </c>
      <c r="B26" s="170" t="s">
        <v>950</v>
      </c>
      <c r="C26" s="170"/>
      <c r="D26" s="28">
        <v>8.0</v>
      </c>
      <c r="E26" s="186" t="s">
        <v>955</v>
      </c>
      <c r="F26" s="175" t="s">
        <v>956</v>
      </c>
      <c r="G26" s="143" t="s">
        <v>952</v>
      </c>
      <c r="H26" s="19"/>
    </row>
    <row r="27" ht="22.5" customHeight="1">
      <c r="A27" s="5">
        <v>45891.0</v>
      </c>
      <c r="B27" s="170"/>
      <c r="C27" s="170"/>
      <c r="D27" s="28">
        <v>8.0</v>
      </c>
      <c r="E27" s="186" t="s">
        <v>957</v>
      </c>
      <c r="F27" s="64" t="s">
        <v>85</v>
      </c>
      <c r="G27" s="51"/>
      <c r="H27" s="19"/>
    </row>
    <row r="28" ht="22.5" customHeight="1">
      <c r="A28" s="5">
        <v>45894.0</v>
      </c>
      <c r="B28" s="28">
        <v>11.0</v>
      </c>
      <c r="C28" s="170"/>
      <c r="D28" s="67"/>
      <c r="E28" s="181" t="s">
        <v>285</v>
      </c>
      <c r="F28" s="64"/>
      <c r="G28" s="51"/>
      <c r="H28" s="19"/>
    </row>
    <row r="29" ht="22.5" customHeight="1">
      <c r="A29" s="5">
        <v>45895.0</v>
      </c>
      <c r="B29" s="28">
        <v>11.0</v>
      </c>
      <c r="C29" s="170"/>
      <c r="D29" s="67"/>
      <c r="E29" s="181" t="s">
        <v>285</v>
      </c>
      <c r="F29" s="64"/>
      <c r="G29" s="51"/>
      <c r="H29" s="19"/>
    </row>
    <row r="30" ht="22.5" customHeight="1">
      <c r="A30" s="5">
        <v>45896.0</v>
      </c>
      <c r="B30" s="28">
        <v>11.0</v>
      </c>
      <c r="C30" s="170"/>
      <c r="D30" s="67"/>
      <c r="E30" s="181" t="s">
        <v>285</v>
      </c>
      <c r="F30" s="22"/>
      <c r="G30" s="51"/>
      <c r="H30" s="19"/>
    </row>
    <row r="31" ht="22.5" customHeight="1">
      <c r="A31" s="5">
        <v>45897.0</v>
      </c>
      <c r="B31" s="28"/>
      <c r="C31" s="170"/>
      <c r="D31" s="67"/>
      <c r="E31" s="181" t="s">
        <v>958</v>
      </c>
      <c r="F31" s="64" t="s">
        <v>930</v>
      </c>
      <c r="G31" s="51"/>
      <c r="H31" s="19"/>
    </row>
    <row r="32" ht="22.5" customHeight="1">
      <c r="A32" s="5">
        <v>45898.0</v>
      </c>
      <c r="B32" s="28"/>
      <c r="C32" s="170"/>
      <c r="D32" s="67"/>
      <c r="E32" s="181" t="s">
        <v>958</v>
      </c>
      <c r="F32" s="64" t="s">
        <v>85</v>
      </c>
      <c r="G32" s="51"/>
      <c r="H32" s="19"/>
    </row>
    <row r="33" ht="22.5" customHeight="1">
      <c r="A33" s="5">
        <v>45901.0</v>
      </c>
      <c r="B33" s="187">
        <v>3.0</v>
      </c>
      <c r="C33" s="170"/>
      <c r="D33" s="28">
        <v>8.0</v>
      </c>
      <c r="E33" s="188" t="s">
        <v>959</v>
      </c>
      <c r="F33" s="64" t="s">
        <v>930</v>
      </c>
      <c r="G33" s="143" t="s">
        <v>960</v>
      </c>
      <c r="H33" s="19"/>
    </row>
    <row r="34" ht="22.5" customHeight="1">
      <c r="A34" s="5">
        <v>45902.0</v>
      </c>
      <c r="B34" s="187" t="s">
        <v>950</v>
      </c>
      <c r="C34" s="67"/>
      <c r="D34" s="63">
        <v>8.0</v>
      </c>
      <c r="E34" s="188" t="s">
        <v>961</v>
      </c>
      <c r="F34" s="64" t="s">
        <v>930</v>
      </c>
      <c r="G34" s="143" t="s">
        <v>960</v>
      </c>
      <c r="H34" s="19"/>
    </row>
    <row r="35" ht="22.5" customHeight="1">
      <c r="A35" s="5">
        <v>45903.0</v>
      </c>
      <c r="B35" s="63" t="s">
        <v>950</v>
      </c>
      <c r="C35" s="67"/>
      <c r="D35" s="63">
        <v>8.0</v>
      </c>
      <c r="E35" s="60" t="s">
        <v>962</v>
      </c>
      <c r="F35" s="64" t="s">
        <v>930</v>
      </c>
      <c r="G35" s="143" t="s">
        <v>960</v>
      </c>
      <c r="H35" s="19"/>
    </row>
    <row r="36" ht="22.5" customHeight="1">
      <c r="A36" s="5">
        <v>45904.0</v>
      </c>
      <c r="B36" s="63">
        <v>3.0</v>
      </c>
      <c r="C36" s="67"/>
      <c r="D36" s="63">
        <v>8.0</v>
      </c>
      <c r="E36" s="60" t="s">
        <v>963</v>
      </c>
      <c r="F36" s="64" t="s">
        <v>85</v>
      </c>
      <c r="G36" s="143" t="s">
        <v>960</v>
      </c>
      <c r="H36" s="19"/>
    </row>
    <row r="37" ht="22.5" customHeight="1">
      <c r="A37" s="5">
        <v>45905.0</v>
      </c>
      <c r="B37" s="63"/>
      <c r="C37" s="67"/>
      <c r="D37" s="67"/>
      <c r="E37" s="55" t="s">
        <v>222</v>
      </c>
      <c r="F37" s="22"/>
      <c r="G37" s="51"/>
      <c r="H37" s="19"/>
    </row>
    <row r="38" ht="22.5" customHeight="1">
      <c r="A38" s="5">
        <v>45908.0</v>
      </c>
      <c r="B38" s="63">
        <v>8.0</v>
      </c>
      <c r="C38" s="67"/>
      <c r="D38" s="67"/>
      <c r="E38" s="55" t="s">
        <v>964</v>
      </c>
      <c r="F38" s="64" t="s">
        <v>930</v>
      </c>
      <c r="G38" s="51"/>
      <c r="H38" s="19"/>
    </row>
    <row r="39" ht="22.5" customHeight="1">
      <c r="A39" s="5">
        <v>45909.0</v>
      </c>
      <c r="B39" s="63">
        <v>8.0</v>
      </c>
      <c r="C39" s="67"/>
      <c r="D39" s="67"/>
      <c r="E39" s="55" t="s">
        <v>965</v>
      </c>
      <c r="F39" s="64" t="s">
        <v>85</v>
      </c>
      <c r="G39" s="143" t="s">
        <v>966</v>
      </c>
      <c r="H39" s="53"/>
    </row>
    <row r="40" ht="22.5" customHeight="1">
      <c r="A40" s="5">
        <v>45910.0</v>
      </c>
      <c r="B40" s="63">
        <v>8.0</v>
      </c>
      <c r="C40" s="67"/>
      <c r="D40" s="67"/>
      <c r="E40" s="55" t="s">
        <v>967</v>
      </c>
      <c r="F40" s="64" t="s">
        <v>85</v>
      </c>
      <c r="G40" s="143" t="s">
        <v>968</v>
      </c>
      <c r="H40" s="53"/>
    </row>
    <row r="41" ht="22.5" customHeight="1">
      <c r="A41" s="5">
        <v>45911.0</v>
      </c>
      <c r="B41" s="63">
        <v>8.0</v>
      </c>
      <c r="C41" s="67"/>
      <c r="D41" s="67"/>
      <c r="E41" s="55" t="s">
        <v>969</v>
      </c>
      <c r="F41" s="64" t="s">
        <v>85</v>
      </c>
      <c r="G41" s="143" t="s">
        <v>970</v>
      </c>
      <c r="H41" s="53"/>
    </row>
    <row r="42" ht="22.5" customHeight="1">
      <c r="A42" s="5">
        <v>45912.0</v>
      </c>
      <c r="B42" s="63">
        <v>9.0</v>
      </c>
      <c r="C42" s="67"/>
      <c r="D42" s="67"/>
      <c r="E42" s="55" t="s">
        <v>971</v>
      </c>
      <c r="F42" s="64" t="s">
        <v>85</v>
      </c>
      <c r="G42" s="143" t="s">
        <v>972</v>
      </c>
      <c r="H42" s="53"/>
    </row>
    <row r="43" ht="22.5" customHeight="1">
      <c r="A43" s="5">
        <v>45915.0</v>
      </c>
      <c r="B43" s="63">
        <v>8.0</v>
      </c>
      <c r="C43" s="67"/>
      <c r="D43" s="67"/>
      <c r="E43" s="55" t="s">
        <v>973</v>
      </c>
      <c r="F43" s="55" t="s">
        <v>974</v>
      </c>
      <c r="G43" s="60" t="s">
        <v>975</v>
      </c>
      <c r="H43" s="53"/>
    </row>
    <row r="44" ht="22.5" customHeight="1">
      <c r="A44" s="5">
        <v>45916.0</v>
      </c>
      <c r="B44" s="63">
        <v>8.0</v>
      </c>
      <c r="C44" s="67"/>
      <c r="D44" s="67"/>
      <c r="E44" s="55" t="s">
        <v>976</v>
      </c>
      <c r="F44" s="55" t="s">
        <v>554</v>
      </c>
      <c r="G44" s="143" t="s">
        <v>977</v>
      </c>
      <c r="H44" s="53"/>
    </row>
    <row r="45" ht="22.5" customHeight="1">
      <c r="A45" s="5">
        <v>45917.0</v>
      </c>
      <c r="B45" s="63">
        <v>8.0</v>
      </c>
      <c r="C45" s="67"/>
      <c r="D45" s="67"/>
      <c r="E45" s="55" t="s">
        <v>978</v>
      </c>
      <c r="F45" s="55" t="s">
        <v>979</v>
      </c>
      <c r="G45" s="60" t="s">
        <v>980</v>
      </c>
      <c r="H45" s="53"/>
    </row>
    <row r="46" ht="22.5" customHeight="1">
      <c r="A46" s="5">
        <v>45918.0</v>
      </c>
      <c r="B46" s="63">
        <v>8.0</v>
      </c>
      <c r="C46" s="67"/>
      <c r="D46" s="67"/>
      <c r="E46" s="55" t="s">
        <v>981</v>
      </c>
      <c r="F46" s="55" t="s">
        <v>982</v>
      </c>
      <c r="G46" s="60" t="s">
        <v>983</v>
      </c>
      <c r="H46" s="53"/>
    </row>
    <row r="47" ht="22.5" customHeight="1">
      <c r="A47" s="5">
        <v>45919.0</v>
      </c>
      <c r="B47" s="63">
        <v>8.0</v>
      </c>
      <c r="C47" s="67"/>
      <c r="D47" s="67"/>
      <c r="E47" s="55" t="s">
        <v>984</v>
      </c>
      <c r="F47" s="55" t="s">
        <v>930</v>
      </c>
      <c r="G47" s="143" t="s">
        <v>985</v>
      </c>
      <c r="H47" s="53"/>
    </row>
    <row r="48" ht="22.5" customHeight="1">
      <c r="A48" s="5">
        <v>45922.0</v>
      </c>
      <c r="B48" s="63">
        <v>8.0</v>
      </c>
      <c r="C48" s="67"/>
      <c r="D48" s="67"/>
      <c r="E48" s="55" t="s">
        <v>984</v>
      </c>
      <c r="F48" s="55" t="s">
        <v>930</v>
      </c>
      <c r="G48" s="143" t="s">
        <v>985</v>
      </c>
      <c r="H48" s="53"/>
    </row>
    <row r="49" ht="22.5" customHeight="1">
      <c r="A49" s="5">
        <v>45923.0</v>
      </c>
      <c r="B49" s="63">
        <v>8.0</v>
      </c>
      <c r="C49" s="67"/>
      <c r="D49" s="67"/>
      <c r="E49" s="55" t="s">
        <v>984</v>
      </c>
      <c r="F49" s="55" t="s">
        <v>986</v>
      </c>
      <c r="G49" s="60" t="s">
        <v>987</v>
      </c>
      <c r="H49" s="53"/>
    </row>
    <row r="50" ht="22.5" customHeight="1">
      <c r="A50" s="5">
        <v>45924.0</v>
      </c>
      <c r="B50" s="63">
        <v>8.0</v>
      </c>
      <c r="C50" s="67"/>
      <c r="D50" s="67"/>
      <c r="E50" s="55" t="s">
        <v>988</v>
      </c>
      <c r="F50" s="55" t="s">
        <v>989</v>
      </c>
      <c r="G50" s="143" t="s">
        <v>990</v>
      </c>
      <c r="H50" s="53"/>
    </row>
    <row r="51" ht="22.5" customHeight="1">
      <c r="A51" s="5">
        <v>45925.0</v>
      </c>
      <c r="B51" s="63">
        <v>8.0</v>
      </c>
      <c r="C51" s="67"/>
      <c r="D51" s="67"/>
      <c r="E51" s="55" t="s">
        <v>991</v>
      </c>
      <c r="F51" s="55" t="s">
        <v>989</v>
      </c>
      <c r="G51" s="60" t="s">
        <v>992</v>
      </c>
      <c r="H51" s="53"/>
    </row>
    <row r="52" ht="22.5" customHeight="1">
      <c r="A52" s="5">
        <v>45926.0</v>
      </c>
      <c r="B52" s="63">
        <v>8.0</v>
      </c>
      <c r="C52" s="67"/>
      <c r="D52" s="67"/>
      <c r="E52" s="55" t="s">
        <v>993</v>
      </c>
      <c r="F52" s="55" t="s">
        <v>989</v>
      </c>
      <c r="G52" s="143" t="s">
        <v>994</v>
      </c>
      <c r="H52" s="53"/>
    </row>
    <row r="53" ht="22.5" customHeight="1">
      <c r="A53" s="5">
        <v>45929.0</v>
      </c>
      <c r="B53" s="63">
        <v>8.0</v>
      </c>
      <c r="C53" s="67"/>
      <c r="D53" s="67"/>
      <c r="E53" s="55" t="s">
        <v>995</v>
      </c>
      <c r="F53" s="55" t="s">
        <v>85</v>
      </c>
      <c r="G53" s="143" t="s">
        <v>996</v>
      </c>
      <c r="H53" s="55"/>
    </row>
    <row r="54" ht="22.5" customHeight="1">
      <c r="A54" s="5">
        <v>45930.0</v>
      </c>
      <c r="B54" s="63">
        <v>8.0</v>
      </c>
      <c r="C54" s="67"/>
      <c r="D54" s="67"/>
      <c r="E54" s="55" t="s">
        <v>997</v>
      </c>
      <c r="F54" s="55" t="s">
        <v>930</v>
      </c>
      <c r="G54" s="60" t="s">
        <v>998</v>
      </c>
      <c r="H54" s="53"/>
    </row>
    <row r="55" ht="22.5" customHeight="1">
      <c r="A55" s="5">
        <v>45931.0</v>
      </c>
      <c r="B55" s="63">
        <v>8.0</v>
      </c>
      <c r="C55" s="67"/>
      <c r="D55" s="67"/>
      <c r="E55" s="55" t="s">
        <v>999</v>
      </c>
      <c r="F55" s="55" t="s">
        <v>85</v>
      </c>
      <c r="G55" s="60" t="s">
        <v>998</v>
      </c>
      <c r="H55" s="53"/>
    </row>
    <row r="56" ht="22.5" customHeight="1">
      <c r="A56" s="5">
        <v>45932.0</v>
      </c>
      <c r="B56" s="63">
        <v>8.0</v>
      </c>
      <c r="C56" s="67"/>
      <c r="D56" s="67"/>
      <c r="E56" s="55" t="s">
        <v>1000</v>
      </c>
      <c r="F56" s="55" t="s">
        <v>85</v>
      </c>
      <c r="G56" s="60" t="s">
        <v>1001</v>
      </c>
      <c r="H56" s="53"/>
    </row>
    <row r="57" ht="22.5" customHeight="1">
      <c r="A57" s="5">
        <v>45933.0</v>
      </c>
      <c r="B57" s="63">
        <v>8.0</v>
      </c>
      <c r="C57" s="67"/>
      <c r="D57" s="67"/>
      <c r="E57" s="55" t="s">
        <v>1002</v>
      </c>
      <c r="F57" s="55" t="s">
        <v>85</v>
      </c>
      <c r="G57" s="143" t="s">
        <v>1003</v>
      </c>
      <c r="H57" s="53"/>
    </row>
    <row r="58" ht="22.5" customHeight="1">
      <c r="A58" s="5">
        <v>45936.0</v>
      </c>
      <c r="B58" s="63">
        <v>8.0</v>
      </c>
      <c r="C58" s="67"/>
      <c r="D58" s="67"/>
      <c r="E58" s="55"/>
      <c r="F58" s="51"/>
      <c r="G58" s="51"/>
      <c r="H58" s="53"/>
    </row>
    <row r="59" ht="22.5" customHeight="1">
      <c r="A59" s="5">
        <v>45937.0</v>
      </c>
      <c r="B59" s="63">
        <v>8.0</v>
      </c>
      <c r="C59" s="67"/>
      <c r="D59" s="67"/>
      <c r="E59" s="55"/>
      <c r="F59" s="51"/>
      <c r="G59" s="51"/>
      <c r="H59" s="53"/>
    </row>
    <row r="60" ht="22.5" customHeight="1">
      <c r="A60" s="5">
        <v>45938.0</v>
      </c>
      <c r="B60" s="63">
        <v>8.0</v>
      </c>
      <c r="C60" s="67"/>
      <c r="D60" s="67"/>
      <c r="E60" s="55"/>
      <c r="F60" s="51"/>
      <c r="G60" s="51"/>
      <c r="H60" s="53"/>
    </row>
    <row r="61" ht="22.5" customHeight="1">
      <c r="A61" s="5">
        <v>45939.0</v>
      </c>
      <c r="B61" s="63">
        <v>8.0</v>
      </c>
      <c r="C61" s="67"/>
      <c r="D61" s="67"/>
      <c r="E61" s="55"/>
      <c r="F61" s="51"/>
      <c r="G61" s="51"/>
      <c r="H61" s="53"/>
    </row>
    <row r="62" ht="22.5" customHeight="1">
      <c r="A62" s="5">
        <v>45940.0</v>
      </c>
      <c r="B62" s="63">
        <v>8.0</v>
      </c>
      <c r="C62" s="67"/>
      <c r="D62" s="67"/>
      <c r="E62" s="55"/>
      <c r="F62" s="51"/>
      <c r="G62" s="51"/>
      <c r="H62" s="53"/>
    </row>
    <row r="63" ht="22.5" customHeight="1">
      <c r="A63" s="5"/>
      <c r="B63" s="63"/>
      <c r="C63" s="67"/>
      <c r="D63" s="67"/>
      <c r="E63" s="55"/>
      <c r="F63" s="51"/>
      <c r="G63" s="51"/>
      <c r="H63" s="53"/>
    </row>
    <row r="64" ht="22.5" customHeight="1">
      <c r="A64" s="5"/>
      <c r="B64" s="63"/>
      <c r="C64" s="67"/>
      <c r="D64" s="67"/>
      <c r="E64" s="55"/>
      <c r="F64" s="51"/>
      <c r="G64" s="51"/>
      <c r="H64" s="53"/>
    </row>
    <row r="65" ht="22.5" customHeight="1">
      <c r="A65" s="5"/>
      <c r="B65" s="63"/>
      <c r="C65" s="67"/>
      <c r="D65" s="67"/>
      <c r="E65" s="55"/>
      <c r="F65" s="51"/>
      <c r="G65" s="51"/>
      <c r="H65" s="53"/>
    </row>
    <row r="66" ht="22.5" customHeight="1">
      <c r="A66" s="5"/>
      <c r="B66" s="63"/>
      <c r="C66" s="67"/>
      <c r="D66" s="67"/>
      <c r="E66" s="55"/>
      <c r="F66" s="51"/>
      <c r="G66" s="51"/>
      <c r="H66" s="53"/>
    </row>
    <row r="67" ht="22.5" customHeight="1">
      <c r="A67" s="5"/>
      <c r="B67" s="63"/>
      <c r="C67" s="67"/>
      <c r="D67" s="67"/>
      <c r="E67" s="55"/>
      <c r="F67" s="51"/>
      <c r="G67" s="51"/>
      <c r="H67" s="53"/>
    </row>
    <row r="68" ht="22.5" customHeight="1">
      <c r="A68" s="5"/>
      <c r="B68" s="63"/>
      <c r="C68" s="67"/>
      <c r="D68" s="67"/>
      <c r="E68" s="55"/>
      <c r="F68" s="51"/>
      <c r="G68" s="51"/>
      <c r="H68" s="53"/>
    </row>
    <row r="69" ht="22.5" customHeight="1">
      <c r="A69" s="5"/>
      <c r="B69" s="63"/>
      <c r="C69" s="67"/>
      <c r="D69" s="67"/>
      <c r="E69" s="55"/>
      <c r="F69" s="51"/>
      <c r="G69" s="51"/>
      <c r="H69" s="53"/>
    </row>
    <row r="70" ht="22.5" customHeight="1">
      <c r="A70" s="5"/>
      <c r="B70" s="63"/>
      <c r="C70" s="67"/>
      <c r="D70" s="67"/>
      <c r="E70" s="55"/>
      <c r="F70" s="51"/>
      <c r="G70" s="51"/>
      <c r="H70" s="53"/>
    </row>
    <row r="71" ht="22.5" customHeight="1">
      <c r="A71" s="5"/>
      <c r="B71" s="63"/>
      <c r="C71" s="67"/>
      <c r="D71" s="67"/>
      <c r="E71" s="55"/>
      <c r="F71" s="51"/>
      <c r="G71" s="51"/>
      <c r="H71" s="53"/>
    </row>
    <row r="72" ht="22.5" customHeight="1">
      <c r="A72" s="5"/>
      <c r="B72" s="63"/>
      <c r="C72" s="67"/>
      <c r="D72" s="67"/>
      <c r="E72" s="55"/>
      <c r="F72" s="51"/>
      <c r="G72" s="51"/>
      <c r="H72" s="53"/>
    </row>
    <row r="73" ht="22.5" customHeight="1">
      <c r="A73" s="5"/>
      <c r="B73" s="63"/>
      <c r="C73" s="67"/>
      <c r="D73" s="67"/>
      <c r="E73" s="55"/>
      <c r="F73" s="51"/>
      <c r="G73" s="51"/>
      <c r="H73" s="53"/>
    </row>
    <row r="74" ht="22.5" customHeight="1">
      <c r="A74" s="5"/>
      <c r="B74" s="63"/>
      <c r="C74" s="67"/>
      <c r="D74" s="67"/>
      <c r="E74" s="55"/>
      <c r="F74" s="51"/>
      <c r="G74" s="51"/>
      <c r="H74" s="53"/>
    </row>
    <row r="75" ht="22.5" customHeight="1">
      <c r="A75" s="5"/>
      <c r="B75" s="63"/>
      <c r="C75" s="67"/>
      <c r="D75" s="67"/>
      <c r="E75" s="55"/>
      <c r="F75" s="51"/>
      <c r="G75" s="51"/>
      <c r="H75" s="53"/>
    </row>
    <row r="76" ht="22.5" customHeight="1">
      <c r="A76" s="5"/>
      <c r="B76" s="63"/>
      <c r="C76" s="67"/>
      <c r="D76" s="67"/>
      <c r="E76" s="55"/>
      <c r="F76" s="51"/>
      <c r="G76" s="51"/>
      <c r="H76" s="53"/>
    </row>
    <row r="77" ht="22.5" customHeight="1">
      <c r="A77" s="5"/>
      <c r="B77" s="63"/>
      <c r="C77" s="67"/>
      <c r="D77" s="67"/>
      <c r="E77" s="55"/>
      <c r="F77" s="51"/>
      <c r="G77" s="51"/>
      <c r="H77" s="53"/>
    </row>
    <row r="78" ht="22.5" customHeight="1">
      <c r="A78" s="5"/>
      <c r="B78" s="63"/>
      <c r="C78" s="67"/>
      <c r="D78" s="67"/>
      <c r="E78" s="55"/>
      <c r="F78" s="51"/>
      <c r="G78" s="51"/>
      <c r="H78" s="53"/>
    </row>
    <row r="79" ht="22.5" customHeight="1">
      <c r="A79" s="5"/>
      <c r="B79" s="63"/>
      <c r="C79" s="67"/>
      <c r="D79" s="67"/>
      <c r="E79" s="55"/>
      <c r="F79" s="51"/>
      <c r="G79" s="51"/>
      <c r="H79" s="53"/>
    </row>
    <row r="80" ht="22.5" customHeight="1">
      <c r="A80" s="5"/>
      <c r="B80" s="63"/>
      <c r="C80" s="67"/>
      <c r="D80" s="67"/>
      <c r="E80" s="55"/>
      <c r="F80" s="51"/>
      <c r="G80" s="51"/>
      <c r="H80" s="53"/>
    </row>
    <row r="81" ht="22.5" customHeight="1">
      <c r="A81" s="5"/>
      <c r="B81" s="63"/>
      <c r="C81" s="67"/>
      <c r="D81" s="67"/>
      <c r="E81" s="55"/>
      <c r="F81" s="51"/>
      <c r="G81" s="51"/>
      <c r="H81" s="53"/>
    </row>
    <row r="82" ht="22.5" customHeight="1">
      <c r="A82" s="5"/>
      <c r="B82" s="63"/>
      <c r="C82" s="67"/>
      <c r="D82" s="67"/>
      <c r="E82" s="55"/>
      <c r="F82" s="51"/>
      <c r="G82" s="51"/>
      <c r="H82" s="53"/>
    </row>
    <row r="83" ht="22.5" customHeight="1">
      <c r="A83" s="5"/>
      <c r="B83" s="63"/>
      <c r="C83" s="67"/>
      <c r="D83" s="67"/>
      <c r="E83" s="55"/>
      <c r="F83" s="51"/>
      <c r="G83" s="51"/>
      <c r="H83" s="53"/>
    </row>
    <row r="84" ht="22.5" customHeight="1">
      <c r="A84" s="5"/>
      <c r="B84" s="63"/>
      <c r="C84" s="67"/>
      <c r="D84" s="67"/>
      <c r="E84" s="55"/>
      <c r="F84" s="51"/>
      <c r="G84" s="51"/>
      <c r="H84" s="53"/>
    </row>
    <row r="85" ht="22.5" customHeight="1">
      <c r="A85" s="5"/>
      <c r="B85" s="63"/>
      <c r="C85" s="67"/>
      <c r="D85" s="67"/>
      <c r="E85" s="55"/>
      <c r="F85" s="51"/>
      <c r="G85" s="51"/>
      <c r="H85" s="53"/>
    </row>
    <row r="86" ht="22.5" customHeight="1">
      <c r="A86" s="5"/>
      <c r="B86" s="63"/>
      <c r="C86" s="67"/>
      <c r="D86" s="67"/>
      <c r="E86" s="55"/>
      <c r="F86" s="51"/>
      <c r="G86" s="51"/>
      <c r="H86" s="53"/>
    </row>
    <row r="87" ht="22.5" customHeight="1">
      <c r="A87" s="5"/>
      <c r="B87" s="63"/>
      <c r="C87" s="67"/>
      <c r="D87" s="67"/>
      <c r="E87" s="55"/>
      <c r="F87" s="51"/>
      <c r="G87" s="51"/>
      <c r="H87" s="53"/>
    </row>
    <row r="88" ht="22.5" customHeight="1">
      <c r="A88" s="5"/>
      <c r="B88" s="63"/>
      <c r="C88" s="67"/>
      <c r="D88" s="67"/>
      <c r="E88" s="55"/>
      <c r="F88" s="51"/>
      <c r="G88" s="51"/>
      <c r="H88" s="53"/>
    </row>
    <row r="89" ht="22.5" customHeight="1">
      <c r="A89" s="5"/>
      <c r="B89" s="63"/>
      <c r="C89" s="67"/>
      <c r="D89" s="67"/>
      <c r="E89" s="55"/>
      <c r="F89" s="51"/>
      <c r="G89" s="51"/>
      <c r="H89" s="53"/>
    </row>
    <row r="90" ht="22.5" customHeight="1">
      <c r="A90" s="5"/>
      <c r="B90" s="63"/>
      <c r="C90" s="67"/>
      <c r="D90" s="67"/>
      <c r="E90" s="55"/>
      <c r="F90" s="51"/>
      <c r="G90" s="51"/>
      <c r="H90" s="53"/>
    </row>
    <row r="91" ht="22.5" customHeight="1">
      <c r="A91" s="5"/>
      <c r="B91" s="63"/>
      <c r="C91" s="67"/>
      <c r="D91" s="67"/>
      <c r="E91" s="55"/>
      <c r="F91" s="51"/>
      <c r="G91" s="51"/>
      <c r="H91" s="53"/>
    </row>
    <row r="92" ht="22.5" customHeight="1">
      <c r="A92" s="5"/>
      <c r="B92" s="63"/>
      <c r="C92" s="67"/>
      <c r="D92" s="67"/>
      <c r="E92" s="55"/>
      <c r="F92" s="51"/>
      <c r="G92" s="51"/>
      <c r="H92" s="53"/>
    </row>
    <row r="93" ht="22.5" customHeight="1">
      <c r="A93" s="5"/>
      <c r="B93" s="63"/>
      <c r="C93" s="67"/>
      <c r="D93" s="67"/>
      <c r="E93" s="55"/>
      <c r="F93" s="51"/>
      <c r="G93" s="51"/>
      <c r="H93" s="53"/>
    </row>
    <row r="94" ht="22.5" customHeight="1">
      <c r="A94" s="5"/>
      <c r="B94" s="63"/>
      <c r="C94" s="67"/>
      <c r="D94" s="67"/>
      <c r="E94" s="55"/>
      <c r="F94" s="51"/>
      <c r="G94" s="51"/>
      <c r="H94" s="53"/>
    </row>
    <row r="95" ht="22.5" customHeight="1">
      <c r="A95" s="5"/>
      <c r="B95" s="63"/>
      <c r="C95" s="67"/>
      <c r="D95" s="67"/>
      <c r="E95" s="55"/>
      <c r="F95" s="51"/>
      <c r="G95" s="51"/>
      <c r="H95" s="53"/>
    </row>
    <row r="96" ht="22.5" customHeight="1">
      <c r="A96" s="5"/>
      <c r="B96" s="63"/>
      <c r="C96" s="67"/>
      <c r="D96" s="67"/>
      <c r="E96" s="55"/>
      <c r="F96" s="51"/>
      <c r="G96" s="51"/>
      <c r="H96" s="53"/>
    </row>
    <row r="97" ht="22.5" customHeight="1">
      <c r="A97" s="5"/>
      <c r="B97" s="63"/>
      <c r="C97" s="67"/>
      <c r="D97" s="67"/>
      <c r="E97" s="55"/>
      <c r="F97" s="51"/>
      <c r="G97" s="51"/>
      <c r="H97" s="53"/>
    </row>
    <row r="98" ht="22.5" customHeight="1">
      <c r="A98" s="5"/>
      <c r="B98" s="63"/>
      <c r="C98" s="67"/>
      <c r="D98" s="67"/>
      <c r="E98" s="55"/>
      <c r="F98" s="51"/>
      <c r="G98" s="51"/>
      <c r="H98" s="53"/>
    </row>
    <row r="99" ht="22.5" customHeight="1">
      <c r="A99" s="5"/>
      <c r="B99" s="63"/>
      <c r="C99" s="67"/>
      <c r="D99" s="67"/>
      <c r="E99" s="55"/>
      <c r="F99" s="51"/>
      <c r="G99" s="51"/>
      <c r="H99" s="53"/>
    </row>
    <row r="100" ht="22.5" customHeight="1">
      <c r="A100" s="5"/>
      <c r="B100" s="63"/>
      <c r="C100" s="67"/>
      <c r="D100" s="67"/>
      <c r="E100" s="55"/>
      <c r="F100" s="51"/>
      <c r="G100" s="51"/>
      <c r="H100" s="53"/>
    </row>
    <row r="101" ht="22.5" customHeight="1">
      <c r="A101" s="5"/>
      <c r="B101" s="63"/>
      <c r="C101" s="67"/>
      <c r="D101" s="67"/>
      <c r="E101" s="55"/>
      <c r="F101" s="51"/>
      <c r="G101" s="51"/>
      <c r="H101" s="53"/>
    </row>
    <row r="102" ht="22.5" customHeight="1">
      <c r="A102" s="5"/>
      <c r="B102" s="63"/>
      <c r="C102" s="67"/>
      <c r="D102" s="67"/>
      <c r="E102" s="55"/>
      <c r="F102" s="51"/>
      <c r="G102" s="51"/>
      <c r="H102" s="53"/>
    </row>
    <row r="103" ht="22.5" customHeight="1">
      <c r="A103" s="5"/>
      <c r="B103" s="63"/>
      <c r="C103" s="67"/>
      <c r="D103" s="67"/>
      <c r="E103" s="55"/>
      <c r="F103" s="51"/>
      <c r="G103" s="51"/>
      <c r="H103" s="53"/>
    </row>
    <row r="104" ht="22.5" customHeight="1">
      <c r="A104" s="5"/>
      <c r="B104" s="63"/>
      <c r="C104" s="67"/>
      <c r="D104" s="67"/>
      <c r="E104" s="55"/>
      <c r="F104" s="51"/>
      <c r="G104" s="51"/>
      <c r="H104" s="53"/>
    </row>
    <row r="105" ht="22.5" customHeight="1">
      <c r="A105" s="5"/>
      <c r="B105" s="63"/>
      <c r="C105" s="67"/>
      <c r="D105" s="67"/>
      <c r="E105" s="55"/>
      <c r="F105" s="51"/>
      <c r="G105" s="51"/>
      <c r="H105" s="53"/>
    </row>
    <row r="106" ht="22.5" customHeight="1">
      <c r="A106" s="5"/>
      <c r="B106" s="63"/>
      <c r="C106" s="67"/>
      <c r="D106" s="67"/>
      <c r="E106" s="55"/>
      <c r="F106" s="51"/>
      <c r="G106" s="51"/>
      <c r="H106" s="53"/>
    </row>
    <row r="107" ht="22.5" customHeight="1">
      <c r="A107" s="5"/>
      <c r="B107" s="63"/>
      <c r="C107" s="67"/>
      <c r="D107" s="67"/>
      <c r="E107" s="55"/>
      <c r="F107" s="51"/>
      <c r="G107" s="51"/>
      <c r="H107" s="53"/>
    </row>
    <row r="108" ht="22.5" customHeight="1">
      <c r="A108" s="5"/>
      <c r="B108" s="63"/>
      <c r="C108" s="67"/>
      <c r="D108" s="67"/>
      <c r="E108" s="55"/>
      <c r="F108" s="51"/>
      <c r="G108" s="51"/>
      <c r="H108" s="53"/>
    </row>
    <row r="109" ht="22.5" customHeight="1">
      <c r="A109" s="5"/>
      <c r="B109" s="63"/>
      <c r="C109" s="67"/>
      <c r="D109" s="67"/>
      <c r="E109" s="55"/>
      <c r="F109" s="51"/>
      <c r="G109" s="51"/>
      <c r="H109" s="53"/>
    </row>
    <row r="110" ht="22.5" customHeight="1">
      <c r="A110" s="5"/>
      <c r="B110" s="63"/>
      <c r="C110" s="67"/>
      <c r="D110" s="67"/>
      <c r="E110" s="55"/>
      <c r="F110" s="51"/>
      <c r="G110" s="51"/>
      <c r="H110" s="53"/>
    </row>
    <row r="111" ht="22.5" customHeight="1">
      <c r="A111" s="5"/>
      <c r="B111" s="63"/>
      <c r="C111" s="67"/>
      <c r="D111" s="67"/>
      <c r="E111" s="55"/>
      <c r="F111" s="51"/>
      <c r="G111" s="51"/>
      <c r="H111" s="53"/>
    </row>
    <row r="112" ht="22.5" customHeight="1">
      <c r="A112" s="5"/>
      <c r="B112" s="63"/>
      <c r="C112" s="67"/>
      <c r="D112" s="67"/>
      <c r="E112" s="55"/>
      <c r="F112" s="51"/>
      <c r="G112" s="51"/>
      <c r="H112" s="53"/>
    </row>
    <row r="113" ht="22.5" customHeight="1">
      <c r="A113" s="5"/>
      <c r="B113" s="63"/>
      <c r="C113" s="67"/>
      <c r="D113" s="67"/>
      <c r="E113" s="55"/>
      <c r="F113" s="51"/>
      <c r="G113" s="51"/>
      <c r="H113" s="53"/>
    </row>
    <row r="114" ht="22.5" customHeight="1">
      <c r="A114" s="24"/>
      <c r="B114" s="71"/>
      <c r="C114" s="71"/>
      <c r="D114" s="71"/>
      <c r="E114" s="138"/>
      <c r="F114" s="25"/>
      <c r="G114" s="138"/>
      <c r="H114" s="26"/>
    </row>
    <row r="115" ht="22.5" customHeight="1">
      <c r="A115" s="24"/>
      <c r="B115" s="71"/>
      <c r="C115" s="71"/>
      <c r="D115" s="71"/>
      <c r="E115" s="138"/>
      <c r="F115" s="25"/>
      <c r="G115" s="138"/>
      <c r="H115" s="26"/>
    </row>
    <row r="116" ht="22.5" customHeight="1">
      <c r="A116" s="24"/>
      <c r="B116" s="71"/>
      <c r="C116" s="71"/>
      <c r="D116" s="71"/>
      <c r="E116" s="138"/>
      <c r="F116" s="25"/>
      <c r="G116" s="138"/>
      <c r="H116" s="26"/>
    </row>
    <row r="117" ht="22.5" customHeight="1">
      <c r="A117" s="24"/>
      <c r="B117" s="71"/>
      <c r="C117" s="71"/>
      <c r="D117" s="71"/>
      <c r="E117" s="138"/>
      <c r="F117" s="25"/>
      <c r="G117" s="138"/>
      <c r="H117" s="26"/>
    </row>
    <row r="118" ht="22.5" customHeight="1">
      <c r="A118" s="24"/>
      <c r="B118" s="71"/>
      <c r="C118" s="71"/>
      <c r="D118" s="71"/>
      <c r="E118" s="138"/>
      <c r="F118" s="25"/>
      <c r="G118" s="138"/>
      <c r="H118" s="26"/>
    </row>
    <row r="119" ht="22.5" customHeight="1">
      <c r="A119" s="24"/>
      <c r="B119" s="71"/>
      <c r="C119" s="71"/>
      <c r="D119" s="71"/>
      <c r="E119" s="138"/>
      <c r="F119" s="25"/>
      <c r="G119" s="138"/>
      <c r="H119" s="26"/>
    </row>
    <row r="120" ht="22.5" customHeight="1">
      <c r="A120" s="24"/>
      <c r="B120" s="71"/>
      <c r="C120" s="71"/>
      <c r="D120" s="71"/>
      <c r="E120" s="138"/>
      <c r="F120" s="25"/>
      <c r="G120" s="138"/>
      <c r="H120" s="26"/>
    </row>
    <row r="121" ht="22.5" customHeight="1">
      <c r="A121" s="24"/>
      <c r="B121" s="71"/>
      <c r="C121" s="71"/>
      <c r="D121" s="71"/>
      <c r="E121" s="138"/>
      <c r="F121" s="25"/>
      <c r="G121" s="138"/>
      <c r="H121" s="26"/>
    </row>
    <row r="122" ht="22.5" customHeight="1">
      <c r="A122" s="24"/>
      <c r="B122" s="71"/>
      <c r="C122" s="71"/>
      <c r="D122" s="71"/>
      <c r="E122" s="138"/>
      <c r="F122" s="25"/>
      <c r="G122" s="138"/>
      <c r="H122" s="26"/>
    </row>
    <row r="123" ht="22.5" customHeight="1">
      <c r="A123" s="24"/>
      <c r="B123" s="71"/>
      <c r="C123" s="71"/>
      <c r="D123" s="71"/>
      <c r="E123" s="138"/>
      <c r="F123" s="25"/>
      <c r="G123" s="138"/>
      <c r="H123" s="26"/>
    </row>
    <row r="124" ht="22.5" customHeight="1">
      <c r="A124" s="24"/>
      <c r="B124" s="71"/>
      <c r="C124" s="71"/>
      <c r="D124" s="71"/>
      <c r="E124" s="138"/>
      <c r="F124" s="25"/>
      <c r="G124" s="138"/>
      <c r="H124" s="26"/>
    </row>
    <row r="125" ht="22.5" customHeight="1">
      <c r="A125" s="24"/>
      <c r="B125" s="71"/>
      <c r="C125" s="71"/>
      <c r="D125" s="71"/>
      <c r="E125" s="138"/>
      <c r="F125" s="25"/>
      <c r="G125" s="138"/>
      <c r="H125" s="26"/>
    </row>
    <row r="126" ht="22.5" customHeight="1">
      <c r="A126" s="24"/>
      <c r="B126" s="71"/>
      <c r="C126" s="71"/>
      <c r="D126" s="71"/>
      <c r="E126" s="138"/>
      <c r="F126" s="25"/>
      <c r="G126" s="138"/>
      <c r="H126" s="26"/>
    </row>
    <row r="127" ht="22.5" customHeight="1">
      <c r="A127" s="24"/>
      <c r="B127" s="71"/>
      <c r="C127" s="71"/>
      <c r="D127" s="71"/>
      <c r="E127" s="138"/>
      <c r="F127" s="25"/>
      <c r="G127" s="138"/>
      <c r="H127" s="26"/>
    </row>
    <row r="128" ht="22.5" customHeight="1">
      <c r="A128" s="24"/>
      <c r="B128" s="71"/>
      <c r="C128" s="71"/>
      <c r="D128" s="71"/>
      <c r="E128" s="138"/>
      <c r="F128" s="25"/>
      <c r="G128" s="138"/>
      <c r="H128" s="26"/>
    </row>
    <row r="129" ht="22.5" customHeight="1">
      <c r="A129" s="24"/>
      <c r="B129" s="71"/>
      <c r="C129" s="71"/>
      <c r="D129" s="71"/>
      <c r="E129" s="138"/>
      <c r="F129" s="25"/>
      <c r="G129" s="138"/>
      <c r="H129" s="26"/>
    </row>
    <row r="130" ht="22.5" customHeight="1">
      <c r="A130" s="24"/>
      <c r="B130" s="71"/>
      <c r="C130" s="71"/>
      <c r="D130" s="71"/>
      <c r="E130" s="138"/>
      <c r="F130" s="25"/>
      <c r="G130" s="138"/>
      <c r="H130" s="26"/>
    </row>
    <row r="131" ht="22.5" customHeight="1">
      <c r="A131" s="24"/>
      <c r="B131" s="71"/>
      <c r="C131" s="71"/>
      <c r="D131" s="71"/>
      <c r="E131" s="138"/>
      <c r="F131" s="25"/>
      <c r="G131" s="138"/>
      <c r="H131" s="26"/>
    </row>
    <row r="132" ht="22.5" customHeight="1">
      <c r="A132" s="24"/>
      <c r="B132" s="71"/>
      <c r="C132" s="71"/>
      <c r="D132" s="71"/>
      <c r="E132" s="138"/>
      <c r="F132" s="25"/>
      <c r="G132" s="138"/>
      <c r="H132" s="26"/>
    </row>
    <row r="133" ht="22.5" customHeight="1">
      <c r="A133" s="24"/>
      <c r="B133" s="71"/>
      <c r="C133" s="71"/>
      <c r="D133" s="71"/>
      <c r="E133" s="138"/>
      <c r="F133" s="25"/>
      <c r="G133" s="138"/>
      <c r="H133" s="26"/>
    </row>
    <row r="134" ht="22.5" customHeight="1">
      <c r="A134" s="24"/>
      <c r="B134" s="71"/>
      <c r="C134" s="71"/>
      <c r="D134" s="71"/>
      <c r="E134" s="138"/>
      <c r="F134" s="25"/>
      <c r="G134" s="138"/>
      <c r="H134" s="26"/>
    </row>
    <row r="135" ht="22.5" customHeight="1">
      <c r="A135" s="24"/>
      <c r="B135" s="71"/>
      <c r="C135" s="71"/>
      <c r="D135" s="71"/>
      <c r="E135" s="138"/>
      <c r="F135" s="25"/>
      <c r="G135" s="138"/>
      <c r="H135" s="26"/>
    </row>
    <row r="136" ht="22.5" customHeight="1">
      <c r="A136" s="24"/>
      <c r="B136" s="71"/>
      <c r="C136" s="71"/>
      <c r="D136" s="71"/>
      <c r="E136" s="138"/>
      <c r="F136" s="25"/>
      <c r="G136" s="138"/>
      <c r="H136" s="26"/>
    </row>
    <row r="137" ht="22.5" customHeight="1">
      <c r="A137" s="24"/>
      <c r="B137" s="71"/>
      <c r="C137" s="71"/>
      <c r="D137" s="71"/>
      <c r="E137" s="138"/>
      <c r="F137" s="25"/>
      <c r="G137" s="138"/>
      <c r="H137" s="26"/>
    </row>
    <row r="138" ht="22.5" customHeight="1">
      <c r="A138" s="24"/>
      <c r="B138" s="71"/>
      <c r="C138" s="71"/>
      <c r="D138" s="71"/>
      <c r="E138" s="138"/>
      <c r="F138" s="25"/>
      <c r="G138" s="138"/>
      <c r="H138" s="26"/>
    </row>
    <row r="139" ht="22.5" customHeight="1">
      <c r="A139" s="24"/>
      <c r="B139" s="71"/>
      <c r="C139" s="71"/>
      <c r="D139" s="71"/>
      <c r="E139" s="138"/>
      <c r="F139" s="25"/>
      <c r="G139" s="138"/>
      <c r="H139" s="26"/>
    </row>
    <row r="140" ht="22.5" customHeight="1">
      <c r="A140" s="24"/>
      <c r="B140" s="71"/>
      <c r="C140" s="71"/>
      <c r="D140" s="71"/>
      <c r="E140" s="138"/>
      <c r="F140" s="25"/>
      <c r="G140" s="138"/>
      <c r="H140" s="26"/>
    </row>
    <row r="141" ht="22.5" customHeight="1">
      <c r="A141" s="24"/>
      <c r="B141" s="71"/>
      <c r="C141" s="71"/>
      <c r="D141" s="71"/>
      <c r="E141" s="138"/>
      <c r="F141" s="25"/>
      <c r="G141" s="138"/>
      <c r="H141" s="26"/>
    </row>
    <row r="142" ht="22.5" customHeight="1">
      <c r="A142" s="24"/>
      <c r="B142" s="71"/>
      <c r="C142" s="71"/>
      <c r="D142" s="71"/>
      <c r="E142" s="138"/>
      <c r="F142" s="25"/>
      <c r="G142" s="138"/>
      <c r="H142" s="26"/>
    </row>
    <row r="143" ht="22.5" customHeight="1">
      <c r="A143" s="24"/>
      <c r="B143" s="71"/>
      <c r="C143" s="71"/>
      <c r="D143" s="71"/>
      <c r="E143" s="138"/>
      <c r="F143" s="25"/>
      <c r="G143" s="138"/>
      <c r="H143" s="26"/>
    </row>
    <row r="144" ht="22.5" customHeight="1">
      <c r="A144" s="24"/>
      <c r="B144" s="71"/>
      <c r="C144" s="71"/>
      <c r="D144" s="71"/>
      <c r="E144" s="138"/>
      <c r="F144" s="25"/>
      <c r="G144" s="138"/>
      <c r="H144" s="26"/>
    </row>
    <row r="145" ht="22.5" customHeight="1">
      <c r="A145" s="24"/>
      <c r="B145" s="71"/>
      <c r="C145" s="71"/>
      <c r="D145" s="71"/>
      <c r="E145" s="138"/>
      <c r="F145" s="25"/>
      <c r="G145" s="138"/>
      <c r="H145" s="26"/>
    </row>
    <row r="146" ht="22.5" customHeight="1">
      <c r="A146" s="24"/>
      <c r="B146" s="71"/>
      <c r="C146" s="71"/>
      <c r="D146" s="71"/>
      <c r="E146" s="138"/>
      <c r="F146" s="25"/>
      <c r="G146" s="138"/>
      <c r="H146" s="26"/>
    </row>
    <row r="147" ht="22.5" customHeight="1">
      <c r="A147" s="24"/>
      <c r="B147" s="71"/>
      <c r="C147" s="71"/>
      <c r="D147" s="71"/>
      <c r="E147" s="138"/>
      <c r="F147" s="25"/>
      <c r="G147" s="138"/>
      <c r="H147" s="26"/>
    </row>
    <row r="148" ht="22.5" customHeight="1">
      <c r="A148" s="24"/>
      <c r="B148" s="71"/>
      <c r="C148" s="71"/>
      <c r="D148" s="71"/>
      <c r="E148" s="138"/>
      <c r="F148" s="25"/>
      <c r="G148" s="138"/>
      <c r="H148" s="26"/>
    </row>
    <row r="149" ht="22.5" customHeight="1">
      <c r="A149" s="24"/>
      <c r="B149" s="71"/>
      <c r="C149" s="71"/>
      <c r="D149" s="71"/>
      <c r="E149" s="138"/>
      <c r="F149" s="25"/>
      <c r="G149" s="138"/>
      <c r="H149" s="26"/>
    </row>
    <row r="150" ht="22.5" customHeight="1">
      <c r="A150" s="24"/>
      <c r="B150" s="71"/>
      <c r="C150" s="71"/>
      <c r="D150" s="71"/>
      <c r="E150" s="138"/>
      <c r="F150" s="25"/>
      <c r="G150" s="138"/>
      <c r="H150" s="26"/>
    </row>
    <row r="151" ht="22.5" customHeight="1">
      <c r="A151" s="24"/>
      <c r="B151" s="71"/>
      <c r="C151" s="71"/>
      <c r="D151" s="71"/>
      <c r="E151" s="138"/>
      <c r="F151" s="25"/>
      <c r="G151" s="138"/>
      <c r="H151" s="26"/>
    </row>
    <row r="152" ht="22.5" customHeight="1">
      <c r="A152" s="24"/>
      <c r="B152" s="71"/>
      <c r="C152" s="71"/>
      <c r="D152" s="71"/>
      <c r="E152" s="138"/>
      <c r="F152" s="25"/>
      <c r="G152" s="138"/>
      <c r="H152" s="26"/>
    </row>
    <row r="153" ht="22.5" customHeight="1">
      <c r="A153" s="24"/>
      <c r="B153" s="71"/>
      <c r="C153" s="71"/>
      <c r="D153" s="71"/>
      <c r="E153" s="138"/>
      <c r="F153" s="25"/>
      <c r="G153" s="138"/>
      <c r="H153" s="26"/>
    </row>
    <row r="154" ht="22.5" customHeight="1">
      <c r="A154" s="24"/>
      <c r="B154" s="71"/>
      <c r="C154" s="71"/>
      <c r="D154" s="71"/>
      <c r="E154" s="138"/>
      <c r="F154" s="25"/>
      <c r="G154" s="138"/>
      <c r="H154" s="26"/>
    </row>
    <row r="155" ht="22.5" customHeight="1">
      <c r="A155" s="24"/>
      <c r="B155" s="71"/>
      <c r="C155" s="71"/>
      <c r="D155" s="71"/>
      <c r="E155" s="138"/>
      <c r="F155" s="25"/>
      <c r="G155" s="138"/>
      <c r="H155" s="26"/>
    </row>
    <row r="156" ht="22.5" customHeight="1">
      <c r="A156" s="24"/>
      <c r="B156" s="71"/>
      <c r="C156" s="71"/>
      <c r="D156" s="71"/>
      <c r="E156" s="138"/>
      <c r="F156" s="25"/>
      <c r="G156" s="138"/>
      <c r="H156" s="26"/>
    </row>
    <row r="157" ht="22.5" customHeight="1">
      <c r="A157" s="24"/>
      <c r="B157" s="71"/>
      <c r="C157" s="71"/>
      <c r="D157" s="71"/>
      <c r="E157" s="138"/>
      <c r="F157" s="25"/>
      <c r="G157" s="138"/>
      <c r="H157" s="26"/>
    </row>
    <row r="158" ht="22.5" customHeight="1">
      <c r="A158" s="24"/>
      <c r="B158" s="71"/>
      <c r="C158" s="71"/>
      <c r="D158" s="71"/>
      <c r="E158" s="138"/>
      <c r="F158" s="25"/>
      <c r="G158" s="138"/>
      <c r="H158" s="26"/>
    </row>
    <row r="159" ht="22.5" customHeight="1">
      <c r="A159" s="24"/>
      <c r="B159" s="71"/>
      <c r="C159" s="71"/>
      <c r="D159" s="71"/>
      <c r="E159" s="138"/>
      <c r="F159" s="25"/>
      <c r="G159" s="138"/>
      <c r="H159" s="26"/>
    </row>
    <row r="160" ht="22.5" customHeight="1">
      <c r="A160" s="24"/>
      <c r="B160" s="71"/>
      <c r="C160" s="71"/>
      <c r="D160" s="71"/>
      <c r="E160" s="138"/>
      <c r="F160" s="25"/>
      <c r="G160" s="138"/>
      <c r="H160" s="26"/>
    </row>
    <row r="161" ht="22.5" customHeight="1">
      <c r="A161" s="24"/>
      <c r="B161" s="71"/>
      <c r="C161" s="71"/>
      <c r="D161" s="71"/>
      <c r="E161" s="138"/>
      <c r="F161" s="25"/>
      <c r="G161" s="138"/>
      <c r="H161" s="26"/>
    </row>
    <row r="162" ht="22.5" customHeight="1">
      <c r="A162" s="24"/>
      <c r="B162" s="71"/>
      <c r="C162" s="71"/>
      <c r="D162" s="71"/>
      <c r="E162" s="138"/>
      <c r="F162" s="25"/>
      <c r="G162" s="138"/>
      <c r="H162" s="26"/>
    </row>
    <row r="163" ht="22.5" customHeight="1">
      <c r="A163" s="24"/>
      <c r="B163" s="71"/>
      <c r="C163" s="71"/>
      <c r="D163" s="71"/>
      <c r="E163" s="138"/>
      <c r="F163" s="25"/>
      <c r="G163" s="138"/>
      <c r="H163" s="26"/>
    </row>
    <row r="164" ht="22.5" customHeight="1">
      <c r="A164" s="24"/>
      <c r="B164" s="71"/>
      <c r="C164" s="71"/>
      <c r="D164" s="71"/>
      <c r="E164" s="138"/>
      <c r="F164" s="25"/>
      <c r="G164" s="138"/>
      <c r="H164" s="26"/>
    </row>
    <row r="165" ht="22.5" customHeight="1">
      <c r="A165" s="24"/>
      <c r="B165" s="71"/>
      <c r="C165" s="71"/>
      <c r="D165" s="71"/>
      <c r="E165" s="138"/>
      <c r="F165" s="25"/>
      <c r="G165" s="138"/>
      <c r="H165" s="26"/>
    </row>
    <row r="166" ht="22.5" customHeight="1">
      <c r="A166" s="24"/>
      <c r="B166" s="71"/>
      <c r="C166" s="71"/>
      <c r="D166" s="71"/>
      <c r="E166" s="138"/>
      <c r="F166" s="25"/>
      <c r="G166" s="138"/>
      <c r="H166" s="26"/>
    </row>
    <row r="167" ht="22.5" customHeight="1">
      <c r="A167" s="24"/>
      <c r="B167" s="71"/>
      <c r="C167" s="71"/>
      <c r="D167" s="71"/>
      <c r="E167" s="138"/>
      <c r="F167" s="25"/>
      <c r="G167" s="138"/>
      <c r="H167" s="26"/>
    </row>
    <row r="168" ht="22.5" customHeight="1">
      <c r="A168" s="24"/>
      <c r="B168" s="71"/>
      <c r="C168" s="71"/>
      <c r="D168" s="71"/>
      <c r="E168" s="138"/>
      <c r="F168" s="25"/>
      <c r="G168" s="138"/>
      <c r="H168" s="26"/>
    </row>
    <row r="169" ht="22.5" customHeight="1">
      <c r="A169" s="24"/>
      <c r="B169" s="71"/>
      <c r="C169" s="71"/>
      <c r="D169" s="71"/>
      <c r="E169" s="138"/>
      <c r="F169" s="25"/>
      <c r="G169" s="138"/>
      <c r="H169" s="26"/>
    </row>
    <row r="170" ht="22.5" customHeight="1">
      <c r="A170" s="24"/>
      <c r="B170" s="71"/>
      <c r="C170" s="71"/>
      <c r="D170" s="71"/>
      <c r="E170" s="138"/>
      <c r="F170" s="25"/>
      <c r="G170" s="138"/>
      <c r="H170" s="26"/>
    </row>
    <row r="171" ht="22.5" customHeight="1">
      <c r="A171" s="24"/>
      <c r="B171" s="71"/>
      <c r="C171" s="71"/>
      <c r="D171" s="71"/>
      <c r="E171" s="138"/>
      <c r="F171" s="25"/>
      <c r="G171" s="138"/>
      <c r="H171" s="26"/>
    </row>
    <row r="172" ht="22.5" customHeight="1">
      <c r="A172" s="24"/>
      <c r="B172" s="71"/>
      <c r="C172" s="71"/>
      <c r="D172" s="71"/>
      <c r="E172" s="138"/>
      <c r="F172" s="25"/>
      <c r="G172" s="138"/>
      <c r="H172" s="26"/>
    </row>
    <row r="173" ht="22.5" customHeight="1">
      <c r="A173" s="24"/>
      <c r="B173" s="71"/>
      <c r="C173" s="71"/>
      <c r="D173" s="71"/>
      <c r="E173" s="138"/>
      <c r="F173" s="25"/>
      <c r="G173" s="138"/>
      <c r="H173" s="26"/>
    </row>
    <row r="174" ht="22.5" customHeight="1">
      <c r="A174" s="24"/>
      <c r="B174" s="71"/>
      <c r="C174" s="71"/>
      <c r="D174" s="71"/>
      <c r="E174" s="138"/>
      <c r="F174" s="25"/>
      <c r="G174" s="138"/>
      <c r="H174" s="26"/>
    </row>
    <row r="175" ht="22.5" customHeight="1">
      <c r="A175" s="24"/>
      <c r="B175" s="71"/>
      <c r="C175" s="71"/>
      <c r="D175" s="71"/>
      <c r="E175" s="138"/>
      <c r="F175" s="25"/>
      <c r="G175" s="138"/>
      <c r="H175" s="26"/>
    </row>
    <row r="176" ht="22.5" customHeight="1">
      <c r="A176" s="24"/>
      <c r="B176" s="71"/>
      <c r="C176" s="71"/>
      <c r="D176" s="71"/>
      <c r="E176" s="138"/>
      <c r="F176" s="25"/>
      <c r="G176" s="138"/>
      <c r="H176" s="26"/>
    </row>
    <row r="177" ht="22.5" customHeight="1">
      <c r="A177" s="24"/>
      <c r="B177" s="71"/>
      <c r="C177" s="71"/>
      <c r="D177" s="71"/>
      <c r="E177" s="138"/>
      <c r="F177" s="25"/>
      <c r="G177" s="138"/>
      <c r="H177" s="26"/>
    </row>
    <row r="178" ht="22.5" customHeight="1">
      <c r="A178" s="24"/>
      <c r="B178" s="71"/>
      <c r="C178" s="71"/>
      <c r="D178" s="71"/>
      <c r="E178" s="138"/>
      <c r="F178" s="25"/>
      <c r="G178" s="138"/>
      <c r="H178" s="26"/>
    </row>
    <row r="179" ht="22.5" customHeight="1">
      <c r="A179" s="24"/>
      <c r="B179" s="71"/>
      <c r="C179" s="71"/>
      <c r="D179" s="71"/>
      <c r="E179" s="138"/>
      <c r="F179" s="25"/>
      <c r="G179" s="138"/>
      <c r="H179" s="26"/>
    </row>
    <row r="180" ht="22.5" customHeight="1">
      <c r="A180" s="24"/>
      <c r="B180" s="71"/>
      <c r="C180" s="71"/>
      <c r="D180" s="71"/>
      <c r="E180" s="138"/>
      <c r="F180" s="25"/>
      <c r="G180" s="138"/>
      <c r="H180" s="26"/>
    </row>
    <row r="181" ht="22.5" customHeight="1">
      <c r="A181" s="24"/>
      <c r="B181" s="71"/>
      <c r="C181" s="71"/>
      <c r="D181" s="71"/>
      <c r="E181" s="138"/>
      <c r="F181" s="25"/>
      <c r="G181" s="138"/>
      <c r="H181" s="26"/>
    </row>
    <row r="182" ht="22.5" customHeight="1">
      <c r="A182" s="24"/>
      <c r="B182" s="71"/>
      <c r="C182" s="71"/>
      <c r="D182" s="71"/>
      <c r="E182" s="138"/>
      <c r="F182" s="25"/>
      <c r="G182" s="138"/>
      <c r="H182" s="26"/>
    </row>
    <row r="183" ht="22.5" customHeight="1">
      <c r="A183" s="24"/>
      <c r="B183" s="71"/>
      <c r="C183" s="71"/>
      <c r="D183" s="71"/>
      <c r="E183" s="138"/>
      <c r="F183" s="25"/>
      <c r="G183" s="138"/>
      <c r="H183" s="26"/>
    </row>
    <row r="184" ht="22.5" customHeight="1">
      <c r="A184" s="24"/>
      <c r="B184" s="71"/>
      <c r="C184" s="71"/>
      <c r="D184" s="71"/>
      <c r="E184" s="138"/>
      <c r="F184" s="25"/>
      <c r="G184" s="138"/>
      <c r="H184" s="26"/>
    </row>
    <row r="185" ht="22.5" customHeight="1">
      <c r="A185" s="24"/>
      <c r="B185" s="71"/>
      <c r="C185" s="71"/>
      <c r="D185" s="71"/>
      <c r="E185" s="138"/>
      <c r="F185" s="25"/>
      <c r="G185" s="138"/>
      <c r="H185" s="26"/>
    </row>
    <row r="186" ht="22.5" customHeight="1">
      <c r="A186" s="24"/>
      <c r="B186" s="71"/>
      <c r="C186" s="71"/>
      <c r="D186" s="71"/>
      <c r="E186" s="138"/>
      <c r="F186" s="25"/>
      <c r="G186" s="138"/>
      <c r="H186" s="26"/>
    </row>
    <row r="187" ht="22.5" customHeight="1">
      <c r="A187" s="24"/>
      <c r="B187" s="71"/>
      <c r="C187" s="71"/>
      <c r="D187" s="71"/>
      <c r="E187" s="138"/>
      <c r="F187" s="25"/>
      <c r="G187" s="138"/>
      <c r="H187" s="26"/>
    </row>
    <row r="188" ht="22.5" customHeight="1">
      <c r="A188" s="24"/>
      <c r="B188" s="71"/>
      <c r="C188" s="71"/>
      <c r="D188" s="71"/>
      <c r="E188" s="138"/>
      <c r="F188" s="25"/>
      <c r="G188" s="138"/>
      <c r="H188" s="26"/>
    </row>
    <row r="189" ht="22.5" customHeight="1">
      <c r="A189" s="24"/>
      <c r="B189" s="71"/>
      <c r="C189" s="71"/>
      <c r="D189" s="71"/>
      <c r="E189" s="138"/>
      <c r="F189" s="25"/>
      <c r="G189" s="138"/>
      <c r="H189" s="26"/>
    </row>
    <row r="190" ht="22.5" customHeight="1">
      <c r="A190" s="24"/>
      <c r="B190" s="71"/>
      <c r="C190" s="71"/>
      <c r="D190" s="71"/>
      <c r="E190" s="138"/>
      <c r="F190" s="25"/>
      <c r="G190" s="138"/>
      <c r="H190" s="26"/>
    </row>
    <row r="191" ht="22.5" customHeight="1">
      <c r="A191" s="24"/>
      <c r="B191" s="71"/>
      <c r="C191" s="71"/>
      <c r="D191" s="71"/>
      <c r="E191" s="138"/>
      <c r="F191" s="25"/>
      <c r="G191" s="138"/>
      <c r="H191" s="26"/>
    </row>
    <row r="192" ht="22.5" customHeight="1">
      <c r="A192" s="24"/>
      <c r="B192" s="71"/>
      <c r="C192" s="71"/>
      <c r="D192" s="71"/>
      <c r="E192" s="138"/>
      <c r="F192" s="25"/>
      <c r="G192" s="138"/>
      <c r="H192" s="26"/>
    </row>
    <row r="193" ht="22.5" customHeight="1">
      <c r="A193" s="24"/>
      <c r="B193" s="71"/>
      <c r="C193" s="71"/>
      <c r="D193" s="71"/>
      <c r="E193" s="138"/>
      <c r="F193" s="25"/>
      <c r="G193" s="138"/>
      <c r="H193" s="26"/>
    </row>
    <row r="194" ht="22.5" customHeight="1">
      <c r="A194" s="24"/>
      <c r="B194" s="71"/>
      <c r="C194" s="71"/>
      <c r="D194" s="71"/>
      <c r="E194" s="138"/>
      <c r="F194" s="25"/>
      <c r="G194" s="138"/>
      <c r="H194" s="26"/>
    </row>
    <row r="195" ht="22.5" customHeight="1">
      <c r="A195" s="24"/>
      <c r="B195" s="71"/>
      <c r="C195" s="71"/>
      <c r="D195" s="71"/>
      <c r="E195" s="138"/>
      <c r="F195" s="25"/>
      <c r="G195" s="138"/>
      <c r="H195" s="26"/>
    </row>
    <row r="196" ht="22.5" customHeight="1">
      <c r="A196" s="24"/>
      <c r="B196" s="71"/>
      <c r="C196" s="71"/>
      <c r="D196" s="71"/>
      <c r="E196" s="138"/>
      <c r="F196" s="25"/>
      <c r="G196" s="138"/>
      <c r="H196" s="26"/>
    </row>
    <row r="197" ht="22.5" customHeight="1">
      <c r="A197" s="24"/>
      <c r="B197" s="71"/>
      <c r="C197" s="71"/>
      <c r="D197" s="71"/>
      <c r="E197" s="138"/>
      <c r="F197" s="25"/>
      <c r="G197" s="138"/>
      <c r="H197" s="26"/>
    </row>
    <row r="198" ht="22.5" customHeight="1">
      <c r="A198" s="24"/>
      <c r="B198" s="71"/>
      <c r="C198" s="71"/>
      <c r="D198" s="71"/>
      <c r="E198" s="138"/>
      <c r="F198" s="25"/>
      <c r="G198" s="138"/>
      <c r="H198" s="26"/>
    </row>
    <row r="199" ht="22.5" customHeight="1">
      <c r="A199" s="24"/>
      <c r="B199" s="71"/>
      <c r="C199" s="71"/>
      <c r="D199" s="71"/>
      <c r="E199" s="138"/>
      <c r="F199" s="25"/>
      <c r="G199" s="138"/>
      <c r="H199" s="26"/>
    </row>
    <row r="200" ht="22.5" customHeight="1">
      <c r="A200" s="24"/>
      <c r="B200" s="71"/>
      <c r="C200" s="71"/>
      <c r="D200" s="71"/>
      <c r="E200" s="138"/>
      <c r="F200" s="25"/>
      <c r="G200" s="138"/>
      <c r="H200" s="26"/>
    </row>
    <row r="201" ht="22.5" customHeight="1">
      <c r="A201" s="24"/>
      <c r="B201" s="71"/>
      <c r="C201" s="71"/>
      <c r="D201" s="71"/>
      <c r="E201" s="138"/>
      <c r="F201" s="25"/>
      <c r="G201" s="138"/>
      <c r="H201" s="26"/>
    </row>
    <row r="202" ht="22.5" customHeight="1">
      <c r="A202" s="24"/>
      <c r="B202" s="71"/>
      <c r="C202" s="71"/>
      <c r="D202" s="71"/>
      <c r="E202" s="138"/>
      <c r="F202" s="25"/>
      <c r="G202" s="138"/>
      <c r="H202" s="26"/>
    </row>
    <row r="203" ht="22.5" customHeight="1">
      <c r="A203" s="24"/>
      <c r="B203" s="71"/>
      <c r="C203" s="71"/>
      <c r="D203" s="71"/>
      <c r="E203" s="138"/>
      <c r="F203" s="25"/>
      <c r="G203" s="138"/>
      <c r="H203" s="26"/>
    </row>
    <row r="204" ht="22.5" customHeight="1">
      <c r="A204" s="24"/>
      <c r="B204" s="71"/>
      <c r="C204" s="71"/>
      <c r="D204" s="71"/>
      <c r="E204" s="138"/>
      <c r="F204" s="25"/>
      <c r="G204" s="138"/>
      <c r="H204" s="26"/>
    </row>
    <row r="205" ht="22.5" customHeight="1">
      <c r="A205" s="24"/>
      <c r="B205" s="71"/>
      <c r="C205" s="71"/>
      <c r="D205" s="71"/>
      <c r="E205" s="138"/>
      <c r="F205" s="25"/>
      <c r="G205" s="138"/>
      <c r="H205" s="26"/>
    </row>
    <row r="206" ht="22.5" customHeight="1">
      <c r="A206" s="24"/>
      <c r="B206" s="71"/>
      <c r="C206" s="71"/>
      <c r="D206" s="71"/>
      <c r="E206" s="138"/>
      <c r="F206" s="25"/>
      <c r="G206" s="138"/>
      <c r="H206" s="26"/>
    </row>
    <row r="207" ht="22.5" customHeight="1">
      <c r="A207" s="24"/>
      <c r="B207" s="71"/>
      <c r="C207" s="71"/>
      <c r="D207" s="71"/>
      <c r="E207" s="138"/>
      <c r="F207" s="25"/>
      <c r="G207" s="138"/>
      <c r="H207" s="26"/>
    </row>
    <row r="208" ht="22.5" customHeight="1">
      <c r="A208" s="24"/>
      <c r="B208" s="71"/>
      <c r="C208" s="71"/>
      <c r="D208" s="71"/>
      <c r="E208" s="138"/>
      <c r="F208" s="25"/>
      <c r="G208" s="138"/>
      <c r="H208" s="26"/>
    </row>
    <row r="209" ht="22.5" customHeight="1">
      <c r="A209" s="24"/>
      <c r="B209" s="71"/>
      <c r="C209" s="71"/>
      <c r="D209" s="71"/>
      <c r="E209" s="138"/>
      <c r="F209" s="25"/>
      <c r="G209" s="138"/>
      <c r="H209" s="26"/>
    </row>
    <row r="210" ht="22.5" customHeight="1">
      <c r="A210" s="24"/>
      <c r="B210" s="71"/>
      <c r="C210" s="71"/>
      <c r="D210" s="71"/>
      <c r="E210" s="138"/>
      <c r="F210" s="25"/>
      <c r="G210" s="138"/>
      <c r="H210" s="26"/>
    </row>
    <row r="211" ht="22.5" customHeight="1">
      <c r="A211" s="24"/>
      <c r="B211" s="71"/>
      <c r="C211" s="71"/>
      <c r="D211" s="71"/>
      <c r="E211" s="138"/>
      <c r="F211" s="25"/>
      <c r="G211" s="138"/>
      <c r="H211" s="26"/>
    </row>
    <row r="212" ht="22.5" customHeight="1">
      <c r="A212" s="24"/>
      <c r="B212" s="71"/>
      <c r="C212" s="71"/>
      <c r="D212" s="71"/>
      <c r="E212" s="138"/>
      <c r="F212" s="25"/>
      <c r="G212" s="138"/>
      <c r="H212" s="26"/>
    </row>
    <row r="213" ht="22.5" customHeight="1">
      <c r="A213" s="24"/>
      <c r="B213" s="71"/>
      <c r="C213" s="71"/>
      <c r="D213" s="71"/>
      <c r="E213" s="138"/>
      <c r="F213" s="25"/>
      <c r="G213" s="138"/>
      <c r="H213" s="26"/>
    </row>
    <row r="214" ht="22.5" customHeight="1">
      <c r="A214" s="24"/>
      <c r="B214" s="71"/>
      <c r="C214" s="71"/>
      <c r="D214" s="71"/>
      <c r="E214" s="138"/>
      <c r="F214" s="25"/>
      <c r="G214" s="138"/>
      <c r="H214" s="26"/>
    </row>
    <row r="215" ht="22.5" customHeight="1">
      <c r="A215" s="24"/>
      <c r="B215" s="71"/>
      <c r="C215" s="71"/>
      <c r="D215" s="71"/>
      <c r="E215" s="138"/>
      <c r="F215" s="25"/>
      <c r="G215" s="138"/>
      <c r="H215" s="26"/>
    </row>
    <row r="216" ht="22.5" customHeight="1">
      <c r="A216" s="24"/>
      <c r="B216" s="71"/>
      <c r="C216" s="71"/>
      <c r="D216" s="71"/>
      <c r="E216" s="138"/>
      <c r="F216" s="25"/>
      <c r="G216" s="138"/>
      <c r="H216" s="26"/>
    </row>
    <row r="217" ht="22.5" customHeight="1">
      <c r="A217" s="24"/>
      <c r="B217" s="71"/>
      <c r="C217" s="71"/>
      <c r="D217" s="71"/>
      <c r="E217" s="138"/>
      <c r="F217" s="25"/>
      <c r="G217" s="138"/>
      <c r="H217" s="26"/>
    </row>
    <row r="218" ht="22.5" customHeight="1">
      <c r="A218" s="24"/>
      <c r="B218" s="71"/>
      <c r="C218" s="71"/>
      <c r="D218" s="71"/>
      <c r="E218" s="138"/>
      <c r="F218" s="25"/>
      <c r="G218" s="138"/>
      <c r="H218" s="26"/>
    </row>
    <row r="219" ht="22.5" customHeight="1">
      <c r="A219" s="24"/>
      <c r="B219" s="71"/>
      <c r="C219" s="71"/>
      <c r="D219" s="71"/>
      <c r="E219" s="138"/>
      <c r="F219" s="25"/>
      <c r="G219" s="138"/>
      <c r="H219" s="26"/>
    </row>
    <row r="220" ht="22.5" customHeight="1">
      <c r="A220" s="24"/>
      <c r="B220" s="71"/>
      <c r="C220" s="71"/>
      <c r="D220" s="71"/>
      <c r="E220" s="138"/>
      <c r="F220" s="25"/>
      <c r="G220" s="138"/>
      <c r="H220" s="26"/>
    </row>
    <row r="221" ht="22.5" customHeight="1">
      <c r="A221" s="24"/>
      <c r="B221" s="71"/>
      <c r="C221" s="71"/>
      <c r="D221" s="71"/>
      <c r="E221" s="138"/>
      <c r="F221" s="25"/>
      <c r="G221" s="138"/>
      <c r="H221" s="26"/>
    </row>
    <row r="222" ht="22.5" customHeight="1">
      <c r="A222" s="24"/>
      <c r="B222" s="71"/>
      <c r="C222" s="71"/>
      <c r="D222" s="71"/>
      <c r="E222" s="138"/>
      <c r="F222" s="25"/>
      <c r="G222" s="138"/>
      <c r="H222" s="26"/>
    </row>
    <row r="223" ht="22.5" customHeight="1">
      <c r="A223" s="24"/>
      <c r="B223" s="71"/>
      <c r="C223" s="71"/>
      <c r="D223" s="71"/>
      <c r="E223" s="138"/>
      <c r="F223" s="25"/>
      <c r="G223" s="138"/>
      <c r="H223" s="26"/>
    </row>
    <row r="224" ht="22.5" customHeight="1">
      <c r="A224" s="24"/>
      <c r="B224" s="71"/>
      <c r="C224" s="71"/>
      <c r="D224" s="71"/>
      <c r="E224" s="138"/>
      <c r="F224" s="25"/>
      <c r="G224" s="138"/>
      <c r="H224" s="26"/>
    </row>
    <row r="225" ht="22.5" customHeight="1">
      <c r="A225" s="24"/>
      <c r="B225" s="71"/>
      <c r="C225" s="71"/>
      <c r="D225" s="71"/>
      <c r="E225" s="138"/>
      <c r="F225" s="25"/>
      <c r="G225" s="138"/>
      <c r="H225" s="26"/>
    </row>
    <row r="226" ht="22.5" customHeight="1">
      <c r="A226" s="24"/>
      <c r="B226" s="71"/>
      <c r="C226" s="71"/>
      <c r="D226" s="71"/>
      <c r="E226" s="138"/>
      <c r="F226" s="25"/>
      <c r="G226" s="138"/>
      <c r="H226" s="26"/>
    </row>
    <row r="227" ht="22.5" customHeight="1">
      <c r="A227" s="24"/>
      <c r="B227" s="71"/>
      <c r="C227" s="71"/>
      <c r="D227" s="71"/>
      <c r="E227" s="138"/>
      <c r="F227" s="25"/>
      <c r="G227" s="138"/>
      <c r="H227" s="26"/>
    </row>
    <row r="228" ht="22.5" customHeight="1">
      <c r="A228" s="24"/>
      <c r="B228" s="71"/>
      <c r="C228" s="71"/>
      <c r="D228" s="71"/>
      <c r="E228" s="138"/>
      <c r="F228" s="25"/>
      <c r="G228" s="138"/>
      <c r="H228" s="26"/>
    </row>
    <row r="229" ht="22.5" customHeight="1">
      <c r="A229" s="24"/>
      <c r="B229" s="71"/>
      <c r="C229" s="71"/>
      <c r="D229" s="71"/>
      <c r="E229" s="138"/>
      <c r="F229" s="25"/>
      <c r="G229" s="138"/>
      <c r="H229" s="26"/>
    </row>
    <row r="230" ht="22.5" customHeight="1">
      <c r="A230" s="24"/>
      <c r="B230" s="71"/>
      <c r="C230" s="71"/>
      <c r="D230" s="71"/>
      <c r="E230" s="138"/>
      <c r="F230" s="25"/>
      <c r="G230" s="138"/>
      <c r="H230" s="26"/>
    </row>
    <row r="231" ht="22.5" customHeight="1">
      <c r="A231" s="24"/>
      <c r="B231" s="71"/>
      <c r="C231" s="71"/>
      <c r="D231" s="71"/>
      <c r="E231" s="138"/>
      <c r="F231" s="25"/>
      <c r="G231" s="138"/>
      <c r="H231" s="26"/>
    </row>
    <row r="232" ht="22.5" customHeight="1">
      <c r="A232" s="24"/>
      <c r="B232" s="71"/>
      <c r="C232" s="71"/>
      <c r="D232" s="71"/>
      <c r="E232" s="138"/>
      <c r="F232" s="25"/>
      <c r="G232" s="138"/>
      <c r="H232" s="26"/>
    </row>
    <row r="233" ht="22.5" customHeight="1">
      <c r="A233" s="24"/>
      <c r="B233" s="71"/>
      <c r="C233" s="71"/>
      <c r="D233" s="71"/>
      <c r="E233" s="138"/>
      <c r="F233" s="25"/>
      <c r="G233" s="138"/>
      <c r="H233" s="26"/>
    </row>
    <row r="234" ht="22.5" customHeight="1">
      <c r="A234" s="24"/>
      <c r="B234" s="71"/>
      <c r="C234" s="71"/>
      <c r="D234" s="71"/>
      <c r="E234" s="138"/>
      <c r="F234" s="25"/>
      <c r="G234" s="138"/>
      <c r="H234" s="26"/>
    </row>
    <row r="235" ht="22.5" customHeight="1">
      <c r="A235" s="24"/>
      <c r="B235" s="71"/>
      <c r="C235" s="71"/>
      <c r="D235" s="71"/>
      <c r="E235" s="138"/>
      <c r="F235" s="25"/>
      <c r="G235" s="138"/>
      <c r="H235" s="26"/>
    </row>
    <row r="236" ht="22.5" customHeight="1">
      <c r="A236" s="24"/>
      <c r="B236" s="71"/>
      <c r="C236" s="71"/>
      <c r="D236" s="71"/>
      <c r="E236" s="138"/>
      <c r="F236" s="25"/>
      <c r="G236" s="138"/>
      <c r="H236" s="26"/>
    </row>
    <row r="237" ht="22.5" customHeight="1">
      <c r="A237" s="24"/>
      <c r="B237" s="71"/>
      <c r="C237" s="71"/>
      <c r="D237" s="71"/>
      <c r="E237" s="138"/>
      <c r="F237" s="25"/>
      <c r="G237" s="138"/>
      <c r="H237" s="26"/>
    </row>
    <row r="238" ht="22.5" customHeight="1">
      <c r="A238" s="24"/>
      <c r="B238" s="71"/>
      <c r="C238" s="71"/>
      <c r="D238" s="71"/>
      <c r="E238" s="138"/>
      <c r="F238" s="25"/>
      <c r="G238" s="138"/>
      <c r="H238" s="26"/>
    </row>
    <row r="239" ht="22.5" customHeight="1">
      <c r="A239" s="24"/>
      <c r="B239" s="71"/>
      <c r="C239" s="71"/>
      <c r="D239" s="71"/>
      <c r="E239" s="138"/>
      <c r="F239" s="25"/>
      <c r="G239" s="138"/>
      <c r="H239" s="26"/>
    </row>
    <row r="240" ht="22.5" customHeight="1">
      <c r="A240" s="24"/>
      <c r="B240" s="71"/>
      <c r="C240" s="71"/>
      <c r="D240" s="71"/>
      <c r="E240" s="138"/>
      <c r="F240" s="25"/>
      <c r="G240" s="138"/>
      <c r="H240" s="26"/>
    </row>
    <row r="241" ht="22.5" customHeight="1">
      <c r="A241" s="24"/>
      <c r="B241" s="71"/>
      <c r="C241" s="71"/>
      <c r="D241" s="71"/>
      <c r="E241" s="138"/>
      <c r="F241" s="25"/>
      <c r="G241" s="138"/>
      <c r="H241" s="26"/>
    </row>
    <row r="242" ht="22.5" customHeight="1">
      <c r="A242" s="24"/>
      <c r="B242" s="71"/>
      <c r="C242" s="71"/>
      <c r="D242" s="71"/>
      <c r="E242" s="138"/>
      <c r="F242" s="25"/>
      <c r="G242" s="138"/>
      <c r="H242" s="26"/>
    </row>
    <row r="243" ht="22.5" customHeight="1">
      <c r="A243" s="24"/>
      <c r="B243" s="71"/>
      <c r="C243" s="71"/>
      <c r="D243" s="71"/>
      <c r="E243" s="138"/>
      <c r="F243" s="25"/>
      <c r="G243" s="138"/>
      <c r="H243" s="26"/>
    </row>
    <row r="244" ht="22.5" customHeight="1">
      <c r="A244" s="24"/>
      <c r="B244" s="71"/>
      <c r="C244" s="71"/>
      <c r="D244" s="71"/>
      <c r="E244" s="138"/>
      <c r="F244" s="25"/>
      <c r="G244" s="138"/>
      <c r="H244" s="26"/>
    </row>
    <row r="245" ht="22.5" customHeight="1">
      <c r="A245" s="24"/>
      <c r="B245" s="71"/>
      <c r="C245" s="71"/>
      <c r="D245" s="71"/>
      <c r="E245" s="138"/>
      <c r="F245" s="25"/>
      <c r="G245" s="138"/>
      <c r="H245" s="26"/>
    </row>
    <row r="246" ht="22.5" customHeight="1">
      <c r="A246" s="24"/>
      <c r="B246" s="71"/>
      <c r="C246" s="71"/>
      <c r="D246" s="71"/>
      <c r="E246" s="138"/>
      <c r="F246" s="25"/>
      <c r="G246" s="138"/>
      <c r="H246" s="26"/>
    </row>
    <row r="247" ht="22.5" customHeight="1">
      <c r="A247" s="24"/>
      <c r="B247" s="71"/>
      <c r="C247" s="71"/>
      <c r="D247" s="71"/>
      <c r="E247" s="138"/>
      <c r="F247" s="25"/>
      <c r="G247" s="138"/>
      <c r="H247" s="26"/>
    </row>
    <row r="248" ht="22.5" customHeight="1">
      <c r="A248" s="24"/>
      <c r="B248" s="71"/>
      <c r="C248" s="71"/>
      <c r="D248" s="71"/>
      <c r="E248" s="138"/>
      <c r="F248" s="25"/>
      <c r="G248" s="138"/>
      <c r="H248" s="26"/>
    </row>
    <row r="249" ht="22.5" customHeight="1">
      <c r="A249" s="24"/>
      <c r="B249" s="71"/>
      <c r="C249" s="71"/>
      <c r="D249" s="71"/>
      <c r="E249" s="138"/>
      <c r="F249" s="25"/>
      <c r="G249" s="138"/>
      <c r="H249" s="26"/>
    </row>
    <row r="250" ht="22.5" customHeight="1">
      <c r="A250" s="24"/>
      <c r="B250" s="71"/>
      <c r="C250" s="71"/>
      <c r="D250" s="71"/>
      <c r="E250" s="138"/>
      <c r="F250" s="25"/>
      <c r="G250" s="138"/>
      <c r="H250" s="26"/>
    </row>
    <row r="251" ht="22.5" customHeight="1">
      <c r="A251" s="24"/>
      <c r="B251" s="71"/>
      <c r="C251" s="71"/>
      <c r="D251" s="71"/>
      <c r="E251" s="138"/>
      <c r="F251" s="25"/>
      <c r="G251" s="138"/>
      <c r="H251" s="26"/>
    </row>
    <row r="252" ht="22.5" customHeight="1">
      <c r="A252" s="24"/>
      <c r="B252" s="71"/>
      <c r="C252" s="71"/>
      <c r="D252" s="71"/>
      <c r="E252" s="138"/>
      <c r="F252" s="25"/>
      <c r="G252" s="138"/>
      <c r="H252" s="26"/>
    </row>
    <row r="253" ht="22.5" customHeight="1">
      <c r="A253" s="24"/>
      <c r="B253" s="71"/>
      <c r="C253" s="71"/>
      <c r="D253" s="71"/>
      <c r="E253" s="138"/>
      <c r="F253" s="25"/>
      <c r="G253" s="138"/>
      <c r="H253" s="26"/>
    </row>
    <row r="254" ht="22.5" customHeight="1">
      <c r="A254" s="24"/>
      <c r="B254" s="71"/>
      <c r="C254" s="71"/>
      <c r="D254" s="71"/>
      <c r="E254" s="138"/>
      <c r="F254" s="25"/>
      <c r="G254" s="138"/>
      <c r="H254" s="26"/>
    </row>
    <row r="255" ht="22.5" customHeight="1">
      <c r="A255" s="24"/>
      <c r="B255" s="71"/>
      <c r="C255" s="71"/>
      <c r="D255" s="71"/>
      <c r="E255" s="138"/>
      <c r="F255" s="25"/>
      <c r="G255" s="138"/>
      <c r="H255" s="26"/>
    </row>
    <row r="256" ht="22.5" customHeight="1">
      <c r="A256" s="24"/>
      <c r="B256" s="71"/>
      <c r="C256" s="71"/>
      <c r="D256" s="71"/>
      <c r="E256" s="138"/>
      <c r="F256" s="25"/>
      <c r="G256" s="138"/>
      <c r="H256" s="26"/>
    </row>
    <row r="257" ht="22.5" customHeight="1">
      <c r="A257" s="24"/>
      <c r="B257" s="71"/>
      <c r="C257" s="71"/>
      <c r="D257" s="71"/>
      <c r="E257" s="138"/>
      <c r="F257" s="25"/>
      <c r="G257" s="138"/>
      <c r="H257" s="26"/>
    </row>
    <row r="258" ht="22.5" customHeight="1">
      <c r="A258" s="24"/>
      <c r="B258" s="71"/>
      <c r="C258" s="71"/>
      <c r="D258" s="71"/>
      <c r="E258" s="138"/>
      <c r="F258" s="25"/>
      <c r="G258" s="138"/>
      <c r="H258" s="26"/>
    </row>
    <row r="259" ht="22.5" customHeight="1">
      <c r="A259" s="24"/>
      <c r="B259" s="71"/>
      <c r="C259" s="71"/>
      <c r="D259" s="71"/>
      <c r="E259" s="138"/>
      <c r="F259" s="25"/>
      <c r="G259" s="138"/>
      <c r="H259" s="26"/>
    </row>
    <row r="260" ht="22.5" customHeight="1">
      <c r="A260" s="24"/>
      <c r="B260" s="71"/>
      <c r="C260" s="71"/>
      <c r="D260" s="71"/>
      <c r="E260" s="138"/>
      <c r="F260" s="25"/>
      <c r="G260" s="138"/>
      <c r="H260" s="26"/>
    </row>
    <row r="261" ht="22.5" customHeight="1">
      <c r="A261" s="24"/>
      <c r="B261" s="71"/>
      <c r="C261" s="71"/>
      <c r="D261" s="71"/>
      <c r="E261" s="138"/>
      <c r="F261" s="25"/>
      <c r="G261" s="138"/>
      <c r="H261" s="26"/>
    </row>
    <row r="262" ht="22.5" customHeight="1">
      <c r="A262" s="24"/>
      <c r="B262" s="71"/>
      <c r="C262" s="71"/>
      <c r="D262" s="71"/>
      <c r="E262" s="138"/>
      <c r="F262" s="25"/>
      <c r="G262" s="138"/>
      <c r="H262" s="26"/>
    </row>
    <row r="263" ht="22.5" customHeight="1">
      <c r="A263" s="24"/>
      <c r="B263" s="71"/>
      <c r="C263" s="71"/>
      <c r="D263" s="71"/>
      <c r="E263" s="138"/>
      <c r="F263" s="25"/>
      <c r="G263" s="138"/>
      <c r="H263" s="26"/>
    </row>
    <row r="264" ht="22.5" customHeight="1">
      <c r="A264" s="24"/>
      <c r="B264" s="71"/>
      <c r="C264" s="71"/>
      <c r="D264" s="71"/>
      <c r="E264" s="138"/>
      <c r="F264" s="25"/>
      <c r="G264" s="138"/>
      <c r="H264" s="26"/>
    </row>
    <row r="265" ht="22.5" customHeight="1">
      <c r="A265" s="24"/>
      <c r="B265" s="71"/>
      <c r="C265" s="71"/>
      <c r="D265" s="71"/>
      <c r="E265" s="138"/>
      <c r="F265" s="25"/>
      <c r="G265" s="138"/>
      <c r="H265" s="26"/>
    </row>
    <row r="266" ht="22.5" customHeight="1">
      <c r="A266" s="24"/>
      <c r="B266" s="71"/>
      <c r="C266" s="71"/>
      <c r="D266" s="71"/>
      <c r="E266" s="138"/>
      <c r="F266" s="25"/>
      <c r="G266" s="138"/>
      <c r="H266" s="26"/>
    </row>
    <row r="267" ht="22.5" customHeight="1">
      <c r="A267" s="24"/>
      <c r="B267" s="71"/>
      <c r="C267" s="71"/>
      <c r="D267" s="71"/>
      <c r="E267" s="138"/>
      <c r="F267" s="25"/>
      <c r="G267" s="138"/>
      <c r="H267" s="26"/>
    </row>
    <row r="268" ht="22.5" customHeight="1">
      <c r="A268" s="24"/>
      <c r="B268" s="71"/>
      <c r="C268" s="71"/>
      <c r="D268" s="71"/>
      <c r="E268" s="138"/>
      <c r="F268" s="25"/>
      <c r="G268" s="138"/>
      <c r="H268" s="26"/>
    </row>
    <row r="269" ht="22.5" customHeight="1">
      <c r="A269" s="24"/>
      <c r="B269" s="71"/>
      <c r="C269" s="71"/>
      <c r="D269" s="71"/>
      <c r="E269" s="138"/>
      <c r="F269" s="25"/>
      <c r="G269" s="138"/>
      <c r="H269" s="26"/>
    </row>
    <row r="270" ht="22.5" customHeight="1">
      <c r="A270" s="24"/>
      <c r="B270" s="71"/>
      <c r="C270" s="71"/>
      <c r="D270" s="71"/>
      <c r="E270" s="138"/>
      <c r="F270" s="25"/>
      <c r="G270" s="138"/>
      <c r="H270" s="26"/>
    </row>
    <row r="271" ht="22.5" customHeight="1">
      <c r="A271" s="24"/>
      <c r="B271" s="71"/>
      <c r="C271" s="71"/>
      <c r="D271" s="71"/>
      <c r="E271" s="138"/>
      <c r="F271" s="25"/>
      <c r="G271" s="138"/>
      <c r="H271" s="26"/>
    </row>
    <row r="272" ht="22.5" customHeight="1">
      <c r="A272" s="24"/>
      <c r="B272" s="71"/>
      <c r="C272" s="71"/>
      <c r="D272" s="71"/>
      <c r="E272" s="138"/>
      <c r="F272" s="25"/>
      <c r="G272" s="138"/>
      <c r="H272" s="26"/>
    </row>
    <row r="273" ht="22.5" customHeight="1">
      <c r="A273" s="24"/>
      <c r="B273" s="71"/>
      <c r="C273" s="71"/>
      <c r="D273" s="71"/>
      <c r="E273" s="138"/>
      <c r="F273" s="25"/>
      <c r="G273" s="138"/>
      <c r="H273" s="26"/>
    </row>
    <row r="274" ht="22.5" customHeight="1">
      <c r="A274" s="24"/>
      <c r="B274" s="71"/>
      <c r="C274" s="71"/>
      <c r="D274" s="71"/>
      <c r="E274" s="138"/>
      <c r="F274" s="25"/>
      <c r="G274" s="138"/>
      <c r="H274" s="26"/>
    </row>
    <row r="275" ht="22.5" customHeight="1">
      <c r="A275" s="24"/>
      <c r="B275" s="71"/>
      <c r="C275" s="71"/>
      <c r="D275" s="71"/>
      <c r="E275" s="138"/>
      <c r="F275" s="25"/>
      <c r="G275" s="138"/>
      <c r="H275" s="26"/>
    </row>
    <row r="276" ht="22.5" customHeight="1">
      <c r="A276" s="24"/>
      <c r="B276" s="71"/>
      <c r="C276" s="71"/>
      <c r="D276" s="71"/>
      <c r="E276" s="138"/>
      <c r="F276" s="25"/>
      <c r="G276" s="138"/>
      <c r="H276" s="26"/>
    </row>
    <row r="277" ht="22.5" customHeight="1">
      <c r="A277" s="24"/>
      <c r="B277" s="71"/>
      <c r="C277" s="71"/>
      <c r="D277" s="71"/>
      <c r="E277" s="138"/>
      <c r="F277" s="25"/>
      <c r="G277" s="138"/>
      <c r="H277" s="26"/>
    </row>
    <row r="278" ht="22.5" customHeight="1">
      <c r="A278" s="24"/>
      <c r="B278" s="71"/>
      <c r="C278" s="71"/>
      <c r="D278" s="71"/>
      <c r="E278" s="138"/>
      <c r="F278" s="25"/>
      <c r="G278" s="138"/>
      <c r="H278" s="26"/>
    </row>
    <row r="279" ht="22.5" customHeight="1">
      <c r="A279" s="24"/>
      <c r="B279" s="71"/>
      <c r="C279" s="71"/>
      <c r="D279" s="71"/>
      <c r="E279" s="138"/>
      <c r="F279" s="25"/>
      <c r="G279" s="138"/>
      <c r="H279" s="26"/>
    </row>
    <row r="280" ht="22.5" customHeight="1">
      <c r="A280" s="24"/>
      <c r="B280" s="71"/>
      <c r="C280" s="71"/>
      <c r="D280" s="71"/>
      <c r="E280" s="138"/>
      <c r="F280" s="25"/>
      <c r="G280" s="138"/>
      <c r="H280" s="26"/>
    </row>
    <row r="281" ht="22.5" customHeight="1">
      <c r="A281" s="24"/>
      <c r="B281" s="71"/>
      <c r="C281" s="71"/>
      <c r="D281" s="71"/>
      <c r="E281" s="138"/>
      <c r="F281" s="25"/>
      <c r="G281" s="138"/>
      <c r="H281" s="26"/>
    </row>
    <row r="282" ht="22.5" customHeight="1">
      <c r="A282" s="24"/>
      <c r="B282" s="71"/>
      <c r="C282" s="71"/>
      <c r="D282" s="71"/>
      <c r="E282" s="138"/>
      <c r="F282" s="25"/>
      <c r="G282" s="138"/>
      <c r="H282" s="26"/>
    </row>
    <row r="283" ht="22.5" customHeight="1">
      <c r="A283" s="24"/>
      <c r="B283" s="71"/>
      <c r="C283" s="71"/>
      <c r="D283" s="71"/>
      <c r="E283" s="138"/>
      <c r="F283" s="25"/>
      <c r="G283" s="138"/>
      <c r="H283" s="26"/>
    </row>
    <row r="284" ht="22.5" customHeight="1">
      <c r="A284" s="24"/>
      <c r="B284" s="71"/>
      <c r="C284" s="71"/>
      <c r="D284" s="71"/>
      <c r="E284" s="138"/>
      <c r="F284" s="25"/>
      <c r="G284" s="138"/>
      <c r="H284" s="26"/>
    </row>
    <row r="285" ht="22.5" customHeight="1">
      <c r="A285" s="24"/>
      <c r="B285" s="71"/>
      <c r="C285" s="71"/>
      <c r="D285" s="71"/>
      <c r="E285" s="138"/>
      <c r="F285" s="25"/>
      <c r="G285" s="138"/>
      <c r="H285" s="26"/>
    </row>
    <row r="286" ht="22.5" customHeight="1">
      <c r="A286" s="24"/>
      <c r="B286" s="71"/>
      <c r="C286" s="71"/>
      <c r="D286" s="71"/>
      <c r="E286" s="138"/>
      <c r="F286" s="25"/>
      <c r="G286" s="138"/>
      <c r="H286" s="26"/>
    </row>
    <row r="287" ht="22.5" customHeight="1">
      <c r="A287" s="24"/>
      <c r="B287" s="71"/>
      <c r="C287" s="71"/>
      <c r="D287" s="71"/>
      <c r="E287" s="138"/>
      <c r="F287" s="25"/>
      <c r="G287" s="138"/>
      <c r="H287" s="26"/>
    </row>
    <row r="288" ht="22.5" customHeight="1">
      <c r="A288" s="24"/>
      <c r="B288" s="71"/>
      <c r="C288" s="71"/>
      <c r="D288" s="71"/>
      <c r="E288" s="138"/>
      <c r="F288" s="25"/>
      <c r="G288" s="138"/>
      <c r="H288" s="26"/>
    </row>
    <row r="289" ht="22.5" customHeight="1">
      <c r="A289" s="24"/>
      <c r="B289" s="71"/>
      <c r="C289" s="71"/>
      <c r="D289" s="71"/>
      <c r="E289" s="138"/>
      <c r="F289" s="25"/>
      <c r="G289" s="138"/>
      <c r="H289" s="26"/>
    </row>
    <row r="290" ht="22.5" customHeight="1">
      <c r="A290" s="24"/>
      <c r="B290" s="71"/>
      <c r="C290" s="71"/>
      <c r="D290" s="71"/>
      <c r="E290" s="138"/>
      <c r="F290" s="25"/>
      <c r="G290" s="138"/>
      <c r="H290" s="26"/>
    </row>
    <row r="291" ht="22.5" customHeight="1">
      <c r="A291" s="24"/>
      <c r="B291" s="71"/>
      <c r="C291" s="71"/>
      <c r="D291" s="71"/>
      <c r="E291" s="138"/>
      <c r="F291" s="25"/>
      <c r="G291" s="138"/>
      <c r="H291" s="26"/>
    </row>
    <row r="292" ht="22.5" customHeight="1">
      <c r="A292" s="24"/>
      <c r="B292" s="71"/>
      <c r="C292" s="71"/>
      <c r="D292" s="71"/>
      <c r="E292" s="138"/>
      <c r="F292" s="25"/>
      <c r="G292" s="138"/>
      <c r="H292" s="26"/>
    </row>
    <row r="293" ht="22.5" customHeight="1">
      <c r="A293" s="24"/>
      <c r="B293" s="71"/>
      <c r="C293" s="71"/>
      <c r="D293" s="71"/>
      <c r="E293" s="138"/>
      <c r="F293" s="25"/>
      <c r="G293" s="138"/>
      <c r="H293" s="26"/>
    </row>
    <row r="294" ht="22.5" customHeight="1">
      <c r="A294" s="24"/>
      <c r="B294" s="71"/>
      <c r="C294" s="71"/>
      <c r="D294" s="71"/>
      <c r="E294" s="138"/>
      <c r="F294" s="25"/>
      <c r="G294" s="138"/>
      <c r="H294" s="26"/>
    </row>
    <row r="295" ht="22.5" customHeight="1">
      <c r="A295" s="24"/>
      <c r="B295" s="71"/>
      <c r="C295" s="71"/>
      <c r="D295" s="71"/>
      <c r="E295" s="138"/>
      <c r="F295" s="25"/>
      <c r="G295" s="138"/>
      <c r="H295" s="26"/>
    </row>
    <row r="296" ht="22.5" customHeight="1">
      <c r="A296" s="24"/>
      <c r="B296" s="71"/>
      <c r="C296" s="71"/>
      <c r="D296" s="71"/>
      <c r="E296" s="138"/>
      <c r="F296" s="25"/>
      <c r="G296" s="138"/>
      <c r="H296" s="26"/>
    </row>
    <row r="297" ht="22.5" customHeight="1">
      <c r="A297" s="24"/>
      <c r="B297" s="71"/>
      <c r="C297" s="71"/>
      <c r="D297" s="71"/>
      <c r="E297" s="138"/>
      <c r="F297" s="25"/>
      <c r="G297" s="138"/>
      <c r="H297" s="26"/>
    </row>
    <row r="298" ht="22.5" customHeight="1">
      <c r="A298" s="24"/>
      <c r="B298" s="71"/>
      <c r="C298" s="71"/>
      <c r="D298" s="71"/>
      <c r="E298" s="138"/>
      <c r="F298" s="25"/>
      <c r="G298" s="138"/>
      <c r="H298" s="26"/>
    </row>
    <row r="299" ht="22.5" customHeight="1">
      <c r="A299" s="24"/>
      <c r="B299" s="71"/>
      <c r="C299" s="71"/>
      <c r="D299" s="71"/>
      <c r="E299" s="138"/>
      <c r="F299" s="25"/>
      <c r="G299" s="138"/>
      <c r="H299" s="26"/>
    </row>
    <row r="300" ht="22.5" customHeight="1">
      <c r="A300" s="24"/>
      <c r="B300" s="71"/>
      <c r="C300" s="71"/>
      <c r="D300" s="71"/>
      <c r="E300" s="138"/>
      <c r="F300" s="25"/>
      <c r="G300" s="138"/>
      <c r="H300" s="26"/>
    </row>
    <row r="301" ht="22.5" customHeight="1">
      <c r="A301" s="24"/>
      <c r="B301" s="71"/>
      <c r="C301" s="71"/>
      <c r="D301" s="71"/>
      <c r="E301" s="138"/>
      <c r="F301" s="25"/>
      <c r="G301" s="138"/>
      <c r="H301" s="26"/>
    </row>
    <row r="302" ht="22.5" customHeight="1">
      <c r="A302" s="24"/>
      <c r="B302" s="71"/>
      <c r="C302" s="71"/>
      <c r="D302" s="71"/>
      <c r="E302" s="138"/>
      <c r="F302" s="25"/>
      <c r="G302" s="138"/>
      <c r="H302" s="26"/>
    </row>
    <row r="303" ht="22.5" customHeight="1">
      <c r="A303" s="24"/>
      <c r="B303" s="71"/>
      <c r="C303" s="71"/>
      <c r="D303" s="71"/>
      <c r="E303" s="138"/>
      <c r="F303" s="25"/>
      <c r="G303" s="138"/>
      <c r="H303" s="26"/>
    </row>
    <row r="304" ht="22.5" customHeight="1">
      <c r="A304" s="24"/>
      <c r="B304" s="71"/>
      <c r="C304" s="71"/>
      <c r="D304" s="71"/>
      <c r="E304" s="138"/>
      <c r="F304" s="25"/>
      <c r="G304" s="138"/>
      <c r="H304" s="26"/>
    </row>
    <row r="305" ht="22.5" customHeight="1">
      <c r="A305" s="24"/>
      <c r="B305" s="71"/>
      <c r="C305" s="71"/>
      <c r="D305" s="71"/>
      <c r="E305" s="138"/>
      <c r="F305" s="25"/>
      <c r="G305" s="138"/>
      <c r="H305" s="26"/>
    </row>
    <row r="306" ht="22.5" customHeight="1">
      <c r="A306" s="24"/>
      <c r="B306" s="71"/>
      <c r="C306" s="71"/>
      <c r="D306" s="71"/>
      <c r="E306" s="138"/>
      <c r="F306" s="25"/>
      <c r="G306" s="138"/>
      <c r="H306" s="26"/>
    </row>
    <row r="307" ht="22.5" customHeight="1">
      <c r="A307" s="24"/>
      <c r="B307" s="71"/>
      <c r="C307" s="71"/>
      <c r="D307" s="71"/>
      <c r="E307" s="138"/>
      <c r="F307" s="25"/>
      <c r="G307" s="138"/>
      <c r="H307" s="26"/>
    </row>
    <row r="308" ht="22.5" customHeight="1">
      <c r="A308" s="24"/>
      <c r="B308" s="71"/>
      <c r="C308" s="71"/>
      <c r="D308" s="71"/>
      <c r="E308" s="138"/>
      <c r="F308" s="25"/>
      <c r="G308" s="138"/>
      <c r="H308" s="26"/>
    </row>
    <row r="309" ht="22.5" customHeight="1">
      <c r="A309" s="24"/>
      <c r="B309" s="71"/>
      <c r="C309" s="71"/>
      <c r="D309" s="71"/>
      <c r="E309" s="138"/>
      <c r="F309" s="25"/>
      <c r="G309" s="138"/>
      <c r="H309" s="26"/>
    </row>
    <row r="310" ht="22.5" customHeight="1">
      <c r="A310" s="24"/>
      <c r="B310" s="71"/>
      <c r="C310" s="71"/>
      <c r="D310" s="71"/>
      <c r="E310" s="138"/>
      <c r="F310" s="25"/>
      <c r="G310" s="138"/>
      <c r="H310" s="26"/>
    </row>
    <row r="311" ht="22.5" customHeight="1">
      <c r="A311" s="24"/>
      <c r="B311" s="71"/>
      <c r="C311" s="71"/>
      <c r="D311" s="71"/>
      <c r="E311" s="138"/>
      <c r="F311" s="25"/>
      <c r="G311" s="138"/>
      <c r="H311" s="26"/>
    </row>
    <row r="312" ht="22.5" customHeight="1">
      <c r="A312" s="24"/>
      <c r="B312" s="71"/>
      <c r="C312" s="71"/>
      <c r="D312" s="71"/>
      <c r="E312" s="138"/>
      <c r="F312" s="25"/>
      <c r="G312" s="138"/>
      <c r="H312" s="26"/>
    </row>
    <row r="313" ht="22.5" customHeight="1">
      <c r="A313" s="24"/>
      <c r="B313" s="71"/>
      <c r="C313" s="71"/>
      <c r="D313" s="71"/>
      <c r="E313" s="138"/>
      <c r="F313" s="25"/>
      <c r="G313" s="138"/>
      <c r="H313" s="26"/>
    </row>
    <row r="314" ht="22.5" customHeight="1">
      <c r="A314" s="24"/>
      <c r="B314" s="71"/>
      <c r="C314" s="71"/>
      <c r="D314" s="71"/>
      <c r="E314" s="138"/>
      <c r="F314" s="25"/>
      <c r="G314" s="138"/>
      <c r="H314" s="26"/>
    </row>
    <row r="315" ht="22.5" customHeight="1">
      <c r="A315" s="24"/>
      <c r="B315" s="71"/>
      <c r="C315" s="71"/>
      <c r="D315" s="71"/>
      <c r="E315" s="138"/>
      <c r="F315" s="25"/>
      <c r="G315" s="138"/>
      <c r="H315" s="26"/>
    </row>
    <row r="316" ht="22.5" customHeight="1">
      <c r="A316" s="24"/>
      <c r="B316" s="71"/>
      <c r="C316" s="71"/>
      <c r="D316" s="71"/>
      <c r="E316" s="138"/>
      <c r="F316" s="25"/>
      <c r="G316" s="138"/>
      <c r="H316" s="26"/>
    </row>
    <row r="317" ht="22.5" customHeight="1">
      <c r="A317" s="24"/>
      <c r="B317" s="71"/>
      <c r="C317" s="71"/>
      <c r="D317" s="71"/>
      <c r="E317" s="138"/>
      <c r="F317" s="25"/>
      <c r="G317" s="138"/>
      <c r="H317" s="26"/>
    </row>
    <row r="318" ht="22.5" customHeight="1">
      <c r="A318" s="24"/>
      <c r="B318" s="71"/>
      <c r="C318" s="71"/>
      <c r="D318" s="71"/>
      <c r="E318" s="138"/>
      <c r="F318" s="25"/>
      <c r="G318" s="138"/>
      <c r="H318" s="26"/>
    </row>
    <row r="319" ht="22.5" customHeight="1">
      <c r="A319" s="24"/>
      <c r="B319" s="71"/>
      <c r="C319" s="71"/>
      <c r="D319" s="71"/>
      <c r="E319" s="138"/>
      <c r="F319" s="25"/>
      <c r="G319" s="138"/>
      <c r="H319" s="26"/>
    </row>
    <row r="320" ht="22.5" customHeight="1">
      <c r="A320" s="24"/>
      <c r="B320" s="71"/>
      <c r="C320" s="71"/>
      <c r="D320" s="71"/>
      <c r="E320" s="138"/>
      <c r="F320" s="25"/>
      <c r="G320" s="138"/>
      <c r="H320" s="26"/>
    </row>
    <row r="321" ht="22.5" customHeight="1">
      <c r="A321" s="24"/>
      <c r="B321" s="71"/>
      <c r="C321" s="71"/>
      <c r="D321" s="71"/>
      <c r="E321" s="138"/>
      <c r="F321" s="25"/>
      <c r="G321" s="138"/>
      <c r="H321" s="26"/>
    </row>
    <row r="322" ht="22.5" customHeight="1">
      <c r="A322" s="24"/>
      <c r="B322" s="71"/>
      <c r="C322" s="71"/>
      <c r="D322" s="71"/>
      <c r="E322" s="138"/>
      <c r="F322" s="25"/>
      <c r="G322" s="138"/>
      <c r="H322" s="26"/>
    </row>
    <row r="323" ht="22.5" customHeight="1">
      <c r="A323" s="24"/>
      <c r="B323" s="71"/>
      <c r="C323" s="71"/>
      <c r="D323" s="71"/>
      <c r="E323" s="138"/>
      <c r="F323" s="25"/>
      <c r="G323" s="138"/>
      <c r="H323" s="26"/>
    </row>
    <row r="324" ht="22.5" customHeight="1">
      <c r="A324" s="24"/>
      <c r="B324" s="71"/>
      <c r="C324" s="71"/>
      <c r="D324" s="71"/>
      <c r="E324" s="138"/>
      <c r="F324" s="25"/>
      <c r="G324" s="138"/>
      <c r="H324" s="26"/>
    </row>
    <row r="325" ht="22.5" customHeight="1">
      <c r="A325" s="24"/>
      <c r="B325" s="71"/>
      <c r="C325" s="71"/>
      <c r="D325" s="71"/>
      <c r="E325" s="138"/>
      <c r="F325" s="25"/>
      <c r="G325" s="138"/>
      <c r="H325" s="26"/>
    </row>
    <row r="326" ht="22.5" customHeight="1">
      <c r="A326" s="24"/>
      <c r="B326" s="71"/>
      <c r="C326" s="71"/>
      <c r="D326" s="71"/>
      <c r="E326" s="138"/>
      <c r="F326" s="25"/>
      <c r="G326" s="138"/>
      <c r="H326" s="26"/>
    </row>
    <row r="327" ht="22.5" customHeight="1">
      <c r="A327" s="24"/>
      <c r="B327" s="71"/>
      <c r="C327" s="71"/>
      <c r="D327" s="71"/>
      <c r="E327" s="138"/>
      <c r="F327" s="25"/>
      <c r="G327" s="138"/>
      <c r="H327" s="26"/>
    </row>
    <row r="328" ht="22.5" customHeight="1">
      <c r="A328" s="24"/>
      <c r="B328" s="71"/>
      <c r="C328" s="71"/>
      <c r="D328" s="71"/>
      <c r="E328" s="138"/>
      <c r="F328" s="25"/>
      <c r="G328" s="138"/>
      <c r="H328" s="26"/>
    </row>
    <row r="329" ht="22.5" customHeight="1">
      <c r="A329" s="24"/>
      <c r="B329" s="71"/>
      <c r="C329" s="71"/>
      <c r="D329" s="71"/>
      <c r="E329" s="138"/>
      <c r="F329" s="25"/>
      <c r="G329" s="138"/>
      <c r="H329" s="26"/>
    </row>
    <row r="330" ht="22.5" customHeight="1">
      <c r="A330" s="24"/>
      <c r="B330" s="71"/>
      <c r="C330" s="71"/>
      <c r="D330" s="71"/>
      <c r="E330" s="138"/>
      <c r="F330" s="25"/>
      <c r="G330" s="138"/>
      <c r="H330" s="26"/>
    </row>
    <row r="331" ht="22.5" customHeight="1">
      <c r="A331" s="24"/>
      <c r="B331" s="71"/>
      <c r="C331" s="71"/>
      <c r="D331" s="71"/>
      <c r="E331" s="138"/>
      <c r="F331" s="25"/>
      <c r="G331" s="138"/>
      <c r="H331" s="26"/>
    </row>
    <row r="332" ht="22.5" customHeight="1">
      <c r="A332" s="24"/>
      <c r="B332" s="71"/>
      <c r="C332" s="71"/>
      <c r="D332" s="71"/>
      <c r="E332" s="138"/>
      <c r="F332" s="25"/>
      <c r="G332" s="138"/>
      <c r="H332" s="26"/>
    </row>
    <row r="333" ht="22.5" customHeight="1">
      <c r="A333" s="24"/>
      <c r="B333" s="71"/>
      <c r="C333" s="71"/>
      <c r="D333" s="71"/>
      <c r="E333" s="138"/>
      <c r="F333" s="25"/>
      <c r="G333" s="138"/>
      <c r="H333" s="26"/>
    </row>
    <row r="334" ht="22.5" customHeight="1">
      <c r="A334" s="24"/>
      <c r="B334" s="71"/>
      <c r="C334" s="71"/>
      <c r="D334" s="71"/>
      <c r="E334" s="138"/>
      <c r="F334" s="25"/>
      <c r="G334" s="138"/>
      <c r="H334" s="26"/>
    </row>
    <row r="335" ht="22.5" customHeight="1">
      <c r="A335" s="24"/>
      <c r="B335" s="71"/>
      <c r="C335" s="71"/>
      <c r="D335" s="71"/>
      <c r="E335" s="138"/>
      <c r="F335" s="25"/>
      <c r="G335" s="138"/>
      <c r="H335" s="26"/>
    </row>
    <row r="336" ht="22.5" customHeight="1">
      <c r="A336" s="24"/>
      <c r="B336" s="71"/>
      <c r="C336" s="71"/>
      <c r="D336" s="71"/>
      <c r="E336" s="138"/>
      <c r="F336" s="25"/>
      <c r="G336" s="138"/>
      <c r="H336" s="26"/>
    </row>
    <row r="337" ht="22.5" customHeight="1">
      <c r="A337" s="24"/>
      <c r="B337" s="71"/>
      <c r="C337" s="71"/>
      <c r="D337" s="71"/>
      <c r="E337" s="138"/>
      <c r="F337" s="25"/>
      <c r="G337" s="138"/>
      <c r="H337" s="26"/>
    </row>
    <row r="338" ht="22.5" customHeight="1">
      <c r="A338" s="24"/>
      <c r="B338" s="71"/>
      <c r="C338" s="71"/>
      <c r="D338" s="71"/>
      <c r="E338" s="138"/>
      <c r="F338" s="25"/>
      <c r="G338" s="138"/>
      <c r="H338" s="26"/>
    </row>
    <row r="339" ht="22.5" customHeight="1">
      <c r="A339" s="24"/>
      <c r="B339" s="71"/>
      <c r="C339" s="71"/>
      <c r="D339" s="71"/>
      <c r="E339" s="138"/>
      <c r="F339" s="25"/>
      <c r="G339" s="138"/>
      <c r="H339" s="26"/>
    </row>
    <row r="340" ht="22.5" customHeight="1">
      <c r="A340" s="24"/>
      <c r="B340" s="71"/>
      <c r="C340" s="71"/>
      <c r="D340" s="71"/>
      <c r="E340" s="138"/>
      <c r="F340" s="25"/>
      <c r="G340" s="138"/>
      <c r="H340" s="26"/>
    </row>
    <row r="341" ht="22.5" customHeight="1">
      <c r="A341" s="24"/>
      <c r="B341" s="71"/>
      <c r="C341" s="71"/>
      <c r="D341" s="71"/>
      <c r="E341" s="138"/>
      <c r="F341" s="25"/>
      <c r="G341" s="138"/>
      <c r="H341" s="26"/>
    </row>
    <row r="342" ht="22.5" customHeight="1">
      <c r="A342" s="24"/>
      <c r="B342" s="71"/>
      <c r="C342" s="71"/>
      <c r="D342" s="71"/>
      <c r="E342" s="138"/>
      <c r="F342" s="25"/>
      <c r="G342" s="138"/>
      <c r="H342" s="26"/>
    </row>
    <row r="343" ht="22.5" customHeight="1">
      <c r="A343" s="24"/>
      <c r="B343" s="71"/>
      <c r="C343" s="71"/>
      <c r="D343" s="71"/>
      <c r="E343" s="138"/>
      <c r="F343" s="25"/>
      <c r="G343" s="138"/>
      <c r="H343" s="26"/>
    </row>
    <row r="344" ht="22.5" customHeight="1">
      <c r="A344" s="24"/>
      <c r="B344" s="71"/>
      <c r="C344" s="71"/>
      <c r="D344" s="71"/>
      <c r="E344" s="138"/>
      <c r="F344" s="25"/>
      <c r="G344" s="138"/>
      <c r="H344" s="26"/>
    </row>
    <row r="345" ht="22.5" customHeight="1">
      <c r="A345" s="24"/>
      <c r="B345" s="71"/>
      <c r="C345" s="71"/>
      <c r="D345" s="71"/>
      <c r="E345" s="138"/>
      <c r="F345" s="25"/>
      <c r="G345" s="138"/>
      <c r="H345" s="26"/>
    </row>
    <row r="346" ht="22.5" customHeight="1">
      <c r="A346" s="24"/>
      <c r="B346" s="71"/>
      <c r="C346" s="71"/>
      <c r="D346" s="71"/>
      <c r="E346" s="138"/>
      <c r="F346" s="25"/>
      <c r="G346" s="138"/>
      <c r="H346" s="26"/>
    </row>
    <row r="347" ht="22.5" customHeight="1">
      <c r="A347" s="24"/>
      <c r="B347" s="71"/>
      <c r="C347" s="71"/>
      <c r="D347" s="71"/>
      <c r="E347" s="138"/>
      <c r="F347" s="25"/>
      <c r="G347" s="138"/>
      <c r="H347" s="26"/>
    </row>
    <row r="348" ht="22.5" customHeight="1">
      <c r="A348" s="24"/>
      <c r="B348" s="71"/>
      <c r="C348" s="71"/>
      <c r="D348" s="71"/>
      <c r="E348" s="138"/>
      <c r="F348" s="25"/>
      <c r="G348" s="138"/>
      <c r="H348" s="26"/>
    </row>
    <row r="349" ht="22.5" customHeight="1">
      <c r="A349" s="24"/>
      <c r="B349" s="71"/>
      <c r="C349" s="71"/>
      <c r="D349" s="71"/>
      <c r="E349" s="138"/>
      <c r="F349" s="25"/>
      <c r="G349" s="138"/>
      <c r="H349" s="26"/>
    </row>
    <row r="350" ht="22.5" customHeight="1">
      <c r="A350" s="24"/>
      <c r="B350" s="71"/>
      <c r="C350" s="71"/>
      <c r="D350" s="71"/>
      <c r="E350" s="138"/>
      <c r="F350" s="25"/>
      <c r="G350" s="138"/>
      <c r="H350" s="26"/>
    </row>
    <row r="351" ht="22.5" customHeight="1">
      <c r="A351" s="24"/>
      <c r="B351" s="71"/>
      <c r="C351" s="71"/>
      <c r="D351" s="71"/>
      <c r="E351" s="138"/>
      <c r="F351" s="25"/>
      <c r="G351" s="138"/>
      <c r="H351" s="26"/>
    </row>
    <row r="352" ht="22.5" customHeight="1">
      <c r="A352" s="24"/>
      <c r="B352" s="71"/>
      <c r="C352" s="71"/>
      <c r="D352" s="71"/>
      <c r="E352" s="138"/>
      <c r="F352" s="25"/>
      <c r="G352" s="138"/>
      <c r="H352" s="26"/>
    </row>
    <row r="353" ht="22.5" customHeight="1">
      <c r="A353" s="24"/>
      <c r="B353" s="71"/>
      <c r="C353" s="71"/>
      <c r="D353" s="71"/>
      <c r="E353" s="138"/>
      <c r="F353" s="25"/>
      <c r="G353" s="138"/>
      <c r="H353" s="26"/>
    </row>
    <row r="354" ht="22.5" customHeight="1">
      <c r="A354" s="24"/>
      <c r="B354" s="71"/>
      <c r="C354" s="71"/>
      <c r="D354" s="71"/>
      <c r="E354" s="138"/>
      <c r="F354" s="25"/>
      <c r="G354" s="138"/>
      <c r="H354" s="26"/>
    </row>
    <row r="355" ht="22.5" customHeight="1">
      <c r="A355" s="24"/>
      <c r="B355" s="71"/>
      <c r="C355" s="71"/>
      <c r="D355" s="71"/>
      <c r="E355" s="138"/>
      <c r="F355" s="25"/>
      <c r="G355" s="138"/>
      <c r="H355" s="26"/>
    </row>
    <row r="356" ht="22.5" customHeight="1">
      <c r="A356" s="24"/>
      <c r="B356" s="71"/>
      <c r="C356" s="71"/>
      <c r="D356" s="71"/>
      <c r="E356" s="138"/>
      <c r="F356" s="25"/>
      <c r="G356" s="138"/>
      <c r="H356" s="26"/>
    </row>
    <row r="357" ht="22.5" customHeight="1">
      <c r="A357" s="24"/>
      <c r="B357" s="71"/>
      <c r="C357" s="71"/>
      <c r="D357" s="71"/>
      <c r="E357" s="138"/>
      <c r="F357" s="25"/>
      <c r="G357" s="138"/>
      <c r="H357" s="26"/>
    </row>
    <row r="358" ht="22.5" customHeight="1">
      <c r="A358" s="24"/>
      <c r="B358" s="71"/>
      <c r="C358" s="71"/>
      <c r="D358" s="71"/>
      <c r="E358" s="138"/>
      <c r="F358" s="25"/>
      <c r="G358" s="138"/>
      <c r="H358" s="26"/>
    </row>
    <row r="359" ht="22.5" customHeight="1">
      <c r="A359" s="24"/>
      <c r="B359" s="71"/>
      <c r="C359" s="71"/>
      <c r="D359" s="71"/>
      <c r="E359" s="138"/>
      <c r="F359" s="25"/>
      <c r="G359" s="138"/>
      <c r="H359" s="26"/>
    </row>
    <row r="360" ht="22.5" customHeight="1">
      <c r="A360" s="24"/>
      <c r="B360" s="71"/>
      <c r="C360" s="71"/>
      <c r="D360" s="71"/>
      <c r="E360" s="138"/>
      <c r="F360" s="25"/>
      <c r="G360" s="138"/>
      <c r="H360" s="26"/>
    </row>
    <row r="361" ht="22.5" customHeight="1">
      <c r="A361" s="24"/>
      <c r="B361" s="71"/>
      <c r="C361" s="71"/>
      <c r="D361" s="71"/>
      <c r="E361" s="138"/>
      <c r="F361" s="25"/>
      <c r="G361" s="138"/>
      <c r="H361" s="26"/>
    </row>
    <row r="362" ht="22.5" customHeight="1">
      <c r="A362" s="24"/>
      <c r="B362" s="71"/>
      <c r="C362" s="71"/>
      <c r="D362" s="71"/>
      <c r="E362" s="138"/>
      <c r="F362" s="25"/>
      <c r="G362" s="138"/>
      <c r="H362" s="26"/>
    </row>
    <row r="363" ht="22.5" customHeight="1">
      <c r="A363" s="24"/>
      <c r="B363" s="71"/>
      <c r="C363" s="71"/>
      <c r="D363" s="71"/>
      <c r="E363" s="138"/>
      <c r="F363" s="25"/>
      <c r="G363" s="138"/>
      <c r="H363" s="26"/>
    </row>
    <row r="364" ht="22.5" customHeight="1">
      <c r="A364" s="24"/>
      <c r="B364" s="71"/>
      <c r="C364" s="71"/>
      <c r="D364" s="71"/>
      <c r="E364" s="138"/>
      <c r="F364" s="25"/>
      <c r="G364" s="138"/>
      <c r="H364" s="26"/>
    </row>
    <row r="365" ht="22.5" customHeight="1">
      <c r="A365" s="24"/>
      <c r="B365" s="71"/>
      <c r="C365" s="71"/>
      <c r="D365" s="71"/>
      <c r="E365" s="138"/>
      <c r="F365" s="25"/>
      <c r="G365" s="138"/>
      <c r="H365" s="26"/>
    </row>
    <row r="366" ht="22.5" customHeight="1">
      <c r="A366" s="24"/>
      <c r="B366" s="71"/>
      <c r="C366" s="71"/>
      <c r="D366" s="71"/>
      <c r="E366" s="138"/>
      <c r="F366" s="25"/>
      <c r="G366" s="138"/>
      <c r="H366" s="26"/>
    </row>
    <row r="367" ht="22.5" customHeight="1">
      <c r="A367" s="24"/>
      <c r="B367" s="71"/>
      <c r="C367" s="71"/>
      <c r="D367" s="71"/>
      <c r="E367" s="138"/>
      <c r="F367" s="25"/>
      <c r="G367" s="138"/>
      <c r="H367" s="26"/>
    </row>
    <row r="368" ht="22.5" customHeight="1">
      <c r="A368" s="24"/>
      <c r="B368" s="71"/>
      <c r="C368" s="71"/>
      <c r="D368" s="71"/>
      <c r="E368" s="138"/>
      <c r="F368" s="25"/>
      <c r="G368" s="138"/>
      <c r="H368" s="26"/>
    </row>
    <row r="369" ht="22.5" customHeight="1">
      <c r="A369" s="24"/>
      <c r="B369" s="71"/>
      <c r="C369" s="71"/>
      <c r="D369" s="71"/>
      <c r="E369" s="138"/>
      <c r="F369" s="25"/>
      <c r="G369" s="138"/>
      <c r="H369" s="26"/>
    </row>
    <row r="370" ht="22.5" customHeight="1">
      <c r="A370" s="24"/>
      <c r="B370" s="71"/>
      <c r="C370" s="71"/>
      <c r="D370" s="71"/>
      <c r="E370" s="138"/>
      <c r="F370" s="25"/>
      <c r="G370" s="138"/>
      <c r="H370" s="26"/>
    </row>
    <row r="371" ht="22.5" customHeight="1">
      <c r="A371" s="24"/>
      <c r="B371" s="71"/>
      <c r="C371" s="71"/>
      <c r="D371" s="71"/>
      <c r="E371" s="138"/>
      <c r="F371" s="25"/>
      <c r="G371" s="138"/>
      <c r="H371" s="26"/>
    </row>
    <row r="372" ht="22.5" customHeight="1">
      <c r="A372" s="24"/>
      <c r="B372" s="71"/>
      <c r="C372" s="71"/>
      <c r="D372" s="71"/>
      <c r="E372" s="138"/>
      <c r="F372" s="25"/>
      <c r="G372" s="138"/>
      <c r="H372" s="26"/>
    </row>
    <row r="373" ht="22.5" customHeight="1">
      <c r="A373" s="24"/>
      <c r="B373" s="71"/>
      <c r="C373" s="71"/>
      <c r="D373" s="71"/>
      <c r="E373" s="138"/>
      <c r="F373" s="25"/>
      <c r="G373" s="138"/>
      <c r="H373" s="26"/>
    </row>
    <row r="374" ht="22.5" customHeight="1">
      <c r="A374" s="24"/>
      <c r="B374" s="71"/>
      <c r="C374" s="71"/>
      <c r="D374" s="71"/>
      <c r="E374" s="138"/>
      <c r="F374" s="25"/>
      <c r="G374" s="138"/>
      <c r="H374" s="26"/>
    </row>
    <row r="375" ht="22.5" customHeight="1">
      <c r="A375" s="24"/>
      <c r="B375" s="71"/>
      <c r="C375" s="71"/>
      <c r="D375" s="71"/>
      <c r="E375" s="138"/>
      <c r="F375" s="25"/>
      <c r="G375" s="138"/>
      <c r="H375" s="26"/>
    </row>
    <row r="376" ht="22.5" customHeight="1">
      <c r="A376" s="24"/>
      <c r="B376" s="71"/>
      <c r="C376" s="71"/>
      <c r="D376" s="71"/>
      <c r="E376" s="138"/>
      <c r="F376" s="25"/>
      <c r="G376" s="138"/>
      <c r="H376" s="26"/>
    </row>
    <row r="377" ht="22.5" customHeight="1">
      <c r="A377" s="24"/>
      <c r="B377" s="71"/>
      <c r="C377" s="71"/>
      <c r="D377" s="71"/>
      <c r="E377" s="138"/>
      <c r="F377" s="25"/>
      <c r="G377" s="138"/>
      <c r="H377" s="26"/>
    </row>
    <row r="378" ht="22.5" customHeight="1">
      <c r="A378" s="24"/>
      <c r="B378" s="71"/>
      <c r="C378" s="71"/>
      <c r="D378" s="71"/>
      <c r="E378" s="138"/>
      <c r="F378" s="25"/>
      <c r="G378" s="138"/>
      <c r="H378" s="26"/>
    </row>
    <row r="379" ht="22.5" customHeight="1">
      <c r="A379" s="24"/>
      <c r="B379" s="71"/>
      <c r="C379" s="71"/>
      <c r="D379" s="71"/>
      <c r="E379" s="138"/>
      <c r="F379" s="25"/>
      <c r="G379" s="138"/>
      <c r="H379" s="26"/>
    </row>
    <row r="380" ht="22.5" customHeight="1">
      <c r="A380" s="24"/>
      <c r="B380" s="71"/>
      <c r="C380" s="71"/>
      <c r="D380" s="71"/>
      <c r="E380" s="138"/>
      <c r="F380" s="25"/>
      <c r="G380" s="138"/>
      <c r="H380" s="26"/>
    </row>
    <row r="381" ht="22.5" customHeight="1">
      <c r="A381" s="24"/>
      <c r="B381" s="71"/>
      <c r="C381" s="71"/>
      <c r="D381" s="71"/>
      <c r="E381" s="138"/>
      <c r="F381" s="25"/>
      <c r="G381" s="138"/>
      <c r="H381" s="26"/>
    </row>
    <row r="382" ht="22.5" customHeight="1">
      <c r="A382" s="24"/>
      <c r="B382" s="71"/>
      <c r="C382" s="71"/>
      <c r="D382" s="71"/>
      <c r="E382" s="138"/>
      <c r="F382" s="25"/>
      <c r="G382" s="138"/>
      <c r="H382" s="26"/>
    </row>
    <row r="383" ht="22.5" customHeight="1">
      <c r="A383" s="24"/>
      <c r="B383" s="71"/>
      <c r="C383" s="71"/>
      <c r="D383" s="71"/>
      <c r="E383" s="138"/>
      <c r="F383" s="25"/>
      <c r="G383" s="138"/>
      <c r="H383" s="26"/>
    </row>
    <row r="384" ht="22.5" customHeight="1">
      <c r="A384" s="24"/>
      <c r="B384" s="71"/>
      <c r="C384" s="71"/>
      <c r="D384" s="71"/>
      <c r="E384" s="138"/>
      <c r="F384" s="25"/>
      <c r="G384" s="138"/>
      <c r="H384" s="26"/>
    </row>
    <row r="385" ht="22.5" customHeight="1">
      <c r="A385" s="24"/>
      <c r="B385" s="71"/>
      <c r="C385" s="71"/>
      <c r="D385" s="71"/>
      <c r="E385" s="138"/>
      <c r="F385" s="25"/>
      <c r="G385" s="138"/>
      <c r="H385" s="26"/>
    </row>
    <row r="386" ht="22.5" customHeight="1">
      <c r="A386" s="24"/>
      <c r="B386" s="71"/>
      <c r="C386" s="71"/>
      <c r="D386" s="71"/>
      <c r="E386" s="138"/>
      <c r="F386" s="25"/>
      <c r="G386" s="138"/>
      <c r="H386" s="26"/>
    </row>
    <row r="387" ht="22.5" customHeight="1">
      <c r="A387" s="24"/>
      <c r="B387" s="71"/>
      <c r="C387" s="71"/>
      <c r="D387" s="71"/>
      <c r="E387" s="138"/>
      <c r="F387" s="25"/>
      <c r="G387" s="138"/>
      <c r="H387" s="26"/>
    </row>
    <row r="388" ht="22.5" customHeight="1">
      <c r="A388" s="24"/>
      <c r="B388" s="71"/>
      <c r="C388" s="71"/>
      <c r="D388" s="71"/>
      <c r="E388" s="138"/>
      <c r="F388" s="25"/>
      <c r="G388" s="138"/>
      <c r="H388" s="26"/>
    </row>
    <row r="389" ht="22.5" customHeight="1">
      <c r="A389" s="24"/>
      <c r="B389" s="71"/>
      <c r="C389" s="71"/>
      <c r="D389" s="71"/>
      <c r="E389" s="138"/>
      <c r="F389" s="25"/>
      <c r="G389" s="138"/>
      <c r="H389" s="26"/>
    </row>
    <row r="390" ht="22.5" customHeight="1">
      <c r="A390" s="24"/>
      <c r="B390" s="71"/>
      <c r="C390" s="71"/>
      <c r="D390" s="71"/>
      <c r="E390" s="138"/>
      <c r="F390" s="25"/>
      <c r="G390" s="138"/>
      <c r="H390" s="26"/>
    </row>
    <row r="391" ht="22.5" customHeight="1">
      <c r="A391" s="24"/>
      <c r="B391" s="71"/>
      <c r="C391" s="71"/>
      <c r="D391" s="71"/>
      <c r="E391" s="138"/>
      <c r="F391" s="25"/>
      <c r="G391" s="138"/>
      <c r="H391" s="26"/>
    </row>
    <row r="392" ht="22.5" customHeight="1">
      <c r="A392" s="24"/>
      <c r="B392" s="71"/>
      <c r="C392" s="71"/>
      <c r="D392" s="71"/>
      <c r="E392" s="138"/>
      <c r="F392" s="25"/>
      <c r="G392" s="138"/>
      <c r="H392" s="26"/>
    </row>
    <row r="393" ht="22.5" customHeight="1">
      <c r="A393" s="24"/>
      <c r="B393" s="71"/>
      <c r="C393" s="71"/>
      <c r="D393" s="71"/>
      <c r="E393" s="138"/>
      <c r="F393" s="25"/>
      <c r="G393" s="138"/>
      <c r="H393" s="26"/>
    </row>
    <row r="394" ht="22.5" customHeight="1">
      <c r="A394" s="24"/>
      <c r="B394" s="71"/>
      <c r="C394" s="71"/>
      <c r="D394" s="71"/>
      <c r="E394" s="138"/>
      <c r="F394" s="25"/>
      <c r="G394" s="138"/>
      <c r="H394" s="26"/>
    </row>
    <row r="395" ht="22.5" customHeight="1">
      <c r="A395" s="24"/>
      <c r="B395" s="71"/>
      <c r="C395" s="71"/>
      <c r="D395" s="71"/>
      <c r="E395" s="138"/>
      <c r="F395" s="25"/>
      <c r="G395" s="138"/>
      <c r="H395" s="26"/>
    </row>
    <row r="396" ht="22.5" customHeight="1">
      <c r="A396" s="24"/>
      <c r="B396" s="71"/>
      <c r="C396" s="71"/>
      <c r="D396" s="71"/>
      <c r="E396" s="138"/>
      <c r="F396" s="25"/>
      <c r="G396" s="138"/>
      <c r="H396" s="26"/>
    </row>
    <row r="397" ht="22.5" customHeight="1">
      <c r="A397" s="24"/>
      <c r="B397" s="71"/>
      <c r="C397" s="71"/>
      <c r="D397" s="71"/>
      <c r="E397" s="138"/>
      <c r="F397" s="25"/>
      <c r="G397" s="138"/>
      <c r="H397" s="26"/>
    </row>
    <row r="398" ht="22.5" customHeight="1">
      <c r="A398" s="24"/>
      <c r="B398" s="71"/>
      <c r="C398" s="71"/>
      <c r="D398" s="71"/>
      <c r="E398" s="138"/>
      <c r="F398" s="25"/>
      <c r="G398" s="138"/>
      <c r="H398" s="26"/>
    </row>
    <row r="399" ht="22.5" customHeight="1">
      <c r="A399" s="24"/>
      <c r="B399" s="71"/>
      <c r="C399" s="71"/>
      <c r="D399" s="71"/>
      <c r="E399" s="138"/>
      <c r="F399" s="25"/>
      <c r="G399" s="138"/>
      <c r="H399" s="26"/>
    </row>
    <row r="400" ht="22.5" customHeight="1">
      <c r="A400" s="24"/>
      <c r="B400" s="71"/>
      <c r="C400" s="71"/>
      <c r="D400" s="71"/>
      <c r="E400" s="138"/>
      <c r="F400" s="25"/>
      <c r="G400" s="138"/>
      <c r="H400" s="26"/>
    </row>
    <row r="401" ht="22.5" customHeight="1">
      <c r="A401" s="24"/>
      <c r="B401" s="71"/>
      <c r="C401" s="71"/>
      <c r="D401" s="71"/>
      <c r="E401" s="138"/>
      <c r="F401" s="25"/>
      <c r="G401" s="138"/>
      <c r="H401" s="26"/>
    </row>
    <row r="402" ht="22.5" customHeight="1">
      <c r="A402" s="24"/>
      <c r="B402" s="71"/>
      <c r="C402" s="71"/>
      <c r="D402" s="71"/>
      <c r="E402" s="138"/>
      <c r="F402" s="25"/>
      <c r="G402" s="138"/>
      <c r="H402" s="26"/>
    </row>
    <row r="403" ht="22.5" customHeight="1">
      <c r="A403" s="24"/>
      <c r="B403" s="71"/>
      <c r="C403" s="71"/>
      <c r="D403" s="71"/>
      <c r="E403" s="138"/>
      <c r="F403" s="25"/>
      <c r="G403" s="138"/>
      <c r="H403" s="26"/>
    </row>
    <row r="404" ht="22.5" customHeight="1">
      <c r="A404" s="24"/>
      <c r="B404" s="71"/>
      <c r="C404" s="71"/>
      <c r="D404" s="71"/>
      <c r="E404" s="138"/>
      <c r="F404" s="25"/>
      <c r="G404" s="138"/>
      <c r="H404" s="26"/>
    </row>
    <row r="405" ht="22.5" customHeight="1">
      <c r="A405" s="24"/>
      <c r="B405" s="71"/>
      <c r="C405" s="71"/>
      <c r="D405" s="71"/>
      <c r="E405" s="138"/>
      <c r="F405" s="25"/>
      <c r="G405" s="138"/>
      <c r="H405" s="26"/>
    </row>
    <row r="406" ht="22.5" customHeight="1">
      <c r="A406" s="24"/>
      <c r="B406" s="71"/>
      <c r="C406" s="71"/>
      <c r="D406" s="71"/>
      <c r="E406" s="138"/>
      <c r="F406" s="25"/>
      <c r="G406" s="138"/>
      <c r="H406" s="26"/>
    </row>
    <row r="407" ht="22.5" customHeight="1">
      <c r="A407" s="24"/>
      <c r="B407" s="71"/>
      <c r="C407" s="71"/>
      <c r="D407" s="71"/>
      <c r="E407" s="138"/>
      <c r="F407" s="25"/>
      <c r="G407" s="138"/>
      <c r="H407" s="26"/>
    </row>
    <row r="408" ht="22.5" customHeight="1">
      <c r="A408" s="24"/>
      <c r="B408" s="71"/>
      <c r="C408" s="71"/>
      <c r="D408" s="71"/>
      <c r="E408" s="138"/>
      <c r="F408" s="25"/>
      <c r="G408" s="138"/>
      <c r="H408" s="26"/>
    </row>
    <row r="409" ht="22.5" customHeight="1">
      <c r="A409" s="24"/>
      <c r="B409" s="71"/>
      <c r="C409" s="71"/>
      <c r="D409" s="71"/>
      <c r="E409" s="138"/>
      <c r="F409" s="25"/>
      <c r="G409" s="138"/>
      <c r="H409" s="26"/>
    </row>
    <row r="410" ht="22.5" customHeight="1">
      <c r="A410" s="24"/>
      <c r="B410" s="71"/>
      <c r="C410" s="71"/>
      <c r="D410" s="71"/>
      <c r="E410" s="138"/>
      <c r="F410" s="25"/>
      <c r="G410" s="138"/>
      <c r="H410" s="26"/>
    </row>
    <row r="411" ht="22.5" customHeight="1">
      <c r="A411" s="24"/>
      <c r="B411" s="71"/>
      <c r="C411" s="71"/>
      <c r="D411" s="71"/>
      <c r="E411" s="138"/>
      <c r="F411" s="25"/>
      <c r="G411" s="138"/>
      <c r="H411" s="26"/>
    </row>
    <row r="412" ht="22.5" customHeight="1">
      <c r="A412" s="24"/>
      <c r="B412" s="71"/>
      <c r="C412" s="71"/>
      <c r="D412" s="71"/>
      <c r="E412" s="138"/>
      <c r="F412" s="25"/>
      <c r="G412" s="138"/>
      <c r="H412" s="26"/>
    </row>
    <row r="413" ht="22.5" customHeight="1">
      <c r="A413" s="24"/>
      <c r="B413" s="71"/>
      <c r="C413" s="71"/>
      <c r="D413" s="71"/>
      <c r="E413" s="138"/>
      <c r="F413" s="25"/>
      <c r="G413" s="138"/>
      <c r="H413" s="26"/>
    </row>
    <row r="414" ht="22.5" customHeight="1">
      <c r="A414" s="24"/>
      <c r="B414" s="71"/>
      <c r="C414" s="71"/>
      <c r="D414" s="71"/>
      <c r="E414" s="138"/>
      <c r="F414" s="25"/>
      <c r="G414" s="138"/>
      <c r="H414" s="26"/>
    </row>
    <row r="415" ht="22.5" customHeight="1">
      <c r="A415" s="24"/>
      <c r="B415" s="71"/>
      <c r="C415" s="71"/>
      <c r="D415" s="71"/>
      <c r="E415" s="138"/>
      <c r="F415" s="25"/>
      <c r="G415" s="138"/>
      <c r="H415" s="26"/>
    </row>
    <row r="416" ht="22.5" customHeight="1">
      <c r="A416" s="24"/>
      <c r="B416" s="71"/>
      <c r="C416" s="71"/>
      <c r="D416" s="71"/>
      <c r="E416" s="138"/>
      <c r="F416" s="25"/>
      <c r="G416" s="138"/>
      <c r="H416" s="26"/>
    </row>
    <row r="417" ht="22.5" customHeight="1">
      <c r="A417" s="24"/>
      <c r="B417" s="71"/>
      <c r="C417" s="71"/>
      <c r="D417" s="71"/>
      <c r="E417" s="138"/>
      <c r="F417" s="25"/>
      <c r="G417" s="138"/>
      <c r="H417" s="26"/>
    </row>
    <row r="418" ht="22.5" customHeight="1">
      <c r="A418" s="24"/>
      <c r="B418" s="71"/>
      <c r="C418" s="71"/>
      <c r="D418" s="71"/>
      <c r="E418" s="138"/>
      <c r="F418" s="25"/>
      <c r="G418" s="138"/>
      <c r="H418" s="26"/>
    </row>
    <row r="419" ht="22.5" customHeight="1">
      <c r="A419" s="24"/>
      <c r="B419" s="71"/>
      <c r="C419" s="71"/>
      <c r="D419" s="71"/>
      <c r="E419" s="138"/>
      <c r="F419" s="25"/>
      <c r="G419" s="138"/>
      <c r="H419" s="26"/>
    </row>
    <row r="420" ht="22.5" customHeight="1">
      <c r="A420" s="24"/>
      <c r="B420" s="71"/>
      <c r="C420" s="71"/>
      <c r="D420" s="71"/>
      <c r="E420" s="138"/>
      <c r="F420" s="25"/>
      <c r="G420" s="138"/>
      <c r="H420" s="26"/>
    </row>
    <row r="421" ht="22.5" customHeight="1">
      <c r="A421" s="24"/>
      <c r="B421" s="71"/>
      <c r="C421" s="71"/>
      <c r="D421" s="71"/>
      <c r="E421" s="138"/>
      <c r="F421" s="25"/>
      <c r="G421" s="138"/>
      <c r="H421" s="26"/>
    </row>
    <row r="422" ht="22.5" customHeight="1">
      <c r="A422" s="24"/>
      <c r="B422" s="71"/>
      <c r="C422" s="71"/>
      <c r="D422" s="71"/>
      <c r="E422" s="138"/>
      <c r="F422" s="25"/>
      <c r="G422" s="138"/>
      <c r="H422" s="26"/>
    </row>
    <row r="423" ht="22.5" customHeight="1">
      <c r="A423" s="24"/>
      <c r="B423" s="71"/>
      <c r="C423" s="71"/>
      <c r="D423" s="71"/>
      <c r="E423" s="138"/>
      <c r="F423" s="25"/>
      <c r="G423" s="138"/>
      <c r="H423" s="26"/>
    </row>
    <row r="424" ht="22.5" customHeight="1">
      <c r="A424" s="24"/>
      <c r="B424" s="71"/>
      <c r="C424" s="71"/>
      <c r="D424" s="71"/>
      <c r="E424" s="138"/>
      <c r="F424" s="25"/>
      <c r="G424" s="138"/>
      <c r="H424" s="26"/>
    </row>
    <row r="425" ht="22.5" customHeight="1">
      <c r="A425" s="24"/>
      <c r="B425" s="71"/>
      <c r="C425" s="71"/>
      <c r="D425" s="71"/>
      <c r="E425" s="138"/>
      <c r="F425" s="25"/>
      <c r="G425" s="138"/>
      <c r="H425" s="26"/>
    </row>
    <row r="426" ht="22.5" customHeight="1">
      <c r="A426" s="24"/>
      <c r="B426" s="71"/>
      <c r="C426" s="71"/>
      <c r="D426" s="71"/>
      <c r="E426" s="138"/>
      <c r="F426" s="25"/>
      <c r="G426" s="138"/>
      <c r="H426" s="26"/>
    </row>
    <row r="427" ht="22.5" customHeight="1">
      <c r="A427" s="24"/>
      <c r="B427" s="71"/>
      <c r="C427" s="71"/>
      <c r="D427" s="71"/>
      <c r="E427" s="138"/>
      <c r="F427" s="25"/>
      <c r="G427" s="138"/>
      <c r="H427" s="26"/>
    </row>
    <row r="428" ht="22.5" customHeight="1">
      <c r="A428" s="24"/>
      <c r="B428" s="71"/>
      <c r="C428" s="71"/>
      <c r="D428" s="71"/>
      <c r="E428" s="138"/>
      <c r="F428" s="25"/>
      <c r="G428" s="138"/>
      <c r="H428" s="26"/>
    </row>
    <row r="429" ht="22.5" customHeight="1">
      <c r="A429" s="24"/>
      <c r="B429" s="71"/>
      <c r="C429" s="71"/>
      <c r="D429" s="71"/>
      <c r="E429" s="138"/>
      <c r="F429" s="25"/>
      <c r="G429" s="138"/>
      <c r="H429" s="26"/>
    </row>
    <row r="430" ht="22.5" customHeight="1">
      <c r="A430" s="24"/>
      <c r="B430" s="71"/>
      <c r="C430" s="71"/>
      <c r="D430" s="71"/>
      <c r="E430" s="138"/>
      <c r="F430" s="25"/>
      <c r="G430" s="138"/>
      <c r="H430" s="26"/>
    </row>
    <row r="431" ht="22.5" customHeight="1">
      <c r="A431" s="24"/>
      <c r="B431" s="71"/>
      <c r="C431" s="71"/>
      <c r="D431" s="71"/>
      <c r="E431" s="138"/>
      <c r="F431" s="25"/>
      <c r="G431" s="138"/>
      <c r="H431" s="26"/>
    </row>
    <row r="432" ht="22.5" customHeight="1">
      <c r="A432" s="24"/>
      <c r="B432" s="71"/>
      <c r="C432" s="71"/>
      <c r="D432" s="71"/>
      <c r="E432" s="138"/>
      <c r="F432" s="25"/>
      <c r="G432" s="138"/>
      <c r="H432" s="26"/>
    </row>
    <row r="433" ht="22.5" customHeight="1">
      <c r="A433" s="24"/>
      <c r="B433" s="71"/>
      <c r="C433" s="71"/>
      <c r="D433" s="71"/>
      <c r="E433" s="138"/>
      <c r="F433" s="25"/>
      <c r="G433" s="138"/>
      <c r="H433" s="26"/>
    </row>
    <row r="434" ht="22.5" customHeight="1">
      <c r="A434" s="24"/>
      <c r="B434" s="71"/>
      <c r="C434" s="71"/>
      <c r="D434" s="71"/>
      <c r="E434" s="138"/>
      <c r="F434" s="25"/>
      <c r="G434" s="138"/>
      <c r="H434" s="26"/>
    </row>
    <row r="435" ht="22.5" customHeight="1">
      <c r="A435" s="24"/>
      <c r="B435" s="71"/>
      <c r="C435" s="71"/>
      <c r="D435" s="71"/>
      <c r="E435" s="138"/>
      <c r="F435" s="25"/>
      <c r="G435" s="138"/>
      <c r="H435" s="26"/>
    </row>
    <row r="436" ht="22.5" customHeight="1">
      <c r="A436" s="24"/>
      <c r="B436" s="71"/>
      <c r="C436" s="71"/>
      <c r="D436" s="71"/>
      <c r="E436" s="138"/>
      <c r="F436" s="25"/>
      <c r="G436" s="138"/>
      <c r="H436" s="26"/>
    </row>
    <row r="437" ht="22.5" customHeight="1">
      <c r="A437" s="24"/>
      <c r="B437" s="71"/>
      <c r="C437" s="71"/>
      <c r="D437" s="71"/>
      <c r="E437" s="138"/>
      <c r="F437" s="25"/>
      <c r="G437" s="138"/>
      <c r="H437" s="26"/>
    </row>
    <row r="438" ht="22.5" customHeight="1">
      <c r="A438" s="24"/>
      <c r="B438" s="71"/>
      <c r="C438" s="71"/>
      <c r="D438" s="71"/>
      <c r="E438" s="138"/>
      <c r="F438" s="25"/>
      <c r="G438" s="138"/>
      <c r="H438" s="26"/>
    </row>
    <row r="439" ht="22.5" customHeight="1">
      <c r="A439" s="24"/>
      <c r="B439" s="71"/>
      <c r="C439" s="71"/>
      <c r="D439" s="71"/>
      <c r="E439" s="138"/>
      <c r="F439" s="25"/>
      <c r="G439" s="138"/>
      <c r="H439" s="26"/>
    </row>
    <row r="440" ht="22.5" customHeight="1">
      <c r="A440" s="24"/>
      <c r="B440" s="71"/>
      <c r="C440" s="71"/>
      <c r="D440" s="71"/>
      <c r="E440" s="138"/>
      <c r="F440" s="25"/>
      <c r="G440" s="138"/>
      <c r="H440" s="26"/>
    </row>
    <row r="441" ht="22.5" customHeight="1">
      <c r="A441" s="24"/>
      <c r="B441" s="71"/>
      <c r="C441" s="71"/>
      <c r="D441" s="71"/>
      <c r="E441" s="138"/>
      <c r="F441" s="25"/>
      <c r="G441" s="138"/>
      <c r="H441" s="26"/>
    </row>
    <row r="442" ht="22.5" customHeight="1">
      <c r="A442" s="24"/>
      <c r="B442" s="71"/>
      <c r="C442" s="71"/>
      <c r="D442" s="71"/>
      <c r="E442" s="138"/>
      <c r="F442" s="25"/>
      <c r="G442" s="138"/>
      <c r="H442" s="26"/>
    </row>
    <row r="443" ht="22.5" customHeight="1">
      <c r="A443" s="24"/>
      <c r="B443" s="71"/>
      <c r="C443" s="71"/>
      <c r="D443" s="71"/>
      <c r="E443" s="138"/>
      <c r="F443" s="25"/>
      <c r="G443" s="138"/>
      <c r="H443" s="26"/>
    </row>
    <row r="444" ht="22.5" customHeight="1">
      <c r="A444" s="24"/>
      <c r="B444" s="71"/>
      <c r="C444" s="71"/>
      <c r="D444" s="71"/>
      <c r="E444" s="138"/>
      <c r="F444" s="25"/>
      <c r="G444" s="138"/>
      <c r="H444" s="26"/>
    </row>
    <row r="445" ht="22.5" customHeight="1">
      <c r="A445" s="24"/>
      <c r="B445" s="71"/>
      <c r="C445" s="71"/>
      <c r="D445" s="71"/>
      <c r="E445" s="138"/>
      <c r="F445" s="25"/>
      <c r="G445" s="138"/>
      <c r="H445" s="26"/>
    </row>
    <row r="446" ht="22.5" customHeight="1">
      <c r="A446" s="24"/>
      <c r="B446" s="71"/>
      <c r="C446" s="71"/>
      <c r="D446" s="71"/>
      <c r="E446" s="138"/>
      <c r="F446" s="25"/>
      <c r="G446" s="138"/>
      <c r="H446" s="26"/>
    </row>
    <row r="447" ht="22.5" customHeight="1">
      <c r="A447" s="24"/>
      <c r="B447" s="71"/>
      <c r="C447" s="71"/>
      <c r="D447" s="71"/>
      <c r="E447" s="138"/>
      <c r="F447" s="25"/>
      <c r="G447" s="138"/>
      <c r="H447" s="26"/>
    </row>
    <row r="448" ht="22.5" customHeight="1">
      <c r="A448" s="24"/>
      <c r="B448" s="71"/>
      <c r="C448" s="71"/>
      <c r="D448" s="71"/>
      <c r="E448" s="138"/>
      <c r="F448" s="25"/>
      <c r="G448" s="138"/>
      <c r="H448" s="26"/>
    </row>
    <row r="449" ht="22.5" customHeight="1">
      <c r="A449" s="24"/>
      <c r="B449" s="71"/>
      <c r="C449" s="71"/>
      <c r="D449" s="71"/>
      <c r="E449" s="138"/>
      <c r="F449" s="25"/>
      <c r="G449" s="138"/>
      <c r="H449" s="26"/>
    </row>
    <row r="450" ht="22.5" customHeight="1">
      <c r="A450" s="24"/>
      <c r="B450" s="71"/>
      <c r="C450" s="71"/>
      <c r="D450" s="71"/>
      <c r="E450" s="138"/>
      <c r="F450" s="25"/>
      <c r="G450" s="138"/>
      <c r="H450" s="26"/>
    </row>
    <row r="451" ht="22.5" customHeight="1">
      <c r="A451" s="24"/>
      <c r="B451" s="71"/>
      <c r="C451" s="71"/>
      <c r="D451" s="71"/>
      <c r="E451" s="138"/>
      <c r="F451" s="25"/>
      <c r="G451" s="138"/>
      <c r="H451" s="26"/>
    </row>
    <row r="452" ht="22.5" customHeight="1">
      <c r="A452" s="24"/>
      <c r="B452" s="71"/>
      <c r="C452" s="71"/>
      <c r="D452" s="71"/>
      <c r="E452" s="138"/>
      <c r="F452" s="25"/>
      <c r="G452" s="138"/>
      <c r="H452" s="26"/>
    </row>
    <row r="453" ht="22.5" customHeight="1">
      <c r="A453" s="24"/>
      <c r="B453" s="71"/>
      <c r="C453" s="71"/>
      <c r="D453" s="71"/>
      <c r="E453" s="138"/>
      <c r="F453" s="25"/>
      <c r="G453" s="138"/>
      <c r="H453" s="26"/>
    </row>
    <row r="454" ht="22.5" customHeight="1">
      <c r="A454" s="24"/>
      <c r="B454" s="71"/>
      <c r="C454" s="71"/>
      <c r="D454" s="71"/>
      <c r="E454" s="138"/>
      <c r="F454" s="25"/>
      <c r="G454" s="138"/>
      <c r="H454" s="26"/>
    </row>
    <row r="455" ht="22.5" customHeight="1">
      <c r="A455" s="24"/>
      <c r="B455" s="71"/>
      <c r="C455" s="71"/>
      <c r="D455" s="71"/>
      <c r="E455" s="138"/>
      <c r="F455" s="25"/>
      <c r="G455" s="138"/>
      <c r="H455" s="26"/>
    </row>
    <row r="456" ht="22.5" customHeight="1">
      <c r="A456" s="24"/>
      <c r="B456" s="71"/>
      <c r="C456" s="71"/>
      <c r="D456" s="71"/>
      <c r="E456" s="138"/>
      <c r="F456" s="25"/>
      <c r="G456" s="138"/>
      <c r="H456" s="26"/>
    </row>
    <row r="457" ht="22.5" customHeight="1">
      <c r="A457" s="24"/>
      <c r="B457" s="71"/>
      <c r="C457" s="71"/>
      <c r="D457" s="71"/>
      <c r="E457" s="138"/>
      <c r="F457" s="25"/>
      <c r="G457" s="138"/>
      <c r="H457" s="26"/>
    </row>
    <row r="458" ht="22.5" customHeight="1">
      <c r="A458" s="24"/>
      <c r="B458" s="71"/>
      <c r="C458" s="71"/>
      <c r="D458" s="71"/>
      <c r="E458" s="138"/>
      <c r="F458" s="25"/>
      <c r="G458" s="138"/>
      <c r="H458" s="26"/>
    </row>
    <row r="459" ht="22.5" customHeight="1">
      <c r="A459" s="24"/>
      <c r="B459" s="71"/>
      <c r="C459" s="71"/>
      <c r="D459" s="71"/>
      <c r="E459" s="138"/>
      <c r="F459" s="25"/>
      <c r="G459" s="138"/>
      <c r="H459" s="26"/>
    </row>
    <row r="460" ht="22.5" customHeight="1">
      <c r="A460" s="24"/>
      <c r="B460" s="71"/>
      <c r="C460" s="71"/>
      <c r="D460" s="71"/>
      <c r="E460" s="138"/>
      <c r="F460" s="25"/>
      <c r="G460" s="138"/>
      <c r="H460" s="26"/>
    </row>
    <row r="461" ht="22.5" customHeight="1">
      <c r="A461" s="24"/>
      <c r="B461" s="71"/>
      <c r="C461" s="71"/>
      <c r="D461" s="71"/>
      <c r="E461" s="138"/>
      <c r="F461" s="25"/>
      <c r="G461" s="138"/>
      <c r="H461" s="26"/>
    </row>
    <row r="462" ht="22.5" customHeight="1">
      <c r="A462" s="24"/>
      <c r="B462" s="71"/>
      <c r="C462" s="71"/>
      <c r="D462" s="71"/>
      <c r="E462" s="138"/>
      <c r="F462" s="25"/>
      <c r="G462" s="138"/>
      <c r="H462" s="26"/>
    </row>
    <row r="463" ht="22.5" customHeight="1">
      <c r="A463" s="24"/>
      <c r="B463" s="71"/>
      <c r="C463" s="71"/>
      <c r="D463" s="71"/>
      <c r="E463" s="138"/>
      <c r="F463" s="25"/>
      <c r="G463" s="138"/>
      <c r="H463" s="26"/>
    </row>
    <row r="464" ht="22.5" customHeight="1">
      <c r="A464" s="24"/>
      <c r="B464" s="71"/>
      <c r="C464" s="71"/>
      <c r="D464" s="71"/>
      <c r="E464" s="138"/>
      <c r="F464" s="25"/>
      <c r="G464" s="138"/>
      <c r="H464" s="26"/>
    </row>
    <row r="465" ht="22.5" customHeight="1">
      <c r="A465" s="24"/>
      <c r="B465" s="71"/>
      <c r="C465" s="71"/>
      <c r="D465" s="71"/>
      <c r="E465" s="138"/>
      <c r="F465" s="25"/>
      <c r="G465" s="138"/>
      <c r="H465" s="26"/>
    </row>
    <row r="466" ht="22.5" customHeight="1">
      <c r="A466" s="24"/>
      <c r="B466" s="71"/>
      <c r="C466" s="71"/>
      <c r="D466" s="71"/>
      <c r="E466" s="138"/>
      <c r="F466" s="25"/>
      <c r="G466" s="138"/>
      <c r="H466" s="26"/>
    </row>
    <row r="467" ht="22.5" customHeight="1">
      <c r="A467" s="24"/>
      <c r="B467" s="71"/>
      <c r="C467" s="71"/>
      <c r="D467" s="71"/>
      <c r="E467" s="138"/>
      <c r="F467" s="25"/>
      <c r="G467" s="138"/>
      <c r="H467" s="26"/>
    </row>
    <row r="468" ht="22.5" customHeight="1">
      <c r="A468" s="24"/>
      <c r="B468" s="71"/>
      <c r="C468" s="71"/>
      <c r="D468" s="71"/>
      <c r="E468" s="138"/>
      <c r="F468" s="25"/>
      <c r="G468" s="138"/>
      <c r="H468" s="26"/>
    </row>
    <row r="469" ht="22.5" customHeight="1">
      <c r="A469" s="24"/>
      <c r="B469" s="71"/>
      <c r="C469" s="71"/>
      <c r="D469" s="71"/>
      <c r="E469" s="138"/>
      <c r="F469" s="25"/>
      <c r="G469" s="138"/>
      <c r="H469" s="26"/>
    </row>
    <row r="470" ht="22.5" customHeight="1">
      <c r="A470" s="24"/>
      <c r="B470" s="71"/>
      <c r="C470" s="71"/>
      <c r="D470" s="71"/>
      <c r="E470" s="138"/>
      <c r="F470" s="25"/>
      <c r="G470" s="138"/>
      <c r="H470" s="26"/>
    </row>
    <row r="471" ht="22.5" customHeight="1">
      <c r="A471" s="24"/>
      <c r="B471" s="71"/>
      <c r="C471" s="71"/>
      <c r="D471" s="71"/>
      <c r="E471" s="138"/>
      <c r="F471" s="25"/>
      <c r="G471" s="138"/>
      <c r="H471" s="26"/>
    </row>
    <row r="472" ht="22.5" customHeight="1">
      <c r="A472" s="24"/>
      <c r="B472" s="71"/>
      <c r="C472" s="71"/>
      <c r="D472" s="71"/>
      <c r="E472" s="138"/>
      <c r="F472" s="25"/>
      <c r="G472" s="138"/>
      <c r="H472" s="26"/>
    </row>
    <row r="473" ht="22.5" customHeight="1">
      <c r="A473" s="24"/>
      <c r="B473" s="71"/>
      <c r="C473" s="71"/>
      <c r="D473" s="71"/>
      <c r="E473" s="138"/>
      <c r="F473" s="25"/>
      <c r="G473" s="138"/>
      <c r="H473" s="26"/>
    </row>
    <row r="474" ht="22.5" customHeight="1">
      <c r="A474" s="24"/>
      <c r="B474" s="71"/>
      <c r="C474" s="71"/>
      <c r="D474" s="71"/>
      <c r="E474" s="138"/>
      <c r="F474" s="25"/>
      <c r="G474" s="138"/>
      <c r="H474" s="26"/>
    </row>
    <row r="475" ht="22.5" customHeight="1">
      <c r="A475" s="24"/>
      <c r="B475" s="71"/>
      <c r="C475" s="71"/>
      <c r="D475" s="71"/>
      <c r="E475" s="138"/>
      <c r="F475" s="25"/>
      <c r="G475" s="138"/>
      <c r="H475" s="26"/>
    </row>
    <row r="476" ht="22.5" customHeight="1">
      <c r="A476" s="24"/>
      <c r="B476" s="71"/>
      <c r="C476" s="71"/>
      <c r="D476" s="71"/>
      <c r="E476" s="138"/>
      <c r="F476" s="25"/>
      <c r="G476" s="138"/>
      <c r="H476" s="26"/>
    </row>
    <row r="477" ht="22.5" customHeight="1">
      <c r="A477" s="24"/>
      <c r="B477" s="71"/>
      <c r="C477" s="71"/>
      <c r="D477" s="71"/>
      <c r="E477" s="138"/>
      <c r="F477" s="25"/>
      <c r="G477" s="138"/>
      <c r="H477" s="26"/>
    </row>
    <row r="478" ht="22.5" customHeight="1">
      <c r="A478" s="24"/>
      <c r="B478" s="71"/>
      <c r="C478" s="71"/>
      <c r="D478" s="71"/>
      <c r="E478" s="138"/>
      <c r="F478" s="25"/>
      <c r="G478" s="138"/>
      <c r="H478" s="26"/>
    </row>
    <row r="479" ht="22.5" customHeight="1">
      <c r="A479" s="24"/>
      <c r="B479" s="71"/>
      <c r="C479" s="71"/>
      <c r="D479" s="71"/>
      <c r="E479" s="138"/>
      <c r="F479" s="25"/>
      <c r="G479" s="138"/>
      <c r="H479" s="26"/>
    </row>
    <row r="480" ht="22.5" customHeight="1">
      <c r="A480" s="24"/>
      <c r="B480" s="71"/>
      <c r="C480" s="71"/>
      <c r="D480" s="71"/>
      <c r="E480" s="138"/>
      <c r="F480" s="25"/>
      <c r="G480" s="138"/>
      <c r="H480" s="26"/>
    </row>
    <row r="481" ht="22.5" customHeight="1">
      <c r="A481" s="24"/>
      <c r="B481" s="71"/>
      <c r="C481" s="71"/>
      <c r="D481" s="71"/>
      <c r="E481" s="138"/>
      <c r="F481" s="25"/>
      <c r="G481" s="138"/>
      <c r="H481" s="26"/>
    </row>
    <row r="482" ht="22.5" customHeight="1">
      <c r="A482" s="24"/>
      <c r="B482" s="71"/>
      <c r="C482" s="71"/>
      <c r="D482" s="71"/>
      <c r="E482" s="138"/>
      <c r="F482" s="25"/>
      <c r="G482" s="138"/>
      <c r="H482" s="26"/>
    </row>
    <row r="483" ht="22.5" customHeight="1">
      <c r="A483" s="24"/>
      <c r="B483" s="71"/>
      <c r="C483" s="71"/>
      <c r="D483" s="71"/>
      <c r="E483" s="138"/>
      <c r="F483" s="25"/>
      <c r="G483" s="138"/>
      <c r="H483" s="26"/>
    </row>
    <row r="484" ht="22.5" customHeight="1">
      <c r="A484" s="24"/>
      <c r="B484" s="71"/>
      <c r="C484" s="71"/>
      <c r="D484" s="71"/>
      <c r="E484" s="138"/>
      <c r="F484" s="25"/>
      <c r="G484" s="138"/>
      <c r="H484" s="26"/>
    </row>
    <row r="485" ht="22.5" customHeight="1">
      <c r="A485" s="24"/>
      <c r="B485" s="71"/>
      <c r="C485" s="71"/>
      <c r="D485" s="71"/>
      <c r="E485" s="138"/>
      <c r="F485" s="25"/>
      <c r="G485" s="138"/>
      <c r="H485" s="26"/>
    </row>
    <row r="486" ht="22.5" customHeight="1">
      <c r="A486" s="24"/>
      <c r="B486" s="71"/>
      <c r="C486" s="71"/>
      <c r="D486" s="71"/>
      <c r="E486" s="138"/>
      <c r="F486" s="25"/>
      <c r="G486" s="138"/>
      <c r="H486" s="26"/>
    </row>
    <row r="487" ht="22.5" customHeight="1">
      <c r="A487" s="24"/>
      <c r="B487" s="71"/>
      <c r="C487" s="71"/>
      <c r="D487" s="71"/>
      <c r="E487" s="138"/>
      <c r="F487" s="25"/>
      <c r="G487" s="138"/>
      <c r="H487" s="26"/>
    </row>
    <row r="488" ht="22.5" customHeight="1">
      <c r="A488" s="24"/>
      <c r="B488" s="71"/>
      <c r="C488" s="71"/>
      <c r="D488" s="71"/>
      <c r="E488" s="138"/>
      <c r="F488" s="25"/>
      <c r="G488" s="138"/>
      <c r="H488" s="26"/>
    </row>
    <row r="489" ht="22.5" customHeight="1">
      <c r="A489" s="24"/>
      <c r="B489" s="71"/>
      <c r="C489" s="71"/>
      <c r="D489" s="71"/>
      <c r="E489" s="138"/>
      <c r="F489" s="25"/>
      <c r="G489" s="138"/>
      <c r="H489" s="26"/>
    </row>
    <row r="490" ht="22.5" customHeight="1">
      <c r="A490" s="24"/>
      <c r="B490" s="71"/>
      <c r="C490" s="71"/>
      <c r="D490" s="71"/>
      <c r="E490" s="138"/>
      <c r="F490" s="25"/>
      <c r="G490" s="138"/>
      <c r="H490" s="26"/>
    </row>
    <row r="491" ht="22.5" customHeight="1">
      <c r="A491" s="24"/>
      <c r="B491" s="71"/>
      <c r="C491" s="71"/>
      <c r="D491" s="71"/>
      <c r="E491" s="138"/>
      <c r="F491" s="25"/>
      <c r="G491" s="138"/>
      <c r="H491" s="26"/>
    </row>
    <row r="492" ht="22.5" customHeight="1">
      <c r="A492" s="24"/>
      <c r="B492" s="71"/>
      <c r="C492" s="71"/>
      <c r="D492" s="71"/>
      <c r="E492" s="138"/>
      <c r="F492" s="25"/>
      <c r="G492" s="138"/>
      <c r="H492" s="26"/>
    </row>
    <row r="493" ht="22.5" customHeight="1">
      <c r="A493" s="24"/>
      <c r="B493" s="71"/>
      <c r="C493" s="71"/>
      <c r="D493" s="71"/>
      <c r="E493" s="138"/>
      <c r="F493" s="25"/>
      <c r="G493" s="138"/>
      <c r="H493" s="26"/>
    </row>
    <row r="494" ht="22.5" customHeight="1">
      <c r="A494" s="24"/>
      <c r="B494" s="71"/>
      <c r="C494" s="71"/>
      <c r="D494" s="71"/>
      <c r="E494" s="138"/>
      <c r="F494" s="25"/>
      <c r="G494" s="138"/>
      <c r="H494" s="26"/>
    </row>
    <row r="495" ht="22.5" customHeight="1">
      <c r="A495" s="24"/>
      <c r="B495" s="71"/>
      <c r="C495" s="71"/>
      <c r="D495" s="71"/>
      <c r="E495" s="138"/>
      <c r="F495" s="25"/>
      <c r="G495" s="138"/>
      <c r="H495" s="26"/>
    </row>
    <row r="496" ht="22.5" customHeight="1">
      <c r="A496" s="24"/>
      <c r="B496" s="71"/>
      <c r="C496" s="71"/>
      <c r="D496" s="71"/>
      <c r="E496" s="138"/>
      <c r="F496" s="25"/>
      <c r="G496" s="138"/>
      <c r="H496" s="26"/>
    </row>
    <row r="497" ht="22.5" customHeight="1">
      <c r="A497" s="24"/>
      <c r="B497" s="71"/>
      <c r="C497" s="71"/>
      <c r="D497" s="71"/>
      <c r="E497" s="138"/>
      <c r="F497" s="25"/>
      <c r="G497" s="138"/>
      <c r="H497" s="26"/>
    </row>
    <row r="498" ht="22.5" customHeight="1">
      <c r="A498" s="24"/>
      <c r="B498" s="71"/>
      <c r="C498" s="71"/>
      <c r="D498" s="71"/>
      <c r="E498" s="138"/>
      <c r="F498" s="25"/>
      <c r="G498" s="138"/>
      <c r="H498" s="26"/>
    </row>
    <row r="499" ht="22.5" customHeight="1">
      <c r="A499" s="24"/>
      <c r="B499" s="71"/>
      <c r="C499" s="71"/>
      <c r="D499" s="71"/>
      <c r="E499" s="138"/>
      <c r="F499" s="25"/>
      <c r="G499" s="138"/>
      <c r="H499" s="26"/>
    </row>
    <row r="500" ht="22.5" customHeight="1">
      <c r="A500" s="24"/>
      <c r="B500" s="71"/>
      <c r="C500" s="71"/>
      <c r="D500" s="71"/>
      <c r="E500" s="138"/>
      <c r="F500" s="25"/>
      <c r="G500" s="138"/>
      <c r="H500" s="26"/>
    </row>
    <row r="501" ht="22.5" customHeight="1">
      <c r="A501" s="24"/>
      <c r="B501" s="71"/>
      <c r="C501" s="71"/>
      <c r="D501" s="71"/>
      <c r="E501" s="138"/>
      <c r="F501" s="25"/>
      <c r="G501" s="138"/>
      <c r="H501" s="26"/>
    </row>
    <row r="502" ht="22.5" customHeight="1">
      <c r="A502" s="24"/>
      <c r="B502" s="71"/>
      <c r="C502" s="71"/>
      <c r="D502" s="71"/>
      <c r="E502" s="138"/>
      <c r="F502" s="25"/>
      <c r="G502" s="138"/>
      <c r="H502" s="26"/>
    </row>
    <row r="503" ht="22.5" customHeight="1">
      <c r="A503" s="24"/>
      <c r="B503" s="71"/>
      <c r="C503" s="71"/>
      <c r="D503" s="71"/>
      <c r="E503" s="138"/>
      <c r="F503" s="25"/>
      <c r="G503" s="138"/>
      <c r="H503" s="26"/>
    </row>
    <row r="504" ht="22.5" customHeight="1">
      <c r="A504" s="24"/>
      <c r="B504" s="71"/>
      <c r="C504" s="71"/>
      <c r="D504" s="71"/>
      <c r="E504" s="138"/>
      <c r="F504" s="25"/>
      <c r="G504" s="138"/>
      <c r="H504" s="26"/>
    </row>
    <row r="505" ht="22.5" customHeight="1">
      <c r="A505" s="24"/>
      <c r="B505" s="71"/>
      <c r="C505" s="71"/>
      <c r="D505" s="71"/>
      <c r="E505" s="138"/>
      <c r="F505" s="25"/>
      <c r="G505" s="138"/>
      <c r="H505" s="26"/>
    </row>
    <row r="506" ht="22.5" customHeight="1">
      <c r="A506" s="24"/>
      <c r="B506" s="71"/>
      <c r="C506" s="71"/>
      <c r="D506" s="71"/>
      <c r="E506" s="138"/>
      <c r="F506" s="25"/>
      <c r="G506" s="138"/>
      <c r="H506" s="26"/>
    </row>
    <row r="507" ht="22.5" customHeight="1">
      <c r="A507" s="24"/>
      <c r="B507" s="71"/>
      <c r="C507" s="71"/>
      <c r="D507" s="71"/>
      <c r="E507" s="138"/>
      <c r="F507" s="25"/>
      <c r="G507" s="138"/>
      <c r="H507" s="26"/>
    </row>
    <row r="508" ht="22.5" customHeight="1">
      <c r="A508" s="24"/>
      <c r="B508" s="71"/>
      <c r="C508" s="71"/>
      <c r="D508" s="71"/>
      <c r="E508" s="138"/>
      <c r="F508" s="25"/>
      <c r="G508" s="138"/>
      <c r="H508" s="26"/>
    </row>
    <row r="509" ht="22.5" customHeight="1">
      <c r="A509" s="24"/>
      <c r="B509" s="71"/>
      <c r="C509" s="71"/>
      <c r="D509" s="71"/>
      <c r="E509" s="138"/>
      <c r="F509" s="25"/>
      <c r="G509" s="138"/>
      <c r="H509" s="26"/>
    </row>
    <row r="510" ht="22.5" customHeight="1">
      <c r="A510" s="24"/>
      <c r="B510" s="71"/>
      <c r="C510" s="71"/>
      <c r="D510" s="71"/>
      <c r="E510" s="138"/>
      <c r="F510" s="25"/>
      <c r="G510" s="138"/>
      <c r="H510" s="26"/>
    </row>
    <row r="511" ht="22.5" customHeight="1">
      <c r="A511" s="24"/>
      <c r="B511" s="71"/>
      <c r="C511" s="71"/>
      <c r="D511" s="71"/>
      <c r="E511" s="138"/>
      <c r="F511" s="25"/>
      <c r="G511" s="138"/>
      <c r="H511" s="26"/>
    </row>
    <row r="512" ht="22.5" customHeight="1">
      <c r="A512" s="24"/>
      <c r="B512" s="71"/>
      <c r="C512" s="71"/>
      <c r="D512" s="71"/>
      <c r="E512" s="138"/>
      <c r="F512" s="25"/>
      <c r="G512" s="138"/>
      <c r="H512" s="26"/>
    </row>
    <row r="513" ht="22.5" customHeight="1">
      <c r="A513" s="24"/>
      <c r="B513" s="71"/>
      <c r="C513" s="71"/>
      <c r="D513" s="71"/>
      <c r="E513" s="138"/>
      <c r="F513" s="25"/>
      <c r="G513" s="138"/>
      <c r="H513" s="26"/>
    </row>
    <row r="514" ht="22.5" customHeight="1">
      <c r="A514" s="24"/>
      <c r="B514" s="71"/>
      <c r="C514" s="71"/>
      <c r="D514" s="71"/>
      <c r="E514" s="138"/>
      <c r="F514" s="25"/>
      <c r="G514" s="138"/>
      <c r="H514" s="26"/>
    </row>
    <row r="515" ht="22.5" customHeight="1">
      <c r="A515" s="24"/>
      <c r="B515" s="71"/>
      <c r="C515" s="71"/>
      <c r="D515" s="71"/>
      <c r="E515" s="138"/>
      <c r="F515" s="25"/>
      <c r="G515" s="138"/>
      <c r="H515" s="26"/>
    </row>
    <row r="516" ht="22.5" customHeight="1">
      <c r="A516" s="24"/>
      <c r="B516" s="71"/>
      <c r="C516" s="71"/>
      <c r="D516" s="71"/>
      <c r="E516" s="138"/>
      <c r="F516" s="25"/>
      <c r="G516" s="138"/>
      <c r="H516" s="26"/>
    </row>
    <row r="517" ht="22.5" customHeight="1">
      <c r="A517" s="24"/>
      <c r="B517" s="71"/>
      <c r="C517" s="71"/>
      <c r="D517" s="71"/>
      <c r="E517" s="138"/>
      <c r="F517" s="25"/>
      <c r="G517" s="138"/>
      <c r="H517" s="26"/>
    </row>
    <row r="518" ht="22.5" customHeight="1">
      <c r="A518" s="24"/>
      <c r="B518" s="71"/>
      <c r="C518" s="71"/>
      <c r="D518" s="71"/>
      <c r="E518" s="138"/>
      <c r="F518" s="25"/>
      <c r="G518" s="138"/>
      <c r="H518" s="26"/>
    </row>
    <row r="519" ht="22.5" customHeight="1">
      <c r="A519" s="24"/>
      <c r="B519" s="71"/>
      <c r="C519" s="71"/>
      <c r="D519" s="71"/>
      <c r="E519" s="138"/>
      <c r="F519" s="25"/>
      <c r="G519" s="138"/>
      <c r="H519" s="26"/>
    </row>
    <row r="520" ht="22.5" customHeight="1">
      <c r="A520" s="24"/>
      <c r="B520" s="71"/>
      <c r="C520" s="71"/>
      <c r="D520" s="71"/>
      <c r="E520" s="138"/>
      <c r="F520" s="25"/>
      <c r="G520" s="138"/>
      <c r="H520" s="26"/>
    </row>
    <row r="521" ht="22.5" customHeight="1">
      <c r="A521" s="24"/>
      <c r="B521" s="71"/>
      <c r="C521" s="71"/>
      <c r="D521" s="71"/>
      <c r="E521" s="138"/>
      <c r="F521" s="25"/>
      <c r="G521" s="138"/>
      <c r="H521" s="26"/>
    </row>
    <row r="522" ht="22.5" customHeight="1">
      <c r="A522" s="24"/>
      <c r="B522" s="71"/>
      <c r="C522" s="71"/>
      <c r="D522" s="71"/>
      <c r="E522" s="138"/>
      <c r="F522" s="25"/>
      <c r="G522" s="138"/>
      <c r="H522" s="26"/>
    </row>
    <row r="523" ht="22.5" customHeight="1">
      <c r="A523" s="24"/>
      <c r="B523" s="71"/>
      <c r="C523" s="71"/>
      <c r="D523" s="71"/>
      <c r="E523" s="138"/>
      <c r="F523" s="25"/>
      <c r="G523" s="138"/>
      <c r="H523" s="26"/>
    </row>
    <row r="524" ht="22.5" customHeight="1">
      <c r="A524" s="24"/>
      <c r="B524" s="71"/>
      <c r="C524" s="71"/>
      <c r="D524" s="71"/>
      <c r="E524" s="138"/>
      <c r="F524" s="25"/>
      <c r="G524" s="138"/>
      <c r="H524" s="26"/>
    </row>
    <row r="525" ht="22.5" customHeight="1">
      <c r="A525" s="24"/>
      <c r="B525" s="71"/>
      <c r="C525" s="71"/>
      <c r="D525" s="71"/>
      <c r="E525" s="138"/>
      <c r="F525" s="25"/>
      <c r="G525" s="138"/>
      <c r="H525" s="26"/>
    </row>
    <row r="526" ht="22.5" customHeight="1">
      <c r="A526" s="24"/>
      <c r="B526" s="71"/>
      <c r="C526" s="71"/>
      <c r="D526" s="71"/>
      <c r="E526" s="138"/>
      <c r="F526" s="25"/>
      <c r="G526" s="138"/>
      <c r="H526" s="26"/>
    </row>
    <row r="527" ht="22.5" customHeight="1">
      <c r="A527" s="24"/>
      <c r="B527" s="71"/>
      <c r="C527" s="71"/>
      <c r="D527" s="71"/>
      <c r="E527" s="138"/>
      <c r="F527" s="25"/>
      <c r="G527" s="138"/>
      <c r="H527" s="26"/>
    </row>
    <row r="528" ht="22.5" customHeight="1">
      <c r="A528" s="24"/>
      <c r="B528" s="71"/>
      <c r="C528" s="71"/>
      <c r="D528" s="71"/>
      <c r="E528" s="138"/>
      <c r="F528" s="25"/>
      <c r="G528" s="138"/>
      <c r="H528" s="26"/>
    </row>
    <row r="529" ht="22.5" customHeight="1">
      <c r="A529" s="24"/>
      <c r="B529" s="71"/>
      <c r="C529" s="71"/>
      <c r="D529" s="71"/>
      <c r="E529" s="138"/>
      <c r="F529" s="25"/>
      <c r="G529" s="138"/>
      <c r="H529" s="26"/>
    </row>
    <row r="530" ht="22.5" customHeight="1">
      <c r="A530" s="24"/>
      <c r="B530" s="71"/>
      <c r="C530" s="71"/>
      <c r="D530" s="71"/>
      <c r="E530" s="138"/>
      <c r="F530" s="25"/>
      <c r="G530" s="138"/>
      <c r="H530" s="26"/>
    </row>
    <row r="531" ht="22.5" customHeight="1">
      <c r="A531" s="24"/>
      <c r="B531" s="71"/>
      <c r="C531" s="71"/>
      <c r="D531" s="71"/>
      <c r="E531" s="138"/>
      <c r="F531" s="25"/>
      <c r="G531" s="138"/>
      <c r="H531" s="26"/>
    </row>
    <row r="532" ht="22.5" customHeight="1">
      <c r="A532" s="24"/>
      <c r="B532" s="71"/>
      <c r="C532" s="71"/>
      <c r="D532" s="71"/>
      <c r="E532" s="138"/>
      <c r="F532" s="25"/>
      <c r="G532" s="138"/>
      <c r="H532" s="26"/>
    </row>
    <row r="533" ht="22.5" customHeight="1">
      <c r="A533" s="24"/>
      <c r="B533" s="71"/>
      <c r="C533" s="71"/>
      <c r="D533" s="71"/>
      <c r="E533" s="138"/>
      <c r="F533" s="25"/>
      <c r="G533" s="138"/>
      <c r="H533" s="26"/>
    </row>
    <row r="534" ht="22.5" customHeight="1">
      <c r="A534" s="24"/>
      <c r="B534" s="71"/>
      <c r="C534" s="71"/>
      <c r="D534" s="71"/>
      <c r="E534" s="138"/>
      <c r="F534" s="25"/>
      <c r="G534" s="138"/>
      <c r="H534" s="26"/>
    </row>
    <row r="535" ht="22.5" customHeight="1">
      <c r="A535" s="24"/>
      <c r="B535" s="71"/>
      <c r="C535" s="71"/>
      <c r="D535" s="71"/>
      <c r="E535" s="138"/>
      <c r="F535" s="25"/>
      <c r="G535" s="138"/>
      <c r="H535" s="26"/>
    </row>
    <row r="536" ht="22.5" customHeight="1">
      <c r="A536" s="24"/>
      <c r="B536" s="71"/>
      <c r="C536" s="71"/>
      <c r="D536" s="71"/>
      <c r="E536" s="138"/>
      <c r="F536" s="25"/>
      <c r="G536" s="138"/>
      <c r="H536" s="26"/>
    </row>
    <row r="537" ht="22.5" customHeight="1">
      <c r="A537" s="24"/>
      <c r="B537" s="71"/>
      <c r="C537" s="71"/>
      <c r="D537" s="71"/>
      <c r="E537" s="138"/>
      <c r="F537" s="25"/>
      <c r="G537" s="138"/>
      <c r="H537" s="26"/>
    </row>
    <row r="538" ht="22.5" customHeight="1">
      <c r="A538" s="24"/>
      <c r="B538" s="71"/>
      <c r="C538" s="71"/>
      <c r="D538" s="71"/>
      <c r="E538" s="138"/>
      <c r="F538" s="25"/>
      <c r="G538" s="138"/>
      <c r="H538" s="26"/>
    </row>
    <row r="539" ht="22.5" customHeight="1">
      <c r="A539" s="24"/>
      <c r="B539" s="71"/>
      <c r="C539" s="71"/>
      <c r="D539" s="71"/>
      <c r="E539" s="138"/>
      <c r="F539" s="25"/>
      <c r="G539" s="138"/>
      <c r="H539" s="26"/>
    </row>
    <row r="540" ht="22.5" customHeight="1">
      <c r="A540" s="24"/>
      <c r="B540" s="71"/>
      <c r="C540" s="71"/>
      <c r="D540" s="71"/>
      <c r="E540" s="138"/>
      <c r="F540" s="25"/>
      <c r="G540" s="138"/>
      <c r="H540" s="26"/>
    </row>
    <row r="541" ht="22.5" customHeight="1">
      <c r="A541" s="24"/>
      <c r="B541" s="71"/>
      <c r="C541" s="71"/>
      <c r="D541" s="71"/>
      <c r="E541" s="138"/>
      <c r="F541" s="25"/>
      <c r="G541" s="138"/>
      <c r="H541" s="26"/>
    </row>
    <row r="542" ht="22.5" customHeight="1">
      <c r="A542" s="24"/>
      <c r="B542" s="71"/>
      <c r="C542" s="71"/>
      <c r="D542" s="71"/>
      <c r="E542" s="138"/>
      <c r="F542" s="25"/>
      <c r="G542" s="138"/>
      <c r="H542" s="26"/>
    </row>
    <row r="543" ht="22.5" customHeight="1">
      <c r="A543" s="24"/>
      <c r="B543" s="71"/>
      <c r="C543" s="71"/>
      <c r="D543" s="71"/>
      <c r="E543" s="138"/>
      <c r="F543" s="25"/>
      <c r="G543" s="138"/>
      <c r="H543" s="26"/>
    </row>
    <row r="544" ht="22.5" customHeight="1">
      <c r="A544" s="24"/>
      <c r="B544" s="71"/>
      <c r="C544" s="71"/>
      <c r="D544" s="71"/>
      <c r="E544" s="138"/>
      <c r="F544" s="25"/>
      <c r="G544" s="138"/>
      <c r="H544" s="26"/>
    </row>
    <row r="545" ht="22.5" customHeight="1">
      <c r="A545" s="24"/>
      <c r="B545" s="71"/>
      <c r="C545" s="71"/>
      <c r="D545" s="71"/>
      <c r="E545" s="138"/>
      <c r="F545" s="25"/>
      <c r="G545" s="138"/>
      <c r="H545" s="26"/>
    </row>
    <row r="546" ht="22.5" customHeight="1">
      <c r="A546" s="24"/>
      <c r="B546" s="71"/>
      <c r="C546" s="71"/>
      <c r="D546" s="71"/>
      <c r="E546" s="138"/>
      <c r="F546" s="25"/>
      <c r="G546" s="138"/>
      <c r="H546" s="26"/>
    </row>
    <row r="547" ht="22.5" customHeight="1">
      <c r="A547" s="24"/>
      <c r="B547" s="71"/>
      <c r="C547" s="71"/>
      <c r="D547" s="71"/>
      <c r="E547" s="138"/>
      <c r="F547" s="25"/>
      <c r="G547" s="138"/>
      <c r="H547" s="26"/>
    </row>
    <row r="548" ht="22.5" customHeight="1">
      <c r="A548" s="24"/>
      <c r="B548" s="71"/>
      <c r="C548" s="71"/>
      <c r="D548" s="71"/>
      <c r="E548" s="138"/>
      <c r="F548" s="25"/>
      <c r="G548" s="138"/>
      <c r="H548" s="26"/>
    </row>
    <row r="549" ht="22.5" customHeight="1">
      <c r="A549" s="24"/>
      <c r="B549" s="71"/>
      <c r="C549" s="71"/>
      <c r="D549" s="71"/>
      <c r="E549" s="138"/>
      <c r="F549" s="25"/>
      <c r="G549" s="138"/>
      <c r="H549" s="26"/>
    </row>
    <row r="550" ht="22.5" customHeight="1">
      <c r="A550" s="24"/>
      <c r="B550" s="71"/>
      <c r="C550" s="71"/>
      <c r="D550" s="71"/>
      <c r="E550" s="138"/>
      <c r="F550" s="25"/>
      <c r="G550" s="138"/>
      <c r="H550" s="26"/>
    </row>
    <row r="551" ht="22.5" customHeight="1">
      <c r="A551" s="24"/>
      <c r="B551" s="71"/>
      <c r="C551" s="71"/>
      <c r="D551" s="71"/>
      <c r="E551" s="138"/>
      <c r="F551" s="25"/>
      <c r="G551" s="138"/>
      <c r="H551" s="26"/>
    </row>
    <row r="552" ht="22.5" customHeight="1">
      <c r="A552" s="24"/>
      <c r="B552" s="71"/>
      <c r="C552" s="71"/>
      <c r="D552" s="71"/>
      <c r="E552" s="138"/>
      <c r="F552" s="25"/>
      <c r="G552" s="138"/>
      <c r="H552" s="26"/>
    </row>
    <row r="553" ht="22.5" customHeight="1">
      <c r="A553" s="24"/>
      <c r="B553" s="71"/>
      <c r="C553" s="71"/>
      <c r="D553" s="71"/>
      <c r="E553" s="138"/>
      <c r="F553" s="25"/>
      <c r="G553" s="138"/>
      <c r="H553" s="26"/>
    </row>
    <row r="554" ht="22.5" customHeight="1">
      <c r="A554" s="24"/>
      <c r="B554" s="71"/>
      <c r="C554" s="71"/>
      <c r="D554" s="71"/>
      <c r="E554" s="138"/>
      <c r="F554" s="25"/>
      <c r="G554" s="138"/>
      <c r="H554" s="26"/>
    </row>
    <row r="555" ht="22.5" customHeight="1">
      <c r="A555" s="24"/>
      <c r="B555" s="71"/>
      <c r="C555" s="71"/>
      <c r="D555" s="71"/>
      <c r="E555" s="138"/>
      <c r="F555" s="25"/>
      <c r="G555" s="138"/>
      <c r="H555" s="26"/>
    </row>
    <row r="556" ht="22.5" customHeight="1">
      <c r="A556" s="24"/>
      <c r="B556" s="71"/>
      <c r="C556" s="71"/>
      <c r="D556" s="71"/>
      <c r="E556" s="138"/>
      <c r="F556" s="25"/>
      <c r="G556" s="138"/>
      <c r="H556" s="26"/>
    </row>
    <row r="557" ht="22.5" customHeight="1">
      <c r="A557" s="24"/>
      <c r="B557" s="71"/>
      <c r="C557" s="71"/>
      <c r="D557" s="71"/>
      <c r="E557" s="138"/>
      <c r="F557" s="25"/>
      <c r="G557" s="138"/>
      <c r="H557" s="26"/>
    </row>
    <row r="558" ht="22.5" customHeight="1">
      <c r="A558" s="24"/>
      <c r="B558" s="71"/>
      <c r="C558" s="71"/>
      <c r="D558" s="71"/>
      <c r="E558" s="138"/>
      <c r="F558" s="25"/>
      <c r="G558" s="138"/>
      <c r="H558" s="26"/>
    </row>
    <row r="559" ht="22.5" customHeight="1">
      <c r="A559" s="24"/>
      <c r="B559" s="71"/>
      <c r="C559" s="71"/>
      <c r="D559" s="71"/>
      <c r="E559" s="138"/>
      <c r="F559" s="25"/>
      <c r="G559" s="138"/>
      <c r="H559" s="26"/>
    </row>
    <row r="560" ht="22.5" customHeight="1">
      <c r="A560" s="24"/>
      <c r="B560" s="71"/>
      <c r="C560" s="71"/>
      <c r="D560" s="71"/>
      <c r="E560" s="138"/>
      <c r="F560" s="25"/>
      <c r="G560" s="138"/>
      <c r="H560" s="26"/>
    </row>
    <row r="561" ht="22.5" customHeight="1">
      <c r="A561" s="24"/>
      <c r="B561" s="71"/>
      <c r="C561" s="71"/>
      <c r="D561" s="71"/>
      <c r="E561" s="138"/>
      <c r="F561" s="25"/>
      <c r="G561" s="138"/>
      <c r="H561" s="26"/>
    </row>
    <row r="562" ht="22.5" customHeight="1">
      <c r="A562" s="24"/>
      <c r="B562" s="71"/>
      <c r="C562" s="71"/>
      <c r="D562" s="71"/>
      <c r="E562" s="138"/>
      <c r="F562" s="25"/>
      <c r="G562" s="138"/>
      <c r="H562" s="26"/>
    </row>
    <row r="563" ht="22.5" customHeight="1">
      <c r="A563" s="24"/>
      <c r="B563" s="71"/>
      <c r="C563" s="71"/>
      <c r="D563" s="71"/>
      <c r="E563" s="138"/>
      <c r="F563" s="25"/>
      <c r="G563" s="138"/>
      <c r="H563" s="26"/>
    </row>
    <row r="564" ht="22.5" customHeight="1">
      <c r="A564" s="24"/>
      <c r="B564" s="71"/>
      <c r="C564" s="71"/>
      <c r="D564" s="71"/>
      <c r="E564" s="138"/>
      <c r="F564" s="25"/>
      <c r="G564" s="138"/>
      <c r="H564" s="26"/>
    </row>
    <row r="565" ht="22.5" customHeight="1">
      <c r="A565" s="24"/>
      <c r="B565" s="71"/>
      <c r="C565" s="71"/>
      <c r="D565" s="71"/>
      <c r="E565" s="138"/>
      <c r="F565" s="25"/>
      <c r="G565" s="138"/>
      <c r="H565" s="26"/>
    </row>
    <row r="566" ht="22.5" customHeight="1">
      <c r="A566" s="24"/>
      <c r="B566" s="71"/>
      <c r="C566" s="71"/>
      <c r="D566" s="71"/>
      <c r="E566" s="138"/>
      <c r="F566" s="25"/>
      <c r="G566" s="138"/>
      <c r="H566" s="26"/>
    </row>
    <row r="567" ht="22.5" customHeight="1">
      <c r="A567" s="24"/>
      <c r="B567" s="71"/>
      <c r="C567" s="71"/>
      <c r="D567" s="71"/>
      <c r="E567" s="138"/>
      <c r="F567" s="25"/>
      <c r="G567" s="138"/>
      <c r="H567" s="26"/>
    </row>
    <row r="568" ht="22.5" customHeight="1">
      <c r="A568" s="24"/>
      <c r="B568" s="71"/>
      <c r="C568" s="71"/>
      <c r="D568" s="71"/>
      <c r="E568" s="138"/>
      <c r="F568" s="25"/>
      <c r="G568" s="138"/>
      <c r="H568" s="26"/>
    </row>
    <row r="569" ht="22.5" customHeight="1">
      <c r="A569" s="24"/>
      <c r="B569" s="71"/>
      <c r="C569" s="71"/>
      <c r="D569" s="71"/>
      <c r="E569" s="138"/>
      <c r="F569" s="25"/>
      <c r="G569" s="138"/>
      <c r="H569" s="26"/>
    </row>
    <row r="570" ht="22.5" customHeight="1">
      <c r="A570" s="24"/>
      <c r="B570" s="71"/>
      <c r="C570" s="71"/>
      <c r="D570" s="71"/>
      <c r="E570" s="138"/>
      <c r="F570" s="25"/>
      <c r="G570" s="138"/>
      <c r="H570" s="26"/>
    </row>
    <row r="571" ht="22.5" customHeight="1">
      <c r="A571" s="24"/>
      <c r="B571" s="71"/>
      <c r="C571" s="71"/>
      <c r="D571" s="71"/>
      <c r="E571" s="138"/>
      <c r="F571" s="25"/>
      <c r="G571" s="138"/>
      <c r="H571" s="26"/>
    </row>
    <row r="572" ht="22.5" customHeight="1">
      <c r="A572" s="24"/>
      <c r="B572" s="71"/>
      <c r="C572" s="71"/>
      <c r="D572" s="71"/>
      <c r="E572" s="138"/>
      <c r="F572" s="25"/>
      <c r="G572" s="138"/>
      <c r="H572" s="26"/>
    </row>
    <row r="573" ht="22.5" customHeight="1">
      <c r="A573" s="24"/>
      <c r="B573" s="71"/>
      <c r="C573" s="71"/>
      <c r="D573" s="71"/>
      <c r="E573" s="138"/>
      <c r="F573" s="25"/>
      <c r="G573" s="138"/>
      <c r="H573" s="26"/>
    </row>
    <row r="574" ht="22.5" customHeight="1">
      <c r="A574" s="24"/>
      <c r="B574" s="71"/>
      <c r="C574" s="71"/>
      <c r="D574" s="71"/>
      <c r="E574" s="138"/>
      <c r="F574" s="25"/>
      <c r="G574" s="138"/>
      <c r="H574" s="26"/>
    </row>
    <row r="575" ht="22.5" customHeight="1">
      <c r="A575" s="24"/>
      <c r="B575" s="71"/>
      <c r="C575" s="71"/>
      <c r="D575" s="71"/>
      <c r="E575" s="138"/>
      <c r="F575" s="25"/>
      <c r="G575" s="138"/>
      <c r="H575" s="26"/>
    </row>
    <row r="576" ht="22.5" customHeight="1">
      <c r="A576" s="24"/>
      <c r="B576" s="71"/>
      <c r="C576" s="71"/>
      <c r="D576" s="71"/>
      <c r="E576" s="138"/>
      <c r="F576" s="25"/>
      <c r="G576" s="138"/>
      <c r="H576" s="26"/>
    </row>
    <row r="577" ht="22.5" customHeight="1">
      <c r="A577" s="24"/>
      <c r="B577" s="71"/>
      <c r="C577" s="71"/>
      <c r="D577" s="71"/>
      <c r="E577" s="138"/>
      <c r="F577" s="25"/>
      <c r="G577" s="138"/>
      <c r="H577" s="26"/>
    </row>
    <row r="578" ht="22.5" customHeight="1">
      <c r="A578" s="24"/>
      <c r="B578" s="71"/>
      <c r="C578" s="71"/>
      <c r="D578" s="71"/>
      <c r="E578" s="138"/>
      <c r="F578" s="25"/>
      <c r="G578" s="138"/>
      <c r="H578" s="26"/>
    </row>
    <row r="579" ht="22.5" customHeight="1">
      <c r="A579" s="24"/>
      <c r="B579" s="71"/>
      <c r="C579" s="71"/>
      <c r="D579" s="71"/>
      <c r="E579" s="138"/>
      <c r="F579" s="25"/>
      <c r="G579" s="138"/>
      <c r="H579" s="26"/>
    </row>
    <row r="580" ht="22.5" customHeight="1">
      <c r="A580" s="24"/>
      <c r="B580" s="71"/>
      <c r="C580" s="71"/>
      <c r="D580" s="71"/>
      <c r="E580" s="138"/>
      <c r="F580" s="25"/>
      <c r="G580" s="138"/>
      <c r="H580" s="26"/>
    </row>
    <row r="581" ht="22.5" customHeight="1">
      <c r="A581" s="24"/>
      <c r="B581" s="71"/>
      <c r="C581" s="71"/>
      <c r="D581" s="71"/>
      <c r="E581" s="138"/>
      <c r="F581" s="25"/>
      <c r="G581" s="138"/>
      <c r="H581" s="26"/>
    </row>
    <row r="582" ht="22.5" customHeight="1">
      <c r="A582" s="24"/>
      <c r="B582" s="71"/>
      <c r="C582" s="71"/>
      <c r="D582" s="71"/>
      <c r="E582" s="138"/>
      <c r="F582" s="25"/>
      <c r="G582" s="138"/>
      <c r="H582" s="26"/>
    </row>
    <row r="583" ht="22.5" customHeight="1">
      <c r="A583" s="24"/>
      <c r="B583" s="71"/>
      <c r="C583" s="71"/>
      <c r="D583" s="71"/>
      <c r="E583" s="138"/>
      <c r="F583" s="25"/>
      <c r="G583" s="138"/>
      <c r="H583" s="26"/>
    </row>
    <row r="584" ht="22.5" customHeight="1">
      <c r="A584" s="24"/>
      <c r="B584" s="71"/>
      <c r="C584" s="71"/>
      <c r="D584" s="71"/>
      <c r="E584" s="138"/>
      <c r="F584" s="25"/>
      <c r="G584" s="138"/>
      <c r="H584" s="26"/>
    </row>
    <row r="585" ht="22.5" customHeight="1">
      <c r="A585" s="24"/>
      <c r="B585" s="71"/>
      <c r="C585" s="71"/>
      <c r="D585" s="71"/>
      <c r="E585" s="138"/>
      <c r="F585" s="25"/>
      <c r="G585" s="138"/>
      <c r="H585" s="26"/>
    </row>
    <row r="586" ht="22.5" customHeight="1">
      <c r="A586" s="24"/>
      <c r="B586" s="71"/>
      <c r="C586" s="71"/>
      <c r="D586" s="71"/>
      <c r="E586" s="138"/>
      <c r="F586" s="25"/>
      <c r="G586" s="138"/>
      <c r="H586" s="26"/>
    </row>
    <row r="587" ht="22.5" customHeight="1">
      <c r="A587" s="24"/>
      <c r="B587" s="71"/>
      <c r="C587" s="71"/>
      <c r="D587" s="71"/>
      <c r="E587" s="138"/>
      <c r="F587" s="25"/>
      <c r="G587" s="138"/>
      <c r="H587" s="26"/>
    </row>
    <row r="588" ht="22.5" customHeight="1">
      <c r="A588" s="24"/>
      <c r="B588" s="71"/>
      <c r="C588" s="71"/>
      <c r="D588" s="71"/>
      <c r="E588" s="138"/>
      <c r="F588" s="25"/>
      <c r="G588" s="138"/>
      <c r="H588" s="26"/>
    </row>
    <row r="589" ht="22.5" customHeight="1">
      <c r="A589" s="24"/>
      <c r="B589" s="71"/>
      <c r="C589" s="71"/>
      <c r="D589" s="71"/>
      <c r="E589" s="138"/>
      <c r="F589" s="25"/>
      <c r="G589" s="138"/>
      <c r="H589" s="26"/>
    </row>
    <row r="590" ht="22.5" customHeight="1">
      <c r="A590" s="24"/>
      <c r="B590" s="71"/>
      <c r="C590" s="71"/>
      <c r="D590" s="71"/>
      <c r="E590" s="138"/>
      <c r="F590" s="25"/>
      <c r="G590" s="138"/>
      <c r="H590" s="26"/>
    </row>
    <row r="591" ht="22.5" customHeight="1">
      <c r="A591" s="24"/>
      <c r="B591" s="71"/>
      <c r="C591" s="71"/>
      <c r="D591" s="71"/>
      <c r="E591" s="138"/>
      <c r="F591" s="25"/>
      <c r="G591" s="138"/>
      <c r="H591" s="26"/>
    </row>
    <row r="592" ht="22.5" customHeight="1">
      <c r="A592" s="24"/>
      <c r="B592" s="71"/>
      <c r="C592" s="71"/>
      <c r="D592" s="71"/>
      <c r="E592" s="138"/>
      <c r="F592" s="25"/>
      <c r="G592" s="138"/>
      <c r="H592" s="26"/>
    </row>
    <row r="593" ht="22.5" customHeight="1">
      <c r="A593" s="24"/>
      <c r="B593" s="71"/>
      <c r="C593" s="71"/>
      <c r="D593" s="71"/>
      <c r="E593" s="138"/>
      <c r="F593" s="25"/>
      <c r="G593" s="138"/>
      <c r="H593" s="26"/>
    </row>
    <row r="594" ht="22.5" customHeight="1">
      <c r="A594" s="24"/>
      <c r="B594" s="71"/>
      <c r="C594" s="71"/>
      <c r="D594" s="71"/>
      <c r="E594" s="138"/>
      <c r="F594" s="25"/>
      <c r="G594" s="138"/>
      <c r="H594" s="26"/>
    </row>
    <row r="595" ht="22.5" customHeight="1">
      <c r="A595" s="24"/>
      <c r="B595" s="71"/>
      <c r="C595" s="71"/>
      <c r="D595" s="71"/>
      <c r="E595" s="138"/>
      <c r="F595" s="25"/>
      <c r="G595" s="138"/>
      <c r="H595" s="26"/>
    </row>
    <row r="596" ht="22.5" customHeight="1">
      <c r="A596" s="24"/>
      <c r="B596" s="71"/>
      <c r="C596" s="71"/>
      <c r="D596" s="71"/>
      <c r="E596" s="138"/>
      <c r="F596" s="25"/>
      <c r="G596" s="138"/>
      <c r="H596" s="26"/>
    </row>
    <row r="597" ht="22.5" customHeight="1">
      <c r="A597" s="24"/>
      <c r="B597" s="71"/>
      <c r="C597" s="71"/>
      <c r="D597" s="71"/>
      <c r="E597" s="138"/>
      <c r="F597" s="25"/>
      <c r="G597" s="138"/>
      <c r="H597" s="26"/>
    </row>
    <row r="598" ht="22.5" customHeight="1">
      <c r="A598" s="24"/>
      <c r="B598" s="71"/>
      <c r="C598" s="71"/>
      <c r="D598" s="71"/>
      <c r="E598" s="138"/>
      <c r="F598" s="25"/>
      <c r="G598" s="138"/>
      <c r="H598" s="26"/>
    </row>
    <row r="599" ht="22.5" customHeight="1">
      <c r="A599" s="24"/>
      <c r="B599" s="71"/>
      <c r="C599" s="71"/>
      <c r="D599" s="71"/>
      <c r="E599" s="138"/>
      <c r="F599" s="25"/>
      <c r="G599" s="138"/>
      <c r="H599" s="26"/>
    </row>
    <row r="600" ht="22.5" customHeight="1">
      <c r="A600" s="24"/>
      <c r="B600" s="71"/>
      <c r="C600" s="71"/>
      <c r="D600" s="71"/>
      <c r="E600" s="138"/>
      <c r="F600" s="25"/>
      <c r="G600" s="138"/>
      <c r="H600" s="26"/>
    </row>
    <row r="601" ht="22.5" customHeight="1">
      <c r="A601" s="24"/>
      <c r="B601" s="71"/>
      <c r="C601" s="71"/>
      <c r="D601" s="71"/>
      <c r="E601" s="138"/>
      <c r="F601" s="25"/>
      <c r="G601" s="138"/>
      <c r="H601" s="26"/>
    </row>
    <row r="602" ht="22.5" customHeight="1">
      <c r="A602" s="24"/>
      <c r="B602" s="71"/>
      <c r="C602" s="71"/>
      <c r="D602" s="71"/>
      <c r="E602" s="138"/>
      <c r="F602" s="25"/>
      <c r="G602" s="138"/>
      <c r="H602" s="26"/>
    </row>
    <row r="603" ht="22.5" customHeight="1">
      <c r="A603" s="24"/>
      <c r="B603" s="71"/>
      <c r="C603" s="71"/>
      <c r="D603" s="71"/>
      <c r="E603" s="138"/>
      <c r="F603" s="25"/>
      <c r="G603" s="138"/>
      <c r="H603" s="26"/>
    </row>
    <row r="604" ht="22.5" customHeight="1">
      <c r="A604" s="24"/>
      <c r="B604" s="71"/>
      <c r="C604" s="71"/>
      <c r="D604" s="71"/>
      <c r="E604" s="138"/>
      <c r="F604" s="25"/>
      <c r="G604" s="138"/>
      <c r="H604" s="26"/>
    </row>
    <row r="605" ht="22.5" customHeight="1">
      <c r="A605" s="24"/>
      <c r="B605" s="71"/>
      <c r="C605" s="71"/>
      <c r="D605" s="71"/>
      <c r="E605" s="138"/>
      <c r="F605" s="25"/>
      <c r="G605" s="138"/>
      <c r="H605" s="26"/>
    </row>
    <row r="606" ht="22.5" customHeight="1">
      <c r="A606" s="24"/>
      <c r="B606" s="71"/>
      <c r="C606" s="71"/>
      <c r="D606" s="71"/>
      <c r="E606" s="138"/>
      <c r="F606" s="25"/>
      <c r="G606" s="138"/>
      <c r="H606" s="26"/>
    </row>
    <row r="607" ht="22.5" customHeight="1">
      <c r="A607" s="24"/>
      <c r="B607" s="71"/>
      <c r="C607" s="71"/>
      <c r="D607" s="71"/>
      <c r="E607" s="138"/>
      <c r="F607" s="25"/>
      <c r="G607" s="138"/>
      <c r="H607" s="26"/>
    </row>
    <row r="608" ht="22.5" customHeight="1">
      <c r="A608" s="24"/>
      <c r="B608" s="71"/>
      <c r="C608" s="71"/>
      <c r="D608" s="71"/>
      <c r="E608" s="138"/>
      <c r="F608" s="25"/>
      <c r="G608" s="138"/>
      <c r="H608" s="26"/>
    </row>
    <row r="609" ht="22.5" customHeight="1">
      <c r="A609" s="24"/>
      <c r="B609" s="71"/>
      <c r="C609" s="71"/>
      <c r="D609" s="71"/>
      <c r="E609" s="138"/>
      <c r="F609" s="25"/>
      <c r="G609" s="138"/>
      <c r="H609" s="26"/>
    </row>
    <row r="610" ht="22.5" customHeight="1">
      <c r="A610" s="24"/>
      <c r="B610" s="71"/>
      <c r="C610" s="71"/>
      <c r="D610" s="71"/>
      <c r="E610" s="138"/>
      <c r="F610" s="25"/>
      <c r="G610" s="138"/>
      <c r="H610" s="26"/>
    </row>
    <row r="611" ht="22.5" customHeight="1">
      <c r="A611" s="24"/>
      <c r="B611" s="71"/>
      <c r="C611" s="71"/>
      <c r="D611" s="71"/>
      <c r="E611" s="138"/>
      <c r="F611" s="25"/>
      <c r="G611" s="138"/>
      <c r="H611" s="26"/>
    </row>
    <row r="612" ht="22.5" customHeight="1">
      <c r="A612" s="24"/>
      <c r="B612" s="71"/>
      <c r="C612" s="71"/>
      <c r="D612" s="71"/>
      <c r="E612" s="138"/>
      <c r="F612" s="25"/>
      <c r="G612" s="138"/>
      <c r="H612" s="26"/>
    </row>
    <row r="613" ht="22.5" customHeight="1">
      <c r="A613" s="24"/>
      <c r="B613" s="71"/>
      <c r="C613" s="71"/>
      <c r="D613" s="71"/>
      <c r="E613" s="138"/>
      <c r="F613" s="25"/>
      <c r="G613" s="138"/>
      <c r="H613" s="26"/>
    </row>
    <row r="614" ht="22.5" customHeight="1">
      <c r="A614" s="24"/>
      <c r="B614" s="71"/>
      <c r="C614" s="71"/>
      <c r="D614" s="71"/>
      <c r="E614" s="138"/>
      <c r="F614" s="25"/>
      <c r="G614" s="138"/>
      <c r="H614" s="26"/>
    </row>
    <row r="615" ht="22.5" customHeight="1">
      <c r="A615" s="24"/>
      <c r="B615" s="71"/>
      <c r="C615" s="71"/>
      <c r="D615" s="71"/>
      <c r="E615" s="138"/>
      <c r="F615" s="25"/>
      <c r="G615" s="138"/>
      <c r="H615" s="26"/>
    </row>
    <row r="616" ht="22.5" customHeight="1">
      <c r="A616" s="24"/>
      <c r="B616" s="71"/>
      <c r="C616" s="71"/>
      <c r="D616" s="71"/>
      <c r="E616" s="138"/>
      <c r="F616" s="25"/>
      <c r="G616" s="138"/>
      <c r="H616" s="26"/>
    </row>
    <row r="617" ht="22.5" customHeight="1">
      <c r="A617" s="24"/>
      <c r="B617" s="71"/>
      <c r="C617" s="71"/>
      <c r="D617" s="71"/>
      <c r="E617" s="138"/>
      <c r="F617" s="25"/>
      <c r="G617" s="138"/>
      <c r="H617" s="26"/>
    </row>
    <row r="618" ht="22.5" customHeight="1">
      <c r="A618" s="24"/>
      <c r="B618" s="71"/>
      <c r="C618" s="71"/>
      <c r="D618" s="71"/>
      <c r="E618" s="138"/>
      <c r="F618" s="25"/>
      <c r="G618" s="138"/>
      <c r="H618" s="26"/>
    </row>
    <row r="619" ht="22.5" customHeight="1">
      <c r="A619" s="24"/>
      <c r="B619" s="71"/>
      <c r="C619" s="71"/>
      <c r="D619" s="71"/>
      <c r="E619" s="138"/>
      <c r="F619" s="25"/>
      <c r="G619" s="138"/>
      <c r="H619" s="26"/>
    </row>
    <row r="620" ht="22.5" customHeight="1">
      <c r="A620" s="24"/>
      <c r="B620" s="71"/>
      <c r="C620" s="71"/>
      <c r="D620" s="71"/>
      <c r="E620" s="138"/>
      <c r="F620" s="25"/>
      <c r="G620" s="138"/>
      <c r="H620" s="26"/>
    </row>
    <row r="621" ht="22.5" customHeight="1">
      <c r="A621" s="24"/>
      <c r="B621" s="71"/>
      <c r="C621" s="71"/>
      <c r="D621" s="71"/>
      <c r="E621" s="138"/>
      <c r="F621" s="25"/>
      <c r="G621" s="138"/>
      <c r="H621" s="26"/>
    </row>
    <row r="622" ht="22.5" customHeight="1">
      <c r="A622" s="24"/>
      <c r="B622" s="71"/>
      <c r="C622" s="71"/>
      <c r="D622" s="71"/>
      <c r="E622" s="138"/>
      <c r="F622" s="25"/>
      <c r="G622" s="138"/>
      <c r="H622" s="26"/>
    </row>
    <row r="623" ht="22.5" customHeight="1">
      <c r="A623" s="24"/>
      <c r="B623" s="71"/>
      <c r="C623" s="71"/>
      <c r="D623" s="71"/>
      <c r="E623" s="138"/>
      <c r="F623" s="25"/>
      <c r="G623" s="138"/>
      <c r="H623" s="26"/>
    </row>
    <row r="624" ht="22.5" customHeight="1">
      <c r="A624" s="24"/>
      <c r="B624" s="71"/>
      <c r="C624" s="71"/>
      <c r="D624" s="71"/>
      <c r="E624" s="138"/>
      <c r="F624" s="25"/>
      <c r="G624" s="138"/>
      <c r="H624" s="26"/>
    </row>
    <row r="625" ht="22.5" customHeight="1">
      <c r="A625" s="24"/>
      <c r="B625" s="71"/>
      <c r="C625" s="71"/>
      <c r="D625" s="71"/>
      <c r="E625" s="138"/>
      <c r="F625" s="25"/>
      <c r="G625" s="138"/>
      <c r="H625" s="26"/>
    </row>
    <row r="626" ht="22.5" customHeight="1">
      <c r="A626" s="24"/>
      <c r="B626" s="71"/>
      <c r="C626" s="71"/>
      <c r="D626" s="71"/>
      <c r="E626" s="138"/>
      <c r="F626" s="25"/>
      <c r="G626" s="138"/>
      <c r="H626" s="26"/>
    </row>
    <row r="627" ht="22.5" customHeight="1">
      <c r="A627" s="24"/>
      <c r="B627" s="71"/>
      <c r="C627" s="71"/>
      <c r="D627" s="71"/>
      <c r="E627" s="138"/>
      <c r="F627" s="25"/>
      <c r="G627" s="138"/>
      <c r="H627" s="26"/>
    </row>
    <row r="628" ht="22.5" customHeight="1">
      <c r="A628" s="24"/>
      <c r="B628" s="71"/>
      <c r="C628" s="71"/>
      <c r="D628" s="71"/>
      <c r="E628" s="138"/>
      <c r="F628" s="25"/>
      <c r="G628" s="138"/>
      <c r="H628" s="26"/>
    </row>
    <row r="629" ht="22.5" customHeight="1">
      <c r="A629" s="24"/>
      <c r="B629" s="71"/>
      <c r="C629" s="71"/>
      <c r="D629" s="71"/>
      <c r="E629" s="138"/>
      <c r="F629" s="25"/>
      <c r="G629" s="138"/>
      <c r="H629" s="26"/>
    </row>
    <row r="630" ht="22.5" customHeight="1">
      <c r="A630" s="24"/>
      <c r="B630" s="71"/>
      <c r="C630" s="71"/>
      <c r="D630" s="71"/>
      <c r="E630" s="138"/>
      <c r="F630" s="25"/>
      <c r="G630" s="138"/>
      <c r="H630" s="26"/>
    </row>
    <row r="631" ht="22.5" customHeight="1">
      <c r="A631" s="24"/>
      <c r="B631" s="71"/>
      <c r="C631" s="71"/>
      <c r="D631" s="71"/>
      <c r="E631" s="138"/>
      <c r="F631" s="25"/>
      <c r="G631" s="138"/>
      <c r="H631" s="26"/>
    </row>
    <row r="632" ht="22.5" customHeight="1">
      <c r="A632" s="24"/>
      <c r="B632" s="71"/>
      <c r="C632" s="71"/>
      <c r="D632" s="71"/>
      <c r="E632" s="138"/>
      <c r="F632" s="25"/>
      <c r="G632" s="138"/>
      <c r="H632" s="26"/>
    </row>
    <row r="633" ht="22.5" customHeight="1">
      <c r="A633" s="24"/>
      <c r="B633" s="71"/>
      <c r="C633" s="71"/>
      <c r="D633" s="71"/>
      <c r="E633" s="138"/>
      <c r="F633" s="25"/>
      <c r="G633" s="138"/>
      <c r="H633" s="26"/>
    </row>
    <row r="634" ht="22.5" customHeight="1">
      <c r="A634" s="24"/>
      <c r="B634" s="71"/>
      <c r="C634" s="71"/>
      <c r="D634" s="71"/>
      <c r="E634" s="138"/>
      <c r="F634" s="25"/>
      <c r="G634" s="138"/>
      <c r="H634" s="26"/>
    </row>
    <row r="635" ht="22.5" customHeight="1">
      <c r="A635" s="24"/>
      <c r="B635" s="71"/>
      <c r="C635" s="71"/>
      <c r="D635" s="71"/>
      <c r="E635" s="138"/>
      <c r="F635" s="25"/>
      <c r="G635" s="138"/>
      <c r="H635" s="26"/>
    </row>
    <row r="636" ht="22.5" customHeight="1">
      <c r="A636" s="24"/>
      <c r="B636" s="71"/>
      <c r="C636" s="71"/>
      <c r="D636" s="71"/>
      <c r="E636" s="138"/>
      <c r="F636" s="25"/>
      <c r="G636" s="138"/>
      <c r="H636" s="26"/>
    </row>
    <row r="637" ht="22.5" customHeight="1">
      <c r="A637" s="24"/>
      <c r="B637" s="71"/>
      <c r="C637" s="71"/>
      <c r="D637" s="71"/>
      <c r="E637" s="138"/>
      <c r="F637" s="25"/>
      <c r="G637" s="138"/>
      <c r="H637" s="26"/>
    </row>
    <row r="638" ht="22.5" customHeight="1">
      <c r="A638" s="24"/>
      <c r="B638" s="71"/>
      <c r="C638" s="71"/>
      <c r="D638" s="71"/>
      <c r="E638" s="138"/>
      <c r="F638" s="25"/>
      <c r="G638" s="138"/>
      <c r="H638" s="26"/>
    </row>
    <row r="639" ht="22.5" customHeight="1">
      <c r="A639" s="24"/>
      <c r="B639" s="71"/>
      <c r="C639" s="71"/>
      <c r="D639" s="71"/>
      <c r="E639" s="138"/>
      <c r="F639" s="25"/>
      <c r="G639" s="138"/>
      <c r="H639" s="26"/>
    </row>
    <row r="640" ht="22.5" customHeight="1">
      <c r="A640" s="24"/>
      <c r="B640" s="71"/>
      <c r="C640" s="71"/>
      <c r="D640" s="71"/>
      <c r="E640" s="138"/>
      <c r="F640" s="25"/>
      <c r="G640" s="138"/>
      <c r="H640" s="26"/>
    </row>
    <row r="641" ht="22.5" customHeight="1">
      <c r="A641" s="24"/>
      <c r="B641" s="71"/>
      <c r="C641" s="71"/>
      <c r="D641" s="71"/>
      <c r="E641" s="138"/>
      <c r="F641" s="25"/>
      <c r="G641" s="138"/>
      <c r="H641" s="26"/>
    </row>
    <row r="642" ht="22.5" customHeight="1">
      <c r="A642" s="24"/>
      <c r="B642" s="71"/>
      <c r="C642" s="71"/>
      <c r="D642" s="71"/>
      <c r="E642" s="138"/>
      <c r="F642" s="25"/>
      <c r="G642" s="138"/>
      <c r="H642" s="26"/>
    </row>
    <row r="643" ht="22.5" customHeight="1">
      <c r="A643" s="24"/>
      <c r="B643" s="71"/>
      <c r="C643" s="71"/>
      <c r="D643" s="71"/>
      <c r="E643" s="138"/>
      <c r="F643" s="25"/>
      <c r="G643" s="138"/>
      <c r="H643" s="26"/>
    </row>
    <row r="644" ht="22.5" customHeight="1">
      <c r="A644" s="24"/>
      <c r="B644" s="71"/>
      <c r="C644" s="71"/>
      <c r="D644" s="71"/>
      <c r="E644" s="138"/>
      <c r="F644" s="25"/>
      <c r="G644" s="138"/>
      <c r="H644" s="26"/>
    </row>
    <row r="645" ht="22.5" customHeight="1">
      <c r="A645" s="24"/>
      <c r="B645" s="71"/>
      <c r="C645" s="71"/>
      <c r="D645" s="71"/>
      <c r="E645" s="138"/>
      <c r="F645" s="25"/>
      <c r="G645" s="138"/>
      <c r="H645" s="26"/>
    </row>
    <row r="646" ht="22.5" customHeight="1">
      <c r="A646" s="24"/>
      <c r="B646" s="71"/>
      <c r="C646" s="71"/>
      <c r="D646" s="71"/>
      <c r="E646" s="138"/>
      <c r="F646" s="25"/>
      <c r="G646" s="138"/>
      <c r="H646" s="26"/>
    </row>
    <row r="647" ht="22.5" customHeight="1">
      <c r="A647" s="24"/>
      <c r="B647" s="71"/>
      <c r="C647" s="71"/>
      <c r="D647" s="71"/>
      <c r="E647" s="138"/>
      <c r="F647" s="25"/>
      <c r="G647" s="138"/>
      <c r="H647" s="26"/>
    </row>
    <row r="648" ht="22.5" customHeight="1">
      <c r="A648" s="24"/>
      <c r="B648" s="71"/>
      <c r="C648" s="71"/>
      <c r="D648" s="71"/>
      <c r="E648" s="138"/>
      <c r="F648" s="25"/>
      <c r="G648" s="138"/>
      <c r="H648" s="26"/>
    </row>
    <row r="649" ht="22.5" customHeight="1">
      <c r="A649" s="24"/>
      <c r="B649" s="71"/>
      <c r="C649" s="71"/>
      <c r="D649" s="71"/>
      <c r="E649" s="138"/>
      <c r="F649" s="25"/>
      <c r="G649" s="138"/>
      <c r="H649" s="26"/>
    </row>
    <row r="650" ht="22.5" customHeight="1">
      <c r="A650" s="24"/>
      <c r="B650" s="71"/>
      <c r="C650" s="71"/>
      <c r="D650" s="71"/>
      <c r="E650" s="138"/>
      <c r="F650" s="25"/>
      <c r="G650" s="138"/>
      <c r="H650" s="26"/>
    </row>
    <row r="651" ht="22.5" customHeight="1">
      <c r="A651" s="24"/>
      <c r="B651" s="71"/>
      <c r="C651" s="71"/>
      <c r="D651" s="71"/>
      <c r="E651" s="138"/>
      <c r="F651" s="25"/>
      <c r="G651" s="138"/>
      <c r="H651" s="26"/>
    </row>
    <row r="652" ht="22.5" customHeight="1">
      <c r="A652" s="24"/>
      <c r="B652" s="71"/>
      <c r="C652" s="71"/>
      <c r="D652" s="71"/>
      <c r="E652" s="138"/>
      <c r="F652" s="25"/>
      <c r="G652" s="138"/>
      <c r="H652" s="26"/>
    </row>
    <row r="653" ht="22.5" customHeight="1">
      <c r="A653" s="24"/>
      <c r="B653" s="71"/>
      <c r="C653" s="71"/>
      <c r="D653" s="71"/>
      <c r="E653" s="138"/>
      <c r="F653" s="25"/>
      <c r="G653" s="138"/>
      <c r="H653" s="26"/>
    </row>
    <row r="654" ht="22.5" customHeight="1">
      <c r="A654" s="24"/>
      <c r="B654" s="71"/>
      <c r="C654" s="71"/>
      <c r="D654" s="71"/>
      <c r="E654" s="138"/>
      <c r="F654" s="25"/>
      <c r="G654" s="138"/>
      <c r="H654" s="26"/>
    </row>
    <row r="655" ht="22.5" customHeight="1">
      <c r="A655" s="24"/>
      <c r="B655" s="71"/>
      <c r="C655" s="71"/>
      <c r="D655" s="71"/>
      <c r="E655" s="138"/>
      <c r="F655" s="25"/>
      <c r="G655" s="138"/>
      <c r="H655" s="26"/>
    </row>
    <row r="656" ht="22.5" customHeight="1">
      <c r="A656" s="24"/>
      <c r="B656" s="71"/>
      <c r="C656" s="71"/>
      <c r="D656" s="71"/>
      <c r="E656" s="138"/>
      <c r="F656" s="25"/>
      <c r="G656" s="138"/>
      <c r="H656" s="26"/>
    </row>
    <row r="657" ht="22.5" customHeight="1">
      <c r="A657" s="24"/>
      <c r="B657" s="71"/>
      <c r="C657" s="71"/>
      <c r="D657" s="71"/>
      <c r="E657" s="138"/>
      <c r="F657" s="25"/>
      <c r="G657" s="138"/>
      <c r="H657" s="26"/>
    </row>
    <row r="658" ht="22.5" customHeight="1">
      <c r="A658" s="24"/>
      <c r="B658" s="71"/>
      <c r="C658" s="71"/>
      <c r="D658" s="71"/>
      <c r="E658" s="138"/>
      <c r="F658" s="25"/>
      <c r="G658" s="138"/>
      <c r="H658" s="26"/>
    </row>
    <row r="659" ht="22.5" customHeight="1">
      <c r="A659" s="24"/>
      <c r="B659" s="71"/>
      <c r="C659" s="71"/>
      <c r="D659" s="71"/>
      <c r="E659" s="138"/>
      <c r="F659" s="25"/>
      <c r="G659" s="138"/>
      <c r="H659" s="26"/>
    </row>
    <row r="660" ht="22.5" customHeight="1">
      <c r="A660" s="24"/>
      <c r="B660" s="71"/>
      <c r="C660" s="71"/>
      <c r="D660" s="71"/>
      <c r="E660" s="138"/>
      <c r="F660" s="25"/>
      <c r="G660" s="138"/>
      <c r="H660" s="26"/>
    </row>
    <row r="661" ht="22.5" customHeight="1">
      <c r="A661" s="24"/>
      <c r="B661" s="71"/>
      <c r="C661" s="71"/>
      <c r="D661" s="71"/>
      <c r="E661" s="138"/>
      <c r="F661" s="25"/>
      <c r="G661" s="138"/>
      <c r="H661" s="26"/>
    </row>
    <row r="662" ht="22.5" customHeight="1">
      <c r="A662" s="24"/>
      <c r="B662" s="71"/>
      <c r="C662" s="71"/>
      <c r="D662" s="71"/>
      <c r="E662" s="138"/>
      <c r="F662" s="25"/>
      <c r="G662" s="138"/>
      <c r="H662" s="26"/>
    </row>
    <row r="663" ht="22.5" customHeight="1">
      <c r="A663" s="24"/>
      <c r="B663" s="71"/>
      <c r="C663" s="71"/>
      <c r="D663" s="71"/>
      <c r="E663" s="138"/>
      <c r="F663" s="25"/>
      <c r="G663" s="138"/>
      <c r="H663" s="26"/>
    </row>
    <row r="664" ht="22.5" customHeight="1">
      <c r="A664" s="24"/>
      <c r="B664" s="71"/>
      <c r="C664" s="71"/>
      <c r="D664" s="71"/>
      <c r="E664" s="138"/>
      <c r="F664" s="25"/>
      <c r="G664" s="138"/>
      <c r="H664" s="26"/>
    </row>
    <row r="665" ht="22.5" customHeight="1">
      <c r="A665" s="24"/>
      <c r="B665" s="71"/>
      <c r="C665" s="71"/>
      <c r="D665" s="71"/>
      <c r="E665" s="138"/>
      <c r="F665" s="25"/>
      <c r="G665" s="138"/>
      <c r="H665" s="26"/>
    </row>
    <row r="666" ht="22.5" customHeight="1">
      <c r="A666" s="24"/>
      <c r="B666" s="71"/>
      <c r="C666" s="71"/>
      <c r="D666" s="71"/>
      <c r="E666" s="138"/>
      <c r="F666" s="25"/>
      <c r="G666" s="138"/>
      <c r="H666" s="26"/>
    </row>
    <row r="667" ht="22.5" customHeight="1">
      <c r="A667" s="24"/>
      <c r="B667" s="71"/>
      <c r="C667" s="71"/>
      <c r="D667" s="71"/>
      <c r="E667" s="138"/>
      <c r="F667" s="25"/>
      <c r="G667" s="138"/>
      <c r="H667" s="26"/>
    </row>
    <row r="668" ht="22.5" customHeight="1">
      <c r="A668" s="24"/>
      <c r="B668" s="71"/>
      <c r="C668" s="71"/>
      <c r="D668" s="71"/>
      <c r="E668" s="138"/>
      <c r="F668" s="25"/>
      <c r="G668" s="138"/>
      <c r="H668" s="26"/>
    </row>
    <row r="669" ht="22.5" customHeight="1">
      <c r="A669" s="24"/>
      <c r="B669" s="71"/>
      <c r="C669" s="71"/>
      <c r="D669" s="71"/>
      <c r="E669" s="138"/>
      <c r="F669" s="25"/>
      <c r="G669" s="138"/>
      <c r="H669" s="26"/>
    </row>
    <row r="670" ht="22.5" customHeight="1">
      <c r="A670" s="24"/>
      <c r="B670" s="71"/>
      <c r="C670" s="71"/>
      <c r="D670" s="71"/>
      <c r="E670" s="138"/>
      <c r="F670" s="25"/>
      <c r="G670" s="138"/>
      <c r="H670" s="26"/>
    </row>
    <row r="671" ht="22.5" customHeight="1">
      <c r="A671" s="24"/>
      <c r="B671" s="71"/>
      <c r="C671" s="71"/>
      <c r="D671" s="71"/>
      <c r="E671" s="138"/>
      <c r="F671" s="25"/>
      <c r="G671" s="138"/>
      <c r="H671" s="26"/>
    </row>
    <row r="672" ht="22.5" customHeight="1">
      <c r="A672" s="24"/>
      <c r="B672" s="71"/>
      <c r="C672" s="71"/>
      <c r="D672" s="71"/>
      <c r="E672" s="138"/>
      <c r="F672" s="25"/>
      <c r="G672" s="138"/>
      <c r="H672" s="26"/>
    </row>
    <row r="673" ht="22.5" customHeight="1">
      <c r="A673" s="24"/>
      <c r="B673" s="71"/>
      <c r="C673" s="71"/>
      <c r="D673" s="71"/>
      <c r="E673" s="138"/>
      <c r="F673" s="25"/>
      <c r="G673" s="138"/>
      <c r="H673" s="26"/>
    </row>
    <row r="674" ht="22.5" customHeight="1">
      <c r="A674" s="24"/>
      <c r="B674" s="71"/>
      <c r="C674" s="71"/>
      <c r="D674" s="71"/>
      <c r="E674" s="138"/>
      <c r="F674" s="25"/>
      <c r="G674" s="138"/>
      <c r="H674" s="26"/>
    </row>
    <row r="675" ht="22.5" customHeight="1">
      <c r="A675" s="24"/>
      <c r="B675" s="71"/>
      <c r="C675" s="71"/>
      <c r="D675" s="71"/>
      <c r="E675" s="138"/>
      <c r="F675" s="25"/>
      <c r="G675" s="138"/>
      <c r="H675" s="26"/>
    </row>
    <row r="676" ht="22.5" customHeight="1">
      <c r="A676" s="24"/>
      <c r="B676" s="71"/>
      <c r="C676" s="71"/>
      <c r="D676" s="71"/>
      <c r="E676" s="138"/>
      <c r="F676" s="25"/>
      <c r="G676" s="138"/>
      <c r="H676" s="26"/>
    </row>
    <row r="677" ht="22.5" customHeight="1">
      <c r="A677" s="24"/>
      <c r="B677" s="71"/>
      <c r="C677" s="71"/>
      <c r="D677" s="71"/>
      <c r="E677" s="138"/>
      <c r="F677" s="25"/>
      <c r="G677" s="138"/>
      <c r="H677" s="26"/>
    </row>
    <row r="678" ht="22.5" customHeight="1">
      <c r="A678" s="24"/>
      <c r="B678" s="71"/>
      <c r="C678" s="71"/>
      <c r="D678" s="71"/>
      <c r="E678" s="138"/>
      <c r="F678" s="25"/>
      <c r="G678" s="138"/>
      <c r="H678" s="26"/>
    </row>
    <row r="679" ht="22.5" customHeight="1">
      <c r="A679" s="24"/>
      <c r="B679" s="71"/>
      <c r="C679" s="71"/>
      <c r="D679" s="71"/>
      <c r="E679" s="138"/>
      <c r="F679" s="25"/>
      <c r="G679" s="138"/>
      <c r="H679" s="26"/>
    </row>
    <row r="680" ht="22.5" customHeight="1">
      <c r="A680" s="24"/>
      <c r="B680" s="71"/>
      <c r="C680" s="71"/>
      <c r="D680" s="71"/>
      <c r="E680" s="138"/>
      <c r="F680" s="25"/>
      <c r="G680" s="138"/>
      <c r="H680" s="26"/>
    </row>
    <row r="681" ht="22.5" customHeight="1">
      <c r="A681" s="24"/>
      <c r="B681" s="71"/>
      <c r="C681" s="71"/>
      <c r="D681" s="71"/>
      <c r="E681" s="138"/>
      <c r="F681" s="25"/>
      <c r="G681" s="138"/>
      <c r="H681" s="26"/>
    </row>
    <row r="682" ht="22.5" customHeight="1">
      <c r="A682" s="24"/>
      <c r="B682" s="71"/>
      <c r="C682" s="71"/>
      <c r="D682" s="71"/>
      <c r="E682" s="138"/>
      <c r="F682" s="25"/>
      <c r="G682" s="138"/>
      <c r="H682" s="26"/>
    </row>
    <row r="683" ht="22.5" customHeight="1">
      <c r="A683" s="24"/>
      <c r="B683" s="71"/>
      <c r="C683" s="71"/>
      <c r="D683" s="71"/>
      <c r="E683" s="138"/>
      <c r="F683" s="25"/>
      <c r="G683" s="138"/>
      <c r="H683" s="26"/>
    </row>
    <row r="684" ht="22.5" customHeight="1">
      <c r="A684" s="24"/>
      <c r="B684" s="71"/>
      <c r="C684" s="71"/>
      <c r="D684" s="71"/>
      <c r="E684" s="138"/>
      <c r="F684" s="25"/>
      <c r="G684" s="138"/>
      <c r="H684" s="26"/>
    </row>
    <row r="685" ht="22.5" customHeight="1">
      <c r="A685" s="24"/>
      <c r="B685" s="71"/>
      <c r="C685" s="71"/>
      <c r="D685" s="71"/>
      <c r="E685" s="138"/>
      <c r="F685" s="25"/>
      <c r="G685" s="138"/>
      <c r="H685" s="26"/>
    </row>
    <row r="686" ht="22.5" customHeight="1">
      <c r="A686" s="24"/>
      <c r="B686" s="71"/>
      <c r="C686" s="71"/>
      <c r="D686" s="71"/>
      <c r="E686" s="138"/>
      <c r="F686" s="25"/>
      <c r="G686" s="138"/>
      <c r="H686" s="26"/>
    </row>
    <row r="687" ht="22.5" customHeight="1">
      <c r="A687" s="24"/>
      <c r="B687" s="71"/>
      <c r="C687" s="71"/>
      <c r="D687" s="71"/>
      <c r="E687" s="138"/>
      <c r="F687" s="25"/>
      <c r="G687" s="138"/>
      <c r="H687" s="26"/>
    </row>
    <row r="688" ht="22.5" customHeight="1">
      <c r="A688" s="24"/>
      <c r="B688" s="71"/>
      <c r="C688" s="71"/>
      <c r="D688" s="71"/>
      <c r="E688" s="138"/>
      <c r="F688" s="25"/>
      <c r="G688" s="138"/>
      <c r="H688" s="26"/>
    </row>
    <row r="689" ht="22.5" customHeight="1">
      <c r="A689" s="24"/>
      <c r="B689" s="71"/>
      <c r="C689" s="71"/>
      <c r="D689" s="71"/>
      <c r="E689" s="138"/>
      <c r="F689" s="25"/>
      <c r="G689" s="138"/>
      <c r="H689" s="26"/>
    </row>
    <row r="690" ht="22.5" customHeight="1">
      <c r="A690" s="24"/>
      <c r="B690" s="71"/>
      <c r="C690" s="71"/>
      <c r="D690" s="71"/>
      <c r="E690" s="138"/>
      <c r="F690" s="25"/>
      <c r="G690" s="138"/>
      <c r="H690" s="26"/>
    </row>
    <row r="691" ht="22.5" customHeight="1">
      <c r="A691" s="24"/>
      <c r="B691" s="71"/>
      <c r="C691" s="71"/>
      <c r="D691" s="71"/>
      <c r="E691" s="138"/>
      <c r="F691" s="25"/>
      <c r="G691" s="138"/>
      <c r="H691" s="26"/>
    </row>
    <row r="692" ht="22.5" customHeight="1">
      <c r="A692" s="24"/>
      <c r="B692" s="71"/>
      <c r="C692" s="71"/>
      <c r="D692" s="71"/>
      <c r="E692" s="138"/>
      <c r="F692" s="25"/>
      <c r="G692" s="138"/>
      <c r="H692" s="26"/>
    </row>
    <row r="693" ht="22.5" customHeight="1">
      <c r="A693" s="24"/>
      <c r="B693" s="71"/>
      <c r="C693" s="71"/>
      <c r="D693" s="71"/>
      <c r="E693" s="138"/>
      <c r="F693" s="25"/>
      <c r="G693" s="138"/>
      <c r="H693" s="26"/>
    </row>
    <row r="694" ht="22.5" customHeight="1">
      <c r="A694" s="24"/>
      <c r="B694" s="71"/>
      <c r="C694" s="71"/>
      <c r="D694" s="71"/>
      <c r="E694" s="138"/>
      <c r="F694" s="25"/>
      <c r="G694" s="138"/>
      <c r="H694" s="26"/>
    </row>
    <row r="695" ht="22.5" customHeight="1">
      <c r="A695" s="24"/>
      <c r="B695" s="71"/>
      <c r="C695" s="71"/>
      <c r="D695" s="71"/>
      <c r="E695" s="138"/>
      <c r="F695" s="25"/>
      <c r="G695" s="138"/>
      <c r="H695" s="26"/>
    </row>
    <row r="696" ht="22.5" customHeight="1">
      <c r="A696" s="24"/>
      <c r="B696" s="71"/>
      <c r="C696" s="71"/>
      <c r="D696" s="71"/>
      <c r="E696" s="138"/>
      <c r="F696" s="25"/>
      <c r="G696" s="138"/>
      <c r="H696" s="26"/>
    </row>
    <row r="697" ht="22.5" customHeight="1">
      <c r="A697" s="24"/>
      <c r="B697" s="71"/>
      <c r="C697" s="71"/>
      <c r="D697" s="71"/>
      <c r="E697" s="138"/>
      <c r="F697" s="25"/>
      <c r="G697" s="138"/>
      <c r="H697" s="26"/>
    </row>
    <row r="698" ht="22.5" customHeight="1">
      <c r="A698" s="24"/>
      <c r="B698" s="71"/>
      <c r="C698" s="71"/>
      <c r="D698" s="71"/>
      <c r="E698" s="138"/>
      <c r="F698" s="25"/>
      <c r="G698" s="138"/>
      <c r="H698" s="26"/>
    </row>
    <row r="699" ht="22.5" customHeight="1">
      <c r="A699" s="24"/>
      <c r="B699" s="71"/>
      <c r="C699" s="71"/>
      <c r="D699" s="71"/>
      <c r="E699" s="138"/>
      <c r="F699" s="25"/>
      <c r="G699" s="138"/>
      <c r="H699" s="26"/>
    </row>
    <row r="700" ht="22.5" customHeight="1">
      <c r="A700" s="24"/>
      <c r="B700" s="71"/>
      <c r="C700" s="71"/>
      <c r="D700" s="71"/>
      <c r="E700" s="138"/>
      <c r="F700" s="25"/>
      <c r="G700" s="138"/>
      <c r="H700" s="26"/>
    </row>
    <row r="701" ht="22.5" customHeight="1">
      <c r="A701" s="24"/>
      <c r="B701" s="71"/>
      <c r="C701" s="71"/>
      <c r="D701" s="71"/>
      <c r="E701" s="138"/>
      <c r="F701" s="25"/>
      <c r="G701" s="138"/>
      <c r="H701" s="26"/>
    </row>
    <row r="702" ht="22.5" customHeight="1">
      <c r="A702" s="24"/>
      <c r="B702" s="71"/>
      <c r="C702" s="71"/>
      <c r="D702" s="71"/>
      <c r="E702" s="138"/>
      <c r="F702" s="25"/>
      <c r="G702" s="138"/>
      <c r="H702" s="26"/>
    </row>
    <row r="703" ht="22.5" customHeight="1">
      <c r="A703" s="24"/>
      <c r="B703" s="71"/>
      <c r="C703" s="71"/>
      <c r="D703" s="71"/>
      <c r="E703" s="138"/>
      <c r="F703" s="25"/>
      <c r="G703" s="138"/>
      <c r="H703" s="26"/>
    </row>
    <row r="704" ht="22.5" customHeight="1">
      <c r="A704" s="24"/>
      <c r="B704" s="71"/>
      <c r="C704" s="71"/>
      <c r="D704" s="71"/>
      <c r="E704" s="138"/>
      <c r="F704" s="25"/>
      <c r="G704" s="138"/>
      <c r="H704" s="26"/>
    </row>
    <row r="705" ht="22.5" customHeight="1">
      <c r="A705" s="24"/>
      <c r="B705" s="71"/>
      <c r="C705" s="71"/>
      <c r="D705" s="71"/>
      <c r="E705" s="138"/>
      <c r="F705" s="25"/>
      <c r="G705" s="138"/>
      <c r="H705" s="26"/>
    </row>
    <row r="706" ht="22.5" customHeight="1">
      <c r="A706" s="24"/>
      <c r="B706" s="71"/>
      <c r="C706" s="71"/>
      <c r="D706" s="71"/>
      <c r="E706" s="138"/>
      <c r="F706" s="25"/>
      <c r="G706" s="138"/>
      <c r="H706" s="26"/>
    </row>
    <row r="707" ht="22.5" customHeight="1">
      <c r="A707" s="24"/>
      <c r="B707" s="71"/>
      <c r="C707" s="71"/>
      <c r="D707" s="71"/>
      <c r="E707" s="138"/>
      <c r="F707" s="25"/>
      <c r="G707" s="138"/>
      <c r="H707" s="26"/>
    </row>
    <row r="708" ht="22.5" customHeight="1">
      <c r="A708" s="24"/>
      <c r="B708" s="71"/>
      <c r="C708" s="71"/>
      <c r="D708" s="71"/>
      <c r="E708" s="138"/>
      <c r="F708" s="25"/>
      <c r="G708" s="138"/>
      <c r="H708" s="26"/>
    </row>
    <row r="709" ht="22.5" customHeight="1">
      <c r="A709" s="24"/>
      <c r="B709" s="71"/>
      <c r="C709" s="71"/>
      <c r="D709" s="71"/>
      <c r="E709" s="138"/>
      <c r="F709" s="25"/>
      <c r="G709" s="138"/>
      <c r="H709" s="26"/>
    </row>
    <row r="710" ht="22.5" customHeight="1">
      <c r="A710" s="24"/>
      <c r="B710" s="71"/>
      <c r="C710" s="71"/>
      <c r="D710" s="71"/>
      <c r="E710" s="138"/>
      <c r="F710" s="25"/>
      <c r="G710" s="138"/>
      <c r="H710" s="26"/>
    </row>
    <row r="711" ht="22.5" customHeight="1">
      <c r="A711" s="24"/>
      <c r="B711" s="71"/>
      <c r="C711" s="71"/>
      <c r="D711" s="71"/>
      <c r="E711" s="138"/>
      <c r="F711" s="25"/>
      <c r="G711" s="138"/>
      <c r="H711" s="26"/>
    </row>
    <row r="712" ht="22.5" customHeight="1">
      <c r="A712" s="24"/>
      <c r="B712" s="71"/>
      <c r="C712" s="71"/>
      <c r="D712" s="71"/>
      <c r="E712" s="138"/>
      <c r="F712" s="25"/>
      <c r="G712" s="138"/>
      <c r="H712" s="26"/>
    </row>
    <row r="713" ht="22.5" customHeight="1">
      <c r="A713" s="24"/>
      <c r="B713" s="71"/>
      <c r="C713" s="71"/>
      <c r="D713" s="71"/>
      <c r="E713" s="138"/>
      <c r="F713" s="25"/>
      <c r="G713" s="138"/>
      <c r="H713" s="26"/>
    </row>
    <row r="714" ht="22.5" customHeight="1">
      <c r="A714" s="24"/>
      <c r="B714" s="71"/>
      <c r="C714" s="71"/>
      <c r="D714" s="71"/>
      <c r="E714" s="138"/>
      <c r="F714" s="25"/>
      <c r="G714" s="138"/>
      <c r="H714" s="26"/>
    </row>
    <row r="715" ht="22.5" customHeight="1">
      <c r="A715" s="24"/>
      <c r="B715" s="71"/>
      <c r="C715" s="71"/>
      <c r="D715" s="71"/>
      <c r="E715" s="138"/>
      <c r="F715" s="25"/>
      <c r="G715" s="138"/>
      <c r="H715" s="26"/>
    </row>
    <row r="716" ht="22.5" customHeight="1">
      <c r="A716" s="24"/>
      <c r="B716" s="71"/>
      <c r="C716" s="71"/>
      <c r="D716" s="71"/>
      <c r="E716" s="138"/>
      <c r="F716" s="25"/>
      <c r="G716" s="138"/>
      <c r="H716" s="26"/>
    </row>
    <row r="717" ht="22.5" customHeight="1">
      <c r="A717" s="24"/>
      <c r="B717" s="71"/>
      <c r="C717" s="71"/>
      <c r="D717" s="71"/>
      <c r="E717" s="138"/>
      <c r="F717" s="25"/>
      <c r="G717" s="138"/>
      <c r="H717" s="26"/>
    </row>
    <row r="718" ht="22.5" customHeight="1">
      <c r="A718" s="24"/>
      <c r="B718" s="71"/>
      <c r="C718" s="71"/>
      <c r="D718" s="71"/>
      <c r="E718" s="138"/>
      <c r="F718" s="25"/>
      <c r="G718" s="138"/>
      <c r="H718" s="26"/>
    </row>
    <row r="719" ht="22.5" customHeight="1">
      <c r="A719" s="24"/>
      <c r="B719" s="71"/>
      <c r="C719" s="71"/>
      <c r="D719" s="71"/>
      <c r="E719" s="138"/>
      <c r="F719" s="25"/>
      <c r="G719" s="138"/>
      <c r="H719" s="26"/>
    </row>
    <row r="720" ht="22.5" customHeight="1">
      <c r="A720" s="24"/>
      <c r="B720" s="71"/>
      <c r="C720" s="71"/>
      <c r="D720" s="71"/>
      <c r="E720" s="138"/>
      <c r="F720" s="25"/>
      <c r="G720" s="138"/>
      <c r="H720" s="26"/>
    </row>
    <row r="721" ht="22.5" customHeight="1">
      <c r="A721" s="24"/>
      <c r="B721" s="71"/>
      <c r="C721" s="71"/>
      <c r="D721" s="71"/>
      <c r="E721" s="138"/>
      <c r="F721" s="25"/>
      <c r="G721" s="138"/>
      <c r="H721" s="26"/>
    </row>
    <row r="722" ht="22.5" customHeight="1">
      <c r="A722" s="24"/>
      <c r="B722" s="71"/>
      <c r="C722" s="71"/>
      <c r="D722" s="71"/>
      <c r="E722" s="138"/>
      <c r="F722" s="25"/>
      <c r="G722" s="138"/>
      <c r="H722" s="26"/>
    </row>
    <row r="723" ht="22.5" customHeight="1">
      <c r="A723" s="24"/>
      <c r="B723" s="71"/>
      <c r="C723" s="71"/>
      <c r="D723" s="71"/>
      <c r="E723" s="138"/>
      <c r="F723" s="25"/>
      <c r="G723" s="138"/>
      <c r="H723" s="26"/>
    </row>
    <row r="724" ht="22.5" customHeight="1">
      <c r="A724" s="24"/>
      <c r="B724" s="71"/>
      <c r="C724" s="71"/>
      <c r="D724" s="71"/>
      <c r="E724" s="138"/>
      <c r="F724" s="25"/>
      <c r="G724" s="138"/>
      <c r="H724" s="26"/>
    </row>
    <row r="725" ht="22.5" customHeight="1">
      <c r="A725" s="24"/>
      <c r="B725" s="71"/>
      <c r="C725" s="71"/>
      <c r="D725" s="71"/>
      <c r="E725" s="138"/>
      <c r="F725" s="25"/>
      <c r="G725" s="138"/>
      <c r="H725" s="26"/>
    </row>
    <row r="726" ht="22.5" customHeight="1">
      <c r="A726" s="24"/>
      <c r="B726" s="71"/>
      <c r="C726" s="71"/>
      <c r="D726" s="71"/>
      <c r="E726" s="138"/>
      <c r="F726" s="25"/>
      <c r="G726" s="138"/>
      <c r="H726" s="26"/>
    </row>
    <row r="727" ht="22.5" customHeight="1">
      <c r="A727" s="24"/>
      <c r="B727" s="71"/>
      <c r="C727" s="71"/>
      <c r="D727" s="71"/>
      <c r="E727" s="138"/>
      <c r="F727" s="25"/>
      <c r="G727" s="138"/>
      <c r="H727" s="26"/>
    </row>
    <row r="728" ht="22.5" customHeight="1">
      <c r="A728" s="24"/>
      <c r="B728" s="71"/>
      <c r="C728" s="71"/>
      <c r="D728" s="71"/>
      <c r="E728" s="138"/>
      <c r="F728" s="25"/>
      <c r="G728" s="138"/>
      <c r="H728" s="26"/>
    </row>
    <row r="729" ht="22.5" customHeight="1">
      <c r="A729" s="24"/>
      <c r="B729" s="71"/>
      <c r="C729" s="71"/>
      <c r="D729" s="71"/>
      <c r="E729" s="138"/>
      <c r="F729" s="25"/>
      <c r="G729" s="138"/>
      <c r="H729" s="26"/>
    </row>
    <row r="730" ht="22.5" customHeight="1">
      <c r="A730" s="24"/>
      <c r="B730" s="71"/>
      <c r="C730" s="71"/>
      <c r="D730" s="71"/>
      <c r="E730" s="138"/>
      <c r="F730" s="25"/>
      <c r="G730" s="138"/>
      <c r="H730" s="26"/>
    </row>
    <row r="731" ht="22.5" customHeight="1">
      <c r="A731" s="24"/>
      <c r="B731" s="71"/>
      <c r="C731" s="71"/>
      <c r="D731" s="71"/>
      <c r="E731" s="138"/>
      <c r="F731" s="25"/>
      <c r="G731" s="138"/>
      <c r="H731" s="26"/>
    </row>
    <row r="732" ht="22.5" customHeight="1">
      <c r="A732" s="24"/>
      <c r="B732" s="71"/>
      <c r="C732" s="71"/>
      <c r="D732" s="71"/>
      <c r="E732" s="138"/>
      <c r="F732" s="25"/>
      <c r="G732" s="138"/>
      <c r="H732" s="26"/>
    </row>
    <row r="733" ht="22.5" customHeight="1">
      <c r="A733" s="24"/>
      <c r="B733" s="71"/>
      <c r="C733" s="71"/>
      <c r="D733" s="71"/>
      <c r="E733" s="138"/>
      <c r="F733" s="25"/>
      <c r="G733" s="138"/>
      <c r="H733" s="26"/>
    </row>
    <row r="734" ht="22.5" customHeight="1">
      <c r="A734" s="24"/>
      <c r="B734" s="71"/>
      <c r="C734" s="71"/>
      <c r="D734" s="71"/>
      <c r="E734" s="138"/>
      <c r="F734" s="25"/>
      <c r="G734" s="138"/>
      <c r="H734" s="26"/>
    </row>
    <row r="735" ht="22.5" customHeight="1">
      <c r="A735" s="24"/>
      <c r="B735" s="71"/>
      <c r="C735" s="71"/>
      <c r="D735" s="71"/>
      <c r="E735" s="138"/>
      <c r="F735" s="25"/>
      <c r="G735" s="138"/>
      <c r="H735" s="26"/>
    </row>
    <row r="736" ht="22.5" customHeight="1">
      <c r="A736" s="24"/>
      <c r="B736" s="71"/>
      <c r="C736" s="71"/>
      <c r="D736" s="71"/>
      <c r="E736" s="138"/>
      <c r="F736" s="25"/>
      <c r="G736" s="138"/>
      <c r="H736" s="26"/>
    </row>
    <row r="737" ht="22.5" customHeight="1">
      <c r="A737" s="24"/>
      <c r="B737" s="71"/>
      <c r="C737" s="71"/>
      <c r="D737" s="71"/>
      <c r="E737" s="138"/>
      <c r="F737" s="25"/>
      <c r="G737" s="138"/>
      <c r="H737" s="26"/>
    </row>
    <row r="738" ht="22.5" customHeight="1">
      <c r="A738" s="24"/>
      <c r="B738" s="71"/>
      <c r="C738" s="71"/>
      <c r="D738" s="71"/>
      <c r="E738" s="138"/>
      <c r="F738" s="25"/>
      <c r="G738" s="138"/>
      <c r="H738" s="26"/>
    </row>
    <row r="739" ht="22.5" customHeight="1">
      <c r="A739" s="24"/>
      <c r="B739" s="71"/>
      <c r="C739" s="71"/>
      <c r="D739" s="71"/>
      <c r="E739" s="138"/>
      <c r="F739" s="25"/>
      <c r="G739" s="138"/>
      <c r="H739" s="26"/>
    </row>
    <row r="740" ht="22.5" customHeight="1">
      <c r="A740" s="24"/>
      <c r="B740" s="71"/>
      <c r="C740" s="71"/>
      <c r="D740" s="71"/>
      <c r="E740" s="138"/>
      <c r="F740" s="25"/>
      <c r="G740" s="138"/>
      <c r="H740" s="26"/>
    </row>
    <row r="741" ht="22.5" customHeight="1">
      <c r="A741" s="24"/>
      <c r="B741" s="71"/>
      <c r="C741" s="71"/>
      <c r="D741" s="71"/>
      <c r="E741" s="138"/>
      <c r="F741" s="25"/>
      <c r="G741" s="138"/>
      <c r="H741" s="26"/>
    </row>
    <row r="742" ht="22.5" customHeight="1">
      <c r="A742" s="24"/>
      <c r="B742" s="71"/>
      <c r="C742" s="71"/>
      <c r="D742" s="71"/>
      <c r="E742" s="138"/>
      <c r="F742" s="25"/>
      <c r="G742" s="138"/>
      <c r="H742" s="26"/>
    </row>
    <row r="743" ht="22.5" customHeight="1">
      <c r="A743" s="24"/>
      <c r="B743" s="71"/>
      <c r="C743" s="71"/>
      <c r="D743" s="71"/>
      <c r="E743" s="138"/>
      <c r="F743" s="25"/>
      <c r="G743" s="138"/>
      <c r="H743" s="26"/>
    </row>
    <row r="744" ht="22.5" customHeight="1">
      <c r="A744" s="24"/>
      <c r="B744" s="71"/>
      <c r="C744" s="71"/>
      <c r="D744" s="71"/>
      <c r="E744" s="138"/>
      <c r="F744" s="25"/>
      <c r="G744" s="138"/>
      <c r="H744" s="26"/>
    </row>
    <row r="745" ht="22.5" customHeight="1">
      <c r="A745" s="24"/>
      <c r="B745" s="71"/>
      <c r="C745" s="71"/>
      <c r="D745" s="71"/>
      <c r="E745" s="138"/>
      <c r="F745" s="25"/>
      <c r="G745" s="138"/>
      <c r="H745" s="26"/>
    </row>
    <row r="746" ht="22.5" customHeight="1">
      <c r="A746" s="24"/>
      <c r="B746" s="71"/>
      <c r="C746" s="71"/>
      <c r="D746" s="71"/>
      <c r="E746" s="138"/>
      <c r="F746" s="25"/>
      <c r="G746" s="138"/>
      <c r="H746" s="26"/>
    </row>
    <row r="747" ht="22.5" customHeight="1">
      <c r="A747" s="24"/>
      <c r="B747" s="71"/>
      <c r="C747" s="71"/>
      <c r="D747" s="71"/>
      <c r="E747" s="138"/>
      <c r="F747" s="25"/>
      <c r="G747" s="138"/>
      <c r="H747" s="26"/>
    </row>
    <row r="748" ht="22.5" customHeight="1">
      <c r="A748" s="24"/>
      <c r="B748" s="71"/>
      <c r="C748" s="71"/>
      <c r="D748" s="71"/>
      <c r="E748" s="138"/>
      <c r="F748" s="25"/>
      <c r="G748" s="138"/>
      <c r="H748" s="26"/>
    </row>
    <row r="749" ht="22.5" customHeight="1">
      <c r="A749" s="24"/>
      <c r="B749" s="71"/>
      <c r="C749" s="71"/>
      <c r="D749" s="71"/>
      <c r="E749" s="138"/>
      <c r="F749" s="25"/>
      <c r="G749" s="138"/>
      <c r="H749" s="26"/>
    </row>
    <row r="750" ht="22.5" customHeight="1">
      <c r="A750" s="24"/>
      <c r="B750" s="71"/>
      <c r="C750" s="71"/>
      <c r="D750" s="71"/>
      <c r="E750" s="138"/>
      <c r="F750" s="25"/>
      <c r="G750" s="138"/>
      <c r="H750" s="26"/>
    </row>
    <row r="751" ht="22.5" customHeight="1">
      <c r="A751" s="24"/>
      <c r="B751" s="71"/>
      <c r="C751" s="71"/>
      <c r="D751" s="71"/>
      <c r="E751" s="138"/>
      <c r="F751" s="25"/>
      <c r="G751" s="138"/>
      <c r="H751" s="26"/>
    </row>
    <row r="752" ht="22.5" customHeight="1">
      <c r="A752" s="24"/>
      <c r="B752" s="71"/>
      <c r="C752" s="71"/>
      <c r="D752" s="71"/>
      <c r="E752" s="138"/>
      <c r="F752" s="25"/>
      <c r="G752" s="138"/>
      <c r="H752" s="26"/>
    </row>
    <row r="753" ht="22.5" customHeight="1">
      <c r="A753" s="24"/>
      <c r="B753" s="71"/>
      <c r="C753" s="71"/>
      <c r="D753" s="71"/>
      <c r="E753" s="138"/>
      <c r="F753" s="25"/>
      <c r="G753" s="138"/>
      <c r="H753" s="26"/>
    </row>
    <row r="754" ht="22.5" customHeight="1">
      <c r="A754" s="24"/>
      <c r="B754" s="71"/>
      <c r="C754" s="71"/>
      <c r="D754" s="71"/>
      <c r="E754" s="138"/>
      <c r="F754" s="25"/>
      <c r="G754" s="138"/>
      <c r="H754" s="26"/>
    </row>
    <row r="755" ht="22.5" customHeight="1">
      <c r="A755" s="24"/>
      <c r="B755" s="71"/>
      <c r="C755" s="71"/>
      <c r="D755" s="71"/>
      <c r="E755" s="138"/>
      <c r="F755" s="25"/>
      <c r="G755" s="138"/>
      <c r="H755" s="26"/>
    </row>
    <row r="756" ht="22.5" customHeight="1">
      <c r="A756" s="24"/>
      <c r="B756" s="71"/>
      <c r="C756" s="71"/>
      <c r="D756" s="71"/>
      <c r="E756" s="138"/>
      <c r="F756" s="25"/>
      <c r="G756" s="138"/>
      <c r="H756" s="26"/>
    </row>
    <row r="757" ht="22.5" customHeight="1">
      <c r="A757" s="24"/>
      <c r="B757" s="71"/>
      <c r="C757" s="71"/>
      <c r="D757" s="71"/>
      <c r="E757" s="138"/>
      <c r="F757" s="25"/>
      <c r="G757" s="138"/>
      <c r="H757" s="26"/>
    </row>
    <row r="758" ht="22.5" customHeight="1">
      <c r="A758" s="24"/>
      <c r="B758" s="71"/>
      <c r="C758" s="71"/>
      <c r="D758" s="71"/>
      <c r="E758" s="138"/>
      <c r="F758" s="25"/>
      <c r="G758" s="138"/>
      <c r="H758" s="26"/>
    </row>
    <row r="759" ht="22.5" customHeight="1">
      <c r="A759" s="24"/>
      <c r="B759" s="71"/>
      <c r="C759" s="71"/>
      <c r="D759" s="71"/>
      <c r="E759" s="138"/>
      <c r="F759" s="25"/>
      <c r="G759" s="138"/>
      <c r="H759" s="26"/>
    </row>
    <row r="760" ht="22.5" customHeight="1">
      <c r="A760" s="24"/>
      <c r="B760" s="71"/>
      <c r="C760" s="71"/>
      <c r="D760" s="71"/>
      <c r="E760" s="138"/>
      <c r="F760" s="25"/>
      <c r="G760" s="138"/>
      <c r="H760" s="26"/>
    </row>
    <row r="761" ht="22.5" customHeight="1">
      <c r="A761" s="24"/>
      <c r="B761" s="71"/>
      <c r="C761" s="71"/>
      <c r="D761" s="71"/>
      <c r="E761" s="138"/>
      <c r="F761" s="25"/>
      <c r="G761" s="138"/>
      <c r="H761" s="26"/>
    </row>
    <row r="762" ht="22.5" customHeight="1">
      <c r="A762" s="24"/>
      <c r="B762" s="71"/>
      <c r="C762" s="71"/>
      <c r="D762" s="71"/>
      <c r="E762" s="138"/>
      <c r="F762" s="25"/>
      <c r="G762" s="138"/>
      <c r="H762" s="26"/>
    </row>
    <row r="763" ht="22.5" customHeight="1">
      <c r="A763" s="24"/>
      <c r="B763" s="71"/>
      <c r="C763" s="71"/>
      <c r="D763" s="71"/>
      <c r="E763" s="138"/>
      <c r="F763" s="25"/>
      <c r="G763" s="138"/>
      <c r="H763" s="26"/>
    </row>
    <row r="764" ht="22.5" customHeight="1">
      <c r="A764" s="24"/>
      <c r="B764" s="71"/>
      <c r="C764" s="71"/>
      <c r="D764" s="71"/>
      <c r="E764" s="138"/>
      <c r="F764" s="25"/>
      <c r="G764" s="138"/>
      <c r="H764" s="26"/>
    </row>
    <row r="765" ht="22.5" customHeight="1">
      <c r="A765" s="24"/>
      <c r="B765" s="71"/>
      <c r="C765" s="71"/>
      <c r="D765" s="71"/>
      <c r="E765" s="138"/>
      <c r="F765" s="25"/>
      <c r="G765" s="138"/>
      <c r="H765" s="26"/>
    </row>
    <row r="766" ht="22.5" customHeight="1">
      <c r="A766" s="24"/>
      <c r="B766" s="71"/>
      <c r="C766" s="71"/>
      <c r="D766" s="71"/>
      <c r="E766" s="138"/>
      <c r="F766" s="25"/>
      <c r="G766" s="138"/>
      <c r="H766" s="26"/>
    </row>
    <row r="767" ht="22.5" customHeight="1">
      <c r="A767" s="24"/>
      <c r="B767" s="71"/>
      <c r="C767" s="71"/>
      <c r="D767" s="71"/>
      <c r="E767" s="138"/>
      <c r="F767" s="25"/>
      <c r="G767" s="138"/>
      <c r="H767" s="26"/>
    </row>
    <row r="768" ht="22.5" customHeight="1">
      <c r="A768" s="24"/>
      <c r="B768" s="71"/>
      <c r="C768" s="71"/>
      <c r="D768" s="71"/>
      <c r="E768" s="138"/>
      <c r="F768" s="25"/>
      <c r="G768" s="138"/>
      <c r="H768" s="26"/>
    </row>
    <row r="769" ht="22.5" customHeight="1">
      <c r="A769" s="24"/>
      <c r="B769" s="71"/>
      <c r="C769" s="71"/>
      <c r="D769" s="71"/>
      <c r="E769" s="138"/>
      <c r="F769" s="25"/>
      <c r="G769" s="138"/>
      <c r="H769" s="26"/>
    </row>
    <row r="770" ht="22.5" customHeight="1">
      <c r="A770" s="24"/>
      <c r="B770" s="71"/>
      <c r="C770" s="71"/>
      <c r="D770" s="71"/>
      <c r="E770" s="138"/>
      <c r="F770" s="25"/>
      <c r="G770" s="138"/>
      <c r="H770" s="26"/>
    </row>
    <row r="771" ht="22.5" customHeight="1">
      <c r="A771" s="24"/>
      <c r="B771" s="71"/>
      <c r="C771" s="71"/>
      <c r="D771" s="71"/>
      <c r="E771" s="138"/>
      <c r="F771" s="25"/>
      <c r="G771" s="138"/>
      <c r="H771" s="26"/>
    </row>
    <row r="772" ht="22.5" customHeight="1">
      <c r="A772" s="24"/>
      <c r="B772" s="71"/>
      <c r="C772" s="71"/>
      <c r="D772" s="71"/>
      <c r="E772" s="138"/>
      <c r="F772" s="25"/>
      <c r="G772" s="138"/>
      <c r="H772" s="26"/>
    </row>
    <row r="773" ht="22.5" customHeight="1">
      <c r="A773" s="24"/>
      <c r="B773" s="71"/>
      <c r="C773" s="71"/>
      <c r="D773" s="71"/>
      <c r="E773" s="138"/>
      <c r="F773" s="25"/>
      <c r="G773" s="138"/>
      <c r="H773" s="26"/>
    </row>
    <row r="774" ht="22.5" customHeight="1">
      <c r="A774" s="24"/>
      <c r="B774" s="71"/>
      <c r="C774" s="71"/>
      <c r="D774" s="71"/>
      <c r="E774" s="138"/>
      <c r="F774" s="25"/>
      <c r="G774" s="138"/>
      <c r="H774" s="26"/>
    </row>
    <row r="775" ht="22.5" customHeight="1">
      <c r="A775" s="24"/>
      <c r="B775" s="71"/>
      <c r="C775" s="71"/>
      <c r="D775" s="71"/>
      <c r="E775" s="138"/>
      <c r="F775" s="25"/>
      <c r="G775" s="138"/>
      <c r="H775" s="26"/>
    </row>
    <row r="776" ht="22.5" customHeight="1">
      <c r="A776" s="24"/>
      <c r="B776" s="71"/>
      <c r="C776" s="71"/>
      <c r="D776" s="71"/>
      <c r="E776" s="138"/>
      <c r="F776" s="25"/>
      <c r="G776" s="138"/>
      <c r="H776" s="26"/>
    </row>
    <row r="777" ht="22.5" customHeight="1">
      <c r="A777" s="24"/>
      <c r="B777" s="71"/>
      <c r="C777" s="71"/>
      <c r="D777" s="71"/>
      <c r="E777" s="138"/>
      <c r="F777" s="25"/>
      <c r="G777" s="138"/>
      <c r="H777" s="26"/>
    </row>
    <row r="778" ht="22.5" customHeight="1">
      <c r="A778" s="24"/>
      <c r="B778" s="71"/>
      <c r="C778" s="71"/>
      <c r="D778" s="71"/>
      <c r="E778" s="138"/>
      <c r="F778" s="25"/>
      <c r="G778" s="138"/>
      <c r="H778" s="26"/>
    </row>
    <row r="779" ht="22.5" customHeight="1">
      <c r="A779" s="24"/>
      <c r="B779" s="71"/>
      <c r="C779" s="71"/>
      <c r="D779" s="71"/>
      <c r="E779" s="138"/>
      <c r="F779" s="25"/>
      <c r="G779" s="138"/>
      <c r="H779" s="26"/>
    </row>
    <row r="780" ht="22.5" customHeight="1">
      <c r="A780" s="24"/>
      <c r="B780" s="71"/>
      <c r="C780" s="71"/>
      <c r="D780" s="71"/>
      <c r="E780" s="138"/>
      <c r="F780" s="25"/>
      <c r="G780" s="138"/>
      <c r="H780" s="26"/>
    </row>
    <row r="781" ht="22.5" customHeight="1">
      <c r="A781" s="24"/>
      <c r="B781" s="71"/>
      <c r="C781" s="71"/>
      <c r="D781" s="71"/>
      <c r="E781" s="138"/>
      <c r="F781" s="25"/>
      <c r="G781" s="138"/>
      <c r="H781" s="26"/>
    </row>
    <row r="782" ht="22.5" customHeight="1">
      <c r="A782" s="24"/>
      <c r="B782" s="71"/>
      <c r="C782" s="71"/>
      <c r="D782" s="71"/>
      <c r="E782" s="138"/>
      <c r="F782" s="25"/>
      <c r="G782" s="138"/>
      <c r="H782" s="26"/>
    </row>
    <row r="783" ht="22.5" customHeight="1">
      <c r="A783" s="24"/>
      <c r="B783" s="71"/>
      <c r="C783" s="71"/>
      <c r="D783" s="71"/>
      <c r="E783" s="138"/>
      <c r="F783" s="25"/>
      <c r="G783" s="138"/>
      <c r="H783" s="26"/>
    </row>
    <row r="784" ht="22.5" customHeight="1">
      <c r="A784" s="24"/>
      <c r="B784" s="71"/>
      <c r="C784" s="71"/>
      <c r="D784" s="71"/>
      <c r="E784" s="138"/>
      <c r="F784" s="25"/>
      <c r="G784" s="138"/>
      <c r="H784" s="26"/>
    </row>
    <row r="785" ht="22.5" customHeight="1">
      <c r="A785" s="24"/>
      <c r="B785" s="71"/>
      <c r="C785" s="71"/>
      <c r="D785" s="71"/>
      <c r="E785" s="138"/>
      <c r="F785" s="25"/>
      <c r="G785" s="138"/>
      <c r="H785" s="26"/>
    </row>
    <row r="786" ht="22.5" customHeight="1">
      <c r="A786" s="24"/>
      <c r="B786" s="71"/>
      <c r="C786" s="71"/>
      <c r="D786" s="71"/>
      <c r="E786" s="138"/>
      <c r="F786" s="25"/>
      <c r="G786" s="138"/>
      <c r="H786" s="26"/>
    </row>
    <row r="787" ht="22.5" customHeight="1">
      <c r="A787" s="24"/>
      <c r="B787" s="71"/>
      <c r="C787" s="71"/>
      <c r="D787" s="71"/>
      <c r="E787" s="138"/>
      <c r="F787" s="25"/>
      <c r="G787" s="138"/>
      <c r="H787" s="26"/>
    </row>
    <row r="788" ht="22.5" customHeight="1">
      <c r="A788" s="24"/>
      <c r="B788" s="71"/>
      <c r="C788" s="71"/>
      <c r="D788" s="71"/>
      <c r="E788" s="138"/>
      <c r="F788" s="25"/>
      <c r="G788" s="138"/>
      <c r="H788" s="26"/>
    </row>
    <row r="789" ht="22.5" customHeight="1">
      <c r="A789" s="24"/>
      <c r="B789" s="71"/>
      <c r="C789" s="71"/>
      <c r="D789" s="71"/>
      <c r="E789" s="138"/>
      <c r="F789" s="25"/>
      <c r="G789" s="138"/>
      <c r="H789" s="26"/>
    </row>
    <row r="790" ht="22.5" customHeight="1">
      <c r="A790" s="24"/>
      <c r="B790" s="71"/>
      <c r="C790" s="71"/>
      <c r="D790" s="71"/>
      <c r="E790" s="138"/>
      <c r="F790" s="25"/>
      <c r="G790" s="138"/>
      <c r="H790" s="26"/>
    </row>
    <row r="791" ht="22.5" customHeight="1">
      <c r="A791" s="24"/>
      <c r="B791" s="71"/>
      <c r="C791" s="71"/>
      <c r="D791" s="71"/>
      <c r="E791" s="138"/>
      <c r="F791" s="25"/>
      <c r="G791" s="138"/>
      <c r="H791" s="26"/>
    </row>
    <row r="792" ht="22.5" customHeight="1">
      <c r="A792" s="24"/>
      <c r="B792" s="71"/>
      <c r="C792" s="71"/>
      <c r="D792" s="71"/>
      <c r="E792" s="138"/>
      <c r="F792" s="25"/>
      <c r="G792" s="138"/>
      <c r="H792" s="26"/>
    </row>
    <row r="793" ht="22.5" customHeight="1">
      <c r="A793" s="24"/>
      <c r="B793" s="71"/>
      <c r="C793" s="71"/>
      <c r="D793" s="71"/>
      <c r="E793" s="138"/>
      <c r="F793" s="25"/>
      <c r="G793" s="138"/>
      <c r="H793" s="26"/>
    </row>
    <row r="794" ht="22.5" customHeight="1">
      <c r="A794" s="24"/>
      <c r="B794" s="71"/>
      <c r="C794" s="71"/>
      <c r="D794" s="71"/>
      <c r="E794" s="138"/>
      <c r="F794" s="25"/>
      <c r="G794" s="138"/>
      <c r="H794" s="26"/>
    </row>
    <row r="795" ht="22.5" customHeight="1">
      <c r="A795" s="24"/>
      <c r="B795" s="71"/>
      <c r="C795" s="71"/>
      <c r="D795" s="71"/>
      <c r="E795" s="138"/>
      <c r="F795" s="25"/>
      <c r="G795" s="138"/>
      <c r="H795" s="26"/>
    </row>
    <row r="796" ht="22.5" customHeight="1">
      <c r="A796" s="24"/>
      <c r="B796" s="71"/>
      <c r="C796" s="71"/>
      <c r="D796" s="71"/>
      <c r="E796" s="138"/>
      <c r="F796" s="25"/>
      <c r="G796" s="138"/>
      <c r="H796" s="26"/>
    </row>
    <row r="797" ht="22.5" customHeight="1">
      <c r="A797" s="24"/>
      <c r="B797" s="71"/>
      <c r="C797" s="71"/>
      <c r="D797" s="71"/>
      <c r="E797" s="138"/>
      <c r="F797" s="25"/>
      <c r="G797" s="138"/>
      <c r="H797" s="26"/>
    </row>
    <row r="798" ht="22.5" customHeight="1">
      <c r="A798" s="24"/>
      <c r="B798" s="71"/>
      <c r="C798" s="71"/>
      <c r="D798" s="71"/>
      <c r="E798" s="138"/>
      <c r="F798" s="25"/>
      <c r="G798" s="138"/>
      <c r="H798" s="26"/>
    </row>
    <row r="799" ht="22.5" customHeight="1">
      <c r="A799" s="24"/>
      <c r="B799" s="71"/>
      <c r="C799" s="71"/>
      <c r="D799" s="71"/>
      <c r="E799" s="138"/>
      <c r="F799" s="25"/>
      <c r="G799" s="138"/>
      <c r="H799" s="26"/>
    </row>
    <row r="800" ht="22.5" customHeight="1">
      <c r="A800" s="24"/>
      <c r="B800" s="71"/>
      <c r="C800" s="71"/>
      <c r="D800" s="71"/>
      <c r="E800" s="138"/>
      <c r="F800" s="25"/>
      <c r="G800" s="138"/>
      <c r="H800" s="26"/>
    </row>
    <row r="801" ht="22.5" customHeight="1">
      <c r="A801" s="24"/>
      <c r="B801" s="71"/>
      <c r="C801" s="71"/>
      <c r="D801" s="71"/>
      <c r="E801" s="138"/>
      <c r="F801" s="25"/>
      <c r="G801" s="138"/>
      <c r="H801" s="26"/>
    </row>
    <row r="802" ht="22.5" customHeight="1">
      <c r="A802" s="24"/>
      <c r="B802" s="71"/>
      <c r="C802" s="71"/>
      <c r="D802" s="71"/>
      <c r="E802" s="138"/>
      <c r="F802" s="25"/>
      <c r="G802" s="138"/>
      <c r="H802" s="26"/>
    </row>
    <row r="803" ht="22.5" customHeight="1">
      <c r="A803" s="24"/>
      <c r="B803" s="71"/>
      <c r="C803" s="71"/>
      <c r="D803" s="71"/>
      <c r="E803" s="138"/>
      <c r="F803" s="25"/>
      <c r="G803" s="138"/>
      <c r="H803" s="26"/>
    </row>
    <row r="804" ht="22.5" customHeight="1">
      <c r="A804" s="24"/>
      <c r="B804" s="71"/>
      <c r="C804" s="71"/>
      <c r="D804" s="71"/>
      <c r="E804" s="138"/>
      <c r="F804" s="25"/>
      <c r="G804" s="138"/>
      <c r="H804" s="26"/>
    </row>
    <row r="805" ht="22.5" customHeight="1">
      <c r="A805" s="24"/>
      <c r="B805" s="71"/>
      <c r="C805" s="71"/>
      <c r="D805" s="71"/>
      <c r="E805" s="138"/>
      <c r="F805" s="25"/>
      <c r="G805" s="138"/>
      <c r="H805" s="26"/>
    </row>
    <row r="806" ht="22.5" customHeight="1">
      <c r="A806" s="24"/>
      <c r="B806" s="71"/>
      <c r="C806" s="71"/>
      <c r="D806" s="71"/>
      <c r="E806" s="138"/>
      <c r="F806" s="25"/>
      <c r="G806" s="138"/>
      <c r="H806" s="26"/>
    </row>
    <row r="807" ht="22.5" customHeight="1">
      <c r="A807" s="24"/>
      <c r="B807" s="71"/>
      <c r="C807" s="71"/>
      <c r="D807" s="71"/>
      <c r="E807" s="138"/>
      <c r="F807" s="25"/>
      <c r="G807" s="138"/>
      <c r="H807" s="26"/>
    </row>
    <row r="808" ht="22.5" customHeight="1">
      <c r="A808" s="24"/>
      <c r="B808" s="71"/>
      <c r="C808" s="71"/>
      <c r="D808" s="71"/>
      <c r="E808" s="138"/>
      <c r="F808" s="25"/>
      <c r="G808" s="138"/>
      <c r="H808" s="26"/>
    </row>
    <row r="809" ht="22.5" customHeight="1">
      <c r="A809" s="24"/>
      <c r="B809" s="71"/>
      <c r="C809" s="71"/>
      <c r="D809" s="71"/>
      <c r="E809" s="138"/>
      <c r="F809" s="25"/>
      <c r="G809" s="138"/>
      <c r="H809" s="26"/>
    </row>
    <row r="810" ht="22.5" customHeight="1">
      <c r="A810" s="24"/>
      <c r="B810" s="71"/>
      <c r="C810" s="71"/>
      <c r="D810" s="71"/>
      <c r="E810" s="138"/>
      <c r="F810" s="25"/>
      <c r="G810" s="138"/>
      <c r="H810" s="26"/>
    </row>
    <row r="811" ht="22.5" customHeight="1">
      <c r="A811" s="24"/>
      <c r="B811" s="71"/>
      <c r="C811" s="71"/>
      <c r="D811" s="71"/>
      <c r="E811" s="138"/>
      <c r="F811" s="25"/>
      <c r="G811" s="138"/>
      <c r="H811" s="26"/>
    </row>
    <row r="812" ht="22.5" customHeight="1">
      <c r="A812" s="24"/>
      <c r="B812" s="71"/>
      <c r="C812" s="71"/>
      <c r="D812" s="71"/>
      <c r="E812" s="138"/>
      <c r="F812" s="25"/>
      <c r="G812" s="138"/>
      <c r="H812" s="26"/>
    </row>
    <row r="813" ht="22.5" customHeight="1">
      <c r="A813" s="24"/>
      <c r="B813" s="71"/>
      <c r="C813" s="71"/>
      <c r="D813" s="71"/>
      <c r="E813" s="138"/>
      <c r="F813" s="25"/>
      <c r="G813" s="138"/>
      <c r="H813" s="26"/>
    </row>
    <row r="814" ht="22.5" customHeight="1">
      <c r="A814" s="24"/>
      <c r="B814" s="71"/>
      <c r="C814" s="71"/>
      <c r="D814" s="71"/>
      <c r="E814" s="138"/>
      <c r="F814" s="25"/>
      <c r="G814" s="138"/>
      <c r="H814" s="26"/>
    </row>
    <row r="815" ht="22.5" customHeight="1">
      <c r="A815" s="24"/>
      <c r="B815" s="71"/>
      <c r="C815" s="71"/>
      <c r="D815" s="71"/>
      <c r="E815" s="138"/>
      <c r="F815" s="25"/>
      <c r="G815" s="138"/>
      <c r="H815" s="26"/>
    </row>
    <row r="816" ht="22.5" customHeight="1">
      <c r="A816" s="24"/>
      <c r="B816" s="71"/>
      <c r="C816" s="71"/>
      <c r="D816" s="71"/>
      <c r="E816" s="138"/>
      <c r="F816" s="25"/>
      <c r="G816" s="138"/>
      <c r="H816" s="26"/>
    </row>
    <row r="817" ht="22.5" customHeight="1">
      <c r="A817" s="24"/>
      <c r="B817" s="71"/>
      <c r="C817" s="71"/>
      <c r="D817" s="71"/>
      <c r="E817" s="138"/>
      <c r="F817" s="25"/>
      <c r="G817" s="138"/>
      <c r="H817" s="26"/>
    </row>
    <row r="818" ht="22.5" customHeight="1">
      <c r="A818" s="24"/>
      <c r="B818" s="71"/>
      <c r="C818" s="71"/>
      <c r="D818" s="71"/>
      <c r="E818" s="138"/>
      <c r="F818" s="25"/>
      <c r="G818" s="138"/>
      <c r="H818" s="26"/>
    </row>
    <row r="819" ht="22.5" customHeight="1">
      <c r="A819" s="24"/>
      <c r="B819" s="71"/>
      <c r="C819" s="71"/>
      <c r="D819" s="71"/>
      <c r="E819" s="138"/>
      <c r="F819" s="25"/>
      <c r="G819" s="138"/>
      <c r="H819" s="26"/>
    </row>
    <row r="820" ht="22.5" customHeight="1">
      <c r="A820" s="24"/>
      <c r="B820" s="71"/>
      <c r="C820" s="71"/>
      <c r="D820" s="71"/>
      <c r="E820" s="138"/>
      <c r="F820" s="25"/>
      <c r="G820" s="138"/>
      <c r="H820" s="26"/>
    </row>
    <row r="821" ht="22.5" customHeight="1">
      <c r="A821" s="24"/>
      <c r="B821" s="71"/>
      <c r="C821" s="71"/>
      <c r="D821" s="71"/>
      <c r="E821" s="138"/>
      <c r="F821" s="25"/>
      <c r="G821" s="138"/>
      <c r="H821" s="26"/>
    </row>
    <row r="822" ht="22.5" customHeight="1">
      <c r="A822" s="24"/>
      <c r="B822" s="71"/>
      <c r="C822" s="71"/>
      <c r="D822" s="71"/>
      <c r="E822" s="138"/>
      <c r="F822" s="25"/>
      <c r="G822" s="138"/>
      <c r="H822" s="26"/>
    </row>
    <row r="823" ht="22.5" customHeight="1">
      <c r="A823" s="24"/>
      <c r="B823" s="71"/>
      <c r="C823" s="71"/>
      <c r="D823" s="71"/>
      <c r="E823" s="138"/>
      <c r="F823" s="25"/>
      <c r="G823" s="138"/>
      <c r="H823" s="26"/>
    </row>
    <row r="824" ht="22.5" customHeight="1">
      <c r="A824" s="24"/>
      <c r="B824" s="71"/>
      <c r="C824" s="71"/>
      <c r="D824" s="71"/>
      <c r="E824" s="138"/>
      <c r="F824" s="25"/>
      <c r="G824" s="138"/>
      <c r="H824" s="26"/>
    </row>
    <row r="825" ht="22.5" customHeight="1">
      <c r="A825" s="24"/>
      <c r="B825" s="71"/>
      <c r="C825" s="71"/>
      <c r="D825" s="71"/>
      <c r="E825" s="138"/>
      <c r="F825" s="25"/>
      <c r="G825" s="138"/>
      <c r="H825" s="26"/>
    </row>
    <row r="826" ht="22.5" customHeight="1">
      <c r="A826" s="24"/>
      <c r="B826" s="71"/>
      <c r="C826" s="71"/>
      <c r="D826" s="71"/>
      <c r="E826" s="138"/>
      <c r="F826" s="25"/>
      <c r="G826" s="138"/>
      <c r="H826" s="26"/>
    </row>
    <row r="827" ht="22.5" customHeight="1">
      <c r="A827" s="24"/>
      <c r="B827" s="71"/>
      <c r="C827" s="71"/>
      <c r="D827" s="71"/>
      <c r="E827" s="138"/>
      <c r="F827" s="25"/>
      <c r="G827" s="138"/>
      <c r="H827" s="26"/>
    </row>
    <row r="828" ht="22.5" customHeight="1">
      <c r="A828" s="24"/>
      <c r="B828" s="71"/>
      <c r="C828" s="71"/>
      <c r="D828" s="71"/>
      <c r="E828" s="138"/>
      <c r="F828" s="25"/>
      <c r="G828" s="138"/>
      <c r="H828" s="26"/>
    </row>
    <row r="829" ht="22.5" customHeight="1">
      <c r="A829" s="24"/>
      <c r="B829" s="71"/>
      <c r="C829" s="71"/>
      <c r="D829" s="71"/>
      <c r="E829" s="138"/>
      <c r="F829" s="25"/>
      <c r="G829" s="138"/>
      <c r="H829" s="26"/>
    </row>
    <row r="830" ht="22.5" customHeight="1">
      <c r="A830" s="24"/>
      <c r="B830" s="71"/>
      <c r="C830" s="71"/>
      <c r="D830" s="71"/>
      <c r="E830" s="138"/>
      <c r="F830" s="25"/>
      <c r="G830" s="138"/>
      <c r="H830" s="26"/>
    </row>
    <row r="831" ht="22.5" customHeight="1">
      <c r="A831" s="24"/>
      <c r="B831" s="71"/>
      <c r="C831" s="71"/>
      <c r="D831" s="71"/>
      <c r="E831" s="138"/>
      <c r="F831" s="25"/>
      <c r="G831" s="138"/>
      <c r="H831" s="26"/>
    </row>
    <row r="832" ht="22.5" customHeight="1">
      <c r="A832" s="24"/>
      <c r="B832" s="71"/>
      <c r="C832" s="71"/>
      <c r="D832" s="71"/>
      <c r="E832" s="138"/>
      <c r="F832" s="25"/>
      <c r="G832" s="138"/>
      <c r="H832" s="26"/>
    </row>
    <row r="833" ht="22.5" customHeight="1">
      <c r="A833" s="24"/>
      <c r="B833" s="71"/>
      <c r="C833" s="71"/>
      <c r="D833" s="71"/>
      <c r="E833" s="138"/>
      <c r="F833" s="25"/>
      <c r="G833" s="138"/>
      <c r="H833" s="26"/>
    </row>
    <row r="834" ht="22.5" customHeight="1">
      <c r="A834" s="24"/>
      <c r="B834" s="71"/>
      <c r="C834" s="71"/>
      <c r="D834" s="71"/>
      <c r="E834" s="138"/>
      <c r="F834" s="25"/>
      <c r="G834" s="138"/>
      <c r="H834" s="26"/>
    </row>
    <row r="835" ht="22.5" customHeight="1">
      <c r="A835" s="24"/>
      <c r="B835" s="71"/>
      <c r="C835" s="71"/>
      <c r="D835" s="71"/>
      <c r="E835" s="138"/>
      <c r="F835" s="25"/>
      <c r="G835" s="138"/>
      <c r="H835" s="26"/>
    </row>
    <row r="836" ht="22.5" customHeight="1">
      <c r="A836" s="24"/>
      <c r="B836" s="71"/>
      <c r="C836" s="71"/>
      <c r="D836" s="71"/>
      <c r="E836" s="138"/>
      <c r="F836" s="25"/>
      <c r="G836" s="138"/>
      <c r="H836" s="26"/>
    </row>
    <row r="837" ht="22.5" customHeight="1">
      <c r="A837" s="24"/>
      <c r="B837" s="71"/>
      <c r="C837" s="71"/>
      <c r="D837" s="71"/>
      <c r="E837" s="138"/>
      <c r="F837" s="25"/>
      <c r="G837" s="138"/>
      <c r="H837" s="26"/>
    </row>
    <row r="838" ht="22.5" customHeight="1">
      <c r="A838" s="24"/>
      <c r="B838" s="71"/>
      <c r="C838" s="71"/>
      <c r="D838" s="71"/>
      <c r="E838" s="138"/>
      <c r="F838" s="25"/>
      <c r="G838" s="138"/>
      <c r="H838" s="26"/>
    </row>
    <row r="839" ht="22.5" customHeight="1">
      <c r="A839" s="24"/>
      <c r="B839" s="71"/>
      <c r="C839" s="71"/>
      <c r="D839" s="71"/>
      <c r="E839" s="138"/>
      <c r="F839" s="25"/>
      <c r="G839" s="138"/>
      <c r="H839" s="26"/>
    </row>
    <row r="840" ht="22.5" customHeight="1">
      <c r="A840" s="24"/>
      <c r="B840" s="71"/>
      <c r="C840" s="71"/>
      <c r="D840" s="71"/>
      <c r="E840" s="138"/>
      <c r="F840" s="25"/>
      <c r="G840" s="138"/>
      <c r="H840" s="26"/>
    </row>
    <row r="841" ht="22.5" customHeight="1">
      <c r="A841" s="24"/>
      <c r="B841" s="71"/>
      <c r="C841" s="71"/>
      <c r="D841" s="71"/>
      <c r="E841" s="138"/>
      <c r="F841" s="25"/>
      <c r="G841" s="138"/>
      <c r="H841" s="26"/>
    </row>
    <row r="842" ht="22.5" customHeight="1">
      <c r="A842" s="24"/>
      <c r="B842" s="71"/>
      <c r="C842" s="71"/>
      <c r="D842" s="71"/>
      <c r="E842" s="138"/>
      <c r="F842" s="25"/>
      <c r="G842" s="138"/>
      <c r="H842" s="26"/>
    </row>
    <row r="843" ht="22.5" customHeight="1">
      <c r="A843" s="24"/>
      <c r="B843" s="71"/>
      <c r="C843" s="71"/>
      <c r="D843" s="71"/>
      <c r="E843" s="138"/>
      <c r="F843" s="25"/>
      <c r="G843" s="138"/>
      <c r="H843" s="26"/>
    </row>
    <row r="844" ht="22.5" customHeight="1">
      <c r="A844" s="24"/>
      <c r="B844" s="71"/>
      <c r="C844" s="71"/>
      <c r="D844" s="71"/>
      <c r="E844" s="138"/>
      <c r="F844" s="25"/>
      <c r="G844" s="138"/>
      <c r="H844" s="26"/>
    </row>
    <row r="845" ht="22.5" customHeight="1">
      <c r="A845" s="24"/>
      <c r="B845" s="71"/>
      <c r="C845" s="71"/>
      <c r="D845" s="71"/>
      <c r="E845" s="138"/>
      <c r="F845" s="25"/>
      <c r="G845" s="138"/>
      <c r="H845" s="26"/>
    </row>
    <row r="846" ht="22.5" customHeight="1">
      <c r="A846" s="24"/>
      <c r="B846" s="71"/>
      <c r="C846" s="71"/>
      <c r="D846" s="71"/>
      <c r="E846" s="138"/>
      <c r="F846" s="25"/>
      <c r="G846" s="138"/>
      <c r="H846" s="26"/>
    </row>
    <row r="847" ht="22.5" customHeight="1">
      <c r="A847" s="24"/>
      <c r="B847" s="71"/>
      <c r="C847" s="71"/>
      <c r="D847" s="71"/>
      <c r="E847" s="138"/>
      <c r="F847" s="25"/>
      <c r="G847" s="138"/>
      <c r="H847" s="26"/>
    </row>
    <row r="848" ht="22.5" customHeight="1">
      <c r="A848" s="24"/>
      <c r="B848" s="71"/>
      <c r="C848" s="71"/>
      <c r="D848" s="71"/>
      <c r="E848" s="138"/>
      <c r="F848" s="25"/>
      <c r="G848" s="138"/>
      <c r="H848" s="26"/>
    </row>
    <row r="849" ht="22.5" customHeight="1">
      <c r="A849" s="24"/>
      <c r="B849" s="71"/>
      <c r="C849" s="71"/>
      <c r="D849" s="71"/>
      <c r="E849" s="138"/>
      <c r="F849" s="25"/>
      <c r="G849" s="138"/>
      <c r="H849" s="26"/>
    </row>
    <row r="850" ht="22.5" customHeight="1">
      <c r="A850" s="24"/>
      <c r="B850" s="71"/>
      <c r="C850" s="71"/>
      <c r="D850" s="71"/>
      <c r="E850" s="138"/>
      <c r="F850" s="25"/>
      <c r="G850" s="138"/>
      <c r="H850" s="26"/>
    </row>
    <row r="851" ht="22.5" customHeight="1">
      <c r="A851" s="24"/>
      <c r="B851" s="71"/>
      <c r="C851" s="71"/>
      <c r="D851" s="71"/>
      <c r="E851" s="138"/>
      <c r="F851" s="25"/>
      <c r="G851" s="138"/>
      <c r="H851" s="26"/>
    </row>
    <row r="852" ht="22.5" customHeight="1">
      <c r="A852" s="24"/>
      <c r="B852" s="71"/>
      <c r="C852" s="71"/>
      <c r="D852" s="71"/>
      <c r="E852" s="138"/>
      <c r="F852" s="25"/>
      <c r="G852" s="138"/>
      <c r="H852" s="26"/>
    </row>
    <row r="853" ht="22.5" customHeight="1">
      <c r="A853" s="24"/>
      <c r="B853" s="71"/>
      <c r="C853" s="71"/>
      <c r="D853" s="71"/>
      <c r="E853" s="138"/>
      <c r="F853" s="25"/>
      <c r="G853" s="138"/>
      <c r="H853" s="26"/>
    </row>
    <row r="854" ht="22.5" customHeight="1">
      <c r="A854" s="24"/>
      <c r="B854" s="71"/>
      <c r="C854" s="71"/>
      <c r="D854" s="71"/>
      <c r="E854" s="138"/>
      <c r="F854" s="25"/>
      <c r="G854" s="138"/>
      <c r="H854" s="26"/>
    </row>
    <row r="855" ht="22.5" customHeight="1">
      <c r="A855" s="24"/>
      <c r="B855" s="71"/>
      <c r="C855" s="71"/>
      <c r="D855" s="71"/>
      <c r="E855" s="138"/>
      <c r="F855" s="25"/>
      <c r="G855" s="138"/>
      <c r="H855" s="26"/>
    </row>
    <row r="856" ht="22.5" customHeight="1">
      <c r="A856" s="24"/>
      <c r="B856" s="71"/>
      <c r="C856" s="71"/>
      <c r="D856" s="71"/>
      <c r="E856" s="138"/>
      <c r="F856" s="25"/>
      <c r="G856" s="138"/>
      <c r="H856" s="26"/>
    </row>
    <row r="857" ht="22.5" customHeight="1">
      <c r="A857" s="24"/>
      <c r="B857" s="71"/>
      <c r="C857" s="71"/>
      <c r="D857" s="71"/>
      <c r="E857" s="138"/>
      <c r="F857" s="25"/>
      <c r="G857" s="138"/>
      <c r="H857" s="26"/>
    </row>
    <row r="858" ht="22.5" customHeight="1">
      <c r="A858" s="24"/>
      <c r="B858" s="71"/>
      <c r="C858" s="71"/>
      <c r="D858" s="71"/>
      <c r="E858" s="138"/>
      <c r="F858" s="25"/>
      <c r="G858" s="138"/>
      <c r="H858" s="26"/>
    </row>
    <row r="859" ht="22.5" customHeight="1">
      <c r="A859" s="24"/>
      <c r="B859" s="71"/>
      <c r="C859" s="71"/>
      <c r="D859" s="71"/>
      <c r="E859" s="138"/>
      <c r="F859" s="25"/>
      <c r="G859" s="138"/>
      <c r="H859" s="26"/>
    </row>
    <row r="860" ht="22.5" customHeight="1">
      <c r="A860" s="24"/>
      <c r="B860" s="71"/>
      <c r="C860" s="71"/>
      <c r="D860" s="71"/>
      <c r="E860" s="138"/>
      <c r="F860" s="25"/>
      <c r="G860" s="138"/>
      <c r="H860" s="26"/>
    </row>
    <row r="861" ht="22.5" customHeight="1">
      <c r="A861" s="24"/>
      <c r="B861" s="71"/>
      <c r="C861" s="71"/>
      <c r="D861" s="71"/>
      <c r="E861" s="138"/>
      <c r="F861" s="25"/>
      <c r="G861" s="138"/>
      <c r="H861" s="26"/>
    </row>
    <row r="862" ht="22.5" customHeight="1">
      <c r="A862" s="24"/>
      <c r="B862" s="71"/>
      <c r="C862" s="71"/>
      <c r="D862" s="71"/>
      <c r="E862" s="138"/>
      <c r="F862" s="25"/>
      <c r="G862" s="138"/>
      <c r="H862" s="26"/>
    </row>
    <row r="863" ht="22.5" customHeight="1">
      <c r="A863" s="24"/>
      <c r="B863" s="71"/>
      <c r="C863" s="71"/>
      <c r="D863" s="71"/>
      <c r="E863" s="138"/>
      <c r="F863" s="25"/>
      <c r="G863" s="138"/>
      <c r="H863" s="26"/>
    </row>
    <row r="864" ht="22.5" customHeight="1">
      <c r="A864" s="24"/>
      <c r="B864" s="71"/>
      <c r="C864" s="71"/>
      <c r="D864" s="71"/>
      <c r="E864" s="138"/>
      <c r="F864" s="25"/>
      <c r="G864" s="138"/>
      <c r="H864" s="26"/>
    </row>
    <row r="865" ht="22.5" customHeight="1">
      <c r="A865" s="24"/>
      <c r="B865" s="71"/>
      <c r="C865" s="71"/>
      <c r="D865" s="71"/>
      <c r="E865" s="138"/>
      <c r="F865" s="25"/>
      <c r="G865" s="138"/>
      <c r="H865" s="26"/>
    </row>
    <row r="866" ht="22.5" customHeight="1">
      <c r="A866" s="24"/>
      <c r="B866" s="71"/>
      <c r="C866" s="71"/>
      <c r="D866" s="71"/>
      <c r="E866" s="138"/>
      <c r="F866" s="25"/>
      <c r="G866" s="138"/>
      <c r="H866" s="26"/>
    </row>
    <row r="867" ht="22.5" customHeight="1">
      <c r="A867" s="24"/>
      <c r="B867" s="71"/>
      <c r="C867" s="71"/>
      <c r="D867" s="71"/>
      <c r="E867" s="138"/>
      <c r="F867" s="25"/>
      <c r="G867" s="138"/>
      <c r="H867" s="26"/>
    </row>
    <row r="868" ht="22.5" customHeight="1">
      <c r="A868" s="24"/>
      <c r="B868" s="71"/>
      <c r="C868" s="71"/>
      <c r="D868" s="71"/>
      <c r="E868" s="138"/>
      <c r="F868" s="25"/>
      <c r="G868" s="138"/>
      <c r="H868" s="26"/>
    </row>
    <row r="869" ht="22.5" customHeight="1">
      <c r="A869" s="24"/>
      <c r="B869" s="71"/>
      <c r="C869" s="71"/>
      <c r="D869" s="71"/>
      <c r="E869" s="138"/>
      <c r="F869" s="25"/>
      <c r="G869" s="138"/>
      <c r="H869" s="26"/>
    </row>
    <row r="870" ht="22.5" customHeight="1">
      <c r="A870" s="24"/>
      <c r="B870" s="71"/>
      <c r="C870" s="71"/>
      <c r="D870" s="71"/>
      <c r="E870" s="138"/>
      <c r="F870" s="25"/>
      <c r="G870" s="138"/>
      <c r="H870" s="26"/>
    </row>
    <row r="871" ht="22.5" customHeight="1">
      <c r="A871" s="24"/>
      <c r="B871" s="71"/>
      <c r="C871" s="71"/>
      <c r="D871" s="71"/>
      <c r="E871" s="138"/>
      <c r="F871" s="25"/>
      <c r="G871" s="138"/>
      <c r="H871" s="26"/>
    </row>
    <row r="872" ht="22.5" customHeight="1">
      <c r="A872" s="24"/>
      <c r="B872" s="71"/>
      <c r="C872" s="71"/>
      <c r="D872" s="71"/>
      <c r="E872" s="138"/>
      <c r="F872" s="25"/>
      <c r="G872" s="138"/>
      <c r="H872" s="26"/>
    </row>
    <row r="873" ht="22.5" customHeight="1">
      <c r="A873" s="24"/>
      <c r="B873" s="71"/>
      <c r="C873" s="71"/>
      <c r="D873" s="71"/>
      <c r="E873" s="138"/>
      <c r="F873" s="25"/>
      <c r="G873" s="138"/>
      <c r="H873" s="26"/>
    </row>
    <row r="874" ht="22.5" customHeight="1">
      <c r="A874" s="24"/>
      <c r="B874" s="71"/>
      <c r="C874" s="71"/>
      <c r="D874" s="71"/>
      <c r="E874" s="138"/>
      <c r="F874" s="25"/>
      <c r="G874" s="138"/>
      <c r="H874" s="26"/>
    </row>
    <row r="875" ht="22.5" customHeight="1">
      <c r="A875" s="24"/>
      <c r="B875" s="71"/>
      <c r="C875" s="71"/>
      <c r="D875" s="71"/>
      <c r="E875" s="138"/>
      <c r="F875" s="25"/>
      <c r="G875" s="138"/>
      <c r="H875" s="26"/>
    </row>
    <row r="876" ht="22.5" customHeight="1">
      <c r="A876" s="24"/>
      <c r="B876" s="71"/>
      <c r="C876" s="71"/>
      <c r="D876" s="71"/>
      <c r="E876" s="138"/>
      <c r="F876" s="25"/>
      <c r="G876" s="138"/>
      <c r="H876" s="26"/>
    </row>
    <row r="877" ht="22.5" customHeight="1">
      <c r="A877" s="24"/>
      <c r="B877" s="71"/>
      <c r="C877" s="71"/>
      <c r="D877" s="71"/>
      <c r="E877" s="138"/>
      <c r="F877" s="25"/>
      <c r="G877" s="138"/>
      <c r="H877" s="26"/>
    </row>
    <row r="878" ht="22.5" customHeight="1">
      <c r="A878" s="24"/>
      <c r="B878" s="71"/>
      <c r="C878" s="71"/>
      <c r="D878" s="71"/>
      <c r="E878" s="138"/>
      <c r="F878" s="25"/>
      <c r="G878" s="138"/>
      <c r="H878" s="26"/>
    </row>
    <row r="879" ht="22.5" customHeight="1">
      <c r="A879" s="24"/>
      <c r="B879" s="71"/>
      <c r="C879" s="71"/>
      <c r="D879" s="71"/>
      <c r="E879" s="138"/>
      <c r="F879" s="25"/>
      <c r="G879" s="138"/>
      <c r="H879" s="26"/>
    </row>
    <row r="880" ht="22.5" customHeight="1">
      <c r="A880" s="24"/>
      <c r="B880" s="71"/>
      <c r="C880" s="71"/>
      <c r="D880" s="71"/>
      <c r="E880" s="138"/>
      <c r="F880" s="25"/>
      <c r="G880" s="138"/>
      <c r="H880" s="26"/>
    </row>
    <row r="881" ht="22.5" customHeight="1">
      <c r="A881" s="24"/>
      <c r="B881" s="71"/>
      <c r="C881" s="71"/>
      <c r="D881" s="71"/>
      <c r="E881" s="138"/>
      <c r="F881" s="25"/>
      <c r="G881" s="138"/>
      <c r="H881" s="26"/>
    </row>
    <row r="882" ht="22.5" customHeight="1">
      <c r="A882" s="24"/>
      <c r="B882" s="71"/>
      <c r="C882" s="71"/>
      <c r="D882" s="71"/>
      <c r="E882" s="138"/>
      <c r="F882" s="25"/>
      <c r="G882" s="138"/>
      <c r="H882" s="26"/>
    </row>
    <row r="883" ht="22.5" customHeight="1">
      <c r="A883" s="24"/>
      <c r="B883" s="71"/>
      <c r="C883" s="71"/>
      <c r="D883" s="71"/>
      <c r="E883" s="138"/>
      <c r="F883" s="25"/>
      <c r="G883" s="138"/>
      <c r="H883" s="26"/>
    </row>
    <row r="884" ht="22.5" customHeight="1">
      <c r="A884" s="24"/>
      <c r="B884" s="71"/>
      <c r="C884" s="71"/>
      <c r="D884" s="71"/>
      <c r="E884" s="138"/>
      <c r="F884" s="25"/>
      <c r="G884" s="138"/>
      <c r="H884" s="26"/>
    </row>
    <row r="885" ht="22.5" customHeight="1">
      <c r="A885" s="24"/>
      <c r="B885" s="71"/>
      <c r="C885" s="71"/>
      <c r="D885" s="71"/>
      <c r="E885" s="138"/>
      <c r="F885" s="25"/>
      <c r="G885" s="138"/>
      <c r="H885" s="26"/>
    </row>
    <row r="886" ht="22.5" customHeight="1">
      <c r="A886" s="24"/>
      <c r="B886" s="71"/>
      <c r="C886" s="71"/>
      <c r="D886" s="71"/>
      <c r="E886" s="138"/>
      <c r="F886" s="25"/>
      <c r="G886" s="138"/>
      <c r="H886" s="26"/>
    </row>
    <row r="887" ht="22.5" customHeight="1">
      <c r="A887" s="24"/>
      <c r="B887" s="71"/>
      <c r="C887" s="71"/>
      <c r="D887" s="71"/>
      <c r="E887" s="138"/>
      <c r="F887" s="25"/>
      <c r="G887" s="138"/>
      <c r="H887" s="26"/>
    </row>
    <row r="888" ht="22.5" customHeight="1">
      <c r="A888" s="24"/>
      <c r="B888" s="71"/>
      <c r="C888" s="71"/>
      <c r="D888" s="71"/>
      <c r="E888" s="138"/>
      <c r="F888" s="25"/>
      <c r="G888" s="138"/>
      <c r="H888" s="26"/>
    </row>
    <row r="889" ht="22.5" customHeight="1">
      <c r="A889" s="24"/>
      <c r="B889" s="71"/>
      <c r="C889" s="71"/>
      <c r="D889" s="71"/>
      <c r="E889" s="138"/>
      <c r="F889" s="25"/>
      <c r="G889" s="138"/>
      <c r="H889" s="26"/>
    </row>
    <row r="890" ht="22.5" customHeight="1">
      <c r="A890" s="24"/>
      <c r="B890" s="71"/>
      <c r="C890" s="71"/>
      <c r="D890" s="71"/>
      <c r="E890" s="138"/>
      <c r="F890" s="25"/>
      <c r="G890" s="138"/>
      <c r="H890" s="26"/>
    </row>
    <row r="891" ht="22.5" customHeight="1">
      <c r="A891" s="24"/>
      <c r="B891" s="71"/>
      <c r="C891" s="71"/>
      <c r="D891" s="71"/>
      <c r="E891" s="138"/>
      <c r="F891" s="25"/>
      <c r="G891" s="138"/>
      <c r="H891" s="26"/>
    </row>
    <row r="892" ht="22.5" customHeight="1">
      <c r="A892" s="24"/>
      <c r="B892" s="71"/>
      <c r="C892" s="71"/>
      <c r="D892" s="71"/>
      <c r="E892" s="138"/>
      <c r="F892" s="25"/>
      <c r="G892" s="138"/>
      <c r="H892" s="26"/>
    </row>
    <row r="893" ht="22.5" customHeight="1">
      <c r="A893" s="24"/>
      <c r="B893" s="71"/>
      <c r="C893" s="71"/>
      <c r="D893" s="71"/>
      <c r="E893" s="138"/>
      <c r="F893" s="25"/>
      <c r="G893" s="138"/>
      <c r="H893" s="26"/>
    </row>
    <row r="894" ht="22.5" customHeight="1">
      <c r="A894" s="24"/>
      <c r="B894" s="71"/>
      <c r="C894" s="71"/>
      <c r="D894" s="71"/>
      <c r="E894" s="138"/>
      <c r="F894" s="25"/>
      <c r="G894" s="138"/>
      <c r="H894" s="26"/>
    </row>
    <row r="895" ht="22.5" customHeight="1">
      <c r="A895" s="24"/>
      <c r="B895" s="71"/>
      <c r="C895" s="71"/>
      <c r="D895" s="71"/>
      <c r="E895" s="138"/>
      <c r="F895" s="25"/>
      <c r="G895" s="138"/>
      <c r="H895" s="26"/>
    </row>
    <row r="896" ht="22.5" customHeight="1">
      <c r="A896" s="24"/>
      <c r="B896" s="71"/>
      <c r="C896" s="71"/>
      <c r="D896" s="71"/>
      <c r="E896" s="138"/>
      <c r="F896" s="25"/>
      <c r="G896" s="138"/>
      <c r="H896" s="26"/>
    </row>
    <row r="897" ht="22.5" customHeight="1">
      <c r="A897" s="24"/>
      <c r="B897" s="71"/>
      <c r="C897" s="71"/>
      <c r="D897" s="71"/>
      <c r="E897" s="138"/>
      <c r="F897" s="25"/>
      <c r="G897" s="138"/>
      <c r="H897" s="26"/>
    </row>
    <row r="898" ht="22.5" customHeight="1">
      <c r="A898" s="24"/>
      <c r="B898" s="71"/>
      <c r="C898" s="71"/>
      <c r="D898" s="71"/>
      <c r="E898" s="138"/>
      <c r="F898" s="25"/>
      <c r="G898" s="138"/>
      <c r="H898" s="26"/>
    </row>
    <row r="899" ht="22.5" customHeight="1">
      <c r="A899" s="24"/>
      <c r="B899" s="71"/>
      <c r="C899" s="71"/>
      <c r="D899" s="71"/>
      <c r="E899" s="138"/>
      <c r="F899" s="25"/>
      <c r="G899" s="138"/>
      <c r="H899" s="26"/>
    </row>
    <row r="900" ht="22.5" customHeight="1">
      <c r="A900" s="24"/>
      <c r="B900" s="71"/>
      <c r="C900" s="71"/>
      <c r="D900" s="71"/>
      <c r="E900" s="138"/>
      <c r="F900" s="25"/>
      <c r="G900" s="138"/>
      <c r="H900" s="26"/>
    </row>
    <row r="901" ht="22.5" customHeight="1">
      <c r="A901" s="24"/>
      <c r="B901" s="71"/>
      <c r="C901" s="71"/>
      <c r="D901" s="71"/>
      <c r="E901" s="138"/>
      <c r="F901" s="25"/>
      <c r="G901" s="138"/>
      <c r="H901" s="26"/>
    </row>
    <row r="902" ht="22.5" customHeight="1">
      <c r="A902" s="24"/>
      <c r="B902" s="71"/>
      <c r="C902" s="71"/>
      <c r="D902" s="71"/>
      <c r="E902" s="138"/>
      <c r="F902" s="25"/>
      <c r="G902" s="138"/>
      <c r="H902" s="26"/>
    </row>
    <row r="903" ht="22.5" customHeight="1">
      <c r="A903" s="24"/>
      <c r="B903" s="71"/>
      <c r="C903" s="71"/>
      <c r="D903" s="71"/>
      <c r="E903" s="138"/>
      <c r="F903" s="25"/>
      <c r="G903" s="138"/>
      <c r="H903" s="26"/>
    </row>
    <row r="904" ht="22.5" customHeight="1">
      <c r="A904" s="24"/>
      <c r="B904" s="71"/>
      <c r="C904" s="71"/>
      <c r="D904" s="71"/>
      <c r="E904" s="138"/>
      <c r="F904" s="25"/>
      <c r="G904" s="138"/>
      <c r="H904" s="26"/>
    </row>
    <row r="905" ht="22.5" customHeight="1">
      <c r="A905" s="24"/>
      <c r="B905" s="71"/>
      <c r="C905" s="71"/>
      <c r="D905" s="71"/>
      <c r="E905" s="138"/>
      <c r="F905" s="25"/>
      <c r="G905" s="138"/>
      <c r="H905" s="26"/>
    </row>
    <row r="906" ht="22.5" customHeight="1">
      <c r="A906" s="24"/>
      <c r="B906" s="71"/>
      <c r="C906" s="71"/>
      <c r="D906" s="71"/>
      <c r="E906" s="138"/>
      <c r="F906" s="25"/>
      <c r="G906" s="138"/>
      <c r="H906" s="26"/>
    </row>
    <row r="907" ht="22.5" customHeight="1">
      <c r="A907" s="24"/>
      <c r="B907" s="71"/>
      <c r="C907" s="71"/>
      <c r="D907" s="71"/>
      <c r="E907" s="138"/>
      <c r="F907" s="25"/>
      <c r="G907" s="138"/>
      <c r="H907" s="26"/>
    </row>
    <row r="908" ht="22.5" customHeight="1">
      <c r="A908" s="24"/>
      <c r="B908" s="71"/>
      <c r="C908" s="71"/>
      <c r="D908" s="71"/>
      <c r="E908" s="138"/>
      <c r="F908" s="25"/>
      <c r="G908" s="138"/>
      <c r="H908" s="26"/>
    </row>
    <row r="909" ht="22.5" customHeight="1">
      <c r="A909" s="24"/>
      <c r="B909" s="71"/>
      <c r="C909" s="71"/>
      <c r="D909" s="71"/>
      <c r="E909" s="138"/>
      <c r="F909" s="25"/>
      <c r="G909" s="138"/>
      <c r="H909" s="26"/>
    </row>
    <row r="910" ht="22.5" customHeight="1">
      <c r="A910" s="24"/>
      <c r="B910" s="71"/>
      <c r="C910" s="71"/>
      <c r="D910" s="71"/>
      <c r="E910" s="138"/>
      <c r="F910" s="25"/>
      <c r="G910" s="138"/>
      <c r="H910" s="26"/>
    </row>
    <row r="911" ht="22.5" customHeight="1">
      <c r="A911" s="24"/>
      <c r="B911" s="71"/>
      <c r="C911" s="71"/>
      <c r="D911" s="71"/>
      <c r="E911" s="138"/>
      <c r="F911" s="25"/>
      <c r="G911" s="138"/>
      <c r="H911" s="26"/>
    </row>
    <row r="912" ht="22.5" customHeight="1">
      <c r="A912" s="24"/>
      <c r="B912" s="71"/>
      <c r="C912" s="71"/>
      <c r="D912" s="71"/>
      <c r="E912" s="138"/>
      <c r="F912" s="25"/>
      <c r="G912" s="138"/>
      <c r="H912" s="26"/>
    </row>
    <row r="913" ht="22.5" customHeight="1">
      <c r="A913" s="24"/>
      <c r="B913" s="71"/>
      <c r="C913" s="71"/>
      <c r="D913" s="71"/>
      <c r="E913" s="138"/>
      <c r="F913" s="25"/>
      <c r="G913" s="138"/>
      <c r="H913" s="26"/>
    </row>
    <row r="914" ht="22.5" customHeight="1">
      <c r="A914" s="24"/>
      <c r="B914" s="71"/>
      <c r="C914" s="71"/>
      <c r="D914" s="71"/>
      <c r="E914" s="138"/>
      <c r="F914" s="25"/>
      <c r="G914" s="138"/>
      <c r="H914" s="26"/>
    </row>
    <row r="915" ht="22.5" customHeight="1">
      <c r="A915" s="24"/>
      <c r="B915" s="71"/>
      <c r="C915" s="71"/>
      <c r="D915" s="71"/>
      <c r="E915" s="138"/>
      <c r="F915" s="25"/>
      <c r="G915" s="138"/>
      <c r="H915" s="26"/>
    </row>
    <row r="916" ht="22.5" customHeight="1">
      <c r="A916" s="24"/>
      <c r="B916" s="71"/>
      <c r="C916" s="71"/>
      <c r="D916" s="71"/>
      <c r="E916" s="138"/>
      <c r="F916" s="25"/>
      <c r="G916" s="138"/>
      <c r="H916" s="26"/>
    </row>
    <row r="917" ht="22.5" customHeight="1">
      <c r="A917" s="24"/>
      <c r="B917" s="71"/>
      <c r="C917" s="71"/>
      <c r="D917" s="71"/>
      <c r="E917" s="138"/>
      <c r="F917" s="25"/>
      <c r="G917" s="138"/>
      <c r="H917" s="26"/>
    </row>
    <row r="918" ht="22.5" customHeight="1">
      <c r="A918" s="24"/>
      <c r="B918" s="71"/>
      <c r="C918" s="71"/>
      <c r="D918" s="71"/>
      <c r="E918" s="138"/>
      <c r="F918" s="25"/>
      <c r="G918" s="138"/>
      <c r="H918" s="26"/>
    </row>
    <row r="919" ht="22.5" customHeight="1">
      <c r="A919" s="24"/>
      <c r="B919" s="71"/>
      <c r="C919" s="71"/>
      <c r="D919" s="71"/>
      <c r="E919" s="138"/>
      <c r="F919" s="25"/>
      <c r="G919" s="138"/>
      <c r="H919" s="26"/>
    </row>
    <row r="920" ht="22.5" customHeight="1">
      <c r="A920" s="24"/>
      <c r="B920" s="71"/>
      <c r="C920" s="71"/>
      <c r="D920" s="71"/>
      <c r="E920" s="138"/>
      <c r="F920" s="25"/>
      <c r="G920" s="138"/>
      <c r="H920" s="26"/>
    </row>
    <row r="921" ht="22.5" customHeight="1">
      <c r="A921" s="24"/>
      <c r="B921" s="71"/>
      <c r="C921" s="71"/>
      <c r="D921" s="71"/>
      <c r="E921" s="138"/>
      <c r="F921" s="25"/>
      <c r="G921" s="138"/>
      <c r="H921" s="26"/>
    </row>
    <row r="922" ht="22.5" customHeight="1">
      <c r="A922" s="24"/>
      <c r="B922" s="71"/>
      <c r="C922" s="71"/>
      <c r="D922" s="71"/>
      <c r="E922" s="138"/>
      <c r="F922" s="25"/>
      <c r="G922" s="138"/>
      <c r="H922" s="26"/>
    </row>
    <row r="923" ht="22.5" customHeight="1">
      <c r="A923" s="24"/>
      <c r="B923" s="71"/>
      <c r="C923" s="71"/>
      <c r="D923" s="71"/>
      <c r="E923" s="138"/>
      <c r="F923" s="25"/>
      <c r="G923" s="138"/>
      <c r="H923" s="26"/>
    </row>
    <row r="924" ht="22.5" customHeight="1">
      <c r="A924" s="24"/>
      <c r="B924" s="71"/>
      <c r="C924" s="71"/>
      <c r="D924" s="71"/>
      <c r="E924" s="138"/>
      <c r="F924" s="25"/>
      <c r="G924" s="138"/>
      <c r="H924" s="26"/>
    </row>
    <row r="925" ht="22.5" customHeight="1">
      <c r="A925" s="24"/>
      <c r="B925" s="71"/>
      <c r="C925" s="71"/>
      <c r="D925" s="71"/>
      <c r="E925" s="138"/>
      <c r="F925" s="25"/>
      <c r="G925" s="138"/>
      <c r="H925" s="26"/>
    </row>
    <row r="926" ht="22.5" customHeight="1">
      <c r="A926" s="24"/>
      <c r="B926" s="71"/>
      <c r="C926" s="71"/>
      <c r="D926" s="71"/>
      <c r="E926" s="138"/>
      <c r="F926" s="25"/>
      <c r="G926" s="138"/>
      <c r="H926" s="26"/>
    </row>
    <row r="927" ht="22.5" customHeight="1">
      <c r="A927" s="24"/>
      <c r="B927" s="71"/>
      <c r="C927" s="71"/>
      <c r="D927" s="71"/>
      <c r="E927" s="138"/>
      <c r="F927" s="25"/>
      <c r="G927" s="138"/>
      <c r="H927" s="26"/>
    </row>
    <row r="928" ht="22.5" customHeight="1">
      <c r="A928" s="24"/>
      <c r="B928" s="71"/>
      <c r="C928" s="71"/>
      <c r="D928" s="71"/>
      <c r="E928" s="138"/>
      <c r="F928" s="25"/>
      <c r="G928" s="138"/>
      <c r="H928" s="26"/>
    </row>
    <row r="929" ht="22.5" customHeight="1">
      <c r="A929" s="24"/>
      <c r="B929" s="71"/>
      <c r="C929" s="71"/>
      <c r="D929" s="71"/>
      <c r="E929" s="138"/>
      <c r="F929" s="25"/>
      <c r="G929" s="138"/>
      <c r="H929" s="26"/>
    </row>
    <row r="930" ht="22.5" customHeight="1">
      <c r="A930" s="24"/>
      <c r="B930" s="71"/>
      <c r="C930" s="71"/>
      <c r="D930" s="71"/>
      <c r="E930" s="138"/>
      <c r="F930" s="25"/>
      <c r="G930" s="138"/>
      <c r="H930" s="26"/>
    </row>
    <row r="931" ht="22.5" customHeight="1">
      <c r="A931" s="24"/>
      <c r="B931" s="71"/>
      <c r="C931" s="71"/>
      <c r="D931" s="71"/>
      <c r="E931" s="138"/>
      <c r="F931" s="25"/>
      <c r="G931" s="138"/>
      <c r="H931" s="26"/>
    </row>
    <row r="932" ht="22.5" customHeight="1">
      <c r="A932" s="24"/>
      <c r="B932" s="71"/>
      <c r="C932" s="71"/>
      <c r="D932" s="71"/>
      <c r="E932" s="138"/>
      <c r="F932" s="25"/>
      <c r="G932" s="138"/>
      <c r="H932" s="26"/>
    </row>
    <row r="933" ht="22.5" customHeight="1">
      <c r="A933" s="24"/>
      <c r="B933" s="71"/>
      <c r="C933" s="71"/>
      <c r="D933" s="71"/>
      <c r="E933" s="138"/>
      <c r="F933" s="25"/>
      <c r="G933" s="138"/>
      <c r="H933" s="26"/>
    </row>
    <row r="934" ht="22.5" customHeight="1">
      <c r="A934" s="24"/>
      <c r="B934" s="71"/>
      <c r="C934" s="71"/>
      <c r="D934" s="71"/>
      <c r="E934" s="138"/>
      <c r="F934" s="25"/>
      <c r="G934" s="138"/>
      <c r="H934" s="26"/>
    </row>
    <row r="935" ht="22.5" customHeight="1">
      <c r="A935" s="24"/>
      <c r="B935" s="71"/>
      <c r="C935" s="71"/>
      <c r="D935" s="71"/>
      <c r="E935" s="138"/>
      <c r="F935" s="25"/>
      <c r="G935" s="138"/>
      <c r="H935" s="26"/>
    </row>
    <row r="936" ht="22.5" customHeight="1">
      <c r="A936" s="24"/>
      <c r="B936" s="71"/>
      <c r="C936" s="71"/>
      <c r="D936" s="71"/>
      <c r="E936" s="138"/>
      <c r="F936" s="25"/>
      <c r="G936" s="138"/>
      <c r="H936" s="26"/>
    </row>
    <row r="937" ht="22.5" customHeight="1">
      <c r="A937" s="24"/>
      <c r="B937" s="71"/>
      <c r="C937" s="71"/>
      <c r="D937" s="71"/>
      <c r="E937" s="138"/>
      <c r="F937" s="25"/>
      <c r="G937" s="138"/>
      <c r="H937" s="26"/>
    </row>
    <row r="938" ht="22.5" customHeight="1">
      <c r="A938" s="24"/>
      <c r="B938" s="71"/>
      <c r="C938" s="71"/>
      <c r="D938" s="71"/>
      <c r="E938" s="138"/>
      <c r="F938" s="25"/>
      <c r="G938" s="138"/>
      <c r="H938" s="26"/>
    </row>
    <row r="939" ht="22.5" customHeight="1">
      <c r="A939" s="24"/>
      <c r="B939" s="71"/>
      <c r="C939" s="71"/>
      <c r="D939" s="71"/>
      <c r="E939" s="138"/>
      <c r="F939" s="25"/>
      <c r="G939" s="138"/>
      <c r="H939" s="26"/>
    </row>
    <row r="940" ht="22.5" customHeight="1">
      <c r="A940" s="24"/>
      <c r="B940" s="71"/>
      <c r="C940" s="71"/>
      <c r="D940" s="71"/>
      <c r="E940" s="138"/>
      <c r="F940" s="25"/>
      <c r="G940" s="138"/>
      <c r="H940" s="26"/>
    </row>
    <row r="941" ht="22.5" customHeight="1">
      <c r="A941" s="24"/>
      <c r="B941" s="71"/>
      <c r="C941" s="71"/>
      <c r="D941" s="71"/>
      <c r="E941" s="138"/>
      <c r="F941" s="25"/>
      <c r="G941" s="138"/>
      <c r="H941" s="26"/>
    </row>
    <row r="942" ht="22.5" customHeight="1">
      <c r="A942" s="24"/>
      <c r="B942" s="71"/>
      <c r="C942" s="71"/>
      <c r="D942" s="71"/>
      <c r="E942" s="138"/>
      <c r="F942" s="25"/>
      <c r="G942" s="138"/>
      <c r="H942" s="26"/>
    </row>
    <row r="943" ht="22.5" customHeight="1">
      <c r="A943" s="24"/>
      <c r="B943" s="71"/>
      <c r="C943" s="71"/>
      <c r="D943" s="71"/>
      <c r="E943" s="138"/>
      <c r="F943" s="25"/>
      <c r="G943" s="138"/>
      <c r="H943" s="26"/>
    </row>
    <row r="944" ht="22.5" customHeight="1">
      <c r="A944" s="24"/>
      <c r="B944" s="71"/>
      <c r="C944" s="71"/>
      <c r="D944" s="71"/>
      <c r="E944" s="138"/>
      <c r="F944" s="25"/>
      <c r="G944" s="138"/>
      <c r="H944" s="26"/>
    </row>
    <row r="945" ht="22.5" customHeight="1">
      <c r="A945" s="24"/>
      <c r="B945" s="71"/>
      <c r="C945" s="71"/>
      <c r="D945" s="71"/>
      <c r="E945" s="138"/>
      <c r="F945" s="25"/>
      <c r="G945" s="138"/>
      <c r="H945" s="26"/>
    </row>
    <row r="946" ht="22.5" customHeight="1">
      <c r="A946" s="24"/>
      <c r="B946" s="71"/>
      <c r="C946" s="71"/>
      <c r="D946" s="71"/>
      <c r="E946" s="138"/>
      <c r="F946" s="25"/>
      <c r="G946" s="138"/>
      <c r="H946" s="26"/>
    </row>
    <row r="947" ht="22.5" customHeight="1">
      <c r="A947" s="24"/>
      <c r="B947" s="71"/>
      <c r="C947" s="71"/>
      <c r="D947" s="71"/>
      <c r="E947" s="138"/>
      <c r="F947" s="25"/>
      <c r="G947" s="138"/>
      <c r="H947" s="26"/>
    </row>
    <row r="948" ht="22.5" customHeight="1">
      <c r="A948" s="24"/>
      <c r="B948" s="71"/>
      <c r="C948" s="71"/>
      <c r="D948" s="71"/>
      <c r="E948" s="138"/>
      <c r="F948" s="25"/>
      <c r="G948" s="138"/>
      <c r="H948" s="26"/>
    </row>
    <row r="949" ht="22.5" customHeight="1">
      <c r="A949" s="24"/>
      <c r="B949" s="71"/>
      <c r="C949" s="71"/>
      <c r="D949" s="71"/>
      <c r="E949" s="138"/>
      <c r="F949" s="25"/>
      <c r="G949" s="138"/>
      <c r="H949" s="26"/>
    </row>
    <row r="950" ht="22.5" customHeight="1">
      <c r="A950" s="24"/>
      <c r="B950" s="71"/>
      <c r="C950" s="71"/>
      <c r="D950" s="71"/>
      <c r="E950" s="138"/>
      <c r="F950" s="25"/>
      <c r="G950" s="138"/>
      <c r="H950" s="26"/>
    </row>
    <row r="951" ht="22.5" customHeight="1">
      <c r="A951" s="24"/>
      <c r="B951" s="71"/>
      <c r="C951" s="71"/>
      <c r="D951" s="71"/>
      <c r="E951" s="138"/>
      <c r="F951" s="25"/>
      <c r="G951" s="138"/>
      <c r="H951" s="26"/>
    </row>
    <row r="952" ht="22.5" customHeight="1">
      <c r="A952" s="24"/>
      <c r="B952" s="71"/>
      <c r="C952" s="71"/>
      <c r="D952" s="71"/>
      <c r="E952" s="138"/>
      <c r="F952" s="25"/>
      <c r="G952" s="138"/>
      <c r="H952" s="26"/>
    </row>
    <row r="953" ht="22.5" customHeight="1">
      <c r="A953" s="24"/>
      <c r="B953" s="71"/>
      <c r="C953" s="71"/>
      <c r="D953" s="71"/>
      <c r="E953" s="138"/>
      <c r="F953" s="25"/>
      <c r="G953" s="138"/>
      <c r="H953" s="26"/>
    </row>
    <row r="954" ht="22.5" customHeight="1">
      <c r="A954" s="24"/>
      <c r="B954" s="71"/>
      <c r="C954" s="71"/>
      <c r="D954" s="71"/>
      <c r="E954" s="138"/>
      <c r="F954" s="25"/>
      <c r="G954" s="138"/>
      <c r="H954" s="26"/>
    </row>
    <row r="955" ht="22.5" customHeight="1">
      <c r="A955" s="24"/>
      <c r="B955" s="71"/>
      <c r="C955" s="71"/>
      <c r="D955" s="71"/>
      <c r="E955" s="138"/>
      <c r="F955" s="25"/>
      <c r="G955" s="138"/>
      <c r="H955" s="26"/>
    </row>
    <row r="956" ht="22.5" customHeight="1">
      <c r="A956" s="24"/>
      <c r="B956" s="71"/>
      <c r="C956" s="71"/>
      <c r="D956" s="71"/>
      <c r="E956" s="138"/>
      <c r="F956" s="25"/>
      <c r="G956" s="138"/>
      <c r="H956" s="26"/>
    </row>
    <row r="957" ht="22.5" customHeight="1">
      <c r="A957" s="24"/>
      <c r="B957" s="71"/>
      <c r="C957" s="71"/>
      <c r="D957" s="71"/>
      <c r="E957" s="138"/>
      <c r="F957" s="25"/>
      <c r="G957" s="138"/>
      <c r="H957" s="26"/>
    </row>
    <row r="958" ht="22.5" customHeight="1">
      <c r="A958" s="24"/>
      <c r="B958" s="71"/>
      <c r="C958" s="71"/>
      <c r="D958" s="71"/>
      <c r="E958" s="138"/>
      <c r="F958" s="25"/>
      <c r="G958" s="138"/>
      <c r="H958" s="26"/>
    </row>
    <row r="959" ht="22.5" customHeight="1">
      <c r="A959" s="24"/>
      <c r="B959" s="71"/>
      <c r="C959" s="71"/>
      <c r="D959" s="71"/>
      <c r="E959" s="138"/>
      <c r="F959" s="25"/>
      <c r="G959" s="138"/>
      <c r="H959" s="26"/>
    </row>
    <row r="960" ht="22.5" customHeight="1">
      <c r="A960" s="24"/>
      <c r="B960" s="71"/>
      <c r="C960" s="71"/>
      <c r="D960" s="71"/>
      <c r="E960" s="138"/>
      <c r="F960" s="25"/>
      <c r="G960" s="138"/>
      <c r="H960" s="26"/>
    </row>
    <row r="961" ht="22.5" customHeight="1">
      <c r="A961" s="24"/>
      <c r="B961" s="71"/>
      <c r="C961" s="71"/>
      <c r="D961" s="71"/>
      <c r="E961" s="138"/>
      <c r="F961" s="25"/>
      <c r="G961" s="138"/>
      <c r="H961" s="26"/>
    </row>
    <row r="962" ht="22.5" customHeight="1">
      <c r="A962" s="24"/>
      <c r="B962" s="71"/>
      <c r="C962" s="71"/>
      <c r="D962" s="71"/>
      <c r="E962" s="138"/>
      <c r="F962" s="25"/>
      <c r="G962" s="138"/>
      <c r="H962" s="26"/>
    </row>
    <row r="963" ht="22.5" customHeight="1">
      <c r="A963" s="24"/>
      <c r="B963" s="71"/>
      <c r="C963" s="71"/>
      <c r="D963" s="71"/>
      <c r="E963" s="138"/>
      <c r="F963" s="25"/>
      <c r="G963" s="138"/>
      <c r="H963" s="26"/>
    </row>
    <row r="964" ht="22.5" customHeight="1">
      <c r="A964" s="24"/>
      <c r="B964" s="71"/>
      <c r="C964" s="71"/>
      <c r="D964" s="71"/>
      <c r="E964" s="138"/>
      <c r="F964" s="25"/>
      <c r="G964" s="138"/>
      <c r="H964" s="26"/>
    </row>
    <row r="965" ht="22.5" customHeight="1">
      <c r="A965" s="24"/>
      <c r="B965" s="71"/>
      <c r="C965" s="71"/>
      <c r="D965" s="71"/>
      <c r="E965" s="138"/>
      <c r="F965" s="25"/>
      <c r="G965" s="138"/>
      <c r="H965" s="26"/>
    </row>
    <row r="966" ht="22.5" customHeight="1">
      <c r="A966" s="24"/>
      <c r="B966" s="71"/>
      <c r="C966" s="71"/>
      <c r="D966" s="71"/>
      <c r="E966" s="138"/>
      <c r="F966" s="25"/>
      <c r="G966" s="138"/>
      <c r="H966" s="26"/>
    </row>
    <row r="967" ht="22.5" customHeight="1">
      <c r="A967" s="24"/>
      <c r="B967" s="71"/>
      <c r="C967" s="71"/>
      <c r="D967" s="71"/>
      <c r="E967" s="138"/>
      <c r="F967" s="25"/>
      <c r="G967" s="138"/>
      <c r="H967" s="26"/>
    </row>
    <row r="968" ht="22.5" customHeight="1">
      <c r="A968" s="24"/>
      <c r="B968" s="71"/>
      <c r="C968" s="71"/>
      <c r="D968" s="71"/>
      <c r="E968" s="138"/>
      <c r="F968" s="25"/>
      <c r="G968" s="138"/>
      <c r="H968" s="26"/>
    </row>
    <row r="969" ht="22.5" customHeight="1">
      <c r="A969" s="24"/>
      <c r="B969" s="71"/>
      <c r="C969" s="71"/>
      <c r="D969" s="71"/>
      <c r="E969" s="138"/>
      <c r="F969" s="25"/>
      <c r="G969" s="138"/>
      <c r="H969" s="26"/>
    </row>
    <row r="970" ht="22.5" customHeight="1">
      <c r="A970" s="24"/>
      <c r="B970" s="71"/>
      <c r="C970" s="71"/>
      <c r="D970" s="71"/>
      <c r="E970" s="138"/>
      <c r="F970" s="25"/>
      <c r="G970" s="138"/>
      <c r="H970" s="26"/>
    </row>
    <row r="971" ht="22.5" customHeight="1">
      <c r="A971" s="24"/>
      <c r="B971" s="71"/>
      <c r="C971" s="71"/>
      <c r="D971" s="71"/>
      <c r="E971" s="138"/>
      <c r="F971" s="25"/>
      <c r="G971" s="138"/>
      <c r="H971" s="26"/>
    </row>
    <row r="972" ht="22.5" customHeight="1">
      <c r="A972" s="24"/>
      <c r="B972" s="71"/>
      <c r="C972" s="71"/>
      <c r="D972" s="71"/>
      <c r="E972" s="138"/>
      <c r="F972" s="25"/>
      <c r="G972" s="138"/>
      <c r="H972" s="26"/>
    </row>
    <row r="973" ht="22.5" customHeight="1">
      <c r="A973" s="24"/>
      <c r="B973" s="71"/>
      <c r="C973" s="71"/>
      <c r="D973" s="71"/>
      <c r="E973" s="138"/>
      <c r="F973" s="25"/>
      <c r="G973" s="138"/>
      <c r="H973" s="26"/>
    </row>
    <row r="974" ht="22.5" customHeight="1">
      <c r="A974" s="24"/>
      <c r="B974" s="71"/>
      <c r="C974" s="71"/>
      <c r="D974" s="71"/>
      <c r="E974" s="138"/>
      <c r="F974" s="25"/>
      <c r="G974" s="138"/>
      <c r="H974" s="26"/>
    </row>
    <row r="975" ht="22.5" customHeight="1">
      <c r="A975" s="24"/>
      <c r="B975" s="71"/>
      <c r="C975" s="71"/>
      <c r="D975" s="71"/>
      <c r="E975" s="138"/>
      <c r="F975" s="25"/>
      <c r="G975" s="138"/>
      <c r="H975" s="26"/>
    </row>
    <row r="976" ht="22.5" customHeight="1">
      <c r="A976" s="24"/>
      <c r="B976" s="71"/>
      <c r="C976" s="71"/>
      <c r="D976" s="71"/>
      <c r="E976" s="138"/>
      <c r="F976" s="25"/>
      <c r="G976" s="138"/>
      <c r="H976" s="26"/>
    </row>
    <row r="977" ht="22.5" customHeight="1">
      <c r="A977" s="24"/>
      <c r="B977" s="71"/>
      <c r="C977" s="71"/>
      <c r="D977" s="71"/>
      <c r="E977" s="138"/>
      <c r="F977" s="25"/>
      <c r="G977" s="138"/>
      <c r="H977" s="26"/>
    </row>
    <row r="978" ht="22.5" customHeight="1">
      <c r="A978" s="24"/>
      <c r="B978" s="71"/>
      <c r="C978" s="71"/>
      <c r="D978" s="71"/>
      <c r="E978" s="138"/>
      <c r="F978" s="25"/>
      <c r="G978" s="138"/>
      <c r="H978" s="26"/>
    </row>
    <row r="979" ht="22.5" customHeight="1">
      <c r="A979" s="24"/>
      <c r="B979" s="71"/>
      <c r="C979" s="71"/>
      <c r="D979" s="71"/>
      <c r="E979" s="138"/>
      <c r="F979" s="25"/>
      <c r="G979" s="138"/>
      <c r="H979" s="26"/>
    </row>
    <row r="980" ht="22.5" customHeight="1">
      <c r="A980" s="24"/>
      <c r="B980" s="71"/>
      <c r="C980" s="71"/>
      <c r="D980" s="71"/>
      <c r="E980" s="138"/>
      <c r="F980" s="25"/>
      <c r="G980" s="138"/>
      <c r="H980" s="26"/>
    </row>
    <row r="981" ht="22.5" customHeight="1">
      <c r="A981" s="24"/>
      <c r="B981" s="71"/>
      <c r="C981" s="71"/>
      <c r="D981" s="71"/>
      <c r="E981" s="138"/>
      <c r="F981" s="25"/>
      <c r="G981" s="138"/>
      <c r="H981" s="26"/>
    </row>
    <row r="982" ht="22.5" customHeight="1">
      <c r="A982" s="24"/>
      <c r="B982" s="71"/>
      <c r="C982" s="71"/>
      <c r="D982" s="71"/>
      <c r="E982" s="138"/>
      <c r="F982" s="25"/>
      <c r="G982" s="138"/>
      <c r="H982" s="26"/>
    </row>
    <row r="983" ht="22.5" customHeight="1">
      <c r="A983" s="24"/>
      <c r="B983" s="71"/>
      <c r="C983" s="71"/>
      <c r="D983" s="71"/>
      <c r="E983" s="138"/>
      <c r="F983" s="25"/>
      <c r="G983" s="138"/>
      <c r="H983" s="26"/>
    </row>
    <row r="984" ht="22.5" customHeight="1">
      <c r="A984" s="24"/>
      <c r="B984" s="71"/>
      <c r="C984" s="71"/>
      <c r="D984" s="71"/>
      <c r="E984" s="138"/>
      <c r="F984" s="25"/>
      <c r="G984" s="138"/>
      <c r="H984" s="26"/>
    </row>
    <row r="985" ht="22.5" customHeight="1">
      <c r="A985" s="24"/>
      <c r="B985" s="71"/>
      <c r="C985" s="71"/>
      <c r="D985" s="71"/>
      <c r="E985" s="138"/>
      <c r="F985" s="25"/>
      <c r="G985" s="138"/>
      <c r="H985" s="26"/>
    </row>
    <row r="986" ht="22.5" customHeight="1">
      <c r="A986" s="24"/>
      <c r="B986" s="71"/>
      <c r="C986" s="71"/>
      <c r="D986" s="71"/>
      <c r="E986" s="138"/>
      <c r="F986" s="25"/>
      <c r="G986" s="138"/>
      <c r="H986" s="26"/>
    </row>
    <row r="987" ht="22.5" customHeight="1">
      <c r="A987" s="24"/>
      <c r="B987" s="71"/>
      <c r="C987" s="71"/>
      <c r="D987" s="71"/>
      <c r="E987" s="138"/>
      <c r="F987" s="25"/>
      <c r="G987" s="138"/>
      <c r="H987" s="26"/>
    </row>
    <row r="988" ht="22.5" customHeight="1">
      <c r="A988" s="24"/>
      <c r="B988" s="71"/>
      <c r="C988" s="71"/>
      <c r="D988" s="71"/>
      <c r="E988" s="138"/>
      <c r="F988" s="25"/>
      <c r="G988" s="138"/>
      <c r="H988" s="26"/>
    </row>
    <row r="989" ht="22.5" customHeight="1">
      <c r="A989" s="24"/>
      <c r="B989" s="71"/>
      <c r="C989" s="71"/>
      <c r="D989" s="71"/>
      <c r="E989" s="138"/>
      <c r="F989" s="25"/>
      <c r="G989" s="138"/>
      <c r="H989" s="26"/>
    </row>
    <row r="990" ht="22.5" customHeight="1">
      <c r="A990" s="24"/>
      <c r="B990" s="71"/>
      <c r="C990" s="71"/>
      <c r="D990" s="71"/>
      <c r="E990" s="138"/>
      <c r="F990" s="25"/>
      <c r="G990" s="138"/>
      <c r="H990" s="26"/>
    </row>
    <row r="991" ht="22.5" customHeight="1">
      <c r="A991" s="24"/>
      <c r="B991" s="71"/>
      <c r="C991" s="71"/>
      <c r="D991" s="71"/>
      <c r="E991" s="138"/>
      <c r="F991" s="25"/>
      <c r="G991" s="138"/>
      <c r="H991" s="26"/>
    </row>
    <row r="992" ht="22.5" customHeight="1">
      <c r="A992" s="24"/>
      <c r="B992" s="71"/>
      <c r="C992" s="71"/>
      <c r="D992" s="71"/>
      <c r="E992" s="138"/>
      <c r="F992" s="25"/>
      <c r="G992" s="138"/>
      <c r="H992" s="26"/>
    </row>
    <row r="993" ht="22.5" customHeight="1">
      <c r="A993" s="24"/>
      <c r="B993" s="71"/>
      <c r="C993" s="71"/>
      <c r="D993" s="71"/>
      <c r="E993" s="138"/>
      <c r="F993" s="25"/>
      <c r="G993" s="138"/>
      <c r="H993" s="26"/>
    </row>
    <row r="994" ht="22.5" customHeight="1">
      <c r="A994" s="24"/>
      <c r="B994" s="71"/>
      <c r="C994" s="71"/>
      <c r="D994" s="71"/>
      <c r="E994" s="138"/>
      <c r="F994" s="25"/>
      <c r="G994" s="138"/>
      <c r="H994" s="26"/>
    </row>
    <row r="995" ht="22.5" customHeight="1">
      <c r="A995" s="24"/>
      <c r="B995" s="71"/>
      <c r="C995" s="71"/>
      <c r="D995" s="71"/>
      <c r="E995" s="138"/>
      <c r="F995" s="25"/>
      <c r="G995" s="138"/>
      <c r="H995" s="26"/>
    </row>
    <row r="996" ht="22.5" customHeight="1">
      <c r="A996" s="24"/>
      <c r="B996" s="71"/>
      <c r="C996" s="71"/>
      <c r="D996" s="71"/>
      <c r="E996" s="138"/>
      <c r="F996" s="25"/>
      <c r="G996" s="138"/>
      <c r="H996" s="26"/>
    </row>
    <row r="997" ht="22.5" customHeight="1">
      <c r="A997" s="24"/>
      <c r="B997" s="71"/>
      <c r="C997" s="71"/>
      <c r="D997" s="71"/>
      <c r="E997" s="138"/>
      <c r="F997" s="25"/>
      <c r="G997" s="138"/>
      <c r="H997" s="26"/>
    </row>
    <row r="998" ht="22.5" customHeight="1">
      <c r="A998" s="24"/>
      <c r="B998" s="71"/>
      <c r="C998" s="71"/>
      <c r="D998" s="71"/>
      <c r="E998" s="138"/>
      <c r="F998" s="25"/>
      <c r="G998" s="138"/>
      <c r="H998" s="26"/>
    </row>
    <row r="999" ht="22.5" customHeight="1">
      <c r="A999" s="24"/>
      <c r="B999" s="71"/>
      <c r="C999" s="71"/>
      <c r="D999" s="71"/>
      <c r="E999" s="138"/>
      <c r="F999" s="25"/>
      <c r="G999" s="138"/>
      <c r="H999" s="26"/>
    </row>
    <row r="1000" ht="22.5" customHeight="1">
      <c r="A1000" s="24"/>
      <c r="B1000" s="71"/>
      <c r="C1000" s="71"/>
      <c r="D1000" s="71"/>
      <c r="E1000" s="138"/>
      <c r="F1000" s="25"/>
      <c r="G1000" s="138"/>
      <c r="H1000" s="26"/>
    </row>
    <row r="1001" ht="22.5" customHeight="1">
      <c r="A1001" s="24"/>
      <c r="B1001" s="71"/>
      <c r="C1001" s="71"/>
      <c r="D1001" s="71"/>
      <c r="E1001" s="138"/>
      <c r="F1001" s="25"/>
      <c r="G1001" s="138"/>
      <c r="H1001" s="26"/>
    </row>
    <row r="1002" ht="22.5" customHeight="1">
      <c r="A1002" s="24"/>
      <c r="B1002" s="71"/>
      <c r="C1002" s="71"/>
      <c r="D1002" s="71"/>
      <c r="E1002" s="138"/>
      <c r="F1002" s="25"/>
      <c r="G1002" s="138"/>
      <c r="H1002" s="26"/>
    </row>
    <row r="1003" ht="22.5" customHeight="1">
      <c r="A1003" s="24"/>
      <c r="B1003" s="71"/>
      <c r="C1003" s="71"/>
      <c r="D1003" s="71"/>
      <c r="E1003" s="138"/>
      <c r="F1003" s="25"/>
      <c r="G1003" s="138"/>
      <c r="H1003" s="26"/>
    </row>
    <row r="1004" ht="22.5" customHeight="1">
      <c r="A1004" s="24"/>
      <c r="B1004" s="71"/>
      <c r="C1004" s="71"/>
      <c r="D1004" s="71"/>
      <c r="E1004" s="138"/>
      <c r="F1004" s="25"/>
      <c r="G1004" s="138"/>
      <c r="H1004" s="26"/>
    </row>
    <row r="1005" ht="22.5" customHeight="1">
      <c r="A1005" s="24"/>
      <c r="B1005" s="71"/>
      <c r="C1005" s="71"/>
      <c r="D1005" s="71"/>
      <c r="E1005" s="138"/>
      <c r="F1005" s="25"/>
      <c r="G1005" s="138"/>
      <c r="H1005" s="26"/>
    </row>
    <row r="1006" ht="22.5" customHeight="1">
      <c r="A1006" s="24"/>
      <c r="B1006" s="71"/>
      <c r="C1006" s="71"/>
      <c r="D1006" s="71"/>
      <c r="E1006" s="138"/>
      <c r="F1006" s="25"/>
      <c r="G1006" s="138"/>
      <c r="H1006" s="26"/>
    </row>
    <row r="1007" ht="22.5" customHeight="1">
      <c r="A1007" s="24"/>
      <c r="B1007" s="71"/>
      <c r="C1007" s="71"/>
      <c r="D1007" s="71"/>
      <c r="E1007" s="138"/>
      <c r="F1007" s="25"/>
      <c r="G1007" s="138"/>
      <c r="H1007" s="26"/>
    </row>
    <row r="1008" ht="22.5" customHeight="1">
      <c r="A1008" s="24"/>
      <c r="B1008" s="71"/>
      <c r="C1008" s="71"/>
      <c r="D1008" s="71"/>
      <c r="E1008" s="138"/>
      <c r="F1008" s="25"/>
      <c r="G1008" s="138"/>
      <c r="H1008" s="26"/>
    </row>
    <row r="1009" ht="22.5" customHeight="1">
      <c r="A1009" s="24"/>
      <c r="B1009" s="71"/>
      <c r="C1009" s="71"/>
      <c r="D1009" s="71"/>
      <c r="E1009" s="138"/>
      <c r="F1009" s="25"/>
      <c r="G1009" s="138"/>
      <c r="H1009" s="26"/>
    </row>
    <row r="1010" ht="22.5" customHeight="1">
      <c r="A1010" s="24"/>
      <c r="B1010" s="71"/>
      <c r="C1010" s="71"/>
      <c r="D1010" s="71"/>
      <c r="E1010" s="138"/>
      <c r="F1010" s="25"/>
      <c r="G1010" s="138"/>
      <c r="H1010" s="26"/>
    </row>
    <row r="1011" ht="22.5" customHeight="1">
      <c r="A1011" s="24"/>
      <c r="B1011" s="71"/>
      <c r="C1011" s="71"/>
      <c r="D1011" s="71"/>
      <c r="E1011" s="138"/>
      <c r="F1011" s="25"/>
      <c r="G1011" s="138"/>
      <c r="H1011" s="26"/>
    </row>
    <row r="1012" ht="22.5" customHeight="1">
      <c r="A1012" s="24"/>
      <c r="B1012" s="71"/>
      <c r="C1012" s="71"/>
      <c r="D1012" s="71"/>
      <c r="E1012" s="138"/>
      <c r="F1012" s="25"/>
      <c r="G1012" s="138"/>
      <c r="H1012" s="26"/>
    </row>
    <row r="1013" ht="22.5" customHeight="1">
      <c r="A1013" s="24"/>
      <c r="B1013" s="71"/>
      <c r="C1013" s="71"/>
      <c r="D1013" s="71"/>
      <c r="E1013" s="138"/>
      <c r="F1013" s="25"/>
      <c r="G1013" s="138"/>
      <c r="H1013" s="26"/>
    </row>
    <row r="1014" ht="22.5" customHeight="1">
      <c r="A1014" s="24"/>
      <c r="B1014" s="71"/>
      <c r="C1014" s="71"/>
      <c r="D1014" s="71"/>
      <c r="E1014" s="138"/>
      <c r="F1014" s="25"/>
      <c r="G1014" s="138"/>
      <c r="H1014" s="26"/>
    </row>
    <row r="1015" ht="22.5" customHeight="1">
      <c r="A1015" s="24"/>
      <c r="B1015" s="71"/>
      <c r="C1015" s="71"/>
      <c r="D1015" s="71"/>
      <c r="E1015" s="138"/>
      <c r="F1015" s="25"/>
      <c r="G1015" s="138"/>
      <c r="H1015" s="26"/>
    </row>
    <row r="1016" ht="22.5" customHeight="1">
      <c r="A1016" s="24"/>
      <c r="B1016" s="71"/>
      <c r="C1016" s="71"/>
      <c r="D1016" s="71"/>
      <c r="E1016" s="138"/>
      <c r="F1016" s="25"/>
      <c r="G1016" s="138"/>
      <c r="H1016" s="26"/>
    </row>
    <row r="1017" ht="22.5" customHeight="1">
      <c r="A1017" s="24"/>
      <c r="B1017" s="71"/>
      <c r="C1017" s="71"/>
      <c r="D1017" s="71"/>
      <c r="E1017" s="138"/>
      <c r="F1017" s="25"/>
      <c r="G1017" s="138"/>
      <c r="H1017" s="26"/>
    </row>
    <row r="1018" ht="22.5" customHeight="1">
      <c r="A1018" s="24"/>
      <c r="B1018" s="71"/>
      <c r="C1018" s="71"/>
      <c r="D1018" s="71"/>
      <c r="E1018" s="138"/>
      <c r="F1018" s="25"/>
      <c r="G1018" s="138"/>
      <c r="H1018" s="26"/>
    </row>
    <row r="1019" ht="22.5" customHeight="1">
      <c r="A1019" s="24"/>
      <c r="B1019" s="71"/>
      <c r="C1019" s="71"/>
      <c r="D1019" s="71"/>
      <c r="E1019" s="138"/>
      <c r="F1019" s="25"/>
      <c r="G1019" s="138"/>
      <c r="H1019" s="26"/>
    </row>
    <row r="1020" ht="22.5" customHeight="1">
      <c r="A1020" s="24"/>
      <c r="B1020" s="71"/>
      <c r="C1020" s="71"/>
      <c r="D1020" s="71"/>
      <c r="E1020" s="138"/>
      <c r="F1020" s="25"/>
      <c r="G1020" s="138"/>
      <c r="H1020" s="26"/>
    </row>
    <row r="1021" ht="22.5" customHeight="1">
      <c r="A1021" s="24"/>
      <c r="B1021" s="71"/>
      <c r="C1021" s="71"/>
      <c r="D1021" s="71"/>
      <c r="E1021" s="138"/>
      <c r="F1021" s="25"/>
      <c r="G1021" s="138"/>
      <c r="H1021" s="26"/>
    </row>
    <row r="1022" ht="22.5" customHeight="1">
      <c r="A1022" s="24"/>
      <c r="B1022" s="71"/>
      <c r="C1022" s="71"/>
      <c r="D1022" s="71"/>
      <c r="E1022" s="138"/>
      <c r="F1022" s="25"/>
      <c r="G1022" s="138"/>
      <c r="H1022" s="26"/>
    </row>
    <row r="1023" ht="22.5" customHeight="1">
      <c r="A1023" s="24"/>
      <c r="B1023" s="71"/>
      <c r="C1023" s="71"/>
      <c r="D1023" s="71"/>
      <c r="E1023" s="138"/>
      <c r="F1023" s="25"/>
      <c r="G1023" s="138"/>
      <c r="H1023" s="26"/>
    </row>
    <row r="1024" ht="22.5" customHeight="1">
      <c r="A1024" s="24"/>
      <c r="B1024" s="71"/>
      <c r="C1024" s="71"/>
      <c r="D1024" s="71"/>
      <c r="E1024" s="138"/>
      <c r="F1024" s="25"/>
      <c r="G1024" s="138"/>
      <c r="H1024" s="26"/>
    </row>
    <row r="1025" ht="22.5" customHeight="1">
      <c r="A1025" s="24"/>
      <c r="B1025" s="71"/>
      <c r="C1025" s="71"/>
      <c r="D1025" s="71"/>
      <c r="E1025" s="138"/>
      <c r="F1025" s="25"/>
      <c r="G1025" s="138"/>
      <c r="H1025" s="26"/>
    </row>
    <row r="1026" ht="22.5" customHeight="1">
      <c r="A1026" s="24"/>
      <c r="B1026" s="71"/>
      <c r="C1026" s="71"/>
      <c r="D1026" s="71"/>
      <c r="E1026" s="138"/>
      <c r="F1026" s="25"/>
      <c r="G1026" s="138"/>
      <c r="H1026" s="26"/>
    </row>
    <row r="1027" ht="22.5" customHeight="1">
      <c r="A1027" s="24"/>
      <c r="B1027" s="71"/>
      <c r="C1027" s="71"/>
      <c r="D1027" s="71"/>
      <c r="E1027" s="138"/>
      <c r="F1027" s="25"/>
      <c r="G1027" s="138"/>
      <c r="H1027" s="26"/>
    </row>
    <row r="1028" ht="22.5" customHeight="1">
      <c r="A1028" s="24"/>
      <c r="B1028" s="71"/>
      <c r="C1028" s="71"/>
      <c r="D1028" s="71"/>
      <c r="E1028" s="138"/>
      <c r="F1028" s="25"/>
      <c r="G1028" s="138"/>
      <c r="H1028" s="26"/>
    </row>
    <row r="1029" ht="22.5" customHeight="1">
      <c r="A1029" s="24"/>
      <c r="B1029" s="71"/>
      <c r="C1029" s="71"/>
      <c r="D1029" s="71"/>
      <c r="E1029" s="138"/>
      <c r="F1029" s="25"/>
      <c r="G1029" s="138"/>
      <c r="H1029" s="26"/>
    </row>
    <row r="1030" ht="22.5" customHeight="1">
      <c r="A1030" s="24"/>
      <c r="B1030" s="71"/>
      <c r="C1030" s="71"/>
      <c r="D1030" s="71"/>
      <c r="E1030" s="138"/>
      <c r="F1030" s="25"/>
      <c r="G1030" s="138"/>
      <c r="H1030" s="26"/>
    </row>
    <row r="1031" ht="22.5" customHeight="1">
      <c r="A1031" s="24"/>
      <c r="B1031" s="71"/>
      <c r="C1031" s="71"/>
      <c r="D1031" s="71"/>
      <c r="E1031" s="138"/>
      <c r="F1031" s="25"/>
      <c r="G1031" s="138"/>
      <c r="H1031" s="26"/>
    </row>
    <row r="1032" ht="22.5" customHeight="1">
      <c r="A1032" s="24"/>
      <c r="B1032" s="71"/>
      <c r="C1032" s="71"/>
      <c r="D1032" s="71"/>
      <c r="E1032" s="138"/>
      <c r="F1032" s="25"/>
      <c r="G1032" s="138"/>
      <c r="H1032" s="26"/>
    </row>
    <row r="1033" ht="22.5" customHeight="1">
      <c r="A1033" s="24"/>
      <c r="B1033" s="71"/>
      <c r="C1033" s="71"/>
      <c r="D1033" s="71"/>
      <c r="E1033" s="138"/>
      <c r="F1033" s="25"/>
      <c r="G1033" s="138"/>
      <c r="H1033" s="26"/>
    </row>
    <row r="1034" ht="22.5" customHeight="1">
      <c r="A1034" s="24"/>
      <c r="B1034" s="71"/>
      <c r="C1034" s="71"/>
      <c r="D1034" s="71"/>
      <c r="E1034" s="138"/>
      <c r="F1034" s="25"/>
      <c r="G1034" s="138"/>
      <c r="H1034" s="26"/>
    </row>
    <row r="1035" ht="22.5" customHeight="1">
      <c r="A1035" s="24"/>
      <c r="B1035" s="71"/>
      <c r="C1035" s="71"/>
      <c r="D1035" s="71"/>
      <c r="E1035" s="138"/>
      <c r="F1035" s="25"/>
      <c r="G1035" s="138"/>
      <c r="H1035" s="26"/>
    </row>
    <row r="1036" ht="22.5" customHeight="1">
      <c r="A1036" s="24"/>
      <c r="B1036" s="71"/>
      <c r="C1036" s="71"/>
      <c r="D1036" s="71"/>
      <c r="E1036" s="138"/>
      <c r="F1036" s="25"/>
      <c r="G1036" s="138"/>
      <c r="H1036" s="26"/>
    </row>
    <row r="1037" ht="22.5" customHeight="1">
      <c r="A1037" s="24"/>
      <c r="B1037" s="71"/>
      <c r="C1037" s="71"/>
      <c r="D1037" s="71"/>
      <c r="E1037" s="138"/>
      <c r="F1037" s="25"/>
      <c r="G1037" s="138"/>
      <c r="H1037" s="26"/>
    </row>
    <row r="1038" ht="22.5" customHeight="1">
      <c r="A1038" s="24"/>
      <c r="B1038" s="71"/>
      <c r="C1038" s="71"/>
      <c r="D1038" s="71"/>
      <c r="E1038" s="138"/>
      <c r="F1038" s="25"/>
      <c r="G1038" s="138"/>
      <c r="H1038" s="26"/>
    </row>
    <row r="1039" ht="22.5" customHeight="1">
      <c r="A1039" s="24"/>
      <c r="B1039" s="71"/>
      <c r="C1039" s="71"/>
      <c r="D1039" s="71"/>
      <c r="E1039" s="138"/>
      <c r="F1039" s="25"/>
      <c r="G1039" s="138"/>
      <c r="H1039" s="26"/>
    </row>
    <row r="1040" ht="22.5" customHeight="1">
      <c r="A1040" s="24"/>
      <c r="B1040" s="71"/>
      <c r="C1040" s="71"/>
      <c r="D1040" s="71"/>
      <c r="E1040" s="138"/>
      <c r="F1040" s="25"/>
      <c r="G1040" s="138"/>
      <c r="H1040" s="26"/>
    </row>
    <row r="1041" ht="22.5" customHeight="1">
      <c r="A1041" s="24"/>
      <c r="B1041" s="71"/>
      <c r="C1041" s="71"/>
      <c r="D1041" s="71"/>
      <c r="E1041" s="138"/>
      <c r="F1041" s="25"/>
      <c r="G1041" s="138"/>
      <c r="H1041" s="26"/>
    </row>
    <row r="1042" ht="22.5" customHeight="1">
      <c r="A1042" s="24"/>
      <c r="B1042" s="71"/>
      <c r="C1042" s="71"/>
      <c r="D1042" s="71"/>
      <c r="E1042" s="138"/>
      <c r="F1042" s="25"/>
      <c r="G1042" s="138"/>
      <c r="H1042" s="26"/>
    </row>
    <row r="1043" ht="22.5" customHeight="1">
      <c r="A1043" s="24"/>
      <c r="B1043" s="71"/>
      <c r="C1043" s="71"/>
      <c r="D1043" s="71"/>
      <c r="E1043" s="138"/>
      <c r="F1043" s="25"/>
      <c r="G1043" s="138"/>
      <c r="H1043" s="26"/>
    </row>
    <row r="1044" ht="22.5" customHeight="1">
      <c r="A1044" s="24"/>
      <c r="B1044" s="71"/>
      <c r="C1044" s="71"/>
      <c r="D1044" s="71"/>
      <c r="E1044" s="138"/>
      <c r="F1044" s="25"/>
      <c r="G1044" s="138"/>
      <c r="H1044" s="26"/>
    </row>
    <row r="1045" ht="22.5" customHeight="1">
      <c r="A1045" s="24"/>
      <c r="B1045" s="71"/>
      <c r="C1045" s="71"/>
      <c r="D1045" s="71"/>
      <c r="E1045" s="138"/>
      <c r="F1045" s="25"/>
      <c r="G1045" s="138"/>
      <c r="H1045" s="26"/>
    </row>
    <row r="1046" ht="22.5" customHeight="1">
      <c r="A1046" s="24"/>
      <c r="B1046" s="71"/>
      <c r="C1046" s="71"/>
      <c r="D1046" s="71"/>
      <c r="E1046" s="138"/>
      <c r="F1046" s="25"/>
      <c r="G1046" s="138"/>
      <c r="H1046" s="26"/>
    </row>
    <row r="1047" ht="22.5" customHeight="1">
      <c r="A1047" s="24"/>
      <c r="B1047" s="71"/>
      <c r="C1047" s="71"/>
      <c r="D1047" s="71"/>
      <c r="E1047" s="138"/>
      <c r="F1047" s="25"/>
      <c r="G1047" s="138"/>
      <c r="H1047" s="26"/>
    </row>
    <row r="1048" ht="22.5" customHeight="1">
      <c r="A1048" s="24"/>
      <c r="B1048" s="71"/>
      <c r="C1048" s="71"/>
      <c r="D1048" s="71"/>
      <c r="E1048" s="138"/>
      <c r="F1048" s="25"/>
      <c r="G1048" s="138"/>
      <c r="H1048" s="26"/>
    </row>
    <row r="1049" ht="22.5" customHeight="1">
      <c r="A1049" s="24"/>
      <c r="B1049" s="71"/>
      <c r="C1049" s="71"/>
      <c r="D1049" s="71"/>
      <c r="E1049" s="138"/>
      <c r="F1049" s="25"/>
      <c r="G1049" s="138"/>
      <c r="H1049" s="26"/>
    </row>
    <row r="1050" ht="22.5" customHeight="1">
      <c r="A1050" s="24"/>
      <c r="B1050" s="71"/>
      <c r="C1050" s="71"/>
      <c r="D1050" s="71"/>
      <c r="E1050" s="138"/>
      <c r="F1050" s="25"/>
      <c r="G1050" s="138"/>
      <c r="H1050" s="26"/>
    </row>
    <row r="1051" ht="22.5" customHeight="1">
      <c r="A1051" s="24"/>
      <c r="B1051" s="71"/>
      <c r="C1051" s="71"/>
      <c r="D1051" s="71"/>
      <c r="E1051" s="138"/>
      <c r="F1051" s="25"/>
      <c r="G1051" s="138"/>
      <c r="H1051" s="26"/>
    </row>
    <row r="1052" ht="22.5" customHeight="1">
      <c r="A1052" s="24"/>
      <c r="B1052" s="71"/>
      <c r="C1052" s="71"/>
      <c r="D1052" s="71"/>
      <c r="E1052" s="138"/>
      <c r="F1052" s="25"/>
      <c r="G1052" s="138"/>
      <c r="H1052" s="26"/>
    </row>
    <row r="1053" ht="22.5" customHeight="1">
      <c r="A1053" s="24"/>
      <c r="B1053" s="71"/>
      <c r="C1053" s="71"/>
      <c r="D1053" s="71"/>
      <c r="E1053" s="138"/>
      <c r="F1053" s="25"/>
      <c r="G1053" s="138"/>
      <c r="H1053" s="26"/>
    </row>
    <row r="1054" ht="22.5" customHeight="1">
      <c r="A1054" s="24"/>
      <c r="B1054" s="71"/>
      <c r="C1054" s="71"/>
      <c r="D1054" s="71"/>
      <c r="E1054" s="138"/>
      <c r="F1054" s="25"/>
      <c r="G1054" s="138"/>
      <c r="H1054" s="26"/>
    </row>
    <row r="1055" ht="22.5" customHeight="1">
      <c r="A1055" s="24"/>
      <c r="B1055" s="71"/>
      <c r="C1055" s="71"/>
      <c r="D1055" s="71"/>
      <c r="E1055" s="138"/>
      <c r="F1055" s="25"/>
      <c r="G1055" s="138"/>
      <c r="H1055" s="26"/>
    </row>
    <row r="1056" ht="22.5" customHeight="1">
      <c r="A1056" s="24"/>
      <c r="B1056" s="71"/>
      <c r="C1056" s="71"/>
      <c r="D1056" s="71"/>
      <c r="E1056" s="138"/>
      <c r="F1056" s="25"/>
      <c r="G1056" s="138"/>
      <c r="H1056" s="26"/>
    </row>
    <row r="1057" ht="22.5" customHeight="1">
      <c r="A1057" s="24"/>
      <c r="B1057" s="71"/>
      <c r="C1057" s="71"/>
      <c r="D1057" s="71"/>
      <c r="E1057" s="138"/>
      <c r="F1057" s="25"/>
      <c r="G1057" s="138"/>
      <c r="H1057" s="26"/>
    </row>
    <row r="1058" ht="22.5" customHeight="1">
      <c r="A1058" s="24"/>
      <c r="B1058" s="71"/>
      <c r="C1058" s="71"/>
      <c r="D1058" s="71"/>
      <c r="E1058" s="138"/>
      <c r="F1058" s="25"/>
      <c r="G1058" s="138"/>
      <c r="H1058" s="26"/>
    </row>
    <row r="1059" ht="22.5" customHeight="1">
      <c r="A1059" s="24"/>
      <c r="B1059" s="71"/>
      <c r="C1059" s="71"/>
      <c r="D1059" s="71"/>
      <c r="E1059" s="138"/>
      <c r="F1059" s="25"/>
      <c r="G1059" s="138"/>
      <c r="H1059" s="26"/>
    </row>
    <row r="1060" ht="22.5" customHeight="1">
      <c r="A1060" s="24"/>
      <c r="B1060" s="71"/>
      <c r="C1060" s="71"/>
      <c r="D1060" s="71"/>
      <c r="E1060" s="138"/>
      <c r="F1060" s="25"/>
      <c r="G1060" s="138"/>
      <c r="H1060" s="26"/>
    </row>
    <row r="1061" ht="22.5" customHeight="1">
      <c r="A1061" s="24"/>
      <c r="B1061" s="71"/>
      <c r="C1061" s="71"/>
      <c r="D1061" s="71"/>
      <c r="E1061" s="138"/>
      <c r="F1061" s="25"/>
      <c r="G1061" s="138"/>
      <c r="H1061" s="26"/>
    </row>
    <row r="1062" ht="22.5" customHeight="1">
      <c r="A1062" s="24"/>
      <c r="B1062" s="71"/>
      <c r="C1062" s="71"/>
      <c r="D1062" s="71"/>
      <c r="E1062" s="138"/>
      <c r="F1062" s="25"/>
      <c r="G1062" s="138"/>
      <c r="H1062" s="26"/>
    </row>
    <row r="1063" ht="22.5" customHeight="1">
      <c r="A1063" s="24"/>
      <c r="B1063" s="71"/>
      <c r="C1063" s="71"/>
      <c r="D1063" s="71"/>
      <c r="E1063" s="138"/>
      <c r="F1063" s="25"/>
      <c r="G1063" s="138"/>
      <c r="H1063" s="26"/>
    </row>
    <row r="1064" ht="22.5" customHeight="1">
      <c r="A1064" s="24"/>
      <c r="B1064" s="71"/>
      <c r="C1064" s="71"/>
      <c r="D1064" s="71"/>
      <c r="E1064" s="138"/>
      <c r="F1064" s="25"/>
      <c r="G1064" s="138"/>
      <c r="H1064" s="26"/>
    </row>
    <row r="1065" ht="22.5" customHeight="1">
      <c r="A1065" s="24"/>
      <c r="B1065" s="71"/>
      <c r="C1065" s="71"/>
      <c r="D1065" s="71"/>
      <c r="E1065" s="138"/>
      <c r="F1065" s="25"/>
      <c r="G1065" s="138"/>
      <c r="H1065" s="26"/>
    </row>
    <row r="1066" ht="22.5" customHeight="1">
      <c r="A1066" s="24"/>
      <c r="B1066" s="71"/>
      <c r="C1066" s="71"/>
      <c r="D1066" s="71"/>
      <c r="E1066" s="138"/>
      <c r="F1066" s="25"/>
      <c r="G1066" s="138"/>
      <c r="H1066" s="26"/>
    </row>
    <row r="1067" ht="22.5" customHeight="1">
      <c r="A1067" s="24"/>
      <c r="B1067" s="71"/>
      <c r="C1067" s="71"/>
      <c r="D1067" s="71"/>
      <c r="E1067" s="138"/>
      <c r="F1067" s="25"/>
      <c r="G1067" s="138"/>
      <c r="H1067" s="26"/>
    </row>
    <row r="1068" ht="22.5" customHeight="1">
      <c r="A1068" s="24"/>
      <c r="B1068" s="71"/>
      <c r="C1068" s="71"/>
      <c r="D1068" s="71"/>
      <c r="E1068" s="138"/>
      <c r="F1068" s="25"/>
      <c r="G1068" s="138"/>
      <c r="H1068" s="26"/>
    </row>
    <row r="1069" ht="22.5" customHeight="1">
      <c r="A1069" s="24"/>
      <c r="B1069" s="71"/>
      <c r="C1069" s="71"/>
      <c r="D1069" s="71"/>
      <c r="E1069" s="138"/>
      <c r="F1069" s="25"/>
      <c r="G1069" s="138"/>
      <c r="H1069" s="26"/>
    </row>
    <row r="1070" ht="22.5" customHeight="1">
      <c r="A1070" s="24"/>
      <c r="B1070" s="71"/>
      <c r="C1070" s="71"/>
      <c r="D1070" s="71"/>
      <c r="E1070" s="138"/>
      <c r="F1070" s="25"/>
      <c r="G1070" s="138"/>
      <c r="H1070" s="26"/>
    </row>
    <row r="1071" ht="22.5" customHeight="1">
      <c r="A1071" s="24"/>
      <c r="B1071" s="71"/>
      <c r="C1071" s="71"/>
      <c r="D1071" s="71"/>
      <c r="E1071" s="138"/>
      <c r="F1071" s="25"/>
      <c r="G1071" s="138"/>
      <c r="H1071" s="26"/>
    </row>
    <row r="1072" ht="22.5" customHeight="1">
      <c r="A1072" s="24"/>
      <c r="B1072" s="71"/>
      <c r="C1072" s="71"/>
      <c r="D1072" s="71"/>
      <c r="E1072" s="138"/>
      <c r="F1072" s="25"/>
      <c r="G1072" s="138"/>
      <c r="H1072" s="26"/>
    </row>
    <row r="1073" ht="22.5" customHeight="1">
      <c r="A1073" s="24"/>
      <c r="B1073" s="71"/>
      <c r="C1073" s="71"/>
      <c r="D1073" s="71"/>
      <c r="E1073" s="138"/>
      <c r="F1073" s="25"/>
      <c r="G1073" s="138"/>
      <c r="H1073" s="26"/>
    </row>
    <row r="1074" ht="22.5" customHeight="1">
      <c r="A1074" s="24"/>
      <c r="B1074" s="71"/>
      <c r="C1074" s="71"/>
      <c r="D1074" s="71"/>
      <c r="E1074" s="138"/>
      <c r="F1074" s="25"/>
      <c r="G1074" s="138"/>
      <c r="H1074" s="26"/>
    </row>
    <row r="1075" ht="22.5" customHeight="1">
      <c r="A1075" s="24"/>
      <c r="B1075" s="71"/>
      <c r="C1075" s="71"/>
      <c r="D1075" s="71"/>
      <c r="E1075" s="138"/>
      <c r="F1075" s="25"/>
      <c r="G1075" s="138"/>
      <c r="H1075" s="26"/>
    </row>
    <row r="1076" ht="22.5" customHeight="1">
      <c r="A1076" s="24"/>
      <c r="B1076" s="71"/>
      <c r="C1076" s="71"/>
      <c r="D1076" s="71"/>
      <c r="E1076" s="138"/>
      <c r="F1076" s="25"/>
      <c r="G1076" s="138"/>
      <c r="H1076" s="26"/>
    </row>
    <row r="1077" ht="22.5" customHeight="1">
      <c r="A1077" s="24"/>
      <c r="B1077" s="71"/>
      <c r="C1077" s="71"/>
      <c r="D1077" s="71"/>
      <c r="E1077" s="138"/>
      <c r="F1077" s="25"/>
      <c r="G1077" s="138"/>
      <c r="H1077" s="26"/>
    </row>
    <row r="1078" ht="22.5" customHeight="1">
      <c r="A1078" s="24"/>
      <c r="B1078" s="71"/>
      <c r="C1078" s="71"/>
      <c r="D1078" s="71"/>
      <c r="E1078" s="138"/>
      <c r="F1078" s="25"/>
      <c r="G1078" s="138"/>
      <c r="H1078" s="26"/>
    </row>
    <row r="1079" ht="22.5" customHeight="1">
      <c r="A1079" s="24"/>
      <c r="B1079" s="71"/>
      <c r="C1079" s="71"/>
      <c r="D1079" s="71"/>
      <c r="E1079" s="138"/>
      <c r="F1079" s="25"/>
      <c r="G1079" s="138"/>
      <c r="H1079" s="26"/>
    </row>
    <row r="1080" ht="22.5" customHeight="1">
      <c r="A1080" s="24"/>
      <c r="B1080" s="71"/>
      <c r="C1080" s="71"/>
      <c r="D1080" s="71"/>
      <c r="E1080" s="138"/>
      <c r="F1080" s="25"/>
      <c r="G1080" s="138"/>
      <c r="H1080" s="26"/>
    </row>
    <row r="1081" ht="22.5" customHeight="1">
      <c r="A1081" s="24"/>
      <c r="B1081" s="71"/>
      <c r="C1081" s="71"/>
      <c r="D1081" s="71"/>
      <c r="E1081" s="138"/>
      <c r="F1081" s="25"/>
      <c r="G1081" s="138"/>
      <c r="H1081" s="26"/>
    </row>
    <row r="1082" ht="22.5" customHeight="1">
      <c r="A1082" s="24"/>
      <c r="B1082" s="71"/>
      <c r="C1082" s="71"/>
      <c r="D1082" s="71"/>
      <c r="E1082" s="138"/>
      <c r="F1082" s="25"/>
      <c r="G1082" s="138"/>
      <c r="H1082" s="26"/>
    </row>
    <row r="1083" ht="22.5" customHeight="1">
      <c r="A1083" s="24"/>
      <c r="B1083" s="71"/>
      <c r="C1083" s="71"/>
      <c r="D1083" s="71"/>
      <c r="E1083" s="138"/>
      <c r="F1083" s="25"/>
      <c r="G1083" s="138"/>
      <c r="H1083" s="26"/>
    </row>
    <row r="1084" ht="22.5" customHeight="1">
      <c r="A1084" s="24"/>
      <c r="B1084" s="71"/>
      <c r="C1084" s="71"/>
      <c r="D1084" s="71"/>
      <c r="E1084" s="138"/>
      <c r="F1084" s="25"/>
      <c r="G1084" s="138"/>
      <c r="H1084" s="26"/>
    </row>
    <row r="1085" ht="22.5" customHeight="1">
      <c r="A1085" s="24"/>
      <c r="B1085" s="71"/>
      <c r="C1085" s="71"/>
      <c r="D1085" s="71"/>
      <c r="E1085" s="138"/>
      <c r="F1085" s="25"/>
      <c r="G1085" s="138"/>
      <c r="H1085" s="26"/>
    </row>
    <row r="1086" ht="22.5" customHeight="1">
      <c r="A1086" s="24"/>
      <c r="B1086" s="71"/>
      <c r="C1086" s="71"/>
      <c r="D1086" s="71"/>
      <c r="E1086" s="138"/>
      <c r="F1086" s="25"/>
      <c r="G1086" s="138"/>
      <c r="H1086" s="26"/>
    </row>
    <row r="1087" ht="22.5" customHeight="1">
      <c r="A1087" s="24"/>
      <c r="B1087" s="71"/>
      <c r="C1087" s="71"/>
      <c r="D1087" s="71"/>
      <c r="E1087" s="138"/>
      <c r="F1087" s="25"/>
      <c r="G1087" s="138"/>
      <c r="H1087" s="26"/>
    </row>
    <row r="1088" ht="22.5" customHeight="1">
      <c r="A1088" s="24"/>
      <c r="B1088" s="71"/>
      <c r="C1088" s="71"/>
      <c r="D1088" s="71"/>
      <c r="E1088" s="138"/>
      <c r="F1088" s="25"/>
      <c r="G1088" s="138"/>
      <c r="H1088" s="26"/>
    </row>
    <row r="1089" ht="22.5" customHeight="1">
      <c r="A1089" s="24"/>
      <c r="B1089" s="71"/>
      <c r="C1089" s="71"/>
      <c r="D1089" s="71"/>
      <c r="E1089" s="138"/>
      <c r="F1089" s="25"/>
      <c r="G1089" s="138"/>
      <c r="H1089" s="26"/>
    </row>
    <row r="1090" ht="22.5" customHeight="1">
      <c r="A1090" s="24"/>
      <c r="B1090" s="71"/>
      <c r="C1090" s="71"/>
      <c r="D1090" s="71"/>
      <c r="E1090" s="138"/>
      <c r="F1090" s="25"/>
      <c r="G1090" s="138"/>
      <c r="H1090" s="26"/>
    </row>
    <row r="1091" ht="22.5" customHeight="1">
      <c r="A1091" s="24"/>
      <c r="B1091" s="71"/>
      <c r="C1091" s="71"/>
      <c r="D1091" s="71"/>
      <c r="E1091" s="138"/>
      <c r="F1091" s="25"/>
      <c r="G1091" s="138"/>
      <c r="H1091" s="26"/>
    </row>
    <row r="1092" ht="22.5" customHeight="1">
      <c r="A1092" s="24"/>
      <c r="B1092" s="71"/>
      <c r="C1092" s="71"/>
      <c r="D1092" s="71"/>
      <c r="E1092" s="138"/>
      <c r="F1092" s="25"/>
      <c r="G1092" s="138"/>
      <c r="H1092" s="26"/>
    </row>
    <row r="1093" ht="22.5" customHeight="1">
      <c r="A1093" s="24"/>
      <c r="B1093" s="71"/>
      <c r="C1093" s="71"/>
      <c r="D1093" s="71"/>
      <c r="E1093" s="138"/>
      <c r="F1093" s="25"/>
      <c r="G1093" s="138"/>
      <c r="H1093" s="26"/>
    </row>
    <row r="1094" ht="22.5" customHeight="1">
      <c r="A1094" s="24"/>
      <c r="B1094" s="71"/>
      <c r="C1094" s="71"/>
      <c r="D1094" s="71"/>
      <c r="E1094" s="138"/>
      <c r="F1094" s="25"/>
      <c r="G1094" s="138"/>
      <c r="H1094" s="26"/>
    </row>
    <row r="1095" ht="22.5" customHeight="1">
      <c r="A1095" s="24"/>
      <c r="B1095" s="71"/>
      <c r="C1095" s="71"/>
      <c r="D1095" s="71"/>
      <c r="E1095" s="138"/>
      <c r="F1095" s="25"/>
      <c r="G1095" s="138"/>
      <c r="H1095" s="26"/>
    </row>
    <row r="1096" ht="22.5" customHeight="1">
      <c r="A1096" s="24"/>
      <c r="B1096" s="71"/>
      <c r="C1096" s="71"/>
      <c r="D1096" s="71"/>
      <c r="E1096" s="138"/>
      <c r="F1096" s="25"/>
      <c r="G1096" s="138"/>
      <c r="H1096" s="26"/>
    </row>
    <row r="1097" ht="22.5" customHeight="1">
      <c r="A1097" s="24"/>
      <c r="B1097" s="71"/>
      <c r="C1097" s="71"/>
      <c r="D1097" s="71"/>
      <c r="E1097" s="138"/>
      <c r="F1097" s="25"/>
      <c r="G1097" s="138"/>
      <c r="H1097" s="26"/>
    </row>
    <row r="1098" ht="22.5" customHeight="1">
      <c r="A1098" s="24"/>
      <c r="B1098" s="71"/>
      <c r="C1098" s="71"/>
      <c r="D1098" s="71"/>
      <c r="E1098" s="138"/>
      <c r="F1098" s="25"/>
      <c r="G1098" s="138"/>
      <c r="H1098" s="26"/>
    </row>
    <row r="1099" ht="22.5" customHeight="1">
      <c r="A1099" s="24"/>
      <c r="B1099" s="71"/>
      <c r="C1099" s="71"/>
      <c r="D1099" s="71"/>
      <c r="E1099" s="138"/>
      <c r="F1099" s="25"/>
      <c r="G1099" s="138"/>
      <c r="H1099" s="26"/>
    </row>
    <row r="1100" ht="22.5" customHeight="1">
      <c r="A1100" s="24"/>
      <c r="B1100" s="71"/>
      <c r="C1100" s="71"/>
      <c r="D1100" s="71"/>
      <c r="E1100" s="138"/>
      <c r="F1100" s="25"/>
      <c r="G1100" s="138"/>
      <c r="H1100" s="26"/>
    </row>
    <row r="1101" ht="22.5" customHeight="1">
      <c r="A1101" s="24"/>
      <c r="B1101" s="71"/>
      <c r="C1101" s="71"/>
      <c r="D1101" s="71"/>
      <c r="E1101" s="138"/>
      <c r="F1101" s="25"/>
      <c r="G1101" s="138"/>
      <c r="H1101" s="26"/>
    </row>
    <row r="1102" ht="22.5" customHeight="1">
      <c r="A1102" s="24"/>
      <c r="B1102" s="71"/>
      <c r="C1102" s="71"/>
      <c r="D1102" s="71"/>
      <c r="E1102" s="138"/>
      <c r="F1102" s="25"/>
      <c r="G1102" s="138"/>
      <c r="H1102" s="26"/>
    </row>
    <row r="1103" ht="22.5" customHeight="1">
      <c r="A1103" s="24"/>
      <c r="B1103" s="71"/>
      <c r="C1103" s="71"/>
      <c r="D1103" s="71"/>
      <c r="E1103" s="138"/>
      <c r="F1103" s="25"/>
      <c r="G1103" s="138"/>
      <c r="H1103" s="26"/>
    </row>
    <row r="1104" ht="22.5" customHeight="1">
      <c r="A1104" s="24"/>
      <c r="B1104" s="71"/>
      <c r="C1104" s="71"/>
      <c r="D1104" s="71"/>
      <c r="E1104" s="138"/>
      <c r="F1104" s="25"/>
      <c r="G1104" s="138"/>
      <c r="H1104" s="26"/>
    </row>
  </sheetData>
  <dataValidations>
    <dataValidation type="custom" allowBlank="1" showDropDown="1" sqref="A2:A1104">
      <formula1>OR(NOT(ISERROR(DATEVALUE(A2))), AND(ISNUMBER(A2), LEFT(CELL("format", A2))="D"))</formula1>
    </dataValidation>
    <dataValidation allowBlank="1" showDropDown="1" sqref="H2:H1104"/>
  </dataValidations>
  <hyperlinks>
    <hyperlink r:id="rId1" ref="G2"/>
    <hyperlink r:id="rId2" ref="G3"/>
    <hyperlink r:id="rId3" ref="G4"/>
    <hyperlink r:id="rId4" ref="G5"/>
    <hyperlink r:id="rId5" ref="G18"/>
    <hyperlink r:id="rId6" ref="G19"/>
    <hyperlink r:id="rId7" ref="E23"/>
    <hyperlink r:id="rId8" ref="G23"/>
    <hyperlink r:id="rId9" ref="E24"/>
    <hyperlink r:id="rId10" ref="G24"/>
    <hyperlink r:id="rId11" ref="E25"/>
    <hyperlink r:id="rId12" ref="G25"/>
    <hyperlink r:id="rId13" ref="E26"/>
    <hyperlink r:id="rId14" ref="G26"/>
    <hyperlink r:id="rId15" ref="E27"/>
    <hyperlink r:id="rId16" ref="E33"/>
    <hyperlink r:id="rId17" ref="G33"/>
    <hyperlink r:id="rId18" ref="E34"/>
    <hyperlink r:id="rId19" ref="G34"/>
    <hyperlink r:id="rId20" ref="E35"/>
    <hyperlink r:id="rId21" ref="G35"/>
    <hyperlink r:id="rId22" ref="E36"/>
    <hyperlink r:id="rId23" ref="G36"/>
    <hyperlink r:id="rId24" ref="G39"/>
    <hyperlink r:id="rId25" ref="G40"/>
    <hyperlink r:id="rId26" ref="G41"/>
    <hyperlink r:id="rId27" ref="G42"/>
    <hyperlink r:id="rId28" ref="G43"/>
    <hyperlink r:id="rId29" ref="G44"/>
    <hyperlink r:id="rId30" ref="G45"/>
    <hyperlink r:id="rId31" ref="G46"/>
    <hyperlink r:id="rId32" ref="G47"/>
    <hyperlink r:id="rId33" ref="G48"/>
    <hyperlink r:id="rId34" ref="G49"/>
    <hyperlink r:id="rId35" ref="G50"/>
    <hyperlink r:id="rId36" ref="G51"/>
    <hyperlink r:id="rId37" ref="G52"/>
    <hyperlink r:id="rId38" ref="G53"/>
    <hyperlink r:id="rId39" ref="G54"/>
    <hyperlink r:id="rId40" ref="G55"/>
    <hyperlink r:id="rId41" ref="G56"/>
    <hyperlink r:id="rId42" ref="G57"/>
  </hyperlinks>
  <drawing r:id="rId43"/>
  <tableParts count="1">
    <tablePart r:id="rId4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2.0"/>
    <col customWidth="1" min="3" max="3" width="11.75"/>
    <col customWidth="1" min="4" max="4" width="11.0"/>
    <col customWidth="1" min="5" max="5" width="39.63"/>
    <col customWidth="1" min="6" max="6" width="15.38"/>
    <col customWidth="1" min="7" max="7" width="57.13"/>
    <col customWidth="1" min="8" max="8" width="32.63"/>
  </cols>
  <sheetData>
    <row r="1" ht="66.0" customHeight="1">
      <c r="A1" s="3" t="s">
        <v>2</v>
      </c>
      <c r="B1" s="27" t="s">
        <v>30</v>
      </c>
      <c r="C1" s="27" t="s">
        <v>1004</v>
      </c>
      <c r="D1" s="3" t="s">
        <v>584</v>
      </c>
      <c r="E1" s="27" t="s">
        <v>32</v>
      </c>
      <c r="F1" s="27" t="s">
        <v>33</v>
      </c>
      <c r="G1" s="27" t="s">
        <v>34</v>
      </c>
      <c r="H1" s="3" t="s">
        <v>8</v>
      </c>
    </row>
    <row r="2" ht="47.25" customHeight="1">
      <c r="A2" s="5">
        <v>45856.0</v>
      </c>
      <c r="B2" s="28">
        <v>8.0</v>
      </c>
      <c r="C2" s="28"/>
      <c r="D2" s="6"/>
      <c r="E2" s="29" t="s">
        <v>1005</v>
      </c>
      <c r="F2" s="29" t="s">
        <v>36</v>
      </c>
      <c r="G2" s="30" t="s">
        <v>1006</v>
      </c>
      <c r="H2" s="31"/>
    </row>
    <row r="3" ht="22.5" customHeight="1">
      <c r="A3" s="5">
        <v>45859.0</v>
      </c>
      <c r="B3" s="28">
        <v>8.0</v>
      </c>
      <c r="C3" s="28"/>
      <c r="D3" s="8"/>
      <c r="E3" s="29" t="s">
        <v>1007</v>
      </c>
      <c r="F3" s="29" t="s">
        <v>36</v>
      </c>
      <c r="G3" s="30" t="s">
        <v>1008</v>
      </c>
      <c r="H3" s="31"/>
    </row>
    <row r="4" ht="22.5" customHeight="1">
      <c r="A4" s="5">
        <v>45860.0</v>
      </c>
      <c r="B4" s="28"/>
      <c r="C4" s="28">
        <v>8.0</v>
      </c>
      <c r="D4" s="8"/>
      <c r="E4" s="29" t="s">
        <v>1009</v>
      </c>
      <c r="F4" s="29" t="s">
        <v>36</v>
      </c>
      <c r="G4" s="30" t="s">
        <v>1010</v>
      </c>
      <c r="H4" s="31"/>
    </row>
    <row r="5" ht="22.5" customHeight="1">
      <c r="A5" s="5">
        <v>45861.0</v>
      </c>
      <c r="B5" s="28">
        <v>8.0</v>
      </c>
      <c r="C5" s="28"/>
      <c r="D5" s="8"/>
      <c r="E5" s="29" t="s">
        <v>1011</v>
      </c>
      <c r="F5" s="29" t="s">
        <v>39</v>
      </c>
      <c r="G5" s="30" t="s">
        <v>1012</v>
      </c>
      <c r="H5" s="31"/>
    </row>
    <row r="6" ht="22.5" customHeight="1">
      <c r="A6" s="5">
        <v>45862.0</v>
      </c>
      <c r="B6" s="28">
        <v>8.0</v>
      </c>
      <c r="C6" s="28"/>
      <c r="D6" s="8"/>
      <c r="E6" s="29" t="s">
        <v>1011</v>
      </c>
      <c r="F6" s="29" t="s">
        <v>36</v>
      </c>
      <c r="G6" s="30" t="s">
        <v>1013</v>
      </c>
      <c r="H6" s="36"/>
    </row>
    <row r="7" ht="22.5" customHeight="1">
      <c r="A7" s="5">
        <v>45863.0</v>
      </c>
      <c r="B7" s="28">
        <v>8.0</v>
      </c>
      <c r="C7" s="28"/>
      <c r="D7" s="12"/>
      <c r="E7" s="29" t="s">
        <v>1014</v>
      </c>
      <c r="F7" s="29" t="s">
        <v>39</v>
      </c>
      <c r="G7" s="30" t="s">
        <v>1015</v>
      </c>
      <c r="H7" s="36"/>
    </row>
    <row r="8" ht="22.5" customHeight="1">
      <c r="A8" s="131">
        <v>45866.0</v>
      </c>
      <c r="B8" s="132"/>
      <c r="C8" s="132"/>
      <c r="D8" s="189"/>
      <c r="E8" s="190" t="s">
        <v>86</v>
      </c>
      <c r="F8" s="29"/>
      <c r="G8" s="29"/>
      <c r="H8" s="191" t="s">
        <v>939</v>
      </c>
    </row>
    <row r="9" ht="22.5" customHeight="1">
      <c r="A9" s="5">
        <v>45867.0</v>
      </c>
      <c r="B9" s="28">
        <v>8.0</v>
      </c>
      <c r="C9" s="28"/>
      <c r="D9" s="12"/>
      <c r="E9" s="29" t="s">
        <v>1016</v>
      </c>
      <c r="F9" s="29" t="s">
        <v>39</v>
      </c>
      <c r="G9" s="30" t="s">
        <v>1017</v>
      </c>
      <c r="H9" s="36"/>
    </row>
    <row r="10" ht="22.5" customHeight="1">
      <c r="A10" s="5">
        <v>45868.0</v>
      </c>
      <c r="B10" s="28">
        <v>8.0</v>
      </c>
      <c r="C10" s="28"/>
      <c r="D10" s="11"/>
      <c r="E10" s="29" t="s">
        <v>1016</v>
      </c>
      <c r="F10" s="29" t="s">
        <v>39</v>
      </c>
      <c r="G10" s="30" t="s">
        <v>1018</v>
      </c>
      <c r="H10" s="36"/>
    </row>
    <row r="11" ht="22.5" customHeight="1">
      <c r="A11" s="5">
        <v>45869.0</v>
      </c>
      <c r="B11" s="28">
        <v>11.5</v>
      </c>
      <c r="C11" s="42"/>
      <c r="D11" s="11"/>
      <c r="E11" s="29" t="s">
        <v>1019</v>
      </c>
      <c r="F11" s="29" t="s">
        <v>39</v>
      </c>
      <c r="G11" s="30" t="s">
        <v>1020</v>
      </c>
      <c r="H11" s="29" t="s">
        <v>795</v>
      </c>
    </row>
    <row r="12" ht="22.5" customHeight="1">
      <c r="A12" s="5">
        <v>45870.0</v>
      </c>
      <c r="B12" s="28">
        <v>8.0</v>
      </c>
      <c r="C12" s="42"/>
      <c r="D12" s="11"/>
      <c r="E12" s="35" t="s">
        <v>1021</v>
      </c>
      <c r="F12" s="29" t="s">
        <v>1022</v>
      </c>
      <c r="G12" s="30" t="s">
        <v>1023</v>
      </c>
      <c r="H12" s="31"/>
    </row>
    <row r="13" ht="22.5" customHeight="1">
      <c r="A13" s="5">
        <v>45873.0</v>
      </c>
      <c r="B13" s="28">
        <v>10.0</v>
      </c>
      <c r="C13" s="42"/>
      <c r="D13" s="11"/>
      <c r="E13" s="35" t="s">
        <v>1024</v>
      </c>
      <c r="F13" s="29" t="s">
        <v>1025</v>
      </c>
      <c r="G13" s="30" t="s">
        <v>1026</v>
      </c>
      <c r="H13" s="29" t="s">
        <v>847</v>
      </c>
    </row>
    <row r="14" ht="22.5" customHeight="1">
      <c r="A14" s="5">
        <v>45874.0</v>
      </c>
      <c r="B14" s="28">
        <v>10.0</v>
      </c>
      <c r="C14" s="42"/>
      <c r="D14" s="11"/>
      <c r="E14" s="35" t="s">
        <v>1027</v>
      </c>
      <c r="F14" s="29" t="s">
        <v>1025</v>
      </c>
      <c r="G14" s="30" t="s">
        <v>1028</v>
      </c>
      <c r="H14" s="29" t="s">
        <v>847</v>
      </c>
    </row>
    <row r="15" ht="22.5" customHeight="1">
      <c r="A15" s="5">
        <v>45875.0</v>
      </c>
      <c r="B15" s="28">
        <v>11.5</v>
      </c>
      <c r="C15" s="42"/>
      <c r="D15" s="11"/>
      <c r="E15" s="35" t="s">
        <v>1029</v>
      </c>
      <c r="F15" s="29" t="s">
        <v>1030</v>
      </c>
      <c r="G15" s="30" t="s">
        <v>1031</v>
      </c>
      <c r="H15" s="29" t="s">
        <v>795</v>
      </c>
    </row>
    <row r="16" ht="22.5" customHeight="1">
      <c r="A16" s="5">
        <v>45876.0</v>
      </c>
      <c r="B16" s="28">
        <v>11.0</v>
      </c>
      <c r="C16" s="73"/>
      <c r="D16" s="45"/>
      <c r="E16" s="35" t="s">
        <v>1032</v>
      </c>
      <c r="F16" s="49" t="s">
        <v>1033</v>
      </c>
      <c r="G16" s="30" t="s">
        <v>1034</v>
      </c>
      <c r="H16" s="29" t="s">
        <v>1035</v>
      </c>
    </row>
    <row r="17" ht="22.5" customHeight="1">
      <c r="A17" s="5">
        <v>45877.0</v>
      </c>
      <c r="B17" s="28">
        <v>8.0</v>
      </c>
      <c r="C17" s="73"/>
      <c r="D17" s="45"/>
      <c r="E17" s="49" t="s">
        <v>1036</v>
      </c>
      <c r="F17" s="49" t="s">
        <v>1037</v>
      </c>
      <c r="G17" s="74" t="s">
        <v>1038</v>
      </c>
      <c r="H17" s="36"/>
    </row>
    <row r="18" ht="22.5" customHeight="1">
      <c r="A18" s="5">
        <v>45880.0</v>
      </c>
      <c r="B18" s="28">
        <v>10.5</v>
      </c>
      <c r="C18" s="33"/>
      <c r="D18" s="45"/>
      <c r="E18" s="49" t="s">
        <v>1039</v>
      </c>
      <c r="F18" s="49" t="s">
        <v>1040</v>
      </c>
      <c r="G18" s="74" t="s">
        <v>1041</v>
      </c>
      <c r="H18" s="29" t="s">
        <v>802</v>
      </c>
    </row>
    <row r="19" ht="22.5" customHeight="1">
      <c r="A19" s="5">
        <v>45881.0</v>
      </c>
      <c r="B19" s="28">
        <v>11.0</v>
      </c>
      <c r="C19" s="33"/>
      <c r="D19" s="45"/>
      <c r="E19" s="49" t="s">
        <v>1042</v>
      </c>
      <c r="F19" s="49" t="s">
        <v>1043</v>
      </c>
      <c r="G19" s="74" t="s">
        <v>1044</v>
      </c>
      <c r="H19" s="37" t="s">
        <v>1045</v>
      </c>
    </row>
    <row r="20" ht="22.5" customHeight="1">
      <c r="A20" s="5">
        <v>45882.0</v>
      </c>
      <c r="B20" s="28">
        <v>11.0</v>
      </c>
      <c r="C20" s="33"/>
      <c r="D20" s="45"/>
      <c r="E20" s="49" t="s">
        <v>1046</v>
      </c>
      <c r="F20" s="49" t="s">
        <v>1047</v>
      </c>
      <c r="G20" s="74" t="s">
        <v>1048</v>
      </c>
      <c r="H20" s="37" t="s">
        <v>1049</v>
      </c>
    </row>
    <row r="21" ht="22.5" customHeight="1">
      <c r="A21" s="5">
        <v>45883.0</v>
      </c>
      <c r="B21" s="28">
        <v>11.0</v>
      </c>
      <c r="C21" s="33"/>
      <c r="D21" s="45"/>
      <c r="E21" s="49" t="s">
        <v>1050</v>
      </c>
      <c r="F21" s="49" t="s">
        <v>1051</v>
      </c>
      <c r="G21" s="74" t="s">
        <v>1052</v>
      </c>
      <c r="H21" s="29" t="s">
        <v>795</v>
      </c>
    </row>
    <row r="22" ht="22.5" customHeight="1">
      <c r="A22" s="5">
        <v>45884.0</v>
      </c>
      <c r="B22" s="28">
        <v>8.0</v>
      </c>
      <c r="C22" s="192"/>
      <c r="D22" s="193"/>
      <c r="E22" s="49" t="s">
        <v>1053</v>
      </c>
      <c r="F22" s="49" t="s">
        <v>1054</v>
      </c>
      <c r="G22" s="74" t="s">
        <v>1055</v>
      </c>
      <c r="H22" s="191"/>
    </row>
    <row r="23" ht="22.5" customHeight="1">
      <c r="A23" s="5">
        <v>45887.0</v>
      </c>
      <c r="B23" s="28">
        <v>8.0</v>
      </c>
      <c r="C23" s="33"/>
      <c r="D23" s="22"/>
      <c r="E23" s="55" t="s">
        <v>1056</v>
      </c>
      <c r="F23" s="55" t="s">
        <v>1057</v>
      </c>
      <c r="G23" s="60" t="s">
        <v>1058</v>
      </c>
      <c r="H23" s="53"/>
    </row>
    <row r="24" ht="22.5" customHeight="1">
      <c r="A24" s="5">
        <v>45888.0</v>
      </c>
      <c r="B24" s="28">
        <v>11.0</v>
      </c>
      <c r="C24" s="33"/>
      <c r="D24" s="22"/>
      <c r="E24" s="55" t="s">
        <v>1059</v>
      </c>
      <c r="F24" s="55" t="s">
        <v>1060</v>
      </c>
      <c r="G24" s="60" t="s">
        <v>1061</v>
      </c>
      <c r="H24" s="29" t="s">
        <v>1035</v>
      </c>
    </row>
    <row r="25" ht="22.5" customHeight="1">
      <c r="A25" s="5">
        <v>45889.0</v>
      </c>
      <c r="B25" s="28">
        <v>11.0</v>
      </c>
      <c r="C25" s="33"/>
      <c r="D25" s="22"/>
      <c r="E25" s="55" t="s">
        <v>1062</v>
      </c>
      <c r="F25" s="55" t="s">
        <v>1057</v>
      </c>
      <c r="G25" s="60" t="s">
        <v>1063</v>
      </c>
      <c r="H25" s="29" t="s">
        <v>1035</v>
      </c>
    </row>
    <row r="26" ht="22.5" customHeight="1">
      <c r="A26" s="5">
        <v>45890.0</v>
      </c>
      <c r="B26" s="28">
        <v>11.0</v>
      </c>
      <c r="C26" s="33"/>
      <c r="D26" s="22"/>
      <c r="E26" s="55" t="s">
        <v>1064</v>
      </c>
      <c r="F26" s="55" t="s">
        <v>1057</v>
      </c>
      <c r="G26" s="60" t="s">
        <v>1065</v>
      </c>
      <c r="H26" s="29" t="s">
        <v>1035</v>
      </c>
    </row>
    <row r="27" ht="22.5" customHeight="1">
      <c r="A27" s="5">
        <v>45891.0</v>
      </c>
      <c r="B27" s="28">
        <v>8.0</v>
      </c>
      <c r="C27" s="33"/>
      <c r="D27" s="22"/>
      <c r="E27" s="55" t="s">
        <v>1066</v>
      </c>
      <c r="F27" s="55" t="s">
        <v>1067</v>
      </c>
      <c r="G27" s="60" t="s">
        <v>1068</v>
      </c>
      <c r="H27" s="29"/>
    </row>
    <row r="28" ht="22.5" customHeight="1">
      <c r="A28" s="5">
        <v>45894.0</v>
      </c>
      <c r="B28" s="28">
        <v>11.0</v>
      </c>
      <c r="C28" s="33"/>
      <c r="D28" s="22"/>
      <c r="E28" s="55" t="s">
        <v>1069</v>
      </c>
      <c r="F28" s="55" t="s">
        <v>1067</v>
      </c>
      <c r="G28" s="60" t="s">
        <v>1070</v>
      </c>
      <c r="H28" s="29" t="s">
        <v>1035</v>
      </c>
    </row>
    <row r="29" ht="22.5" customHeight="1">
      <c r="A29" s="5">
        <v>45895.0</v>
      </c>
      <c r="B29" s="28">
        <v>11.0</v>
      </c>
      <c r="C29" s="33"/>
      <c r="D29" s="22"/>
      <c r="E29" s="55" t="s">
        <v>1071</v>
      </c>
      <c r="F29" s="55" t="s">
        <v>1072</v>
      </c>
      <c r="G29" s="60" t="s">
        <v>1073</v>
      </c>
      <c r="H29" s="29" t="s">
        <v>1035</v>
      </c>
    </row>
    <row r="30" ht="22.5" customHeight="1">
      <c r="A30" s="5">
        <v>45896.0</v>
      </c>
      <c r="B30" s="28">
        <v>11.0</v>
      </c>
      <c r="C30" s="33"/>
      <c r="D30" s="22"/>
      <c r="E30" s="55" t="s">
        <v>1074</v>
      </c>
      <c r="F30" s="55" t="s">
        <v>1075</v>
      </c>
      <c r="G30" s="60" t="s">
        <v>1076</v>
      </c>
      <c r="H30" s="29" t="s">
        <v>1035</v>
      </c>
    </row>
    <row r="31" ht="22.5" customHeight="1">
      <c r="A31" s="5">
        <v>45897.0</v>
      </c>
      <c r="B31" s="28">
        <v>8.0</v>
      </c>
      <c r="C31" s="33"/>
      <c r="D31" s="22"/>
      <c r="E31" s="55" t="s">
        <v>1077</v>
      </c>
      <c r="F31" s="51"/>
      <c r="G31" s="51"/>
      <c r="H31" s="53"/>
    </row>
    <row r="32" ht="22.5" customHeight="1">
      <c r="A32" s="5">
        <v>45898.0</v>
      </c>
      <c r="B32" s="28">
        <v>8.0</v>
      </c>
      <c r="C32" s="33"/>
      <c r="D32" s="22"/>
      <c r="E32" s="55" t="s">
        <v>1077</v>
      </c>
      <c r="F32" s="51"/>
      <c r="G32" s="51"/>
      <c r="H32" s="53"/>
    </row>
    <row r="33" ht="22.5" customHeight="1">
      <c r="A33" s="5">
        <v>45901.0</v>
      </c>
      <c r="B33" s="28">
        <v>11.0</v>
      </c>
      <c r="C33" s="33"/>
      <c r="D33" s="22"/>
      <c r="E33" s="55" t="s">
        <v>1078</v>
      </c>
      <c r="F33" s="55" t="s">
        <v>1079</v>
      </c>
      <c r="G33" s="60" t="s">
        <v>1080</v>
      </c>
      <c r="H33" s="29" t="s">
        <v>1035</v>
      </c>
    </row>
    <row r="34" ht="22.5" customHeight="1">
      <c r="A34" s="5">
        <v>45902.0</v>
      </c>
      <c r="B34" s="28">
        <v>11.5</v>
      </c>
      <c r="C34" s="22"/>
      <c r="D34" s="22"/>
      <c r="E34" s="55" t="s">
        <v>1081</v>
      </c>
      <c r="F34" s="55" t="s">
        <v>1082</v>
      </c>
      <c r="G34" s="60" t="s">
        <v>1083</v>
      </c>
      <c r="H34" s="29" t="s">
        <v>795</v>
      </c>
    </row>
    <row r="35" ht="22.5" customHeight="1">
      <c r="A35" s="5">
        <v>45903.0</v>
      </c>
      <c r="B35" s="28">
        <v>13.0</v>
      </c>
      <c r="C35" s="22"/>
      <c r="D35" s="22"/>
      <c r="E35" s="55" t="s">
        <v>1084</v>
      </c>
      <c r="F35" s="55" t="s">
        <v>1079</v>
      </c>
      <c r="G35" s="60" t="s">
        <v>1085</v>
      </c>
      <c r="H35" s="29" t="s">
        <v>863</v>
      </c>
    </row>
    <row r="36" ht="22.5" customHeight="1">
      <c r="A36" s="5">
        <v>45904.0</v>
      </c>
      <c r="B36" s="28">
        <v>11.0</v>
      </c>
      <c r="C36" s="22"/>
      <c r="D36" s="22"/>
      <c r="E36" s="55" t="s">
        <v>1086</v>
      </c>
      <c r="F36" s="55" t="s">
        <v>1087</v>
      </c>
      <c r="G36" s="60" t="s">
        <v>1088</v>
      </c>
      <c r="H36" s="29" t="s">
        <v>797</v>
      </c>
    </row>
    <row r="37" ht="22.5" customHeight="1">
      <c r="A37" s="131">
        <v>45905.0</v>
      </c>
      <c r="B37" s="28"/>
      <c r="C37" s="22"/>
      <c r="D37" s="22"/>
      <c r="E37" s="194" t="s">
        <v>1089</v>
      </c>
      <c r="F37" s="51"/>
      <c r="G37" s="51"/>
      <c r="H37" s="53"/>
    </row>
    <row r="38" ht="22.5" customHeight="1">
      <c r="A38" s="5">
        <v>45908.0</v>
      </c>
      <c r="B38" s="28">
        <v>13.0</v>
      </c>
      <c r="C38" s="22"/>
      <c r="D38" s="22"/>
      <c r="E38" s="55" t="s">
        <v>1090</v>
      </c>
      <c r="F38" s="55" t="s">
        <v>1082</v>
      </c>
      <c r="G38" s="60" t="s">
        <v>1091</v>
      </c>
      <c r="H38" s="29" t="s">
        <v>863</v>
      </c>
    </row>
    <row r="39" ht="22.5" customHeight="1">
      <c r="A39" s="5">
        <v>45909.0</v>
      </c>
      <c r="B39" s="28">
        <v>12.5</v>
      </c>
      <c r="C39" s="22"/>
      <c r="D39" s="22"/>
      <c r="E39" s="55" t="s">
        <v>1092</v>
      </c>
      <c r="F39" s="55" t="s">
        <v>1087</v>
      </c>
      <c r="G39" s="60" t="s">
        <v>1093</v>
      </c>
      <c r="H39" s="29" t="s">
        <v>1094</v>
      </c>
    </row>
    <row r="40" ht="22.5" customHeight="1">
      <c r="A40" s="5">
        <v>45910.0</v>
      </c>
      <c r="B40" s="28">
        <v>12.0</v>
      </c>
      <c r="C40" s="22"/>
      <c r="D40" s="22"/>
      <c r="E40" s="55" t="s">
        <v>1095</v>
      </c>
      <c r="F40" s="55" t="s">
        <v>1096</v>
      </c>
      <c r="G40" s="60" t="s">
        <v>1097</v>
      </c>
      <c r="H40" s="29" t="s">
        <v>836</v>
      </c>
    </row>
    <row r="41" ht="22.5" customHeight="1">
      <c r="A41" s="5">
        <v>45911.0</v>
      </c>
      <c r="B41" s="28" t="s">
        <v>942</v>
      </c>
      <c r="C41" s="22"/>
      <c r="D41" s="22"/>
      <c r="E41" s="55" t="s">
        <v>1098</v>
      </c>
      <c r="F41" s="55" t="s">
        <v>1082</v>
      </c>
      <c r="G41" s="60" t="s">
        <v>1099</v>
      </c>
      <c r="H41" s="29" t="s">
        <v>1100</v>
      </c>
    </row>
    <row r="42" ht="22.5" customHeight="1">
      <c r="A42" s="5">
        <v>45912.0</v>
      </c>
      <c r="B42" s="28">
        <v>11.0</v>
      </c>
      <c r="C42" s="22"/>
      <c r="D42" s="22"/>
      <c r="E42" s="55" t="s">
        <v>1101</v>
      </c>
      <c r="F42" s="55" t="s">
        <v>1102</v>
      </c>
      <c r="G42" s="60" t="s">
        <v>1103</v>
      </c>
      <c r="H42" s="29" t="s">
        <v>1104</v>
      </c>
    </row>
    <row r="43" ht="22.5" customHeight="1">
      <c r="A43" s="131">
        <v>45915.0</v>
      </c>
      <c r="B43" s="132"/>
      <c r="C43" s="22"/>
      <c r="D43" s="22"/>
      <c r="E43" s="190" t="s">
        <v>86</v>
      </c>
      <c r="F43" s="37"/>
      <c r="G43" s="37"/>
      <c r="H43" s="191" t="s">
        <v>939</v>
      </c>
    </row>
    <row r="44" ht="22.5" customHeight="1">
      <c r="A44" s="131">
        <v>45916.0</v>
      </c>
      <c r="B44" s="132"/>
      <c r="C44" s="22"/>
      <c r="D44" s="22"/>
      <c r="E44" s="190" t="s">
        <v>86</v>
      </c>
      <c r="F44" s="37"/>
      <c r="G44" s="37"/>
      <c r="H44" s="191" t="s">
        <v>939</v>
      </c>
    </row>
    <row r="45" ht="22.5" customHeight="1">
      <c r="A45" s="5">
        <v>45917.0</v>
      </c>
      <c r="B45" s="28">
        <v>12.0</v>
      </c>
      <c r="C45" s="22"/>
      <c r="D45" s="22"/>
      <c r="E45" s="55" t="s">
        <v>1105</v>
      </c>
      <c r="F45" s="37" t="s">
        <v>1106</v>
      </c>
      <c r="G45" s="60" t="s">
        <v>1107</v>
      </c>
      <c r="H45" s="29" t="s">
        <v>836</v>
      </c>
    </row>
    <row r="46" ht="22.5" customHeight="1">
      <c r="A46" s="5">
        <v>45918.0</v>
      </c>
      <c r="B46" s="28">
        <v>11.5</v>
      </c>
      <c r="C46" s="22"/>
      <c r="D46" s="22"/>
      <c r="E46" s="55" t="s">
        <v>1108</v>
      </c>
      <c r="F46" s="37" t="s">
        <v>1109</v>
      </c>
      <c r="G46" s="40" t="s">
        <v>1110</v>
      </c>
      <c r="H46" s="29" t="s">
        <v>795</v>
      </c>
    </row>
    <row r="47" ht="22.5" customHeight="1">
      <c r="A47" s="5">
        <v>45919.0</v>
      </c>
      <c r="B47" s="28">
        <v>8.0</v>
      </c>
      <c r="C47" s="22"/>
      <c r="D47" s="22"/>
      <c r="E47" s="55" t="s">
        <v>1111</v>
      </c>
      <c r="F47" s="55" t="s">
        <v>1102</v>
      </c>
      <c r="G47" s="40" t="s">
        <v>1112</v>
      </c>
      <c r="H47" s="79" t="s">
        <v>1113</v>
      </c>
    </row>
    <row r="48" ht="22.5" customHeight="1">
      <c r="A48" s="5">
        <f t="shared" ref="A48:A167" si="1">A43+7</f>
        <v>45922</v>
      </c>
      <c r="B48" s="28">
        <v>8.0</v>
      </c>
      <c r="C48" s="22"/>
      <c r="D48" s="22"/>
      <c r="E48" s="55" t="s">
        <v>1111</v>
      </c>
      <c r="F48" s="55" t="s">
        <v>1102</v>
      </c>
      <c r="G48" s="40" t="s">
        <v>1114</v>
      </c>
      <c r="H48" s="53"/>
    </row>
    <row r="49" ht="22.5" customHeight="1">
      <c r="A49" s="5">
        <f t="shared" si="1"/>
        <v>45923</v>
      </c>
      <c r="B49" s="28">
        <v>8.0</v>
      </c>
      <c r="C49" s="22"/>
      <c r="D49" s="22"/>
      <c r="E49" s="55" t="s">
        <v>1111</v>
      </c>
      <c r="F49" s="55" t="s">
        <v>1067</v>
      </c>
      <c r="G49" s="40" t="s">
        <v>1115</v>
      </c>
      <c r="H49" s="53"/>
    </row>
    <row r="50" ht="22.5" customHeight="1">
      <c r="A50" s="5">
        <f t="shared" si="1"/>
        <v>45924</v>
      </c>
      <c r="B50" s="28">
        <v>8.0</v>
      </c>
      <c r="C50" s="22"/>
      <c r="D50" s="22"/>
      <c r="E50" s="55" t="s">
        <v>1116</v>
      </c>
      <c r="F50" s="37" t="s">
        <v>1117</v>
      </c>
      <c r="G50" s="40" t="s">
        <v>1118</v>
      </c>
      <c r="H50" s="53"/>
    </row>
    <row r="51" ht="22.5" customHeight="1">
      <c r="A51" s="5">
        <f t="shared" si="1"/>
        <v>45925</v>
      </c>
      <c r="B51" s="28">
        <v>8.0</v>
      </c>
      <c r="C51" s="22"/>
      <c r="D51" s="22"/>
      <c r="E51" s="55" t="s">
        <v>1119</v>
      </c>
      <c r="F51" s="37" t="s">
        <v>1120</v>
      </c>
      <c r="G51" s="40" t="s">
        <v>1121</v>
      </c>
      <c r="H51" s="53"/>
    </row>
    <row r="52" ht="22.5" customHeight="1">
      <c r="A52" s="5">
        <f t="shared" si="1"/>
        <v>45926</v>
      </c>
      <c r="B52" s="28">
        <v>8.0</v>
      </c>
      <c r="C52" s="22"/>
      <c r="D52" s="22"/>
      <c r="E52" s="55" t="s">
        <v>1122</v>
      </c>
      <c r="F52" s="37" t="s">
        <v>1123</v>
      </c>
      <c r="G52" s="40" t="s">
        <v>1124</v>
      </c>
      <c r="H52" s="53"/>
    </row>
    <row r="53" ht="22.5" customHeight="1">
      <c r="A53" s="5">
        <f t="shared" si="1"/>
        <v>45929</v>
      </c>
      <c r="B53" s="28">
        <v>12.0</v>
      </c>
      <c r="C53" s="22"/>
      <c r="D53" s="22"/>
      <c r="E53" s="55" t="s">
        <v>1125</v>
      </c>
      <c r="F53" s="37" t="s">
        <v>1126</v>
      </c>
      <c r="G53" s="40" t="s">
        <v>1127</v>
      </c>
      <c r="H53" s="29" t="s">
        <v>836</v>
      </c>
    </row>
    <row r="54" ht="22.5" customHeight="1">
      <c r="A54" s="5">
        <f t="shared" si="1"/>
        <v>45930</v>
      </c>
      <c r="B54" s="28">
        <v>13.0</v>
      </c>
      <c r="C54" s="22"/>
      <c r="D54" s="22"/>
      <c r="E54" s="55" t="s">
        <v>1128</v>
      </c>
      <c r="F54" s="37" t="s">
        <v>1129</v>
      </c>
      <c r="G54" s="40" t="s">
        <v>1130</v>
      </c>
      <c r="H54" s="29" t="s">
        <v>863</v>
      </c>
    </row>
    <row r="55" ht="22.5" customHeight="1">
      <c r="A55" s="5">
        <f t="shared" si="1"/>
        <v>45931</v>
      </c>
      <c r="B55" s="28">
        <v>13.0</v>
      </c>
      <c r="C55" s="22"/>
      <c r="D55" s="22"/>
      <c r="E55" s="55" t="s">
        <v>1131</v>
      </c>
      <c r="F55" s="37" t="s">
        <v>1132</v>
      </c>
      <c r="G55" s="40" t="s">
        <v>1133</v>
      </c>
      <c r="H55" s="29" t="s">
        <v>863</v>
      </c>
    </row>
    <row r="56" ht="22.5" customHeight="1">
      <c r="A56" s="5">
        <f t="shared" si="1"/>
        <v>45932</v>
      </c>
      <c r="B56" s="28">
        <v>13.0</v>
      </c>
      <c r="C56" s="22"/>
      <c r="D56" s="22"/>
      <c r="E56" s="55" t="s">
        <v>1134</v>
      </c>
      <c r="F56" s="37" t="s">
        <v>1135</v>
      </c>
      <c r="G56" s="40" t="s">
        <v>1136</v>
      </c>
      <c r="H56" s="29" t="s">
        <v>863</v>
      </c>
    </row>
    <row r="57" ht="22.5" customHeight="1">
      <c r="A57" s="5">
        <f t="shared" si="1"/>
        <v>45933</v>
      </c>
      <c r="B57" s="28">
        <v>13.0</v>
      </c>
      <c r="C57" s="22"/>
      <c r="D57" s="22"/>
      <c r="E57" s="55" t="s">
        <v>1137</v>
      </c>
      <c r="F57" s="37" t="s">
        <v>1138</v>
      </c>
      <c r="G57" s="40" t="s">
        <v>1139</v>
      </c>
      <c r="H57" s="29" t="s">
        <v>1140</v>
      </c>
    </row>
    <row r="58" ht="22.5" customHeight="1">
      <c r="A58" s="5">
        <f t="shared" si="1"/>
        <v>45936</v>
      </c>
      <c r="B58" s="28">
        <v>11.0</v>
      </c>
      <c r="C58" s="22"/>
      <c r="D58" s="22"/>
      <c r="E58" s="55" t="s">
        <v>1141</v>
      </c>
      <c r="F58" s="37" t="s">
        <v>1102</v>
      </c>
      <c r="G58" s="40" t="s">
        <v>1142</v>
      </c>
      <c r="H58" s="29" t="s">
        <v>1143</v>
      </c>
    </row>
    <row r="59" ht="22.5" customHeight="1">
      <c r="A59" s="5">
        <f t="shared" si="1"/>
        <v>45937</v>
      </c>
      <c r="B59" s="28">
        <v>8.0</v>
      </c>
      <c r="C59" s="22"/>
      <c r="D59" s="22"/>
      <c r="E59" s="55" t="s">
        <v>1141</v>
      </c>
      <c r="F59" s="37" t="s">
        <v>1102</v>
      </c>
      <c r="G59" s="40" t="s">
        <v>1144</v>
      </c>
      <c r="H59" s="29"/>
    </row>
    <row r="60" ht="22.5" customHeight="1">
      <c r="A60" s="5">
        <f t="shared" si="1"/>
        <v>45938</v>
      </c>
      <c r="B60" s="28">
        <v>10.0</v>
      </c>
      <c r="C60" s="22"/>
      <c r="D60" s="22"/>
      <c r="E60" s="55" t="s">
        <v>1141</v>
      </c>
      <c r="F60" s="37" t="s">
        <v>1067</v>
      </c>
      <c r="G60" s="40" t="s">
        <v>1145</v>
      </c>
      <c r="H60" s="29" t="s">
        <v>1146</v>
      </c>
    </row>
    <row r="61" ht="22.5" customHeight="1">
      <c r="A61" s="5">
        <f t="shared" si="1"/>
        <v>45939</v>
      </c>
      <c r="B61" s="28">
        <v>8.0</v>
      </c>
      <c r="C61" s="22"/>
      <c r="D61" s="22"/>
      <c r="E61" s="55" t="s">
        <v>1147</v>
      </c>
      <c r="F61" s="37" t="s">
        <v>1067</v>
      </c>
      <c r="G61" s="40" t="s">
        <v>1148</v>
      </c>
      <c r="H61" s="53"/>
    </row>
    <row r="62" ht="22.5" customHeight="1">
      <c r="A62" s="5">
        <f t="shared" si="1"/>
        <v>45940</v>
      </c>
      <c r="B62" s="28">
        <v>8.0</v>
      </c>
      <c r="C62" s="22"/>
      <c r="D62" s="22"/>
      <c r="E62" s="55" t="s">
        <v>1149</v>
      </c>
      <c r="F62" s="37" t="s">
        <v>1057</v>
      </c>
      <c r="G62" s="40" t="s">
        <v>1150</v>
      </c>
      <c r="H62" s="53"/>
    </row>
    <row r="63" ht="22.5" customHeight="1">
      <c r="A63" s="5">
        <f t="shared" si="1"/>
        <v>45943</v>
      </c>
      <c r="B63" s="28">
        <v>8.0</v>
      </c>
      <c r="C63" s="22"/>
      <c r="D63" s="22"/>
      <c r="E63" s="55" t="s">
        <v>1151</v>
      </c>
      <c r="F63" s="37" t="s">
        <v>1057</v>
      </c>
      <c r="G63" s="40" t="s">
        <v>1152</v>
      </c>
      <c r="H63" s="53"/>
    </row>
    <row r="64" ht="22.5" customHeight="1">
      <c r="A64" s="5">
        <f t="shared" si="1"/>
        <v>45944</v>
      </c>
      <c r="B64" s="28">
        <v>12.0</v>
      </c>
      <c r="C64" s="22"/>
      <c r="D64" s="22"/>
      <c r="E64" s="55" t="s">
        <v>1153</v>
      </c>
      <c r="F64" s="37" t="s">
        <v>1154</v>
      </c>
      <c r="G64" s="40" t="s">
        <v>1155</v>
      </c>
      <c r="H64" s="29" t="s">
        <v>836</v>
      </c>
    </row>
    <row r="65" ht="22.5" customHeight="1">
      <c r="A65" s="5">
        <f t="shared" si="1"/>
        <v>45945</v>
      </c>
      <c r="B65" s="28">
        <v>8.0</v>
      </c>
      <c r="C65" s="22"/>
      <c r="D65" s="22"/>
      <c r="E65" s="55" t="s">
        <v>1156</v>
      </c>
      <c r="F65" s="37" t="s">
        <v>1157</v>
      </c>
      <c r="G65" s="40" t="s">
        <v>1158</v>
      </c>
      <c r="H65" s="53"/>
    </row>
    <row r="66" ht="22.5" customHeight="1">
      <c r="A66" s="5">
        <f t="shared" si="1"/>
        <v>45946</v>
      </c>
      <c r="B66" s="28">
        <v>12.0</v>
      </c>
      <c r="C66" s="22"/>
      <c r="D66" s="22"/>
      <c r="E66" s="55" t="s">
        <v>1159</v>
      </c>
      <c r="F66" s="37" t="s">
        <v>1043</v>
      </c>
      <c r="G66" s="40" t="s">
        <v>1160</v>
      </c>
      <c r="H66" s="29" t="s">
        <v>836</v>
      </c>
    </row>
    <row r="67" ht="22.5" customHeight="1">
      <c r="A67" s="5">
        <f t="shared" si="1"/>
        <v>45947</v>
      </c>
      <c r="B67" s="28">
        <v>10.5</v>
      </c>
      <c r="C67" s="22"/>
      <c r="D67" s="22"/>
      <c r="E67" s="55" t="s">
        <v>1161</v>
      </c>
      <c r="F67" s="37" t="s">
        <v>1162</v>
      </c>
      <c r="G67" s="40" t="s">
        <v>1163</v>
      </c>
      <c r="H67" s="29" t="s">
        <v>802</v>
      </c>
    </row>
    <row r="68" ht="22.5" customHeight="1">
      <c r="A68" s="5">
        <f t="shared" si="1"/>
        <v>45950</v>
      </c>
      <c r="B68" s="28">
        <v>8.0</v>
      </c>
      <c r="C68" s="22"/>
      <c r="D68" s="22"/>
      <c r="E68" s="55" t="s">
        <v>1164</v>
      </c>
      <c r="F68" s="37" t="s">
        <v>1165</v>
      </c>
      <c r="G68" s="40" t="s">
        <v>1166</v>
      </c>
      <c r="H68" s="53"/>
    </row>
    <row r="69" ht="22.5" customHeight="1">
      <c r="A69" s="5">
        <f t="shared" si="1"/>
        <v>45951</v>
      </c>
      <c r="B69" s="28">
        <v>8.0</v>
      </c>
      <c r="C69" s="22"/>
      <c r="D69" s="22"/>
      <c r="E69" s="55" t="s">
        <v>1164</v>
      </c>
      <c r="F69" s="37" t="s">
        <v>1167</v>
      </c>
      <c r="G69" s="40" t="s">
        <v>1168</v>
      </c>
      <c r="H69" s="53"/>
    </row>
    <row r="70" ht="22.5" customHeight="1">
      <c r="A70" s="5">
        <f t="shared" si="1"/>
        <v>45952</v>
      </c>
      <c r="B70" s="28">
        <v>8.0</v>
      </c>
      <c r="C70" s="22"/>
      <c r="D70" s="22"/>
      <c r="E70" s="55" t="s">
        <v>1169</v>
      </c>
      <c r="F70" s="37" t="s">
        <v>1170</v>
      </c>
      <c r="G70" s="40" t="s">
        <v>1171</v>
      </c>
      <c r="H70" s="53"/>
    </row>
    <row r="71" ht="22.5" customHeight="1">
      <c r="A71" s="5">
        <f t="shared" si="1"/>
        <v>45953</v>
      </c>
      <c r="B71" s="28">
        <v>12.0</v>
      </c>
      <c r="C71" s="22"/>
      <c r="D71" s="22"/>
      <c r="E71" s="55" t="s">
        <v>1169</v>
      </c>
      <c r="F71" s="37" t="s">
        <v>1170</v>
      </c>
      <c r="G71" s="40" t="s">
        <v>1172</v>
      </c>
      <c r="H71" s="29" t="s">
        <v>836</v>
      </c>
    </row>
    <row r="72" ht="22.5" customHeight="1">
      <c r="A72" s="5">
        <f t="shared" si="1"/>
        <v>45954</v>
      </c>
      <c r="B72" s="28">
        <v>8.0</v>
      </c>
      <c r="C72" s="22"/>
      <c r="D72" s="22"/>
      <c r="E72" s="55" t="s">
        <v>1173</v>
      </c>
      <c r="F72" s="37" t="s">
        <v>1174</v>
      </c>
      <c r="G72" s="40" t="s">
        <v>1175</v>
      </c>
      <c r="H72" s="53"/>
    </row>
    <row r="73" ht="22.5" customHeight="1">
      <c r="A73" s="5">
        <f t="shared" si="1"/>
        <v>45957</v>
      </c>
      <c r="B73" s="28">
        <v>12.0</v>
      </c>
      <c r="C73" s="22"/>
      <c r="D73" s="22"/>
      <c r="E73" s="55" t="s">
        <v>1176</v>
      </c>
      <c r="F73" s="37" t="s">
        <v>1162</v>
      </c>
      <c r="G73" s="40" t="s">
        <v>1177</v>
      </c>
      <c r="H73" s="29" t="s">
        <v>836</v>
      </c>
    </row>
    <row r="74" ht="22.5" customHeight="1">
      <c r="A74" s="5">
        <f t="shared" si="1"/>
        <v>45958</v>
      </c>
      <c r="B74" s="28">
        <v>8.0</v>
      </c>
      <c r="C74" s="22"/>
      <c r="D74" s="22"/>
      <c r="E74" s="55" t="s">
        <v>1178</v>
      </c>
      <c r="F74" s="37" t="s">
        <v>1179</v>
      </c>
      <c r="G74" s="40" t="s">
        <v>1180</v>
      </c>
      <c r="H74" s="29" t="s">
        <v>795</v>
      </c>
    </row>
    <row r="75" ht="22.5" customHeight="1">
      <c r="A75" s="5">
        <f t="shared" si="1"/>
        <v>45959</v>
      </c>
      <c r="B75" s="28">
        <v>8.0</v>
      </c>
      <c r="C75" s="22"/>
      <c r="D75" s="22"/>
      <c r="E75" s="55" t="s">
        <v>1181</v>
      </c>
      <c r="F75" s="37" t="s">
        <v>1179</v>
      </c>
      <c r="G75" s="40" t="s">
        <v>1182</v>
      </c>
      <c r="H75" s="29" t="s">
        <v>836</v>
      </c>
    </row>
    <row r="76" ht="22.5" customHeight="1">
      <c r="A76" s="5">
        <f t="shared" si="1"/>
        <v>45960</v>
      </c>
      <c r="B76" s="28">
        <v>8.0</v>
      </c>
      <c r="C76" s="22"/>
      <c r="D76" s="22"/>
      <c r="E76" s="55" t="s">
        <v>1183</v>
      </c>
      <c r="F76" s="37" t="s">
        <v>1184</v>
      </c>
      <c r="G76" s="40" t="s">
        <v>1185</v>
      </c>
      <c r="H76" s="29" t="s">
        <v>797</v>
      </c>
    </row>
    <row r="77" ht="22.5" customHeight="1">
      <c r="A77" s="5">
        <f t="shared" si="1"/>
        <v>45961</v>
      </c>
      <c r="B77" s="28">
        <v>8.0</v>
      </c>
      <c r="C77" s="22"/>
      <c r="D77" s="22"/>
      <c r="E77" s="55" t="s">
        <v>1183</v>
      </c>
      <c r="F77" s="37" t="s">
        <v>1184</v>
      </c>
      <c r="G77" s="40" t="s">
        <v>1186</v>
      </c>
      <c r="H77" s="29" t="s">
        <v>847</v>
      </c>
    </row>
    <row r="78" ht="22.5" customHeight="1">
      <c r="A78" s="5">
        <f t="shared" si="1"/>
        <v>45964</v>
      </c>
      <c r="B78" s="28">
        <v>8.0</v>
      </c>
      <c r="C78" s="22"/>
      <c r="D78" s="22"/>
      <c r="E78" s="55" t="s">
        <v>1187</v>
      </c>
      <c r="F78" s="37" t="s">
        <v>1188</v>
      </c>
      <c r="G78" s="40" t="s">
        <v>1189</v>
      </c>
      <c r="H78" s="53"/>
    </row>
    <row r="79" ht="22.5" customHeight="1">
      <c r="A79" s="5">
        <f t="shared" si="1"/>
        <v>45965</v>
      </c>
      <c r="B79" s="28">
        <v>8.0</v>
      </c>
      <c r="C79" s="22"/>
      <c r="D79" s="22"/>
      <c r="E79" s="55" t="s">
        <v>1187</v>
      </c>
      <c r="F79" s="37" t="s">
        <v>1190</v>
      </c>
      <c r="G79" s="40" t="s">
        <v>1191</v>
      </c>
      <c r="H79" s="53"/>
    </row>
    <row r="80" ht="22.5" customHeight="1">
      <c r="A80" s="5">
        <f t="shared" si="1"/>
        <v>45966</v>
      </c>
      <c r="B80" s="28">
        <v>8.0</v>
      </c>
      <c r="C80" s="22"/>
      <c r="D80" s="22"/>
      <c r="E80" s="55" t="s">
        <v>1192</v>
      </c>
      <c r="F80" s="37" t="s">
        <v>1193</v>
      </c>
      <c r="G80" s="40" t="s">
        <v>1194</v>
      </c>
      <c r="H80" s="53"/>
    </row>
    <row r="81" ht="22.5" customHeight="1">
      <c r="A81" s="5">
        <f t="shared" si="1"/>
        <v>45967</v>
      </c>
      <c r="B81" s="28">
        <v>8.0</v>
      </c>
      <c r="C81" s="22"/>
      <c r="D81" s="22"/>
      <c r="E81" s="55" t="s">
        <v>1195</v>
      </c>
      <c r="F81" s="37" t="s">
        <v>1196</v>
      </c>
      <c r="G81" s="40" t="s">
        <v>1197</v>
      </c>
      <c r="H81" s="53"/>
    </row>
    <row r="82" ht="22.5" customHeight="1">
      <c r="A82" s="5">
        <f t="shared" si="1"/>
        <v>45968</v>
      </c>
      <c r="B82" s="28">
        <v>8.0</v>
      </c>
      <c r="C82" s="22"/>
      <c r="D82" s="22"/>
      <c r="E82" s="55" t="s">
        <v>1198</v>
      </c>
      <c r="F82" s="37" t="s">
        <v>1199</v>
      </c>
      <c r="G82" s="40" t="s">
        <v>1200</v>
      </c>
      <c r="H82" s="53"/>
    </row>
    <row r="83" ht="22.5" customHeight="1">
      <c r="A83" s="5">
        <f t="shared" si="1"/>
        <v>45971</v>
      </c>
      <c r="B83" s="28">
        <v>8.0</v>
      </c>
      <c r="C83" s="22"/>
      <c r="D83" s="22"/>
      <c r="E83" s="55" t="s">
        <v>1201</v>
      </c>
      <c r="F83" s="37" t="s">
        <v>1054</v>
      </c>
      <c r="G83" s="40" t="s">
        <v>1202</v>
      </c>
      <c r="H83" s="53"/>
    </row>
    <row r="84" ht="22.5" customHeight="1">
      <c r="A84" s="5">
        <f t="shared" si="1"/>
        <v>45972</v>
      </c>
      <c r="B84" s="28">
        <v>8.0</v>
      </c>
      <c r="C84" s="22"/>
      <c r="D84" s="22"/>
      <c r="E84" s="55" t="s">
        <v>1203</v>
      </c>
      <c r="F84" s="37" t="s">
        <v>1087</v>
      </c>
      <c r="G84" s="40" t="s">
        <v>1204</v>
      </c>
      <c r="H84" s="53"/>
    </row>
    <row r="85" ht="22.5" customHeight="1">
      <c r="A85" s="5">
        <f t="shared" si="1"/>
        <v>45973</v>
      </c>
      <c r="B85" s="28">
        <v>8.0</v>
      </c>
      <c r="C85" s="22"/>
      <c r="D85" s="22"/>
      <c r="E85" s="55" t="s">
        <v>1205</v>
      </c>
      <c r="F85" s="37" t="s">
        <v>1206</v>
      </c>
      <c r="G85" s="40" t="s">
        <v>1207</v>
      </c>
      <c r="H85" s="53"/>
    </row>
    <row r="86" ht="22.5" customHeight="1">
      <c r="A86" s="5">
        <f t="shared" si="1"/>
        <v>45974</v>
      </c>
      <c r="B86" s="28">
        <v>8.0</v>
      </c>
      <c r="C86" s="22"/>
      <c r="D86" s="22"/>
      <c r="E86" s="55" t="s">
        <v>1208</v>
      </c>
      <c r="F86" s="37" t="s">
        <v>1109</v>
      </c>
      <c r="G86" s="40" t="s">
        <v>1209</v>
      </c>
      <c r="H86" s="53"/>
    </row>
    <row r="87" ht="22.5" customHeight="1">
      <c r="A87" s="5">
        <f t="shared" si="1"/>
        <v>45975</v>
      </c>
      <c r="B87" s="28">
        <v>8.0</v>
      </c>
      <c r="C87" s="22"/>
      <c r="D87" s="22"/>
      <c r="E87" s="55" t="s">
        <v>1210</v>
      </c>
      <c r="F87" s="37" t="s">
        <v>1087</v>
      </c>
      <c r="G87" s="40" t="s">
        <v>1211</v>
      </c>
      <c r="H87" s="53"/>
    </row>
    <row r="88" ht="22.5" customHeight="1">
      <c r="A88" s="5">
        <f t="shared" si="1"/>
        <v>45978</v>
      </c>
      <c r="B88" s="28">
        <v>8.0</v>
      </c>
      <c r="C88" s="22"/>
      <c r="D88" s="22"/>
      <c r="E88" s="55" t="s">
        <v>1212</v>
      </c>
      <c r="F88" s="37" t="s">
        <v>1213</v>
      </c>
      <c r="G88" s="40" t="s">
        <v>1214</v>
      </c>
      <c r="H88" s="53"/>
    </row>
    <row r="89" ht="22.5" customHeight="1">
      <c r="A89" s="5">
        <f t="shared" si="1"/>
        <v>45979</v>
      </c>
      <c r="B89" s="28">
        <v>8.0</v>
      </c>
      <c r="C89" s="22"/>
      <c r="D89" s="22"/>
      <c r="E89" s="55" t="s">
        <v>1215</v>
      </c>
      <c r="F89" s="37" t="s">
        <v>1154</v>
      </c>
      <c r="G89" s="40" t="s">
        <v>1216</v>
      </c>
      <c r="H89" s="53"/>
    </row>
    <row r="90" ht="22.5" customHeight="1">
      <c r="A90" s="5">
        <f t="shared" si="1"/>
        <v>45980</v>
      </c>
      <c r="B90" s="28">
        <v>8.0</v>
      </c>
      <c r="C90" s="22"/>
      <c r="D90" s="22"/>
      <c r="E90" s="55" t="s">
        <v>1217</v>
      </c>
      <c r="F90" s="37" t="s">
        <v>1106</v>
      </c>
      <c r="G90" s="40" t="s">
        <v>1218</v>
      </c>
      <c r="H90" s="53"/>
    </row>
    <row r="91" ht="22.5" customHeight="1">
      <c r="A91" s="5">
        <f t="shared" si="1"/>
        <v>45981</v>
      </c>
      <c r="B91" s="28">
        <v>8.0</v>
      </c>
      <c r="C91" s="22"/>
      <c r="D91" s="22"/>
      <c r="E91" s="55" t="s">
        <v>1219</v>
      </c>
      <c r="F91" s="37" t="s">
        <v>1220</v>
      </c>
      <c r="G91" s="40" t="s">
        <v>1221</v>
      </c>
      <c r="H91" s="53"/>
    </row>
    <row r="92" ht="22.5" customHeight="1">
      <c r="A92" s="5">
        <f t="shared" si="1"/>
        <v>45982</v>
      </c>
      <c r="B92" s="28">
        <v>8.0</v>
      </c>
      <c r="C92" s="22"/>
      <c r="D92" s="22"/>
      <c r="E92" s="55" t="s">
        <v>1222</v>
      </c>
      <c r="F92" s="37" t="s">
        <v>1223</v>
      </c>
      <c r="G92" s="40" t="s">
        <v>1224</v>
      </c>
      <c r="H92" s="53"/>
    </row>
    <row r="93" ht="22.5" customHeight="1">
      <c r="A93" s="5">
        <f t="shared" si="1"/>
        <v>45985</v>
      </c>
      <c r="B93" s="28">
        <v>8.0</v>
      </c>
      <c r="C93" s="22"/>
      <c r="D93" s="22"/>
      <c r="E93" s="55" t="s">
        <v>1225</v>
      </c>
      <c r="F93" s="37" t="s">
        <v>1226</v>
      </c>
      <c r="G93" s="195" t="s">
        <v>1227</v>
      </c>
      <c r="H93" s="53"/>
    </row>
    <row r="94" ht="22.5" customHeight="1">
      <c r="A94" s="5">
        <f t="shared" si="1"/>
        <v>45986</v>
      </c>
      <c r="B94" s="28">
        <v>8.0</v>
      </c>
      <c r="C94" s="22"/>
      <c r="D94" s="22"/>
      <c r="E94" s="55" t="s">
        <v>1228</v>
      </c>
      <c r="F94" s="37" t="s">
        <v>1109</v>
      </c>
      <c r="G94" s="195" t="s">
        <v>1229</v>
      </c>
      <c r="H94" s="53"/>
    </row>
    <row r="95" ht="22.5" customHeight="1">
      <c r="A95" s="5">
        <f t="shared" si="1"/>
        <v>45987</v>
      </c>
      <c r="B95" s="28">
        <v>8.0</v>
      </c>
      <c r="C95" s="22"/>
      <c r="D95" s="22"/>
      <c r="E95" s="55" t="s">
        <v>1230</v>
      </c>
      <c r="F95" s="37" t="s">
        <v>1072</v>
      </c>
      <c r="G95" s="40" t="s">
        <v>1231</v>
      </c>
      <c r="H95" s="53"/>
    </row>
    <row r="96" ht="22.5" customHeight="1">
      <c r="A96" s="5">
        <f t="shared" si="1"/>
        <v>45988</v>
      </c>
      <c r="B96" s="28">
        <v>8.0</v>
      </c>
      <c r="C96" s="22"/>
      <c r="D96" s="22"/>
      <c r="E96" s="55" t="s">
        <v>1232</v>
      </c>
      <c r="F96" s="37" t="s">
        <v>1233</v>
      </c>
      <c r="G96" s="40" t="s">
        <v>1234</v>
      </c>
      <c r="H96" s="53"/>
    </row>
    <row r="97" ht="22.5" customHeight="1">
      <c r="A97" s="5">
        <f t="shared" si="1"/>
        <v>45989</v>
      </c>
      <c r="B97" s="28">
        <v>8.0</v>
      </c>
      <c r="C97" s="22"/>
      <c r="D97" s="22"/>
      <c r="E97" s="55" t="s">
        <v>1235</v>
      </c>
      <c r="F97" s="37" t="s">
        <v>1079</v>
      </c>
      <c r="G97" s="40" t="s">
        <v>1236</v>
      </c>
      <c r="H97" s="53"/>
    </row>
    <row r="98" ht="22.5" customHeight="1">
      <c r="A98" s="5">
        <f t="shared" si="1"/>
        <v>45992</v>
      </c>
      <c r="B98" s="28">
        <v>8.0</v>
      </c>
      <c r="C98" s="22"/>
      <c r="D98" s="22"/>
      <c r="E98" s="55" t="s">
        <v>1237</v>
      </c>
      <c r="F98" s="37" t="s">
        <v>1087</v>
      </c>
      <c r="G98" s="40" t="s">
        <v>1238</v>
      </c>
      <c r="H98" s="53"/>
    </row>
    <row r="99" ht="22.5" customHeight="1">
      <c r="A99" s="5">
        <f t="shared" si="1"/>
        <v>45993</v>
      </c>
      <c r="B99" s="28">
        <v>8.0</v>
      </c>
      <c r="C99" s="22"/>
      <c r="D99" s="22"/>
      <c r="E99" s="55" t="s">
        <v>1239</v>
      </c>
      <c r="F99" s="37" t="s">
        <v>1240</v>
      </c>
      <c r="G99" s="40" t="s">
        <v>1241</v>
      </c>
      <c r="H99" s="53"/>
    </row>
    <row r="100" ht="22.5" customHeight="1">
      <c r="A100" s="5">
        <f t="shared" si="1"/>
        <v>45994</v>
      </c>
      <c r="B100" s="28">
        <v>8.0</v>
      </c>
      <c r="C100" s="22"/>
      <c r="D100" s="22"/>
      <c r="E100" s="55" t="s">
        <v>1242</v>
      </c>
      <c r="F100" s="37" t="s">
        <v>1109</v>
      </c>
      <c r="G100" s="195" t="s">
        <v>1243</v>
      </c>
      <c r="H100" s="53"/>
    </row>
    <row r="101" ht="22.5" customHeight="1">
      <c r="A101" s="5">
        <f t="shared" si="1"/>
        <v>45995</v>
      </c>
      <c r="B101" s="28">
        <v>8.0</v>
      </c>
      <c r="C101" s="22"/>
      <c r="D101" s="22"/>
      <c r="E101" s="55" t="s">
        <v>1244</v>
      </c>
      <c r="F101" s="37" t="s">
        <v>1109</v>
      </c>
      <c r="G101" s="195" t="s">
        <v>1245</v>
      </c>
      <c r="H101" s="29" t="s">
        <v>836</v>
      </c>
    </row>
    <row r="102" ht="22.5" customHeight="1">
      <c r="A102" s="5">
        <f t="shared" si="1"/>
        <v>45996</v>
      </c>
      <c r="B102" s="28">
        <v>8.0</v>
      </c>
      <c r="C102" s="22"/>
      <c r="D102" s="22"/>
      <c r="E102" s="55" t="s">
        <v>1246</v>
      </c>
      <c r="F102" s="37" t="s">
        <v>1226</v>
      </c>
      <c r="G102" s="40" t="s">
        <v>1247</v>
      </c>
      <c r="H102" s="29" t="s">
        <v>797</v>
      </c>
    </row>
    <row r="103" ht="22.5" customHeight="1">
      <c r="A103" s="5">
        <f t="shared" si="1"/>
        <v>45999</v>
      </c>
      <c r="B103" s="28">
        <v>8.0</v>
      </c>
      <c r="C103" s="22"/>
      <c r="D103" s="22"/>
      <c r="E103" s="55" t="s">
        <v>1248</v>
      </c>
      <c r="F103" s="37" t="s">
        <v>1102</v>
      </c>
      <c r="G103" s="40" t="s">
        <v>1249</v>
      </c>
      <c r="H103" s="53"/>
    </row>
    <row r="104" ht="22.5" customHeight="1">
      <c r="A104" s="5">
        <f t="shared" si="1"/>
        <v>46000</v>
      </c>
      <c r="B104" s="28">
        <v>8.0</v>
      </c>
      <c r="C104" s="22"/>
      <c r="D104" s="22"/>
      <c r="E104" s="55" t="s">
        <v>1250</v>
      </c>
      <c r="F104" s="37" t="s">
        <v>1170</v>
      </c>
      <c r="G104" s="40" t="s">
        <v>1251</v>
      </c>
      <c r="H104" s="53"/>
    </row>
    <row r="105" ht="22.5" customHeight="1">
      <c r="A105" s="5">
        <f t="shared" si="1"/>
        <v>46001</v>
      </c>
      <c r="B105" s="28">
        <v>8.0</v>
      </c>
      <c r="C105" s="22"/>
      <c r="D105" s="22"/>
      <c r="E105" s="55" t="s">
        <v>1250</v>
      </c>
      <c r="F105" s="37" t="s">
        <v>1252</v>
      </c>
      <c r="G105" s="40" t="s">
        <v>1253</v>
      </c>
      <c r="H105" s="29" t="s">
        <v>802</v>
      </c>
    </row>
    <row r="106" ht="22.5" customHeight="1">
      <c r="A106" s="5">
        <f t="shared" si="1"/>
        <v>46002</v>
      </c>
      <c r="B106" s="28">
        <v>8.0</v>
      </c>
      <c r="C106" s="22"/>
      <c r="D106" s="22"/>
      <c r="E106" s="55" t="s">
        <v>1254</v>
      </c>
      <c r="F106" s="37" t="s">
        <v>1206</v>
      </c>
      <c r="G106" s="40" t="s">
        <v>1255</v>
      </c>
      <c r="H106" s="53"/>
    </row>
    <row r="107" ht="22.5" customHeight="1">
      <c r="A107" s="5">
        <f t="shared" si="1"/>
        <v>46003</v>
      </c>
      <c r="B107" s="28">
        <v>8.0</v>
      </c>
      <c r="C107" s="22"/>
      <c r="D107" s="22"/>
      <c r="E107" s="55" t="s">
        <v>1256</v>
      </c>
      <c r="F107" s="37" t="s">
        <v>1102</v>
      </c>
      <c r="G107" s="40" t="s">
        <v>1257</v>
      </c>
      <c r="H107" s="53"/>
    </row>
    <row r="108" ht="22.5" customHeight="1">
      <c r="A108" s="5">
        <f t="shared" si="1"/>
        <v>46006</v>
      </c>
      <c r="B108" s="28">
        <v>8.0</v>
      </c>
      <c r="C108" s="22"/>
      <c r="D108" s="22"/>
      <c r="E108" s="55" t="s">
        <v>1258</v>
      </c>
      <c r="F108" s="37" t="s">
        <v>1259</v>
      </c>
      <c r="G108" s="40" t="s">
        <v>1260</v>
      </c>
      <c r="H108" s="168"/>
    </row>
    <row r="109" ht="22.5" customHeight="1">
      <c r="A109" s="5">
        <f t="shared" si="1"/>
        <v>46007</v>
      </c>
      <c r="B109" s="28">
        <v>8.0</v>
      </c>
      <c r="C109" s="22"/>
      <c r="D109" s="22"/>
      <c r="E109" s="55" t="s">
        <v>1261</v>
      </c>
      <c r="F109" s="37" t="s">
        <v>1167</v>
      </c>
      <c r="G109" s="40" t="s">
        <v>1262</v>
      </c>
      <c r="H109" s="29" t="s">
        <v>1094</v>
      </c>
    </row>
    <row r="110" ht="22.5" customHeight="1">
      <c r="A110" s="5">
        <f t="shared" si="1"/>
        <v>46008</v>
      </c>
      <c r="B110" s="28">
        <v>8.0</v>
      </c>
      <c r="C110" s="22"/>
      <c r="D110" s="22"/>
      <c r="E110" s="55" t="s">
        <v>1263</v>
      </c>
      <c r="F110" s="37" t="s">
        <v>1167</v>
      </c>
      <c r="G110" s="40" t="s">
        <v>1264</v>
      </c>
      <c r="H110" s="53"/>
    </row>
    <row r="111" ht="22.5" customHeight="1">
      <c r="A111" s="5">
        <f t="shared" si="1"/>
        <v>46009</v>
      </c>
      <c r="B111" s="28">
        <v>8.0</v>
      </c>
      <c r="C111" s="22"/>
      <c r="D111" s="22"/>
      <c r="E111" s="55" t="s">
        <v>1256</v>
      </c>
      <c r="F111" s="37" t="s">
        <v>1102</v>
      </c>
      <c r="G111" s="40" t="s">
        <v>1265</v>
      </c>
      <c r="H111" s="53"/>
    </row>
    <row r="112" ht="22.5" customHeight="1">
      <c r="A112" s="5">
        <f t="shared" si="1"/>
        <v>46010</v>
      </c>
      <c r="B112" s="28">
        <v>8.0</v>
      </c>
      <c r="C112" s="22"/>
      <c r="D112" s="22"/>
      <c r="E112" s="55" t="s">
        <v>1256</v>
      </c>
      <c r="F112" s="37" t="s">
        <v>1102</v>
      </c>
      <c r="G112" s="40" t="s">
        <v>1266</v>
      </c>
      <c r="H112" s="53"/>
    </row>
    <row r="113" ht="22.5" customHeight="1">
      <c r="A113" s="5">
        <f t="shared" si="1"/>
        <v>46013</v>
      </c>
      <c r="B113" s="28">
        <v>8.0</v>
      </c>
      <c r="C113" s="22"/>
      <c r="D113" s="22"/>
      <c r="E113" s="55" t="s">
        <v>1256</v>
      </c>
      <c r="F113" s="37" t="s">
        <v>1102</v>
      </c>
      <c r="G113" s="40" t="s">
        <v>1267</v>
      </c>
      <c r="H113" s="53"/>
    </row>
    <row r="114" ht="22.5" customHeight="1">
      <c r="A114" s="5">
        <f t="shared" si="1"/>
        <v>46014</v>
      </c>
      <c r="B114" s="28">
        <v>8.0</v>
      </c>
      <c r="C114" s="22"/>
      <c r="D114" s="22"/>
      <c r="E114" s="55" t="s">
        <v>1256</v>
      </c>
      <c r="F114" s="37" t="s">
        <v>1102</v>
      </c>
      <c r="G114" s="40" t="s">
        <v>1268</v>
      </c>
      <c r="H114" s="53"/>
    </row>
    <row r="115" ht="22.5" customHeight="1">
      <c r="A115" s="5">
        <f t="shared" si="1"/>
        <v>46015</v>
      </c>
      <c r="B115" s="28">
        <v>8.0</v>
      </c>
      <c r="C115" s="22"/>
      <c r="D115" s="22"/>
      <c r="E115" s="55" t="s">
        <v>1269</v>
      </c>
      <c r="F115" s="37" t="s">
        <v>1167</v>
      </c>
      <c r="G115" s="40" t="s">
        <v>1270</v>
      </c>
      <c r="H115" s="53"/>
    </row>
    <row r="116" ht="22.5" customHeight="1">
      <c r="A116" s="131">
        <f t="shared" si="1"/>
        <v>46016</v>
      </c>
      <c r="B116" s="132"/>
      <c r="C116" s="196"/>
      <c r="D116" s="196"/>
      <c r="E116" s="194" t="s">
        <v>222</v>
      </c>
      <c r="F116" s="191"/>
      <c r="G116" s="197"/>
      <c r="H116" s="198"/>
    </row>
    <row r="117" ht="22.5" customHeight="1">
      <c r="A117" s="5">
        <f t="shared" si="1"/>
        <v>46017</v>
      </c>
      <c r="B117" s="28">
        <v>8.0</v>
      </c>
      <c r="C117" s="22"/>
      <c r="D117" s="22"/>
      <c r="E117" s="55" t="s">
        <v>1271</v>
      </c>
      <c r="F117" s="37" t="s">
        <v>1117</v>
      </c>
      <c r="G117" s="40" t="s">
        <v>1272</v>
      </c>
      <c r="H117" s="53"/>
    </row>
    <row r="118" ht="22.5" customHeight="1">
      <c r="A118" s="5">
        <f t="shared" si="1"/>
        <v>46020</v>
      </c>
      <c r="B118" s="28">
        <v>8.0</v>
      </c>
      <c r="C118" s="22"/>
      <c r="D118" s="22"/>
      <c r="E118" s="55" t="s">
        <v>1271</v>
      </c>
      <c r="F118" s="37" t="s">
        <v>1117</v>
      </c>
      <c r="G118" s="40" t="s">
        <v>1273</v>
      </c>
      <c r="H118" s="53"/>
    </row>
    <row r="119" ht="22.5" customHeight="1">
      <c r="A119" s="5">
        <f t="shared" si="1"/>
        <v>46021</v>
      </c>
      <c r="B119" s="28">
        <v>8.0</v>
      </c>
      <c r="C119" s="22"/>
      <c r="D119" s="22"/>
      <c r="E119" s="55" t="s">
        <v>1271</v>
      </c>
      <c r="F119" s="37" t="s">
        <v>1206</v>
      </c>
      <c r="G119" s="40" t="s">
        <v>1274</v>
      </c>
      <c r="H119" s="53"/>
    </row>
    <row r="120" ht="22.5" customHeight="1">
      <c r="A120" s="5">
        <f t="shared" si="1"/>
        <v>46022</v>
      </c>
      <c r="B120" s="28">
        <v>8.0</v>
      </c>
      <c r="C120" s="22"/>
      <c r="D120" s="22"/>
      <c r="E120" s="55" t="s">
        <v>1275</v>
      </c>
      <c r="F120" s="37" t="s">
        <v>1054</v>
      </c>
      <c r="G120" s="40" t="s">
        <v>1276</v>
      </c>
      <c r="H120" s="53"/>
    </row>
    <row r="121" ht="22.5" customHeight="1">
      <c r="A121" s="131">
        <f t="shared" si="1"/>
        <v>46023</v>
      </c>
      <c r="B121" s="132">
        <v>8.0</v>
      </c>
      <c r="C121" s="196"/>
      <c r="D121" s="196"/>
      <c r="E121" s="194" t="s">
        <v>222</v>
      </c>
      <c r="F121" s="191"/>
      <c r="G121" s="197"/>
      <c r="H121" s="198"/>
    </row>
    <row r="122" ht="22.5" customHeight="1">
      <c r="A122" s="5">
        <f t="shared" si="1"/>
        <v>46024</v>
      </c>
      <c r="B122" s="28">
        <v>8.0</v>
      </c>
      <c r="C122" s="22"/>
      <c r="D122" s="22"/>
      <c r="E122" s="55" t="s">
        <v>1277</v>
      </c>
      <c r="F122" s="37" t="s">
        <v>1278</v>
      </c>
      <c r="G122" s="41" t="s">
        <v>1278</v>
      </c>
      <c r="H122" s="53"/>
    </row>
    <row r="123" ht="22.5" customHeight="1">
      <c r="A123" s="5">
        <f t="shared" si="1"/>
        <v>46027</v>
      </c>
      <c r="B123" s="28">
        <v>8.0</v>
      </c>
      <c r="C123" s="22"/>
      <c r="D123" s="22"/>
      <c r="E123" s="55" t="s">
        <v>1279</v>
      </c>
      <c r="F123" s="37" t="s">
        <v>1278</v>
      </c>
      <c r="G123" s="41" t="s">
        <v>1278</v>
      </c>
      <c r="H123" s="53"/>
    </row>
    <row r="124" ht="22.5" customHeight="1">
      <c r="A124" s="5">
        <f t="shared" si="1"/>
        <v>46028</v>
      </c>
      <c r="B124" s="28">
        <v>8.0</v>
      </c>
      <c r="C124" s="22"/>
      <c r="D124" s="22"/>
      <c r="E124" s="55" t="s">
        <v>1280</v>
      </c>
      <c r="F124" s="37" t="s">
        <v>1278</v>
      </c>
      <c r="G124" s="41" t="s">
        <v>1278</v>
      </c>
      <c r="H124" s="53"/>
    </row>
    <row r="125" ht="22.5" customHeight="1">
      <c r="A125" s="5">
        <f t="shared" si="1"/>
        <v>46029</v>
      </c>
      <c r="B125" s="28">
        <v>8.0</v>
      </c>
      <c r="C125" s="22"/>
      <c r="D125" s="22"/>
      <c r="E125" s="55" t="s">
        <v>1281</v>
      </c>
      <c r="F125" s="37" t="s">
        <v>1278</v>
      </c>
      <c r="G125" s="41" t="s">
        <v>1278</v>
      </c>
      <c r="H125" s="53"/>
    </row>
    <row r="126" ht="22.5" customHeight="1">
      <c r="A126" s="5">
        <f t="shared" si="1"/>
        <v>46030</v>
      </c>
      <c r="B126" s="28">
        <v>8.0</v>
      </c>
      <c r="C126" s="22"/>
      <c r="D126" s="22"/>
      <c r="E126" s="55" t="s">
        <v>1282</v>
      </c>
      <c r="F126" s="37" t="s">
        <v>1278</v>
      </c>
      <c r="G126" s="41" t="s">
        <v>1278</v>
      </c>
      <c r="H126" s="53"/>
    </row>
    <row r="127" ht="22.5" customHeight="1">
      <c r="A127" s="5">
        <f t="shared" si="1"/>
        <v>46031</v>
      </c>
      <c r="B127" s="28">
        <v>8.0</v>
      </c>
      <c r="C127" s="22"/>
      <c r="D127" s="22"/>
      <c r="E127" s="55" t="s">
        <v>1283</v>
      </c>
      <c r="F127" s="37" t="s">
        <v>1278</v>
      </c>
      <c r="G127" s="41" t="s">
        <v>1278</v>
      </c>
      <c r="H127" s="53"/>
    </row>
    <row r="128" ht="22.5" customHeight="1">
      <c r="A128" s="5">
        <f t="shared" si="1"/>
        <v>46034</v>
      </c>
      <c r="B128" s="28">
        <v>8.0</v>
      </c>
      <c r="C128" s="22"/>
      <c r="D128" s="22"/>
      <c r="E128" s="55" t="s">
        <v>1284</v>
      </c>
      <c r="F128" s="37" t="s">
        <v>1278</v>
      </c>
      <c r="G128" s="41" t="s">
        <v>1278</v>
      </c>
      <c r="H128" s="53"/>
    </row>
    <row r="129" ht="22.5" customHeight="1">
      <c r="A129" s="5">
        <f t="shared" si="1"/>
        <v>46035</v>
      </c>
      <c r="B129" s="28">
        <v>8.0</v>
      </c>
      <c r="C129" s="22"/>
      <c r="D129" s="22"/>
      <c r="E129" s="55" t="s">
        <v>1285</v>
      </c>
      <c r="F129" s="37" t="s">
        <v>1278</v>
      </c>
      <c r="G129" s="41" t="s">
        <v>1278</v>
      </c>
      <c r="H129" s="53"/>
    </row>
    <row r="130" ht="22.5" customHeight="1">
      <c r="A130" s="5">
        <f t="shared" si="1"/>
        <v>46036</v>
      </c>
      <c r="B130" s="28">
        <v>8.0</v>
      </c>
      <c r="C130" s="22"/>
      <c r="D130" s="22"/>
      <c r="E130" s="55" t="s">
        <v>1285</v>
      </c>
      <c r="F130" s="37" t="s">
        <v>1278</v>
      </c>
      <c r="G130" s="41" t="s">
        <v>1278</v>
      </c>
      <c r="H130" s="53"/>
    </row>
    <row r="131" ht="22.5" customHeight="1">
      <c r="A131" s="5">
        <f t="shared" si="1"/>
        <v>46037</v>
      </c>
      <c r="B131" s="28">
        <v>8.0</v>
      </c>
      <c r="C131" s="22"/>
      <c r="D131" s="22"/>
      <c r="E131" s="55" t="s">
        <v>1286</v>
      </c>
      <c r="F131" s="37" t="s">
        <v>1278</v>
      </c>
      <c r="G131" s="41" t="s">
        <v>1278</v>
      </c>
      <c r="H131" s="53"/>
    </row>
    <row r="132" ht="22.5" customHeight="1">
      <c r="A132" s="131">
        <f t="shared" si="1"/>
        <v>46038</v>
      </c>
      <c r="B132" s="132">
        <v>8.0</v>
      </c>
      <c r="C132" s="196"/>
      <c r="D132" s="196"/>
      <c r="E132" s="194" t="s">
        <v>222</v>
      </c>
      <c r="F132" s="37"/>
      <c r="G132" s="41"/>
      <c r="H132" s="53"/>
    </row>
    <row r="133" ht="22.5" customHeight="1">
      <c r="A133" s="5">
        <f t="shared" si="1"/>
        <v>46041</v>
      </c>
      <c r="B133" s="28">
        <v>8.0</v>
      </c>
      <c r="C133" s="22"/>
      <c r="D133" s="22"/>
      <c r="E133" s="55" t="s">
        <v>1285</v>
      </c>
      <c r="F133" s="37" t="s">
        <v>1278</v>
      </c>
      <c r="G133" s="41" t="s">
        <v>1278</v>
      </c>
      <c r="H133" s="53"/>
    </row>
    <row r="134" ht="22.5" customHeight="1">
      <c r="A134" s="5">
        <f t="shared" si="1"/>
        <v>46042</v>
      </c>
      <c r="B134" s="28">
        <v>8.0</v>
      </c>
      <c r="C134" s="22"/>
      <c r="D134" s="22"/>
      <c r="E134" s="55" t="s">
        <v>1285</v>
      </c>
      <c r="F134" s="37" t="s">
        <v>1278</v>
      </c>
      <c r="G134" s="41" t="s">
        <v>1278</v>
      </c>
      <c r="H134" s="53"/>
    </row>
    <row r="135" ht="22.5" customHeight="1">
      <c r="A135" s="5">
        <f t="shared" si="1"/>
        <v>46043</v>
      </c>
      <c r="B135" s="28">
        <v>8.0</v>
      </c>
      <c r="C135" s="22"/>
      <c r="D135" s="22"/>
      <c r="E135" s="55" t="s">
        <v>1285</v>
      </c>
      <c r="F135" s="37" t="s">
        <v>1278</v>
      </c>
      <c r="G135" s="41" t="s">
        <v>1278</v>
      </c>
      <c r="H135" s="53"/>
    </row>
    <row r="136" ht="22.5" customHeight="1">
      <c r="A136" s="5">
        <f t="shared" si="1"/>
        <v>46044</v>
      </c>
      <c r="B136" s="28">
        <v>8.0</v>
      </c>
      <c r="C136" s="22"/>
      <c r="D136" s="22"/>
      <c r="E136" s="55" t="s">
        <v>1285</v>
      </c>
      <c r="F136" s="37" t="s">
        <v>1278</v>
      </c>
      <c r="G136" s="41" t="s">
        <v>1278</v>
      </c>
      <c r="H136" s="53"/>
    </row>
    <row r="137" ht="22.5" customHeight="1">
      <c r="A137" s="5">
        <f t="shared" si="1"/>
        <v>46045</v>
      </c>
      <c r="B137" s="28">
        <v>8.0</v>
      </c>
      <c r="C137" s="22"/>
      <c r="D137" s="22"/>
      <c r="E137" s="55" t="s">
        <v>1285</v>
      </c>
      <c r="F137" s="37" t="s">
        <v>1278</v>
      </c>
      <c r="G137" s="41" t="s">
        <v>1278</v>
      </c>
      <c r="H137" s="53"/>
    </row>
    <row r="138" ht="22.5" customHeight="1">
      <c r="A138" s="5">
        <f t="shared" si="1"/>
        <v>46048</v>
      </c>
      <c r="B138" s="28">
        <v>8.0</v>
      </c>
      <c r="C138" s="22"/>
      <c r="D138" s="22"/>
      <c r="E138" s="55" t="s">
        <v>1285</v>
      </c>
      <c r="F138" s="37" t="s">
        <v>1278</v>
      </c>
      <c r="G138" s="41" t="s">
        <v>1278</v>
      </c>
      <c r="H138" s="53"/>
    </row>
    <row r="139" ht="22.5" customHeight="1">
      <c r="A139" s="139">
        <f t="shared" si="1"/>
        <v>46049</v>
      </c>
      <c r="B139" s="28">
        <v>8.0</v>
      </c>
      <c r="C139" s="22"/>
      <c r="D139" s="22"/>
      <c r="E139" s="55" t="s">
        <v>1285</v>
      </c>
      <c r="F139" s="37" t="s">
        <v>1278</v>
      </c>
      <c r="G139" s="41" t="s">
        <v>1278</v>
      </c>
      <c r="H139" s="53"/>
    </row>
    <row r="140" ht="22.5" customHeight="1">
      <c r="A140" s="139">
        <f t="shared" si="1"/>
        <v>46050</v>
      </c>
      <c r="B140" s="28">
        <v>8.0</v>
      </c>
      <c r="C140" s="22"/>
      <c r="D140" s="22"/>
      <c r="E140" s="55" t="s">
        <v>1285</v>
      </c>
      <c r="F140" s="37" t="s">
        <v>1278</v>
      </c>
      <c r="G140" s="41" t="s">
        <v>1278</v>
      </c>
      <c r="H140" s="53"/>
    </row>
    <row r="141" ht="22.5" customHeight="1">
      <c r="A141" s="139">
        <f t="shared" si="1"/>
        <v>46051</v>
      </c>
      <c r="B141" s="28">
        <v>8.0</v>
      </c>
      <c r="C141" s="22"/>
      <c r="D141" s="22"/>
      <c r="E141" s="55" t="s">
        <v>1285</v>
      </c>
      <c r="F141" s="37" t="s">
        <v>1278</v>
      </c>
      <c r="G141" s="41" t="s">
        <v>1278</v>
      </c>
      <c r="H141" s="53"/>
    </row>
    <row r="142" ht="22.5" customHeight="1">
      <c r="A142" s="139">
        <f t="shared" si="1"/>
        <v>46052</v>
      </c>
      <c r="B142" s="28">
        <v>8.0</v>
      </c>
      <c r="C142" s="22"/>
      <c r="D142" s="22"/>
      <c r="E142" s="55" t="s">
        <v>1285</v>
      </c>
      <c r="F142" s="37" t="s">
        <v>1278</v>
      </c>
      <c r="G142" s="41" t="s">
        <v>1278</v>
      </c>
      <c r="H142" s="53"/>
    </row>
    <row r="143" ht="22.5" customHeight="1">
      <c r="A143" s="139">
        <f t="shared" si="1"/>
        <v>46055</v>
      </c>
      <c r="B143" s="28">
        <v>8.0</v>
      </c>
      <c r="C143" s="22"/>
      <c r="D143" s="22"/>
      <c r="E143" s="55" t="s">
        <v>1285</v>
      </c>
      <c r="F143" s="37" t="s">
        <v>1278</v>
      </c>
      <c r="G143" s="41" t="s">
        <v>1278</v>
      </c>
      <c r="H143" s="53"/>
    </row>
    <row r="144" ht="22.5" customHeight="1">
      <c r="A144" s="139">
        <f t="shared" si="1"/>
        <v>46056</v>
      </c>
      <c r="B144" s="28">
        <v>8.0</v>
      </c>
      <c r="C144" s="22"/>
      <c r="D144" s="22"/>
      <c r="E144" s="55" t="s">
        <v>1285</v>
      </c>
      <c r="F144" s="37" t="s">
        <v>1278</v>
      </c>
      <c r="G144" s="41" t="s">
        <v>1278</v>
      </c>
      <c r="H144" s="53"/>
    </row>
    <row r="145" ht="22.5" customHeight="1">
      <c r="A145" s="139">
        <f t="shared" si="1"/>
        <v>46057</v>
      </c>
      <c r="B145" s="28">
        <v>8.0</v>
      </c>
      <c r="C145" s="22"/>
      <c r="D145" s="22"/>
      <c r="E145" s="55" t="s">
        <v>1285</v>
      </c>
      <c r="F145" s="37" t="s">
        <v>1278</v>
      </c>
      <c r="G145" s="41" t="s">
        <v>1278</v>
      </c>
      <c r="H145" s="53"/>
    </row>
    <row r="146" ht="22.5" customHeight="1">
      <c r="A146" s="139">
        <f t="shared" si="1"/>
        <v>46058</v>
      </c>
      <c r="B146" s="28">
        <v>8.0</v>
      </c>
      <c r="C146" s="22"/>
      <c r="D146" s="22"/>
      <c r="E146" s="55" t="s">
        <v>1285</v>
      </c>
      <c r="F146" s="37" t="s">
        <v>1278</v>
      </c>
      <c r="G146" s="41" t="s">
        <v>1278</v>
      </c>
      <c r="H146" s="53"/>
    </row>
    <row r="147" ht="22.5" customHeight="1">
      <c r="A147" s="139">
        <f t="shared" si="1"/>
        <v>46059</v>
      </c>
      <c r="B147" s="28">
        <v>8.0</v>
      </c>
      <c r="C147" s="22"/>
      <c r="D147" s="22"/>
      <c r="E147" s="55" t="s">
        <v>1285</v>
      </c>
      <c r="F147" s="37" t="s">
        <v>1278</v>
      </c>
      <c r="G147" s="41" t="s">
        <v>1278</v>
      </c>
      <c r="H147" s="53"/>
    </row>
    <row r="148" ht="22.5" customHeight="1">
      <c r="A148" s="139">
        <f t="shared" si="1"/>
        <v>46062</v>
      </c>
      <c r="B148" s="28">
        <v>8.0</v>
      </c>
      <c r="C148" s="22"/>
      <c r="D148" s="22"/>
      <c r="E148" s="55" t="s">
        <v>1285</v>
      </c>
      <c r="F148" s="37" t="s">
        <v>1278</v>
      </c>
      <c r="G148" s="41" t="s">
        <v>1278</v>
      </c>
      <c r="H148" s="53"/>
    </row>
    <row r="149" ht="22.5" customHeight="1">
      <c r="A149" s="139">
        <f t="shared" si="1"/>
        <v>46063</v>
      </c>
      <c r="B149" s="28">
        <v>8.0</v>
      </c>
      <c r="C149" s="22"/>
      <c r="D149" s="22"/>
      <c r="E149" s="55" t="s">
        <v>1285</v>
      </c>
      <c r="F149" s="37" t="s">
        <v>1278</v>
      </c>
      <c r="G149" s="41" t="s">
        <v>1278</v>
      </c>
      <c r="H149" s="53"/>
    </row>
    <row r="150" ht="22.5" customHeight="1">
      <c r="A150" s="139">
        <f t="shared" si="1"/>
        <v>46064</v>
      </c>
      <c r="B150" s="28">
        <v>8.0</v>
      </c>
      <c r="C150" s="22"/>
      <c r="D150" s="22"/>
      <c r="E150" s="55" t="s">
        <v>1285</v>
      </c>
      <c r="F150" s="37" t="s">
        <v>1278</v>
      </c>
      <c r="G150" s="41" t="s">
        <v>1278</v>
      </c>
      <c r="H150" s="53"/>
    </row>
    <row r="151" ht="22.5" customHeight="1">
      <c r="A151" s="139">
        <f t="shared" si="1"/>
        <v>46065</v>
      </c>
      <c r="B151" s="28">
        <v>8.0</v>
      </c>
      <c r="C151" s="22"/>
      <c r="D151" s="22"/>
      <c r="E151" s="55" t="s">
        <v>1285</v>
      </c>
      <c r="F151" s="37" t="s">
        <v>1278</v>
      </c>
      <c r="G151" s="41" t="s">
        <v>1278</v>
      </c>
      <c r="H151" s="53"/>
    </row>
    <row r="152" ht="22.5" customHeight="1">
      <c r="A152" s="139">
        <f t="shared" si="1"/>
        <v>46066</v>
      </c>
      <c r="B152" s="28">
        <v>8.0</v>
      </c>
      <c r="C152" s="22"/>
      <c r="D152" s="22"/>
      <c r="E152" s="55" t="s">
        <v>1285</v>
      </c>
      <c r="F152" s="37" t="s">
        <v>1278</v>
      </c>
      <c r="G152" s="41" t="s">
        <v>1278</v>
      </c>
      <c r="H152" s="53"/>
    </row>
    <row r="153" ht="22.5" customHeight="1">
      <c r="A153" s="139">
        <f t="shared" si="1"/>
        <v>46069</v>
      </c>
      <c r="B153" s="28">
        <v>8.0</v>
      </c>
      <c r="C153" s="22"/>
      <c r="D153" s="22"/>
      <c r="E153" s="55" t="s">
        <v>1285</v>
      </c>
      <c r="F153" s="37" t="s">
        <v>1278</v>
      </c>
      <c r="G153" s="41" t="s">
        <v>1278</v>
      </c>
      <c r="H153" s="53"/>
    </row>
    <row r="154" ht="22.5" customHeight="1">
      <c r="A154" s="139">
        <f t="shared" si="1"/>
        <v>46070</v>
      </c>
      <c r="B154" s="28">
        <v>8.0</v>
      </c>
      <c r="C154" s="22"/>
      <c r="D154" s="22"/>
      <c r="E154" s="55" t="s">
        <v>1285</v>
      </c>
      <c r="F154" s="37" t="s">
        <v>1278</v>
      </c>
      <c r="G154" s="41" t="s">
        <v>1278</v>
      </c>
      <c r="H154" s="53"/>
    </row>
    <row r="155" ht="22.5" customHeight="1">
      <c r="A155" s="139">
        <f t="shared" si="1"/>
        <v>46071</v>
      </c>
      <c r="B155" s="28">
        <v>8.0</v>
      </c>
      <c r="C155" s="22"/>
      <c r="D155" s="22"/>
      <c r="E155" s="55" t="s">
        <v>1285</v>
      </c>
      <c r="F155" s="37" t="s">
        <v>1278</v>
      </c>
      <c r="G155" s="41" t="s">
        <v>1278</v>
      </c>
      <c r="H155" s="53"/>
    </row>
    <row r="156" ht="22.5" customHeight="1">
      <c r="A156" s="139">
        <f t="shared" si="1"/>
        <v>46072</v>
      </c>
      <c r="B156" s="28">
        <v>8.0</v>
      </c>
      <c r="C156" s="22"/>
      <c r="D156" s="22"/>
      <c r="E156" s="55" t="s">
        <v>1285</v>
      </c>
      <c r="F156" s="37" t="s">
        <v>1278</v>
      </c>
      <c r="G156" s="41" t="s">
        <v>1278</v>
      </c>
      <c r="H156" s="53"/>
    </row>
    <row r="157" ht="22.5" customHeight="1">
      <c r="A157" s="139">
        <f t="shared" si="1"/>
        <v>46073</v>
      </c>
      <c r="B157" s="28">
        <v>8.0</v>
      </c>
      <c r="C157" s="22"/>
      <c r="D157" s="22"/>
      <c r="E157" s="55" t="s">
        <v>1285</v>
      </c>
      <c r="F157" s="37" t="s">
        <v>1278</v>
      </c>
      <c r="G157" s="41" t="s">
        <v>1278</v>
      </c>
      <c r="H157" s="53"/>
    </row>
    <row r="158" ht="22.5" customHeight="1">
      <c r="A158" s="139">
        <f t="shared" si="1"/>
        <v>46076</v>
      </c>
      <c r="B158" s="28">
        <v>8.0</v>
      </c>
      <c r="C158" s="22"/>
      <c r="D158" s="22"/>
      <c r="E158" s="55" t="s">
        <v>1285</v>
      </c>
      <c r="F158" s="37" t="s">
        <v>1278</v>
      </c>
      <c r="G158" s="41" t="s">
        <v>1278</v>
      </c>
      <c r="H158" s="53"/>
    </row>
    <row r="159" ht="22.5" customHeight="1">
      <c r="A159" s="139">
        <f t="shared" si="1"/>
        <v>46077</v>
      </c>
      <c r="B159" s="28">
        <v>8.0</v>
      </c>
      <c r="C159" s="22"/>
      <c r="D159" s="22"/>
      <c r="E159" s="55" t="s">
        <v>1285</v>
      </c>
      <c r="F159" s="37" t="s">
        <v>1278</v>
      </c>
      <c r="G159" s="41" t="s">
        <v>1278</v>
      </c>
      <c r="H159" s="53"/>
    </row>
    <row r="160" ht="22.5" customHeight="1">
      <c r="A160" s="139">
        <f t="shared" si="1"/>
        <v>46078</v>
      </c>
      <c r="B160" s="28">
        <v>8.0</v>
      </c>
      <c r="C160" s="22"/>
      <c r="D160" s="22"/>
      <c r="E160" s="55" t="s">
        <v>1285</v>
      </c>
      <c r="F160" s="37" t="s">
        <v>1278</v>
      </c>
      <c r="G160" s="41" t="s">
        <v>1278</v>
      </c>
      <c r="H160" s="53"/>
    </row>
    <row r="161" ht="22.5" customHeight="1">
      <c r="A161" s="139">
        <f t="shared" si="1"/>
        <v>46079</v>
      </c>
      <c r="B161" s="28">
        <v>8.0</v>
      </c>
      <c r="C161" s="22"/>
      <c r="D161" s="22"/>
      <c r="E161" s="55" t="s">
        <v>1285</v>
      </c>
      <c r="F161" s="37" t="s">
        <v>1278</v>
      </c>
      <c r="G161" s="41" t="s">
        <v>1278</v>
      </c>
      <c r="H161" s="53"/>
    </row>
    <row r="162" ht="22.5" customHeight="1">
      <c r="A162" s="139">
        <f t="shared" si="1"/>
        <v>46080</v>
      </c>
      <c r="B162" s="28">
        <v>8.0</v>
      </c>
      <c r="C162" s="22"/>
      <c r="D162" s="22"/>
      <c r="E162" s="55" t="s">
        <v>1285</v>
      </c>
      <c r="F162" s="37" t="s">
        <v>1278</v>
      </c>
      <c r="G162" s="41" t="s">
        <v>1278</v>
      </c>
      <c r="H162" s="53"/>
    </row>
    <row r="163" ht="22.5" customHeight="1">
      <c r="A163" s="139">
        <f t="shared" si="1"/>
        <v>46083</v>
      </c>
      <c r="B163" s="28">
        <v>8.0</v>
      </c>
      <c r="C163" s="22"/>
      <c r="D163" s="22"/>
      <c r="E163" s="55" t="s">
        <v>1285</v>
      </c>
      <c r="F163" s="37" t="s">
        <v>1278</v>
      </c>
      <c r="G163" s="41" t="s">
        <v>1278</v>
      </c>
      <c r="H163" s="53"/>
    </row>
    <row r="164" ht="22.5" customHeight="1">
      <c r="A164" s="139">
        <f t="shared" si="1"/>
        <v>46084</v>
      </c>
      <c r="B164" s="28">
        <v>8.0</v>
      </c>
      <c r="C164" s="22"/>
      <c r="D164" s="22"/>
      <c r="E164" s="55" t="s">
        <v>1285</v>
      </c>
      <c r="F164" s="37" t="s">
        <v>1278</v>
      </c>
      <c r="G164" s="41" t="s">
        <v>1278</v>
      </c>
      <c r="H164" s="53"/>
    </row>
    <row r="165" ht="22.5" customHeight="1">
      <c r="A165" s="139">
        <f t="shared" si="1"/>
        <v>46085</v>
      </c>
      <c r="B165" s="28">
        <v>8.0</v>
      </c>
      <c r="C165" s="22"/>
      <c r="D165" s="22"/>
      <c r="E165" s="55" t="s">
        <v>1285</v>
      </c>
      <c r="F165" s="37" t="s">
        <v>1278</v>
      </c>
      <c r="G165" s="41" t="s">
        <v>1278</v>
      </c>
      <c r="H165" s="53"/>
    </row>
    <row r="166" ht="22.5" customHeight="1">
      <c r="A166" s="139">
        <f t="shared" si="1"/>
        <v>46086</v>
      </c>
      <c r="B166" s="28">
        <v>8.0</v>
      </c>
      <c r="C166" s="22"/>
      <c r="D166" s="22"/>
      <c r="E166" s="55" t="s">
        <v>1285</v>
      </c>
      <c r="F166" s="37" t="s">
        <v>1278</v>
      </c>
      <c r="G166" s="41" t="s">
        <v>1278</v>
      </c>
      <c r="H166" s="53"/>
    </row>
    <row r="167" ht="22.5" customHeight="1">
      <c r="A167" s="139">
        <f t="shared" si="1"/>
        <v>46087</v>
      </c>
      <c r="B167" s="28">
        <v>8.0</v>
      </c>
      <c r="C167" s="22"/>
      <c r="D167" s="22"/>
      <c r="E167" s="55" t="s">
        <v>1285</v>
      </c>
      <c r="F167" s="37" t="s">
        <v>1278</v>
      </c>
      <c r="G167" s="41" t="s">
        <v>1278</v>
      </c>
      <c r="H167" s="53"/>
    </row>
    <row r="168" ht="22.5" customHeight="1">
      <c r="A168" s="139"/>
      <c r="B168" s="199"/>
      <c r="C168" s="25"/>
      <c r="D168" s="25"/>
      <c r="E168" s="138"/>
      <c r="F168" s="138"/>
      <c r="G168" s="138"/>
      <c r="H168" s="119"/>
    </row>
    <row r="169" ht="22.5" customHeight="1">
      <c r="A169" s="139"/>
      <c r="B169" s="199"/>
      <c r="C169" s="25"/>
      <c r="D169" s="25"/>
      <c r="E169" s="138"/>
      <c r="F169" s="138"/>
      <c r="G169" s="138"/>
      <c r="H169" s="119"/>
    </row>
    <row r="170" ht="22.5" customHeight="1">
      <c r="A170" s="139"/>
      <c r="B170" s="199"/>
      <c r="C170" s="25"/>
      <c r="D170" s="25"/>
      <c r="E170" s="138"/>
      <c r="F170" s="138"/>
      <c r="G170" s="138"/>
      <c r="H170" s="119"/>
    </row>
    <row r="171" ht="22.5" customHeight="1">
      <c r="A171" s="139"/>
      <c r="B171" s="199"/>
      <c r="C171" s="25"/>
      <c r="D171" s="25"/>
      <c r="E171" s="138"/>
      <c r="F171" s="138"/>
      <c r="G171" s="138"/>
      <c r="H171" s="119"/>
    </row>
    <row r="172" ht="22.5" customHeight="1">
      <c r="A172" s="139"/>
      <c r="B172" s="199"/>
      <c r="C172" s="25"/>
      <c r="D172" s="25"/>
      <c r="E172" s="138"/>
      <c r="F172" s="138"/>
      <c r="G172" s="138"/>
      <c r="H172" s="119"/>
    </row>
    <row r="173" ht="22.5" customHeight="1">
      <c r="A173" s="139"/>
      <c r="B173" s="199"/>
      <c r="C173" s="25"/>
      <c r="D173" s="25"/>
      <c r="E173" s="138"/>
      <c r="F173" s="138"/>
      <c r="G173" s="138"/>
      <c r="H173" s="119"/>
    </row>
    <row r="174" ht="22.5" customHeight="1">
      <c r="A174" s="139"/>
      <c r="B174" s="199"/>
      <c r="C174" s="25"/>
      <c r="D174" s="25"/>
      <c r="E174" s="138"/>
      <c r="F174" s="138"/>
      <c r="G174" s="138"/>
      <c r="H174" s="119"/>
    </row>
    <row r="175" ht="22.5" customHeight="1">
      <c r="A175" s="139"/>
      <c r="B175" s="199"/>
      <c r="C175" s="25"/>
      <c r="D175" s="25"/>
      <c r="E175" s="138"/>
      <c r="F175" s="138"/>
      <c r="G175" s="138"/>
      <c r="H175" s="119"/>
    </row>
    <row r="176" ht="22.5" customHeight="1">
      <c r="A176" s="139"/>
      <c r="B176" s="199"/>
      <c r="C176" s="25"/>
      <c r="D176" s="25"/>
      <c r="E176" s="138"/>
      <c r="F176" s="138"/>
      <c r="G176" s="138"/>
      <c r="H176" s="119"/>
    </row>
    <row r="177" ht="22.5" customHeight="1">
      <c r="A177" s="139"/>
      <c r="B177" s="199"/>
      <c r="C177" s="25"/>
      <c r="D177" s="25"/>
      <c r="E177" s="138"/>
      <c r="F177" s="138"/>
      <c r="G177" s="138"/>
      <c r="H177" s="119"/>
    </row>
    <row r="178" ht="22.5" customHeight="1">
      <c r="A178" s="139"/>
      <c r="B178" s="199"/>
      <c r="C178" s="25"/>
      <c r="D178" s="25"/>
      <c r="E178" s="138"/>
      <c r="F178" s="138"/>
      <c r="G178" s="138"/>
      <c r="H178" s="119"/>
    </row>
    <row r="179" ht="22.5" customHeight="1">
      <c r="A179" s="139"/>
      <c r="B179" s="199"/>
      <c r="C179" s="25"/>
      <c r="D179" s="25"/>
      <c r="E179" s="138"/>
      <c r="F179" s="138"/>
      <c r="G179" s="138"/>
      <c r="H179" s="119"/>
    </row>
    <row r="180" ht="22.5" customHeight="1">
      <c r="A180" s="139"/>
      <c r="B180" s="199"/>
      <c r="C180" s="25"/>
      <c r="D180" s="25"/>
      <c r="E180" s="138"/>
      <c r="F180" s="138"/>
      <c r="G180" s="138"/>
      <c r="H180" s="119"/>
    </row>
    <row r="181" ht="22.5" customHeight="1">
      <c r="A181" s="139"/>
      <c r="B181" s="199"/>
      <c r="C181" s="25"/>
      <c r="D181" s="25"/>
      <c r="E181" s="138"/>
      <c r="F181" s="138"/>
      <c r="G181" s="138"/>
      <c r="H181" s="119"/>
    </row>
    <row r="182" ht="22.5" customHeight="1">
      <c r="A182" s="139"/>
      <c r="B182" s="199"/>
      <c r="C182" s="25"/>
      <c r="D182" s="25"/>
      <c r="E182" s="138"/>
      <c r="F182" s="138"/>
      <c r="G182" s="138"/>
      <c r="H182" s="119"/>
    </row>
    <row r="183" ht="22.5" customHeight="1">
      <c r="A183" s="139"/>
      <c r="B183" s="199"/>
      <c r="C183" s="25"/>
      <c r="D183" s="25"/>
      <c r="E183" s="138"/>
      <c r="F183" s="138"/>
      <c r="G183" s="138"/>
      <c r="H183" s="119"/>
    </row>
    <row r="184" ht="22.5" customHeight="1">
      <c r="A184" s="139"/>
      <c r="B184" s="199"/>
      <c r="C184" s="25"/>
      <c r="D184" s="25"/>
      <c r="E184" s="138"/>
      <c r="F184" s="138"/>
      <c r="G184" s="138"/>
      <c r="H184" s="119"/>
    </row>
    <row r="185" ht="22.5" customHeight="1">
      <c r="A185" s="139"/>
      <c r="B185" s="199"/>
      <c r="C185" s="25"/>
      <c r="D185" s="25"/>
      <c r="E185" s="138"/>
      <c r="F185" s="138"/>
      <c r="G185" s="138"/>
      <c r="H185" s="119"/>
    </row>
    <row r="186" ht="22.5" customHeight="1">
      <c r="A186" s="139"/>
      <c r="B186" s="199"/>
      <c r="C186" s="25"/>
      <c r="D186" s="25"/>
      <c r="E186" s="138"/>
      <c r="F186" s="138"/>
      <c r="G186" s="138"/>
      <c r="H186" s="119"/>
    </row>
    <row r="187" ht="22.5" customHeight="1">
      <c r="A187" s="139"/>
      <c r="B187" s="199"/>
      <c r="C187" s="25"/>
      <c r="D187" s="25"/>
      <c r="E187" s="138"/>
      <c r="F187" s="138"/>
      <c r="G187" s="138"/>
      <c r="H187" s="119"/>
    </row>
    <row r="188" ht="22.5" customHeight="1">
      <c r="A188" s="139"/>
      <c r="B188" s="199"/>
      <c r="C188" s="25"/>
      <c r="D188" s="25"/>
      <c r="E188" s="138"/>
      <c r="F188" s="138"/>
      <c r="G188" s="138"/>
      <c r="H188" s="119"/>
    </row>
    <row r="189" ht="22.5" customHeight="1">
      <c r="A189" s="139"/>
      <c r="B189" s="199"/>
      <c r="C189" s="25"/>
      <c r="D189" s="25"/>
      <c r="E189" s="138"/>
      <c r="F189" s="138"/>
      <c r="G189" s="138"/>
      <c r="H189" s="119"/>
    </row>
    <row r="190" ht="22.5" customHeight="1">
      <c r="A190" s="139"/>
      <c r="B190" s="199"/>
      <c r="C190" s="25"/>
      <c r="D190" s="25"/>
      <c r="E190" s="138"/>
      <c r="F190" s="138"/>
      <c r="G190" s="138"/>
      <c r="H190" s="119"/>
    </row>
    <row r="191" ht="22.5" customHeight="1">
      <c r="A191" s="139"/>
      <c r="B191" s="199"/>
      <c r="C191" s="25"/>
      <c r="D191" s="25"/>
      <c r="E191" s="138"/>
      <c r="F191" s="138"/>
      <c r="G191" s="138"/>
      <c r="H191" s="119"/>
    </row>
    <row r="192" ht="22.5" customHeight="1">
      <c r="A192" s="139"/>
      <c r="B192" s="199"/>
      <c r="C192" s="25"/>
      <c r="D192" s="25"/>
      <c r="E192" s="138"/>
      <c r="F192" s="138"/>
      <c r="G192" s="138"/>
      <c r="H192" s="119"/>
    </row>
    <row r="193" ht="22.5" customHeight="1">
      <c r="A193" s="139"/>
      <c r="B193" s="199"/>
      <c r="C193" s="25"/>
      <c r="D193" s="25"/>
      <c r="E193" s="138"/>
      <c r="F193" s="138"/>
      <c r="G193" s="138"/>
      <c r="H193" s="119"/>
    </row>
    <row r="194" ht="22.5" customHeight="1">
      <c r="A194" s="139"/>
      <c r="B194" s="199"/>
      <c r="C194" s="25"/>
      <c r="D194" s="25"/>
      <c r="E194" s="138"/>
      <c r="F194" s="138"/>
      <c r="G194" s="138"/>
      <c r="H194" s="119"/>
    </row>
    <row r="195" ht="22.5" customHeight="1">
      <c r="A195" s="139"/>
      <c r="B195" s="199"/>
      <c r="C195" s="25"/>
      <c r="D195" s="25"/>
      <c r="E195" s="138"/>
      <c r="F195" s="138"/>
      <c r="G195" s="138"/>
      <c r="H195" s="119"/>
    </row>
    <row r="196" ht="22.5" customHeight="1">
      <c r="A196" s="139"/>
      <c r="B196" s="199"/>
      <c r="C196" s="25"/>
      <c r="D196" s="25"/>
      <c r="E196" s="138"/>
      <c r="F196" s="138"/>
      <c r="G196" s="138"/>
      <c r="H196" s="119"/>
    </row>
    <row r="197" ht="22.5" customHeight="1">
      <c r="A197" s="139"/>
      <c r="B197" s="199"/>
      <c r="C197" s="25"/>
      <c r="D197" s="25"/>
      <c r="E197" s="138"/>
      <c r="F197" s="138"/>
      <c r="G197" s="138"/>
      <c r="H197" s="119"/>
    </row>
    <row r="198" ht="22.5" customHeight="1">
      <c r="A198" s="139"/>
      <c r="B198" s="199"/>
      <c r="C198" s="25"/>
      <c r="D198" s="25"/>
      <c r="E198" s="138"/>
      <c r="F198" s="138"/>
      <c r="G198" s="138"/>
      <c r="H198" s="119"/>
    </row>
    <row r="199" ht="22.5" customHeight="1">
      <c r="A199" s="139"/>
      <c r="B199" s="199"/>
      <c r="C199" s="25"/>
      <c r="D199" s="25"/>
      <c r="E199" s="138"/>
      <c r="F199" s="138"/>
      <c r="G199" s="138"/>
      <c r="H199" s="119"/>
    </row>
    <row r="200" ht="22.5" customHeight="1">
      <c r="A200" s="139"/>
      <c r="B200" s="199"/>
      <c r="C200" s="25"/>
      <c r="D200" s="25"/>
      <c r="E200" s="138"/>
      <c r="F200" s="138"/>
      <c r="G200" s="138"/>
      <c r="H200" s="119"/>
    </row>
    <row r="201" ht="22.5" customHeight="1">
      <c r="A201" s="139"/>
      <c r="B201" s="199"/>
      <c r="C201" s="25"/>
      <c r="D201" s="25"/>
      <c r="E201" s="138"/>
      <c r="F201" s="138"/>
      <c r="G201" s="138"/>
      <c r="H201" s="119"/>
    </row>
    <row r="202" ht="22.5" customHeight="1">
      <c r="A202" s="139"/>
      <c r="B202" s="199"/>
      <c r="C202" s="25"/>
      <c r="D202" s="25"/>
      <c r="E202" s="138"/>
      <c r="F202" s="138"/>
      <c r="G202" s="138"/>
      <c r="H202" s="119"/>
    </row>
    <row r="203" ht="22.5" customHeight="1">
      <c r="A203" s="139"/>
      <c r="B203" s="199"/>
      <c r="C203" s="25"/>
      <c r="D203" s="25"/>
      <c r="E203" s="138"/>
      <c r="F203" s="138"/>
      <c r="G203" s="138"/>
      <c r="H203" s="119"/>
    </row>
    <row r="204" ht="22.5" customHeight="1">
      <c r="A204" s="139"/>
      <c r="B204" s="199"/>
      <c r="C204" s="25"/>
      <c r="D204" s="25"/>
      <c r="E204" s="138"/>
      <c r="F204" s="138"/>
      <c r="G204" s="138"/>
      <c r="H204" s="119"/>
    </row>
    <row r="205" ht="22.5" customHeight="1">
      <c r="A205" s="139"/>
      <c r="B205" s="199"/>
      <c r="C205" s="25"/>
      <c r="D205" s="25"/>
      <c r="E205" s="138"/>
      <c r="F205" s="138"/>
      <c r="G205" s="138"/>
      <c r="H205" s="119"/>
    </row>
    <row r="206" ht="22.5" customHeight="1">
      <c r="A206" s="139"/>
      <c r="B206" s="199"/>
      <c r="C206" s="25"/>
      <c r="D206" s="25"/>
      <c r="E206" s="138"/>
      <c r="F206" s="138"/>
      <c r="G206" s="138"/>
      <c r="H206" s="119"/>
    </row>
    <row r="207" ht="22.5" customHeight="1">
      <c r="A207" s="139"/>
      <c r="B207" s="199"/>
      <c r="C207" s="25"/>
      <c r="D207" s="25"/>
      <c r="E207" s="138"/>
      <c r="F207" s="138"/>
      <c r="G207" s="138"/>
      <c r="H207" s="119"/>
    </row>
    <row r="208" ht="22.5" customHeight="1">
      <c r="A208" s="139"/>
      <c r="B208" s="199"/>
      <c r="C208" s="25"/>
      <c r="D208" s="25"/>
      <c r="E208" s="138"/>
      <c r="F208" s="138"/>
      <c r="G208" s="138"/>
      <c r="H208" s="119"/>
    </row>
    <row r="209" ht="22.5" customHeight="1">
      <c r="A209" s="139"/>
      <c r="B209" s="199"/>
      <c r="C209" s="25"/>
      <c r="D209" s="25"/>
      <c r="E209" s="138"/>
      <c r="F209" s="138"/>
      <c r="G209" s="138"/>
      <c r="H209" s="119"/>
    </row>
    <row r="210" ht="22.5" customHeight="1">
      <c r="A210" s="139"/>
      <c r="B210" s="199"/>
      <c r="C210" s="25"/>
      <c r="D210" s="25"/>
      <c r="E210" s="138"/>
      <c r="F210" s="138"/>
      <c r="G210" s="138"/>
      <c r="H210" s="119"/>
    </row>
    <row r="211" ht="22.5" customHeight="1">
      <c r="A211" s="139"/>
      <c r="B211" s="199"/>
      <c r="C211" s="25"/>
      <c r="D211" s="25"/>
      <c r="E211" s="138"/>
      <c r="F211" s="138"/>
      <c r="G211" s="138"/>
      <c r="H211" s="119"/>
    </row>
    <row r="212" ht="22.5" customHeight="1">
      <c r="A212" s="139"/>
      <c r="B212" s="199"/>
      <c r="C212" s="25"/>
      <c r="D212" s="25"/>
      <c r="E212" s="138"/>
      <c r="F212" s="138"/>
      <c r="G212" s="138"/>
      <c r="H212" s="119"/>
    </row>
    <row r="213" ht="22.5" customHeight="1">
      <c r="A213" s="139"/>
      <c r="B213" s="199"/>
      <c r="C213" s="25"/>
      <c r="D213" s="25"/>
      <c r="E213" s="138"/>
      <c r="F213" s="138"/>
      <c r="G213" s="138"/>
      <c r="H213" s="119"/>
    </row>
    <row r="214" ht="22.5" customHeight="1">
      <c r="A214" s="139"/>
      <c r="B214" s="199"/>
      <c r="C214" s="25"/>
      <c r="D214" s="25"/>
      <c r="E214" s="138"/>
      <c r="F214" s="138"/>
      <c r="G214" s="138"/>
      <c r="H214" s="119"/>
    </row>
    <row r="215" ht="22.5" customHeight="1">
      <c r="A215" s="139"/>
      <c r="B215" s="199"/>
      <c r="C215" s="25"/>
      <c r="D215" s="25"/>
      <c r="E215" s="138"/>
      <c r="F215" s="138"/>
      <c r="G215" s="138"/>
      <c r="H215" s="119"/>
    </row>
    <row r="216" ht="22.5" customHeight="1">
      <c r="A216" s="139"/>
      <c r="B216" s="199"/>
      <c r="C216" s="25"/>
      <c r="D216" s="25"/>
      <c r="E216" s="138"/>
      <c r="F216" s="138"/>
      <c r="G216" s="138"/>
      <c r="H216" s="119"/>
    </row>
    <row r="217" ht="22.5" customHeight="1">
      <c r="A217" s="139"/>
      <c r="B217" s="199"/>
      <c r="C217" s="25"/>
      <c r="D217" s="25"/>
      <c r="E217" s="138"/>
      <c r="F217" s="138"/>
      <c r="G217" s="138"/>
      <c r="H217" s="119"/>
    </row>
    <row r="218" ht="22.5" customHeight="1">
      <c r="A218" s="139"/>
      <c r="B218" s="199"/>
      <c r="C218" s="25"/>
      <c r="D218" s="25"/>
      <c r="E218" s="138"/>
      <c r="F218" s="138"/>
      <c r="G218" s="138"/>
      <c r="H218" s="119"/>
    </row>
    <row r="219" ht="22.5" customHeight="1">
      <c r="A219" s="139"/>
      <c r="B219" s="199"/>
      <c r="C219" s="25"/>
      <c r="D219" s="25"/>
      <c r="E219" s="138"/>
      <c r="F219" s="138"/>
      <c r="G219" s="138"/>
      <c r="H219" s="119"/>
    </row>
    <row r="220" ht="22.5" customHeight="1">
      <c r="A220" s="139"/>
      <c r="B220" s="199"/>
      <c r="C220" s="25"/>
      <c r="D220" s="25"/>
      <c r="E220" s="138"/>
      <c r="F220" s="138"/>
      <c r="G220" s="138"/>
      <c r="H220" s="119"/>
    </row>
    <row r="221" ht="22.5" customHeight="1">
      <c r="A221" s="139"/>
      <c r="B221" s="199"/>
      <c r="C221" s="25"/>
      <c r="D221" s="25"/>
      <c r="E221" s="138"/>
      <c r="F221" s="138"/>
      <c r="G221" s="138"/>
      <c r="H221" s="119"/>
    </row>
    <row r="222" ht="22.5" customHeight="1">
      <c r="A222" s="139"/>
      <c r="B222" s="199"/>
      <c r="C222" s="25"/>
      <c r="D222" s="25"/>
      <c r="E222" s="138"/>
      <c r="F222" s="138"/>
      <c r="G222" s="138"/>
      <c r="H222" s="119"/>
    </row>
    <row r="223" ht="22.5" customHeight="1">
      <c r="A223" s="139"/>
      <c r="B223" s="199"/>
      <c r="C223" s="25"/>
      <c r="D223" s="25"/>
      <c r="E223" s="138"/>
      <c r="F223" s="138"/>
      <c r="G223" s="138"/>
      <c r="H223" s="119"/>
    </row>
    <row r="224" ht="22.5" customHeight="1">
      <c r="A224" s="139"/>
      <c r="B224" s="199"/>
      <c r="C224" s="25"/>
      <c r="D224" s="25"/>
      <c r="E224" s="138"/>
      <c r="F224" s="138"/>
      <c r="G224" s="138"/>
      <c r="H224" s="119"/>
    </row>
    <row r="225" ht="22.5" customHeight="1">
      <c r="A225" s="139"/>
      <c r="B225" s="199"/>
      <c r="C225" s="25"/>
      <c r="D225" s="25"/>
      <c r="E225" s="138"/>
      <c r="F225" s="138"/>
      <c r="G225" s="138"/>
      <c r="H225" s="119"/>
    </row>
    <row r="226" ht="22.5" customHeight="1">
      <c r="A226" s="139"/>
      <c r="B226" s="199"/>
      <c r="C226" s="25"/>
      <c r="D226" s="25"/>
      <c r="E226" s="138"/>
      <c r="F226" s="138"/>
      <c r="G226" s="138"/>
      <c r="H226" s="119"/>
    </row>
    <row r="227" ht="22.5" customHeight="1">
      <c r="A227" s="139"/>
      <c r="B227" s="199"/>
      <c r="C227" s="25"/>
      <c r="D227" s="25"/>
      <c r="E227" s="138"/>
      <c r="F227" s="138"/>
      <c r="G227" s="138"/>
      <c r="H227" s="119"/>
    </row>
    <row r="228" ht="22.5" customHeight="1">
      <c r="A228" s="139"/>
      <c r="B228" s="199"/>
      <c r="C228" s="25"/>
      <c r="D228" s="25"/>
      <c r="E228" s="138"/>
      <c r="F228" s="138"/>
      <c r="G228" s="138"/>
      <c r="H228" s="119"/>
    </row>
    <row r="229" ht="22.5" customHeight="1">
      <c r="A229" s="139"/>
      <c r="B229" s="199"/>
      <c r="C229" s="25"/>
      <c r="D229" s="25"/>
      <c r="E229" s="138"/>
      <c r="F229" s="138"/>
      <c r="G229" s="138"/>
      <c r="H229" s="119"/>
    </row>
    <row r="230" ht="22.5" customHeight="1">
      <c r="A230" s="139"/>
      <c r="B230" s="199"/>
      <c r="C230" s="25"/>
      <c r="D230" s="25"/>
      <c r="E230" s="138"/>
      <c r="F230" s="138"/>
      <c r="G230" s="138"/>
      <c r="H230" s="119"/>
    </row>
    <row r="231" ht="22.5" customHeight="1">
      <c r="A231" s="139"/>
      <c r="B231" s="199"/>
      <c r="C231" s="25"/>
      <c r="D231" s="25"/>
      <c r="E231" s="138"/>
      <c r="F231" s="138"/>
      <c r="G231" s="138"/>
      <c r="H231" s="119"/>
    </row>
    <row r="232" ht="22.5" customHeight="1">
      <c r="A232" s="139"/>
      <c r="B232" s="199"/>
      <c r="C232" s="25"/>
      <c r="D232" s="25"/>
      <c r="E232" s="138"/>
      <c r="F232" s="138"/>
      <c r="G232" s="138"/>
      <c r="H232" s="119"/>
    </row>
    <row r="233" ht="22.5" customHeight="1">
      <c r="A233" s="139"/>
      <c r="B233" s="199"/>
      <c r="C233" s="25"/>
      <c r="D233" s="25"/>
      <c r="E233" s="138"/>
      <c r="F233" s="138"/>
      <c r="G233" s="138"/>
      <c r="H233" s="119"/>
    </row>
    <row r="234" ht="22.5" customHeight="1">
      <c r="A234" s="139"/>
      <c r="B234" s="199"/>
      <c r="C234" s="25"/>
      <c r="D234" s="25"/>
      <c r="E234" s="138"/>
      <c r="F234" s="138"/>
      <c r="G234" s="138"/>
      <c r="H234" s="119"/>
    </row>
    <row r="235" ht="22.5" customHeight="1">
      <c r="A235" s="139"/>
      <c r="B235" s="199"/>
      <c r="C235" s="25"/>
      <c r="D235" s="25"/>
      <c r="E235" s="138"/>
      <c r="F235" s="138"/>
      <c r="G235" s="138"/>
      <c r="H235" s="119"/>
    </row>
    <row r="236" ht="22.5" customHeight="1">
      <c r="A236" s="139"/>
      <c r="B236" s="199"/>
      <c r="C236" s="25"/>
      <c r="D236" s="25"/>
      <c r="E236" s="138"/>
      <c r="F236" s="138"/>
      <c r="G236" s="138"/>
      <c r="H236" s="119"/>
    </row>
    <row r="237" ht="22.5" customHeight="1">
      <c r="A237" s="139"/>
      <c r="B237" s="199"/>
      <c r="C237" s="25"/>
      <c r="D237" s="25"/>
      <c r="E237" s="138"/>
      <c r="F237" s="138"/>
      <c r="G237" s="138"/>
      <c r="H237" s="119"/>
    </row>
    <row r="238" ht="22.5" customHeight="1">
      <c r="A238" s="139"/>
      <c r="B238" s="199"/>
      <c r="C238" s="25"/>
      <c r="D238" s="25"/>
      <c r="E238" s="138"/>
      <c r="F238" s="138"/>
      <c r="G238" s="138"/>
      <c r="H238" s="119"/>
    </row>
  </sheetData>
  <dataValidations>
    <dataValidation type="custom" allowBlank="1" showDropDown="1" sqref="A2:A238">
      <formula1>OR(NOT(ISERROR(DATEVALUE(A2))), AND(ISNUMBER(A2), LEFT(CELL("format", A2))="D"))</formula1>
    </dataValidation>
    <dataValidation allowBlank="1" showDropDown="1" sqref="H2:H238"/>
  </dataValidations>
  <hyperlinks>
    <hyperlink r:id="rId1" ref="G2"/>
    <hyperlink r:id="rId2" ref="G3"/>
    <hyperlink r:id="rId3" ref="G4"/>
    <hyperlink r:id="rId4" ref="G5"/>
    <hyperlink r:id="rId5" ref="G6"/>
    <hyperlink r:id="rId6" ref="G7"/>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3"/>
    <hyperlink r:id="rId30" ref="G34"/>
    <hyperlink r:id="rId31" ref="G35"/>
    <hyperlink r:id="rId32" ref="G36"/>
    <hyperlink r:id="rId33" ref="G38"/>
    <hyperlink r:id="rId34" ref="G39"/>
    <hyperlink r:id="rId35" ref="G40"/>
    <hyperlink r:id="rId36" ref="G41"/>
    <hyperlink r:id="rId37" ref="G42"/>
    <hyperlink r:id="rId38" ref="G45"/>
    <hyperlink r:id="rId39" ref="G46"/>
    <hyperlink r:id="rId40" ref="G47"/>
    <hyperlink r:id="rId41" ref="G48"/>
    <hyperlink r:id="rId42" ref="G49"/>
    <hyperlink r:id="rId43" ref="G50"/>
    <hyperlink r:id="rId44" ref="G51"/>
    <hyperlink r:id="rId45" ref="G52"/>
    <hyperlink r:id="rId46" ref="G53"/>
    <hyperlink r:id="rId47" ref="G54"/>
    <hyperlink r:id="rId48" ref="G55"/>
    <hyperlink r:id="rId49" ref="G56"/>
    <hyperlink r:id="rId50" ref="G57"/>
    <hyperlink r:id="rId51" ref="G58"/>
    <hyperlink r:id="rId52" ref="G59"/>
    <hyperlink r:id="rId53" ref="G60"/>
    <hyperlink r:id="rId54" ref="G61"/>
    <hyperlink r:id="rId55" ref="G62"/>
    <hyperlink r:id="rId56" ref="G63"/>
    <hyperlink r:id="rId57" ref="G64"/>
    <hyperlink r:id="rId58" ref="G65"/>
    <hyperlink r:id="rId59" ref="G66"/>
    <hyperlink r:id="rId60" ref="G67"/>
    <hyperlink r:id="rId61" ref="G68"/>
    <hyperlink r:id="rId62" ref="G69"/>
    <hyperlink r:id="rId63" ref="G70"/>
    <hyperlink r:id="rId64" ref="G71"/>
    <hyperlink r:id="rId65" ref="G72"/>
    <hyperlink r:id="rId66" ref="G73"/>
    <hyperlink r:id="rId67" ref="G74"/>
    <hyperlink r:id="rId68" ref="G75"/>
    <hyperlink r:id="rId69" ref="G76"/>
    <hyperlink r:id="rId70" ref="G77"/>
    <hyperlink r:id="rId71" ref="G78"/>
    <hyperlink r:id="rId72" ref="G79"/>
    <hyperlink r:id="rId73" ref="G80"/>
    <hyperlink r:id="rId74" ref="G81"/>
    <hyperlink r:id="rId75" ref="G82"/>
    <hyperlink r:id="rId76" ref="G83"/>
    <hyperlink r:id="rId77" ref="G84"/>
    <hyperlink r:id="rId78" ref="G85"/>
    <hyperlink r:id="rId79" ref="G86"/>
    <hyperlink r:id="rId80" ref="G87"/>
    <hyperlink r:id="rId81" ref="G88"/>
    <hyperlink r:id="rId82" ref="G89"/>
    <hyperlink r:id="rId83" ref="G90"/>
    <hyperlink r:id="rId84" ref="G91"/>
    <hyperlink r:id="rId85" ref="G92"/>
    <hyperlink r:id="rId86" ref="G93"/>
    <hyperlink r:id="rId87" ref="G94"/>
    <hyperlink r:id="rId88" ref="G95"/>
    <hyperlink r:id="rId89" ref="G96"/>
    <hyperlink r:id="rId90" ref="G97"/>
    <hyperlink r:id="rId91" ref="G98"/>
    <hyperlink r:id="rId92" ref="G99"/>
    <hyperlink r:id="rId93" ref="G100"/>
    <hyperlink r:id="rId94" ref="G101"/>
    <hyperlink r:id="rId95" ref="G102"/>
    <hyperlink r:id="rId96" ref="G103"/>
    <hyperlink r:id="rId97" ref="G104"/>
    <hyperlink r:id="rId98" ref="G105"/>
    <hyperlink r:id="rId99" ref="G106"/>
    <hyperlink r:id="rId100" ref="G107"/>
    <hyperlink r:id="rId101" ref="G108"/>
    <hyperlink r:id="rId102" ref="G109"/>
    <hyperlink r:id="rId103" ref="G110"/>
    <hyperlink r:id="rId104" ref="G111"/>
    <hyperlink r:id="rId105" ref="G112"/>
    <hyperlink r:id="rId106" ref="G113"/>
    <hyperlink r:id="rId107" ref="G114"/>
    <hyperlink r:id="rId108" ref="G115"/>
    <hyperlink r:id="rId109" ref="G117"/>
    <hyperlink r:id="rId110" ref="G118"/>
    <hyperlink r:id="rId111" ref="G119"/>
    <hyperlink r:id="rId112" ref="G120"/>
  </hyperlinks>
  <drawing r:id="rId113"/>
  <tableParts count="1">
    <tablePart r:id="rId11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3.5"/>
    <col customWidth="1" min="3" max="4" width="11.0"/>
    <col customWidth="1" min="5" max="5" width="25.13"/>
    <col customWidth="1" min="6" max="6" width="19.0"/>
    <col customWidth="1" min="7" max="7" width="26.5"/>
    <col customWidth="1" min="8" max="8" width="32.63"/>
    <col customWidth="1" min="10" max="10" width="48.63"/>
  </cols>
  <sheetData>
    <row r="1" ht="22.5" customHeight="1">
      <c r="A1" s="3" t="s">
        <v>2</v>
      </c>
      <c r="B1" s="27" t="s">
        <v>1287</v>
      </c>
      <c r="C1" s="27" t="s">
        <v>30</v>
      </c>
      <c r="D1" s="3" t="s">
        <v>584</v>
      </c>
      <c r="E1" s="27" t="s">
        <v>32</v>
      </c>
      <c r="F1" s="27" t="s">
        <v>33</v>
      </c>
      <c r="G1" s="27" t="s">
        <v>34</v>
      </c>
      <c r="H1" s="3" t="s">
        <v>8</v>
      </c>
      <c r="I1" s="155"/>
      <c r="J1" s="157" t="s">
        <v>1288</v>
      </c>
      <c r="K1" s="155"/>
      <c r="L1" s="155"/>
      <c r="M1" s="155"/>
      <c r="N1" s="155"/>
      <c r="O1" s="155"/>
      <c r="P1" s="155"/>
      <c r="Q1" s="155"/>
      <c r="R1" s="155"/>
      <c r="S1" s="155"/>
      <c r="T1" s="155"/>
      <c r="U1" s="155"/>
      <c r="V1" s="155"/>
      <c r="W1" s="155"/>
      <c r="X1" s="155"/>
      <c r="Y1" s="155"/>
      <c r="Z1" s="155"/>
      <c r="AA1" s="155"/>
    </row>
    <row r="2" ht="22.5" customHeight="1">
      <c r="A2" s="5">
        <v>45856.0</v>
      </c>
      <c r="B2" s="39">
        <v>8.0</v>
      </c>
      <c r="C2" s="28"/>
      <c r="D2" s="6"/>
      <c r="E2" s="29" t="s">
        <v>1289</v>
      </c>
      <c r="F2" s="29"/>
      <c r="G2" s="29"/>
      <c r="H2" s="7"/>
      <c r="I2" s="155"/>
      <c r="J2" s="200"/>
      <c r="K2" s="155"/>
      <c r="L2" s="155"/>
      <c r="M2" s="155"/>
      <c r="N2" s="155"/>
      <c r="O2" s="155"/>
      <c r="P2" s="155"/>
      <c r="Q2" s="155"/>
      <c r="R2" s="155"/>
      <c r="S2" s="155"/>
      <c r="T2" s="155"/>
      <c r="U2" s="155"/>
      <c r="V2" s="155"/>
      <c r="W2" s="155"/>
      <c r="X2" s="155"/>
      <c r="Y2" s="155"/>
      <c r="Z2" s="155"/>
      <c r="AA2" s="155"/>
    </row>
    <row r="3" ht="22.5" customHeight="1">
      <c r="A3" s="5">
        <v>45859.0</v>
      </c>
      <c r="B3" s="28">
        <v>8.0</v>
      </c>
      <c r="C3" s="28"/>
      <c r="D3" s="8"/>
      <c r="E3" s="29" t="s">
        <v>1290</v>
      </c>
      <c r="F3" s="29" t="s">
        <v>1291</v>
      </c>
      <c r="G3" s="30" t="s">
        <v>1292</v>
      </c>
      <c r="H3" s="7"/>
      <c r="I3" s="155"/>
      <c r="J3" s="200"/>
      <c r="K3" s="155"/>
      <c r="L3" s="155"/>
      <c r="M3" s="155"/>
      <c r="N3" s="155"/>
      <c r="O3" s="155"/>
      <c r="P3" s="155"/>
      <c r="Q3" s="155"/>
      <c r="R3" s="155"/>
      <c r="S3" s="155"/>
      <c r="T3" s="155"/>
      <c r="U3" s="155"/>
      <c r="V3" s="155"/>
      <c r="W3" s="155"/>
      <c r="X3" s="155"/>
      <c r="Y3" s="155"/>
      <c r="Z3" s="155"/>
      <c r="AA3" s="155"/>
    </row>
    <row r="4" ht="22.5" customHeight="1">
      <c r="A4" s="5">
        <v>45860.0</v>
      </c>
      <c r="B4" s="28">
        <v>8.0</v>
      </c>
      <c r="C4" s="28"/>
      <c r="D4" s="8"/>
      <c r="E4" s="29" t="s">
        <v>1290</v>
      </c>
      <c r="F4" s="29" t="s">
        <v>1291</v>
      </c>
      <c r="G4" s="30" t="s">
        <v>1293</v>
      </c>
      <c r="H4" s="7"/>
      <c r="I4" s="155"/>
      <c r="J4" s="200"/>
      <c r="K4" s="155"/>
      <c r="L4" s="155"/>
      <c r="M4" s="155"/>
      <c r="N4" s="155"/>
      <c r="O4" s="155"/>
      <c r="P4" s="155"/>
      <c r="Q4" s="155"/>
      <c r="R4" s="155"/>
      <c r="S4" s="155"/>
      <c r="T4" s="155"/>
      <c r="U4" s="155"/>
      <c r="V4" s="155"/>
      <c r="W4" s="155"/>
      <c r="X4" s="155"/>
      <c r="Y4" s="155"/>
      <c r="Z4" s="155"/>
      <c r="AA4" s="155"/>
    </row>
    <row r="5" ht="22.5" customHeight="1">
      <c r="A5" s="5">
        <v>45861.0</v>
      </c>
      <c r="B5" s="28">
        <v>8.0</v>
      </c>
      <c r="C5" s="28"/>
      <c r="D5" s="8"/>
      <c r="E5" s="29" t="s">
        <v>1294</v>
      </c>
      <c r="F5" s="29" t="s">
        <v>1291</v>
      </c>
      <c r="G5" s="30" t="s">
        <v>1295</v>
      </c>
      <c r="H5" s="7"/>
      <c r="I5" s="155"/>
      <c r="J5" s="200"/>
      <c r="K5" s="155"/>
      <c r="L5" s="155"/>
      <c r="M5" s="155"/>
      <c r="N5" s="155"/>
      <c r="O5" s="155"/>
      <c r="P5" s="155"/>
      <c r="Q5" s="155"/>
      <c r="R5" s="155"/>
      <c r="S5" s="155"/>
      <c r="T5" s="155"/>
      <c r="U5" s="155"/>
      <c r="V5" s="155"/>
      <c r="W5" s="155"/>
      <c r="X5" s="155"/>
      <c r="Y5" s="155"/>
      <c r="Z5" s="155"/>
      <c r="AA5" s="155"/>
    </row>
    <row r="6" ht="22.5" customHeight="1">
      <c r="A6" s="131">
        <v>45862.0</v>
      </c>
      <c r="B6" s="201">
        <v>8.0</v>
      </c>
      <c r="C6" s="132"/>
      <c r="D6" s="202"/>
      <c r="E6" s="190" t="s">
        <v>1296</v>
      </c>
      <c r="F6" s="190"/>
      <c r="G6" s="190"/>
      <c r="H6" s="203" t="s">
        <v>939</v>
      </c>
      <c r="I6" s="155"/>
      <c r="J6" s="200"/>
      <c r="K6" s="155"/>
      <c r="L6" s="155"/>
      <c r="M6" s="155"/>
      <c r="N6" s="155"/>
      <c r="O6" s="155"/>
      <c r="P6" s="155"/>
      <c r="Q6" s="155"/>
      <c r="R6" s="155"/>
      <c r="S6" s="155"/>
      <c r="T6" s="155"/>
      <c r="U6" s="155"/>
      <c r="V6" s="155"/>
      <c r="W6" s="155"/>
      <c r="X6" s="155"/>
      <c r="Y6" s="155"/>
      <c r="Z6" s="155"/>
      <c r="AA6" s="155"/>
    </row>
    <row r="7" ht="22.5" customHeight="1">
      <c r="A7" s="5">
        <v>45863.0</v>
      </c>
      <c r="B7" s="33">
        <v>8.0</v>
      </c>
      <c r="C7" s="28"/>
      <c r="D7" s="12"/>
      <c r="E7" s="29" t="s">
        <v>1290</v>
      </c>
      <c r="F7" s="29" t="s">
        <v>1291</v>
      </c>
      <c r="G7" s="32" t="s">
        <v>1297</v>
      </c>
      <c r="H7" s="13"/>
      <c r="I7" s="155"/>
      <c r="J7" s="200"/>
      <c r="K7" s="155"/>
      <c r="L7" s="155"/>
      <c r="M7" s="155"/>
      <c r="N7" s="155"/>
      <c r="O7" s="155"/>
      <c r="P7" s="155"/>
      <c r="Q7" s="155"/>
      <c r="R7" s="155"/>
      <c r="S7" s="155"/>
      <c r="T7" s="155"/>
      <c r="U7" s="155"/>
      <c r="V7" s="155"/>
      <c r="W7" s="155"/>
      <c r="X7" s="155"/>
      <c r="Y7" s="155"/>
      <c r="Z7" s="155"/>
      <c r="AA7" s="155"/>
    </row>
    <row r="8" ht="22.5" customHeight="1">
      <c r="A8" s="5">
        <v>45866.0</v>
      </c>
      <c r="B8" s="33"/>
      <c r="C8" s="28">
        <v>8.0</v>
      </c>
      <c r="D8" s="12"/>
      <c r="E8" s="29" t="s">
        <v>1298</v>
      </c>
      <c r="F8" s="29" t="s">
        <v>745</v>
      </c>
      <c r="G8" s="29"/>
      <c r="H8" s="13"/>
      <c r="I8" s="155"/>
      <c r="J8" s="157" t="s">
        <v>1299</v>
      </c>
      <c r="K8" s="155"/>
      <c r="L8" s="155"/>
      <c r="M8" s="155"/>
      <c r="N8" s="155"/>
      <c r="O8" s="155"/>
      <c r="P8" s="155"/>
      <c r="Q8" s="155"/>
      <c r="R8" s="155"/>
      <c r="S8" s="155"/>
      <c r="T8" s="155"/>
      <c r="U8" s="155"/>
      <c r="V8" s="155"/>
      <c r="W8" s="155"/>
      <c r="X8" s="155"/>
      <c r="Y8" s="155"/>
      <c r="Z8" s="155"/>
      <c r="AA8" s="155"/>
    </row>
    <row r="9" ht="22.5" customHeight="1">
      <c r="A9" s="5">
        <v>45867.0</v>
      </c>
      <c r="B9" s="33"/>
      <c r="C9" s="28">
        <v>8.0</v>
      </c>
      <c r="D9" s="12"/>
      <c r="E9" s="29" t="s">
        <v>1298</v>
      </c>
      <c r="F9" s="29" t="s">
        <v>745</v>
      </c>
      <c r="G9" s="29"/>
      <c r="H9" s="13"/>
      <c r="I9" s="155"/>
      <c r="J9" s="200"/>
      <c r="K9" s="155"/>
      <c r="L9" s="155"/>
      <c r="M9" s="155"/>
      <c r="N9" s="155"/>
      <c r="O9" s="155"/>
      <c r="P9" s="155"/>
      <c r="Q9" s="155"/>
      <c r="R9" s="155"/>
      <c r="S9" s="155"/>
      <c r="T9" s="155"/>
      <c r="U9" s="155"/>
      <c r="V9" s="155"/>
      <c r="W9" s="155"/>
      <c r="X9" s="155"/>
      <c r="Y9" s="155"/>
      <c r="Z9" s="155"/>
      <c r="AA9" s="155"/>
    </row>
    <row r="10" ht="22.5" customHeight="1">
      <c r="A10" s="5">
        <v>45868.0</v>
      </c>
      <c r="B10" s="33"/>
      <c r="C10" s="28">
        <v>8.0</v>
      </c>
      <c r="D10" s="11"/>
      <c r="E10" s="29" t="s">
        <v>1298</v>
      </c>
      <c r="F10" s="29" t="s">
        <v>745</v>
      </c>
      <c r="G10" s="29"/>
      <c r="H10" s="13"/>
      <c r="I10" s="155"/>
      <c r="J10" s="200"/>
      <c r="K10" s="155"/>
      <c r="L10" s="155"/>
      <c r="M10" s="155"/>
      <c r="N10" s="155"/>
      <c r="O10" s="155"/>
      <c r="P10" s="155"/>
      <c r="Q10" s="155"/>
      <c r="R10" s="155"/>
      <c r="S10" s="155"/>
      <c r="T10" s="155"/>
      <c r="U10" s="155"/>
      <c r="V10" s="155"/>
      <c r="W10" s="155"/>
      <c r="X10" s="155"/>
      <c r="Y10" s="155"/>
      <c r="Z10" s="155"/>
      <c r="AA10" s="155"/>
    </row>
    <row r="11" ht="22.5" customHeight="1">
      <c r="A11" s="5">
        <v>45869.0</v>
      </c>
      <c r="B11" s="33">
        <v>8.0</v>
      </c>
      <c r="C11" s="42"/>
      <c r="D11" s="11"/>
      <c r="E11" s="29" t="s">
        <v>1290</v>
      </c>
      <c r="F11" s="29" t="s">
        <v>1300</v>
      </c>
      <c r="G11" s="32" t="s">
        <v>1301</v>
      </c>
      <c r="H11" s="7"/>
      <c r="I11" s="155"/>
      <c r="J11" s="200"/>
      <c r="K11" s="155"/>
      <c r="L11" s="155"/>
      <c r="M11" s="155"/>
      <c r="N11" s="155"/>
      <c r="O11" s="155"/>
      <c r="P11" s="155"/>
      <c r="Q11" s="155"/>
      <c r="R11" s="155"/>
      <c r="S11" s="155"/>
      <c r="T11" s="155"/>
      <c r="U11" s="155"/>
      <c r="V11" s="155"/>
      <c r="W11" s="155"/>
      <c r="X11" s="155"/>
      <c r="Y11" s="155"/>
      <c r="Z11" s="155"/>
      <c r="AA11" s="155"/>
    </row>
    <row r="12" ht="22.5" customHeight="1">
      <c r="A12" s="5">
        <v>45870.0</v>
      </c>
      <c r="B12" s="33">
        <v>8.0</v>
      </c>
      <c r="C12" s="33"/>
      <c r="D12" s="11"/>
      <c r="E12" s="29" t="s">
        <v>1290</v>
      </c>
      <c r="F12" s="29" t="s">
        <v>1291</v>
      </c>
      <c r="G12" s="30" t="s">
        <v>1302</v>
      </c>
      <c r="H12" s="8" t="s">
        <v>1303</v>
      </c>
      <c r="I12" s="155"/>
      <c r="J12" s="200"/>
      <c r="K12" s="155"/>
      <c r="L12" s="155"/>
      <c r="M12" s="155"/>
      <c r="N12" s="155"/>
      <c r="O12" s="155"/>
      <c r="P12" s="155"/>
      <c r="Q12" s="155"/>
      <c r="R12" s="155"/>
      <c r="S12" s="155"/>
      <c r="T12" s="155"/>
      <c r="U12" s="155"/>
      <c r="V12" s="155"/>
      <c r="W12" s="155"/>
      <c r="X12" s="155"/>
      <c r="Y12" s="155"/>
      <c r="Z12" s="155"/>
      <c r="AA12" s="155"/>
    </row>
    <row r="13" ht="22.5" customHeight="1">
      <c r="A13" s="5">
        <v>45873.0</v>
      </c>
      <c r="B13" s="33">
        <v>8.0</v>
      </c>
      <c r="C13" s="56">
        <v>8.0</v>
      </c>
      <c r="D13" s="11"/>
      <c r="E13" s="29" t="s">
        <v>1304</v>
      </c>
      <c r="F13" s="29" t="s">
        <v>166</v>
      </c>
      <c r="G13" s="30" t="s">
        <v>1305</v>
      </c>
      <c r="H13" s="8"/>
      <c r="I13" s="155"/>
      <c r="J13" s="200"/>
      <c r="K13" s="155"/>
      <c r="L13" s="155"/>
      <c r="M13" s="155"/>
      <c r="N13" s="155"/>
      <c r="O13" s="155"/>
      <c r="P13" s="155"/>
      <c r="Q13" s="155"/>
      <c r="R13" s="155"/>
      <c r="S13" s="155"/>
      <c r="T13" s="155"/>
      <c r="U13" s="155"/>
      <c r="V13" s="155"/>
      <c r="W13" s="155"/>
      <c r="X13" s="155"/>
      <c r="Y13" s="155"/>
      <c r="Z13" s="155"/>
      <c r="AA13" s="155"/>
    </row>
    <row r="14" ht="22.5" customHeight="1">
      <c r="A14" s="5">
        <v>45874.0</v>
      </c>
      <c r="B14" s="56">
        <v>8.0</v>
      </c>
      <c r="C14" s="33">
        <v>8.0</v>
      </c>
      <c r="D14" s="11"/>
      <c r="E14" s="29" t="s">
        <v>1306</v>
      </c>
      <c r="F14" s="29" t="s">
        <v>1300</v>
      </c>
      <c r="G14" s="30" t="s">
        <v>1307</v>
      </c>
      <c r="H14" s="8" t="s">
        <v>1303</v>
      </c>
      <c r="I14" s="155"/>
      <c r="J14" s="200"/>
      <c r="K14" s="155"/>
      <c r="L14" s="155"/>
      <c r="M14" s="155"/>
      <c r="N14" s="155"/>
      <c r="O14" s="155"/>
      <c r="P14" s="155"/>
      <c r="Q14" s="155"/>
      <c r="R14" s="155"/>
      <c r="S14" s="155"/>
      <c r="T14" s="155"/>
      <c r="U14" s="155"/>
      <c r="V14" s="155"/>
      <c r="W14" s="155"/>
      <c r="X14" s="155"/>
      <c r="Y14" s="155"/>
      <c r="Z14" s="155"/>
      <c r="AA14" s="155"/>
    </row>
    <row r="15" ht="22.5" customHeight="1">
      <c r="A15" s="5">
        <v>45875.0</v>
      </c>
      <c r="B15" s="33" t="s">
        <v>1308</v>
      </c>
      <c r="C15" s="56">
        <v>8.0</v>
      </c>
      <c r="D15" s="11"/>
      <c r="E15" s="29" t="s">
        <v>1309</v>
      </c>
      <c r="F15" s="29" t="s">
        <v>1310</v>
      </c>
      <c r="G15" s="30" t="s">
        <v>1305</v>
      </c>
      <c r="H15" s="204" t="s">
        <v>1311</v>
      </c>
      <c r="I15" s="155"/>
      <c r="J15" s="200"/>
      <c r="K15" s="155"/>
      <c r="L15" s="155"/>
      <c r="M15" s="155"/>
      <c r="N15" s="155"/>
      <c r="O15" s="155"/>
      <c r="P15" s="155"/>
      <c r="Q15" s="155"/>
      <c r="R15" s="155"/>
      <c r="S15" s="155"/>
      <c r="T15" s="155"/>
      <c r="U15" s="155"/>
      <c r="V15" s="155"/>
      <c r="W15" s="155"/>
      <c r="X15" s="155"/>
      <c r="Y15" s="155"/>
      <c r="Z15" s="155"/>
      <c r="AA15" s="155"/>
    </row>
    <row r="16" ht="22.5" customHeight="1">
      <c r="A16" s="5">
        <v>45876.0</v>
      </c>
      <c r="B16" s="33">
        <v>8.0</v>
      </c>
      <c r="C16" s="56">
        <v>8.0</v>
      </c>
      <c r="D16" s="45"/>
      <c r="E16" s="29" t="s">
        <v>1312</v>
      </c>
      <c r="F16" s="29" t="s">
        <v>1291</v>
      </c>
      <c r="G16" s="74" t="s">
        <v>1307</v>
      </c>
      <c r="H16" s="8" t="s">
        <v>1303</v>
      </c>
      <c r="I16" s="155"/>
      <c r="J16" s="200"/>
      <c r="K16" s="155"/>
      <c r="L16" s="155"/>
      <c r="M16" s="155"/>
      <c r="N16" s="155"/>
      <c r="O16" s="155"/>
      <c r="P16" s="155"/>
      <c r="Q16" s="155"/>
      <c r="R16" s="155"/>
      <c r="S16" s="155"/>
      <c r="T16" s="155"/>
      <c r="U16" s="155"/>
      <c r="V16" s="155"/>
      <c r="W16" s="155"/>
      <c r="X16" s="155"/>
      <c r="Y16" s="155"/>
      <c r="Z16" s="155"/>
      <c r="AA16" s="155"/>
    </row>
    <row r="17" ht="22.5" customHeight="1">
      <c r="A17" s="5">
        <v>45877.0</v>
      </c>
      <c r="B17" s="56">
        <v>8.0</v>
      </c>
      <c r="C17" s="33">
        <v>8.0</v>
      </c>
      <c r="D17" s="45"/>
      <c r="E17" s="29" t="s">
        <v>1313</v>
      </c>
      <c r="F17" s="29" t="s">
        <v>166</v>
      </c>
      <c r="G17" s="32" t="s">
        <v>1305</v>
      </c>
      <c r="H17" s="13"/>
      <c r="I17" s="155"/>
      <c r="J17" s="200"/>
      <c r="K17" s="155"/>
      <c r="L17" s="155"/>
      <c r="M17" s="155"/>
      <c r="N17" s="155"/>
      <c r="O17" s="155"/>
      <c r="P17" s="155"/>
      <c r="Q17" s="155"/>
      <c r="R17" s="155"/>
      <c r="S17" s="155"/>
      <c r="T17" s="155"/>
      <c r="U17" s="155"/>
      <c r="V17" s="155"/>
      <c r="W17" s="155"/>
      <c r="X17" s="155"/>
      <c r="Y17" s="155"/>
      <c r="Z17" s="155"/>
      <c r="AA17" s="155"/>
    </row>
    <row r="18" ht="22.5" customHeight="1">
      <c r="A18" s="5">
        <v>45880.0</v>
      </c>
      <c r="B18" s="33">
        <v>8.0</v>
      </c>
      <c r="C18" s="56">
        <v>8.0</v>
      </c>
      <c r="D18" s="45"/>
      <c r="E18" s="29" t="s">
        <v>1314</v>
      </c>
      <c r="F18" s="47"/>
      <c r="G18" s="205" t="s">
        <v>1315</v>
      </c>
      <c r="H18" s="8" t="s">
        <v>1303</v>
      </c>
      <c r="I18" s="155"/>
      <c r="J18" s="200"/>
      <c r="K18" s="155"/>
      <c r="L18" s="155"/>
      <c r="M18" s="155"/>
      <c r="N18" s="155"/>
      <c r="O18" s="155"/>
      <c r="P18" s="155"/>
      <c r="Q18" s="155"/>
      <c r="R18" s="155"/>
      <c r="S18" s="155"/>
      <c r="T18" s="155"/>
      <c r="U18" s="155"/>
      <c r="V18" s="155"/>
      <c r="W18" s="155"/>
      <c r="X18" s="155"/>
      <c r="Y18" s="155"/>
      <c r="Z18" s="155"/>
      <c r="AA18" s="155"/>
    </row>
    <row r="19" ht="22.5" customHeight="1">
      <c r="A19" s="5">
        <v>45881.0</v>
      </c>
      <c r="B19" s="33">
        <v>8.0</v>
      </c>
      <c r="C19" s="33"/>
      <c r="D19" s="45"/>
      <c r="E19" s="29" t="s">
        <v>1316</v>
      </c>
      <c r="F19" s="29" t="s">
        <v>166</v>
      </c>
      <c r="G19" s="32" t="s">
        <v>1305</v>
      </c>
      <c r="H19" s="13"/>
      <c r="I19" s="155"/>
      <c r="J19" s="200"/>
      <c r="K19" s="155"/>
      <c r="L19" s="155"/>
      <c r="M19" s="155"/>
      <c r="N19" s="155"/>
      <c r="O19" s="155"/>
      <c r="P19" s="155"/>
      <c r="Q19" s="155"/>
      <c r="R19" s="155"/>
      <c r="S19" s="155"/>
      <c r="T19" s="155"/>
      <c r="U19" s="155"/>
      <c r="V19" s="155"/>
      <c r="W19" s="155"/>
      <c r="X19" s="155"/>
      <c r="Y19" s="155"/>
      <c r="Z19" s="155"/>
      <c r="AA19" s="155"/>
    </row>
    <row r="20" ht="22.5" customHeight="1">
      <c r="A20" s="5">
        <v>45882.0</v>
      </c>
      <c r="B20" s="33"/>
      <c r="C20" s="192">
        <v>8.0</v>
      </c>
      <c r="D20" s="45"/>
      <c r="E20" s="44" t="s">
        <v>1317</v>
      </c>
      <c r="F20" s="190" t="s">
        <v>816</v>
      </c>
      <c r="G20" s="206"/>
      <c r="H20" s="203" t="s">
        <v>816</v>
      </c>
      <c r="I20" s="155"/>
      <c r="J20" s="200"/>
      <c r="K20" s="155"/>
      <c r="L20" s="155"/>
      <c r="M20" s="155"/>
      <c r="N20" s="155"/>
      <c r="O20" s="155"/>
      <c r="P20" s="155"/>
      <c r="Q20" s="155"/>
      <c r="R20" s="155"/>
      <c r="S20" s="155"/>
      <c r="T20" s="155"/>
      <c r="U20" s="155"/>
      <c r="V20" s="155"/>
      <c r="W20" s="155"/>
      <c r="X20" s="155"/>
      <c r="Y20" s="155"/>
      <c r="Z20" s="155"/>
      <c r="AA20" s="155"/>
    </row>
    <row r="21" ht="22.5" customHeight="1">
      <c r="A21" s="5">
        <v>45883.0</v>
      </c>
      <c r="B21" s="56">
        <v>8.0</v>
      </c>
      <c r="C21" s="33">
        <v>8.0</v>
      </c>
      <c r="D21" s="45"/>
      <c r="E21" s="29" t="s">
        <v>1318</v>
      </c>
      <c r="F21" s="29" t="s">
        <v>166</v>
      </c>
      <c r="G21" s="32" t="s">
        <v>1305</v>
      </c>
      <c r="H21" s="13"/>
      <c r="I21" s="155"/>
      <c r="J21" s="200"/>
      <c r="K21" s="155"/>
      <c r="L21" s="155"/>
      <c r="M21" s="155"/>
      <c r="N21" s="155"/>
      <c r="O21" s="155"/>
      <c r="P21" s="155"/>
      <c r="Q21" s="155"/>
      <c r="R21" s="155"/>
      <c r="S21" s="155"/>
      <c r="T21" s="155"/>
      <c r="U21" s="155"/>
      <c r="V21" s="155"/>
      <c r="W21" s="155"/>
      <c r="X21" s="155"/>
      <c r="Y21" s="155"/>
      <c r="Z21" s="155"/>
      <c r="AA21" s="155"/>
    </row>
    <row r="22" ht="22.5" customHeight="1">
      <c r="A22" s="5">
        <v>45884.0</v>
      </c>
      <c r="B22" s="33"/>
      <c r="C22" s="33">
        <v>8.0</v>
      </c>
      <c r="D22" s="11"/>
      <c r="E22" s="29" t="s">
        <v>285</v>
      </c>
      <c r="F22" s="29" t="s">
        <v>166</v>
      </c>
      <c r="G22" s="32" t="s">
        <v>1305</v>
      </c>
      <c r="H22" s="13"/>
      <c r="I22" s="155"/>
      <c r="J22" s="200"/>
      <c r="K22" s="155"/>
      <c r="L22" s="155"/>
      <c r="M22" s="155"/>
      <c r="N22" s="155"/>
      <c r="O22" s="155"/>
      <c r="P22" s="155"/>
      <c r="Q22" s="155"/>
      <c r="R22" s="155"/>
      <c r="S22" s="155"/>
      <c r="T22" s="155"/>
      <c r="U22" s="155"/>
      <c r="V22" s="155"/>
      <c r="W22" s="155"/>
      <c r="X22" s="155"/>
      <c r="Y22" s="155"/>
      <c r="Z22" s="155"/>
      <c r="AA22" s="155"/>
    </row>
    <row r="23" ht="22.5" customHeight="1">
      <c r="A23" s="5">
        <v>45887.0</v>
      </c>
      <c r="B23" s="56">
        <v>8.0</v>
      </c>
      <c r="C23" s="33">
        <v>8.0</v>
      </c>
      <c r="D23" s="22"/>
      <c r="E23" s="29" t="s">
        <v>1319</v>
      </c>
      <c r="F23" s="29" t="s">
        <v>166</v>
      </c>
      <c r="G23" s="32" t="s">
        <v>1305</v>
      </c>
      <c r="H23" s="19"/>
      <c r="I23" s="155"/>
      <c r="J23" s="200"/>
      <c r="K23" s="155"/>
      <c r="L23" s="155"/>
      <c r="M23" s="155"/>
      <c r="N23" s="155"/>
      <c r="O23" s="155"/>
      <c r="P23" s="155"/>
      <c r="Q23" s="155"/>
      <c r="R23" s="155"/>
      <c r="S23" s="155"/>
      <c r="T23" s="155"/>
      <c r="U23" s="155"/>
      <c r="V23" s="155"/>
      <c r="W23" s="155"/>
      <c r="X23" s="155"/>
      <c r="Y23" s="155"/>
      <c r="Z23" s="155"/>
      <c r="AA23" s="155"/>
    </row>
    <row r="24" ht="22.5" customHeight="1">
      <c r="A24" s="5">
        <v>45888.0</v>
      </c>
      <c r="B24" s="33"/>
      <c r="C24" s="33">
        <v>10.0</v>
      </c>
      <c r="D24" s="22"/>
      <c r="E24" s="29" t="s">
        <v>285</v>
      </c>
      <c r="F24" s="29" t="s">
        <v>166</v>
      </c>
      <c r="G24" s="32" t="s">
        <v>1305</v>
      </c>
      <c r="H24" s="19"/>
      <c r="I24" s="155"/>
      <c r="J24" s="200"/>
      <c r="K24" s="155"/>
      <c r="L24" s="155"/>
      <c r="M24" s="155"/>
      <c r="N24" s="155"/>
      <c r="O24" s="155"/>
      <c r="P24" s="155"/>
      <c r="Q24" s="155"/>
      <c r="R24" s="155"/>
      <c r="S24" s="155"/>
      <c r="T24" s="155"/>
      <c r="U24" s="155"/>
      <c r="V24" s="155"/>
      <c r="W24" s="155"/>
      <c r="X24" s="155"/>
      <c r="Y24" s="155"/>
      <c r="Z24" s="155"/>
      <c r="AA24" s="155"/>
    </row>
    <row r="25" ht="22.5" customHeight="1">
      <c r="A25" s="5">
        <v>45889.0</v>
      </c>
      <c r="B25" s="33"/>
      <c r="C25" s="33">
        <v>10.0</v>
      </c>
      <c r="D25" s="22"/>
      <c r="E25" s="29" t="s">
        <v>1320</v>
      </c>
      <c r="F25" s="55" t="s">
        <v>166</v>
      </c>
      <c r="G25" s="32" t="s">
        <v>1305</v>
      </c>
      <c r="H25" s="19"/>
      <c r="I25" s="155"/>
      <c r="J25" s="200"/>
      <c r="K25" s="155"/>
      <c r="L25" s="155"/>
      <c r="M25" s="155"/>
      <c r="N25" s="155"/>
      <c r="O25" s="155"/>
      <c r="P25" s="155"/>
      <c r="Q25" s="155"/>
      <c r="R25" s="155"/>
      <c r="S25" s="155"/>
      <c r="T25" s="155"/>
      <c r="U25" s="155"/>
      <c r="V25" s="155"/>
      <c r="W25" s="155"/>
      <c r="X25" s="155"/>
      <c r="Y25" s="155"/>
      <c r="Z25" s="155"/>
      <c r="AA25" s="155"/>
    </row>
    <row r="26" ht="22.5" customHeight="1">
      <c r="A26" s="5">
        <v>45890.0</v>
      </c>
      <c r="B26" s="33"/>
      <c r="C26" s="33">
        <v>10.0</v>
      </c>
      <c r="D26" s="22"/>
      <c r="E26" s="29" t="s">
        <v>285</v>
      </c>
      <c r="F26" s="55" t="s">
        <v>166</v>
      </c>
      <c r="G26" s="32" t="s">
        <v>1305</v>
      </c>
      <c r="H26" s="19"/>
      <c r="I26" s="155"/>
      <c r="J26" s="200"/>
      <c r="K26" s="155"/>
      <c r="L26" s="155"/>
      <c r="M26" s="155"/>
      <c r="N26" s="155"/>
      <c r="O26" s="155"/>
      <c r="P26" s="155"/>
      <c r="Q26" s="155"/>
      <c r="R26" s="155"/>
      <c r="S26" s="155"/>
      <c r="T26" s="155"/>
      <c r="U26" s="155"/>
      <c r="V26" s="155"/>
      <c r="W26" s="155"/>
      <c r="X26" s="155"/>
      <c r="Y26" s="155"/>
      <c r="Z26" s="155"/>
      <c r="AA26" s="155"/>
    </row>
    <row r="27" ht="22.5" customHeight="1">
      <c r="A27" s="5">
        <v>45891.0</v>
      </c>
      <c r="B27" s="33"/>
      <c r="C27" s="33">
        <v>8.0</v>
      </c>
      <c r="D27" s="22"/>
      <c r="E27" s="29" t="s">
        <v>1321</v>
      </c>
      <c r="F27" s="55" t="s">
        <v>166</v>
      </c>
      <c r="G27" s="32" t="s">
        <v>1305</v>
      </c>
      <c r="H27" s="19"/>
      <c r="I27" s="155"/>
      <c r="J27" s="200"/>
      <c r="K27" s="155"/>
      <c r="L27" s="155"/>
      <c r="M27" s="155"/>
      <c r="N27" s="155"/>
      <c r="O27" s="155"/>
      <c r="P27" s="155"/>
      <c r="Q27" s="155"/>
      <c r="R27" s="155"/>
      <c r="S27" s="155"/>
      <c r="T27" s="155"/>
      <c r="U27" s="155"/>
      <c r="V27" s="155"/>
      <c r="W27" s="155"/>
      <c r="X27" s="155"/>
      <c r="Y27" s="155"/>
      <c r="Z27" s="155"/>
      <c r="AA27" s="155"/>
    </row>
    <row r="28" ht="22.5" customHeight="1">
      <c r="A28" s="5">
        <v>45894.0</v>
      </c>
      <c r="B28" s="63"/>
      <c r="C28" s="33">
        <v>11.0</v>
      </c>
      <c r="D28" s="22"/>
      <c r="E28" s="29" t="s">
        <v>1322</v>
      </c>
      <c r="F28" s="55" t="s">
        <v>166</v>
      </c>
      <c r="G28" s="32" t="s">
        <v>1305</v>
      </c>
      <c r="H28" s="19"/>
      <c r="I28" s="155"/>
      <c r="J28" s="200"/>
      <c r="K28" s="155"/>
      <c r="L28" s="155"/>
      <c r="M28" s="155"/>
      <c r="N28" s="155"/>
      <c r="O28" s="155"/>
      <c r="P28" s="155"/>
      <c r="Q28" s="155"/>
      <c r="R28" s="155"/>
      <c r="S28" s="155"/>
      <c r="T28" s="155"/>
      <c r="U28" s="155"/>
      <c r="V28" s="155"/>
      <c r="W28" s="155"/>
      <c r="X28" s="155"/>
      <c r="Y28" s="155"/>
      <c r="Z28" s="155"/>
      <c r="AA28" s="155"/>
    </row>
    <row r="29" ht="22.5" customHeight="1">
      <c r="A29" s="5">
        <v>45895.0</v>
      </c>
      <c r="B29" s="33"/>
      <c r="C29" s="33">
        <v>11.0</v>
      </c>
      <c r="D29" s="22"/>
      <c r="E29" s="29" t="s">
        <v>1323</v>
      </c>
      <c r="F29" s="55" t="s">
        <v>166</v>
      </c>
      <c r="G29" s="32" t="s">
        <v>1305</v>
      </c>
      <c r="H29" s="19"/>
      <c r="I29" s="155"/>
      <c r="J29" s="200"/>
      <c r="K29" s="155"/>
      <c r="L29" s="155"/>
      <c r="M29" s="155"/>
      <c r="N29" s="155"/>
      <c r="O29" s="155"/>
      <c r="P29" s="155"/>
      <c r="Q29" s="155"/>
      <c r="R29" s="155"/>
      <c r="S29" s="155"/>
      <c r="T29" s="155"/>
      <c r="U29" s="155"/>
      <c r="V29" s="155"/>
      <c r="W29" s="155"/>
      <c r="X29" s="155"/>
      <c r="Y29" s="155"/>
      <c r="Z29" s="155"/>
      <c r="AA29" s="155"/>
    </row>
    <row r="30" ht="22.5" customHeight="1">
      <c r="A30" s="5">
        <v>45896.0</v>
      </c>
      <c r="B30" s="33"/>
      <c r="C30" s="192">
        <v>8.0</v>
      </c>
      <c r="D30" s="22"/>
      <c r="E30" s="29" t="s">
        <v>1324</v>
      </c>
      <c r="F30" s="194" t="s">
        <v>816</v>
      </c>
      <c r="G30" s="206"/>
      <c r="H30" s="207" t="s">
        <v>1311</v>
      </c>
      <c r="I30" s="155"/>
      <c r="J30" s="200"/>
      <c r="K30" s="155"/>
      <c r="L30" s="155"/>
      <c r="M30" s="155"/>
      <c r="N30" s="155"/>
      <c r="O30" s="155"/>
      <c r="P30" s="155"/>
      <c r="Q30" s="155"/>
      <c r="R30" s="155"/>
      <c r="S30" s="155"/>
      <c r="T30" s="155"/>
      <c r="U30" s="155"/>
      <c r="V30" s="155"/>
      <c r="W30" s="155"/>
      <c r="X30" s="155"/>
      <c r="Y30" s="155"/>
      <c r="Z30" s="155"/>
      <c r="AA30" s="155"/>
    </row>
    <row r="31" ht="22.5" customHeight="1">
      <c r="A31" s="5">
        <v>45897.0</v>
      </c>
      <c r="B31" s="33"/>
      <c r="C31" s="33">
        <v>8.0</v>
      </c>
      <c r="D31" s="22"/>
      <c r="E31" s="29" t="s">
        <v>1325</v>
      </c>
      <c r="F31" s="51"/>
      <c r="G31" s="51"/>
      <c r="H31" s="19"/>
      <c r="I31" s="155"/>
      <c r="J31" s="200"/>
      <c r="K31" s="155"/>
      <c r="L31" s="155"/>
      <c r="M31" s="155"/>
      <c r="N31" s="155"/>
      <c r="O31" s="155"/>
      <c r="P31" s="155"/>
      <c r="Q31" s="155"/>
      <c r="R31" s="155"/>
      <c r="S31" s="155"/>
      <c r="T31" s="155"/>
      <c r="U31" s="155"/>
      <c r="V31" s="155"/>
      <c r="W31" s="155"/>
      <c r="X31" s="155"/>
      <c r="Y31" s="155"/>
      <c r="Z31" s="155"/>
      <c r="AA31" s="155"/>
    </row>
    <row r="32" ht="22.5" customHeight="1">
      <c r="A32" s="5">
        <v>45898.0</v>
      </c>
      <c r="B32" s="33"/>
      <c r="C32" s="33">
        <v>8.0</v>
      </c>
      <c r="D32" s="22"/>
      <c r="E32" s="29" t="s">
        <v>1326</v>
      </c>
      <c r="F32" s="51"/>
      <c r="G32" s="51"/>
      <c r="H32" s="19"/>
      <c r="I32" s="155"/>
      <c r="J32" s="200"/>
      <c r="K32" s="155"/>
      <c r="L32" s="155"/>
      <c r="M32" s="155"/>
      <c r="N32" s="155"/>
      <c r="O32" s="155"/>
      <c r="P32" s="155"/>
      <c r="Q32" s="155"/>
      <c r="R32" s="155"/>
      <c r="S32" s="155"/>
      <c r="T32" s="155"/>
      <c r="U32" s="155"/>
      <c r="V32" s="155"/>
      <c r="W32" s="155"/>
      <c r="X32" s="155"/>
      <c r="Y32" s="155"/>
      <c r="Z32" s="155"/>
      <c r="AA32" s="155"/>
    </row>
    <row r="33" ht="22.5" customHeight="1">
      <c r="A33" s="5">
        <v>45901.0</v>
      </c>
      <c r="B33" s="33"/>
      <c r="C33" s="33">
        <v>11.0</v>
      </c>
      <c r="D33" s="22"/>
      <c r="E33" s="29" t="s">
        <v>1327</v>
      </c>
      <c r="F33" s="55" t="s">
        <v>166</v>
      </c>
      <c r="G33" s="152" t="s">
        <v>1305</v>
      </c>
      <c r="H33" s="19"/>
      <c r="I33" s="155"/>
      <c r="J33" s="200"/>
      <c r="K33" s="155"/>
      <c r="L33" s="155"/>
      <c r="M33" s="155"/>
      <c r="N33" s="155"/>
      <c r="O33" s="155"/>
      <c r="P33" s="155"/>
      <c r="Q33" s="155"/>
      <c r="R33" s="155"/>
      <c r="S33" s="155"/>
      <c r="T33" s="155"/>
      <c r="U33" s="155"/>
      <c r="V33" s="155"/>
      <c r="W33" s="155"/>
      <c r="X33" s="155"/>
      <c r="Y33" s="155"/>
      <c r="Z33" s="155"/>
      <c r="AA33" s="155"/>
    </row>
    <row r="34" ht="22.5" customHeight="1">
      <c r="A34" s="5">
        <v>45902.0</v>
      </c>
      <c r="B34" s="67"/>
      <c r="C34" s="33">
        <v>9.5</v>
      </c>
      <c r="D34" s="22"/>
      <c r="E34" s="55" t="s">
        <v>1328</v>
      </c>
      <c r="F34" s="55" t="s">
        <v>166</v>
      </c>
      <c r="G34" s="208" t="s">
        <v>1305</v>
      </c>
      <c r="H34" s="19"/>
      <c r="I34" s="155"/>
      <c r="J34" s="200"/>
      <c r="K34" s="155"/>
      <c r="L34" s="155"/>
      <c r="M34" s="155"/>
      <c r="N34" s="155"/>
      <c r="O34" s="155"/>
      <c r="P34" s="155"/>
      <c r="Q34" s="155"/>
      <c r="R34" s="155"/>
      <c r="S34" s="155"/>
      <c r="T34" s="155"/>
      <c r="U34" s="155"/>
      <c r="V34" s="155"/>
      <c r="W34" s="155"/>
      <c r="X34" s="155"/>
      <c r="Y34" s="155"/>
      <c r="Z34" s="155"/>
      <c r="AA34" s="155"/>
    </row>
    <row r="35" ht="22.5" customHeight="1">
      <c r="A35" s="5">
        <v>45903.0</v>
      </c>
      <c r="B35" s="67"/>
      <c r="C35" s="63">
        <v>10.0</v>
      </c>
      <c r="D35" s="22"/>
      <c r="E35" s="55" t="s">
        <v>1329</v>
      </c>
      <c r="F35" s="55" t="s">
        <v>166</v>
      </c>
      <c r="G35" s="152" t="s">
        <v>1305</v>
      </c>
      <c r="H35" s="19"/>
      <c r="I35" s="155"/>
      <c r="J35" s="200"/>
      <c r="K35" s="155"/>
      <c r="L35" s="155"/>
      <c r="M35" s="155"/>
      <c r="N35" s="155"/>
      <c r="O35" s="155"/>
      <c r="P35" s="155"/>
      <c r="Q35" s="155"/>
      <c r="R35" s="155"/>
      <c r="S35" s="155"/>
      <c r="T35" s="155"/>
      <c r="U35" s="155"/>
      <c r="V35" s="155"/>
      <c r="W35" s="155"/>
      <c r="X35" s="155"/>
      <c r="Y35" s="155"/>
      <c r="Z35" s="155"/>
      <c r="AA35" s="155"/>
    </row>
    <row r="36" ht="22.5" customHeight="1">
      <c r="A36" s="5">
        <v>45904.0</v>
      </c>
      <c r="B36" s="67"/>
      <c r="C36" s="63" t="s">
        <v>1330</v>
      </c>
      <c r="D36" s="22"/>
      <c r="E36" s="209" t="s">
        <v>1331</v>
      </c>
      <c r="F36" s="194" t="s">
        <v>1332</v>
      </c>
      <c r="G36" s="51"/>
      <c r="H36" s="207" t="s">
        <v>1311</v>
      </c>
      <c r="I36" s="155"/>
      <c r="J36" s="200"/>
      <c r="K36" s="155"/>
      <c r="L36" s="155"/>
      <c r="M36" s="155"/>
      <c r="N36" s="155"/>
      <c r="O36" s="155"/>
      <c r="P36" s="155"/>
      <c r="Q36" s="155"/>
      <c r="R36" s="155"/>
      <c r="S36" s="155"/>
      <c r="T36" s="155"/>
      <c r="U36" s="155"/>
      <c r="V36" s="155"/>
      <c r="W36" s="155"/>
      <c r="X36" s="155"/>
      <c r="Y36" s="155"/>
      <c r="Z36" s="155"/>
      <c r="AA36" s="155"/>
    </row>
    <row r="37" ht="22.5" customHeight="1">
      <c r="A37" s="5">
        <v>45908.0</v>
      </c>
      <c r="B37" s="67"/>
      <c r="C37" s="63">
        <v>8.0</v>
      </c>
      <c r="D37" s="22"/>
      <c r="E37" s="55" t="s">
        <v>1333</v>
      </c>
      <c r="F37" s="55" t="s">
        <v>166</v>
      </c>
      <c r="G37" s="60" t="s">
        <v>1334</v>
      </c>
      <c r="H37" s="19"/>
      <c r="I37" s="155"/>
      <c r="J37" s="200"/>
      <c r="K37" s="155"/>
      <c r="L37" s="155"/>
      <c r="M37" s="155"/>
      <c r="N37" s="155"/>
      <c r="O37" s="155"/>
      <c r="P37" s="155"/>
      <c r="Q37" s="155"/>
      <c r="R37" s="155"/>
      <c r="S37" s="155"/>
      <c r="T37" s="155"/>
      <c r="U37" s="155"/>
      <c r="V37" s="155"/>
      <c r="W37" s="155"/>
      <c r="X37" s="155"/>
      <c r="Y37" s="155"/>
      <c r="Z37" s="155"/>
      <c r="AA37" s="155"/>
    </row>
    <row r="38" ht="22.5" customHeight="1">
      <c r="A38" s="5">
        <v>45909.0</v>
      </c>
      <c r="B38" s="67"/>
      <c r="C38" s="63">
        <v>8.0</v>
      </c>
      <c r="D38" s="22"/>
      <c r="E38" s="55" t="s">
        <v>1335</v>
      </c>
      <c r="F38" s="55" t="s">
        <v>166</v>
      </c>
      <c r="G38" s="60" t="s">
        <v>1336</v>
      </c>
      <c r="H38" s="19"/>
      <c r="I38" s="155"/>
      <c r="J38" s="200"/>
      <c r="K38" s="155"/>
      <c r="L38" s="155"/>
      <c r="M38" s="155"/>
      <c r="N38" s="155"/>
      <c r="O38" s="155"/>
      <c r="P38" s="155"/>
      <c r="Q38" s="155"/>
      <c r="R38" s="155"/>
      <c r="S38" s="155"/>
      <c r="T38" s="155"/>
      <c r="U38" s="155"/>
      <c r="V38" s="155"/>
      <c r="W38" s="155"/>
      <c r="X38" s="155"/>
      <c r="Y38" s="155"/>
      <c r="Z38" s="155"/>
      <c r="AA38" s="155"/>
    </row>
    <row r="39" ht="22.5" customHeight="1">
      <c r="A39" s="5">
        <v>45910.0</v>
      </c>
      <c r="B39" s="67"/>
      <c r="C39" s="63">
        <v>8.0</v>
      </c>
      <c r="D39" s="22"/>
      <c r="E39" s="55" t="s">
        <v>1335</v>
      </c>
      <c r="F39" s="55" t="s">
        <v>166</v>
      </c>
      <c r="G39" s="55" t="s">
        <v>1337</v>
      </c>
      <c r="H39" s="19"/>
      <c r="I39" s="155"/>
      <c r="J39" s="200"/>
      <c r="K39" s="155"/>
      <c r="L39" s="155"/>
      <c r="M39" s="155"/>
      <c r="N39" s="155"/>
      <c r="O39" s="155"/>
      <c r="P39" s="155"/>
      <c r="Q39" s="155"/>
      <c r="R39" s="155"/>
      <c r="S39" s="155"/>
      <c r="T39" s="155"/>
      <c r="U39" s="155"/>
      <c r="V39" s="155"/>
      <c r="W39" s="155"/>
      <c r="X39" s="155"/>
      <c r="Y39" s="155"/>
      <c r="Z39" s="155"/>
      <c r="AA39" s="155"/>
    </row>
    <row r="40" ht="22.5" customHeight="1">
      <c r="A40" s="5">
        <v>45911.0</v>
      </c>
      <c r="B40" s="67"/>
      <c r="C40" s="63">
        <v>8.0</v>
      </c>
      <c r="D40" s="22"/>
      <c r="E40" s="55" t="s">
        <v>1338</v>
      </c>
      <c r="F40" s="55" t="s">
        <v>166</v>
      </c>
      <c r="G40" s="55" t="s">
        <v>1339</v>
      </c>
      <c r="H40" s="19"/>
      <c r="I40" s="155"/>
      <c r="J40" s="200"/>
      <c r="K40" s="155"/>
      <c r="L40" s="155"/>
      <c r="M40" s="155"/>
      <c r="N40" s="155"/>
      <c r="O40" s="155"/>
      <c r="P40" s="155"/>
      <c r="Q40" s="155"/>
      <c r="R40" s="155"/>
      <c r="S40" s="155"/>
      <c r="T40" s="155"/>
      <c r="U40" s="155"/>
      <c r="V40" s="155"/>
      <c r="W40" s="155"/>
      <c r="X40" s="155"/>
      <c r="Y40" s="155"/>
      <c r="Z40" s="155"/>
      <c r="AA40" s="155"/>
    </row>
    <row r="41" ht="22.5" customHeight="1">
      <c r="A41" s="5">
        <v>45912.0</v>
      </c>
      <c r="B41" s="67"/>
      <c r="C41" s="63" t="s">
        <v>1340</v>
      </c>
      <c r="D41" s="22"/>
      <c r="E41" s="55" t="s">
        <v>1341</v>
      </c>
      <c r="F41" s="55" t="s">
        <v>1342</v>
      </c>
      <c r="G41" s="55" t="s">
        <v>1343</v>
      </c>
      <c r="H41" s="207" t="s">
        <v>1311</v>
      </c>
      <c r="I41" s="155"/>
      <c r="J41" s="200"/>
      <c r="K41" s="155"/>
      <c r="L41" s="155"/>
      <c r="M41" s="155"/>
      <c r="N41" s="155"/>
      <c r="O41" s="155"/>
      <c r="P41" s="155"/>
      <c r="Q41" s="155"/>
      <c r="R41" s="155"/>
      <c r="S41" s="155"/>
      <c r="T41" s="155"/>
      <c r="U41" s="155"/>
      <c r="V41" s="155"/>
      <c r="W41" s="155"/>
      <c r="X41" s="155"/>
      <c r="Y41" s="155"/>
      <c r="Z41" s="155"/>
      <c r="AA41" s="155"/>
    </row>
    <row r="42" ht="22.5" customHeight="1">
      <c r="A42" s="5">
        <v>45915.0</v>
      </c>
      <c r="B42" s="67"/>
      <c r="C42" s="63">
        <v>8.0</v>
      </c>
      <c r="D42" s="22"/>
      <c r="E42" s="55" t="s">
        <v>1344</v>
      </c>
      <c r="F42" s="55" t="s">
        <v>166</v>
      </c>
      <c r="G42" s="55" t="s">
        <v>1345</v>
      </c>
      <c r="H42" s="19"/>
      <c r="I42" s="155"/>
      <c r="J42" s="200"/>
      <c r="K42" s="155"/>
      <c r="L42" s="155"/>
      <c r="M42" s="155"/>
      <c r="N42" s="155"/>
      <c r="O42" s="155"/>
      <c r="P42" s="155"/>
      <c r="Q42" s="155"/>
      <c r="R42" s="155"/>
      <c r="S42" s="155"/>
      <c r="T42" s="155"/>
      <c r="U42" s="155"/>
      <c r="V42" s="155"/>
      <c r="W42" s="155"/>
      <c r="X42" s="155"/>
      <c r="Y42" s="155"/>
      <c r="Z42" s="155"/>
      <c r="AA42" s="155"/>
    </row>
    <row r="43" ht="22.5" customHeight="1">
      <c r="A43" s="5">
        <v>45916.0</v>
      </c>
      <c r="B43" s="67"/>
      <c r="C43" s="63">
        <v>8.0</v>
      </c>
      <c r="D43" s="22"/>
      <c r="E43" s="55"/>
      <c r="F43" s="55"/>
      <c r="G43" s="55"/>
      <c r="H43" s="19"/>
      <c r="I43" s="155"/>
      <c r="J43" s="200"/>
      <c r="K43" s="155"/>
      <c r="L43" s="155"/>
      <c r="M43" s="155"/>
      <c r="N43" s="155"/>
      <c r="O43" s="155"/>
      <c r="P43" s="155"/>
      <c r="Q43" s="155"/>
      <c r="R43" s="155"/>
      <c r="S43" s="155"/>
      <c r="T43" s="155"/>
      <c r="U43" s="155"/>
      <c r="V43" s="155"/>
      <c r="W43" s="155"/>
      <c r="X43" s="155"/>
      <c r="Y43" s="155"/>
      <c r="Z43" s="155"/>
      <c r="AA43" s="155"/>
    </row>
    <row r="44" ht="22.5" customHeight="1">
      <c r="A44" s="5">
        <v>45917.0</v>
      </c>
      <c r="B44" s="67"/>
      <c r="C44" s="63" t="s">
        <v>1346</v>
      </c>
      <c r="D44" s="22"/>
      <c r="E44" s="55" t="s">
        <v>1347</v>
      </c>
      <c r="F44" s="55" t="s">
        <v>1348</v>
      </c>
      <c r="G44" s="152" t="s">
        <v>1349</v>
      </c>
      <c r="H44" s="207" t="s">
        <v>1350</v>
      </c>
      <c r="I44" s="155"/>
      <c r="J44" s="200"/>
      <c r="K44" s="155"/>
      <c r="L44" s="155"/>
      <c r="M44" s="155"/>
      <c r="N44" s="155"/>
      <c r="O44" s="155"/>
      <c r="P44" s="155"/>
      <c r="Q44" s="155"/>
      <c r="R44" s="155"/>
      <c r="S44" s="155"/>
      <c r="T44" s="155"/>
      <c r="U44" s="155"/>
      <c r="V44" s="155"/>
      <c r="W44" s="155"/>
      <c r="X44" s="155"/>
      <c r="Y44" s="155"/>
      <c r="Z44" s="155"/>
      <c r="AA44" s="155"/>
    </row>
    <row r="45" ht="22.5" customHeight="1">
      <c r="A45" s="5">
        <v>45918.0</v>
      </c>
      <c r="B45" s="67"/>
      <c r="C45" s="63">
        <v>8.0</v>
      </c>
      <c r="D45" s="22"/>
      <c r="E45" s="55" t="s">
        <v>1351</v>
      </c>
      <c r="F45" s="55" t="s">
        <v>166</v>
      </c>
      <c r="G45" s="143" t="s">
        <v>1349</v>
      </c>
      <c r="H45" s="19"/>
      <c r="I45" s="155"/>
      <c r="J45" s="200"/>
      <c r="K45" s="155"/>
      <c r="L45" s="155"/>
      <c r="M45" s="155"/>
      <c r="N45" s="155"/>
      <c r="O45" s="155"/>
      <c r="P45" s="155"/>
      <c r="Q45" s="155"/>
      <c r="R45" s="155"/>
      <c r="S45" s="155"/>
      <c r="T45" s="155"/>
      <c r="U45" s="155"/>
      <c r="V45" s="155"/>
      <c r="W45" s="155"/>
      <c r="X45" s="155"/>
      <c r="Y45" s="155"/>
      <c r="Z45" s="155"/>
      <c r="AA45" s="155"/>
    </row>
    <row r="46" ht="22.5" customHeight="1">
      <c r="A46" s="5">
        <v>45919.0</v>
      </c>
      <c r="B46" s="67"/>
      <c r="C46" s="63">
        <v>8.0</v>
      </c>
      <c r="D46" s="22"/>
      <c r="E46" s="55" t="s">
        <v>1352</v>
      </c>
      <c r="F46" s="55" t="s">
        <v>166</v>
      </c>
      <c r="G46" s="60" t="s">
        <v>1353</v>
      </c>
      <c r="H46" s="19"/>
      <c r="I46" s="155"/>
      <c r="J46" s="200"/>
      <c r="K46" s="155"/>
      <c r="L46" s="155"/>
      <c r="M46" s="155"/>
      <c r="N46" s="155"/>
      <c r="O46" s="155"/>
      <c r="P46" s="155"/>
      <c r="Q46" s="155"/>
      <c r="R46" s="155"/>
      <c r="S46" s="155"/>
      <c r="T46" s="155"/>
      <c r="U46" s="155"/>
      <c r="V46" s="155"/>
      <c r="W46" s="155"/>
      <c r="X46" s="155"/>
      <c r="Y46" s="155"/>
      <c r="Z46" s="155"/>
      <c r="AA46" s="155"/>
    </row>
    <row r="47" ht="22.5" customHeight="1">
      <c r="A47" s="5">
        <v>45922.0</v>
      </c>
      <c r="B47" s="67"/>
      <c r="C47" s="63">
        <v>8.0</v>
      </c>
      <c r="D47" s="22"/>
      <c r="E47" s="55" t="s">
        <v>1354</v>
      </c>
      <c r="F47" s="55" t="s">
        <v>166</v>
      </c>
      <c r="G47" s="60" t="s">
        <v>1355</v>
      </c>
      <c r="H47" s="19"/>
      <c r="I47" s="155"/>
      <c r="J47" s="200"/>
      <c r="K47" s="155"/>
      <c r="L47" s="155"/>
      <c r="M47" s="155"/>
      <c r="N47" s="155"/>
      <c r="O47" s="155"/>
      <c r="P47" s="155"/>
      <c r="Q47" s="155"/>
      <c r="R47" s="155"/>
      <c r="S47" s="155"/>
      <c r="T47" s="155"/>
      <c r="U47" s="155"/>
      <c r="V47" s="155"/>
      <c r="W47" s="155"/>
      <c r="X47" s="155"/>
      <c r="Y47" s="155"/>
      <c r="Z47" s="155"/>
      <c r="AA47" s="155"/>
    </row>
    <row r="48" ht="22.5" customHeight="1">
      <c r="A48" s="5">
        <v>45923.0</v>
      </c>
      <c r="B48" s="67"/>
      <c r="C48" s="63">
        <v>8.0</v>
      </c>
      <c r="D48" s="22"/>
      <c r="E48" s="55" t="s">
        <v>285</v>
      </c>
      <c r="F48" s="55" t="s">
        <v>166</v>
      </c>
      <c r="G48" s="60" t="s">
        <v>1356</v>
      </c>
      <c r="H48" s="19"/>
      <c r="I48" s="155"/>
      <c r="J48" s="200"/>
      <c r="K48" s="155"/>
      <c r="L48" s="155"/>
      <c r="M48" s="155"/>
      <c r="N48" s="155"/>
      <c r="O48" s="155"/>
      <c r="P48" s="155"/>
      <c r="Q48" s="155"/>
      <c r="R48" s="155"/>
      <c r="S48" s="155"/>
      <c r="T48" s="155"/>
      <c r="U48" s="155"/>
      <c r="V48" s="155"/>
      <c r="W48" s="155"/>
      <c r="X48" s="155"/>
      <c r="Y48" s="155"/>
      <c r="Z48" s="155"/>
      <c r="AA48" s="155"/>
    </row>
    <row r="49" ht="22.5" customHeight="1">
      <c r="A49" s="5">
        <v>45924.0</v>
      </c>
      <c r="B49" s="67"/>
      <c r="C49" s="63">
        <v>8.0</v>
      </c>
      <c r="D49" s="22"/>
      <c r="E49" s="55" t="s">
        <v>285</v>
      </c>
      <c r="F49" s="55" t="s">
        <v>166</v>
      </c>
      <c r="G49" s="60" t="s">
        <v>1357</v>
      </c>
      <c r="H49" s="19"/>
      <c r="I49" s="155"/>
      <c r="J49" s="200"/>
      <c r="K49" s="155"/>
      <c r="L49" s="155"/>
      <c r="M49" s="155"/>
      <c r="N49" s="155"/>
      <c r="O49" s="155"/>
      <c r="P49" s="155"/>
      <c r="Q49" s="155"/>
      <c r="R49" s="155"/>
      <c r="S49" s="155"/>
      <c r="T49" s="155"/>
      <c r="U49" s="155"/>
      <c r="V49" s="155"/>
      <c r="W49" s="155"/>
      <c r="X49" s="155"/>
      <c r="Y49" s="155"/>
      <c r="Z49" s="155"/>
      <c r="AA49" s="155"/>
    </row>
    <row r="50" ht="22.5" customHeight="1">
      <c r="A50" s="5">
        <v>45925.0</v>
      </c>
      <c r="B50" s="67"/>
      <c r="C50" s="63">
        <v>8.0</v>
      </c>
      <c r="D50" s="22"/>
      <c r="E50" s="55" t="s">
        <v>285</v>
      </c>
      <c r="F50" s="55" t="s">
        <v>166</v>
      </c>
      <c r="G50" s="143" t="s">
        <v>1358</v>
      </c>
      <c r="H50" s="19"/>
      <c r="I50" s="155"/>
      <c r="J50" s="200"/>
      <c r="K50" s="155"/>
      <c r="L50" s="155"/>
      <c r="M50" s="155"/>
      <c r="N50" s="155"/>
      <c r="O50" s="155"/>
      <c r="P50" s="155"/>
      <c r="Q50" s="155"/>
      <c r="R50" s="155"/>
      <c r="S50" s="155"/>
      <c r="T50" s="155"/>
      <c r="U50" s="155"/>
      <c r="V50" s="155"/>
      <c r="W50" s="155"/>
      <c r="X50" s="155"/>
      <c r="Y50" s="155"/>
      <c r="Z50" s="155"/>
      <c r="AA50" s="155"/>
    </row>
    <row r="51" ht="22.5" customHeight="1">
      <c r="A51" s="5">
        <v>45926.0</v>
      </c>
      <c r="B51" s="67"/>
      <c r="C51" s="63">
        <v>8.0</v>
      </c>
      <c r="D51" s="22"/>
      <c r="E51" s="55" t="s">
        <v>285</v>
      </c>
      <c r="F51" s="55" t="s">
        <v>166</v>
      </c>
      <c r="G51" s="143" t="s">
        <v>1359</v>
      </c>
      <c r="H51" s="19"/>
      <c r="I51" s="155"/>
      <c r="J51" s="200"/>
      <c r="K51" s="155"/>
      <c r="L51" s="155"/>
      <c r="M51" s="155"/>
      <c r="N51" s="155"/>
      <c r="O51" s="155"/>
      <c r="P51" s="155"/>
      <c r="Q51" s="155"/>
      <c r="R51" s="155"/>
      <c r="S51" s="155"/>
      <c r="T51" s="155"/>
      <c r="U51" s="155"/>
      <c r="V51" s="155"/>
      <c r="W51" s="155"/>
      <c r="X51" s="155"/>
      <c r="Y51" s="155"/>
      <c r="Z51" s="155"/>
      <c r="AA51" s="155"/>
    </row>
    <row r="52" ht="22.5" customHeight="1">
      <c r="A52" s="5">
        <v>45929.0</v>
      </c>
      <c r="B52" s="67"/>
      <c r="C52" s="210">
        <v>8.0</v>
      </c>
      <c r="D52" s="22"/>
      <c r="E52" s="194" t="s">
        <v>816</v>
      </c>
      <c r="F52" s="194" t="s">
        <v>816</v>
      </c>
      <c r="G52" s="55"/>
      <c r="H52" s="19"/>
      <c r="I52" s="155"/>
      <c r="J52" s="200"/>
      <c r="K52" s="155"/>
      <c r="L52" s="155"/>
      <c r="M52" s="155"/>
      <c r="N52" s="155"/>
      <c r="O52" s="155"/>
      <c r="P52" s="155"/>
      <c r="Q52" s="155"/>
      <c r="R52" s="155"/>
      <c r="S52" s="155"/>
      <c r="T52" s="155"/>
      <c r="U52" s="155"/>
      <c r="V52" s="155"/>
      <c r="W52" s="155"/>
      <c r="X52" s="155"/>
      <c r="Y52" s="155"/>
      <c r="Z52" s="155"/>
      <c r="AA52" s="155"/>
    </row>
    <row r="53" ht="22.5" customHeight="1">
      <c r="A53" s="5">
        <v>45930.0</v>
      </c>
      <c r="B53" s="67"/>
      <c r="C53" s="210">
        <v>8.0</v>
      </c>
      <c r="D53" s="22"/>
      <c r="E53" s="194" t="s">
        <v>816</v>
      </c>
      <c r="F53" s="194" t="s">
        <v>816</v>
      </c>
      <c r="G53" s="55"/>
      <c r="H53" s="19"/>
      <c r="I53" s="155"/>
      <c r="J53" s="200"/>
      <c r="K53" s="155"/>
      <c r="L53" s="155"/>
      <c r="M53" s="155"/>
      <c r="N53" s="155"/>
      <c r="O53" s="155"/>
      <c r="P53" s="155"/>
      <c r="Q53" s="155"/>
      <c r="R53" s="155"/>
      <c r="S53" s="155"/>
      <c r="T53" s="155"/>
      <c r="U53" s="155"/>
      <c r="V53" s="155"/>
      <c r="W53" s="155"/>
      <c r="X53" s="155"/>
      <c r="Y53" s="155"/>
      <c r="Z53" s="155"/>
      <c r="AA53" s="155"/>
    </row>
    <row r="54" ht="22.5" customHeight="1">
      <c r="A54" s="5">
        <v>45931.0</v>
      </c>
      <c r="B54" s="67"/>
      <c r="C54" s="210">
        <v>8.0</v>
      </c>
      <c r="D54" s="22"/>
      <c r="E54" s="194" t="s">
        <v>816</v>
      </c>
      <c r="F54" s="194" t="s">
        <v>816</v>
      </c>
      <c r="G54" s="55"/>
      <c r="H54" s="19"/>
      <c r="I54" s="155"/>
      <c r="J54" s="200"/>
      <c r="K54" s="155"/>
      <c r="L54" s="155"/>
      <c r="M54" s="155"/>
      <c r="N54" s="155"/>
      <c r="O54" s="155"/>
      <c r="P54" s="155"/>
      <c r="Q54" s="155"/>
      <c r="R54" s="155"/>
      <c r="S54" s="155"/>
      <c r="T54" s="155"/>
      <c r="U54" s="155"/>
      <c r="V54" s="155"/>
      <c r="W54" s="155"/>
      <c r="X54" s="155"/>
      <c r="Y54" s="155"/>
      <c r="Z54" s="155"/>
      <c r="AA54" s="155"/>
    </row>
    <row r="55" ht="22.5" customHeight="1">
      <c r="A55" s="5">
        <v>45932.0</v>
      </c>
      <c r="B55" s="67"/>
      <c r="C55" s="210">
        <v>8.0</v>
      </c>
      <c r="D55" s="22"/>
      <c r="E55" s="194" t="s">
        <v>816</v>
      </c>
      <c r="F55" s="194" t="s">
        <v>816</v>
      </c>
      <c r="G55" s="55"/>
      <c r="H55" s="19"/>
      <c r="I55" s="155"/>
      <c r="J55" s="200"/>
      <c r="K55" s="155"/>
      <c r="L55" s="155"/>
      <c r="M55" s="155"/>
      <c r="N55" s="155"/>
      <c r="O55" s="155"/>
      <c r="P55" s="155"/>
      <c r="Q55" s="155"/>
      <c r="R55" s="155"/>
      <c r="S55" s="155"/>
      <c r="T55" s="155"/>
      <c r="U55" s="155"/>
      <c r="V55" s="155"/>
      <c r="W55" s="155"/>
      <c r="X55" s="155"/>
      <c r="Y55" s="155"/>
      <c r="Z55" s="155"/>
      <c r="AA55" s="155"/>
    </row>
    <row r="56" ht="22.5" customHeight="1">
      <c r="A56" s="5">
        <v>45933.0</v>
      </c>
      <c r="B56" s="67"/>
      <c r="C56" s="210">
        <v>8.0</v>
      </c>
      <c r="D56" s="22"/>
      <c r="E56" s="194" t="s">
        <v>816</v>
      </c>
      <c r="F56" s="194" t="s">
        <v>816</v>
      </c>
      <c r="G56" s="55"/>
      <c r="H56" s="19"/>
      <c r="I56" s="155"/>
      <c r="J56" s="200"/>
      <c r="K56" s="155"/>
      <c r="L56" s="155"/>
      <c r="M56" s="155"/>
      <c r="N56" s="155"/>
      <c r="O56" s="155"/>
      <c r="P56" s="155"/>
      <c r="Q56" s="155"/>
      <c r="R56" s="155"/>
      <c r="S56" s="155"/>
      <c r="T56" s="155"/>
      <c r="U56" s="155"/>
      <c r="V56" s="155"/>
      <c r="W56" s="155"/>
      <c r="X56" s="155"/>
      <c r="Y56" s="155"/>
      <c r="Z56" s="155"/>
      <c r="AA56" s="155"/>
    </row>
    <row r="57" ht="22.5" customHeight="1">
      <c r="A57" s="5">
        <v>45936.0</v>
      </c>
      <c r="B57" s="67"/>
      <c r="C57" s="211">
        <v>8.0</v>
      </c>
      <c r="D57" s="212"/>
      <c r="E57" s="213" t="s">
        <v>1360</v>
      </c>
      <c r="F57" s="55" t="s">
        <v>166</v>
      </c>
      <c r="G57" s="214" t="s">
        <v>1361</v>
      </c>
      <c r="H57" s="19"/>
      <c r="I57" s="155"/>
      <c r="J57" s="200"/>
      <c r="K57" s="155"/>
      <c r="L57" s="155"/>
      <c r="M57" s="155"/>
      <c r="N57" s="155"/>
      <c r="O57" s="155"/>
      <c r="P57" s="155"/>
      <c r="Q57" s="155"/>
      <c r="R57" s="155"/>
      <c r="S57" s="155"/>
      <c r="T57" s="155"/>
      <c r="U57" s="155"/>
      <c r="V57" s="155"/>
      <c r="W57" s="155"/>
      <c r="X57" s="155"/>
      <c r="Y57" s="155"/>
      <c r="Z57" s="155"/>
      <c r="AA57" s="155"/>
    </row>
    <row r="58" ht="22.5" customHeight="1">
      <c r="A58" s="5">
        <v>45937.0</v>
      </c>
      <c r="B58" s="67"/>
      <c r="C58" s="211">
        <v>8.0</v>
      </c>
      <c r="D58" s="212"/>
      <c r="E58" s="213" t="s">
        <v>1362</v>
      </c>
      <c r="F58" s="55" t="s">
        <v>166</v>
      </c>
      <c r="G58" s="214" t="s">
        <v>1363</v>
      </c>
      <c r="H58" s="19"/>
      <c r="I58" s="155"/>
      <c r="J58" s="200"/>
      <c r="K58" s="155"/>
      <c r="L58" s="155"/>
      <c r="M58" s="155"/>
      <c r="N58" s="155"/>
      <c r="O58" s="155"/>
      <c r="P58" s="155"/>
      <c r="Q58" s="155"/>
      <c r="R58" s="155"/>
      <c r="S58" s="155"/>
      <c r="T58" s="155"/>
      <c r="U58" s="155"/>
      <c r="V58" s="155"/>
      <c r="W58" s="155"/>
      <c r="X58" s="155"/>
      <c r="Y58" s="155"/>
      <c r="Z58" s="155"/>
      <c r="AA58" s="155"/>
    </row>
    <row r="59" ht="22.5" customHeight="1">
      <c r="A59" s="5">
        <v>45938.0</v>
      </c>
      <c r="B59" s="67"/>
      <c r="C59" s="211">
        <v>8.0</v>
      </c>
      <c r="D59" s="212"/>
      <c r="E59" s="213" t="s">
        <v>1364</v>
      </c>
      <c r="F59" s="55" t="s">
        <v>166</v>
      </c>
      <c r="G59" s="214" t="s">
        <v>1365</v>
      </c>
      <c r="H59" s="19"/>
      <c r="I59" s="155"/>
      <c r="J59" s="200"/>
      <c r="K59" s="155"/>
      <c r="L59" s="155"/>
      <c r="M59" s="155"/>
      <c r="N59" s="155"/>
      <c r="O59" s="155"/>
      <c r="P59" s="155"/>
      <c r="Q59" s="155"/>
      <c r="R59" s="155"/>
      <c r="S59" s="155"/>
      <c r="T59" s="155"/>
      <c r="U59" s="155"/>
      <c r="V59" s="155"/>
      <c r="W59" s="155"/>
      <c r="X59" s="155"/>
      <c r="Y59" s="155"/>
      <c r="Z59" s="155"/>
      <c r="AA59" s="155"/>
    </row>
    <row r="60" ht="22.5" customHeight="1">
      <c r="A60" s="5">
        <v>45939.0</v>
      </c>
      <c r="B60" s="67"/>
      <c r="C60" s="211">
        <v>8.0</v>
      </c>
      <c r="D60" s="212"/>
      <c r="E60" s="213" t="s">
        <v>1366</v>
      </c>
      <c r="F60" s="55" t="s">
        <v>166</v>
      </c>
      <c r="G60" s="60" t="s">
        <v>1367</v>
      </c>
      <c r="H60" s="19"/>
      <c r="I60" s="155"/>
      <c r="J60" s="200"/>
      <c r="K60" s="155"/>
      <c r="L60" s="155"/>
      <c r="M60" s="155"/>
      <c r="N60" s="155"/>
      <c r="O60" s="155"/>
      <c r="P60" s="155"/>
      <c r="Q60" s="155"/>
      <c r="R60" s="155"/>
      <c r="S60" s="155"/>
      <c r="T60" s="155"/>
      <c r="U60" s="155"/>
      <c r="V60" s="155"/>
      <c r="W60" s="155"/>
      <c r="X60" s="155"/>
      <c r="Y60" s="155"/>
      <c r="Z60" s="155"/>
      <c r="AA60" s="155"/>
    </row>
    <row r="61" ht="22.5" customHeight="1">
      <c r="A61" s="5">
        <v>45940.0</v>
      </c>
      <c r="B61" s="67"/>
      <c r="C61" s="211">
        <v>8.0</v>
      </c>
      <c r="D61" s="212"/>
      <c r="E61" s="213" t="s">
        <v>1368</v>
      </c>
      <c r="F61" s="55" t="s">
        <v>166</v>
      </c>
      <c r="G61" s="60" t="s">
        <v>1369</v>
      </c>
      <c r="H61" s="19"/>
      <c r="I61" s="155"/>
      <c r="J61" s="200"/>
      <c r="K61" s="155"/>
      <c r="L61" s="155"/>
      <c r="M61" s="155"/>
      <c r="N61" s="155"/>
      <c r="O61" s="155"/>
      <c r="P61" s="155"/>
      <c r="Q61" s="155"/>
      <c r="R61" s="155"/>
      <c r="S61" s="155"/>
      <c r="T61" s="155"/>
      <c r="U61" s="155"/>
      <c r="V61" s="155"/>
      <c r="W61" s="155"/>
      <c r="X61" s="155"/>
      <c r="Y61" s="155"/>
      <c r="Z61" s="155"/>
      <c r="AA61" s="155"/>
    </row>
    <row r="62" ht="22.5" customHeight="1">
      <c r="A62" s="5">
        <v>45943.0</v>
      </c>
      <c r="B62" s="67"/>
      <c r="C62" s="211">
        <v>8.0</v>
      </c>
      <c r="D62" s="22"/>
      <c r="E62" s="213" t="s">
        <v>1370</v>
      </c>
      <c r="F62" s="55" t="s">
        <v>166</v>
      </c>
      <c r="G62" s="60" t="s">
        <v>1371</v>
      </c>
      <c r="H62" s="19"/>
      <c r="I62" s="155"/>
      <c r="J62" s="200"/>
      <c r="K62" s="155"/>
      <c r="L62" s="155"/>
      <c r="M62" s="155"/>
      <c r="N62" s="155"/>
      <c r="O62" s="155"/>
      <c r="P62" s="155"/>
      <c r="Q62" s="155"/>
      <c r="R62" s="155"/>
      <c r="S62" s="155"/>
      <c r="T62" s="155"/>
      <c r="U62" s="155"/>
      <c r="V62" s="155"/>
      <c r="W62" s="155"/>
      <c r="X62" s="155"/>
      <c r="Y62" s="155"/>
      <c r="Z62" s="155"/>
      <c r="AA62" s="155"/>
    </row>
    <row r="63" ht="22.5" customHeight="1">
      <c r="A63" s="5">
        <v>45944.0</v>
      </c>
      <c r="B63" s="67"/>
      <c r="C63" s="211">
        <v>8.0</v>
      </c>
      <c r="D63" s="22"/>
      <c r="E63" s="213" t="s">
        <v>1372</v>
      </c>
      <c r="F63" s="55" t="s">
        <v>166</v>
      </c>
      <c r="G63" s="143" t="s">
        <v>1373</v>
      </c>
      <c r="H63" s="19"/>
      <c r="I63" s="155"/>
      <c r="J63" s="200"/>
      <c r="K63" s="155"/>
      <c r="L63" s="155"/>
      <c r="M63" s="155"/>
      <c r="N63" s="155"/>
      <c r="O63" s="155"/>
      <c r="P63" s="155"/>
      <c r="Q63" s="155"/>
      <c r="R63" s="155"/>
      <c r="S63" s="155"/>
      <c r="T63" s="155"/>
      <c r="U63" s="155"/>
      <c r="V63" s="155"/>
      <c r="W63" s="155"/>
      <c r="X63" s="155"/>
      <c r="Y63" s="155"/>
      <c r="Z63" s="155"/>
      <c r="AA63" s="155"/>
    </row>
    <row r="64" ht="22.5" customHeight="1">
      <c r="A64" s="5">
        <v>45945.0</v>
      </c>
      <c r="B64" s="67"/>
      <c r="C64" s="211">
        <v>8.0</v>
      </c>
      <c r="D64" s="22"/>
      <c r="E64" s="213" t="s">
        <v>1374</v>
      </c>
      <c r="F64" s="55" t="s">
        <v>166</v>
      </c>
      <c r="G64" s="60" t="s">
        <v>1375</v>
      </c>
      <c r="H64" s="19"/>
      <c r="I64" s="155"/>
      <c r="J64" s="200"/>
      <c r="K64" s="155"/>
      <c r="L64" s="155"/>
      <c r="M64" s="155"/>
      <c r="N64" s="155"/>
      <c r="O64" s="155"/>
      <c r="P64" s="155"/>
      <c r="Q64" s="155"/>
      <c r="R64" s="155"/>
      <c r="S64" s="155"/>
      <c r="T64" s="155"/>
      <c r="U64" s="155"/>
      <c r="V64" s="155"/>
      <c r="W64" s="155"/>
      <c r="X64" s="155"/>
      <c r="Y64" s="155"/>
      <c r="Z64" s="155"/>
      <c r="AA64" s="155"/>
    </row>
    <row r="65" ht="22.5" customHeight="1">
      <c r="A65" s="5">
        <v>45946.0</v>
      </c>
      <c r="B65" s="67"/>
      <c r="C65" s="211">
        <v>8.0</v>
      </c>
      <c r="D65" s="22"/>
      <c r="E65" s="213" t="s">
        <v>1376</v>
      </c>
      <c r="F65" s="55" t="s">
        <v>166</v>
      </c>
      <c r="G65" s="60" t="s">
        <v>1377</v>
      </c>
      <c r="H65" s="19"/>
      <c r="I65" s="155"/>
      <c r="J65" s="200"/>
      <c r="K65" s="155"/>
      <c r="L65" s="155"/>
      <c r="M65" s="155"/>
      <c r="N65" s="155"/>
      <c r="O65" s="155"/>
      <c r="P65" s="155"/>
      <c r="Q65" s="155"/>
      <c r="R65" s="155"/>
      <c r="S65" s="155"/>
      <c r="T65" s="155"/>
      <c r="U65" s="155"/>
      <c r="V65" s="155"/>
      <c r="W65" s="155"/>
      <c r="X65" s="155"/>
      <c r="Y65" s="155"/>
      <c r="Z65" s="155"/>
      <c r="AA65" s="155"/>
    </row>
    <row r="66" ht="22.5" customHeight="1">
      <c r="A66" s="5">
        <v>45947.0</v>
      </c>
      <c r="B66" s="67"/>
      <c r="C66" s="211">
        <v>8.0</v>
      </c>
      <c r="D66" s="22"/>
      <c r="E66" s="213" t="s">
        <v>1378</v>
      </c>
      <c r="F66" s="55" t="s">
        <v>166</v>
      </c>
      <c r="G66" s="60" t="s">
        <v>1379</v>
      </c>
      <c r="H66" s="19"/>
      <c r="I66" s="155"/>
      <c r="J66" s="200"/>
      <c r="K66" s="155"/>
      <c r="L66" s="155"/>
      <c r="M66" s="155"/>
      <c r="N66" s="155"/>
      <c r="O66" s="155"/>
      <c r="P66" s="155"/>
      <c r="Q66" s="155"/>
      <c r="R66" s="155"/>
      <c r="S66" s="155"/>
      <c r="T66" s="155"/>
      <c r="U66" s="155"/>
      <c r="V66" s="155"/>
      <c r="W66" s="155"/>
      <c r="X66" s="155"/>
      <c r="Y66" s="155"/>
      <c r="Z66" s="155"/>
      <c r="AA66" s="155"/>
    </row>
    <row r="67" ht="22.5" customHeight="1">
      <c r="A67" s="5">
        <v>45950.0</v>
      </c>
      <c r="B67" s="67"/>
      <c r="C67" s="211">
        <v>8.0</v>
      </c>
      <c r="D67" s="22"/>
      <c r="E67" s="213" t="s">
        <v>1380</v>
      </c>
      <c r="F67" s="55" t="s">
        <v>166</v>
      </c>
      <c r="G67" s="152" t="s">
        <v>1381</v>
      </c>
      <c r="H67" s="19"/>
      <c r="I67" s="155"/>
      <c r="J67" s="200"/>
      <c r="K67" s="155"/>
      <c r="L67" s="155"/>
      <c r="M67" s="155"/>
      <c r="N67" s="155"/>
      <c r="O67" s="155"/>
      <c r="P67" s="155"/>
      <c r="Q67" s="155"/>
      <c r="R67" s="155"/>
      <c r="S67" s="155"/>
      <c r="T67" s="155"/>
      <c r="U67" s="155"/>
      <c r="V67" s="155"/>
      <c r="W67" s="155"/>
      <c r="X67" s="155"/>
      <c r="Y67" s="155"/>
      <c r="Z67" s="155"/>
      <c r="AA67" s="155"/>
    </row>
    <row r="68" ht="22.5" customHeight="1">
      <c r="A68" s="5">
        <v>45951.0</v>
      </c>
      <c r="B68" s="67"/>
      <c r="C68" s="211">
        <v>8.0</v>
      </c>
      <c r="D68" s="22"/>
      <c r="E68" s="213" t="s">
        <v>1382</v>
      </c>
      <c r="F68" s="55" t="s">
        <v>166</v>
      </c>
      <c r="G68" s="152" t="s">
        <v>1383</v>
      </c>
      <c r="H68" s="19"/>
      <c r="I68" s="155"/>
      <c r="J68" s="200"/>
      <c r="K68" s="155"/>
      <c r="L68" s="155"/>
      <c r="M68" s="155"/>
      <c r="N68" s="155"/>
      <c r="O68" s="155"/>
      <c r="P68" s="155"/>
      <c r="Q68" s="155"/>
      <c r="R68" s="155"/>
      <c r="S68" s="155"/>
      <c r="T68" s="155"/>
      <c r="U68" s="155"/>
      <c r="V68" s="155"/>
      <c r="W68" s="155"/>
      <c r="X68" s="155"/>
      <c r="Y68" s="155"/>
      <c r="Z68" s="155"/>
      <c r="AA68" s="155"/>
    </row>
    <row r="69" ht="22.5" customHeight="1">
      <c r="A69" s="5">
        <v>45952.0</v>
      </c>
      <c r="B69" s="67"/>
      <c r="C69" s="211">
        <v>8.0</v>
      </c>
      <c r="D69" s="22"/>
      <c r="E69" s="213" t="s">
        <v>1382</v>
      </c>
      <c r="F69" s="55" t="s">
        <v>166</v>
      </c>
      <c r="G69" s="152" t="s">
        <v>1383</v>
      </c>
      <c r="H69" s="19"/>
      <c r="I69" s="155"/>
      <c r="J69" s="200"/>
      <c r="K69" s="155"/>
      <c r="L69" s="155"/>
      <c r="M69" s="155"/>
      <c r="N69" s="155"/>
      <c r="O69" s="155"/>
      <c r="P69" s="155"/>
      <c r="Q69" s="155"/>
      <c r="R69" s="155"/>
      <c r="S69" s="155"/>
      <c r="T69" s="155"/>
      <c r="U69" s="155"/>
      <c r="V69" s="155"/>
      <c r="W69" s="155"/>
      <c r="X69" s="155"/>
      <c r="Y69" s="155"/>
      <c r="Z69" s="155"/>
      <c r="AA69" s="155"/>
    </row>
    <row r="70" ht="22.5" customHeight="1">
      <c r="A70" s="5">
        <v>45953.0</v>
      </c>
      <c r="B70" s="67"/>
      <c r="C70" s="211">
        <v>8.0</v>
      </c>
      <c r="D70" s="22"/>
      <c r="E70" s="213" t="s">
        <v>1384</v>
      </c>
      <c r="F70" s="55" t="s">
        <v>166</v>
      </c>
      <c r="G70" s="60" t="s">
        <v>1385</v>
      </c>
      <c r="H70" s="19"/>
      <c r="I70" s="155"/>
      <c r="J70" s="200"/>
      <c r="K70" s="155"/>
      <c r="L70" s="155"/>
      <c r="M70" s="155"/>
      <c r="N70" s="155"/>
      <c r="O70" s="155"/>
      <c r="P70" s="155"/>
      <c r="Q70" s="155"/>
      <c r="R70" s="155"/>
      <c r="S70" s="155"/>
      <c r="T70" s="155"/>
      <c r="U70" s="155"/>
      <c r="V70" s="155"/>
      <c r="W70" s="155"/>
      <c r="X70" s="155"/>
      <c r="Y70" s="155"/>
      <c r="Z70" s="155"/>
      <c r="AA70" s="155"/>
    </row>
    <row r="71" ht="22.5" customHeight="1">
      <c r="A71" s="5">
        <v>45954.0</v>
      </c>
      <c r="B71" s="67"/>
      <c r="C71" s="211">
        <v>8.0</v>
      </c>
      <c r="D71" s="22"/>
      <c r="E71" s="213" t="s">
        <v>1386</v>
      </c>
      <c r="F71" s="55" t="s">
        <v>166</v>
      </c>
      <c r="G71" s="143" t="s">
        <v>1387</v>
      </c>
      <c r="H71" s="19"/>
      <c r="I71" s="155"/>
      <c r="J71" s="200"/>
      <c r="K71" s="155"/>
      <c r="L71" s="155"/>
      <c r="M71" s="155"/>
      <c r="N71" s="155"/>
      <c r="O71" s="155"/>
      <c r="P71" s="155"/>
      <c r="Q71" s="155"/>
      <c r="R71" s="155"/>
      <c r="S71" s="155"/>
      <c r="T71" s="155"/>
      <c r="U71" s="155"/>
      <c r="V71" s="155"/>
      <c r="W71" s="155"/>
      <c r="X71" s="155"/>
      <c r="Y71" s="155"/>
      <c r="Z71" s="155"/>
      <c r="AA71" s="155"/>
    </row>
    <row r="72" ht="22.5" customHeight="1">
      <c r="A72" s="5">
        <v>45957.0</v>
      </c>
      <c r="B72" s="67"/>
      <c r="C72" s="63">
        <v>8.0</v>
      </c>
      <c r="D72" s="22"/>
      <c r="E72" s="55" t="s">
        <v>1388</v>
      </c>
      <c r="F72" s="55" t="s">
        <v>166</v>
      </c>
      <c r="G72" s="60" t="s">
        <v>1389</v>
      </c>
      <c r="H72" s="19"/>
      <c r="I72" s="155"/>
      <c r="J72" s="200"/>
      <c r="K72" s="155"/>
      <c r="L72" s="155"/>
      <c r="M72" s="155"/>
      <c r="N72" s="155"/>
      <c r="O72" s="155"/>
      <c r="P72" s="155"/>
      <c r="Q72" s="155"/>
      <c r="R72" s="155"/>
      <c r="S72" s="155"/>
      <c r="T72" s="155"/>
      <c r="U72" s="155"/>
      <c r="V72" s="155"/>
      <c r="W72" s="155"/>
      <c r="X72" s="155"/>
      <c r="Y72" s="155"/>
      <c r="Z72" s="155"/>
      <c r="AA72" s="155"/>
    </row>
    <row r="73" ht="22.5" customHeight="1">
      <c r="A73" s="5">
        <v>45958.0</v>
      </c>
      <c r="B73" s="67"/>
      <c r="C73" s="63">
        <v>8.0</v>
      </c>
      <c r="D73" s="22"/>
      <c r="E73" s="55" t="s">
        <v>1390</v>
      </c>
      <c r="F73" s="55" t="s">
        <v>166</v>
      </c>
      <c r="G73" s="60" t="s">
        <v>1391</v>
      </c>
      <c r="H73" s="19"/>
      <c r="I73" s="155"/>
      <c r="J73" s="200"/>
      <c r="K73" s="155"/>
      <c r="L73" s="155"/>
      <c r="M73" s="155"/>
      <c r="N73" s="155"/>
      <c r="O73" s="155"/>
      <c r="P73" s="155"/>
      <c r="Q73" s="155"/>
      <c r="R73" s="155"/>
      <c r="S73" s="155"/>
      <c r="T73" s="155"/>
      <c r="U73" s="155"/>
      <c r="V73" s="155"/>
      <c r="W73" s="155"/>
      <c r="X73" s="155"/>
      <c r="Y73" s="155"/>
      <c r="Z73" s="155"/>
      <c r="AA73" s="155"/>
    </row>
    <row r="74" ht="22.5" customHeight="1">
      <c r="A74" s="5">
        <v>45959.0</v>
      </c>
      <c r="B74" s="67"/>
      <c r="C74" s="63">
        <v>8.0</v>
      </c>
      <c r="D74" s="22"/>
      <c r="E74" s="55" t="s">
        <v>1392</v>
      </c>
      <c r="F74" s="55" t="s">
        <v>166</v>
      </c>
      <c r="G74" s="60" t="s">
        <v>1393</v>
      </c>
      <c r="H74" s="19"/>
      <c r="I74" s="155"/>
      <c r="J74" s="200"/>
      <c r="K74" s="155"/>
      <c r="L74" s="155"/>
      <c r="M74" s="155"/>
      <c r="N74" s="155"/>
      <c r="O74" s="155"/>
      <c r="P74" s="155"/>
      <c r="Q74" s="155"/>
      <c r="R74" s="155"/>
      <c r="S74" s="155"/>
      <c r="T74" s="155"/>
      <c r="U74" s="155"/>
      <c r="V74" s="155"/>
      <c r="W74" s="155"/>
      <c r="X74" s="155"/>
      <c r="Y74" s="155"/>
      <c r="Z74" s="155"/>
      <c r="AA74" s="155"/>
    </row>
    <row r="75" ht="22.5" customHeight="1">
      <c r="A75" s="5">
        <v>45960.0</v>
      </c>
      <c r="B75" s="67"/>
      <c r="C75" s="63">
        <v>8.0</v>
      </c>
      <c r="D75" s="22"/>
      <c r="E75" s="55" t="s">
        <v>1394</v>
      </c>
      <c r="F75" s="55" t="s">
        <v>166</v>
      </c>
      <c r="G75" s="60" t="s">
        <v>1395</v>
      </c>
      <c r="H75" s="19"/>
      <c r="I75" s="155"/>
      <c r="J75" s="200"/>
      <c r="K75" s="155"/>
      <c r="L75" s="155"/>
      <c r="M75" s="155"/>
      <c r="N75" s="155"/>
      <c r="O75" s="155"/>
      <c r="P75" s="155"/>
      <c r="Q75" s="155"/>
      <c r="R75" s="155"/>
      <c r="S75" s="155"/>
      <c r="T75" s="155"/>
      <c r="U75" s="155"/>
      <c r="V75" s="155"/>
      <c r="W75" s="155"/>
      <c r="X75" s="155"/>
      <c r="Y75" s="155"/>
      <c r="Z75" s="155"/>
      <c r="AA75" s="155"/>
    </row>
    <row r="76" ht="22.5" customHeight="1">
      <c r="A76" s="5">
        <v>45961.0</v>
      </c>
      <c r="B76" s="67"/>
      <c r="C76" s="63">
        <v>8.0</v>
      </c>
      <c r="D76" s="22"/>
      <c r="E76" s="55" t="s">
        <v>1396</v>
      </c>
      <c r="F76" s="55" t="s">
        <v>166</v>
      </c>
      <c r="G76" s="60" t="s">
        <v>1397</v>
      </c>
      <c r="H76" s="19"/>
      <c r="I76" s="155"/>
      <c r="J76" s="200"/>
      <c r="K76" s="155"/>
      <c r="L76" s="155"/>
      <c r="M76" s="155"/>
      <c r="N76" s="155"/>
      <c r="O76" s="155"/>
      <c r="P76" s="155"/>
      <c r="Q76" s="155"/>
      <c r="R76" s="155"/>
      <c r="S76" s="155"/>
      <c r="T76" s="155"/>
      <c r="U76" s="155"/>
      <c r="V76" s="155"/>
      <c r="W76" s="155"/>
      <c r="X76" s="155"/>
      <c r="Y76" s="155"/>
      <c r="Z76" s="155"/>
      <c r="AA76" s="155"/>
    </row>
    <row r="77" ht="22.5" customHeight="1">
      <c r="A77" s="5">
        <v>45964.0</v>
      </c>
      <c r="B77" s="67"/>
      <c r="C77" s="63">
        <v>8.0</v>
      </c>
      <c r="D77" s="22"/>
      <c r="E77" s="55" t="s">
        <v>1398</v>
      </c>
      <c r="F77" s="55" t="s">
        <v>166</v>
      </c>
      <c r="G77" s="60" t="s">
        <v>1399</v>
      </c>
      <c r="H77" s="19"/>
      <c r="I77" s="155"/>
      <c r="J77" s="200"/>
      <c r="K77" s="155"/>
      <c r="L77" s="155"/>
      <c r="M77" s="155"/>
      <c r="N77" s="155"/>
      <c r="O77" s="155"/>
      <c r="P77" s="155"/>
      <c r="Q77" s="155"/>
      <c r="R77" s="155"/>
      <c r="S77" s="155"/>
      <c r="T77" s="155"/>
      <c r="U77" s="155"/>
      <c r="V77" s="155"/>
      <c r="W77" s="155"/>
      <c r="X77" s="155"/>
      <c r="Y77" s="155"/>
      <c r="Z77" s="155"/>
      <c r="AA77" s="155"/>
    </row>
    <row r="78" ht="22.5" customHeight="1">
      <c r="A78" s="5">
        <v>45965.0</v>
      </c>
      <c r="B78" s="67"/>
      <c r="C78" s="63">
        <v>8.0</v>
      </c>
      <c r="D78" s="22"/>
      <c r="E78" s="55" t="s">
        <v>1400</v>
      </c>
      <c r="F78" s="55" t="s">
        <v>166</v>
      </c>
      <c r="G78" s="60" t="s">
        <v>1401</v>
      </c>
      <c r="H78" s="19"/>
      <c r="I78" s="155"/>
      <c r="J78" s="200"/>
      <c r="K78" s="155"/>
      <c r="L78" s="155"/>
      <c r="M78" s="155"/>
      <c r="N78" s="155"/>
      <c r="O78" s="155"/>
      <c r="P78" s="155"/>
      <c r="Q78" s="155"/>
      <c r="R78" s="155"/>
      <c r="S78" s="155"/>
      <c r="T78" s="155"/>
      <c r="U78" s="155"/>
      <c r="V78" s="155"/>
      <c r="W78" s="155"/>
      <c r="X78" s="155"/>
      <c r="Y78" s="155"/>
      <c r="Z78" s="155"/>
      <c r="AA78" s="155"/>
    </row>
    <row r="79" ht="22.5" customHeight="1">
      <c r="A79" s="5">
        <v>45966.0</v>
      </c>
      <c r="B79" s="67"/>
      <c r="C79" s="63">
        <v>8.0</v>
      </c>
      <c r="D79" s="22"/>
      <c r="E79" s="55" t="s">
        <v>1402</v>
      </c>
      <c r="F79" s="55" t="s">
        <v>166</v>
      </c>
      <c r="G79" s="60" t="s">
        <v>1403</v>
      </c>
      <c r="H79" s="19"/>
      <c r="I79" s="155"/>
      <c r="J79" s="200"/>
      <c r="K79" s="155"/>
      <c r="L79" s="155"/>
      <c r="M79" s="155"/>
      <c r="N79" s="155"/>
      <c r="O79" s="155"/>
      <c r="P79" s="155"/>
      <c r="Q79" s="155"/>
      <c r="R79" s="155"/>
      <c r="S79" s="155"/>
      <c r="T79" s="155"/>
      <c r="U79" s="155"/>
      <c r="V79" s="155"/>
      <c r="W79" s="155"/>
      <c r="X79" s="155"/>
      <c r="Y79" s="155"/>
      <c r="Z79" s="155"/>
      <c r="AA79" s="155"/>
    </row>
    <row r="80" ht="22.5" customHeight="1">
      <c r="A80" s="5">
        <v>45967.0</v>
      </c>
      <c r="B80" s="67"/>
      <c r="C80" s="63">
        <v>8.0</v>
      </c>
      <c r="D80" s="22"/>
      <c r="E80" s="55" t="s">
        <v>1404</v>
      </c>
      <c r="F80" s="55" t="s">
        <v>166</v>
      </c>
      <c r="G80" s="60" t="s">
        <v>1405</v>
      </c>
      <c r="H80" s="19"/>
      <c r="I80" s="155"/>
      <c r="J80" s="200"/>
      <c r="K80" s="155"/>
      <c r="L80" s="155"/>
      <c r="M80" s="155"/>
      <c r="N80" s="155"/>
      <c r="O80" s="155"/>
      <c r="P80" s="155"/>
      <c r="Q80" s="155"/>
      <c r="R80" s="155"/>
      <c r="S80" s="155"/>
      <c r="T80" s="155"/>
      <c r="U80" s="155"/>
      <c r="V80" s="155"/>
      <c r="W80" s="155"/>
      <c r="X80" s="155"/>
      <c r="Y80" s="155"/>
      <c r="Z80" s="155"/>
      <c r="AA80" s="155"/>
    </row>
    <row r="81" ht="22.5" customHeight="1">
      <c r="A81" s="5">
        <v>45968.0</v>
      </c>
      <c r="B81" s="67"/>
      <c r="C81" s="63" t="s">
        <v>1406</v>
      </c>
      <c r="D81" s="22"/>
      <c r="E81" s="55" t="s">
        <v>1407</v>
      </c>
      <c r="F81" s="55" t="s">
        <v>166</v>
      </c>
      <c r="G81" s="143" t="s">
        <v>1401</v>
      </c>
      <c r="H81" s="19"/>
      <c r="I81" s="155"/>
      <c r="J81" s="200"/>
      <c r="K81" s="155"/>
      <c r="L81" s="155"/>
      <c r="M81" s="155"/>
      <c r="N81" s="155"/>
      <c r="O81" s="155"/>
      <c r="P81" s="155"/>
      <c r="Q81" s="155"/>
      <c r="R81" s="155"/>
      <c r="S81" s="155"/>
      <c r="T81" s="155"/>
      <c r="U81" s="155"/>
      <c r="V81" s="155"/>
      <c r="W81" s="155"/>
      <c r="X81" s="155"/>
      <c r="Y81" s="155"/>
      <c r="Z81" s="155"/>
      <c r="AA81" s="155"/>
    </row>
    <row r="82" ht="22.5" customHeight="1">
      <c r="A82" s="5">
        <v>45971.0</v>
      </c>
      <c r="B82" s="67"/>
      <c r="C82" s="63">
        <v>8.0</v>
      </c>
      <c r="D82" s="22"/>
      <c r="E82" s="55" t="s">
        <v>1408</v>
      </c>
      <c r="F82" s="55" t="s">
        <v>166</v>
      </c>
      <c r="G82" s="152" t="s">
        <v>1409</v>
      </c>
      <c r="H82" s="19"/>
      <c r="I82" s="155"/>
      <c r="J82" s="200"/>
      <c r="K82" s="155"/>
      <c r="L82" s="155"/>
      <c r="M82" s="155"/>
      <c r="N82" s="155"/>
      <c r="O82" s="155"/>
      <c r="P82" s="155"/>
      <c r="Q82" s="155"/>
      <c r="R82" s="155"/>
      <c r="S82" s="155"/>
      <c r="T82" s="155"/>
      <c r="U82" s="155"/>
      <c r="V82" s="155"/>
      <c r="W82" s="155"/>
      <c r="X82" s="155"/>
      <c r="Y82" s="155"/>
      <c r="Z82" s="155"/>
      <c r="AA82" s="155"/>
    </row>
    <row r="83" ht="22.5" customHeight="1">
      <c r="A83" s="5">
        <v>45972.0</v>
      </c>
      <c r="B83" s="67"/>
      <c r="C83" s="63">
        <v>8.0</v>
      </c>
      <c r="D83" s="22"/>
      <c r="E83" s="55" t="s">
        <v>1410</v>
      </c>
      <c r="F83" s="55" t="s">
        <v>166</v>
      </c>
      <c r="G83" s="60" t="s">
        <v>1411</v>
      </c>
      <c r="H83" s="19"/>
      <c r="I83" s="155"/>
      <c r="J83" s="200"/>
      <c r="K83" s="155"/>
      <c r="L83" s="155"/>
      <c r="M83" s="155"/>
      <c r="N83" s="155"/>
      <c r="O83" s="155"/>
      <c r="P83" s="155"/>
      <c r="Q83" s="155"/>
      <c r="R83" s="155"/>
      <c r="S83" s="155"/>
      <c r="T83" s="155"/>
      <c r="U83" s="155"/>
      <c r="V83" s="155"/>
      <c r="W83" s="155"/>
      <c r="X83" s="155"/>
      <c r="Y83" s="155"/>
      <c r="Z83" s="155"/>
      <c r="AA83" s="155"/>
    </row>
    <row r="84" ht="22.5" customHeight="1">
      <c r="A84" s="5">
        <v>45973.0</v>
      </c>
      <c r="B84" s="67"/>
      <c r="C84" s="63">
        <v>8.0</v>
      </c>
      <c r="D84" s="22"/>
      <c r="E84" s="55" t="s">
        <v>1410</v>
      </c>
      <c r="F84" s="55" t="s">
        <v>166</v>
      </c>
      <c r="G84" s="60" t="s">
        <v>1412</v>
      </c>
      <c r="H84" s="19"/>
      <c r="I84" s="155"/>
      <c r="J84" s="200"/>
      <c r="K84" s="155"/>
      <c r="L84" s="155"/>
      <c r="M84" s="155"/>
      <c r="N84" s="155"/>
      <c r="O84" s="155"/>
      <c r="P84" s="155"/>
      <c r="Q84" s="155"/>
      <c r="R84" s="155"/>
      <c r="S84" s="155"/>
      <c r="T84" s="155"/>
      <c r="U84" s="155"/>
      <c r="V84" s="155"/>
      <c r="W84" s="155"/>
      <c r="X84" s="155"/>
      <c r="Y84" s="155"/>
      <c r="Z84" s="155"/>
      <c r="AA84" s="155"/>
    </row>
    <row r="85" ht="22.5" customHeight="1">
      <c r="A85" s="5">
        <v>45974.0</v>
      </c>
      <c r="B85" s="67"/>
      <c r="C85" s="63">
        <v>8.0</v>
      </c>
      <c r="D85" s="22"/>
      <c r="E85" s="55" t="s">
        <v>1410</v>
      </c>
      <c r="F85" s="55" t="s">
        <v>166</v>
      </c>
      <c r="G85" s="60" t="s">
        <v>1413</v>
      </c>
      <c r="H85" s="215"/>
      <c r="I85" s="155"/>
      <c r="J85" s="200"/>
      <c r="K85" s="155"/>
      <c r="L85" s="155"/>
      <c r="M85" s="155"/>
      <c r="N85" s="155"/>
      <c r="O85" s="155"/>
      <c r="P85" s="155"/>
      <c r="Q85" s="155"/>
      <c r="R85" s="155"/>
      <c r="S85" s="155"/>
      <c r="T85" s="155"/>
      <c r="U85" s="155"/>
      <c r="V85" s="155"/>
      <c r="W85" s="155"/>
      <c r="X85" s="155"/>
      <c r="Y85" s="155"/>
      <c r="Z85" s="155"/>
      <c r="AA85" s="155"/>
    </row>
    <row r="86" ht="22.5" customHeight="1">
      <c r="A86" s="5">
        <v>45975.0</v>
      </c>
      <c r="B86" s="67"/>
      <c r="C86" s="63">
        <v>8.0</v>
      </c>
      <c r="D86" s="22"/>
      <c r="E86" s="55" t="s">
        <v>1414</v>
      </c>
      <c r="F86" s="55" t="s">
        <v>166</v>
      </c>
      <c r="G86" s="143" t="s">
        <v>1415</v>
      </c>
      <c r="H86" s="19"/>
      <c r="I86" s="155"/>
      <c r="J86" s="200"/>
      <c r="K86" s="155"/>
      <c r="L86" s="155"/>
      <c r="M86" s="155"/>
      <c r="N86" s="155"/>
      <c r="O86" s="155"/>
      <c r="P86" s="155"/>
      <c r="Q86" s="155"/>
      <c r="R86" s="155"/>
      <c r="S86" s="155"/>
      <c r="T86" s="155"/>
      <c r="U86" s="155"/>
      <c r="V86" s="155"/>
      <c r="W86" s="155"/>
      <c r="X86" s="155"/>
      <c r="Y86" s="155"/>
      <c r="Z86" s="155"/>
      <c r="AA86" s="155"/>
    </row>
    <row r="87" ht="22.5" customHeight="1">
      <c r="A87" s="5">
        <v>45978.0</v>
      </c>
      <c r="B87" s="67"/>
      <c r="C87" s="63">
        <v>8.0</v>
      </c>
      <c r="D87" s="22"/>
      <c r="E87" s="216" t="s">
        <v>1416</v>
      </c>
      <c r="F87" s="55" t="s">
        <v>1417</v>
      </c>
      <c r="G87" s="143" t="s">
        <v>1415</v>
      </c>
      <c r="H87" s="19"/>
      <c r="I87" s="155"/>
      <c r="J87" s="200"/>
      <c r="K87" s="155"/>
      <c r="L87" s="155"/>
      <c r="M87" s="155"/>
      <c r="N87" s="155"/>
      <c r="O87" s="155"/>
      <c r="P87" s="155"/>
      <c r="Q87" s="155"/>
      <c r="R87" s="155"/>
      <c r="S87" s="155"/>
      <c r="T87" s="155"/>
      <c r="U87" s="155"/>
      <c r="V87" s="155"/>
      <c r="W87" s="155"/>
      <c r="X87" s="155"/>
      <c r="Y87" s="155"/>
      <c r="Z87" s="155"/>
      <c r="AA87" s="155"/>
    </row>
    <row r="88" ht="22.5" customHeight="1">
      <c r="A88" s="5">
        <v>45979.0</v>
      </c>
      <c r="B88" s="67"/>
      <c r="C88" s="63">
        <v>8.0</v>
      </c>
      <c r="D88" s="22"/>
      <c r="E88" s="55" t="s">
        <v>1418</v>
      </c>
      <c r="F88" s="55" t="s">
        <v>1417</v>
      </c>
      <c r="G88" s="60" t="s">
        <v>1419</v>
      </c>
      <c r="H88" s="19"/>
      <c r="I88" s="155"/>
      <c r="J88" s="200"/>
      <c r="K88" s="155"/>
      <c r="L88" s="155"/>
      <c r="M88" s="155"/>
      <c r="N88" s="155"/>
      <c r="O88" s="155"/>
      <c r="P88" s="155"/>
      <c r="Q88" s="155"/>
      <c r="R88" s="155"/>
      <c r="S88" s="155"/>
      <c r="T88" s="155"/>
      <c r="U88" s="155"/>
      <c r="V88" s="155"/>
      <c r="W88" s="155"/>
      <c r="X88" s="155"/>
      <c r="Y88" s="155"/>
      <c r="Z88" s="155"/>
      <c r="AA88" s="155"/>
    </row>
    <row r="89" ht="22.5" customHeight="1">
      <c r="A89" s="5">
        <v>45980.0</v>
      </c>
      <c r="B89" s="67"/>
      <c r="C89" s="63">
        <v>8.0</v>
      </c>
      <c r="D89" s="22"/>
      <c r="E89" s="55" t="s">
        <v>1420</v>
      </c>
      <c r="F89" s="55" t="s">
        <v>166</v>
      </c>
      <c r="G89" s="60" t="s">
        <v>1421</v>
      </c>
      <c r="H89" s="19"/>
      <c r="I89" s="155"/>
      <c r="J89" s="200"/>
      <c r="K89" s="155"/>
      <c r="L89" s="155"/>
      <c r="M89" s="155"/>
      <c r="N89" s="155"/>
      <c r="O89" s="155"/>
      <c r="P89" s="155"/>
      <c r="Q89" s="155"/>
      <c r="R89" s="155"/>
      <c r="S89" s="155"/>
      <c r="T89" s="155"/>
      <c r="U89" s="155"/>
      <c r="V89" s="155"/>
      <c r="W89" s="155"/>
      <c r="X89" s="155"/>
      <c r="Y89" s="155"/>
      <c r="Z89" s="155"/>
      <c r="AA89" s="155"/>
    </row>
    <row r="90" ht="22.5" customHeight="1">
      <c r="A90" s="5">
        <v>45981.0</v>
      </c>
      <c r="B90" s="67"/>
      <c r="C90" s="63">
        <v>8.0</v>
      </c>
      <c r="D90" s="22"/>
      <c r="E90" s="55" t="s">
        <v>1422</v>
      </c>
      <c r="F90" s="55" t="s">
        <v>166</v>
      </c>
      <c r="G90" s="60" t="s">
        <v>1421</v>
      </c>
      <c r="H90" s="19"/>
      <c r="I90" s="155"/>
      <c r="J90" s="200"/>
      <c r="K90" s="155"/>
      <c r="L90" s="155"/>
      <c r="M90" s="155"/>
      <c r="N90" s="155"/>
      <c r="O90" s="155"/>
      <c r="P90" s="155"/>
      <c r="Q90" s="155"/>
      <c r="R90" s="155"/>
      <c r="S90" s="155"/>
      <c r="T90" s="155"/>
      <c r="U90" s="155"/>
      <c r="V90" s="155"/>
      <c r="W90" s="155"/>
      <c r="X90" s="155"/>
      <c r="Y90" s="155"/>
      <c r="Z90" s="155"/>
      <c r="AA90" s="155"/>
    </row>
    <row r="91" ht="22.5" customHeight="1">
      <c r="A91" s="5">
        <v>45982.0</v>
      </c>
      <c r="B91" s="67"/>
      <c r="C91" s="63">
        <v>8.0</v>
      </c>
      <c r="D91" s="22"/>
      <c r="E91" s="55" t="s">
        <v>1423</v>
      </c>
      <c r="F91" s="55" t="s">
        <v>166</v>
      </c>
      <c r="G91" s="60" t="s">
        <v>1424</v>
      </c>
      <c r="H91" s="19"/>
      <c r="I91" s="155"/>
      <c r="J91" s="200"/>
      <c r="K91" s="155"/>
      <c r="L91" s="155"/>
      <c r="M91" s="155"/>
      <c r="N91" s="155"/>
      <c r="O91" s="155"/>
      <c r="P91" s="155"/>
      <c r="Q91" s="155"/>
      <c r="R91" s="155"/>
      <c r="S91" s="155"/>
      <c r="T91" s="155"/>
      <c r="U91" s="155"/>
      <c r="V91" s="155"/>
      <c r="W91" s="155"/>
      <c r="X91" s="155"/>
      <c r="Y91" s="155"/>
      <c r="Z91" s="155"/>
      <c r="AA91" s="155"/>
    </row>
    <row r="92" ht="22.5" customHeight="1">
      <c r="A92" s="5">
        <v>45985.0</v>
      </c>
      <c r="B92" s="67"/>
      <c r="C92" s="63">
        <v>8.0</v>
      </c>
      <c r="D92" s="22"/>
      <c r="E92" s="55" t="s">
        <v>1425</v>
      </c>
      <c r="F92" s="55" t="s">
        <v>166</v>
      </c>
      <c r="G92" s="60" t="s">
        <v>1426</v>
      </c>
      <c r="H92" s="19"/>
      <c r="I92" s="155"/>
      <c r="J92" s="200"/>
      <c r="K92" s="155"/>
      <c r="L92" s="155"/>
      <c r="M92" s="155"/>
      <c r="N92" s="155"/>
      <c r="O92" s="155"/>
      <c r="P92" s="155"/>
      <c r="Q92" s="155"/>
      <c r="R92" s="155"/>
      <c r="S92" s="155"/>
      <c r="T92" s="155"/>
      <c r="U92" s="155"/>
      <c r="V92" s="155"/>
      <c r="W92" s="155"/>
      <c r="X92" s="155"/>
      <c r="Y92" s="155"/>
      <c r="Z92" s="155"/>
      <c r="AA92" s="155"/>
    </row>
    <row r="93" ht="22.5" customHeight="1">
      <c r="A93" s="5">
        <v>45986.0</v>
      </c>
      <c r="B93" s="67"/>
      <c r="C93" s="63">
        <v>8.0</v>
      </c>
      <c r="D93" s="22"/>
      <c r="E93" s="55" t="s">
        <v>1427</v>
      </c>
      <c r="F93" s="55" t="s">
        <v>166</v>
      </c>
      <c r="G93" s="60" t="s">
        <v>1428</v>
      </c>
      <c r="H93" s="19"/>
      <c r="I93" s="155"/>
      <c r="J93" s="200"/>
      <c r="K93" s="155"/>
      <c r="L93" s="155"/>
      <c r="M93" s="155"/>
      <c r="N93" s="155"/>
      <c r="O93" s="155"/>
      <c r="P93" s="155"/>
      <c r="Q93" s="155"/>
      <c r="R93" s="155"/>
      <c r="S93" s="155"/>
      <c r="T93" s="155"/>
      <c r="U93" s="155"/>
      <c r="V93" s="155"/>
      <c r="W93" s="155"/>
      <c r="X93" s="155"/>
      <c r="Y93" s="155"/>
      <c r="Z93" s="155"/>
      <c r="AA93" s="155"/>
    </row>
    <row r="94" ht="22.5" customHeight="1">
      <c r="A94" s="5">
        <v>45987.0</v>
      </c>
      <c r="B94" s="67"/>
      <c r="C94" s="63">
        <v>8.0</v>
      </c>
      <c r="D94" s="22"/>
      <c r="E94" s="55" t="s">
        <v>1429</v>
      </c>
      <c r="F94" s="55" t="s">
        <v>166</v>
      </c>
      <c r="G94" s="60" t="s">
        <v>1430</v>
      </c>
      <c r="H94" s="19"/>
      <c r="I94" s="155"/>
      <c r="J94" s="200"/>
      <c r="K94" s="155"/>
      <c r="L94" s="155"/>
      <c r="M94" s="155"/>
      <c r="N94" s="155"/>
      <c r="O94" s="155"/>
      <c r="P94" s="155"/>
      <c r="Q94" s="155"/>
      <c r="R94" s="155"/>
      <c r="S94" s="155"/>
      <c r="T94" s="155"/>
      <c r="U94" s="155"/>
      <c r="V94" s="155"/>
      <c r="W94" s="155"/>
      <c r="X94" s="155"/>
      <c r="Y94" s="155"/>
      <c r="Z94" s="155"/>
      <c r="AA94" s="155"/>
    </row>
    <row r="95" ht="22.5" customHeight="1">
      <c r="A95" s="5">
        <v>45988.0</v>
      </c>
      <c r="B95" s="67"/>
      <c r="C95" s="63">
        <v>8.0</v>
      </c>
      <c r="D95" s="22"/>
      <c r="E95" s="55" t="s">
        <v>1429</v>
      </c>
      <c r="F95" s="55" t="s">
        <v>166</v>
      </c>
      <c r="G95" s="60" t="s">
        <v>1430</v>
      </c>
      <c r="H95" s="19"/>
      <c r="I95" s="155"/>
      <c r="J95" s="200"/>
      <c r="K95" s="155"/>
      <c r="L95" s="155"/>
      <c r="M95" s="155"/>
      <c r="N95" s="155"/>
      <c r="O95" s="155"/>
      <c r="P95" s="155"/>
      <c r="Q95" s="155"/>
      <c r="R95" s="155"/>
      <c r="S95" s="155"/>
      <c r="T95" s="155"/>
      <c r="U95" s="155"/>
      <c r="V95" s="155"/>
      <c r="W95" s="155"/>
      <c r="X95" s="155"/>
      <c r="Y95" s="155"/>
      <c r="Z95" s="155"/>
      <c r="AA95" s="155"/>
    </row>
    <row r="96" ht="22.5" customHeight="1">
      <c r="A96" s="5">
        <v>45989.0</v>
      </c>
      <c r="B96" s="67"/>
      <c r="C96" s="63">
        <v>8.0</v>
      </c>
      <c r="D96" s="22"/>
      <c r="E96" s="55" t="s">
        <v>1431</v>
      </c>
      <c r="F96" s="55" t="s">
        <v>1417</v>
      </c>
      <c r="G96" s="152" t="s">
        <v>1432</v>
      </c>
      <c r="H96" s="19"/>
      <c r="I96" s="155"/>
      <c r="J96" s="200"/>
      <c r="K96" s="155"/>
      <c r="L96" s="155"/>
      <c r="M96" s="155"/>
      <c r="N96" s="155"/>
      <c r="O96" s="155"/>
      <c r="P96" s="155"/>
      <c r="Q96" s="155"/>
      <c r="R96" s="155"/>
      <c r="S96" s="155"/>
      <c r="T96" s="155"/>
      <c r="U96" s="155"/>
      <c r="V96" s="155"/>
      <c r="W96" s="155"/>
      <c r="X96" s="155"/>
      <c r="Y96" s="155"/>
      <c r="Z96" s="155"/>
      <c r="AA96" s="155"/>
    </row>
    <row r="97" ht="22.5" customHeight="1">
      <c r="A97" s="5">
        <v>45992.0</v>
      </c>
      <c r="B97" s="67"/>
      <c r="C97" s="63">
        <v>8.0</v>
      </c>
      <c r="D97" s="22"/>
      <c r="E97" s="55" t="s">
        <v>285</v>
      </c>
      <c r="F97" s="55" t="s">
        <v>166</v>
      </c>
      <c r="G97" s="59"/>
      <c r="H97" s="19"/>
      <c r="I97" s="155"/>
      <c r="J97" s="200"/>
      <c r="K97" s="155"/>
      <c r="L97" s="155"/>
      <c r="M97" s="155"/>
      <c r="N97" s="155"/>
      <c r="O97" s="155"/>
      <c r="P97" s="155"/>
      <c r="Q97" s="155"/>
      <c r="R97" s="155"/>
      <c r="S97" s="155"/>
      <c r="T97" s="155"/>
      <c r="U97" s="155"/>
      <c r="V97" s="155"/>
      <c r="W97" s="155"/>
      <c r="X97" s="155"/>
      <c r="Y97" s="155"/>
      <c r="Z97" s="155"/>
      <c r="AA97" s="155"/>
    </row>
    <row r="98" ht="22.5" customHeight="1">
      <c r="A98" s="5">
        <v>45993.0</v>
      </c>
      <c r="B98" s="67"/>
      <c r="C98" s="63">
        <v>8.0</v>
      </c>
      <c r="D98" s="22"/>
      <c r="E98" s="55" t="s">
        <v>285</v>
      </c>
      <c r="F98" s="55" t="s">
        <v>166</v>
      </c>
      <c r="G98" s="59"/>
      <c r="H98" s="19"/>
      <c r="I98" s="155"/>
      <c r="J98" s="200"/>
      <c r="K98" s="155"/>
      <c r="L98" s="155"/>
      <c r="M98" s="155"/>
      <c r="N98" s="155"/>
      <c r="O98" s="155"/>
      <c r="P98" s="155"/>
      <c r="Q98" s="155"/>
      <c r="R98" s="155"/>
      <c r="S98" s="155"/>
      <c r="T98" s="155"/>
      <c r="U98" s="155"/>
      <c r="V98" s="155"/>
      <c r="W98" s="155"/>
      <c r="X98" s="155"/>
      <c r="Y98" s="155"/>
      <c r="Z98" s="155"/>
      <c r="AA98" s="155"/>
    </row>
    <row r="99" ht="22.5" customHeight="1">
      <c r="A99" s="5">
        <v>45994.0</v>
      </c>
      <c r="B99" s="67"/>
      <c r="C99" s="63">
        <v>8.0</v>
      </c>
      <c r="D99" s="22"/>
      <c r="E99" s="55" t="s">
        <v>285</v>
      </c>
      <c r="F99" s="55" t="s">
        <v>166</v>
      </c>
      <c r="G99" s="59"/>
      <c r="H99" s="19"/>
      <c r="I99" s="155"/>
      <c r="J99" s="200"/>
      <c r="K99" s="155"/>
      <c r="L99" s="155"/>
      <c r="M99" s="155"/>
      <c r="N99" s="155"/>
      <c r="O99" s="155"/>
      <c r="P99" s="155"/>
      <c r="Q99" s="155"/>
      <c r="R99" s="155"/>
      <c r="S99" s="155"/>
      <c r="T99" s="155"/>
      <c r="U99" s="155"/>
      <c r="V99" s="155"/>
      <c r="W99" s="155"/>
      <c r="X99" s="155"/>
      <c r="Y99" s="155"/>
      <c r="Z99" s="155"/>
      <c r="AA99" s="155"/>
    </row>
    <row r="100" ht="22.5" customHeight="1">
      <c r="A100" s="5">
        <v>45995.0</v>
      </c>
      <c r="B100" s="67"/>
      <c r="C100" s="63">
        <v>8.0</v>
      </c>
      <c r="D100" s="22"/>
      <c r="E100" s="55" t="s">
        <v>285</v>
      </c>
      <c r="F100" s="55" t="s">
        <v>166</v>
      </c>
      <c r="G100" s="59"/>
      <c r="H100" s="19"/>
      <c r="I100" s="155"/>
      <c r="J100" s="200"/>
      <c r="K100" s="155"/>
      <c r="L100" s="155"/>
      <c r="M100" s="155"/>
      <c r="N100" s="155"/>
      <c r="O100" s="155"/>
      <c r="P100" s="155"/>
      <c r="Q100" s="155"/>
      <c r="R100" s="155"/>
      <c r="S100" s="155"/>
      <c r="T100" s="155"/>
      <c r="U100" s="155"/>
      <c r="V100" s="155"/>
      <c r="W100" s="155"/>
      <c r="X100" s="155"/>
      <c r="Y100" s="155"/>
      <c r="Z100" s="155"/>
      <c r="AA100" s="155"/>
    </row>
    <row r="101" ht="22.5" customHeight="1">
      <c r="A101" s="5">
        <v>45996.0</v>
      </c>
      <c r="B101" s="67"/>
      <c r="C101" s="63">
        <v>8.0</v>
      </c>
      <c r="D101" s="22"/>
      <c r="E101" s="55" t="s">
        <v>285</v>
      </c>
      <c r="F101" s="55" t="s">
        <v>166</v>
      </c>
      <c r="G101" s="59"/>
      <c r="H101" s="19"/>
      <c r="I101" s="155"/>
      <c r="J101" s="200"/>
      <c r="K101" s="155"/>
      <c r="L101" s="155"/>
      <c r="M101" s="155"/>
      <c r="N101" s="155"/>
      <c r="O101" s="155"/>
      <c r="P101" s="155"/>
      <c r="Q101" s="155"/>
      <c r="R101" s="155"/>
      <c r="S101" s="155"/>
      <c r="T101" s="155"/>
      <c r="U101" s="155"/>
      <c r="V101" s="155"/>
      <c r="W101" s="155"/>
      <c r="X101" s="155"/>
      <c r="Y101" s="155"/>
      <c r="Z101" s="155"/>
      <c r="AA101" s="155"/>
    </row>
    <row r="102" ht="22.5" customHeight="1">
      <c r="A102" s="139"/>
      <c r="B102" s="71"/>
      <c r="C102" s="117"/>
      <c r="D102" s="25"/>
      <c r="E102" s="118"/>
      <c r="F102" s="118"/>
      <c r="G102" s="138"/>
      <c r="H102" s="26"/>
      <c r="I102" s="155"/>
      <c r="J102" s="200"/>
      <c r="K102" s="155"/>
      <c r="L102" s="155"/>
      <c r="M102" s="155"/>
      <c r="N102" s="155"/>
      <c r="O102" s="155"/>
      <c r="P102" s="155"/>
      <c r="Q102" s="155"/>
      <c r="R102" s="155"/>
      <c r="S102" s="155"/>
      <c r="T102" s="155"/>
      <c r="U102" s="155"/>
      <c r="V102" s="155"/>
      <c r="W102" s="155"/>
      <c r="X102" s="155"/>
      <c r="Y102" s="155"/>
      <c r="Z102" s="155"/>
      <c r="AA102" s="155"/>
    </row>
    <row r="103" ht="22.5" customHeight="1">
      <c r="A103" s="139"/>
      <c r="B103" s="71"/>
      <c r="C103" s="117"/>
      <c r="D103" s="25"/>
      <c r="E103" s="118"/>
      <c r="F103" s="118"/>
      <c r="G103" s="138"/>
      <c r="H103" s="26"/>
      <c r="I103" s="155"/>
      <c r="J103" s="200"/>
      <c r="K103" s="155"/>
      <c r="L103" s="155"/>
      <c r="M103" s="155"/>
      <c r="N103" s="155"/>
      <c r="O103" s="155"/>
      <c r="P103" s="155"/>
      <c r="Q103" s="155"/>
      <c r="R103" s="155"/>
      <c r="S103" s="155"/>
      <c r="T103" s="155"/>
      <c r="U103" s="155"/>
      <c r="V103" s="155"/>
      <c r="W103" s="155"/>
      <c r="X103" s="155"/>
      <c r="Y103" s="155"/>
      <c r="Z103" s="155"/>
      <c r="AA103" s="155"/>
    </row>
    <row r="104" ht="22.5" customHeight="1">
      <c r="A104" s="139"/>
      <c r="B104" s="71"/>
      <c r="C104" s="117"/>
      <c r="D104" s="25"/>
      <c r="E104" s="118"/>
      <c r="F104" s="118"/>
      <c r="G104" s="138"/>
      <c r="H104" s="26"/>
      <c r="I104" s="155"/>
      <c r="J104" s="200"/>
      <c r="K104" s="155"/>
      <c r="L104" s="155"/>
      <c r="M104" s="155"/>
      <c r="N104" s="155"/>
      <c r="O104" s="155"/>
      <c r="P104" s="155"/>
      <c r="Q104" s="155"/>
      <c r="R104" s="155"/>
      <c r="S104" s="155"/>
      <c r="T104" s="155"/>
      <c r="U104" s="155"/>
      <c r="V104" s="155"/>
      <c r="W104" s="155"/>
      <c r="X104" s="155"/>
      <c r="Y104" s="155"/>
      <c r="Z104" s="155"/>
      <c r="AA104" s="155"/>
    </row>
    <row r="105" ht="22.5" customHeight="1">
      <c r="A105" s="139"/>
      <c r="B105" s="71"/>
      <c r="C105" s="117"/>
      <c r="D105" s="25"/>
      <c r="E105" s="118"/>
      <c r="F105" s="118"/>
      <c r="G105" s="138"/>
      <c r="H105" s="26"/>
      <c r="I105" s="155"/>
      <c r="J105" s="200"/>
      <c r="K105" s="155"/>
      <c r="L105" s="155"/>
      <c r="M105" s="155"/>
      <c r="N105" s="155"/>
      <c r="O105" s="155"/>
      <c r="P105" s="155"/>
      <c r="Q105" s="155"/>
      <c r="R105" s="155"/>
      <c r="S105" s="155"/>
      <c r="T105" s="155"/>
      <c r="U105" s="155"/>
      <c r="V105" s="155"/>
      <c r="W105" s="155"/>
      <c r="X105" s="155"/>
      <c r="Y105" s="155"/>
      <c r="Z105" s="155"/>
      <c r="AA105" s="155"/>
    </row>
    <row r="106" ht="22.5" customHeight="1">
      <c r="A106" s="139"/>
      <c r="B106" s="71"/>
      <c r="C106" s="117"/>
      <c r="D106" s="25"/>
      <c r="E106" s="118"/>
      <c r="F106" s="118"/>
      <c r="G106" s="138"/>
      <c r="H106" s="26"/>
      <c r="I106" s="155"/>
      <c r="J106" s="200"/>
      <c r="K106" s="155"/>
      <c r="L106" s="155"/>
      <c r="M106" s="155"/>
      <c r="N106" s="155"/>
      <c r="O106" s="155"/>
      <c r="P106" s="155"/>
      <c r="Q106" s="155"/>
      <c r="R106" s="155"/>
      <c r="S106" s="155"/>
      <c r="T106" s="155"/>
      <c r="U106" s="155"/>
      <c r="V106" s="155"/>
      <c r="W106" s="155"/>
      <c r="X106" s="155"/>
      <c r="Y106" s="155"/>
      <c r="Z106" s="155"/>
      <c r="AA106" s="155"/>
    </row>
    <row r="107" ht="22.5" customHeight="1">
      <c r="A107" s="139"/>
      <c r="B107" s="71"/>
      <c r="C107" s="117"/>
      <c r="D107" s="25"/>
      <c r="E107" s="118"/>
      <c r="F107" s="118"/>
      <c r="G107" s="138"/>
      <c r="H107" s="26"/>
      <c r="I107" s="155"/>
      <c r="J107" s="200"/>
      <c r="K107" s="155"/>
      <c r="L107" s="155"/>
      <c r="M107" s="155"/>
      <c r="N107" s="155"/>
      <c r="O107" s="155"/>
      <c r="P107" s="155"/>
      <c r="Q107" s="155"/>
      <c r="R107" s="155"/>
      <c r="S107" s="155"/>
      <c r="T107" s="155"/>
      <c r="U107" s="155"/>
      <c r="V107" s="155"/>
      <c r="W107" s="155"/>
      <c r="X107" s="155"/>
      <c r="Y107" s="155"/>
      <c r="Z107" s="155"/>
      <c r="AA107" s="155"/>
    </row>
    <row r="108" ht="22.5" customHeight="1">
      <c r="A108" s="139"/>
      <c r="B108" s="71"/>
      <c r="C108" s="117"/>
      <c r="D108" s="25"/>
      <c r="E108" s="118"/>
      <c r="F108" s="118"/>
      <c r="G108" s="138"/>
      <c r="H108" s="26"/>
      <c r="I108" s="155"/>
      <c r="J108" s="200"/>
      <c r="K108" s="155"/>
      <c r="L108" s="155"/>
      <c r="M108" s="155"/>
      <c r="N108" s="155"/>
      <c r="O108" s="155"/>
      <c r="P108" s="155"/>
      <c r="Q108" s="155"/>
      <c r="R108" s="155"/>
      <c r="S108" s="155"/>
      <c r="T108" s="155"/>
      <c r="U108" s="155"/>
      <c r="V108" s="155"/>
      <c r="W108" s="155"/>
      <c r="X108" s="155"/>
      <c r="Y108" s="155"/>
      <c r="Z108" s="155"/>
      <c r="AA108" s="155"/>
    </row>
    <row r="109" ht="22.5" customHeight="1">
      <c r="A109" s="139"/>
      <c r="B109" s="71"/>
      <c r="C109" s="117"/>
      <c r="D109" s="25"/>
      <c r="E109" s="118"/>
      <c r="F109" s="118"/>
      <c r="G109" s="138"/>
      <c r="H109" s="26"/>
      <c r="I109" s="155"/>
      <c r="J109" s="200"/>
      <c r="K109" s="155"/>
      <c r="L109" s="155"/>
      <c r="M109" s="155"/>
      <c r="N109" s="155"/>
      <c r="O109" s="155"/>
      <c r="P109" s="155"/>
      <c r="Q109" s="155"/>
      <c r="R109" s="155"/>
      <c r="S109" s="155"/>
      <c r="T109" s="155"/>
      <c r="U109" s="155"/>
      <c r="V109" s="155"/>
      <c r="W109" s="155"/>
      <c r="X109" s="155"/>
      <c r="Y109" s="155"/>
      <c r="Z109" s="155"/>
      <c r="AA109" s="155"/>
    </row>
    <row r="110" ht="22.5" customHeight="1">
      <c r="A110" s="139"/>
      <c r="B110" s="71"/>
      <c r="C110" s="117"/>
      <c r="D110" s="25"/>
      <c r="E110" s="118"/>
      <c r="F110" s="118"/>
      <c r="G110" s="138"/>
      <c r="H110" s="26"/>
      <c r="I110" s="155"/>
      <c r="J110" s="200"/>
      <c r="K110" s="155"/>
      <c r="L110" s="155"/>
      <c r="M110" s="155"/>
      <c r="N110" s="155"/>
      <c r="O110" s="155"/>
      <c r="P110" s="155"/>
      <c r="Q110" s="155"/>
      <c r="R110" s="155"/>
      <c r="S110" s="155"/>
      <c r="T110" s="155"/>
      <c r="U110" s="155"/>
      <c r="V110" s="155"/>
      <c r="W110" s="155"/>
      <c r="X110" s="155"/>
      <c r="Y110" s="155"/>
      <c r="Z110" s="155"/>
      <c r="AA110" s="155"/>
    </row>
    <row r="111" ht="22.5" customHeight="1">
      <c r="A111" s="139"/>
      <c r="B111" s="71"/>
      <c r="C111" s="117"/>
      <c r="D111" s="25"/>
      <c r="E111" s="118"/>
      <c r="F111" s="118"/>
      <c r="G111" s="138"/>
      <c r="H111" s="26"/>
      <c r="I111" s="155"/>
      <c r="J111" s="200"/>
      <c r="K111" s="155"/>
      <c r="L111" s="155"/>
      <c r="M111" s="155"/>
      <c r="N111" s="155"/>
      <c r="O111" s="155"/>
      <c r="P111" s="155"/>
      <c r="Q111" s="155"/>
      <c r="R111" s="155"/>
      <c r="S111" s="155"/>
      <c r="T111" s="155"/>
      <c r="U111" s="155"/>
      <c r="V111" s="155"/>
      <c r="W111" s="155"/>
      <c r="X111" s="155"/>
      <c r="Y111" s="155"/>
      <c r="Z111" s="155"/>
      <c r="AA111" s="155"/>
    </row>
    <row r="112" ht="22.5" customHeight="1">
      <c r="A112" s="139"/>
      <c r="B112" s="71"/>
      <c r="C112" s="117"/>
      <c r="D112" s="25"/>
      <c r="E112" s="118"/>
      <c r="F112" s="118"/>
      <c r="G112" s="138"/>
      <c r="H112" s="26"/>
      <c r="I112" s="155"/>
      <c r="J112" s="200"/>
      <c r="K112" s="155"/>
      <c r="L112" s="155"/>
      <c r="M112" s="155"/>
      <c r="N112" s="155"/>
      <c r="O112" s="155"/>
      <c r="P112" s="155"/>
      <c r="Q112" s="155"/>
      <c r="R112" s="155"/>
      <c r="S112" s="155"/>
      <c r="T112" s="155"/>
      <c r="U112" s="155"/>
      <c r="V112" s="155"/>
      <c r="W112" s="155"/>
      <c r="X112" s="155"/>
      <c r="Y112" s="155"/>
      <c r="Z112" s="155"/>
      <c r="AA112" s="155"/>
    </row>
    <row r="113" ht="22.5" customHeight="1">
      <c r="A113" s="139"/>
      <c r="B113" s="71"/>
      <c r="C113" s="117"/>
      <c r="D113" s="25"/>
      <c r="E113" s="118"/>
      <c r="F113" s="118"/>
      <c r="G113" s="138"/>
      <c r="H113" s="26"/>
      <c r="I113" s="155"/>
      <c r="J113" s="200"/>
      <c r="K113" s="155"/>
      <c r="L113" s="155"/>
      <c r="M113" s="155"/>
      <c r="N113" s="155"/>
      <c r="O113" s="155"/>
      <c r="P113" s="155"/>
      <c r="Q113" s="155"/>
      <c r="R113" s="155"/>
      <c r="S113" s="155"/>
      <c r="T113" s="155"/>
      <c r="U113" s="155"/>
      <c r="V113" s="155"/>
      <c r="W113" s="155"/>
      <c r="X113" s="155"/>
      <c r="Y113" s="155"/>
      <c r="Z113" s="155"/>
      <c r="AA113" s="155"/>
    </row>
    <row r="114" ht="22.5" customHeight="1">
      <c r="A114" s="139"/>
      <c r="B114" s="71"/>
      <c r="C114" s="117"/>
      <c r="D114" s="25"/>
      <c r="E114" s="118"/>
      <c r="F114" s="118"/>
      <c r="G114" s="138"/>
      <c r="H114" s="26"/>
      <c r="I114" s="155"/>
      <c r="J114" s="200"/>
      <c r="K114" s="155"/>
      <c r="L114" s="155"/>
      <c r="M114" s="155"/>
      <c r="N114" s="155"/>
      <c r="O114" s="155"/>
      <c r="P114" s="155"/>
      <c r="Q114" s="155"/>
      <c r="R114" s="155"/>
      <c r="S114" s="155"/>
      <c r="T114" s="155"/>
      <c r="U114" s="155"/>
      <c r="V114" s="155"/>
      <c r="W114" s="155"/>
      <c r="X114" s="155"/>
      <c r="Y114" s="155"/>
      <c r="Z114" s="155"/>
      <c r="AA114" s="155"/>
    </row>
    <row r="115" ht="22.5" customHeight="1">
      <c r="A115" s="139"/>
      <c r="B115" s="71"/>
      <c r="C115" s="117"/>
      <c r="D115" s="25"/>
      <c r="E115" s="118"/>
      <c r="F115" s="118"/>
      <c r="G115" s="138"/>
      <c r="H115" s="26"/>
      <c r="I115" s="155"/>
      <c r="J115" s="200"/>
      <c r="K115" s="155"/>
      <c r="L115" s="155"/>
      <c r="M115" s="155"/>
      <c r="N115" s="155"/>
      <c r="O115" s="155"/>
      <c r="P115" s="155"/>
      <c r="Q115" s="155"/>
      <c r="R115" s="155"/>
      <c r="S115" s="155"/>
      <c r="T115" s="155"/>
      <c r="U115" s="155"/>
      <c r="V115" s="155"/>
      <c r="W115" s="155"/>
      <c r="X115" s="155"/>
      <c r="Y115" s="155"/>
      <c r="Z115" s="155"/>
      <c r="AA115" s="155"/>
    </row>
    <row r="116" ht="22.5" customHeight="1">
      <c r="A116" s="139"/>
      <c r="B116" s="71"/>
      <c r="C116" s="117"/>
      <c r="D116" s="25"/>
      <c r="E116" s="118"/>
      <c r="F116" s="118"/>
      <c r="G116" s="138"/>
      <c r="H116" s="26"/>
      <c r="I116" s="155"/>
      <c r="J116" s="200"/>
      <c r="K116" s="155"/>
      <c r="L116" s="155"/>
      <c r="M116" s="155"/>
      <c r="N116" s="155"/>
      <c r="O116" s="155"/>
      <c r="P116" s="155"/>
      <c r="Q116" s="155"/>
      <c r="R116" s="155"/>
      <c r="S116" s="155"/>
      <c r="T116" s="155"/>
      <c r="U116" s="155"/>
      <c r="V116" s="155"/>
      <c r="W116" s="155"/>
      <c r="X116" s="155"/>
      <c r="Y116" s="155"/>
      <c r="Z116" s="155"/>
      <c r="AA116" s="155"/>
    </row>
    <row r="117" ht="22.5" customHeight="1">
      <c r="A117" s="139"/>
      <c r="B117" s="71"/>
      <c r="C117" s="117"/>
      <c r="D117" s="25"/>
      <c r="E117" s="118"/>
      <c r="F117" s="118"/>
      <c r="G117" s="138"/>
      <c r="H117" s="26"/>
      <c r="I117" s="155"/>
      <c r="J117" s="200"/>
      <c r="K117" s="155"/>
      <c r="L117" s="155"/>
      <c r="M117" s="155"/>
      <c r="N117" s="155"/>
      <c r="O117" s="155"/>
      <c r="P117" s="155"/>
      <c r="Q117" s="155"/>
      <c r="R117" s="155"/>
      <c r="S117" s="155"/>
      <c r="T117" s="155"/>
      <c r="U117" s="155"/>
      <c r="V117" s="155"/>
      <c r="W117" s="155"/>
      <c r="X117" s="155"/>
      <c r="Y117" s="155"/>
      <c r="Z117" s="155"/>
      <c r="AA117" s="155"/>
    </row>
    <row r="118" ht="22.5" customHeight="1">
      <c r="A118" s="139"/>
      <c r="B118" s="71"/>
      <c r="C118" s="117"/>
      <c r="D118" s="25"/>
      <c r="E118" s="118"/>
      <c r="F118" s="118"/>
      <c r="G118" s="138"/>
      <c r="H118" s="26"/>
      <c r="I118" s="155"/>
      <c r="J118" s="200"/>
      <c r="K118" s="155"/>
      <c r="L118" s="155"/>
      <c r="M118" s="155"/>
      <c r="N118" s="155"/>
      <c r="O118" s="155"/>
      <c r="P118" s="155"/>
      <c r="Q118" s="155"/>
      <c r="R118" s="155"/>
      <c r="S118" s="155"/>
      <c r="T118" s="155"/>
      <c r="U118" s="155"/>
      <c r="V118" s="155"/>
      <c r="W118" s="155"/>
      <c r="X118" s="155"/>
      <c r="Y118" s="155"/>
      <c r="Z118" s="155"/>
      <c r="AA118" s="155"/>
    </row>
    <row r="119" ht="22.5" customHeight="1">
      <c r="A119" s="139"/>
      <c r="B119" s="71"/>
      <c r="C119" s="117"/>
      <c r="D119" s="25"/>
      <c r="E119" s="118"/>
      <c r="F119" s="118"/>
      <c r="G119" s="138"/>
      <c r="H119" s="26"/>
      <c r="I119" s="155"/>
      <c r="J119" s="200"/>
      <c r="K119" s="155"/>
      <c r="L119" s="155"/>
      <c r="M119" s="155"/>
      <c r="N119" s="155"/>
      <c r="O119" s="155"/>
      <c r="P119" s="155"/>
      <c r="Q119" s="155"/>
      <c r="R119" s="155"/>
      <c r="S119" s="155"/>
      <c r="T119" s="155"/>
      <c r="U119" s="155"/>
      <c r="V119" s="155"/>
      <c r="W119" s="155"/>
      <c r="X119" s="155"/>
      <c r="Y119" s="155"/>
      <c r="Z119" s="155"/>
      <c r="AA119" s="155"/>
    </row>
    <row r="120" ht="22.5" customHeight="1">
      <c r="A120" s="139"/>
      <c r="B120" s="71"/>
      <c r="C120" s="117"/>
      <c r="D120" s="25"/>
      <c r="E120" s="118"/>
      <c r="F120" s="118"/>
      <c r="G120" s="138"/>
      <c r="H120" s="26"/>
      <c r="I120" s="155"/>
      <c r="J120" s="200"/>
      <c r="K120" s="155"/>
      <c r="L120" s="155"/>
      <c r="M120" s="155"/>
      <c r="N120" s="155"/>
      <c r="O120" s="155"/>
      <c r="P120" s="155"/>
      <c r="Q120" s="155"/>
      <c r="R120" s="155"/>
      <c r="S120" s="155"/>
      <c r="T120" s="155"/>
      <c r="U120" s="155"/>
      <c r="V120" s="155"/>
      <c r="W120" s="155"/>
      <c r="X120" s="155"/>
      <c r="Y120" s="155"/>
      <c r="Z120" s="155"/>
      <c r="AA120" s="155"/>
    </row>
    <row r="121" ht="22.5" customHeight="1">
      <c r="A121" s="139"/>
      <c r="B121" s="71"/>
      <c r="C121" s="117"/>
      <c r="D121" s="25"/>
      <c r="E121" s="118"/>
      <c r="F121" s="118"/>
      <c r="G121" s="138"/>
      <c r="H121" s="26"/>
      <c r="I121" s="155"/>
      <c r="J121" s="200"/>
      <c r="K121" s="155"/>
      <c r="L121" s="155"/>
      <c r="M121" s="155"/>
      <c r="N121" s="155"/>
      <c r="O121" s="155"/>
      <c r="P121" s="155"/>
      <c r="Q121" s="155"/>
      <c r="R121" s="155"/>
      <c r="S121" s="155"/>
      <c r="T121" s="155"/>
      <c r="U121" s="155"/>
      <c r="V121" s="155"/>
      <c r="W121" s="155"/>
      <c r="X121" s="155"/>
      <c r="Y121" s="155"/>
      <c r="Z121" s="155"/>
      <c r="AA121" s="155"/>
    </row>
    <row r="122" ht="22.5" customHeight="1">
      <c r="A122" s="139"/>
      <c r="B122" s="71"/>
      <c r="C122" s="117"/>
      <c r="D122" s="25"/>
      <c r="E122" s="118"/>
      <c r="F122" s="118"/>
      <c r="G122" s="138"/>
      <c r="H122" s="26"/>
      <c r="I122" s="155"/>
      <c r="J122" s="200"/>
      <c r="K122" s="155"/>
      <c r="L122" s="155"/>
      <c r="M122" s="155"/>
      <c r="N122" s="155"/>
      <c r="O122" s="155"/>
      <c r="P122" s="155"/>
      <c r="Q122" s="155"/>
      <c r="R122" s="155"/>
      <c r="S122" s="155"/>
      <c r="T122" s="155"/>
      <c r="U122" s="155"/>
      <c r="V122" s="155"/>
      <c r="W122" s="155"/>
      <c r="X122" s="155"/>
      <c r="Y122" s="155"/>
      <c r="Z122" s="155"/>
      <c r="AA122" s="155"/>
    </row>
    <row r="123" ht="22.5" customHeight="1">
      <c r="A123" s="139"/>
      <c r="B123" s="71"/>
      <c r="C123" s="117"/>
      <c r="D123" s="25"/>
      <c r="E123" s="118"/>
      <c r="F123" s="118"/>
      <c r="G123" s="138"/>
      <c r="H123" s="26"/>
      <c r="I123" s="155"/>
      <c r="J123" s="200"/>
      <c r="K123" s="155"/>
      <c r="L123" s="155"/>
      <c r="M123" s="155"/>
      <c r="N123" s="155"/>
      <c r="O123" s="155"/>
      <c r="P123" s="155"/>
      <c r="Q123" s="155"/>
      <c r="R123" s="155"/>
      <c r="S123" s="155"/>
      <c r="T123" s="155"/>
      <c r="U123" s="155"/>
      <c r="V123" s="155"/>
      <c r="W123" s="155"/>
      <c r="X123" s="155"/>
      <c r="Y123" s="155"/>
      <c r="Z123" s="155"/>
      <c r="AA123" s="155"/>
    </row>
    <row r="124" ht="22.5" customHeight="1">
      <c r="A124" s="139"/>
      <c r="B124" s="71"/>
      <c r="C124" s="117"/>
      <c r="D124" s="25"/>
      <c r="E124" s="118"/>
      <c r="F124" s="118"/>
      <c r="G124" s="138"/>
      <c r="H124" s="26"/>
      <c r="I124" s="155"/>
      <c r="J124" s="200"/>
      <c r="K124" s="155"/>
      <c r="L124" s="155"/>
      <c r="M124" s="155"/>
      <c r="N124" s="155"/>
      <c r="O124" s="155"/>
      <c r="P124" s="155"/>
      <c r="Q124" s="155"/>
      <c r="R124" s="155"/>
      <c r="S124" s="155"/>
      <c r="T124" s="155"/>
      <c r="U124" s="155"/>
      <c r="V124" s="155"/>
      <c r="W124" s="155"/>
      <c r="X124" s="155"/>
      <c r="Y124" s="155"/>
      <c r="Z124" s="155"/>
      <c r="AA124" s="155"/>
    </row>
    <row r="125" ht="22.5" customHeight="1">
      <c r="A125" s="139"/>
      <c r="B125" s="71"/>
      <c r="C125" s="117"/>
      <c r="D125" s="25"/>
      <c r="E125" s="118"/>
      <c r="F125" s="118"/>
      <c r="G125" s="138"/>
      <c r="H125" s="26"/>
      <c r="I125" s="155"/>
      <c r="J125" s="200"/>
      <c r="K125" s="155"/>
      <c r="L125" s="155"/>
      <c r="M125" s="155"/>
      <c r="N125" s="155"/>
      <c r="O125" s="155"/>
      <c r="P125" s="155"/>
      <c r="Q125" s="155"/>
      <c r="R125" s="155"/>
      <c r="S125" s="155"/>
      <c r="T125" s="155"/>
      <c r="U125" s="155"/>
      <c r="V125" s="155"/>
      <c r="W125" s="155"/>
      <c r="X125" s="155"/>
      <c r="Y125" s="155"/>
      <c r="Z125" s="155"/>
      <c r="AA125" s="155"/>
    </row>
    <row r="126" ht="22.5" customHeight="1">
      <c r="A126" s="139"/>
      <c r="B126" s="71"/>
      <c r="C126" s="117"/>
      <c r="D126" s="25"/>
      <c r="E126" s="118"/>
      <c r="F126" s="118"/>
      <c r="G126" s="138"/>
      <c r="H126" s="26"/>
      <c r="I126" s="155"/>
      <c r="J126" s="200"/>
      <c r="K126" s="155"/>
      <c r="L126" s="155"/>
      <c r="M126" s="155"/>
      <c r="N126" s="155"/>
      <c r="O126" s="155"/>
      <c r="P126" s="155"/>
      <c r="Q126" s="155"/>
      <c r="R126" s="155"/>
      <c r="S126" s="155"/>
      <c r="T126" s="155"/>
      <c r="U126" s="155"/>
      <c r="V126" s="155"/>
      <c r="W126" s="155"/>
      <c r="X126" s="155"/>
      <c r="Y126" s="155"/>
      <c r="Z126" s="155"/>
      <c r="AA126" s="155"/>
    </row>
    <row r="127" ht="22.5" customHeight="1">
      <c r="A127" s="139"/>
      <c r="B127" s="71"/>
      <c r="C127" s="117"/>
      <c r="D127" s="25"/>
      <c r="E127" s="118"/>
      <c r="F127" s="118"/>
      <c r="G127" s="138"/>
      <c r="H127" s="26"/>
      <c r="I127" s="155"/>
      <c r="J127" s="200"/>
      <c r="K127" s="155"/>
      <c r="L127" s="155"/>
      <c r="M127" s="155"/>
      <c r="N127" s="155"/>
      <c r="O127" s="155"/>
      <c r="P127" s="155"/>
      <c r="Q127" s="155"/>
      <c r="R127" s="155"/>
      <c r="S127" s="155"/>
      <c r="T127" s="155"/>
      <c r="U127" s="155"/>
      <c r="V127" s="155"/>
      <c r="W127" s="155"/>
      <c r="X127" s="155"/>
      <c r="Y127" s="155"/>
      <c r="Z127" s="155"/>
      <c r="AA127" s="155"/>
    </row>
    <row r="128" ht="22.5" customHeight="1">
      <c r="A128" s="139"/>
      <c r="B128" s="71"/>
      <c r="C128" s="117"/>
      <c r="D128" s="25"/>
      <c r="E128" s="118"/>
      <c r="F128" s="118"/>
      <c r="G128" s="138"/>
      <c r="H128" s="26"/>
      <c r="I128" s="155"/>
      <c r="J128" s="200"/>
      <c r="K128" s="155"/>
      <c r="L128" s="155"/>
      <c r="M128" s="155"/>
      <c r="N128" s="155"/>
      <c r="O128" s="155"/>
      <c r="P128" s="155"/>
      <c r="Q128" s="155"/>
      <c r="R128" s="155"/>
      <c r="S128" s="155"/>
      <c r="T128" s="155"/>
      <c r="U128" s="155"/>
      <c r="V128" s="155"/>
      <c r="W128" s="155"/>
      <c r="X128" s="155"/>
      <c r="Y128" s="155"/>
      <c r="Z128" s="155"/>
      <c r="AA128" s="155"/>
    </row>
    <row r="129" ht="22.5" customHeight="1">
      <c r="A129" s="139"/>
      <c r="B129" s="71"/>
      <c r="C129" s="117"/>
      <c r="D129" s="25"/>
      <c r="E129" s="118"/>
      <c r="F129" s="118"/>
      <c r="G129" s="138"/>
      <c r="H129" s="26"/>
      <c r="I129" s="155"/>
      <c r="J129" s="200"/>
      <c r="K129" s="155"/>
      <c r="L129" s="155"/>
      <c r="M129" s="155"/>
      <c r="N129" s="155"/>
      <c r="O129" s="155"/>
      <c r="P129" s="155"/>
      <c r="Q129" s="155"/>
      <c r="R129" s="155"/>
      <c r="S129" s="155"/>
      <c r="T129" s="155"/>
      <c r="U129" s="155"/>
      <c r="V129" s="155"/>
      <c r="W129" s="155"/>
      <c r="X129" s="155"/>
      <c r="Y129" s="155"/>
      <c r="Z129" s="155"/>
      <c r="AA129" s="155"/>
    </row>
    <row r="130" ht="22.5" customHeight="1">
      <c r="A130" s="139"/>
      <c r="B130" s="71"/>
      <c r="C130" s="117"/>
      <c r="D130" s="25"/>
      <c r="E130" s="118"/>
      <c r="F130" s="118"/>
      <c r="G130" s="138"/>
      <c r="H130" s="26"/>
      <c r="I130" s="155"/>
      <c r="J130" s="200"/>
      <c r="K130" s="155"/>
      <c r="L130" s="155"/>
      <c r="M130" s="155"/>
      <c r="N130" s="155"/>
      <c r="O130" s="155"/>
      <c r="P130" s="155"/>
      <c r="Q130" s="155"/>
      <c r="R130" s="155"/>
      <c r="S130" s="155"/>
      <c r="T130" s="155"/>
      <c r="U130" s="155"/>
      <c r="V130" s="155"/>
      <c r="W130" s="155"/>
      <c r="X130" s="155"/>
      <c r="Y130" s="155"/>
      <c r="Z130" s="155"/>
      <c r="AA130" s="155"/>
    </row>
    <row r="131" ht="22.5" customHeight="1">
      <c r="A131" s="139"/>
      <c r="B131" s="71"/>
      <c r="C131" s="117"/>
      <c r="D131" s="25"/>
      <c r="E131" s="118"/>
      <c r="F131" s="118"/>
      <c r="G131" s="138"/>
      <c r="H131" s="26"/>
      <c r="I131" s="155"/>
      <c r="J131" s="200"/>
      <c r="K131" s="155"/>
      <c r="L131" s="155"/>
      <c r="M131" s="155"/>
      <c r="N131" s="155"/>
      <c r="O131" s="155"/>
      <c r="P131" s="155"/>
      <c r="Q131" s="155"/>
      <c r="R131" s="155"/>
      <c r="S131" s="155"/>
      <c r="T131" s="155"/>
      <c r="U131" s="155"/>
      <c r="V131" s="155"/>
      <c r="W131" s="155"/>
      <c r="X131" s="155"/>
      <c r="Y131" s="155"/>
      <c r="Z131" s="155"/>
      <c r="AA131" s="155"/>
    </row>
    <row r="132" ht="22.5" customHeight="1">
      <c r="A132" s="139"/>
      <c r="B132" s="71"/>
      <c r="C132" s="117"/>
      <c r="D132" s="25"/>
      <c r="E132" s="118"/>
      <c r="F132" s="118"/>
      <c r="G132" s="138"/>
      <c r="H132" s="26"/>
      <c r="I132" s="155"/>
      <c r="J132" s="200"/>
      <c r="K132" s="155"/>
      <c r="L132" s="155"/>
      <c r="M132" s="155"/>
      <c r="N132" s="155"/>
      <c r="O132" s="155"/>
      <c r="P132" s="155"/>
      <c r="Q132" s="155"/>
      <c r="R132" s="155"/>
      <c r="S132" s="155"/>
      <c r="T132" s="155"/>
      <c r="U132" s="155"/>
      <c r="V132" s="155"/>
      <c r="W132" s="155"/>
      <c r="X132" s="155"/>
      <c r="Y132" s="155"/>
      <c r="Z132" s="155"/>
      <c r="AA132" s="155"/>
    </row>
    <row r="133" ht="22.5" customHeight="1">
      <c r="A133" s="139"/>
      <c r="B133" s="71"/>
      <c r="C133" s="117"/>
      <c r="D133" s="25"/>
      <c r="E133" s="118"/>
      <c r="F133" s="118"/>
      <c r="G133" s="138"/>
      <c r="H133" s="26"/>
      <c r="I133" s="155"/>
      <c r="J133" s="200"/>
      <c r="K133" s="155"/>
      <c r="L133" s="155"/>
      <c r="M133" s="155"/>
      <c r="N133" s="155"/>
      <c r="O133" s="155"/>
      <c r="P133" s="155"/>
      <c r="Q133" s="155"/>
      <c r="R133" s="155"/>
      <c r="S133" s="155"/>
      <c r="T133" s="155"/>
      <c r="U133" s="155"/>
      <c r="V133" s="155"/>
      <c r="W133" s="155"/>
      <c r="X133" s="155"/>
      <c r="Y133" s="155"/>
      <c r="Z133" s="155"/>
      <c r="AA133" s="155"/>
    </row>
    <row r="134" ht="22.5" customHeight="1">
      <c r="A134" s="139"/>
      <c r="B134" s="71"/>
      <c r="C134" s="117"/>
      <c r="D134" s="25"/>
      <c r="E134" s="118"/>
      <c r="F134" s="118"/>
      <c r="G134" s="138"/>
      <c r="H134" s="26"/>
      <c r="I134" s="155"/>
      <c r="J134" s="200"/>
      <c r="K134" s="155"/>
      <c r="L134" s="155"/>
      <c r="M134" s="155"/>
      <c r="N134" s="155"/>
      <c r="O134" s="155"/>
      <c r="P134" s="155"/>
      <c r="Q134" s="155"/>
      <c r="R134" s="155"/>
      <c r="S134" s="155"/>
      <c r="T134" s="155"/>
      <c r="U134" s="155"/>
      <c r="V134" s="155"/>
      <c r="W134" s="155"/>
      <c r="X134" s="155"/>
      <c r="Y134" s="155"/>
      <c r="Z134" s="155"/>
      <c r="AA134" s="155"/>
    </row>
    <row r="135" ht="22.5" customHeight="1">
      <c r="A135" s="139"/>
      <c r="B135" s="71"/>
      <c r="C135" s="117"/>
      <c r="D135" s="25"/>
      <c r="E135" s="118"/>
      <c r="F135" s="118"/>
      <c r="G135" s="138"/>
      <c r="H135" s="26"/>
      <c r="I135" s="155"/>
      <c r="J135" s="200"/>
      <c r="K135" s="155"/>
      <c r="L135" s="155"/>
      <c r="M135" s="155"/>
      <c r="N135" s="155"/>
      <c r="O135" s="155"/>
      <c r="P135" s="155"/>
      <c r="Q135" s="155"/>
      <c r="R135" s="155"/>
      <c r="S135" s="155"/>
      <c r="T135" s="155"/>
      <c r="U135" s="155"/>
      <c r="V135" s="155"/>
      <c r="W135" s="155"/>
      <c r="X135" s="155"/>
      <c r="Y135" s="155"/>
      <c r="Z135" s="155"/>
      <c r="AA135" s="155"/>
    </row>
    <row r="136" ht="22.5" customHeight="1">
      <c r="A136" s="139"/>
      <c r="B136" s="71"/>
      <c r="C136" s="117"/>
      <c r="D136" s="25"/>
      <c r="E136" s="118"/>
      <c r="F136" s="118"/>
      <c r="G136" s="138"/>
      <c r="H136" s="26"/>
      <c r="I136" s="155"/>
      <c r="J136" s="200"/>
      <c r="K136" s="155"/>
      <c r="L136" s="155"/>
      <c r="M136" s="155"/>
      <c r="N136" s="155"/>
      <c r="O136" s="155"/>
      <c r="P136" s="155"/>
      <c r="Q136" s="155"/>
      <c r="R136" s="155"/>
      <c r="S136" s="155"/>
      <c r="T136" s="155"/>
      <c r="U136" s="155"/>
      <c r="V136" s="155"/>
      <c r="W136" s="155"/>
      <c r="X136" s="155"/>
      <c r="Y136" s="155"/>
      <c r="Z136" s="155"/>
      <c r="AA136" s="155"/>
    </row>
    <row r="137" ht="22.5" customHeight="1">
      <c r="A137" s="139"/>
      <c r="B137" s="71"/>
      <c r="C137" s="117"/>
      <c r="D137" s="25"/>
      <c r="E137" s="118"/>
      <c r="F137" s="118"/>
      <c r="G137" s="138"/>
      <c r="H137" s="26"/>
      <c r="I137" s="155"/>
      <c r="J137" s="200"/>
      <c r="K137" s="155"/>
      <c r="L137" s="155"/>
      <c r="M137" s="155"/>
      <c r="N137" s="155"/>
      <c r="O137" s="155"/>
      <c r="P137" s="155"/>
      <c r="Q137" s="155"/>
      <c r="R137" s="155"/>
      <c r="S137" s="155"/>
      <c r="T137" s="155"/>
      <c r="U137" s="155"/>
      <c r="V137" s="155"/>
      <c r="W137" s="155"/>
      <c r="X137" s="155"/>
      <c r="Y137" s="155"/>
      <c r="Z137" s="155"/>
      <c r="AA137" s="155"/>
    </row>
    <row r="138" ht="22.5" customHeight="1">
      <c r="A138" s="139"/>
      <c r="B138" s="71"/>
      <c r="C138" s="117"/>
      <c r="D138" s="25"/>
      <c r="E138" s="118"/>
      <c r="F138" s="118"/>
      <c r="G138" s="138"/>
      <c r="H138" s="26"/>
      <c r="I138" s="155"/>
      <c r="J138" s="200"/>
      <c r="K138" s="155"/>
      <c r="L138" s="155"/>
      <c r="M138" s="155"/>
      <c r="N138" s="155"/>
      <c r="O138" s="155"/>
      <c r="P138" s="155"/>
      <c r="Q138" s="155"/>
      <c r="R138" s="155"/>
      <c r="S138" s="155"/>
      <c r="T138" s="155"/>
      <c r="U138" s="155"/>
      <c r="V138" s="155"/>
      <c r="W138" s="155"/>
      <c r="X138" s="155"/>
      <c r="Y138" s="155"/>
      <c r="Z138" s="155"/>
      <c r="AA138" s="155"/>
    </row>
    <row r="139" ht="22.5" customHeight="1">
      <c r="A139" s="139"/>
      <c r="B139" s="71"/>
      <c r="C139" s="117"/>
      <c r="D139" s="25"/>
      <c r="E139" s="118"/>
      <c r="F139" s="118"/>
      <c r="G139" s="138"/>
      <c r="H139" s="26"/>
      <c r="I139" s="155"/>
      <c r="J139" s="200"/>
      <c r="K139" s="155"/>
      <c r="L139" s="155"/>
      <c r="M139" s="155"/>
      <c r="N139" s="155"/>
      <c r="O139" s="155"/>
      <c r="P139" s="155"/>
      <c r="Q139" s="155"/>
      <c r="R139" s="155"/>
      <c r="S139" s="155"/>
      <c r="T139" s="155"/>
      <c r="U139" s="155"/>
      <c r="V139" s="155"/>
      <c r="W139" s="155"/>
      <c r="X139" s="155"/>
      <c r="Y139" s="155"/>
      <c r="Z139" s="155"/>
      <c r="AA139" s="155"/>
    </row>
    <row r="140" ht="22.5" customHeight="1">
      <c r="A140" s="139"/>
      <c r="B140" s="71"/>
      <c r="C140" s="117"/>
      <c r="D140" s="25"/>
      <c r="E140" s="118"/>
      <c r="F140" s="118"/>
      <c r="G140" s="138"/>
      <c r="H140" s="26"/>
      <c r="I140" s="155"/>
      <c r="J140" s="200"/>
      <c r="K140" s="155"/>
      <c r="L140" s="155"/>
      <c r="M140" s="155"/>
      <c r="N140" s="155"/>
      <c r="O140" s="155"/>
      <c r="P140" s="155"/>
      <c r="Q140" s="155"/>
      <c r="R140" s="155"/>
      <c r="S140" s="155"/>
      <c r="T140" s="155"/>
      <c r="U140" s="155"/>
      <c r="V140" s="155"/>
      <c r="W140" s="155"/>
      <c r="X140" s="155"/>
      <c r="Y140" s="155"/>
      <c r="Z140" s="155"/>
      <c r="AA140" s="155"/>
    </row>
    <row r="141" ht="22.5" customHeight="1">
      <c r="A141" s="139"/>
      <c r="B141" s="71"/>
      <c r="C141" s="117"/>
      <c r="D141" s="25"/>
      <c r="E141" s="118"/>
      <c r="F141" s="118"/>
      <c r="G141" s="138"/>
      <c r="H141" s="26"/>
      <c r="I141" s="155"/>
      <c r="J141" s="200"/>
      <c r="K141" s="155"/>
      <c r="L141" s="155"/>
      <c r="M141" s="155"/>
      <c r="N141" s="155"/>
      <c r="O141" s="155"/>
      <c r="P141" s="155"/>
      <c r="Q141" s="155"/>
      <c r="R141" s="155"/>
      <c r="S141" s="155"/>
      <c r="T141" s="155"/>
      <c r="U141" s="155"/>
      <c r="V141" s="155"/>
      <c r="W141" s="155"/>
      <c r="X141" s="155"/>
      <c r="Y141" s="155"/>
      <c r="Z141" s="155"/>
      <c r="AA141" s="155"/>
    </row>
    <row r="142" ht="22.5" customHeight="1">
      <c r="A142" s="139"/>
      <c r="B142" s="71"/>
      <c r="C142" s="117"/>
      <c r="D142" s="25"/>
      <c r="E142" s="118"/>
      <c r="F142" s="118"/>
      <c r="G142" s="138"/>
      <c r="H142" s="26"/>
      <c r="I142" s="155"/>
      <c r="J142" s="200"/>
      <c r="K142" s="155"/>
      <c r="L142" s="155"/>
      <c r="M142" s="155"/>
      <c r="N142" s="155"/>
      <c r="O142" s="155"/>
      <c r="P142" s="155"/>
      <c r="Q142" s="155"/>
      <c r="R142" s="155"/>
      <c r="S142" s="155"/>
      <c r="T142" s="155"/>
      <c r="U142" s="155"/>
      <c r="V142" s="155"/>
      <c r="W142" s="155"/>
      <c r="X142" s="155"/>
      <c r="Y142" s="155"/>
      <c r="Z142" s="155"/>
      <c r="AA142" s="155"/>
    </row>
    <row r="143" ht="22.5" customHeight="1">
      <c r="A143" s="139"/>
      <c r="B143" s="71"/>
      <c r="C143" s="117"/>
      <c r="D143" s="25"/>
      <c r="E143" s="118"/>
      <c r="F143" s="118"/>
      <c r="G143" s="138"/>
      <c r="H143" s="26"/>
      <c r="I143" s="155"/>
      <c r="J143" s="200"/>
      <c r="K143" s="155"/>
      <c r="L143" s="155"/>
      <c r="M143" s="155"/>
      <c r="N143" s="155"/>
      <c r="O143" s="155"/>
      <c r="P143" s="155"/>
      <c r="Q143" s="155"/>
      <c r="R143" s="155"/>
      <c r="S143" s="155"/>
      <c r="T143" s="155"/>
      <c r="U143" s="155"/>
      <c r="V143" s="155"/>
      <c r="W143" s="155"/>
      <c r="X143" s="155"/>
      <c r="Y143" s="155"/>
      <c r="Z143" s="155"/>
      <c r="AA143" s="155"/>
    </row>
    <row r="144" ht="22.5" customHeight="1">
      <c r="A144" s="139"/>
      <c r="B144" s="71"/>
      <c r="C144" s="117"/>
      <c r="D144" s="25"/>
      <c r="E144" s="118"/>
      <c r="F144" s="118"/>
      <c r="G144" s="138"/>
      <c r="H144" s="26"/>
      <c r="I144" s="155"/>
      <c r="J144" s="200"/>
      <c r="K144" s="155"/>
      <c r="L144" s="155"/>
      <c r="M144" s="155"/>
      <c r="N144" s="155"/>
      <c r="O144" s="155"/>
      <c r="P144" s="155"/>
      <c r="Q144" s="155"/>
      <c r="R144" s="155"/>
      <c r="S144" s="155"/>
      <c r="T144" s="155"/>
      <c r="U144" s="155"/>
      <c r="V144" s="155"/>
      <c r="W144" s="155"/>
      <c r="X144" s="155"/>
      <c r="Y144" s="155"/>
      <c r="Z144" s="155"/>
      <c r="AA144" s="155"/>
    </row>
    <row r="145" ht="22.5" customHeight="1">
      <c r="A145" s="139"/>
      <c r="B145" s="71"/>
      <c r="C145" s="117"/>
      <c r="D145" s="25"/>
      <c r="E145" s="118"/>
      <c r="F145" s="118"/>
      <c r="G145" s="138"/>
      <c r="H145" s="26"/>
      <c r="I145" s="155"/>
      <c r="J145" s="200"/>
      <c r="K145" s="155"/>
      <c r="L145" s="155"/>
      <c r="M145" s="155"/>
      <c r="N145" s="155"/>
      <c r="O145" s="155"/>
      <c r="P145" s="155"/>
      <c r="Q145" s="155"/>
      <c r="R145" s="155"/>
      <c r="S145" s="155"/>
      <c r="T145" s="155"/>
      <c r="U145" s="155"/>
      <c r="V145" s="155"/>
      <c r="W145" s="155"/>
      <c r="X145" s="155"/>
      <c r="Y145" s="155"/>
      <c r="Z145" s="155"/>
      <c r="AA145" s="155"/>
    </row>
    <row r="146" ht="22.5" customHeight="1">
      <c r="A146" s="139"/>
      <c r="B146" s="71"/>
      <c r="C146" s="117"/>
      <c r="D146" s="25"/>
      <c r="E146" s="118"/>
      <c r="F146" s="118"/>
      <c r="G146" s="138"/>
      <c r="H146" s="26"/>
      <c r="I146" s="155"/>
      <c r="J146" s="200"/>
      <c r="K146" s="155"/>
      <c r="L146" s="155"/>
      <c r="M146" s="155"/>
      <c r="N146" s="155"/>
      <c r="O146" s="155"/>
      <c r="P146" s="155"/>
      <c r="Q146" s="155"/>
      <c r="R146" s="155"/>
      <c r="S146" s="155"/>
      <c r="T146" s="155"/>
      <c r="U146" s="155"/>
      <c r="V146" s="155"/>
      <c r="W146" s="155"/>
      <c r="X146" s="155"/>
      <c r="Y146" s="155"/>
      <c r="Z146" s="155"/>
      <c r="AA146" s="155"/>
    </row>
    <row r="147" ht="22.5" customHeight="1">
      <c r="A147" s="139"/>
      <c r="B147" s="71"/>
      <c r="C147" s="117"/>
      <c r="D147" s="25"/>
      <c r="E147" s="118"/>
      <c r="F147" s="118"/>
      <c r="G147" s="138"/>
      <c r="H147" s="26"/>
      <c r="I147" s="155"/>
      <c r="J147" s="200"/>
      <c r="K147" s="155"/>
      <c r="L147" s="155"/>
      <c r="M147" s="155"/>
      <c r="N147" s="155"/>
      <c r="O147" s="155"/>
      <c r="P147" s="155"/>
      <c r="Q147" s="155"/>
      <c r="R147" s="155"/>
      <c r="S147" s="155"/>
      <c r="T147" s="155"/>
      <c r="U147" s="155"/>
      <c r="V147" s="155"/>
      <c r="W147" s="155"/>
      <c r="X147" s="155"/>
      <c r="Y147" s="155"/>
      <c r="Z147" s="155"/>
      <c r="AA147" s="155"/>
    </row>
    <row r="148" ht="22.5" customHeight="1">
      <c r="A148" s="139"/>
      <c r="B148" s="71"/>
      <c r="C148" s="117"/>
      <c r="D148" s="25"/>
      <c r="E148" s="118"/>
      <c r="F148" s="118"/>
      <c r="G148" s="138"/>
      <c r="H148" s="26"/>
      <c r="I148" s="155"/>
      <c r="J148" s="200"/>
      <c r="K148" s="155"/>
      <c r="L148" s="155"/>
      <c r="M148" s="155"/>
      <c r="N148" s="155"/>
      <c r="O148" s="155"/>
      <c r="P148" s="155"/>
      <c r="Q148" s="155"/>
      <c r="R148" s="155"/>
      <c r="S148" s="155"/>
      <c r="T148" s="155"/>
      <c r="U148" s="155"/>
      <c r="V148" s="155"/>
      <c r="W148" s="155"/>
      <c r="X148" s="155"/>
      <c r="Y148" s="155"/>
      <c r="Z148" s="155"/>
      <c r="AA148" s="155"/>
    </row>
    <row r="149" ht="22.5" customHeight="1">
      <c r="A149" s="139"/>
      <c r="B149" s="71"/>
      <c r="C149" s="117"/>
      <c r="D149" s="25"/>
      <c r="E149" s="118"/>
      <c r="F149" s="118"/>
      <c r="G149" s="138"/>
      <c r="H149" s="26"/>
      <c r="I149" s="155"/>
      <c r="J149" s="200"/>
      <c r="K149" s="155"/>
      <c r="L149" s="155"/>
      <c r="M149" s="155"/>
      <c r="N149" s="155"/>
      <c r="O149" s="155"/>
      <c r="P149" s="155"/>
      <c r="Q149" s="155"/>
      <c r="R149" s="155"/>
      <c r="S149" s="155"/>
      <c r="T149" s="155"/>
      <c r="U149" s="155"/>
      <c r="V149" s="155"/>
      <c r="W149" s="155"/>
      <c r="X149" s="155"/>
      <c r="Y149" s="155"/>
      <c r="Z149" s="155"/>
      <c r="AA149" s="155"/>
    </row>
    <row r="150" ht="22.5" customHeight="1">
      <c r="A150" s="139"/>
      <c r="B150" s="71"/>
      <c r="C150" s="117"/>
      <c r="D150" s="25"/>
      <c r="E150" s="118"/>
      <c r="F150" s="118"/>
      <c r="G150" s="138"/>
      <c r="H150" s="26"/>
      <c r="I150" s="155"/>
      <c r="J150" s="200"/>
      <c r="K150" s="155"/>
      <c r="L150" s="155"/>
      <c r="M150" s="155"/>
      <c r="N150" s="155"/>
      <c r="O150" s="155"/>
      <c r="P150" s="155"/>
      <c r="Q150" s="155"/>
      <c r="R150" s="155"/>
      <c r="S150" s="155"/>
      <c r="T150" s="155"/>
      <c r="U150" s="155"/>
      <c r="V150" s="155"/>
      <c r="W150" s="155"/>
      <c r="X150" s="155"/>
      <c r="Y150" s="155"/>
      <c r="Z150" s="155"/>
      <c r="AA150" s="155"/>
    </row>
    <row r="151" ht="22.5" customHeight="1">
      <c r="A151" s="139"/>
      <c r="B151" s="71"/>
      <c r="C151" s="117"/>
      <c r="D151" s="25"/>
      <c r="E151" s="118"/>
      <c r="F151" s="118"/>
      <c r="G151" s="138"/>
      <c r="H151" s="26"/>
      <c r="I151" s="155"/>
      <c r="J151" s="200"/>
      <c r="K151" s="155"/>
      <c r="L151" s="155"/>
      <c r="M151" s="155"/>
      <c r="N151" s="155"/>
      <c r="O151" s="155"/>
      <c r="P151" s="155"/>
      <c r="Q151" s="155"/>
      <c r="R151" s="155"/>
      <c r="S151" s="155"/>
      <c r="T151" s="155"/>
      <c r="U151" s="155"/>
      <c r="V151" s="155"/>
      <c r="W151" s="155"/>
      <c r="X151" s="155"/>
      <c r="Y151" s="155"/>
      <c r="Z151" s="155"/>
      <c r="AA151" s="155"/>
    </row>
    <row r="152" ht="22.5" customHeight="1">
      <c r="A152" s="139"/>
      <c r="B152" s="71"/>
      <c r="C152" s="117"/>
      <c r="D152" s="25"/>
      <c r="E152" s="118"/>
      <c r="F152" s="118"/>
      <c r="G152" s="138"/>
      <c r="H152" s="26"/>
      <c r="I152" s="155"/>
      <c r="J152" s="200"/>
      <c r="K152" s="155"/>
      <c r="L152" s="155"/>
      <c r="M152" s="155"/>
      <c r="N152" s="155"/>
      <c r="O152" s="155"/>
      <c r="P152" s="155"/>
      <c r="Q152" s="155"/>
      <c r="R152" s="155"/>
      <c r="S152" s="155"/>
      <c r="T152" s="155"/>
      <c r="U152" s="155"/>
      <c r="V152" s="155"/>
      <c r="W152" s="155"/>
      <c r="X152" s="155"/>
      <c r="Y152" s="155"/>
      <c r="Z152" s="155"/>
      <c r="AA152" s="155"/>
    </row>
    <row r="153" ht="22.5" customHeight="1">
      <c r="A153" s="139"/>
      <c r="B153" s="71"/>
      <c r="C153" s="117"/>
      <c r="D153" s="25"/>
      <c r="E153" s="118"/>
      <c r="F153" s="118"/>
      <c r="G153" s="138"/>
      <c r="H153" s="26"/>
      <c r="I153" s="155"/>
      <c r="J153" s="200"/>
      <c r="K153" s="155"/>
      <c r="L153" s="155"/>
      <c r="M153" s="155"/>
      <c r="N153" s="155"/>
      <c r="O153" s="155"/>
      <c r="P153" s="155"/>
      <c r="Q153" s="155"/>
      <c r="R153" s="155"/>
      <c r="S153" s="155"/>
      <c r="T153" s="155"/>
      <c r="U153" s="155"/>
      <c r="V153" s="155"/>
      <c r="W153" s="155"/>
      <c r="X153" s="155"/>
      <c r="Y153" s="155"/>
      <c r="Z153" s="155"/>
      <c r="AA153" s="155"/>
    </row>
    <row r="154" ht="22.5" customHeight="1">
      <c r="A154" s="139"/>
      <c r="B154" s="71"/>
      <c r="C154" s="117"/>
      <c r="D154" s="25"/>
      <c r="E154" s="118"/>
      <c r="F154" s="118"/>
      <c r="G154" s="138"/>
      <c r="H154" s="26"/>
      <c r="I154" s="155"/>
      <c r="J154" s="200"/>
      <c r="K154" s="155"/>
      <c r="L154" s="155"/>
      <c r="M154" s="155"/>
      <c r="N154" s="155"/>
      <c r="O154" s="155"/>
      <c r="P154" s="155"/>
      <c r="Q154" s="155"/>
      <c r="R154" s="155"/>
      <c r="S154" s="155"/>
      <c r="T154" s="155"/>
      <c r="U154" s="155"/>
      <c r="V154" s="155"/>
      <c r="W154" s="155"/>
      <c r="X154" s="155"/>
      <c r="Y154" s="155"/>
      <c r="Z154" s="155"/>
      <c r="AA154" s="155"/>
    </row>
    <row r="155" ht="22.5" customHeight="1">
      <c r="A155" s="139"/>
      <c r="B155" s="71"/>
      <c r="C155" s="117"/>
      <c r="D155" s="25"/>
      <c r="E155" s="118"/>
      <c r="F155" s="118"/>
      <c r="G155" s="138"/>
      <c r="H155" s="26"/>
      <c r="I155" s="155"/>
      <c r="J155" s="200"/>
      <c r="K155" s="155"/>
      <c r="L155" s="155"/>
      <c r="M155" s="155"/>
      <c r="N155" s="155"/>
      <c r="O155" s="155"/>
      <c r="P155" s="155"/>
      <c r="Q155" s="155"/>
      <c r="R155" s="155"/>
      <c r="S155" s="155"/>
      <c r="T155" s="155"/>
      <c r="U155" s="155"/>
      <c r="V155" s="155"/>
      <c r="W155" s="155"/>
      <c r="X155" s="155"/>
      <c r="Y155" s="155"/>
      <c r="Z155" s="155"/>
      <c r="AA155" s="155"/>
    </row>
    <row r="156" ht="22.5" customHeight="1">
      <c r="A156" s="139"/>
      <c r="B156" s="71"/>
      <c r="C156" s="117"/>
      <c r="D156" s="25"/>
      <c r="E156" s="118"/>
      <c r="F156" s="118"/>
      <c r="G156" s="138"/>
      <c r="H156" s="26"/>
      <c r="I156" s="155"/>
      <c r="J156" s="200"/>
      <c r="K156" s="155"/>
      <c r="L156" s="155"/>
      <c r="M156" s="155"/>
      <c r="N156" s="155"/>
      <c r="O156" s="155"/>
      <c r="P156" s="155"/>
      <c r="Q156" s="155"/>
      <c r="R156" s="155"/>
      <c r="S156" s="155"/>
      <c r="T156" s="155"/>
      <c r="U156" s="155"/>
      <c r="V156" s="155"/>
      <c r="W156" s="155"/>
      <c r="X156" s="155"/>
      <c r="Y156" s="155"/>
      <c r="Z156" s="155"/>
      <c r="AA156" s="155"/>
    </row>
    <row r="157" ht="22.5" customHeight="1">
      <c r="A157" s="139"/>
      <c r="B157" s="71"/>
      <c r="C157" s="117"/>
      <c r="D157" s="25"/>
      <c r="E157" s="118"/>
      <c r="F157" s="118"/>
      <c r="G157" s="138"/>
      <c r="H157" s="26"/>
      <c r="I157" s="155"/>
      <c r="J157" s="200"/>
      <c r="K157" s="155"/>
      <c r="L157" s="155"/>
      <c r="M157" s="155"/>
      <c r="N157" s="155"/>
      <c r="O157" s="155"/>
      <c r="P157" s="155"/>
      <c r="Q157" s="155"/>
      <c r="R157" s="155"/>
      <c r="S157" s="155"/>
      <c r="T157" s="155"/>
      <c r="U157" s="155"/>
      <c r="V157" s="155"/>
      <c r="W157" s="155"/>
      <c r="X157" s="155"/>
      <c r="Y157" s="155"/>
      <c r="Z157" s="155"/>
      <c r="AA157" s="155"/>
    </row>
    <row r="158" ht="22.5" customHeight="1">
      <c r="A158" s="139"/>
      <c r="B158" s="71"/>
      <c r="C158" s="117"/>
      <c r="D158" s="25"/>
      <c r="E158" s="118"/>
      <c r="F158" s="118"/>
      <c r="G158" s="138"/>
      <c r="H158" s="26"/>
      <c r="I158" s="155"/>
      <c r="J158" s="200"/>
      <c r="K158" s="155"/>
      <c r="L158" s="155"/>
      <c r="M158" s="155"/>
      <c r="N158" s="155"/>
      <c r="O158" s="155"/>
      <c r="P158" s="155"/>
      <c r="Q158" s="155"/>
      <c r="R158" s="155"/>
      <c r="S158" s="155"/>
      <c r="T158" s="155"/>
      <c r="U158" s="155"/>
      <c r="V158" s="155"/>
      <c r="W158" s="155"/>
      <c r="X158" s="155"/>
      <c r="Y158" s="155"/>
      <c r="Z158" s="155"/>
      <c r="AA158" s="155"/>
    </row>
    <row r="159" ht="22.5" customHeight="1">
      <c r="A159" s="139"/>
      <c r="B159" s="71"/>
      <c r="C159" s="117"/>
      <c r="D159" s="25"/>
      <c r="E159" s="118"/>
      <c r="F159" s="118"/>
      <c r="G159" s="138"/>
      <c r="H159" s="26"/>
      <c r="I159" s="155"/>
      <c r="J159" s="200"/>
      <c r="K159" s="155"/>
      <c r="L159" s="155"/>
      <c r="M159" s="155"/>
      <c r="N159" s="155"/>
      <c r="O159" s="155"/>
      <c r="P159" s="155"/>
      <c r="Q159" s="155"/>
      <c r="R159" s="155"/>
      <c r="S159" s="155"/>
      <c r="T159" s="155"/>
      <c r="U159" s="155"/>
      <c r="V159" s="155"/>
      <c r="W159" s="155"/>
      <c r="X159" s="155"/>
      <c r="Y159" s="155"/>
      <c r="Z159" s="155"/>
      <c r="AA159" s="155"/>
    </row>
    <row r="160" ht="22.5" customHeight="1">
      <c r="A160" s="139"/>
      <c r="B160" s="71"/>
      <c r="C160" s="117"/>
      <c r="D160" s="25"/>
      <c r="E160" s="118"/>
      <c r="F160" s="118"/>
      <c r="G160" s="138"/>
      <c r="H160" s="26"/>
      <c r="I160" s="155"/>
      <c r="J160" s="200"/>
      <c r="K160" s="155"/>
      <c r="L160" s="155"/>
      <c r="M160" s="155"/>
      <c r="N160" s="155"/>
      <c r="O160" s="155"/>
      <c r="P160" s="155"/>
      <c r="Q160" s="155"/>
      <c r="R160" s="155"/>
      <c r="S160" s="155"/>
      <c r="T160" s="155"/>
      <c r="U160" s="155"/>
      <c r="V160" s="155"/>
      <c r="W160" s="155"/>
      <c r="X160" s="155"/>
      <c r="Y160" s="155"/>
      <c r="Z160" s="155"/>
      <c r="AA160" s="155"/>
    </row>
    <row r="161" ht="22.5" customHeight="1">
      <c r="A161" s="139"/>
      <c r="B161" s="71"/>
      <c r="C161" s="117"/>
      <c r="D161" s="25"/>
      <c r="E161" s="118"/>
      <c r="F161" s="118"/>
      <c r="G161" s="138"/>
      <c r="H161" s="26"/>
      <c r="I161" s="155"/>
      <c r="J161" s="200"/>
      <c r="K161" s="155"/>
      <c r="L161" s="155"/>
      <c r="M161" s="155"/>
      <c r="N161" s="155"/>
      <c r="O161" s="155"/>
      <c r="P161" s="155"/>
      <c r="Q161" s="155"/>
      <c r="R161" s="155"/>
      <c r="S161" s="155"/>
      <c r="T161" s="155"/>
      <c r="U161" s="155"/>
      <c r="V161" s="155"/>
      <c r="W161" s="155"/>
      <c r="X161" s="155"/>
      <c r="Y161" s="155"/>
      <c r="Z161" s="155"/>
      <c r="AA161" s="155"/>
    </row>
    <row r="162" ht="22.5" customHeight="1">
      <c r="A162" s="139"/>
      <c r="B162" s="71"/>
      <c r="C162" s="117"/>
      <c r="D162" s="25"/>
      <c r="E162" s="118"/>
      <c r="F162" s="118"/>
      <c r="G162" s="138"/>
      <c r="H162" s="26"/>
      <c r="I162" s="155"/>
      <c r="J162" s="200"/>
      <c r="K162" s="155"/>
      <c r="L162" s="155"/>
      <c r="M162" s="155"/>
      <c r="N162" s="155"/>
      <c r="O162" s="155"/>
      <c r="P162" s="155"/>
      <c r="Q162" s="155"/>
      <c r="R162" s="155"/>
      <c r="S162" s="155"/>
      <c r="T162" s="155"/>
      <c r="U162" s="155"/>
      <c r="V162" s="155"/>
      <c r="W162" s="155"/>
      <c r="X162" s="155"/>
      <c r="Y162" s="155"/>
      <c r="Z162" s="155"/>
      <c r="AA162" s="155"/>
    </row>
    <row r="163" ht="22.5" customHeight="1">
      <c r="A163" s="139"/>
      <c r="B163" s="71"/>
      <c r="C163" s="117"/>
      <c r="D163" s="25"/>
      <c r="E163" s="118"/>
      <c r="F163" s="118"/>
      <c r="G163" s="138"/>
      <c r="H163" s="26"/>
      <c r="I163" s="155"/>
      <c r="J163" s="200"/>
      <c r="K163" s="155"/>
      <c r="L163" s="155"/>
      <c r="M163" s="155"/>
      <c r="N163" s="155"/>
      <c r="O163" s="155"/>
      <c r="P163" s="155"/>
      <c r="Q163" s="155"/>
      <c r="R163" s="155"/>
      <c r="S163" s="155"/>
      <c r="T163" s="155"/>
      <c r="U163" s="155"/>
      <c r="V163" s="155"/>
      <c r="W163" s="155"/>
      <c r="X163" s="155"/>
      <c r="Y163" s="155"/>
      <c r="Z163" s="155"/>
      <c r="AA163" s="155"/>
    </row>
    <row r="164" ht="22.5" customHeight="1">
      <c r="A164" s="139"/>
      <c r="B164" s="71"/>
      <c r="C164" s="117"/>
      <c r="D164" s="25"/>
      <c r="E164" s="118"/>
      <c r="F164" s="118"/>
      <c r="G164" s="138"/>
      <c r="H164" s="26"/>
      <c r="I164" s="155"/>
      <c r="J164" s="200"/>
      <c r="K164" s="155"/>
      <c r="L164" s="155"/>
      <c r="M164" s="155"/>
      <c r="N164" s="155"/>
      <c r="O164" s="155"/>
      <c r="P164" s="155"/>
      <c r="Q164" s="155"/>
      <c r="R164" s="155"/>
      <c r="S164" s="155"/>
      <c r="T164" s="155"/>
      <c r="U164" s="155"/>
      <c r="V164" s="155"/>
      <c r="W164" s="155"/>
      <c r="X164" s="155"/>
      <c r="Y164" s="155"/>
      <c r="Z164" s="155"/>
      <c r="AA164" s="155"/>
    </row>
    <row r="165" ht="22.5" customHeight="1">
      <c r="A165" s="139"/>
      <c r="B165" s="71"/>
      <c r="C165" s="117"/>
      <c r="D165" s="25"/>
      <c r="E165" s="118"/>
      <c r="F165" s="118"/>
      <c r="G165" s="138"/>
      <c r="H165" s="26"/>
      <c r="I165" s="155"/>
      <c r="J165" s="200"/>
      <c r="K165" s="155"/>
      <c r="L165" s="155"/>
      <c r="M165" s="155"/>
      <c r="N165" s="155"/>
      <c r="O165" s="155"/>
      <c r="P165" s="155"/>
      <c r="Q165" s="155"/>
      <c r="R165" s="155"/>
      <c r="S165" s="155"/>
      <c r="T165" s="155"/>
      <c r="U165" s="155"/>
      <c r="V165" s="155"/>
      <c r="W165" s="155"/>
      <c r="X165" s="155"/>
      <c r="Y165" s="155"/>
      <c r="Z165" s="155"/>
      <c r="AA165" s="155"/>
    </row>
    <row r="166" ht="22.5" customHeight="1">
      <c r="A166" s="139"/>
      <c r="B166" s="71"/>
      <c r="C166" s="117"/>
      <c r="D166" s="25"/>
      <c r="E166" s="118"/>
      <c r="F166" s="118"/>
      <c r="G166" s="138"/>
      <c r="H166" s="26"/>
      <c r="I166" s="155"/>
      <c r="J166" s="200"/>
      <c r="K166" s="155"/>
      <c r="L166" s="155"/>
      <c r="M166" s="155"/>
      <c r="N166" s="155"/>
      <c r="O166" s="155"/>
      <c r="P166" s="155"/>
      <c r="Q166" s="155"/>
      <c r="R166" s="155"/>
      <c r="S166" s="155"/>
      <c r="T166" s="155"/>
      <c r="U166" s="155"/>
      <c r="V166" s="155"/>
      <c r="W166" s="155"/>
      <c r="X166" s="155"/>
      <c r="Y166" s="155"/>
      <c r="Z166" s="155"/>
      <c r="AA166" s="155"/>
    </row>
    <row r="167" ht="22.5" customHeight="1">
      <c r="A167" s="139"/>
      <c r="B167" s="71"/>
      <c r="C167" s="117"/>
      <c r="D167" s="25"/>
      <c r="E167" s="118"/>
      <c r="F167" s="118"/>
      <c r="G167" s="138"/>
      <c r="H167" s="26"/>
      <c r="I167" s="155"/>
      <c r="J167" s="200"/>
      <c r="K167" s="155"/>
      <c r="L167" s="155"/>
      <c r="M167" s="155"/>
      <c r="N167" s="155"/>
      <c r="O167" s="155"/>
      <c r="P167" s="155"/>
      <c r="Q167" s="155"/>
      <c r="R167" s="155"/>
      <c r="S167" s="155"/>
      <c r="T167" s="155"/>
      <c r="U167" s="155"/>
      <c r="V167" s="155"/>
      <c r="W167" s="155"/>
      <c r="X167" s="155"/>
      <c r="Y167" s="155"/>
      <c r="Z167" s="155"/>
      <c r="AA167" s="155"/>
    </row>
    <row r="168" ht="22.5" customHeight="1">
      <c r="A168" s="139"/>
      <c r="B168" s="71"/>
      <c r="C168" s="117"/>
      <c r="D168" s="25"/>
      <c r="E168" s="118"/>
      <c r="F168" s="118"/>
      <c r="G168" s="138"/>
      <c r="H168" s="26"/>
      <c r="I168" s="155"/>
      <c r="J168" s="200"/>
      <c r="K168" s="155"/>
      <c r="L168" s="155"/>
      <c r="M168" s="155"/>
      <c r="N168" s="155"/>
      <c r="O168" s="155"/>
      <c r="P168" s="155"/>
      <c r="Q168" s="155"/>
      <c r="R168" s="155"/>
      <c r="S168" s="155"/>
      <c r="T168" s="155"/>
      <c r="U168" s="155"/>
      <c r="V168" s="155"/>
      <c r="W168" s="155"/>
      <c r="X168" s="155"/>
      <c r="Y168" s="155"/>
      <c r="Z168" s="155"/>
      <c r="AA168" s="155"/>
    </row>
    <row r="169" ht="22.5" customHeight="1">
      <c r="A169" s="139"/>
      <c r="B169" s="71"/>
      <c r="C169" s="117"/>
      <c r="D169" s="25"/>
      <c r="E169" s="118"/>
      <c r="F169" s="118"/>
      <c r="G169" s="138"/>
      <c r="H169" s="26"/>
      <c r="I169" s="155"/>
      <c r="J169" s="200"/>
      <c r="K169" s="155"/>
      <c r="L169" s="155"/>
      <c r="M169" s="155"/>
      <c r="N169" s="155"/>
      <c r="O169" s="155"/>
      <c r="P169" s="155"/>
      <c r="Q169" s="155"/>
      <c r="R169" s="155"/>
      <c r="S169" s="155"/>
      <c r="T169" s="155"/>
      <c r="U169" s="155"/>
      <c r="V169" s="155"/>
      <c r="W169" s="155"/>
      <c r="X169" s="155"/>
      <c r="Y169" s="155"/>
      <c r="Z169" s="155"/>
      <c r="AA169" s="155"/>
    </row>
    <row r="170" ht="22.5" customHeight="1">
      <c r="A170" s="139"/>
      <c r="B170" s="71"/>
      <c r="C170" s="117"/>
      <c r="D170" s="25"/>
      <c r="E170" s="118"/>
      <c r="F170" s="118"/>
      <c r="G170" s="138"/>
      <c r="H170" s="26"/>
      <c r="I170" s="155"/>
      <c r="J170" s="200"/>
      <c r="K170" s="155"/>
      <c r="L170" s="155"/>
      <c r="M170" s="155"/>
      <c r="N170" s="155"/>
      <c r="O170" s="155"/>
      <c r="P170" s="155"/>
      <c r="Q170" s="155"/>
      <c r="R170" s="155"/>
      <c r="S170" s="155"/>
      <c r="T170" s="155"/>
      <c r="U170" s="155"/>
      <c r="V170" s="155"/>
      <c r="W170" s="155"/>
      <c r="X170" s="155"/>
      <c r="Y170" s="155"/>
      <c r="Z170" s="155"/>
      <c r="AA170" s="155"/>
    </row>
    <row r="171" ht="22.5" customHeight="1">
      <c r="A171" s="139"/>
      <c r="B171" s="71"/>
      <c r="C171" s="117"/>
      <c r="D171" s="25"/>
      <c r="E171" s="118"/>
      <c r="F171" s="118"/>
      <c r="G171" s="138"/>
      <c r="H171" s="26"/>
      <c r="I171" s="155"/>
      <c r="J171" s="200"/>
      <c r="K171" s="155"/>
      <c r="L171" s="155"/>
      <c r="M171" s="155"/>
      <c r="N171" s="155"/>
      <c r="O171" s="155"/>
      <c r="P171" s="155"/>
      <c r="Q171" s="155"/>
      <c r="R171" s="155"/>
      <c r="S171" s="155"/>
      <c r="T171" s="155"/>
      <c r="U171" s="155"/>
      <c r="V171" s="155"/>
      <c r="W171" s="155"/>
      <c r="X171" s="155"/>
      <c r="Y171" s="155"/>
      <c r="Z171" s="155"/>
      <c r="AA171" s="155"/>
    </row>
    <row r="172" ht="22.5" customHeight="1">
      <c r="A172" s="139"/>
      <c r="B172" s="71"/>
      <c r="C172" s="117"/>
      <c r="D172" s="25"/>
      <c r="E172" s="118"/>
      <c r="F172" s="118"/>
      <c r="G172" s="138"/>
      <c r="H172" s="26"/>
      <c r="I172" s="155"/>
      <c r="J172" s="200"/>
      <c r="K172" s="155"/>
      <c r="L172" s="155"/>
      <c r="M172" s="155"/>
      <c r="N172" s="155"/>
      <c r="O172" s="155"/>
      <c r="P172" s="155"/>
      <c r="Q172" s="155"/>
      <c r="R172" s="155"/>
      <c r="S172" s="155"/>
      <c r="T172" s="155"/>
      <c r="U172" s="155"/>
      <c r="V172" s="155"/>
      <c r="W172" s="155"/>
      <c r="X172" s="155"/>
      <c r="Y172" s="155"/>
      <c r="Z172" s="155"/>
      <c r="AA172" s="155"/>
    </row>
    <row r="173" ht="22.5" customHeight="1">
      <c r="A173" s="139"/>
      <c r="B173" s="71"/>
      <c r="C173" s="117"/>
      <c r="D173" s="25"/>
      <c r="E173" s="118"/>
      <c r="F173" s="118"/>
      <c r="G173" s="138"/>
      <c r="H173" s="26"/>
      <c r="I173" s="155"/>
      <c r="J173" s="200"/>
      <c r="K173" s="155"/>
      <c r="L173" s="155"/>
      <c r="M173" s="155"/>
      <c r="N173" s="155"/>
      <c r="O173" s="155"/>
      <c r="P173" s="155"/>
      <c r="Q173" s="155"/>
      <c r="R173" s="155"/>
      <c r="S173" s="155"/>
      <c r="T173" s="155"/>
      <c r="U173" s="155"/>
      <c r="V173" s="155"/>
      <c r="W173" s="155"/>
      <c r="X173" s="155"/>
      <c r="Y173" s="155"/>
      <c r="Z173" s="155"/>
      <c r="AA173" s="155"/>
    </row>
    <row r="174" ht="22.5" customHeight="1">
      <c r="A174" s="139"/>
      <c r="B174" s="71"/>
      <c r="C174" s="117"/>
      <c r="D174" s="25"/>
      <c r="E174" s="118"/>
      <c r="F174" s="118"/>
      <c r="G174" s="138"/>
      <c r="H174" s="26"/>
      <c r="I174" s="155"/>
      <c r="J174" s="200"/>
      <c r="K174" s="155"/>
      <c r="L174" s="155"/>
      <c r="M174" s="155"/>
      <c r="N174" s="155"/>
      <c r="O174" s="155"/>
      <c r="P174" s="155"/>
      <c r="Q174" s="155"/>
      <c r="R174" s="155"/>
      <c r="S174" s="155"/>
      <c r="T174" s="155"/>
      <c r="U174" s="155"/>
      <c r="V174" s="155"/>
      <c r="W174" s="155"/>
      <c r="X174" s="155"/>
      <c r="Y174" s="155"/>
      <c r="Z174" s="155"/>
      <c r="AA174" s="155"/>
    </row>
    <row r="175" ht="22.5" customHeight="1">
      <c r="A175" s="139"/>
      <c r="B175" s="71"/>
      <c r="C175" s="117"/>
      <c r="D175" s="25"/>
      <c r="E175" s="118"/>
      <c r="F175" s="118"/>
      <c r="G175" s="138"/>
      <c r="H175" s="26"/>
      <c r="I175" s="155"/>
      <c r="J175" s="200"/>
      <c r="K175" s="155"/>
      <c r="L175" s="155"/>
      <c r="M175" s="155"/>
      <c r="N175" s="155"/>
      <c r="O175" s="155"/>
      <c r="P175" s="155"/>
      <c r="Q175" s="155"/>
      <c r="R175" s="155"/>
      <c r="S175" s="155"/>
      <c r="T175" s="155"/>
      <c r="U175" s="155"/>
      <c r="V175" s="155"/>
      <c r="W175" s="155"/>
      <c r="X175" s="155"/>
      <c r="Y175" s="155"/>
      <c r="Z175" s="155"/>
      <c r="AA175" s="155"/>
    </row>
    <row r="176" ht="22.5" customHeight="1">
      <c r="A176" s="139"/>
      <c r="B176" s="71"/>
      <c r="C176" s="117"/>
      <c r="D176" s="25"/>
      <c r="E176" s="118"/>
      <c r="F176" s="118"/>
      <c r="G176" s="138"/>
      <c r="H176" s="26"/>
      <c r="I176" s="155"/>
      <c r="J176" s="200"/>
      <c r="K176" s="155"/>
      <c r="L176" s="155"/>
      <c r="M176" s="155"/>
      <c r="N176" s="155"/>
      <c r="O176" s="155"/>
      <c r="P176" s="155"/>
      <c r="Q176" s="155"/>
      <c r="R176" s="155"/>
      <c r="S176" s="155"/>
      <c r="T176" s="155"/>
      <c r="U176" s="155"/>
      <c r="V176" s="155"/>
      <c r="W176" s="155"/>
      <c r="X176" s="155"/>
      <c r="Y176" s="155"/>
      <c r="Z176" s="155"/>
      <c r="AA176" s="155"/>
    </row>
    <row r="177" ht="22.5" customHeight="1">
      <c r="A177" s="139"/>
      <c r="B177" s="71"/>
      <c r="C177" s="117"/>
      <c r="D177" s="25"/>
      <c r="E177" s="118"/>
      <c r="F177" s="118"/>
      <c r="G177" s="138"/>
      <c r="H177" s="26"/>
      <c r="I177" s="155"/>
      <c r="J177" s="200"/>
      <c r="K177" s="155"/>
      <c r="L177" s="155"/>
      <c r="M177" s="155"/>
      <c r="N177" s="155"/>
      <c r="O177" s="155"/>
      <c r="P177" s="155"/>
      <c r="Q177" s="155"/>
      <c r="R177" s="155"/>
      <c r="S177" s="155"/>
      <c r="T177" s="155"/>
      <c r="U177" s="155"/>
      <c r="V177" s="155"/>
      <c r="W177" s="155"/>
      <c r="X177" s="155"/>
      <c r="Y177" s="155"/>
      <c r="Z177" s="155"/>
      <c r="AA177" s="155"/>
    </row>
    <row r="178" ht="22.5" customHeight="1">
      <c r="A178" s="139"/>
      <c r="B178" s="71"/>
      <c r="C178" s="117"/>
      <c r="D178" s="25"/>
      <c r="E178" s="118"/>
      <c r="F178" s="118"/>
      <c r="G178" s="138"/>
      <c r="H178" s="26"/>
      <c r="I178" s="155"/>
      <c r="J178" s="200"/>
      <c r="K178" s="155"/>
      <c r="L178" s="155"/>
      <c r="M178" s="155"/>
      <c r="N178" s="155"/>
      <c r="O178" s="155"/>
      <c r="P178" s="155"/>
      <c r="Q178" s="155"/>
      <c r="R178" s="155"/>
      <c r="S178" s="155"/>
      <c r="T178" s="155"/>
      <c r="U178" s="155"/>
      <c r="V178" s="155"/>
      <c r="W178" s="155"/>
      <c r="X178" s="155"/>
      <c r="Y178" s="155"/>
      <c r="Z178" s="155"/>
      <c r="AA178" s="155"/>
    </row>
    <row r="179" ht="22.5" customHeight="1">
      <c r="A179" s="139"/>
      <c r="B179" s="71"/>
      <c r="C179" s="117"/>
      <c r="D179" s="25"/>
      <c r="E179" s="118"/>
      <c r="F179" s="118"/>
      <c r="G179" s="138"/>
      <c r="H179" s="26"/>
      <c r="I179" s="155"/>
      <c r="J179" s="200"/>
      <c r="K179" s="155"/>
      <c r="L179" s="155"/>
      <c r="M179" s="155"/>
      <c r="N179" s="155"/>
      <c r="O179" s="155"/>
      <c r="P179" s="155"/>
      <c r="Q179" s="155"/>
      <c r="R179" s="155"/>
      <c r="S179" s="155"/>
      <c r="T179" s="155"/>
      <c r="U179" s="155"/>
      <c r="V179" s="155"/>
      <c r="W179" s="155"/>
      <c r="X179" s="155"/>
      <c r="Y179" s="155"/>
      <c r="Z179" s="155"/>
      <c r="AA179" s="155"/>
    </row>
    <row r="180" ht="22.5" customHeight="1">
      <c r="A180" s="139"/>
      <c r="B180" s="71"/>
      <c r="C180" s="117"/>
      <c r="D180" s="25"/>
      <c r="E180" s="118"/>
      <c r="F180" s="118"/>
      <c r="G180" s="138"/>
      <c r="H180" s="26"/>
      <c r="I180" s="155"/>
      <c r="J180" s="200"/>
      <c r="K180" s="155"/>
      <c r="L180" s="155"/>
      <c r="M180" s="155"/>
      <c r="N180" s="155"/>
      <c r="O180" s="155"/>
      <c r="P180" s="155"/>
      <c r="Q180" s="155"/>
      <c r="R180" s="155"/>
      <c r="S180" s="155"/>
      <c r="T180" s="155"/>
      <c r="U180" s="155"/>
      <c r="V180" s="155"/>
      <c r="W180" s="155"/>
      <c r="X180" s="155"/>
      <c r="Y180" s="155"/>
      <c r="Z180" s="155"/>
      <c r="AA180" s="155"/>
    </row>
    <row r="181" ht="22.5" customHeight="1">
      <c r="A181" s="139"/>
      <c r="B181" s="71"/>
      <c r="C181" s="117"/>
      <c r="D181" s="25"/>
      <c r="E181" s="118"/>
      <c r="F181" s="118"/>
      <c r="G181" s="138"/>
      <c r="H181" s="26"/>
      <c r="I181" s="155"/>
      <c r="J181" s="200"/>
      <c r="K181" s="155"/>
      <c r="L181" s="155"/>
      <c r="M181" s="155"/>
      <c r="N181" s="155"/>
      <c r="O181" s="155"/>
      <c r="P181" s="155"/>
      <c r="Q181" s="155"/>
      <c r="R181" s="155"/>
      <c r="S181" s="155"/>
      <c r="T181" s="155"/>
      <c r="U181" s="155"/>
      <c r="V181" s="155"/>
      <c r="W181" s="155"/>
      <c r="X181" s="155"/>
      <c r="Y181" s="155"/>
      <c r="Z181" s="155"/>
      <c r="AA181" s="155"/>
    </row>
    <row r="182" ht="22.5" customHeight="1">
      <c r="A182" s="139"/>
      <c r="B182" s="71"/>
      <c r="C182" s="117"/>
      <c r="D182" s="25"/>
      <c r="E182" s="118"/>
      <c r="F182" s="118"/>
      <c r="G182" s="138"/>
      <c r="H182" s="26"/>
      <c r="I182" s="155"/>
      <c r="J182" s="200"/>
      <c r="K182" s="155"/>
      <c r="L182" s="155"/>
      <c r="M182" s="155"/>
      <c r="N182" s="155"/>
      <c r="O182" s="155"/>
      <c r="P182" s="155"/>
      <c r="Q182" s="155"/>
      <c r="R182" s="155"/>
      <c r="S182" s="155"/>
      <c r="T182" s="155"/>
      <c r="U182" s="155"/>
      <c r="V182" s="155"/>
      <c r="W182" s="155"/>
      <c r="X182" s="155"/>
      <c r="Y182" s="155"/>
      <c r="Z182" s="155"/>
      <c r="AA182" s="155"/>
    </row>
    <row r="183" ht="22.5" customHeight="1">
      <c r="A183" s="139"/>
      <c r="B183" s="71"/>
      <c r="C183" s="117"/>
      <c r="D183" s="25"/>
      <c r="E183" s="118"/>
      <c r="F183" s="118"/>
      <c r="G183" s="138"/>
      <c r="H183" s="26"/>
      <c r="I183" s="155"/>
      <c r="J183" s="200"/>
      <c r="K183" s="155"/>
      <c r="L183" s="155"/>
      <c r="M183" s="155"/>
      <c r="N183" s="155"/>
      <c r="O183" s="155"/>
      <c r="P183" s="155"/>
      <c r="Q183" s="155"/>
      <c r="R183" s="155"/>
      <c r="S183" s="155"/>
      <c r="T183" s="155"/>
      <c r="U183" s="155"/>
      <c r="V183" s="155"/>
      <c r="W183" s="155"/>
      <c r="X183" s="155"/>
      <c r="Y183" s="155"/>
      <c r="Z183" s="155"/>
      <c r="AA183" s="155"/>
    </row>
    <row r="184" ht="22.5" customHeight="1">
      <c r="A184" s="139"/>
      <c r="B184" s="71"/>
      <c r="C184" s="117"/>
      <c r="D184" s="25"/>
      <c r="E184" s="118"/>
      <c r="F184" s="118"/>
      <c r="G184" s="138"/>
      <c r="H184" s="26"/>
      <c r="I184" s="155"/>
      <c r="J184" s="200"/>
      <c r="K184" s="155"/>
      <c r="L184" s="155"/>
      <c r="M184" s="155"/>
      <c r="N184" s="155"/>
      <c r="O184" s="155"/>
      <c r="P184" s="155"/>
      <c r="Q184" s="155"/>
      <c r="R184" s="155"/>
      <c r="S184" s="155"/>
      <c r="T184" s="155"/>
      <c r="U184" s="155"/>
      <c r="V184" s="155"/>
      <c r="W184" s="155"/>
      <c r="X184" s="155"/>
      <c r="Y184" s="155"/>
      <c r="Z184" s="155"/>
      <c r="AA184" s="155"/>
    </row>
    <row r="185" ht="22.5" customHeight="1">
      <c r="A185" s="139"/>
      <c r="B185" s="71"/>
      <c r="C185" s="117"/>
      <c r="D185" s="25"/>
      <c r="E185" s="118"/>
      <c r="F185" s="118"/>
      <c r="G185" s="138"/>
      <c r="H185" s="26"/>
      <c r="I185" s="155"/>
      <c r="J185" s="200"/>
      <c r="K185" s="155"/>
      <c r="L185" s="155"/>
      <c r="M185" s="155"/>
      <c r="N185" s="155"/>
      <c r="O185" s="155"/>
      <c r="P185" s="155"/>
      <c r="Q185" s="155"/>
      <c r="R185" s="155"/>
      <c r="S185" s="155"/>
      <c r="T185" s="155"/>
      <c r="U185" s="155"/>
      <c r="V185" s="155"/>
      <c r="W185" s="155"/>
      <c r="X185" s="155"/>
      <c r="Y185" s="155"/>
      <c r="Z185" s="155"/>
      <c r="AA185" s="155"/>
    </row>
    <row r="186" ht="22.5" customHeight="1">
      <c r="A186" s="139"/>
      <c r="B186" s="71"/>
      <c r="C186" s="117"/>
      <c r="D186" s="25"/>
      <c r="E186" s="118"/>
      <c r="F186" s="118"/>
      <c r="G186" s="138"/>
      <c r="H186" s="26"/>
      <c r="I186" s="155"/>
      <c r="J186" s="200"/>
      <c r="K186" s="155"/>
      <c r="L186" s="155"/>
      <c r="M186" s="155"/>
      <c r="N186" s="155"/>
      <c r="O186" s="155"/>
      <c r="P186" s="155"/>
      <c r="Q186" s="155"/>
      <c r="R186" s="155"/>
      <c r="S186" s="155"/>
      <c r="T186" s="155"/>
      <c r="U186" s="155"/>
      <c r="V186" s="155"/>
      <c r="W186" s="155"/>
      <c r="X186" s="155"/>
      <c r="Y186" s="155"/>
      <c r="Z186" s="155"/>
      <c r="AA186" s="155"/>
    </row>
    <row r="187" ht="22.5" customHeight="1">
      <c r="A187" s="139"/>
      <c r="B187" s="71"/>
      <c r="C187" s="117"/>
      <c r="D187" s="25"/>
      <c r="E187" s="118"/>
      <c r="F187" s="118"/>
      <c r="G187" s="138"/>
      <c r="H187" s="26"/>
      <c r="I187" s="155"/>
      <c r="J187" s="200"/>
      <c r="K187" s="155"/>
      <c r="L187" s="155"/>
      <c r="M187" s="155"/>
      <c r="N187" s="155"/>
      <c r="O187" s="155"/>
      <c r="P187" s="155"/>
      <c r="Q187" s="155"/>
      <c r="R187" s="155"/>
      <c r="S187" s="155"/>
      <c r="T187" s="155"/>
      <c r="U187" s="155"/>
      <c r="V187" s="155"/>
      <c r="W187" s="155"/>
      <c r="X187" s="155"/>
      <c r="Y187" s="155"/>
      <c r="Z187" s="155"/>
      <c r="AA187" s="155"/>
    </row>
    <row r="188" ht="22.5" customHeight="1">
      <c r="A188" s="139"/>
      <c r="B188" s="71"/>
      <c r="C188" s="117"/>
      <c r="D188" s="25"/>
      <c r="E188" s="118"/>
      <c r="F188" s="118"/>
      <c r="G188" s="138"/>
      <c r="H188" s="26"/>
      <c r="I188" s="155"/>
      <c r="J188" s="200"/>
      <c r="K188" s="155"/>
      <c r="L188" s="155"/>
      <c r="M188" s="155"/>
      <c r="N188" s="155"/>
      <c r="O188" s="155"/>
      <c r="P188" s="155"/>
      <c r="Q188" s="155"/>
      <c r="R188" s="155"/>
      <c r="S188" s="155"/>
      <c r="T188" s="155"/>
      <c r="U188" s="155"/>
      <c r="V188" s="155"/>
      <c r="W188" s="155"/>
      <c r="X188" s="155"/>
      <c r="Y188" s="155"/>
      <c r="Z188" s="155"/>
      <c r="AA188" s="155"/>
    </row>
    <row r="189" ht="22.5" customHeight="1">
      <c r="A189" s="139"/>
      <c r="B189" s="71"/>
      <c r="C189" s="117"/>
      <c r="D189" s="25"/>
      <c r="E189" s="118"/>
      <c r="F189" s="118"/>
      <c r="G189" s="138"/>
      <c r="H189" s="26"/>
      <c r="I189" s="155"/>
      <c r="J189" s="200"/>
      <c r="K189" s="155"/>
      <c r="L189" s="155"/>
      <c r="M189" s="155"/>
      <c r="N189" s="155"/>
      <c r="O189" s="155"/>
      <c r="P189" s="155"/>
      <c r="Q189" s="155"/>
      <c r="R189" s="155"/>
      <c r="S189" s="155"/>
      <c r="T189" s="155"/>
      <c r="U189" s="155"/>
      <c r="V189" s="155"/>
      <c r="W189" s="155"/>
      <c r="X189" s="155"/>
      <c r="Y189" s="155"/>
      <c r="Z189" s="155"/>
      <c r="AA189" s="155"/>
    </row>
    <row r="190" ht="22.5" customHeight="1">
      <c r="A190" s="139"/>
      <c r="B190" s="71"/>
      <c r="C190" s="117"/>
      <c r="D190" s="25"/>
      <c r="E190" s="118"/>
      <c r="F190" s="118"/>
      <c r="G190" s="138"/>
      <c r="H190" s="26"/>
      <c r="I190" s="155"/>
      <c r="J190" s="200"/>
      <c r="K190" s="155"/>
      <c r="L190" s="155"/>
      <c r="M190" s="155"/>
      <c r="N190" s="155"/>
      <c r="O190" s="155"/>
      <c r="P190" s="155"/>
      <c r="Q190" s="155"/>
      <c r="R190" s="155"/>
      <c r="S190" s="155"/>
      <c r="T190" s="155"/>
      <c r="U190" s="155"/>
      <c r="V190" s="155"/>
      <c r="W190" s="155"/>
      <c r="X190" s="155"/>
      <c r="Y190" s="155"/>
      <c r="Z190" s="155"/>
      <c r="AA190" s="155"/>
    </row>
    <row r="191" ht="22.5" customHeight="1">
      <c r="A191" s="139"/>
      <c r="B191" s="71"/>
      <c r="C191" s="117"/>
      <c r="D191" s="25"/>
      <c r="E191" s="118"/>
      <c r="F191" s="118"/>
      <c r="G191" s="138"/>
      <c r="H191" s="26"/>
      <c r="I191" s="155"/>
      <c r="J191" s="200"/>
      <c r="K191" s="155"/>
      <c r="L191" s="155"/>
      <c r="M191" s="155"/>
      <c r="N191" s="155"/>
      <c r="O191" s="155"/>
      <c r="P191" s="155"/>
      <c r="Q191" s="155"/>
      <c r="R191" s="155"/>
      <c r="S191" s="155"/>
      <c r="T191" s="155"/>
      <c r="U191" s="155"/>
      <c r="V191" s="155"/>
      <c r="W191" s="155"/>
      <c r="X191" s="155"/>
      <c r="Y191" s="155"/>
      <c r="Z191" s="155"/>
      <c r="AA191" s="155"/>
    </row>
    <row r="192" ht="22.5" customHeight="1">
      <c r="A192" s="139"/>
      <c r="B192" s="71"/>
      <c r="C192" s="117"/>
      <c r="D192" s="25"/>
      <c r="E192" s="118"/>
      <c r="F192" s="118"/>
      <c r="G192" s="138"/>
      <c r="H192" s="26"/>
      <c r="I192" s="155"/>
      <c r="J192" s="200"/>
      <c r="K192" s="155"/>
      <c r="L192" s="155"/>
      <c r="M192" s="155"/>
      <c r="N192" s="155"/>
      <c r="O192" s="155"/>
      <c r="P192" s="155"/>
      <c r="Q192" s="155"/>
      <c r="R192" s="155"/>
      <c r="S192" s="155"/>
      <c r="T192" s="155"/>
      <c r="U192" s="155"/>
      <c r="V192" s="155"/>
      <c r="W192" s="155"/>
      <c r="X192" s="155"/>
      <c r="Y192" s="155"/>
      <c r="Z192" s="155"/>
      <c r="AA192" s="155"/>
    </row>
    <row r="193" ht="22.5" customHeight="1">
      <c r="A193" s="139"/>
      <c r="B193" s="71"/>
      <c r="C193" s="117"/>
      <c r="D193" s="25"/>
      <c r="E193" s="118"/>
      <c r="F193" s="118"/>
      <c r="G193" s="138"/>
      <c r="H193" s="26"/>
      <c r="I193" s="155"/>
      <c r="J193" s="200"/>
      <c r="K193" s="155"/>
      <c r="L193" s="155"/>
      <c r="M193" s="155"/>
      <c r="N193" s="155"/>
      <c r="O193" s="155"/>
      <c r="P193" s="155"/>
      <c r="Q193" s="155"/>
      <c r="R193" s="155"/>
      <c r="S193" s="155"/>
      <c r="T193" s="155"/>
      <c r="U193" s="155"/>
      <c r="V193" s="155"/>
      <c r="W193" s="155"/>
      <c r="X193" s="155"/>
      <c r="Y193" s="155"/>
      <c r="Z193" s="155"/>
      <c r="AA193" s="155"/>
    </row>
    <row r="194" ht="22.5" customHeight="1">
      <c r="A194" s="139"/>
      <c r="B194" s="71"/>
      <c r="C194" s="117"/>
      <c r="D194" s="25"/>
      <c r="E194" s="118"/>
      <c r="F194" s="118"/>
      <c r="G194" s="138"/>
      <c r="H194" s="26"/>
      <c r="I194" s="155"/>
      <c r="J194" s="200"/>
      <c r="K194" s="155"/>
      <c r="L194" s="155"/>
      <c r="M194" s="155"/>
      <c r="N194" s="155"/>
      <c r="O194" s="155"/>
      <c r="P194" s="155"/>
      <c r="Q194" s="155"/>
      <c r="R194" s="155"/>
      <c r="S194" s="155"/>
      <c r="T194" s="155"/>
      <c r="U194" s="155"/>
      <c r="V194" s="155"/>
      <c r="W194" s="155"/>
      <c r="X194" s="155"/>
      <c r="Y194" s="155"/>
      <c r="Z194" s="155"/>
      <c r="AA194" s="155"/>
    </row>
    <row r="195" ht="22.5" customHeight="1">
      <c r="A195" s="139"/>
      <c r="B195" s="71"/>
      <c r="C195" s="117"/>
      <c r="D195" s="25"/>
      <c r="E195" s="118"/>
      <c r="F195" s="118"/>
      <c r="G195" s="138"/>
      <c r="H195" s="26"/>
      <c r="I195" s="155"/>
      <c r="J195" s="200"/>
      <c r="K195" s="155"/>
      <c r="L195" s="155"/>
      <c r="M195" s="155"/>
      <c r="N195" s="155"/>
      <c r="O195" s="155"/>
      <c r="P195" s="155"/>
      <c r="Q195" s="155"/>
      <c r="R195" s="155"/>
      <c r="S195" s="155"/>
      <c r="T195" s="155"/>
      <c r="U195" s="155"/>
      <c r="V195" s="155"/>
      <c r="W195" s="155"/>
      <c r="X195" s="155"/>
      <c r="Y195" s="155"/>
      <c r="Z195" s="155"/>
      <c r="AA195" s="155"/>
    </row>
    <row r="196" ht="22.5" customHeight="1">
      <c r="A196" s="139"/>
      <c r="B196" s="71"/>
      <c r="C196" s="117"/>
      <c r="D196" s="25"/>
      <c r="E196" s="118"/>
      <c r="F196" s="118"/>
      <c r="G196" s="138"/>
      <c r="H196" s="26"/>
      <c r="I196" s="155"/>
      <c r="J196" s="200"/>
      <c r="K196" s="155"/>
      <c r="L196" s="155"/>
      <c r="M196" s="155"/>
      <c r="N196" s="155"/>
      <c r="O196" s="155"/>
      <c r="P196" s="155"/>
      <c r="Q196" s="155"/>
      <c r="R196" s="155"/>
      <c r="S196" s="155"/>
      <c r="T196" s="155"/>
      <c r="U196" s="155"/>
      <c r="V196" s="155"/>
      <c r="W196" s="155"/>
      <c r="X196" s="155"/>
      <c r="Y196" s="155"/>
      <c r="Z196" s="155"/>
      <c r="AA196" s="155"/>
    </row>
    <row r="197" ht="22.5" customHeight="1">
      <c r="A197" s="139"/>
      <c r="B197" s="71"/>
      <c r="C197" s="117"/>
      <c r="D197" s="25"/>
      <c r="E197" s="118"/>
      <c r="F197" s="118"/>
      <c r="G197" s="138"/>
      <c r="H197" s="26"/>
      <c r="I197" s="155"/>
      <c r="J197" s="200"/>
      <c r="K197" s="155"/>
      <c r="L197" s="155"/>
      <c r="M197" s="155"/>
      <c r="N197" s="155"/>
      <c r="O197" s="155"/>
      <c r="P197" s="155"/>
      <c r="Q197" s="155"/>
      <c r="R197" s="155"/>
      <c r="S197" s="155"/>
      <c r="T197" s="155"/>
      <c r="U197" s="155"/>
      <c r="V197" s="155"/>
      <c r="W197" s="155"/>
      <c r="X197" s="155"/>
      <c r="Y197" s="155"/>
      <c r="Z197" s="155"/>
      <c r="AA197" s="155"/>
    </row>
    <row r="198" ht="22.5" customHeight="1">
      <c r="A198" s="139"/>
      <c r="B198" s="71"/>
      <c r="C198" s="117"/>
      <c r="D198" s="25"/>
      <c r="E198" s="118"/>
      <c r="F198" s="118"/>
      <c r="G198" s="138"/>
      <c r="H198" s="26"/>
      <c r="I198" s="155"/>
      <c r="J198" s="200"/>
      <c r="K198" s="155"/>
      <c r="L198" s="155"/>
      <c r="M198" s="155"/>
      <c r="N198" s="155"/>
      <c r="O198" s="155"/>
      <c r="P198" s="155"/>
      <c r="Q198" s="155"/>
      <c r="R198" s="155"/>
      <c r="S198" s="155"/>
      <c r="T198" s="155"/>
      <c r="U198" s="155"/>
      <c r="V198" s="155"/>
      <c r="W198" s="155"/>
      <c r="X198" s="155"/>
      <c r="Y198" s="155"/>
      <c r="Z198" s="155"/>
      <c r="AA198" s="155"/>
    </row>
    <row r="199" ht="22.5" customHeight="1">
      <c r="A199" s="139"/>
      <c r="B199" s="71"/>
      <c r="C199" s="117"/>
      <c r="D199" s="25"/>
      <c r="E199" s="118"/>
      <c r="F199" s="118"/>
      <c r="G199" s="138"/>
      <c r="H199" s="26"/>
      <c r="I199" s="155"/>
      <c r="J199" s="200"/>
      <c r="K199" s="155"/>
      <c r="L199" s="155"/>
      <c r="M199" s="155"/>
      <c r="N199" s="155"/>
      <c r="O199" s="155"/>
      <c r="P199" s="155"/>
      <c r="Q199" s="155"/>
      <c r="R199" s="155"/>
      <c r="S199" s="155"/>
      <c r="T199" s="155"/>
      <c r="U199" s="155"/>
      <c r="V199" s="155"/>
      <c r="W199" s="155"/>
      <c r="X199" s="155"/>
      <c r="Y199" s="155"/>
      <c r="Z199" s="155"/>
      <c r="AA199" s="155"/>
    </row>
    <row r="200" ht="22.5" customHeight="1">
      <c r="A200" s="139"/>
      <c r="B200" s="71"/>
      <c r="C200" s="117"/>
      <c r="D200" s="25"/>
      <c r="E200" s="118"/>
      <c r="F200" s="118"/>
      <c r="G200" s="138"/>
      <c r="H200" s="26"/>
      <c r="I200" s="155"/>
      <c r="J200" s="200"/>
      <c r="K200" s="155"/>
      <c r="L200" s="155"/>
      <c r="M200" s="155"/>
      <c r="N200" s="155"/>
      <c r="O200" s="155"/>
      <c r="P200" s="155"/>
      <c r="Q200" s="155"/>
      <c r="R200" s="155"/>
      <c r="S200" s="155"/>
      <c r="T200" s="155"/>
      <c r="U200" s="155"/>
      <c r="V200" s="155"/>
      <c r="W200" s="155"/>
      <c r="X200" s="155"/>
      <c r="Y200" s="155"/>
      <c r="Z200" s="155"/>
      <c r="AA200" s="155"/>
    </row>
    <row r="201" ht="22.5" customHeight="1">
      <c r="A201" s="139"/>
      <c r="B201" s="71"/>
      <c r="C201" s="117"/>
      <c r="D201" s="25"/>
      <c r="E201" s="118"/>
      <c r="F201" s="118"/>
      <c r="G201" s="138"/>
      <c r="H201" s="26"/>
      <c r="I201" s="155"/>
      <c r="J201" s="200"/>
      <c r="K201" s="155"/>
      <c r="L201" s="155"/>
      <c r="M201" s="155"/>
      <c r="N201" s="155"/>
      <c r="O201" s="155"/>
      <c r="P201" s="155"/>
      <c r="Q201" s="155"/>
      <c r="R201" s="155"/>
      <c r="S201" s="155"/>
      <c r="T201" s="155"/>
      <c r="U201" s="155"/>
      <c r="V201" s="155"/>
      <c r="W201" s="155"/>
      <c r="X201" s="155"/>
      <c r="Y201" s="155"/>
      <c r="Z201" s="155"/>
      <c r="AA201" s="155"/>
    </row>
    <row r="202" ht="22.5" customHeight="1">
      <c r="A202" s="139"/>
      <c r="B202" s="71"/>
      <c r="C202" s="117"/>
      <c r="D202" s="25"/>
      <c r="E202" s="118"/>
      <c r="F202" s="118"/>
      <c r="G202" s="138"/>
      <c r="H202" s="26"/>
      <c r="I202" s="155"/>
      <c r="J202" s="200"/>
      <c r="K202" s="155"/>
      <c r="L202" s="155"/>
      <c r="M202" s="155"/>
      <c r="N202" s="155"/>
      <c r="O202" s="155"/>
      <c r="P202" s="155"/>
      <c r="Q202" s="155"/>
      <c r="R202" s="155"/>
      <c r="S202" s="155"/>
      <c r="T202" s="155"/>
      <c r="U202" s="155"/>
      <c r="V202" s="155"/>
      <c r="W202" s="155"/>
      <c r="X202" s="155"/>
      <c r="Y202" s="155"/>
      <c r="Z202" s="155"/>
      <c r="AA202" s="155"/>
    </row>
    <row r="203" ht="22.5" customHeight="1">
      <c r="A203" s="139"/>
      <c r="B203" s="71"/>
      <c r="C203" s="117"/>
      <c r="D203" s="25"/>
      <c r="E203" s="118"/>
      <c r="F203" s="118"/>
      <c r="G203" s="138"/>
      <c r="H203" s="26"/>
      <c r="I203" s="155"/>
      <c r="J203" s="200"/>
      <c r="K203" s="155"/>
      <c r="L203" s="155"/>
      <c r="M203" s="155"/>
      <c r="N203" s="155"/>
      <c r="O203" s="155"/>
      <c r="P203" s="155"/>
      <c r="Q203" s="155"/>
      <c r="R203" s="155"/>
      <c r="S203" s="155"/>
      <c r="T203" s="155"/>
      <c r="U203" s="155"/>
      <c r="V203" s="155"/>
      <c r="W203" s="155"/>
      <c r="X203" s="155"/>
      <c r="Y203" s="155"/>
      <c r="Z203" s="155"/>
      <c r="AA203" s="155"/>
    </row>
    <row r="204" ht="22.5" customHeight="1">
      <c r="A204" s="139"/>
      <c r="B204" s="71"/>
      <c r="C204" s="117"/>
      <c r="D204" s="25"/>
      <c r="E204" s="118"/>
      <c r="F204" s="118"/>
      <c r="G204" s="138"/>
      <c r="H204" s="26"/>
      <c r="I204" s="155"/>
      <c r="J204" s="200"/>
      <c r="K204" s="155"/>
      <c r="L204" s="155"/>
      <c r="M204" s="155"/>
      <c r="N204" s="155"/>
      <c r="O204" s="155"/>
      <c r="P204" s="155"/>
      <c r="Q204" s="155"/>
      <c r="R204" s="155"/>
      <c r="S204" s="155"/>
      <c r="T204" s="155"/>
      <c r="U204" s="155"/>
      <c r="V204" s="155"/>
      <c r="W204" s="155"/>
      <c r="X204" s="155"/>
      <c r="Y204" s="155"/>
      <c r="Z204" s="155"/>
      <c r="AA204" s="155"/>
    </row>
    <row r="205" ht="22.5" customHeight="1">
      <c r="A205" s="139"/>
      <c r="B205" s="71"/>
      <c r="C205" s="117"/>
      <c r="D205" s="25"/>
      <c r="E205" s="118"/>
      <c r="F205" s="118"/>
      <c r="G205" s="138"/>
      <c r="H205" s="26"/>
      <c r="I205" s="155"/>
      <c r="J205" s="200"/>
      <c r="K205" s="155"/>
      <c r="L205" s="155"/>
      <c r="M205" s="155"/>
      <c r="N205" s="155"/>
      <c r="O205" s="155"/>
      <c r="P205" s="155"/>
      <c r="Q205" s="155"/>
      <c r="R205" s="155"/>
      <c r="S205" s="155"/>
      <c r="T205" s="155"/>
      <c r="U205" s="155"/>
      <c r="V205" s="155"/>
      <c r="W205" s="155"/>
      <c r="X205" s="155"/>
      <c r="Y205" s="155"/>
      <c r="Z205" s="155"/>
      <c r="AA205" s="155"/>
    </row>
    <row r="206" ht="22.5" customHeight="1">
      <c r="A206" s="139"/>
      <c r="B206" s="71"/>
      <c r="C206" s="117"/>
      <c r="D206" s="25"/>
      <c r="E206" s="118"/>
      <c r="F206" s="118"/>
      <c r="G206" s="138"/>
      <c r="H206" s="26"/>
      <c r="I206" s="155"/>
      <c r="J206" s="200"/>
      <c r="K206" s="155"/>
      <c r="L206" s="155"/>
      <c r="M206" s="155"/>
      <c r="N206" s="155"/>
      <c r="O206" s="155"/>
      <c r="P206" s="155"/>
      <c r="Q206" s="155"/>
      <c r="R206" s="155"/>
      <c r="S206" s="155"/>
      <c r="T206" s="155"/>
      <c r="U206" s="155"/>
      <c r="V206" s="155"/>
      <c r="W206" s="155"/>
      <c r="X206" s="155"/>
      <c r="Y206" s="155"/>
      <c r="Z206" s="155"/>
      <c r="AA206" s="155"/>
    </row>
    <row r="207" ht="22.5" customHeight="1">
      <c r="A207" s="139"/>
      <c r="B207" s="71"/>
      <c r="C207" s="117"/>
      <c r="D207" s="25"/>
      <c r="E207" s="118"/>
      <c r="F207" s="118"/>
      <c r="G207" s="138"/>
      <c r="H207" s="26"/>
      <c r="I207" s="155"/>
      <c r="J207" s="200"/>
      <c r="K207" s="155"/>
      <c r="L207" s="155"/>
      <c r="M207" s="155"/>
      <c r="N207" s="155"/>
      <c r="O207" s="155"/>
      <c r="P207" s="155"/>
      <c r="Q207" s="155"/>
      <c r="R207" s="155"/>
      <c r="S207" s="155"/>
      <c r="T207" s="155"/>
      <c r="U207" s="155"/>
      <c r="V207" s="155"/>
      <c r="W207" s="155"/>
      <c r="X207" s="155"/>
      <c r="Y207" s="155"/>
      <c r="Z207" s="155"/>
      <c r="AA207" s="155"/>
    </row>
    <row r="208" ht="22.5" customHeight="1">
      <c r="A208" s="139"/>
      <c r="B208" s="71"/>
      <c r="C208" s="117"/>
      <c r="D208" s="25"/>
      <c r="E208" s="118"/>
      <c r="F208" s="118"/>
      <c r="G208" s="138"/>
      <c r="H208" s="26"/>
      <c r="I208" s="155"/>
      <c r="J208" s="200"/>
      <c r="K208" s="155"/>
      <c r="L208" s="155"/>
      <c r="M208" s="155"/>
      <c r="N208" s="155"/>
      <c r="O208" s="155"/>
      <c r="P208" s="155"/>
      <c r="Q208" s="155"/>
      <c r="R208" s="155"/>
      <c r="S208" s="155"/>
      <c r="T208" s="155"/>
      <c r="U208" s="155"/>
      <c r="V208" s="155"/>
      <c r="W208" s="155"/>
      <c r="X208" s="155"/>
      <c r="Y208" s="155"/>
      <c r="Z208" s="155"/>
      <c r="AA208" s="155"/>
    </row>
    <row r="209" ht="22.5" customHeight="1">
      <c r="A209" s="139"/>
      <c r="B209" s="71"/>
      <c r="C209" s="117"/>
      <c r="D209" s="25"/>
      <c r="E209" s="118"/>
      <c r="F209" s="118"/>
      <c r="G209" s="138"/>
      <c r="H209" s="26"/>
      <c r="I209" s="155"/>
      <c r="J209" s="200"/>
      <c r="K209" s="155"/>
      <c r="L209" s="155"/>
      <c r="M209" s="155"/>
      <c r="N209" s="155"/>
      <c r="O209" s="155"/>
      <c r="P209" s="155"/>
      <c r="Q209" s="155"/>
      <c r="R209" s="155"/>
      <c r="S209" s="155"/>
      <c r="T209" s="155"/>
      <c r="U209" s="155"/>
      <c r="V209" s="155"/>
      <c r="W209" s="155"/>
      <c r="X209" s="155"/>
      <c r="Y209" s="155"/>
      <c r="Z209" s="155"/>
      <c r="AA209" s="155"/>
    </row>
    <row r="210" ht="22.5" customHeight="1">
      <c r="A210" s="139"/>
      <c r="B210" s="71"/>
      <c r="C210" s="117"/>
      <c r="D210" s="25"/>
      <c r="E210" s="118"/>
      <c r="F210" s="118"/>
      <c r="G210" s="138"/>
      <c r="H210" s="26"/>
      <c r="I210" s="155"/>
      <c r="J210" s="200"/>
      <c r="K210" s="155"/>
      <c r="L210" s="155"/>
      <c r="M210" s="155"/>
      <c r="N210" s="155"/>
      <c r="O210" s="155"/>
      <c r="P210" s="155"/>
      <c r="Q210" s="155"/>
      <c r="R210" s="155"/>
      <c r="S210" s="155"/>
      <c r="T210" s="155"/>
      <c r="U210" s="155"/>
      <c r="V210" s="155"/>
      <c r="W210" s="155"/>
      <c r="X210" s="155"/>
      <c r="Y210" s="155"/>
      <c r="Z210" s="155"/>
      <c r="AA210" s="155"/>
    </row>
    <row r="211" ht="22.5" customHeight="1">
      <c r="A211" s="139"/>
      <c r="B211" s="71"/>
      <c r="C211" s="117"/>
      <c r="D211" s="25"/>
      <c r="E211" s="118"/>
      <c r="F211" s="118"/>
      <c r="G211" s="138"/>
      <c r="H211" s="26"/>
      <c r="I211" s="155"/>
      <c r="J211" s="200"/>
      <c r="K211" s="155"/>
      <c r="L211" s="155"/>
      <c r="M211" s="155"/>
      <c r="N211" s="155"/>
      <c r="O211" s="155"/>
      <c r="P211" s="155"/>
      <c r="Q211" s="155"/>
      <c r="R211" s="155"/>
      <c r="S211" s="155"/>
      <c r="T211" s="155"/>
      <c r="U211" s="155"/>
      <c r="V211" s="155"/>
      <c r="W211" s="155"/>
      <c r="X211" s="155"/>
      <c r="Y211" s="155"/>
      <c r="Z211" s="155"/>
      <c r="AA211" s="155"/>
    </row>
    <row r="212" ht="22.5" customHeight="1">
      <c r="A212" s="139"/>
      <c r="B212" s="71"/>
      <c r="C212" s="117"/>
      <c r="D212" s="25"/>
      <c r="E212" s="118"/>
      <c r="F212" s="118"/>
      <c r="G212" s="138"/>
      <c r="H212" s="26"/>
      <c r="I212" s="155"/>
      <c r="J212" s="200"/>
      <c r="K212" s="155"/>
      <c r="L212" s="155"/>
      <c r="M212" s="155"/>
      <c r="N212" s="155"/>
      <c r="O212" s="155"/>
      <c r="P212" s="155"/>
      <c r="Q212" s="155"/>
      <c r="R212" s="155"/>
      <c r="S212" s="155"/>
      <c r="T212" s="155"/>
      <c r="U212" s="155"/>
      <c r="V212" s="155"/>
      <c r="W212" s="155"/>
      <c r="X212" s="155"/>
      <c r="Y212" s="155"/>
      <c r="Z212" s="155"/>
      <c r="AA212" s="155"/>
    </row>
    <row r="213" ht="22.5" customHeight="1">
      <c r="A213" s="139"/>
      <c r="B213" s="71"/>
      <c r="C213" s="117"/>
      <c r="D213" s="25"/>
      <c r="E213" s="118"/>
      <c r="F213" s="118"/>
      <c r="G213" s="138"/>
      <c r="H213" s="26"/>
      <c r="I213" s="155"/>
      <c r="J213" s="200"/>
      <c r="K213" s="155"/>
      <c r="L213" s="155"/>
      <c r="M213" s="155"/>
      <c r="N213" s="155"/>
      <c r="O213" s="155"/>
      <c r="P213" s="155"/>
      <c r="Q213" s="155"/>
      <c r="R213" s="155"/>
      <c r="S213" s="155"/>
      <c r="T213" s="155"/>
      <c r="U213" s="155"/>
      <c r="V213" s="155"/>
      <c r="W213" s="155"/>
      <c r="X213" s="155"/>
      <c r="Y213" s="155"/>
      <c r="Z213" s="155"/>
      <c r="AA213" s="155"/>
    </row>
    <row r="214" ht="22.5" customHeight="1">
      <c r="A214" s="139"/>
      <c r="B214" s="71"/>
      <c r="C214" s="117"/>
      <c r="D214" s="25"/>
      <c r="E214" s="118"/>
      <c r="F214" s="118"/>
      <c r="G214" s="138"/>
      <c r="H214" s="26"/>
      <c r="I214" s="155"/>
      <c r="J214" s="200"/>
      <c r="K214" s="155"/>
      <c r="L214" s="155"/>
      <c r="M214" s="155"/>
      <c r="N214" s="155"/>
      <c r="O214" s="155"/>
      <c r="P214" s="155"/>
      <c r="Q214" s="155"/>
      <c r="R214" s="155"/>
      <c r="S214" s="155"/>
      <c r="T214" s="155"/>
      <c r="U214" s="155"/>
      <c r="V214" s="155"/>
      <c r="W214" s="155"/>
      <c r="X214" s="155"/>
      <c r="Y214" s="155"/>
      <c r="Z214" s="155"/>
      <c r="AA214" s="155"/>
    </row>
    <row r="215" ht="22.5" customHeight="1">
      <c r="A215" s="139"/>
      <c r="B215" s="71"/>
      <c r="C215" s="117"/>
      <c r="D215" s="25"/>
      <c r="E215" s="118"/>
      <c r="F215" s="118"/>
      <c r="G215" s="138"/>
      <c r="H215" s="26"/>
      <c r="I215" s="155"/>
      <c r="J215" s="200"/>
      <c r="K215" s="155"/>
      <c r="L215" s="155"/>
      <c r="M215" s="155"/>
      <c r="N215" s="155"/>
      <c r="O215" s="155"/>
      <c r="P215" s="155"/>
      <c r="Q215" s="155"/>
      <c r="R215" s="155"/>
      <c r="S215" s="155"/>
      <c r="T215" s="155"/>
      <c r="U215" s="155"/>
      <c r="V215" s="155"/>
      <c r="W215" s="155"/>
      <c r="X215" s="155"/>
      <c r="Y215" s="155"/>
      <c r="Z215" s="155"/>
      <c r="AA215" s="155"/>
    </row>
    <row r="216" ht="22.5" customHeight="1">
      <c r="A216" s="139"/>
      <c r="B216" s="71"/>
      <c r="C216" s="117"/>
      <c r="D216" s="25"/>
      <c r="E216" s="118"/>
      <c r="F216" s="118"/>
      <c r="G216" s="138"/>
      <c r="H216" s="26"/>
      <c r="I216" s="155"/>
      <c r="J216" s="200"/>
      <c r="K216" s="155"/>
      <c r="L216" s="155"/>
      <c r="M216" s="155"/>
      <c r="N216" s="155"/>
      <c r="O216" s="155"/>
      <c r="P216" s="155"/>
      <c r="Q216" s="155"/>
      <c r="R216" s="155"/>
      <c r="S216" s="155"/>
      <c r="T216" s="155"/>
      <c r="U216" s="155"/>
      <c r="V216" s="155"/>
      <c r="W216" s="155"/>
      <c r="X216" s="155"/>
      <c r="Y216" s="155"/>
      <c r="Z216" s="155"/>
      <c r="AA216" s="155"/>
    </row>
    <row r="217" ht="22.5" customHeight="1">
      <c r="A217" s="139"/>
      <c r="B217" s="71"/>
      <c r="C217" s="117"/>
      <c r="D217" s="25"/>
      <c r="E217" s="118"/>
      <c r="F217" s="118"/>
      <c r="G217" s="138"/>
      <c r="H217" s="26"/>
      <c r="I217" s="155"/>
      <c r="J217" s="200"/>
      <c r="K217" s="155"/>
      <c r="L217" s="155"/>
      <c r="M217" s="155"/>
      <c r="N217" s="155"/>
      <c r="O217" s="155"/>
      <c r="P217" s="155"/>
      <c r="Q217" s="155"/>
      <c r="R217" s="155"/>
      <c r="S217" s="155"/>
      <c r="T217" s="155"/>
      <c r="U217" s="155"/>
      <c r="V217" s="155"/>
      <c r="W217" s="155"/>
      <c r="X217" s="155"/>
      <c r="Y217" s="155"/>
      <c r="Z217" s="155"/>
      <c r="AA217" s="155"/>
    </row>
    <row r="218" ht="22.5" customHeight="1">
      <c r="A218" s="139"/>
      <c r="B218" s="71"/>
      <c r="C218" s="117"/>
      <c r="D218" s="25"/>
      <c r="E218" s="118"/>
      <c r="F218" s="118"/>
      <c r="G218" s="138"/>
      <c r="H218" s="26"/>
      <c r="I218" s="155"/>
      <c r="J218" s="200"/>
      <c r="K218" s="155"/>
      <c r="L218" s="155"/>
      <c r="M218" s="155"/>
      <c r="N218" s="155"/>
      <c r="O218" s="155"/>
      <c r="P218" s="155"/>
      <c r="Q218" s="155"/>
      <c r="R218" s="155"/>
      <c r="S218" s="155"/>
      <c r="T218" s="155"/>
      <c r="U218" s="155"/>
      <c r="V218" s="155"/>
      <c r="W218" s="155"/>
      <c r="X218" s="155"/>
      <c r="Y218" s="155"/>
      <c r="Z218" s="155"/>
      <c r="AA218" s="155"/>
    </row>
    <row r="219" ht="22.5" customHeight="1">
      <c r="A219" s="139"/>
      <c r="B219" s="71"/>
      <c r="C219" s="117"/>
      <c r="D219" s="25"/>
      <c r="E219" s="118"/>
      <c r="F219" s="118"/>
      <c r="G219" s="138"/>
      <c r="H219" s="26"/>
      <c r="I219" s="155"/>
      <c r="J219" s="200"/>
      <c r="K219" s="155"/>
      <c r="L219" s="155"/>
      <c r="M219" s="155"/>
      <c r="N219" s="155"/>
      <c r="O219" s="155"/>
      <c r="P219" s="155"/>
      <c r="Q219" s="155"/>
      <c r="R219" s="155"/>
      <c r="S219" s="155"/>
      <c r="T219" s="155"/>
      <c r="U219" s="155"/>
      <c r="V219" s="155"/>
      <c r="W219" s="155"/>
      <c r="X219" s="155"/>
      <c r="Y219" s="155"/>
      <c r="Z219" s="155"/>
      <c r="AA219" s="155"/>
    </row>
    <row r="220" ht="22.5" customHeight="1">
      <c r="A220" s="139"/>
      <c r="B220" s="71"/>
      <c r="C220" s="117"/>
      <c r="D220" s="25"/>
      <c r="E220" s="118"/>
      <c r="F220" s="118"/>
      <c r="G220" s="138"/>
      <c r="H220" s="26"/>
      <c r="I220" s="155"/>
      <c r="J220" s="200"/>
      <c r="K220" s="155"/>
      <c r="L220" s="155"/>
      <c r="M220" s="155"/>
      <c r="N220" s="155"/>
      <c r="O220" s="155"/>
      <c r="P220" s="155"/>
      <c r="Q220" s="155"/>
      <c r="R220" s="155"/>
      <c r="S220" s="155"/>
      <c r="T220" s="155"/>
      <c r="U220" s="155"/>
      <c r="V220" s="155"/>
      <c r="W220" s="155"/>
      <c r="X220" s="155"/>
      <c r="Y220" s="155"/>
      <c r="Z220" s="155"/>
      <c r="AA220" s="155"/>
    </row>
    <row r="221" ht="22.5" customHeight="1">
      <c r="A221" s="139"/>
      <c r="B221" s="71"/>
      <c r="C221" s="117"/>
      <c r="D221" s="25"/>
      <c r="E221" s="118"/>
      <c r="F221" s="118"/>
      <c r="G221" s="138"/>
      <c r="H221" s="26"/>
      <c r="I221" s="155"/>
      <c r="J221" s="200"/>
      <c r="K221" s="155"/>
      <c r="L221" s="155"/>
      <c r="M221" s="155"/>
      <c r="N221" s="155"/>
      <c r="O221" s="155"/>
      <c r="P221" s="155"/>
      <c r="Q221" s="155"/>
      <c r="R221" s="155"/>
      <c r="S221" s="155"/>
      <c r="T221" s="155"/>
      <c r="U221" s="155"/>
      <c r="V221" s="155"/>
      <c r="W221" s="155"/>
      <c r="X221" s="155"/>
      <c r="Y221" s="155"/>
      <c r="Z221" s="155"/>
      <c r="AA221" s="155"/>
    </row>
    <row r="222" ht="22.5" customHeight="1">
      <c r="A222" s="139"/>
      <c r="B222" s="71"/>
      <c r="C222" s="117"/>
      <c r="D222" s="25"/>
      <c r="E222" s="118"/>
      <c r="F222" s="118"/>
      <c r="G222" s="138"/>
      <c r="H222" s="26"/>
      <c r="I222" s="155"/>
      <c r="J222" s="200"/>
      <c r="K222" s="155"/>
      <c r="L222" s="155"/>
      <c r="M222" s="155"/>
      <c r="N222" s="155"/>
      <c r="O222" s="155"/>
      <c r="P222" s="155"/>
      <c r="Q222" s="155"/>
      <c r="R222" s="155"/>
      <c r="S222" s="155"/>
      <c r="T222" s="155"/>
      <c r="U222" s="155"/>
      <c r="V222" s="155"/>
      <c r="W222" s="155"/>
      <c r="X222" s="155"/>
      <c r="Y222" s="155"/>
      <c r="Z222" s="155"/>
      <c r="AA222" s="155"/>
    </row>
    <row r="223" ht="22.5" customHeight="1">
      <c r="A223" s="139"/>
      <c r="B223" s="71"/>
      <c r="C223" s="117"/>
      <c r="D223" s="25"/>
      <c r="E223" s="118"/>
      <c r="F223" s="118"/>
      <c r="G223" s="138"/>
      <c r="H223" s="26"/>
      <c r="I223" s="155"/>
      <c r="J223" s="200"/>
      <c r="K223" s="155"/>
      <c r="L223" s="155"/>
      <c r="M223" s="155"/>
      <c r="N223" s="155"/>
      <c r="O223" s="155"/>
      <c r="P223" s="155"/>
      <c r="Q223" s="155"/>
      <c r="R223" s="155"/>
      <c r="S223" s="155"/>
      <c r="T223" s="155"/>
      <c r="U223" s="155"/>
      <c r="V223" s="155"/>
      <c r="W223" s="155"/>
      <c r="X223" s="155"/>
      <c r="Y223" s="155"/>
      <c r="Z223" s="155"/>
      <c r="AA223" s="155"/>
    </row>
    <row r="224" ht="22.5" customHeight="1">
      <c r="A224" s="139"/>
      <c r="B224" s="71"/>
      <c r="C224" s="117"/>
      <c r="D224" s="25"/>
      <c r="E224" s="118"/>
      <c r="F224" s="118"/>
      <c r="G224" s="138"/>
      <c r="H224" s="26"/>
      <c r="I224" s="155"/>
      <c r="J224" s="200"/>
      <c r="K224" s="155"/>
      <c r="L224" s="155"/>
      <c r="M224" s="155"/>
      <c r="N224" s="155"/>
      <c r="O224" s="155"/>
      <c r="P224" s="155"/>
      <c r="Q224" s="155"/>
      <c r="R224" s="155"/>
      <c r="S224" s="155"/>
      <c r="T224" s="155"/>
      <c r="U224" s="155"/>
      <c r="V224" s="155"/>
      <c r="W224" s="155"/>
      <c r="X224" s="155"/>
      <c r="Y224" s="155"/>
      <c r="Z224" s="155"/>
      <c r="AA224" s="155"/>
    </row>
    <row r="225" ht="22.5" customHeight="1">
      <c r="A225" s="139"/>
      <c r="B225" s="71"/>
      <c r="C225" s="117"/>
      <c r="D225" s="25"/>
      <c r="E225" s="118"/>
      <c r="F225" s="118"/>
      <c r="G225" s="138"/>
      <c r="H225" s="26"/>
      <c r="I225" s="155"/>
      <c r="J225" s="200"/>
      <c r="K225" s="155"/>
      <c r="L225" s="155"/>
      <c r="M225" s="155"/>
      <c r="N225" s="155"/>
      <c r="O225" s="155"/>
      <c r="P225" s="155"/>
      <c r="Q225" s="155"/>
      <c r="R225" s="155"/>
      <c r="S225" s="155"/>
      <c r="T225" s="155"/>
      <c r="U225" s="155"/>
      <c r="V225" s="155"/>
      <c r="W225" s="155"/>
      <c r="X225" s="155"/>
      <c r="Y225" s="155"/>
      <c r="Z225" s="155"/>
      <c r="AA225" s="155"/>
    </row>
    <row r="226" ht="22.5" customHeight="1">
      <c r="A226" s="139"/>
      <c r="B226" s="71"/>
      <c r="C226" s="117"/>
      <c r="D226" s="25"/>
      <c r="E226" s="118"/>
      <c r="F226" s="118"/>
      <c r="G226" s="138"/>
      <c r="H226" s="26"/>
      <c r="I226" s="155"/>
      <c r="J226" s="200"/>
      <c r="K226" s="155"/>
      <c r="L226" s="155"/>
      <c r="M226" s="155"/>
      <c r="N226" s="155"/>
      <c r="O226" s="155"/>
      <c r="P226" s="155"/>
      <c r="Q226" s="155"/>
      <c r="R226" s="155"/>
      <c r="S226" s="155"/>
      <c r="T226" s="155"/>
      <c r="U226" s="155"/>
      <c r="V226" s="155"/>
      <c r="W226" s="155"/>
      <c r="X226" s="155"/>
      <c r="Y226" s="155"/>
      <c r="Z226" s="155"/>
      <c r="AA226" s="155"/>
    </row>
    <row r="227" ht="22.5" customHeight="1">
      <c r="A227" s="139"/>
      <c r="B227" s="71"/>
      <c r="C227" s="117"/>
      <c r="D227" s="25"/>
      <c r="E227" s="118"/>
      <c r="F227" s="118"/>
      <c r="G227" s="138"/>
      <c r="H227" s="26"/>
      <c r="I227" s="155"/>
      <c r="J227" s="200"/>
      <c r="K227" s="155"/>
      <c r="L227" s="155"/>
      <c r="M227" s="155"/>
      <c r="N227" s="155"/>
      <c r="O227" s="155"/>
      <c r="P227" s="155"/>
      <c r="Q227" s="155"/>
      <c r="R227" s="155"/>
      <c r="S227" s="155"/>
      <c r="T227" s="155"/>
      <c r="U227" s="155"/>
      <c r="V227" s="155"/>
      <c r="W227" s="155"/>
      <c r="X227" s="155"/>
      <c r="Y227" s="155"/>
      <c r="Z227" s="155"/>
      <c r="AA227" s="155"/>
    </row>
    <row r="228" ht="22.5" customHeight="1">
      <c r="A228" s="139"/>
      <c r="B228" s="71"/>
      <c r="C228" s="117"/>
      <c r="D228" s="25"/>
      <c r="E228" s="118"/>
      <c r="F228" s="118"/>
      <c r="G228" s="138"/>
      <c r="H228" s="26"/>
      <c r="I228" s="155"/>
      <c r="J228" s="200"/>
      <c r="K228" s="155"/>
      <c r="L228" s="155"/>
      <c r="M228" s="155"/>
      <c r="N228" s="155"/>
      <c r="O228" s="155"/>
      <c r="P228" s="155"/>
      <c r="Q228" s="155"/>
      <c r="R228" s="155"/>
      <c r="S228" s="155"/>
      <c r="T228" s="155"/>
      <c r="U228" s="155"/>
      <c r="V228" s="155"/>
      <c r="W228" s="155"/>
      <c r="X228" s="155"/>
      <c r="Y228" s="155"/>
      <c r="Z228" s="155"/>
      <c r="AA228" s="155"/>
    </row>
    <row r="229" ht="22.5" customHeight="1">
      <c r="A229" s="139"/>
      <c r="B229" s="71"/>
      <c r="C229" s="117"/>
      <c r="D229" s="25"/>
      <c r="E229" s="118"/>
      <c r="F229" s="118"/>
      <c r="G229" s="138"/>
      <c r="H229" s="26"/>
      <c r="I229" s="155"/>
      <c r="J229" s="200"/>
      <c r="K229" s="155"/>
      <c r="L229" s="155"/>
      <c r="M229" s="155"/>
      <c r="N229" s="155"/>
      <c r="O229" s="155"/>
      <c r="P229" s="155"/>
      <c r="Q229" s="155"/>
      <c r="R229" s="155"/>
      <c r="S229" s="155"/>
      <c r="T229" s="155"/>
      <c r="U229" s="155"/>
      <c r="V229" s="155"/>
      <c r="W229" s="155"/>
      <c r="X229" s="155"/>
      <c r="Y229" s="155"/>
      <c r="Z229" s="155"/>
      <c r="AA229" s="155"/>
    </row>
    <row r="230" ht="22.5" customHeight="1">
      <c r="A230" s="139"/>
      <c r="B230" s="71"/>
      <c r="C230" s="117"/>
      <c r="D230" s="25"/>
      <c r="E230" s="118"/>
      <c r="F230" s="118"/>
      <c r="G230" s="138"/>
      <c r="H230" s="26"/>
      <c r="I230" s="155"/>
      <c r="J230" s="200"/>
      <c r="K230" s="155"/>
      <c r="L230" s="155"/>
      <c r="M230" s="155"/>
      <c r="N230" s="155"/>
      <c r="O230" s="155"/>
      <c r="P230" s="155"/>
      <c r="Q230" s="155"/>
      <c r="R230" s="155"/>
      <c r="S230" s="155"/>
      <c r="T230" s="155"/>
      <c r="U230" s="155"/>
      <c r="V230" s="155"/>
      <c r="W230" s="155"/>
      <c r="X230" s="155"/>
      <c r="Y230" s="155"/>
      <c r="Z230" s="155"/>
      <c r="AA230" s="155"/>
    </row>
    <row r="231" ht="22.5" customHeight="1">
      <c r="A231" s="139"/>
      <c r="B231" s="71"/>
      <c r="C231" s="117"/>
      <c r="D231" s="25"/>
      <c r="E231" s="118"/>
      <c r="F231" s="118"/>
      <c r="G231" s="138"/>
      <c r="H231" s="26"/>
      <c r="I231" s="155"/>
      <c r="J231" s="200"/>
      <c r="K231" s="155"/>
      <c r="L231" s="155"/>
      <c r="M231" s="155"/>
      <c r="N231" s="155"/>
      <c r="O231" s="155"/>
      <c r="P231" s="155"/>
      <c r="Q231" s="155"/>
      <c r="R231" s="155"/>
      <c r="S231" s="155"/>
      <c r="T231" s="155"/>
      <c r="U231" s="155"/>
      <c r="V231" s="155"/>
      <c r="W231" s="155"/>
      <c r="X231" s="155"/>
      <c r="Y231" s="155"/>
      <c r="Z231" s="155"/>
      <c r="AA231" s="155"/>
    </row>
    <row r="232" ht="22.5" customHeight="1">
      <c r="A232" s="139"/>
      <c r="B232" s="71"/>
      <c r="C232" s="117"/>
      <c r="D232" s="25"/>
      <c r="E232" s="118"/>
      <c r="F232" s="118"/>
      <c r="G232" s="138"/>
      <c r="H232" s="26"/>
      <c r="I232" s="155"/>
      <c r="J232" s="200"/>
      <c r="K232" s="155"/>
      <c r="L232" s="155"/>
      <c r="M232" s="155"/>
      <c r="N232" s="155"/>
      <c r="O232" s="155"/>
      <c r="P232" s="155"/>
      <c r="Q232" s="155"/>
      <c r="R232" s="155"/>
      <c r="S232" s="155"/>
      <c r="T232" s="155"/>
      <c r="U232" s="155"/>
      <c r="V232" s="155"/>
      <c r="W232" s="155"/>
      <c r="X232" s="155"/>
      <c r="Y232" s="155"/>
      <c r="Z232" s="155"/>
      <c r="AA232" s="155"/>
    </row>
    <row r="233" ht="22.5" customHeight="1">
      <c r="A233" s="139"/>
      <c r="B233" s="71"/>
      <c r="C233" s="117"/>
      <c r="D233" s="25"/>
      <c r="E233" s="118"/>
      <c r="F233" s="118"/>
      <c r="G233" s="138"/>
      <c r="H233" s="26"/>
      <c r="I233" s="155"/>
      <c r="J233" s="200"/>
      <c r="K233" s="155"/>
      <c r="L233" s="155"/>
      <c r="M233" s="155"/>
      <c r="N233" s="155"/>
      <c r="O233" s="155"/>
      <c r="P233" s="155"/>
      <c r="Q233" s="155"/>
      <c r="R233" s="155"/>
      <c r="S233" s="155"/>
      <c r="T233" s="155"/>
      <c r="U233" s="155"/>
      <c r="V233" s="155"/>
      <c r="W233" s="155"/>
      <c r="X233" s="155"/>
      <c r="Y233" s="155"/>
      <c r="Z233" s="155"/>
      <c r="AA233" s="155"/>
    </row>
    <row r="234" ht="22.5" customHeight="1">
      <c r="A234" s="139"/>
      <c r="B234" s="71"/>
      <c r="C234" s="117"/>
      <c r="D234" s="25"/>
      <c r="E234" s="118"/>
      <c r="F234" s="118"/>
      <c r="G234" s="138"/>
      <c r="H234" s="26"/>
      <c r="I234" s="155"/>
      <c r="J234" s="200"/>
      <c r="K234" s="155"/>
      <c r="L234" s="155"/>
      <c r="M234" s="155"/>
      <c r="N234" s="155"/>
      <c r="O234" s="155"/>
      <c r="P234" s="155"/>
      <c r="Q234" s="155"/>
      <c r="R234" s="155"/>
      <c r="S234" s="155"/>
      <c r="T234" s="155"/>
      <c r="U234" s="155"/>
      <c r="V234" s="155"/>
      <c r="W234" s="155"/>
      <c r="X234" s="155"/>
      <c r="Y234" s="155"/>
      <c r="Z234" s="155"/>
      <c r="AA234" s="155"/>
    </row>
    <row r="235" ht="22.5" customHeight="1">
      <c r="A235" s="139"/>
      <c r="B235" s="71"/>
      <c r="C235" s="117"/>
      <c r="D235" s="25"/>
      <c r="E235" s="118"/>
      <c r="F235" s="118"/>
      <c r="G235" s="138"/>
      <c r="H235" s="26"/>
      <c r="I235" s="155"/>
      <c r="J235" s="200"/>
      <c r="K235" s="155"/>
      <c r="L235" s="155"/>
      <c r="M235" s="155"/>
      <c r="N235" s="155"/>
      <c r="O235" s="155"/>
      <c r="P235" s="155"/>
      <c r="Q235" s="155"/>
      <c r="R235" s="155"/>
      <c r="S235" s="155"/>
      <c r="T235" s="155"/>
      <c r="U235" s="155"/>
      <c r="V235" s="155"/>
      <c r="W235" s="155"/>
      <c r="X235" s="155"/>
      <c r="Y235" s="155"/>
      <c r="Z235" s="155"/>
      <c r="AA235" s="155"/>
    </row>
    <row r="236" ht="22.5" customHeight="1">
      <c r="A236" s="139"/>
      <c r="B236" s="71"/>
      <c r="C236" s="117"/>
      <c r="D236" s="25"/>
      <c r="E236" s="118"/>
      <c r="F236" s="118"/>
      <c r="G236" s="138"/>
      <c r="H236" s="26"/>
      <c r="I236" s="155"/>
      <c r="J236" s="200"/>
      <c r="K236" s="155"/>
      <c r="L236" s="155"/>
      <c r="M236" s="155"/>
      <c r="N236" s="155"/>
      <c r="O236" s="155"/>
      <c r="P236" s="155"/>
      <c r="Q236" s="155"/>
      <c r="R236" s="155"/>
      <c r="S236" s="155"/>
      <c r="T236" s="155"/>
      <c r="U236" s="155"/>
      <c r="V236" s="155"/>
      <c r="W236" s="155"/>
      <c r="X236" s="155"/>
      <c r="Y236" s="155"/>
      <c r="Z236" s="155"/>
      <c r="AA236" s="155"/>
    </row>
    <row r="237" ht="22.5" customHeight="1">
      <c r="A237" s="139"/>
      <c r="B237" s="71"/>
      <c r="C237" s="117"/>
      <c r="D237" s="25"/>
      <c r="E237" s="118"/>
      <c r="F237" s="118"/>
      <c r="G237" s="138"/>
      <c r="H237" s="26"/>
      <c r="I237" s="155"/>
      <c r="J237" s="200"/>
      <c r="K237" s="155"/>
      <c r="L237" s="155"/>
      <c r="M237" s="155"/>
      <c r="N237" s="155"/>
      <c r="O237" s="155"/>
      <c r="P237" s="155"/>
      <c r="Q237" s="155"/>
      <c r="R237" s="155"/>
      <c r="S237" s="155"/>
      <c r="T237" s="155"/>
      <c r="U237" s="155"/>
      <c r="V237" s="155"/>
      <c r="W237" s="155"/>
      <c r="X237" s="155"/>
      <c r="Y237" s="155"/>
      <c r="Z237" s="155"/>
      <c r="AA237" s="155"/>
    </row>
    <row r="238" ht="22.5" customHeight="1">
      <c r="A238" s="139"/>
      <c r="B238" s="71"/>
      <c r="C238" s="117"/>
      <c r="D238" s="25"/>
      <c r="E238" s="118"/>
      <c r="F238" s="118"/>
      <c r="G238" s="138"/>
      <c r="H238" s="26"/>
      <c r="I238" s="155"/>
      <c r="J238" s="200"/>
      <c r="K238" s="155"/>
      <c r="L238" s="155"/>
      <c r="M238" s="155"/>
      <c r="N238" s="155"/>
      <c r="O238" s="155"/>
      <c r="P238" s="155"/>
      <c r="Q238" s="155"/>
      <c r="R238" s="155"/>
      <c r="S238" s="155"/>
      <c r="T238" s="155"/>
      <c r="U238" s="155"/>
      <c r="V238" s="155"/>
      <c r="W238" s="155"/>
      <c r="X238" s="155"/>
      <c r="Y238" s="155"/>
      <c r="Z238" s="155"/>
      <c r="AA238" s="155"/>
    </row>
    <row r="239" ht="22.5" customHeight="1">
      <c r="A239" s="139"/>
      <c r="B239" s="71"/>
      <c r="C239" s="117"/>
      <c r="D239" s="25"/>
      <c r="E239" s="118"/>
      <c r="F239" s="118"/>
      <c r="G239" s="138"/>
      <c r="H239" s="26"/>
      <c r="I239" s="155"/>
      <c r="J239" s="200"/>
      <c r="K239" s="155"/>
      <c r="L239" s="155"/>
      <c r="M239" s="155"/>
      <c r="N239" s="155"/>
      <c r="O239" s="155"/>
      <c r="P239" s="155"/>
      <c r="Q239" s="155"/>
      <c r="R239" s="155"/>
      <c r="S239" s="155"/>
      <c r="T239" s="155"/>
      <c r="U239" s="155"/>
      <c r="V239" s="155"/>
      <c r="W239" s="155"/>
      <c r="X239" s="155"/>
      <c r="Y239" s="155"/>
      <c r="Z239" s="155"/>
      <c r="AA239" s="155"/>
    </row>
    <row r="240" ht="22.5" customHeight="1">
      <c r="A240" s="139"/>
      <c r="B240" s="71"/>
      <c r="C240" s="117"/>
      <c r="D240" s="25"/>
      <c r="E240" s="118"/>
      <c r="F240" s="118"/>
      <c r="G240" s="138"/>
      <c r="H240" s="26"/>
      <c r="I240" s="155"/>
      <c r="J240" s="200"/>
      <c r="K240" s="155"/>
      <c r="L240" s="155"/>
      <c r="M240" s="155"/>
      <c r="N240" s="155"/>
      <c r="O240" s="155"/>
      <c r="P240" s="155"/>
      <c r="Q240" s="155"/>
      <c r="R240" s="155"/>
      <c r="S240" s="155"/>
      <c r="T240" s="155"/>
      <c r="U240" s="155"/>
      <c r="V240" s="155"/>
      <c r="W240" s="155"/>
      <c r="X240" s="155"/>
      <c r="Y240" s="155"/>
      <c r="Z240" s="155"/>
      <c r="AA240" s="155"/>
    </row>
    <row r="241" ht="22.5" customHeight="1">
      <c r="A241" s="139"/>
      <c r="B241" s="71"/>
      <c r="C241" s="117"/>
      <c r="D241" s="25"/>
      <c r="E241" s="118"/>
      <c r="F241" s="118"/>
      <c r="G241" s="138"/>
      <c r="H241" s="26"/>
      <c r="I241" s="155"/>
      <c r="J241" s="200"/>
      <c r="K241" s="155"/>
      <c r="L241" s="155"/>
      <c r="M241" s="155"/>
      <c r="N241" s="155"/>
      <c r="O241" s="155"/>
      <c r="P241" s="155"/>
      <c r="Q241" s="155"/>
      <c r="R241" s="155"/>
      <c r="S241" s="155"/>
      <c r="T241" s="155"/>
      <c r="U241" s="155"/>
      <c r="V241" s="155"/>
      <c r="W241" s="155"/>
      <c r="X241" s="155"/>
      <c r="Y241" s="155"/>
      <c r="Z241" s="155"/>
      <c r="AA241" s="155"/>
    </row>
    <row r="242" ht="22.5" customHeight="1">
      <c r="A242" s="139"/>
      <c r="B242" s="71"/>
      <c r="C242" s="117"/>
      <c r="D242" s="25"/>
      <c r="E242" s="118"/>
      <c r="F242" s="118"/>
      <c r="G242" s="138"/>
      <c r="H242" s="26"/>
      <c r="I242" s="155"/>
      <c r="J242" s="200"/>
      <c r="K242" s="155"/>
      <c r="L242" s="155"/>
      <c r="M242" s="155"/>
      <c r="N242" s="155"/>
      <c r="O242" s="155"/>
      <c r="P242" s="155"/>
      <c r="Q242" s="155"/>
      <c r="R242" s="155"/>
      <c r="S242" s="155"/>
      <c r="T242" s="155"/>
      <c r="U242" s="155"/>
      <c r="V242" s="155"/>
      <c r="W242" s="155"/>
      <c r="X242" s="155"/>
      <c r="Y242" s="155"/>
      <c r="Z242" s="155"/>
      <c r="AA242" s="155"/>
    </row>
    <row r="243" ht="22.5" customHeight="1">
      <c r="A243" s="139"/>
      <c r="B243" s="71"/>
      <c r="C243" s="117"/>
      <c r="D243" s="25"/>
      <c r="E243" s="118"/>
      <c r="F243" s="118"/>
      <c r="G243" s="138"/>
      <c r="H243" s="26"/>
      <c r="I243" s="155"/>
      <c r="J243" s="200"/>
      <c r="K243" s="155"/>
      <c r="L243" s="155"/>
      <c r="M243" s="155"/>
      <c r="N243" s="155"/>
      <c r="O243" s="155"/>
      <c r="P243" s="155"/>
      <c r="Q243" s="155"/>
      <c r="R243" s="155"/>
      <c r="S243" s="155"/>
      <c r="T243" s="155"/>
      <c r="U243" s="155"/>
      <c r="V243" s="155"/>
      <c r="W243" s="155"/>
      <c r="X243" s="155"/>
      <c r="Y243" s="155"/>
      <c r="Z243" s="155"/>
      <c r="AA243" s="155"/>
    </row>
    <row r="244" ht="22.5" customHeight="1">
      <c r="A244" s="139"/>
      <c r="B244" s="71"/>
      <c r="C244" s="117"/>
      <c r="D244" s="25"/>
      <c r="E244" s="118"/>
      <c r="F244" s="118"/>
      <c r="G244" s="138"/>
      <c r="H244" s="26"/>
      <c r="I244" s="155"/>
      <c r="J244" s="200"/>
      <c r="K244" s="155"/>
      <c r="L244" s="155"/>
      <c r="M244" s="155"/>
      <c r="N244" s="155"/>
      <c r="O244" s="155"/>
      <c r="P244" s="155"/>
      <c r="Q244" s="155"/>
      <c r="R244" s="155"/>
      <c r="S244" s="155"/>
      <c r="T244" s="155"/>
      <c r="U244" s="155"/>
      <c r="V244" s="155"/>
      <c r="W244" s="155"/>
      <c r="X244" s="155"/>
      <c r="Y244" s="155"/>
      <c r="Z244" s="155"/>
      <c r="AA244" s="155"/>
    </row>
    <row r="245" ht="22.5" customHeight="1">
      <c r="A245" s="139"/>
      <c r="B245" s="71"/>
      <c r="C245" s="117"/>
      <c r="D245" s="25"/>
      <c r="E245" s="118"/>
      <c r="F245" s="118"/>
      <c r="G245" s="138"/>
      <c r="H245" s="26"/>
      <c r="I245" s="155"/>
      <c r="J245" s="200"/>
      <c r="K245" s="155"/>
      <c r="L245" s="155"/>
      <c r="M245" s="155"/>
      <c r="N245" s="155"/>
      <c r="O245" s="155"/>
      <c r="P245" s="155"/>
      <c r="Q245" s="155"/>
      <c r="R245" s="155"/>
      <c r="S245" s="155"/>
      <c r="T245" s="155"/>
      <c r="U245" s="155"/>
      <c r="V245" s="155"/>
      <c r="W245" s="155"/>
      <c r="X245" s="155"/>
      <c r="Y245" s="155"/>
      <c r="Z245" s="155"/>
      <c r="AA245" s="155"/>
    </row>
    <row r="246" ht="22.5" customHeight="1">
      <c r="A246" s="139"/>
      <c r="B246" s="71"/>
      <c r="C246" s="117"/>
      <c r="D246" s="25"/>
      <c r="E246" s="118"/>
      <c r="F246" s="118"/>
      <c r="G246" s="138"/>
      <c r="H246" s="26"/>
      <c r="I246" s="155"/>
      <c r="J246" s="200"/>
      <c r="K246" s="155"/>
      <c r="L246" s="155"/>
      <c r="M246" s="155"/>
      <c r="N246" s="155"/>
      <c r="O246" s="155"/>
      <c r="P246" s="155"/>
      <c r="Q246" s="155"/>
      <c r="R246" s="155"/>
      <c r="S246" s="155"/>
      <c r="T246" s="155"/>
      <c r="U246" s="155"/>
      <c r="V246" s="155"/>
      <c r="W246" s="155"/>
      <c r="X246" s="155"/>
      <c r="Y246" s="155"/>
      <c r="Z246" s="155"/>
      <c r="AA246" s="155"/>
    </row>
    <row r="247" ht="22.5" customHeight="1">
      <c r="A247" s="139"/>
      <c r="B247" s="71"/>
      <c r="C247" s="117"/>
      <c r="D247" s="25"/>
      <c r="E247" s="118"/>
      <c r="F247" s="118"/>
      <c r="G247" s="138"/>
      <c r="H247" s="26"/>
      <c r="I247" s="155"/>
      <c r="J247" s="200"/>
      <c r="K247" s="155"/>
      <c r="L247" s="155"/>
      <c r="M247" s="155"/>
      <c r="N247" s="155"/>
      <c r="O247" s="155"/>
      <c r="P247" s="155"/>
      <c r="Q247" s="155"/>
      <c r="R247" s="155"/>
      <c r="S247" s="155"/>
      <c r="T247" s="155"/>
      <c r="U247" s="155"/>
      <c r="V247" s="155"/>
      <c r="W247" s="155"/>
      <c r="X247" s="155"/>
      <c r="Y247" s="155"/>
      <c r="Z247" s="155"/>
      <c r="AA247" s="155"/>
    </row>
    <row r="248" ht="22.5" customHeight="1">
      <c r="A248" s="139"/>
      <c r="B248" s="71"/>
      <c r="C248" s="117"/>
      <c r="D248" s="25"/>
      <c r="E248" s="118"/>
      <c r="F248" s="118"/>
      <c r="G248" s="138"/>
      <c r="H248" s="26"/>
      <c r="I248" s="155"/>
      <c r="J248" s="200"/>
      <c r="K248" s="155"/>
      <c r="L248" s="155"/>
      <c r="M248" s="155"/>
      <c r="N248" s="155"/>
      <c r="O248" s="155"/>
      <c r="P248" s="155"/>
      <c r="Q248" s="155"/>
      <c r="R248" s="155"/>
      <c r="S248" s="155"/>
      <c r="T248" s="155"/>
      <c r="U248" s="155"/>
      <c r="V248" s="155"/>
      <c r="W248" s="155"/>
      <c r="X248" s="155"/>
      <c r="Y248" s="155"/>
      <c r="Z248" s="155"/>
      <c r="AA248" s="155"/>
    </row>
    <row r="249" ht="22.5" customHeight="1">
      <c r="A249" s="139"/>
      <c r="B249" s="71"/>
      <c r="C249" s="117"/>
      <c r="D249" s="25"/>
      <c r="E249" s="118"/>
      <c r="F249" s="118"/>
      <c r="G249" s="138"/>
      <c r="H249" s="26"/>
      <c r="I249" s="155"/>
      <c r="J249" s="200"/>
      <c r="K249" s="155"/>
      <c r="L249" s="155"/>
      <c r="M249" s="155"/>
      <c r="N249" s="155"/>
      <c r="O249" s="155"/>
      <c r="P249" s="155"/>
      <c r="Q249" s="155"/>
      <c r="R249" s="155"/>
      <c r="S249" s="155"/>
      <c r="T249" s="155"/>
      <c r="U249" s="155"/>
      <c r="V249" s="155"/>
      <c r="W249" s="155"/>
      <c r="X249" s="155"/>
      <c r="Y249" s="155"/>
      <c r="Z249" s="155"/>
      <c r="AA249" s="155"/>
    </row>
    <row r="250" ht="22.5" customHeight="1">
      <c r="A250" s="139"/>
      <c r="B250" s="71"/>
      <c r="C250" s="117"/>
      <c r="D250" s="25"/>
      <c r="E250" s="118"/>
      <c r="F250" s="118"/>
      <c r="G250" s="138"/>
      <c r="H250" s="26"/>
      <c r="I250" s="155"/>
      <c r="J250" s="200"/>
      <c r="K250" s="155"/>
      <c r="L250" s="155"/>
      <c r="M250" s="155"/>
      <c r="N250" s="155"/>
      <c r="O250" s="155"/>
      <c r="P250" s="155"/>
      <c r="Q250" s="155"/>
      <c r="R250" s="155"/>
      <c r="S250" s="155"/>
      <c r="T250" s="155"/>
      <c r="U250" s="155"/>
      <c r="V250" s="155"/>
      <c r="W250" s="155"/>
      <c r="X250" s="155"/>
      <c r="Y250" s="155"/>
      <c r="Z250" s="155"/>
      <c r="AA250" s="155"/>
    </row>
    <row r="251" ht="22.5" customHeight="1">
      <c r="A251" s="139"/>
      <c r="B251" s="71"/>
      <c r="C251" s="117"/>
      <c r="D251" s="25"/>
      <c r="E251" s="118"/>
      <c r="F251" s="118"/>
      <c r="G251" s="138"/>
      <c r="H251" s="26"/>
      <c r="I251" s="155"/>
      <c r="J251" s="200"/>
      <c r="K251" s="155"/>
      <c r="L251" s="155"/>
      <c r="M251" s="155"/>
      <c r="N251" s="155"/>
      <c r="O251" s="155"/>
      <c r="P251" s="155"/>
      <c r="Q251" s="155"/>
      <c r="R251" s="155"/>
      <c r="S251" s="155"/>
      <c r="T251" s="155"/>
      <c r="U251" s="155"/>
      <c r="V251" s="155"/>
      <c r="W251" s="155"/>
      <c r="X251" s="155"/>
      <c r="Y251" s="155"/>
      <c r="Z251" s="155"/>
      <c r="AA251" s="155"/>
    </row>
    <row r="252" ht="22.5" customHeight="1">
      <c r="A252" s="139"/>
      <c r="B252" s="71"/>
      <c r="C252" s="117"/>
      <c r="D252" s="25"/>
      <c r="E252" s="118"/>
      <c r="F252" s="118"/>
      <c r="G252" s="138"/>
      <c r="H252" s="26"/>
      <c r="I252" s="155"/>
      <c r="J252" s="200"/>
      <c r="K252" s="155"/>
      <c r="L252" s="155"/>
      <c r="M252" s="155"/>
      <c r="N252" s="155"/>
      <c r="O252" s="155"/>
      <c r="P252" s="155"/>
      <c r="Q252" s="155"/>
      <c r="R252" s="155"/>
      <c r="S252" s="155"/>
      <c r="T252" s="155"/>
      <c r="U252" s="155"/>
      <c r="V252" s="155"/>
      <c r="W252" s="155"/>
      <c r="X252" s="155"/>
      <c r="Y252" s="155"/>
      <c r="Z252" s="155"/>
      <c r="AA252" s="155"/>
    </row>
    <row r="253" ht="22.5" customHeight="1">
      <c r="A253" s="139"/>
      <c r="B253" s="71"/>
      <c r="C253" s="117"/>
      <c r="D253" s="25"/>
      <c r="E253" s="118"/>
      <c r="F253" s="118"/>
      <c r="G253" s="138"/>
      <c r="H253" s="26"/>
      <c r="I253" s="155"/>
      <c r="J253" s="200"/>
      <c r="K253" s="155"/>
      <c r="L253" s="155"/>
      <c r="M253" s="155"/>
      <c r="N253" s="155"/>
      <c r="O253" s="155"/>
      <c r="P253" s="155"/>
      <c r="Q253" s="155"/>
      <c r="R253" s="155"/>
      <c r="S253" s="155"/>
      <c r="T253" s="155"/>
      <c r="U253" s="155"/>
      <c r="V253" s="155"/>
      <c r="W253" s="155"/>
      <c r="X253" s="155"/>
      <c r="Y253" s="155"/>
      <c r="Z253" s="155"/>
      <c r="AA253" s="155"/>
    </row>
    <row r="254" ht="22.5" customHeight="1">
      <c r="A254" s="139"/>
      <c r="B254" s="71"/>
      <c r="C254" s="117"/>
      <c r="D254" s="25"/>
      <c r="E254" s="118"/>
      <c r="F254" s="118"/>
      <c r="G254" s="138"/>
      <c r="H254" s="26"/>
      <c r="I254" s="155"/>
      <c r="J254" s="200"/>
      <c r="K254" s="155"/>
      <c r="L254" s="155"/>
      <c r="M254" s="155"/>
      <c r="N254" s="155"/>
      <c r="O254" s="155"/>
      <c r="P254" s="155"/>
      <c r="Q254" s="155"/>
      <c r="R254" s="155"/>
      <c r="S254" s="155"/>
      <c r="T254" s="155"/>
      <c r="U254" s="155"/>
      <c r="V254" s="155"/>
      <c r="W254" s="155"/>
      <c r="X254" s="155"/>
      <c r="Y254" s="155"/>
      <c r="Z254" s="155"/>
      <c r="AA254" s="155"/>
    </row>
    <row r="255" ht="22.5" customHeight="1">
      <c r="A255" s="139"/>
      <c r="B255" s="71"/>
      <c r="C255" s="117"/>
      <c r="D255" s="25"/>
      <c r="E255" s="118"/>
      <c r="F255" s="118"/>
      <c r="G255" s="138"/>
      <c r="H255" s="26"/>
      <c r="I255" s="155"/>
      <c r="J255" s="200"/>
      <c r="K255" s="155"/>
      <c r="L255" s="155"/>
      <c r="M255" s="155"/>
      <c r="N255" s="155"/>
      <c r="O255" s="155"/>
      <c r="P255" s="155"/>
      <c r="Q255" s="155"/>
      <c r="R255" s="155"/>
      <c r="S255" s="155"/>
      <c r="T255" s="155"/>
      <c r="U255" s="155"/>
      <c r="V255" s="155"/>
      <c r="W255" s="155"/>
      <c r="X255" s="155"/>
      <c r="Y255" s="155"/>
      <c r="Z255" s="155"/>
      <c r="AA255" s="155"/>
    </row>
    <row r="256" ht="22.5" customHeight="1">
      <c r="A256" s="139"/>
      <c r="B256" s="71"/>
      <c r="C256" s="117"/>
      <c r="D256" s="25"/>
      <c r="E256" s="118"/>
      <c r="F256" s="118"/>
      <c r="G256" s="138"/>
      <c r="H256" s="26"/>
      <c r="I256" s="155"/>
      <c r="J256" s="200"/>
      <c r="K256" s="155"/>
      <c r="L256" s="155"/>
      <c r="M256" s="155"/>
      <c r="N256" s="155"/>
      <c r="O256" s="155"/>
      <c r="P256" s="155"/>
      <c r="Q256" s="155"/>
      <c r="R256" s="155"/>
      <c r="S256" s="155"/>
      <c r="T256" s="155"/>
      <c r="U256" s="155"/>
      <c r="V256" s="155"/>
      <c r="W256" s="155"/>
      <c r="X256" s="155"/>
      <c r="Y256" s="155"/>
      <c r="Z256" s="155"/>
      <c r="AA256" s="155"/>
    </row>
    <row r="257" ht="22.5" customHeight="1">
      <c r="A257" s="139"/>
      <c r="B257" s="71"/>
      <c r="C257" s="117"/>
      <c r="D257" s="25"/>
      <c r="E257" s="118"/>
      <c r="F257" s="118"/>
      <c r="G257" s="138"/>
      <c r="H257" s="26"/>
      <c r="I257" s="155"/>
      <c r="J257" s="200"/>
      <c r="K257" s="155"/>
      <c r="L257" s="155"/>
      <c r="M257" s="155"/>
      <c r="N257" s="155"/>
      <c r="O257" s="155"/>
      <c r="P257" s="155"/>
      <c r="Q257" s="155"/>
      <c r="R257" s="155"/>
      <c r="S257" s="155"/>
      <c r="T257" s="155"/>
      <c r="U257" s="155"/>
      <c r="V257" s="155"/>
      <c r="W257" s="155"/>
      <c r="X257" s="155"/>
      <c r="Y257" s="155"/>
      <c r="Z257" s="155"/>
      <c r="AA257" s="155"/>
    </row>
    <row r="258" ht="22.5" customHeight="1">
      <c r="A258" s="139"/>
      <c r="B258" s="71"/>
      <c r="C258" s="117"/>
      <c r="D258" s="25"/>
      <c r="E258" s="118"/>
      <c r="F258" s="118"/>
      <c r="G258" s="138"/>
      <c r="H258" s="26"/>
      <c r="I258" s="155"/>
      <c r="J258" s="200"/>
      <c r="K258" s="155"/>
      <c r="L258" s="155"/>
      <c r="M258" s="155"/>
      <c r="N258" s="155"/>
      <c r="O258" s="155"/>
      <c r="P258" s="155"/>
      <c r="Q258" s="155"/>
      <c r="R258" s="155"/>
      <c r="S258" s="155"/>
      <c r="T258" s="155"/>
      <c r="U258" s="155"/>
      <c r="V258" s="155"/>
      <c r="W258" s="155"/>
      <c r="X258" s="155"/>
      <c r="Y258" s="155"/>
      <c r="Z258" s="155"/>
      <c r="AA258" s="155"/>
    </row>
    <row r="259" ht="22.5" customHeight="1">
      <c r="A259" s="139"/>
      <c r="B259" s="71"/>
      <c r="C259" s="117"/>
      <c r="D259" s="25"/>
      <c r="E259" s="118"/>
      <c r="F259" s="118"/>
      <c r="G259" s="138"/>
      <c r="H259" s="26"/>
      <c r="I259" s="155"/>
      <c r="J259" s="200"/>
      <c r="K259" s="155"/>
      <c r="L259" s="155"/>
      <c r="M259" s="155"/>
      <c r="N259" s="155"/>
      <c r="O259" s="155"/>
      <c r="P259" s="155"/>
      <c r="Q259" s="155"/>
      <c r="R259" s="155"/>
      <c r="S259" s="155"/>
      <c r="T259" s="155"/>
      <c r="U259" s="155"/>
      <c r="V259" s="155"/>
      <c r="W259" s="155"/>
      <c r="X259" s="155"/>
      <c r="Y259" s="155"/>
      <c r="Z259" s="155"/>
      <c r="AA259" s="155"/>
    </row>
    <row r="260" ht="22.5" customHeight="1">
      <c r="A260" s="139"/>
      <c r="B260" s="71"/>
      <c r="C260" s="117"/>
      <c r="D260" s="25"/>
      <c r="E260" s="118"/>
      <c r="F260" s="118"/>
      <c r="G260" s="138"/>
      <c r="H260" s="26"/>
      <c r="I260" s="155"/>
      <c r="J260" s="200"/>
      <c r="K260" s="155"/>
      <c r="L260" s="155"/>
      <c r="M260" s="155"/>
      <c r="N260" s="155"/>
      <c r="O260" s="155"/>
      <c r="P260" s="155"/>
      <c r="Q260" s="155"/>
      <c r="R260" s="155"/>
      <c r="S260" s="155"/>
      <c r="T260" s="155"/>
      <c r="U260" s="155"/>
      <c r="V260" s="155"/>
      <c r="W260" s="155"/>
      <c r="X260" s="155"/>
      <c r="Y260" s="155"/>
      <c r="Z260" s="155"/>
      <c r="AA260" s="155"/>
    </row>
    <row r="261" ht="22.5" customHeight="1">
      <c r="A261" s="139"/>
      <c r="B261" s="71"/>
      <c r="C261" s="117"/>
      <c r="D261" s="25"/>
      <c r="E261" s="118"/>
      <c r="F261" s="118"/>
      <c r="G261" s="138"/>
      <c r="H261" s="26"/>
      <c r="I261" s="155"/>
      <c r="J261" s="200"/>
      <c r="K261" s="155"/>
      <c r="L261" s="155"/>
      <c r="M261" s="155"/>
      <c r="N261" s="155"/>
      <c r="O261" s="155"/>
      <c r="P261" s="155"/>
      <c r="Q261" s="155"/>
      <c r="R261" s="155"/>
      <c r="S261" s="155"/>
      <c r="T261" s="155"/>
      <c r="U261" s="155"/>
      <c r="V261" s="155"/>
      <c r="W261" s="155"/>
      <c r="X261" s="155"/>
      <c r="Y261" s="155"/>
      <c r="Z261" s="155"/>
      <c r="AA261" s="155"/>
    </row>
    <row r="262" ht="22.5" customHeight="1">
      <c r="A262" s="139"/>
      <c r="B262" s="71"/>
      <c r="C262" s="117"/>
      <c r="D262" s="25"/>
      <c r="E262" s="118"/>
      <c r="F262" s="118"/>
      <c r="G262" s="138"/>
      <c r="H262" s="26"/>
      <c r="I262" s="155"/>
      <c r="J262" s="200"/>
      <c r="K262" s="155"/>
      <c r="L262" s="155"/>
      <c r="M262" s="155"/>
      <c r="N262" s="155"/>
      <c r="O262" s="155"/>
      <c r="P262" s="155"/>
      <c r="Q262" s="155"/>
      <c r="R262" s="155"/>
      <c r="S262" s="155"/>
      <c r="T262" s="155"/>
      <c r="U262" s="155"/>
      <c r="V262" s="155"/>
      <c r="W262" s="155"/>
      <c r="X262" s="155"/>
      <c r="Y262" s="155"/>
      <c r="Z262" s="155"/>
      <c r="AA262" s="155"/>
    </row>
    <row r="263" ht="22.5" customHeight="1">
      <c r="A263" s="139"/>
      <c r="B263" s="71"/>
      <c r="C263" s="117"/>
      <c r="D263" s="25"/>
      <c r="E263" s="118"/>
      <c r="F263" s="118"/>
      <c r="G263" s="138"/>
      <c r="H263" s="26"/>
      <c r="I263" s="155"/>
      <c r="J263" s="200"/>
      <c r="K263" s="155"/>
      <c r="L263" s="155"/>
      <c r="M263" s="155"/>
      <c r="N263" s="155"/>
      <c r="O263" s="155"/>
      <c r="P263" s="155"/>
      <c r="Q263" s="155"/>
      <c r="R263" s="155"/>
      <c r="S263" s="155"/>
      <c r="T263" s="155"/>
      <c r="U263" s="155"/>
      <c r="V263" s="155"/>
      <c r="W263" s="155"/>
      <c r="X263" s="155"/>
      <c r="Y263" s="155"/>
      <c r="Z263" s="155"/>
      <c r="AA263" s="155"/>
    </row>
    <row r="264" ht="22.5" customHeight="1">
      <c r="A264" s="139"/>
      <c r="B264" s="71"/>
      <c r="C264" s="117"/>
      <c r="D264" s="25"/>
      <c r="E264" s="118"/>
      <c r="F264" s="118"/>
      <c r="G264" s="138"/>
      <c r="H264" s="26"/>
      <c r="I264" s="155"/>
      <c r="J264" s="200"/>
      <c r="K264" s="155"/>
      <c r="L264" s="155"/>
      <c r="M264" s="155"/>
      <c r="N264" s="155"/>
      <c r="O264" s="155"/>
      <c r="P264" s="155"/>
      <c r="Q264" s="155"/>
      <c r="R264" s="155"/>
      <c r="S264" s="155"/>
      <c r="T264" s="155"/>
      <c r="U264" s="155"/>
      <c r="V264" s="155"/>
      <c r="W264" s="155"/>
      <c r="X264" s="155"/>
      <c r="Y264" s="155"/>
      <c r="Z264" s="155"/>
      <c r="AA264" s="155"/>
    </row>
    <row r="265" ht="22.5" customHeight="1">
      <c r="A265" s="139"/>
      <c r="B265" s="71"/>
      <c r="C265" s="117"/>
      <c r="D265" s="25"/>
      <c r="E265" s="118"/>
      <c r="F265" s="118"/>
      <c r="G265" s="138"/>
      <c r="H265" s="26"/>
      <c r="I265" s="155"/>
      <c r="J265" s="200"/>
      <c r="K265" s="155"/>
      <c r="L265" s="155"/>
      <c r="M265" s="155"/>
      <c r="N265" s="155"/>
      <c r="O265" s="155"/>
      <c r="P265" s="155"/>
      <c r="Q265" s="155"/>
      <c r="R265" s="155"/>
      <c r="S265" s="155"/>
      <c r="T265" s="155"/>
      <c r="U265" s="155"/>
      <c r="V265" s="155"/>
      <c r="W265" s="155"/>
      <c r="X265" s="155"/>
      <c r="Y265" s="155"/>
      <c r="Z265" s="155"/>
      <c r="AA265" s="155"/>
    </row>
    <row r="266" ht="22.5" customHeight="1">
      <c r="A266" s="139"/>
      <c r="B266" s="71"/>
      <c r="C266" s="117"/>
      <c r="D266" s="25"/>
      <c r="E266" s="118"/>
      <c r="F266" s="118"/>
      <c r="G266" s="138"/>
      <c r="H266" s="26"/>
      <c r="I266" s="155"/>
      <c r="J266" s="200"/>
      <c r="K266" s="155"/>
      <c r="L266" s="155"/>
      <c r="M266" s="155"/>
      <c r="N266" s="155"/>
      <c r="O266" s="155"/>
      <c r="P266" s="155"/>
      <c r="Q266" s="155"/>
      <c r="R266" s="155"/>
      <c r="S266" s="155"/>
      <c r="T266" s="155"/>
      <c r="U266" s="155"/>
      <c r="V266" s="155"/>
      <c r="W266" s="155"/>
      <c r="X266" s="155"/>
      <c r="Y266" s="155"/>
      <c r="Z266" s="155"/>
      <c r="AA266" s="155"/>
    </row>
    <row r="267" ht="22.5" customHeight="1">
      <c r="A267" s="139"/>
      <c r="B267" s="71"/>
      <c r="C267" s="117"/>
      <c r="D267" s="25"/>
      <c r="E267" s="118"/>
      <c r="F267" s="118"/>
      <c r="G267" s="138"/>
      <c r="H267" s="26"/>
      <c r="I267" s="155"/>
      <c r="J267" s="200"/>
      <c r="K267" s="155"/>
      <c r="L267" s="155"/>
      <c r="M267" s="155"/>
      <c r="N267" s="155"/>
      <c r="O267" s="155"/>
      <c r="P267" s="155"/>
      <c r="Q267" s="155"/>
      <c r="R267" s="155"/>
      <c r="S267" s="155"/>
      <c r="T267" s="155"/>
      <c r="U267" s="155"/>
      <c r="V267" s="155"/>
      <c r="W267" s="155"/>
      <c r="X267" s="155"/>
      <c r="Y267" s="155"/>
      <c r="Z267" s="155"/>
      <c r="AA267" s="155"/>
    </row>
    <row r="268" ht="22.5" customHeight="1">
      <c r="A268" s="139"/>
      <c r="B268" s="71"/>
      <c r="C268" s="117"/>
      <c r="D268" s="25"/>
      <c r="E268" s="118"/>
      <c r="F268" s="118"/>
      <c r="G268" s="138"/>
      <c r="H268" s="26"/>
      <c r="I268" s="155"/>
      <c r="J268" s="200"/>
      <c r="K268" s="155"/>
      <c r="L268" s="155"/>
      <c r="M268" s="155"/>
      <c r="N268" s="155"/>
      <c r="O268" s="155"/>
      <c r="P268" s="155"/>
      <c r="Q268" s="155"/>
      <c r="R268" s="155"/>
      <c r="S268" s="155"/>
      <c r="T268" s="155"/>
      <c r="U268" s="155"/>
      <c r="V268" s="155"/>
      <c r="W268" s="155"/>
      <c r="X268" s="155"/>
      <c r="Y268" s="155"/>
      <c r="Z268" s="155"/>
      <c r="AA268" s="155"/>
    </row>
    <row r="269" ht="22.5" customHeight="1">
      <c r="A269" s="139"/>
      <c r="B269" s="71"/>
      <c r="C269" s="117"/>
      <c r="D269" s="25"/>
      <c r="E269" s="118"/>
      <c r="F269" s="118"/>
      <c r="G269" s="138"/>
      <c r="H269" s="26"/>
      <c r="I269" s="155"/>
      <c r="J269" s="200"/>
      <c r="K269" s="155"/>
      <c r="L269" s="155"/>
      <c r="M269" s="155"/>
      <c r="N269" s="155"/>
      <c r="O269" s="155"/>
      <c r="P269" s="155"/>
      <c r="Q269" s="155"/>
      <c r="R269" s="155"/>
      <c r="S269" s="155"/>
      <c r="T269" s="155"/>
      <c r="U269" s="155"/>
      <c r="V269" s="155"/>
      <c r="W269" s="155"/>
      <c r="X269" s="155"/>
      <c r="Y269" s="155"/>
      <c r="Z269" s="155"/>
      <c r="AA269" s="155"/>
    </row>
    <row r="270" ht="22.5" customHeight="1">
      <c r="A270" s="139"/>
      <c r="B270" s="71"/>
      <c r="C270" s="117"/>
      <c r="D270" s="25"/>
      <c r="E270" s="118"/>
      <c r="F270" s="118"/>
      <c r="G270" s="138"/>
      <c r="H270" s="26"/>
      <c r="I270" s="155"/>
      <c r="J270" s="200"/>
      <c r="K270" s="155"/>
      <c r="L270" s="155"/>
      <c r="M270" s="155"/>
      <c r="N270" s="155"/>
      <c r="O270" s="155"/>
      <c r="P270" s="155"/>
      <c r="Q270" s="155"/>
      <c r="R270" s="155"/>
      <c r="S270" s="155"/>
      <c r="T270" s="155"/>
      <c r="U270" s="155"/>
      <c r="V270" s="155"/>
      <c r="W270" s="155"/>
      <c r="X270" s="155"/>
      <c r="Y270" s="155"/>
      <c r="Z270" s="155"/>
      <c r="AA270" s="155"/>
    </row>
    <row r="271" ht="22.5" customHeight="1">
      <c r="A271" s="139"/>
      <c r="B271" s="71"/>
      <c r="C271" s="117"/>
      <c r="D271" s="25"/>
      <c r="E271" s="118"/>
      <c r="F271" s="118"/>
      <c r="G271" s="138"/>
      <c r="H271" s="26"/>
      <c r="I271" s="155"/>
      <c r="J271" s="200"/>
      <c r="K271" s="155"/>
      <c r="L271" s="155"/>
      <c r="M271" s="155"/>
      <c r="N271" s="155"/>
      <c r="O271" s="155"/>
      <c r="P271" s="155"/>
      <c r="Q271" s="155"/>
      <c r="R271" s="155"/>
      <c r="S271" s="155"/>
      <c r="T271" s="155"/>
      <c r="U271" s="155"/>
      <c r="V271" s="155"/>
      <c r="W271" s="155"/>
      <c r="X271" s="155"/>
      <c r="Y271" s="155"/>
      <c r="Z271" s="155"/>
      <c r="AA271" s="155"/>
    </row>
    <row r="272" ht="22.5" customHeight="1">
      <c r="A272" s="139"/>
      <c r="B272" s="71"/>
      <c r="C272" s="117"/>
      <c r="D272" s="25"/>
      <c r="E272" s="118"/>
      <c r="F272" s="118"/>
      <c r="G272" s="138"/>
      <c r="H272" s="26"/>
      <c r="I272" s="155"/>
      <c r="J272" s="200"/>
      <c r="K272" s="155"/>
      <c r="L272" s="155"/>
      <c r="M272" s="155"/>
      <c r="N272" s="155"/>
      <c r="O272" s="155"/>
      <c r="P272" s="155"/>
      <c r="Q272" s="155"/>
      <c r="R272" s="155"/>
      <c r="S272" s="155"/>
      <c r="T272" s="155"/>
      <c r="U272" s="155"/>
      <c r="V272" s="155"/>
      <c r="W272" s="155"/>
      <c r="X272" s="155"/>
      <c r="Y272" s="155"/>
      <c r="Z272" s="155"/>
      <c r="AA272" s="155"/>
    </row>
    <row r="273" ht="22.5" customHeight="1">
      <c r="A273" s="139"/>
      <c r="B273" s="71"/>
      <c r="C273" s="117"/>
      <c r="D273" s="25"/>
      <c r="E273" s="118"/>
      <c r="F273" s="118"/>
      <c r="G273" s="138"/>
      <c r="H273" s="26"/>
      <c r="I273" s="155"/>
      <c r="J273" s="200"/>
      <c r="K273" s="155"/>
      <c r="L273" s="155"/>
      <c r="M273" s="155"/>
      <c r="N273" s="155"/>
      <c r="O273" s="155"/>
      <c r="P273" s="155"/>
      <c r="Q273" s="155"/>
      <c r="R273" s="155"/>
      <c r="S273" s="155"/>
      <c r="T273" s="155"/>
      <c r="U273" s="155"/>
      <c r="V273" s="155"/>
      <c r="W273" s="155"/>
      <c r="X273" s="155"/>
      <c r="Y273" s="155"/>
      <c r="Z273" s="155"/>
      <c r="AA273" s="155"/>
    </row>
    <row r="274" ht="22.5" customHeight="1">
      <c r="A274" s="139"/>
      <c r="B274" s="71"/>
      <c r="C274" s="117"/>
      <c r="D274" s="25"/>
      <c r="E274" s="118"/>
      <c r="F274" s="118"/>
      <c r="G274" s="138"/>
      <c r="H274" s="26"/>
      <c r="I274" s="155"/>
      <c r="J274" s="200"/>
      <c r="K274" s="155"/>
      <c r="L274" s="155"/>
      <c r="M274" s="155"/>
      <c r="N274" s="155"/>
      <c r="O274" s="155"/>
      <c r="P274" s="155"/>
      <c r="Q274" s="155"/>
      <c r="R274" s="155"/>
      <c r="S274" s="155"/>
      <c r="T274" s="155"/>
      <c r="U274" s="155"/>
      <c r="V274" s="155"/>
      <c r="W274" s="155"/>
      <c r="X274" s="155"/>
      <c r="Y274" s="155"/>
      <c r="Z274" s="155"/>
      <c r="AA274" s="155"/>
    </row>
    <row r="275" ht="22.5" customHeight="1">
      <c r="A275" s="139"/>
      <c r="B275" s="71"/>
      <c r="C275" s="117"/>
      <c r="D275" s="25"/>
      <c r="E275" s="118"/>
      <c r="F275" s="118"/>
      <c r="G275" s="138"/>
      <c r="H275" s="26"/>
      <c r="I275" s="155"/>
      <c r="J275" s="200"/>
      <c r="K275" s="155"/>
      <c r="L275" s="155"/>
      <c r="M275" s="155"/>
      <c r="N275" s="155"/>
      <c r="O275" s="155"/>
      <c r="P275" s="155"/>
      <c r="Q275" s="155"/>
      <c r="R275" s="155"/>
      <c r="S275" s="155"/>
      <c r="T275" s="155"/>
      <c r="U275" s="155"/>
      <c r="V275" s="155"/>
      <c r="W275" s="155"/>
      <c r="X275" s="155"/>
      <c r="Y275" s="155"/>
      <c r="Z275" s="155"/>
      <c r="AA275" s="155"/>
    </row>
    <row r="276" ht="22.5" customHeight="1">
      <c r="A276" s="139"/>
      <c r="B276" s="71"/>
      <c r="C276" s="117"/>
      <c r="D276" s="25"/>
      <c r="E276" s="118"/>
      <c r="F276" s="118"/>
      <c r="G276" s="138"/>
      <c r="H276" s="26"/>
      <c r="I276" s="155"/>
      <c r="J276" s="200"/>
      <c r="K276" s="155"/>
      <c r="L276" s="155"/>
      <c r="M276" s="155"/>
      <c r="N276" s="155"/>
      <c r="O276" s="155"/>
      <c r="P276" s="155"/>
      <c r="Q276" s="155"/>
      <c r="R276" s="155"/>
      <c r="S276" s="155"/>
      <c r="T276" s="155"/>
      <c r="U276" s="155"/>
      <c r="V276" s="155"/>
      <c r="W276" s="155"/>
      <c r="X276" s="155"/>
      <c r="Y276" s="155"/>
      <c r="Z276" s="155"/>
      <c r="AA276" s="155"/>
    </row>
    <row r="277" ht="22.5" customHeight="1">
      <c r="A277" s="139"/>
      <c r="B277" s="71"/>
      <c r="C277" s="117"/>
      <c r="D277" s="25"/>
      <c r="E277" s="118"/>
      <c r="F277" s="118"/>
      <c r="G277" s="138"/>
      <c r="H277" s="26"/>
      <c r="I277" s="155"/>
      <c r="J277" s="200"/>
      <c r="K277" s="155"/>
      <c r="L277" s="155"/>
      <c r="M277" s="155"/>
      <c r="N277" s="155"/>
      <c r="O277" s="155"/>
      <c r="P277" s="155"/>
      <c r="Q277" s="155"/>
      <c r="R277" s="155"/>
      <c r="S277" s="155"/>
      <c r="T277" s="155"/>
      <c r="U277" s="155"/>
      <c r="V277" s="155"/>
      <c r="W277" s="155"/>
      <c r="X277" s="155"/>
      <c r="Y277" s="155"/>
      <c r="Z277" s="155"/>
      <c r="AA277" s="155"/>
    </row>
    <row r="278" ht="22.5" customHeight="1">
      <c r="A278" s="139"/>
      <c r="B278" s="71"/>
      <c r="C278" s="117"/>
      <c r="D278" s="25"/>
      <c r="E278" s="118"/>
      <c r="F278" s="118"/>
      <c r="G278" s="138"/>
      <c r="H278" s="26"/>
      <c r="I278" s="155"/>
      <c r="J278" s="200"/>
      <c r="K278" s="155"/>
      <c r="L278" s="155"/>
      <c r="M278" s="155"/>
      <c r="N278" s="155"/>
      <c r="O278" s="155"/>
      <c r="P278" s="155"/>
      <c r="Q278" s="155"/>
      <c r="R278" s="155"/>
      <c r="S278" s="155"/>
      <c r="T278" s="155"/>
      <c r="U278" s="155"/>
      <c r="V278" s="155"/>
      <c r="W278" s="155"/>
      <c r="X278" s="155"/>
      <c r="Y278" s="155"/>
      <c r="Z278" s="155"/>
      <c r="AA278" s="155"/>
    </row>
    <row r="279" ht="22.5" customHeight="1">
      <c r="A279" s="139"/>
      <c r="B279" s="71"/>
      <c r="C279" s="117"/>
      <c r="D279" s="25"/>
      <c r="E279" s="118"/>
      <c r="F279" s="118"/>
      <c r="G279" s="138"/>
      <c r="H279" s="26"/>
      <c r="I279" s="155"/>
      <c r="J279" s="200"/>
      <c r="K279" s="155"/>
      <c r="L279" s="155"/>
      <c r="M279" s="155"/>
      <c r="N279" s="155"/>
      <c r="O279" s="155"/>
      <c r="P279" s="155"/>
      <c r="Q279" s="155"/>
      <c r="R279" s="155"/>
      <c r="S279" s="155"/>
      <c r="T279" s="155"/>
      <c r="U279" s="155"/>
      <c r="V279" s="155"/>
      <c r="W279" s="155"/>
      <c r="X279" s="155"/>
      <c r="Y279" s="155"/>
      <c r="Z279" s="155"/>
      <c r="AA279" s="155"/>
    </row>
    <row r="280" ht="22.5" customHeight="1">
      <c r="A280" s="139"/>
      <c r="B280" s="71"/>
      <c r="C280" s="117"/>
      <c r="D280" s="25"/>
      <c r="E280" s="118"/>
      <c r="F280" s="118"/>
      <c r="G280" s="138"/>
      <c r="H280" s="26"/>
      <c r="I280" s="155"/>
      <c r="J280" s="200"/>
      <c r="K280" s="155"/>
      <c r="L280" s="155"/>
      <c r="M280" s="155"/>
      <c r="N280" s="155"/>
      <c r="O280" s="155"/>
      <c r="P280" s="155"/>
      <c r="Q280" s="155"/>
      <c r="R280" s="155"/>
      <c r="S280" s="155"/>
      <c r="T280" s="155"/>
      <c r="U280" s="155"/>
      <c r="V280" s="155"/>
      <c r="W280" s="155"/>
      <c r="X280" s="155"/>
      <c r="Y280" s="155"/>
      <c r="Z280" s="155"/>
      <c r="AA280" s="155"/>
    </row>
    <row r="281" ht="22.5" customHeight="1">
      <c r="A281" s="139"/>
      <c r="B281" s="71"/>
      <c r="C281" s="117"/>
      <c r="D281" s="25"/>
      <c r="E281" s="118"/>
      <c r="F281" s="118"/>
      <c r="G281" s="138"/>
      <c r="H281" s="26"/>
      <c r="I281" s="155"/>
      <c r="J281" s="200"/>
      <c r="K281" s="155"/>
      <c r="L281" s="155"/>
      <c r="M281" s="155"/>
      <c r="N281" s="155"/>
      <c r="O281" s="155"/>
      <c r="P281" s="155"/>
      <c r="Q281" s="155"/>
      <c r="R281" s="155"/>
      <c r="S281" s="155"/>
      <c r="T281" s="155"/>
      <c r="U281" s="155"/>
      <c r="V281" s="155"/>
      <c r="W281" s="155"/>
      <c r="X281" s="155"/>
      <c r="Y281" s="155"/>
      <c r="Z281" s="155"/>
      <c r="AA281" s="155"/>
    </row>
    <row r="282" ht="22.5" customHeight="1">
      <c r="A282" s="139"/>
      <c r="B282" s="71"/>
      <c r="C282" s="117"/>
      <c r="D282" s="25"/>
      <c r="E282" s="118"/>
      <c r="F282" s="118"/>
      <c r="G282" s="138"/>
      <c r="H282" s="26"/>
      <c r="I282" s="155"/>
      <c r="J282" s="200"/>
      <c r="K282" s="155"/>
      <c r="L282" s="155"/>
      <c r="M282" s="155"/>
      <c r="N282" s="155"/>
      <c r="O282" s="155"/>
      <c r="P282" s="155"/>
      <c r="Q282" s="155"/>
      <c r="R282" s="155"/>
      <c r="S282" s="155"/>
      <c r="T282" s="155"/>
      <c r="U282" s="155"/>
      <c r="V282" s="155"/>
      <c r="W282" s="155"/>
      <c r="X282" s="155"/>
      <c r="Y282" s="155"/>
      <c r="Z282" s="155"/>
      <c r="AA282" s="155"/>
    </row>
    <row r="283" ht="22.5" customHeight="1">
      <c r="A283" s="139"/>
      <c r="B283" s="71"/>
      <c r="C283" s="117"/>
      <c r="D283" s="25"/>
      <c r="E283" s="118"/>
      <c r="F283" s="118"/>
      <c r="G283" s="138"/>
      <c r="H283" s="26"/>
      <c r="I283" s="155"/>
      <c r="J283" s="200"/>
      <c r="K283" s="155"/>
      <c r="L283" s="155"/>
      <c r="M283" s="155"/>
      <c r="N283" s="155"/>
      <c r="O283" s="155"/>
      <c r="P283" s="155"/>
      <c r="Q283" s="155"/>
      <c r="R283" s="155"/>
      <c r="S283" s="155"/>
      <c r="T283" s="155"/>
      <c r="U283" s="155"/>
      <c r="V283" s="155"/>
      <c r="W283" s="155"/>
      <c r="X283" s="155"/>
      <c r="Y283" s="155"/>
      <c r="Z283" s="155"/>
      <c r="AA283" s="155"/>
    </row>
    <row r="284" ht="22.5" customHeight="1">
      <c r="A284" s="139"/>
      <c r="B284" s="71"/>
      <c r="C284" s="117"/>
      <c r="D284" s="25"/>
      <c r="E284" s="118"/>
      <c r="F284" s="118"/>
      <c r="G284" s="138"/>
      <c r="H284" s="26"/>
      <c r="I284" s="155"/>
      <c r="J284" s="200"/>
      <c r="K284" s="155"/>
      <c r="L284" s="155"/>
      <c r="M284" s="155"/>
      <c r="N284" s="155"/>
      <c r="O284" s="155"/>
      <c r="P284" s="155"/>
      <c r="Q284" s="155"/>
      <c r="R284" s="155"/>
      <c r="S284" s="155"/>
      <c r="T284" s="155"/>
      <c r="U284" s="155"/>
      <c r="V284" s="155"/>
      <c r="W284" s="155"/>
      <c r="X284" s="155"/>
      <c r="Y284" s="155"/>
      <c r="Z284" s="155"/>
      <c r="AA284" s="155"/>
    </row>
    <row r="285" ht="22.5" customHeight="1">
      <c r="A285" s="139"/>
      <c r="B285" s="71"/>
      <c r="C285" s="117"/>
      <c r="D285" s="25"/>
      <c r="E285" s="118"/>
      <c r="F285" s="118"/>
      <c r="G285" s="138"/>
      <c r="H285" s="26"/>
      <c r="I285" s="155"/>
      <c r="J285" s="200"/>
      <c r="K285" s="155"/>
      <c r="L285" s="155"/>
      <c r="M285" s="155"/>
      <c r="N285" s="155"/>
      <c r="O285" s="155"/>
      <c r="P285" s="155"/>
      <c r="Q285" s="155"/>
      <c r="R285" s="155"/>
      <c r="S285" s="155"/>
      <c r="T285" s="155"/>
      <c r="U285" s="155"/>
      <c r="V285" s="155"/>
      <c r="W285" s="155"/>
      <c r="X285" s="155"/>
      <c r="Y285" s="155"/>
      <c r="Z285" s="155"/>
      <c r="AA285" s="155"/>
    </row>
    <row r="286" ht="22.5" customHeight="1">
      <c r="A286" s="139"/>
      <c r="B286" s="71"/>
      <c r="C286" s="117"/>
      <c r="D286" s="25"/>
      <c r="E286" s="118"/>
      <c r="F286" s="118"/>
      <c r="G286" s="138"/>
      <c r="H286" s="26"/>
      <c r="I286" s="155"/>
      <c r="J286" s="200"/>
      <c r="K286" s="155"/>
      <c r="L286" s="155"/>
      <c r="M286" s="155"/>
      <c r="N286" s="155"/>
      <c r="O286" s="155"/>
      <c r="P286" s="155"/>
      <c r="Q286" s="155"/>
      <c r="R286" s="155"/>
      <c r="S286" s="155"/>
      <c r="T286" s="155"/>
      <c r="U286" s="155"/>
      <c r="V286" s="155"/>
      <c r="W286" s="155"/>
      <c r="X286" s="155"/>
      <c r="Y286" s="155"/>
      <c r="Z286" s="155"/>
      <c r="AA286" s="155"/>
    </row>
    <row r="287" ht="22.5" customHeight="1">
      <c r="A287" s="139"/>
      <c r="B287" s="71"/>
      <c r="C287" s="117"/>
      <c r="D287" s="25"/>
      <c r="E287" s="118"/>
      <c r="F287" s="118"/>
      <c r="G287" s="138"/>
      <c r="H287" s="26"/>
      <c r="I287" s="155"/>
      <c r="J287" s="200"/>
      <c r="K287" s="155"/>
      <c r="L287" s="155"/>
      <c r="M287" s="155"/>
      <c r="N287" s="155"/>
      <c r="O287" s="155"/>
      <c r="P287" s="155"/>
      <c r="Q287" s="155"/>
      <c r="R287" s="155"/>
      <c r="S287" s="155"/>
      <c r="T287" s="155"/>
      <c r="U287" s="155"/>
      <c r="V287" s="155"/>
      <c r="W287" s="155"/>
      <c r="X287" s="155"/>
      <c r="Y287" s="155"/>
      <c r="Z287" s="155"/>
      <c r="AA287" s="155"/>
    </row>
    <row r="288" ht="22.5" customHeight="1">
      <c r="A288" s="139"/>
      <c r="B288" s="71"/>
      <c r="C288" s="117"/>
      <c r="D288" s="25"/>
      <c r="E288" s="118"/>
      <c r="F288" s="118"/>
      <c r="G288" s="138"/>
      <c r="H288" s="26"/>
      <c r="I288" s="155"/>
      <c r="J288" s="200"/>
      <c r="K288" s="155"/>
      <c r="L288" s="155"/>
      <c r="M288" s="155"/>
      <c r="N288" s="155"/>
      <c r="O288" s="155"/>
      <c r="P288" s="155"/>
      <c r="Q288" s="155"/>
      <c r="R288" s="155"/>
      <c r="S288" s="155"/>
      <c r="T288" s="155"/>
      <c r="U288" s="155"/>
      <c r="V288" s="155"/>
      <c r="W288" s="155"/>
      <c r="X288" s="155"/>
      <c r="Y288" s="155"/>
      <c r="Z288" s="155"/>
      <c r="AA288" s="155"/>
    </row>
    <row r="289" ht="22.5" customHeight="1">
      <c r="A289" s="139"/>
      <c r="B289" s="71"/>
      <c r="C289" s="117"/>
      <c r="D289" s="25"/>
      <c r="E289" s="118"/>
      <c r="F289" s="118"/>
      <c r="G289" s="138"/>
      <c r="H289" s="26"/>
      <c r="I289" s="155"/>
      <c r="J289" s="200"/>
      <c r="K289" s="155"/>
      <c r="L289" s="155"/>
      <c r="M289" s="155"/>
      <c r="N289" s="155"/>
      <c r="O289" s="155"/>
      <c r="P289" s="155"/>
      <c r="Q289" s="155"/>
      <c r="R289" s="155"/>
      <c r="S289" s="155"/>
      <c r="T289" s="155"/>
      <c r="U289" s="155"/>
      <c r="V289" s="155"/>
      <c r="W289" s="155"/>
      <c r="X289" s="155"/>
      <c r="Y289" s="155"/>
      <c r="Z289" s="155"/>
      <c r="AA289" s="155"/>
    </row>
    <row r="290" ht="22.5" customHeight="1">
      <c r="A290" s="139"/>
      <c r="B290" s="71"/>
      <c r="C290" s="117"/>
      <c r="D290" s="25"/>
      <c r="E290" s="118"/>
      <c r="F290" s="118"/>
      <c r="G290" s="138"/>
      <c r="H290" s="26"/>
      <c r="I290" s="155"/>
      <c r="J290" s="200"/>
      <c r="K290" s="155"/>
      <c r="L290" s="155"/>
      <c r="M290" s="155"/>
      <c r="N290" s="155"/>
      <c r="O290" s="155"/>
      <c r="P290" s="155"/>
      <c r="Q290" s="155"/>
      <c r="R290" s="155"/>
      <c r="S290" s="155"/>
      <c r="T290" s="155"/>
      <c r="U290" s="155"/>
      <c r="V290" s="155"/>
      <c r="W290" s="155"/>
      <c r="X290" s="155"/>
      <c r="Y290" s="155"/>
      <c r="Z290" s="155"/>
      <c r="AA290" s="155"/>
    </row>
    <row r="291" ht="22.5" customHeight="1">
      <c r="A291" s="139"/>
      <c r="B291" s="71"/>
      <c r="C291" s="117"/>
      <c r="D291" s="25"/>
      <c r="E291" s="118"/>
      <c r="F291" s="118"/>
      <c r="G291" s="138"/>
      <c r="H291" s="26"/>
      <c r="I291" s="155"/>
      <c r="J291" s="200"/>
      <c r="K291" s="155"/>
      <c r="L291" s="155"/>
      <c r="M291" s="155"/>
      <c r="N291" s="155"/>
      <c r="O291" s="155"/>
      <c r="P291" s="155"/>
      <c r="Q291" s="155"/>
      <c r="R291" s="155"/>
      <c r="S291" s="155"/>
      <c r="T291" s="155"/>
      <c r="U291" s="155"/>
      <c r="V291" s="155"/>
      <c r="W291" s="155"/>
      <c r="X291" s="155"/>
      <c r="Y291" s="155"/>
      <c r="Z291" s="155"/>
      <c r="AA291" s="155"/>
    </row>
    <row r="292" ht="22.5" customHeight="1">
      <c r="A292" s="139"/>
      <c r="B292" s="71"/>
      <c r="C292" s="117"/>
      <c r="D292" s="25"/>
      <c r="E292" s="118"/>
      <c r="F292" s="118"/>
      <c r="G292" s="138"/>
      <c r="H292" s="26"/>
      <c r="I292" s="155"/>
      <c r="J292" s="200"/>
      <c r="K292" s="155"/>
      <c r="L292" s="155"/>
      <c r="M292" s="155"/>
      <c r="N292" s="155"/>
      <c r="O292" s="155"/>
      <c r="P292" s="155"/>
      <c r="Q292" s="155"/>
      <c r="R292" s="155"/>
      <c r="S292" s="155"/>
      <c r="T292" s="155"/>
      <c r="U292" s="155"/>
      <c r="V292" s="155"/>
      <c r="W292" s="155"/>
      <c r="X292" s="155"/>
      <c r="Y292" s="155"/>
      <c r="Z292" s="155"/>
      <c r="AA292" s="155"/>
    </row>
    <row r="293" ht="22.5" customHeight="1">
      <c r="A293" s="139"/>
      <c r="B293" s="71"/>
      <c r="C293" s="117"/>
      <c r="D293" s="25"/>
      <c r="E293" s="118"/>
      <c r="F293" s="118"/>
      <c r="G293" s="138"/>
      <c r="H293" s="26"/>
      <c r="I293" s="155"/>
      <c r="J293" s="200"/>
      <c r="K293" s="155"/>
      <c r="L293" s="155"/>
      <c r="M293" s="155"/>
      <c r="N293" s="155"/>
      <c r="O293" s="155"/>
      <c r="P293" s="155"/>
      <c r="Q293" s="155"/>
      <c r="R293" s="155"/>
      <c r="S293" s="155"/>
      <c r="T293" s="155"/>
      <c r="U293" s="155"/>
      <c r="V293" s="155"/>
      <c r="W293" s="155"/>
      <c r="X293" s="155"/>
      <c r="Y293" s="155"/>
      <c r="Z293" s="155"/>
      <c r="AA293" s="155"/>
    </row>
    <row r="294" ht="22.5" customHeight="1">
      <c r="A294" s="139"/>
      <c r="B294" s="71"/>
      <c r="C294" s="117"/>
      <c r="D294" s="25"/>
      <c r="E294" s="118"/>
      <c r="F294" s="118"/>
      <c r="G294" s="138"/>
      <c r="H294" s="26"/>
      <c r="I294" s="155"/>
      <c r="J294" s="200"/>
      <c r="K294" s="155"/>
      <c r="L294" s="155"/>
      <c r="M294" s="155"/>
      <c r="N294" s="155"/>
      <c r="O294" s="155"/>
      <c r="P294" s="155"/>
      <c r="Q294" s="155"/>
      <c r="R294" s="155"/>
      <c r="S294" s="155"/>
      <c r="T294" s="155"/>
      <c r="U294" s="155"/>
      <c r="V294" s="155"/>
      <c r="W294" s="155"/>
      <c r="X294" s="155"/>
      <c r="Y294" s="155"/>
      <c r="Z294" s="155"/>
      <c r="AA294" s="155"/>
    </row>
    <row r="295" ht="22.5" customHeight="1">
      <c r="A295" s="139"/>
      <c r="B295" s="71"/>
      <c r="C295" s="117"/>
      <c r="D295" s="25"/>
      <c r="E295" s="118"/>
      <c r="F295" s="118"/>
      <c r="G295" s="138"/>
      <c r="H295" s="26"/>
      <c r="I295" s="155"/>
      <c r="J295" s="200"/>
      <c r="K295" s="155"/>
      <c r="L295" s="155"/>
      <c r="M295" s="155"/>
      <c r="N295" s="155"/>
      <c r="O295" s="155"/>
      <c r="P295" s="155"/>
      <c r="Q295" s="155"/>
      <c r="R295" s="155"/>
      <c r="S295" s="155"/>
      <c r="T295" s="155"/>
      <c r="U295" s="155"/>
      <c r="V295" s="155"/>
      <c r="W295" s="155"/>
      <c r="X295" s="155"/>
      <c r="Y295" s="155"/>
      <c r="Z295" s="155"/>
      <c r="AA295" s="155"/>
    </row>
    <row r="296" ht="22.5" customHeight="1">
      <c r="A296" s="139"/>
      <c r="B296" s="71"/>
      <c r="C296" s="117"/>
      <c r="D296" s="25"/>
      <c r="E296" s="118"/>
      <c r="F296" s="118"/>
      <c r="G296" s="138"/>
      <c r="H296" s="26"/>
      <c r="I296" s="155"/>
      <c r="J296" s="200"/>
      <c r="K296" s="155"/>
      <c r="L296" s="155"/>
      <c r="M296" s="155"/>
      <c r="N296" s="155"/>
      <c r="O296" s="155"/>
      <c r="P296" s="155"/>
      <c r="Q296" s="155"/>
      <c r="R296" s="155"/>
      <c r="S296" s="155"/>
      <c r="T296" s="155"/>
      <c r="U296" s="155"/>
      <c r="V296" s="155"/>
      <c r="W296" s="155"/>
      <c r="X296" s="155"/>
      <c r="Y296" s="155"/>
      <c r="Z296" s="155"/>
      <c r="AA296" s="155"/>
    </row>
    <row r="297" ht="22.5" customHeight="1">
      <c r="A297" s="139"/>
      <c r="B297" s="71"/>
      <c r="C297" s="117"/>
      <c r="D297" s="25"/>
      <c r="E297" s="118"/>
      <c r="F297" s="118"/>
      <c r="G297" s="138"/>
      <c r="H297" s="26"/>
      <c r="I297" s="155"/>
      <c r="J297" s="200"/>
      <c r="K297" s="155"/>
      <c r="L297" s="155"/>
      <c r="M297" s="155"/>
      <c r="N297" s="155"/>
      <c r="O297" s="155"/>
      <c r="P297" s="155"/>
      <c r="Q297" s="155"/>
      <c r="R297" s="155"/>
      <c r="S297" s="155"/>
      <c r="T297" s="155"/>
      <c r="U297" s="155"/>
      <c r="V297" s="155"/>
      <c r="W297" s="155"/>
      <c r="X297" s="155"/>
      <c r="Y297" s="155"/>
      <c r="Z297" s="155"/>
      <c r="AA297" s="155"/>
    </row>
    <row r="298" ht="22.5" customHeight="1">
      <c r="A298" s="139"/>
      <c r="B298" s="71"/>
      <c r="C298" s="117"/>
      <c r="D298" s="25"/>
      <c r="E298" s="118"/>
      <c r="F298" s="118"/>
      <c r="G298" s="138"/>
      <c r="H298" s="26"/>
      <c r="I298" s="155"/>
      <c r="J298" s="200"/>
      <c r="K298" s="155"/>
      <c r="L298" s="155"/>
      <c r="M298" s="155"/>
      <c r="N298" s="155"/>
      <c r="O298" s="155"/>
      <c r="P298" s="155"/>
      <c r="Q298" s="155"/>
      <c r="R298" s="155"/>
      <c r="S298" s="155"/>
      <c r="T298" s="155"/>
      <c r="U298" s="155"/>
      <c r="V298" s="155"/>
      <c r="W298" s="155"/>
      <c r="X298" s="155"/>
      <c r="Y298" s="155"/>
      <c r="Z298" s="155"/>
      <c r="AA298" s="155"/>
    </row>
    <row r="299" ht="22.5" customHeight="1">
      <c r="A299" s="139"/>
      <c r="B299" s="71"/>
      <c r="C299" s="117"/>
      <c r="D299" s="25"/>
      <c r="E299" s="118"/>
      <c r="F299" s="118"/>
      <c r="G299" s="138"/>
      <c r="H299" s="26"/>
      <c r="I299" s="155"/>
      <c r="J299" s="200"/>
      <c r="K299" s="155"/>
      <c r="L299" s="155"/>
      <c r="M299" s="155"/>
      <c r="N299" s="155"/>
      <c r="O299" s="155"/>
      <c r="P299" s="155"/>
      <c r="Q299" s="155"/>
      <c r="R299" s="155"/>
      <c r="S299" s="155"/>
      <c r="T299" s="155"/>
      <c r="U299" s="155"/>
      <c r="V299" s="155"/>
      <c r="W299" s="155"/>
      <c r="X299" s="155"/>
      <c r="Y299" s="155"/>
      <c r="Z299" s="155"/>
      <c r="AA299" s="155"/>
    </row>
    <row r="300" ht="22.5" customHeight="1">
      <c r="A300" s="139"/>
      <c r="B300" s="71"/>
      <c r="C300" s="117"/>
      <c r="D300" s="25"/>
      <c r="E300" s="118"/>
      <c r="F300" s="118"/>
      <c r="G300" s="138"/>
      <c r="H300" s="26"/>
      <c r="I300" s="155"/>
      <c r="J300" s="200"/>
      <c r="K300" s="155"/>
      <c r="L300" s="155"/>
      <c r="M300" s="155"/>
      <c r="N300" s="155"/>
      <c r="O300" s="155"/>
      <c r="P300" s="155"/>
      <c r="Q300" s="155"/>
      <c r="R300" s="155"/>
      <c r="S300" s="155"/>
      <c r="T300" s="155"/>
      <c r="U300" s="155"/>
      <c r="V300" s="155"/>
      <c r="W300" s="155"/>
      <c r="X300" s="155"/>
      <c r="Y300" s="155"/>
      <c r="Z300" s="155"/>
      <c r="AA300" s="155"/>
    </row>
    <row r="301" ht="22.5" customHeight="1">
      <c r="A301" s="139"/>
      <c r="B301" s="71"/>
      <c r="C301" s="117"/>
      <c r="D301" s="25"/>
      <c r="E301" s="118"/>
      <c r="F301" s="118"/>
      <c r="G301" s="138"/>
      <c r="H301" s="26"/>
      <c r="I301" s="155"/>
      <c r="J301" s="200"/>
      <c r="K301" s="155"/>
      <c r="L301" s="155"/>
      <c r="M301" s="155"/>
      <c r="N301" s="155"/>
      <c r="O301" s="155"/>
      <c r="P301" s="155"/>
      <c r="Q301" s="155"/>
      <c r="R301" s="155"/>
      <c r="S301" s="155"/>
      <c r="T301" s="155"/>
      <c r="U301" s="155"/>
      <c r="V301" s="155"/>
      <c r="W301" s="155"/>
      <c r="X301" s="155"/>
      <c r="Y301" s="155"/>
      <c r="Z301" s="155"/>
      <c r="AA301" s="155"/>
    </row>
    <row r="302" ht="22.5" customHeight="1">
      <c r="A302" s="139"/>
      <c r="B302" s="71"/>
      <c r="C302" s="117"/>
      <c r="D302" s="25"/>
      <c r="E302" s="118"/>
      <c r="F302" s="118"/>
      <c r="G302" s="138"/>
      <c r="H302" s="26"/>
      <c r="I302" s="155"/>
      <c r="J302" s="200"/>
      <c r="K302" s="155"/>
      <c r="L302" s="155"/>
      <c r="M302" s="155"/>
      <c r="N302" s="155"/>
      <c r="O302" s="155"/>
      <c r="P302" s="155"/>
      <c r="Q302" s="155"/>
      <c r="R302" s="155"/>
      <c r="S302" s="155"/>
      <c r="T302" s="155"/>
      <c r="U302" s="155"/>
      <c r="V302" s="155"/>
      <c r="W302" s="155"/>
      <c r="X302" s="155"/>
      <c r="Y302" s="155"/>
      <c r="Z302" s="155"/>
      <c r="AA302" s="155"/>
    </row>
    <row r="303" ht="22.5" customHeight="1">
      <c r="A303" s="139"/>
      <c r="B303" s="71"/>
      <c r="C303" s="117"/>
      <c r="D303" s="25"/>
      <c r="E303" s="118"/>
      <c r="F303" s="118"/>
      <c r="G303" s="138"/>
      <c r="H303" s="26"/>
      <c r="I303" s="155"/>
      <c r="J303" s="200"/>
      <c r="K303" s="155"/>
      <c r="L303" s="155"/>
      <c r="M303" s="155"/>
      <c r="N303" s="155"/>
      <c r="O303" s="155"/>
      <c r="P303" s="155"/>
      <c r="Q303" s="155"/>
      <c r="R303" s="155"/>
      <c r="S303" s="155"/>
      <c r="T303" s="155"/>
      <c r="U303" s="155"/>
      <c r="V303" s="155"/>
      <c r="W303" s="155"/>
      <c r="X303" s="155"/>
      <c r="Y303" s="155"/>
      <c r="Z303" s="155"/>
      <c r="AA303" s="155"/>
    </row>
    <row r="304" ht="22.5" customHeight="1">
      <c r="A304" s="139"/>
      <c r="B304" s="71"/>
      <c r="C304" s="117"/>
      <c r="D304" s="25"/>
      <c r="E304" s="118"/>
      <c r="F304" s="118"/>
      <c r="G304" s="138"/>
      <c r="H304" s="26"/>
      <c r="I304" s="155"/>
      <c r="J304" s="200"/>
      <c r="K304" s="155"/>
      <c r="L304" s="155"/>
      <c r="M304" s="155"/>
      <c r="N304" s="155"/>
      <c r="O304" s="155"/>
      <c r="P304" s="155"/>
      <c r="Q304" s="155"/>
      <c r="R304" s="155"/>
      <c r="S304" s="155"/>
      <c r="T304" s="155"/>
      <c r="U304" s="155"/>
      <c r="V304" s="155"/>
      <c r="W304" s="155"/>
      <c r="X304" s="155"/>
      <c r="Y304" s="155"/>
      <c r="Z304" s="155"/>
      <c r="AA304" s="155"/>
    </row>
    <row r="305" ht="22.5" customHeight="1">
      <c r="A305" s="139"/>
      <c r="B305" s="71"/>
      <c r="C305" s="117"/>
      <c r="D305" s="25"/>
      <c r="E305" s="118"/>
      <c r="F305" s="118"/>
      <c r="G305" s="138"/>
      <c r="H305" s="26"/>
      <c r="I305" s="155"/>
      <c r="J305" s="200"/>
      <c r="K305" s="155"/>
      <c r="L305" s="155"/>
      <c r="M305" s="155"/>
      <c r="N305" s="155"/>
      <c r="O305" s="155"/>
      <c r="P305" s="155"/>
      <c r="Q305" s="155"/>
      <c r="R305" s="155"/>
      <c r="S305" s="155"/>
      <c r="T305" s="155"/>
      <c r="U305" s="155"/>
      <c r="V305" s="155"/>
      <c r="W305" s="155"/>
      <c r="X305" s="155"/>
      <c r="Y305" s="155"/>
      <c r="Z305" s="155"/>
      <c r="AA305" s="155"/>
    </row>
    <row r="306" ht="22.5" customHeight="1">
      <c r="A306" s="139"/>
      <c r="B306" s="71"/>
      <c r="C306" s="117"/>
      <c r="D306" s="25"/>
      <c r="E306" s="118"/>
      <c r="F306" s="118"/>
      <c r="G306" s="138"/>
      <c r="H306" s="26"/>
      <c r="I306" s="155"/>
      <c r="J306" s="200"/>
      <c r="K306" s="155"/>
      <c r="L306" s="155"/>
      <c r="M306" s="155"/>
      <c r="N306" s="155"/>
      <c r="O306" s="155"/>
      <c r="P306" s="155"/>
      <c r="Q306" s="155"/>
      <c r="R306" s="155"/>
      <c r="S306" s="155"/>
      <c r="T306" s="155"/>
      <c r="U306" s="155"/>
      <c r="V306" s="155"/>
      <c r="W306" s="155"/>
      <c r="X306" s="155"/>
      <c r="Y306" s="155"/>
      <c r="Z306" s="155"/>
      <c r="AA306" s="155"/>
    </row>
    <row r="307" ht="22.5" customHeight="1">
      <c r="A307" s="139"/>
      <c r="B307" s="71"/>
      <c r="C307" s="117"/>
      <c r="D307" s="25"/>
      <c r="E307" s="118"/>
      <c r="F307" s="118"/>
      <c r="G307" s="138"/>
      <c r="H307" s="26"/>
      <c r="I307" s="155"/>
      <c r="J307" s="200"/>
      <c r="K307" s="155"/>
      <c r="L307" s="155"/>
      <c r="M307" s="155"/>
      <c r="N307" s="155"/>
      <c r="O307" s="155"/>
      <c r="P307" s="155"/>
      <c r="Q307" s="155"/>
      <c r="R307" s="155"/>
      <c r="S307" s="155"/>
      <c r="T307" s="155"/>
      <c r="U307" s="155"/>
      <c r="V307" s="155"/>
      <c r="W307" s="155"/>
      <c r="X307" s="155"/>
      <c r="Y307" s="155"/>
      <c r="Z307" s="155"/>
      <c r="AA307" s="155"/>
    </row>
    <row r="308" ht="22.5" customHeight="1">
      <c r="A308" s="139"/>
      <c r="B308" s="71"/>
      <c r="C308" s="117"/>
      <c r="D308" s="25"/>
      <c r="E308" s="118"/>
      <c r="F308" s="118"/>
      <c r="G308" s="138"/>
      <c r="H308" s="26"/>
      <c r="I308" s="155"/>
      <c r="J308" s="200"/>
      <c r="K308" s="155"/>
      <c r="L308" s="155"/>
      <c r="M308" s="155"/>
      <c r="N308" s="155"/>
      <c r="O308" s="155"/>
      <c r="P308" s="155"/>
      <c r="Q308" s="155"/>
      <c r="R308" s="155"/>
      <c r="S308" s="155"/>
      <c r="T308" s="155"/>
      <c r="U308" s="155"/>
      <c r="V308" s="155"/>
      <c r="W308" s="155"/>
      <c r="X308" s="155"/>
      <c r="Y308" s="155"/>
      <c r="Z308" s="155"/>
      <c r="AA308" s="155"/>
    </row>
    <row r="309" ht="22.5" customHeight="1">
      <c r="A309" s="139"/>
      <c r="B309" s="71"/>
      <c r="C309" s="117"/>
      <c r="D309" s="25"/>
      <c r="E309" s="118"/>
      <c r="F309" s="118"/>
      <c r="G309" s="138"/>
      <c r="H309" s="26"/>
      <c r="I309" s="155"/>
      <c r="J309" s="200"/>
      <c r="K309" s="155"/>
      <c r="L309" s="155"/>
      <c r="M309" s="155"/>
      <c r="N309" s="155"/>
      <c r="O309" s="155"/>
      <c r="P309" s="155"/>
      <c r="Q309" s="155"/>
      <c r="R309" s="155"/>
      <c r="S309" s="155"/>
      <c r="T309" s="155"/>
      <c r="U309" s="155"/>
      <c r="V309" s="155"/>
      <c r="W309" s="155"/>
      <c r="X309" s="155"/>
      <c r="Y309" s="155"/>
      <c r="Z309" s="155"/>
      <c r="AA309" s="155"/>
    </row>
    <row r="310" ht="22.5" customHeight="1">
      <c r="A310" s="139"/>
      <c r="B310" s="71"/>
      <c r="C310" s="117"/>
      <c r="D310" s="25"/>
      <c r="E310" s="118"/>
      <c r="F310" s="118"/>
      <c r="G310" s="138"/>
      <c r="H310" s="26"/>
      <c r="I310" s="155"/>
      <c r="J310" s="200"/>
      <c r="K310" s="155"/>
      <c r="L310" s="155"/>
      <c r="M310" s="155"/>
      <c r="N310" s="155"/>
      <c r="O310" s="155"/>
      <c r="P310" s="155"/>
      <c r="Q310" s="155"/>
      <c r="R310" s="155"/>
      <c r="S310" s="155"/>
      <c r="T310" s="155"/>
      <c r="U310" s="155"/>
      <c r="V310" s="155"/>
      <c r="W310" s="155"/>
      <c r="X310" s="155"/>
      <c r="Y310" s="155"/>
      <c r="Z310" s="155"/>
      <c r="AA310" s="155"/>
    </row>
    <row r="311" ht="22.5" customHeight="1">
      <c r="A311" s="139"/>
      <c r="B311" s="71"/>
      <c r="C311" s="117"/>
      <c r="D311" s="25"/>
      <c r="E311" s="118"/>
      <c r="F311" s="118"/>
      <c r="G311" s="138"/>
      <c r="H311" s="26"/>
      <c r="I311" s="155"/>
      <c r="J311" s="200"/>
      <c r="K311" s="155"/>
      <c r="L311" s="155"/>
      <c r="M311" s="155"/>
      <c r="N311" s="155"/>
      <c r="O311" s="155"/>
      <c r="P311" s="155"/>
      <c r="Q311" s="155"/>
      <c r="R311" s="155"/>
      <c r="S311" s="155"/>
      <c r="T311" s="155"/>
      <c r="U311" s="155"/>
      <c r="V311" s="155"/>
      <c r="W311" s="155"/>
      <c r="X311" s="155"/>
      <c r="Y311" s="155"/>
      <c r="Z311" s="155"/>
      <c r="AA311" s="155"/>
    </row>
    <row r="312" ht="22.5" customHeight="1">
      <c r="A312" s="139"/>
      <c r="B312" s="71"/>
      <c r="C312" s="117"/>
      <c r="D312" s="25"/>
      <c r="E312" s="118"/>
      <c r="F312" s="118"/>
      <c r="G312" s="138"/>
      <c r="H312" s="26"/>
      <c r="I312" s="155"/>
      <c r="J312" s="200"/>
      <c r="K312" s="155"/>
      <c r="L312" s="155"/>
      <c r="M312" s="155"/>
      <c r="N312" s="155"/>
      <c r="O312" s="155"/>
      <c r="P312" s="155"/>
      <c r="Q312" s="155"/>
      <c r="R312" s="155"/>
      <c r="S312" s="155"/>
      <c r="T312" s="155"/>
      <c r="U312" s="155"/>
      <c r="V312" s="155"/>
      <c r="W312" s="155"/>
      <c r="X312" s="155"/>
      <c r="Y312" s="155"/>
      <c r="Z312" s="155"/>
      <c r="AA312" s="155"/>
    </row>
    <row r="313" ht="22.5" customHeight="1">
      <c r="A313" s="139"/>
      <c r="B313" s="71"/>
      <c r="C313" s="117"/>
      <c r="D313" s="25"/>
      <c r="E313" s="118"/>
      <c r="F313" s="118"/>
      <c r="G313" s="138"/>
      <c r="H313" s="26"/>
      <c r="I313" s="155"/>
      <c r="J313" s="200"/>
      <c r="K313" s="155"/>
      <c r="L313" s="155"/>
      <c r="M313" s="155"/>
      <c r="N313" s="155"/>
      <c r="O313" s="155"/>
      <c r="P313" s="155"/>
      <c r="Q313" s="155"/>
      <c r="R313" s="155"/>
      <c r="S313" s="155"/>
      <c r="T313" s="155"/>
      <c r="U313" s="155"/>
      <c r="V313" s="155"/>
      <c r="W313" s="155"/>
      <c r="X313" s="155"/>
      <c r="Y313" s="155"/>
      <c r="Z313" s="155"/>
      <c r="AA313" s="155"/>
    </row>
    <row r="314" ht="22.5" customHeight="1">
      <c r="A314" s="139"/>
      <c r="B314" s="71"/>
      <c r="C314" s="117"/>
      <c r="D314" s="25"/>
      <c r="E314" s="118"/>
      <c r="F314" s="118"/>
      <c r="G314" s="138"/>
      <c r="H314" s="26"/>
      <c r="I314" s="155"/>
      <c r="J314" s="200"/>
      <c r="K314" s="155"/>
      <c r="L314" s="155"/>
      <c r="M314" s="155"/>
      <c r="N314" s="155"/>
      <c r="O314" s="155"/>
      <c r="P314" s="155"/>
      <c r="Q314" s="155"/>
      <c r="R314" s="155"/>
      <c r="S314" s="155"/>
      <c r="T314" s="155"/>
      <c r="U314" s="155"/>
      <c r="V314" s="155"/>
      <c r="W314" s="155"/>
      <c r="X314" s="155"/>
      <c r="Y314" s="155"/>
      <c r="Z314" s="155"/>
      <c r="AA314" s="155"/>
    </row>
    <row r="315" ht="22.5" customHeight="1">
      <c r="A315" s="139"/>
      <c r="B315" s="71"/>
      <c r="C315" s="117"/>
      <c r="D315" s="25"/>
      <c r="E315" s="118"/>
      <c r="F315" s="118"/>
      <c r="G315" s="138"/>
      <c r="H315" s="26"/>
      <c r="I315" s="155"/>
      <c r="J315" s="200"/>
      <c r="K315" s="155"/>
      <c r="L315" s="155"/>
      <c r="M315" s="155"/>
      <c r="N315" s="155"/>
      <c r="O315" s="155"/>
      <c r="P315" s="155"/>
      <c r="Q315" s="155"/>
      <c r="R315" s="155"/>
      <c r="S315" s="155"/>
      <c r="T315" s="155"/>
      <c r="U315" s="155"/>
      <c r="V315" s="155"/>
      <c r="W315" s="155"/>
      <c r="X315" s="155"/>
      <c r="Y315" s="155"/>
      <c r="Z315" s="155"/>
      <c r="AA315" s="155"/>
    </row>
    <row r="316" ht="22.5" customHeight="1">
      <c r="A316" s="139"/>
      <c r="B316" s="71"/>
      <c r="C316" s="117"/>
      <c r="D316" s="25"/>
      <c r="E316" s="118"/>
      <c r="F316" s="118"/>
      <c r="G316" s="138"/>
      <c r="H316" s="26"/>
      <c r="I316" s="155"/>
      <c r="J316" s="200"/>
      <c r="K316" s="155"/>
      <c r="L316" s="155"/>
      <c r="M316" s="155"/>
      <c r="N316" s="155"/>
      <c r="O316" s="155"/>
      <c r="P316" s="155"/>
      <c r="Q316" s="155"/>
      <c r="R316" s="155"/>
      <c r="S316" s="155"/>
      <c r="T316" s="155"/>
      <c r="U316" s="155"/>
      <c r="V316" s="155"/>
      <c r="W316" s="155"/>
      <c r="X316" s="155"/>
      <c r="Y316" s="155"/>
      <c r="Z316" s="155"/>
      <c r="AA316" s="155"/>
    </row>
    <row r="317" ht="22.5" customHeight="1">
      <c r="A317" s="139"/>
      <c r="B317" s="71"/>
      <c r="C317" s="117"/>
      <c r="D317" s="25"/>
      <c r="E317" s="118"/>
      <c r="F317" s="118"/>
      <c r="G317" s="138"/>
      <c r="H317" s="26"/>
      <c r="I317" s="155"/>
      <c r="J317" s="200"/>
      <c r="K317" s="155"/>
      <c r="L317" s="155"/>
      <c r="M317" s="155"/>
      <c r="N317" s="155"/>
      <c r="O317" s="155"/>
      <c r="P317" s="155"/>
      <c r="Q317" s="155"/>
      <c r="R317" s="155"/>
      <c r="S317" s="155"/>
      <c r="T317" s="155"/>
      <c r="U317" s="155"/>
      <c r="V317" s="155"/>
      <c r="W317" s="155"/>
      <c r="X317" s="155"/>
      <c r="Y317" s="155"/>
      <c r="Z317" s="155"/>
      <c r="AA317" s="155"/>
    </row>
    <row r="318" ht="22.5" customHeight="1">
      <c r="A318" s="139"/>
      <c r="B318" s="71"/>
      <c r="C318" s="117"/>
      <c r="D318" s="25"/>
      <c r="E318" s="118"/>
      <c r="F318" s="118"/>
      <c r="G318" s="138"/>
      <c r="H318" s="26"/>
      <c r="I318" s="155"/>
      <c r="J318" s="200"/>
      <c r="K318" s="155"/>
      <c r="L318" s="155"/>
      <c r="M318" s="155"/>
      <c r="N318" s="155"/>
      <c r="O318" s="155"/>
      <c r="P318" s="155"/>
      <c r="Q318" s="155"/>
      <c r="R318" s="155"/>
      <c r="S318" s="155"/>
      <c r="T318" s="155"/>
      <c r="U318" s="155"/>
      <c r="V318" s="155"/>
      <c r="W318" s="155"/>
      <c r="X318" s="155"/>
      <c r="Y318" s="155"/>
      <c r="Z318" s="155"/>
      <c r="AA318" s="155"/>
    </row>
    <row r="319" ht="22.5" customHeight="1">
      <c r="A319" s="139"/>
      <c r="B319" s="71"/>
      <c r="C319" s="117"/>
      <c r="D319" s="25"/>
      <c r="E319" s="118"/>
      <c r="F319" s="118"/>
      <c r="G319" s="138"/>
      <c r="H319" s="26"/>
      <c r="I319" s="155"/>
      <c r="J319" s="200"/>
      <c r="K319" s="155"/>
      <c r="L319" s="155"/>
      <c r="M319" s="155"/>
      <c r="N319" s="155"/>
      <c r="O319" s="155"/>
      <c r="P319" s="155"/>
      <c r="Q319" s="155"/>
      <c r="R319" s="155"/>
      <c r="S319" s="155"/>
      <c r="T319" s="155"/>
      <c r="U319" s="155"/>
      <c r="V319" s="155"/>
      <c r="W319" s="155"/>
      <c r="X319" s="155"/>
      <c r="Y319" s="155"/>
      <c r="Z319" s="155"/>
      <c r="AA319" s="155"/>
    </row>
    <row r="320" ht="22.5" customHeight="1">
      <c r="A320" s="139"/>
      <c r="B320" s="71"/>
      <c r="C320" s="117"/>
      <c r="D320" s="25"/>
      <c r="E320" s="118"/>
      <c r="F320" s="118"/>
      <c r="G320" s="138"/>
      <c r="H320" s="26"/>
      <c r="I320" s="155"/>
      <c r="J320" s="200"/>
      <c r="K320" s="155"/>
      <c r="L320" s="155"/>
      <c r="M320" s="155"/>
      <c r="N320" s="155"/>
      <c r="O320" s="155"/>
      <c r="P320" s="155"/>
      <c r="Q320" s="155"/>
      <c r="R320" s="155"/>
      <c r="S320" s="155"/>
      <c r="T320" s="155"/>
      <c r="U320" s="155"/>
      <c r="V320" s="155"/>
      <c r="W320" s="155"/>
      <c r="X320" s="155"/>
      <c r="Y320" s="155"/>
      <c r="Z320" s="155"/>
      <c r="AA320" s="155"/>
    </row>
    <row r="321" ht="22.5" customHeight="1">
      <c r="A321" s="139"/>
      <c r="B321" s="71"/>
      <c r="C321" s="117"/>
      <c r="D321" s="25"/>
      <c r="E321" s="118"/>
      <c r="F321" s="118"/>
      <c r="G321" s="138"/>
      <c r="H321" s="26"/>
      <c r="I321" s="155"/>
      <c r="J321" s="200"/>
      <c r="K321" s="155"/>
      <c r="L321" s="155"/>
      <c r="M321" s="155"/>
      <c r="N321" s="155"/>
      <c r="O321" s="155"/>
      <c r="P321" s="155"/>
      <c r="Q321" s="155"/>
      <c r="R321" s="155"/>
      <c r="S321" s="155"/>
      <c r="T321" s="155"/>
      <c r="U321" s="155"/>
      <c r="V321" s="155"/>
      <c r="W321" s="155"/>
      <c r="X321" s="155"/>
      <c r="Y321" s="155"/>
      <c r="Z321" s="155"/>
      <c r="AA321" s="155"/>
    </row>
    <row r="322" ht="22.5" customHeight="1">
      <c r="A322" s="139"/>
      <c r="B322" s="71"/>
      <c r="C322" s="117"/>
      <c r="D322" s="25"/>
      <c r="E322" s="118"/>
      <c r="F322" s="118"/>
      <c r="G322" s="138"/>
      <c r="H322" s="26"/>
      <c r="I322" s="155"/>
      <c r="J322" s="200"/>
      <c r="K322" s="155"/>
      <c r="L322" s="155"/>
      <c r="M322" s="155"/>
      <c r="N322" s="155"/>
      <c r="O322" s="155"/>
      <c r="P322" s="155"/>
      <c r="Q322" s="155"/>
      <c r="R322" s="155"/>
      <c r="S322" s="155"/>
      <c r="T322" s="155"/>
      <c r="U322" s="155"/>
      <c r="V322" s="155"/>
      <c r="W322" s="155"/>
      <c r="X322" s="155"/>
      <c r="Y322" s="155"/>
      <c r="Z322" s="155"/>
      <c r="AA322" s="155"/>
    </row>
    <row r="323" ht="22.5" customHeight="1">
      <c r="A323" s="139"/>
      <c r="B323" s="71"/>
      <c r="C323" s="117"/>
      <c r="D323" s="25"/>
      <c r="E323" s="118"/>
      <c r="F323" s="118"/>
      <c r="G323" s="138"/>
      <c r="H323" s="26"/>
      <c r="I323" s="155"/>
      <c r="J323" s="200"/>
      <c r="K323" s="155"/>
      <c r="L323" s="155"/>
      <c r="M323" s="155"/>
      <c r="N323" s="155"/>
      <c r="O323" s="155"/>
      <c r="P323" s="155"/>
      <c r="Q323" s="155"/>
      <c r="R323" s="155"/>
      <c r="S323" s="155"/>
      <c r="T323" s="155"/>
      <c r="U323" s="155"/>
      <c r="V323" s="155"/>
      <c r="W323" s="155"/>
      <c r="X323" s="155"/>
      <c r="Y323" s="155"/>
      <c r="Z323" s="155"/>
      <c r="AA323" s="155"/>
    </row>
    <row r="324" ht="22.5" customHeight="1">
      <c r="A324" s="139"/>
      <c r="B324" s="71"/>
      <c r="C324" s="117"/>
      <c r="D324" s="25"/>
      <c r="E324" s="118"/>
      <c r="F324" s="118"/>
      <c r="G324" s="138"/>
      <c r="H324" s="26"/>
      <c r="I324" s="155"/>
      <c r="J324" s="200"/>
      <c r="K324" s="155"/>
      <c r="L324" s="155"/>
      <c r="M324" s="155"/>
      <c r="N324" s="155"/>
      <c r="O324" s="155"/>
      <c r="P324" s="155"/>
      <c r="Q324" s="155"/>
      <c r="R324" s="155"/>
      <c r="S324" s="155"/>
      <c r="T324" s="155"/>
      <c r="U324" s="155"/>
      <c r="V324" s="155"/>
      <c r="W324" s="155"/>
      <c r="X324" s="155"/>
      <c r="Y324" s="155"/>
      <c r="Z324" s="155"/>
      <c r="AA324" s="155"/>
    </row>
    <row r="325" ht="22.5" customHeight="1">
      <c r="A325" s="139"/>
      <c r="B325" s="71"/>
      <c r="C325" s="117"/>
      <c r="D325" s="25"/>
      <c r="E325" s="118"/>
      <c r="F325" s="118"/>
      <c r="G325" s="138"/>
      <c r="H325" s="26"/>
      <c r="I325" s="155"/>
      <c r="J325" s="200"/>
      <c r="K325" s="155"/>
      <c r="L325" s="155"/>
      <c r="M325" s="155"/>
      <c r="N325" s="155"/>
      <c r="O325" s="155"/>
      <c r="P325" s="155"/>
      <c r="Q325" s="155"/>
      <c r="R325" s="155"/>
      <c r="S325" s="155"/>
      <c r="T325" s="155"/>
      <c r="U325" s="155"/>
      <c r="V325" s="155"/>
      <c r="W325" s="155"/>
      <c r="X325" s="155"/>
      <c r="Y325" s="155"/>
      <c r="Z325" s="155"/>
      <c r="AA325" s="155"/>
    </row>
    <row r="326" ht="22.5" customHeight="1">
      <c r="A326" s="139"/>
      <c r="B326" s="71"/>
      <c r="C326" s="117"/>
      <c r="D326" s="25"/>
      <c r="E326" s="118"/>
      <c r="F326" s="118"/>
      <c r="G326" s="138"/>
      <c r="H326" s="26"/>
      <c r="I326" s="155"/>
      <c r="J326" s="200"/>
      <c r="K326" s="155"/>
      <c r="L326" s="155"/>
      <c r="M326" s="155"/>
      <c r="N326" s="155"/>
      <c r="O326" s="155"/>
      <c r="P326" s="155"/>
      <c r="Q326" s="155"/>
      <c r="R326" s="155"/>
      <c r="S326" s="155"/>
      <c r="T326" s="155"/>
      <c r="U326" s="155"/>
      <c r="V326" s="155"/>
      <c r="W326" s="155"/>
      <c r="X326" s="155"/>
      <c r="Y326" s="155"/>
      <c r="Z326" s="155"/>
      <c r="AA326" s="155"/>
    </row>
    <row r="327" ht="22.5" customHeight="1">
      <c r="A327" s="139"/>
      <c r="B327" s="71"/>
      <c r="C327" s="117"/>
      <c r="D327" s="25"/>
      <c r="E327" s="118"/>
      <c r="F327" s="118"/>
      <c r="G327" s="138"/>
      <c r="H327" s="26"/>
      <c r="I327" s="155"/>
      <c r="J327" s="200"/>
      <c r="K327" s="155"/>
      <c r="L327" s="155"/>
      <c r="M327" s="155"/>
      <c r="N327" s="155"/>
      <c r="O327" s="155"/>
      <c r="P327" s="155"/>
      <c r="Q327" s="155"/>
      <c r="R327" s="155"/>
      <c r="S327" s="155"/>
      <c r="T327" s="155"/>
      <c r="U327" s="155"/>
      <c r="V327" s="155"/>
      <c r="W327" s="155"/>
      <c r="X327" s="155"/>
      <c r="Y327" s="155"/>
      <c r="Z327" s="155"/>
      <c r="AA327" s="155"/>
    </row>
    <row r="328" ht="22.5" customHeight="1">
      <c r="A328" s="139"/>
      <c r="B328" s="71"/>
      <c r="C328" s="117"/>
      <c r="D328" s="25"/>
      <c r="E328" s="118"/>
      <c r="F328" s="118"/>
      <c r="G328" s="138"/>
      <c r="H328" s="26"/>
      <c r="I328" s="155"/>
      <c r="J328" s="200"/>
      <c r="K328" s="155"/>
      <c r="L328" s="155"/>
      <c r="M328" s="155"/>
      <c r="N328" s="155"/>
      <c r="O328" s="155"/>
      <c r="P328" s="155"/>
      <c r="Q328" s="155"/>
      <c r="R328" s="155"/>
      <c r="S328" s="155"/>
      <c r="T328" s="155"/>
      <c r="U328" s="155"/>
      <c r="V328" s="155"/>
      <c r="W328" s="155"/>
      <c r="X328" s="155"/>
      <c r="Y328" s="155"/>
      <c r="Z328" s="155"/>
      <c r="AA328" s="155"/>
    </row>
    <row r="329" ht="22.5" customHeight="1">
      <c r="A329" s="139"/>
      <c r="B329" s="71"/>
      <c r="C329" s="117"/>
      <c r="D329" s="25"/>
      <c r="E329" s="118"/>
      <c r="F329" s="118"/>
      <c r="G329" s="138"/>
      <c r="H329" s="26"/>
      <c r="I329" s="155"/>
      <c r="J329" s="200"/>
      <c r="K329" s="155"/>
      <c r="L329" s="155"/>
      <c r="M329" s="155"/>
      <c r="N329" s="155"/>
      <c r="O329" s="155"/>
      <c r="P329" s="155"/>
      <c r="Q329" s="155"/>
      <c r="R329" s="155"/>
      <c r="S329" s="155"/>
      <c r="T329" s="155"/>
      <c r="U329" s="155"/>
      <c r="V329" s="155"/>
      <c r="W329" s="155"/>
      <c r="X329" s="155"/>
      <c r="Y329" s="155"/>
      <c r="Z329" s="155"/>
      <c r="AA329" s="155"/>
    </row>
    <row r="330" ht="22.5" customHeight="1">
      <c r="A330" s="139"/>
      <c r="B330" s="71"/>
      <c r="C330" s="117"/>
      <c r="D330" s="25"/>
      <c r="E330" s="118"/>
      <c r="F330" s="118"/>
      <c r="G330" s="138"/>
      <c r="H330" s="26"/>
      <c r="I330" s="155"/>
      <c r="J330" s="200"/>
      <c r="K330" s="155"/>
      <c r="L330" s="155"/>
      <c r="M330" s="155"/>
      <c r="N330" s="155"/>
      <c r="O330" s="155"/>
      <c r="P330" s="155"/>
      <c r="Q330" s="155"/>
      <c r="R330" s="155"/>
      <c r="S330" s="155"/>
      <c r="T330" s="155"/>
      <c r="U330" s="155"/>
      <c r="V330" s="155"/>
      <c r="W330" s="155"/>
      <c r="X330" s="155"/>
      <c r="Y330" s="155"/>
      <c r="Z330" s="155"/>
      <c r="AA330" s="155"/>
    </row>
    <row r="331" ht="22.5" customHeight="1">
      <c r="A331" s="139"/>
      <c r="B331" s="71"/>
      <c r="C331" s="117"/>
      <c r="D331" s="25"/>
      <c r="E331" s="118"/>
      <c r="F331" s="118"/>
      <c r="G331" s="138"/>
      <c r="H331" s="26"/>
      <c r="I331" s="155"/>
      <c r="J331" s="200"/>
      <c r="K331" s="155"/>
      <c r="L331" s="155"/>
      <c r="M331" s="155"/>
      <c r="N331" s="155"/>
      <c r="O331" s="155"/>
      <c r="P331" s="155"/>
      <c r="Q331" s="155"/>
      <c r="R331" s="155"/>
      <c r="S331" s="155"/>
      <c r="T331" s="155"/>
      <c r="U331" s="155"/>
      <c r="V331" s="155"/>
      <c r="W331" s="155"/>
      <c r="X331" s="155"/>
      <c r="Y331" s="155"/>
      <c r="Z331" s="155"/>
      <c r="AA331" s="155"/>
    </row>
    <row r="332" ht="22.5" customHeight="1">
      <c r="A332" s="139"/>
      <c r="B332" s="71"/>
      <c r="C332" s="117"/>
      <c r="D332" s="25"/>
      <c r="E332" s="118"/>
      <c r="F332" s="118"/>
      <c r="G332" s="138"/>
      <c r="H332" s="26"/>
      <c r="I332" s="155"/>
      <c r="J332" s="200"/>
      <c r="K332" s="155"/>
      <c r="L332" s="155"/>
      <c r="M332" s="155"/>
      <c r="N332" s="155"/>
      <c r="O332" s="155"/>
      <c r="P332" s="155"/>
      <c r="Q332" s="155"/>
      <c r="R332" s="155"/>
      <c r="S332" s="155"/>
      <c r="T332" s="155"/>
      <c r="U332" s="155"/>
      <c r="V332" s="155"/>
      <c r="W332" s="155"/>
      <c r="X332" s="155"/>
      <c r="Y332" s="155"/>
      <c r="Z332" s="155"/>
      <c r="AA332" s="155"/>
    </row>
    <row r="333" ht="22.5" customHeight="1">
      <c r="A333" s="139"/>
      <c r="B333" s="71"/>
      <c r="C333" s="117"/>
      <c r="D333" s="25"/>
      <c r="E333" s="118"/>
      <c r="F333" s="118"/>
      <c r="G333" s="138"/>
      <c r="H333" s="26"/>
      <c r="I333" s="155"/>
      <c r="J333" s="200"/>
      <c r="K333" s="155"/>
      <c r="L333" s="155"/>
      <c r="M333" s="155"/>
      <c r="N333" s="155"/>
      <c r="O333" s="155"/>
      <c r="P333" s="155"/>
      <c r="Q333" s="155"/>
      <c r="R333" s="155"/>
      <c r="S333" s="155"/>
      <c r="T333" s="155"/>
      <c r="U333" s="155"/>
      <c r="V333" s="155"/>
      <c r="W333" s="155"/>
      <c r="X333" s="155"/>
      <c r="Y333" s="155"/>
      <c r="Z333" s="155"/>
      <c r="AA333" s="155"/>
    </row>
    <row r="334" ht="22.5" customHeight="1">
      <c r="A334" s="139"/>
      <c r="B334" s="71"/>
      <c r="C334" s="117"/>
      <c r="D334" s="25"/>
      <c r="E334" s="118"/>
      <c r="F334" s="118"/>
      <c r="G334" s="138"/>
      <c r="H334" s="26"/>
      <c r="I334" s="155"/>
      <c r="J334" s="200"/>
      <c r="K334" s="155"/>
      <c r="L334" s="155"/>
      <c r="M334" s="155"/>
      <c r="N334" s="155"/>
      <c r="O334" s="155"/>
      <c r="P334" s="155"/>
      <c r="Q334" s="155"/>
      <c r="R334" s="155"/>
      <c r="S334" s="155"/>
      <c r="T334" s="155"/>
      <c r="U334" s="155"/>
      <c r="V334" s="155"/>
      <c r="W334" s="155"/>
      <c r="X334" s="155"/>
      <c r="Y334" s="155"/>
      <c r="Z334" s="155"/>
      <c r="AA334" s="155"/>
    </row>
    <row r="335" ht="22.5" customHeight="1">
      <c r="A335" s="139"/>
      <c r="B335" s="71"/>
      <c r="C335" s="117"/>
      <c r="D335" s="25"/>
      <c r="E335" s="118"/>
      <c r="F335" s="118"/>
      <c r="G335" s="138"/>
      <c r="H335" s="26"/>
      <c r="I335" s="155"/>
      <c r="J335" s="200"/>
      <c r="K335" s="155"/>
      <c r="L335" s="155"/>
      <c r="M335" s="155"/>
      <c r="N335" s="155"/>
      <c r="O335" s="155"/>
      <c r="P335" s="155"/>
      <c r="Q335" s="155"/>
      <c r="R335" s="155"/>
      <c r="S335" s="155"/>
      <c r="T335" s="155"/>
      <c r="U335" s="155"/>
      <c r="V335" s="155"/>
      <c r="W335" s="155"/>
      <c r="X335" s="155"/>
      <c r="Y335" s="155"/>
      <c r="Z335" s="155"/>
      <c r="AA335" s="155"/>
    </row>
    <row r="336" ht="22.5" customHeight="1">
      <c r="A336" s="139"/>
      <c r="B336" s="71"/>
      <c r="C336" s="117"/>
      <c r="D336" s="25"/>
      <c r="E336" s="118"/>
      <c r="F336" s="118"/>
      <c r="G336" s="138"/>
      <c r="H336" s="26"/>
      <c r="I336" s="155"/>
      <c r="J336" s="200"/>
      <c r="K336" s="155"/>
      <c r="L336" s="155"/>
      <c r="M336" s="155"/>
      <c r="N336" s="155"/>
      <c r="O336" s="155"/>
      <c r="P336" s="155"/>
      <c r="Q336" s="155"/>
      <c r="R336" s="155"/>
      <c r="S336" s="155"/>
      <c r="T336" s="155"/>
      <c r="U336" s="155"/>
      <c r="V336" s="155"/>
      <c r="W336" s="155"/>
      <c r="X336" s="155"/>
      <c r="Y336" s="155"/>
      <c r="Z336" s="155"/>
      <c r="AA336" s="155"/>
    </row>
    <row r="337" ht="22.5" customHeight="1">
      <c r="A337" s="139"/>
      <c r="B337" s="71"/>
      <c r="C337" s="117"/>
      <c r="D337" s="25"/>
      <c r="E337" s="118"/>
      <c r="F337" s="118"/>
      <c r="G337" s="138"/>
      <c r="H337" s="26"/>
      <c r="I337" s="155"/>
      <c r="J337" s="200"/>
      <c r="K337" s="155"/>
      <c r="L337" s="155"/>
      <c r="M337" s="155"/>
      <c r="N337" s="155"/>
      <c r="O337" s="155"/>
      <c r="P337" s="155"/>
      <c r="Q337" s="155"/>
      <c r="R337" s="155"/>
      <c r="S337" s="155"/>
      <c r="T337" s="155"/>
      <c r="U337" s="155"/>
      <c r="V337" s="155"/>
      <c r="W337" s="155"/>
      <c r="X337" s="155"/>
      <c r="Y337" s="155"/>
      <c r="Z337" s="155"/>
      <c r="AA337" s="155"/>
    </row>
    <row r="338" ht="22.5" customHeight="1">
      <c r="A338" s="139"/>
      <c r="B338" s="71"/>
      <c r="C338" s="117"/>
      <c r="D338" s="25"/>
      <c r="E338" s="118"/>
      <c r="F338" s="118"/>
      <c r="G338" s="138"/>
      <c r="H338" s="26"/>
      <c r="I338" s="155"/>
      <c r="J338" s="200"/>
      <c r="K338" s="155"/>
      <c r="L338" s="155"/>
      <c r="M338" s="155"/>
      <c r="N338" s="155"/>
      <c r="O338" s="155"/>
      <c r="P338" s="155"/>
      <c r="Q338" s="155"/>
      <c r="R338" s="155"/>
      <c r="S338" s="155"/>
      <c r="T338" s="155"/>
      <c r="U338" s="155"/>
      <c r="V338" s="155"/>
      <c r="W338" s="155"/>
      <c r="X338" s="155"/>
      <c r="Y338" s="155"/>
      <c r="Z338" s="155"/>
      <c r="AA338" s="155"/>
    </row>
    <row r="339" ht="22.5" customHeight="1">
      <c r="A339" s="139"/>
      <c r="B339" s="71"/>
      <c r="C339" s="117"/>
      <c r="D339" s="25"/>
      <c r="E339" s="118"/>
      <c r="F339" s="118"/>
      <c r="G339" s="138"/>
      <c r="H339" s="26"/>
      <c r="I339" s="155"/>
      <c r="J339" s="200"/>
      <c r="K339" s="155"/>
      <c r="L339" s="155"/>
      <c r="M339" s="155"/>
      <c r="N339" s="155"/>
      <c r="O339" s="155"/>
      <c r="P339" s="155"/>
      <c r="Q339" s="155"/>
      <c r="R339" s="155"/>
      <c r="S339" s="155"/>
      <c r="T339" s="155"/>
      <c r="U339" s="155"/>
      <c r="V339" s="155"/>
      <c r="W339" s="155"/>
      <c r="X339" s="155"/>
      <c r="Y339" s="155"/>
      <c r="Z339" s="155"/>
      <c r="AA339" s="155"/>
    </row>
    <row r="340" ht="22.5" customHeight="1">
      <c r="A340" s="139"/>
      <c r="B340" s="71"/>
      <c r="C340" s="117"/>
      <c r="D340" s="25"/>
      <c r="E340" s="118"/>
      <c r="F340" s="118"/>
      <c r="G340" s="138"/>
      <c r="H340" s="26"/>
      <c r="I340" s="155"/>
      <c r="J340" s="200"/>
      <c r="K340" s="155"/>
      <c r="L340" s="155"/>
      <c r="M340" s="155"/>
      <c r="N340" s="155"/>
      <c r="O340" s="155"/>
      <c r="P340" s="155"/>
      <c r="Q340" s="155"/>
      <c r="R340" s="155"/>
      <c r="S340" s="155"/>
      <c r="T340" s="155"/>
      <c r="U340" s="155"/>
      <c r="V340" s="155"/>
      <c r="W340" s="155"/>
      <c r="X340" s="155"/>
      <c r="Y340" s="155"/>
      <c r="Z340" s="155"/>
      <c r="AA340" s="155"/>
    </row>
    <row r="341" ht="22.5" customHeight="1">
      <c r="A341" s="139"/>
      <c r="B341" s="71"/>
      <c r="C341" s="117"/>
      <c r="D341" s="25"/>
      <c r="E341" s="118"/>
      <c r="F341" s="118"/>
      <c r="G341" s="138"/>
      <c r="H341" s="26"/>
      <c r="I341" s="155"/>
      <c r="J341" s="200"/>
      <c r="K341" s="155"/>
      <c r="L341" s="155"/>
      <c r="M341" s="155"/>
      <c r="N341" s="155"/>
      <c r="O341" s="155"/>
      <c r="P341" s="155"/>
      <c r="Q341" s="155"/>
      <c r="R341" s="155"/>
      <c r="S341" s="155"/>
      <c r="T341" s="155"/>
      <c r="U341" s="155"/>
      <c r="V341" s="155"/>
      <c r="W341" s="155"/>
      <c r="X341" s="155"/>
      <c r="Y341" s="155"/>
      <c r="Z341" s="155"/>
      <c r="AA341" s="155"/>
    </row>
    <row r="342" ht="22.5" customHeight="1">
      <c r="A342" s="139"/>
      <c r="B342" s="71"/>
      <c r="C342" s="117"/>
      <c r="D342" s="25"/>
      <c r="E342" s="118"/>
      <c r="F342" s="118"/>
      <c r="G342" s="138"/>
      <c r="H342" s="26"/>
      <c r="I342" s="155"/>
      <c r="J342" s="200"/>
      <c r="K342" s="155"/>
      <c r="L342" s="155"/>
      <c r="M342" s="155"/>
      <c r="N342" s="155"/>
      <c r="O342" s="155"/>
      <c r="P342" s="155"/>
      <c r="Q342" s="155"/>
      <c r="R342" s="155"/>
      <c r="S342" s="155"/>
      <c r="T342" s="155"/>
      <c r="U342" s="155"/>
      <c r="V342" s="155"/>
      <c r="W342" s="155"/>
      <c r="X342" s="155"/>
      <c r="Y342" s="155"/>
      <c r="Z342" s="155"/>
      <c r="AA342" s="155"/>
    </row>
    <row r="343" ht="22.5" customHeight="1">
      <c r="A343" s="139"/>
      <c r="B343" s="71"/>
      <c r="C343" s="117"/>
      <c r="D343" s="25"/>
      <c r="E343" s="118"/>
      <c r="F343" s="118"/>
      <c r="G343" s="138"/>
      <c r="H343" s="26"/>
      <c r="I343" s="155"/>
      <c r="J343" s="200"/>
      <c r="K343" s="155"/>
      <c r="L343" s="155"/>
      <c r="M343" s="155"/>
      <c r="N343" s="155"/>
      <c r="O343" s="155"/>
      <c r="P343" s="155"/>
      <c r="Q343" s="155"/>
      <c r="R343" s="155"/>
      <c r="S343" s="155"/>
      <c r="T343" s="155"/>
      <c r="U343" s="155"/>
      <c r="V343" s="155"/>
      <c r="W343" s="155"/>
      <c r="X343" s="155"/>
      <c r="Y343" s="155"/>
      <c r="Z343" s="155"/>
      <c r="AA343" s="155"/>
    </row>
    <row r="344" ht="22.5" customHeight="1">
      <c r="A344" s="139"/>
      <c r="B344" s="71"/>
      <c r="C344" s="117"/>
      <c r="D344" s="25"/>
      <c r="E344" s="118"/>
      <c r="F344" s="118"/>
      <c r="G344" s="138"/>
      <c r="H344" s="26"/>
      <c r="I344" s="155"/>
      <c r="J344" s="200"/>
      <c r="K344" s="155"/>
      <c r="L344" s="155"/>
      <c r="M344" s="155"/>
      <c r="N344" s="155"/>
      <c r="O344" s="155"/>
      <c r="P344" s="155"/>
      <c r="Q344" s="155"/>
      <c r="R344" s="155"/>
      <c r="S344" s="155"/>
      <c r="T344" s="155"/>
      <c r="U344" s="155"/>
      <c r="V344" s="155"/>
      <c r="W344" s="155"/>
      <c r="X344" s="155"/>
      <c r="Y344" s="155"/>
      <c r="Z344" s="155"/>
      <c r="AA344" s="155"/>
    </row>
    <row r="345" ht="22.5" customHeight="1">
      <c r="A345" s="139"/>
      <c r="B345" s="71"/>
      <c r="C345" s="117"/>
      <c r="D345" s="25"/>
      <c r="E345" s="118"/>
      <c r="F345" s="118"/>
      <c r="G345" s="138"/>
      <c r="H345" s="26"/>
      <c r="I345" s="155"/>
      <c r="J345" s="200"/>
      <c r="K345" s="155"/>
      <c r="L345" s="155"/>
      <c r="M345" s="155"/>
      <c r="N345" s="155"/>
      <c r="O345" s="155"/>
      <c r="P345" s="155"/>
      <c r="Q345" s="155"/>
      <c r="R345" s="155"/>
      <c r="S345" s="155"/>
      <c r="T345" s="155"/>
      <c r="U345" s="155"/>
      <c r="V345" s="155"/>
      <c r="W345" s="155"/>
      <c r="X345" s="155"/>
      <c r="Y345" s="155"/>
      <c r="Z345" s="155"/>
      <c r="AA345" s="155"/>
    </row>
    <row r="346" ht="22.5" customHeight="1">
      <c r="A346" s="139"/>
      <c r="B346" s="71"/>
      <c r="C346" s="117"/>
      <c r="D346" s="25"/>
      <c r="E346" s="118"/>
      <c r="F346" s="118"/>
      <c r="G346" s="138"/>
      <c r="H346" s="26"/>
      <c r="I346" s="155"/>
      <c r="J346" s="200"/>
      <c r="K346" s="155"/>
      <c r="L346" s="155"/>
      <c r="M346" s="155"/>
      <c r="N346" s="155"/>
      <c r="O346" s="155"/>
      <c r="P346" s="155"/>
      <c r="Q346" s="155"/>
      <c r="R346" s="155"/>
      <c r="S346" s="155"/>
      <c r="T346" s="155"/>
      <c r="U346" s="155"/>
      <c r="V346" s="155"/>
      <c r="W346" s="155"/>
      <c r="X346" s="155"/>
      <c r="Y346" s="155"/>
      <c r="Z346" s="155"/>
      <c r="AA346" s="155"/>
    </row>
    <row r="347" ht="22.5" customHeight="1">
      <c r="A347" s="139"/>
      <c r="B347" s="71"/>
      <c r="C347" s="117"/>
      <c r="D347" s="25"/>
      <c r="E347" s="118"/>
      <c r="F347" s="118"/>
      <c r="G347" s="138"/>
      <c r="H347" s="26"/>
      <c r="I347" s="155"/>
      <c r="J347" s="200"/>
      <c r="K347" s="155"/>
      <c r="L347" s="155"/>
      <c r="M347" s="155"/>
      <c r="N347" s="155"/>
      <c r="O347" s="155"/>
      <c r="P347" s="155"/>
      <c r="Q347" s="155"/>
      <c r="R347" s="155"/>
      <c r="S347" s="155"/>
      <c r="T347" s="155"/>
      <c r="U347" s="155"/>
      <c r="V347" s="155"/>
      <c r="W347" s="155"/>
      <c r="X347" s="155"/>
      <c r="Y347" s="155"/>
      <c r="Z347" s="155"/>
      <c r="AA347" s="155"/>
    </row>
    <row r="348" ht="22.5" customHeight="1">
      <c r="A348" s="139"/>
      <c r="B348" s="71"/>
      <c r="C348" s="117"/>
      <c r="D348" s="25"/>
      <c r="E348" s="118"/>
      <c r="F348" s="118"/>
      <c r="G348" s="138"/>
      <c r="H348" s="26"/>
      <c r="I348" s="155"/>
      <c r="J348" s="200"/>
      <c r="K348" s="155"/>
      <c r="L348" s="155"/>
      <c r="M348" s="155"/>
      <c r="N348" s="155"/>
      <c r="O348" s="155"/>
      <c r="P348" s="155"/>
      <c r="Q348" s="155"/>
      <c r="R348" s="155"/>
      <c r="S348" s="155"/>
      <c r="T348" s="155"/>
      <c r="U348" s="155"/>
      <c r="V348" s="155"/>
      <c r="W348" s="155"/>
      <c r="X348" s="155"/>
      <c r="Y348" s="155"/>
      <c r="Z348" s="155"/>
      <c r="AA348" s="155"/>
    </row>
    <row r="349" ht="22.5" customHeight="1">
      <c r="A349" s="139"/>
      <c r="B349" s="71"/>
      <c r="C349" s="117"/>
      <c r="D349" s="25"/>
      <c r="E349" s="118"/>
      <c r="F349" s="118"/>
      <c r="G349" s="138"/>
      <c r="H349" s="26"/>
      <c r="I349" s="155"/>
      <c r="J349" s="200"/>
      <c r="K349" s="155"/>
      <c r="L349" s="155"/>
      <c r="M349" s="155"/>
      <c r="N349" s="155"/>
      <c r="O349" s="155"/>
      <c r="P349" s="155"/>
      <c r="Q349" s="155"/>
      <c r="R349" s="155"/>
      <c r="S349" s="155"/>
      <c r="T349" s="155"/>
      <c r="U349" s="155"/>
      <c r="V349" s="155"/>
      <c r="W349" s="155"/>
      <c r="X349" s="155"/>
      <c r="Y349" s="155"/>
      <c r="Z349" s="155"/>
      <c r="AA349" s="155"/>
    </row>
    <row r="350" ht="22.5" customHeight="1">
      <c r="A350" s="139"/>
      <c r="B350" s="71"/>
      <c r="C350" s="117"/>
      <c r="D350" s="25"/>
      <c r="E350" s="118"/>
      <c r="F350" s="118"/>
      <c r="G350" s="138"/>
      <c r="H350" s="26"/>
      <c r="I350" s="155"/>
      <c r="J350" s="200"/>
      <c r="K350" s="155"/>
      <c r="L350" s="155"/>
      <c r="M350" s="155"/>
      <c r="N350" s="155"/>
      <c r="O350" s="155"/>
      <c r="P350" s="155"/>
      <c r="Q350" s="155"/>
      <c r="R350" s="155"/>
      <c r="S350" s="155"/>
      <c r="T350" s="155"/>
      <c r="U350" s="155"/>
      <c r="V350" s="155"/>
      <c r="W350" s="155"/>
      <c r="X350" s="155"/>
      <c r="Y350" s="155"/>
      <c r="Z350" s="155"/>
      <c r="AA350" s="155"/>
    </row>
    <row r="351" ht="22.5" customHeight="1">
      <c r="A351" s="139"/>
      <c r="B351" s="71"/>
      <c r="C351" s="117"/>
      <c r="D351" s="25"/>
      <c r="E351" s="118"/>
      <c r="F351" s="118"/>
      <c r="G351" s="138"/>
      <c r="H351" s="26"/>
      <c r="I351" s="155"/>
      <c r="J351" s="200"/>
      <c r="K351" s="155"/>
      <c r="L351" s="155"/>
      <c r="M351" s="155"/>
      <c r="N351" s="155"/>
      <c r="O351" s="155"/>
      <c r="P351" s="155"/>
      <c r="Q351" s="155"/>
      <c r="R351" s="155"/>
      <c r="S351" s="155"/>
      <c r="T351" s="155"/>
      <c r="U351" s="155"/>
      <c r="V351" s="155"/>
      <c r="W351" s="155"/>
      <c r="X351" s="155"/>
      <c r="Y351" s="155"/>
      <c r="Z351" s="155"/>
      <c r="AA351" s="155"/>
    </row>
    <row r="352" ht="22.5" customHeight="1">
      <c r="A352" s="139"/>
      <c r="B352" s="71"/>
      <c r="C352" s="117"/>
      <c r="D352" s="25"/>
      <c r="E352" s="118"/>
      <c r="F352" s="118"/>
      <c r="G352" s="138"/>
      <c r="H352" s="26"/>
      <c r="I352" s="155"/>
      <c r="J352" s="200"/>
      <c r="K352" s="155"/>
      <c r="L352" s="155"/>
      <c r="M352" s="155"/>
      <c r="N352" s="155"/>
      <c r="O352" s="155"/>
      <c r="P352" s="155"/>
      <c r="Q352" s="155"/>
      <c r="R352" s="155"/>
      <c r="S352" s="155"/>
      <c r="T352" s="155"/>
      <c r="U352" s="155"/>
      <c r="V352" s="155"/>
      <c r="W352" s="155"/>
      <c r="X352" s="155"/>
      <c r="Y352" s="155"/>
      <c r="Z352" s="155"/>
      <c r="AA352" s="155"/>
    </row>
    <row r="353" ht="22.5" customHeight="1">
      <c r="A353" s="139"/>
      <c r="B353" s="71"/>
      <c r="C353" s="117"/>
      <c r="D353" s="25"/>
      <c r="E353" s="118"/>
      <c r="F353" s="118"/>
      <c r="G353" s="138"/>
      <c r="H353" s="26"/>
      <c r="I353" s="155"/>
      <c r="J353" s="200"/>
      <c r="K353" s="155"/>
      <c r="L353" s="155"/>
      <c r="M353" s="155"/>
      <c r="N353" s="155"/>
      <c r="O353" s="155"/>
      <c r="P353" s="155"/>
      <c r="Q353" s="155"/>
      <c r="R353" s="155"/>
      <c r="S353" s="155"/>
      <c r="T353" s="155"/>
      <c r="U353" s="155"/>
      <c r="V353" s="155"/>
      <c r="W353" s="155"/>
      <c r="X353" s="155"/>
      <c r="Y353" s="155"/>
      <c r="Z353" s="155"/>
      <c r="AA353" s="155"/>
    </row>
    <row r="354" ht="22.5" customHeight="1">
      <c r="A354" s="139"/>
      <c r="B354" s="71"/>
      <c r="C354" s="117"/>
      <c r="D354" s="25"/>
      <c r="E354" s="118"/>
      <c r="F354" s="118"/>
      <c r="G354" s="138"/>
      <c r="H354" s="26"/>
      <c r="I354" s="155"/>
      <c r="J354" s="200"/>
      <c r="K354" s="155"/>
      <c r="L354" s="155"/>
      <c r="M354" s="155"/>
      <c r="N354" s="155"/>
      <c r="O354" s="155"/>
      <c r="P354" s="155"/>
      <c r="Q354" s="155"/>
      <c r="R354" s="155"/>
      <c r="S354" s="155"/>
      <c r="T354" s="155"/>
      <c r="U354" s="155"/>
      <c r="V354" s="155"/>
      <c r="W354" s="155"/>
      <c r="X354" s="155"/>
      <c r="Y354" s="155"/>
      <c r="Z354" s="155"/>
      <c r="AA354" s="155"/>
    </row>
    <row r="355" ht="22.5" customHeight="1">
      <c r="A355" s="139"/>
      <c r="B355" s="71"/>
      <c r="C355" s="117"/>
      <c r="D355" s="25"/>
      <c r="E355" s="118"/>
      <c r="F355" s="118"/>
      <c r="G355" s="138"/>
      <c r="H355" s="26"/>
      <c r="I355" s="155"/>
      <c r="J355" s="200"/>
      <c r="K355" s="155"/>
      <c r="L355" s="155"/>
      <c r="M355" s="155"/>
      <c r="N355" s="155"/>
      <c r="O355" s="155"/>
      <c r="P355" s="155"/>
      <c r="Q355" s="155"/>
      <c r="R355" s="155"/>
      <c r="S355" s="155"/>
      <c r="T355" s="155"/>
      <c r="U355" s="155"/>
      <c r="V355" s="155"/>
      <c r="W355" s="155"/>
      <c r="X355" s="155"/>
      <c r="Y355" s="155"/>
      <c r="Z355" s="155"/>
      <c r="AA355" s="155"/>
    </row>
    <row r="356" ht="22.5" customHeight="1">
      <c r="A356" s="139"/>
      <c r="B356" s="71"/>
      <c r="C356" s="117"/>
      <c r="D356" s="25"/>
      <c r="E356" s="118"/>
      <c r="F356" s="118"/>
      <c r="G356" s="138"/>
      <c r="H356" s="26"/>
      <c r="I356" s="155"/>
      <c r="J356" s="200"/>
      <c r="K356" s="155"/>
      <c r="L356" s="155"/>
      <c r="M356" s="155"/>
      <c r="N356" s="155"/>
      <c r="O356" s="155"/>
      <c r="P356" s="155"/>
      <c r="Q356" s="155"/>
      <c r="R356" s="155"/>
      <c r="S356" s="155"/>
      <c r="T356" s="155"/>
      <c r="U356" s="155"/>
      <c r="V356" s="155"/>
      <c r="W356" s="155"/>
      <c r="X356" s="155"/>
      <c r="Y356" s="155"/>
      <c r="Z356" s="155"/>
      <c r="AA356" s="155"/>
    </row>
    <row r="357" ht="22.5" customHeight="1">
      <c r="A357" s="139"/>
      <c r="B357" s="71"/>
      <c r="C357" s="117"/>
      <c r="D357" s="25"/>
      <c r="E357" s="118"/>
      <c r="F357" s="118"/>
      <c r="G357" s="138"/>
      <c r="H357" s="26"/>
      <c r="I357" s="155"/>
      <c r="J357" s="200"/>
      <c r="K357" s="155"/>
      <c r="L357" s="155"/>
      <c r="M357" s="155"/>
      <c r="N357" s="155"/>
      <c r="O357" s="155"/>
      <c r="P357" s="155"/>
      <c r="Q357" s="155"/>
      <c r="R357" s="155"/>
      <c r="S357" s="155"/>
      <c r="T357" s="155"/>
      <c r="U357" s="155"/>
      <c r="V357" s="155"/>
      <c r="W357" s="155"/>
      <c r="X357" s="155"/>
      <c r="Y357" s="155"/>
      <c r="Z357" s="155"/>
      <c r="AA357" s="155"/>
    </row>
    <row r="358" ht="22.5" customHeight="1">
      <c r="A358" s="139"/>
      <c r="B358" s="71"/>
      <c r="C358" s="117"/>
      <c r="D358" s="25"/>
      <c r="E358" s="118"/>
      <c r="F358" s="118"/>
      <c r="G358" s="138"/>
      <c r="H358" s="26"/>
      <c r="I358" s="155"/>
      <c r="J358" s="200"/>
      <c r="K358" s="155"/>
      <c r="L358" s="155"/>
      <c r="M358" s="155"/>
      <c r="N358" s="155"/>
      <c r="O358" s="155"/>
      <c r="P358" s="155"/>
      <c r="Q358" s="155"/>
      <c r="R358" s="155"/>
      <c r="S358" s="155"/>
      <c r="T358" s="155"/>
      <c r="U358" s="155"/>
      <c r="V358" s="155"/>
      <c r="W358" s="155"/>
      <c r="X358" s="155"/>
      <c r="Y358" s="155"/>
      <c r="Z358" s="155"/>
      <c r="AA358" s="155"/>
    </row>
    <row r="359" ht="22.5" customHeight="1">
      <c r="A359" s="139"/>
      <c r="B359" s="71"/>
      <c r="C359" s="117"/>
      <c r="D359" s="25"/>
      <c r="E359" s="118"/>
      <c r="F359" s="118"/>
      <c r="G359" s="138"/>
      <c r="H359" s="26"/>
      <c r="I359" s="155"/>
      <c r="J359" s="200"/>
      <c r="K359" s="155"/>
      <c r="L359" s="155"/>
      <c r="M359" s="155"/>
      <c r="N359" s="155"/>
      <c r="O359" s="155"/>
      <c r="P359" s="155"/>
      <c r="Q359" s="155"/>
      <c r="R359" s="155"/>
      <c r="S359" s="155"/>
      <c r="T359" s="155"/>
      <c r="U359" s="155"/>
      <c r="V359" s="155"/>
      <c r="W359" s="155"/>
      <c r="X359" s="155"/>
      <c r="Y359" s="155"/>
      <c r="Z359" s="155"/>
      <c r="AA359" s="155"/>
    </row>
    <row r="360" ht="22.5" customHeight="1">
      <c r="A360" s="139"/>
      <c r="B360" s="71"/>
      <c r="C360" s="117"/>
      <c r="D360" s="25"/>
      <c r="E360" s="118"/>
      <c r="F360" s="118"/>
      <c r="G360" s="138"/>
      <c r="H360" s="26"/>
      <c r="I360" s="155"/>
      <c r="J360" s="200"/>
      <c r="K360" s="155"/>
      <c r="L360" s="155"/>
      <c r="M360" s="155"/>
      <c r="N360" s="155"/>
      <c r="O360" s="155"/>
      <c r="P360" s="155"/>
      <c r="Q360" s="155"/>
      <c r="R360" s="155"/>
      <c r="S360" s="155"/>
      <c r="T360" s="155"/>
      <c r="U360" s="155"/>
      <c r="V360" s="155"/>
      <c r="W360" s="155"/>
      <c r="X360" s="155"/>
      <c r="Y360" s="155"/>
      <c r="Z360" s="155"/>
      <c r="AA360" s="155"/>
    </row>
    <row r="361" ht="22.5" customHeight="1">
      <c r="A361" s="139"/>
      <c r="B361" s="71"/>
      <c r="C361" s="117"/>
      <c r="D361" s="25"/>
      <c r="E361" s="118"/>
      <c r="F361" s="118"/>
      <c r="G361" s="138"/>
      <c r="H361" s="26"/>
      <c r="I361" s="155"/>
      <c r="J361" s="200"/>
      <c r="K361" s="155"/>
      <c r="L361" s="155"/>
      <c r="M361" s="155"/>
      <c r="N361" s="155"/>
      <c r="O361" s="155"/>
      <c r="P361" s="155"/>
      <c r="Q361" s="155"/>
      <c r="R361" s="155"/>
      <c r="S361" s="155"/>
      <c r="T361" s="155"/>
      <c r="U361" s="155"/>
      <c r="V361" s="155"/>
      <c r="W361" s="155"/>
      <c r="X361" s="155"/>
      <c r="Y361" s="155"/>
      <c r="Z361" s="155"/>
      <c r="AA361" s="155"/>
    </row>
    <row r="362" ht="22.5" customHeight="1">
      <c r="A362" s="139"/>
      <c r="B362" s="71"/>
      <c r="C362" s="117"/>
      <c r="D362" s="25"/>
      <c r="E362" s="118"/>
      <c r="F362" s="118"/>
      <c r="G362" s="138"/>
      <c r="H362" s="26"/>
      <c r="I362" s="155"/>
      <c r="J362" s="200"/>
      <c r="K362" s="155"/>
      <c r="L362" s="155"/>
      <c r="M362" s="155"/>
      <c r="N362" s="155"/>
      <c r="O362" s="155"/>
      <c r="P362" s="155"/>
      <c r="Q362" s="155"/>
      <c r="R362" s="155"/>
      <c r="S362" s="155"/>
      <c r="T362" s="155"/>
      <c r="U362" s="155"/>
      <c r="V362" s="155"/>
      <c r="W362" s="155"/>
      <c r="X362" s="155"/>
      <c r="Y362" s="155"/>
      <c r="Z362" s="155"/>
      <c r="AA362" s="155"/>
    </row>
    <row r="363" ht="22.5" customHeight="1">
      <c r="A363" s="139"/>
      <c r="B363" s="71"/>
      <c r="C363" s="117"/>
      <c r="D363" s="25"/>
      <c r="E363" s="118"/>
      <c r="F363" s="118"/>
      <c r="G363" s="138"/>
      <c r="H363" s="26"/>
      <c r="I363" s="155"/>
      <c r="J363" s="200"/>
      <c r="K363" s="155"/>
      <c r="L363" s="155"/>
      <c r="M363" s="155"/>
      <c r="N363" s="155"/>
      <c r="O363" s="155"/>
      <c r="P363" s="155"/>
      <c r="Q363" s="155"/>
      <c r="R363" s="155"/>
      <c r="S363" s="155"/>
      <c r="T363" s="155"/>
      <c r="U363" s="155"/>
      <c r="V363" s="155"/>
      <c r="W363" s="155"/>
      <c r="X363" s="155"/>
      <c r="Y363" s="155"/>
      <c r="Z363" s="155"/>
      <c r="AA363" s="155"/>
    </row>
    <row r="364" ht="22.5" customHeight="1">
      <c r="A364" s="139"/>
      <c r="B364" s="71"/>
      <c r="C364" s="117"/>
      <c r="D364" s="25"/>
      <c r="E364" s="118"/>
      <c r="F364" s="118"/>
      <c r="G364" s="138"/>
      <c r="H364" s="26"/>
      <c r="I364" s="155"/>
      <c r="J364" s="200"/>
      <c r="K364" s="155"/>
      <c r="L364" s="155"/>
      <c r="M364" s="155"/>
      <c r="N364" s="155"/>
      <c r="O364" s="155"/>
      <c r="P364" s="155"/>
      <c r="Q364" s="155"/>
      <c r="R364" s="155"/>
      <c r="S364" s="155"/>
      <c r="T364" s="155"/>
      <c r="U364" s="155"/>
      <c r="V364" s="155"/>
      <c r="W364" s="155"/>
      <c r="X364" s="155"/>
      <c r="Y364" s="155"/>
      <c r="Z364" s="155"/>
      <c r="AA364" s="155"/>
    </row>
    <row r="365" ht="22.5" customHeight="1">
      <c r="A365" s="139"/>
      <c r="B365" s="71"/>
      <c r="C365" s="117"/>
      <c r="D365" s="25"/>
      <c r="E365" s="118"/>
      <c r="F365" s="118"/>
      <c r="G365" s="138"/>
      <c r="H365" s="26"/>
      <c r="I365" s="155"/>
      <c r="J365" s="200"/>
      <c r="K365" s="155"/>
      <c r="L365" s="155"/>
      <c r="M365" s="155"/>
      <c r="N365" s="155"/>
      <c r="O365" s="155"/>
      <c r="P365" s="155"/>
      <c r="Q365" s="155"/>
      <c r="R365" s="155"/>
      <c r="S365" s="155"/>
      <c r="T365" s="155"/>
      <c r="U365" s="155"/>
      <c r="V365" s="155"/>
      <c r="W365" s="155"/>
      <c r="X365" s="155"/>
      <c r="Y365" s="155"/>
      <c r="Z365" s="155"/>
      <c r="AA365" s="155"/>
    </row>
    <row r="366" ht="22.5" customHeight="1">
      <c r="A366" s="139"/>
      <c r="B366" s="71"/>
      <c r="C366" s="117"/>
      <c r="D366" s="25"/>
      <c r="E366" s="118"/>
      <c r="F366" s="118"/>
      <c r="G366" s="138"/>
      <c r="H366" s="26"/>
      <c r="I366" s="155"/>
      <c r="J366" s="200"/>
      <c r="K366" s="155"/>
      <c r="L366" s="155"/>
      <c r="M366" s="155"/>
      <c r="N366" s="155"/>
      <c r="O366" s="155"/>
      <c r="P366" s="155"/>
      <c r="Q366" s="155"/>
      <c r="R366" s="155"/>
      <c r="S366" s="155"/>
      <c r="T366" s="155"/>
      <c r="U366" s="155"/>
      <c r="V366" s="155"/>
      <c r="W366" s="155"/>
      <c r="X366" s="155"/>
      <c r="Y366" s="155"/>
      <c r="Z366" s="155"/>
      <c r="AA366" s="155"/>
    </row>
    <row r="367" ht="22.5" customHeight="1">
      <c r="A367" s="139"/>
      <c r="B367" s="71"/>
      <c r="C367" s="117"/>
      <c r="D367" s="25"/>
      <c r="E367" s="118"/>
      <c r="F367" s="118"/>
      <c r="G367" s="138"/>
      <c r="H367" s="26"/>
      <c r="I367" s="155"/>
      <c r="J367" s="200"/>
      <c r="K367" s="155"/>
      <c r="L367" s="155"/>
      <c r="M367" s="155"/>
      <c r="N367" s="155"/>
      <c r="O367" s="155"/>
      <c r="P367" s="155"/>
      <c r="Q367" s="155"/>
      <c r="R367" s="155"/>
      <c r="S367" s="155"/>
      <c r="T367" s="155"/>
      <c r="U367" s="155"/>
      <c r="V367" s="155"/>
      <c r="W367" s="155"/>
      <c r="X367" s="155"/>
      <c r="Y367" s="155"/>
      <c r="Z367" s="155"/>
      <c r="AA367" s="155"/>
    </row>
    <row r="368" ht="22.5" customHeight="1">
      <c r="A368" s="139"/>
      <c r="B368" s="71"/>
      <c r="C368" s="117"/>
      <c r="D368" s="25"/>
      <c r="E368" s="118"/>
      <c r="F368" s="118"/>
      <c r="G368" s="138"/>
      <c r="H368" s="26"/>
      <c r="I368" s="155"/>
      <c r="J368" s="200"/>
      <c r="K368" s="155"/>
      <c r="L368" s="155"/>
      <c r="M368" s="155"/>
      <c r="N368" s="155"/>
      <c r="O368" s="155"/>
      <c r="P368" s="155"/>
      <c r="Q368" s="155"/>
      <c r="R368" s="155"/>
      <c r="S368" s="155"/>
      <c r="T368" s="155"/>
      <c r="U368" s="155"/>
      <c r="V368" s="155"/>
      <c r="W368" s="155"/>
      <c r="X368" s="155"/>
      <c r="Y368" s="155"/>
      <c r="Z368" s="155"/>
      <c r="AA368" s="155"/>
    </row>
    <row r="369" ht="22.5" customHeight="1">
      <c r="A369" s="139"/>
      <c r="B369" s="71"/>
      <c r="C369" s="117"/>
      <c r="D369" s="25"/>
      <c r="E369" s="118"/>
      <c r="F369" s="118"/>
      <c r="G369" s="138"/>
      <c r="H369" s="26"/>
      <c r="I369" s="155"/>
      <c r="J369" s="200"/>
      <c r="K369" s="155"/>
      <c r="L369" s="155"/>
      <c r="M369" s="155"/>
      <c r="N369" s="155"/>
      <c r="O369" s="155"/>
      <c r="P369" s="155"/>
      <c r="Q369" s="155"/>
      <c r="R369" s="155"/>
      <c r="S369" s="155"/>
      <c r="T369" s="155"/>
      <c r="U369" s="155"/>
      <c r="V369" s="155"/>
      <c r="W369" s="155"/>
      <c r="X369" s="155"/>
      <c r="Y369" s="155"/>
      <c r="Z369" s="155"/>
      <c r="AA369" s="155"/>
    </row>
    <row r="370" ht="22.5" customHeight="1">
      <c r="A370" s="139"/>
      <c r="B370" s="71"/>
      <c r="C370" s="117"/>
      <c r="D370" s="25"/>
      <c r="E370" s="118"/>
      <c r="F370" s="118"/>
      <c r="G370" s="138"/>
      <c r="H370" s="26"/>
      <c r="I370" s="155"/>
      <c r="J370" s="200"/>
      <c r="K370" s="155"/>
      <c r="L370" s="155"/>
      <c r="M370" s="155"/>
      <c r="N370" s="155"/>
      <c r="O370" s="155"/>
      <c r="P370" s="155"/>
      <c r="Q370" s="155"/>
      <c r="R370" s="155"/>
      <c r="S370" s="155"/>
      <c r="T370" s="155"/>
      <c r="U370" s="155"/>
      <c r="V370" s="155"/>
      <c r="W370" s="155"/>
      <c r="X370" s="155"/>
      <c r="Y370" s="155"/>
      <c r="Z370" s="155"/>
      <c r="AA370" s="155"/>
    </row>
    <row r="371" ht="22.5" customHeight="1">
      <c r="A371" s="139"/>
      <c r="B371" s="71"/>
      <c r="C371" s="117"/>
      <c r="D371" s="25"/>
      <c r="E371" s="118"/>
      <c r="F371" s="118"/>
      <c r="G371" s="138"/>
      <c r="H371" s="26"/>
      <c r="I371" s="155"/>
      <c r="J371" s="200"/>
      <c r="K371" s="155"/>
      <c r="L371" s="155"/>
      <c r="M371" s="155"/>
      <c r="N371" s="155"/>
      <c r="O371" s="155"/>
      <c r="P371" s="155"/>
      <c r="Q371" s="155"/>
      <c r="R371" s="155"/>
      <c r="S371" s="155"/>
      <c r="T371" s="155"/>
      <c r="U371" s="155"/>
      <c r="V371" s="155"/>
      <c r="W371" s="155"/>
      <c r="X371" s="155"/>
      <c r="Y371" s="155"/>
      <c r="Z371" s="155"/>
      <c r="AA371" s="155"/>
    </row>
    <row r="372" ht="22.5" customHeight="1">
      <c r="A372" s="139"/>
      <c r="B372" s="71"/>
      <c r="C372" s="117"/>
      <c r="D372" s="25"/>
      <c r="E372" s="118"/>
      <c r="F372" s="118"/>
      <c r="G372" s="138"/>
      <c r="H372" s="26"/>
      <c r="I372" s="155"/>
      <c r="J372" s="200"/>
      <c r="K372" s="155"/>
      <c r="L372" s="155"/>
      <c r="M372" s="155"/>
      <c r="N372" s="155"/>
      <c r="O372" s="155"/>
      <c r="P372" s="155"/>
      <c r="Q372" s="155"/>
      <c r="R372" s="155"/>
      <c r="S372" s="155"/>
      <c r="T372" s="155"/>
      <c r="U372" s="155"/>
      <c r="V372" s="155"/>
      <c r="W372" s="155"/>
      <c r="X372" s="155"/>
      <c r="Y372" s="155"/>
      <c r="Z372" s="155"/>
      <c r="AA372" s="155"/>
    </row>
    <row r="373" ht="22.5" customHeight="1">
      <c r="A373" s="139"/>
      <c r="B373" s="71"/>
      <c r="C373" s="117"/>
      <c r="D373" s="25"/>
      <c r="E373" s="118"/>
      <c r="F373" s="118"/>
      <c r="G373" s="138"/>
      <c r="H373" s="26"/>
      <c r="I373" s="155"/>
      <c r="J373" s="200"/>
      <c r="K373" s="155"/>
      <c r="L373" s="155"/>
      <c r="M373" s="155"/>
      <c r="N373" s="155"/>
      <c r="O373" s="155"/>
      <c r="P373" s="155"/>
      <c r="Q373" s="155"/>
      <c r="R373" s="155"/>
      <c r="S373" s="155"/>
      <c r="T373" s="155"/>
      <c r="U373" s="155"/>
      <c r="V373" s="155"/>
      <c r="W373" s="155"/>
      <c r="X373" s="155"/>
      <c r="Y373" s="155"/>
      <c r="Z373" s="155"/>
      <c r="AA373" s="155"/>
    </row>
    <row r="374" ht="22.5" customHeight="1">
      <c r="A374" s="139"/>
      <c r="B374" s="71"/>
      <c r="C374" s="117"/>
      <c r="D374" s="25"/>
      <c r="E374" s="118"/>
      <c r="F374" s="118"/>
      <c r="G374" s="138"/>
      <c r="H374" s="26"/>
      <c r="I374" s="155"/>
      <c r="J374" s="200"/>
      <c r="K374" s="155"/>
      <c r="L374" s="155"/>
      <c r="M374" s="155"/>
      <c r="N374" s="155"/>
      <c r="O374" s="155"/>
      <c r="P374" s="155"/>
      <c r="Q374" s="155"/>
      <c r="R374" s="155"/>
      <c r="S374" s="155"/>
      <c r="T374" s="155"/>
      <c r="U374" s="155"/>
      <c r="V374" s="155"/>
      <c r="W374" s="155"/>
      <c r="X374" s="155"/>
      <c r="Y374" s="155"/>
      <c r="Z374" s="155"/>
      <c r="AA374" s="155"/>
    </row>
    <row r="375" ht="22.5" customHeight="1">
      <c r="A375" s="139"/>
      <c r="B375" s="71"/>
      <c r="C375" s="117"/>
      <c r="D375" s="25"/>
      <c r="E375" s="118"/>
      <c r="F375" s="118"/>
      <c r="G375" s="138"/>
      <c r="H375" s="26"/>
      <c r="I375" s="155"/>
      <c r="J375" s="200"/>
      <c r="K375" s="155"/>
      <c r="L375" s="155"/>
      <c r="M375" s="155"/>
      <c r="N375" s="155"/>
      <c r="O375" s="155"/>
      <c r="P375" s="155"/>
      <c r="Q375" s="155"/>
      <c r="R375" s="155"/>
      <c r="S375" s="155"/>
      <c r="T375" s="155"/>
      <c r="U375" s="155"/>
      <c r="V375" s="155"/>
      <c r="W375" s="155"/>
      <c r="X375" s="155"/>
      <c r="Y375" s="155"/>
      <c r="Z375" s="155"/>
      <c r="AA375" s="155"/>
    </row>
    <row r="376" ht="22.5" customHeight="1">
      <c r="A376" s="139"/>
      <c r="B376" s="71"/>
      <c r="C376" s="117"/>
      <c r="D376" s="25"/>
      <c r="E376" s="118"/>
      <c r="F376" s="118"/>
      <c r="G376" s="138"/>
      <c r="H376" s="26"/>
      <c r="I376" s="155"/>
      <c r="J376" s="200"/>
      <c r="K376" s="155"/>
      <c r="L376" s="155"/>
      <c r="M376" s="155"/>
      <c r="N376" s="155"/>
      <c r="O376" s="155"/>
      <c r="P376" s="155"/>
      <c r="Q376" s="155"/>
      <c r="R376" s="155"/>
      <c r="S376" s="155"/>
      <c r="T376" s="155"/>
      <c r="U376" s="155"/>
      <c r="V376" s="155"/>
      <c r="W376" s="155"/>
      <c r="X376" s="155"/>
      <c r="Y376" s="155"/>
      <c r="Z376" s="155"/>
      <c r="AA376" s="155"/>
    </row>
    <row r="377" ht="22.5" customHeight="1">
      <c r="A377" s="139"/>
      <c r="B377" s="71"/>
      <c r="C377" s="117"/>
      <c r="D377" s="25"/>
      <c r="E377" s="118"/>
      <c r="F377" s="118"/>
      <c r="G377" s="138"/>
      <c r="H377" s="26"/>
      <c r="I377" s="155"/>
      <c r="J377" s="200"/>
      <c r="K377" s="155"/>
      <c r="L377" s="155"/>
      <c r="M377" s="155"/>
      <c r="N377" s="155"/>
      <c r="O377" s="155"/>
      <c r="P377" s="155"/>
      <c r="Q377" s="155"/>
      <c r="R377" s="155"/>
      <c r="S377" s="155"/>
      <c r="T377" s="155"/>
      <c r="U377" s="155"/>
      <c r="V377" s="155"/>
      <c r="W377" s="155"/>
      <c r="X377" s="155"/>
      <c r="Y377" s="155"/>
      <c r="Z377" s="155"/>
      <c r="AA377" s="155"/>
    </row>
    <row r="378" ht="22.5" customHeight="1">
      <c r="A378" s="139"/>
      <c r="B378" s="71"/>
      <c r="C378" s="117"/>
      <c r="D378" s="25"/>
      <c r="E378" s="118"/>
      <c r="F378" s="118"/>
      <c r="G378" s="138"/>
      <c r="H378" s="26"/>
      <c r="I378" s="155"/>
      <c r="J378" s="200"/>
      <c r="K378" s="155"/>
      <c r="L378" s="155"/>
      <c r="M378" s="155"/>
      <c r="N378" s="155"/>
      <c r="O378" s="155"/>
      <c r="P378" s="155"/>
      <c r="Q378" s="155"/>
      <c r="R378" s="155"/>
      <c r="S378" s="155"/>
      <c r="T378" s="155"/>
      <c r="U378" s="155"/>
      <c r="V378" s="155"/>
      <c r="W378" s="155"/>
      <c r="X378" s="155"/>
      <c r="Y378" s="155"/>
      <c r="Z378" s="155"/>
      <c r="AA378" s="155"/>
    </row>
    <row r="379" ht="22.5" customHeight="1">
      <c r="A379" s="139"/>
      <c r="B379" s="71"/>
      <c r="C379" s="117"/>
      <c r="D379" s="25"/>
      <c r="E379" s="118"/>
      <c r="F379" s="118"/>
      <c r="G379" s="138"/>
      <c r="H379" s="26"/>
      <c r="I379" s="155"/>
      <c r="J379" s="200"/>
      <c r="K379" s="155"/>
      <c r="L379" s="155"/>
      <c r="M379" s="155"/>
      <c r="N379" s="155"/>
      <c r="O379" s="155"/>
      <c r="P379" s="155"/>
      <c r="Q379" s="155"/>
      <c r="R379" s="155"/>
      <c r="S379" s="155"/>
      <c r="T379" s="155"/>
      <c r="U379" s="155"/>
      <c r="V379" s="155"/>
      <c r="W379" s="155"/>
      <c r="X379" s="155"/>
      <c r="Y379" s="155"/>
      <c r="Z379" s="155"/>
      <c r="AA379" s="155"/>
    </row>
    <row r="380" ht="22.5" customHeight="1">
      <c r="A380" s="139"/>
      <c r="B380" s="71"/>
      <c r="C380" s="117"/>
      <c r="D380" s="25"/>
      <c r="E380" s="118"/>
      <c r="F380" s="118"/>
      <c r="G380" s="138"/>
      <c r="H380" s="26"/>
      <c r="I380" s="155"/>
      <c r="J380" s="200"/>
      <c r="K380" s="155"/>
      <c r="L380" s="155"/>
      <c r="M380" s="155"/>
      <c r="N380" s="155"/>
      <c r="O380" s="155"/>
      <c r="P380" s="155"/>
      <c r="Q380" s="155"/>
      <c r="R380" s="155"/>
      <c r="S380" s="155"/>
      <c r="T380" s="155"/>
      <c r="U380" s="155"/>
      <c r="V380" s="155"/>
      <c r="W380" s="155"/>
      <c r="X380" s="155"/>
      <c r="Y380" s="155"/>
      <c r="Z380" s="155"/>
      <c r="AA380" s="155"/>
    </row>
    <row r="381" ht="22.5" customHeight="1">
      <c r="A381" s="139"/>
      <c r="B381" s="71"/>
      <c r="C381" s="117"/>
      <c r="D381" s="25"/>
      <c r="E381" s="118"/>
      <c r="F381" s="118"/>
      <c r="G381" s="138"/>
      <c r="H381" s="26"/>
      <c r="I381" s="155"/>
      <c r="J381" s="200"/>
      <c r="K381" s="155"/>
      <c r="L381" s="155"/>
      <c r="M381" s="155"/>
      <c r="N381" s="155"/>
      <c r="O381" s="155"/>
      <c r="P381" s="155"/>
      <c r="Q381" s="155"/>
      <c r="R381" s="155"/>
      <c r="S381" s="155"/>
      <c r="T381" s="155"/>
      <c r="U381" s="155"/>
      <c r="V381" s="155"/>
      <c r="W381" s="155"/>
      <c r="X381" s="155"/>
      <c r="Y381" s="155"/>
      <c r="Z381" s="155"/>
      <c r="AA381" s="155"/>
    </row>
    <row r="382" ht="22.5" customHeight="1">
      <c r="A382" s="139"/>
      <c r="B382" s="71"/>
      <c r="C382" s="117"/>
      <c r="D382" s="25"/>
      <c r="E382" s="118"/>
      <c r="F382" s="118"/>
      <c r="G382" s="138"/>
      <c r="H382" s="26"/>
      <c r="I382" s="155"/>
      <c r="J382" s="200"/>
      <c r="K382" s="155"/>
      <c r="L382" s="155"/>
      <c r="M382" s="155"/>
      <c r="N382" s="155"/>
      <c r="O382" s="155"/>
      <c r="P382" s="155"/>
      <c r="Q382" s="155"/>
      <c r="R382" s="155"/>
      <c r="S382" s="155"/>
      <c r="T382" s="155"/>
      <c r="U382" s="155"/>
      <c r="V382" s="155"/>
      <c r="W382" s="155"/>
      <c r="X382" s="155"/>
      <c r="Y382" s="155"/>
      <c r="Z382" s="155"/>
      <c r="AA382" s="155"/>
    </row>
    <row r="383" ht="22.5" customHeight="1">
      <c r="A383" s="139"/>
      <c r="B383" s="71"/>
      <c r="C383" s="117"/>
      <c r="D383" s="25"/>
      <c r="E383" s="118"/>
      <c r="F383" s="118"/>
      <c r="G383" s="138"/>
      <c r="H383" s="26"/>
      <c r="I383" s="155"/>
      <c r="J383" s="200"/>
      <c r="K383" s="155"/>
      <c r="L383" s="155"/>
      <c r="M383" s="155"/>
      <c r="N383" s="155"/>
      <c r="O383" s="155"/>
      <c r="P383" s="155"/>
      <c r="Q383" s="155"/>
      <c r="R383" s="155"/>
      <c r="S383" s="155"/>
      <c r="T383" s="155"/>
      <c r="U383" s="155"/>
      <c r="V383" s="155"/>
      <c r="W383" s="155"/>
      <c r="X383" s="155"/>
      <c r="Y383" s="155"/>
      <c r="Z383" s="155"/>
      <c r="AA383" s="155"/>
    </row>
    <row r="384" ht="22.5" customHeight="1">
      <c r="A384" s="139"/>
      <c r="B384" s="71"/>
      <c r="C384" s="117"/>
      <c r="D384" s="25"/>
      <c r="E384" s="118"/>
      <c r="F384" s="118"/>
      <c r="G384" s="138"/>
      <c r="H384" s="26"/>
      <c r="I384" s="155"/>
      <c r="J384" s="200"/>
      <c r="K384" s="155"/>
      <c r="L384" s="155"/>
      <c r="M384" s="155"/>
      <c r="N384" s="155"/>
      <c r="O384" s="155"/>
      <c r="P384" s="155"/>
      <c r="Q384" s="155"/>
      <c r="R384" s="155"/>
      <c r="S384" s="155"/>
      <c r="T384" s="155"/>
      <c r="U384" s="155"/>
      <c r="V384" s="155"/>
      <c r="W384" s="155"/>
      <c r="X384" s="155"/>
      <c r="Y384" s="155"/>
      <c r="Z384" s="155"/>
      <c r="AA384" s="155"/>
    </row>
    <row r="385" ht="22.5" customHeight="1">
      <c r="A385" s="139"/>
      <c r="B385" s="71"/>
      <c r="C385" s="117"/>
      <c r="D385" s="25"/>
      <c r="E385" s="118"/>
      <c r="F385" s="118"/>
      <c r="G385" s="138"/>
      <c r="H385" s="26"/>
      <c r="I385" s="155"/>
      <c r="J385" s="200"/>
      <c r="K385" s="155"/>
      <c r="L385" s="155"/>
      <c r="M385" s="155"/>
      <c r="N385" s="155"/>
      <c r="O385" s="155"/>
      <c r="P385" s="155"/>
      <c r="Q385" s="155"/>
      <c r="R385" s="155"/>
      <c r="S385" s="155"/>
      <c r="T385" s="155"/>
      <c r="U385" s="155"/>
      <c r="V385" s="155"/>
      <c r="W385" s="155"/>
      <c r="X385" s="155"/>
      <c r="Y385" s="155"/>
      <c r="Z385" s="155"/>
      <c r="AA385" s="155"/>
    </row>
    <row r="386" ht="22.5" customHeight="1">
      <c r="A386" s="139"/>
      <c r="B386" s="71"/>
      <c r="C386" s="117"/>
      <c r="D386" s="25"/>
      <c r="E386" s="118"/>
      <c r="F386" s="118"/>
      <c r="G386" s="138"/>
      <c r="H386" s="26"/>
      <c r="I386" s="155"/>
      <c r="J386" s="200"/>
      <c r="K386" s="155"/>
      <c r="L386" s="155"/>
      <c r="M386" s="155"/>
      <c r="N386" s="155"/>
      <c r="O386" s="155"/>
      <c r="P386" s="155"/>
      <c r="Q386" s="155"/>
      <c r="R386" s="155"/>
      <c r="S386" s="155"/>
      <c r="T386" s="155"/>
      <c r="U386" s="155"/>
      <c r="V386" s="155"/>
      <c r="W386" s="155"/>
      <c r="X386" s="155"/>
      <c r="Y386" s="155"/>
      <c r="Z386" s="155"/>
      <c r="AA386" s="155"/>
    </row>
    <row r="387" ht="22.5" customHeight="1">
      <c r="A387" s="139"/>
      <c r="B387" s="71"/>
      <c r="C387" s="117"/>
      <c r="D387" s="25"/>
      <c r="E387" s="118"/>
      <c r="F387" s="118"/>
      <c r="G387" s="138"/>
      <c r="H387" s="26"/>
      <c r="I387" s="155"/>
      <c r="J387" s="200"/>
      <c r="K387" s="155"/>
      <c r="L387" s="155"/>
      <c r="M387" s="155"/>
      <c r="N387" s="155"/>
      <c r="O387" s="155"/>
      <c r="P387" s="155"/>
      <c r="Q387" s="155"/>
      <c r="R387" s="155"/>
      <c r="S387" s="155"/>
      <c r="T387" s="155"/>
      <c r="U387" s="155"/>
      <c r="V387" s="155"/>
      <c r="W387" s="155"/>
      <c r="X387" s="155"/>
      <c r="Y387" s="155"/>
      <c r="Z387" s="155"/>
      <c r="AA387" s="155"/>
    </row>
    <row r="388" ht="22.5" customHeight="1">
      <c r="A388" s="139"/>
      <c r="B388" s="71"/>
      <c r="C388" s="117"/>
      <c r="D388" s="25"/>
      <c r="E388" s="118"/>
      <c r="F388" s="118"/>
      <c r="G388" s="138"/>
      <c r="H388" s="26"/>
      <c r="I388" s="155"/>
      <c r="J388" s="200"/>
      <c r="K388" s="155"/>
      <c r="L388" s="155"/>
      <c r="M388" s="155"/>
      <c r="N388" s="155"/>
      <c r="O388" s="155"/>
      <c r="P388" s="155"/>
      <c r="Q388" s="155"/>
      <c r="R388" s="155"/>
      <c r="S388" s="155"/>
      <c r="T388" s="155"/>
      <c r="U388" s="155"/>
      <c r="V388" s="155"/>
      <c r="W388" s="155"/>
      <c r="X388" s="155"/>
      <c r="Y388" s="155"/>
      <c r="Z388" s="155"/>
      <c r="AA388" s="155"/>
    </row>
    <row r="389" ht="22.5" customHeight="1">
      <c r="A389" s="139"/>
      <c r="B389" s="71"/>
      <c r="C389" s="117"/>
      <c r="D389" s="25"/>
      <c r="E389" s="118"/>
      <c r="F389" s="118"/>
      <c r="G389" s="138"/>
      <c r="H389" s="26"/>
      <c r="I389" s="155"/>
      <c r="J389" s="200"/>
      <c r="K389" s="155"/>
      <c r="L389" s="155"/>
      <c r="M389" s="155"/>
      <c r="N389" s="155"/>
      <c r="O389" s="155"/>
      <c r="P389" s="155"/>
      <c r="Q389" s="155"/>
      <c r="R389" s="155"/>
      <c r="S389" s="155"/>
      <c r="T389" s="155"/>
      <c r="U389" s="155"/>
      <c r="V389" s="155"/>
      <c r="W389" s="155"/>
      <c r="X389" s="155"/>
      <c r="Y389" s="155"/>
      <c r="Z389" s="155"/>
      <c r="AA389" s="155"/>
    </row>
    <row r="390" ht="22.5" customHeight="1">
      <c r="A390" s="139"/>
      <c r="B390" s="71"/>
      <c r="C390" s="117"/>
      <c r="D390" s="25"/>
      <c r="E390" s="118"/>
      <c r="F390" s="118"/>
      <c r="G390" s="138"/>
      <c r="H390" s="26"/>
      <c r="I390" s="155"/>
      <c r="J390" s="200"/>
      <c r="K390" s="155"/>
      <c r="L390" s="155"/>
      <c r="M390" s="155"/>
      <c r="N390" s="155"/>
      <c r="O390" s="155"/>
      <c r="P390" s="155"/>
      <c r="Q390" s="155"/>
      <c r="R390" s="155"/>
      <c r="S390" s="155"/>
      <c r="T390" s="155"/>
      <c r="U390" s="155"/>
      <c r="V390" s="155"/>
      <c r="W390" s="155"/>
      <c r="X390" s="155"/>
      <c r="Y390" s="155"/>
      <c r="Z390" s="155"/>
      <c r="AA390" s="155"/>
    </row>
    <row r="391" ht="22.5" customHeight="1">
      <c r="A391" s="139"/>
      <c r="B391" s="71"/>
      <c r="C391" s="117"/>
      <c r="D391" s="25"/>
      <c r="E391" s="118"/>
      <c r="F391" s="118"/>
      <c r="G391" s="138"/>
      <c r="H391" s="26"/>
      <c r="I391" s="155"/>
      <c r="J391" s="200"/>
      <c r="K391" s="155"/>
      <c r="L391" s="155"/>
      <c r="M391" s="155"/>
      <c r="N391" s="155"/>
      <c r="O391" s="155"/>
      <c r="P391" s="155"/>
      <c r="Q391" s="155"/>
      <c r="R391" s="155"/>
      <c r="S391" s="155"/>
      <c r="T391" s="155"/>
      <c r="U391" s="155"/>
      <c r="V391" s="155"/>
      <c r="W391" s="155"/>
      <c r="X391" s="155"/>
      <c r="Y391" s="155"/>
      <c r="Z391" s="155"/>
      <c r="AA391" s="155"/>
    </row>
    <row r="392" ht="22.5" customHeight="1">
      <c r="A392" s="139"/>
      <c r="B392" s="71"/>
      <c r="C392" s="117"/>
      <c r="D392" s="25"/>
      <c r="E392" s="118"/>
      <c r="F392" s="118"/>
      <c r="G392" s="138"/>
      <c r="H392" s="26"/>
      <c r="I392" s="155"/>
      <c r="J392" s="200"/>
      <c r="K392" s="155"/>
      <c r="L392" s="155"/>
      <c r="M392" s="155"/>
      <c r="N392" s="155"/>
      <c r="O392" s="155"/>
      <c r="P392" s="155"/>
      <c r="Q392" s="155"/>
      <c r="R392" s="155"/>
      <c r="S392" s="155"/>
      <c r="T392" s="155"/>
      <c r="U392" s="155"/>
      <c r="V392" s="155"/>
      <c r="W392" s="155"/>
      <c r="X392" s="155"/>
      <c r="Y392" s="155"/>
      <c r="Z392" s="155"/>
      <c r="AA392" s="155"/>
    </row>
    <row r="393" ht="22.5" customHeight="1">
      <c r="A393" s="139"/>
      <c r="B393" s="71"/>
      <c r="C393" s="117"/>
      <c r="D393" s="25"/>
      <c r="E393" s="118"/>
      <c r="F393" s="118"/>
      <c r="G393" s="138"/>
      <c r="H393" s="26"/>
      <c r="I393" s="155"/>
      <c r="J393" s="200"/>
      <c r="K393" s="155"/>
      <c r="L393" s="155"/>
      <c r="M393" s="155"/>
      <c r="N393" s="155"/>
      <c r="O393" s="155"/>
      <c r="P393" s="155"/>
      <c r="Q393" s="155"/>
      <c r="R393" s="155"/>
      <c r="S393" s="155"/>
      <c r="T393" s="155"/>
      <c r="U393" s="155"/>
      <c r="V393" s="155"/>
      <c r="W393" s="155"/>
      <c r="X393" s="155"/>
      <c r="Y393" s="155"/>
      <c r="Z393" s="155"/>
      <c r="AA393" s="155"/>
    </row>
    <row r="394" ht="22.5" customHeight="1">
      <c r="A394" s="139"/>
      <c r="B394" s="71"/>
      <c r="C394" s="117"/>
      <c r="D394" s="25"/>
      <c r="E394" s="118"/>
      <c r="F394" s="118"/>
      <c r="G394" s="138"/>
      <c r="H394" s="26"/>
      <c r="I394" s="155"/>
      <c r="J394" s="200"/>
      <c r="K394" s="155"/>
      <c r="L394" s="155"/>
      <c r="M394" s="155"/>
      <c r="N394" s="155"/>
      <c r="O394" s="155"/>
      <c r="P394" s="155"/>
      <c r="Q394" s="155"/>
      <c r="R394" s="155"/>
      <c r="S394" s="155"/>
      <c r="T394" s="155"/>
      <c r="U394" s="155"/>
      <c r="V394" s="155"/>
      <c r="W394" s="155"/>
      <c r="X394" s="155"/>
      <c r="Y394" s="155"/>
      <c r="Z394" s="155"/>
      <c r="AA394" s="155"/>
    </row>
    <row r="395" ht="22.5" customHeight="1">
      <c r="A395" s="139"/>
      <c r="B395" s="71"/>
      <c r="C395" s="117"/>
      <c r="D395" s="25"/>
      <c r="E395" s="118"/>
      <c r="F395" s="118"/>
      <c r="G395" s="138"/>
      <c r="H395" s="26"/>
      <c r="I395" s="155"/>
      <c r="J395" s="200"/>
      <c r="K395" s="155"/>
      <c r="L395" s="155"/>
      <c r="M395" s="155"/>
      <c r="N395" s="155"/>
      <c r="O395" s="155"/>
      <c r="P395" s="155"/>
      <c r="Q395" s="155"/>
      <c r="R395" s="155"/>
      <c r="S395" s="155"/>
      <c r="T395" s="155"/>
      <c r="U395" s="155"/>
      <c r="V395" s="155"/>
      <c r="W395" s="155"/>
      <c r="X395" s="155"/>
      <c r="Y395" s="155"/>
      <c r="Z395" s="155"/>
      <c r="AA395" s="155"/>
    </row>
    <row r="396" ht="22.5" customHeight="1">
      <c r="A396" s="139"/>
      <c r="B396" s="71"/>
      <c r="C396" s="117"/>
      <c r="D396" s="25"/>
      <c r="E396" s="118"/>
      <c r="F396" s="118"/>
      <c r="G396" s="138"/>
      <c r="H396" s="26"/>
      <c r="I396" s="155"/>
      <c r="J396" s="200"/>
      <c r="K396" s="155"/>
      <c r="L396" s="155"/>
      <c r="M396" s="155"/>
      <c r="N396" s="155"/>
      <c r="O396" s="155"/>
      <c r="P396" s="155"/>
      <c r="Q396" s="155"/>
      <c r="R396" s="155"/>
      <c r="S396" s="155"/>
      <c r="T396" s="155"/>
      <c r="U396" s="155"/>
      <c r="V396" s="155"/>
      <c r="W396" s="155"/>
      <c r="X396" s="155"/>
      <c r="Y396" s="155"/>
      <c r="Z396" s="155"/>
      <c r="AA396" s="155"/>
    </row>
    <row r="397" ht="22.5" customHeight="1">
      <c r="A397" s="139"/>
      <c r="B397" s="71"/>
      <c r="C397" s="117"/>
      <c r="D397" s="25"/>
      <c r="E397" s="118"/>
      <c r="F397" s="118"/>
      <c r="G397" s="138"/>
      <c r="H397" s="26"/>
      <c r="I397" s="155"/>
      <c r="J397" s="200"/>
      <c r="K397" s="155"/>
      <c r="L397" s="155"/>
      <c r="M397" s="155"/>
      <c r="N397" s="155"/>
      <c r="O397" s="155"/>
      <c r="P397" s="155"/>
      <c r="Q397" s="155"/>
      <c r="R397" s="155"/>
      <c r="S397" s="155"/>
      <c r="T397" s="155"/>
      <c r="U397" s="155"/>
      <c r="V397" s="155"/>
      <c r="W397" s="155"/>
      <c r="X397" s="155"/>
      <c r="Y397" s="155"/>
      <c r="Z397" s="155"/>
      <c r="AA397" s="155"/>
    </row>
    <row r="398" ht="22.5" customHeight="1">
      <c r="A398" s="139"/>
      <c r="B398" s="71"/>
      <c r="C398" s="117"/>
      <c r="D398" s="25"/>
      <c r="E398" s="118"/>
      <c r="F398" s="118"/>
      <c r="G398" s="138"/>
      <c r="H398" s="26"/>
      <c r="I398" s="155"/>
      <c r="J398" s="200"/>
      <c r="K398" s="155"/>
      <c r="L398" s="155"/>
      <c r="M398" s="155"/>
      <c r="N398" s="155"/>
      <c r="O398" s="155"/>
      <c r="P398" s="155"/>
      <c r="Q398" s="155"/>
      <c r="R398" s="155"/>
      <c r="S398" s="155"/>
      <c r="T398" s="155"/>
      <c r="U398" s="155"/>
      <c r="V398" s="155"/>
      <c r="W398" s="155"/>
      <c r="X398" s="155"/>
      <c r="Y398" s="155"/>
      <c r="Z398" s="155"/>
      <c r="AA398" s="155"/>
    </row>
    <row r="399" ht="22.5" customHeight="1">
      <c r="A399" s="139"/>
      <c r="B399" s="71"/>
      <c r="C399" s="117"/>
      <c r="D399" s="25"/>
      <c r="E399" s="118"/>
      <c r="F399" s="118"/>
      <c r="G399" s="138"/>
      <c r="H399" s="26"/>
      <c r="I399" s="155"/>
      <c r="J399" s="200"/>
      <c r="K399" s="155"/>
      <c r="L399" s="155"/>
      <c r="M399" s="155"/>
      <c r="N399" s="155"/>
      <c r="O399" s="155"/>
      <c r="P399" s="155"/>
      <c r="Q399" s="155"/>
      <c r="R399" s="155"/>
      <c r="S399" s="155"/>
      <c r="T399" s="155"/>
      <c r="U399" s="155"/>
      <c r="V399" s="155"/>
      <c r="W399" s="155"/>
      <c r="X399" s="155"/>
      <c r="Y399" s="155"/>
      <c r="Z399" s="155"/>
      <c r="AA399" s="155"/>
    </row>
    <row r="400" ht="22.5" customHeight="1">
      <c r="A400" s="139"/>
      <c r="B400" s="71"/>
      <c r="C400" s="117"/>
      <c r="D400" s="25"/>
      <c r="E400" s="118"/>
      <c r="F400" s="118"/>
      <c r="G400" s="138"/>
      <c r="H400" s="26"/>
      <c r="I400" s="155"/>
      <c r="J400" s="200"/>
      <c r="K400" s="155"/>
      <c r="L400" s="155"/>
      <c r="M400" s="155"/>
      <c r="N400" s="155"/>
      <c r="O400" s="155"/>
      <c r="P400" s="155"/>
      <c r="Q400" s="155"/>
      <c r="R400" s="155"/>
      <c r="S400" s="155"/>
      <c r="T400" s="155"/>
      <c r="U400" s="155"/>
      <c r="V400" s="155"/>
      <c r="W400" s="155"/>
      <c r="X400" s="155"/>
      <c r="Y400" s="155"/>
      <c r="Z400" s="155"/>
      <c r="AA400" s="155"/>
    </row>
    <row r="401" ht="22.5" customHeight="1">
      <c r="A401" s="139"/>
      <c r="B401" s="71"/>
      <c r="C401" s="117"/>
      <c r="D401" s="25"/>
      <c r="E401" s="118"/>
      <c r="F401" s="118"/>
      <c r="G401" s="138"/>
      <c r="H401" s="26"/>
      <c r="I401" s="155"/>
      <c r="J401" s="200"/>
      <c r="K401" s="155"/>
      <c r="L401" s="155"/>
      <c r="M401" s="155"/>
      <c r="N401" s="155"/>
      <c r="O401" s="155"/>
      <c r="P401" s="155"/>
      <c r="Q401" s="155"/>
      <c r="R401" s="155"/>
      <c r="S401" s="155"/>
      <c r="T401" s="155"/>
      <c r="U401" s="155"/>
      <c r="V401" s="155"/>
      <c r="W401" s="155"/>
      <c r="X401" s="155"/>
      <c r="Y401" s="155"/>
      <c r="Z401" s="155"/>
      <c r="AA401" s="155"/>
    </row>
    <row r="402" ht="22.5" customHeight="1">
      <c r="A402" s="139"/>
      <c r="B402" s="71"/>
      <c r="C402" s="117"/>
      <c r="D402" s="25"/>
      <c r="E402" s="118"/>
      <c r="F402" s="118"/>
      <c r="G402" s="138"/>
      <c r="H402" s="26"/>
      <c r="I402" s="155"/>
      <c r="J402" s="200"/>
      <c r="K402" s="155"/>
      <c r="L402" s="155"/>
      <c r="M402" s="155"/>
      <c r="N402" s="155"/>
      <c r="O402" s="155"/>
      <c r="P402" s="155"/>
      <c r="Q402" s="155"/>
      <c r="R402" s="155"/>
      <c r="S402" s="155"/>
      <c r="T402" s="155"/>
      <c r="U402" s="155"/>
      <c r="V402" s="155"/>
      <c r="W402" s="155"/>
      <c r="X402" s="155"/>
      <c r="Y402" s="155"/>
      <c r="Z402" s="155"/>
      <c r="AA402" s="155"/>
    </row>
    <row r="403" ht="22.5" customHeight="1">
      <c r="A403" s="139"/>
      <c r="B403" s="71"/>
      <c r="C403" s="117"/>
      <c r="D403" s="25"/>
      <c r="E403" s="118"/>
      <c r="F403" s="118"/>
      <c r="G403" s="138"/>
      <c r="H403" s="26"/>
      <c r="I403" s="155"/>
      <c r="J403" s="200"/>
      <c r="K403" s="155"/>
      <c r="L403" s="155"/>
      <c r="M403" s="155"/>
      <c r="N403" s="155"/>
      <c r="O403" s="155"/>
      <c r="P403" s="155"/>
      <c r="Q403" s="155"/>
      <c r="R403" s="155"/>
      <c r="S403" s="155"/>
      <c r="T403" s="155"/>
      <c r="U403" s="155"/>
      <c r="V403" s="155"/>
      <c r="W403" s="155"/>
      <c r="X403" s="155"/>
      <c r="Y403" s="155"/>
      <c r="Z403" s="155"/>
      <c r="AA403" s="155"/>
    </row>
    <row r="404" ht="22.5" customHeight="1">
      <c r="A404" s="139"/>
      <c r="B404" s="71"/>
      <c r="C404" s="117"/>
      <c r="D404" s="25"/>
      <c r="E404" s="118"/>
      <c r="F404" s="118"/>
      <c r="G404" s="138"/>
      <c r="H404" s="26"/>
      <c r="I404" s="155"/>
      <c r="J404" s="200"/>
      <c r="K404" s="155"/>
      <c r="L404" s="155"/>
      <c r="M404" s="155"/>
      <c r="N404" s="155"/>
      <c r="O404" s="155"/>
      <c r="P404" s="155"/>
      <c r="Q404" s="155"/>
      <c r="R404" s="155"/>
      <c r="S404" s="155"/>
      <c r="T404" s="155"/>
      <c r="U404" s="155"/>
      <c r="V404" s="155"/>
      <c r="W404" s="155"/>
      <c r="X404" s="155"/>
      <c r="Y404" s="155"/>
      <c r="Z404" s="155"/>
      <c r="AA404" s="155"/>
    </row>
    <row r="405" ht="22.5" customHeight="1">
      <c r="A405" s="139"/>
      <c r="B405" s="71"/>
      <c r="C405" s="117"/>
      <c r="D405" s="25"/>
      <c r="E405" s="118"/>
      <c r="F405" s="118"/>
      <c r="G405" s="138"/>
      <c r="H405" s="26"/>
      <c r="I405" s="155"/>
      <c r="J405" s="200"/>
      <c r="K405" s="155"/>
      <c r="L405" s="155"/>
      <c r="M405" s="155"/>
      <c r="N405" s="155"/>
      <c r="O405" s="155"/>
      <c r="P405" s="155"/>
      <c r="Q405" s="155"/>
      <c r="R405" s="155"/>
      <c r="S405" s="155"/>
      <c r="T405" s="155"/>
      <c r="U405" s="155"/>
      <c r="V405" s="155"/>
      <c r="W405" s="155"/>
      <c r="X405" s="155"/>
      <c r="Y405" s="155"/>
      <c r="Z405" s="155"/>
      <c r="AA405" s="155"/>
    </row>
    <row r="406" ht="22.5" customHeight="1">
      <c r="A406" s="139"/>
      <c r="B406" s="71"/>
      <c r="C406" s="117"/>
      <c r="D406" s="25"/>
      <c r="E406" s="118"/>
      <c r="F406" s="118"/>
      <c r="G406" s="138"/>
      <c r="H406" s="26"/>
      <c r="I406" s="155"/>
      <c r="J406" s="200"/>
      <c r="K406" s="155"/>
      <c r="L406" s="155"/>
      <c r="M406" s="155"/>
      <c r="N406" s="155"/>
      <c r="O406" s="155"/>
      <c r="P406" s="155"/>
      <c r="Q406" s="155"/>
      <c r="R406" s="155"/>
      <c r="S406" s="155"/>
      <c r="T406" s="155"/>
      <c r="U406" s="155"/>
      <c r="V406" s="155"/>
      <c r="W406" s="155"/>
      <c r="X406" s="155"/>
      <c r="Y406" s="155"/>
      <c r="Z406" s="155"/>
      <c r="AA406" s="155"/>
    </row>
    <row r="407" ht="22.5" customHeight="1">
      <c r="A407" s="139"/>
      <c r="B407" s="71"/>
      <c r="C407" s="117"/>
      <c r="D407" s="25"/>
      <c r="E407" s="118"/>
      <c r="F407" s="118"/>
      <c r="G407" s="138"/>
      <c r="H407" s="26"/>
      <c r="I407" s="155"/>
      <c r="J407" s="200"/>
      <c r="K407" s="155"/>
      <c r="L407" s="155"/>
      <c r="M407" s="155"/>
      <c r="N407" s="155"/>
      <c r="O407" s="155"/>
      <c r="P407" s="155"/>
      <c r="Q407" s="155"/>
      <c r="R407" s="155"/>
      <c r="S407" s="155"/>
      <c r="T407" s="155"/>
      <c r="U407" s="155"/>
      <c r="V407" s="155"/>
      <c r="W407" s="155"/>
      <c r="X407" s="155"/>
      <c r="Y407" s="155"/>
      <c r="Z407" s="155"/>
      <c r="AA407" s="155"/>
    </row>
    <row r="408" ht="22.5" customHeight="1">
      <c r="A408" s="139"/>
      <c r="B408" s="71"/>
      <c r="C408" s="117"/>
      <c r="D408" s="25"/>
      <c r="E408" s="118"/>
      <c r="F408" s="118"/>
      <c r="G408" s="138"/>
      <c r="H408" s="26"/>
      <c r="I408" s="155"/>
      <c r="J408" s="200"/>
      <c r="K408" s="155"/>
      <c r="L408" s="155"/>
      <c r="M408" s="155"/>
      <c r="N408" s="155"/>
      <c r="O408" s="155"/>
      <c r="P408" s="155"/>
      <c r="Q408" s="155"/>
      <c r="R408" s="155"/>
      <c r="S408" s="155"/>
      <c r="T408" s="155"/>
      <c r="U408" s="155"/>
      <c r="V408" s="155"/>
      <c r="W408" s="155"/>
      <c r="X408" s="155"/>
      <c r="Y408" s="155"/>
      <c r="Z408" s="155"/>
      <c r="AA408" s="155"/>
    </row>
    <row r="409" ht="22.5" customHeight="1">
      <c r="A409" s="139"/>
      <c r="B409" s="71"/>
      <c r="C409" s="117"/>
      <c r="D409" s="25"/>
      <c r="E409" s="118"/>
      <c r="F409" s="118"/>
      <c r="G409" s="138"/>
      <c r="H409" s="26"/>
      <c r="I409" s="155"/>
      <c r="J409" s="200"/>
      <c r="K409" s="155"/>
      <c r="L409" s="155"/>
      <c r="M409" s="155"/>
      <c r="N409" s="155"/>
      <c r="O409" s="155"/>
      <c r="P409" s="155"/>
      <c r="Q409" s="155"/>
      <c r="R409" s="155"/>
      <c r="S409" s="155"/>
      <c r="T409" s="155"/>
      <c r="U409" s="155"/>
      <c r="V409" s="155"/>
      <c r="W409" s="155"/>
      <c r="X409" s="155"/>
      <c r="Y409" s="155"/>
      <c r="Z409" s="155"/>
      <c r="AA409" s="155"/>
    </row>
    <row r="410" ht="22.5" customHeight="1">
      <c r="A410" s="139"/>
      <c r="B410" s="71"/>
      <c r="C410" s="117"/>
      <c r="D410" s="25"/>
      <c r="E410" s="118"/>
      <c r="F410" s="118"/>
      <c r="G410" s="138"/>
      <c r="H410" s="26"/>
      <c r="I410" s="155"/>
      <c r="J410" s="200"/>
      <c r="K410" s="155"/>
      <c r="L410" s="155"/>
      <c r="M410" s="155"/>
      <c r="N410" s="155"/>
      <c r="O410" s="155"/>
      <c r="P410" s="155"/>
      <c r="Q410" s="155"/>
      <c r="R410" s="155"/>
      <c r="S410" s="155"/>
      <c r="T410" s="155"/>
      <c r="U410" s="155"/>
      <c r="V410" s="155"/>
      <c r="W410" s="155"/>
      <c r="X410" s="155"/>
      <c r="Y410" s="155"/>
      <c r="Z410" s="155"/>
      <c r="AA410" s="155"/>
    </row>
    <row r="411" ht="22.5" customHeight="1">
      <c r="A411" s="139"/>
      <c r="B411" s="71"/>
      <c r="C411" s="117"/>
      <c r="D411" s="25"/>
      <c r="E411" s="118"/>
      <c r="F411" s="118"/>
      <c r="G411" s="138"/>
      <c r="H411" s="26"/>
      <c r="I411" s="155"/>
      <c r="J411" s="200"/>
      <c r="K411" s="155"/>
      <c r="L411" s="155"/>
      <c r="M411" s="155"/>
      <c r="N411" s="155"/>
      <c r="O411" s="155"/>
      <c r="P411" s="155"/>
      <c r="Q411" s="155"/>
      <c r="R411" s="155"/>
      <c r="S411" s="155"/>
      <c r="T411" s="155"/>
      <c r="U411" s="155"/>
      <c r="V411" s="155"/>
      <c r="W411" s="155"/>
      <c r="X411" s="155"/>
      <c r="Y411" s="155"/>
      <c r="Z411" s="155"/>
      <c r="AA411" s="155"/>
    </row>
    <row r="412" ht="22.5" customHeight="1">
      <c r="A412" s="139"/>
      <c r="B412" s="71"/>
      <c r="C412" s="117"/>
      <c r="D412" s="25"/>
      <c r="E412" s="118"/>
      <c r="F412" s="118"/>
      <c r="G412" s="138"/>
      <c r="H412" s="26"/>
      <c r="I412" s="155"/>
      <c r="J412" s="200"/>
      <c r="K412" s="155"/>
      <c r="L412" s="155"/>
      <c r="M412" s="155"/>
      <c r="N412" s="155"/>
      <c r="O412" s="155"/>
      <c r="P412" s="155"/>
      <c r="Q412" s="155"/>
      <c r="R412" s="155"/>
      <c r="S412" s="155"/>
      <c r="T412" s="155"/>
      <c r="U412" s="155"/>
      <c r="V412" s="155"/>
      <c r="W412" s="155"/>
      <c r="X412" s="155"/>
      <c r="Y412" s="155"/>
      <c r="Z412" s="155"/>
      <c r="AA412" s="155"/>
    </row>
    <row r="413" ht="22.5" customHeight="1">
      <c r="A413" s="139"/>
      <c r="B413" s="71"/>
      <c r="C413" s="117"/>
      <c r="D413" s="25"/>
      <c r="E413" s="118"/>
      <c r="F413" s="118"/>
      <c r="G413" s="138"/>
      <c r="H413" s="26"/>
      <c r="I413" s="155"/>
      <c r="J413" s="200"/>
      <c r="K413" s="155"/>
      <c r="L413" s="155"/>
      <c r="M413" s="155"/>
      <c r="N413" s="155"/>
      <c r="O413" s="155"/>
      <c r="P413" s="155"/>
      <c r="Q413" s="155"/>
      <c r="R413" s="155"/>
      <c r="S413" s="155"/>
      <c r="T413" s="155"/>
      <c r="U413" s="155"/>
      <c r="V413" s="155"/>
      <c r="W413" s="155"/>
      <c r="X413" s="155"/>
      <c r="Y413" s="155"/>
      <c r="Z413" s="155"/>
      <c r="AA413" s="155"/>
    </row>
    <row r="414" ht="22.5" customHeight="1">
      <c r="A414" s="139"/>
      <c r="B414" s="71"/>
      <c r="C414" s="117"/>
      <c r="D414" s="25"/>
      <c r="E414" s="118"/>
      <c r="F414" s="118"/>
      <c r="G414" s="138"/>
      <c r="H414" s="26"/>
      <c r="I414" s="155"/>
      <c r="J414" s="200"/>
      <c r="K414" s="155"/>
      <c r="L414" s="155"/>
      <c r="M414" s="155"/>
      <c r="N414" s="155"/>
      <c r="O414" s="155"/>
      <c r="P414" s="155"/>
      <c r="Q414" s="155"/>
      <c r="R414" s="155"/>
      <c r="S414" s="155"/>
      <c r="T414" s="155"/>
      <c r="U414" s="155"/>
      <c r="V414" s="155"/>
      <c r="W414" s="155"/>
      <c r="X414" s="155"/>
      <c r="Y414" s="155"/>
      <c r="Z414" s="155"/>
      <c r="AA414" s="155"/>
    </row>
    <row r="415" ht="22.5" customHeight="1">
      <c r="A415" s="139"/>
      <c r="B415" s="71"/>
      <c r="C415" s="117"/>
      <c r="D415" s="25"/>
      <c r="E415" s="118"/>
      <c r="F415" s="118"/>
      <c r="G415" s="138"/>
      <c r="H415" s="26"/>
      <c r="I415" s="155"/>
      <c r="J415" s="200"/>
      <c r="K415" s="155"/>
      <c r="L415" s="155"/>
      <c r="M415" s="155"/>
      <c r="N415" s="155"/>
      <c r="O415" s="155"/>
      <c r="P415" s="155"/>
      <c r="Q415" s="155"/>
      <c r="R415" s="155"/>
      <c r="S415" s="155"/>
      <c r="T415" s="155"/>
      <c r="U415" s="155"/>
      <c r="V415" s="155"/>
      <c r="W415" s="155"/>
      <c r="X415" s="155"/>
      <c r="Y415" s="155"/>
      <c r="Z415" s="155"/>
      <c r="AA415" s="155"/>
    </row>
    <row r="416" ht="22.5" customHeight="1">
      <c r="A416" s="139"/>
      <c r="B416" s="71"/>
      <c r="C416" s="117"/>
      <c r="D416" s="25"/>
      <c r="E416" s="118"/>
      <c r="F416" s="118"/>
      <c r="G416" s="138"/>
      <c r="H416" s="26"/>
      <c r="I416" s="155"/>
      <c r="J416" s="200"/>
      <c r="K416" s="155"/>
      <c r="L416" s="155"/>
      <c r="M416" s="155"/>
      <c r="N416" s="155"/>
      <c r="O416" s="155"/>
      <c r="P416" s="155"/>
      <c r="Q416" s="155"/>
      <c r="R416" s="155"/>
      <c r="S416" s="155"/>
      <c r="T416" s="155"/>
      <c r="U416" s="155"/>
      <c r="V416" s="155"/>
      <c r="W416" s="155"/>
      <c r="X416" s="155"/>
      <c r="Y416" s="155"/>
      <c r="Z416" s="155"/>
      <c r="AA416" s="155"/>
    </row>
    <row r="417" ht="22.5" customHeight="1">
      <c r="A417" s="139"/>
      <c r="B417" s="71"/>
      <c r="C417" s="117"/>
      <c r="D417" s="25"/>
      <c r="E417" s="118"/>
      <c r="F417" s="118"/>
      <c r="G417" s="138"/>
      <c r="H417" s="26"/>
      <c r="I417" s="155"/>
      <c r="J417" s="200"/>
      <c r="K417" s="155"/>
      <c r="L417" s="155"/>
      <c r="M417" s="155"/>
      <c r="N417" s="155"/>
      <c r="O417" s="155"/>
      <c r="P417" s="155"/>
      <c r="Q417" s="155"/>
      <c r="R417" s="155"/>
      <c r="S417" s="155"/>
      <c r="T417" s="155"/>
      <c r="U417" s="155"/>
      <c r="V417" s="155"/>
      <c r="W417" s="155"/>
      <c r="X417" s="155"/>
      <c r="Y417" s="155"/>
      <c r="Z417" s="155"/>
      <c r="AA417" s="155"/>
    </row>
    <row r="418" ht="22.5" customHeight="1">
      <c r="A418" s="139"/>
      <c r="B418" s="71"/>
      <c r="C418" s="117"/>
      <c r="D418" s="25"/>
      <c r="E418" s="118"/>
      <c r="F418" s="118"/>
      <c r="G418" s="138"/>
      <c r="H418" s="26"/>
      <c r="I418" s="155"/>
      <c r="J418" s="200"/>
      <c r="K418" s="155"/>
      <c r="L418" s="155"/>
      <c r="M418" s="155"/>
      <c r="N418" s="155"/>
      <c r="O418" s="155"/>
      <c r="P418" s="155"/>
      <c r="Q418" s="155"/>
      <c r="R418" s="155"/>
      <c r="S418" s="155"/>
      <c r="T418" s="155"/>
      <c r="U418" s="155"/>
      <c r="V418" s="155"/>
      <c r="W418" s="155"/>
      <c r="X418" s="155"/>
      <c r="Y418" s="155"/>
      <c r="Z418" s="155"/>
      <c r="AA418" s="155"/>
    </row>
    <row r="419" ht="22.5" customHeight="1">
      <c r="A419" s="139"/>
      <c r="B419" s="71"/>
      <c r="C419" s="117"/>
      <c r="D419" s="25"/>
      <c r="E419" s="118"/>
      <c r="F419" s="118"/>
      <c r="G419" s="138"/>
      <c r="H419" s="26"/>
      <c r="I419" s="155"/>
      <c r="J419" s="200"/>
      <c r="K419" s="155"/>
      <c r="L419" s="155"/>
      <c r="M419" s="155"/>
      <c r="N419" s="155"/>
      <c r="O419" s="155"/>
      <c r="P419" s="155"/>
      <c r="Q419" s="155"/>
      <c r="R419" s="155"/>
      <c r="S419" s="155"/>
      <c r="T419" s="155"/>
      <c r="U419" s="155"/>
      <c r="V419" s="155"/>
      <c r="W419" s="155"/>
      <c r="X419" s="155"/>
      <c r="Y419" s="155"/>
      <c r="Z419" s="155"/>
      <c r="AA419" s="155"/>
    </row>
    <row r="420" ht="22.5" customHeight="1">
      <c r="A420" s="139"/>
      <c r="B420" s="71"/>
      <c r="C420" s="117"/>
      <c r="D420" s="25"/>
      <c r="E420" s="118"/>
      <c r="F420" s="118"/>
      <c r="G420" s="138"/>
      <c r="H420" s="26"/>
      <c r="I420" s="155"/>
      <c r="J420" s="200"/>
      <c r="K420" s="155"/>
      <c r="L420" s="155"/>
      <c r="M420" s="155"/>
      <c r="N420" s="155"/>
      <c r="O420" s="155"/>
      <c r="P420" s="155"/>
      <c r="Q420" s="155"/>
      <c r="R420" s="155"/>
      <c r="S420" s="155"/>
      <c r="T420" s="155"/>
      <c r="U420" s="155"/>
      <c r="V420" s="155"/>
      <c r="W420" s="155"/>
      <c r="X420" s="155"/>
      <c r="Y420" s="155"/>
      <c r="Z420" s="155"/>
      <c r="AA420" s="155"/>
    </row>
    <row r="421" ht="22.5" customHeight="1">
      <c r="A421" s="139"/>
      <c r="B421" s="71"/>
      <c r="C421" s="117"/>
      <c r="D421" s="25"/>
      <c r="E421" s="118"/>
      <c r="F421" s="118"/>
      <c r="G421" s="138"/>
      <c r="H421" s="26"/>
      <c r="I421" s="155"/>
      <c r="J421" s="200"/>
      <c r="K421" s="155"/>
      <c r="L421" s="155"/>
      <c r="M421" s="155"/>
      <c r="N421" s="155"/>
      <c r="O421" s="155"/>
      <c r="P421" s="155"/>
      <c r="Q421" s="155"/>
      <c r="R421" s="155"/>
      <c r="S421" s="155"/>
      <c r="T421" s="155"/>
      <c r="U421" s="155"/>
      <c r="V421" s="155"/>
      <c r="W421" s="155"/>
      <c r="X421" s="155"/>
      <c r="Y421" s="155"/>
      <c r="Z421" s="155"/>
      <c r="AA421" s="155"/>
    </row>
    <row r="422" ht="22.5" customHeight="1">
      <c r="A422" s="139"/>
      <c r="B422" s="71"/>
      <c r="C422" s="117"/>
      <c r="D422" s="25"/>
      <c r="E422" s="118"/>
      <c r="F422" s="118"/>
      <c r="G422" s="138"/>
      <c r="H422" s="26"/>
      <c r="I422" s="155"/>
      <c r="J422" s="200"/>
      <c r="K422" s="155"/>
      <c r="L422" s="155"/>
      <c r="M422" s="155"/>
      <c r="N422" s="155"/>
      <c r="O422" s="155"/>
      <c r="P422" s="155"/>
      <c r="Q422" s="155"/>
      <c r="R422" s="155"/>
      <c r="S422" s="155"/>
      <c r="T422" s="155"/>
      <c r="U422" s="155"/>
      <c r="V422" s="155"/>
      <c r="W422" s="155"/>
      <c r="X422" s="155"/>
      <c r="Y422" s="155"/>
      <c r="Z422" s="155"/>
      <c r="AA422" s="155"/>
    </row>
    <row r="423" ht="22.5" customHeight="1">
      <c r="A423" s="139"/>
      <c r="B423" s="71"/>
      <c r="C423" s="117"/>
      <c r="D423" s="25"/>
      <c r="E423" s="118"/>
      <c r="F423" s="118"/>
      <c r="G423" s="138"/>
      <c r="H423" s="26"/>
      <c r="I423" s="155"/>
      <c r="J423" s="200"/>
      <c r="K423" s="155"/>
      <c r="L423" s="155"/>
      <c r="M423" s="155"/>
      <c r="N423" s="155"/>
      <c r="O423" s="155"/>
      <c r="P423" s="155"/>
      <c r="Q423" s="155"/>
      <c r="R423" s="155"/>
      <c r="S423" s="155"/>
      <c r="T423" s="155"/>
      <c r="U423" s="155"/>
      <c r="V423" s="155"/>
      <c r="W423" s="155"/>
      <c r="X423" s="155"/>
      <c r="Y423" s="155"/>
      <c r="Z423" s="155"/>
      <c r="AA423" s="155"/>
    </row>
    <row r="424" ht="22.5" customHeight="1">
      <c r="A424" s="139"/>
      <c r="B424" s="71"/>
      <c r="C424" s="117"/>
      <c r="D424" s="25"/>
      <c r="E424" s="118"/>
      <c r="F424" s="118"/>
      <c r="G424" s="138"/>
      <c r="H424" s="26"/>
      <c r="I424" s="155"/>
      <c r="J424" s="200"/>
      <c r="K424" s="155"/>
      <c r="L424" s="155"/>
      <c r="M424" s="155"/>
      <c r="N424" s="155"/>
      <c r="O424" s="155"/>
      <c r="P424" s="155"/>
      <c r="Q424" s="155"/>
      <c r="R424" s="155"/>
      <c r="S424" s="155"/>
      <c r="T424" s="155"/>
      <c r="U424" s="155"/>
      <c r="V424" s="155"/>
      <c r="W424" s="155"/>
      <c r="X424" s="155"/>
      <c r="Y424" s="155"/>
      <c r="Z424" s="155"/>
      <c r="AA424" s="155"/>
    </row>
    <row r="425" ht="22.5" customHeight="1">
      <c r="A425" s="139"/>
      <c r="B425" s="71"/>
      <c r="C425" s="117"/>
      <c r="D425" s="25"/>
      <c r="E425" s="118"/>
      <c r="F425" s="118"/>
      <c r="G425" s="138"/>
      <c r="H425" s="26"/>
      <c r="I425" s="155"/>
      <c r="J425" s="200"/>
      <c r="K425" s="155"/>
      <c r="L425" s="155"/>
      <c r="M425" s="155"/>
      <c r="N425" s="155"/>
      <c r="O425" s="155"/>
      <c r="P425" s="155"/>
      <c r="Q425" s="155"/>
      <c r="R425" s="155"/>
      <c r="S425" s="155"/>
      <c r="T425" s="155"/>
      <c r="U425" s="155"/>
      <c r="V425" s="155"/>
      <c r="W425" s="155"/>
      <c r="X425" s="155"/>
      <c r="Y425" s="155"/>
      <c r="Z425" s="155"/>
      <c r="AA425" s="155"/>
    </row>
    <row r="426" ht="22.5" customHeight="1">
      <c r="A426" s="139"/>
      <c r="B426" s="71"/>
      <c r="C426" s="117"/>
      <c r="D426" s="25"/>
      <c r="E426" s="118"/>
      <c r="F426" s="118"/>
      <c r="G426" s="138"/>
      <c r="H426" s="26"/>
      <c r="I426" s="155"/>
      <c r="J426" s="200"/>
      <c r="K426" s="155"/>
      <c r="L426" s="155"/>
      <c r="M426" s="155"/>
      <c r="N426" s="155"/>
      <c r="O426" s="155"/>
      <c r="P426" s="155"/>
      <c r="Q426" s="155"/>
      <c r="R426" s="155"/>
      <c r="S426" s="155"/>
      <c r="T426" s="155"/>
      <c r="U426" s="155"/>
      <c r="V426" s="155"/>
      <c r="W426" s="155"/>
      <c r="X426" s="155"/>
      <c r="Y426" s="155"/>
      <c r="Z426" s="155"/>
      <c r="AA426" s="155"/>
    </row>
    <row r="427" ht="22.5" customHeight="1">
      <c r="A427" s="139"/>
      <c r="B427" s="71"/>
      <c r="C427" s="117"/>
      <c r="D427" s="25"/>
      <c r="E427" s="118"/>
      <c r="F427" s="118"/>
      <c r="G427" s="138"/>
      <c r="H427" s="26"/>
      <c r="I427" s="155"/>
      <c r="J427" s="200"/>
      <c r="K427" s="155"/>
      <c r="L427" s="155"/>
      <c r="M427" s="155"/>
      <c r="N427" s="155"/>
      <c r="O427" s="155"/>
      <c r="P427" s="155"/>
      <c r="Q427" s="155"/>
      <c r="R427" s="155"/>
      <c r="S427" s="155"/>
      <c r="T427" s="155"/>
      <c r="U427" s="155"/>
      <c r="V427" s="155"/>
      <c r="W427" s="155"/>
      <c r="X427" s="155"/>
      <c r="Y427" s="155"/>
      <c r="Z427" s="155"/>
      <c r="AA427" s="155"/>
    </row>
    <row r="428" ht="22.5" customHeight="1">
      <c r="A428" s="139"/>
      <c r="B428" s="71"/>
      <c r="C428" s="117"/>
      <c r="D428" s="25"/>
      <c r="E428" s="118"/>
      <c r="F428" s="118"/>
      <c r="G428" s="138"/>
      <c r="H428" s="26"/>
      <c r="I428" s="155"/>
      <c r="J428" s="200"/>
      <c r="K428" s="155"/>
      <c r="L428" s="155"/>
      <c r="M428" s="155"/>
      <c r="N428" s="155"/>
      <c r="O428" s="155"/>
      <c r="P428" s="155"/>
      <c r="Q428" s="155"/>
      <c r="R428" s="155"/>
      <c r="S428" s="155"/>
      <c r="T428" s="155"/>
      <c r="U428" s="155"/>
      <c r="V428" s="155"/>
      <c r="W428" s="155"/>
      <c r="X428" s="155"/>
      <c r="Y428" s="155"/>
      <c r="Z428" s="155"/>
      <c r="AA428" s="155"/>
    </row>
    <row r="429" ht="22.5" customHeight="1">
      <c r="A429" s="139"/>
      <c r="B429" s="71"/>
      <c r="C429" s="117"/>
      <c r="D429" s="25"/>
      <c r="E429" s="118"/>
      <c r="F429" s="118"/>
      <c r="G429" s="138"/>
      <c r="H429" s="26"/>
      <c r="I429" s="155"/>
      <c r="J429" s="200"/>
      <c r="K429" s="155"/>
      <c r="L429" s="155"/>
      <c r="M429" s="155"/>
      <c r="N429" s="155"/>
      <c r="O429" s="155"/>
      <c r="P429" s="155"/>
      <c r="Q429" s="155"/>
      <c r="R429" s="155"/>
      <c r="S429" s="155"/>
      <c r="T429" s="155"/>
      <c r="U429" s="155"/>
      <c r="V429" s="155"/>
      <c r="W429" s="155"/>
      <c r="X429" s="155"/>
      <c r="Y429" s="155"/>
      <c r="Z429" s="155"/>
      <c r="AA429" s="155"/>
    </row>
    <row r="430" ht="22.5" customHeight="1">
      <c r="A430" s="139"/>
      <c r="B430" s="71"/>
      <c r="C430" s="117"/>
      <c r="D430" s="25"/>
      <c r="E430" s="118"/>
      <c r="F430" s="118"/>
      <c r="G430" s="138"/>
      <c r="H430" s="26"/>
      <c r="I430" s="155"/>
      <c r="J430" s="200"/>
      <c r="K430" s="155"/>
      <c r="L430" s="155"/>
      <c r="M430" s="155"/>
      <c r="N430" s="155"/>
      <c r="O430" s="155"/>
      <c r="P430" s="155"/>
      <c r="Q430" s="155"/>
      <c r="R430" s="155"/>
      <c r="S430" s="155"/>
      <c r="T430" s="155"/>
      <c r="U430" s="155"/>
      <c r="V430" s="155"/>
      <c r="W430" s="155"/>
      <c r="X430" s="155"/>
      <c r="Y430" s="155"/>
      <c r="Z430" s="155"/>
      <c r="AA430" s="155"/>
    </row>
    <row r="431" ht="22.5" customHeight="1">
      <c r="A431" s="139"/>
      <c r="B431" s="71"/>
      <c r="C431" s="117"/>
      <c r="D431" s="25"/>
      <c r="E431" s="118"/>
      <c r="F431" s="118"/>
      <c r="G431" s="138"/>
      <c r="H431" s="26"/>
      <c r="I431" s="155"/>
      <c r="J431" s="200"/>
      <c r="K431" s="155"/>
      <c r="L431" s="155"/>
      <c r="M431" s="155"/>
      <c r="N431" s="155"/>
      <c r="O431" s="155"/>
      <c r="P431" s="155"/>
      <c r="Q431" s="155"/>
      <c r="R431" s="155"/>
      <c r="S431" s="155"/>
      <c r="T431" s="155"/>
      <c r="U431" s="155"/>
      <c r="V431" s="155"/>
      <c r="W431" s="155"/>
      <c r="X431" s="155"/>
      <c r="Y431" s="155"/>
      <c r="Z431" s="155"/>
      <c r="AA431" s="155"/>
    </row>
    <row r="432" ht="22.5" customHeight="1">
      <c r="A432" s="139"/>
      <c r="B432" s="71"/>
      <c r="C432" s="117"/>
      <c r="D432" s="25"/>
      <c r="E432" s="118"/>
      <c r="F432" s="118"/>
      <c r="G432" s="138"/>
      <c r="H432" s="26"/>
      <c r="I432" s="155"/>
      <c r="J432" s="200"/>
      <c r="K432" s="155"/>
      <c r="L432" s="155"/>
      <c r="M432" s="155"/>
      <c r="N432" s="155"/>
      <c r="O432" s="155"/>
      <c r="P432" s="155"/>
      <c r="Q432" s="155"/>
      <c r="R432" s="155"/>
      <c r="S432" s="155"/>
      <c r="T432" s="155"/>
      <c r="U432" s="155"/>
      <c r="V432" s="155"/>
      <c r="W432" s="155"/>
      <c r="X432" s="155"/>
      <c r="Y432" s="155"/>
      <c r="Z432" s="155"/>
      <c r="AA432" s="155"/>
    </row>
    <row r="433" ht="22.5" customHeight="1">
      <c r="A433" s="139"/>
      <c r="B433" s="71"/>
      <c r="C433" s="117"/>
      <c r="D433" s="25"/>
      <c r="E433" s="118"/>
      <c r="F433" s="118"/>
      <c r="G433" s="138"/>
      <c r="H433" s="26"/>
      <c r="I433" s="155"/>
      <c r="J433" s="200"/>
      <c r="K433" s="155"/>
      <c r="L433" s="155"/>
      <c r="M433" s="155"/>
      <c r="N433" s="155"/>
      <c r="O433" s="155"/>
      <c r="P433" s="155"/>
      <c r="Q433" s="155"/>
      <c r="R433" s="155"/>
      <c r="S433" s="155"/>
      <c r="T433" s="155"/>
      <c r="U433" s="155"/>
      <c r="V433" s="155"/>
      <c r="W433" s="155"/>
      <c r="X433" s="155"/>
      <c r="Y433" s="155"/>
      <c r="Z433" s="155"/>
      <c r="AA433" s="155"/>
    </row>
    <row r="434" ht="22.5" customHeight="1">
      <c r="A434" s="139"/>
      <c r="B434" s="71"/>
      <c r="C434" s="117"/>
      <c r="D434" s="25"/>
      <c r="E434" s="118"/>
      <c r="F434" s="118"/>
      <c r="G434" s="138"/>
      <c r="H434" s="26"/>
      <c r="I434" s="155"/>
      <c r="J434" s="200"/>
      <c r="K434" s="155"/>
      <c r="L434" s="155"/>
      <c r="M434" s="155"/>
      <c r="N434" s="155"/>
      <c r="O434" s="155"/>
      <c r="P434" s="155"/>
      <c r="Q434" s="155"/>
      <c r="R434" s="155"/>
      <c r="S434" s="155"/>
      <c r="T434" s="155"/>
      <c r="U434" s="155"/>
      <c r="V434" s="155"/>
      <c r="W434" s="155"/>
      <c r="X434" s="155"/>
      <c r="Y434" s="155"/>
      <c r="Z434" s="155"/>
      <c r="AA434" s="155"/>
    </row>
    <row r="435" ht="22.5" customHeight="1">
      <c r="A435" s="139"/>
      <c r="B435" s="71"/>
      <c r="C435" s="117"/>
      <c r="D435" s="25"/>
      <c r="E435" s="118"/>
      <c r="F435" s="118"/>
      <c r="G435" s="138"/>
      <c r="H435" s="26"/>
      <c r="I435" s="155"/>
      <c r="J435" s="200"/>
      <c r="K435" s="155"/>
      <c r="L435" s="155"/>
      <c r="M435" s="155"/>
      <c r="N435" s="155"/>
      <c r="O435" s="155"/>
      <c r="P435" s="155"/>
      <c r="Q435" s="155"/>
      <c r="R435" s="155"/>
      <c r="S435" s="155"/>
      <c r="T435" s="155"/>
      <c r="U435" s="155"/>
      <c r="V435" s="155"/>
      <c r="W435" s="155"/>
      <c r="X435" s="155"/>
      <c r="Y435" s="155"/>
      <c r="Z435" s="155"/>
      <c r="AA435" s="155"/>
    </row>
    <row r="436" ht="22.5" customHeight="1">
      <c r="A436" s="139"/>
      <c r="B436" s="71"/>
      <c r="C436" s="117"/>
      <c r="D436" s="25"/>
      <c r="E436" s="118"/>
      <c r="F436" s="118"/>
      <c r="G436" s="138"/>
      <c r="H436" s="26"/>
      <c r="I436" s="155"/>
      <c r="J436" s="200"/>
      <c r="K436" s="155"/>
      <c r="L436" s="155"/>
      <c r="M436" s="155"/>
      <c r="N436" s="155"/>
      <c r="O436" s="155"/>
      <c r="P436" s="155"/>
      <c r="Q436" s="155"/>
      <c r="R436" s="155"/>
      <c r="S436" s="155"/>
      <c r="T436" s="155"/>
      <c r="U436" s="155"/>
      <c r="V436" s="155"/>
      <c r="W436" s="155"/>
      <c r="X436" s="155"/>
      <c r="Y436" s="155"/>
      <c r="Z436" s="155"/>
      <c r="AA436" s="155"/>
    </row>
    <row r="437" ht="22.5" customHeight="1">
      <c r="A437" s="139"/>
      <c r="B437" s="71"/>
      <c r="C437" s="117"/>
      <c r="D437" s="25"/>
      <c r="E437" s="118"/>
      <c r="F437" s="118"/>
      <c r="G437" s="138"/>
      <c r="H437" s="26"/>
      <c r="I437" s="155"/>
      <c r="J437" s="200"/>
      <c r="K437" s="155"/>
      <c r="L437" s="155"/>
      <c r="M437" s="155"/>
      <c r="N437" s="155"/>
      <c r="O437" s="155"/>
      <c r="P437" s="155"/>
      <c r="Q437" s="155"/>
      <c r="R437" s="155"/>
      <c r="S437" s="155"/>
      <c r="T437" s="155"/>
      <c r="U437" s="155"/>
      <c r="V437" s="155"/>
      <c r="W437" s="155"/>
      <c r="X437" s="155"/>
      <c r="Y437" s="155"/>
      <c r="Z437" s="155"/>
      <c r="AA437" s="155"/>
    </row>
    <row r="438" ht="22.5" customHeight="1">
      <c r="A438" s="139"/>
      <c r="B438" s="71"/>
      <c r="C438" s="117"/>
      <c r="D438" s="25"/>
      <c r="E438" s="118"/>
      <c r="F438" s="118"/>
      <c r="G438" s="138"/>
      <c r="H438" s="26"/>
      <c r="I438" s="155"/>
      <c r="J438" s="200"/>
      <c r="K438" s="155"/>
      <c r="L438" s="155"/>
      <c r="M438" s="155"/>
      <c r="N438" s="155"/>
      <c r="O438" s="155"/>
      <c r="P438" s="155"/>
      <c r="Q438" s="155"/>
      <c r="R438" s="155"/>
      <c r="S438" s="155"/>
      <c r="T438" s="155"/>
      <c r="U438" s="155"/>
      <c r="V438" s="155"/>
      <c r="W438" s="155"/>
      <c r="X438" s="155"/>
      <c r="Y438" s="155"/>
      <c r="Z438" s="155"/>
      <c r="AA438" s="155"/>
    </row>
    <row r="439" ht="22.5" customHeight="1">
      <c r="A439" s="139"/>
      <c r="B439" s="71"/>
      <c r="C439" s="117"/>
      <c r="D439" s="25"/>
      <c r="E439" s="118"/>
      <c r="F439" s="118"/>
      <c r="G439" s="138"/>
      <c r="H439" s="26"/>
      <c r="I439" s="155"/>
      <c r="J439" s="200"/>
      <c r="K439" s="155"/>
      <c r="L439" s="155"/>
      <c r="M439" s="155"/>
      <c r="N439" s="155"/>
      <c r="O439" s="155"/>
      <c r="P439" s="155"/>
      <c r="Q439" s="155"/>
      <c r="R439" s="155"/>
      <c r="S439" s="155"/>
      <c r="T439" s="155"/>
      <c r="U439" s="155"/>
      <c r="V439" s="155"/>
      <c r="W439" s="155"/>
      <c r="X439" s="155"/>
      <c r="Y439" s="155"/>
      <c r="Z439" s="155"/>
      <c r="AA439" s="155"/>
    </row>
    <row r="440" ht="22.5" customHeight="1">
      <c r="A440" s="139"/>
      <c r="B440" s="71"/>
      <c r="C440" s="117"/>
      <c r="D440" s="25"/>
      <c r="E440" s="118"/>
      <c r="F440" s="118"/>
      <c r="G440" s="138"/>
      <c r="H440" s="26"/>
      <c r="I440" s="155"/>
      <c r="J440" s="200"/>
      <c r="K440" s="155"/>
      <c r="L440" s="155"/>
      <c r="M440" s="155"/>
      <c r="N440" s="155"/>
      <c r="O440" s="155"/>
      <c r="P440" s="155"/>
      <c r="Q440" s="155"/>
      <c r="R440" s="155"/>
      <c r="S440" s="155"/>
      <c r="T440" s="155"/>
      <c r="U440" s="155"/>
      <c r="V440" s="155"/>
      <c r="W440" s="155"/>
      <c r="X440" s="155"/>
      <c r="Y440" s="155"/>
      <c r="Z440" s="155"/>
      <c r="AA440" s="155"/>
    </row>
    <row r="441" ht="22.5" customHeight="1">
      <c r="A441" s="139"/>
      <c r="B441" s="71"/>
      <c r="C441" s="117"/>
      <c r="D441" s="25"/>
      <c r="E441" s="118"/>
      <c r="F441" s="118"/>
      <c r="G441" s="138"/>
      <c r="H441" s="26"/>
      <c r="I441" s="155"/>
      <c r="J441" s="200"/>
      <c r="K441" s="155"/>
      <c r="L441" s="155"/>
      <c r="M441" s="155"/>
      <c r="N441" s="155"/>
      <c r="O441" s="155"/>
      <c r="P441" s="155"/>
      <c r="Q441" s="155"/>
      <c r="R441" s="155"/>
      <c r="S441" s="155"/>
      <c r="T441" s="155"/>
      <c r="U441" s="155"/>
      <c r="V441" s="155"/>
      <c r="W441" s="155"/>
      <c r="X441" s="155"/>
      <c r="Y441" s="155"/>
      <c r="Z441" s="155"/>
      <c r="AA441" s="155"/>
    </row>
    <row r="442" ht="22.5" customHeight="1">
      <c r="A442" s="139"/>
      <c r="B442" s="71"/>
      <c r="C442" s="117"/>
      <c r="D442" s="25"/>
      <c r="E442" s="118"/>
      <c r="F442" s="118"/>
      <c r="G442" s="138"/>
      <c r="H442" s="26"/>
      <c r="I442" s="155"/>
      <c r="J442" s="200"/>
      <c r="K442" s="155"/>
      <c r="L442" s="155"/>
      <c r="M442" s="155"/>
      <c r="N442" s="155"/>
      <c r="O442" s="155"/>
      <c r="P442" s="155"/>
      <c r="Q442" s="155"/>
      <c r="R442" s="155"/>
      <c r="S442" s="155"/>
      <c r="T442" s="155"/>
      <c r="U442" s="155"/>
      <c r="V442" s="155"/>
      <c r="W442" s="155"/>
      <c r="X442" s="155"/>
      <c r="Y442" s="155"/>
      <c r="Z442" s="155"/>
      <c r="AA442" s="155"/>
    </row>
    <row r="443" ht="22.5" customHeight="1">
      <c r="A443" s="139"/>
      <c r="B443" s="71"/>
      <c r="C443" s="117"/>
      <c r="D443" s="25"/>
      <c r="E443" s="118"/>
      <c r="F443" s="118"/>
      <c r="G443" s="138"/>
      <c r="H443" s="26"/>
      <c r="I443" s="155"/>
      <c r="J443" s="200"/>
      <c r="K443" s="155"/>
      <c r="L443" s="155"/>
      <c r="M443" s="155"/>
      <c r="N443" s="155"/>
      <c r="O443" s="155"/>
      <c r="P443" s="155"/>
      <c r="Q443" s="155"/>
      <c r="R443" s="155"/>
      <c r="S443" s="155"/>
      <c r="T443" s="155"/>
      <c r="U443" s="155"/>
      <c r="V443" s="155"/>
      <c r="W443" s="155"/>
      <c r="X443" s="155"/>
      <c r="Y443" s="155"/>
      <c r="Z443" s="155"/>
      <c r="AA443" s="155"/>
    </row>
    <row r="444" ht="22.5" customHeight="1">
      <c r="A444" s="139"/>
      <c r="B444" s="71"/>
      <c r="C444" s="117"/>
      <c r="D444" s="25"/>
      <c r="E444" s="118"/>
      <c r="F444" s="118"/>
      <c r="G444" s="138"/>
      <c r="H444" s="26"/>
      <c r="I444" s="155"/>
      <c r="J444" s="200"/>
      <c r="K444" s="155"/>
      <c r="L444" s="155"/>
      <c r="M444" s="155"/>
      <c r="N444" s="155"/>
      <c r="O444" s="155"/>
      <c r="P444" s="155"/>
      <c r="Q444" s="155"/>
      <c r="R444" s="155"/>
      <c r="S444" s="155"/>
      <c r="T444" s="155"/>
      <c r="U444" s="155"/>
      <c r="V444" s="155"/>
      <c r="W444" s="155"/>
      <c r="X444" s="155"/>
      <c r="Y444" s="155"/>
      <c r="Z444" s="155"/>
      <c r="AA444" s="155"/>
    </row>
    <row r="445" ht="22.5" customHeight="1">
      <c r="A445" s="139"/>
      <c r="B445" s="71"/>
      <c r="C445" s="117"/>
      <c r="D445" s="25"/>
      <c r="E445" s="118"/>
      <c r="F445" s="118"/>
      <c r="G445" s="138"/>
      <c r="H445" s="26"/>
      <c r="I445" s="155"/>
      <c r="J445" s="200"/>
      <c r="K445" s="155"/>
      <c r="L445" s="155"/>
      <c r="M445" s="155"/>
      <c r="N445" s="155"/>
      <c r="O445" s="155"/>
      <c r="P445" s="155"/>
      <c r="Q445" s="155"/>
      <c r="R445" s="155"/>
      <c r="S445" s="155"/>
      <c r="T445" s="155"/>
      <c r="U445" s="155"/>
      <c r="V445" s="155"/>
      <c r="W445" s="155"/>
      <c r="X445" s="155"/>
      <c r="Y445" s="155"/>
      <c r="Z445" s="155"/>
      <c r="AA445" s="155"/>
    </row>
    <row r="446" ht="22.5" customHeight="1">
      <c r="A446" s="139"/>
      <c r="B446" s="71"/>
      <c r="C446" s="117"/>
      <c r="D446" s="25"/>
      <c r="E446" s="118"/>
      <c r="F446" s="118"/>
      <c r="G446" s="138"/>
      <c r="H446" s="26"/>
      <c r="I446" s="155"/>
      <c r="J446" s="200"/>
      <c r="K446" s="155"/>
      <c r="L446" s="155"/>
      <c r="M446" s="155"/>
      <c r="N446" s="155"/>
      <c r="O446" s="155"/>
      <c r="P446" s="155"/>
      <c r="Q446" s="155"/>
      <c r="R446" s="155"/>
      <c r="S446" s="155"/>
      <c r="T446" s="155"/>
      <c r="U446" s="155"/>
      <c r="V446" s="155"/>
      <c r="W446" s="155"/>
      <c r="X446" s="155"/>
      <c r="Y446" s="155"/>
      <c r="Z446" s="155"/>
      <c r="AA446" s="155"/>
    </row>
    <row r="447" ht="22.5" customHeight="1">
      <c r="A447" s="139"/>
      <c r="B447" s="71"/>
      <c r="C447" s="117"/>
      <c r="D447" s="25"/>
      <c r="E447" s="118"/>
      <c r="F447" s="118"/>
      <c r="G447" s="138"/>
      <c r="H447" s="26"/>
      <c r="I447" s="155"/>
      <c r="J447" s="200"/>
      <c r="K447" s="155"/>
      <c r="L447" s="155"/>
      <c r="M447" s="155"/>
      <c r="N447" s="155"/>
      <c r="O447" s="155"/>
      <c r="P447" s="155"/>
      <c r="Q447" s="155"/>
      <c r="R447" s="155"/>
      <c r="S447" s="155"/>
      <c r="T447" s="155"/>
      <c r="U447" s="155"/>
      <c r="V447" s="155"/>
      <c r="W447" s="155"/>
      <c r="X447" s="155"/>
      <c r="Y447" s="155"/>
      <c r="Z447" s="155"/>
      <c r="AA447" s="155"/>
    </row>
    <row r="448" ht="22.5" customHeight="1">
      <c r="A448" s="139"/>
      <c r="B448" s="71"/>
      <c r="C448" s="117"/>
      <c r="D448" s="25"/>
      <c r="E448" s="118"/>
      <c r="F448" s="118"/>
      <c r="G448" s="138"/>
      <c r="H448" s="26"/>
      <c r="I448" s="155"/>
      <c r="J448" s="200"/>
      <c r="K448" s="155"/>
      <c r="L448" s="155"/>
      <c r="M448" s="155"/>
      <c r="N448" s="155"/>
      <c r="O448" s="155"/>
      <c r="P448" s="155"/>
      <c r="Q448" s="155"/>
      <c r="R448" s="155"/>
      <c r="S448" s="155"/>
      <c r="T448" s="155"/>
      <c r="U448" s="155"/>
      <c r="V448" s="155"/>
      <c r="W448" s="155"/>
      <c r="X448" s="155"/>
      <c r="Y448" s="155"/>
      <c r="Z448" s="155"/>
      <c r="AA448" s="155"/>
    </row>
    <row r="449" ht="22.5" customHeight="1">
      <c r="A449" s="139"/>
      <c r="B449" s="71"/>
      <c r="C449" s="117"/>
      <c r="D449" s="25"/>
      <c r="E449" s="118"/>
      <c r="F449" s="118"/>
      <c r="G449" s="138"/>
      <c r="H449" s="26"/>
      <c r="I449" s="155"/>
      <c r="J449" s="200"/>
      <c r="K449" s="155"/>
      <c r="L449" s="155"/>
      <c r="M449" s="155"/>
      <c r="N449" s="155"/>
      <c r="O449" s="155"/>
      <c r="P449" s="155"/>
      <c r="Q449" s="155"/>
      <c r="R449" s="155"/>
      <c r="S449" s="155"/>
      <c r="T449" s="155"/>
      <c r="U449" s="155"/>
      <c r="V449" s="155"/>
      <c r="W449" s="155"/>
      <c r="X449" s="155"/>
      <c r="Y449" s="155"/>
      <c r="Z449" s="155"/>
      <c r="AA449" s="155"/>
    </row>
    <row r="450" ht="22.5" customHeight="1">
      <c r="A450" s="139"/>
      <c r="B450" s="71"/>
      <c r="C450" s="117"/>
      <c r="D450" s="25"/>
      <c r="E450" s="118"/>
      <c r="F450" s="118"/>
      <c r="G450" s="138"/>
      <c r="H450" s="26"/>
      <c r="I450" s="155"/>
      <c r="J450" s="200"/>
      <c r="K450" s="155"/>
      <c r="L450" s="155"/>
      <c r="M450" s="155"/>
      <c r="N450" s="155"/>
      <c r="O450" s="155"/>
      <c r="P450" s="155"/>
      <c r="Q450" s="155"/>
      <c r="R450" s="155"/>
      <c r="S450" s="155"/>
      <c r="T450" s="155"/>
      <c r="U450" s="155"/>
      <c r="V450" s="155"/>
      <c r="W450" s="155"/>
      <c r="X450" s="155"/>
      <c r="Y450" s="155"/>
      <c r="Z450" s="155"/>
      <c r="AA450" s="155"/>
    </row>
    <row r="451" ht="22.5" customHeight="1">
      <c r="A451" s="139"/>
      <c r="B451" s="71"/>
      <c r="C451" s="117"/>
      <c r="D451" s="25"/>
      <c r="E451" s="118"/>
      <c r="F451" s="118"/>
      <c r="G451" s="138"/>
      <c r="H451" s="26"/>
      <c r="I451" s="155"/>
      <c r="J451" s="200"/>
      <c r="K451" s="155"/>
      <c r="L451" s="155"/>
      <c r="M451" s="155"/>
      <c r="N451" s="155"/>
      <c r="O451" s="155"/>
      <c r="P451" s="155"/>
      <c r="Q451" s="155"/>
      <c r="R451" s="155"/>
      <c r="S451" s="155"/>
      <c r="T451" s="155"/>
      <c r="U451" s="155"/>
      <c r="V451" s="155"/>
      <c r="W451" s="155"/>
      <c r="X451" s="155"/>
      <c r="Y451" s="155"/>
      <c r="Z451" s="155"/>
      <c r="AA451" s="155"/>
    </row>
    <row r="452" ht="22.5" customHeight="1">
      <c r="A452" s="139"/>
      <c r="B452" s="71"/>
      <c r="C452" s="117"/>
      <c r="D452" s="25"/>
      <c r="E452" s="118"/>
      <c r="F452" s="118"/>
      <c r="G452" s="138"/>
      <c r="H452" s="26"/>
      <c r="I452" s="155"/>
      <c r="J452" s="200"/>
      <c r="K452" s="155"/>
      <c r="L452" s="155"/>
      <c r="M452" s="155"/>
      <c r="N452" s="155"/>
      <c r="O452" s="155"/>
      <c r="P452" s="155"/>
      <c r="Q452" s="155"/>
      <c r="R452" s="155"/>
      <c r="S452" s="155"/>
      <c r="T452" s="155"/>
      <c r="U452" s="155"/>
      <c r="V452" s="155"/>
      <c r="W452" s="155"/>
      <c r="X452" s="155"/>
      <c r="Y452" s="155"/>
      <c r="Z452" s="155"/>
      <c r="AA452" s="155"/>
    </row>
    <row r="453" ht="22.5" customHeight="1">
      <c r="A453" s="139"/>
      <c r="B453" s="71"/>
      <c r="C453" s="117"/>
      <c r="D453" s="25"/>
      <c r="E453" s="118"/>
      <c r="F453" s="118"/>
      <c r="G453" s="138"/>
      <c r="H453" s="26"/>
      <c r="I453" s="155"/>
      <c r="J453" s="200"/>
      <c r="K453" s="155"/>
      <c r="L453" s="155"/>
      <c r="M453" s="155"/>
      <c r="N453" s="155"/>
      <c r="O453" s="155"/>
      <c r="P453" s="155"/>
      <c r="Q453" s="155"/>
      <c r="R453" s="155"/>
      <c r="S453" s="155"/>
      <c r="T453" s="155"/>
      <c r="U453" s="155"/>
      <c r="V453" s="155"/>
      <c r="W453" s="155"/>
      <c r="X453" s="155"/>
      <c r="Y453" s="155"/>
      <c r="Z453" s="155"/>
      <c r="AA453" s="155"/>
    </row>
    <row r="454" ht="22.5" customHeight="1">
      <c r="A454" s="139"/>
      <c r="B454" s="71"/>
      <c r="C454" s="117"/>
      <c r="D454" s="25"/>
      <c r="E454" s="118"/>
      <c r="F454" s="118"/>
      <c r="G454" s="138"/>
      <c r="H454" s="26"/>
      <c r="I454" s="155"/>
      <c r="J454" s="200"/>
      <c r="K454" s="155"/>
      <c r="L454" s="155"/>
      <c r="M454" s="155"/>
      <c r="N454" s="155"/>
      <c r="O454" s="155"/>
      <c r="P454" s="155"/>
      <c r="Q454" s="155"/>
      <c r="R454" s="155"/>
      <c r="S454" s="155"/>
      <c r="T454" s="155"/>
      <c r="U454" s="155"/>
      <c r="V454" s="155"/>
      <c r="W454" s="155"/>
      <c r="X454" s="155"/>
      <c r="Y454" s="155"/>
      <c r="Z454" s="155"/>
      <c r="AA454" s="155"/>
    </row>
    <row r="455" ht="22.5" customHeight="1">
      <c r="A455" s="139"/>
      <c r="B455" s="71"/>
      <c r="C455" s="117"/>
      <c r="D455" s="25"/>
      <c r="E455" s="118"/>
      <c r="F455" s="118"/>
      <c r="G455" s="138"/>
      <c r="H455" s="26"/>
      <c r="I455" s="155"/>
      <c r="J455" s="200"/>
      <c r="K455" s="155"/>
      <c r="L455" s="155"/>
      <c r="M455" s="155"/>
      <c r="N455" s="155"/>
      <c r="O455" s="155"/>
      <c r="P455" s="155"/>
      <c r="Q455" s="155"/>
      <c r="R455" s="155"/>
      <c r="S455" s="155"/>
      <c r="T455" s="155"/>
      <c r="U455" s="155"/>
      <c r="V455" s="155"/>
      <c r="W455" s="155"/>
      <c r="X455" s="155"/>
      <c r="Y455" s="155"/>
      <c r="Z455" s="155"/>
      <c r="AA455" s="155"/>
    </row>
    <row r="456" ht="22.5" customHeight="1">
      <c r="A456" s="139"/>
      <c r="B456" s="71"/>
      <c r="C456" s="117"/>
      <c r="D456" s="25"/>
      <c r="E456" s="118"/>
      <c r="F456" s="118"/>
      <c r="G456" s="138"/>
      <c r="H456" s="26"/>
      <c r="I456" s="155"/>
      <c r="J456" s="200"/>
      <c r="K456" s="155"/>
      <c r="L456" s="155"/>
      <c r="M456" s="155"/>
      <c r="N456" s="155"/>
      <c r="O456" s="155"/>
      <c r="P456" s="155"/>
      <c r="Q456" s="155"/>
      <c r="R456" s="155"/>
      <c r="S456" s="155"/>
      <c r="T456" s="155"/>
      <c r="U456" s="155"/>
      <c r="V456" s="155"/>
      <c r="W456" s="155"/>
      <c r="X456" s="155"/>
      <c r="Y456" s="155"/>
      <c r="Z456" s="155"/>
      <c r="AA456" s="155"/>
    </row>
    <row r="457" ht="22.5" customHeight="1">
      <c r="A457" s="139"/>
      <c r="B457" s="71"/>
      <c r="C457" s="117"/>
      <c r="D457" s="25"/>
      <c r="E457" s="118"/>
      <c r="F457" s="118"/>
      <c r="G457" s="138"/>
      <c r="H457" s="26"/>
      <c r="I457" s="155"/>
      <c r="J457" s="200"/>
      <c r="K457" s="155"/>
      <c r="L457" s="155"/>
      <c r="M457" s="155"/>
      <c r="N457" s="155"/>
      <c r="O457" s="155"/>
      <c r="P457" s="155"/>
      <c r="Q457" s="155"/>
      <c r="R457" s="155"/>
      <c r="S457" s="155"/>
      <c r="T457" s="155"/>
      <c r="U457" s="155"/>
      <c r="V457" s="155"/>
      <c r="W457" s="155"/>
      <c r="X457" s="155"/>
      <c r="Y457" s="155"/>
      <c r="Z457" s="155"/>
      <c r="AA457" s="155"/>
    </row>
    <row r="458" ht="22.5" customHeight="1">
      <c r="A458" s="139"/>
      <c r="B458" s="71"/>
      <c r="C458" s="117"/>
      <c r="D458" s="25"/>
      <c r="E458" s="118"/>
      <c r="F458" s="118"/>
      <c r="G458" s="138"/>
      <c r="H458" s="26"/>
      <c r="I458" s="155"/>
      <c r="J458" s="200"/>
      <c r="K458" s="155"/>
      <c r="L458" s="155"/>
      <c r="M458" s="155"/>
      <c r="N458" s="155"/>
      <c r="O458" s="155"/>
      <c r="P458" s="155"/>
      <c r="Q458" s="155"/>
      <c r="R458" s="155"/>
      <c r="S458" s="155"/>
      <c r="T458" s="155"/>
      <c r="U458" s="155"/>
      <c r="V458" s="155"/>
      <c r="W458" s="155"/>
      <c r="X458" s="155"/>
      <c r="Y458" s="155"/>
      <c r="Z458" s="155"/>
      <c r="AA458" s="155"/>
    </row>
    <row r="459" ht="22.5" customHeight="1">
      <c r="A459" s="139"/>
      <c r="B459" s="71"/>
      <c r="C459" s="117"/>
      <c r="D459" s="25"/>
      <c r="E459" s="118"/>
      <c r="F459" s="118"/>
      <c r="G459" s="138"/>
      <c r="H459" s="26"/>
      <c r="I459" s="155"/>
      <c r="J459" s="200"/>
      <c r="K459" s="155"/>
      <c r="L459" s="155"/>
      <c r="M459" s="155"/>
      <c r="N459" s="155"/>
      <c r="O459" s="155"/>
      <c r="P459" s="155"/>
      <c r="Q459" s="155"/>
      <c r="R459" s="155"/>
      <c r="S459" s="155"/>
      <c r="T459" s="155"/>
      <c r="U459" s="155"/>
      <c r="V459" s="155"/>
      <c r="W459" s="155"/>
      <c r="X459" s="155"/>
      <c r="Y459" s="155"/>
      <c r="Z459" s="155"/>
      <c r="AA459" s="155"/>
    </row>
    <row r="460" ht="22.5" customHeight="1">
      <c r="A460" s="139"/>
      <c r="B460" s="71"/>
      <c r="C460" s="117"/>
      <c r="D460" s="25"/>
      <c r="E460" s="118"/>
      <c r="F460" s="118"/>
      <c r="G460" s="138"/>
      <c r="H460" s="26"/>
      <c r="I460" s="155"/>
      <c r="J460" s="200"/>
      <c r="K460" s="155"/>
      <c r="L460" s="155"/>
      <c r="M460" s="155"/>
      <c r="N460" s="155"/>
      <c r="O460" s="155"/>
      <c r="P460" s="155"/>
      <c r="Q460" s="155"/>
      <c r="R460" s="155"/>
      <c r="S460" s="155"/>
      <c r="T460" s="155"/>
      <c r="U460" s="155"/>
      <c r="V460" s="155"/>
      <c r="W460" s="155"/>
      <c r="X460" s="155"/>
      <c r="Y460" s="155"/>
      <c r="Z460" s="155"/>
      <c r="AA460" s="155"/>
    </row>
    <row r="461" ht="22.5" customHeight="1">
      <c r="A461" s="139"/>
      <c r="B461" s="71"/>
      <c r="C461" s="117"/>
      <c r="D461" s="25"/>
      <c r="E461" s="118"/>
      <c r="F461" s="118"/>
      <c r="G461" s="138"/>
      <c r="H461" s="26"/>
      <c r="I461" s="155"/>
      <c r="J461" s="200"/>
      <c r="K461" s="155"/>
      <c r="L461" s="155"/>
      <c r="M461" s="155"/>
      <c r="N461" s="155"/>
      <c r="O461" s="155"/>
      <c r="P461" s="155"/>
      <c r="Q461" s="155"/>
      <c r="R461" s="155"/>
      <c r="S461" s="155"/>
      <c r="T461" s="155"/>
      <c r="U461" s="155"/>
      <c r="V461" s="155"/>
      <c r="W461" s="155"/>
      <c r="X461" s="155"/>
      <c r="Y461" s="155"/>
      <c r="Z461" s="155"/>
      <c r="AA461" s="155"/>
    </row>
    <row r="462" ht="22.5" customHeight="1">
      <c r="A462" s="139"/>
      <c r="B462" s="71"/>
      <c r="C462" s="117"/>
      <c r="D462" s="25"/>
      <c r="E462" s="118"/>
      <c r="F462" s="118"/>
      <c r="G462" s="138"/>
      <c r="H462" s="26"/>
      <c r="I462" s="155"/>
      <c r="J462" s="200"/>
      <c r="K462" s="155"/>
      <c r="L462" s="155"/>
      <c r="M462" s="155"/>
      <c r="N462" s="155"/>
      <c r="O462" s="155"/>
      <c r="P462" s="155"/>
      <c r="Q462" s="155"/>
      <c r="R462" s="155"/>
      <c r="S462" s="155"/>
      <c r="T462" s="155"/>
      <c r="U462" s="155"/>
      <c r="V462" s="155"/>
      <c r="W462" s="155"/>
      <c r="X462" s="155"/>
      <c r="Y462" s="155"/>
      <c r="Z462" s="155"/>
      <c r="AA462" s="155"/>
    </row>
    <row r="463" ht="22.5" customHeight="1">
      <c r="A463" s="139"/>
      <c r="B463" s="71"/>
      <c r="C463" s="117"/>
      <c r="D463" s="25"/>
      <c r="E463" s="118"/>
      <c r="F463" s="118"/>
      <c r="G463" s="138"/>
      <c r="H463" s="26"/>
      <c r="I463" s="155"/>
      <c r="J463" s="200"/>
      <c r="K463" s="155"/>
      <c r="L463" s="155"/>
      <c r="M463" s="155"/>
      <c r="N463" s="155"/>
      <c r="O463" s="155"/>
      <c r="P463" s="155"/>
      <c r="Q463" s="155"/>
      <c r="R463" s="155"/>
      <c r="S463" s="155"/>
      <c r="T463" s="155"/>
      <c r="U463" s="155"/>
      <c r="V463" s="155"/>
      <c r="W463" s="155"/>
      <c r="X463" s="155"/>
      <c r="Y463" s="155"/>
      <c r="Z463" s="155"/>
      <c r="AA463" s="155"/>
    </row>
    <row r="464" ht="22.5" customHeight="1">
      <c r="A464" s="139"/>
      <c r="B464" s="71"/>
      <c r="C464" s="117"/>
      <c r="D464" s="25"/>
      <c r="E464" s="118"/>
      <c r="F464" s="118"/>
      <c r="G464" s="138"/>
      <c r="H464" s="26"/>
      <c r="I464" s="155"/>
      <c r="J464" s="200"/>
      <c r="K464" s="155"/>
      <c r="L464" s="155"/>
      <c r="M464" s="155"/>
      <c r="N464" s="155"/>
      <c r="O464" s="155"/>
      <c r="P464" s="155"/>
      <c r="Q464" s="155"/>
      <c r="R464" s="155"/>
      <c r="S464" s="155"/>
      <c r="T464" s="155"/>
      <c r="U464" s="155"/>
      <c r="V464" s="155"/>
      <c r="W464" s="155"/>
      <c r="X464" s="155"/>
      <c r="Y464" s="155"/>
      <c r="Z464" s="155"/>
      <c r="AA464" s="155"/>
    </row>
    <row r="465" ht="22.5" customHeight="1">
      <c r="A465" s="139"/>
      <c r="B465" s="71"/>
      <c r="C465" s="117"/>
      <c r="D465" s="25"/>
      <c r="E465" s="118"/>
      <c r="F465" s="118"/>
      <c r="G465" s="138"/>
      <c r="H465" s="26"/>
      <c r="I465" s="155"/>
      <c r="J465" s="200"/>
      <c r="K465" s="155"/>
      <c r="L465" s="155"/>
      <c r="M465" s="155"/>
      <c r="N465" s="155"/>
      <c r="O465" s="155"/>
      <c r="P465" s="155"/>
      <c r="Q465" s="155"/>
      <c r="R465" s="155"/>
      <c r="S465" s="155"/>
      <c r="T465" s="155"/>
      <c r="U465" s="155"/>
      <c r="V465" s="155"/>
      <c r="W465" s="155"/>
      <c r="X465" s="155"/>
      <c r="Y465" s="155"/>
      <c r="Z465" s="155"/>
      <c r="AA465" s="155"/>
    </row>
    <row r="466" ht="22.5" customHeight="1">
      <c r="A466" s="139"/>
      <c r="B466" s="71"/>
      <c r="C466" s="117"/>
      <c r="D466" s="25"/>
      <c r="E466" s="118"/>
      <c r="F466" s="118"/>
      <c r="G466" s="138"/>
      <c r="H466" s="26"/>
      <c r="I466" s="155"/>
      <c r="J466" s="200"/>
      <c r="K466" s="155"/>
      <c r="L466" s="155"/>
      <c r="M466" s="155"/>
      <c r="N466" s="155"/>
      <c r="O466" s="155"/>
      <c r="P466" s="155"/>
      <c r="Q466" s="155"/>
      <c r="R466" s="155"/>
      <c r="S466" s="155"/>
      <c r="T466" s="155"/>
      <c r="U466" s="155"/>
      <c r="V466" s="155"/>
      <c r="W466" s="155"/>
      <c r="X466" s="155"/>
      <c r="Y466" s="155"/>
      <c r="Z466" s="155"/>
      <c r="AA466" s="155"/>
    </row>
    <row r="467" ht="22.5" customHeight="1">
      <c r="A467" s="139"/>
      <c r="B467" s="71"/>
      <c r="C467" s="117"/>
      <c r="D467" s="25"/>
      <c r="E467" s="118"/>
      <c r="F467" s="118"/>
      <c r="G467" s="138"/>
      <c r="H467" s="26"/>
      <c r="I467" s="155"/>
      <c r="J467" s="200"/>
      <c r="K467" s="155"/>
      <c r="L467" s="155"/>
      <c r="M467" s="155"/>
      <c r="N467" s="155"/>
      <c r="O467" s="155"/>
      <c r="P467" s="155"/>
      <c r="Q467" s="155"/>
      <c r="R467" s="155"/>
      <c r="S467" s="155"/>
      <c r="T467" s="155"/>
      <c r="U467" s="155"/>
      <c r="V467" s="155"/>
      <c r="W467" s="155"/>
      <c r="X467" s="155"/>
      <c r="Y467" s="155"/>
      <c r="Z467" s="155"/>
      <c r="AA467" s="155"/>
    </row>
    <row r="468" ht="22.5" customHeight="1">
      <c r="A468" s="139"/>
      <c r="B468" s="71"/>
      <c r="C468" s="117"/>
      <c r="D468" s="25"/>
      <c r="E468" s="118"/>
      <c r="F468" s="118"/>
      <c r="G468" s="138"/>
      <c r="H468" s="26"/>
      <c r="I468" s="155"/>
      <c r="J468" s="200"/>
      <c r="K468" s="155"/>
      <c r="L468" s="155"/>
      <c r="M468" s="155"/>
      <c r="N468" s="155"/>
      <c r="O468" s="155"/>
      <c r="P468" s="155"/>
      <c r="Q468" s="155"/>
      <c r="R468" s="155"/>
      <c r="S468" s="155"/>
      <c r="T468" s="155"/>
      <c r="U468" s="155"/>
      <c r="V468" s="155"/>
      <c r="W468" s="155"/>
      <c r="X468" s="155"/>
      <c r="Y468" s="155"/>
      <c r="Z468" s="155"/>
      <c r="AA468" s="155"/>
    </row>
    <row r="469" ht="22.5" customHeight="1">
      <c r="A469" s="139"/>
      <c r="B469" s="71"/>
      <c r="C469" s="117"/>
      <c r="D469" s="25"/>
      <c r="E469" s="118"/>
      <c r="F469" s="118"/>
      <c r="G469" s="138"/>
      <c r="H469" s="26"/>
      <c r="I469" s="155"/>
      <c r="J469" s="200"/>
      <c r="K469" s="155"/>
      <c r="L469" s="155"/>
      <c r="M469" s="155"/>
      <c r="N469" s="155"/>
      <c r="O469" s="155"/>
      <c r="P469" s="155"/>
      <c r="Q469" s="155"/>
      <c r="R469" s="155"/>
      <c r="S469" s="155"/>
      <c r="T469" s="155"/>
      <c r="U469" s="155"/>
      <c r="V469" s="155"/>
      <c r="W469" s="155"/>
      <c r="X469" s="155"/>
      <c r="Y469" s="155"/>
      <c r="Z469" s="155"/>
      <c r="AA469" s="155"/>
    </row>
    <row r="470" ht="22.5" customHeight="1">
      <c r="A470" s="139"/>
      <c r="B470" s="71"/>
      <c r="C470" s="117"/>
      <c r="D470" s="25"/>
      <c r="E470" s="118"/>
      <c r="F470" s="118"/>
      <c r="G470" s="138"/>
      <c r="H470" s="26"/>
      <c r="I470" s="155"/>
      <c r="J470" s="200"/>
      <c r="K470" s="155"/>
      <c r="L470" s="155"/>
      <c r="M470" s="155"/>
      <c r="N470" s="155"/>
      <c r="O470" s="155"/>
      <c r="P470" s="155"/>
      <c r="Q470" s="155"/>
      <c r="R470" s="155"/>
      <c r="S470" s="155"/>
      <c r="T470" s="155"/>
      <c r="U470" s="155"/>
      <c r="V470" s="155"/>
      <c r="W470" s="155"/>
      <c r="X470" s="155"/>
      <c r="Y470" s="155"/>
      <c r="Z470" s="155"/>
      <c r="AA470" s="155"/>
    </row>
    <row r="471" ht="22.5" customHeight="1">
      <c r="A471" s="139"/>
      <c r="B471" s="71"/>
      <c r="C471" s="117"/>
      <c r="D471" s="25"/>
      <c r="E471" s="118"/>
      <c r="F471" s="118"/>
      <c r="G471" s="138"/>
      <c r="H471" s="26"/>
      <c r="I471" s="155"/>
      <c r="J471" s="200"/>
      <c r="K471" s="155"/>
      <c r="L471" s="155"/>
      <c r="M471" s="155"/>
      <c r="N471" s="155"/>
      <c r="O471" s="155"/>
      <c r="P471" s="155"/>
      <c r="Q471" s="155"/>
      <c r="R471" s="155"/>
      <c r="S471" s="155"/>
      <c r="T471" s="155"/>
      <c r="U471" s="155"/>
      <c r="V471" s="155"/>
      <c r="W471" s="155"/>
      <c r="X471" s="155"/>
      <c r="Y471" s="155"/>
      <c r="Z471" s="155"/>
      <c r="AA471" s="155"/>
    </row>
    <row r="472" ht="22.5" customHeight="1">
      <c r="A472" s="139"/>
      <c r="B472" s="71"/>
      <c r="C472" s="117"/>
      <c r="D472" s="25"/>
      <c r="E472" s="118"/>
      <c r="F472" s="118"/>
      <c r="G472" s="138"/>
      <c r="H472" s="26"/>
      <c r="I472" s="155"/>
      <c r="J472" s="200"/>
      <c r="K472" s="155"/>
      <c r="L472" s="155"/>
      <c r="M472" s="155"/>
      <c r="N472" s="155"/>
      <c r="O472" s="155"/>
      <c r="P472" s="155"/>
      <c r="Q472" s="155"/>
      <c r="R472" s="155"/>
      <c r="S472" s="155"/>
      <c r="T472" s="155"/>
      <c r="U472" s="155"/>
      <c r="V472" s="155"/>
      <c r="W472" s="155"/>
      <c r="X472" s="155"/>
      <c r="Y472" s="155"/>
      <c r="Z472" s="155"/>
      <c r="AA472" s="155"/>
    </row>
    <row r="473" ht="22.5" customHeight="1">
      <c r="A473" s="139"/>
      <c r="B473" s="71"/>
      <c r="C473" s="117"/>
      <c r="D473" s="25"/>
      <c r="E473" s="118"/>
      <c r="F473" s="118"/>
      <c r="G473" s="138"/>
      <c r="H473" s="26"/>
      <c r="I473" s="155"/>
      <c r="J473" s="200"/>
      <c r="K473" s="155"/>
      <c r="L473" s="155"/>
      <c r="M473" s="155"/>
      <c r="N473" s="155"/>
      <c r="O473" s="155"/>
      <c r="P473" s="155"/>
      <c r="Q473" s="155"/>
      <c r="R473" s="155"/>
      <c r="S473" s="155"/>
      <c r="T473" s="155"/>
      <c r="U473" s="155"/>
      <c r="V473" s="155"/>
      <c r="W473" s="155"/>
      <c r="X473" s="155"/>
      <c r="Y473" s="155"/>
      <c r="Z473" s="155"/>
      <c r="AA473" s="155"/>
    </row>
    <row r="474" ht="22.5" customHeight="1">
      <c r="A474" s="139"/>
      <c r="B474" s="71"/>
      <c r="C474" s="117"/>
      <c r="D474" s="25"/>
      <c r="E474" s="118"/>
      <c r="F474" s="118"/>
      <c r="G474" s="138"/>
      <c r="H474" s="26"/>
      <c r="I474" s="155"/>
      <c r="J474" s="200"/>
      <c r="K474" s="155"/>
      <c r="L474" s="155"/>
      <c r="M474" s="155"/>
      <c r="N474" s="155"/>
      <c r="O474" s="155"/>
      <c r="P474" s="155"/>
      <c r="Q474" s="155"/>
      <c r="R474" s="155"/>
      <c r="S474" s="155"/>
      <c r="T474" s="155"/>
      <c r="U474" s="155"/>
      <c r="V474" s="155"/>
      <c r="W474" s="155"/>
      <c r="X474" s="155"/>
      <c r="Y474" s="155"/>
      <c r="Z474" s="155"/>
      <c r="AA474" s="155"/>
    </row>
    <row r="475" ht="22.5" customHeight="1">
      <c r="A475" s="139"/>
      <c r="B475" s="71"/>
      <c r="C475" s="117"/>
      <c r="D475" s="25"/>
      <c r="E475" s="118"/>
      <c r="F475" s="118"/>
      <c r="G475" s="138"/>
      <c r="H475" s="26"/>
      <c r="I475" s="155"/>
      <c r="J475" s="200"/>
      <c r="K475" s="155"/>
      <c r="L475" s="155"/>
      <c r="M475" s="155"/>
      <c r="N475" s="155"/>
      <c r="O475" s="155"/>
      <c r="P475" s="155"/>
      <c r="Q475" s="155"/>
      <c r="R475" s="155"/>
      <c r="S475" s="155"/>
      <c r="T475" s="155"/>
      <c r="U475" s="155"/>
      <c r="V475" s="155"/>
      <c r="W475" s="155"/>
      <c r="X475" s="155"/>
      <c r="Y475" s="155"/>
      <c r="Z475" s="155"/>
      <c r="AA475" s="155"/>
    </row>
    <row r="476" ht="22.5" customHeight="1">
      <c r="A476" s="139"/>
      <c r="B476" s="71"/>
      <c r="C476" s="117"/>
      <c r="D476" s="25"/>
      <c r="E476" s="118"/>
      <c r="F476" s="118"/>
      <c r="G476" s="138"/>
      <c r="H476" s="26"/>
      <c r="I476" s="155"/>
      <c r="J476" s="200"/>
      <c r="K476" s="155"/>
      <c r="L476" s="155"/>
      <c r="M476" s="155"/>
      <c r="N476" s="155"/>
      <c r="O476" s="155"/>
      <c r="P476" s="155"/>
      <c r="Q476" s="155"/>
      <c r="R476" s="155"/>
      <c r="S476" s="155"/>
      <c r="T476" s="155"/>
      <c r="U476" s="155"/>
      <c r="V476" s="155"/>
      <c r="W476" s="155"/>
      <c r="X476" s="155"/>
      <c r="Y476" s="155"/>
      <c r="Z476" s="155"/>
      <c r="AA476" s="155"/>
    </row>
    <row r="477" ht="22.5" customHeight="1">
      <c r="A477" s="139"/>
      <c r="B477" s="71"/>
      <c r="C477" s="117"/>
      <c r="D477" s="25"/>
      <c r="E477" s="118"/>
      <c r="F477" s="118"/>
      <c r="G477" s="138"/>
      <c r="H477" s="26"/>
      <c r="I477" s="155"/>
      <c r="J477" s="200"/>
      <c r="K477" s="155"/>
      <c r="L477" s="155"/>
      <c r="M477" s="155"/>
      <c r="N477" s="155"/>
      <c r="O477" s="155"/>
      <c r="P477" s="155"/>
      <c r="Q477" s="155"/>
      <c r="R477" s="155"/>
      <c r="S477" s="155"/>
      <c r="T477" s="155"/>
      <c r="U477" s="155"/>
      <c r="V477" s="155"/>
      <c r="W477" s="155"/>
      <c r="X477" s="155"/>
      <c r="Y477" s="155"/>
      <c r="Z477" s="155"/>
      <c r="AA477" s="155"/>
    </row>
    <row r="478" ht="22.5" customHeight="1">
      <c r="A478" s="139"/>
      <c r="B478" s="71"/>
      <c r="C478" s="117"/>
      <c r="D478" s="25"/>
      <c r="E478" s="118"/>
      <c r="F478" s="118"/>
      <c r="G478" s="138"/>
      <c r="H478" s="26"/>
      <c r="I478" s="155"/>
      <c r="J478" s="200"/>
      <c r="K478" s="155"/>
      <c r="L478" s="155"/>
      <c r="M478" s="155"/>
      <c r="N478" s="155"/>
      <c r="O478" s="155"/>
      <c r="P478" s="155"/>
      <c r="Q478" s="155"/>
      <c r="R478" s="155"/>
      <c r="S478" s="155"/>
      <c r="T478" s="155"/>
      <c r="U478" s="155"/>
      <c r="V478" s="155"/>
      <c r="W478" s="155"/>
      <c r="X478" s="155"/>
      <c r="Y478" s="155"/>
      <c r="Z478" s="155"/>
      <c r="AA478" s="155"/>
    </row>
    <row r="479" ht="22.5" customHeight="1">
      <c r="A479" s="139"/>
      <c r="B479" s="71"/>
      <c r="C479" s="117"/>
      <c r="D479" s="25"/>
      <c r="E479" s="118"/>
      <c r="F479" s="118"/>
      <c r="G479" s="138"/>
      <c r="H479" s="26"/>
      <c r="I479" s="155"/>
      <c r="J479" s="200"/>
      <c r="K479" s="155"/>
      <c r="L479" s="155"/>
      <c r="M479" s="155"/>
      <c r="N479" s="155"/>
      <c r="O479" s="155"/>
      <c r="P479" s="155"/>
      <c r="Q479" s="155"/>
      <c r="R479" s="155"/>
      <c r="S479" s="155"/>
      <c r="T479" s="155"/>
      <c r="U479" s="155"/>
      <c r="V479" s="155"/>
      <c r="W479" s="155"/>
      <c r="X479" s="155"/>
      <c r="Y479" s="155"/>
      <c r="Z479" s="155"/>
      <c r="AA479" s="155"/>
    </row>
    <row r="480" ht="22.5" customHeight="1">
      <c r="A480" s="139"/>
      <c r="B480" s="71"/>
      <c r="C480" s="117"/>
      <c r="D480" s="25"/>
      <c r="E480" s="118"/>
      <c r="F480" s="118"/>
      <c r="G480" s="138"/>
      <c r="H480" s="26"/>
      <c r="I480" s="155"/>
      <c r="J480" s="200"/>
      <c r="K480" s="155"/>
      <c r="L480" s="155"/>
      <c r="M480" s="155"/>
      <c r="N480" s="155"/>
      <c r="O480" s="155"/>
      <c r="P480" s="155"/>
      <c r="Q480" s="155"/>
      <c r="R480" s="155"/>
      <c r="S480" s="155"/>
      <c r="T480" s="155"/>
      <c r="U480" s="155"/>
      <c r="V480" s="155"/>
      <c r="W480" s="155"/>
      <c r="X480" s="155"/>
      <c r="Y480" s="155"/>
      <c r="Z480" s="155"/>
      <c r="AA480" s="155"/>
    </row>
    <row r="481" ht="22.5" customHeight="1">
      <c r="A481" s="139"/>
      <c r="B481" s="71"/>
      <c r="C481" s="117"/>
      <c r="D481" s="25"/>
      <c r="E481" s="118"/>
      <c r="F481" s="118"/>
      <c r="G481" s="138"/>
      <c r="H481" s="26"/>
      <c r="I481" s="155"/>
      <c r="J481" s="200"/>
      <c r="K481" s="155"/>
      <c r="L481" s="155"/>
      <c r="M481" s="155"/>
      <c r="N481" s="155"/>
      <c r="O481" s="155"/>
      <c r="P481" s="155"/>
      <c r="Q481" s="155"/>
      <c r="R481" s="155"/>
      <c r="S481" s="155"/>
      <c r="T481" s="155"/>
      <c r="U481" s="155"/>
      <c r="V481" s="155"/>
      <c r="W481" s="155"/>
      <c r="X481" s="155"/>
      <c r="Y481" s="155"/>
      <c r="Z481" s="155"/>
      <c r="AA481" s="155"/>
    </row>
    <row r="482" ht="22.5" customHeight="1">
      <c r="A482" s="139"/>
      <c r="B482" s="71"/>
      <c r="C482" s="117"/>
      <c r="D482" s="25"/>
      <c r="E482" s="118"/>
      <c r="F482" s="118"/>
      <c r="G482" s="138"/>
      <c r="H482" s="26"/>
      <c r="I482" s="155"/>
      <c r="J482" s="200"/>
      <c r="K482" s="155"/>
      <c r="L482" s="155"/>
      <c r="M482" s="155"/>
      <c r="N482" s="155"/>
      <c r="O482" s="155"/>
      <c r="P482" s="155"/>
      <c r="Q482" s="155"/>
      <c r="R482" s="155"/>
      <c r="S482" s="155"/>
      <c r="T482" s="155"/>
      <c r="U482" s="155"/>
      <c r="V482" s="155"/>
      <c r="W482" s="155"/>
      <c r="X482" s="155"/>
      <c r="Y482" s="155"/>
      <c r="Z482" s="155"/>
      <c r="AA482" s="155"/>
    </row>
    <row r="483" ht="22.5" customHeight="1">
      <c r="A483" s="139"/>
      <c r="B483" s="71"/>
      <c r="C483" s="117"/>
      <c r="D483" s="25"/>
      <c r="E483" s="118"/>
      <c r="F483" s="118"/>
      <c r="G483" s="138"/>
      <c r="H483" s="26"/>
      <c r="I483" s="155"/>
      <c r="J483" s="200"/>
      <c r="K483" s="155"/>
      <c r="L483" s="155"/>
      <c r="M483" s="155"/>
      <c r="N483" s="155"/>
      <c r="O483" s="155"/>
      <c r="P483" s="155"/>
      <c r="Q483" s="155"/>
      <c r="R483" s="155"/>
      <c r="S483" s="155"/>
      <c r="T483" s="155"/>
      <c r="U483" s="155"/>
      <c r="V483" s="155"/>
      <c r="W483" s="155"/>
      <c r="X483" s="155"/>
      <c r="Y483" s="155"/>
      <c r="Z483" s="155"/>
      <c r="AA483" s="155"/>
    </row>
    <row r="484" ht="22.5" customHeight="1">
      <c r="A484" s="139"/>
      <c r="B484" s="71"/>
      <c r="C484" s="117"/>
      <c r="D484" s="25"/>
      <c r="E484" s="118"/>
      <c r="F484" s="118"/>
      <c r="G484" s="138"/>
      <c r="H484" s="26"/>
      <c r="I484" s="155"/>
      <c r="J484" s="200"/>
      <c r="K484" s="155"/>
      <c r="L484" s="155"/>
      <c r="M484" s="155"/>
      <c r="N484" s="155"/>
      <c r="O484" s="155"/>
      <c r="P484" s="155"/>
      <c r="Q484" s="155"/>
      <c r="R484" s="155"/>
      <c r="S484" s="155"/>
      <c r="T484" s="155"/>
      <c r="U484" s="155"/>
      <c r="V484" s="155"/>
      <c r="W484" s="155"/>
      <c r="X484" s="155"/>
      <c r="Y484" s="155"/>
      <c r="Z484" s="155"/>
      <c r="AA484" s="155"/>
    </row>
    <row r="485" ht="22.5" customHeight="1">
      <c r="A485" s="139"/>
      <c r="B485" s="71"/>
      <c r="C485" s="117"/>
      <c r="D485" s="25"/>
      <c r="E485" s="118"/>
      <c r="F485" s="118"/>
      <c r="G485" s="138"/>
      <c r="H485" s="26"/>
      <c r="I485" s="155"/>
      <c r="J485" s="200"/>
      <c r="K485" s="155"/>
      <c r="L485" s="155"/>
      <c r="M485" s="155"/>
      <c r="N485" s="155"/>
      <c r="O485" s="155"/>
      <c r="P485" s="155"/>
      <c r="Q485" s="155"/>
      <c r="R485" s="155"/>
      <c r="S485" s="155"/>
      <c r="T485" s="155"/>
      <c r="U485" s="155"/>
      <c r="V485" s="155"/>
      <c r="W485" s="155"/>
      <c r="X485" s="155"/>
      <c r="Y485" s="155"/>
      <c r="Z485" s="155"/>
      <c r="AA485" s="155"/>
    </row>
    <row r="486" ht="22.5" customHeight="1">
      <c r="A486" s="139"/>
      <c r="B486" s="71"/>
      <c r="C486" s="117"/>
      <c r="D486" s="25"/>
      <c r="E486" s="118"/>
      <c r="F486" s="118"/>
      <c r="G486" s="138"/>
      <c r="H486" s="26"/>
      <c r="I486" s="155"/>
      <c r="J486" s="200"/>
      <c r="K486" s="155"/>
      <c r="L486" s="155"/>
      <c r="M486" s="155"/>
      <c r="N486" s="155"/>
      <c r="O486" s="155"/>
      <c r="P486" s="155"/>
      <c r="Q486" s="155"/>
      <c r="R486" s="155"/>
      <c r="S486" s="155"/>
      <c r="T486" s="155"/>
      <c r="U486" s="155"/>
      <c r="V486" s="155"/>
      <c r="W486" s="155"/>
      <c r="X486" s="155"/>
      <c r="Y486" s="155"/>
      <c r="Z486" s="155"/>
      <c r="AA486" s="155"/>
    </row>
    <row r="487" ht="22.5" customHeight="1">
      <c r="A487" s="139"/>
      <c r="B487" s="71"/>
      <c r="C487" s="117"/>
      <c r="D487" s="25"/>
      <c r="E487" s="118"/>
      <c r="F487" s="118"/>
      <c r="G487" s="138"/>
      <c r="H487" s="26"/>
      <c r="I487" s="155"/>
      <c r="J487" s="200"/>
      <c r="K487" s="155"/>
      <c r="L487" s="155"/>
      <c r="M487" s="155"/>
      <c r="N487" s="155"/>
      <c r="O487" s="155"/>
      <c r="P487" s="155"/>
      <c r="Q487" s="155"/>
      <c r="R487" s="155"/>
      <c r="S487" s="155"/>
      <c r="T487" s="155"/>
      <c r="U487" s="155"/>
      <c r="V487" s="155"/>
      <c r="W487" s="155"/>
      <c r="X487" s="155"/>
      <c r="Y487" s="155"/>
      <c r="Z487" s="155"/>
      <c r="AA487" s="155"/>
    </row>
    <row r="488" ht="22.5" customHeight="1">
      <c r="A488" s="139"/>
      <c r="B488" s="71"/>
      <c r="C488" s="117"/>
      <c r="D488" s="25"/>
      <c r="E488" s="118"/>
      <c r="F488" s="118"/>
      <c r="G488" s="138"/>
      <c r="H488" s="26"/>
      <c r="I488" s="155"/>
      <c r="J488" s="200"/>
      <c r="K488" s="155"/>
      <c r="L488" s="155"/>
      <c r="M488" s="155"/>
      <c r="N488" s="155"/>
      <c r="O488" s="155"/>
      <c r="P488" s="155"/>
      <c r="Q488" s="155"/>
      <c r="R488" s="155"/>
      <c r="S488" s="155"/>
      <c r="T488" s="155"/>
      <c r="U488" s="155"/>
      <c r="V488" s="155"/>
      <c r="W488" s="155"/>
      <c r="X488" s="155"/>
      <c r="Y488" s="155"/>
      <c r="Z488" s="155"/>
      <c r="AA488" s="155"/>
    </row>
    <row r="489" ht="22.5" customHeight="1">
      <c r="A489" s="139"/>
      <c r="B489" s="71"/>
      <c r="C489" s="117"/>
      <c r="D489" s="25"/>
      <c r="E489" s="118"/>
      <c r="F489" s="118"/>
      <c r="G489" s="138"/>
      <c r="H489" s="26"/>
      <c r="I489" s="155"/>
      <c r="J489" s="200"/>
      <c r="K489" s="155"/>
      <c r="L489" s="155"/>
      <c r="M489" s="155"/>
      <c r="N489" s="155"/>
      <c r="O489" s="155"/>
      <c r="P489" s="155"/>
      <c r="Q489" s="155"/>
      <c r="R489" s="155"/>
      <c r="S489" s="155"/>
      <c r="T489" s="155"/>
      <c r="U489" s="155"/>
      <c r="V489" s="155"/>
      <c r="W489" s="155"/>
      <c r="X489" s="155"/>
      <c r="Y489" s="155"/>
      <c r="Z489" s="155"/>
      <c r="AA489" s="155"/>
    </row>
    <row r="490" ht="22.5" customHeight="1">
      <c r="A490" s="139"/>
      <c r="B490" s="71"/>
      <c r="C490" s="117"/>
      <c r="D490" s="25"/>
      <c r="E490" s="118"/>
      <c r="F490" s="118"/>
      <c r="G490" s="138"/>
      <c r="H490" s="26"/>
      <c r="I490" s="155"/>
      <c r="J490" s="200"/>
      <c r="K490" s="155"/>
      <c r="L490" s="155"/>
      <c r="M490" s="155"/>
      <c r="N490" s="155"/>
      <c r="O490" s="155"/>
      <c r="P490" s="155"/>
      <c r="Q490" s="155"/>
      <c r="R490" s="155"/>
      <c r="S490" s="155"/>
      <c r="T490" s="155"/>
      <c r="U490" s="155"/>
      <c r="V490" s="155"/>
      <c r="W490" s="155"/>
      <c r="X490" s="155"/>
      <c r="Y490" s="155"/>
      <c r="Z490" s="155"/>
      <c r="AA490" s="155"/>
    </row>
    <row r="491" ht="22.5" customHeight="1">
      <c r="A491" s="139"/>
      <c r="B491" s="71"/>
      <c r="C491" s="117"/>
      <c r="D491" s="25"/>
      <c r="E491" s="118"/>
      <c r="F491" s="118"/>
      <c r="G491" s="138"/>
      <c r="H491" s="26"/>
      <c r="I491" s="155"/>
      <c r="J491" s="200"/>
      <c r="K491" s="155"/>
      <c r="L491" s="155"/>
      <c r="M491" s="155"/>
      <c r="N491" s="155"/>
      <c r="O491" s="155"/>
      <c r="P491" s="155"/>
      <c r="Q491" s="155"/>
      <c r="R491" s="155"/>
      <c r="S491" s="155"/>
      <c r="T491" s="155"/>
      <c r="U491" s="155"/>
      <c r="V491" s="155"/>
      <c r="W491" s="155"/>
      <c r="X491" s="155"/>
      <c r="Y491" s="155"/>
      <c r="Z491" s="155"/>
      <c r="AA491" s="155"/>
    </row>
    <row r="492" ht="22.5" customHeight="1">
      <c r="A492" s="139"/>
      <c r="B492" s="71"/>
      <c r="C492" s="117"/>
      <c r="D492" s="25"/>
      <c r="E492" s="118"/>
      <c r="F492" s="118"/>
      <c r="G492" s="138"/>
      <c r="H492" s="26"/>
      <c r="I492" s="155"/>
      <c r="J492" s="200"/>
      <c r="K492" s="155"/>
      <c r="L492" s="155"/>
      <c r="M492" s="155"/>
      <c r="N492" s="155"/>
      <c r="O492" s="155"/>
      <c r="P492" s="155"/>
      <c r="Q492" s="155"/>
      <c r="R492" s="155"/>
      <c r="S492" s="155"/>
      <c r="T492" s="155"/>
      <c r="U492" s="155"/>
      <c r="V492" s="155"/>
      <c r="W492" s="155"/>
      <c r="X492" s="155"/>
      <c r="Y492" s="155"/>
      <c r="Z492" s="155"/>
      <c r="AA492" s="155"/>
    </row>
    <row r="493" ht="22.5" customHeight="1">
      <c r="A493" s="139"/>
      <c r="B493" s="71"/>
      <c r="C493" s="117"/>
      <c r="D493" s="25"/>
      <c r="E493" s="118"/>
      <c r="F493" s="118"/>
      <c r="G493" s="138"/>
      <c r="H493" s="26"/>
      <c r="I493" s="155"/>
      <c r="J493" s="200"/>
      <c r="K493" s="155"/>
      <c r="L493" s="155"/>
      <c r="M493" s="155"/>
      <c r="N493" s="155"/>
      <c r="O493" s="155"/>
      <c r="P493" s="155"/>
      <c r="Q493" s="155"/>
      <c r="R493" s="155"/>
      <c r="S493" s="155"/>
      <c r="T493" s="155"/>
      <c r="U493" s="155"/>
      <c r="V493" s="155"/>
      <c r="W493" s="155"/>
      <c r="X493" s="155"/>
      <c r="Y493" s="155"/>
      <c r="Z493" s="155"/>
      <c r="AA493" s="155"/>
    </row>
    <row r="494" ht="22.5" customHeight="1">
      <c r="A494" s="139"/>
      <c r="B494" s="71"/>
      <c r="C494" s="117"/>
      <c r="D494" s="25"/>
      <c r="E494" s="118"/>
      <c r="F494" s="118"/>
      <c r="G494" s="138"/>
      <c r="H494" s="26"/>
      <c r="I494" s="155"/>
      <c r="J494" s="200"/>
      <c r="K494" s="155"/>
      <c r="L494" s="155"/>
      <c r="M494" s="155"/>
      <c r="N494" s="155"/>
      <c r="O494" s="155"/>
      <c r="P494" s="155"/>
      <c r="Q494" s="155"/>
      <c r="R494" s="155"/>
      <c r="S494" s="155"/>
      <c r="T494" s="155"/>
      <c r="U494" s="155"/>
      <c r="V494" s="155"/>
      <c r="W494" s="155"/>
      <c r="X494" s="155"/>
      <c r="Y494" s="155"/>
      <c r="Z494" s="155"/>
      <c r="AA494" s="155"/>
    </row>
    <row r="495" ht="22.5" customHeight="1">
      <c r="A495" s="139"/>
      <c r="B495" s="71"/>
      <c r="C495" s="117"/>
      <c r="D495" s="25"/>
      <c r="E495" s="118"/>
      <c r="F495" s="118"/>
      <c r="G495" s="138"/>
      <c r="H495" s="26"/>
      <c r="I495" s="155"/>
      <c r="J495" s="200"/>
      <c r="K495" s="155"/>
      <c r="L495" s="155"/>
      <c r="M495" s="155"/>
      <c r="N495" s="155"/>
      <c r="O495" s="155"/>
      <c r="P495" s="155"/>
      <c r="Q495" s="155"/>
      <c r="R495" s="155"/>
      <c r="S495" s="155"/>
      <c r="T495" s="155"/>
      <c r="U495" s="155"/>
      <c r="V495" s="155"/>
      <c r="W495" s="155"/>
      <c r="X495" s="155"/>
      <c r="Y495" s="155"/>
      <c r="Z495" s="155"/>
      <c r="AA495" s="155"/>
    </row>
    <row r="496" ht="22.5" customHeight="1">
      <c r="A496" s="139"/>
      <c r="B496" s="71"/>
      <c r="C496" s="117"/>
      <c r="D496" s="25"/>
      <c r="E496" s="118"/>
      <c r="F496" s="118"/>
      <c r="G496" s="138"/>
      <c r="H496" s="26"/>
      <c r="I496" s="155"/>
      <c r="J496" s="200"/>
      <c r="K496" s="155"/>
      <c r="L496" s="155"/>
      <c r="M496" s="155"/>
      <c r="N496" s="155"/>
      <c r="O496" s="155"/>
      <c r="P496" s="155"/>
      <c r="Q496" s="155"/>
      <c r="R496" s="155"/>
      <c r="S496" s="155"/>
      <c r="T496" s="155"/>
      <c r="U496" s="155"/>
      <c r="V496" s="155"/>
      <c r="W496" s="155"/>
      <c r="X496" s="155"/>
      <c r="Y496" s="155"/>
      <c r="Z496" s="155"/>
      <c r="AA496" s="155"/>
    </row>
    <row r="497" ht="22.5" customHeight="1">
      <c r="A497" s="139"/>
      <c r="B497" s="71"/>
      <c r="C497" s="117"/>
      <c r="D497" s="25"/>
      <c r="E497" s="118"/>
      <c r="F497" s="118"/>
      <c r="G497" s="138"/>
      <c r="H497" s="26"/>
      <c r="I497" s="155"/>
      <c r="J497" s="200"/>
      <c r="K497" s="155"/>
      <c r="L497" s="155"/>
      <c r="M497" s="155"/>
      <c r="N497" s="155"/>
      <c r="O497" s="155"/>
      <c r="P497" s="155"/>
      <c r="Q497" s="155"/>
      <c r="R497" s="155"/>
      <c r="S497" s="155"/>
      <c r="T497" s="155"/>
      <c r="U497" s="155"/>
      <c r="V497" s="155"/>
      <c r="W497" s="155"/>
      <c r="X497" s="155"/>
      <c r="Y497" s="155"/>
      <c r="Z497" s="155"/>
      <c r="AA497" s="155"/>
    </row>
    <row r="498" ht="22.5" customHeight="1">
      <c r="A498" s="139"/>
      <c r="B498" s="71"/>
      <c r="C498" s="117"/>
      <c r="D498" s="25"/>
      <c r="E498" s="118"/>
      <c r="F498" s="118"/>
      <c r="G498" s="138"/>
      <c r="H498" s="26"/>
      <c r="I498" s="155"/>
      <c r="J498" s="200"/>
      <c r="K498" s="155"/>
      <c r="L498" s="155"/>
      <c r="M498" s="155"/>
      <c r="N498" s="155"/>
      <c r="O498" s="155"/>
      <c r="P498" s="155"/>
      <c r="Q498" s="155"/>
      <c r="R498" s="155"/>
      <c r="S498" s="155"/>
      <c r="T498" s="155"/>
      <c r="U498" s="155"/>
      <c r="V498" s="155"/>
      <c r="W498" s="155"/>
      <c r="X498" s="155"/>
      <c r="Y498" s="155"/>
      <c r="Z498" s="155"/>
      <c r="AA498" s="155"/>
    </row>
    <row r="499" ht="22.5" customHeight="1">
      <c r="A499" s="139"/>
      <c r="B499" s="71"/>
      <c r="C499" s="117"/>
      <c r="D499" s="25"/>
      <c r="E499" s="118"/>
      <c r="F499" s="118"/>
      <c r="G499" s="138"/>
      <c r="H499" s="26"/>
      <c r="I499" s="155"/>
      <c r="J499" s="200"/>
      <c r="K499" s="155"/>
      <c r="L499" s="155"/>
      <c r="M499" s="155"/>
      <c r="N499" s="155"/>
      <c r="O499" s="155"/>
      <c r="P499" s="155"/>
      <c r="Q499" s="155"/>
      <c r="R499" s="155"/>
      <c r="S499" s="155"/>
      <c r="T499" s="155"/>
      <c r="U499" s="155"/>
      <c r="V499" s="155"/>
      <c r="W499" s="155"/>
      <c r="X499" s="155"/>
      <c r="Y499" s="155"/>
      <c r="Z499" s="155"/>
      <c r="AA499" s="155"/>
    </row>
    <row r="500" ht="22.5" customHeight="1">
      <c r="A500" s="139"/>
      <c r="B500" s="71"/>
      <c r="C500" s="117"/>
      <c r="D500" s="25"/>
      <c r="E500" s="118"/>
      <c r="F500" s="118"/>
      <c r="G500" s="138"/>
      <c r="H500" s="26"/>
      <c r="I500" s="155"/>
      <c r="J500" s="200"/>
      <c r="K500" s="155"/>
      <c r="L500" s="155"/>
      <c r="M500" s="155"/>
      <c r="N500" s="155"/>
      <c r="O500" s="155"/>
      <c r="P500" s="155"/>
      <c r="Q500" s="155"/>
      <c r="R500" s="155"/>
      <c r="S500" s="155"/>
      <c r="T500" s="155"/>
      <c r="U500" s="155"/>
      <c r="V500" s="155"/>
      <c r="W500" s="155"/>
      <c r="X500" s="155"/>
      <c r="Y500" s="155"/>
      <c r="Z500" s="155"/>
      <c r="AA500" s="155"/>
    </row>
    <row r="501" ht="22.5" customHeight="1">
      <c r="A501" s="139"/>
      <c r="B501" s="71"/>
      <c r="C501" s="117"/>
      <c r="D501" s="25"/>
      <c r="E501" s="118"/>
      <c r="F501" s="118"/>
      <c r="G501" s="138"/>
      <c r="H501" s="26"/>
      <c r="I501" s="155"/>
      <c r="J501" s="200"/>
      <c r="K501" s="155"/>
      <c r="L501" s="155"/>
      <c r="M501" s="155"/>
      <c r="N501" s="155"/>
      <c r="O501" s="155"/>
      <c r="P501" s="155"/>
      <c r="Q501" s="155"/>
      <c r="R501" s="155"/>
      <c r="S501" s="155"/>
      <c r="T501" s="155"/>
      <c r="U501" s="155"/>
      <c r="V501" s="155"/>
      <c r="W501" s="155"/>
      <c r="X501" s="155"/>
      <c r="Y501" s="155"/>
      <c r="Z501" s="155"/>
      <c r="AA501" s="155"/>
    </row>
    <row r="502" ht="22.5" customHeight="1">
      <c r="A502" s="139"/>
      <c r="B502" s="71"/>
      <c r="C502" s="117"/>
      <c r="D502" s="25"/>
      <c r="E502" s="118"/>
      <c r="F502" s="118"/>
      <c r="G502" s="138"/>
      <c r="H502" s="26"/>
      <c r="I502" s="155"/>
      <c r="J502" s="200"/>
      <c r="K502" s="155"/>
      <c r="L502" s="155"/>
      <c r="M502" s="155"/>
      <c r="N502" s="155"/>
      <c r="O502" s="155"/>
      <c r="P502" s="155"/>
      <c r="Q502" s="155"/>
      <c r="R502" s="155"/>
      <c r="S502" s="155"/>
      <c r="T502" s="155"/>
      <c r="U502" s="155"/>
      <c r="V502" s="155"/>
      <c r="W502" s="155"/>
      <c r="X502" s="155"/>
      <c r="Y502" s="155"/>
      <c r="Z502" s="155"/>
      <c r="AA502" s="155"/>
    </row>
    <row r="503" ht="22.5" customHeight="1">
      <c r="A503" s="139"/>
      <c r="B503" s="71"/>
      <c r="C503" s="117"/>
      <c r="D503" s="25"/>
      <c r="E503" s="118"/>
      <c r="F503" s="118"/>
      <c r="G503" s="138"/>
      <c r="H503" s="26"/>
      <c r="I503" s="155"/>
      <c r="J503" s="200"/>
      <c r="K503" s="155"/>
      <c r="L503" s="155"/>
      <c r="M503" s="155"/>
      <c r="N503" s="155"/>
      <c r="O503" s="155"/>
      <c r="P503" s="155"/>
      <c r="Q503" s="155"/>
      <c r="R503" s="155"/>
      <c r="S503" s="155"/>
      <c r="T503" s="155"/>
      <c r="U503" s="155"/>
      <c r="V503" s="155"/>
      <c r="W503" s="155"/>
      <c r="X503" s="155"/>
      <c r="Y503" s="155"/>
      <c r="Z503" s="155"/>
      <c r="AA503" s="155"/>
    </row>
    <row r="504" ht="22.5" customHeight="1">
      <c r="A504" s="139"/>
      <c r="B504" s="71"/>
      <c r="C504" s="117"/>
      <c r="D504" s="25"/>
      <c r="E504" s="118"/>
      <c r="F504" s="118"/>
      <c r="G504" s="138"/>
      <c r="H504" s="26"/>
      <c r="I504" s="155"/>
      <c r="J504" s="200"/>
      <c r="K504" s="155"/>
      <c r="L504" s="155"/>
      <c r="M504" s="155"/>
      <c r="N504" s="155"/>
      <c r="O504" s="155"/>
      <c r="P504" s="155"/>
      <c r="Q504" s="155"/>
      <c r="R504" s="155"/>
      <c r="S504" s="155"/>
      <c r="T504" s="155"/>
      <c r="U504" s="155"/>
      <c r="V504" s="155"/>
      <c r="W504" s="155"/>
      <c r="X504" s="155"/>
      <c r="Y504" s="155"/>
      <c r="Z504" s="155"/>
      <c r="AA504" s="155"/>
    </row>
    <row r="505" ht="22.5" customHeight="1">
      <c r="A505" s="139"/>
      <c r="B505" s="71"/>
      <c r="C505" s="117"/>
      <c r="D505" s="25"/>
      <c r="E505" s="118"/>
      <c r="F505" s="118"/>
      <c r="G505" s="138"/>
      <c r="H505" s="26"/>
      <c r="I505" s="155"/>
      <c r="J505" s="200"/>
      <c r="K505" s="155"/>
      <c r="L505" s="155"/>
      <c r="M505" s="155"/>
      <c r="N505" s="155"/>
      <c r="O505" s="155"/>
      <c r="P505" s="155"/>
      <c r="Q505" s="155"/>
      <c r="R505" s="155"/>
      <c r="S505" s="155"/>
      <c r="T505" s="155"/>
      <c r="U505" s="155"/>
      <c r="V505" s="155"/>
      <c r="W505" s="155"/>
      <c r="X505" s="155"/>
      <c r="Y505" s="155"/>
      <c r="Z505" s="155"/>
      <c r="AA505" s="155"/>
    </row>
    <row r="506" ht="22.5" customHeight="1">
      <c r="A506" s="139"/>
      <c r="B506" s="71"/>
      <c r="C506" s="117"/>
      <c r="D506" s="25"/>
      <c r="E506" s="118"/>
      <c r="F506" s="118"/>
      <c r="G506" s="138"/>
      <c r="H506" s="26"/>
      <c r="I506" s="155"/>
      <c r="J506" s="200"/>
      <c r="K506" s="155"/>
      <c r="L506" s="155"/>
      <c r="M506" s="155"/>
      <c r="N506" s="155"/>
      <c r="O506" s="155"/>
      <c r="P506" s="155"/>
      <c r="Q506" s="155"/>
      <c r="R506" s="155"/>
      <c r="S506" s="155"/>
      <c r="T506" s="155"/>
      <c r="U506" s="155"/>
      <c r="V506" s="155"/>
      <c r="W506" s="155"/>
      <c r="X506" s="155"/>
      <c r="Y506" s="155"/>
      <c r="Z506" s="155"/>
      <c r="AA506" s="155"/>
    </row>
    <row r="507" ht="22.5" customHeight="1">
      <c r="A507" s="139"/>
      <c r="B507" s="71"/>
      <c r="C507" s="117"/>
      <c r="D507" s="25"/>
      <c r="E507" s="118"/>
      <c r="F507" s="118"/>
      <c r="G507" s="138"/>
      <c r="H507" s="26"/>
      <c r="I507" s="155"/>
      <c r="J507" s="200"/>
      <c r="K507" s="155"/>
      <c r="L507" s="155"/>
      <c r="M507" s="155"/>
      <c r="N507" s="155"/>
      <c r="O507" s="155"/>
      <c r="P507" s="155"/>
      <c r="Q507" s="155"/>
      <c r="R507" s="155"/>
      <c r="S507" s="155"/>
      <c r="T507" s="155"/>
      <c r="U507" s="155"/>
      <c r="V507" s="155"/>
      <c r="W507" s="155"/>
      <c r="X507" s="155"/>
      <c r="Y507" s="155"/>
      <c r="Z507" s="155"/>
      <c r="AA507" s="155"/>
    </row>
    <row r="508" ht="22.5" customHeight="1">
      <c r="A508" s="139"/>
      <c r="B508" s="71"/>
      <c r="C508" s="117"/>
      <c r="D508" s="25"/>
      <c r="E508" s="118"/>
      <c r="F508" s="118"/>
      <c r="G508" s="138"/>
      <c r="H508" s="26"/>
      <c r="I508" s="155"/>
      <c r="J508" s="200"/>
      <c r="K508" s="155"/>
      <c r="L508" s="155"/>
      <c r="M508" s="155"/>
      <c r="N508" s="155"/>
      <c r="O508" s="155"/>
      <c r="P508" s="155"/>
      <c r="Q508" s="155"/>
      <c r="R508" s="155"/>
      <c r="S508" s="155"/>
      <c r="T508" s="155"/>
      <c r="U508" s="155"/>
      <c r="V508" s="155"/>
      <c r="W508" s="155"/>
      <c r="X508" s="155"/>
      <c r="Y508" s="155"/>
      <c r="Z508" s="155"/>
      <c r="AA508" s="155"/>
    </row>
    <row r="509" ht="22.5" customHeight="1">
      <c r="A509" s="139"/>
      <c r="B509" s="71"/>
      <c r="C509" s="117"/>
      <c r="D509" s="25"/>
      <c r="E509" s="118"/>
      <c r="F509" s="118"/>
      <c r="G509" s="138"/>
      <c r="H509" s="26"/>
      <c r="I509" s="155"/>
      <c r="J509" s="200"/>
      <c r="K509" s="155"/>
      <c r="L509" s="155"/>
      <c r="M509" s="155"/>
      <c r="N509" s="155"/>
      <c r="O509" s="155"/>
      <c r="P509" s="155"/>
      <c r="Q509" s="155"/>
      <c r="R509" s="155"/>
      <c r="S509" s="155"/>
      <c r="T509" s="155"/>
      <c r="U509" s="155"/>
      <c r="V509" s="155"/>
      <c r="W509" s="155"/>
      <c r="X509" s="155"/>
      <c r="Y509" s="155"/>
      <c r="Z509" s="155"/>
      <c r="AA509" s="155"/>
    </row>
    <row r="510" ht="22.5" customHeight="1">
      <c r="A510" s="139"/>
      <c r="B510" s="71"/>
      <c r="C510" s="117"/>
      <c r="D510" s="25"/>
      <c r="E510" s="118"/>
      <c r="F510" s="118"/>
      <c r="G510" s="138"/>
      <c r="H510" s="26"/>
      <c r="I510" s="155"/>
      <c r="J510" s="200"/>
      <c r="K510" s="155"/>
      <c r="L510" s="155"/>
      <c r="M510" s="155"/>
      <c r="N510" s="155"/>
      <c r="O510" s="155"/>
      <c r="P510" s="155"/>
      <c r="Q510" s="155"/>
      <c r="R510" s="155"/>
      <c r="S510" s="155"/>
      <c r="T510" s="155"/>
      <c r="U510" s="155"/>
      <c r="V510" s="155"/>
      <c r="W510" s="155"/>
      <c r="X510" s="155"/>
      <c r="Y510" s="155"/>
      <c r="Z510" s="155"/>
      <c r="AA510" s="155"/>
    </row>
    <row r="511" ht="22.5" customHeight="1">
      <c r="A511" s="139"/>
      <c r="B511" s="71"/>
      <c r="C511" s="117"/>
      <c r="D511" s="25"/>
      <c r="E511" s="118"/>
      <c r="F511" s="118"/>
      <c r="G511" s="138"/>
      <c r="H511" s="26"/>
      <c r="I511" s="155"/>
      <c r="J511" s="200"/>
      <c r="K511" s="155"/>
      <c r="L511" s="155"/>
      <c r="M511" s="155"/>
      <c r="N511" s="155"/>
      <c r="O511" s="155"/>
      <c r="P511" s="155"/>
      <c r="Q511" s="155"/>
      <c r="R511" s="155"/>
      <c r="S511" s="155"/>
      <c r="T511" s="155"/>
      <c r="U511" s="155"/>
      <c r="V511" s="155"/>
      <c r="W511" s="155"/>
      <c r="X511" s="155"/>
      <c r="Y511" s="155"/>
      <c r="Z511" s="155"/>
      <c r="AA511" s="155"/>
    </row>
    <row r="512" ht="22.5" customHeight="1">
      <c r="A512" s="139"/>
      <c r="B512" s="71"/>
      <c r="C512" s="117"/>
      <c r="D512" s="25"/>
      <c r="E512" s="118"/>
      <c r="F512" s="118"/>
      <c r="G512" s="138"/>
      <c r="H512" s="26"/>
      <c r="I512" s="155"/>
      <c r="J512" s="200"/>
      <c r="K512" s="155"/>
      <c r="L512" s="155"/>
      <c r="M512" s="155"/>
      <c r="N512" s="155"/>
      <c r="O512" s="155"/>
      <c r="P512" s="155"/>
      <c r="Q512" s="155"/>
      <c r="R512" s="155"/>
      <c r="S512" s="155"/>
      <c r="T512" s="155"/>
      <c r="U512" s="155"/>
      <c r="V512" s="155"/>
      <c r="W512" s="155"/>
      <c r="X512" s="155"/>
      <c r="Y512" s="155"/>
      <c r="Z512" s="155"/>
      <c r="AA512" s="155"/>
    </row>
    <row r="513" ht="22.5" customHeight="1">
      <c r="A513" s="139"/>
      <c r="B513" s="71"/>
      <c r="C513" s="117"/>
      <c r="D513" s="25"/>
      <c r="E513" s="118"/>
      <c r="F513" s="118"/>
      <c r="G513" s="138"/>
      <c r="H513" s="26"/>
      <c r="I513" s="155"/>
      <c r="J513" s="200"/>
      <c r="K513" s="155"/>
      <c r="L513" s="155"/>
      <c r="M513" s="155"/>
      <c r="N513" s="155"/>
      <c r="O513" s="155"/>
      <c r="P513" s="155"/>
      <c r="Q513" s="155"/>
      <c r="R513" s="155"/>
      <c r="S513" s="155"/>
      <c r="T513" s="155"/>
      <c r="U513" s="155"/>
      <c r="V513" s="155"/>
      <c r="W513" s="155"/>
      <c r="X513" s="155"/>
      <c r="Y513" s="155"/>
      <c r="Z513" s="155"/>
      <c r="AA513" s="155"/>
    </row>
    <row r="514" ht="22.5" customHeight="1">
      <c r="A514" s="139"/>
      <c r="B514" s="71"/>
      <c r="C514" s="117"/>
      <c r="D514" s="25"/>
      <c r="E514" s="118"/>
      <c r="F514" s="118"/>
      <c r="G514" s="138"/>
      <c r="H514" s="26"/>
      <c r="I514" s="155"/>
      <c r="J514" s="200"/>
      <c r="K514" s="155"/>
      <c r="L514" s="155"/>
      <c r="M514" s="155"/>
      <c r="N514" s="155"/>
      <c r="O514" s="155"/>
      <c r="P514" s="155"/>
      <c r="Q514" s="155"/>
      <c r="R514" s="155"/>
      <c r="S514" s="155"/>
      <c r="T514" s="155"/>
      <c r="U514" s="155"/>
      <c r="V514" s="155"/>
      <c r="W514" s="155"/>
      <c r="X514" s="155"/>
      <c r="Y514" s="155"/>
      <c r="Z514" s="155"/>
      <c r="AA514" s="155"/>
    </row>
    <row r="515" ht="22.5" customHeight="1">
      <c r="A515" s="139"/>
      <c r="B515" s="71"/>
      <c r="C515" s="117"/>
      <c r="D515" s="25"/>
      <c r="E515" s="118"/>
      <c r="F515" s="118"/>
      <c r="G515" s="138"/>
      <c r="H515" s="26"/>
      <c r="I515" s="155"/>
      <c r="J515" s="200"/>
      <c r="K515" s="155"/>
      <c r="L515" s="155"/>
      <c r="M515" s="155"/>
      <c r="N515" s="155"/>
      <c r="O515" s="155"/>
      <c r="P515" s="155"/>
      <c r="Q515" s="155"/>
      <c r="R515" s="155"/>
      <c r="S515" s="155"/>
      <c r="T515" s="155"/>
      <c r="U515" s="155"/>
      <c r="V515" s="155"/>
      <c r="W515" s="155"/>
      <c r="X515" s="155"/>
      <c r="Y515" s="155"/>
      <c r="Z515" s="155"/>
      <c r="AA515" s="155"/>
    </row>
    <row r="516" ht="22.5" customHeight="1">
      <c r="A516" s="139"/>
      <c r="B516" s="71"/>
      <c r="C516" s="117"/>
      <c r="D516" s="25"/>
      <c r="E516" s="118"/>
      <c r="F516" s="118"/>
      <c r="G516" s="138"/>
      <c r="H516" s="26"/>
      <c r="I516" s="155"/>
      <c r="J516" s="200"/>
      <c r="K516" s="155"/>
      <c r="L516" s="155"/>
      <c r="M516" s="155"/>
      <c r="N516" s="155"/>
      <c r="O516" s="155"/>
      <c r="P516" s="155"/>
      <c r="Q516" s="155"/>
      <c r="R516" s="155"/>
      <c r="S516" s="155"/>
      <c r="T516" s="155"/>
      <c r="U516" s="155"/>
      <c r="V516" s="155"/>
      <c r="W516" s="155"/>
      <c r="X516" s="155"/>
      <c r="Y516" s="155"/>
      <c r="Z516" s="155"/>
      <c r="AA516" s="155"/>
    </row>
    <row r="517" ht="22.5" customHeight="1">
      <c r="A517" s="139"/>
      <c r="B517" s="71"/>
      <c r="C517" s="117"/>
      <c r="D517" s="25"/>
      <c r="E517" s="118"/>
      <c r="F517" s="118"/>
      <c r="G517" s="138"/>
      <c r="H517" s="26"/>
      <c r="I517" s="155"/>
      <c r="J517" s="200"/>
      <c r="K517" s="155"/>
      <c r="L517" s="155"/>
      <c r="M517" s="155"/>
      <c r="N517" s="155"/>
      <c r="O517" s="155"/>
      <c r="P517" s="155"/>
      <c r="Q517" s="155"/>
      <c r="R517" s="155"/>
      <c r="S517" s="155"/>
      <c r="T517" s="155"/>
      <c r="U517" s="155"/>
      <c r="V517" s="155"/>
      <c r="W517" s="155"/>
      <c r="X517" s="155"/>
      <c r="Y517" s="155"/>
      <c r="Z517" s="155"/>
      <c r="AA517" s="155"/>
    </row>
    <row r="518" ht="22.5" customHeight="1">
      <c r="A518" s="139"/>
      <c r="B518" s="71"/>
      <c r="C518" s="117"/>
      <c r="D518" s="25"/>
      <c r="E518" s="118"/>
      <c r="F518" s="118"/>
      <c r="G518" s="138"/>
      <c r="H518" s="26"/>
      <c r="I518" s="155"/>
      <c r="J518" s="200"/>
      <c r="K518" s="155"/>
      <c r="L518" s="155"/>
      <c r="M518" s="155"/>
      <c r="N518" s="155"/>
      <c r="O518" s="155"/>
      <c r="P518" s="155"/>
      <c r="Q518" s="155"/>
      <c r="R518" s="155"/>
      <c r="S518" s="155"/>
      <c r="T518" s="155"/>
      <c r="U518" s="155"/>
      <c r="V518" s="155"/>
      <c r="W518" s="155"/>
      <c r="X518" s="155"/>
      <c r="Y518" s="155"/>
      <c r="Z518" s="155"/>
      <c r="AA518" s="155"/>
    </row>
    <row r="519" ht="22.5" customHeight="1">
      <c r="A519" s="139"/>
      <c r="B519" s="71"/>
      <c r="C519" s="117"/>
      <c r="D519" s="25"/>
      <c r="E519" s="118"/>
      <c r="F519" s="118"/>
      <c r="G519" s="138"/>
      <c r="H519" s="26"/>
      <c r="I519" s="155"/>
      <c r="J519" s="200"/>
      <c r="K519" s="155"/>
      <c r="L519" s="155"/>
      <c r="M519" s="155"/>
      <c r="N519" s="155"/>
      <c r="O519" s="155"/>
      <c r="P519" s="155"/>
      <c r="Q519" s="155"/>
      <c r="R519" s="155"/>
      <c r="S519" s="155"/>
      <c r="T519" s="155"/>
      <c r="U519" s="155"/>
      <c r="V519" s="155"/>
      <c r="W519" s="155"/>
      <c r="X519" s="155"/>
      <c r="Y519" s="155"/>
      <c r="Z519" s="155"/>
      <c r="AA519" s="155"/>
    </row>
    <row r="520" ht="22.5" customHeight="1">
      <c r="A520" s="139"/>
      <c r="B520" s="71"/>
      <c r="C520" s="117"/>
      <c r="D520" s="25"/>
      <c r="E520" s="118"/>
      <c r="F520" s="118"/>
      <c r="G520" s="138"/>
      <c r="H520" s="26"/>
      <c r="I520" s="155"/>
      <c r="J520" s="200"/>
      <c r="K520" s="155"/>
      <c r="L520" s="155"/>
      <c r="M520" s="155"/>
      <c r="N520" s="155"/>
      <c r="O520" s="155"/>
      <c r="P520" s="155"/>
      <c r="Q520" s="155"/>
      <c r="R520" s="155"/>
      <c r="S520" s="155"/>
      <c r="T520" s="155"/>
      <c r="U520" s="155"/>
      <c r="V520" s="155"/>
      <c r="W520" s="155"/>
      <c r="X520" s="155"/>
      <c r="Y520" s="155"/>
      <c r="Z520" s="155"/>
      <c r="AA520" s="155"/>
    </row>
    <row r="521" ht="22.5" customHeight="1">
      <c r="A521" s="139"/>
      <c r="B521" s="71"/>
      <c r="C521" s="117"/>
      <c r="D521" s="25"/>
      <c r="E521" s="118"/>
      <c r="F521" s="118"/>
      <c r="G521" s="138"/>
      <c r="H521" s="26"/>
      <c r="I521" s="155"/>
      <c r="J521" s="200"/>
      <c r="K521" s="155"/>
      <c r="L521" s="155"/>
      <c r="M521" s="155"/>
      <c r="N521" s="155"/>
      <c r="O521" s="155"/>
      <c r="P521" s="155"/>
      <c r="Q521" s="155"/>
      <c r="R521" s="155"/>
      <c r="S521" s="155"/>
      <c r="T521" s="155"/>
      <c r="U521" s="155"/>
      <c r="V521" s="155"/>
      <c r="W521" s="155"/>
      <c r="X521" s="155"/>
      <c r="Y521" s="155"/>
      <c r="Z521" s="155"/>
      <c r="AA521" s="155"/>
    </row>
    <row r="522" ht="22.5" customHeight="1">
      <c r="A522" s="139"/>
      <c r="B522" s="71"/>
      <c r="C522" s="117"/>
      <c r="D522" s="25"/>
      <c r="E522" s="118"/>
      <c r="F522" s="118"/>
      <c r="G522" s="138"/>
      <c r="H522" s="26"/>
      <c r="I522" s="155"/>
      <c r="J522" s="200"/>
      <c r="K522" s="155"/>
      <c r="L522" s="155"/>
      <c r="M522" s="155"/>
      <c r="N522" s="155"/>
      <c r="O522" s="155"/>
      <c r="P522" s="155"/>
      <c r="Q522" s="155"/>
      <c r="R522" s="155"/>
      <c r="S522" s="155"/>
      <c r="T522" s="155"/>
      <c r="U522" s="155"/>
      <c r="V522" s="155"/>
      <c r="W522" s="155"/>
      <c r="X522" s="155"/>
      <c r="Y522" s="155"/>
      <c r="Z522" s="155"/>
      <c r="AA522" s="155"/>
    </row>
    <row r="523" ht="22.5" customHeight="1">
      <c r="A523" s="139"/>
      <c r="B523" s="71"/>
      <c r="C523" s="117"/>
      <c r="D523" s="25"/>
      <c r="E523" s="118"/>
      <c r="F523" s="118"/>
      <c r="G523" s="138"/>
      <c r="H523" s="26"/>
      <c r="I523" s="155"/>
      <c r="J523" s="200"/>
      <c r="K523" s="155"/>
      <c r="L523" s="155"/>
      <c r="M523" s="155"/>
      <c r="N523" s="155"/>
      <c r="O523" s="155"/>
      <c r="P523" s="155"/>
      <c r="Q523" s="155"/>
      <c r="R523" s="155"/>
      <c r="S523" s="155"/>
      <c r="T523" s="155"/>
      <c r="U523" s="155"/>
      <c r="V523" s="155"/>
      <c r="W523" s="155"/>
      <c r="X523" s="155"/>
      <c r="Y523" s="155"/>
      <c r="Z523" s="155"/>
      <c r="AA523" s="155"/>
    </row>
    <row r="524" ht="22.5" customHeight="1">
      <c r="A524" s="139"/>
      <c r="B524" s="71"/>
      <c r="C524" s="117"/>
      <c r="D524" s="25"/>
      <c r="E524" s="118"/>
      <c r="F524" s="118"/>
      <c r="G524" s="138"/>
      <c r="H524" s="26"/>
      <c r="I524" s="155"/>
      <c r="J524" s="200"/>
      <c r="K524" s="155"/>
      <c r="L524" s="155"/>
      <c r="M524" s="155"/>
      <c r="N524" s="155"/>
      <c r="O524" s="155"/>
      <c r="P524" s="155"/>
      <c r="Q524" s="155"/>
      <c r="R524" s="155"/>
      <c r="S524" s="155"/>
      <c r="T524" s="155"/>
      <c r="U524" s="155"/>
      <c r="V524" s="155"/>
      <c r="W524" s="155"/>
      <c r="X524" s="155"/>
      <c r="Y524" s="155"/>
      <c r="Z524" s="155"/>
      <c r="AA524" s="155"/>
    </row>
    <row r="525" ht="22.5" customHeight="1">
      <c r="A525" s="139"/>
      <c r="B525" s="71"/>
      <c r="C525" s="117"/>
      <c r="D525" s="25"/>
      <c r="E525" s="118"/>
      <c r="F525" s="118"/>
      <c r="G525" s="138"/>
      <c r="H525" s="26"/>
      <c r="I525" s="155"/>
      <c r="J525" s="200"/>
      <c r="K525" s="155"/>
      <c r="L525" s="155"/>
      <c r="M525" s="155"/>
      <c r="N525" s="155"/>
      <c r="O525" s="155"/>
      <c r="P525" s="155"/>
      <c r="Q525" s="155"/>
      <c r="R525" s="155"/>
      <c r="S525" s="155"/>
      <c r="T525" s="155"/>
      <c r="U525" s="155"/>
      <c r="V525" s="155"/>
      <c r="W525" s="155"/>
      <c r="X525" s="155"/>
      <c r="Y525" s="155"/>
      <c r="Z525" s="155"/>
      <c r="AA525" s="155"/>
    </row>
    <row r="526" ht="22.5" customHeight="1">
      <c r="A526" s="139"/>
      <c r="B526" s="71"/>
      <c r="C526" s="117"/>
      <c r="D526" s="25"/>
      <c r="E526" s="118"/>
      <c r="F526" s="118"/>
      <c r="G526" s="138"/>
      <c r="H526" s="26"/>
      <c r="I526" s="155"/>
      <c r="J526" s="200"/>
      <c r="K526" s="155"/>
      <c r="L526" s="155"/>
      <c r="M526" s="155"/>
      <c r="N526" s="155"/>
      <c r="O526" s="155"/>
      <c r="P526" s="155"/>
      <c r="Q526" s="155"/>
      <c r="R526" s="155"/>
      <c r="S526" s="155"/>
      <c r="T526" s="155"/>
      <c r="U526" s="155"/>
      <c r="V526" s="155"/>
      <c r="W526" s="155"/>
      <c r="X526" s="155"/>
      <c r="Y526" s="155"/>
      <c r="Z526" s="155"/>
      <c r="AA526" s="155"/>
    </row>
    <row r="527" ht="22.5" customHeight="1">
      <c r="A527" s="139"/>
      <c r="B527" s="71"/>
      <c r="C527" s="117"/>
      <c r="D527" s="25"/>
      <c r="E527" s="118"/>
      <c r="F527" s="118"/>
      <c r="G527" s="138"/>
      <c r="H527" s="26"/>
      <c r="I527" s="155"/>
      <c r="J527" s="200"/>
      <c r="K527" s="155"/>
      <c r="L527" s="155"/>
      <c r="M527" s="155"/>
      <c r="N527" s="155"/>
      <c r="O527" s="155"/>
      <c r="P527" s="155"/>
      <c r="Q527" s="155"/>
      <c r="R527" s="155"/>
      <c r="S527" s="155"/>
      <c r="T527" s="155"/>
      <c r="U527" s="155"/>
      <c r="V527" s="155"/>
      <c r="W527" s="155"/>
      <c r="X527" s="155"/>
      <c r="Y527" s="155"/>
      <c r="Z527" s="155"/>
      <c r="AA527" s="155"/>
    </row>
    <row r="528" ht="22.5" customHeight="1">
      <c r="A528" s="139"/>
      <c r="B528" s="71"/>
      <c r="C528" s="117"/>
      <c r="D528" s="25"/>
      <c r="E528" s="118"/>
      <c r="F528" s="118"/>
      <c r="G528" s="138"/>
      <c r="H528" s="26"/>
      <c r="I528" s="155"/>
      <c r="J528" s="200"/>
      <c r="K528" s="155"/>
      <c r="L528" s="155"/>
      <c r="M528" s="155"/>
      <c r="N528" s="155"/>
      <c r="O528" s="155"/>
      <c r="P528" s="155"/>
      <c r="Q528" s="155"/>
      <c r="R528" s="155"/>
      <c r="S528" s="155"/>
      <c r="T528" s="155"/>
      <c r="U528" s="155"/>
      <c r="V528" s="155"/>
      <c r="W528" s="155"/>
      <c r="X528" s="155"/>
      <c r="Y528" s="155"/>
      <c r="Z528" s="155"/>
      <c r="AA528" s="155"/>
    </row>
    <row r="529" ht="22.5" customHeight="1">
      <c r="A529" s="139"/>
      <c r="B529" s="71"/>
      <c r="C529" s="117"/>
      <c r="D529" s="25"/>
      <c r="E529" s="118"/>
      <c r="F529" s="118"/>
      <c r="G529" s="138"/>
      <c r="H529" s="26"/>
      <c r="I529" s="155"/>
      <c r="J529" s="200"/>
      <c r="K529" s="155"/>
      <c r="L529" s="155"/>
      <c r="M529" s="155"/>
      <c r="N529" s="155"/>
      <c r="O529" s="155"/>
      <c r="P529" s="155"/>
      <c r="Q529" s="155"/>
      <c r="R529" s="155"/>
      <c r="S529" s="155"/>
      <c r="T529" s="155"/>
      <c r="U529" s="155"/>
      <c r="V529" s="155"/>
      <c r="W529" s="155"/>
      <c r="X529" s="155"/>
      <c r="Y529" s="155"/>
      <c r="Z529" s="155"/>
      <c r="AA529" s="155"/>
    </row>
    <row r="530" ht="22.5" customHeight="1">
      <c r="A530" s="139"/>
      <c r="B530" s="71"/>
      <c r="C530" s="117"/>
      <c r="D530" s="25"/>
      <c r="E530" s="118"/>
      <c r="F530" s="118"/>
      <c r="G530" s="138"/>
      <c r="H530" s="26"/>
      <c r="I530" s="155"/>
      <c r="J530" s="200"/>
      <c r="K530" s="155"/>
      <c r="L530" s="155"/>
      <c r="M530" s="155"/>
      <c r="N530" s="155"/>
      <c r="O530" s="155"/>
      <c r="P530" s="155"/>
      <c r="Q530" s="155"/>
      <c r="R530" s="155"/>
      <c r="S530" s="155"/>
      <c r="T530" s="155"/>
      <c r="U530" s="155"/>
      <c r="V530" s="155"/>
      <c r="W530" s="155"/>
      <c r="X530" s="155"/>
      <c r="Y530" s="155"/>
      <c r="Z530" s="155"/>
      <c r="AA530" s="155"/>
    </row>
    <row r="531" ht="22.5" customHeight="1">
      <c r="A531" s="139"/>
      <c r="B531" s="71"/>
      <c r="C531" s="117"/>
      <c r="D531" s="25"/>
      <c r="E531" s="118"/>
      <c r="F531" s="118"/>
      <c r="G531" s="138"/>
      <c r="H531" s="26"/>
      <c r="I531" s="155"/>
      <c r="J531" s="200"/>
      <c r="K531" s="155"/>
      <c r="L531" s="155"/>
      <c r="M531" s="155"/>
      <c r="N531" s="155"/>
      <c r="O531" s="155"/>
      <c r="P531" s="155"/>
      <c r="Q531" s="155"/>
      <c r="R531" s="155"/>
      <c r="S531" s="155"/>
      <c r="T531" s="155"/>
      <c r="U531" s="155"/>
      <c r="V531" s="155"/>
      <c r="W531" s="155"/>
      <c r="X531" s="155"/>
      <c r="Y531" s="155"/>
      <c r="Z531" s="155"/>
      <c r="AA531" s="155"/>
    </row>
    <row r="532" ht="22.5" customHeight="1">
      <c r="A532" s="139"/>
      <c r="B532" s="71"/>
      <c r="C532" s="117"/>
      <c r="D532" s="25"/>
      <c r="E532" s="118"/>
      <c r="F532" s="118"/>
      <c r="G532" s="138"/>
      <c r="H532" s="26"/>
      <c r="I532" s="155"/>
      <c r="J532" s="200"/>
      <c r="K532" s="155"/>
      <c r="L532" s="155"/>
      <c r="M532" s="155"/>
      <c r="N532" s="155"/>
      <c r="O532" s="155"/>
      <c r="P532" s="155"/>
      <c r="Q532" s="155"/>
      <c r="R532" s="155"/>
      <c r="S532" s="155"/>
      <c r="T532" s="155"/>
      <c r="U532" s="155"/>
      <c r="V532" s="155"/>
      <c r="W532" s="155"/>
      <c r="X532" s="155"/>
      <c r="Y532" s="155"/>
      <c r="Z532" s="155"/>
      <c r="AA532" s="155"/>
    </row>
    <row r="533" ht="22.5" customHeight="1">
      <c r="A533" s="139"/>
      <c r="B533" s="71"/>
      <c r="C533" s="117"/>
      <c r="D533" s="25"/>
      <c r="E533" s="118"/>
      <c r="F533" s="118"/>
      <c r="G533" s="138"/>
      <c r="H533" s="26"/>
      <c r="I533" s="155"/>
      <c r="J533" s="200"/>
      <c r="K533" s="155"/>
      <c r="L533" s="155"/>
      <c r="M533" s="155"/>
      <c r="N533" s="155"/>
      <c r="O533" s="155"/>
      <c r="P533" s="155"/>
      <c r="Q533" s="155"/>
      <c r="R533" s="155"/>
      <c r="S533" s="155"/>
      <c r="T533" s="155"/>
      <c r="U533" s="155"/>
      <c r="V533" s="155"/>
      <c r="W533" s="155"/>
      <c r="X533" s="155"/>
      <c r="Y533" s="155"/>
      <c r="Z533" s="155"/>
      <c r="AA533" s="155"/>
    </row>
    <row r="534" ht="22.5" customHeight="1">
      <c r="A534" s="139"/>
      <c r="B534" s="71"/>
      <c r="C534" s="117"/>
      <c r="D534" s="25"/>
      <c r="E534" s="118"/>
      <c r="F534" s="118"/>
      <c r="G534" s="138"/>
      <c r="H534" s="26"/>
      <c r="I534" s="155"/>
      <c r="J534" s="200"/>
      <c r="K534" s="155"/>
      <c r="L534" s="155"/>
      <c r="M534" s="155"/>
      <c r="N534" s="155"/>
      <c r="O534" s="155"/>
      <c r="P534" s="155"/>
      <c r="Q534" s="155"/>
      <c r="R534" s="155"/>
      <c r="S534" s="155"/>
      <c r="T534" s="155"/>
      <c r="U534" s="155"/>
      <c r="V534" s="155"/>
      <c r="W534" s="155"/>
      <c r="X534" s="155"/>
      <c r="Y534" s="155"/>
      <c r="Z534" s="155"/>
      <c r="AA534" s="155"/>
    </row>
    <row r="535" ht="22.5" customHeight="1">
      <c r="A535" s="139"/>
      <c r="B535" s="71"/>
      <c r="C535" s="117"/>
      <c r="D535" s="25"/>
      <c r="E535" s="118"/>
      <c r="F535" s="118"/>
      <c r="G535" s="138"/>
      <c r="H535" s="26"/>
      <c r="I535" s="155"/>
      <c r="J535" s="200"/>
      <c r="K535" s="155"/>
      <c r="L535" s="155"/>
      <c r="M535" s="155"/>
      <c r="N535" s="155"/>
      <c r="O535" s="155"/>
      <c r="P535" s="155"/>
      <c r="Q535" s="155"/>
      <c r="R535" s="155"/>
      <c r="S535" s="155"/>
      <c r="T535" s="155"/>
      <c r="U535" s="155"/>
      <c r="V535" s="155"/>
      <c r="W535" s="155"/>
      <c r="X535" s="155"/>
      <c r="Y535" s="155"/>
      <c r="Z535" s="155"/>
      <c r="AA535" s="155"/>
    </row>
    <row r="536" ht="22.5" customHeight="1">
      <c r="A536" s="139"/>
      <c r="B536" s="71"/>
      <c r="C536" s="117"/>
      <c r="D536" s="25"/>
      <c r="E536" s="118"/>
      <c r="F536" s="118"/>
      <c r="G536" s="138"/>
      <c r="H536" s="26"/>
      <c r="I536" s="155"/>
      <c r="J536" s="200"/>
      <c r="K536" s="155"/>
      <c r="L536" s="155"/>
      <c r="M536" s="155"/>
      <c r="N536" s="155"/>
      <c r="O536" s="155"/>
      <c r="P536" s="155"/>
      <c r="Q536" s="155"/>
      <c r="R536" s="155"/>
      <c r="S536" s="155"/>
      <c r="T536" s="155"/>
      <c r="U536" s="155"/>
      <c r="V536" s="155"/>
      <c r="W536" s="155"/>
      <c r="X536" s="155"/>
      <c r="Y536" s="155"/>
      <c r="Z536" s="155"/>
      <c r="AA536" s="155"/>
    </row>
    <row r="537" ht="22.5" customHeight="1">
      <c r="A537" s="139"/>
      <c r="B537" s="71"/>
      <c r="C537" s="117"/>
      <c r="D537" s="25"/>
      <c r="E537" s="118"/>
      <c r="F537" s="118"/>
      <c r="G537" s="138"/>
      <c r="H537" s="26"/>
      <c r="I537" s="155"/>
      <c r="J537" s="200"/>
      <c r="K537" s="155"/>
      <c r="L537" s="155"/>
      <c r="M537" s="155"/>
      <c r="N537" s="155"/>
      <c r="O537" s="155"/>
      <c r="P537" s="155"/>
      <c r="Q537" s="155"/>
      <c r="R537" s="155"/>
      <c r="S537" s="155"/>
      <c r="T537" s="155"/>
      <c r="U537" s="155"/>
      <c r="V537" s="155"/>
      <c r="W537" s="155"/>
      <c r="X537" s="155"/>
      <c r="Y537" s="155"/>
      <c r="Z537" s="155"/>
      <c r="AA537" s="155"/>
    </row>
    <row r="538" ht="22.5" customHeight="1">
      <c r="A538" s="139"/>
      <c r="B538" s="71"/>
      <c r="C538" s="117"/>
      <c r="D538" s="25"/>
      <c r="E538" s="118"/>
      <c r="F538" s="118"/>
      <c r="G538" s="138"/>
      <c r="H538" s="26"/>
      <c r="I538" s="155"/>
      <c r="J538" s="200"/>
      <c r="K538" s="155"/>
      <c r="L538" s="155"/>
      <c r="M538" s="155"/>
      <c r="N538" s="155"/>
      <c r="O538" s="155"/>
      <c r="P538" s="155"/>
      <c r="Q538" s="155"/>
      <c r="R538" s="155"/>
      <c r="S538" s="155"/>
      <c r="T538" s="155"/>
      <c r="U538" s="155"/>
      <c r="V538" s="155"/>
      <c r="W538" s="155"/>
      <c r="X538" s="155"/>
      <c r="Y538" s="155"/>
      <c r="Z538" s="155"/>
      <c r="AA538" s="155"/>
    </row>
    <row r="539" ht="22.5" customHeight="1">
      <c r="A539" s="139"/>
      <c r="B539" s="71"/>
      <c r="C539" s="117"/>
      <c r="D539" s="25"/>
      <c r="E539" s="118"/>
      <c r="F539" s="118"/>
      <c r="G539" s="138"/>
      <c r="H539" s="26"/>
      <c r="I539" s="155"/>
      <c r="J539" s="200"/>
      <c r="K539" s="155"/>
      <c r="L539" s="155"/>
      <c r="M539" s="155"/>
      <c r="N539" s="155"/>
      <c r="O539" s="155"/>
      <c r="P539" s="155"/>
      <c r="Q539" s="155"/>
      <c r="R539" s="155"/>
      <c r="S539" s="155"/>
      <c r="T539" s="155"/>
      <c r="U539" s="155"/>
      <c r="V539" s="155"/>
      <c r="W539" s="155"/>
      <c r="X539" s="155"/>
      <c r="Y539" s="155"/>
      <c r="Z539" s="155"/>
      <c r="AA539" s="155"/>
    </row>
    <row r="540" ht="22.5" customHeight="1">
      <c r="A540" s="139"/>
      <c r="B540" s="71"/>
      <c r="C540" s="117"/>
      <c r="D540" s="25"/>
      <c r="E540" s="118"/>
      <c r="F540" s="118"/>
      <c r="G540" s="138"/>
      <c r="H540" s="26"/>
      <c r="I540" s="155"/>
      <c r="J540" s="200"/>
      <c r="K540" s="155"/>
      <c r="L540" s="155"/>
      <c r="M540" s="155"/>
      <c r="N540" s="155"/>
      <c r="O540" s="155"/>
      <c r="P540" s="155"/>
      <c r="Q540" s="155"/>
      <c r="R540" s="155"/>
      <c r="S540" s="155"/>
      <c r="T540" s="155"/>
      <c r="U540" s="155"/>
      <c r="V540" s="155"/>
      <c r="W540" s="155"/>
      <c r="X540" s="155"/>
      <c r="Y540" s="155"/>
      <c r="Z540" s="155"/>
      <c r="AA540" s="155"/>
    </row>
    <row r="541" ht="22.5" customHeight="1">
      <c r="A541" s="139"/>
      <c r="B541" s="71"/>
      <c r="C541" s="117"/>
      <c r="D541" s="25"/>
      <c r="E541" s="118"/>
      <c r="F541" s="118"/>
      <c r="G541" s="138"/>
      <c r="H541" s="26"/>
      <c r="I541" s="155"/>
      <c r="J541" s="200"/>
      <c r="K541" s="155"/>
      <c r="L541" s="155"/>
      <c r="M541" s="155"/>
      <c r="N541" s="155"/>
      <c r="O541" s="155"/>
      <c r="P541" s="155"/>
      <c r="Q541" s="155"/>
      <c r="R541" s="155"/>
      <c r="S541" s="155"/>
      <c r="T541" s="155"/>
      <c r="U541" s="155"/>
      <c r="V541" s="155"/>
      <c r="W541" s="155"/>
      <c r="X541" s="155"/>
      <c r="Y541" s="155"/>
      <c r="Z541" s="155"/>
      <c r="AA541" s="155"/>
    </row>
    <row r="542" ht="22.5" customHeight="1">
      <c r="A542" s="139"/>
      <c r="B542" s="71"/>
      <c r="C542" s="117"/>
      <c r="D542" s="25"/>
      <c r="E542" s="118"/>
      <c r="F542" s="118"/>
      <c r="G542" s="138"/>
      <c r="H542" s="26"/>
      <c r="I542" s="155"/>
      <c r="J542" s="200"/>
      <c r="K542" s="155"/>
      <c r="L542" s="155"/>
      <c r="M542" s="155"/>
      <c r="N542" s="155"/>
      <c r="O542" s="155"/>
      <c r="P542" s="155"/>
      <c r="Q542" s="155"/>
      <c r="R542" s="155"/>
      <c r="S542" s="155"/>
      <c r="T542" s="155"/>
      <c r="U542" s="155"/>
      <c r="V542" s="155"/>
      <c r="W542" s="155"/>
      <c r="X542" s="155"/>
      <c r="Y542" s="155"/>
      <c r="Z542" s="155"/>
      <c r="AA542" s="155"/>
    </row>
    <row r="543" ht="22.5" customHeight="1">
      <c r="A543" s="139"/>
      <c r="B543" s="71"/>
      <c r="C543" s="117"/>
      <c r="D543" s="25"/>
      <c r="E543" s="118"/>
      <c r="F543" s="118"/>
      <c r="G543" s="138"/>
      <c r="H543" s="26"/>
      <c r="I543" s="155"/>
      <c r="J543" s="200"/>
      <c r="K543" s="155"/>
      <c r="L543" s="155"/>
      <c r="M543" s="155"/>
      <c r="N543" s="155"/>
      <c r="O543" s="155"/>
      <c r="P543" s="155"/>
      <c r="Q543" s="155"/>
      <c r="R543" s="155"/>
      <c r="S543" s="155"/>
      <c r="T543" s="155"/>
      <c r="U543" s="155"/>
      <c r="V543" s="155"/>
      <c r="W543" s="155"/>
      <c r="X543" s="155"/>
      <c r="Y543" s="155"/>
      <c r="Z543" s="155"/>
      <c r="AA543" s="155"/>
    </row>
    <row r="544" ht="22.5" customHeight="1">
      <c r="A544" s="139"/>
      <c r="B544" s="71"/>
      <c r="C544" s="117"/>
      <c r="D544" s="25"/>
      <c r="E544" s="118"/>
      <c r="F544" s="118"/>
      <c r="G544" s="138"/>
      <c r="H544" s="26"/>
      <c r="I544" s="155"/>
      <c r="J544" s="200"/>
      <c r="K544" s="155"/>
      <c r="L544" s="155"/>
      <c r="M544" s="155"/>
      <c r="N544" s="155"/>
      <c r="O544" s="155"/>
      <c r="P544" s="155"/>
      <c r="Q544" s="155"/>
      <c r="R544" s="155"/>
      <c r="S544" s="155"/>
      <c r="T544" s="155"/>
      <c r="U544" s="155"/>
      <c r="V544" s="155"/>
      <c r="W544" s="155"/>
      <c r="X544" s="155"/>
      <c r="Y544" s="155"/>
      <c r="Z544" s="155"/>
      <c r="AA544" s="155"/>
    </row>
    <row r="545" ht="22.5" customHeight="1">
      <c r="A545" s="139"/>
      <c r="B545" s="71"/>
      <c r="C545" s="117"/>
      <c r="D545" s="25"/>
      <c r="E545" s="118"/>
      <c r="F545" s="118"/>
      <c r="G545" s="138"/>
      <c r="H545" s="26"/>
      <c r="I545" s="155"/>
      <c r="J545" s="200"/>
      <c r="K545" s="155"/>
      <c r="L545" s="155"/>
      <c r="M545" s="155"/>
      <c r="N545" s="155"/>
      <c r="O545" s="155"/>
      <c r="P545" s="155"/>
      <c r="Q545" s="155"/>
      <c r="R545" s="155"/>
      <c r="S545" s="155"/>
      <c r="T545" s="155"/>
      <c r="U545" s="155"/>
      <c r="V545" s="155"/>
      <c r="W545" s="155"/>
      <c r="X545" s="155"/>
      <c r="Y545" s="155"/>
      <c r="Z545" s="155"/>
      <c r="AA545" s="155"/>
    </row>
    <row r="546" ht="22.5" customHeight="1">
      <c r="A546" s="139"/>
      <c r="B546" s="71"/>
      <c r="C546" s="117"/>
      <c r="D546" s="25"/>
      <c r="E546" s="118"/>
      <c r="F546" s="118"/>
      <c r="G546" s="138"/>
      <c r="H546" s="26"/>
      <c r="I546" s="155"/>
      <c r="J546" s="200"/>
      <c r="K546" s="155"/>
      <c r="L546" s="155"/>
      <c r="M546" s="155"/>
      <c r="N546" s="155"/>
      <c r="O546" s="155"/>
      <c r="P546" s="155"/>
      <c r="Q546" s="155"/>
      <c r="R546" s="155"/>
      <c r="S546" s="155"/>
      <c r="T546" s="155"/>
      <c r="U546" s="155"/>
      <c r="V546" s="155"/>
      <c r="W546" s="155"/>
      <c r="X546" s="155"/>
      <c r="Y546" s="155"/>
      <c r="Z546" s="155"/>
      <c r="AA546" s="155"/>
    </row>
    <row r="547" ht="22.5" customHeight="1">
      <c r="A547" s="139"/>
      <c r="B547" s="71"/>
      <c r="C547" s="117"/>
      <c r="D547" s="25"/>
      <c r="E547" s="118"/>
      <c r="F547" s="118"/>
      <c r="G547" s="138"/>
      <c r="H547" s="26"/>
      <c r="I547" s="155"/>
      <c r="J547" s="200"/>
      <c r="K547" s="155"/>
      <c r="L547" s="155"/>
      <c r="M547" s="155"/>
      <c r="N547" s="155"/>
      <c r="O547" s="155"/>
      <c r="P547" s="155"/>
      <c r="Q547" s="155"/>
      <c r="R547" s="155"/>
      <c r="S547" s="155"/>
      <c r="T547" s="155"/>
      <c r="U547" s="155"/>
      <c r="V547" s="155"/>
      <c r="W547" s="155"/>
      <c r="X547" s="155"/>
      <c r="Y547" s="155"/>
      <c r="Z547" s="155"/>
      <c r="AA547" s="155"/>
    </row>
    <row r="548" ht="22.5" customHeight="1">
      <c r="A548" s="139"/>
      <c r="B548" s="71"/>
      <c r="C548" s="117"/>
      <c r="D548" s="25"/>
      <c r="E548" s="118"/>
      <c r="F548" s="118"/>
      <c r="G548" s="138"/>
      <c r="H548" s="26"/>
      <c r="I548" s="155"/>
      <c r="J548" s="200"/>
      <c r="K548" s="155"/>
      <c r="L548" s="155"/>
      <c r="M548" s="155"/>
      <c r="N548" s="155"/>
      <c r="O548" s="155"/>
      <c r="P548" s="155"/>
      <c r="Q548" s="155"/>
      <c r="R548" s="155"/>
      <c r="S548" s="155"/>
      <c r="T548" s="155"/>
      <c r="U548" s="155"/>
      <c r="V548" s="155"/>
      <c r="W548" s="155"/>
      <c r="X548" s="155"/>
      <c r="Y548" s="155"/>
      <c r="Z548" s="155"/>
      <c r="AA548" s="155"/>
    </row>
    <row r="549" ht="22.5" customHeight="1">
      <c r="A549" s="139"/>
      <c r="B549" s="71"/>
      <c r="C549" s="117"/>
      <c r="D549" s="25"/>
      <c r="E549" s="118"/>
      <c r="F549" s="118"/>
      <c r="G549" s="138"/>
      <c r="H549" s="26"/>
      <c r="I549" s="155"/>
      <c r="J549" s="200"/>
      <c r="K549" s="155"/>
      <c r="L549" s="155"/>
      <c r="M549" s="155"/>
      <c r="N549" s="155"/>
      <c r="O549" s="155"/>
      <c r="P549" s="155"/>
      <c r="Q549" s="155"/>
      <c r="R549" s="155"/>
      <c r="S549" s="155"/>
      <c r="T549" s="155"/>
      <c r="U549" s="155"/>
      <c r="V549" s="155"/>
      <c r="W549" s="155"/>
      <c r="X549" s="155"/>
      <c r="Y549" s="155"/>
      <c r="Z549" s="155"/>
      <c r="AA549" s="155"/>
    </row>
    <row r="550" ht="22.5" customHeight="1">
      <c r="A550" s="139"/>
      <c r="B550" s="71"/>
      <c r="C550" s="117"/>
      <c r="D550" s="25"/>
      <c r="E550" s="118"/>
      <c r="F550" s="118"/>
      <c r="G550" s="138"/>
      <c r="H550" s="26"/>
      <c r="I550" s="155"/>
      <c r="J550" s="200"/>
      <c r="K550" s="155"/>
      <c r="L550" s="155"/>
      <c r="M550" s="155"/>
      <c r="N550" s="155"/>
      <c r="O550" s="155"/>
      <c r="P550" s="155"/>
      <c r="Q550" s="155"/>
      <c r="R550" s="155"/>
      <c r="S550" s="155"/>
      <c r="T550" s="155"/>
      <c r="U550" s="155"/>
      <c r="V550" s="155"/>
      <c r="W550" s="155"/>
      <c r="X550" s="155"/>
      <c r="Y550" s="155"/>
      <c r="Z550" s="155"/>
      <c r="AA550" s="155"/>
    </row>
    <row r="551" ht="22.5" customHeight="1">
      <c r="A551" s="139"/>
      <c r="B551" s="71"/>
      <c r="C551" s="117"/>
      <c r="D551" s="25"/>
      <c r="E551" s="118"/>
      <c r="F551" s="118"/>
      <c r="G551" s="138"/>
      <c r="H551" s="26"/>
      <c r="I551" s="155"/>
      <c r="J551" s="200"/>
      <c r="K551" s="155"/>
      <c r="L551" s="155"/>
      <c r="M551" s="155"/>
      <c r="N551" s="155"/>
      <c r="O551" s="155"/>
      <c r="P551" s="155"/>
      <c r="Q551" s="155"/>
      <c r="R551" s="155"/>
      <c r="S551" s="155"/>
      <c r="T551" s="155"/>
      <c r="U551" s="155"/>
      <c r="V551" s="155"/>
      <c r="W551" s="155"/>
      <c r="X551" s="155"/>
      <c r="Y551" s="155"/>
      <c r="Z551" s="155"/>
      <c r="AA551" s="155"/>
    </row>
    <row r="552" ht="22.5" customHeight="1">
      <c r="A552" s="139"/>
      <c r="B552" s="71"/>
      <c r="C552" s="117"/>
      <c r="D552" s="25"/>
      <c r="E552" s="118"/>
      <c r="F552" s="118"/>
      <c r="G552" s="138"/>
      <c r="H552" s="26"/>
      <c r="I552" s="155"/>
      <c r="J552" s="200"/>
      <c r="K552" s="155"/>
      <c r="L552" s="155"/>
      <c r="M552" s="155"/>
      <c r="N552" s="155"/>
      <c r="O552" s="155"/>
      <c r="P552" s="155"/>
      <c r="Q552" s="155"/>
      <c r="R552" s="155"/>
      <c r="S552" s="155"/>
      <c r="T552" s="155"/>
      <c r="U552" s="155"/>
      <c r="V552" s="155"/>
      <c r="W552" s="155"/>
      <c r="X552" s="155"/>
      <c r="Y552" s="155"/>
      <c r="Z552" s="155"/>
      <c r="AA552" s="155"/>
    </row>
    <row r="553" ht="22.5" customHeight="1">
      <c r="A553" s="139"/>
      <c r="B553" s="71"/>
      <c r="C553" s="117"/>
      <c r="D553" s="25"/>
      <c r="E553" s="118"/>
      <c r="F553" s="118"/>
      <c r="G553" s="138"/>
      <c r="H553" s="26"/>
      <c r="I553" s="155"/>
      <c r="J553" s="200"/>
      <c r="K553" s="155"/>
      <c r="L553" s="155"/>
      <c r="M553" s="155"/>
      <c r="N553" s="155"/>
      <c r="O553" s="155"/>
      <c r="P553" s="155"/>
      <c r="Q553" s="155"/>
      <c r="R553" s="155"/>
      <c r="S553" s="155"/>
      <c r="T553" s="155"/>
      <c r="U553" s="155"/>
      <c r="V553" s="155"/>
      <c r="W553" s="155"/>
      <c r="X553" s="155"/>
      <c r="Y553" s="155"/>
      <c r="Z553" s="155"/>
      <c r="AA553" s="155"/>
    </row>
    <row r="554" ht="22.5" customHeight="1">
      <c r="A554" s="139"/>
      <c r="B554" s="71"/>
      <c r="C554" s="117"/>
      <c r="D554" s="25"/>
      <c r="E554" s="118"/>
      <c r="F554" s="118"/>
      <c r="G554" s="138"/>
      <c r="H554" s="26"/>
      <c r="I554" s="155"/>
      <c r="J554" s="200"/>
      <c r="K554" s="155"/>
      <c r="L554" s="155"/>
      <c r="M554" s="155"/>
      <c r="N554" s="155"/>
      <c r="O554" s="155"/>
      <c r="P554" s="155"/>
      <c r="Q554" s="155"/>
      <c r="R554" s="155"/>
      <c r="S554" s="155"/>
      <c r="T554" s="155"/>
      <c r="U554" s="155"/>
      <c r="V554" s="155"/>
      <c r="W554" s="155"/>
      <c r="X554" s="155"/>
      <c r="Y554" s="155"/>
      <c r="Z554" s="155"/>
      <c r="AA554" s="155"/>
    </row>
    <row r="555" ht="22.5" customHeight="1">
      <c r="A555" s="139"/>
      <c r="B555" s="71"/>
      <c r="C555" s="117"/>
      <c r="D555" s="25"/>
      <c r="E555" s="118"/>
      <c r="F555" s="118"/>
      <c r="G555" s="138"/>
      <c r="H555" s="26"/>
      <c r="I555" s="155"/>
      <c r="J555" s="200"/>
      <c r="K555" s="155"/>
      <c r="L555" s="155"/>
      <c r="M555" s="155"/>
      <c r="N555" s="155"/>
      <c r="O555" s="155"/>
      <c r="P555" s="155"/>
      <c r="Q555" s="155"/>
      <c r="R555" s="155"/>
      <c r="S555" s="155"/>
      <c r="T555" s="155"/>
      <c r="U555" s="155"/>
      <c r="V555" s="155"/>
      <c r="W555" s="155"/>
      <c r="X555" s="155"/>
      <c r="Y555" s="155"/>
      <c r="Z555" s="155"/>
      <c r="AA555" s="155"/>
    </row>
    <row r="556" ht="22.5" customHeight="1">
      <c r="A556" s="139"/>
      <c r="B556" s="71"/>
      <c r="C556" s="117"/>
      <c r="D556" s="25"/>
      <c r="E556" s="118"/>
      <c r="F556" s="118"/>
      <c r="G556" s="138"/>
      <c r="H556" s="26"/>
      <c r="I556" s="155"/>
      <c r="J556" s="200"/>
      <c r="K556" s="155"/>
      <c r="L556" s="155"/>
      <c r="M556" s="155"/>
      <c r="N556" s="155"/>
      <c r="O556" s="155"/>
      <c r="P556" s="155"/>
      <c r="Q556" s="155"/>
      <c r="R556" s="155"/>
      <c r="S556" s="155"/>
      <c r="T556" s="155"/>
      <c r="U556" s="155"/>
      <c r="V556" s="155"/>
      <c r="W556" s="155"/>
      <c r="X556" s="155"/>
      <c r="Y556" s="155"/>
      <c r="Z556" s="155"/>
      <c r="AA556" s="155"/>
    </row>
    <row r="557" ht="22.5" customHeight="1">
      <c r="A557" s="139"/>
      <c r="B557" s="71"/>
      <c r="C557" s="117"/>
      <c r="D557" s="25"/>
      <c r="E557" s="118"/>
      <c r="F557" s="118"/>
      <c r="G557" s="138"/>
      <c r="H557" s="26"/>
      <c r="I557" s="155"/>
      <c r="J557" s="200"/>
      <c r="K557" s="155"/>
      <c r="L557" s="155"/>
      <c r="M557" s="155"/>
      <c r="N557" s="155"/>
      <c r="O557" s="155"/>
      <c r="P557" s="155"/>
      <c r="Q557" s="155"/>
      <c r="R557" s="155"/>
      <c r="S557" s="155"/>
      <c r="T557" s="155"/>
      <c r="U557" s="155"/>
      <c r="V557" s="155"/>
      <c r="W557" s="155"/>
      <c r="X557" s="155"/>
      <c r="Y557" s="155"/>
      <c r="Z557" s="155"/>
      <c r="AA557" s="155"/>
    </row>
    <row r="558" ht="22.5" customHeight="1">
      <c r="A558" s="139"/>
      <c r="B558" s="71"/>
      <c r="C558" s="117"/>
      <c r="D558" s="25"/>
      <c r="E558" s="118"/>
      <c r="F558" s="118"/>
      <c r="G558" s="138"/>
      <c r="H558" s="26"/>
      <c r="I558" s="155"/>
      <c r="J558" s="200"/>
      <c r="K558" s="155"/>
      <c r="L558" s="155"/>
      <c r="M558" s="155"/>
      <c r="N558" s="155"/>
      <c r="O558" s="155"/>
      <c r="P558" s="155"/>
      <c r="Q558" s="155"/>
      <c r="R558" s="155"/>
      <c r="S558" s="155"/>
      <c r="T558" s="155"/>
      <c r="U558" s="155"/>
      <c r="V558" s="155"/>
      <c r="W558" s="155"/>
      <c r="X558" s="155"/>
      <c r="Y558" s="155"/>
      <c r="Z558" s="155"/>
      <c r="AA558" s="155"/>
    </row>
    <row r="559" ht="22.5" customHeight="1">
      <c r="A559" s="139"/>
      <c r="B559" s="71"/>
      <c r="C559" s="117"/>
      <c r="D559" s="25"/>
      <c r="E559" s="118"/>
      <c r="F559" s="118"/>
      <c r="G559" s="138"/>
      <c r="H559" s="26"/>
      <c r="I559" s="155"/>
      <c r="J559" s="200"/>
      <c r="K559" s="155"/>
      <c r="L559" s="155"/>
      <c r="M559" s="155"/>
      <c r="N559" s="155"/>
      <c r="O559" s="155"/>
      <c r="P559" s="155"/>
      <c r="Q559" s="155"/>
      <c r="R559" s="155"/>
      <c r="S559" s="155"/>
      <c r="T559" s="155"/>
      <c r="U559" s="155"/>
      <c r="V559" s="155"/>
      <c r="W559" s="155"/>
      <c r="X559" s="155"/>
      <c r="Y559" s="155"/>
      <c r="Z559" s="155"/>
      <c r="AA559" s="155"/>
    </row>
    <row r="560" ht="22.5" customHeight="1">
      <c r="A560" s="139"/>
      <c r="B560" s="71"/>
      <c r="C560" s="117"/>
      <c r="D560" s="25"/>
      <c r="E560" s="118"/>
      <c r="F560" s="118"/>
      <c r="G560" s="138"/>
      <c r="H560" s="26"/>
      <c r="I560" s="155"/>
      <c r="J560" s="200"/>
      <c r="K560" s="155"/>
      <c r="L560" s="155"/>
      <c r="M560" s="155"/>
      <c r="N560" s="155"/>
      <c r="O560" s="155"/>
      <c r="P560" s="155"/>
      <c r="Q560" s="155"/>
      <c r="R560" s="155"/>
      <c r="S560" s="155"/>
      <c r="T560" s="155"/>
      <c r="U560" s="155"/>
      <c r="V560" s="155"/>
      <c r="W560" s="155"/>
      <c r="X560" s="155"/>
      <c r="Y560" s="155"/>
      <c r="Z560" s="155"/>
      <c r="AA560" s="155"/>
    </row>
    <row r="561" ht="22.5" customHeight="1">
      <c r="A561" s="139"/>
      <c r="B561" s="71"/>
      <c r="C561" s="117"/>
      <c r="D561" s="25"/>
      <c r="E561" s="118"/>
      <c r="F561" s="118"/>
      <c r="G561" s="138"/>
      <c r="H561" s="26"/>
      <c r="I561" s="155"/>
      <c r="J561" s="200"/>
      <c r="K561" s="155"/>
      <c r="L561" s="155"/>
      <c r="M561" s="155"/>
      <c r="N561" s="155"/>
      <c r="O561" s="155"/>
      <c r="P561" s="155"/>
      <c r="Q561" s="155"/>
      <c r="R561" s="155"/>
      <c r="S561" s="155"/>
      <c r="T561" s="155"/>
      <c r="U561" s="155"/>
      <c r="V561" s="155"/>
      <c r="W561" s="155"/>
      <c r="X561" s="155"/>
      <c r="Y561" s="155"/>
      <c r="Z561" s="155"/>
      <c r="AA561" s="155"/>
    </row>
    <row r="562" ht="22.5" customHeight="1">
      <c r="A562" s="139"/>
      <c r="B562" s="71"/>
      <c r="C562" s="117"/>
      <c r="D562" s="25"/>
      <c r="E562" s="118"/>
      <c r="F562" s="118"/>
      <c r="G562" s="138"/>
      <c r="H562" s="26"/>
      <c r="I562" s="155"/>
      <c r="J562" s="200"/>
      <c r="K562" s="155"/>
      <c r="L562" s="155"/>
      <c r="M562" s="155"/>
      <c r="N562" s="155"/>
      <c r="O562" s="155"/>
      <c r="P562" s="155"/>
      <c r="Q562" s="155"/>
      <c r="R562" s="155"/>
      <c r="S562" s="155"/>
      <c r="T562" s="155"/>
      <c r="U562" s="155"/>
      <c r="V562" s="155"/>
      <c r="W562" s="155"/>
      <c r="X562" s="155"/>
      <c r="Y562" s="155"/>
      <c r="Z562" s="155"/>
      <c r="AA562" s="155"/>
    </row>
    <row r="563" ht="22.5" customHeight="1">
      <c r="A563" s="139"/>
      <c r="B563" s="71"/>
      <c r="C563" s="117"/>
      <c r="D563" s="25"/>
      <c r="E563" s="118"/>
      <c r="F563" s="118"/>
      <c r="G563" s="138"/>
      <c r="H563" s="26"/>
      <c r="I563" s="155"/>
      <c r="J563" s="200"/>
      <c r="K563" s="155"/>
      <c r="L563" s="155"/>
      <c r="M563" s="155"/>
      <c r="N563" s="155"/>
      <c r="O563" s="155"/>
      <c r="P563" s="155"/>
      <c r="Q563" s="155"/>
      <c r="R563" s="155"/>
      <c r="S563" s="155"/>
      <c r="T563" s="155"/>
      <c r="U563" s="155"/>
      <c r="V563" s="155"/>
      <c r="W563" s="155"/>
      <c r="X563" s="155"/>
      <c r="Y563" s="155"/>
      <c r="Z563" s="155"/>
      <c r="AA563" s="155"/>
    </row>
    <row r="564" ht="22.5" customHeight="1">
      <c r="A564" s="139"/>
      <c r="B564" s="71"/>
      <c r="C564" s="117"/>
      <c r="D564" s="25"/>
      <c r="E564" s="118"/>
      <c r="F564" s="118"/>
      <c r="G564" s="138"/>
      <c r="H564" s="26"/>
      <c r="I564" s="155"/>
      <c r="J564" s="200"/>
      <c r="K564" s="155"/>
      <c r="L564" s="155"/>
      <c r="M564" s="155"/>
      <c r="N564" s="155"/>
      <c r="O564" s="155"/>
      <c r="P564" s="155"/>
      <c r="Q564" s="155"/>
      <c r="R564" s="155"/>
      <c r="S564" s="155"/>
      <c r="T564" s="155"/>
      <c r="U564" s="155"/>
      <c r="V564" s="155"/>
      <c r="W564" s="155"/>
      <c r="X564" s="155"/>
      <c r="Y564" s="155"/>
      <c r="Z564" s="155"/>
      <c r="AA564" s="155"/>
    </row>
    <row r="565" ht="22.5" customHeight="1">
      <c r="A565" s="139"/>
      <c r="B565" s="71"/>
      <c r="C565" s="117"/>
      <c r="D565" s="25"/>
      <c r="E565" s="118"/>
      <c r="F565" s="118"/>
      <c r="G565" s="138"/>
      <c r="H565" s="26"/>
      <c r="I565" s="155"/>
      <c r="J565" s="200"/>
      <c r="K565" s="155"/>
      <c r="L565" s="155"/>
      <c r="M565" s="155"/>
      <c r="N565" s="155"/>
      <c r="O565" s="155"/>
      <c r="P565" s="155"/>
      <c r="Q565" s="155"/>
      <c r="R565" s="155"/>
      <c r="S565" s="155"/>
      <c r="T565" s="155"/>
      <c r="U565" s="155"/>
      <c r="V565" s="155"/>
      <c r="W565" s="155"/>
      <c r="X565" s="155"/>
      <c r="Y565" s="155"/>
      <c r="Z565" s="155"/>
      <c r="AA565" s="155"/>
    </row>
    <row r="566" ht="22.5" customHeight="1">
      <c r="A566" s="139"/>
      <c r="B566" s="71"/>
      <c r="C566" s="117"/>
      <c r="D566" s="25"/>
      <c r="E566" s="118"/>
      <c r="F566" s="118"/>
      <c r="G566" s="138"/>
      <c r="H566" s="26"/>
      <c r="I566" s="155"/>
      <c r="J566" s="200"/>
      <c r="K566" s="155"/>
      <c r="L566" s="155"/>
      <c r="M566" s="155"/>
      <c r="N566" s="155"/>
      <c r="O566" s="155"/>
      <c r="P566" s="155"/>
      <c r="Q566" s="155"/>
      <c r="R566" s="155"/>
      <c r="S566" s="155"/>
      <c r="T566" s="155"/>
      <c r="U566" s="155"/>
      <c r="V566" s="155"/>
      <c r="W566" s="155"/>
      <c r="X566" s="155"/>
      <c r="Y566" s="155"/>
      <c r="Z566" s="155"/>
      <c r="AA566" s="155"/>
    </row>
    <row r="567" ht="22.5" customHeight="1">
      <c r="A567" s="139"/>
      <c r="B567" s="71"/>
      <c r="C567" s="117"/>
      <c r="D567" s="25"/>
      <c r="E567" s="118"/>
      <c r="F567" s="118"/>
      <c r="G567" s="138"/>
      <c r="H567" s="26"/>
      <c r="I567" s="155"/>
      <c r="J567" s="200"/>
      <c r="K567" s="155"/>
      <c r="L567" s="155"/>
      <c r="M567" s="155"/>
      <c r="N567" s="155"/>
      <c r="O567" s="155"/>
      <c r="P567" s="155"/>
      <c r="Q567" s="155"/>
      <c r="R567" s="155"/>
      <c r="S567" s="155"/>
      <c r="T567" s="155"/>
      <c r="U567" s="155"/>
      <c r="V567" s="155"/>
      <c r="W567" s="155"/>
      <c r="X567" s="155"/>
      <c r="Y567" s="155"/>
      <c r="Z567" s="155"/>
      <c r="AA567" s="155"/>
    </row>
    <row r="568" ht="22.5" customHeight="1">
      <c r="A568" s="139"/>
      <c r="B568" s="71"/>
      <c r="C568" s="117"/>
      <c r="D568" s="25"/>
      <c r="E568" s="118"/>
      <c r="F568" s="118"/>
      <c r="G568" s="138"/>
      <c r="H568" s="26"/>
      <c r="I568" s="155"/>
      <c r="J568" s="200"/>
      <c r="K568" s="155"/>
      <c r="L568" s="155"/>
      <c r="M568" s="155"/>
      <c r="N568" s="155"/>
      <c r="O568" s="155"/>
      <c r="P568" s="155"/>
      <c r="Q568" s="155"/>
      <c r="R568" s="155"/>
      <c r="S568" s="155"/>
      <c r="T568" s="155"/>
      <c r="U568" s="155"/>
      <c r="V568" s="155"/>
      <c r="W568" s="155"/>
      <c r="X568" s="155"/>
      <c r="Y568" s="155"/>
      <c r="Z568" s="155"/>
      <c r="AA568" s="155"/>
    </row>
    <row r="569" ht="22.5" customHeight="1">
      <c r="A569" s="139"/>
      <c r="B569" s="71"/>
      <c r="C569" s="117"/>
      <c r="D569" s="25"/>
      <c r="E569" s="118"/>
      <c r="F569" s="118"/>
      <c r="G569" s="138"/>
      <c r="H569" s="26"/>
      <c r="I569" s="155"/>
      <c r="J569" s="200"/>
      <c r="K569" s="155"/>
      <c r="L569" s="155"/>
      <c r="M569" s="155"/>
      <c r="N569" s="155"/>
      <c r="O569" s="155"/>
      <c r="P569" s="155"/>
      <c r="Q569" s="155"/>
      <c r="R569" s="155"/>
      <c r="S569" s="155"/>
      <c r="T569" s="155"/>
      <c r="U569" s="155"/>
      <c r="V569" s="155"/>
      <c r="W569" s="155"/>
      <c r="X569" s="155"/>
      <c r="Y569" s="155"/>
      <c r="Z569" s="155"/>
      <c r="AA569" s="155"/>
    </row>
    <row r="570" ht="22.5" customHeight="1">
      <c r="A570" s="139"/>
      <c r="B570" s="71"/>
      <c r="C570" s="117"/>
      <c r="D570" s="25"/>
      <c r="E570" s="118"/>
      <c r="F570" s="118"/>
      <c r="G570" s="138"/>
      <c r="H570" s="26"/>
      <c r="I570" s="155"/>
      <c r="J570" s="200"/>
      <c r="K570" s="155"/>
      <c r="L570" s="155"/>
      <c r="M570" s="155"/>
      <c r="N570" s="155"/>
      <c r="O570" s="155"/>
      <c r="P570" s="155"/>
      <c r="Q570" s="155"/>
      <c r="R570" s="155"/>
      <c r="S570" s="155"/>
      <c r="T570" s="155"/>
      <c r="U570" s="155"/>
      <c r="V570" s="155"/>
      <c r="W570" s="155"/>
      <c r="X570" s="155"/>
      <c r="Y570" s="155"/>
      <c r="Z570" s="155"/>
      <c r="AA570" s="155"/>
    </row>
    <row r="571" ht="22.5" customHeight="1">
      <c r="A571" s="139"/>
      <c r="B571" s="71"/>
      <c r="C571" s="117"/>
      <c r="D571" s="25"/>
      <c r="E571" s="118"/>
      <c r="F571" s="118"/>
      <c r="G571" s="138"/>
      <c r="H571" s="26"/>
      <c r="I571" s="155"/>
      <c r="J571" s="200"/>
      <c r="K571" s="155"/>
      <c r="L571" s="155"/>
      <c r="M571" s="155"/>
      <c r="N571" s="155"/>
      <c r="O571" s="155"/>
      <c r="P571" s="155"/>
      <c r="Q571" s="155"/>
      <c r="R571" s="155"/>
      <c r="S571" s="155"/>
      <c r="T571" s="155"/>
      <c r="U571" s="155"/>
      <c r="V571" s="155"/>
      <c r="W571" s="155"/>
      <c r="X571" s="155"/>
      <c r="Y571" s="155"/>
      <c r="Z571" s="155"/>
      <c r="AA571" s="155"/>
    </row>
    <row r="572" ht="22.5" customHeight="1">
      <c r="A572" s="139"/>
      <c r="B572" s="71"/>
      <c r="C572" s="117"/>
      <c r="D572" s="25"/>
      <c r="E572" s="118"/>
      <c r="F572" s="118"/>
      <c r="G572" s="138"/>
      <c r="H572" s="26"/>
      <c r="I572" s="155"/>
      <c r="J572" s="200"/>
      <c r="K572" s="155"/>
      <c r="L572" s="155"/>
      <c r="M572" s="155"/>
      <c r="N572" s="155"/>
      <c r="O572" s="155"/>
      <c r="P572" s="155"/>
      <c r="Q572" s="155"/>
      <c r="R572" s="155"/>
      <c r="S572" s="155"/>
      <c r="T572" s="155"/>
      <c r="U572" s="155"/>
      <c r="V572" s="155"/>
      <c r="W572" s="155"/>
      <c r="X572" s="155"/>
      <c r="Y572" s="155"/>
      <c r="Z572" s="155"/>
      <c r="AA572" s="155"/>
    </row>
    <row r="573" ht="22.5" customHeight="1">
      <c r="A573" s="139"/>
      <c r="B573" s="71"/>
      <c r="C573" s="117"/>
      <c r="D573" s="25"/>
      <c r="E573" s="118"/>
      <c r="F573" s="118"/>
      <c r="G573" s="138"/>
      <c r="H573" s="26"/>
      <c r="I573" s="155"/>
      <c r="J573" s="200"/>
      <c r="K573" s="155"/>
      <c r="L573" s="155"/>
      <c r="M573" s="155"/>
      <c r="N573" s="155"/>
      <c r="O573" s="155"/>
      <c r="P573" s="155"/>
      <c r="Q573" s="155"/>
      <c r="R573" s="155"/>
      <c r="S573" s="155"/>
      <c r="T573" s="155"/>
      <c r="U573" s="155"/>
      <c r="V573" s="155"/>
      <c r="W573" s="155"/>
      <c r="X573" s="155"/>
      <c r="Y573" s="155"/>
      <c r="Z573" s="155"/>
      <c r="AA573" s="155"/>
    </row>
    <row r="574" ht="22.5" customHeight="1">
      <c r="A574" s="139"/>
      <c r="B574" s="71"/>
      <c r="C574" s="117"/>
      <c r="D574" s="25"/>
      <c r="E574" s="118"/>
      <c r="F574" s="118"/>
      <c r="G574" s="138"/>
      <c r="H574" s="26"/>
      <c r="I574" s="155"/>
      <c r="J574" s="200"/>
      <c r="K574" s="155"/>
      <c r="L574" s="155"/>
      <c r="M574" s="155"/>
      <c r="N574" s="155"/>
      <c r="O574" s="155"/>
      <c r="P574" s="155"/>
      <c r="Q574" s="155"/>
      <c r="R574" s="155"/>
      <c r="S574" s="155"/>
      <c r="T574" s="155"/>
      <c r="U574" s="155"/>
      <c r="V574" s="155"/>
      <c r="W574" s="155"/>
      <c r="X574" s="155"/>
      <c r="Y574" s="155"/>
      <c r="Z574" s="155"/>
      <c r="AA574" s="155"/>
    </row>
    <row r="575" ht="22.5" customHeight="1">
      <c r="A575" s="139"/>
      <c r="B575" s="71"/>
      <c r="C575" s="117"/>
      <c r="D575" s="25"/>
      <c r="E575" s="118"/>
      <c r="F575" s="118"/>
      <c r="G575" s="138"/>
      <c r="H575" s="26"/>
      <c r="I575" s="155"/>
      <c r="J575" s="200"/>
      <c r="K575" s="155"/>
      <c r="L575" s="155"/>
      <c r="M575" s="155"/>
      <c r="N575" s="155"/>
      <c r="O575" s="155"/>
      <c r="P575" s="155"/>
      <c r="Q575" s="155"/>
      <c r="R575" s="155"/>
      <c r="S575" s="155"/>
      <c r="T575" s="155"/>
      <c r="U575" s="155"/>
      <c r="V575" s="155"/>
      <c r="W575" s="155"/>
      <c r="X575" s="155"/>
      <c r="Y575" s="155"/>
      <c r="Z575" s="155"/>
      <c r="AA575" s="155"/>
    </row>
    <row r="576" ht="22.5" customHeight="1">
      <c r="A576" s="139"/>
      <c r="B576" s="71"/>
      <c r="C576" s="117"/>
      <c r="D576" s="25"/>
      <c r="E576" s="118"/>
      <c r="F576" s="118"/>
      <c r="G576" s="138"/>
      <c r="H576" s="26"/>
      <c r="I576" s="155"/>
      <c r="J576" s="200"/>
      <c r="K576" s="155"/>
      <c r="L576" s="155"/>
      <c r="M576" s="155"/>
      <c r="N576" s="155"/>
      <c r="O576" s="155"/>
      <c r="P576" s="155"/>
      <c r="Q576" s="155"/>
      <c r="R576" s="155"/>
      <c r="S576" s="155"/>
      <c r="T576" s="155"/>
      <c r="U576" s="155"/>
      <c r="V576" s="155"/>
      <c r="W576" s="155"/>
      <c r="X576" s="155"/>
      <c r="Y576" s="155"/>
      <c r="Z576" s="155"/>
      <c r="AA576" s="155"/>
    </row>
    <row r="577" ht="22.5" customHeight="1">
      <c r="A577" s="139"/>
      <c r="B577" s="71"/>
      <c r="C577" s="117"/>
      <c r="D577" s="25"/>
      <c r="E577" s="118"/>
      <c r="F577" s="118"/>
      <c r="G577" s="138"/>
      <c r="H577" s="26"/>
      <c r="I577" s="155"/>
      <c r="J577" s="200"/>
      <c r="K577" s="155"/>
      <c r="L577" s="155"/>
      <c r="M577" s="155"/>
      <c r="N577" s="155"/>
      <c r="O577" s="155"/>
      <c r="P577" s="155"/>
      <c r="Q577" s="155"/>
      <c r="R577" s="155"/>
      <c r="S577" s="155"/>
      <c r="T577" s="155"/>
      <c r="U577" s="155"/>
      <c r="V577" s="155"/>
      <c r="W577" s="155"/>
      <c r="X577" s="155"/>
      <c r="Y577" s="155"/>
      <c r="Z577" s="155"/>
      <c r="AA577" s="155"/>
    </row>
    <row r="578" ht="22.5" customHeight="1">
      <c r="A578" s="139"/>
      <c r="B578" s="71"/>
      <c r="C578" s="117"/>
      <c r="D578" s="25"/>
      <c r="E578" s="118"/>
      <c r="F578" s="118"/>
      <c r="G578" s="138"/>
      <c r="H578" s="26"/>
      <c r="I578" s="155"/>
      <c r="J578" s="200"/>
      <c r="K578" s="155"/>
      <c r="L578" s="155"/>
      <c r="M578" s="155"/>
      <c r="N578" s="155"/>
      <c r="O578" s="155"/>
      <c r="P578" s="155"/>
      <c r="Q578" s="155"/>
      <c r="R578" s="155"/>
      <c r="S578" s="155"/>
      <c r="T578" s="155"/>
      <c r="U578" s="155"/>
      <c r="V578" s="155"/>
      <c r="W578" s="155"/>
      <c r="X578" s="155"/>
      <c r="Y578" s="155"/>
      <c r="Z578" s="155"/>
      <c r="AA578" s="155"/>
    </row>
    <row r="579" ht="22.5" customHeight="1">
      <c r="A579" s="139"/>
      <c r="B579" s="71"/>
      <c r="C579" s="117"/>
      <c r="D579" s="25"/>
      <c r="E579" s="118"/>
      <c r="F579" s="118"/>
      <c r="G579" s="138"/>
      <c r="H579" s="26"/>
      <c r="I579" s="155"/>
      <c r="J579" s="200"/>
      <c r="K579" s="155"/>
      <c r="L579" s="155"/>
      <c r="M579" s="155"/>
      <c r="N579" s="155"/>
      <c r="O579" s="155"/>
      <c r="P579" s="155"/>
      <c r="Q579" s="155"/>
      <c r="R579" s="155"/>
      <c r="S579" s="155"/>
      <c r="T579" s="155"/>
      <c r="U579" s="155"/>
      <c r="V579" s="155"/>
      <c r="W579" s="155"/>
      <c r="X579" s="155"/>
      <c r="Y579" s="155"/>
      <c r="Z579" s="155"/>
      <c r="AA579" s="155"/>
    </row>
    <row r="580" ht="22.5" customHeight="1">
      <c r="A580" s="139"/>
      <c r="B580" s="71"/>
      <c r="C580" s="117"/>
      <c r="D580" s="25"/>
      <c r="E580" s="118"/>
      <c r="F580" s="118"/>
      <c r="G580" s="138"/>
      <c r="H580" s="26"/>
      <c r="I580" s="155"/>
      <c r="J580" s="200"/>
      <c r="K580" s="155"/>
      <c r="L580" s="155"/>
      <c r="M580" s="155"/>
      <c r="N580" s="155"/>
      <c r="O580" s="155"/>
      <c r="P580" s="155"/>
      <c r="Q580" s="155"/>
      <c r="R580" s="155"/>
      <c r="S580" s="155"/>
      <c r="T580" s="155"/>
      <c r="U580" s="155"/>
      <c r="V580" s="155"/>
      <c r="W580" s="155"/>
      <c r="X580" s="155"/>
      <c r="Y580" s="155"/>
      <c r="Z580" s="155"/>
      <c r="AA580" s="155"/>
    </row>
    <row r="581" ht="22.5" customHeight="1">
      <c r="A581" s="139"/>
      <c r="B581" s="71"/>
      <c r="C581" s="117"/>
      <c r="D581" s="25"/>
      <c r="E581" s="118"/>
      <c r="F581" s="118"/>
      <c r="G581" s="138"/>
      <c r="H581" s="26"/>
      <c r="I581" s="155"/>
      <c r="J581" s="200"/>
      <c r="K581" s="155"/>
      <c r="L581" s="155"/>
      <c r="M581" s="155"/>
      <c r="N581" s="155"/>
      <c r="O581" s="155"/>
      <c r="P581" s="155"/>
      <c r="Q581" s="155"/>
      <c r="R581" s="155"/>
      <c r="S581" s="155"/>
      <c r="T581" s="155"/>
      <c r="U581" s="155"/>
      <c r="V581" s="155"/>
      <c r="W581" s="155"/>
      <c r="X581" s="155"/>
      <c r="Y581" s="155"/>
      <c r="Z581" s="155"/>
      <c r="AA581" s="155"/>
    </row>
    <row r="582" ht="22.5" customHeight="1">
      <c r="A582" s="139"/>
      <c r="B582" s="71"/>
      <c r="C582" s="117"/>
      <c r="D582" s="25"/>
      <c r="E582" s="118"/>
      <c r="F582" s="118"/>
      <c r="G582" s="138"/>
      <c r="H582" s="26"/>
      <c r="I582" s="155"/>
      <c r="J582" s="200"/>
      <c r="K582" s="155"/>
      <c r="L582" s="155"/>
      <c r="M582" s="155"/>
      <c r="N582" s="155"/>
      <c r="O582" s="155"/>
      <c r="P582" s="155"/>
      <c r="Q582" s="155"/>
      <c r="R582" s="155"/>
      <c r="S582" s="155"/>
      <c r="T582" s="155"/>
      <c r="U582" s="155"/>
      <c r="V582" s="155"/>
      <c r="W582" s="155"/>
      <c r="X582" s="155"/>
      <c r="Y582" s="155"/>
      <c r="Z582" s="155"/>
      <c r="AA582" s="155"/>
    </row>
    <row r="583" ht="22.5" customHeight="1">
      <c r="A583" s="139"/>
      <c r="B583" s="71"/>
      <c r="C583" s="117"/>
      <c r="D583" s="25"/>
      <c r="E583" s="118"/>
      <c r="F583" s="118"/>
      <c r="G583" s="138"/>
      <c r="H583" s="26"/>
      <c r="I583" s="155"/>
      <c r="J583" s="200"/>
      <c r="K583" s="155"/>
      <c r="L583" s="155"/>
      <c r="M583" s="155"/>
      <c r="N583" s="155"/>
      <c r="O583" s="155"/>
      <c r="P583" s="155"/>
      <c r="Q583" s="155"/>
      <c r="R583" s="155"/>
      <c r="S583" s="155"/>
      <c r="T583" s="155"/>
      <c r="U583" s="155"/>
      <c r="V583" s="155"/>
      <c r="W583" s="155"/>
      <c r="X583" s="155"/>
      <c r="Y583" s="155"/>
      <c r="Z583" s="155"/>
      <c r="AA583" s="155"/>
    </row>
    <row r="584" ht="22.5" customHeight="1">
      <c r="A584" s="139"/>
      <c r="B584" s="71"/>
      <c r="C584" s="117"/>
      <c r="D584" s="25"/>
      <c r="E584" s="118"/>
      <c r="F584" s="118"/>
      <c r="G584" s="138"/>
      <c r="H584" s="26"/>
      <c r="I584" s="155"/>
      <c r="J584" s="200"/>
      <c r="K584" s="155"/>
      <c r="L584" s="155"/>
      <c r="M584" s="155"/>
      <c r="N584" s="155"/>
      <c r="O584" s="155"/>
      <c r="P584" s="155"/>
      <c r="Q584" s="155"/>
      <c r="R584" s="155"/>
      <c r="S584" s="155"/>
      <c r="T584" s="155"/>
      <c r="U584" s="155"/>
      <c r="V584" s="155"/>
      <c r="W584" s="155"/>
      <c r="X584" s="155"/>
      <c r="Y584" s="155"/>
      <c r="Z584" s="155"/>
      <c r="AA584" s="155"/>
    </row>
    <row r="585" ht="22.5" customHeight="1">
      <c r="A585" s="139"/>
      <c r="B585" s="71"/>
      <c r="C585" s="117"/>
      <c r="D585" s="25"/>
      <c r="E585" s="118"/>
      <c r="F585" s="118"/>
      <c r="G585" s="138"/>
      <c r="H585" s="26"/>
      <c r="I585" s="155"/>
      <c r="J585" s="200"/>
      <c r="K585" s="155"/>
      <c r="L585" s="155"/>
      <c r="M585" s="155"/>
      <c r="N585" s="155"/>
      <c r="O585" s="155"/>
      <c r="P585" s="155"/>
      <c r="Q585" s="155"/>
      <c r="R585" s="155"/>
      <c r="S585" s="155"/>
      <c r="T585" s="155"/>
      <c r="U585" s="155"/>
      <c r="V585" s="155"/>
      <c r="W585" s="155"/>
      <c r="X585" s="155"/>
      <c r="Y585" s="155"/>
      <c r="Z585" s="155"/>
      <c r="AA585" s="155"/>
    </row>
    <row r="586" ht="22.5" customHeight="1">
      <c r="A586" s="139"/>
      <c r="B586" s="71"/>
      <c r="C586" s="117"/>
      <c r="D586" s="25"/>
      <c r="E586" s="118"/>
      <c r="F586" s="118"/>
      <c r="G586" s="138"/>
      <c r="H586" s="26"/>
      <c r="I586" s="155"/>
      <c r="J586" s="200"/>
      <c r="K586" s="155"/>
      <c r="L586" s="155"/>
      <c r="M586" s="155"/>
      <c r="N586" s="155"/>
      <c r="O586" s="155"/>
      <c r="P586" s="155"/>
      <c r="Q586" s="155"/>
      <c r="R586" s="155"/>
      <c r="S586" s="155"/>
      <c r="T586" s="155"/>
      <c r="U586" s="155"/>
      <c r="V586" s="155"/>
      <c r="W586" s="155"/>
      <c r="X586" s="155"/>
      <c r="Y586" s="155"/>
      <c r="Z586" s="155"/>
      <c r="AA586" s="155"/>
    </row>
    <row r="587" ht="22.5" customHeight="1">
      <c r="A587" s="139"/>
      <c r="B587" s="71"/>
      <c r="C587" s="117"/>
      <c r="D587" s="25"/>
      <c r="E587" s="118"/>
      <c r="F587" s="118"/>
      <c r="G587" s="138"/>
      <c r="H587" s="26"/>
      <c r="I587" s="155"/>
      <c r="J587" s="200"/>
      <c r="K587" s="155"/>
      <c r="L587" s="155"/>
      <c r="M587" s="155"/>
      <c r="N587" s="155"/>
      <c r="O587" s="155"/>
      <c r="P587" s="155"/>
      <c r="Q587" s="155"/>
      <c r="R587" s="155"/>
      <c r="S587" s="155"/>
      <c r="T587" s="155"/>
      <c r="U587" s="155"/>
      <c r="V587" s="155"/>
      <c r="W587" s="155"/>
      <c r="X587" s="155"/>
      <c r="Y587" s="155"/>
      <c r="Z587" s="155"/>
      <c r="AA587" s="155"/>
    </row>
    <row r="588" ht="22.5" customHeight="1">
      <c r="A588" s="139"/>
      <c r="B588" s="71"/>
      <c r="C588" s="117"/>
      <c r="D588" s="25"/>
      <c r="E588" s="118"/>
      <c r="F588" s="118"/>
      <c r="G588" s="138"/>
      <c r="H588" s="26"/>
      <c r="I588" s="155"/>
      <c r="J588" s="200"/>
      <c r="K588" s="155"/>
      <c r="L588" s="155"/>
      <c r="M588" s="155"/>
      <c r="N588" s="155"/>
      <c r="O588" s="155"/>
      <c r="P588" s="155"/>
      <c r="Q588" s="155"/>
      <c r="R588" s="155"/>
      <c r="S588" s="155"/>
      <c r="T588" s="155"/>
      <c r="U588" s="155"/>
      <c r="V588" s="155"/>
      <c r="W588" s="155"/>
      <c r="X588" s="155"/>
      <c r="Y588" s="155"/>
      <c r="Z588" s="155"/>
      <c r="AA588" s="155"/>
    </row>
    <row r="589" ht="22.5" customHeight="1">
      <c r="A589" s="139"/>
      <c r="B589" s="71"/>
      <c r="C589" s="117"/>
      <c r="D589" s="25"/>
      <c r="E589" s="118"/>
      <c r="F589" s="118"/>
      <c r="G589" s="138"/>
      <c r="H589" s="26"/>
      <c r="I589" s="155"/>
      <c r="J589" s="200"/>
      <c r="K589" s="155"/>
      <c r="L589" s="155"/>
      <c r="M589" s="155"/>
      <c r="N589" s="155"/>
      <c r="O589" s="155"/>
      <c r="P589" s="155"/>
      <c r="Q589" s="155"/>
      <c r="R589" s="155"/>
      <c r="S589" s="155"/>
      <c r="T589" s="155"/>
      <c r="U589" s="155"/>
      <c r="V589" s="155"/>
      <c r="W589" s="155"/>
      <c r="X589" s="155"/>
      <c r="Y589" s="155"/>
      <c r="Z589" s="155"/>
      <c r="AA589" s="155"/>
    </row>
    <row r="590" ht="22.5" customHeight="1">
      <c r="A590" s="139"/>
      <c r="B590" s="71"/>
      <c r="C590" s="117"/>
      <c r="D590" s="25"/>
      <c r="E590" s="118"/>
      <c r="F590" s="118"/>
      <c r="G590" s="138"/>
      <c r="H590" s="26"/>
      <c r="I590" s="155"/>
      <c r="J590" s="200"/>
      <c r="K590" s="155"/>
      <c r="L590" s="155"/>
      <c r="M590" s="155"/>
      <c r="N590" s="155"/>
      <c r="O590" s="155"/>
      <c r="P590" s="155"/>
      <c r="Q590" s="155"/>
      <c r="R590" s="155"/>
      <c r="S590" s="155"/>
      <c r="T590" s="155"/>
      <c r="U590" s="155"/>
      <c r="V590" s="155"/>
      <c r="W590" s="155"/>
      <c r="X590" s="155"/>
      <c r="Y590" s="155"/>
      <c r="Z590" s="155"/>
      <c r="AA590" s="155"/>
    </row>
    <row r="591" ht="22.5" customHeight="1">
      <c r="A591" s="139"/>
      <c r="B591" s="71"/>
      <c r="C591" s="117"/>
      <c r="D591" s="25"/>
      <c r="E591" s="118"/>
      <c r="F591" s="118"/>
      <c r="G591" s="138"/>
      <c r="H591" s="26"/>
      <c r="I591" s="155"/>
      <c r="J591" s="200"/>
      <c r="K591" s="155"/>
      <c r="L591" s="155"/>
      <c r="M591" s="155"/>
      <c r="N591" s="155"/>
      <c r="O591" s="155"/>
      <c r="P591" s="155"/>
      <c r="Q591" s="155"/>
      <c r="R591" s="155"/>
      <c r="S591" s="155"/>
      <c r="T591" s="155"/>
      <c r="U591" s="155"/>
      <c r="V591" s="155"/>
      <c r="W591" s="155"/>
      <c r="X591" s="155"/>
      <c r="Y591" s="155"/>
      <c r="Z591" s="155"/>
      <c r="AA591" s="155"/>
    </row>
    <row r="592" ht="22.5" customHeight="1">
      <c r="A592" s="139"/>
      <c r="B592" s="71"/>
      <c r="C592" s="117"/>
      <c r="D592" s="25"/>
      <c r="E592" s="118"/>
      <c r="F592" s="118"/>
      <c r="G592" s="138"/>
      <c r="H592" s="26"/>
      <c r="I592" s="155"/>
      <c r="J592" s="200"/>
      <c r="K592" s="155"/>
      <c r="L592" s="155"/>
      <c r="M592" s="155"/>
      <c r="N592" s="155"/>
      <c r="O592" s="155"/>
      <c r="P592" s="155"/>
      <c r="Q592" s="155"/>
      <c r="R592" s="155"/>
      <c r="S592" s="155"/>
      <c r="T592" s="155"/>
      <c r="U592" s="155"/>
      <c r="V592" s="155"/>
      <c r="W592" s="155"/>
      <c r="X592" s="155"/>
      <c r="Y592" s="155"/>
      <c r="Z592" s="155"/>
      <c r="AA592" s="155"/>
    </row>
    <row r="593" ht="22.5" customHeight="1">
      <c r="A593" s="139"/>
      <c r="B593" s="71"/>
      <c r="C593" s="117"/>
      <c r="D593" s="25"/>
      <c r="E593" s="118"/>
      <c r="F593" s="118"/>
      <c r="G593" s="138"/>
      <c r="H593" s="26"/>
      <c r="I593" s="155"/>
      <c r="J593" s="200"/>
      <c r="K593" s="155"/>
      <c r="L593" s="155"/>
      <c r="M593" s="155"/>
      <c r="N593" s="155"/>
      <c r="O593" s="155"/>
      <c r="P593" s="155"/>
      <c r="Q593" s="155"/>
      <c r="R593" s="155"/>
      <c r="S593" s="155"/>
      <c r="T593" s="155"/>
      <c r="U593" s="155"/>
      <c r="V593" s="155"/>
      <c r="W593" s="155"/>
      <c r="X593" s="155"/>
      <c r="Y593" s="155"/>
      <c r="Z593" s="155"/>
      <c r="AA593" s="155"/>
    </row>
    <row r="594" ht="22.5" customHeight="1">
      <c r="A594" s="139"/>
      <c r="B594" s="71"/>
      <c r="C594" s="117"/>
      <c r="D594" s="25"/>
      <c r="E594" s="118"/>
      <c r="F594" s="118"/>
      <c r="G594" s="138"/>
      <c r="H594" s="26"/>
      <c r="I594" s="155"/>
      <c r="J594" s="200"/>
      <c r="K594" s="155"/>
      <c r="L594" s="155"/>
      <c r="M594" s="155"/>
      <c r="N594" s="155"/>
      <c r="O594" s="155"/>
      <c r="P594" s="155"/>
      <c r="Q594" s="155"/>
      <c r="R594" s="155"/>
      <c r="S594" s="155"/>
      <c r="T594" s="155"/>
      <c r="U594" s="155"/>
      <c r="V594" s="155"/>
      <c r="W594" s="155"/>
      <c r="X594" s="155"/>
      <c r="Y594" s="155"/>
      <c r="Z594" s="155"/>
      <c r="AA594" s="155"/>
    </row>
    <row r="595" ht="22.5" customHeight="1">
      <c r="A595" s="139"/>
      <c r="B595" s="71"/>
      <c r="C595" s="117"/>
      <c r="D595" s="25"/>
      <c r="E595" s="118"/>
      <c r="F595" s="118"/>
      <c r="G595" s="138"/>
      <c r="H595" s="26"/>
      <c r="I595" s="155"/>
      <c r="J595" s="200"/>
      <c r="K595" s="155"/>
      <c r="L595" s="155"/>
      <c r="M595" s="155"/>
      <c r="N595" s="155"/>
      <c r="O595" s="155"/>
      <c r="P595" s="155"/>
      <c r="Q595" s="155"/>
      <c r="R595" s="155"/>
      <c r="S595" s="155"/>
      <c r="T595" s="155"/>
      <c r="U595" s="155"/>
      <c r="V595" s="155"/>
      <c r="W595" s="155"/>
      <c r="X595" s="155"/>
      <c r="Y595" s="155"/>
      <c r="Z595" s="155"/>
      <c r="AA595" s="155"/>
    </row>
    <row r="596" ht="22.5" customHeight="1">
      <c r="A596" s="139"/>
      <c r="B596" s="71"/>
      <c r="C596" s="117"/>
      <c r="D596" s="25"/>
      <c r="E596" s="118"/>
      <c r="F596" s="118"/>
      <c r="G596" s="138"/>
      <c r="H596" s="26"/>
      <c r="I596" s="155"/>
      <c r="J596" s="200"/>
      <c r="K596" s="155"/>
      <c r="L596" s="155"/>
      <c r="M596" s="155"/>
      <c r="N596" s="155"/>
      <c r="O596" s="155"/>
      <c r="P596" s="155"/>
      <c r="Q596" s="155"/>
      <c r="R596" s="155"/>
      <c r="S596" s="155"/>
      <c r="T596" s="155"/>
      <c r="U596" s="155"/>
      <c r="V596" s="155"/>
      <c r="W596" s="155"/>
      <c r="X596" s="155"/>
      <c r="Y596" s="155"/>
      <c r="Z596" s="155"/>
      <c r="AA596" s="155"/>
    </row>
    <row r="597" ht="22.5" customHeight="1">
      <c r="A597" s="139"/>
      <c r="B597" s="71"/>
      <c r="C597" s="117"/>
      <c r="D597" s="25"/>
      <c r="E597" s="118"/>
      <c r="F597" s="118"/>
      <c r="G597" s="138"/>
      <c r="H597" s="26"/>
      <c r="I597" s="155"/>
      <c r="J597" s="200"/>
      <c r="K597" s="155"/>
      <c r="L597" s="155"/>
      <c r="M597" s="155"/>
      <c r="N597" s="155"/>
      <c r="O597" s="155"/>
      <c r="P597" s="155"/>
      <c r="Q597" s="155"/>
      <c r="R597" s="155"/>
      <c r="S597" s="155"/>
      <c r="T597" s="155"/>
      <c r="U597" s="155"/>
      <c r="V597" s="155"/>
      <c r="W597" s="155"/>
      <c r="X597" s="155"/>
      <c r="Y597" s="155"/>
      <c r="Z597" s="155"/>
      <c r="AA597" s="155"/>
    </row>
    <row r="598" ht="22.5" customHeight="1">
      <c r="A598" s="139"/>
      <c r="B598" s="71"/>
      <c r="C598" s="117"/>
      <c r="D598" s="25"/>
      <c r="E598" s="118"/>
      <c r="F598" s="118"/>
      <c r="G598" s="138"/>
      <c r="H598" s="26"/>
      <c r="I598" s="155"/>
      <c r="J598" s="200"/>
      <c r="K598" s="155"/>
      <c r="L598" s="155"/>
      <c r="M598" s="155"/>
      <c r="N598" s="155"/>
      <c r="O598" s="155"/>
      <c r="P598" s="155"/>
      <c r="Q598" s="155"/>
      <c r="R598" s="155"/>
      <c r="S598" s="155"/>
      <c r="T598" s="155"/>
      <c r="U598" s="155"/>
      <c r="V598" s="155"/>
      <c r="W598" s="155"/>
      <c r="X598" s="155"/>
      <c r="Y598" s="155"/>
      <c r="Z598" s="155"/>
      <c r="AA598" s="155"/>
    </row>
    <row r="599" ht="22.5" customHeight="1">
      <c r="A599" s="139"/>
      <c r="B599" s="71"/>
      <c r="C599" s="117"/>
      <c r="D599" s="25"/>
      <c r="E599" s="118"/>
      <c r="F599" s="118"/>
      <c r="G599" s="138"/>
      <c r="H599" s="26"/>
      <c r="I599" s="155"/>
      <c r="J599" s="200"/>
      <c r="K599" s="155"/>
      <c r="L599" s="155"/>
      <c r="M599" s="155"/>
      <c r="N599" s="155"/>
      <c r="O599" s="155"/>
      <c r="P599" s="155"/>
      <c r="Q599" s="155"/>
      <c r="R599" s="155"/>
      <c r="S599" s="155"/>
      <c r="T599" s="155"/>
      <c r="U599" s="155"/>
      <c r="V599" s="155"/>
      <c r="W599" s="155"/>
      <c r="X599" s="155"/>
      <c r="Y599" s="155"/>
      <c r="Z599" s="155"/>
      <c r="AA599" s="155"/>
    </row>
    <row r="600" ht="22.5" customHeight="1">
      <c r="A600" s="139"/>
      <c r="B600" s="71"/>
      <c r="C600" s="117"/>
      <c r="D600" s="25"/>
      <c r="E600" s="118"/>
      <c r="F600" s="118"/>
      <c r="G600" s="138"/>
      <c r="H600" s="26"/>
      <c r="I600" s="155"/>
      <c r="J600" s="200"/>
      <c r="K600" s="155"/>
      <c r="L600" s="155"/>
      <c r="M600" s="155"/>
      <c r="N600" s="155"/>
      <c r="O600" s="155"/>
      <c r="P600" s="155"/>
      <c r="Q600" s="155"/>
      <c r="R600" s="155"/>
      <c r="S600" s="155"/>
      <c r="T600" s="155"/>
      <c r="U600" s="155"/>
      <c r="V600" s="155"/>
      <c r="W600" s="155"/>
      <c r="X600" s="155"/>
      <c r="Y600" s="155"/>
      <c r="Z600" s="155"/>
      <c r="AA600" s="155"/>
    </row>
    <row r="601" ht="22.5" customHeight="1">
      <c r="A601" s="139"/>
      <c r="B601" s="71"/>
      <c r="C601" s="117"/>
      <c r="D601" s="25"/>
      <c r="E601" s="118"/>
      <c r="F601" s="118"/>
      <c r="G601" s="138"/>
      <c r="H601" s="26"/>
      <c r="I601" s="155"/>
      <c r="J601" s="200"/>
      <c r="K601" s="155"/>
      <c r="L601" s="155"/>
      <c r="M601" s="155"/>
      <c r="N601" s="155"/>
      <c r="O601" s="155"/>
      <c r="P601" s="155"/>
      <c r="Q601" s="155"/>
      <c r="R601" s="155"/>
      <c r="S601" s="155"/>
      <c r="T601" s="155"/>
      <c r="U601" s="155"/>
      <c r="V601" s="155"/>
      <c r="W601" s="155"/>
      <c r="X601" s="155"/>
      <c r="Y601" s="155"/>
      <c r="Z601" s="155"/>
      <c r="AA601" s="155"/>
    </row>
    <row r="602" ht="22.5" customHeight="1">
      <c r="A602" s="139"/>
      <c r="B602" s="71"/>
      <c r="C602" s="117"/>
      <c r="D602" s="25"/>
      <c r="E602" s="118"/>
      <c r="F602" s="118"/>
      <c r="G602" s="138"/>
      <c r="H602" s="26"/>
      <c r="I602" s="155"/>
      <c r="J602" s="200"/>
      <c r="K602" s="155"/>
      <c r="L602" s="155"/>
      <c r="M602" s="155"/>
      <c r="N602" s="155"/>
      <c r="O602" s="155"/>
      <c r="P602" s="155"/>
      <c r="Q602" s="155"/>
      <c r="R602" s="155"/>
      <c r="S602" s="155"/>
      <c r="T602" s="155"/>
      <c r="U602" s="155"/>
      <c r="V602" s="155"/>
      <c r="W602" s="155"/>
      <c r="X602" s="155"/>
      <c r="Y602" s="155"/>
      <c r="Z602" s="155"/>
      <c r="AA602" s="155"/>
    </row>
    <row r="603" ht="22.5" customHeight="1">
      <c r="A603" s="139"/>
      <c r="B603" s="71"/>
      <c r="C603" s="117"/>
      <c r="D603" s="25"/>
      <c r="E603" s="118"/>
      <c r="F603" s="118"/>
      <c r="G603" s="138"/>
      <c r="H603" s="26"/>
      <c r="I603" s="155"/>
      <c r="J603" s="200"/>
      <c r="K603" s="155"/>
      <c r="L603" s="155"/>
      <c r="M603" s="155"/>
      <c r="N603" s="155"/>
      <c r="O603" s="155"/>
      <c r="P603" s="155"/>
      <c r="Q603" s="155"/>
      <c r="R603" s="155"/>
      <c r="S603" s="155"/>
      <c r="T603" s="155"/>
      <c r="U603" s="155"/>
      <c r="V603" s="155"/>
      <c r="W603" s="155"/>
      <c r="X603" s="155"/>
      <c r="Y603" s="155"/>
      <c r="Z603" s="155"/>
      <c r="AA603" s="155"/>
    </row>
    <row r="604" ht="22.5" customHeight="1">
      <c r="A604" s="139"/>
      <c r="B604" s="71"/>
      <c r="C604" s="117"/>
      <c r="D604" s="25"/>
      <c r="E604" s="118"/>
      <c r="F604" s="118"/>
      <c r="G604" s="138"/>
      <c r="H604" s="26"/>
      <c r="I604" s="155"/>
      <c r="J604" s="200"/>
      <c r="K604" s="155"/>
      <c r="L604" s="155"/>
      <c r="M604" s="155"/>
      <c r="N604" s="155"/>
      <c r="O604" s="155"/>
      <c r="P604" s="155"/>
      <c r="Q604" s="155"/>
      <c r="R604" s="155"/>
      <c r="S604" s="155"/>
      <c r="T604" s="155"/>
      <c r="U604" s="155"/>
      <c r="V604" s="155"/>
      <c r="W604" s="155"/>
      <c r="X604" s="155"/>
      <c r="Y604" s="155"/>
      <c r="Z604" s="155"/>
      <c r="AA604" s="155"/>
    </row>
    <row r="605" ht="22.5" customHeight="1">
      <c r="A605" s="139"/>
      <c r="B605" s="71"/>
      <c r="C605" s="117"/>
      <c r="D605" s="25"/>
      <c r="E605" s="118"/>
      <c r="F605" s="118"/>
      <c r="G605" s="138"/>
      <c r="H605" s="26"/>
      <c r="I605" s="155"/>
      <c r="J605" s="200"/>
      <c r="K605" s="155"/>
      <c r="L605" s="155"/>
      <c r="M605" s="155"/>
      <c r="N605" s="155"/>
      <c r="O605" s="155"/>
      <c r="P605" s="155"/>
      <c r="Q605" s="155"/>
      <c r="R605" s="155"/>
      <c r="S605" s="155"/>
      <c r="T605" s="155"/>
      <c r="U605" s="155"/>
      <c r="V605" s="155"/>
      <c r="W605" s="155"/>
      <c r="X605" s="155"/>
      <c r="Y605" s="155"/>
      <c r="Z605" s="155"/>
      <c r="AA605" s="155"/>
    </row>
    <row r="606" ht="22.5" customHeight="1">
      <c r="A606" s="139"/>
      <c r="B606" s="71"/>
      <c r="C606" s="117"/>
      <c r="D606" s="25"/>
      <c r="E606" s="118"/>
      <c r="F606" s="118"/>
      <c r="G606" s="138"/>
      <c r="H606" s="26"/>
      <c r="I606" s="155"/>
      <c r="J606" s="200"/>
      <c r="K606" s="155"/>
      <c r="L606" s="155"/>
      <c r="M606" s="155"/>
      <c r="N606" s="155"/>
      <c r="O606" s="155"/>
      <c r="P606" s="155"/>
      <c r="Q606" s="155"/>
      <c r="R606" s="155"/>
      <c r="S606" s="155"/>
      <c r="T606" s="155"/>
      <c r="U606" s="155"/>
      <c r="V606" s="155"/>
      <c r="W606" s="155"/>
      <c r="X606" s="155"/>
      <c r="Y606" s="155"/>
      <c r="Z606" s="155"/>
      <c r="AA606" s="155"/>
    </row>
    <row r="607" ht="22.5" customHeight="1">
      <c r="A607" s="139"/>
      <c r="B607" s="71"/>
      <c r="C607" s="117"/>
      <c r="D607" s="25"/>
      <c r="E607" s="118"/>
      <c r="F607" s="118"/>
      <c r="G607" s="138"/>
      <c r="H607" s="26"/>
      <c r="I607" s="155"/>
      <c r="J607" s="200"/>
      <c r="K607" s="155"/>
      <c r="L607" s="155"/>
      <c r="M607" s="155"/>
      <c r="N607" s="155"/>
      <c r="O607" s="155"/>
      <c r="P607" s="155"/>
      <c r="Q607" s="155"/>
      <c r="R607" s="155"/>
      <c r="S607" s="155"/>
      <c r="T607" s="155"/>
      <c r="U607" s="155"/>
      <c r="V607" s="155"/>
      <c r="W607" s="155"/>
      <c r="X607" s="155"/>
      <c r="Y607" s="155"/>
      <c r="Z607" s="155"/>
      <c r="AA607" s="155"/>
    </row>
    <row r="608" ht="22.5" customHeight="1">
      <c r="A608" s="139"/>
      <c r="B608" s="71"/>
      <c r="C608" s="117"/>
      <c r="D608" s="25"/>
      <c r="E608" s="118"/>
      <c r="F608" s="118"/>
      <c r="G608" s="138"/>
      <c r="H608" s="26"/>
      <c r="I608" s="155"/>
      <c r="J608" s="200"/>
      <c r="K608" s="155"/>
      <c r="L608" s="155"/>
      <c r="M608" s="155"/>
      <c r="N608" s="155"/>
      <c r="O608" s="155"/>
      <c r="P608" s="155"/>
      <c r="Q608" s="155"/>
      <c r="R608" s="155"/>
      <c r="S608" s="155"/>
      <c r="T608" s="155"/>
      <c r="U608" s="155"/>
      <c r="V608" s="155"/>
      <c r="W608" s="155"/>
      <c r="X608" s="155"/>
      <c r="Y608" s="155"/>
      <c r="Z608" s="155"/>
      <c r="AA608" s="155"/>
    </row>
    <row r="609" ht="22.5" customHeight="1">
      <c r="A609" s="139"/>
      <c r="B609" s="71"/>
      <c r="C609" s="117"/>
      <c r="D609" s="25"/>
      <c r="E609" s="118"/>
      <c r="F609" s="118"/>
      <c r="G609" s="138"/>
      <c r="H609" s="26"/>
      <c r="I609" s="155"/>
      <c r="J609" s="200"/>
      <c r="K609" s="155"/>
      <c r="L609" s="155"/>
      <c r="M609" s="155"/>
      <c r="N609" s="155"/>
      <c r="O609" s="155"/>
      <c r="P609" s="155"/>
      <c r="Q609" s="155"/>
      <c r="R609" s="155"/>
      <c r="S609" s="155"/>
      <c r="T609" s="155"/>
      <c r="U609" s="155"/>
      <c r="V609" s="155"/>
      <c r="W609" s="155"/>
      <c r="X609" s="155"/>
      <c r="Y609" s="155"/>
      <c r="Z609" s="155"/>
      <c r="AA609" s="155"/>
    </row>
    <row r="610" ht="22.5" customHeight="1">
      <c r="A610" s="139"/>
      <c r="B610" s="71"/>
      <c r="C610" s="117"/>
      <c r="D610" s="25"/>
      <c r="E610" s="118"/>
      <c r="F610" s="118"/>
      <c r="G610" s="138"/>
      <c r="H610" s="26"/>
      <c r="I610" s="155"/>
      <c r="J610" s="200"/>
      <c r="K610" s="155"/>
      <c r="L610" s="155"/>
      <c r="M610" s="155"/>
      <c r="N610" s="155"/>
      <c r="O610" s="155"/>
      <c r="P610" s="155"/>
      <c r="Q610" s="155"/>
      <c r="R610" s="155"/>
      <c r="S610" s="155"/>
      <c r="T610" s="155"/>
      <c r="U610" s="155"/>
      <c r="V610" s="155"/>
      <c r="W610" s="155"/>
      <c r="X610" s="155"/>
      <c r="Y610" s="155"/>
      <c r="Z610" s="155"/>
      <c r="AA610" s="155"/>
    </row>
    <row r="611" ht="22.5" customHeight="1">
      <c r="A611" s="139"/>
      <c r="B611" s="71"/>
      <c r="C611" s="117"/>
      <c r="D611" s="25"/>
      <c r="E611" s="118"/>
      <c r="F611" s="118"/>
      <c r="G611" s="138"/>
      <c r="H611" s="26"/>
      <c r="I611" s="155"/>
      <c r="J611" s="200"/>
      <c r="K611" s="155"/>
      <c r="L611" s="155"/>
      <c r="M611" s="155"/>
      <c r="N611" s="155"/>
      <c r="O611" s="155"/>
      <c r="P611" s="155"/>
      <c r="Q611" s="155"/>
      <c r="R611" s="155"/>
      <c r="S611" s="155"/>
      <c r="T611" s="155"/>
      <c r="U611" s="155"/>
      <c r="V611" s="155"/>
      <c r="W611" s="155"/>
      <c r="X611" s="155"/>
      <c r="Y611" s="155"/>
      <c r="Z611" s="155"/>
      <c r="AA611" s="155"/>
    </row>
    <row r="612" ht="22.5" customHeight="1">
      <c r="A612" s="139"/>
      <c r="B612" s="71"/>
      <c r="C612" s="117"/>
      <c r="D612" s="25"/>
      <c r="E612" s="118"/>
      <c r="F612" s="118"/>
      <c r="G612" s="138"/>
      <c r="H612" s="26"/>
      <c r="I612" s="155"/>
      <c r="J612" s="200"/>
      <c r="K612" s="155"/>
      <c r="L612" s="155"/>
      <c r="M612" s="155"/>
      <c r="N612" s="155"/>
      <c r="O612" s="155"/>
      <c r="P612" s="155"/>
      <c r="Q612" s="155"/>
      <c r="R612" s="155"/>
      <c r="S612" s="155"/>
      <c r="T612" s="155"/>
      <c r="U612" s="155"/>
      <c r="V612" s="155"/>
      <c r="W612" s="155"/>
      <c r="X612" s="155"/>
      <c r="Y612" s="155"/>
      <c r="Z612" s="155"/>
      <c r="AA612" s="155"/>
    </row>
    <row r="613" ht="22.5" customHeight="1">
      <c r="A613" s="139"/>
      <c r="B613" s="71"/>
      <c r="C613" s="117"/>
      <c r="D613" s="25"/>
      <c r="E613" s="118"/>
      <c r="F613" s="118"/>
      <c r="G613" s="138"/>
      <c r="H613" s="26"/>
      <c r="I613" s="155"/>
      <c r="J613" s="200"/>
      <c r="K613" s="155"/>
      <c r="L613" s="155"/>
      <c r="M613" s="155"/>
      <c r="N613" s="155"/>
      <c r="O613" s="155"/>
      <c r="P613" s="155"/>
      <c r="Q613" s="155"/>
      <c r="R613" s="155"/>
      <c r="S613" s="155"/>
      <c r="T613" s="155"/>
      <c r="U613" s="155"/>
      <c r="V613" s="155"/>
      <c r="W613" s="155"/>
      <c r="X613" s="155"/>
      <c r="Y613" s="155"/>
      <c r="Z613" s="155"/>
      <c r="AA613" s="155"/>
    </row>
    <row r="614" ht="22.5" customHeight="1">
      <c r="A614" s="139"/>
      <c r="B614" s="71"/>
      <c r="C614" s="117"/>
      <c r="D614" s="25"/>
      <c r="E614" s="118"/>
      <c r="F614" s="118"/>
      <c r="G614" s="138"/>
      <c r="H614" s="26"/>
      <c r="I614" s="155"/>
      <c r="J614" s="200"/>
      <c r="K614" s="155"/>
      <c r="L614" s="155"/>
      <c r="M614" s="155"/>
      <c r="N614" s="155"/>
      <c r="O614" s="155"/>
      <c r="P614" s="155"/>
      <c r="Q614" s="155"/>
      <c r="R614" s="155"/>
      <c r="S614" s="155"/>
      <c r="T614" s="155"/>
      <c r="U614" s="155"/>
      <c r="V614" s="155"/>
      <c r="W614" s="155"/>
      <c r="X614" s="155"/>
      <c r="Y614" s="155"/>
      <c r="Z614" s="155"/>
      <c r="AA614" s="155"/>
    </row>
    <row r="615" ht="22.5" customHeight="1">
      <c r="A615" s="139"/>
      <c r="B615" s="71"/>
      <c r="C615" s="117"/>
      <c r="D615" s="25"/>
      <c r="E615" s="118"/>
      <c r="F615" s="118"/>
      <c r="G615" s="138"/>
      <c r="H615" s="26"/>
      <c r="I615" s="155"/>
      <c r="J615" s="200"/>
      <c r="K615" s="155"/>
      <c r="L615" s="155"/>
      <c r="M615" s="155"/>
      <c r="N615" s="155"/>
      <c r="O615" s="155"/>
      <c r="P615" s="155"/>
      <c r="Q615" s="155"/>
      <c r="R615" s="155"/>
      <c r="S615" s="155"/>
      <c r="T615" s="155"/>
      <c r="U615" s="155"/>
      <c r="V615" s="155"/>
      <c r="W615" s="155"/>
      <c r="X615" s="155"/>
      <c r="Y615" s="155"/>
      <c r="Z615" s="155"/>
      <c r="AA615" s="155"/>
    </row>
    <row r="616" ht="22.5" customHeight="1">
      <c r="A616" s="139"/>
      <c r="B616" s="71"/>
      <c r="C616" s="117"/>
      <c r="D616" s="25"/>
      <c r="E616" s="118"/>
      <c r="F616" s="118"/>
      <c r="G616" s="138"/>
      <c r="H616" s="26"/>
      <c r="I616" s="155"/>
      <c r="J616" s="200"/>
      <c r="K616" s="155"/>
      <c r="L616" s="155"/>
      <c r="M616" s="155"/>
      <c r="N616" s="155"/>
      <c r="O616" s="155"/>
      <c r="P616" s="155"/>
      <c r="Q616" s="155"/>
      <c r="R616" s="155"/>
      <c r="S616" s="155"/>
      <c r="T616" s="155"/>
      <c r="U616" s="155"/>
      <c r="V616" s="155"/>
      <c r="W616" s="155"/>
      <c r="X616" s="155"/>
      <c r="Y616" s="155"/>
      <c r="Z616" s="155"/>
      <c r="AA616" s="155"/>
    </row>
    <row r="617" ht="22.5" customHeight="1">
      <c r="A617" s="139"/>
      <c r="B617" s="71"/>
      <c r="C617" s="117"/>
      <c r="D617" s="25"/>
      <c r="E617" s="118"/>
      <c r="F617" s="118"/>
      <c r="G617" s="138"/>
      <c r="H617" s="26"/>
      <c r="I617" s="155"/>
      <c r="J617" s="200"/>
      <c r="K617" s="155"/>
      <c r="L617" s="155"/>
      <c r="M617" s="155"/>
      <c r="N617" s="155"/>
      <c r="O617" s="155"/>
      <c r="P617" s="155"/>
      <c r="Q617" s="155"/>
      <c r="R617" s="155"/>
      <c r="S617" s="155"/>
      <c r="T617" s="155"/>
      <c r="U617" s="155"/>
      <c r="V617" s="155"/>
      <c r="W617" s="155"/>
      <c r="X617" s="155"/>
      <c r="Y617" s="155"/>
      <c r="Z617" s="155"/>
      <c r="AA617" s="155"/>
    </row>
    <row r="618" ht="22.5" customHeight="1">
      <c r="A618" s="139"/>
      <c r="B618" s="71"/>
      <c r="C618" s="117"/>
      <c r="D618" s="25"/>
      <c r="E618" s="118"/>
      <c r="F618" s="118"/>
      <c r="G618" s="138"/>
      <c r="H618" s="26"/>
      <c r="I618" s="155"/>
      <c r="J618" s="200"/>
      <c r="K618" s="155"/>
      <c r="L618" s="155"/>
      <c r="M618" s="155"/>
      <c r="N618" s="155"/>
      <c r="O618" s="155"/>
      <c r="P618" s="155"/>
      <c r="Q618" s="155"/>
      <c r="R618" s="155"/>
      <c r="S618" s="155"/>
      <c r="T618" s="155"/>
      <c r="U618" s="155"/>
      <c r="V618" s="155"/>
      <c r="W618" s="155"/>
      <c r="X618" s="155"/>
      <c r="Y618" s="155"/>
      <c r="Z618" s="155"/>
      <c r="AA618" s="155"/>
    </row>
    <row r="619" ht="22.5" customHeight="1">
      <c r="A619" s="139"/>
      <c r="B619" s="71"/>
      <c r="C619" s="117"/>
      <c r="D619" s="25"/>
      <c r="E619" s="118"/>
      <c r="F619" s="118"/>
      <c r="G619" s="138"/>
      <c r="H619" s="26"/>
      <c r="I619" s="155"/>
      <c r="J619" s="200"/>
      <c r="K619" s="155"/>
      <c r="L619" s="155"/>
      <c r="M619" s="155"/>
      <c r="N619" s="155"/>
      <c r="O619" s="155"/>
      <c r="P619" s="155"/>
      <c r="Q619" s="155"/>
      <c r="R619" s="155"/>
      <c r="S619" s="155"/>
      <c r="T619" s="155"/>
      <c r="U619" s="155"/>
      <c r="V619" s="155"/>
      <c r="W619" s="155"/>
      <c r="X619" s="155"/>
      <c r="Y619" s="155"/>
      <c r="Z619" s="155"/>
      <c r="AA619" s="155"/>
    </row>
    <row r="620" ht="22.5" customHeight="1">
      <c r="A620" s="139"/>
      <c r="B620" s="71"/>
      <c r="C620" s="117"/>
      <c r="D620" s="25"/>
      <c r="E620" s="118"/>
      <c r="F620" s="118"/>
      <c r="G620" s="138"/>
      <c r="H620" s="26"/>
      <c r="I620" s="155"/>
      <c r="J620" s="200"/>
      <c r="K620" s="155"/>
      <c r="L620" s="155"/>
      <c r="M620" s="155"/>
      <c r="N620" s="155"/>
      <c r="O620" s="155"/>
      <c r="P620" s="155"/>
      <c r="Q620" s="155"/>
      <c r="R620" s="155"/>
      <c r="S620" s="155"/>
      <c r="T620" s="155"/>
      <c r="U620" s="155"/>
      <c r="V620" s="155"/>
      <c r="W620" s="155"/>
      <c r="X620" s="155"/>
      <c r="Y620" s="155"/>
      <c r="Z620" s="155"/>
      <c r="AA620" s="155"/>
    </row>
    <row r="621" ht="22.5" customHeight="1">
      <c r="A621" s="139"/>
      <c r="B621" s="71"/>
      <c r="C621" s="117"/>
      <c r="D621" s="25"/>
      <c r="E621" s="118"/>
      <c r="F621" s="118"/>
      <c r="G621" s="138"/>
      <c r="H621" s="26"/>
      <c r="I621" s="155"/>
      <c r="J621" s="200"/>
      <c r="K621" s="155"/>
      <c r="L621" s="155"/>
      <c r="M621" s="155"/>
      <c r="N621" s="155"/>
      <c r="O621" s="155"/>
      <c r="P621" s="155"/>
      <c r="Q621" s="155"/>
      <c r="R621" s="155"/>
      <c r="S621" s="155"/>
      <c r="T621" s="155"/>
      <c r="U621" s="155"/>
      <c r="V621" s="155"/>
      <c r="W621" s="155"/>
      <c r="X621" s="155"/>
      <c r="Y621" s="155"/>
      <c r="Z621" s="155"/>
      <c r="AA621" s="155"/>
    </row>
    <row r="622" ht="22.5" customHeight="1">
      <c r="A622" s="139"/>
      <c r="B622" s="71"/>
      <c r="C622" s="117"/>
      <c r="D622" s="25"/>
      <c r="E622" s="118"/>
      <c r="F622" s="118"/>
      <c r="G622" s="138"/>
      <c r="H622" s="26"/>
      <c r="I622" s="155"/>
      <c r="J622" s="200"/>
      <c r="K622" s="155"/>
      <c r="L622" s="155"/>
      <c r="M622" s="155"/>
      <c r="N622" s="155"/>
      <c r="O622" s="155"/>
      <c r="P622" s="155"/>
      <c r="Q622" s="155"/>
      <c r="R622" s="155"/>
      <c r="S622" s="155"/>
      <c r="T622" s="155"/>
      <c r="U622" s="155"/>
      <c r="V622" s="155"/>
      <c r="W622" s="155"/>
      <c r="X622" s="155"/>
      <c r="Y622" s="155"/>
      <c r="Z622" s="155"/>
      <c r="AA622" s="155"/>
    </row>
    <row r="623" ht="22.5" customHeight="1">
      <c r="A623" s="139"/>
      <c r="B623" s="71"/>
      <c r="C623" s="117"/>
      <c r="D623" s="25"/>
      <c r="E623" s="118"/>
      <c r="F623" s="118"/>
      <c r="G623" s="138"/>
      <c r="H623" s="26"/>
      <c r="I623" s="155"/>
      <c r="J623" s="200"/>
      <c r="K623" s="155"/>
      <c r="L623" s="155"/>
      <c r="M623" s="155"/>
      <c r="N623" s="155"/>
      <c r="O623" s="155"/>
      <c r="P623" s="155"/>
      <c r="Q623" s="155"/>
      <c r="R623" s="155"/>
      <c r="S623" s="155"/>
      <c r="T623" s="155"/>
      <c r="U623" s="155"/>
      <c r="V623" s="155"/>
      <c r="W623" s="155"/>
      <c r="X623" s="155"/>
      <c r="Y623" s="155"/>
      <c r="Z623" s="155"/>
      <c r="AA623" s="155"/>
    </row>
    <row r="624" ht="22.5" customHeight="1">
      <c r="A624" s="139"/>
      <c r="B624" s="71"/>
      <c r="C624" s="117"/>
      <c r="D624" s="25"/>
      <c r="E624" s="118"/>
      <c r="F624" s="118"/>
      <c r="G624" s="138"/>
      <c r="H624" s="26"/>
      <c r="I624" s="155"/>
      <c r="J624" s="200"/>
      <c r="K624" s="155"/>
      <c r="L624" s="155"/>
      <c r="M624" s="155"/>
      <c r="N624" s="155"/>
      <c r="O624" s="155"/>
      <c r="P624" s="155"/>
      <c r="Q624" s="155"/>
      <c r="R624" s="155"/>
      <c r="S624" s="155"/>
      <c r="T624" s="155"/>
      <c r="U624" s="155"/>
      <c r="V624" s="155"/>
      <c r="W624" s="155"/>
      <c r="X624" s="155"/>
      <c r="Y624" s="155"/>
      <c r="Z624" s="155"/>
      <c r="AA624" s="155"/>
    </row>
    <row r="625" ht="22.5" customHeight="1">
      <c r="A625" s="139"/>
      <c r="B625" s="71"/>
      <c r="C625" s="117"/>
      <c r="D625" s="25"/>
      <c r="E625" s="118"/>
      <c r="F625" s="118"/>
      <c r="G625" s="138"/>
      <c r="H625" s="26"/>
      <c r="I625" s="155"/>
      <c r="J625" s="200"/>
      <c r="K625" s="155"/>
      <c r="L625" s="155"/>
      <c r="M625" s="155"/>
      <c r="N625" s="155"/>
      <c r="O625" s="155"/>
      <c r="P625" s="155"/>
      <c r="Q625" s="155"/>
      <c r="R625" s="155"/>
      <c r="S625" s="155"/>
      <c r="T625" s="155"/>
      <c r="U625" s="155"/>
      <c r="V625" s="155"/>
      <c r="W625" s="155"/>
      <c r="X625" s="155"/>
      <c r="Y625" s="155"/>
      <c r="Z625" s="155"/>
      <c r="AA625" s="155"/>
    </row>
    <row r="626" ht="22.5" customHeight="1">
      <c r="A626" s="139"/>
      <c r="B626" s="71"/>
      <c r="C626" s="117"/>
      <c r="D626" s="25"/>
      <c r="E626" s="118"/>
      <c r="F626" s="118"/>
      <c r="G626" s="138"/>
      <c r="H626" s="26"/>
      <c r="I626" s="155"/>
      <c r="J626" s="200"/>
      <c r="K626" s="155"/>
      <c r="L626" s="155"/>
      <c r="M626" s="155"/>
      <c r="N626" s="155"/>
      <c r="O626" s="155"/>
      <c r="P626" s="155"/>
      <c r="Q626" s="155"/>
      <c r="R626" s="155"/>
      <c r="S626" s="155"/>
      <c r="T626" s="155"/>
      <c r="U626" s="155"/>
      <c r="V626" s="155"/>
      <c r="W626" s="155"/>
      <c r="X626" s="155"/>
      <c r="Y626" s="155"/>
      <c r="Z626" s="155"/>
      <c r="AA626" s="155"/>
    </row>
    <row r="627" ht="22.5" customHeight="1">
      <c r="A627" s="139"/>
      <c r="B627" s="71"/>
      <c r="C627" s="117"/>
      <c r="D627" s="25"/>
      <c r="E627" s="118"/>
      <c r="F627" s="118"/>
      <c r="G627" s="138"/>
      <c r="H627" s="26"/>
      <c r="I627" s="155"/>
      <c r="J627" s="200"/>
      <c r="K627" s="155"/>
      <c r="L627" s="155"/>
      <c r="M627" s="155"/>
      <c r="N627" s="155"/>
      <c r="O627" s="155"/>
      <c r="P627" s="155"/>
      <c r="Q627" s="155"/>
      <c r="R627" s="155"/>
      <c r="S627" s="155"/>
      <c r="T627" s="155"/>
      <c r="U627" s="155"/>
      <c r="V627" s="155"/>
      <c r="W627" s="155"/>
      <c r="X627" s="155"/>
      <c r="Y627" s="155"/>
      <c r="Z627" s="155"/>
      <c r="AA627" s="155"/>
    </row>
    <row r="628" ht="22.5" customHeight="1">
      <c r="A628" s="139"/>
      <c r="B628" s="71"/>
      <c r="C628" s="117"/>
      <c r="D628" s="25"/>
      <c r="E628" s="118"/>
      <c r="F628" s="118"/>
      <c r="G628" s="138"/>
      <c r="H628" s="26"/>
      <c r="I628" s="155"/>
      <c r="J628" s="200"/>
      <c r="K628" s="155"/>
      <c r="L628" s="155"/>
      <c r="M628" s="155"/>
      <c r="N628" s="155"/>
      <c r="O628" s="155"/>
      <c r="P628" s="155"/>
      <c r="Q628" s="155"/>
      <c r="R628" s="155"/>
      <c r="S628" s="155"/>
      <c r="T628" s="155"/>
      <c r="U628" s="155"/>
      <c r="V628" s="155"/>
      <c r="W628" s="155"/>
      <c r="X628" s="155"/>
      <c r="Y628" s="155"/>
      <c r="Z628" s="155"/>
      <c r="AA628" s="155"/>
    </row>
    <row r="629" ht="22.5" customHeight="1">
      <c r="A629" s="139"/>
      <c r="B629" s="71"/>
      <c r="C629" s="117"/>
      <c r="D629" s="25"/>
      <c r="E629" s="118"/>
      <c r="F629" s="118"/>
      <c r="G629" s="138"/>
      <c r="H629" s="26"/>
      <c r="I629" s="155"/>
      <c r="J629" s="200"/>
      <c r="K629" s="155"/>
      <c r="L629" s="155"/>
      <c r="M629" s="155"/>
      <c r="N629" s="155"/>
      <c r="O629" s="155"/>
      <c r="P629" s="155"/>
      <c r="Q629" s="155"/>
      <c r="R629" s="155"/>
      <c r="S629" s="155"/>
      <c r="T629" s="155"/>
      <c r="U629" s="155"/>
      <c r="V629" s="155"/>
      <c r="W629" s="155"/>
      <c r="X629" s="155"/>
      <c r="Y629" s="155"/>
      <c r="Z629" s="155"/>
      <c r="AA629" s="155"/>
    </row>
    <row r="630" ht="22.5" customHeight="1">
      <c r="A630" s="139"/>
      <c r="B630" s="71"/>
      <c r="C630" s="117"/>
      <c r="D630" s="25"/>
      <c r="E630" s="118"/>
      <c r="F630" s="118"/>
      <c r="G630" s="138"/>
      <c r="H630" s="26"/>
      <c r="I630" s="155"/>
      <c r="J630" s="200"/>
      <c r="K630" s="155"/>
      <c r="L630" s="155"/>
      <c r="M630" s="155"/>
      <c r="N630" s="155"/>
      <c r="O630" s="155"/>
      <c r="P630" s="155"/>
      <c r="Q630" s="155"/>
      <c r="R630" s="155"/>
      <c r="S630" s="155"/>
      <c r="T630" s="155"/>
      <c r="U630" s="155"/>
      <c r="V630" s="155"/>
      <c r="W630" s="155"/>
      <c r="X630" s="155"/>
      <c r="Y630" s="155"/>
      <c r="Z630" s="155"/>
      <c r="AA630" s="155"/>
    </row>
    <row r="631" ht="22.5" customHeight="1">
      <c r="A631" s="139"/>
      <c r="B631" s="71"/>
      <c r="C631" s="117"/>
      <c r="D631" s="25"/>
      <c r="E631" s="118"/>
      <c r="F631" s="118"/>
      <c r="G631" s="138"/>
      <c r="H631" s="26"/>
      <c r="I631" s="155"/>
      <c r="J631" s="200"/>
      <c r="K631" s="155"/>
      <c r="L631" s="155"/>
      <c r="M631" s="155"/>
      <c r="N631" s="155"/>
      <c r="O631" s="155"/>
      <c r="P631" s="155"/>
      <c r="Q631" s="155"/>
      <c r="R631" s="155"/>
      <c r="S631" s="155"/>
      <c r="T631" s="155"/>
      <c r="U631" s="155"/>
      <c r="V631" s="155"/>
      <c r="W631" s="155"/>
      <c r="X631" s="155"/>
      <c r="Y631" s="155"/>
      <c r="Z631" s="155"/>
      <c r="AA631" s="155"/>
    </row>
    <row r="632" ht="22.5" customHeight="1">
      <c r="A632" s="139"/>
      <c r="B632" s="71"/>
      <c r="C632" s="117"/>
      <c r="D632" s="25"/>
      <c r="E632" s="118"/>
      <c r="F632" s="118"/>
      <c r="G632" s="138"/>
      <c r="H632" s="26"/>
      <c r="I632" s="155"/>
      <c r="J632" s="200"/>
      <c r="K632" s="155"/>
      <c r="L632" s="155"/>
      <c r="M632" s="155"/>
      <c r="N632" s="155"/>
      <c r="O632" s="155"/>
      <c r="P632" s="155"/>
      <c r="Q632" s="155"/>
      <c r="R632" s="155"/>
      <c r="S632" s="155"/>
      <c r="T632" s="155"/>
      <c r="U632" s="155"/>
      <c r="V632" s="155"/>
      <c r="W632" s="155"/>
      <c r="X632" s="155"/>
      <c r="Y632" s="155"/>
      <c r="Z632" s="155"/>
      <c r="AA632" s="155"/>
    </row>
    <row r="633" ht="22.5" customHeight="1">
      <c r="A633" s="139"/>
      <c r="B633" s="71"/>
      <c r="C633" s="117"/>
      <c r="D633" s="25"/>
      <c r="E633" s="118"/>
      <c r="F633" s="118"/>
      <c r="G633" s="138"/>
      <c r="H633" s="26"/>
      <c r="I633" s="155"/>
      <c r="J633" s="200"/>
      <c r="K633" s="155"/>
      <c r="L633" s="155"/>
      <c r="M633" s="155"/>
      <c r="N633" s="155"/>
      <c r="O633" s="155"/>
      <c r="P633" s="155"/>
      <c r="Q633" s="155"/>
      <c r="R633" s="155"/>
      <c r="S633" s="155"/>
      <c r="T633" s="155"/>
      <c r="U633" s="155"/>
      <c r="V633" s="155"/>
      <c r="W633" s="155"/>
      <c r="X633" s="155"/>
      <c r="Y633" s="155"/>
      <c r="Z633" s="155"/>
      <c r="AA633" s="155"/>
    </row>
    <row r="634" ht="22.5" customHeight="1">
      <c r="A634" s="139"/>
      <c r="B634" s="71"/>
      <c r="C634" s="117"/>
      <c r="D634" s="25"/>
      <c r="E634" s="118"/>
      <c r="F634" s="118"/>
      <c r="G634" s="138"/>
      <c r="H634" s="26"/>
      <c r="I634" s="155"/>
      <c r="J634" s="200"/>
      <c r="K634" s="155"/>
      <c r="L634" s="155"/>
      <c r="M634" s="155"/>
      <c r="N634" s="155"/>
      <c r="O634" s="155"/>
      <c r="P634" s="155"/>
      <c r="Q634" s="155"/>
      <c r="R634" s="155"/>
      <c r="S634" s="155"/>
      <c r="T634" s="155"/>
      <c r="U634" s="155"/>
      <c r="V634" s="155"/>
      <c r="W634" s="155"/>
      <c r="X634" s="155"/>
      <c r="Y634" s="155"/>
      <c r="Z634" s="155"/>
      <c r="AA634" s="155"/>
    </row>
    <row r="635" ht="22.5" customHeight="1">
      <c r="A635" s="139"/>
      <c r="B635" s="71"/>
      <c r="C635" s="117"/>
      <c r="D635" s="25"/>
      <c r="E635" s="118"/>
      <c r="F635" s="118"/>
      <c r="G635" s="138"/>
      <c r="H635" s="26"/>
      <c r="I635" s="155"/>
      <c r="J635" s="200"/>
      <c r="K635" s="155"/>
      <c r="L635" s="155"/>
      <c r="M635" s="155"/>
      <c r="N635" s="155"/>
      <c r="O635" s="155"/>
      <c r="P635" s="155"/>
      <c r="Q635" s="155"/>
      <c r="R635" s="155"/>
      <c r="S635" s="155"/>
      <c r="T635" s="155"/>
      <c r="U635" s="155"/>
      <c r="V635" s="155"/>
      <c r="W635" s="155"/>
      <c r="X635" s="155"/>
      <c r="Y635" s="155"/>
      <c r="Z635" s="155"/>
      <c r="AA635" s="155"/>
    </row>
    <row r="636" ht="22.5" customHeight="1">
      <c r="A636" s="139"/>
      <c r="B636" s="71"/>
      <c r="C636" s="117"/>
      <c r="D636" s="25"/>
      <c r="E636" s="118"/>
      <c r="F636" s="118"/>
      <c r="G636" s="138"/>
      <c r="H636" s="26"/>
      <c r="I636" s="155"/>
      <c r="J636" s="200"/>
      <c r="K636" s="155"/>
      <c r="L636" s="155"/>
      <c r="M636" s="155"/>
      <c r="N636" s="155"/>
      <c r="O636" s="155"/>
      <c r="P636" s="155"/>
      <c r="Q636" s="155"/>
      <c r="R636" s="155"/>
      <c r="S636" s="155"/>
      <c r="T636" s="155"/>
      <c r="U636" s="155"/>
      <c r="V636" s="155"/>
      <c r="W636" s="155"/>
      <c r="X636" s="155"/>
      <c r="Y636" s="155"/>
      <c r="Z636" s="155"/>
      <c r="AA636" s="155"/>
    </row>
    <row r="637" ht="22.5" customHeight="1">
      <c r="A637" s="139"/>
      <c r="B637" s="71"/>
      <c r="C637" s="117"/>
      <c r="D637" s="25"/>
      <c r="E637" s="118"/>
      <c r="F637" s="118"/>
      <c r="G637" s="138"/>
      <c r="H637" s="26"/>
      <c r="I637" s="155"/>
      <c r="J637" s="200"/>
      <c r="K637" s="155"/>
      <c r="L637" s="155"/>
      <c r="M637" s="155"/>
      <c r="N637" s="155"/>
      <c r="O637" s="155"/>
      <c r="P637" s="155"/>
      <c r="Q637" s="155"/>
      <c r="R637" s="155"/>
      <c r="S637" s="155"/>
      <c r="T637" s="155"/>
      <c r="U637" s="155"/>
      <c r="V637" s="155"/>
      <c r="W637" s="155"/>
      <c r="X637" s="155"/>
      <c r="Y637" s="155"/>
      <c r="Z637" s="155"/>
      <c r="AA637" s="155"/>
    </row>
    <row r="638" ht="22.5" customHeight="1">
      <c r="A638" s="139"/>
      <c r="B638" s="71"/>
      <c r="C638" s="117"/>
      <c r="D638" s="25"/>
      <c r="E638" s="118"/>
      <c r="F638" s="118"/>
      <c r="G638" s="138"/>
      <c r="H638" s="26"/>
      <c r="I638" s="155"/>
      <c r="J638" s="200"/>
      <c r="K638" s="155"/>
      <c r="L638" s="155"/>
      <c r="M638" s="155"/>
      <c r="N638" s="155"/>
      <c r="O638" s="155"/>
      <c r="P638" s="155"/>
      <c r="Q638" s="155"/>
      <c r="R638" s="155"/>
      <c r="S638" s="155"/>
      <c r="T638" s="155"/>
      <c r="U638" s="155"/>
      <c r="V638" s="155"/>
      <c r="W638" s="155"/>
      <c r="X638" s="155"/>
      <c r="Y638" s="155"/>
      <c r="Z638" s="155"/>
      <c r="AA638" s="155"/>
    </row>
    <row r="639" ht="22.5" customHeight="1">
      <c r="A639" s="139"/>
      <c r="B639" s="71"/>
      <c r="C639" s="117"/>
      <c r="D639" s="25"/>
      <c r="E639" s="118"/>
      <c r="F639" s="118"/>
      <c r="G639" s="138"/>
      <c r="H639" s="26"/>
      <c r="I639" s="155"/>
      <c r="J639" s="200"/>
      <c r="K639" s="155"/>
      <c r="L639" s="155"/>
      <c r="M639" s="155"/>
      <c r="N639" s="155"/>
      <c r="O639" s="155"/>
      <c r="P639" s="155"/>
      <c r="Q639" s="155"/>
      <c r="R639" s="155"/>
      <c r="S639" s="155"/>
      <c r="T639" s="155"/>
      <c r="U639" s="155"/>
      <c r="V639" s="155"/>
      <c r="W639" s="155"/>
      <c r="X639" s="155"/>
      <c r="Y639" s="155"/>
      <c r="Z639" s="155"/>
      <c r="AA639" s="155"/>
    </row>
    <row r="640" ht="22.5" customHeight="1">
      <c r="A640" s="139"/>
      <c r="B640" s="71"/>
      <c r="C640" s="117"/>
      <c r="D640" s="25"/>
      <c r="E640" s="118"/>
      <c r="F640" s="118"/>
      <c r="G640" s="138"/>
      <c r="H640" s="26"/>
      <c r="I640" s="155"/>
      <c r="J640" s="200"/>
      <c r="K640" s="155"/>
      <c r="L640" s="155"/>
      <c r="M640" s="155"/>
      <c r="N640" s="155"/>
      <c r="O640" s="155"/>
      <c r="P640" s="155"/>
      <c r="Q640" s="155"/>
      <c r="R640" s="155"/>
      <c r="S640" s="155"/>
      <c r="T640" s="155"/>
      <c r="U640" s="155"/>
      <c r="V640" s="155"/>
      <c r="W640" s="155"/>
      <c r="X640" s="155"/>
      <c r="Y640" s="155"/>
      <c r="Z640" s="155"/>
      <c r="AA640" s="155"/>
    </row>
    <row r="641" ht="22.5" customHeight="1">
      <c r="A641" s="139"/>
      <c r="B641" s="71"/>
      <c r="C641" s="117"/>
      <c r="D641" s="25"/>
      <c r="E641" s="118"/>
      <c r="F641" s="118"/>
      <c r="G641" s="138"/>
      <c r="H641" s="26"/>
      <c r="I641" s="155"/>
      <c r="J641" s="200"/>
      <c r="K641" s="155"/>
      <c r="L641" s="155"/>
      <c r="M641" s="155"/>
      <c r="N641" s="155"/>
      <c r="O641" s="155"/>
      <c r="P641" s="155"/>
      <c r="Q641" s="155"/>
      <c r="R641" s="155"/>
      <c r="S641" s="155"/>
      <c r="T641" s="155"/>
      <c r="U641" s="155"/>
      <c r="V641" s="155"/>
      <c r="W641" s="155"/>
      <c r="X641" s="155"/>
      <c r="Y641" s="155"/>
      <c r="Z641" s="155"/>
      <c r="AA641" s="155"/>
    </row>
    <row r="642" ht="22.5" customHeight="1">
      <c r="A642" s="139"/>
      <c r="B642" s="71"/>
      <c r="C642" s="117"/>
      <c r="D642" s="25"/>
      <c r="E642" s="118"/>
      <c r="F642" s="118"/>
      <c r="G642" s="138"/>
      <c r="H642" s="26"/>
      <c r="I642" s="155"/>
      <c r="J642" s="200"/>
      <c r="K642" s="155"/>
      <c r="L642" s="155"/>
      <c r="M642" s="155"/>
      <c r="N642" s="155"/>
      <c r="O642" s="155"/>
      <c r="P642" s="155"/>
      <c r="Q642" s="155"/>
      <c r="R642" s="155"/>
      <c r="S642" s="155"/>
      <c r="T642" s="155"/>
      <c r="U642" s="155"/>
      <c r="V642" s="155"/>
      <c r="W642" s="155"/>
      <c r="X642" s="155"/>
      <c r="Y642" s="155"/>
      <c r="Z642" s="155"/>
      <c r="AA642" s="155"/>
    </row>
    <row r="643" ht="22.5" customHeight="1">
      <c r="A643" s="139"/>
      <c r="B643" s="71"/>
      <c r="C643" s="117"/>
      <c r="D643" s="25"/>
      <c r="E643" s="118"/>
      <c r="F643" s="118"/>
      <c r="G643" s="138"/>
      <c r="H643" s="26"/>
      <c r="I643" s="155"/>
      <c r="J643" s="200"/>
      <c r="K643" s="155"/>
      <c r="L643" s="155"/>
      <c r="M643" s="155"/>
      <c r="N643" s="155"/>
      <c r="O643" s="155"/>
      <c r="P643" s="155"/>
      <c r="Q643" s="155"/>
      <c r="R643" s="155"/>
      <c r="S643" s="155"/>
      <c r="T643" s="155"/>
      <c r="U643" s="155"/>
      <c r="V643" s="155"/>
      <c r="W643" s="155"/>
      <c r="X643" s="155"/>
      <c r="Y643" s="155"/>
      <c r="Z643" s="155"/>
      <c r="AA643" s="155"/>
    </row>
    <row r="644" ht="22.5" customHeight="1">
      <c r="A644" s="139"/>
      <c r="B644" s="71"/>
      <c r="C644" s="117"/>
      <c r="D644" s="25"/>
      <c r="E644" s="118"/>
      <c r="F644" s="118"/>
      <c r="G644" s="138"/>
      <c r="H644" s="26"/>
      <c r="I644" s="155"/>
      <c r="J644" s="200"/>
      <c r="K644" s="155"/>
      <c r="L644" s="155"/>
      <c r="M644" s="155"/>
      <c r="N644" s="155"/>
      <c r="O644" s="155"/>
      <c r="P644" s="155"/>
      <c r="Q644" s="155"/>
      <c r="R644" s="155"/>
      <c r="S644" s="155"/>
      <c r="T644" s="155"/>
      <c r="U644" s="155"/>
      <c r="V644" s="155"/>
      <c r="W644" s="155"/>
      <c r="X644" s="155"/>
      <c r="Y644" s="155"/>
      <c r="Z644" s="155"/>
      <c r="AA644" s="155"/>
    </row>
    <row r="645" ht="22.5" customHeight="1">
      <c r="A645" s="139"/>
      <c r="B645" s="71"/>
      <c r="C645" s="117"/>
      <c r="D645" s="25"/>
      <c r="E645" s="118"/>
      <c r="F645" s="118"/>
      <c r="G645" s="138"/>
      <c r="H645" s="26"/>
      <c r="I645" s="155"/>
      <c r="J645" s="200"/>
      <c r="K645" s="155"/>
      <c r="L645" s="155"/>
      <c r="M645" s="155"/>
      <c r="N645" s="155"/>
      <c r="O645" s="155"/>
      <c r="P645" s="155"/>
      <c r="Q645" s="155"/>
      <c r="R645" s="155"/>
      <c r="S645" s="155"/>
      <c r="T645" s="155"/>
      <c r="U645" s="155"/>
      <c r="V645" s="155"/>
      <c r="W645" s="155"/>
      <c r="X645" s="155"/>
      <c r="Y645" s="155"/>
      <c r="Z645" s="155"/>
      <c r="AA645" s="155"/>
    </row>
    <row r="646" ht="22.5" customHeight="1">
      <c r="A646" s="139"/>
      <c r="B646" s="71"/>
      <c r="C646" s="117"/>
      <c r="D646" s="25"/>
      <c r="E646" s="118"/>
      <c r="F646" s="118"/>
      <c r="G646" s="138"/>
      <c r="H646" s="26"/>
      <c r="I646" s="155"/>
      <c r="J646" s="200"/>
      <c r="K646" s="155"/>
      <c r="L646" s="155"/>
      <c r="M646" s="155"/>
      <c r="N646" s="155"/>
      <c r="O646" s="155"/>
      <c r="P646" s="155"/>
      <c r="Q646" s="155"/>
      <c r="R646" s="155"/>
      <c r="S646" s="155"/>
      <c r="T646" s="155"/>
      <c r="U646" s="155"/>
      <c r="V646" s="155"/>
      <c r="W646" s="155"/>
      <c r="X646" s="155"/>
      <c r="Y646" s="155"/>
      <c r="Z646" s="155"/>
      <c r="AA646" s="155"/>
    </row>
    <row r="647" ht="22.5" customHeight="1">
      <c r="A647" s="139"/>
      <c r="B647" s="71"/>
      <c r="C647" s="117"/>
      <c r="D647" s="25"/>
      <c r="E647" s="118"/>
      <c r="F647" s="118"/>
      <c r="G647" s="138"/>
      <c r="H647" s="26"/>
      <c r="I647" s="155"/>
      <c r="J647" s="200"/>
      <c r="K647" s="155"/>
      <c r="L647" s="155"/>
      <c r="M647" s="155"/>
      <c r="N647" s="155"/>
      <c r="O647" s="155"/>
      <c r="P647" s="155"/>
      <c r="Q647" s="155"/>
      <c r="R647" s="155"/>
      <c r="S647" s="155"/>
      <c r="T647" s="155"/>
      <c r="U647" s="155"/>
      <c r="V647" s="155"/>
      <c r="W647" s="155"/>
      <c r="X647" s="155"/>
      <c r="Y647" s="155"/>
      <c r="Z647" s="155"/>
      <c r="AA647" s="155"/>
    </row>
    <row r="648" ht="22.5" customHeight="1">
      <c r="A648" s="139"/>
      <c r="B648" s="71"/>
      <c r="C648" s="117"/>
      <c r="D648" s="25"/>
      <c r="E648" s="118"/>
      <c r="F648" s="118"/>
      <c r="G648" s="138"/>
      <c r="H648" s="26"/>
      <c r="I648" s="155"/>
      <c r="J648" s="200"/>
      <c r="K648" s="155"/>
      <c r="L648" s="155"/>
      <c r="M648" s="155"/>
      <c r="N648" s="155"/>
      <c r="O648" s="155"/>
      <c r="P648" s="155"/>
      <c r="Q648" s="155"/>
      <c r="R648" s="155"/>
      <c r="S648" s="155"/>
      <c r="T648" s="155"/>
      <c r="U648" s="155"/>
      <c r="V648" s="155"/>
      <c r="W648" s="155"/>
      <c r="X648" s="155"/>
      <c r="Y648" s="155"/>
      <c r="Z648" s="155"/>
      <c r="AA648" s="155"/>
    </row>
    <row r="649" ht="22.5" customHeight="1">
      <c r="A649" s="139"/>
      <c r="B649" s="71"/>
      <c r="C649" s="117"/>
      <c r="D649" s="25"/>
      <c r="E649" s="118"/>
      <c r="F649" s="118"/>
      <c r="G649" s="138"/>
      <c r="H649" s="26"/>
      <c r="I649" s="155"/>
      <c r="J649" s="200"/>
      <c r="K649" s="155"/>
      <c r="L649" s="155"/>
      <c r="M649" s="155"/>
      <c r="N649" s="155"/>
      <c r="O649" s="155"/>
      <c r="P649" s="155"/>
      <c r="Q649" s="155"/>
      <c r="R649" s="155"/>
      <c r="S649" s="155"/>
      <c r="T649" s="155"/>
      <c r="U649" s="155"/>
      <c r="V649" s="155"/>
      <c r="W649" s="155"/>
      <c r="X649" s="155"/>
      <c r="Y649" s="155"/>
      <c r="Z649" s="155"/>
      <c r="AA649" s="155"/>
    </row>
    <row r="650" ht="22.5" customHeight="1">
      <c r="A650" s="139"/>
      <c r="B650" s="71"/>
      <c r="C650" s="117"/>
      <c r="D650" s="25"/>
      <c r="E650" s="118"/>
      <c r="F650" s="118"/>
      <c r="G650" s="138"/>
      <c r="H650" s="26"/>
      <c r="I650" s="155"/>
      <c r="J650" s="200"/>
      <c r="K650" s="155"/>
      <c r="L650" s="155"/>
      <c r="M650" s="155"/>
      <c r="N650" s="155"/>
      <c r="O650" s="155"/>
      <c r="P650" s="155"/>
      <c r="Q650" s="155"/>
      <c r="R650" s="155"/>
      <c r="S650" s="155"/>
      <c r="T650" s="155"/>
      <c r="U650" s="155"/>
      <c r="V650" s="155"/>
      <c r="W650" s="155"/>
      <c r="X650" s="155"/>
      <c r="Y650" s="155"/>
      <c r="Z650" s="155"/>
      <c r="AA650" s="155"/>
    </row>
    <row r="651" ht="22.5" customHeight="1">
      <c r="A651" s="139"/>
      <c r="B651" s="71"/>
      <c r="C651" s="117"/>
      <c r="D651" s="25"/>
      <c r="E651" s="118"/>
      <c r="F651" s="118"/>
      <c r="G651" s="138"/>
      <c r="H651" s="26"/>
      <c r="I651" s="155"/>
      <c r="J651" s="200"/>
      <c r="K651" s="155"/>
      <c r="L651" s="155"/>
      <c r="M651" s="155"/>
      <c r="N651" s="155"/>
      <c r="O651" s="155"/>
      <c r="P651" s="155"/>
      <c r="Q651" s="155"/>
      <c r="R651" s="155"/>
      <c r="S651" s="155"/>
      <c r="T651" s="155"/>
      <c r="U651" s="155"/>
      <c r="V651" s="155"/>
      <c r="W651" s="155"/>
      <c r="X651" s="155"/>
      <c r="Y651" s="155"/>
      <c r="Z651" s="155"/>
      <c r="AA651" s="155"/>
    </row>
    <row r="652" ht="22.5" customHeight="1">
      <c r="A652" s="139"/>
      <c r="B652" s="71"/>
      <c r="C652" s="117"/>
      <c r="D652" s="25"/>
      <c r="E652" s="118"/>
      <c r="F652" s="118"/>
      <c r="G652" s="138"/>
      <c r="H652" s="26"/>
      <c r="I652" s="155"/>
      <c r="J652" s="200"/>
      <c r="K652" s="155"/>
      <c r="L652" s="155"/>
      <c r="M652" s="155"/>
      <c r="N652" s="155"/>
      <c r="O652" s="155"/>
      <c r="P652" s="155"/>
      <c r="Q652" s="155"/>
      <c r="R652" s="155"/>
      <c r="S652" s="155"/>
      <c r="T652" s="155"/>
      <c r="U652" s="155"/>
      <c r="V652" s="155"/>
      <c r="W652" s="155"/>
      <c r="X652" s="155"/>
      <c r="Y652" s="155"/>
      <c r="Z652" s="155"/>
      <c r="AA652" s="155"/>
    </row>
    <row r="653" ht="22.5" customHeight="1">
      <c r="A653" s="139"/>
      <c r="B653" s="71"/>
      <c r="C653" s="117"/>
      <c r="D653" s="25"/>
      <c r="E653" s="118"/>
      <c r="F653" s="118"/>
      <c r="G653" s="138"/>
      <c r="H653" s="26"/>
      <c r="I653" s="155"/>
      <c r="J653" s="200"/>
      <c r="K653" s="155"/>
      <c r="L653" s="155"/>
      <c r="M653" s="155"/>
      <c r="N653" s="155"/>
      <c r="O653" s="155"/>
      <c r="P653" s="155"/>
      <c r="Q653" s="155"/>
      <c r="R653" s="155"/>
      <c r="S653" s="155"/>
      <c r="T653" s="155"/>
      <c r="U653" s="155"/>
      <c r="V653" s="155"/>
      <c r="W653" s="155"/>
      <c r="X653" s="155"/>
      <c r="Y653" s="155"/>
      <c r="Z653" s="155"/>
      <c r="AA653" s="155"/>
    </row>
    <row r="654" ht="22.5" customHeight="1">
      <c r="A654" s="139"/>
      <c r="B654" s="71"/>
      <c r="C654" s="117"/>
      <c r="D654" s="25"/>
      <c r="E654" s="118"/>
      <c r="F654" s="118"/>
      <c r="G654" s="138"/>
      <c r="H654" s="26"/>
      <c r="I654" s="155"/>
      <c r="J654" s="200"/>
      <c r="K654" s="155"/>
      <c r="L654" s="155"/>
      <c r="M654" s="155"/>
      <c r="N654" s="155"/>
      <c r="O654" s="155"/>
      <c r="P654" s="155"/>
      <c r="Q654" s="155"/>
      <c r="R654" s="155"/>
      <c r="S654" s="155"/>
      <c r="T654" s="155"/>
      <c r="U654" s="155"/>
      <c r="V654" s="155"/>
      <c r="W654" s="155"/>
      <c r="X654" s="155"/>
      <c r="Y654" s="155"/>
      <c r="Z654" s="155"/>
      <c r="AA654" s="155"/>
    </row>
    <row r="655" ht="22.5" customHeight="1">
      <c r="A655" s="139"/>
      <c r="B655" s="71"/>
      <c r="C655" s="117"/>
      <c r="D655" s="25"/>
      <c r="E655" s="118"/>
      <c r="F655" s="118"/>
      <c r="G655" s="138"/>
      <c r="H655" s="26"/>
      <c r="I655" s="155"/>
      <c r="J655" s="200"/>
      <c r="K655" s="155"/>
      <c r="L655" s="155"/>
      <c r="M655" s="155"/>
      <c r="N655" s="155"/>
      <c r="O655" s="155"/>
      <c r="P655" s="155"/>
      <c r="Q655" s="155"/>
      <c r="R655" s="155"/>
      <c r="S655" s="155"/>
      <c r="T655" s="155"/>
      <c r="U655" s="155"/>
      <c r="V655" s="155"/>
      <c r="W655" s="155"/>
      <c r="X655" s="155"/>
      <c r="Y655" s="155"/>
      <c r="Z655" s="155"/>
      <c r="AA655" s="155"/>
    </row>
    <row r="656" ht="22.5" customHeight="1">
      <c r="A656" s="139"/>
      <c r="B656" s="71"/>
      <c r="C656" s="117"/>
      <c r="D656" s="25"/>
      <c r="E656" s="118"/>
      <c r="F656" s="118"/>
      <c r="G656" s="138"/>
      <c r="H656" s="26"/>
      <c r="I656" s="155"/>
      <c r="J656" s="200"/>
      <c r="K656" s="155"/>
      <c r="L656" s="155"/>
      <c r="M656" s="155"/>
      <c r="N656" s="155"/>
      <c r="O656" s="155"/>
      <c r="P656" s="155"/>
      <c r="Q656" s="155"/>
      <c r="R656" s="155"/>
      <c r="S656" s="155"/>
      <c r="T656" s="155"/>
      <c r="U656" s="155"/>
      <c r="V656" s="155"/>
      <c r="W656" s="155"/>
      <c r="X656" s="155"/>
      <c r="Y656" s="155"/>
      <c r="Z656" s="155"/>
      <c r="AA656" s="155"/>
    </row>
    <row r="657" ht="22.5" customHeight="1">
      <c r="A657" s="139"/>
      <c r="B657" s="71"/>
      <c r="C657" s="117"/>
      <c r="D657" s="25"/>
      <c r="E657" s="118"/>
      <c r="F657" s="118"/>
      <c r="G657" s="138"/>
      <c r="H657" s="26"/>
      <c r="I657" s="155"/>
      <c r="J657" s="200"/>
      <c r="K657" s="155"/>
      <c r="L657" s="155"/>
      <c r="M657" s="155"/>
      <c r="N657" s="155"/>
      <c r="O657" s="155"/>
      <c r="P657" s="155"/>
      <c r="Q657" s="155"/>
      <c r="R657" s="155"/>
      <c r="S657" s="155"/>
      <c r="T657" s="155"/>
      <c r="U657" s="155"/>
      <c r="V657" s="155"/>
      <c r="W657" s="155"/>
      <c r="X657" s="155"/>
      <c r="Y657" s="155"/>
      <c r="Z657" s="155"/>
      <c r="AA657" s="155"/>
    </row>
    <row r="658" ht="22.5" customHeight="1">
      <c r="A658" s="139"/>
      <c r="B658" s="71"/>
      <c r="C658" s="117"/>
      <c r="D658" s="25"/>
      <c r="E658" s="118"/>
      <c r="F658" s="118"/>
      <c r="G658" s="138"/>
      <c r="H658" s="26"/>
      <c r="I658" s="155"/>
      <c r="J658" s="200"/>
      <c r="K658" s="155"/>
      <c r="L658" s="155"/>
      <c r="M658" s="155"/>
      <c r="N658" s="155"/>
      <c r="O658" s="155"/>
      <c r="P658" s="155"/>
      <c r="Q658" s="155"/>
      <c r="R658" s="155"/>
      <c r="S658" s="155"/>
      <c r="T658" s="155"/>
      <c r="U658" s="155"/>
      <c r="V658" s="155"/>
      <c r="W658" s="155"/>
      <c r="X658" s="155"/>
      <c r="Y658" s="155"/>
      <c r="Z658" s="155"/>
      <c r="AA658" s="155"/>
    </row>
    <row r="659" ht="22.5" customHeight="1">
      <c r="A659" s="139"/>
      <c r="B659" s="71"/>
      <c r="C659" s="117"/>
      <c r="D659" s="25"/>
      <c r="E659" s="118"/>
      <c r="F659" s="118"/>
      <c r="G659" s="138"/>
      <c r="H659" s="26"/>
      <c r="I659" s="155"/>
      <c r="J659" s="200"/>
      <c r="K659" s="155"/>
      <c r="L659" s="155"/>
      <c r="M659" s="155"/>
      <c r="N659" s="155"/>
      <c r="O659" s="155"/>
      <c r="P659" s="155"/>
      <c r="Q659" s="155"/>
      <c r="R659" s="155"/>
      <c r="S659" s="155"/>
      <c r="T659" s="155"/>
      <c r="U659" s="155"/>
      <c r="V659" s="155"/>
      <c r="W659" s="155"/>
      <c r="X659" s="155"/>
      <c r="Y659" s="155"/>
      <c r="Z659" s="155"/>
      <c r="AA659" s="155"/>
    </row>
    <row r="660" ht="22.5" customHeight="1">
      <c r="A660" s="139"/>
      <c r="B660" s="71"/>
      <c r="C660" s="117"/>
      <c r="D660" s="25"/>
      <c r="E660" s="118"/>
      <c r="F660" s="118"/>
      <c r="G660" s="138"/>
      <c r="H660" s="26"/>
      <c r="I660" s="155"/>
      <c r="J660" s="200"/>
      <c r="K660" s="155"/>
      <c r="L660" s="155"/>
      <c r="M660" s="155"/>
      <c r="N660" s="155"/>
      <c r="O660" s="155"/>
      <c r="P660" s="155"/>
      <c r="Q660" s="155"/>
      <c r="R660" s="155"/>
      <c r="S660" s="155"/>
      <c r="T660" s="155"/>
      <c r="U660" s="155"/>
      <c r="V660" s="155"/>
      <c r="W660" s="155"/>
      <c r="X660" s="155"/>
      <c r="Y660" s="155"/>
      <c r="Z660" s="155"/>
      <c r="AA660" s="155"/>
    </row>
    <row r="661" ht="22.5" customHeight="1">
      <c r="A661" s="139"/>
      <c r="B661" s="71"/>
      <c r="C661" s="117"/>
      <c r="D661" s="25"/>
      <c r="E661" s="118"/>
      <c r="F661" s="118"/>
      <c r="G661" s="138"/>
      <c r="H661" s="26"/>
      <c r="I661" s="155"/>
      <c r="J661" s="200"/>
      <c r="K661" s="155"/>
      <c r="L661" s="155"/>
      <c r="M661" s="155"/>
      <c r="N661" s="155"/>
      <c r="O661" s="155"/>
      <c r="P661" s="155"/>
      <c r="Q661" s="155"/>
      <c r="R661" s="155"/>
      <c r="S661" s="155"/>
      <c r="T661" s="155"/>
      <c r="U661" s="155"/>
      <c r="V661" s="155"/>
      <c r="W661" s="155"/>
      <c r="X661" s="155"/>
      <c r="Y661" s="155"/>
      <c r="Z661" s="155"/>
      <c r="AA661" s="155"/>
    </row>
    <row r="662" ht="22.5" customHeight="1">
      <c r="A662" s="139"/>
      <c r="B662" s="71"/>
      <c r="C662" s="117"/>
      <c r="D662" s="25"/>
      <c r="E662" s="118"/>
      <c r="F662" s="118"/>
      <c r="G662" s="138"/>
      <c r="H662" s="26"/>
      <c r="I662" s="155"/>
      <c r="J662" s="200"/>
      <c r="K662" s="155"/>
      <c r="L662" s="155"/>
      <c r="M662" s="155"/>
      <c r="N662" s="155"/>
      <c r="O662" s="155"/>
      <c r="P662" s="155"/>
      <c r="Q662" s="155"/>
      <c r="R662" s="155"/>
      <c r="S662" s="155"/>
      <c r="T662" s="155"/>
      <c r="U662" s="155"/>
      <c r="V662" s="155"/>
      <c r="W662" s="155"/>
      <c r="X662" s="155"/>
      <c r="Y662" s="155"/>
      <c r="Z662" s="155"/>
      <c r="AA662" s="155"/>
    </row>
    <row r="663" ht="22.5" customHeight="1">
      <c r="A663" s="139"/>
      <c r="B663" s="71"/>
      <c r="C663" s="117"/>
      <c r="D663" s="25"/>
      <c r="E663" s="118"/>
      <c r="F663" s="118"/>
      <c r="G663" s="138"/>
      <c r="H663" s="26"/>
      <c r="I663" s="155"/>
      <c r="J663" s="200"/>
      <c r="K663" s="155"/>
      <c r="L663" s="155"/>
      <c r="M663" s="155"/>
      <c r="N663" s="155"/>
      <c r="O663" s="155"/>
      <c r="P663" s="155"/>
      <c r="Q663" s="155"/>
      <c r="R663" s="155"/>
      <c r="S663" s="155"/>
      <c r="T663" s="155"/>
      <c r="U663" s="155"/>
      <c r="V663" s="155"/>
      <c r="W663" s="155"/>
      <c r="X663" s="155"/>
      <c r="Y663" s="155"/>
      <c r="Z663" s="155"/>
      <c r="AA663" s="155"/>
    </row>
    <row r="664" ht="22.5" customHeight="1">
      <c r="A664" s="139"/>
      <c r="B664" s="71"/>
      <c r="C664" s="117"/>
      <c r="D664" s="25"/>
      <c r="E664" s="118"/>
      <c r="F664" s="118"/>
      <c r="G664" s="138"/>
      <c r="H664" s="26"/>
      <c r="I664" s="155"/>
      <c r="J664" s="200"/>
      <c r="K664" s="155"/>
      <c r="L664" s="155"/>
      <c r="M664" s="155"/>
      <c r="N664" s="155"/>
      <c r="O664" s="155"/>
      <c r="P664" s="155"/>
      <c r="Q664" s="155"/>
      <c r="R664" s="155"/>
      <c r="S664" s="155"/>
      <c r="T664" s="155"/>
      <c r="U664" s="155"/>
      <c r="V664" s="155"/>
      <c r="W664" s="155"/>
      <c r="X664" s="155"/>
      <c r="Y664" s="155"/>
      <c r="Z664" s="155"/>
      <c r="AA664" s="155"/>
    </row>
    <row r="665" ht="22.5" customHeight="1">
      <c r="A665" s="139"/>
      <c r="B665" s="71"/>
      <c r="C665" s="117"/>
      <c r="D665" s="25"/>
      <c r="E665" s="118"/>
      <c r="F665" s="118"/>
      <c r="G665" s="138"/>
      <c r="H665" s="26"/>
      <c r="I665" s="155"/>
      <c r="J665" s="200"/>
      <c r="K665" s="155"/>
      <c r="L665" s="155"/>
      <c r="M665" s="155"/>
      <c r="N665" s="155"/>
      <c r="O665" s="155"/>
      <c r="P665" s="155"/>
      <c r="Q665" s="155"/>
      <c r="R665" s="155"/>
      <c r="S665" s="155"/>
      <c r="T665" s="155"/>
      <c r="U665" s="155"/>
      <c r="V665" s="155"/>
      <c r="W665" s="155"/>
      <c r="X665" s="155"/>
      <c r="Y665" s="155"/>
      <c r="Z665" s="155"/>
      <c r="AA665" s="155"/>
    </row>
    <row r="666" ht="22.5" customHeight="1">
      <c r="A666" s="139"/>
      <c r="B666" s="71"/>
      <c r="C666" s="117"/>
      <c r="D666" s="25"/>
      <c r="E666" s="118"/>
      <c r="F666" s="118"/>
      <c r="G666" s="138"/>
      <c r="H666" s="26"/>
      <c r="I666" s="155"/>
      <c r="J666" s="200"/>
      <c r="K666" s="155"/>
      <c r="L666" s="155"/>
      <c r="M666" s="155"/>
      <c r="N666" s="155"/>
      <c r="O666" s="155"/>
      <c r="P666" s="155"/>
      <c r="Q666" s="155"/>
      <c r="R666" s="155"/>
      <c r="S666" s="155"/>
      <c r="T666" s="155"/>
      <c r="U666" s="155"/>
      <c r="V666" s="155"/>
      <c r="W666" s="155"/>
      <c r="X666" s="155"/>
      <c r="Y666" s="155"/>
      <c r="Z666" s="155"/>
      <c r="AA666" s="155"/>
    </row>
    <row r="667" ht="22.5" customHeight="1">
      <c r="A667" s="139"/>
      <c r="B667" s="71"/>
      <c r="C667" s="117"/>
      <c r="D667" s="25"/>
      <c r="E667" s="118"/>
      <c r="F667" s="118"/>
      <c r="G667" s="138"/>
      <c r="H667" s="26"/>
      <c r="I667" s="155"/>
      <c r="J667" s="200"/>
      <c r="K667" s="155"/>
      <c r="L667" s="155"/>
      <c r="M667" s="155"/>
      <c r="N667" s="155"/>
      <c r="O667" s="155"/>
      <c r="P667" s="155"/>
      <c r="Q667" s="155"/>
      <c r="R667" s="155"/>
      <c r="S667" s="155"/>
      <c r="T667" s="155"/>
      <c r="U667" s="155"/>
      <c r="V667" s="155"/>
      <c r="W667" s="155"/>
      <c r="X667" s="155"/>
      <c r="Y667" s="155"/>
      <c r="Z667" s="155"/>
      <c r="AA667" s="155"/>
    </row>
    <row r="668" ht="22.5" customHeight="1">
      <c r="A668" s="139"/>
      <c r="B668" s="71"/>
      <c r="C668" s="117"/>
      <c r="D668" s="25"/>
      <c r="E668" s="118"/>
      <c r="F668" s="118"/>
      <c r="G668" s="138"/>
      <c r="H668" s="26"/>
      <c r="I668" s="155"/>
      <c r="J668" s="200"/>
      <c r="K668" s="155"/>
      <c r="L668" s="155"/>
      <c r="M668" s="155"/>
      <c r="N668" s="155"/>
      <c r="O668" s="155"/>
      <c r="P668" s="155"/>
      <c r="Q668" s="155"/>
      <c r="R668" s="155"/>
      <c r="S668" s="155"/>
      <c r="T668" s="155"/>
      <c r="U668" s="155"/>
      <c r="V668" s="155"/>
      <c r="W668" s="155"/>
      <c r="X668" s="155"/>
      <c r="Y668" s="155"/>
      <c r="Z668" s="155"/>
      <c r="AA668" s="155"/>
    </row>
    <row r="669" ht="22.5" customHeight="1">
      <c r="A669" s="139"/>
      <c r="B669" s="71"/>
      <c r="C669" s="117"/>
      <c r="D669" s="25"/>
      <c r="E669" s="118"/>
      <c r="F669" s="118"/>
      <c r="G669" s="138"/>
      <c r="H669" s="26"/>
      <c r="I669" s="155"/>
      <c r="J669" s="200"/>
      <c r="K669" s="155"/>
      <c r="L669" s="155"/>
      <c r="M669" s="155"/>
      <c r="N669" s="155"/>
      <c r="O669" s="155"/>
      <c r="P669" s="155"/>
      <c r="Q669" s="155"/>
      <c r="R669" s="155"/>
      <c r="S669" s="155"/>
      <c r="T669" s="155"/>
      <c r="U669" s="155"/>
      <c r="V669" s="155"/>
      <c r="W669" s="155"/>
      <c r="X669" s="155"/>
      <c r="Y669" s="155"/>
      <c r="Z669" s="155"/>
      <c r="AA669" s="155"/>
    </row>
    <row r="670" ht="22.5" customHeight="1">
      <c r="A670" s="139"/>
      <c r="B670" s="71"/>
      <c r="C670" s="117"/>
      <c r="D670" s="25"/>
      <c r="E670" s="118"/>
      <c r="F670" s="118"/>
      <c r="G670" s="138"/>
      <c r="H670" s="26"/>
      <c r="I670" s="155"/>
      <c r="J670" s="200"/>
      <c r="K670" s="155"/>
      <c r="L670" s="155"/>
      <c r="M670" s="155"/>
      <c r="N670" s="155"/>
      <c r="O670" s="155"/>
      <c r="P670" s="155"/>
      <c r="Q670" s="155"/>
      <c r="R670" s="155"/>
      <c r="S670" s="155"/>
      <c r="T670" s="155"/>
      <c r="U670" s="155"/>
      <c r="V670" s="155"/>
      <c r="W670" s="155"/>
      <c r="X670" s="155"/>
      <c r="Y670" s="155"/>
      <c r="Z670" s="155"/>
      <c r="AA670" s="155"/>
    </row>
    <row r="671" ht="22.5" customHeight="1">
      <c r="A671" s="139"/>
      <c r="B671" s="71"/>
      <c r="C671" s="117"/>
      <c r="D671" s="25"/>
      <c r="E671" s="118"/>
      <c r="F671" s="118"/>
      <c r="G671" s="138"/>
      <c r="H671" s="26"/>
      <c r="I671" s="155"/>
      <c r="J671" s="200"/>
      <c r="K671" s="155"/>
      <c r="L671" s="155"/>
      <c r="M671" s="155"/>
      <c r="N671" s="155"/>
      <c r="O671" s="155"/>
      <c r="P671" s="155"/>
      <c r="Q671" s="155"/>
      <c r="R671" s="155"/>
      <c r="S671" s="155"/>
      <c r="T671" s="155"/>
      <c r="U671" s="155"/>
      <c r="V671" s="155"/>
      <c r="W671" s="155"/>
      <c r="X671" s="155"/>
      <c r="Y671" s="155"/>
      <c r="Z671" s="155"/>
      <c r="AA671" s="155"/>
    </row>
    <row r="672" ht="22.5" customHeight="1">
      <c r="A672" s="139"/>
      <c r="B672" s="71"/>
      <c r="C672" s="117"/>
      <c r="D672" s="25"/>
      <c r="E672" s="118"/>
      <c r="F672" s="118"/>
      <c r="G672" s="138"/>
      <c r="H672" s="26"/>
      <c r="I672" s="155"/>
      <c r="J672" s="200"/>
      <c r="K672" s="155"/>
      <c r="L672" s="155"/>
      <c r="M672" s="155"/>
      <c r="N672" s="155"/>
      <c r="O672" s="155"/>
      <c r="P672" s="155"/>
      <c r="Q672" s="155"/>
      <c r="R672" s="155"/>
      <c r="S672" s="155"/>
      <c r="T672" s="155"/>
      <c r="U672" s="155"/>
      <c r="V672" s="155"/>
      <c r="W672" s="155"/>
      <c r="X672" s="155"/>
      <c r="Y672" s="155"/>
      <c r="Z672" s="155"/>
      <c r="AA672" s="155"/>
    </row>
    <row r="673" ht="22.5" customHeight="1">
      <c r="A673" s="139"/>
      <c r="B673" s="71"/>
      <c r="C673" s="117"/>
      <c r="D673" s="25"/>
      <c r="E673" s="118"/>
      <c r="F673" s="118"/>
      <c r="G673" s="138"/>
      <c r="H673" s="26"/>
      <c r="I673" s="155"/>
      <c r="J673" s="200"/>
      <c r="K673" s="155"/>
      <c r="L673" s="155"/>
      <c r="M673" s="155"/>
      <c r="N673" s="155"/>
      <c r="O673" s="155"/>
      <c r="P673" s="155"/>
      <c r="Q673" s="155"/>
      <c r="R673" s="155"/>
      <c r="S673" s="155"/>
      <c r="T673" s="155"/>
      <c r="U673" s="155"/>
      <c r="V673" s="155"/>
      <c r="W673" s="155"/>
      <c r="X673" s="155"/>
      <c r="Y673" s="155"/>
      <c r="Z673" s="155"/>
      <c r="AA673" s="155"/>
    </row>
    <row r="674" ht="22.5" customHeight="1">
      <c r="A674" s="139"/>
      <c r="B674" s="71"/>
      <c r="C674" s="117"/>
      <c r="D674" s="25"/>
      <c r="E674" s="118"/>
      <c r="F674" s="118"/>
      <c r="G674" s="138"/>
      <c r="H674" s="26"/>
      <c r="I674" s="155"/>
      <c r="J674" s="200"/>
      <c r="K674" s="155"/>
      <c r="L674" s="155"/>
      <c r="M674" s="155"/>
      <c r="N674" s="155"/>
      <c r="O674" s="155"/>
      <c r="P674" s="155"/>
      <c r="Q674" s="155"/>
      <c r="R674" s="155"/>
      <c r="S674" s="155"/>
      <c r="T674" s="155"/>
      <c r="U674" s="155"/>
      <c r="V674" s="155"/>
      <c r="W674" s="155"/>
      <c r="X674" s="155"/>
      <c r="Y674" s="155"/>
      <c r="Z674" s="155"/>
      <c r="AA674" s="155"/>
    </row>
    <row r="675" ht="22.5" customHeight="1">
      <c r="A675" s="139"/>
      <c r="B675" s="71"/>
      <c r="C675" s="117"/>
      <c r="D675" s="25"/>
      <c r="E675" s="118"/>
      <c r="F675" s="118"/>
      <c r="G675" s="138"/>
      <c r="H675" s="26"/>
      <c r="I675" s="155"/>
      <c r="J675" s="200"/>
      <c r="K675" s="155"/>
      <c r="L675" s="155"/>
      <c r="M675" s="155"/>
      <c r="N675" s="155"/>
      <c r="O675" s="155"/>
      <c r="P675" s="155"/>
      <c r="Q675" s="155"/>
      <c r="R675" s="155"/>
      <c r="S675" s="155"/>
      <c r="T675" s="155"/>
      <c r="U675" s="155"/>
      <c r="V675" s="155"/>
      <c r="W675" s="155"/>
      <c r="X675" s="155"/>
      <c r="Y675" s="155"/>
      <c r="Z675" s="155"/>
      <c r="AA675" s="155"/>
    </row>
    <row r="676" ht="22.5" customHeight="1">
      <c r="A676" s="139"/>
      <c r="B676" s="71"/>
      <c r="C676" s="117"/>
      <c r="D676" s="25"/>
      <c r="E676" s="118"/>
      <c r="F676" s="118"/>
      <c r="G676" s="138"/>
      <c r="H676" s="26"/>
      <c r="I676" s="155"/>
      <c r="J676" s="200"/>
      <c r="K676" s="155"/>
      <c r="L676" s="155"/>
      <c r="M676" s="155"/>
      <c r="N676" s="155"/>
      <c r="O676" s="155"/>
      <c r="P676" s="155"/>
      <c r="Q676" s="155"/>
      <c r="R676" s="155"/>
      <c r="S676" s="155"/>
      <c r="T676" s="155"/>
      <c r="U676" s="155"/>
      <c r="V676" s="155"/>
      <c r="W676" s="155"/>
      <c r="X676" s="155"/>
      <c r="Y676" s="155"/>
      <c r="Z676" s="155"/>
      <c r="AA676" s="155"/>
    </row>
    <row r="677" ht="22.5" customHeight="1">
      <c r="A677" s="139"/>
      <c r="B677" s="71"/>
      <c r="C677" s="117"/>
      <c r="D677" s="25"/>
      <c r="E677" s="118"/>
      <c r="F677" s="118"/>
      <c r="G677" s="138"/>
      <c r="H677" s="26"/>
      <c r="I677" s="155"/>
      <c r="J677" s="200"/>
      <c r="K677" s="155"/>
      <c r="L677" s="155"/>
      <c r="M677" s="155"/>
      <c r="N677" s="155"/>
      <c r="O677" s="155"/>
      <c r="P677" s="155"/>
      <c r="Q677" s="155"/>
      <c r="R677" s="155"/>
      <c r="S677" s="155"/>
      <c r="T677" s="155"/>
      <c r="U677" s="155"/>
      <c r="V677" s="155"/>
      <c r="W677" s="155"/>
      <c r="X677" s="155"/>
      <c r="Y677" s="155"/>
      <c r="Z677" s="155"/>
      <c r="AA677" s="155"/>
    </row>
    <row r="678" ht="22.5" customHeight="1">
      <c r="A678" s="139"/>
      <c r="B678" s="71"/>
      <c r="C678" s="117"/>
      <c r="D678" s="25"/>
      <c r="E678" s="118"/>
      <c r="F678" s="118"/>
      <c r="G678" s="138"/>
      <c r="H678" s="26"/>
      <c r="I678" s="155"/>
      <c r="J678" s="200"/>
      <c r="K678" s="155"/>
      <c r="L678" s="155"/>
      <c r="M678" s="155"/>
      <c r="N678" s="155"/>
      <c r="O678" s="155"/>
      <c r="P678" s="155"/>
      <c r="Q678" s="155"/>
      <c r="R678" s="155"/>
      <c r="S678" s="155"/>
      <c r="T678" s="155"/>
      <c r="U678" s="155"/>
      <c r="V678" s="155"/>
      <c r="W678" s="155"/>
      <c r="X678" s="155"/>
      <c r="Y678" s="155"/>
      <c r="Z678" s="155"/>
      <c r="AA678" s="155"/>
    </row>
    <row r="679" ht="22.5" customHeight="1">
      <c r="A679" s="139"/>
      <c r="B679" s="71"/>
      <c r="C679" s="117"/>
      <c r="D679" s="25"/>
      <c r="E679" s="118"/>
      <c r="F679" s="118"/>
      <c r="G679" s="138"/>
      <c r="H679" s="26"/>
      <c r="I679" s="155"/>
      <c r="J679" s="200"/>
      <c r="K679" s="155"/>
      <c r="L679" s="155"/>
      <c r="M679" s="155"/>
      <c r="N679" s="155"/>
      <c r="O679" s="155"/>
      <c r="P679" s="155"/>
      <c r="Q679" s="155"/>
      <c r="R679" s="155"/>
      <c r="S679" s="155"/>
      <c r="T679" s="155"/>
      <c r="U679" s="155"/>
      <c r="V679" s="155"/>
      <c r="W679" s="155"/>
      <c r="X679" s="155"/>
      <c r="Y679" s="155"/>
      <c r="Z679" s="155"/>
      <c r="AA679" s="155"/>
    </row>
    <row r="680" ht="22.5" customHeight="1">
      <c r="A680" s="139"/>
      <c r="B680" s="71"/>
      <c r="C680" s="117"/>
      <c r="D680" s="25"/>
      <c r="E680" s="118"/>
      <c r="F680" s="118"/>
      <c r="G680" s="138"/>
      <c r="H680" s="26"/>
      <c r="I680" s="155"/>
      <c r="J680" s="200"/>
      <c r="K680" s="155"/>
      <c r="L680" s="155"/>
      <c r="M680" s="155"/>
      <c r="N680" s="155"/>
      <c r="O680" s="155"/>
      <c r="P680" s="155"/>
      <c r="Q680" s="155"/>
      <c r="R680" s="155"/>
      <c r="S680" s="155"/>
      <c r="T680" s="155"/>
      <c r="U680" s="155"/>
      <c r="V680" s="155"/>
      <c r="W680" s="155"/>
      <c r="X680" s="155"/>
      <c r="Y680" s="155"/>
      <c r="Z680" s="155"/>
      <c r="AA680" s="155"/>
    </row>
    <row r="681" ht="22.5" customHeight="1">
      <c r="A681" s="139"/>
      <c r="B681" s="71"/>
      <c r="C681" s="117"/>
      <c r="D681" s="25"/>
      <c r="E681" s="118"/>
      <c r="F681" s="118"/>
      <c r="G681" s="138"/>
      <c r="H681" s="26"/>
      <c r="I681" s="155"/>
      <c r="J681" s="200"/>
      <c r="K681" s="155"/>
      <c r="L681" s="155"/>
      <c r="M681" s="155"/>
      <c r="N681" s="155"/>
      <c r="O681" s="155"/>
      <c r="P681" s="155"/>
      <c r="Q681" s="155"/>
      <c r="R681" s="155"/>
      <c r="S681" s="155"/>
      <c r="T681" s="155"/>
      <c r="U681" s="155"/>
      <c r="V681" s="155"/>
      <c r="W681" s="155"/>
      <c r="X681" s="155"/>
      <c r="Y681" s="155"/>
      <c r="Z681" s="155"/>
      <c r="AA681" s="155"/>
    </row>
    <row r="682" ht="22.5" customHeight="1">
      <c r="A682" s="139"/>
      <c r="B682" s="71"/>
      <c r="C682" s="117"/>
      <c r="D682" s="25"/>
      <c r="E682" s="118"/>
      <c r="F682" s="118"/>
      <c r="G682" s="138"/>
      <c r="H682" s="26"/>
      <c r="I682" s="155"/>
      <c r="J682" s="200"/>
      <c r="K682" s="155"/>
      <c r="L682" s="155"/>
      <c r="M682" s="155"/>
      <c r="N682" s="155"/>
      <c r="O682" s="155"/>
      <c r="P682" s="155"/>
      <c r="Q682" s="155"/>
      <c r="R682" s="155"/>
      <c r="S682" s="155"/>
      <c r="T682" s="155"/>
      <c r="U682" s="155"/>
      <c r="V682" s="155"/>
      <c r="W682" s="155"/>
      <c r="X682" s="155"/>
      <c r="Y682" s="155"/>
      <c r="Z682" s="155"/>
      <c r="AA682" s="155"/>
    </row>
    <row r="683" ht="22.5" customHeight="1">
      <c r="A683" s="139"/>
      <c r="B683" s="71"/>
      <c r="C683" s="117"/>
      <c r="D683" s="25"/>
      <c r="E683" s="118"/>
      <c r="F683" s="118"/>
      <c r="G683" s="138"/>
      <c r="H683" s="26"/>
      <c r="I683" s="155"/>
      <c r="J683" s="200"/>
      <c r="K683" s="155"/>
      <c r="L683" s="155"/>
      <c r="M683" s="155"/>
      <c r="N683" s="155"/>
      <c r="O683" s="155"/>
      <c r="P683" s="155"/>
      <c r="Q683" s="155"/>
      <c r="R683" s="155"/>
      <c r="S683" s="155"/>
      <c r="T683" s="155"/>
      <c r="U683" s="155"/>
      <c r="V683" s="155"/>
      <c r="W683" s="155"/>
      <c r="X683" s="155"/>
      <c r="Y683" s="155"/>
      <c r="Z683" s="155"/>
      <c r="AA683" s="155"/>
    </row>
    <row r="684" ht="22.5" customHeight="1">
      <c r="A684" s="139"/>
      <c r="B684" s="71"/>
      <c r="C684" s="117"/>
      <c r="D684" s="25"/>
      <c r="E684" s="118"/>
      <c r="F684" s="118"/>
      <c r="G684" s="138"/>
      <c r="H684" s="26"/>
      <c r="I684" s="155"/>
      <c r="J684" s="200"/>
      <c r="K684" s="155"/>
      <c r="L684" s="155"/>
      <c r="M684" s="155"/>
      <c r="N684" s="155"/>
      <c r="O684" s="155"/>
      <c r="P684" s="155"/>
      <c r="Q684" s="155"/>
      <c r="R684" s="155"/>
      <c r="S684" s="155"/>
      <c r="T684" s="155"/>
      <c r="U684" s="155"/>
      <c r="V684" s="155"/>
      <c r="W684" s="155"/>
      <c r="X684" s="155"/>
      <c r="Y684" s="155"/>
      <c r="Z684" s="155"/>
      <c r="AA684" s="155"/>
    </row>
    <row r="685" ht="22.5" customHeight="1">
      <c r="A685" s="139"/>
      <c r="B685" s="71"/>
      <c r="C685" s="117"/>
      <c r="D685" s="25"/>
      <c r="E685" s="118"/>
      <c r="F685" s="118"/>
      <c r="G685" s="138"/>
      <c r="H685" s="26"/>
      <c r="I685" s="155"/>
      <c r="J685" s="200"/>
      <c r="K685" s="155"/>
      <c r="L685" s="155"/>
      <c r="M685" s="155"/>
      <c r="N685" s="155"/>
      <c r="O685" s="155"/>
      <c r="P685" s="155"/>
      <c r="Q685" s="155"/>
      <c r="R685" s="155"/>
      <c r="S685" s="155"/>
      <c r="T685" s="155"/>
      <c r="U685" s="155"/>
      <c r="V685" s="155"/>
      <c r="W685" s="155"/>
      <c r="X685" s="155"/>
      <c r="Y685" s="155"/>
      <c r="Z685" s="155"/>
      <c r="AA685" s="155"/>
    </row>
    <row r="686" ht="22.5" customHeight="1">
      <c r="A686" s="139"/>
      <c r="B686" s="71"/>
      <c r="C686" s="117"/>
      <c r="D686" s="25"/>
      <c r="E686" s="118"/>
      <c r="F686" s="118"/>
      <c r="G686" s="138"/>
      <c r="H686" s="26"/>
      <c r="I686" s="155"/>
      <c r="J686" s="200"/>
      <c r="K686" s="155"/>
      <c r="L686" s="155"/>
      <c r="M686" s="155"/>
      <c r="N686" s="155"/>
      <c r="O686" s="155"/>
      <c r="P686" s="155"/>
      <c r="Q686" s="155"/>
      <c r="R686" s="155"/>
      <c r="S686" s="155"/>
      <c r="T686" s="155"/>
      <c r="U686" s="155"/>
      <c r="V686" s="155"/>
      <c r="W686" s="155"/>
      <c r="X686" s="155"/>
      <c r="Y686" s="155"/>
      <c r="Z686" s="155"/>
      <c r="AA686" s="155"/>
    </row>
    <row r="687" ht="22.5" customHeight="1">
      <c r="A687" s="139"/>
      <c r="B687" s="71"/>
      <c r="C687" s="117"/>
      <c r="D687" s="25"/>
      <c r="E687" s="118"/>
      <c r="F687" s="118"/>
      <c r="G687" s="138"/>
      <c r="H687" s="26"/>
      <c r="I687" s="155"/>
      <c r="J687" s="200"/>
      <c r="K687" s="155"/>
      <c r="L687" s="155"/>
      <c r="M687" s="155"/>
      <c r="N687" s="155"/>
      <c r="O687" s="155"/>
      <c r="P687" s="155"/>
      <c r="Q687" s="155"/>
      <c r="R687" s="155"/>
      <c r="S687" s="155"/>
      <c r="T687" s="155"/>
      <c r="U687" s="155"/>
      <c r="V687" s="155"/>
      <c r="W687" s="155"/>
      <c r="X687" s="155"/>
      <c r="Y687" s="155"/>
      <c r="Z687" s="155"/>
      <c r="AA687" s="155"/>
    </row>
    <row r="688" ht="22.5" customHeight="1">
      <c r="A688" s="139"/>
      <c r="B688" s="71"/>
      <c r="C688" s="117"/>
      <c r="D688" s="25"/>
      <c r="E688" s="118"/>
      <c r="F688" s="118"/>
      <c r="G688" s="138"/>
      <c r="H688" s="26"/>
      <c r="I688" s="155"/>
      <c r="J688" s="200"/>
      <c r="K688" s="155"/>
      <c r="L688" s="155"/>
      <c r="M688" s="155"/>
      <c r="N688" s="155"/>
      <c r="O688" s="155"/>
      <c r="P688" s="155"/>
      <c r="Q688" s="155"/>
      <c r="R688" s="155"/>
      <c r="S688" s="155"/>
      <c r="T688" s="155"/>
      <c r="U688" s="155"/>
      <c r="V688" s="155"/>
      <c r="W688" s="155"/>
      <c r="X688" s="155"/>
      <c r="Y688" s="155"/>
      <c r="Z688" s="155"/>
      <c r="AA688" s="155"/>
    </row>
    <row r="689" ht="22.5" customHeight="1">
      <c r="A689" s="139"/>
      <c r="B689" s="71"/>
      <c r="C689" s="117"/>
      <c r="D689" s="25"/>
      <c r="E689" s="118"/>
      <c r="F689" s="118"/>
      <c r="G689" s="138"/>
      <c r="H689" s="26"/>
      <c r="I689" s="155"/>
      <c r="J689" s="200"/>
      <c r="K689" s="155"/>
      <c r="L689" s="155"/>
      <c r="M689" s="155"/>
      <c r="N689" s="155"/>
      <c r="O689" s="155"/>
      <c r="P689" s="155"/>
      <c r="Q689" s="155"/>
      <c r="R689" s="155"/>
      <c r="S689" s="155"/>
      <c r="T689" s="155"/>
      <c r="U689" s="155"/>
      <c r="V689" s="155"/>
      <c r="W689" s="155"/>
      <c r="X689" s="155"/>
      <c r="Y689" s="155"/>
      <c r="Z689" s="155"/>
      <c r="AA689" s="155"/>
    </row>
    <row r="690" ht="22.5" customHeight="1">
      <c r="A690" s="139"/>
      <c r="B690" s="71"/>
      <c r="C690" s="117"/>
      <c r="D690" s="25"/>
      <c r="E690" s="118"/>
      <c r="F690" s="118"/>
      <c r="G690" s="138"/>
      <c r="H690" s="26"/>
      <c r="I690" s="155"/>
      <c r="J690" s="200"/>
      <c r="K690" s="155"/>
      <c r="L690" s="155"/>
      <c r="M690" s="155"/>
      <c r="N690" s="155"/>
      <c r="O690" s="155"/>
      <c r="P690" s="155"/>
      <c r="Q690" s="155"/>
      <c r="R690" s="155"/>
      <c r="S690" s="155"/>
      <c r="T690" s="155"/>
      <c r="U690" s="155"/>
      <c r="V690" s="155"/>
      <c r="W690" s="155"/>
      <c r="X690" s="155"/>
      <c r="Y690" s="155"/>
      <c r="Z690" s="155"/>
      <c r="AA690" s="155"/>
    </row>
    <row r="691" ht="22.5" customHeight="1">
      <c r="A691" s="139"/>
      <c r="B691" s="71"/>
      <c r="C691" s="117"/>
      <c r="D691" s="25"/>
      <c r="E691" s="118"/>
      <c r="F691" s="118"/>
      <c r="G691" s="138"/>
      <c r="H691" s="26"/>
      <c r="I691" s="155"/>
      <c r="J691" s="200"/>
      <c r="K691" s="155"/>
      <c r="L691" s="155"/>
      <c r="M691" s="155"/>
      <c r="N691" s="155"/>
      <c r="O691" s="155"/>
      <c r="P691" s="155"/>
      <c r="Q691" s="155"/>
      <c r="R691" s="155"/>
      <c r="S691" s="155"/>
      <c r="T691" s="155"/>
      <c r="U691" s="155"/>
      <c r="V691" s="155"/>
      <c r="W691" s="155"/>
      <c r="X691" s="155"/>
      <c r="Y691" s="155"/>
      <c r="Z691" s="155"/>
      <c r="AA691" s="155"/>
    </row>
    <row r="692" ht="22.5" customHeight="1">
      <c r="A692" s="139"/>
      <c r="B692" s="71"/>
      <c r="C692" s="117"/>
      <c r="D692" s="25"/>
      <c r="E692" s="118"/>
      <c r="F692" s="118"/>
      <c r="G692" s="138"/>
      <c r="H692" s="26"/>
      <c r="I692" s="155"/>
      <c r="J692" s="200"/>
      <c r="K692" s="155"/>
      <c r="L692" s="155"/>
      <c r="M692" s="155"/>
      <c r="N692" s="155"/>
      <c r="O692" s="155"/>
      <c r="P692" s="155"/>
      <c r="Q692" s="155"/>
      <c r="R692" s="155"/>
      <c r="S692" s="155"/>
      <c r="T692" s="155"/>
      <c r="U692" s="155"/>
      <c r="V692" s="155"/>
      <c r="W692" s="155"/>
      <c r="X692" s="155"/>
      <c r="Y692" s="155"/>
      <c r="Z692" s="155"/>
      <c r="AA692" s="155"/>
    </row>
    <row r="693" ht="22.5" customHeight="1">
      <c r="A693" s="139"/>
      <c r="B693" s="71"/>
      <c r="C693" s="117"/>
      <c r="D693" s="25"/>
      <c r="E693" s="118"/>
      <c r="F693" s="118"/>
      <c r="G693" s="138"/>
      <c r="H693" s="26"/>
      <c r="I693" s="155"/>
      <c r="J693" s="200"/>
      <c r="K693" s="155"/>
      <c r="L693" s="155"/>
      <c r="M693" s="155"/>
      <c r="N693" s="155"/>
      <c r="O693" s="155"/>
      <c r="P693" s="155"/>
      <c r="Q693" s="155"/>
      <c r="R693" s="155"/>
      <c r="S693" s="155"/>
      <c r="T693" s="155"/>
      <c r="U693" s="155"/>
      <c r="V693" s="155"/>
      <c r="W693" s="155"/>
      <c r="X693" s="155"/>
      <c r="Y693" s="155"/>
      <c r="Z693" s="155"/>
      <c r="AA693" s="155"/>
    </row>
    <row r="694" ht="22.5" customHeight="1">
      <c r="A694" s="139"/>
      <c r="B694" s="71"/>
      <c r="C694" s="117"/>
      <c r="D694" s="25"/>
      <c r="E694" s="118"/>
      <c r="F694" s="118"/>
      <c r="G694" s="138"/>
      <c r="H694" s="26"/>
      <c r="I694" s="155"/>
      <c r="J694" s="200"/>
      <c r="K694" s="155"/>
      <c r="L694" s="155"/>
      <c r="M694" s="155"/>
      <c r="N694" s="155"/>
      <c r="O694" s="155"/>
      <c r="P694" s="155"/>
      <c r="Q694" s="155"/>
      <c r="R694" s="155"/>
      <c r="S694" s="155"/>
      <c r="T694" s="155"/>
      <c r="U694" s="155"/>
      <c r="V694" s="155"/>
      <c r="W694" s="155"/>
      <c r="X694" s="155"/>
      <c r="Y694" s="155"/>
      <c r="Z694" s="155"/>
      <c r="AA694" s="155"/>
    </row>
    <row r="695" ht="22.5" customHeight="1">
      <c r="A695" s="139"/>
      <c r="B695" s="71"/>
      <c r="C695" s="117"/>
      <c r="D695" s="25"/>
      <c r="E695" s="118"/>
      <c r="F695" s="118"/>
      <c r="G695" s="138"/>
      <c r="H695" s="26"/>
      <c r="I695" s="155"/>
      <c r="J695" s="200"/>
      <c r="K695" s="155"/>
      <c r="L695" s="155"/>
      <c r="M695" s="155"/>
      <c r="N695" s="155"/>
      <c r="O695" s="155"/>
      <c r="P695" s="155"/>
      <c r="Q695" s="155"/>
      <c r="R695" s="155"/>
      <c r="S695" s="155"/>
      <c r="T695" s="155"/>
      <c r="U695" s="155"/>
      <c r="V695" s="155"/>
      <c r="W695" s="155"/>
      <c r="X695" s="155"/>
      <c r="Y695" s="155"/>
      <c r="Z695" s="155"/>
      <c r="AA695" s="155"/>
    </row>
    <row r="696" ht="22.5" customHeight="1">
      <c r="A696" s="139"/>
      <c r="B696" s="71"/>
      <c r="C696" s="117"/>
      <c r="D696" s="25"/>
      <c r="E696" s="118"/>
      <c r="F696" s="118"/>
      <c r="G696" s="138"/>
      <c r="H696" s="26"/>
      <c r="I696" s="155"/>
      <c r="J696" s="200"/>
      <c r="K696" s="155"/>
      <c r="L696" s="155"/>
      <c r="M696" s="155"/>
      <c r="N696" s="155"/>
      <c r="O696" s="155"/>
      <c r="P696" s="155"/>
      <c r="Q696" s="155"/>
      <c r="R696" s="155"/>
      <c r="S696" s="155"/>
      <c r="T696" s="155"/>
      <c r="U696" s="155"/>
      <c r="V696" s="155"/>
      <c r="W696" s="155"/>
      <c r="X696" s="155"/>
      <c r="Y696" s="155"/>
      <c r="Z696" s="155"/>
      <c r="AA696" s="155"/>
    </row>
    <row r="697" ht="22.5" customHeight="1">
      <c r="A697" s="139"/>
      <c r="B697" s="71"/>
      <c r="C697" s="117"/>
      <c r="D697" s="25"/>
      <c r="E697" s="118"/>
      <c r="F697" s="118"/>
      <c r="G697" s="138"/>
      <c r="H697" s="26"/>
      <c r="I697" s="155"/>
      <c r="J697" s="200"/>
      <c r="K697" s="155"/>
      <c r="L697" s="155"/>
      <c r="M697" s="155"/>
      <c r="N697" s="155"/>
      <c r="O697" s="155"/>
      <c r="P697" s="155"/>
      <c r="Q697" s="155"/>
      <c r="R697" s="155"/>
      <c r="S697" s="155"/>
      <c r="T697" s="155"/>
      <c r="U697" s="155"/>
      <c r="V697" s="155"/>
      <c r="W697" s="155"/>
      <c r="X697" s="155"/>
      <c r="Y697" s="155"/>
      <c r="Z697" s="155"/>
      <c r="AA697" s="155"/>
    </row>
    <row r="698" ht="22.5" customHeight="1">
      <c r="A698" s="139"/>
      <c r="B698" s="71"/>
      <c r="C698" s="117"/>
      <c r="D698" s="25"/>
      <c r="E698" s="118"/>
      <c r="F698" s="118"/>
      <c r="G698" s="138"/>
      <c r="H698" s="26"/>
      <c r="I698" s="155"/>
      <c r="J698" s="200"/>
      <c r="K698" s="155"/>
      <c r="L698" s="155"/>
      <c r="M698" s="155"/>
      <c r="N698" s="155"/>
      <c r="O698" s="155"/>
      <c r="P698" s="155"/>
      <c r="Q698" s="155"/>
      <c r="R698" s="155"/>
      <c r="S698" s="155"/>
      <c r="T698" s="155"/>
      <c r="U698" s="155"/>
      <c r="V698" s="155"/>
      <c r="W698" s="155"/>
      <c r="X698" s="155"/>
      <c r="Y698" s="155"/>
      <c r="Z698" s="155"/>
      <c r="AA698" s="155"/>
    </row>
    <row r="699" ht="22.5" customHeight="1">
      <c r="A699" s="139"/>
      <c r="B699" s="71"/>
      <c r="C699" s="117"/>
      <c r="D699" s="25"/>
      <c r="E699" s="118"/>
      <c r="F699" s="118"/>
      <c r="G699" s="138"/>
      <c r="H699" s="26"/>
      <c r="I699" s="155"/>
      <c r="J699" s="200"/>
      <c r="K699" s="155"/>
      <c r="L699" s="155"/>
      <c r="M699" s="155"/>
      <c r="N699" s="155"/>
      <c r="O699" s="155"/>
      <c r="P699" s="155"/>
      <c r="Q699" s="155"/>
      <c r="R699" s="155"/>
      <c r="S699" s="155"/>
      <c r="T699" s="155"/>
      <c r="U699" s="155"/>
      <c r="V699" s="155"/>
      <c r="W699" s="155"/>
      <c r="X699" s="155"/>
      <c r="Y699" s="155"/>
      <c r="Z699" s="155"/>
      <c r="AA699" s="155"/>
    </row>
    <row r="700" ht="22.5" customHeight="1">
      <c r="A700" s="139"/>
      <c r="B700" s="71"/>
      <c r="C700" s="117"/>
      <c r="D700" s="25"/>
      <c r="E700" s="118"/>
      <c r="F700" s="118"/>
      <c r="G700" s="138"/>
      <c r="H700" s="26"/>
      <c r="I700" s="155"/>
      <c r="J700" s="200"/>
      <c r="K700" s="155"/>
      <c r="L700" s="155"/>
      <c r="M700" s="155"/>
      <c r="N700" s="155"/>
      <c r="O700" s="155"/>
      <c r="P700" s="155"/>
      <c r="Q700" s="155"/>
      <c r="R700" s="155"/>
      <c r="S700" s="155"/>
      <c r="T700" s="155"/>
      <c r="U700" s="155"/>
      <c r="V700" s="155"/>
      <c r="W700" s="155"/>
      <c r="X700" s="155"/>
      <c r="Y700" s="155"/>
      <c r="Z700" s="155"/>
      <c r="AA700" s="155"/>
    </row>
    <row r="701" ht="22.5" customHeight="1">
      <c r="A701" s="139"/>
      <c r="B701" s="71"/>
      <c r="C701" s="117"/>
      <c r="D701" s="25"/>
      <c r="E701" s="118"/>
      <c r="F701" s="118"/>
      <c r="G701" s="138"/>
      <c r="H701" s="26"/>
      <c r="I701" s="155"/>
      <c r="J701" s="200"/>
      <c r="K701" s="155"/>
      <c r="L701" s="155"/>
      <c r="M701" s="155"/>
      <c r="N701" s="155"/>
      <c r="O701" s="155"/>
      <c r="P701" s="155"/>
      <c r="Q701" s="155"/>
      <c r="R701" s="155"/>
      <c r="S701" s="155"/>
      <c r="T701" s="155"/>
      <c r="U701" s="155"/>
      <c r="V701" s="155"/>
      <c r="W701" s="155"/>
      <c r="X701" s="155"/>
      <c r="Y701" s="155"/>
      <c r="Z701" s="155"/>
      <c r="AA701" s="155"/>
    </row>
    <row r="702" ht="22.5" customHeight="1">
      <c r="A702" s="139"/>
      <c r="B702" s="71"/>
      <c r="C702" s="117"/>
      <c r="D702" s="25"/>
      <c r="E702" s="118"/>
      <c r="F702" s="118"/>
      <c r="G702" s="138"/>
      <c r="H702" s="26"/>
      <c r="I702" s="155"/>
      <c r="J702" s="200"/>
      <c r="K702" s="155"/>
      <c r="L702" s="155"/>
      <c r="M702" s="155"/>
      <c r="N702" s="155"/>
      <c r="O702" s="155"/>
      <c r="P702" s="155"/>
      <c r="Q702" s="155"/>
      <c r="R702" s="155"/>
      <c r="S702" s="155"/>
      <c r="T702" s="155"/>
      <c r="U702" s="155"/>
      <c r="V702" s="155"/>
      <c r="W702" s="155"/>
      <c r="X702" s="155"/>
      <c r="Y702" s="155"/>
      <c r="Z702" s="155"/>
      <c r="AA702" s="155"/>
    </row>
    <row r="703" ht="22.5" customHeight="1">
      <c r="A703" s="139"/>
      <c r="B703" s="71"/>
      <c r="C703" s="117"/>
      <c r="D703" s="25"/>
      <c r="E703" s="118"/>
      <c r="F703" s="118"/>
      <c r="G703" s="138"/>
      <c r="H703" s="26"/>
      <c r="I703" s="155"/>
      <c r="J703" s="200"/>
      <c r="K703" s="155"/>
      <c r="L703" s="155"/>
      <c r="M703" s="155"/>
      <c r="N703" s="155"/>
      <c r="O703" s="155"/>
      <c r="P703" s="155"/>
      <c r="Q703" s="155"/>
      <c r="R703" s="155"/>
      <c r="S703" s="155"/>
      <c r="T703" s="155"/>
      <c r="U703" s="155"/>
      <c r="V703" s="155"/>
      <c r="W703" s="155"/>
      <c r="X703" s="155"/>
      <c r="Y703" s="155"/>
      <c r="Z703" s="155"/>
      <c r="AA703" s="155"/>
    </row>
    <row r="704" ht="22.5" customHeight="1">
      <c r="A704" s="139"/>
      <c r="B704" s="71"/>
      <c r="C704" s="117"/>
      <c r="D704" s="25"/>
      <c r="E704" s="118"/>
      <c r="F704" s="118"/>
      <c r="G704" s="138"/>
      <c r="H704" s="26"/>
      <c r="I704" s="155"/>
      <c r="J704" s="200"/>
      <c r="K704" s="155"/>
      <c r="L704" s="155"/>
      <c r="M704" s="155"/>
      <c r="N704" s="155"/>
      <c r="O704" s="155"/>
      <c r="P704" s="155"/>
      <c r="Q704" s="155"/>
      <c r="R704" s="155"/>
      <c r="S704" s="155"/>
      <c r="T704" s="155"/>
      <c r="U704" s="155"/>
      <c r="V704" s="155"/>
      <c r="W704" s="155"/>
      <c r="X704" s="155"/>
      <c r="Y704" s="155"/>
      <c r="Z704" s="155"/>
      <c r="AA704" s="155"/>
    </row>
    <row r="705" ht="22.5" customHeight="1">
      <c r="A705" s="139"/>
      <c r="B705" s="71"/>
      <c r="C705" s="117"/>
      <c r="D705" s="25"/>
      <c r="E705" s="118"/>
      <c r="F705" s="118"/>
      <c r="G705" s="138"/>
      <c r="H705" s="26"/>
      <c r="I705" s="155"/>
      <c r="J705" s="200"/>
      <c r="K705" s="155"/>
      <c r="L705" s="155"/>
      <c r="M705" s="155"/>
      <c r="N705" s="155"/>
      <c r="O705" s="155"/>
      <c r="P705" s="155"/>
      <c r="Q705" s="155"/>
      <c r="R705" s="155"/>
      <c r="S705" s="155"/>
      <c r="T705" s="155"/>
      <c r="U705" s="155"/>
      <c r="V705" s="155"/>
      <c r="W705" s="155"/>
      <c r="X705" s="155"/>
      <c r="Y705" s="155"/>
      <c r="Z705" s="155"/>
      <c r="AA705" s="155"/>
    </row>
    <row r="706" ht="22.5" customHeight="1">
      <c r="A706" s="139"/>
      <c r="B706" s="71"/>
      <c r="C706" s="117"/>
      <c r="D706" s="25"/>
      <c r="E706" s="118"/>
      <c r="F706" s="118"/>
      <c r="G706" s="138"/>
      <c r="H706" s="26"/>
      <c r="I706" s="155"/>
      <c r="J706" s="200"/>
      <c r="K706" s="155"/>
      <c r="L706" s="155"/>
      <c r="M706" s="155"/>
      <c r="N706" s="155"/>
      <c r="O706" s="155"/>
      <c r="P706" s="155"/>
      <c r="Q706" s="155"/>
      <c r="R706" s="155"/>
      <c r="S706" s="155"/>
      <c r="T706" s="155"/>
      <c r="U706" s="155"/>
      <c r="V706" s="155"/>
      <c r="W706" s="155"/>
      <c r="X706" s="155"/>
      <c r="Y706" s="155"/>
      <c r="Z706" s="155"/>
      <c r="AA706" s="155"/>
    </row>
    <row r="707" ht="22.5" customHeight="1">
      <c r="A707" s="139"/>
      <c r="B707" s="71"/>
      <c r="C707" s="117"/>
      <c r="D707" s="25"/>
      <c r="E707" s="118"/>
      <c r="F707" s="118"/>
      <c r="G707" s="138"/>
      <c r="H707" s="26"/>
      <c r="I707" s="155"/>
      <c r="J707" s="200"/>
      <c r="K707" s="155"/>
      <c r="L707" s="155"/>
      <c r="M707" s="155"/>
      <c r="N707" s="155"/>
      <c r="O707" s="155"/>
      <c r="P707" s="155"/>
      <c r="Q707" s="155"/>
      <c r="R707" s="155"/>
      <c r="S707" s="155"/>
      <c r="T707" s="155"/>
      <c r="U707" s="155"/>
      <c r="V707" s="155"/>
      <c r="W707" s="155"/>
      <c r="X707" s="155"/>
      <c r="Y707" s="155"/>
      <c r="Z707" s="155"/>
      <c r="AA707" s="155"/>
    </row>
    <row r="708" ht="22.5" customHeight="1">
      <c r="A708" s="139"/>
      <c r="B708" s="71"/>
      <c r="C708" s="117"/>
      <c r="D708" s="25"/>
      <c r="E708" s="118"/>
      <c r="F708" s="118"/>
      <c r="G708" s="138"/>
      <c r="H708" s="26"/>
      <c r="I708" s="155"/>
      <c r="J708" s="200"/>
      <c r="K708" s="155"/>
      <c r="L708" s="155"/>
      <c r="M708" s="155"/>
      <c r="N708" s="155"/>
      <c r="O708" s="155"/>
      <c r="P708" s="155"/>
      <c r="Q708" s="155"/>
      <c r="R708" s="155"/>
      <c r="S708" s="155"/>
      <c r="T708" s="155"/>
      <c r="U708" s="155"/>
      <c r="V708" s="155"/>
      <c r="W708" s="155"/>
      <c r="X708" s="155"/>
      <c r="Y708" s="155"/>
      <c r="Z708" s="155"/>
      <c r="AA708" s="155"/>
    </row>
    <row r="709" ht="22.5" customHeight="1">
      <c r="A709" s="139"/>
      <c r="B709" s="71"/>
      <c r="C709" s="117"/>
      <c r="D709" s="25"/>
      <c r="E709" s="118"/>
      <c r="F709" s="118"/>
      <c r="G709" s="138"/>
      <c r="H709" s="26"/>
      <c r="I709" s="155"/>
      <c r="J709" s="200"/>
      <c r="K709" s="155"/>
      <c r="L709" s="155"/>
      <c r="M709" s="155"/>
      <c r="N709" s="155"/>
      <c r="O709" s="155"/>
      <c r="P709" s="155"/>
      <c r="Q709" s="155"/>
      <c r="R709" s="155"/>
      <c r="S709" s="155"/>
      <c r="T709" s="155"/>
      <c r="U709" s="155"/>
      <c r="V709" s="155"/>
      <c r="W709" s="155"/>
      <c r="X709" s="155"/>
      <c r="Y709" s="155"/>
      <c r="Z709" s="155"/>
      <c r="AA709" s="155"/>
    </row>
    <row r="710" ht="22.5" customHeight="1">
      <c r="A710" s="139"/>
      <c r="B710" s="71"/>
      <c r="C710" s="117"/>
      <c r="D710" s="25"/>
      <c r="E710" s="118"/>
      <c r="F710" s="118"/>
      <c r="G710" s="138"/>
      <c r="H710" s="26"/>
      <c r="I710" s="155"/>
      <c r="J710" s="200"/>
      <c r="K710" s="155"/>
      <c r="L710" s="155"/>
      <c r="M710" s="155"/>
      <c r="N710" s="155"/>
      <c r="O710" s="155"/>
      <c r="P710" s="155"/>
      <c r="Q710" s="155"/>
      <c r="R710" s="155"/>
      <c r="S710" s="155"/>
      <c r="T710" s="155"/>
      <c r="U710" s="155"/>
      <c r="V710" s="155"/>
      <c r="W710" s="155"/>
      <c r="X710" s="155"/>
      <c r="Y710" s="155"/>
      <c r="Z710" s="155"/>
      <c r="AA710" s="155"/>
    </row>
    <row r="711" ht="22.5" customHeight="1">
      <c r="A711" s="139"/>
      <c r="B711" s="71"/>
      <c r="C711" s="117"/>
      <c r="D711" s="25"/>
      <c r="E711" s="118"/>
      <c r="F711" s="118"/>
      <c r="G711" s="138"/>
      <c r="H711" s="26"/>
      <c r="I711" s="155"/>
      <c r="J711" s="200"/>
      <c r="K711" s="155"/>
      <c r="L711" s="155"/>
      <c r="M711" s="155"/>
      <c r="N711" s="155"/>
      <c r="O711" s="155"/>
      <c r="P711" s="155"/>
      <c r="Q711" s="155"/>
      <c r="R711" s="155"/>
      <c r="S711" s="155"/>
      <c r="T711" s="155"/>
      <c r="U711" s="155"/>
      <c r="V711" s="155"/>
      <c r="W711" s="155"/>
      <c r="X711" s="155"/>
      <c r="Y711" s="155"/>
      <c r="Z711" s="155"/>
      <c r="AA711" s="155"/>
    </row>
    <row r="712" ht="22.5" customHeight="1">
      <c r="A712" s="139"/>
      <c r="B712" s="71"/>
      <c r="C712" s="117"/>
      <c r="D712" s="25"/>
      <c r="E712" s="118"/>
      <c r="F712" s="118"/>
      <c r="G712" s="138"/>
      <c r="H712" s="26"/>
      <c r="I712" s="155"/>
      <c r="J712" s="200"/>
      <c r="K712" s="155"/>
      <c r="L712" s="155"/>
      <c r="M712" s="155"/>
      <c r="N712" s="155"/>
      <c r="O712" s="155"/>
      <c r="P712" s="155"/>
      <c r="Q712" s="155"/>
      <c r="R712" s="155"/>
      <c r="S712" s="155"/>
      <c r="T712" s="155"/>
      <c r="U712" s="155"/>
      <c r="V712" s="155"/>
      <c r="W712" s="155"/>
      <c r="X712" s="155"/>
      <c r="Y712" s="155"/>
      <c r="Z712" s="155"/>
      <c r="AA712" s="155"/>
    </row>
    <row r="713" ht="22.5" customHeight="1">
      <c r="A713" s="139"/>
      <c r="B713" s="71"/>
      <c r="C713" s="117"/>
      <c r="D713" s="25"/>
      <c r="E713" s="118"/>
      <c r="F713" s="118"/>
      <c r="G713" s="138"/>
      <c r="H713" s="26"/>
      <c r="I713" s="155"/>
      <c r="J713" s="200"/>
      <c r="K713" s="155"/>
      <c r="L713" s="155"/>
      <c r="M713" s="155"/>
      <c r="N713" s="155"/>
      <c r="O713" s="155"/>
      <c r="P713" s="155"/>
      <c r="Q713" s="155"/>
      <c r="R713" s="155"/>
      <c r="S713" s="155"/>
      <c r="T713" s="155"/>
      <c r="U713" s="155"/>
      <c r="V713" s="155"/>
      <c r="W713" s="155"/>
      <c r="X713" s="155"/>
      <c r="Y713" s="155"/>
      <c r="Z713" s="155"/>
      <c r="AA713" s="155"/>
    </row>
    <row r="714" ht="22.5" customHeight="1">
      <c r="A714" s="139"/>
      <c r="B714" s="71"/>
      <c r="C714" s="117"/>
      <c r="D714" s="25"/>
      <c r="E714" s="118"/>
      <c r="F714" s="118"/>
      <c r="G714" s="138"/>
      <c r="H714" s="26"/>
      <c r="I714" s="155"/>
      <c r="J714" s="200"/>
      <c r="K714" s="155"/>
      <c r="L714" s="155"/>
      <c r="M714" s="155"/>
      <c r="N714" s="155"/>
      <c r="O714" s="155"/>
      <c r="P714" s="155"/>
      <c r="Q714" s="155"/>
      <c r="R714" s="155"/>
      <c r="S714" s="155"/>
      <c r="T714" s="155"/>
      <c r="U714" s="155"/>
      <c r="V714" s="155"/>
      <c r="W714" s="155"/>
      <c r="X714" s="155"/>
      <c r="Y714" s="155"/>
      <c r="Z714" s="155"/>
      <c r="AA714" s="155"/>
    </row>
    <row r="715" ht="22.5" customHeight="1">
      <c r="A715" s="139"/>
      <c r="B715" s="71"/>
      <c r="C715" s="117"/>
      <c r="D715" s="25"/>
      <c r="E715" s="118"/>
      <c r="F715" s="118"/>
      <c r="G715" s="138"/>
      <c r="H715" s="26"/>
      <c r="I715" s="155"/>
      <c r="J715" s="200"/>
      <c r="K715" s="155"/>
      <c r="L715" s="155"/>
      <c r="M715" s="155"/>
      <c r="N715" s="155"/>
      <c r="O715" s="155"/>
      <c r="P715" s="155"/>
      <c r="Q715" s="155"/>
      <c r="R715" s="155"/>
      <c r="S715" s="155"/>
      <c r="T715" s="155"/>
      <c r="U715" s="155"/>
      <c r="V715" s="155"/>
      <c r="W715" s="155"/>
      <c r="X715" s="155"/>
      <c r="Y715" s="155"/>
      <c r="Z715" s="155"/>
      <c r="AA715" s="155"/>
    </row>
    <row r="716" ht="22.5" customHeight="1">
      <c r="A716" s="139"/>
      <c r="B716" s="71"/>
      <c r="C716" s="117"/>
      <c r="D716" s="25"/>
      <c r="E716" s="118"/>
      <c r="F716" s="118"/>
      <c r="G716" s="138"/>
      <c r="H716" s="26"/>
      <c r="I716" s="155"/>
      <c r="J716" s="200"/>
      <c r="K716" s="155"/>
      <c r="L716" s="155"/>
      <c r="M716" s="155"/>
      <c r="N716" s="155"/>
      <c r="O716" s="155"/>
      <c r="P716" s="155"/>
      <c r="Q716" s="155"/>
      <c r="R716" s="155"/>
      <c r="S716" s="155"/>
      <c r="T716" s="155"/>
      <c r="U716" s="155"/>
      <c r="V716" s="155"/>
      <c r="W716" s="155"/>
      <c r="X716" s="155"/>
      <c r="Y716" s="155"/>
      <c r="Z716" s="155"/>
      <c r="AA716" s="155"/>
    </row>
    <row r="717" ht="22.5" customHeight="1">
      <c r="A717" s="139"/>
      <c r="B717" s="71"/>
      <c r="C717" s="117"/>
      <c r="D717" s="25"/>
      <c r="E717" s="118"/>
      <c r="F717" s="118"/>
      <c r="G717" s="138"/>
      <c r="H717" s="26"/>
      <c r="I717" s="155"/>
      <c r="J717" s="200"/>
      <c r="K717" s="155"/>
      <c r="L717" s="155"/>
      <c r="M717" s="155"/>
      <c r="N717" s="155"/>
      <c r="O717" s="155"/>
      <c r="P717" s="155"/>
      <c r="Q717" s="155"/>
      <c r="R717" s="155"/>
      <c r="S717" s="155"/>
      <c r="T717" s="155"/>
      <c r="U717" s="155"/>
      <c r="V717" s="155"/>
      <c r="W717" s="155"/>
      <c r="X717" s="155"/>
      <c r="Y717" s="155"/>
      <c r="Z717" s="155"/>
      <c r="AA717" s="155"/>
    </row>
    <row r="718" ht="22.5" customHeight="1">
      <c r="A718" s="139"/>
      <c r="B718" s="71"/>
      <c r="C718" s="117"/>
      <c r="D718" s="25"/>
      <c r="E718" s="118"/>
      <c r="F718" s="118"/>
      <c r="G718" s="138"/>
      <c r="H718" s="26"/>
      <c r="I718" s="155"/>
      <c r="J718" s="200"/>
      <c r="K718" s="155"/>
      <c r="L718" s="155"/>
      <c r="M718" s="155"/>
      <c r="N718" s="155"/>
      <c r="O718" s="155"/>
      <c r="P718" s="155"/>
      <c r="Q718" s="155"/>
      <c r="R718" s="155"/>
      <c r="S718" s="155"/>
      <c r="T718" s="155"/>
      <c r="U718" s="155"/>
      <c r="V718" s="155"/>
      <c r="W718" s="155"/>
      <c r="X718" s="155"/>
      <c r="Y718" s="155"/>
      <c r="Z718" s="155"/>
      <c r="AA718" s="155"/>
    </row>
    <row r="719" ht="22.5" customHeight="1">
      <c r="A719" s="139"/>
      <c r="B719" s="71"/>
      <c r="C719" s="117"/>
      <c r="D719" s="25"/>
      <c r="E719" s="118"/>
      <c r="F719" s="118"/>
      <c r="G719" s="138"/>
      <c r="H719" s="26"/>
      <c r="I719" s="155"/>
      <c r="J719" s="200"/>
      <c r="K719" s="155"/>
      <c r="L719" s="155"/>
      <c r="M719" s="155"/>
      <c r="N719" s="155"/>
      <c r="O719" s="155"/>
      <c r="P719" s="155"/>
      <c r="Q719" s="155"/>
      <c r="R719" s="155"/>
      <c r="S719" s="155"/>
      <c r="T719" s="155"/>
      <c r="U719" s="155"/>
      <c r="V719" s="155"/>
      <c r="W719" s="155"/>
      <c r="X719" s="155"/>
      <c r="Y719" s="155"/>
      <c r="Z719" s="155"/>
      <c r="AA719" s="155"/>
    </row>
    <row r="720" ht="22.5" customHeight="1">
      <c r="A720" s="139"/>
      <c r="B720" s="71"/>
      <c r="C720" s="117"/>
      <c r="D720" s="25"/>
      <c r="E720" s="118"/>
      <c r="F720" s="118"/>
      <c r="G720" s="138"/>
      <c r="H720" s="26"/>
      <c r="I720" s="155"/>
      <c r="J720" s="200"/>
      <c r="K720" s="155"/>
      <c r="L720" s="155"/>
      <c r="M720" s="155"/>
      <c r="N720" s="155"/>
      <c r="O720" s="155"/>
      <c r="P720" s="155"/>
      <c r="Q720" s="155"/>
      <c r="R720" s="155"/>
      <c r="S720" s="155"/>
      <c r="T720" s="155"/>
      <c r="U720" s="155"/>
      <c r="V720" s="155"/>
      <c r="W720" s="155"/>
      <c r="X720" s="155"/>
      <c r="Y720" s="155"/>
      <c r="Z720" s="155"/>
      <c r="AA720" s="155"/>
    </row>
    <row r="721" ht="22.5" customHeight="1">
      <c r="A721" s="139"/>
      <c r="B721" s="71"/>
      <c r="C721" s="117"/>
      <c r="D721" s="25"/>
      <c r="E721" s="118"/>
      <c r="F721" s="118"/>
      <c r="G721" s="138"/>
      <c r="H721" s="26"/>
      <c r="I721" s="155"/>
      <c r="J721" s="200"/>
      <c r="K721" s="155"/>
      <c r="L721" s="155"/>
      <c r="M721" s="155"/>
      <c r="N721" s="155"/>
      <c r="O721" s="155"/>
      <c r="P721" s="155"/>
      <c r="Q721" s="155"/>
      <c r="R721" s="155"/>
      <c r="S721" s="155"/>
      <c r="T721" s="155"/>
      <c r="U721" s="155"/>
      <c r="V721" s="155"/>
      <c r="W721" s="155"/>
      <c r="X721" s="155"/>
      <c r="Y721" s="155"/>
      <c r="Z721" s="155"/>
      <c r="AA721" s="155"/>
    </row>
    <row r="722" ht="22.5" customHeight="1">
      <c r="A722" s="139"/>
      <c r="B722" s="71"/>
      <c r="C722" s="117"/>
      <c r="D722" s="25"/>
      <c r="E722" s="118"/>
      <c r="F722" s="118"/>
      <c r="G722" s="138"/>
      <c r="H722" s="26"/>
      <c r="I722" s="155"/>
      <c r="J722" s="200"/>
      <c r="K722" s="155"/>
      <c r="L722" s="155"/>
      <c r="M722" s="155"/>
      <c r="N722" s="155"/>
      <c r="O722" s="155"/>
      <c r="P722" s="155"/>
      <c r="Q722" s="155"/>
      <c r="R722" s="155"/>
      <c r="S722" s="155"/>
      <c r="T722" s="155"/>
      <c r="U722" s="155"/>
      <c r="V722" s="155"/>
      <c r="W722" s="155"/>
      <c r="X722" s="155"/>
      <c r="Y722" s="155"/>
      <c r="Z722" s="155"/>
      <c r="AA722" s="155"/>
    </row>
    <row r="723" ht="22.5" customHeight="1">
      <c r="A723" s="139"/>
      <c r="B723" s="71"/>
      <c r="C723" s="117"/>
      <c r="D723" s="25"/>
      <c r="E723" s="118"/>
      <c r="F723" s="118"/>
      <c r="G723" s="138"/>
      <c r="H723" s="26"/>
      <c r="I723" s="155"/>
      <c r="J723" s="200"/>
      <c r="K723" s="155"/>
      <c r="L723" s="155"/>
      <c r="M723" s="155"/>
      <c r="N723" s="155"/>
      <c r="O723" s="155"/>
      <c r="P723" s="155"/>
      <c r="Q723" s="155"/>
      <c r="R723" s="155"/>
      <c r="S723" s="155"/>
      <c r="T723" s="155"/>
      <c r="U723" s="155"/>
      <c r="V723" s="155"/>
      <c r="W723" s="155"/>
      <c r="X723" s="155"/>
      <c r="Y723" s="155"/>
      <c r="Z723" s="155"/>
      <c r="AA723" s="155"/>
    </row>
    <row r="724" ht="22.5" customHeight="1">
      <c r="A724" s="139"/>
      <c r="B724" s="71"/>
      <c r="C724" s="117"/>
      <c r="D724" s="25"/>
      <c r="E724" s="118"/>
      <c r="F724" s="118"/>
      <c r="G724" s="138"/>
      <c r="H724" s="26"/>
      <c r="I724" s="155"/>
      <c r="J724" s="200"/>
      <c r="K724" s="155"/>
      <c r="L724" s="155"/>
      <c r="M724" s="155"/>
      <c r="N724" s="155"/>
      <c r="O724" s="155"/>
      <c r="P724" s="155"/>
      <c r="Q724" s="155"/>
      <c r="R724" s="155"/>
      <c r="S724" s="155"/>
      <c r="T724" s="155"/>
      <c r="U724" s="155"/>
      <c r="V724" s="155"/>
      <c r="W724" s="155"/>
      <c r="X724" s="155"/>
      <c r="Y724" s="155"/>
      <c r="Z724" s="155"/>
      <c r="AA724" s="155"/>
    </row>
    <row r="725" ht="22.5" customHeight="1">
      <c r="A725" s="139"/>
      <c r="B725" s="71"/>
      <c r="C725" s="117"/>
      <c r="D725" s="25"/>
      <c r="E725" s="118"/>
      <c r="F725" s="118"/>
      <c r="G725" s="138"/>
      <c r="H725" s="26"/>
      <c r="I725" s="155"/>
      <c r="J725" s="200"/>
      <c r="K725" s="155"/>
      <c r="L725" s="155"/>
      <c r="M725" s="155"/>
      <c r="N725" s="155"/>
      <c r="O725" s="155"/>
      <c r="P725" s="155"/>
      <c r="Q725" s="155"/>
      <c r="R725" s="155"/>
      <c r="S725" s="155"/>
      <c r="T725" s="155"/>
      <c r="U725" s="155"/>
      <c r="V725" s="155"/>
      <c r="W725" s="155"/>
      <c r="X725" s="155"/>
      <c r="Y725" s="155"/>
      <c r="Z725" s="155"/>
      <c r="AA725" s="155"/>
    </row>
    <row r="726" ht="22.5" customHeight="1">
      <c r="A726" s="139"/>
      <c r="B726" s="71"/>
      <c r="C726" s="117"/>
      <c r="D726" s="25"/>
      <c r="E726" s="118"/>
      <c r="F726" s="118"/>
      <c r="G726" s="138"/>
      <c r="H726" s="26"/>
      <c r="I726" s="155"/>
      <c r="J726" s="200"/>
      <c r="K726" s="155"/>
      <c r="L726" s="155"/>
      <c r="M726" s="155"/>
      <c r="N726" s="155"/>
      <c r="O726" s="155"/>
      <c r="P726" s="155"/>
      <c r="Q726" s="155"/>
      <c r="R726" s="155"/>
      <c r="S726" s="155"/>
      <c r="T726" s="155"/>
      <c r="U726" s="155"/>
      <c r="V726" s="155"/>
      <c r="W726" s="155"/>
      <c r="X726" s="155"/>
      <c r="Y726" s="155"/>
      <c r="Z726" s="155"/>
      <c r="AA726" s="155"/>
    </row>
    <row r="727" ht="22.5" customHeight="1">
      <c r="A727" s="139"/>
      <c r="B727" s="71"/>
      <c r="C727" s="117"/>
      <c r="D727" s="25"/>
      <c r="E727" s="118"/>
      <c r="F727" s="118"/>
      <c r="G727" s="138"/>
      <c r="H727" s="26"/>
      <c r="I727" s="155"/>
      <c r="J727" s="200"/>
      <c r="K727" s="155"/>
      <c r="L727" s="155"/>
      <c r="M727" s="155"/>
      <c r="N727" s="155"/>
      <c r="O727" s="155"/>
      <c r="P727" s="155"/>
      <c r="Q727" s="155"/>
      <c r="R727" s="155"/>
      <c r="S727" s="155"/>
      <c r="T727" s="155"/>
      <c r="U727" s="155"/>
      <c r="V727" s="155"/>
      <c r="W727" s="155"/>
      <c r="X727" s="155"/>
      <c r="Y727" s="155"/>
      <c r="Z727" s="155"/>
      <c r="AA727" s="155"/>
    </row>
    <row r="728" ht="22.5" customHeight="1">
      <c r="A728" s="139"/>
      <c r="B728" s="71"/>
      <c r="C728" s="117"/>
      <c r="D728" s="25"/>
      <c r="E728" s="118"/>
      <c r="F728" s="118"/>
      <c r="G728" s="138"/>
      <c r="H728" s="26"/>
      <c r="I728" s="155"/>
      <c r="J728" s="200"/>
      <c r="K728" s="155"/>
      <c r="L728" s="155"/>
      <c r="M728" s="155"/>
      <c r="N728" s="155"/>
      <c r="O728" s="155"/>
      <c r="P728" s="155"/>
      <c r="Q728" s="155"/>
      <c r="R728" s="155"/>
      <c r="S728" s="155"/>
      <c r="T728" s="155"/>
      <c r="U728" s="155"/>
      <c r="V728" s="155"/>
      <c r="W728" s="155"/>
      <c r="X728" s="155"/>
      <c r="Y728" s="155"/>
      <c r="Z728" s="155"/>
      <c r="AA728" s="155"/>
    </row>
    <row r="729" ht="22.5" customHeight="1">
      <c r="A729" s="139"/>
      <c r="B729" s="71"/>
      <c r="C729" s="117"/>
      <c r="D729" s="25"/>
      <c r="E729" s="118"/>
      <c r="F729" s="118"/>
      <c r="G729" s="138"/>
      <c r="H729" s="26"/>
      <c r="I729" s="155"/>
      <c r="J729" s="200"/>
      <c r="K729" s="155"/>
      <c r="L729" s="155"/>
      <c r="M729" s="155"/>
      <c r="N729" s="155"/>
      <c r="O729" s="155"/>
      <c r="P729" s="155"/>
      <c r="Q729" s="155"/>
      <c r="R729" s="155"/>
      <c r="S729" s="155"/>
      <c r="T729" s="155"/>
      <c r="U729" s="155"/>
      <c r="V729" s="155"/>
      <c r="W729" s="155"/>
      <c r="X729" s="155"/>
      <c r="Y729" s="155"/>
      <c r="Z729" s="155"/>
      <c r="AA729" s="155"/>
    </row>
    <row r="730" ht="22.5" customHeight="1">
      <c r="A730" s="139"/>
      <c r="B730" s="71"/>
      <c r="C730" s="117"/>
      <c r="D730" s="25"/>
      <c r="E730" s="118"/>
      <c r="F730" s="118"/>
      <c r="G730" s="138"/>
      <c r="H730" s="26"/>
      <c r="I730" s="155"/>
      <c r="J730" s="200"/>
      <c r="K730" s="155"/>
      <c r="L730" s="155"/>
      <c r="M730" s="155"/>
      <c r="N730" s="155"/>
      <c r="O730" s="155"/>
      <c r="P730" s="155"/>
      <c r="Q730" s="155"/>
      <c r="R730" s="155"/>
      <c r="S730" s="155"/>
      <c r="T730" s="155"/>
      <c r="U730" s="155"/>
      <c r="V730" s="155"/>
      <c r="W730" s="155"/>
      <c r="X730" s="155"/>
      <c r="Y730" s="155"/>
      <c r="Z730" s="155"/>
      <c r="AA730" s="155"/>
    </row>
    <row r="731" ht="22.5" customHeight="1">
      <c r="A731" s="139"/>
      <c r="B731" s="71"/>
      <c r="C731" s="117"/>
      <c r="D731" s="25"/>
      <c r="E731" s="118"/>
      <c r="F731" s="118"/>
      <c r="G731" s="138"/>
      <c r="H731" s="26"/>
      <c r="I731" s="155"/>
      <c r="J731" s="200"/>
      <c r="K731" s="155"/>
      <c r="L731" s="155"/>
      <c r="M731" s="155"/>
      <c r="N731" s="155"/>
      <c r="O731" s="155"/>
      <c r="P731" s="155"/>
      <c r="Q731" s="155"/>
      <c r="R731" s="155"/>
      <c r="S731" s="155"/>
      <c r="T731" s="155"/>
      <c r="U731" s="155"/>
      <c r="V731" s="155"/>
      <c r="W731" s="155"/>
      <c r="X731" s="155"/>
      <c r="Y731" s="155"/>
      <c r="Z731" s="155"/>
      <c r="AA731" s="155"/>
    </row>
    <row r="732" ht="22.5" customHeight="1">
      <c r="A732" s="139"/>
      <c r="B732" s="71"/>
      <c r="C732" s="117"/>
      <c r="D732" s="25"/>
      <c r="E732" s="118"/>
      <c r="F732" s="118"/>
      <c r="G732" s="138"/>
      <c r="H732" s="26"/>
      <c r="I732" s="155"/>
      <c r="J732" s="200"/>
      <c r="K732" s="155"/>
      <c r="L732" s="155"/>
      <c r="M732" s="155"/>
      <c r="N732" s="155"/>
      <c r="O732" s="155"/>
      <c r="P732" s="155"/>
      <c r="Q732" s="155"/>
      <c r="R732" s="155"/>
      <c r="S732" s="155"/>
      <c r="T732" s="155"/>
      <c r="U732" s="155"/>
      <c r="V732" s="155"/>
      <c r="W732" s="155"/>
      <c r="X732" s="155"/>
      <c r="Y732" s="155"/>
      <c r="Z732" s="155"/>
      <c r="AA732" s="155"/>
    </row>
    <row r="733" ht="22.5" customHeight="1">
      <c r="A733" s="139"/>
      <c r="B733" s="71"/>
      <c r="C733" s="117"/>
      <c r="D733" s="25"/>
      <c r="E733" s="118"/>
      <c r="F733" s="118"/>
      <c r="G733" s="138"/>
      <c r="H733" s="26"/>
      <c r="I733" s="155"/>
      <c r="J733" s="200"/>
      <c r="K733" s="155"/>
      <c r="L733" s="155"/>
      <c r="M733" s="155"/>
      <c r="N733" s="155"/>
      <c r="O733" s="155"/>
      <c r="P733" s="155"/>
      <c r="Q733" s="155"/>
      <c r="R733" s="155"/>
      <c r="S733" s="155"/>
      <c r="T733" s="155"/>
      <c r="U733" s="155"/>
      <c r="V733" s="155"/>
      <c r="W733" s="155"/>
      <c r="X733" s="155"/>
      <c r="Y733" s="155"/>
      <c r="Z733" s="155"/>
      <c r="AA733" s="155"/>
    </row>
    <row r="734" ht="22.5" customHeight="1">
      <c r="A734" s="139"/>
      <c r="B734" s="71"/>
      <c r="C734" s="117"/>
      <c r="D734" s="25"/>
      <c r="E734" s="118"/>
      <c r="F734" s="118"/>
      <c r="G734" s="138"/>
      <c r="H734" s="26"/>
      <c r="I734" s="155"/>
      <c r="J734" s="200"/>
      <c r="K734" s="155"/>
      <c r="L734" s="155"/>
      <c r="M734" s="155"/>
      <c r="N734" s="155"/>
      <c r="O734" s="155"/>
      <c r="P734" s="155"/>
      <c r="Q734" s="155"/>
      <c r="R734" s="155"/>
      <c r="S734" s="155"/>
      <c r="T734" s="155"/>
      <c r="U734" s="155"/>
      <c r="V734" s="155"/>
      <c r="W734" s="155"/>
      <c r="X734" s="155"/>
      <c r="Y734" s="155"/>
      <c r="Z734" s="155"/>
      <c r="AA734" s="155"/>
    </row>
    <row r="735" ht="22.5" customHeight="1">
      <c r="A735" s="139"/>
      <c r="B735" s="71"/>
      <c r="C735" s="117"/>
      <c r="D735" s="25"/>
      <c r="E735" s="118"/>
      <c r="F735" s="118"/>
      <c r="G735" s="138"/>
      <c r="H735" s="26"/>
      <c r="I735" s="155"/>
      <c r="J735" s="200"/>
      <c r="K735" s="155"/>
      <c r="L735" s="155"/>
      <c r="M735" s="155"/>
      <c r="N735" s="155"/>
      <c r="O735" s="155"/>
      <c r="P735" s="155"/>
      <c r="Q735" s="155"/>
      <c r="R735" s="155"/>
      <c r="S735" s="155"/>
      <c r="T735" s="155"/>
      <c r="U735" s="155"/>
      <c r="V735" s="155"/>
      <c r="W735" s="155"/>
      <c r="X735" s="155"/>
      <c r="Y735" s="155"/>
      <c r="Z735" s="155"/>
      <c r="AA735" s="155"/>
    </row>
    <row r="736" ht="22.5" customHeight="1">
      <c r="A736" s="139"/>
      <c r="B736" s="71"/>
      <c r="C736" s="117"/>
      <c r="D736" s="25"/>
      <c r="E736" s="118"/>
      <c r="F736" s="118"/>
      <c r="G736" s="138"/>
      <c r="H736" s="26"/>
      <c r="I736" s="155"/>
      <c r="J736" s="200"/>
      <c r="K736" s="155"/>
      <c r="L736" s="155"/>
      <c r="M736" s="155"/>
      <c r="N736" s="155"/>
      <c r="O736" s="155"/>
      <c r="P736" s="155"/>
      <c r="Q736" s="155"/>
      <c r="R736" s="155"/>
      <c r="S736" s="155"/>
      <c r="T736" s="155"/>
      <c r="U736" s="155"/>
      <c r="V736" s="155"/>
      <c r="W736" s="155"/>
      <c r="X736" s="155"/>
      <c r="Y736" s="155"/>
      <c r="Z736" s="155"/>
      <c r="AA736" s="155"/>
    </row>
    <row r="737" ht="22.5" customHeight="1">
      <c r="A737" s="139"/>
      <c r="B737" s="71"/>
      <c r="C737" s="117"/>
      <c r="D737" s="25"/>
      <c r="E737" s="118"/>
      <c r="F737" s="118"/>
      <c r="G737" s="138"/>
      <c r="H737" s="26"/>
      <c r="I737" s="155"/>
      <c r="J737" s="200"/>
      <c r="K737" s="155"/>
      <c r="L737" s="155"/>
      <c r="M737" s="155"/>
      <c r="N737" s="155"/>
      <c r="O737" s="155"/>
      <c r="P737" s="155"/>
      <c r="Q737" s="155"/>
      <c r="R737" s="155"/>
      <c r="S737" s="155"/>
      <c r="T737" s="155"/>
      <c r="U737" s="155"/>
      <c r="V737" s="155"/>
      <c r="W737" s="155"/>
      <c r="X737" s="155"/>
      <c r="Y737" s="155"/>
      <c r="Z737" s="155"/>
      <c r="AA737" s="155"/>
    </row>
    <row r="738" ht="22.5" customHeight="1">
      <c r="A738" s="139"/>
      <c r="B738" s="71"/>
      <c r="C738" s="117"/>
      <c r="D738" s="25"/>
      <c r="E738" s="118"/>
      <c r="F738" s="118"/>
      <c r="G738" s="138"/>
      <c r="H738" s="26"/>
      <c r="I738" s="155"/>
      <c r="J738" s="200"/>
      <c r="K738" s="155"/>
      <c r="L738" s="155"/>
      <c r="M738" s="155"/>
      <c r="N738" s="155"/>
      <c r="O738" s="155"/>
      <c r="P738" s="155"/>
      <c r="Q738" s="155"/>
      <c r="R738" s="155"/>
      <c r="S738" s="155"/>
      <c r="T738" s="155"/>
      <c r="U738" s="155"/>
      <c r="V738" s="155"/>
      <c r="W738" s="155"/>
      <c r="X738" s="155"/>
      <c r="Y738" s="155"/>
      <c r="Z738" s="155"/>
      <c r="AA738" s="155"/>
    </row>
    <row r="739" ht="22.5" customHeight="1">
      <c r="A739" s="139"/>
      <c r="B739" s="71"/>
      <c r="C739" s="117"/>
      <c r="D739" s="25"/>
      <c r="E739" s="118"/>
      <c r="F739" s="118"/>
      <c r="G739" s="138"/>
      <c r="H739" s="26"/>
      <c r="I739" s="155"/>
      <c r="J739" s="200"/>
      <c r="K739" s="155"/>
      <c r="L739" s="155"/>
      <c r="M739" s="155"/>
      <c r="N739" s="155"/>
      <c r="O739" s="155"/>
      <c r="P739" s="155"/>
      <c r="Q739" s="155"/>
      <c r="R739" s="155"/>
      <c r="S739" s="155"/>
      <c r="T739" s="155"/>
      <c r="U739" s="155"/>
      <c r="V739" s="155"/>
      <c r="W739" s="155"/>
      <c r="X739" s="155"/>
      <c r="Y739" s="155"/>
      <c r="Z739" s="155"/>
      <c r="AA739" s="155"/>
    </row>
    <row r="740" ht="22.5" customHeight="1">
      <c r="A740" s="139"/>
      <c r="B740" s="71"/>
      <c r="C740" s="117"/>
      <c r="D740" s="25"/>
      <c r="E740" s="118"/>
      <c r="F740" s="118"/>
      <c r="G740" s="138"/>
      <c r="H740" s="26"/>
      <c r="I740" s="155"/>
      <c r="J740" s="200"/>
      <c r="K740" s="155"/>
      <c r="L740" s="155"/>
      <c r="M740" s="155"/>
      <c r="N740" s="155"/>
      <c r="O740" s="155"/>
      <c r="P740" s="155"/>
      <c r="Q740" s="155"/>
      <c r="R740" s="155"/>
      <c r="S740" s="155"/>
      <c r="T740" s="155"/>
      <c r="U740" s="155"/>
      <c r="V740" s="155"/>
      <c r="W740" s="155"/>
      <c r="X740" s="155"/>
      <c r="Y740" s="155"/>
      <c r="Z740" s="155"/>
      <c r="AA740" s="155"/>
    </row>
    <row r="741" ht="22.5" customHeight="1">
      <c r="A741" s="139"/>
      <c r="B741" s="71"/>
      <c r="C741" s="117"/>
      <c r="D741" s="25"/>
      <c r="E741" s="118"/>
      <c r="F741" s="118"/>
      <c r="G741" s="138"/>
      <c r="H741" s="26"/>
      <c r="I741" s="155"/>
      <c r="J741" s="200"/>
      <c r="K741" s="155"/>
      <c r="L741" s="155"/>
      <c r="M741" s="155"/>
      <c r="N741" s="155"/>
      <c r="O741" s="155"/>
      <c r="P741" s="155"/>
      <c r="Q741" s="155"/>
      <c r="R741" s="155"/>
      <c r="S741" s="155"/>
      <c r="T741" s="155"/>
      <c r="U741" s="155"/>
      <c r="V741" s="155"/>
      <c r="W741" s="155"/>
      <c r="X741" s="155"/>
      <c r="Y741" s="155"/>
      <c r="Z741" s="155"/>
      <c r="AA741" s="155"/>
    </row>
    <row r="742" ht="22.5" customHeight="1">
      <c r="A742" s="139"/>
      <c r="B742" s="71"/>
      <c r="C742" s="117"/>
      <c r="D742" s="25"/>
      <c r="E742" s="118"/>
      <c r="F742" s="118"/>
      <c r="G742" s="138"/>
      <c r="H742" s="26"/>
      <c r="I742" s="155"/>
      <c r="J742" s="200"/>
      <c r="K742" s="155"/>
      <c r="L742" s="155"/>
      <c r="M742" s="155"/>
      <c r="N742" s="155"/>
      <c r="O742" s="155"/>
      <c r="P742" s="155"/>
      <c r="Q742" s="155"/>
      <c r="R742" s="155"/>
      <c r="S742" s="155"/>
      <c r="T742" s="155"/>
      <c r="U742" s="155"/>
      <c r="V742" s="155"/>
      <c r="W742" s="155"/>
      <c r="X742" s="155"/>
      <c r="Y742" s="155"/>
      <c r="Z742" s="155"/>
      <c r="AA742" s="155"/>
    </row>
    <row r="743" ht="22.5" customHeight="1">
      <c r="A743" s="139"/>
      <c r="B743" s="71"/>
      <c r="C743" s="117"/>
      <c r="D743" s="25"/>
      <c r="E743" s="118"/>
      <c r="F743" s="118"/>
      <c r="G743" s="138"/>
      <c r="H743" s="26"/>
      <c r="I743" s="155"/>
      <c r="J743" s="200"/>
      <c r="K743" s="155"/>
      <c r="L743" s="155"/>
      <c r="M743" s="155"/>
      <c r="N743" s="155"/>
      <c r="O743" s="155"/>
      <c r="P743" s="155"/>
      <c r="Q743" s="155"/>
      <c r="R743" s="155"/>
      <c r="S743" s="155"/>
      <c r="T743" s="155"/>
      <c r="U743" s="155"/>
      <c r="V743" s="155"/>
      <c r="W743" s="155"/>
      <c r="X743" s="155"/>
      <c r="Y743" s="155"/>
      <c r="Z743" s="155"/>
      <c r="AA743" s="155"/>
    </row>
    <row r="744" ht="22.5" customHeight="1">
      <c r="A744" s="139"/>
      <c r="B744" s="71"/>
      <c r="C744" s="117"/>
      <c r="D744" s="25"/>
      <c r="E744" s="118"/>
      <c r="F744" s="118"/>
      <c r="G744" s="138"/>
      <c r="H744" s="26"/>
      <c r="I744" s="155"/>
      <c r="J744" s="200"/>
      <c r="K744" s="155"/>
      <c r="L744" s="155"/>
      <c r="M744" s="155"/>
      <c r="N744" s="155"/>
      <c r="O744" s="155"/>
      <c r="P744" s="155"/>
      <c r="Q744" s="155"/>
      <c r="R744" s="155"/>
      <c r="S744" s="155"/>
      <c r="T744" s="155"/>
      <c r="U744" s="155"/>
      <c r="V744" s="155"/>
      <c r="W744" s="155"/>
      <c r="X744" s="155"/>
      <c r="Y744" s="155"/>
      <c r="Z744" s="155"/>
      <c r="AA744" s="155"/>
    </row>
    <row r="745" ht="22.5" customHeight="1">
      <c r="A745" s="139"/>
      <c r="B745" s="71"/>
      <c r="C745" s="117"/>
      <c r="D745" s="25"/>
      <c r="E745" s="118"/>
      <c r="F745" s="118"/>
      <c r="G745" s="138"/>
      <c r="H745" s="26"/>
      <c r="I745" s="155"/>
      <c r="J745" s="200"/>
      <c r="K745" s="155"/>
      <c r="L745" s="155"/>
      <c r="M745" s="155"/>
      <c r="N745" s="155"/>
      <c r="O745" s="155"/>
      <c r="P745" s="155"/>
      <c r="Q745" s="155"/>
      <c r="R745" s="155"/>
      <c r="S745" s="155"/>
      <c r="T745" s="155"/>
      <c r="U745" s="155"/>
      <c r="V745" s="155"/>
      <c r="W745" s="155"/>
      <c r="X745" s="155"/>
      <c r="Y745" s="155"/>
      <c r="Z745" s="155"/>
      <c r="AA745" s="155"/>
    </row>
    <row r="746" ht="22.5" customHeight="1">
      <c r="A746" s="139"/>
      <c r="B746" s="71"/>
      <c r="C746" s="117"/>
      <c r="D746" s="25"/>
      <c r="E746" s="118"/>
      <c r="F746" s="118"/>
      <c r="G746" s="138"/>
      <c r="H746" s="26"/>
      <c r="I746" s="155"/>
      <c r="J746" s="200"/>
      <c r="K746" s="155"/>
      <c r="L746" s="155"/>
      <c r="M746" s="155"/>
      <c r="N746" s="155"/>
      <c r="O746" s="155"/>
      <c r="P746" s="155"/>
      <c r="Q746" s="155"/>
      <c r="R746" s="155"/>
      <c r="S746" s="155"/>
      <c r="T746" s="155"/>
      <c r="U746" s="155"/>
      <c r="V746" s="155"/>
      <c r="W746" s="155"/>
      <c r="X746" s="155"/>
      <c r="Y746" s="155"/>
      <c r="Z746" s="155"/>
      <c r="AA746" s="155"/>
    </row>
    <row r="747" ht="22.5" customHeight="1">
      <c r="A747" s="139"/>
      <c r="B747" s="71"/>
      <c r="C747" s="117"/>
      <c r="D747" s="25"/>
      <c r="E747" s="118"/>
      <c r="F747" s="118"/>
      <c r="G747" s="138"/>
      <c r="H747" s="26"/>
      <c r="I747" s="155"/>
      <c r="J747" s="200"/>
      <c r="K747" s="155"/>
      <c r="L747" s="155"/>
      <c r="M747" s="155"/>
      <c r="N747" s="155"/>
      <c r="O747" s="155"/>
      <c r="P747" s="155"/>
      <c r="Q747" s="155"/>
      <c r="R747" s="155"/>
      <c r="S747" s="155"/>
      <c r="T747" s="155"/>
      <c r="U747" s="155"/>
      <c r="V747" s="155"/>
      <c r="W747" s="155"/>
      <c r="X747" s="155"/>
      <c r="Y747" s="155"/>
      <c r="Z747" s="155"/>
      <c r="AA747" s="155"/>
    </row>
    <row r="748" ht="22.5" customHeight="1">
      <c r="A748" s="139"/>
      <c r="B748" s="71"/>
      <c r="C748" s="117"/>
      <c r="D748" s="25"/>
      <c r="E748" s="118"/>
      <c r="F748" s="118"/>
      <c r="G748" s="138"/>
      <c r="H748" s="26"/>
      <c r="I748" s="155"/>
      <c r="J748" s="200"/>
      <c r="K748" s="155"/>
      <c r="L748" s="155"/>
      <c r="M748" s="155"/>
      <c r="N748" s="155"/>
      <c r="O748" s="155"/>
      <c r="P748" s="155"/>
      <c r="Q748" s="155"/>
      <c r="R748" s="155"/>
      <c r="S748" s="155"/>
      <c r="T748" s="155"/>
      <c r="U748" s="155"/>
      <c r="V748" s="155"/>
      <c r="W748" s="155"/>
      <c r="X748" s="155"/>
      <c r="Y748" s="155"/>
      <c r="Z748" s="155"/>
      <c r="AA748" s="155"/>
    </row>
    <row r="749" ht="22.5" customHeight="1">
      <c r="A749" s="139"/>
      <c r="B749" s="71"/>
      <c r="C749" s="117"/>
      <c r="D749" s="25"/>
      <c r="E749" s="118"/>
      <c r="F749" s="118"/>
      <c r="G749" s="138"/>
      <c r="H749" s="26"/>
      <c r="I749" s="155"/>
      <c r="J749" s="200"/>
      <c r="K749" s="155"/>
      <c r="L749" s="155"/>
      <c r="M749" s="155"/>
      <c r="N749" s="155"/>
      <c r="O749" s="155"/>
      <c r="P749" s="155"/>
      <c r="Q749" s="155"/>
      <c r="R749" s="155"/>
      <c r="S749" s="155"/>
      <c r="T749" s="155"/>
      <c r="U749" s="155"/>
      <c r="V749" s="155"/>
      <c r="W749" s="155"/>
      <c r="X749" s="155"/>
      <c r="Y749" s="155"/>
      <c r="Z749" s="155"/>
      <c r="AA749" s="155"/>
    </row>
    <row r="750" ht="22.5" customHeight="1">
      <c r="A750" s="139"/>
      <c r="B750" s="71"/>
      <c r="C750" s="117"/>
      <c r="D750" s="25"/>
      <c r="E750" s="118"/>
      <c r="F750" s="118"/>
      <c r="G750" s="138"/>
      <c r="H750" s="26"/>
      <c r="I750" s="155"/>
      <c r="J750" s="200"/>
      <c r="K750" s="155"/>
      <c r="L750" s="155"/>
      <c r="M750" s="155"/>
      <c r="N750" s="155"/>
      <c r="O750" s="155"/>
      <c r="P750" s="155"/>
      <c r="Q750" s="155"/>
      <c r="R750" s="155"/>
      <c r="S750" s="155"/>
      <c r="T750" s="155"/>
      <c r="U750" s="155"/>
      <c r="V750" s="155"/>
      <c r="W750" s="155"/>
      <c r="X750" s="155"/>
      <c r="Y750" s="155"/>
      <c r="Z750" s="155"/>
      <c r="AA750" s="155"/>
    </row>
    <row r="751" ht="22.5" customHeight="1">
      <c r="A751" s="139"/>
      <c r="B751" s="71"/>
      <c r="C751" s="117"/>
      <c r="D751" s="25"/>
      <c r="E751" s="118"/>
      <c r="F751" s="118"/>
      <c r="G751" s="138"/>
      <c r="H751" s="26"/>
      <c r="I751" s="155"/>
      <c r="J751" s="200"/>
      <c r="K751" s="155"/>
      <c r="L751" s="155"/>
      <c r="M751" s="155"/>
      <c r="N751" s="155"/>
      <c r="O751" s="155"/>
      <c r="P751" s="155"/>
      <c r="Q751" s="155"/>
      <c r="R751" s="155"/>
      <c r="S751" s="155"/>
      <c r="T751" s="155"/>
      <c r="U751" s="155"/>
      <c r="V751" s="155"/>
      <c r="W751" s="155"/>
      <c r="X751" s="155"/>
      <c r="Y751" s="155"/>
      <c r="Z751" s="155"/>
      <c r="AA751" s="155"/>
    </row>
    <row r="752" ht="22.5" customHeight="1">
      <c r="A752" s="139"/>
      <c r="B752" s="71"/>
      <c r="C752" s="117"/>
      <c r="D752" s="25"/>
      <c r="E752" s="118"/>
      <c r="F752" s="118"/>
      <c r="G752" s="138"/>
      <c r="H752" s="26"/>
      <c r="I752" s="155"/>
      <c r="J752" s="200"/>
      <c r="K752" s="155"/>
      <c r="L752" s="155"/>
      <c r="M752" s="155"/>
      <c r="N752" s="155"/>
      <c r="O752" s="155"/>
      <c r="P752" s="155"/>
      <c r="Q752" s="155"/>
      <c r="R752" s="155"/>
      <c r="S752" s="155"/>
      <c r="T752" s="155"/>
      <c r="U752" s="155"/>
      <c r="V752" s="155"/>
      <c r="W752" s="155"/>
      <c r="X752" s="155"/>
      <c r="Y752" s="155"/>
      <c r="Z752" s="155"/>
      <c r="AA752" s="155"/>
    </row>
    <row r="753" ht="22.5" customHeight="1">
      <c r="A753" s="139"/>
      <c r="B753" s="71"/>
      <c r="C753" s="117"/>
      <c r="D753" s="25"/>
      <c r="E753" s="118"/>
      <c r="F753" s="118"/>
      <c r="G753" s="138"/>
      <c r="H753" s="26"/>
      <c r="I753" s="155"/>
      <c r="J753" s="200"/>
      <c r="K753" s="155"/>
      <c r="L753" s="155"/>
      <c r="M753" s="155"/>
      <c r="N753" s="155"/>
      <c r="O753" s="155"/>
      <c r="P753" s="155"/>
      <c r="Q753" s="155"/>
      <c r="R753" s="155"/>
      <c r="S753" s="155"/>
      <c r="T753" s="155"/>
      <c r="U753" s="155"/>
      <c r="V753" s="155"/>
      <c r="W753" s="155"/>
      <c r="X753" s="155"/>
      <c r="Y753" s="155"/>
      <c r="Z753" s="155"/>
      <c r="AA753" s="155"/>
    </row>
    <row r="754" ht="22.5" customHeight="1">
      <c r="A754" s="139"/>
      <c r="B754" s="71"/>
      <c r="C754" s="117"/>
      <c r="D754" s="25"/>
      <c r="E754" s="118"/>
      <c r="F754" s="118"/>
      <c r="G754" s="138"/>
      <c r="H754" s="26"/>
      <c r="I754" s="155"/>
      <c r="J754" s="200"/>
      <c r="K754" s="155"/>
      <c r="L754" s="155"/>
      <c r="M754" s="155"/>
      <c r="N754" s="155"/>
      <c r="O754" s="155"/>
      <c r="P754" s="155"/>
      <c r="Q754" s="155"/>
      <c r="R754" s="155"/>
      <c r="S754" s="155"/>
      <c r="T754" s="155"/>
      <c r="U754" s="155"/>
      <c r="V754" s="155"/>
      <c r="W754" s="155"/>
      <c r="X754" s="155"/>
      <c r="Y754" s="155"/>
      <c r="Z754" s="155"/>
      <c r="AA754" s="155"/>
    </row>
    <row r="755" ht="22.5" customHeight="1">
      <c r="A755" s="139"/>
      <c r="B755" s="71"/>
      <c r="C755" s="117"/>
      <c r="D755" s="25"/>
      <c r="E755" s="118"/>
      <c r="F755" s="118"/>
      <c r="G755" s="138"/>
      <c r="H755" s="26"/>
      <c r="I755" s="155"/>
      <c r="J755" s="200"/>
      <c r="K755" s="155"/>
      <c r="L755" s="155"/>
      <c r="M755" s="155"/>
      <c r="N755" s="155"/>
      <c r="O755" s="155"/>
      <c r="P755" s="155"/>
      <c r="Q755" s="155"/>
      <c r="R755" s="155"/>
      <c r="S755" s="155"/>
      <c r="T755" s="155"/>
      <c r="U755" s="155"/>
      <c r="V755" s="155"/>
      <c r="W755" s="155"/>
      <c r="X755" s="155"/>
      <c r="Y755" s="155"/>
      <c r="Z755" s="155"/>
      <c r="AA755" s="155"/>
    </row>
    <row r="756" ht="22.5" customHeight="1">
      <c r="A756" s="139"/>
      <c r="B756" s="71"/>
      <c r="C756" s="117"/>
      <c r="D756" s="25"/>
      <c r="E756" s="118"/>
      <c r="F756" s="118"/>
      <c r="G756" s="138"/>
      <c r="H756" s="26"/>
      <c r="I756" s="155"/>
      <c r="J756" s="200"/>
      <c r="K756" s="155"/>
      <c r="L756" s="155"/>
      <c r="M756" s="155"/>
      <c r="N756" s="155"/>
      <c r="O756" s="155"/>
      <c r="P756" s="155"/>
      <c r="Q756" s="155"/>
      <c r="R756" s="155"/>
      <c r="S756" s="155"/>
      <c r="T756" s="155"/>
      <c r="U756" s="155"/>
      <c r="V756" s="155"/>
      <c r="W756" s="155"/>
      <c r="X756" s="155"/>
      <c r="Y756" s="155"/>
      <c r="Z756" s="155"/>
      <c r="AA756" s="155"/>
    </row>
    <row r="757" ht="22.5" customHeight="1">
      <c r="A757" s="139"/>
      <c r="B757" s="71"/>
      <c r="C757" s="117"/>
      <c r="D757" s="25"/>
      <c r="E757" s="118"/>
      <c r="F757" s="118"/>
      <c r="G757" s="138"/>
      <c r="H757" s="26"/>
      <c r="I757" s="155"/>
      <c r="J757" s="200"/>
      <c r="K757" s="155"/>
      <c r="L757" s="155"/>
      <c r="M757" s="155"/>
      <c r="N757" s="155"/>
      <c r="O757" s="155"/>
      <c r="P757" s="155"/>
      <c r="Q757" s="155"/>
      <c r="R757" s="155"/>
      <c r="S757" s="155"/>
      <c r="T757" s="155"/>
      <c r="U757" s="155"/>
      <c r="V757" s="155"/>
      <c r="W757" s="155"/>
      <c r="X757" s="155"/>
      <c r="Y757" s="155"/>
      <c r="Z757" s="155"/>
      <c r="AA757" s="155"/>
    </row>
    <row r="758" ht="22.5" customHeight="1">
      <c r="A758" s="139"/>
      <c r="B758" s="71"/>
      <c r="C758" s="117"/>
      <c r="D758" s="25"/>
      <c r="E758" s="118"/>
      <c r="F758" s="118"/>
      <c r="G758" s="138"/>
      <c r="H758" s="26"/>
      <c r="I758" s="155"/>
      <c r="J758" s="200"/>
      <c r="K758" s="155"/>
      <c r="L758" s="155"/>
      <c r="M758" s="155"/>
      <c r="N758" s="155"/>
      <c r="O758" s="155"/>
      <c r="P758" s="155"/>
      <c r="Q758" s="155"/>
      <c r="R758" s="155"/>
      <c r="S758" s="155"/>
      <c r="T758" s="155"/>
      <c r="U758" s="155"/>
      <c r="V758" s="155"/>
      <c r="W758" s="155"/>
      <c r="X758" s="155"/>
      <c r="Y758" s="155"/>
      <c r="Z758" s="155"/>
      <c r="AA758" s="155"/>
    </row>
    <row r="759" ht="22.5" customHeight="1">
      <c r="A759" s="139"/>
      <c r="B759" s="71"/>
      <c r="C759" s="117"/>
      <c r="D759" s="25"/>
      <c r="E759" s="118"/>
      <c r="F759" s="118"/>
      <c r="G759" s="138"/>
      <c r="H759" s="26"/>
      <c r="I759" s="155"/>
      <c r="J759" s="200"/>
      <c r="K759" s="155"/>
      <c r="L759" s="155"/>
      <c r="M759" s="155"/>
      <c r="N759" s="155"/>
      <c r="O759" s="155"/>
      <c r="P759" s="155"/>
      <c r="Q759" s="155"/>
      <c r="R759" s="155"/>
      <c r="S759" s="155"/>
      <c r="T759" s="155"/>
      <c r="U759" s="155"/>
      <c r="V759" s="155"/>
      <c r="W759" s="155"/>
      <c r="X759" s="155"/>
      <c r="Y759" s="155"/>
      <c r="Z759" s="155"/>
      <c r="AA759" s="155"/>
    </row>
    <row r="760" ht="22.5" customHeight="1">
      <c r="A760" s="139"/>
      <c r="B760" s="71"/>
      <c r="C760" s="117"/>
      <c r="D760" s="25"/>
      <c r="E760" s="118"/>
      <c r="F760" s="118"/>
      <c r="G760" s="138"/>
      <c r="H760" s="26"/>
      <c r="I760" s="155"/>
      <c r="J760" s="200"/>
      <c r="K760" s="155"/>
      <c r="L760" s="155"/>
      <c r="M760" s="155"/>
      <c r="N760" s="155"/>
      <c r="O760" s="155"/>
      <c r="P760" s="155"/>
      <c r="Q760" s="155"/>
      <c r="R760" s="155"/>
      <c r="S760" s="155"/>
      <c r="T760" s="155"/>
      <c r="U760" s="155"/>
      <c r="V760" s="155"/>
      <c r="W760" s="155"/>
      <c r="X760" s="155"/>
      <c r="Y760" s="155"/>
      <c r="Z760" s="155"/>
      <c r="AA760" s="155"/>
    </row>
    <row r="761" ht="22.5" customHeight="1">
      <c r="A761" s="139"/>
      <c r="B761" s="71"/>
      <c r="C761" s="117"/>
      <c r="D761" s="25"/>
      <c r="E761" s="118"/>
      <c r="F761" s="118"/>
      <c r="G761" s="138"/>
      <c r="H761" s="26"/>
      <c r="I761" s="155"/>
      <c r="J761" s="200"/>
      <c r="K761" s="155"/>
      <c r="L761" s="155"/>
      <c r="M761" s="155"/>
      <c r="N761" s="155"/>
      <c r="O761" s="155"/>
      <c r="P761" s="155"/>
      <c r="Q761" s="155"/>
      <c r="R761" s="155"/>
      <c r="S761" s="155"/>
      <c r="T761" s="155"/>
      <c r="U761" s="155"/>
      <c r="V761" s="155"/>
      <c r="W761" s="155"/>
      <c r="X761" s="155"/>
      <c r="Y761" s="155"/>
      <c r="Z761" s="155"/>
      <c r="AA761" s="155"/>
    </row>
    <row r="762" ht="22.5" customHeight="1">
      <c r="A762" s="139"/>
      <c r="B762" s="71"/>
      <c r="C762" s="117"/>
      <c r="D762" s="25"/>
      <c r="E762" s="118"/>
      <c r="F762" s="118"/>
      <c r="G762" s="138"/>
      <c r="H762" s="26"/>
      <c r="I762" s="155"/>
      <c r="J762" s="200"/>
      <c r="K762" s="155"/>
      <c r="L762" s="155"/>
      <c r="M762" s="155"/>
      <c r="N762" s="155"/>
      <c r="O762" s="155"/>
      <c r="P762" s="155"/>
      <c r="Q762" s="155"/>
      <c r="R762" s="155"/>
      <c r="S762" s="155"/>
      <c r="T762" s="155"/>
      <c r="U762" s="155"/>
      <c r="V762" s="155"/>
      <c r="W762" s="155"/>
      <c r="X762" s="155"/>
      <c r="Y762" s="155"/>
      <c r="Z762" s="155"/>
      <c r="AA762" s="155"/>
    </row>
    <row r="763" ht="22.5" customHeight="1">
      <c r="A763" s="139"/>
      <c r="B763" s="71"/>
      <c r="C763" s="117"/>
      <c r="D763" s="25"/>
      <c r="E763" s="118"/>
      <c r="F763" s="118"/>
      <c r="G763" s="138"/>
      <c r="H763" s="26"/>
      <c r="I763" s="155"/>
      <c r="J763" s="200"/>
      <c r="K763" s="155"/>
      <c r="L763" s="155"/>
      <c r="M763" s="155"/>
      <c r="N763" s="155"/>
      <c r="O763" s="155"/>
      <c r="P763" s="155"/>
      <c r="Q763" s="155"/>
      <c r="R763" s="155"/>
      <c r="S763" s="155"/>
      <c r="T763" s="155"/>
      <c r="U763" s="155"/>
      <c r="V763" s="155"/>
      <c r="W763" s="155"/>
      <c r="X763" s="155"/>
      <c r="Y763" s="155"/>
      <c r="Z763" s="155"/>
      <c r="AA763" s="155"/>
    </row>
    <row r="764" ht="22.5" customHeight="1">
      <c r="A764" s="139"/>
      <c r="B764" s="71"/>
      <c r="C764" s="117"/>
      <c r="D764" s="25"/>
      <c r="E764" s="118"/>
      <c r="F764" s="118"/>
      <c r="G764" s="138"/>
      <c r="H764" s="26"/>
      <c r="I764" s="155"/>
      <c r="J764" s="200"/>
      <c r="K764" s="155"/>
      <c r="L764" s="155"/>
      <c r="M764" s="155"/>
      <c r="N764" s="155"/>
      <c r="O764" s="155"/>
      <c r="P764" s="155"/>
      <c r="Q764" s="155"/>
      <c r="R764" s="155"/>
      <c r="S764" s="155"/>
      <c r="T764" s="155"/>
      <c r="U764" s="155"/>
      <c r="V764" s="155"/>
      <c r="W764" s="155"/>
      <c r="X764" s="155"/>
      <c r="Y764" s="155"/>
      <c r="Z764" s="155"/>
      <c r="AA764" s="155"/>
    </row>
    <row r="765" ht="22.5" customHeight="1">
      <c r="A765" s="139"/>
      <c r="B765" s="71"/>
      <c r="C765" s="117"/>
      <c r="D765" s="25"/>
      <c r="E765" s="118"/>
      <c r="F765" s="118"/>
      <c r="G765" s="138"/>
      <c r="H765" s="26"/>
      <c r="I765" s="155"/>
      <c r="J765" s="200"/>
      <c r="K765" s="155"/>
      <c r="L765" s="155"/>
      <c r="M765" s="155"/>
      <c r="N765" s="155"/>
      <c r="O765" s="155"/>
      <c r="P765" s="155"/>
      <c r="Q765" s="155"/>
      <c r="R765" s="155"/>
      <c r="S765" s="155"/>
      <c r="T765" s="155"/>
      <c r="U765" s="155"/>
      <c r="V765" s="155"/>
      <c r="W765" s="155"/>
      <c r="X765" s="155"/>
      <c r="Y765" s="155"/>
      <c r="Z765" s="155"/>
      <c r="AA765" s="155"/>
    </row>
    <row r="766" ht="22.5" customHeight="1">
      <c r="A766" s="139"/>
      <c r="B766" s="71"/>
      <c r="C766" s="117"/>
      <c r="D766" s="25"/>
      <c r="E766" s="118"/>
      <c r="F766" s="118"/>
      <c r="G766" s="138"/>
      <c r="H766" s="26"/>
      <c r="I766" s="155"/>
      <c r="J766" s="200"/>
      <c r="K766" s="155"/>
      <c r="L766" s="155"/>
      <c r="M766" s="155"/>
      <c r="N766" s="155"/>
      <c r="O766" s="155"/>
      <c r="P766" s="155"/>
      <c r="Q766" s="155"/>
      <c r="R766" s="155"/>
      <c r="S766" s="155"/>
      <c r="T766" s="155"/>
      <c r="U766" s="155"/>
      <c r="V766" s="155"/>
      <c r="W766" s="155"/>
      <c r="X766" s="155"/>
      <c r="Y766" s="155"/>
      <c r="Z766" s="155"/>
      <c r="AA766" s="155"/>
    </row>
    <row r="767" ht="22.5" customHeight="1">
      <c r="A767" s="139"/>
      <c r="B767" s="71"/>
      <c r="C767" s="117"/>
      <c r="D767" s="25"/>
      <c r="E767" s="118"/>
      <c r="F767" s="118"/>
      <c r="G767" s="138"/>
      <c r="H767" s="26"/>
      <c r="I767" s="155"/>
      <c r="J767" s="200"/>
      <c r="K767" s="155"/>
      <c r="L767" s="155"/>
      <c r="M767" s="155"/>
      <c r="N767" s="155"/>
      <c r="O767" s="155"/>
      <c r="P767" s="155"/>
      <c r="Q767" s="155"/>
      <c r="R767" s="155"/>
      <c r="S767" s="155"/>
      <c r="T767" s="155"/>
      <c r="U767" s="155"/>
      <c r="V767" s="155"/>
      <c r="W767" s="155"/>
      <c r="X767" s="155"/>
      <c r="Y767" s="155"/>
      <c r="Z767" s="155"/>
      <c r="AA767" s="155"/>
    </row>
    <row r="768" ht="22.5" customHeight="1">
      <c r="A768" s="139"/>
      <c r="B768" s="71"/>
      <c r="C768" s="117"/>
      <c r="D768" s="25"/>
      <c r="E768" s="118"/>
      <c r="F768" s="118"/>
      <c r="G768" s="138"/>
      <c r="H768" s="26"/>
      <c r="I768" s="155"/>
      <c r="J768" s="200"/>
      <c r="K768" s="155"/>
      <c r="L768" s="155"/>
      <c r="M768" s="155"/>
      <c r="N768" s="155"/>
      <c r="O768" s="155"/>
      <c r="P768" s="155"/>
      <c r="Q768" s="155"/>
      <c r="R768" s="155"/>
      <c r="S768" s="155"/>
      <c r="T768" s="155"/>
      <c r="U768" s="155"/>
      <c r="V768" s="155"/>
      <c r="W768" s="155"/>
      <c r="X768" s="155"/>
      <c r="Y768" s="155"/>
      <c r="Z768" s="155"/>
      <c r="AA768" s="155"/>
    </row>
    <row r="769" ht="22.5" customHeight="1">
      <c r="A769" s="139"/>
      <c r="B769" s="71"/>
      <c r="C769" s="117"/>
      <c r="D769" s="25"/>
      <c r="E769" s="118"/>
      <c r="F769" s="118"/>
      <c r="G769" s="138"/>
      <c r="H769" s="26"/>
      <c r="I769" s="155"/>
      <c r="J769" s="200"/>
      <c r="K769" s="155"/>
      <c r="L769" s="155"/>
      <c r="M769" s="155"/>
      <c r="N769" s="155"/>
      <c r="O769" s="155"/>
      <c r="P769" s="155"/>
      <c r="Q769" s="155"/>
      <c r="R769" s="155"/>
      <c r="S769" s="155"/>
      <c r="T769" s="155"/>
      <c r="U769" s="155"/>
      <c r="V769" s="155"/>
      <c r="W769" s="155"/>
      <c r="X769" s="155"/>
      <c r="Y769" s="155"/>
      <c r="Z769" s="155"/>
      <c r="AA769" s="155"/>
    </row>
    <row r="770" ht="22.5" customHeight="1">
      <c r="A770" s="139"/>
      <c r="B770" s="71"/>
      <c r="C770" s="117"/>
      <c r="D770" s="25"/>
      <c r="E770" s="118"/>
      <c r="F770" s="118"/>
      <c r="G770" s="138"/>
      <c r="H770" s="26"/>
      <c r="I770" s="155"/>
      <c r="J770" s="200"/>
      <c r="K770" s="155"/>
      <c r="L770" s="155"/>
      <c r="M770" s="155"/>
      <c r="N770" s="155"/>
      <c r="O770" s="155"/>
      <c r="P770" s="155"/>
      <c r="Q770" s="155"/>
      <c r="R770" s="155"/>
      <c r="S770" s="155"/>
      <c r="T770" s="155"/>
      <c r="U770" s="155"/>
      <c r="V770" s="155"/>
      <c r="W770" s="155"/>
      <c r="X770" s="155"/>
      <c r="Y770" s="155"/>
      <c r="Z770" s="155"/>
      <c r="AA770" s="155"/>
    </row>
    <row r="771" ht="22.5" customHeight="1">
      <c r="A771" s="139"/>
      <c r="B771" s="71"/>
      <c r="C771" s="117"/>
      <c r="D771" s="25"/>
      <c r="E771" s="118"/>
      <c r="F771" s="118"/>
      <c r="G771" s="138"/>
      <c r="H771" s="26"/>
      <c r="I771" s="155"/>
      <c r="J771" s="200"/>
      <c r="K771" s="155"/>
      <c r="L771" s="155"/>
      <c r="M771" s="155"/>
      <c r="N771" s="155"/>
      <c r="O771" s="155"/>
      <c r="P771" s="155"/>
      <c r="Q771" s="155"/>
      <c r="R771" s="155"/>
      <c r="S771" s="155"/>
      <c r="T771" s="155"/>
      <c r="U771" s="155"/>
      <c r="V771" s="155"/>
      <c r="W771" s="155"/>
      <c r="X771" s="155"/>
      <c r="Y771" s="155"/>
      <c r="Z771" s="155"/>
      <c r="AA771" s="155"/>
    </row>
    <row r="772" ht="22.5" customHeight="1">
      <c r="A772" s="139"/>
      <c r="B772" s="71"/>
      <c r="C772" s="117"/>
      <c r="D772" s="25"/>
      <c r="E772" s="118"/>
      <c r="F772" s="118"/>
      <c r="G772" s="138"/>
      <c r="H772" s="26"/>
      <c r="I772" s="155"/>
      <c r="J772" s="200"/>
      <c r="K772" s="155"/>
      <c r="L772" s="155"/>
      <c r="M772" s="155"/>
      <c r="N772" s="155"/>
      <c r="O772" s="155"/>
      <c r="P772" s="155"/>
      <c r="Q772" s="155"/>
      <c r="R772" s="155"/>
      <c r="S772" s="155"/>
      <c r="T772" s="155"/>
      <c r="U772" s="155"/>
      <c r="V772" s="155"/>
      <c r="W772" s="155"/>
      <c r="X772" s="155"/>
      <c r="Y772" s="155"/>
      <c r="Z772" s="155"/>
      <c r="AA772" s="155"/>
    </row>
    <row r="773" ht="22.5" customHeight="1">
      <c r="A773" s="139"/>
      <c r="B773" s="71"/>
      <c r="C773" s="117"/>
      <c r="D773" s="25"/>
      <c r="E773" s="118"/>
      <c r="F773" s="118"/>
      <c r="G773" s="138"/>
      <c r="H773" s="26"/>
      <c r="I773" s="155"/>
      <c r="J773" s="200"/>
      <c r="K773" s="155"/>
      <c r="L773" s="155"/>
      <c r="M773" s="155"/>
      <c r="N773" s="155"/>
      <c r="O773" s="155"/>
      <c r="P773" s="155"/>
      <c r="Q773" s="155"/>
      <c r="R773" s="155"/>
      <c r="S773" s="155"/>
      <c r="T773" s="155"/>
      <c r="U773" s="155"/>
      <c r="V773" s="155"/>
      <c r="W773" s="155"/>
      <c r="X773" s="155"/>
      <c r="Y773" s="155"/>
      <c r="Z773" s="155"/>
      <c r="AA773" s="155"/>
    </row>
    <row r="774" ht="22.5" customHeight="1">
      <c r="A774" s="139"/>
      <c r="B774" s="71"/>
      <c r="C774" s="117"/>
      <c r="D774" s="25"/>
      <c r="E774" s="118"/>
      <c r="F774" s="118"/>
      <c r="G774" s="138"/>
      <c r="H774" s="26"/>
      <c r="I774" s="155"/>
      <c r="J774" s="200"/>
      <c r="K774" s="155"/>
      <c r="L774" s="155"/>
      <c r="M774" s="155"/>
      <c r="N774" s="155"/>
      <c r="O774" s="155"/>
      <c r="P774" s="155"/>
      <c r="Q774" s="155"/>
      <c r="R774" s="155"/>
      <c r="S774" s="155"/>
      <c r="T774" s="155"/>
      <c r="U774" s="155"/>
      <c r="V774" s="155"/>
      <c r="W774" s="155"/>
      <c r="X774" s="155"/>
      <c r="Y774" s="155"/>
      <c r="Z774" s="155"/>
      <c r="AA774" s="155"/>
    </row>
    <row r="775" ht="22.5" customHeight="1">
      <c r="A775" s="139"/>
      <c r="B775" s="71"/>
      <c r="C775" s="117"/>
      <c r="D775" s="25"/>
      <c r="E775" s="118"/>
      <c r="F775" s="118"/>
      <c r="G775" s="138"/>
      <c r="H775" s="26"/>
      <c r="I775" s="155"/>
      <c r="J775" s="200"/>
      <c r="K775" s="155"/>
      <c r="L775" s="155"/>
      <c r="M775" s="155"/>
      <c r="N775" s="155"/>
      <c r="O775" s="155"/>
      <c r="P775" s="155"/>
      <c r="Q775" s="155"/>
      <c r="R775" s="155"/>
      <c r="S775" s="155"/>
      <c r="T775" s="155"/>
      <c r="U775" s="155"/>
      <c r="V775" s="155"/>
      <c r="W775" s="155"/>
      <c r="X775" s="155"/>
      <c r="Y775" s="155"/>
      <c r="Z775" s="155"/>
      <c r="AA775" s="155"/>
    </row>
    <row r="776" ht="22.5" customHeight="1">
      <c r="A776" s="139"/>
      <c r="B776" s="71"/>
      <c r="C776" s="117"/>
      <c r="D776" s="25"/>
      <c r="E776" s="118"/>
      <c r="F776" s="118"/>
      <c r="G776" s="138"/>
      <c r="H776" s="26"/>
      <c r="I776" s="155"/>
      <c r="J776" s="200"/>
      <c r="K776" s="155"/>
      <c r="L776" s="155"/>
      <c r="M776" s="155"/>
      <c r="N776" s="155"/>
      <c r="O776" s="155"/>
      <c r="P776" s="155"/>
      <c r="Q776" s="155"/>
      <c r="R776" s="155"/>
      <c r="S776" s="155"/>
      <c r="T776" s="155"/>
      <c r="U776" s="155"/>
      <c r="V776" s="155"/>
      <c r="W776" s="155"/>
      <c r="X776" s="155"/>
      <c r="Y776" s="155"/>
      <c r="Z776" s="155"/>
      <c r="AA776" s="155"/>
    </row>
    <row r="777" ht="22.5" customHeight="1">
      <c r="A777" s="139"/>
      <c r="B777" s="71"/>
      <c r="C777" s="117"/>
      <c r="D777" s="25"/>
      <c r="E777" s="118"/>
      <c r="F777" s="118"/>
      <c r="G777" s="138"/>
      <c r="H777" s="26"/>
      <c r="I777" s="155"/>
      <c r="J777" s="200"/>
      <c r="K777" s="155"/>
      <c r="L777" s="155"/>
      <c r="M777" s="155"/>
      <c r="N777" s="155"/>
      <c r="O777" s="155"/>
      <c r="P777" s="155"/>
      <c r="Q777" s="155"/>
      <c r="R777" s="155"/>
      <c r="S777" s="155"/>
      <c r="T777" s="155"/>
      <c r="U777" s="155"/>
      <c r="V777" s="155"/>
      <c r="W777" s="155"/>
      <c r="X777" s="155"/>
      <c r="Y777" s="155"/>
      <c r="Z777" s="155"/>
      <c r="AA777" s="155"/>
    </row>
    <row r="778" ht="22.5" customHeight="1">
      <c r="A778" s="139"/>
      <c r="B778" s="71"/>
      <c r="C778" s="117"/>
      <c r="D778" s="25"/>
      <c r="E778" s="118"/>
      <c r="F778" s="118"/>
      <c r="G778" s="138"/>
      <c r="H778" s="26"/>
      <c r="I778" s="155"/>
      <c r="J778" s="200"/>
      <c r="K778" s="155"/>
      <c r="L778" s="155"/>
      <c r="M778" s="155"/>
      <c r="N778" s="155"/>
      <c r="O778" s="155"/>
      <c r="P778" s="155"/>
      <c r="Q778" s="155"/>
      <c r="R778" s="155"/>
      <c r="S778" s="155"/>
      <c r="T778" s="155"/>
      <c r="U778" s="155"/>
      <c r="V778" s="155"/>
      <c r="W778" s="155"/>
      <c r="X778" s="155"/>
      <c r="Y778" s="155"/>
      <c r="Z778" s="155"/>
      <c r="AA778" s="155"/>
    </row>
    <row r="779" ht="22.5" customHeight="1">
      <c r="A779" s="139"/>
      <c r="B779" s="71"/>
      <c r="C779" s="117"/>
      <c r="D779" s="25"/>
      <c r="E779" s="118"/>
      <c r="F779" s="118"/>
      <c r="G779" s="138"/>
      <c r="H779" s="26"/>
      <c r="I779" s="155"/>
      <c r="J779" s="200"/>
      <c r="K779" s="155"/>
      <c r="L779" s="155"/>
      <c r="M779" s="155"/>
      <c r="N779" s="155"/>
      <c r="O779" s="155"/>
      <c r="P779" s="155"/>
      <c r="Q779" s="155"/>
      <c r="R779" s="155"/>
      <c r="S779" s="155"/>
      <c r="T779" s="155"/>
      <c r="U779" s="155"/>
      <c r="V779" s="155"/>
      <c r="W779" s="155"/>
      <c r="X779" s="155"/>
      <c r="Y779" s="155"/>
      <c r="Z779" s="155"/>
      <c r="AA779" s="155"/>
    </row>
    <row r="780" ht="22.5" customHeight="1">
      <c r="A780" s="139"/>
      <c r="B780" s="71"/>
      <c r="C780" s="117"/>
      <c r="D780" s="25"/>
      <c r="E780" s="118"/>
      <c r="F780" s="118"/>
      <c r="G780" s="138"/>
      <c r="H780" s="26"/>
      <c r="I780" s="155"/>
      <c r="J780" s="200"/>
      <c r="K780" s="155"/>
      <c r="L780" s="155"/>
      <c r="M780" s="155"/>
      <c r="N780" s="155"/>
      <c r="O780" s="155"/>
      <c r="P780" s="155"/>
      <c r="Q780" s="155"/>
      <c r="R780" s="155"/>
      <c r="S780" s="155"/>
      <c r="T780" s="155"/>
      <c r="U780" s="155"/>
      <c r="V780" s="155"/>
      <c r="W780" s="155"/>
      <c r="X780" s="155"/>
      <c r="Y780" s="155"/>
      <c r="Z780" s="155"/>
      <c r="AA780" s="155"/>
    </row>
    <row r="781" ht="22.5" customHeight="1">
      <c r="A781" s="139"/>
      <c r="B781" s="71"/>
      <c r="C781" s="117"/>
      <c r="D781" s="25"/>
      <c r="E781" s="118"/>
      <c r="F781" s="118"/>
      <c r="G781" s="138"/>
      <c r="H781" s="26"/>
      <c r="I781" s="155"/>
      <c r="J781" s="200"/>
      <c r="K781" s="155"/>
      <c r="L781" s="155"/>
      <c r="M781" s="155"/>
      <c r="N781" s="155"/>
      <c r="O781" s="155"/>
      <c r="P781" s="155"/>
      <c r="Q781" s="155"/>
      <c r="R781" s="155"/>
      <c r="S781" s="155"/>
      <c r="T781" s="155"/>
      <c r="U781" s="155"/>
      <c r="V781" s="155"/>
      <c r="W781" s="155"/>
      <c r="X781" s="155"/>
      <c r="Y781" s="155"/>
      <c r="Z781" s="155"/>
      <c r="AA781" s="155"/>
    </row>
    <row r="782" ht="22.5" customHeight="1">
      <c r="A782" s="139"/>
      <c r="B782" s="71"/>
      <c r="C782" s="117"/>
      <c r="D782" s="25"/>
      <c r="E782" s="118"/>
      <c r="F782" s="118"/>
      <c r="G782" s="138"/>
      <c r="H782" s="26"/>
      <c r="I782" s="155"/>
      <c r="J782" s="200"/>
      <c r="K782" s="155"/>
      <c r="L782" s="155"/>
      <c r="M782" s="155"/>
      <c r="N782" s="155"/>
      <c r="O782" s="155"/>
      <c r="P782" s="155"/>
      <c r="Q782" s="155"/>
      <c r="R782" s="155"/>
      <c r="S782" s="155"/>
      <c r="T782" s="155"/>
      <c r="U782" s="155"/>
      <c r="V782" s="155"/>
      <c r="W782" s="155"/>
      <c r="X782" s="155"/>
      <c r="Y782" s="155"/>
      <c r="Z782" s="155"/>
      <c r="AA782" s="155"/>
    </row>
    <row r="783" ht="22.5" customHeight="1">
      <c r="A783" s="139"/>
      <c r="B783" s="71"/>
      <c r="C783" s="117"/>
      <c r="D783" s="25"/>
      <c r="E783" s="118"/>
      <c r="F783" s="118"/>
      <c r="G783" s="138"/>
      <c r="H783" s="26"/>
      <c r="I783" s="155"/>
      <c r="J783" s="200"/>
      <c r="K783" s="155"/>
      <c r="L783" s="155"/>
      <c r="M783" s="155"/>
      <c r="N783" s="155"/>
      <c r="O783" s="155"/>
      <c r="P783" s="155"/>
      <c r="Q783" s="155"/>
      <c r="R783" s="155"/>
      <c r="S783" s="155"/>
      <c r="T783" s="155"/>
      <c r="U783" s="155"/>
      <c r="V783" s="155"/>
      <c r="W783" s="155"/>
      <c r="X783" s="155"/>
      <c r="Y783" s="155"/>
      <c r="Z783" s="155"/>
      <c r="AA783" s="155"/>
    </row>
    <row r="784" ht="22.5" customHeight="1">
      <c r="A784" s="139"/>
      <c r="B784" s="71"/>
      <c r="C784" s="117"/>
      <c r="D784" s="25"/>
      <c r="E784" s="118"/>
      <c r="F784" s="118"/>
      <c r="G784" s="138"/>
      <c r="H784" s="26"/>
      <c r="I784" s="155"/>
      <c r="J784" s="200"/>
      <c r="K784" s="155"/>
      <c r="L784" s="155"/>
      <c r="M784" s="155"/>
      <c r="N784" s="155"/>
      <c r="O784" s="155"/>
      <c r="P784" s="155"/>
      <c r="Q784" s="155"/>
      <c r="R784" s="155"/>
      <c r="S784" s="155"/>
      <c r="T784" s="155"/>
      <c r="U784" s="155"/>
      <c r="V784" s="155"/>
      <c r="W784" s="155"/>
      <c r="X784" s="155"/>
      <c r="Y784" s="155"/>
      <c r="Z784" s="155"/>
      <c r="AA784" s="155"/>
    </row>
    <row r="785" ht="22.5" customHeight="1">
      <c r="A785" s="139"/>
      <c r="B785" s="71"/>
      <c r="C785" s="117"/>
      <c r="D785" s="25"/>
      <c r="E785" s="118"/>
      <c r="F785" s="118"/>
      <c r="G785" s="138"/>
      <c r="H785" s="26"/>
      <c r="I785" s="155"/>
      <c r="J785" s="200"/>
      <c r="K785" s="155"/>
      <c r="L785" s="155"/>
      <c r="M785" s="155"/>
      <c r="N785" s="155"/>
      <c r="O785" s="155"/>
      <c r="P785" s="155"/>
      <c r="Q785" s="155"/>
      <c r="R785" s="155"/>
      <c r="S785" s="155"/>
      <c r="T785" s="155"/>
      <c r="U785" s="155"/>
      <c r="V785" s="155"/>
      <c r="W785" s="155"/>
      <c r="X785" s="155"/>
      <c r="Y785" s="155"/>
      <c r="Z785" s="155"/>
      <c r="AA785" s="155"/>
    </row>
    <row r="786" ht="22.5" customHeight="1">
      <c r="A786" s="139"/>
      <c r="B786" s="71"/>
      <c r="C786" s="117"/>
      <c r="D786" s="25"/>
      <c r="E786" s="118"/>
      <c r="F786" s="118"/>
      <c r="G786" s="138"/>
      <c r="H786" s="26"/>
      <c r="I786" s="155"/>
      <c r="J786" s="200"/>
      <c r="K786" s="155"/>
      <c r="L786" s="155"/>
      <c r="M786" s="155"/>
      <c r="N786" s="155"/>
      <c r="O786" s="155"/>
      <c r="P786" s="155"/>
      <c r="Q786" s="155"/>
      <c r="R786" s="155"/>
      <c r="S786" s="155"/>
      <c r="T786" s="155"/>
      <c r="U786" s="155"/>
      <c r="V786" s="155"/>
      <c r="W786" s="155"/>
      <c r="X786" s="155"/>
      <c r="Y786" s="155"/>
      <c r="Z786" s="155"/>
      <c r="AA786" s="155"/>
    </row>
    <row r="787" ht="22.5" customHeight="1">
      <c r="A787" s="139"/>
      <c r="B787" s="71"/>
      <c r="C787" s="117"/>
      <c r="D787" s="25"/>
      <c r="E787" s="118"/>
      <c r="F787" s="118"/>
      <c r="G787" s="138"/>
      <c r="H787" s="26"/>
      <c r="I787" s="155"/>
      <c r="J787" s="200"/>
      <c r="K787" s="155"/>
      <c r="L787" s="155"/>
      <c r="M787" s="155"/>
      <c r="N787" s="155"/>
      <c r="O787" s="155"/>
      <c r="P787" s="155"/>
      <c r="Q787" s="155"/>
      <c r="R787" s="155"/>
      <c r="S787" s="155"/>
      <c r="T787" s="155"/>
      <c r="U787" s="155"/>
      <c r="V787" s="155"/>
      <c r="W787" s="155"/>
      <c r="X787" s="155"/>
      <c r="Y787" s="155"/>
      <c r="Z787" s="155"/>
      <c r="AA787" s="155"/>
    </row>
    <row r="788" ht="22.5" customHeight="1">
      <c r="A788" s="139"/>
      <c r="B788" s="71"/>
      <c r="C788" s="117"/>
      <c r="D788" s="25"/>
      <c r="E788" s="118"/>
      <c r="F788" s="118"/>
      <c r="G788" s="138"/>
      <c r="H788" s="26"/>
      <c r="I788" s="155"/>
      <c r="J788" s="200"/>
      <c r="K788" s="155"/>
      <c r="L788" s="155"/>
      <c r="M788" s="155"/>
      <c r="N788" s="155"/>
      <c r="O788" s="155"/>
      <c r="P788" s="155"/>
      <c r="Q788" s="155"/>
      <c r="R788" s="155"/>
      <c r="S788" s="155"/>
      <c r="T788" s="155"/>
      <c r="U788" s="155"/>
      <c r="V788" s="155"/>
      <c r="W788" s="155"/>
      <c r="X788" s="155"/>
      <c r="Y788" s="155"/>
      <c r="Z788" s="155"/>
      <c r="AA788" s="155"/>
    </row>
    <row r="789" ht="22.5" customHeight="1">
      <c r="A789" s="139"/>
      <c r="B789" s="71"/>
      <c r="C789" s="117"/>
      <c r="D789" s="25"/>
      <c r="E789" s="118"/>
      <c r="F789" s="118"/>
      <c r="G789" s="138"/>
      <c r="H789" s="26"/>
      <c r="I789" s="155"/>
      <c r="J789" s="200"/>
      <c r="K789" s="155"/>
      <c r="L789" s="155"/>
      <c r="M789" s="155"/>
      <c r="N789" s="155"/>
      <c r="O789" s="155"/>
      <c r="P789" s="155"/>
      <c r="Q789" s="155"/>
      <c r="R789" s="155"/>
      <c r="S789" s="155"/>
      <c r="T789" s="155"/>
      <c r="U789" s="155"/>
      <c r="V789" s="155"/>
      <c r="W789" s="155"/>
      <c r="X789" s="155"/>
      <c r="Y789" s="155"/>
      <c r="Z789" s="155"/>
      <c r="AA789" s="155"/>
    </row>
    <row r="790" ht="22.5" customHeight="1">
      <c r="A790" s="139"/>
      <c r="B790" s="71"/>
      <c r="C790" s="117"/>
      <c r="D790" s="25"/>
      <c r="E790" s="118"/>
      <c r="F790" s="118"/>
      <c r="G790" s="138"/>
      <c r="H790" s="26"/>
      <c r="I790" s="155"/>
      <c r="J790" s="200"/>
      <c r="K790" s="155"/>
      <c r="L790" s="155"/>
      <c r="M790" s="155"/>
      <c r="N790" s="155"/>
      <c r="O790" s="155"/>
      <c r="P790" s="155"/>
      <c r="Q790" s="155"/>
      <c r="R790" s="155"/>
      <c r="S790" s="155"/>
      <c r="T790" s="155"/>
      <c r="U790" s="155"/>
      <c r="V790" s="155"/>
      <c r="W790" s="155"/>
      <c r="X790" s="155"/>
      <c r="Y790" s="155"/>
      <c r="Z790" s="155"/>
      <c r="AA790" s="155"/>
    </row>
    <row r="791" ht="22.5" customHeight="1">
      <c r="A791" s="139"/>
      <c r="B791" s="71"/>
      <c r="C791" s="117"/>
      <c r="D791" s="25"/>
      <c r="E791" s="118"/>
      <c r="F791" s="118"/>
      <c r="G791" s="138"/>
      <c r="H791" s="26"/>
      <c r="I791" s="155"/>
      <c r="J791" s="200"/>
      <c r="K791" s="155"/>
      <c r="L791" s="155"/>
      <c r="M791" s="155"/>
      <c r="N791" s="155"/>
      <c r="O791" s="155"/>
      <c r="P791" s="155"/>
      <c r="Q791" s="155"/>
      <c r="R791" s="155"/>
      <c r="S791" s="155"/>
      <c r="T791" s="155"/>
      <c r="U791" s="155"/>
      <c r="V791" s="155"/>
      <c r="W791" s="155"/>
      <c r="X791" s="155"/>
      <c r="Y791" s="155"/>
      <c r="Z791" s="155"/>
      <c r="AA791" s="155"/>
    </row>
    <row r="792" ht="22.5" customHeight="1">
      <c r="A792" s="139"/>
      <c r="B792" s="71"/>
      <c r="C792" s="117"/>
      <c r="D792" s="25"/>
      <c r="E792" s="118"/>
      <c r="F792" s="118"/>
      <c r="G792" s="138"/>
      <c r="H792" s="26"/>
      <c r="I792" s="155"/>
      <c r="J792" s="200"/>
      <c r="K792" s="155"/>
      <c r="L792" s="155"/>
      <c r="M792" s="155"/>
      <c r="N792" s="155"/>
      <c r="O792" s="155"/>
      <c r="P792" s="155"/>
      <c r="Q792" s="155"/>
      <c r="R792" s="155"/>
      <c r="S792" s="155"/>
      <c r="T792" s="155"/>
      <c r="U792" s="155"/>
      <c r="V792" s="155"/>
      <c r="W792" s="155"/>
      <c r="X792" s="155"/>
      <c r="Y792" s="155"/>
      <c r="Z792" s="155"/>
      <c r="AA792" s="155"/>
    </row>
    <row r="793" ht="22.5" customHeight="1">
      <c r="A793" s="139"/>
      <c r="B793" s="71"/>
      <c r="C793" s="117"/>
      <c r="D793" s="25"/>
      <c r="E793" s="118"/>
      <c r="F793" s="118"/>
      <c r="G793" s="138"/>
      <c r="H793" s="26"/>
      <c r="I793" s="155"/>
      <c r="J793" s="200"/>
      <c r="K793" s="155"/>
      <c r="L793" s="155"/>
      <c r="M793" s="155"/>
      <c r="N793" s="155"/>
      <c r="O793" s="155"/>
      <c r="P793" s="155"/>
      <c r="Q793" s="155"/>
      <c r="R793" s="155"/>
      <c r="S793" s="155"/>
      <c r="T793" s="155"/>
      <c r="U793" s="155"/>
      <c r="V793" s="155"/>
      <c r="W793" s="155"/>
      <c r="X793" s="155"/>
      <c r="Y793" s="155"/>
      <c r="Z793" s="155"/>
      <c r="AA793" s="155"/>
    </row>
    <row r="794" ht="22.5" customHeight="1">
      <c r="A794" s="139"/>
      <c r="B794" s="71"/>
      <c r="C794" s="117"/>
      <c r="D794" s="25"/>
      <c r="E794" s="118"/>
      <c r="F794" s="118"/>
      <c r="G794" s="138"/>
      <c r="H794" s="26"/>
      <c r="I794" s="155"/>
      <c r="J794" s="200"/>
      <c r="K794" s="155"/>
      <c r="L794" s="155"/>
      <c r="M794" s="155"/>
      <c r="N794" s="155"/>
      <c r="O794" s="155"/>
      <c r="P794" s="155"/>
      <c r="Q794" s="155"/>
      <c r="R794" s="155"/>
      <c r="S794" s="155"/>
      <c r="T794" s="155"/>
      <c r="U794" s="155"/>
      <c r="V794" s="155"/>
      <c r="W794" s="155"/>
      <c r="X794" s="155"/>
      <c r="Y794" s="155"/>
      <c r="Z794" s="155"/>
      <c r="AA794" s="155"/>
    </row>
    <row r="795" ht="22.5" customHeight="1">
      <c r="A795" s="139"/>
      <c r="B795" s="71"/>
      <c r="C795" s="117"/>
      <c r="D795" s="25"/>
      <c r="E795" s="118"/>
      <c r="F795" s="118"/>
      <c r="G795" s="138"/>
      <c r="H795" s="26"/>
      <c r="I795" s="155"/>
      <c r="J795" s="200"/>
      <c r="K795" s="155"/>
      <c r="L795" s="155"/>
      <c r="M795" s="155"/>
      <c r="N795" s="155"/>
      <c r="O795" s="155"/>
      <c r="P795" s="155"/>
      <c r="Q795" s="155"/>
      <c r="R795" s="155"/>
      <c r="S795" s="155"/>
      <c r="T795" s="155"/>
      <c r="U795" s="155"/>
      <c r="V795" s="155"/>
      <c r="W795" s="155"/>
      <c r="X795" s="155"/>
      <c r="Y795" s="155"/>
      <c r="Z795" s="155"/>
      <c r="AA795" s="155"/>
    </row>
    <row r="796" ht="22.5" customHeight="1">
      <c r="A796" s="139"/>
      <c r="B796" s="71"/>
      <c r="C796" s="117"/>
      <c r="D796" s="25"/>
      <c r="E796" s="118"/>
      <c r="F796" s="118"/>
      <c r="G796" s="138"/>
      <c r="H796" s="26"/>
      <c r="I796" s="155"/>
      <c r="J796" s="200"/>
      <c r="K796" s="155"/>
      <c r="L796" s="155"/>
      <c r="M796" s="155"/>
      <c r="N796" s="155"/>
      <c r="O796" s="155"/>
      <c r="P796" s="155"/>
      <c r="Q796" s="155"/>
      <c r="R796" s="155"/>
      <c r="S796" s="155"/>
      <c r="T796" s="155"/>
      <c r="U796" s="155"/>
      <c r="V796" s="155"/>
      <c r="W796" s="155"/>
      <c r="X796" s="155"/>
      <c r="Y796" s="155"/>
      <c r="Z796" s="155"/>
      <c r="AA796" s="155"/>
    </row>
    <row r="797" ht="22.5" customHeight="1">
      <c r="A797" s="139"/>
      <c r="B797" s="71"/>
      <c r="C797" s="117"/>
      <c r="D797" s="25"/>
      <c r="E797" s="118"/>
      <c r="F797" s="118"/>
      <c r="G797" s="138"/>
      <c r="H797" s="26"/>
      <c r="I797" s="155"/>
      <c r="J797" s="200"/>
      <c r="K797" s="155"/>
      <c r="L797" s="155"/>
      <c r="M797" s="155"/>
      <c r="N797" s="155"/>
      <c r="O797" s="155"/>
      <c r="P797" s="155"/>
      <c r="Q797" s="155"/>
      <c r="R797" s="155"/>
      <c r="S797" s="155"/>
      <c r="T797" s="155"/>
      <c r="U797" s="155"/>
      <c r="V797" s="155"/>
      <c r="W797" s="155"/>
      <c r="X797" s="155"/>
      <c r="Y797" s="155"/>
      <c r="Z797" s="155"/>
      <c r="AA797" s="155"/>
    </row>
    <row r="798" ht="22.5" customHeight="1">
      <c r="A798" s="139"/>
      <c r="B798" s="71"/>
      <c r="C798" s="117"/>
      <c r="D798" s="25"/>
      <c r="E798" s="118"/>
      <c r="F798" s="118"/>
      <c r="G798" s="138"/>
      <c r="H798" s="26"/>
      <c r="I798" s="155"/>
      <c r="J798" s="200"/>
      <c r="K798" s="155"/>
      <c r="L798" s="155"/>
      <c r="M798" s="155"/>
      <c r="N798" s="155"/>
      <c r="O798" s="155"/>
      <c r="P798" s="155"/>
      <c r="Q798" s="155"/>
      <c r="R798" s="155"/>
      <c r="S798" s="155"/>
      <c r="T798" s="155"/>
      <c r="U798" s="155"/>
      <c r="V798" s="155"/>
      <c r="W798" s="155"/>
      <c r="X798" s="155"/>
      <c r="Y798" s="155"/>
      <c r="Z798" s="155"/>
      <c r="AA798" s="155"/>
    </row>
    <row r="799" ht="22.5" customHeight="1">
      <c r="A799" s="139"/>
      <c r="B799" s="71"/>
      <c r="C799" s="117"/>
      <c r="D799" s="25"/>
      <c r="E799" s="118"/>
      <c r="F799" s="118"/>
      <c r="G799" s="138"/>
      <c r="H799" s="26"/>
      <c r="I799" s="155"/>
      <c r="J799" s="200"/>
      <c r="K799" s="155"/>
      <c r="L799" s="155"/>
      <c r="M799" s="155"/>
      <c r="N799" s="155"/>
      <c r="O799" s="155"/>
      <c r="P799" s="155"/>
      <c r="Q799" s="155"/>
      <c r="R799" s="155"/>
      <c r="S799" s="155"/>
      <c r="T799" s="155"/>
      <c r="U799" s="155"/>
      <c r="V799" s="155"/>
      <c r="W799" s="155"/>
      <c r="X799" s="155"/>
      <c r="Y799" s="155"/>
      <c r="Z799" s="155"/>
      <c r="AA799" s="155"/>
    </row>
    <row r="800" ht="22.5" customHeight="1">
      <c r="A800" s="139"/>
      <c r="B800" s="71"/>
      <c r="C800" s="117"/>
      <c r="D800" s="25"/>
      <c r="E800" s="118"/>
      <c r="F800" s="118"/>
      <c r="G800" s="138"/>
      <c r="H800" s="26"/>
      <c r="I800" s="155"/>
      <c r="J800" s="200"/>
      <c r="K800" s="155"/>
      <c r="L800" s="155"/>
      <c r="M800" s="155"/>
      <c r="N800" s="155"/>
      <c r="O800" s="155"/>
      <c r="P800" s="155"/>
      <c r="Q800" s="155"/>
      <c r="R800" s="155"/>
      <c r="S800" s="155"/>
      <c r="T800" s="155"/>
      <c r="U800" s="155"/>
      <c r="V800" s="155"/>
      <c r="W800" s="155"/>
      <c r="X800" s="155"/>
      <c r="Y800" s="155"/>
      <c r="Z800" s="155"/>
      <c r="AA800" s="155"/>
    </row>
    <row r="801" ht="22.5" customHeight="1">
      <c r="A801" s="139"/>
      <c r="B801" s="71"/>
      <c r="C801" s="117"/>
      <c r="D801" s="25"/>
      <c r="E801" s="118"/>
      <c r="F801" s="118"/>
      <c r="G801" s="138"/>
      <c r="H801" s="26"/>
      <c r="I801" s="155"/>
      <c r="J801" s="200"/>
      <c r="K801" s="155"/>
      <c r="L801" s="155"/>
      <c r="M801" s="155"/>
      <c r="N801" s="155"/>
      <c r="O801" s="155"/>
      <c r="P801" s="155"/>
      <c r="Q801" s="155"/>
      <c r="R801" s="155"/>
      <c r="S801" s="155"/>
      <c r="T801" s="155"/>
      <c r="U801" s="155"/>
      <c r="V801" s="155"/>
      <c r="W801" s="155"/>
      <c r="X801" s="155"/>
      <c r="Y801" s="155"/>
      <c r="Z801" s="155"/>
      <c r="AA801" s="155"/>
    </row>
    <row r="802" ht="22.5" customHeight="1">
      <c r="A802" s="139"/>
      <c r="B802" s="71"/>
      <c r="C802" s="117"/>
      <c r="D802" s="25"/>
      <c r="E802" s="118"/>
      <c r="F802" s="118"/>
      <c r="G802" s="138"/>
      <c r="H802" s="26"/>
      <c r="I802" s="155"/>
      <c r="J802" s="200"/>
      <c r="K802" s="155"/>
      <c r="L802" s="155"/>
      <c r="M802" s="155"/>
      <c r="N802" s="155"/>
      <c r="O802" s="155"/>
      <c r="P802" s="155"/>
      <c r="Q802" s="155"/>
      <c r="R802" s="155"/>
      <c r="S802" s="155"/>
      <c r="T802" s="155"/>
      <c r="U802" s="155"/>
      <c r="V802" s="155"/>
      <c r="W802" s="155"/>
      <c r="X802" s="155"/>
      <c r="Y802" s="155"/>
      <c r="Z802" s="155"/>
      <c r="AA802" s="155"/>
    </row>
    <row r="803" ht="22.5" customHeight="1">
      <c r="A803" s="139"/>
      <c r="B803" s="71"/>
      <c r="C803" s="117"/>
      <c r="D803" s="25"/>
      <c r="E803" s="118"/>
      <c r="F803" s="118"/>
      <c r="G803" s="138"/>
      <c r="H803" s="26"/>
      <c r="I803" s="155"/>
      <c r="J803" s="200"/>
      <c r="K803" s="155"/>
      <c r="L803" s="155"/>
      <c r="M803" s="155"/>
      <c r="N803" s="155"/>
      <c r="O803" s="155"/>
      <c r="P803" s="155"/>
      <c r="Q803" s="155"/>
      <c r="R803" s="155"/>
      <c r="S803" s="155"/>
      <c r="T803" s="155"/>
      <c r="U803" s="155"/>
      <c r="V803" s="155"/>
      <c r="W803" s="155"/>
      <c r="X803" s="155"/>
      <c r="Y803" s="155"/>
      <c r="Z803" s="155"/>
      <c r="AA803" s="155"/>
    </row>
    <row r="804" ht="22.5" customHeight="1">
      <c r="A804" s="139"/>
      <c r="B804" s="71"/>
      <c r="C804" s="117"/>
      <c r="D804" s="25"/>
      <c r="E804" s="118"/>
      <c r="F804" s="118"/>
      <c r="G804" s="138"/>
      <c r="H804" s="26"/>
      <c r="I804" s="155"/>
      <c r="J804" s="200"/>
      <c r="K804" s="155"/>
      <c r="L804" s="155"/>
      <c r="M804" s="155"/>
      <c r="N804" s="155"/>
      <c r="O804" s="155"/>
      <c r="P804" s="155"/>
      <c r="Q804" s="155"/>
      <c r="R804" s="155"/>
      <c r="S804" s="155"/>
      <c r="T804" s="155"/>
      <c r="U804" s="155"/>
      <c r="V804" s="155"/>
      <c r="W804" s="155"/>
      <c r="X804" s="155"/>
      <c r="Y804" s="155"/>
      <c r="Z804" s="155"/>
      <c r="AA804" s="155"/>
    </row>
    <row r="805" ht="22.5" customHeight="1">
      <c r="A805" s="139"/>
      <c r="B805" s="71"/>
      <c r="C805" s="117"/>
      <c r="D805" s="25"/>
      <c r="E805" s="118"/>
      <c r="F805" s="118"/>
      <c r="G805" s="138"/>
      <c r="H805" s="26"/>
      <c r="I805" s="155"/>
      <c r="J805" s="200"/>
      <c r="K805" s="155"/>
      <c r="L805" s="155"/>
      <c r="M805" s="155"/>
      <c r="N805" s="155"/>
      <c r="O805" s="155"/>
      <c r="P805" s="155"/>
      <c r="Q805" s="155"/>
      <c r="R805" s="155"/>
      <c r="S805" s="155"/>
      <c r="T805" s="155"/>
      <c r="U805" s="155"/>
      <c r="V805" s="155"/>
      <c r="W805" s="155"/>
      <c r="X805" s="155"/>
      <c r="Y805" s="155"/>
      <c r="Z805" s="155"/>
      <c r="AA805" s="155"/>
    </row>
    <row r="806" ht="22.5" customHeight="1">
      <c r="A806" s="139"/>
      <c r="B806" s="71"/>
      <c r="C806" s="117"/>
      <c r="D806" s="25"/>
      <c r="E806" s="118"/>
      <c r="F806" s="118"/>
      <c r="G806" s="138"/>
      <c r="H806" s="26"/>
      <c r="I806" s="155"/>
      <c r="J806" s="200"/>
      <c r="K806" s="155"/>
      <c r="L806" s="155"/>
      <c r="M806" s="155"/>
      <c r="N806" s="155"/>
      <c r="O806" s="155"/>
      <c r="P806" s="155"/>
      <c r="Q806" s="155"/>
      <c r="R806" s="155"/>
      <c r="S806" s="155"/>
      <c r="T806" s="155"/>
      <c r="U806" s="155"/>
      <c r="V806" s="155"/>
      <c r="W806" s="155"/>
      <c r="X806" s="155"/>
      <c r="Y806" s="155"/>
      <c r="Z806" s="155"/>
      <c r="AA806" s="155"/>
    </row>
    <row r="807" ht="22.5" customHeight="1">
      <c r="A807" s="139"/>
      <c r="B807" s="71"/>
      <c r="C807" s="117"/>
      <c r="D807" s="25"/>
      <c r="E807" s="118"/>
      <c r="F807" s="118"/>
      <c r="G807" s="138"/>
      <c r="H807" s="26"/>
      <c r="I807" s="155"/>
      <c r="J807" s="200"/>
      <c r="K807" s="155"/>
      <c r="L807" s="155"/>
      <c r="M807" s="155"/>
      <c r="N807" s="155"/>
      <c r="O807" s="155"/>
      <c r="P807" s="155"/>
      <c r="Q807" s="155"/>
      <c r="R807" s="155"/>
      <c r="S807" s="155"/>
      <c r="T807" s="155"/>
      <c r="U807" s="155"/>
      <c r="V807" s="155"/>
      <c r="W807" s="155"/>
      <c r="X807" s="155"/>
      <c r="Y807" s="155"/>
      <c r="Z807" s="155"/>
      <c r="AA807" s="155"/>
    </row>
    <row r="808" ht="22.5" customHeight="1">
      <c r="A808" s="139"/>
      <c r="B808" s="71"/>
      <c r="C808" s="117"/>
      <c r="D808" s="25"/>
      <c r="E808" s="118"/>
      <c r="F808" s="118"/>
      <c r="G808" s="138"/>
      <c r="H808" s="26"/>
      <c r="I808" s="155"/>
      <c r="J808" s="200"/>
      <c r="K808" s="155"/>
      <c r="L808" s="155"/>
      <c r="M808" s="155"/>
      <c r="N808" s="155"/>
      <c r="O808" s="155"/>
      <c r="P808" s="155"/>
      <c r="Q808" s="155"/>
      <c r="R808" s="155"/>
      <c r="S808" s="155"/>
      <c r="T808" s="155"/>
      <c r="U808" s="155"/>
      <c r="V808" s="155"/>
      <c r="W808" s="155"/>
      <c r="X808" s="155"/>
      <c r="Y808" s="155"/>
      <c r="Z808" s="155"/>
      <c r="AA808" s="155"/>
    </row>
    <row r="809" ht="22.5" customHeight="1">
      <c r="A809" s="139"/>
      <c r="B809" s="71"/>
      <c r="C809" s="117"/>
      <c r="D809" s="25"/>
      <c r="E809" s="118"/>
      <c r="F809" s="118"/>
      <c r="G809" s="138"/>
      <c r="H809" s="26"/>
      <c r="I809" s="155"/>
      <c r="J809" s="200"/>
      <c r="K809" s="155"/>
      <c r="L809" s="155"/>
      <c r="M809" s="155"/>
      <c r="N809" s="155"/>
      <c r="O809" s="155"/>
      <c r="P809" s="155"/>
      <c r="Q809" s="155"/>
      <c r="R809" s="155"/>
      <c r="S809" s="155"/>
      <c r="T809" s="155"/>
      <c r="U809" s="155"/>
      <c r="V809" s="155"/>
      <c r="W809" s="155"/>
      <c r="X809" s="155"/>
      <c r="Y809" s="155"/>
      <c r="Z809" s="155"/>
      <c r="AA809" s="155"/>
    </row>
    <row r="810" ht="22.5" customHeight="1">
      <c r="A810" s="139"/>
      <c r="B810" s="71"/>
      <c r="C810" s="117"/>
      <c r="D810" s="25"/>
      <c r="E810" s="118"/>
      <c r="F810" s="118"/>
      <c r="G810" s="138"/>
      <c r="H810" s="26"/>
      <c r="I810" s="155"/>
      <c r="J810" s="200"/>
      <c r="K810" s="155"/>
      <c r="L810" s="155"/>
      <c r="M810" s="155"/>
      <c r="N810" s="155"/>
      <c r="O810" s="155"/>
      <c r="P810" s="155"/>
      <c r="Q810" s="155"/>
      <c r="R810" s="155"/>
      <c r="S810" s="155"/>
      <c r="T810" s="155"/>
      <c r="U810" s="155"/>
      <c r="V810" s="155"/>
      <c r="W810" s="155"/>
      <c r="X810" s="155"/>
      <c r="Y810" s="155"/>
      <c r="Z810" s="155"/>
      <c r="AA810" s="155"/>
    </row>
    <row r="811" ht="22.5" customHeight="1">
      <c r="A811" s="139"/>
      <c r="B811" s="71"/>
      <c r="C811" s="117"/>
      <c r="D811" s="25"/>
      <c r="E811" s="118"/>
      <c r="F811" s="118"/>
      <c r="G811" s="138"/>
      <c r="H811" s="26"/>
      <c r="I811" s="155"/>
      <c r="J811" s="200"/>
      <c r="K811" s="155"/>
      <c r="L811" s="155"/>
      <c r="M811" s="155"/>
      <c r="N811" s="155"/>
      <c r="O811" s="155"/>
      <c r="P811" s="155"/>
      <c r="Q811" s="155"/>
      <c r="R811" s="155"/>
      <c r="S811" s="155"/>
      <c r="T811" s="155"/>
      <c r="U811" s="155"/>
      <c r="V811" s="155"/>
      <c r="W811" s="155"/>
      <c r="X811" s="155"/>
      <c r="Y811" s="155"/>
      <c r="Z811" s="155"/>
      <c r="AA811" s="155"/>
    </row>
    <row r="812" ht="22.5" customHeight="1">
      <c r="A812" s="139"/>
      <c r="B812" s="71"/>
      <c r="C812" s="117"/>
      <c r="D812" s="25"/>
      <c r="E812" s="118"/>
      <c r="F812" s="118"/>
      <c r="G812" s="138"/>
      <c r="H812" s="26"/>
      <c r="I812" s="155"/>
      <c r="J812" s="200"/>
      <c r="K812" s="155"/>
      <c r="L812" s="155"/>
      <c r="M812" s="155"/>
      <c r="N812" s="155"/>
      <c r="O812" s="155"/>
      <c r="P812" s="155"/>
      <c r="Q812" s="155"/>
      <c r="R812" s="155"/>
      <c r="S812" s="155"/>
      <c r="T812" s="155"/>
      <c r="U812" s="155"/>
      <c r="V812" s="155"/>
      <c r="W812" s="155"/>
      <c r="X812" s="155"/>
      <c r="Y812" s="155"/>
      <c r="Z812" s="155"/>
      <c r="AA812" s="155"/>
    </row>
    <row r="813" ht="22.5" customHeight="1">
      <c r="A813" s="139"/>
      <c r="B813" s="71"/>
      <c r="C813" s="117"/>
      <c r="D813" s="25"/>
      <c r="E813" s="118"/>
      <c r="F813" s="118"/>
      <c r="G813" s="138"/>
      <c r="H813" s="26"/>
      <c r="I813" s="155"/>
      <c r="J813" s="200"/>
      <c r="K813" s="155"/>
      <c r="L813" s="155"/>
      <c r="M813" s="155"/>
      <c r="N813" s="155"/>
      <c r="O813" s="155"/>
      <c r="P813" s="155"/>
      <c r="Q813" s="155"/>
      <c r="R813" s="155"/>
      <c r="S813" s="155"/>
      <c r="T813" s="155"/>
      <c r="U813" s="155"/>
      <c r="V813" s="155"/>
      <c r="W813" s="155"/>
      <c r="X813" s="155"/>
      <c r="Y813" s="155"/>
      <c r="Z813" s="155"/>
      <c r="AA813" s="155"/>
    </row>
    <row r="814" ht="22.5" customHeight="1">
      <c r="A814" s="139"/>
      <c r="B814" s="71"/>
      <c r="C814" s="117"/>
      <c r="D814" s="25"/>
      <c r="E814" s="118"/>
      <c r="F814" s="118"/>
      <c r="G814" s="138"/>
      <c r="H814" s="26"/>
      <c r="I814" s="155"/>
      <c r="J814" s="200"/>
      <c r="K814" s="155"/>
      <c r="L814" s="155"/>
      <c r="M814" s="155"/>
      <c r="N814" s="155"/>
      <c r="O814" s="155"/>
      <c r="P814" s="155"/>
      <c r="Q814" s="155"/>
      <c r="R814" s="155"/>
      <c r="S814" s="155"/>
      <c r="T814" s="155"/>
      <c r="U814" s="155"/>
      <c r="V814" s="155"/>
      <c r="W814" s="155"/>
      <c r="X814" s="155"/>
      <c r="Y814" s="155"/>
      <c r="Z814" s="155"/>
      <c r="AA814" s="155"/>
    </row>
    <row r="815" ht="22.5" customHeight="1">
      <c r="A815" s="139"/>
      <c r="B815" s="71"/>
      <c r="C815" s="117"/>
      <c r="D815" s="25"/>
      <c r="E815" s="118"/>
      <c r="F815" s="118"/>
      <c r="G815" s="138"/>
      <c r="H815" s="26"/>
      <c r="I815" s="155"/>
      <c r="J815" s="200"/>
      <c r="K815" s="155"/>
      <c r="L815" s="155"/>
      <c r="M815" s="155"/>
      <c r="N815" s="155"/>
      <c r="O815" s="155"/>
      <c r="P815" s="155"/>
      <c r="Q815" s="155"/>
      <c r="R815" s="155"/>
      <c r="S815" s="155"/>
      <c r="T815" s="155"/>
      <c r="U815" s="155"/>
      <c r="V815" s="155"/>
      <c r="W815" s="155"/>
      <c r="X815" s="155"/>
      <c r="Y815" s="155"/>
      <c r="Z815" s="155"/>
      <c r="AA815" s="155"/>
    </row>
    <row r="816" ht="22.5" customHeight="1">
      <c r="A816" s="139"/>
      <c r="B816" s="71"/>
      <c r="C816" s="117"/>
      <c r="D816" s="25"/>
      <c r="E816" s="118"/>
      <c r="F816" s="118"/>
      <c r="G816" s="138"/>
      <c r="H816" s="26"/>
      <c r="I816" s="155"/>
      <c r="J816" s="200"/>
      <c r="K816" s="155"/>
      <c r="L816" s="155"/>
      <c r="M816" s="155"/>
      <c r="N816" s="155"/>
      <c r="O816" s="155"/>
      <c r="P816" s="155"/>
      <c r="Q816" s="155"/>
      <c r="R816" s="155"/>
      <c r="S816" s="155"/>
      <c r="T816" s="155"/>
      <c r="U816" s="155"/>
      <c r="V816" s="155"/>
      <c r="W816" s="155"/>
      <c r="X816" s="155"/>
      <c r="Y816" s="155"/>
      <c r="Z816" s="155"/>
      <c r="AA816" s="155"/>
    </row>
    <row r="817" ht="22.5" customHeight="1">
      <c r="A817" s="139"/>
      <c r="B817" s="71"/>
      <c r="C817" s="117"/>
      <c r="D817" s="25"/>
      <c r="E817" s="118"/>
      <c r="F817" s="118"/>
      <c r="G817" s="138"/>
      <c r="H817" s="26"/>
      <c r="I817" s="155"/>
      <c r="J817" s="200"/>
      <c r="K817" s="155"/>
      <c r="L817" s="155"/>
      <c r="M817" s="155"/>
      <c r="N817" s="155"/>
      <c r="O817" s="155"/>
      <c r="P817" s="155"/>
      <c r="Q817" s="155"/>
      <c r="R817" s="155"/>
      <c r="S817" s="155"/>
      <c r="T817" s="155"/>
      <c r="U817" s="155"/>
      <c r="V817" s="155"/>
      <c r="W817" s="155"/>
      <c r="X817" s="155"/>
      <c r="Y817" s="155"/>
      <c r="Z817" s="155"/>
      <c r="AA817" s="155"/>
    </row>
    <row r="818" ht="22.5" customHeight="1">
      <c r="A818" s="139"/>
      <c r="B818" s="71"/>
      <c r="C818" s="117"/>
      <c r="D818" s="25"/>
      <c r="E818" s="118"/>
      <c r="F818" s="118"/>
      <c r="G818" s="138"/>
      <c r="H818" s="26"/>
      <c r="I818" s="155"/>
      <c r="J818" s="200"/>
      <c r="K818" s="155"/>
      <c r="L818" s="155"/>
      <c r="M818" s="155"/>
      <c r="N818" s="155"/>
      <c r="O818" s="155"/>
      <c r="P818" s="155"/>
      <c r="Q818" s="155"/>
      <c r="R818" s="155"/>
      <c r="S818" s="155"/>
      <c r="T818" s="155"/>
      <c r="U818" s="155"/>
      <c r="V818" s="155"/>
      <c r="W818" s="155"/>
      <c r="X818" s="155"/>
      <c r="Y818" s="155"/>
      <c r="Z818" s="155"/>
      <c r="AA818" s="155"/>
    </row>
    <row r="819" ht="22.5" customHeight="1">
      <c r="A819" s="139"/>
      <c r="B819" s="71"/>
      <c r="C819" s="117"/>
      <c r="D819" s="25"/>
      <c r="E819" s="118"/>
      <c r="F819" s="118"/>
      <c r="G819" s="138"/>
      <c r="H819" s="26"/>
      <c r="I819" s="155"/>
      <c r="J819" s="200"/>
      <c r="K819" s="155"/>
      <c r="L819" s="155"/>
      <c r="M819" s="155"/>
      <c r="N819" s="155"/>
      <c r="O819" s="155"/>
      <c r="P819" s="155"/>
      <c r="Q819" s="155"/>
      <c r="R819" s="155"/>
      <c r="S819" s="155"/>
      <c r="T819" s="155"/>
      <c r="U819" s="155"/>
      <c r="V819" s="155"/>
      <c r="W819" s="155"/>
      <c r="X819" s="155"/>
      <c r="Y819" s="155"/>
      <c r="Z819" s="155"/>
      <c r="AA819" s="155"/>
    </row>
    <row r="820" ht="22.5" customHeight="1">
      <c r="A820" s="139"/>
      <c r="B820" s="71"/>
      <c r="C820" s="117"/>
      <c r="D820" s="25"/>
      <c r="E820" s="118"/>
      <c r="F820" s="118"/>
      <c r="G820" s="138"/>
      <c r="H820" s="26"/>
      <c r="I820" s="155"/>
      <c r="J820" s="200"/>
      <c r="K820" s="155"/>
      <c r="L820" s="155"/>
      <c r="M820" s="155"/>
      <c r="N820" s="155"/>
      <c r="O820" s="155"/>
      <c r="P820" s="155"/>
      <c r="Q820" s="155"/>
      <c r="R820" s="155"/>
      <c r="S820" s="155"/>
      <c r="T820" s="155"/>
      <c r="U820" s="155"/>
      <c r="V820" s="155"/>
      <c r="W820" s="155"/>
      <c r="X820" s="155"/>
      <c r="Y820" s="155"/>
      <c r="Z820" s="155"/>
      <c r="AA820" s="155"/>
    </row>
    <row r="821" ht="22.5" customHeight="1">
      <c r="A821" s="139"/>
      <c r="B821" s="71"/>
      <c r="C821" s="117"/>
      <c r="D821" s="25"/>
      <c r="E821" s="118"/>
      <c r="F821" s="118"/>
      <c r="G821" s="138"/>
      <c r="H821" s="26"/>
      <c r="I821" s="155"/>
      <c r="J821" s="200"/>
      <c r="K821" s="155"/>
      <c r="L821" s="155"/>
      <c r="M821" s="155"/>
      <c r="N821" s="155"/>
      <c r="O821" s="155"/>
      <c r="P821" s="155"/>
      <c r="Q821" s="155"/>
      <c r="R821" s="155"/>
      <c r="S821" s="155"/>
      <c r="T821" s="155"/>
      <c r="U821" s="155"/>
      <c r="V821" s="155"/>
      <c r="W821" s="155"/>
      <c r="X821" s="155"/>
      <c r="Y821" s="155"/>
      <c r="Z821" s="155"/>
      <c r="AA821" s="155"/>
    </row>
    <row r="822" ht="22.5" customHeight="1">
      <c r="A822" s="139"/>
      <c r="B822" s="71"/>
      <c r="C822" s="117"/>
      <c r="D822" s="25"/>
      <c r="E822" s="118"/>
      <c r="F822" s="118"/>
      <c r="G822" s="138"/>
      <c r="H822" s="26"/>
      <c r="I822" s="155"/>
      <c r="J822" s="200"/>
      <c r="K822" s="155"/>
      <c r="L822" s="155"/>
      <c r="M822" s="155"/>
      <c r="N822" s="155"/>
      <c r="O822" s="155"/>
      <c r="P822" s="155"/>
      <c r="Q822" s="155"/>
      <c r="R822" s="155"/>
      <c r="S822" s="155"/>
      <c r="T822" s="155"/>
      <c r="U822" s="155"/>
      <c r="V822" s="155"/>
      <c r="W822" s="155"/>
      <c r="X822" s="155"/>
      <c r="Y822" s="155"/>
      <c r="Z822" s="155"/>
      <c r="AA822" s="155"/>
    </row>
    <row r="823" ht="22.5" customHeight="1">
      <c r="A823" s="139"/>
      <c r="B823" s="71"/>
      <c r="C823" s="117"/>
      <c r="D823" s="25"/>
      <c r="E823" s="118"/>
      <c r="F823" s="118"/>
      <c r="G823" s="138"/>
      <c r="H823" s="26"/>
      <c r="I823" s="155"/>
      <c r="J823" s="200"/>
      <c r="K823" s="155"/>
      <c r="L823" s="155"/>
      <c r="M823" s="155"/>
      <c r="N823" s="155"/>
      <c r="O823" s="155"/>
      <c r="P823" s="155"/>
      <c r="Q823" s="155"/>
      <c r="R823" s="155"/>
      <c r="S823" s="155"/>
      <c r="T823" s="155"/>
      <c r="U823" s="155"/>
      <c r="V823" s="155"/>
      <c r="W823" s="155"/>
      <c r="X823" s="155"/>
      <c r="Y823" s="155"/>
      <c r="Z823" s="155"/>
      <c r="AA823" s="155"/>
    </row>
    <row r="824" ht="22.5" customHeight="1">
      <c r="A824" s="139"/>
      <c r="B824" s="71"/>
      <c r="C824" s="117"/>
      <c r="D824" s="25"/>
      <c r="E824" s="118"/>
      <c r="F824" s="118"/>
      <c r="G824" s="138"/>
      <c r="H824" s="26"/>
      <c r="I824" s="155"/>
      <c r="J824" s="200"/>
      <c r="K824" s="155"/>
      <c r="L824" s="155"/>
      <c r="M824" s="155"/>
      <c r="N824" s="155"/>
      <c r="O824" s="155"/>
      <c r="P824" s="155"/>
      <c r="Q824" s="155"/>
      <c r="R824" s="155"/>
      <c r="S824" s="155"/>
      <c r="T824" s="155"/>
      <c r="U824" s="155"/>
      <c r="V824" s="155"/>
      <c r="W824" s="155"/>
      <c r="X824" s="155"/>
      <c r="Y824" s="155"/>
      <c r="Z824" s="155"/>
      <c r="AA824" s="155"/>
    </row>
    <row r="825" ht="22.5" customHeight="1">
      <c r="A825" s="139"/>
      <c r="B825" s="71"/>
      <c r="C825" s="117"/>
      <c r="D825" s="25"/>
      <c r="E825" s="118"/>
      <c r="F825" s="118"/>
      <c r="G825" s="138"/>
      <c r="H825" s="26"/>
      <c r="I825" s="155"/>
      <c r="J825" s="200"/>
      <c r="K825" s="155"/>
      <c r="L825" s="155"/>
      <c r="M825" s="155"/>
      <c r="N825" s="155"/>
      <c r="O825" s="155"/>
      <c r="P825" s="155"/>
      <c r="Q825" s="155"/>
      <c r="R825" s="155"/>
      <c r="S825" s="155"/>
      <c r="T825" s="155"/>
      <c r="U825" s="155"/>
      <c r="V825" s="155"/>
      <c r="W825" s="155"/>
      <c r="X825" s="155"/>
      <c r="Y825" s="155"/>
      <c r="Z825" s="155"/>
      <c r="AA825" s="155"/>
    </row>
    <row r="826" ht="22.5" customHeight="1">
      <c r="A826" s="139"/>
      <c r="B826" s="71"/>
      <c r="C826" s="117"/>
      <c r="D826" s="25"/>
      <c r="E826" s="118"/>
      <c r="F826" s="118"/>
      <c r="G826" s="138"/>
      <c r="H826" s="26"/>
      <c r="I826" s="155"/>
      <c r="J826" s="200"/>
      <c r="K826" s="155"/>
      <c r="L826" s="155"/>
      <c r="M826" s="155"/>
      <c r="N826" s="155"/>
      <c r="O826" s="155"/>
      <c r="P826" s="155"/>
      <c r="Q826" s="155"/>
      <c r="R826" s="155"/>
      <c r="S826" s="155"/>
      <c r="T826" s="155"/>
      <c r="U826" s="155"/>
      <c r="V826" s="155"/>
      <c r="W826" s="155"/>
      <c r="X826" s="155"/>
      <c r="Y826" s="155"/>
      <c r="Z826" s="155"/>
      <c r="AA826" s="155"/>
    </row>
    <row r="827" ht="22.5" customHeight="1">
      <c r="A827" s="139"/>
      <c r="B827" s="71"/>
      <c r="C827" s="117"/>
      <c r="D827" s="25"/>
      <c r="E827" s="118"/>
      <c r="F827" s="118"/>
      <c r="G827" s="138"/>
      <c r="H827" s="26"/>
      <c r="I827" s="155"/>
      <c r="J827" s="200"/>
      <c r="K827" s="155"/>
      <c r="L827" s="155"/>
      <c r="M827" s="155"/>
      <c r="N827" s="155"/>
      <c r="O827" s="155"/>
      <c r="P827" s="155"/>
      <c r="Q827" s="155"/>
      <c r="R827" s="155"/>
      <c r="S827" s="155"/>
      <c r="T827" s="155"/>
      <c r="U827" s="155"/>
      <c r="V827" s="155"/>
      <c r="W827" s="155"/>
      <c r="X827" s="155"/>
      <c r="Y827" s="155"/>
      <c r="Z827" s="155"/>
      <c r="AA827" s="155"/>
    </row>
    <row r="828" ht="22.5" customHeight="1">
      <c r="A828" s="139"/>
      <c r="B828" s="71"/>
      <c r="C828" s="117"/>
      <c r="D828" s="25"/>
      <c r="E828" s="118"/>
      <c r="F828" s="118"/>
      <c r="G828" s="138"/>
      <c r="H828" s="26"/>
      <c r="I828" s="155"/>
      <c r="J828" s="200"/>
      <c r="K828" s="155"/>
      <c r="L828" s="155"/>
      <c r="M828" s="155"/>
      <c r="N828" s="155"/>
      <c r="O828" s="155"/>
      <c r="P828" s="155"/>
      <c r="Q828" s="155"/>
      <c r="R828" s="155"/>
      <c r="S828" s="155"/>
      <c r="T828" s="155"/>
      <c r="U828" s="155"/>
      <c r="V828" s="155"/>
      <c r="W828" s="155"/>
      <c r="X828" s="155"/>
      <c r="Y828" s="155"/>
      <c r="Z828" s="155"/>
      <c r="AA828" s="155"/>
    </row>
    <row r="829" ht="22.5" customHeight="1">
      <c r="A829" s="139"/>
      <c r="B829" s="71"/>
      <c r="C829" s="117"/>
      <c r="D829" s="25"/>
      <c r="E829" s="118"/>
      <c r="F829" s="118"/>
      <c r="G829" s="138"/>
      <c r="H829" s="26"/>
      <c r="I829" s="155"/>
      <c r="J829" s="200"/>
      <c r="K829" s="155"/>
      <c r="L829" s="155"/>
      <c r="M829" s="155"/>
      <c r="N829" s="155"/>
      <c r="O829" s="155"/>
      <c r="P829" s="155"/>
      <c r="Q829" s="155"/>
      <c r="R829" s="155"/>
      <c r="S829" s="155"/>
      <c r="T829" s="155"/>
      <c r="U829" s="155"/>
      <c r="V829" s="155"/>
      <c r="W829" s="155"/>
      <c r="X829" s="155"/>
      <c r="Y829" s="155"/>
      <c r="Z829" s="155"/>
      <c r="AA829" s="155"/>
    </row>
    <row r="830" ht="22.5" customHeight="1">
      <c r="A830" s="139"/>
      <c r="B830" s="71"/>
      <c r="C830" s="117"/>
      <c r="D830" s="25"/>
      <c r="E830" s="118"/>
      <c r="F830" s="118"/>
      <c r="G830" s="138"/>
      <c r="H830" s="26"/>
      <c r="I830" s="155"/>
      <c r="J830" s="200"/>
      <c r="K830" s="155"/>
      <c r="L830" s="155"/>
      <c r="M830" s="155"/>
      <c r="N830" s="155"/>
      <c r="O830" s="155"/>
      <c r="P830" s="155"/>
      <c r="Q830" s="155"/>
      <c r="R830" s="155"/>
      <c r="S830" s="155"/>
      <c r="T830" s="155"/>
      <c r="U830" s="155"/>
      <c r="V830" s="155"/>
      <c r="W830" s="155"/>
      <c r="X830" s="155"/>
      <c r="Y830" s="155"/>
      <c r="Z830" s="155"/>
      <c r="AA830" s="155"/>
    </row>
    <row r="831" ht="22.5" customHeight="1">
      <c r="A831" s="139"/>
      <c r="B831" s="71"/>
      <c r="C831" s="117"/>
      <c r="D831" s="25"/>
      <c r="E831" s="118"/>
      <c r="F831" s="118"/>
      <c r="G831" s="138"/>
      <c r="H831" s="26"/>
      <c r="I831" s="155"/>
      <c r="J831" s="200"/>
      <c r="K831" s="155"/>
      <c r="L831" s="155"/>
      <c r="M831" s="155"/>
      <c r="N831" s="155"/>
      <c r="O831" s="155"/>
      <c r="P831" s="155"/>
      <c r="Q831" s="155"/>
      <c r="R831" s="155"/>
      <c r="S831" s="155"/>
      <c r="T831" s="155"/>
      <c r="U831" s="155"/>
      <c r="V831" s="155"/>
      <c r="W831" s="155"/>
      <c r="X831" s="155"/>
      <c r="Y831" s="155"/>
      <c r="Z831" s="155"/>
      <c r="AA831" s="155"/>
    </row>
    <row r="832" ht="22.5" customHeight="1">
      <c r="A832" s="139"/>
      <c r="B832" s="71"/>
      <c r="C832" s="117"/>
      <c r="D832" s="25"/>
      <c r="E832" s="118"/>
      <c r="F832" s="118"/>
      <c r="G832" s="138"/>
      <c r="H832" s="26"/>
      <c r="I832" s="155"/>
      <c r="J832" s="200"/>
      <c r="K832" s="155"/>
      <c r="L832" s="155"/>
      <c r="M832" s="155"/>
      <c r="N832" s="155"/>
      <c r="O832" s="155"/>
      <c r="P832" s="155"/>
      <c r="Q832" s="155"/>
      <c r="R832" s="155"/>
      <c r="S832" s="155"/>
      <c r="T832" s="155"/>
      <c r="U832" s="155"/>
      <c r="V832" s="155"/>
      <c r="W832" s="155"/>
      <c r="X832" s="155"/>
      <c r="Y832" s="155"/>
      <c r="Z832" s="155"/>
      <c r="AA832" s="155"/>
    </row>
    <row r="833" ht="22.5" customHeight="1">
      <c r="A833" s="139"/>
      <c r="B833" s="71"/>
      <c r="C833" s="117"/>
      <c r="D833" s="25"/>
      <c r="E833" s="118"/>
      <c r="F833" s="118"/>
      <c r="G833" s="138"/>
      <c r="H833" s="26"/>
      <c r="I833" s="155"/>
      <c r="J833" s="200"/>
      <c r="K833" s="155"/>
      <c r="L833" s="155"/>
      <c r="M833" s="155"/>
      <c r="N833" s="155"/>
      <c r="O833" s="155"/>
      <c r="P833" s="155"/>
      <c r="Q833" s="155"/>
      <c r="R833" s="155"/>
      <c r="S833" s="155"/>
      <c r="T833" s="155"/>
      <c r="U833" s="155"/>
      <c r="V833" s="155"/>
      <c r="W833" s="155"/>
      <c r="X833" s="155"/>
      <c r="Y833" s="155"/>
      <c r="Z833" s="155"/>
      <c r="AA833" s="155"/>
    </row>
    <row r="834" ht="22.5" customHeight="1">
      <c r="A834" s="139"/>
      <c r="B834" s="71"/>
      <c r="C834" s="117"/>
      <c r="D834" s="25"/>
      <c r="E834" s="118"/>
      <c r="F834" s="118"/>
      <c r="G834" s="138"/>
      <c r="H834" s="26"/>
      <c r="I834" s="155"/>
      <c r="J834" s="200"/>
      <c r="K834" s="155"/>
      <c r="L834" s="155"/>
      <c r="M834" s="155"/>
      <c r="N834" s="155"/>
      <c r="O834" s="155"/>
      <c r="P834" s="155"/>
      <c r="Q834" s="155"/>
      <c r="R834" s="155"/>
      <c r="S834" s="155"/>
      <c r="T834" s="155"/>
      <c r="U834" s="155"/>
      <c r="V834" s="155"/>
      <c r="W834" s="155"/>
      <c r="X834" s="155"/>
      <c r="Y834" s="155"/>
      <c r="Z834" s="155"/>
      <c r="AA834" s="155"/>
    </row>
    <row r="835" ht="22.5" customHeight="1">
      <c r="A835" s="139"/>
      <c r="B835" s="71"/>
      <c r="C835" s="117"/>
      <c r="D835" s="25"/>
      <c r="E835" s="118"/>
      <c r="F835" s="118"/>
      <c r="G835" s="138"/>
      <c r="H835" s="26"/>
      <c r="I835" s="155"/>
      <c r="J835" s="200"/>
      <c r="K835" s="155"/>
      <c r="L835" s="155"/>
      <c r="M835" s="155"/>
      <c r="N835" s="155"/>
      <c r="O835" s="155"/>
      <c r="P835" s="155"/>
      <c r="Q835" s="155"/>
      <c r="R835" s="155"/>
      <c r="S835" s="155"/>
      <c r="T835" s="155"/>
      <c r="U835" s="155"/>
      <c r="V835" s="155"/>
      <c r="W835" s="155"/>
      <c r="X835" s="155"/>
      <c r="Y835" s="155"/>
      <c r="Z835" s="155"/>
      <c r="AA835" s="155"/>
    </row>
    <row r="836" ht="22.5" customHeight="1">
      <c r="A836" s="139"/>
      <c r="B836" s="71"/>
      <c r="C836" s="117"/>
      <c r="D836" s="25"/>
      <c r="E836" s="118"/>
      <c r="F836" s="118"/>
      <c r="G836" s="138"/>
      <c r="H836" s="26"/>
      <c r="I836" s="155"/>
      <c r="J836" s="200"/>
      <c r="K836" s="155"/>
      <c r="L836" s="155"/>
      <c r="M836" s="155"/>
      <c r="N836" s="155"/>
      <c r="O836" s="155"/>
      <c r="P836" s="155"/>
      <c r="Q836" s="155"/>
      <c r="R836" s="155"/>
      <c r="S836" s="155"/>
      <c r="T836" s="155"/>
      <c r="U836" s="155"/>
      <c r="V836" s="155"/>
      <c r="W836" s="155"/>
      <c r="X836" s="155"/>
      <c r="Y836" s="155"/>
      <c r="Z836" s="155"/>
      <c r="AA836" s="155"/>
    </row>
    <row r="837" ht="22.5" customHeight="1">
      <c r="A837" s="139"/>
      <c r="B837" s="71"/>
      <c r="C837" s="117"/>
      <c r="D837" s="25"/>
      <c r="E837" s="118"/>
      <c r="F837" s="118"/>
      <c r="G837" s="138"/>
      <c r="H837" s="26"/>
      <c r="I837" s="155"/>
      <c r="J837" s="200"/>
      <c r="K837" s="155"/>
      <c r="L837" s="155"/>
      <c r="M837" s="155"/>
      <c r="N837" s="155"/>
      <c r="O837" s="155"/>
      <c r="P837" s="155"/>
      <c r="Q837" s="155"/>
      <c r="R837" s="155"/>
      <c r="S837" s="155"/>
      <c r="T837" s="155"/>
      <c r="U837" s="155"/>
      <c r="V837" s="155"/>
      <c r="W837" s="155"/>
      <c r="X837" s="155"/>
      <c r="Y837" s="155"/>
      <c r="Z837" s="155"/>
      <c r="AA837" s="155"/>
    </row>
    <row r="838" ht="22.5" customHeight="1">
      <c r="A838" s="139"/>
      <c r="B838" s="71"/>
      <c r="C838" s="117"/>
      <c r="D838" s="25"/>
      <c r="E838" s="118"/>
      <c r="F838" s="118"/>
      <c r="G838" s="138"/>
      <c r="H838" s="26"/>
      <c r="I838" s="155"/>
      <c r="J838" s="200"/>
      <c r="K838" s="155"/>
      <c r="L838" s="155"/>
      <c r="M838" s="155"/>
      <c r="N838" s="155"/>
      <c r="O838" s="155"/>
      <c r="P838" s="155"/>
      <c r="Q838" s="155"/>
      <c r="R838" s="155"/>
      <c r="S838" s="155"/>
      <c r="T838" s="155"/>
      <c r="U838" s="155"/>
      <c r="V838" s="155"/>
      <c r="W838" s="155"/>
      <c r="X838" s="155"/>
      <c r="Y838" s="155"/>
      <c r="Z838" s="155"/>
      <c r="AA838" s="155"/>
    </row>
    <row r="839" ht="22.5" customHeight="1">
      <c r="A839" s="139"/>
      <c r="B839" s="71"/>
      <c r="C839" s="117"/>
      <c r="D839" s="25"/>
      <c r="E839" s="118"/>
      <c r="F839" s="118"/>
      <c r="G839" s="138"/>
      <c r="H839" s="26"/>
      <c r="I839" s="155"/>
      <c r="J839" s="200"/>
      <c r="K839" s="155"/>
      <c r="L839" s="155"/>
      <c r="M839" s="155"/>
      <c r="N839" s="155"/>
      <c r="O839" s="155"/>
      <c r="P839" s="155"/>
      <c r="Q839" s="155"/>
      <c r="R839" s="155"/>
      <c r="S839" s="155"/>
      <c r="T839" s="155"/>
      <c r="U839" s="155"/>
      <c r="V839" s="155"/>
      <c r="W839" s="155"/>
      <c r="X839" s="155"/>
      <c r="Y839" s="155"/>
      <c r="Z839" s="155"/>
      <c r="AA839" s="155"/>
    </row>
    <row r="840" ht="22.5" customHeight="1">
      <c r="A840" s="139"/>
      <c r="B840" s="71"/>
      <c r="C840" s="117"/>
      <c r="D840" s="25"/>
      <c r="E840" s="118"/>
      <c r="F840" s="118"/>
      <c r="G840" s="138"/>
      <c r="H840" s="26"/>
      <c r="I840" s="155"/>
      <c r="J840" s="200"/>
      <c r="K840" s="155"/>
      <c r="L840" s="155"/>
      <c r="M840" s="155"/>
      <c r="N840" s="155"/>
      <c r="O840" s="155"/>
      <c r="P840" s="155"/>
      <c r="Q840" s="155"/>
      <c r="R840" s="155"/>
      <c r="S840" s="155"/>
      <c r="T840" s="155"/>
      <c r="U840" s="155"/>
      <c r="V840" s="155"/>
      <c r="W840" s="155"/>
      <c r="X840" s="155"/>
      <c r="Y840" s="155"/>
      <c r="Z840" s="155"/>
      <c r="AA840" s="155"/>
    </row>
    <row r="841" ht="22.5" customHeight="1">
      <c r="A841" s="139"/>
      <c r="B841" s="71"/>
      <c r="C841" s="117"/>
      <c r="D841" s="25"/>
      <c r="E841" s="118"/>
      <c r="F841" s="118"/>
      <c r="G841" s="138"/>
      <c r="H841" s="26"/>
      <c r="I841" s="155"/>
      <c r="J841" s="200"/>
      <c r="K841" s="155"/>
      <c r="L841" s="155"/>
      <c r="M841" s="155"/>
      <c r="N841" s="155"/>
      <c r="O841" s="155"/>
      <c r="P841" s="155"/>
      <c r="Q841" s="155"/>
      <c r="R841" s="155"/>
      <c r="S841" s="155"/>
      <c r="T841" s="155"/>
      <c r="U841" s="155"/>
      <c r="V841" s="155"/>
      <c r="W841" s="155"/>
      <c r="X841" s="155"/>
      <c r="Y841" s="155"/>
      <c r="Z841" s="155"/>
      <c r="AA841" s="155"/>
    </row>
    <row r="842" ht="22.5" customHeight="1">
      <c r="A842" s="139"/>
      <c r="B842" s="71"/>
      <c r="C842" s="117"/>
      <c r="D842" s="25"/>
      <c r="E842" s="118"/>
      <c r="F842" s="118"/>
      <c r="G842" s="138"/>
      <c r="H842" s="26"/>
      <c r="I842" s="155"/>
      <c r="J842" s="200"/>
      <c r="K842" s="155"/>
      <c r="L842" s="155"/>
      <c r="M842" s="155"/>
      <c r="N842" s="155"/>
      <c r="O842" s="155"/>
      <c r="P842" s="155"/>
      <c r="Q842" s="155"/>
      <c r="R842" s="155"/>
      <c r="S842" s="155"/>
      <c r="T842" s="155"/>
      <c r="U842" s="155"/>
      <c r="V842" s="155"/>
      <c r="W842" s="155"/>
      <c r="X842" s="155"/>
      <c r="Y842" s="155"/>
      <c r="Z842" s="155"/>
      <c r="AA842" s="155"/>
    </row>
    <row r="843" ht="22.5" customHeight="1">
      <c r="A843" s="139"/>
      <c r="B843" s="71"/>
      <c r="C843" s="117"/>
      <c r="D843" s="25"/>
      <c r="E843" s="118"/>
      <c r="F843" s="118"/>
      <c r="G843" s="138"/>
      <c r="H843" s="26"/>
      <c r="I843" s="155"/>
      <c r="J843" s="200"/>
      <c r="K843" s="155"/>
      <c r="L843" s="155"/>
      <c r="M843" s="155"/>
      <c r="N843" s="155"/>
      <c r="O843" s="155"/>
      <c r="P843" s="155"/>
      <c r="Q843" s="155"/>
      <c r="R843" s="155"/>
      <c r="S843" s="155"/>
      <c r="T843" s="155"/>
      <c r="U843" s="155"/>
      <c r="V843" s="155"/>
      <c r="W843" s="155"/>
      <c r="X843" s="155"/>
      <c r="Y843" s="155"/>
      <c r="Z843" s="155"/>
      <c r="AA843" s="155"/>
    </row>
    <row r="844" ht="22.5" customHeight="1">
      <c r="A844" s="139"/>
      <c r="B844" s="71"/>
      <c r="C844" s="117"/>
      <c r="D844" s="25"/>
      <c r="E844" s="118"/>
      <c r="F844" s="118"/>
      <c r="G844" s="138"/>
      <c r="H844" s="26"/>
      <c r="I844" s="155"/>
      <c r="J844" s="200"/>
      <c r="K844" s="155"/>
      <c r="L844" s="155"/>
      <c r="M844" s="155"/>
      <c r="N844" s="155"/>
      <c r="O844" s="155"/>
      <c r="P844" s="155"/>
      <c r="Q844" s="155"/>
      <c r="R844" s="155"/>
      <c r="S844" s="155"/>
      <c r="T844" s="155"/>
      <c r="U844" s="155"/>
      <c r="V844" s="155"/>
      <c r="W844" s="155"/>
      <c r="X844" s="155"/>
      <c r="Y844" s="155"/>
      <c r="Z844" s="155"/>
      <c r="AA844" s="155"/>
    </row>
    <row r="845" ht="22.5" customHeight="1">
      <c r="A845" s="139"/>
      <c r="B845" s="71"/>
      <c r="C845" s="117"/>
      <c r="D845" s="25"/>
      <c r="E845" s="118"/>
      <c r="F845" s="118"/>
      <c r="G845" s="138"/>
      <c r="H845" s="26"/>
      <c r="I845" s="155"/>
      <c r="J845" s="200"/>
      <c r="K845" s="155"/>
      <c r="L845" s="155"/>
      <c r="M845" s="155"/>
      <c r="N845" s="155"/>
      <c r="O845" s="155"/>
      <c r="P845" s="155"/>
      <c r="Q845" s="155"/>
      <c r="R845" s="155"/>
      <c r="S845" s="155"/>
      <c r="T845" s="155"/>
      <c r="U845" s="155"/>
      <c r="V845" s="155"/>
      <c r="W845" s="155"/>
      <c r="X845" s="155"/>
      <c r="Y845" s="155"/>
      <c r="Z845" s="155"/>
      <c r="AA845" s="155"/>
    </row>
    <row r="846" ht="22.5" customHeight="1">
      <c r="A846" s="139"/>
      <c r="B846" s="71"/>
      <c r="C846" s="117"/>
      <c r="D846" s="25"/>
      <c r="E846" s="118"/>
      <c r="F846" s="118"/>
      <c r="G846" s="138"/>
      <c r="H846" s="26"/>
      <c r="I846" s="155"/>
      <c r="J846" s="200"/>
      <c r="K846" s="155"/>
      <c r="L846" s="155"/>
      <c r="M846" s="155"/>
      <c r="N846" s="155"/>
      <c r="O846" s="155"/>
      <c r="P846" s="155"/>
      <c r="Q846" s="155"/>
      <c r="R846" s="155"/>
      <c r="S846" s="155"/>
      <c r="T846" s="155"/>
      <c r="U846" s="155"/>
      <c r="V846" s="155"/>
      <c r="W846" s="155"/>
      <c r="X846" s="155"/>
      <c r="Y846" s="155"/>
      <c r="Z846" s="155"/>
      <c r="AA846" s="155"/>
    </row>
    <row r="847" ht="22.5" customHeight="1">
      <c r="A847" s="139"/>
      <c r="B847" s="71"/>
      <c r="C847" s="117"/>
      <c r="D847" s="25"/>
      <c r="E847" s="118"/>
      <c r="F847" s="118"/>
      <c r="G847" s="138"/>
      <c r="H847" s="26"/>
      <c r="I847" s="155"/>
      <c r="J847" s="200"/>
      <c r="K847" s="155"/>
      <c r="L847" s="155"/>
      <c r="M847" s="155"/>
      <c r="N847" s="155"/>
      <c r="O847" s="155"/>
      <c r="P847" s="155"/>
      <c r="Q847" s="155"/>
      <c r="R847" s="155"/>
      <c r="S847" s="155"/>
      <c r="T847" s="155"/>
      <c r="U847" s="155"/>
      <c r="V847" s="155"/>
      <c r="W847" s="155"/>
      <c r="X847" s="155"/>
      <c r="Y847" s="155"/>
      <c r="Z847" s="155"/>
      <c r="AA847" s="155"/>
    </row>
    <row r="848" ht="22.5" customHeight="1">
      <c r="A848" s="139"/>
      <c r="B848" s="71"/>
      <c r="C848" s="117"/>
      <c r="D848" s="25"/>
      <c r="E848" s="118"/>
      <c r="F848" s="118"/>
      <c r="G848" s="138"/>
      <c r="H848" s="26"/>
      <c r="I848" s="155"/>
      <c r="J848" s="200"/>
      <c r="K848" s="155"/>
      <c r="L848" s="155"/>
      <c r="M848" s="155"/>
      <c r="N848" s="155"/>
      <c r="O848" s="155"/>
      <c r="P848" s="155"/>
      <c r="Q848" s="155"/>
      <c r="R848" s="155"/>
      <c r="S848" s="155"/>
      <c r="T848" s="155"/>
      <c r="U848" s="155"/>
      <c r="V848" s="155"/>
      <c r="W848" s="155"/>
      <c r="X848" s="155"/>
      <c r="Y848" s="155"/>
      <c r="Z848" s="155"/>
      <c r="AA848" s="155"/>
    </row>
    <row r="849" ht="22.5" customHeight="1">
      <c r="A849" s="139"/>
      <c r="B849" s="71"/>
      <c r="C849" s="117"/>
      <c r="D849" s="25"/>
      <c r="E849" s="118"/>
      <c r="F849" s="118"/>
      <c r="G849" s="138"/>
      <c r="H849" s="26"/>
      <c r="I849" s="155"/>
      <c r="J849" s="200"/>
      <c r="K849" s="155"/>
      <c r="L849" s="155"/>
      <c r="M849" s="155"/>
      <c r="N849" s="155"/>
      <c r="O849" s="155"/>
      <c r="P849" s="155"/>
      <c r="Q849" s="155"/>
      <c r="R849" s="155"/>
      <c r="S849" s="155"/>
      <c r="T849" s="155"/>
      <c r="U849" s="155"/>
      <c r="V849" s="155"/>
      <c r="W849" s="155"/>
      <c r="X849" s="155"/>
      <c r="Y849" s="155"/>
      <c r="Z849" s="155"/>
      <c r="AA849" s="155"/>
    </row>
    <row r="850" ht="22.5" customHeight="1">
      <c r="A850" s="139"/>
      <c r="B850" s="71"/>
      <c r="C850" s="117"/>
      <c r="D850" s="25"/>
      <c r="E850" s="118"/>
      <c r="F850" s="118"/>
      <c r="G850" s="138"/>
      <c r="H850" s="26"/>
      <c r="I850" s="155"/>
      <c r="J850" s="200"/>
      <c r="K850" s="155"/>
      <c r="L850" s="155"/>
      <c r="M850" s="155"/>
      <c r="N850" s="155"/>
      <c r="O850" s="155"/>
      <c r="P850" s="155"/>
      <c r="Q850" s="155"/>
      <c r="R850" s="155"/>
      <c r="S850" s="155"/>
      <c r="T850" s="155"/>
      <c r="U850" s="155"/>
      <c r="V850" s="155"/>
      <c r="W850" s="155"/>
      <c r="X850" s="155"/>
      <c r="Y850" s="155"/>
      <c r="Z850" s="155"/>
      <c r="AA850" s="155"/>
    </row>
    <row r="851" ht="22.5" customHeight="1">
      <c r="A851" s="139"/>
      <c r="B851" s="71"/>
      <c r="C851" s="117"/>
      <c r="D851" s="25"/>
      <c r="E851" s="118"/>
      <c r="F851" s="118"/>
      <c r="G851" s="138"/>
      <c r="H851" s="26"/>
      <c r="I851" s="155"/>
      <c r="J851" s="200"/>
      <c r="K851" s="155"/>
      <c r="L851" s="155"/>
      <c r="M851" s="155"/>
      <c r="N851" s="155"/>
      <c r="O851" s="155"/>
      <c r="P851" s="155"/>
      <c r="Q851" s="155"/>
      <c r="R851" s="155"/>
      <c r="S851" s="155"/>
      <c r="T851" s="155"/>
      <c r="U851" s="155"/>
      <c r="V851" s="155"/>
      <c r="W851" s="155"/>
      <c r="X851" s="155"/>
      <c r="Y851" s="155"/>
      <c r="Z851" s="155"/>
      <c r="AA851" s="155"/>
    </row>
    <row r="852" ht="22.5" customHeight="1">
      <c r="A852" s="139"/>
      <c r="B852" s="71"/>
      <c r="C852" s="117"/>
      <c r="D852" s="25"/>
      <c r="E852" s="118"/>
      <c r="F852" s="118"/>
      <c r="G852" s="138"/>
      <c r="H852" s="26"/>
      <c r="I852" s="155"/>
      <c r="J852" s="200"/>
      <c r="K852" s="155"/>
      <c r="L852" s="155"/>
      <c r="M852" s="155"/>
      <c r="N852" s="155"/>
      <c r="O852" s="155"/>
      <c r="P852" s="155"/>
      <c r="Q852" s="155"/>
      <c r="R852" s="155"/>
      <c r="S852" s="155"/>
      <c r="T852" s="155"/>
      <c r="U852" s="155"/>
      <c r="V852" s="155"/>
      <c r="W852" s="155"/>
      <c r="X852" s="155"/>
      <c r="Y852" s="155"/>
      <c r="Z852" s="155"/>
      <c r="AA852" s="155"/>
    </row>
    <row r="853" ht="22.5" customHeight="1">
      <c r="A853" s="139"/>
      <c r="B853" s="71"/>
      <c r="C853" s="117"/>
      <c r="D853" s="25"/>
      <c r="E853" s="118"/>
      <c r="F853" s="118"/>
      <c r="G853" s="138"/>
      <c r="H853" s="26"/>
      <c r="I853" s="155"/>
      <c r="J853" s="200"/>
      <c r="K853" s="155"/>
      <c r="L853" s="155"/>
      <c r="M853" s="155"/>
      <c r="N853" s="155"/>
      <c r="O853" s="155"/>
      <c r="P853" s="155"/>
      <c r="Q853" s="155"/>
      <c r="R853" s="155"/>
      <c r="S853" s="155"/>
      <c r="T853" s="155"/>
      <c r="U853" s="155"/>
      <c r="V853" s="155"/>
      <c r="W853" s="155"/>
      <c r="X853" s="155"/>
      <c r="Y853" s="155"/>
      <c r="Z853" s="155"/>
      <c r="AA853" s="155"/>
    </row>
    <row r="854" ht="22.5" customHeight="1">
      <c r="A854" s="139"/>
      <c r="B854" s="71"/>
      <c r="C854" s="117"/>
      <c r="D854" s="25"/>
      <c r="E854" s="118"/>
      <c r="F854" s="118"/>
      <c r="G854" s="138"/>
      <c r="H854" s="26"/>
      <c r="I854" s="155"/>
      <c r="J854" s="200"/>
      <c r="K854" s="155"/>
      <c r="L854" s="155"/>
      <c r="M854" s="155"/>
      <c r="N854" s="155"/>
      <c r="O854" s="155"/>
      <c r="P854" s="155"/>
      <c r="Q854" s="155"/>
      <c r="R854" s="155"/>
      <c r="S854" s="155"/>
      <c r="T854" s="155"/>
      <c r="U854" s="155"/>
      <c r="V854" s="155"/>
      <c r="W854" s="155"/>
      <c r="X854" s="155"/>
      <c r="Y854" s="155"/>
      <c r="Z854" s="155"/>
      <c r="AA854" s="155"/>
    </row>
    <row r="855" ht="22.5" customHeight="1">
      <c r="A855" s="139"/>
      <c r="B855" s="71"/>
      <c r="C855" s="117"/>
      <c r="D855" s="25"/>
      <c r="E855" s="118"/>
      <c r="F855" s="118"/>
      <c r="G855" s="138"/>
      <c r="H855" s="26"/>
      <c r="I855" s="155"/>
      <c r="J855" s="200"/>
      <c r="K855" s="155"/>
      <c r="L855" s="155"/>
      <c r="M855" s="155"/>
      <c r="N855" s="155"/>
      <c r="O855" s="155"/>
      <c r="P855" s="155"/>
      <c r="Q855" s="155"/>
      <c r="R855" s="155"/>
      <c r="S855" s="155"/>
      <c r="T855" s="155"/>
      <c r="U855" s="155"/>
      <c r="V855" s="155"/>
      <c r="W855" s="155"/>
      <c r="X855" s="155"/>
      <c r="Y855" s="155"/>
      <c r="Z855" s="155"/>
      <c r="AA855" s="155"/>
    </row>
    <row r="856" ht="22.5" customHeight="1">
      <c r="A856" s="139"/>
      <c r="B856" s="71"/>
      <c r="C856" s="117"/>
      <c r="D856" s="25"/>
      <c r="E856" s="118"/>
      <c r="F856" s="118"/>
      <c r="G856" s="138"/>
      <c r="H856" s="26"/>
      <c r="I856" s="155"/>
      <c r="J856" s="200"/>
      <c r="K856" s="155"/>
      <c r="L856" s="155"/>
      <c r="M856" s="155"/>
      <c r="N856" s="155"/>
      <c r="O856" s="155"/>
      <c r="P856" s="155"/>
      <c r="Q856" s="155"/>
      <c r="R856" s="155"/>
      <c r="S856" s="155"/>
      <c r="T856" s="155"/>
      <c r="U856" s="155"/>
      <c r="V856" s="155"/>
      <c r="W856" s="155"/>
      <c r="X856" s="155"/>
      <c r="Y856" s="155"/>
      <c r="Z856" s="155"/>
      <c r="AA856" s="155"/>
    </row>
    <row r="857" ht="22.5" customHeight="1">
      <c r="A857" s="139"/>
      <c r="B857" s="71"/>
      <c r="C857" s="117"/>
      <c r="D857" s="25"/>
      <c r="E857" s="118"/>
      <c r="F857" s="118"/>
      <c r="G857" s="138"/>
      <c r="H857" s="26"/>
      <c r="I857" s="155"/>
      <c r="J857" s="200"/>
      <c r="K857" s="155"/>
      <c r="L857" s="155"/>
      <c r="M857" s="155"/>
      <c r="N857" s="155"/>
      <c r="O857" s="155"/>
      <c r="P857" s="155"/>
      <c r="Q857" s="155"/>
      <c r="R857" s="155"/>
      <c r="S857" s="155"/>
      <c r="T857" s="155"/>
      <c r="U857" s="155"/>
      <c r="V857" s="155"/>
      <c r="W857" s="155"/>
      <c r="X857" s="155"/>
      <c r="Y857" s="155"/>
      <c r="Z857" s="155"/>
      <c r="AA857" s="155"/>
    </row>
    <row r="858" ht="22.5" customHeight="1">
      <c r="A858" s="139"/>
      <c r="B858" s="71"/>
      <c r="C858" s="117"/>
      <c r="D858" s="25"/>
      <c r="E858" s="118"/>
      <c r="F858" s="118"/>
      <c r="G858" s="138"/>
      <c r="H858" s="26"/>
      <c r="I858" s="155"/>
      <c r="J858" s="200"/>
      <c r="K858" s="155"/>
      <c r="L858" s="155"/>
      <c r="M858" s="155"/>
      <c r="N858" s="155"/>
      <c r="O858" s="155"/>
      <c r="P858" s="155"/>
      <c r="Q858" s="155"/>
      <c r="R858" s="155"/>
      <c r="S858" s="155"/>
      <c r="T858" s="155"/>
      <c r="U858" s="155"/>
      <c r="V858" s="155"/>
      <c r="W858" s="155"/>
      <c r="X858" s="155"/>
      <c r="Y858" s="155"/>
      <c r="Z858" s="155"/>
      <c r="AA858" s="155"/>
    </row>
    <row r="859" ht="22.5" customHeight="1">
      <c r="A859" s="139"/>
      <c r="B859" s="71"/>
      <c r="C859" s="117"/>
      <c r="D859" s="25"/>
      <c r="E859" s="118"/>
      <c r="F859" s="118"/>
      <c r="G859" s="138"/>
      <c r="H859" s="26"/>
      <c r="I859" s="155"/>
      <c r="J859" s="200"/>
      <c r="K859" s="155"/>
      <c r="L859" s="155"/>
      <c r="M859" s="155"/>
      <c r="N859" s="155"/>
      <c r="O859" s="155"/>
      <c r="P859" s="155"/>
      <c r="Q859" s="155"/>
      <c r="R859" s="155"/>
      <c r="S859" s="155"/>
      <c r="T859" s="155"/>
      <c r="U859" s="155"/>
      <c r="V859" s="155"/>
      <c r="W859" s="155"/>
      <c r="X859" s="155"/>
      <c r="Y859" s="155"/>
      <c r="Z859" s="155"/>
      <c r="AA859" s="155"/>
    </row>
    <row r="860" ht="22.5" customHeight="1">
      <c r="A860" s="139"/>
      <c r="B860" s="71"/>
      <c r="C860" s="117"/>
      <c r="D860" s="25"/>
      <c r="E860" s="118"/>
      <c r="F860" s="118"/>
      <c r="G860" s="138"/>
      <c r="H860" s="26"/>
      <c r="I860" s="155"/>
      <c r="J860" s="200"/>
      <c r="K860" s="155"/>
      <c r="L860" s="155"/>
      <c r="M860" s="155"/>
      <c r="N860" s="155"/>
      <c r="O860" s="155"/>
      <c r="P860" s="155"/>
      <c r="Q860" s="155"/>
      <c r="R860" s="155"/>
      <c r="S860" s="155"/>
      <c r="T860" s="155"/>
      <c r="U860" s="155"/>
      <c r="V860" s="155"/>
      <c r="W860" s="155"/>
      <c r="X860" s="155"/>
      <c r="Y860" s="155"/>
      <c r="Z860" s="155"/>
      <c r="AA860" s="155"/>
    </row>
    <row r="861" ht="22.5" customHeight="1">
      <c r="A861" s="139"/>
      <c r="B861" s="71"/>
      <c r="C861" s="117"/>
      <c r="D861" s="25"/>
      <c r="E861" s="118"/>
      <c r="F861" s="118"/>
      <c r="G861" s="138"/>
      <c r="H861" s="26"/>
      <c r="I861" s="155"/>
      <c r="J861" s="200"/>
      <c r="K861" s="155"/>
      <c r="L861" s="155"/>
      <c r="M861" s="155"/>
      <c r="N861" s="155"/>
      <c r="O861" s="155"/>
      <c r="P861" s="155"/>
      <c r="Q861" s="155"/>
      <c r="R861" s="155"/>
      <c r="S861" s="155"/>
      <c r="T861" s="155"/>
      <c r="U861" s="155"/>
      <c r="V861" s="155"/>
      <c r="W861" s="155"/>
      <c r="X861" s="155"/>
      <c r="Y861" s="155"/>
      <c r="Z861" s="155"/>
      <c r="AA861" s="155"/>
    </row>
    <row r="862" ht="22.5" customHeight="1">
      <c r="A862" s="139"/>
      <c r="B862" s="71"/>
      <c r="C862" s="117"/>
      <c r="D862" s="25"/>
      <c r="E862" s="118"/>
      <c r="F862" s="118"/>
      <c r="G862" s="138"/>
      <c r="H862" s="26"/>
      <c r="I862" s="155"/>
      <c r="J862" s="200"/>
      <c r="K862" s="155"/>
      <c r="L862" s="155"/>
      <c r="M862" s="155"/>
      <c r="N862" s="155"/>
      <c r="O862" s="155"/>
      <c r="P862" s="155"/>
      <c r="Q862" s="155"/>
      <c r="R862" s="155"/>
      <c r="S862" s="155"/>
      <c r="T862" s="155"/>
      <c r="U862" s="155"/>
      <c r="V862" s="155"/>
      <c r="W862" s="155"/>
      <c r="X862" s="155"/>
      <c r="Y862" s="155"/>
      <c r="Z862" s="155"/>
      <c r="AA862" s="155"/>
    </row>
    <row r="863" ht="22.5" customHeight="1">
      <c r="A863" s="139"/>
      <c r="B863" s="71"/>
      <c r="C863" s="117"/>
      <c r="D863" s="25"/>
      <c r="E863" s="118"/>
      <c r="F863" s="118"/>
      <c r="G863" s="138"/>
      <c r="H863" s="26"/>
      <c r="I863" s="155"/>
      <c r="J863" s="200"/>
      <c r="K863" s="155"/>
      <c r="L863" s="155"/>
      <c r="M863" s="155"/>
      <c r="N863" s="155"/>
      <c r="O863" s="155"/>
      <c r="P863" s="155"/>
      <c r="Q863" s="155"/>
      <c r="R863" s="155"/>
      <c r="S863" s="155"/>
      <c r="T863" s="155"/>
      <c r="U863" s="155"/>
      <c r="V863" s="155"/>
      <c r="W863" s="155"/>
      <c r="X863" s="155"/>
      <c r="Y863" s="155"/>
      <c r="Z863" s="155"/>
      <c r="AA863" s="155"/>
    </row>
    <row r="864" ht="22.5" customHeight="1">
      <c r="A864" s="139"/>
      <c r="B864" s="71"/>
      <c r="C864" s="117"/>
      <c r="D864" s="25"/>
      <c r="E864" s="118"/>
      <c r="F864" s="118"/>
      <c r="G864" s="138"/>
      <c r="H864" s="26"/>
      <c r="I864" s="155"/>
      <c r="J864" s="200"/>
      <c r="K864" s="155"/>
      <c r="L864" s="155"/>
      <c r="M864" s="155"/>
      <c r="N864" s="155"/>
      <c r="O864" s="155"/>
      <c r="P864" s="155"/>
      <c r="Q864" s="155"/>
      <c r="R864" s="155"/>
      <c r="S864" s="155"/>
      <c r="T864" s="155"/>
      <c r="U864" s="155"/>
      <c r="V864" s="155"/>
      <c r="W864" s="155"/>
      <c r="X864" s="155"/>
      <c r="Y864" s="155"/>
      <c r="Z864" s="155"/>
      <c r="AA864" s="155"/>
    </row>
    <row r="865" ht="22.5" customHeight="1">
      <c r="A865" s="139"/>
      <c r="B865" s="71"/>
      <c r="C865" s="117"/>
      <c r="D865" s="25"/>
      <c r="E865" s="118"/>
      <c r="F865" s="118"/>
      <c r="G865" s="138"/>
      <c r="H865" s="26"/>
      <c r="I865" s="155"/>
      <c r="J865" s="200"/>
      <c r="K865" s="155"/>
      <c r="L865" s="155"/>
      <c r="M865" s="155"/>
      <c r="N865" s="155"/>
      <c r="O865" s="155"/>
      <c r="P865" s="155"/>
      <c r="Q865" s="155"/>
      <c r="R865" s="155"/>
      <c r="S865" s="155"/>
      <c r="T865" s="155"/>
      <c r="U865" s="155"/>
      <c r="V865" s="155"/>
      <c r="W865" s="155"/>
      <c r="X865" s="155"/>
      <c r="Y865" s="155"/>
      <c r="Z865" s="155"/>
      <c r="AA865" s="155"/>
    </row>
    <row r="866" ht="22.5" customHeight="1">
      <c r="A866" s="139"/>
      <c r="B866" s="71"/>
      <c r="C866" s="117"/>
      <c r="D866" s="25"/>
      <c r="E866" s="118"/>
      <c r="F866" s="118"/>
      <c r="G866" s="138"/>
      <c r="H866" s="26"/>
      <c r="I866" s="155"/>
      <c r="J866" s="200"/>
      <c r="K866" s="155"/>
      <c r="L866" s="155"/>
      <c r="M866" s="155"/>
      <c r="N866" s="155"/>
      <c r="O866" s="155"/>
      <c r="P866" s="155"/>
      <c r="Q866" s="155"/>
      <c r="R866" s="155"/>
      <c r="S866" s="155"/>
      <c r="T866" s="155"/>
      <c r="U866" s="155"/>
      <c r="V866" s="155"/>
      <c r="W866" s="155"/>
      <c r="X866" s="155"/>
      <c r="Y866" s="155"/>
      <c r="Z866" s="155"/>
      <c r="AA866" s="155"/>
    </row>
    <row r="867" ht="22.5" customHeight="1">
      <c r="A867" s="139"/>
      <c r="B867" s="71"/>
      <c r="C867" s="117"/>
      <c r="D867" s="25"/>
      <c r="E867" s="118"/>
      <c r="F867" s="118"/>
      <c r="G867" s="138"/>
      <c r="H867" s="26"/>
      <c r="I867" s="155"/>
      <c r="J867" s="200"/>
      <c r="K867" s="155"/>
      <c r="L867" s="155"/>
      <c r="M867" s="155"/>
      <c r="N867" s="155"/>
      <c r="O867" s="155"/>
      <c r="P867" s="155"/>
      <c r="Q867" s="155"/>
      <c r="R867" s="155"/>
      <c r="S867" s="155"/>
      <c r="T867" s="155"/>
      <c r="U867" s="155"/>
      <c r="V867" s="155"/>
      <c r="W867" s="155"/>
      <c r="X867" s="155"/>
      <c r="Y867" s="155"/>
      <c r="Z867" s="155"/>
      <c r="AA867" s="155"/>
    </row>
    <row r="868" ht="22.5" customHeight="1">
      <c r="A868" s="139"/>
      <c r="B868" s="71"/>
      <c r="C868" s="117"/>
      <c r="D868" s="25"/>
      <c r="E868" s="118"/>
      <c r="F868" s="118"/>
      <c r="G868" s="138"/>
      <c r="H868" s="26"/>
      <c r="I868" s="155"/>
      <c r="J868" s="200"/>
      <c r="K868" s="155"/>
      <c r="L868" s="155"/>
      <c r="M868" s="155"/>
      <c r="N868" s="155"/>
      <c r="O868" s="155"/>
      <c r="P868" s="155"/>
      <c r="Q868" s="155"/>
      <c r="R868" s="155"/>
      <c r="S868" s="155"/>
      <c r="T868" s="155"/>
      <c r="U868" s="155"/>
      <c r="V868" s="155"/>
      <c r="W868" s="155"/>
      <c r="X868" s="155"/>
      <c r="Y868" s="155"/>
      <c r="Z868" s="155"/>
      <c r="AA868" s="155"/>
    </row>
    <row r="869" ht="22.5" customHeight="1">
      <c r="A869" s="139"/>
      <c r="B869" s="71"/>
      <c r="C869" s="117"/>
      <c r="D869" s="25"/>
      <c r="E869" s="118"/>
      <c r="F869" s="118"/>
      <c r="G869" s="138"/>
      <c r="H869" s="26"/>
      <c r="I869" s="155"/>
      <c r="J869" s="200"/>
      <c r="K869" s="155"/>
      <c r="L869" s="155"/>
      <c r="M869" s="155"/>
      <c r="N869" s="155"/>
      <c r="O869" s="155"/>
      <c r="P869" s="155"/>
      <c r="Q869" s="155"/>
      <c r="R869" s="155"/>
      <c r="S869" s="155"/>
      <c r="T869" s="155"/>
      <c r="U869" s="155"/>
      <c r="V869" s="155"/>
      <c r="W869" s="155"/>
      <c r="X869" s="155"/>
      <c r="Y869" s="155"/>
      <c r="Z869" s="155"/>
      <c r="AA869" s="155"/>
    </row>
    <row r="870" ht="22.5" customHeight="1">
      <c r="A870" s="139"/>
      <c r="B870" s="71"/>
      <c r="C870" s="117"/>
      <c r="D870" s="25"/>
      <c r="E870" s="118"/>
      <c r="F870" s="118"/>
      <c r="G870" s="138"/>
      <c r="H870" s="26"/>
      <c r="I870" s="155"/>
      <c r="J870" s="200"/>
      <c r="K870" s="155"/>
      <c r="L870" s="155"/>
      <c r="M870" s="155"/>
      <c r="N870" s="155"/>
      <c r="O870" s="155"/>
      <c r="P870" s="155"/>
      <c r="Q870" s="155"/>
      <c r="R870" s="155"/>
      <c r="S870" s="155"/>
      <c r="T870" s="155"/>
      <c r="U870" s="155"/>
      <c r="V870" s="155"/>
      <c r="W870" s="155"/>
      <c r="X870" s="155"/>
      <c r="Y870" s="155"/>
      <c r="Z870" s="155"/>
      <c r="AA870" s="155"/>
    </row>
    <row r="871" ht="22.5" customHeight="1">
      <c r="A871" s="139"/>
      <c r="B871" s="71"/>
      <c r="C871" s="117"/>
      <c r="D871" s="25"/>
      <c r="E871" s="118"/>
      <c r="F871" s="118"/>
      <c r="G871" s="138"/>
      <c r="H871" s="26"/>
      <c r="I871" s="155"/>
      <c r="J871" s="200"/>
      <c r="K871" s="155"/>
      <c r="L871" s="155"/>
      <c r="M871" s="155"/>
      <c r="N871" s="155"/>
      <c r="O871" s="155"/>
      <c r="P871" s="155"/>
      <c r="Q871" s="155"/>
      <c r="R871" s="155"/>
      <c r="S871" s="155"/>
      <c r="T871" s="155"/>
      <c r="U871" s="155"/>
      <c r="V871" s="155"/>
      <c r="W871" s="155"/>
      <c r="X871" s="155"/>
      <c r="Y871" s="155"/>
      <c r="Z871" s="155"/>
      <c r="AA871" s="155"/>
    </row>
    <row r="872" ht="22.5" customHeight="1">
      <c r="A872" s="139"/>
      <c r="B872" s="71"/>
      <c r="C872" s="117"/>
      <c r="D872" s="25"/>
      <c r="E872" s="118"/>
      <c r="F872" s="118"/>
      <c r="G872" s="138"/>
      <c r="H872" s="26"/>
      <c r="I872" s="155"/>
      <c r="J872" s="200"/>
      <c r="K872" s="155"/>
      <c r="L872" s="155"/>
      <c r="M872" s="155"/>
      <c r="N872" s="155"/>
      <c r="O872" s="155"/>
      <c r="P872" s="155"/>
      <c r="Q872" s="155"/>
      <c r="R872" s="155"/>
      <c r="S872" s="155"/>
      <c r="T872" s="155"/>
      <c r="U872" s="155"/>
      <c r="V872" s="155"/>
      <c r="W872" s="155"/>
      <c r="X872" s="155"/>
      <c r="Y872" s="155"/>
      <c r="Z872" s="155"/>
      <c r="AA872" s="155"/>
    </row>
    <row r="873" ht="22.5" customHeight="1">
      <c r="A873" s="139"/>
      <c r="B873" s="71"/>
      <c r="C873" s="117"/>
      <c r="D873" s="25"/>
      <c r="E873" s="118"/>
      <c r="F873" s="118"/>
      <c r="G873" s="138"/>
      <c r="H873" s="26"/>
      <c r="I873" s="155"/>
      <c r="J873" s="200"/>
      <c r="K873" s="155"/>
      <c r="L873" s="155"/>
      <c r="M873" s="155"/>
      <c r="N873" s="155"/>
      <c r="O873" s="155"/>
      <c r="P873" s="155"/>
      <c r="Q873" s="155"/>
      <c r="R873" s="155"/>
      <c r="S873" s="155"/>
      <c r="T873" s="155"/>
      <c r="U873" s="155"/>
      <c r="V873" s="155"/>
      <c r="W873" s="155"/>
      <c r="X873" s="155"/>
      <c r="Y873" s="155"/>
      <c r="Z873" s="155"/>
      <c r="AA873" s="155"/>
    </row>
    <row r="874" ht="22.5" customHeight="1">
      <c r="A874" s="139"/>
      <c r="B874" s="71"/>
      <c r="C874" s="117"/>
      <c r="D874" s="25"/>
      <c r="E874" s="118"/>
      <c r="F874" s="118"/>
      <c r="G874" s="138"/>
      <c r="H874" s="26"/>
      <c r="I874" s="155"/>
      <c r="J874" s="200"/>
      <c r="K874" s="155"/>
      <c r="L874" s="155"/>
      <c r="M874" s="155"/>
      <c r="N874" s="155"/>
      <c r="O874" s="155"/>
      <c r="P874" s="155"/>
      <c r="Q874" s="155"/>
      <c r="R874" s="155"/>
      <c r="S874" s="155"/>
      <c r="T874" s="155"/>
      <c r="U874" s="155"/>
      <c r="V874" s="155"/>
      <c r="W874" s="155"/>
      <c r="X874" s="155"/>
      <c r="Y874" s="155"/>
      <c r="Z874" s="155"/>
      <c r="AA874" s="155"/>
    </row>
    <row r="875" ht="22.5" customHeight="1">
      <c r="A875" s="139"/>
      <c r="B875" s="71"/>
      <c r="C875" s="117"/>
      <c r="D875" s="25"/>
      <c r="E875" s="118"/>
      <c r="F875" s="118"/>
      <c r="G875" s="138"/>
      <c r="H875" s="26"/>
      <c r="I875" s="155"/>
      <c r="J875" s="200"/>
      <c r="K875" s="155"/>
      <c r="L875" s="155"/>
      <c r="M875" s="155"/>
      <c r="N875" s="155"/>
      <c r="O875" s="155"/>
      <c r="P875" s="155"/>
      <c r="Q875" s="155"/>
      <c r="R875" s="155"/>
      <c r="S875" s="155"/>
      <c r="T875" s="155"/>
      <c r="U875" s="155"/>
      <c r="V875" s="155"/>
      <c r="W875" s="155"/>
      <c r="X875" s="155"/>
      <c r="Y875" s="155"/>
      <c r="Z875" s="155"/>
      <c r="AA875" s="155"/>
    </row>
    <row r="876" ht="22.5" customHeight="1">
      <c r="A876" s="139"/>
      <c r="B876" s="71"/>
      <c r="C876" s="117"/>
      <c r="D876" s="25"/>
      <c r="E876" s="118"/>
      <c r="F876" s="118"/>
      <c r="G876" s="138"/>
      <c r="H876" s="26"/>
      <c r="I876" s="155"/>
      <c r="J876" s="200"/>
      <c r="K876" s="155"/>
      <c r="L876" s="155"/>
      <c r="M876" s="155"/>
      <c r="N876" s="155"/>
      <c r="O876" s="155"/>
      <c r="P876" s="155"/>
      <c r="Q876" s="155"/>
      <c r="R876" s="155"/>
      <c r="S876" s="155"/>
      <c r="T876" s="155"/>
      <c r="U876" s="155"/>
      <c r="V876" s="155"/>
      <c r="W876" s="155"/>
      <c r="X876" s="155"/>
      <c r="Y876" s="155"/>
      <c r="Z876" s="155"/>
      <c r="AA876" s="155"/>
    </row>
    <row r="877" ht="22.5" customHeight="1">
      <c r="A877" s="139"/>
      <c r="B877" s="71"/>
      <c r="C877" s="117"/>
      <c r="D877" s="25"/>
      <c r="E877" s="118"/>
      <c r="F877" s="118"/>
      <c r="G877" s="138"/>
      <c r="H877" s="26"/>
      <c r="I877" s="155"/>
      <c r="J877" s="200"/>
      <c r="K877" s="155"/>
      <c r="L877" s="155"/>
      <c r="M877" s="155"/>
      <c r="N877" s="155"/>
      <c r="O877" s="155"/>
      <c r="P877" s="155"/>
      <c r="Q877" s="155"/>
      <c r="R877" s="155"/>
      <c r="S877" s="155"/>
      <c r="T877" s="155"/>
      <c r="U877" s="155"/>
      <c r="V877" s="155"/>
      <c r="W877" s="155"/>
      <c r="X877" s="155"/>
      <c r="Y877" s="155"/>
      <c r="Z877" s="155"/>
      <c r="AA877" s="155"/>
    </row>
    <row r="878" ht="22.5" customHeight="1">
      <c r="A878" s="139"/>
      <c r="B878" s="71"/>
      <c r="C878" s="117"/>
      <c r="D878" s="25"/>
      <c r="E878" s="118"/>
      <c r="F878" s="118"/>
      <c r="G878" s="138"/>
      <c r="H878" s="26"/>
      <c r="I878" s="155"/>
      <c r="J878" s="200"/>
      <c r="K878" s="155"/>
      <c r="L878" s="155"/>
      <c r="M878" s="155"/>
      <c r="N878" s="155"/>
      <c r="O878" s="155"/>
      <c r="P878" s="155"/>
      <c r="Q878" s="155"/>
      <c r="R878" s="155"/>
      <c r="S878" s="155"/>
      <c r="T878" s="155"/>
      <c r="U878" s="155"/>
      <c r="V878" s="155"/>
      <c r="W878" s="155"/>
      <c r="X878" s="155"/>
      <c r="Y878" s="155"/>
      <c r="Z878" s="155"/>
      <c r="AA878" s="155"/>
    </row>
    <row r="879" ht="22.5" customHeight="1">
      <c r="A879" s="139"/>
      <c r="B879" s="71"/>
      <c r="C879" s="117"/>
      <c r="D879" s="25"/>
      <c r="E879" s="118"/>
      <c r="F879" s="118"/>
      <c r="G879" s="138"/>
      <c r="H879" s="26"/>
      <c r="I879" s="155"/>
      <c r="J879" s="200"/>
      <c r="K879" s="155"/>
      <c r="L879" s="155"/>
      <c r="M879" s="155"/>
      <c r="N879" s="155"/>
      <c r="O879" s="155"/>
      <c r="P879" s="155"/>
      <c r="Q879" s="155"/>
      <c r="R879" s="155"/>
      <c r="S879" s="155"/>
      <c r="T879" s="155"/>
      <c r="U879" s="155"/>
      <c r="V879" s="155"/>
      <c r="W879" s="155"/>
      <c r="X879" s="155"/>
      <c r="Y879" s="155"/>
      <c r="Z879" s="155"/>
      <c r="AA879" s="155"/>
    </row>
    <row r="880" ht="22.5" customHeight="1">
      <c r="A880" s="139"/>
      <c r="B880" s="71"/>
      <c r="C880" s="117"/>
      <c r="D880" s="25"/>
      <c r="E880" s="118"/>
      <c r="F880" s="118"/>
      <c r="G880" s="138"/>
      <c r="H880" s="26"/>
      <c r="I880" s="155"/>
      <c r="J880" s="200"/>
      <c r="K880" s="155"/>
      <c r="L880" s="155"/>
      <c r="M880" s="155"/>
      <c r="N880" s="155"/>
      <c r="O880" s="155"/>
      <c r="P880" s="155"/>
      <c r="Q880" s="155"/>
      <c r="R880" s="155"/>
      <c r="S880" s="155"/>
      <c r="T880" s="155"/>
      <c r="U880" s="155"/>
      <c r="V880" s="155"/>
      <c r="W880" s="155"/>
      <c r="X880" s="155"/>
      <c r="Y880" s="155"/>
      <c r="Z880" s="155"/>
      <c r="AA880" s="155"/>
    </row>
    <row r="881" ht="22.5" customHeight="1">
      <c r="A881" s="139"/>
      <c r="B881" s="71"/>
      <c r="C881" s="117"/>
      <c r="D881" s="25"/>
      <c r="E881" s="118"/>
      <c r="F881" s="118"/>
      <c r="G881" s="138"/>
      <c r="H881" s="26"/>
      <c r="I881" s="155"/>
      <c r="J881" s="200"/>
      <c r="K881" s="155"/>
      <c r="L881" s="155"/>
      <c r="M881" s="155"/>
      <c r="N881" s="155"/>
      <c r="O881" s="155"/>
      <c r="P881" s="155"/>
      <c r="Q881" s="155"/>
      <c r="R881" s="155"/>
      <c r="S881" s="155"/>
      <c r="T881" s="155"/>
      <c r="U881" s="155"/>
      <c r="V881" s="155"/>
      <c r="W881" s="155"/>
      <c r="X881" s="155"/>
      <c r="Y881" s="155"/>
      <c r="Z881" s="155"/>
      <c r="AA881" s="155"/>
    </row>
    <row r="882" ht="22.5" customHeight="1">
      <c r="A882" s="139"/>
      <c r="B882" s="71"/>
      <c r="C882" s="117"/>
      <c r="D882" s="25"/>
      <c r="E882" s="118"/>
      <c r="F882" s="118"/>
      <c r="G882" s="138"/>
      <c r="H882" s="26"/>
      <c r="I882" s="155"/>
      <c r="J882" s="200"/>
      <c r="K882" s="155"/>
      <c r="L882" s="155"/>
      <c r="M882" s="155"/>
      <c r="N882" s="155"/>
      <c r="O882" s="155"/>
      <c r="P882" s="155"/>
      <c r="Q882" s="155"/>
      <c r="R882" s="155"/>
      <c r="S882" s="155"/>
      <c r="T882" s="155"/>
      <c r="U882" s="155"/>
      <c r="V882" s="155"/>
      <c r="W882" s="155"/>
      <c r="X882" s="155"/>
      <c r="Y882" s="155"/>
      <c r="Z882" s="155"/>
      <c r="AA882" s="155"/>
    </row>
    <row r="883" ht="22.5" customHeight="1">
      <c r="A883" s="139"/>
      <c r="B883" s="71"/>
      <c r="C883" s="117"/>
      <c r="D883" s="25"/>
      <c r="E883" s="118"/>
      <c r="F883" s="118"/>
      <c r="G883" s="138"/>
      <c r="H883" s="26"/>
      <c r="I883" s="155"/>
      <c r="J883" s="200"/>
      <c r="K883" s="155"/>
      <c r="L883" s="155"/>
      <c r="M883" s="155"/>
      <c r="N883" s="155"/>
      <c r="O883" s="155"/>
      <c r="P883" s="155"/>
      <c r="Q883" s="155"/>
      <c r="R883" s="155"/>
      <c r="S883" s="155"/>
      <c r="T883" s="155"/>
      <c r="U883" s="155"/>
      <c r="V883" s="155"/>
      <c r="W883" s="155"/>
      <c r="X883" s="155"/>
      <c r="Y883" s="155"/>
      <c r="Z883" s="155"/>
      <c r="AA883" s="155"/>
    </row>
    <row r="884" ht="22.5" customHeight="1">
      <c r="A884" s="139"/>
      <c r="B884" s="71"/>
      <c r="C884" s="117"/>
      <c r="D884" s="25"/>
      <c r="E884" s="118"/>
      <c r="F884" s="118"/>
      <c r="G884" s="138"/>
      <c r="H884" s="26"/>
      <c r="I884" s="155"/>
      <c r="J884" s="200"/>
      <c r="K884" s="155"/>
      <c r="L884" s="155"/>
      <c r="M884" s="155"/>
      <c r="N884" s="155"/>
      <c r="O884" s="155"/>
      <c r="P884" s="155"/>
      <c r="Q884" s="155"/>
      <c r="R884" s="155"/>
      <c r="S884" s="155"/>
      <c r="T884" s="155"/>
      <c r="U884" s="155"/>
      <c r="V884" s="155"/>
      <c r="W884" s="155"/>
      <c r="X884" s="155"/>
      <c r="Y884" s="155"/>
      <c r="Z884" s="155"/>
      <c r="AA884" s="155"/>
    </row>
    <row r="885" ht="22.5" customHeight="1">
      <c r="A885" s="139"/>
      <c r="B885" s="71"/>
      <c r="C885" s="117"/>
      <c r="D885" s="25"/>
      <c r="E885" s="118"/>
      <c r="F885" s="118"/>
      <c r="G885" s="138"/>
      <c r="H885" s="26"/>
      <c r="I885" s="155"/>
      <c r="J885" s="200"/>
      <c r="K885" s="155"/>
      <c r="L885" s="155"/>
      <c r="M885" s="155"/>
      <c r="N885" s="155"/>
      <c r="O885" s="155"/>
      <c r="P885" s="155"/>
      <c r="Q885" s="155"/>
      <c r="R885" s="155"/>
      <c r="S885" s="155"/>
      <c r="T885" s="155"/>
      <c r="U885" s="155"/>
      <c r="V885" s="155"/>
      <c r="W885" s="155"/>
      <c r="X885" s="155"/>
      <c r="Y885" s="155"/>
      <c r="Z885" s="155"/>
      <c r="AA885" s="155"/>
    </row>
    <row r="886" ht="22.5" customHeight="1">
      <c r="A886" s="139"/>
      <c r="B886" s="71"/>
      <c r="C886" s="117"/>
      <c r="D886" s="25"/>
      <c r="E886" s="118"/>
      <c r="F886" s="118"/>
      <c r="G886" s="138"/>
      <c r="H886" s="26"/>
      <c r="I886" s="155"/>
      <c r="J886" s="200"/>
      <c r="K886" s="155"/>
      <c r="L886" s="155"/>
      <c r="M886" s="155"/>
      <c r="N886" s="155"/>
      <c r="O886" s="155"/>
      <c r="P886" s="155"/>
      <c r="Q886" s="155"/>
      <c r="R886" s="155"/>
      <c r="S886" s="155"/>
      <c r="T886" s="155"/>
      <c r="U886" s="155"/>
      <c r="V886" s="155"/>
      <c r="W886" s="155"/>
      <c r="X886" s="155"/>
      <c r="Y886" s="155"/>
      <c r="Z886" s="155"/>
      <c r="AA886" s="155"/>
    </row>
    <row r="887" ht="22.5" customHeight="1">
      <c r="A887" s="139"/>
      <c r="B887" s="71"/>
      <c r="C887" s="117"/>
      <c r="D887" s="25"/>
      <c r="E887" s="118"/>
      <c r="F887" s="118"/>
      <c r="G887" s="138"/>
      <c r="H887" s="26"/>
      <c r="I887" s="155"/>
      <c r="J887" s="200"/>
      <c r="K887" s="155"/>
      <c r="L887" s="155"/>
      <c r="M887" s="155"/>
      <c r="N887" s="155"/>
      <c r="O887" s="155"/>
      <c r="P887" s="155"/>
      <c r="Q887" s="155"/>
      <c r="R887" s="155"/>
      <c r="S887" s="155"/>
      <c r="T887" s="155"/>
      <c r="U887" s="155"/>
      <c r="V887" s="155"/>
      <c r="W887" s="155"/>
      <c r="X887" s="155"/>
      <c r="Y887" s="155"/>
      <c r="Z887" s="155"/>
      <c r="AA887" s="155"/>
    </row>
    <row r="888" ht="22.5" customHeight="1">
      <c r="A888" s="139"/>
      <c r="B888" s="71"/>
      <c r="C888" s="117"/>
      <c r="D888" s="25"/>
      <c r="E888" s="118"/>
      <c r="F888" s="118"/>
      <c r="G888" s="138"/>
      <c r="H888" s="26"/>
      <c r="I888" s="155"/>
      <c r="J888" s="200"/>
      <c r="K888" s="155"/>
      <c r="L888" s="155"/>
      <c r="M888" s="155"/>
      <c r="N888" s="155"/>
      <c r="O888" s="155"/>
      <c r="P888" s="155"/>
      <c r="Q888" s="155"/>
      <c r="R888" s="155"/>
      <c r="S888" s="155"/>
      <c r="T888" s="155"/>
      <c r="U888" s="155"/>
      <c r="V888" s="155"/>
      <c r="W888" s="155"/>
      <c r="X888" s="155"/>
      <c r="Y888" s="155"/>
      <c r="Z888" s="155"/>
      <c r="AA888" s="155"/>
    </row>
    <row r="889" ht="22.5" customHeight="1">
      <c r="A889" s="139"/>
      <c r="B889" s="71"/>
      <c r="C889" s="117"/>
      <c r="D889" s="25"/>
      <c r="E889" s="118"/>
      <c r="F889" s="118"/>
      <c r="G889" s="138"/>
      <c r="H889" s="26"/>
      <c r="I889" s="155"/>
      <c r="J889" s="200"/>
      <c r="K889" s="155"/>
      <c r="L889" s="155"/>
      <c r="M889" s="155"/>
      <c r="N889" s="155"/>
      <c r="O889" s="155"/>
      <c r="P889" s="155"/>
      <c r="Q889" s="155"/>
      <c r="R889" s="155"/>
      <c r="S889" s="155"/>
      <c r="T889" s="155"/>
      <c r="U889" s="155"/>
      <c r="V889" s="155"/>
      <c r="W889" s="155"/>
      <c r="X889" s="155"/>
      <c r="Y889" s="155"/>
      <c r="Z889" s="155"/>
      <c r="AA889" s="155"/>
    </row>
    <row r="890" ht="22.5" customHeight="1">
      <c r="A890" s="139"/>
      <c r="B890" s="71"/>
      <c r="C890" s="117"/>
      <c r="D890" s="25"/>
      <c r="E890" s="118"/>
      <c r="F890" s="118"/>
      <c r="G890" s="138"/>
      <c r="H890" s="26"/>
      <c r="I890" s="155"/>
      <c r="J890" s="200"/>
      <c r="K890" s="155"/>
      <c r="L890" s="155"/>
      <c r="M890" s="155"/>
      <c r="N890" s="155"/>
      <c r="O890" s="155"/>
      <c r="P890" s="155"/>
      <c r="Q890" s="155"/>
      <c r="R890" s="155"/>
      <c r="S890" s="155"/>
      <c r="T890" s="155"/>
      <c r="U890" s="155"/>
      <c r="V890" s="155"/>
      <c r="W890" s="155"/>
      <c r="X890" s="155"/>
      <c r="Y890" s="155"/>
      <c r="Z890" s="155"/>
      <c r="AA890" s="155"/>
    </row>
    <row r="891" ht="22.5" customHeight="1">
      <c r="A891" s="139"/>
      <c r="B891" s="71"/>
      <c r="C891" s="117"/>
      <c r="D891" s="25"/>
      <c r="E891" s="118"/>
      <c r="F891" s="118"/>
      <c r="G891" s="138"/>
      <c r="H891" s="26"/>
      <c r="I891" s="155"/>
      <c r="J891" s="200"/>
      <c r="K891" s="155"/>
      <c r="L891" s="155"/>
      <c r="M891" s="155"/>
      <c r="N891" s="155"/>
      <c r="O891" s="155"/>
      <c r="P891" s="155"/>
      <c r="Q891" s="155"/>
      <c r="R891" s="155"/>
      <c r="S891" s="155"/>
      <c r="T891" s="155"/>
      <c r="U891" s="155"/>
      <c r="V891" s="155"/>
      <c r="W891" s="155"/>
      <c r="X891" s="155"/>
      <c r="Y891" s="155"/>
      <c r="Z891" s="155"/>
      <c r="AA891" s="155"/>
    </row>
    <row r="892" ht="22.5" customHeight="1">
      <c r="A892" s="139"/>
      <c r="B892" s="71"/>
      <c r="C892" s="117"/>
      <c r="D892" s="25"/>
      <c r="E892" s="118"/>
      <c r="F892" s="118"/>
      <c r="G892" s="138"/>
      <c r="H892" s="26"/>
      <c r="I892" s="155"/>
      <c r="J892" s="200"/>
      <c r="K892" s="155"/>
      <c r="L892" s="155"/>
      <c r="M892" s="155"/>
      <c r="N892" s="155"/>
      <c r="O892" s="155"/>
      <c r="P892" s="155"/>
      <c r="Q892" s="155"/>
      <c r="R892" s="155"/>
      <c r="S892" s="155"/>
      <c r="T892" s="155"/>
      <c r="U892" s="155"/>
      <c r="V892" s="155"/>
      <c r="W892" s="155"/>
      <c r="X892" s="155"/>
      <c r="Y892" s="155"/>
      <c r="Z892" s="155"/>
      <c r="AA892" s="155"/>
    </row>
    <row r="893" ht="22.5" customHeight="1">
      <c r="A893" s="139"/>
      <c r="B893" s="71"/>
      <c r="C893" s="117"/>
      <c r="D893" s="25"/>
      <c r="E893" s="118"/>
      <c r="F893" s="118"/>
      <c r="G893" s="138"/>
      <c r="H893" s="26"/>
      <c r="I893" s="155"/>
      <c r="J893" s="200"/>
      <c r="K893" s="155"/>
      <c r="L893" s="155"/>
      <c r="M893" s="155"/>
      <c r="N893" s="155"/>
      <c r="O893" s="155"/>
      <c r="P893" s="155"/>
      <c r="Q893" s="155"/>
      <c r="R893" s="155"/>
      <c r="S893" s="155"/>
      <c r="T893" s="155"/>
      <c r="U893" s="155"/>
      <c r="V893" s="155"/>
      <c r="W893" s="155"/>
      <c r="X893" s="155"/>
      <c r="Y893" s="155"/>
      <c r="Z893" s="155"/>
      <c r="AA893" s="155"/>
    </row>
    <row r="894" ht="22.5" customHeight="1">
      <c r="A894" s="139"/>
      <c r="B894" s="71"/>
      <c r="C894" s="117"/>
      <c r="D894" s="25"/>
      <c r="E894" s="118"/>
      <c r="F894" s="118"/>
      <c r="G894" s="138"/>
      <c r="H894" s="26"/>
      <c r="I894" s="155"/>
      <c r="J894" s="200"/>
      <c r="K894" s="155"/>
      <c r="L894" s="155"/>
      <c r="M894" s="155"/>
      <c r="N894" s="155"/>
      <c r="O894" s="155"/>
      <c r="P894" s="155"/>
      <c r="Q894" s="155"/>
      <c r="R894" s="155"/>
      <c r="S894" s="155"/>
      <c r="T894" s="155"/>
      <c r="U894" s="155"/>
      <c r="V894" s="155"/>
      <c r="W894" s="155"/>
      <c r="X894" s="155"/>
      <c r="Y894" s="155"/>
      <c r="Z894" s="155"/>
      <c r="AA894" s="155"/>
    </row>
    <row r="895" ht="22.5" customHeight="1">
      <c r="A895" s="139"/>
      <c r="B895" s="71"/>
      <c r="C895" s="117"/>
      <c r="D895" s="25"/>
      <c r="E895" s="118"/>
      <c r="F895" s="118"/>
      <c r="G895" s="138"/>
      <c r="H895" s="26"/>
      <c r="I895" s="155"/>
      <c r="J895" s="200"/>
      <c r="K895" s="155"/>
      <c r="L895" s="155"/>
      <c r="M895" s="155"/>
      <c r="N895" s="155"/>
      <c r="O895" s="155"/>
      <c r="P895" s="155"/>
      <c r="Q895" s="155"/>
      <c r="R895" s="155"/>
      <c r="S895" s="155"/>
      <c r="T895" s="155"/>
      <c r="U895" s="155"/>
      <c r="V895" s="155"/>
      <c r="W895" s="155"/>
      <c r="X895" s="155"/>
      <c r="Y895" s="155"/>
      <c r="Z895" s="155"/>
      <c r="AA895" s="155"/>
    </row>
    <row r="896" ht="22.5" customHeight="1">
      <c r="A896" s="139"/>
      <c r="B896" s="71"/>
      <c r="C896" s="117"/>
      <c r="D896" s="25"/>
      <c r="E896" s="118"/>
      <c r="F896" s="118"/>
      <c r="G896" s="138"/>
      <c r="H896" s="26"/>
      <c r="I896" s="155"/>
      <c r="J896" s="200"/>
      <c r="K896" s="155"/>
      <c r="L896" s="155"/>
      <c r="M896" s="155"/>
      <c r="N896" s="155"/>
      <c r="O896" s="155"/>
      <c r="P896" s="155"/>
      <c r="Q896" s="155"/>
      <c r="R896" s="155"/>
      <c r="S896" s="155"/>
      <c r="T896" s="155"/>
      <c r="U896" s="155"/>
      <c r="V896" s="155"/>
      <c r="W896" s="155"/>
      <c r="X896" s="155"/>
      <c r="Y896" s="155"/>
      <c r="Z896" s="155"/>
      <c r="AA896" s="155"/>
    </row>
    <row r="897" ht="22.5" customHeight="1">
      <c r="A897" s="139"/>
      <c r="B897" s="71"/>
      <c r="C897" s="117"/>
      <c r="D897" s="25"/>
      <c r="E897" s="118"/>
      <c r="F897" s="118"/>
      <c r="G897" s="138"/>
      <c r="H897" s="26"/>
      <c r="I897" s="155"/>
      <c r="J897" s="200"/>
      <c r="K897" s="155"/>
      <c r="L897" s="155"/>
      <c r="M897" s="155"/>
      <c r="N897" s="155"/>
      <c r="O897" s="155"/>
      <c r="P897" s="155"/>
      <c r="Q897" s="155"/>
      <c r="R897" s="155"/>
      <c r="S897" s="155"/>
      <c r="T897" s="155"/>
      <c r="U897" s="155"/>
      <c r="V897" s="155"/>
      <c r="W897" s="155"/>
      <c r="X897" s="155"/>
      <c r="Y897" s="155"/>
      <c r="Z897" s="155"/>
      <c r="AA897" s="155"/>
    </row>
    <row r="898" ht="22.5" customHeight="1">
      <c r="A898" s="139"/>
      <c r="B898" s="71"/>
      <c r="C898" s="117"/>
      <c r="D898" s="25"/>
      <c r="E898" s="118"/>
      <c r="F898" s="118"/>
      <c r="G898" s="138"/>
      <c r="H898" s="26"/>
      <c r="I898" s="155"/>
      <c r="J898" s="200"/>
      <c r="K898" s="155"/>
      <c r="L898" s="155"/>
      <c r="M898" s="155"/>
      <c r="N898" s="155"/>
      <c r="O898" s="155"/>
      <c r="P898" s="155"/>
      <c r="Q898" s="155"/>
      <c r="R898" s="155"/>
      <c r="S898" s="155"/>
      <c r="T898" s="155"/>
      <c r="U898" s="155"/>
      <c r="V898" s="155"/>
      <c r="W898" s="155"/>
      <c r="X898" s="155"/>
      <c r="Y898" s="155"/>
      <c r="Z898" s="155"/>
      <c r="AA898" s="155"/>
    </row>
    <row r="899" ht="22.5" customHeight="1">
      <c r="A899" s="139"/>
      <c r="B899" s="71"/>
      <c r="C899" s="117"/>
      <c r="D899" s="25"/>
      <c r="E899" s="118"/>
      <c r="F899" s="118"/>
      <c r="G899" s="138"/>
      <c r="H899" s="26"/>
      <c r="I899" s="155"/>
      <c r="J899" s="200"/>
      <c r="K899" s="155"/>
      <c r="L899" s="155"/>
      <c r="M899" s="155"/>
      <c r="N899" s="155"/>
      <c r="O899" s="155"/>
      <c r="P899" s="155"/>
      <c r="Q899" s="155"/>
      <c r="R899" s="155"/>
      <c r="S899" s="155"/>
      <c r="T899" s="155"/>
      <c r="U899" s="155"/>
      <c r="V899" s="155"/>
      <c r="W899" s="155"/>
      <c r="X899" s="155"/>
      <c r="Y899" s="155"/>
      <c r="Z899" s="155"/>
      <c r="AA899" s="155"/>
    </row>
    <row r="900" ht="22.5" customHeight="1">
      <c r="A900" s="139"/>
      <c r="B900" s="71"/>
      <c r="C900" s="117"/>
      <c r="D900" s="25"/>
      <c r="E900" s="118"/>
      <c r="F900" s="118"/>
      <c r="G900" s="138"/>
      <c r="H900" s="26"/>
      <c r="I900" s="155"/>
      <c r="J900" s="200"/>
      <c r="K900" s="155"/>
      <c r="L900" s="155"/>
      <c r="M900" s="155"/>
      <c r="N900" s="155"/>
      <c r="O900" s="155"/>
      <c r="P900" s="155"/>
      <c r="Q900" s="155"/>
      <c r="R900" s="155"/>
      <c r="S900" s="155"/>
      <c r="T900" s="155"/>
      <c r="U900" s="155"/>
      <c r="V900" s="155"/>
      <c r="W900" s="155"/>
      <c r="X900" s="155"/>
      <c r="Y900" s="155"/>
      <c r="Z900" s="155"/>
      <c r="AA900" s="155"/>
    </row>
    <row r="901" ht="22.5" customHeight="1">
      <c r="A901" s="139"/>
      <c r="B901" s="71"/>
      <c r="C901" s="117"/>
      <c r="D901" s="25"/>
      <c r="E901" s="118"/>
      <c r="F901" s="118"/>
      <c r="G901" s="138"/>
      <c r="H901" s="26"/>
      <c r="I901" s="155"/>
      <c r="J901" s="200"/>
      <c r="K901" s="155"/>
      <c r="L901" s="155"/>
      <c r="M901" s="155"/>
      <c r="N901" s="155"/>
      <c r="O901" s="155"/>
      <c r="P901" s="155"/>
      <c r="Q901" s="155"/>
      <c r="R901" s="155"/>
      <c r="S901" s="155"/>
      <c r="T901" s="155"/>
      <c r="U901" s="155"/>
      <c r="V901" s="155"/>
      <c r="W901" s="155"/>
      <c r="X901" s="155"/>
      <c r="Y901" s="155"/>
      <c r="Z901" s="155"/>
      <c r="AA901" s="155"/>
    </row>
    <row r="902" ht="22.5" customHeight="1">
      <c r="A902" s="139"/>
      <c r="B902" s="71"/>
      <c r="C902" s="117"/>
      <c r="D902" s="25"/>
      <c r="E902" s="118"/>
      <c r="F902" s="118"/>
      <c r="G902" s="138"/>
      <c r="H902" s="26"/>
      <c r="I902" s="155"/>
      <c r="J902" s="200"/>
      <c r="K902" s="155"/>
      <c r="L902" s="155"/>
      <c r="M902" s="155"/>
      <c r="N902" s="155"/>
      <c r="O902" s="155"/>
      <c r="P902" s="155"/>
      <c r="Q902" s="155"/>
      <c r="R902" s="155"/>
      <c r="S902" s="155"/>
      <c r="T902" s="155"/>
      <c r="U902" s="155"/>
      <c r="V902" s="155"/>
      <c r="W902" s="155"/>
      <c r="X902" s="155"/>
      <c r="Y902" s="155"/>
      <c r="Z902" s="155"/>
      <c r="AA902" s="155"/>
    </row>
    <row r="903" ht="22.5" customHeight="1">
      <c r="A903" s="139"/>
      <c r="B903" s="71"/>
      <c r="C903" s="117"/>
      <c r="D903" s="25"/>
      <c r="E903" s="118"/>
      <c r="F903" s="118"/>
      <c r="G903" s="138"/>
      <c r="H903" s="26"/>
      <c r="I903" s="155"/>
      <c r="J903" s="200"/>
      <c r="K903" s="155"/>
      <c r="L903" s="155"/>
      <c r="M903" s="155"/>
      <c r="N903" s="155"/>
      <c r="O903" s="155"/>
      <c r="P903" s="155"/>
      <c r="Q903" s="155"/>
      <c r="R903" s="155"/>
      <c r="S903" s="155"/>
      <c r="T903" s="155"/>
      <c r="U903" s="155"/>
      <c r="V903" s="155"/>
      <c r="W903" s="155"/>
      <c r="X903" s="155"/>
      <c r="Y903" s="155"/>
      <c r="Z903" s="155"/>
      <c r="AA903" s="155"/>
    </row>
    <row r="904" ht="22.5" customHeight="1">
      <c r="A904" s="139"/>
      <c r="B904" s="71"/>
      <c r="C904" s="117"/>
      <c r="D904" s="25"/>
      <c r="E904" s="118"/>
      <c r="F904" s="118"/>
      <c r="G904" s="138"/>
      <c r="H904" s="26"/>
      <c r="I904" s="155"/>
      <c r="J904" s="200"/>
      <c r="K904" s="155"/>
      <c r="L904" s="155"/>
      <c r="M904" s="155"/>
      <c r="N904" s="155"/>
      <c r="O904" s="155"/>
      <c r="P904" s="155"/>
      <c r="Q904" s="155"/>
      <c r="R904" s="155"/>
      <c r="S904" s="155"/>
      <c r="T904" s="155"/>
      <c r="U904" s="155"/>
      <c r="V904" s="155"/>
      <c r="W904" s="155"/>
      <c r="X904" s="155"/>
      <c r="Y904" s="155"/>
      <c r="Z904" s="155"/>
      <c r="AA904" s="155"/>
    </row>
    <row r="905" ht="22.5" customHeight="1">
      <c r="A905" s="139"/>
      <c r="B905" s="71"/>
      <c r="C905" s="117"/>
      <c r="D905" s="25"/>
      <c r="E905" s="118"/>
      <c r="F905" s="118"/>
      <c r="G905" s="138"/>
      <c r="H905" s="26"/>
      <c r="I905" s="155"/>
      <c r="J905" s="200"/>
      <c r="K905" s="155"/>
      <c r="L905" s="155"/>
      <c r="M905" s="155"/>
      <c r="N905" s="155"/>
      <c r="O905" s="155"/>
      <c r="P905" s="155"/>
      <c r="Q905" s="155"/>
      <c r="R905" s="155"/>
      <c r="S905" s="155"/>
      <c r="T905" s="155"/>
      <c r="U905" s="155"/>
      <c r="V905" s="155"/>
      <c r="W905" s="155"/>
      <c r="X905" s="155"/>
      <c r="Y905" s="155"/>
      <c r="Z905" s="155"/>
      <c r="AA905" s="155"/>
    </row>
    <row r="906" ht="22.5" customHeight="1">
      <c r="A906" s="139"/>
      <c r="B906" s="71"/>
      <c r="C906" s="117"/>
      <c r="D906" s="25"/>
      <c r="E906" s="118"/>
      <c r="F906" s="118"/>
      <c r="G906" s="138"/>
      <c r="H906" s="26"/>
      <c r="I906" s="155"/>
      <c r="J906" s="200"/>
      <c r="K906" s="155"/>
      <c r="L906" s="155"/>
      <c r="M906" s="155"/>
      <c r="N906" s="155"/>
      <c r="O906" s="155"/>
      <c r="P906" s="155"/>
      <c r="Q906" s="155"/>
      <c r="R906" s="155"/>
      <c r="S906" s="155"/>
      <c r="T906" s="155"/>
      <c r="U906" s="155"/>
      <c r="V906" s="155"/>
      <c r="W906" s="155"/>
      <c r="X906" s="155"/>
      <c r="Y906" s="155"/>
      <c r="Z906" s="155"/>
      <c r="AA906" s="155"/>
    </row>
    <row r="907" ht="22.5" customHeight="1">
      <c r="A907" s="139"/>
      <c r="B907" s="71"/>
      <c r="C907" s="117"/>
      <c r="D907" s="25"/>
      <c r="E907" s="118"/>
      <c r="F907" s="118"/>
      <c r="G907" s="138"/>
      <c r="H907" s="26"/>
      <c r="I907" s="155"/>
      <c r="J907" s="200"/>
      <c r="K907" s="155"/>
      <c r="L907" s="155"/>
      <c r="M907" s="155"/>
      <c r="N907" s="155"/>
      <c r="O907" s="155"/>
      <c r="P907" s="155"/>
      <c r="Q907" s="155"/>
      <c r="R907" s="155"/>
      <c r="S907" s="155"/>
      <c r="T907" s="155"/>
      <c r="U907" s="155"/>
      <c r="V907" s="155"/>
      <c r="W907" s="155"/>
      <c r="X907" s="155"/>
      <c r="Y907" s="155"/>
      <c r="Z907" s="155"/>
      <c r="AA907" s="155"/>
    </row>
    <row r="908" ht="22.5" customHeight="1">
      <c r="A908" s="139"/>
      <c r="B908" s="71"/>
      <c r="C908" s="117"/>
      <c r="D908" s="25"/>
      <c r="E908" s="118"/>
      <c r="F908" s="118"/>
      <c r="G908" s="138"/>
      <c r="H908" s="26"/>
      <c r="I908" s="155"/>
      <c r="J908" s="200"/>
      <c r="K908" s="155"/>
      <c r="L908" s="155"/>
      <c r="M908" s="155"/>
      <c r="N908" s="155"/>
      <c r="O908" s="155"/>
      <c r="P908" s="155"/>
      <c r="Q908" s="155"/>
      <c r="R908" s="155"/>
      <c r="S908" s="155"/>
      <c r="T908" s="155"/>
      <c r="U908" s="155"/>
      <c r="V908" s="155"/>
      <c r="W908" s="155"/>
      <c r="X908" s="155"/>
      <c r="Y908" s="155"/>
      <c r="Z908" s="155"/>
      <c r="AA908" s="155"/>
    </row>
    <row r="909" ht="22.5" customHeight="1">
      <c r="A909" s="139"/>
      <c r="B909" s="71"/>
      <c r="C909" s="117"/>
      <c r="D909" s="25"/>
      <c r="E909" s="118"/>
      <c r="F909" s="118"/>
      <c r="G909" s="138"/>
      <c r="H909" s="26"/>
      <c r="I909" s="155"/>
      <c r="J909" s="200"/>
      <c r="K909" s="155"/>
      <c r="L909" s="155"/>
      <c r="M909" s="155"/>
      <c r="N909" s="155"/>
      <c r="O909" s="155"/>
      <c r="P909" s="155"/>
      <c r="Q909" s="155"/>
      <c r="R909" s="155"/>
      <c r="S909" s="155"/>
      <c r="T909" s="155"/>
      <c r="U909" s="155"/>
      <c r="V909" s="155"/>
      <c r="W909" s="155"/>
      <c r="X909" s="155"/>
      <c r="Y909" s="155"/>
      <c r="Z909" s="155"/>
      <c r="AA909" s="155"/>
    </row>
    <row r="910" ht="22.5" customHeight="1">
      <c r="A910" s="139"/>
      <c r="B910" s="71"/>
      <c r="C910" s="117"/>
      <c r="D910" s="25"/>
      <c r="E910" s="118"/>
      <c r="F910" s="118"/>
      <c r="G910" s="138"/>
      <c r="H910" s="26"/>
      <c r="I910" s="155"/>
      <c r="J910" s="200"/>
      <c r="K910" s="155"/>
      <c r="L910" s="155"/>
      <c r="M910" s="155"/>
      <c r="N910" s="155"/>
      <c r="O910" s="155"/>
      <c r="P910" s="155"/>
      <c r="Q910" s="155"/>
      <c r="R910" s="155"/>
      <c r="S910" s="155"/>
      <c r="T910" s="155"/>
      <c r="U910" s="155"/>
      <c r="V910" s="155"/>
      <c r="W910" s="155"/>
      <c r="X910" s="155"/>
      <c r="Y910" s="155"/>
      <c r="Z910" s="155"/>
      <c r="AA910" s="155"/>
    </row>
    <row r="911" ht="22.5" customHeight="1">
      <c r="A911" s="139"/>
      <c r="B911" s="71"/>
      <c r="C911" s="117"/>
      <c r="D911" s="25"/>
      <c r="E911" s="118"/>
      <c r="F911" s="118"/>
      <c r="G911" s="138"/>
      <c r="H911" s="26"/>
      <c r="I911" s="155"/>
      <c r="J911" s="200"/>
      <c r="K911" s="155"/>
      <c r="L911" s="155"/>
      <c r="M911" s="155"/>
      <c r="N911" s="155"/>
      <c r="O911" s="155"/>
      <c r="P911" s="155"/>
      <c r="Q911" s="155"/>
      <c r="R911" s="155"/>
      <c r="S911" s="155"/>
      <c r="T911" s="155"/>
      <c r="U911" s="155"/>
      <c r="V911" s="155"/>
      <c r="W911" s="155"/>
      <c r="X911" s="155"/>
      <c r="Y911" s="155"/>
      <c r="Z911" s="155"/>
      <c r="AA911" s="155"/>
    </row>
    <row r="912" ht="22.5" customHeight="1">
      <c r="A912" s="139"/>
      <c r="B912" s="71"/>
      <c r="C912" s="117"/>
      <c r="D912" s="25"/>
      <c r="E912" s="118"/>
      <c r="F912" s="118"/>
      <c r="G912" s="138"/>
      <c r="H912" s="26"/>
      <c r="I912" s="155"/>
      <c r="J912" s="200"/>
      <c r="K912" s="155"/>
      <c r="L912" s="155"/>
      <c r="M912" s="155"/>
      <c r="N912" s="155"/>
      <c r="O912" s="155"/>
      <c r="P912" s="155"/>
      <c r="Q912" s="155"/>
      <c r="R912" s="155"/>
      <c r="S912" s="155"/>
      <c r="T912" s="155"/>
      <c r="U912" s="155"/>
      <c r="V912" s="155"/>
      <c r="W912" s="155"/>
      <c r="X912" s="155"/>
      <c r="Y912" s="155"/>
      <c r="Z912" s="155"/>
      <c r="AA912" s="155"/>
    </row>
    <row r="913" ht="22.5" customHeight="1">
      <c r="A913" s="139"/>
      <c r="B913" s="71"/>
      <c r="C913" s="117"/>
      <c r="D913" s="25"/>
      <c r="E913" s="118"/>
      <c r="F913" s="118"/>
      <c r="G913" s="138"/>
      <c r="H913" s="26"/>
      <c r="I913" s="155"/>
      <c r="J913" s="200"/>
      <c r="K913" s="155"/>
      <c r="L913" s="155"/>
      <c r="M913" s="155"/>
      <c r="N913" s="155"/>
      <c r="O913" s="155"/>
      <c r="P913" s="155"/>
      <c r="Q913" s="155"/>
      <c r="R913" s="155"/>
      <c r="S913" s="155"/>
      <c r="T913" s="155"/>
      <c r="U913" s="155"/>
      <c r="V913" s="155"/>
      <c r="W913" s="155"/>
      <c r="X913" s="155"/>
      <c r="Y913" s="155"/>
      <c r="Z913" s="155"/>
      <c r="AA913" s="155"/>
    </row>
    <row r="914" ht="22.5" customHeight="1">
      <c r="A914" s="139"/>
      <c r="B914" s="71"/>
      <c r="C914" s="117"/>
      <c r="D914" s="25"/>
      <c r="E914" s="118"/>
      <c r="F914" s="118"/>
      <c r="G914" s="138"/>
      <c r="H914" s="26"/>
      <c r="I914" s="155"/>
      <c r="J914" s="200"/>
      <c r="K914" s="155"/>
      <c r="L914" s="155"/>
      <c r="M914" s="155"/>
      <c r="N914" s="155"/>
      <c r="O914" s="155"/>
      <c r="P914" s="155"/>
      <c r="Q914" s="155"/>
      <c r="R914" s="155"/>
      <c r="S914" s="155"/>
      <c r="T914" s="155"/>
      <c r="U914" s="155"/>
      <c r="V914" s="155"/>
      <c r="W914" s="155"/>
      <c r="X914" s="155"/>
      <c r="Y914" s="155"/>
      <c r="Z914" s="155"/>
      <c r="AA914" s="155"/>
    </row>
    <row r="915" ht="22.5" customHeight="1">
      <c r="A915" s="139"/>
      <c r="B915" s="71"/>
      <c r="C915" s="117"/>
      <c r="D915" s="25"/>
      <c r="E915" s="118"/>
      <c r="F915" s="118"/>
      <c r="G915" s="138"/>
      <c r="H915" s="26"/>
      <c r="I915" s="155"/>
      <c r="J915" s="200"/>
      <c r="K915" s="155"/>
      <c r="L915" s="155"/>
      <c r="M915" s="155"/>
      <c r="N915" s="155"/>
      <c r="O915" s="155"/>
      <c r="P915" s="155"/>
      <c r="Q915" s="155"/>
      <c r="R915" s="155"/>
      <c r="S915" s="155"/>
      <c r="T915" s="155"/>
      <c r="U915" s="155"/>
      <c r="V915" s="155"/>
      <c r="W915" s="155"/>
      <c r="X915" s="155"/>
      <c r="Y915" s="155"/>
      <c r="Z915" s="155"/>
      <c r="AA915" s="155"/>
    </row>
    <row r="916" ht="22.5" customHeight="1">
      <c r="A916" s="139"/>
      <c r="B916" s="71"/>
      <c r="C916" s="117"/>
      <c r="D916" s="25"/>
      <c r="E916" s="118"/>
      <c r="F916" s="118"/>
      <c r="G916" s="138"/>
      <c r="H916" s="26"/>
      <c r="I916" s="155"/>
      <c r="J916" s="200"/>
      <c r="K916" s="155"/>
      <c r="L916" s="155"/>
      <c r="M916" s="155"/>
      <c r="N916" s="155"/>
      <c r="O916" s="155"/>
      <c r="P916" s="155"/>
      <c r="Q916" s="155"/>
      <c r="R916" s="155"/>
      <c r="S916" s="155"/>
      <c r="T916" s="155"/>
      <c r="U916" s="155"/>
      <c r="V916" s="155"/>
      <c r="W916" s="155"/>
      <c r="X916" s="155"/>
      <c r="Y916" s="155"/>
      <c r="Z916" s="155"/>
      <c r="AA916" s="155"/>
    </row>
    <row r="917" ht="22.5" customHeight="1">
      <c r="A917" s="139"/>
      <c r="B917" s="71"/>
      <c r="C917" s="117"/>
      <c r="D917" s="25"/>
      <c r="E917" s="118"/>
      <c r="F917" s="118"/>
      <c r="G917" s="138"/>
      <c r="H917" s="26"/>
      <c r="I917" s="155"/>
      <c r="J917" s="200"/>
      <c r="K917" s="155"/>
      <c r="L917" s="155"/>
      <c r="M917" s="155"/>
      <c r="N917" s="155"/>
      <c r="O917" s="155"/>
      <c r="P917" s="155"/>
      <c r="Q917" s="155"/>
      <c r="R917" s="155"/>
      <c r="S917" s="155"/>
      <c r="T917" s="155"/>
      <c r="U917" s="155"/>
      <c r="V917" s="155"/>
      <c r="W917" s="155"/>
      <c r="X917" s="155"/>
      <c r="Y917" s="155"/>
      <c r="Z917" s="155"/>
      <c r="AA917" s="155"/>
    </row>
    <row r="918" ht="22.5" customHeight="1">
      <c r="A918" s="139"/>
      <c r="B918" s="71"/>
      <c r="C918" s="117"/>
      <c r="D918" s="25"/>
      <c r="E918" s="118"/>
      <c r="F918" s="118"/>
      <c r="G918" s="138"/>
      <c r="H918" s="26"/>
      <c r="I918" s="155"/>
      <c r="J918" s="200"/>
      <c r="K918" s="155"/>
      <c r="L918" s="155"/>
      <c r="M918" s="155"/>
      <c r="N918" s="155"/>
      <c r="O918" s="155"/>
      <c r="P918" s="155"/>
      <c r="Q918" s="155"/>
      <c r="R918" s="155"/>
      <c r="S918" s="155"/>
      <c r="T918" s="155"/>
      <c r="U918" s="155"/>
      <c r="V918" s="155"/>
      <c r="W918" s="155"/>
      <c r="X918" s="155"/>
      <c r="Y918" s="155"/>
      <c r="Z918" s="155"/>
      <c r="AA918" s="155"/>
    </row>
    <row r="919" ht="22.5" customHeight="1">
      <c r="A919" s="139"/>
      <c r="B919" s="71"/>
      <c r="C919" s="117"/>
      <c r="D919" s="25"/>
      <c r="E919" s="118"/>
      <c r="F919" s="118"/>
      <c r="G919" s="138"/>
      <c r="H919" s="26"/>
      <c r="I919" s="155"/>
      <c r="J919" s="200"/>
      <c r="K919" s="155"/>
      <c r="L919" s="155"/>
      <c r="M919" s="155"/>
      <c r="N919" s="155"/>
      <c r="O919" s="155"/>
      <c r="P919" s="155"/>
      <c r="Q919" s="155"/>
      <c r="R919" s="155"/>
      <c r="S919" s="155"/>
      <c r="T919" s="155"/>
      <c r="U919" s="155"/>
      <c r="V919" s="155"/>
      <c r="W919" s="155"/>
      <c r="X919" s="155"/>
      <c r="Y919" s="155"/>
      <c r="Z919" s="155"/>
      <c r="AA919" s="155"/>
    </row>
    <row r="920" ht="22.5" customHeight="1">
      <c r="A920" s="139"/>
      <c r="B920" s="71"/>
      <c r="C920" s="117"/>
      <c r="D920" s="25"/>
      <c r="E920" s="118"/>
      <c r="F920" s="118"/>
      <c r="G920" s="138"/>
      <c r="H920" s="26"/>
      <c r="I920" s="155"/>
      <c r="J920" s="200"/>
      <c r="K920" s="155"/>
      <c r="L920" s="155"/>
      <c r="M920" s="155"/>
      <c r="N920" s="155"/>
      <c r="O920" s="155"/>
      <c r="P920" s="155"/>
      <c r="Q920" s="155"/>
      <c r="R920" s="155"/>
      <c r="S920" s="155"/>
      <c r="T920" s="155"/>
      <c r="U920" s="155"/>
      <c r="V920" s="155"/>
      <c r="W920" s="155"/>
      <c r="X920" s="155"/>
      <c r="Y920" s="155"/>
      <c r="Z920" s="155"/>
      <c r="AA920" s="155"/>
    </row>
    <row r="921" ht="22.5" customHeight="1">
      <c r="A921" s="139"/>
      <c r="B921" s="71"/>
      <c r="C921" s="117"/>
      <c r="D921" s="25"/>
      <c r="E921" s="118"/>
      <c r="F921" s="118"/>
      <c r="G921" s="138"/>
      <c r="H921" s="26"/>
      <c r="I921" s="155"/>
      <c r="J921" s="200"/>
      <c r="K921" s="155"/>
      <c r="L921" s="155"/>
      <c r="M921" s="155"/>
      <c r="N921" s="155"/>
      <c r="O921" s="155"/>
      <c r="P921" s="155"/>
      <c r="Q921" s="155"/>
      <c r="R921" s="155"/>
      <c r="S921" s="155"/>
      <c r="T921" s="155"/>
      <c r="U921" s="155"/>
      <c r="V921" s="155"/>
      <c r="W921" s="155"/>
      <c r="X921" s="155"/>
      <c r="Y921" s="155"/>
      <c r="Z921" s="155"/>
      <c r="AA921" s="155"/>
    </row>
    <row r="922" ht="22.5" customHeight="1">
      <c r="A922" s="139"/>
      <c r="B922" s="71"/>
      <c r="C922" s="117"/>
      <c r="D922" s="25"/>
      <c r="E922" s="118"/>
      <c r="F922" s="118"/>
      <c r="G922" s="138"/>
      <c r="H922" s="26"/>
      <c r="I922" s="155"/>
      <c r="J922" s="200"/>
      <c r="K922" s="155"/>
      <c r="L922" s="155"/>
      <c r="M922" s="155"/>
      <c r="N922" s="155"/>
      <c r="O922" s="155"/>
      <c r="P922" s="155"/>
      <c r="Q922" s="155"/>
      <c r="R922" s="155"/>
      <c r="S922" s="155"/>
      <c r="T922" s="155"/>
      <c r="U922" s="155"/>
      <c r="V922" s="155"/>
      <c r="W922" s="155"/>
      <c r="X922" s="155"/>
      <c r="Y922" s="155"/>
      <c r="Z922" s="155"/>
      <c r="AA922" s="155"/>
    </row>
    <row r="923" ht="22.5" customHeight="1">
      <c r="A923" s="139"/>
      <c r="B923" s="71"/>
      <c r="C923" s="117"/>
      <c r="D923" s="25"/>
      <c r="E923" s="118"/>
      <c r="F923" s="118"/>
      <c r="G923" s="138"/>
      <c r="H923" s="26"/>
      <c r="I923" s="155"/>
      <c r="J923" s="200"/>
      <c r="K923" s="155"/>
      <c r="L923" s="155"/>
      <c r="M923" s="155"/>
      <c r="N923" s="155"/>
      <c r="O923" s="155"/>
      <c r="P923" s="155"/>
      <c r="Q923" s="155"/>
      <c r="R923" s="155"/>
      <c r="S923" s="155"/>
      <c r="T923" s="155"/>
      <c r="U923" s="155"/>
      <c r="V923" s="155"/>
      <c r="W923" s="155"/>
      <c r="X923" s="155"/>
      <c r="Y923" s="155"/>
      <c r="Z923" s="155"/>
      <c r="AA923" s="155"/>
    </row>
    <row r="924" ht="22.5" customHeight="1">
      <c r="A924" s="139"/>
      <c r="B924" s="71"/>
      <c r="C924" s="117"/>
      <c r="D924" s="25"/>
      <c r="E924" s="118"/>
      <c r="F924" s="118"/>
      <c r="G924" s="138"/>
      <c r="H924" s="26"/>
      <c r="I924" s="155"/>
      <c r="J924" s="200"/>
      <c r="K924" s="155"/>
      <c r="L924" s="155"/>
      <c r="M924" s="155"/>
      <c r="N924" s="155"/>
      <c r="O924" s="155"/>
      <c r="P924" s="155"/>
      <c r="Q924" s="155"/>
      <c r="R924" s="155"/>
      <c r="S924" s="155"/>
      <c r="T924" s="155"/>
      <c r="U924" s="155"/>
      <c r="V924" s="155"/>
      <c r="W924" s="155"/>
      <c r="X924" s="155"/>
      <c r="Y924" s="155"/>
      <c r="Z924" s="155"/>
      <c r="AA924" s="155"/>
    </row>
    <row r="925" ht="22.5" customHeight="1">
      <c r="A925" s="139"/>
      <c r="B925" s="71"/>
      <c r="C925" s="117"/>
      <c r="D925" s="25"/>
      <c r="E925" s="118"/>
      <c r="F925" s="118"/>
      <c r="G925" s="138"/>
      <c r="H925" s="26"/>
      <c r="I925" s="155"/>
      <c r="J925" s="200"/>
      <c r="K925" s="155"/>
      <c r="L925" s="155"/>
      <c r="M925" s="155"/>
      <c r="N925" s="155"/>
      <c r="O925" s="155"/>
      <c r="P925" s="155"/>
      <c r="Q925" s="155"/>
      <c r="R925" s="155"/>
      <c r="S925" s="155"/>
      <c r="T925" s="155"/>
      <c r="U925" s="155"/>
      <c r="V925" s="155"/>
      <c r="W925" s="155"/>
      <c r="X925" s="155"/>
      <c r="Y925" s="155"/>
      <c r="Z925" s="155"/>
      <c r="AA925" s="155"/>
    </row>
    <row r="926" ht="22.5" customHeight="1">
      <c r="A926" s="139"/>
      <c r="B926" s="71"/>
      <c r="C926" s="117"/>
      <c r="D926" s="25"/>
      <c r="E926" s="118"/>
      <c r="F926" s="118"/>
      <c r="G926" s="138"/>
      <c r="H926" s="26"/>
      <c r="I926" s="155"/>
      <c r="J926" s="200"/>
      <c r="K926" s="155"/>
      <c r="L926" s="155"/>
      <c r="M926" s="155"/>
      <c r="N926" s="155"/>
      <c r="O926" s="155"/>
      <c r="P926" s="155"/>
      <c r="Q926" s="155"/>
      <c r="R926" s="155"/>
      <c r="S926" s="155"/>
      <c r="T926" s="155"/>
      <c r="U926" s="155"/>
      <c r="V926" s="155"/>
      <c r="W926" s="155"/>
      <c r="X926" s="155"/>
      <c r="Y926" s="155"/>
      <c r="Z926" s="155"/>
      <c r="AA926" s="155"/>
    </row>
    <row r="927" ht="22.5" customHeight="1">
      <c r="A927" s="139"/>
      <c r="B927" s="71"/>
      <c r="C927" s="117"/>
      <c r="D927" s="25"/>
      <c r="E927" s="118"/>
      <c r="F927" s="118"/>
      <c r="G927" s="138"/>
      <c r="H927" s="26"/>
      <c r="I927" s="155"/>
      <c r="J927" s="200"/>
      <c r="K927" s="155"/>
      <c r="L927" s="155"/>
      <c r="M927" s="155"/>
      <c r="N927" s="155"/>
      <c r="O927" s="155"/>
      <c r="P927" s="155"/>
      <c r="Q927" s="155"/>
      <c r="R927" s="155"/>
      <c r="S927" s="155"/>
      <c r="T927" s="155"/>
      <c r="U927" s="155"/>
      <c r="V927" s="155"/>
      <c r="W927" s="155"/>
      <c r="X927" s="155"/>
      <c r="Y927" s="155"/>
      <c r="Z927" s="155"/>
      <c r="AA927" s="155"/>
    </row>
    <row r="928" ht="22.5" customHeight="1">
      <c r="A928" s="139"/>
      <c r="B928" s="71"/>
      <c r="C928" s="117"/>
      <c r="D928" s="25"/>
      <c r="E928" s="118"/>
      <c r="F928" s="118"/>
      <c r="G928" s="138"/>
      <c r="H928" s="26"/>
      <c r="I928" s="155"/>
      <c r="J928" s="200"/>
      <c r="K928" s="155"/>
      <c r="L928" s="155"/>
      <c r="M928" s="155"/>
      <c r="N928" s="155"/>
      <c r="O928" s="155"/>
      <c r="P928" s="155"/>
      <c r="Q928" s="155"/>
      <c r="R928" s="155"/>
      <c r="S928" s="155"/>
      <c r="T928" s="155"/>
      <c r="U928" s="155"/>
      <c r="V928" s="155"/>
      <c r="W928" s="155"/>
      <c r="X928" s="155"/>
      <c r="Y928" s="155"/>
      <c r="Z928" s="155"/>
      <c r="AA928" s="155"/>
    </row>
    <row r="929" ht="22.5" customHeight="1">
      <c r="A929" s="139"/>
      <c r="B929" s="71"/>
      <c r="C929" s="117"/>
      <c r="D929" s="25"/>
      <c r="E929" s="118"/>
      <c r="F929" s="118"/>
      <c r="G929" s="138"/>
      <c r="H929" s="26"/>
      <c r="I929" s="155"/>
      <c r="J929" s="200"/>
      <c r="K929" s="155"/>
      <c r="L929" s="155"/>
      <c r="M929" s="155"/>
      <c r="N929" s="155"/>
      <c r="O929" s="155"/>
      <c r="P929" s="155"/>
      <c r="Q929" s="155"/>
      <c r="R929" s="155"/>
      <c r="S929" s="155"/>
      <c r="T929" s="155"/>
      <c r="U929" s="155"/>
      <c r="V929" s="155"/>
      <c r="W929" s="155"/>
      <c r="X929" s="155"/>
      <c r="Y929" s="155"/>
      <c r="Z929" s="155"/>
      <c r="AA929" s="155"/>
    </row>
    <row r="930" ht="22.5" customHeight="1">
      <c r="A930" s="139"/>
      <c r="B930" s="71"/>
      <c r="C930" s="117"/>
      <c r="D930" s="25"/>
      <c r="E930" s="118"/>
      <c r="F930" s="118"/>
      <c r="G930" s="138"/>
      <c r="H930" s="26"/>
      <c r="I930" s="155"/>
      <c r="J930" s="200"/>
      <c r="K930" s="155"/>
      <c r="L930" s="155"/>
      <c r="M930" s="155"/>
      <c r="N930" s="155"/>
      <c r="O930" s="155"/>
      <c r="P930" s="155"/>
      <c r="Q930" s="155"/>
      <c r="R930" s="155"/>
      <c r="S930" s="155"/>
      <c r="T930" s="155"/>
      <c r="U930" s="155"/>
      <c r="V930" s="155"/>
      <c r="W930" s="155"/>
      <c r="X930" s="155"/>
      <c r="Y930" s="155"/>
      <c r="Z930" s="155"/>
      <c r="AA930" s="155"/>
    </row>
    <row r="931" ht="22.5" customHeight="1">
      <c r="A931" s="139"/>
      <c r="B931" s="71"/>
      <c r="C931" s="117"/>
      <c r="D931" s="25"/>
      <c r="E931" s="118"/>
      <c r="F931" s="118"/>
      <c r="G931" s="138"/>
      <c r="H931" s="26"/>
      <c r="I931" s="155"/>
      <c r="J931" s="200"/>
      <c r="K931" s="155"/>
      <c r="L931" s="155"/>
      <c r="M931" s="155"/>
      <c r="N931" s="155"/>
      <c r="O931" s="155"/>
      <c r="P931" s="155"/>
      <c r="Q931" s="155"/>
      <c r="R931" s="155"/>
      <c r="S931" s="155"/>
      <c r="T931" s="155"/>
      <c r="U931" s="155"/>
      <c r="V931" s="155"/>
      <c r="W931" s="155"/>
      <c r="X931" s="155"/>
      <c r="Y931" s="155"/>
      <c r="Z931" s="155"/>
      <c r="AA931" s="155"/>
    </row>
    <row r="932" ht="22.5" customHeight="1">
      <c r="A932" s="139"/>
      <c r="B932" s="71"/>
      <c r="C932" s="117"/>
      <c r="D932" s="25"/>
      <c r="E932" s="118"/>
      <c r="F932" s="118"/>
      <c r="G932" s="138"/>
      <c r="H932" s="26"/>
      <c r="I932" s="155"/>
      <c r="J932" s="200"/>
      <c r="K932" s="155"/>
      <c r="L932" s="155"/>
      <c r="M932" s="155"/>
      <c r="N932" s="155"/>
      <c r="O932" s="155"/>
      <c r="P932" s="155"/>
      <c r="Q932" s="155"/>
      <c r="R932" s="155"/>
      <c r="S932" s="155"/>
      <c r="T932" s="155"/>
      <c r="U932" s="155"/>
      <c r="V932" s="155"/>
      <c r="W932" s="155"/>
      <c r="X932" s="155"/>
      <c r="Y932" s="155"/>
      <c r="Z932" s="155"/>
      <c r="AA932" s="155"/>
    </row>
    <row r="933" ht="22.5" customHeight="1">
      <c r="A933" s="139"/>
      <c r="B933" s="71"/>
      <c r="C933" s="117"/>
      <c r="D933" s="25"/>
      <c r="E933" s="118"/>
      <c r="F933" s="118"/>
      <c r="G933" s="138"/>
      <c r="H933" s="26"/>
      <c r="I933" s="155"/>
      <c r="J933" s="200"/>
      <c r="K933" s="155"/>
      <c r="L933" s="155"/>
      <c r="M933" s="155"/>
      <c r="N933" s="155"/>
      <c r="O933" s="155"/>
      <c r="P933" s="155"/>
      <c r="Q933" s="155"/>
      <c r="R933" s="155"/>
      <c r="S933" s="155"/>
      <c r="T933" s="155"/>
      <c r="U933" s="155"/>
      <c r="V933" s="155"/>
      <c r="W933" s="155"/>
      <c r="X933" s="155"/>
      <c r="Y933" s="155"/>
      <c r="Z933" s="155"/>
      <c r="AA933" s="155"/>
    </row>
    <row r="934" ht="22.5" customHeight="1">
      <c r="A934" s="139"/>
      <c r="B934" s="71"/>
      <c r="C934" s="117"/>
      <c r="D934" s="25"/>
      <c r="E934" s="118"/>
      <c r="F934" s="118"/>
      <c r="G934" s="138"/>
      <c r="H934" s="26"/>
      <c r="I934" s="155"/>
      <c r="J934" s="200"/>
      <c r="K934" s="155"/>
      <c r="L934" s="155"/>
      <c r="M934" s="155"/>
      <c r="N934" s="155"/>
      <c r="O934" s="155"/>
      <c r="P934" s="155"/>
      <c r="Q934" s="155"/>
      <c r="R934" s="155"/>
      <c r="S934" s="155"/>
      <c r="T934" s="155"/>
      <c r="U934" s="155"/>
      <c r="V934" s="155"/>
      <c r="W934" s="155"/>
      <c r="X934" s="155"/>
      <c r="Y934" s="155"/>
      <c r="Z934" s="155"/>
      <c r="AA934" s="155"/>
    </row>
    <row r="935" ht="22.5" customHeight="1">
      <c r="A935" s="139"/>
      <c r="B935" s="71"/>
      <c r="C935" s="117"/>
      <c r="D935" s="25"/>
      <c r="E935" s="118"/>
      <c r="F935" s="118"/>
      <c r="G935" s="138"/>
      <c r="H935" s="26"/>
      <c r="I935" s="155"/>
      <c r="J935" s="200"/>
      <c r="K935" s="155"/>
      <c r="L935" s="155"/>
      <c r="M935" s="155"/>
      <c r="N935" s="155"/>
      <c r="O935" s="155"/>
      <c r="P935" s="155"/>
      <c r="Q935" s="155"/>
      <c r="R935" s="155"/>
      <c r="S935" s="155"/>
      <c r="T935" s="155"/>
      <c r="U935" s="155"/>
      <c r="V935" s="155"/>
      <c r="W935" s="155"/>
      <c r="X935" s="155"/>
      <c r="Y935" s="155"/>
      <c r="Z935" s="155"/>
      <c r="AA935" s="155"/>
    </row>
    <row r="936" ht="22.5" customHeight="1">
      <c r="A936" s="139"/>
      <c r="B936" s="71"/>
      <c r="C936" s="117"/>
      <c r="D936" s="25"/>
      <c r="E936" s="118"/>
      <c r="F936" s="118"/>
      <c r="G936" s="138"/>
      <c r="H936" s="26"/>
      <c r="I936" s="155"/>
      <c r="J936" s="200"/>
      <c r="K936" s="155"/>
      <c r="L936" s="155"/>
      <c r="M936" s="155"/>
      <c r="N936" s="155"/>
      <c r="O936" s="155"/>
      <c r="P936" s="155"/>
      <c r="Q936" s="155"/>
      <c r="R936" s="155"/>
      <c r="S936" s="155"/>
      <c r="T936" s="155"/>
      <c r="U936" s="155"/>
      <c r="V936" s="155"/>
      <c r="W936" s="155"/>
      <c r="X936" s="155"/>
      <c r="Y936" s="155"/>
      <c r="Z936" s="155"/>
      <c r="AA936" s="155"/>
    </row>
    <row r="937" ht="22.5" customHeight="1">
      <c r="A937" s="139"/>
      <c r="B937" s="71"/>
      <c r="C937" s="117"/>
      <c r="D937" s="25"/>
      <c r="E937" s="118"/>
      <c r="F937" s="118"/>
      <c r="G937" s="138"/>
      <c r="H937" s="26"/>
      <c r="I937" s="155"/>
      <c r="J937" s="200"/>
      <c r="K937" s="155"/>
      <c r="L937" s="155"/>
      <c r="M937" s="155"/>
      <c r="N937" s="155"/>
      <c r="O937" s="155"/>
      <c r="P937" s="155"/>
      <c r="Q937" s="155"/>
      <c r="R937" s="155"/>
      <c r="S937" s="155"/>
      <c r="T937" s="155"/>
      <c r="U937" s="155"/>
      <c r="V937" s="155"/>
      <c r="W937" s="155"/>
      <c r="X937" s="155"/>
      <c r="Y937" s="155"/>
      <c r="Z937" s="155"/>
      <c r="AA937" s="155"/>
    </row>
    <row r="938" ht="22.5" customHeight="1">
      <c r="A938" s="139"/>
      <c r="B938" s="71"/>
      <c r="C938" s="117"/>
      <c r="D938" s="25"/>
      <c r="E938" s="118"/>
      <c r="F938" s="118"/>
      <c r="G938" s="138"/>
      <c r="H938" s="26"/>
      <c r="I938" s="155"/>
      <c r="J938" s="200"/>
      <c r="K938" s="155"/>
      <c r="L938" s="155"/>
      <c r="M938" s="155"/>
      <c r="N938" s="155"/>
      <c r="O938" s="155"/>
      <c r="P938" s="155"/>
      <c r="Q938" s="155"/>
      <c r="R938" s="155"/>
      <c r="S938" s="155"/>
      <c r="T938" s="155"/>
      <c r="U938" s="155"/>
      <c r="V938" s="155"/>
      <c r="W938" s="155"/>
      <c r="X938" s="155"/>
      <c r="Y938" s="155"/>
      <c r="Z938" s="155"/>
      <c r="AA938" s="155"/>
    </row>
    <row r="939" ht="22.5" customHeight="1">
      <c r="A939" s="139"/>
      <c r="B939" s="71"/>
      <c r="C939" s="117"/>
      <c r="D939" s="25"/>
      <c r="E939" s="118"/>
      <c r="F939" s="118"/>
      <c r="G939" s="138"/>
      <c r="H939" s="26"/>
      <c r="I939" s="155"/>
      <c r="J939" s="200"/>
      <c r="K939" s="155"/>
      <c r="L939" s="155"/>
      <c r="M939" s="155"/>
      <c r="N939" s="155"/>
      <c r="O939" s="155"/>
      <c r="P939" s="155"/>
      <c r="Q939" s="155"/>
      <c r="R939" s="155"/>
      <c r="S939" s="155"/>
      <c r="T939" s="155"/>
      <c r="U939" s="155"/>
      <c r="V939" s="155"/>
      <c r="W939" s="155"/>
      <c r="X939" s="155"/>
      <c r="Y939" s="155"/>
      <c r="Z939" s="155"/>
      <c r="AA939" s="155"/>
    </row>
    <row r="940" ht="22.5" customHeight="1">
      <c r="A940" s="139"/>
      <c r="B940" s="71"/>
      <c r="C940" s="117"/>
      <c r="D940" s="25"/>
      <c r="E940" s="118"/>
      <c r="F940" s="118"/>
      <c r="G940" s="138"/>
      <c r="H940" s="26"/>
      <c r="I940" s="155"/>
      <c r="J940" s="200"/>
      <c r="K940" s="155"/>
      <c r="L940" s="155"/>
      <c r="M940" s="155"/>
      <c r="N940" s="155"/>
      <c r="O940" s="155"/>
      <c r="P940" s="155"/>
      <c r="Q940" s="155"/>
      <c r="R940" s="155"/>
      <c r="S940" s="155"/>
      <c r="T940" s="155"/>
      <c r="U940" s="155"/>
      <c r="V940" s="155"/>
      <c r="W940" s="155"/>
      <c r="X940" s="155"/>
      <c r="Y940" s="155"/>
      <c r="Z940" s="155"/>
      <c r="AA940" s="155"/>
    </row>
    <row r="941" ht="22.5" customHeight="1">
      <c r="A941" s="139"/>
      <c r="B941" s="71"/>
      <c r="C941" s="117"/>
      <c r="D941" s="25"/>
      <c r="E941" s="118"/>
      <c r="F941" s="118"/>
      <c r="G941" s="138"/>
      <c r="H941" s="26"/>
      <c r="I941" s="155"/>
      <c r="J941" s="200"/>
      <c r="K941" s="155"/>
      <c r="L941" s="155"/>
      <c r="M941" s="155"/>
      <c r="N941" s="155"/>
      <c r="O941" s="155"/>
      <c r="P941" s="155"/>
      <c r="Q941" s="155"/>
      <c r="R941" s="155"/>
      <c r="S941" s="155"/>
      <c r="T941" s="155"/>
      <c r="U941" s="155"/>
      <c r="V941" s="155"/>
      <c r="W941" s="155"/>
      <c r="X941" s="155"/>
      <c r="Y941" s="155"/>
      <c r="Z941" s="155"/>
      <c r="AA941" s="155"/>
    </row>
    <row r="942" ht="22.5" customHeight="1">
      <c r="A942" s="139"/>
      <c r="B942" s="71"/>
      <c r="C942" s="117"/>
      <c r="D942" s="25"/>
      <c r="E942" s="118"/>
      <c r="F942" s="118"/>
      <c r="G942" s="138"/>
      <c r="H942" s="26"/>
      <c r="I942" s="155"/>
      <c r="J942" s="200"/>
      <c r="K942" s="155"/>
      <c r="L942" s="155"/>
      <c r="M942" s="155"/>
      <c r="N942" s="155"/>
      <c r="O942" s="155"/>
      <c r="P942" s="155"/>
      <c r="Q942" s="155"/>
      <c r="R942" s="155"/>
      <c r="S942" s="155"/>
      <c r="T942" s="155"/>
      <c r="U942" s="155"/>
      <c r="V942" s="155"/>
      <c r="W942" s="155"/>
      <c r="X942" s="155"/>
      <c r="Y942" s="155"/>
      <c r="Z942" s="155"/>
      <c r="AA942" s="155"/>
    </row>
    <row r="943" ht="22.5" customHeight="1">
      <c r="A943" s="139"/>
      <c r="B943" s="71"/>
      <c r="C943" s="117"/>
      <c r="D943" s="25"/>
      <c r="E943" s="118"/>
      <c r="F943" s="118"/>
      <c r="G943" s="138"/>
      <c r="H943" s="26"/>
      <c r="I943" s="155"/>
      <c r="J943" s="200"/>
      <c r="K943" s="155"/>
      <c r="L943" s="155"/>
      <c r="M943" s="155"/>
      <c r="N943" s="155"/>
      <c r="O943" s="155"/>
      <c r="P943" s="155"/>
      <c r="Q943" s="155"/>
      <c r="R943" s="155"/>
      <c r="S943" s="155"/>
      <c r="T943" s="155"/>
      <c r="U943" s="155"/>
      <c r="V943" s="155"/>
      <c r="W943" s="155"/>
      <c r="X943" s="155"/>
      <c r="Y943" s="155"/>
      <c r="Z943" s="155"/>
      <c r="AA943" s="155"/>
    </row>
    <row r="944" ht="22.5" customHeight="1">
      <c r="A944" s="139"/>
      <c r="B944" s="71"/>
      <c r="C944" s="117"/>
      <c r="D944" s="25"/>
      <c r="E944" s="118"/>
      <c r="F944" s="118"/>
      <c r="G944" s="138"/>
      <c r="H944" s="26"/>
      <c r="I944" s="155"/>
      <c r="J944" s="200"/>
      <c r="K944" s="155"/>
      <c r="L944" s="155"/>
      <c r="M944" s="155"/>
      <c r="N944" s="155"/>
      <c r="O944" s="155"/>
      <c r="P944" s="155"/>
      <c r="Q944" s="155"/>
      <c r="R944" s="155"/>
      <c r="S944" s="155"/>
      <c r="T944" s="155"/>
      <c r="U944" s="155"/>
      <c r="V944" s="155"/>
      <c r="W944" s="155"/>
      <c r="X944" s="155"/>
      <c r="Y944" s="155"/>
      <c r="Z944" s="155"/>
      <c r="AA944" s="155"/>
    </row>
    <row r="945" ht="22.5" customHeight="1">
      <c r="A945" s="139"/>
      <c r="B945" s="71"/>
      <c r="C945" s="117"/>
      <c r="D945" s="25"/>
      <c r="E945" s="118"/>
      <c r="F945" s="118"/>
      <c r="G945" s="138"/>
      <c r="H945" s="26"/>
      <c r="I945" s="155"/>
      <c r="J945" s="200"/>
      <c r="K945" s="155"/>
      <c r="L945" s="155"/>
      <c r="M945" s="155"/>
      <c r="N945" s="155"/>
      <c r="O945" s="155"/>
      <c r="P945" s="155"/>
      <c r="Q945" s="155"/>
      <c r="R945" s="155"/>
      <c r="S945" s="155"/>
      <c r="T945" s="155"/>
      <c r="U945" s="155"/>
      <c r="V945" s="155"/>
      <c r="W945" s="155"/>
      <c r="X945" s="155"/>
      <c r="Y945" s="155"/>
      <c r="Z945" s="155"/>
      <c r="AA945" s="155"/>
    </row>
    <row r="946" ht="22.5" customHeight="1">
      <c r="A946" s="139"/>
      <c r="B946" s="71"/>
      <c r="C946" s="117"/>
      <c r="D946" s="25"/>
      <c r="E946" s="118"/>
      <c r="F946" s="118"/>
      <c r="G946" s="138"/>
      <c r="H946" s="26"/>
      <c r="I946" s="155"/>
      <c r="J946" s="200"/>
      <c r="K946" s="155"/>
      <c r="L946" s="155"/>
      <c r="M946" s="155"/>
      <c r="N946" s="155"/>
      <c r="O946" s="155"/>
      <c r="P946" s="155"/>
      <c r="Q946" s="155"/>
      <c r="R946" s="155"/>
      <c r="S946" s="155"/>
      <c r="T946" s="155"/>
      <c r="U946" s="155"/>
      <c r="V946" s="155"/>
      <c r="W946" s="155"/>
      <c r="X946" s="155"/>
      <c r="Y946" s="155"/>
      <c r="Z946" s="155"/>
      <c r="AA946" s="155"/>
    </row>
    <row r="947" ht="22.5" customHeight="1">
      <c r="A947" s="139"/>
      <c r="B947" s="71"/>
      <c r="C947" s="117"/>
      <c r="D947" s="25"/>
      <c r="E947" s="118"/>
      <c r="F947" s="118"/>
      <c r="G947" s="138"/>
      <c r="H947" s="26"/>
      <c r="I947" s="155"/>
      <c r="J947" s="200"/>
      <c r="K947" s="155"/>
      <c r="L947" s="155"/>
      <c r="M947" s="155"/>
      <c r="N947" s="155"/>
      <c r="O947" s="155"/>
      <c r="P947" s="155"/>
      <c r="Q947" s="155"/>
      <c r="R947" s="155"/>
      <c r="S947" s="155"/>
      <c r="T947" s="155"/>
      <c r="U947" s="155"/>
      <c r="V947" s="155"/>
      <c r="W947" s="155"/>
      <c r="X947" s="155"/>
      <c r="Y947" s="155"/>
      <c r="Z947" s="155"/>
      <c r="AA947" s="155"/>
    </row>
    <row r="948" ht="22.5" customHeight="1">
      <c r="A948" s="139"/>
      <c r="B948" s="71"/>
      <c r="C948" s="117"/>
      <c r="D948" s="25"/>
      <c r="E948" s="118"/>
      <c r="F948" s="118"/>
      <c r="G948" s="138"/>
      <c r="H948" s="26"/>
      <c r="I948" s="155"/>
      <c r="J948" s="200"/>
      <c r="K948" s="155"/>
      <c r="L948" s="155"/>
      <c r="M948" s="155"/>
      <c r="N948" s="155"/>
      <c r="O948" s="155"/>
      <c r="P948" s="155"/>
      <c r="Q948" s="155"/>
      <c r="R948" s="155"/>
      <c r="S948" s="155"/>
      <c r="T948" s="155"/>
      <c r="U948" s="155"/>
      <c r="V948" s="155"/>
      <c r="W948" s="155"/>
      <c r="X948" s="155"/>
      <c r="Y948" s="155"/>
      <c r="Z948" s="155"/>
      <c r="AA948" s="155"/>
    </row>
    <row r="949" ht="22.5" customHeight="1">
      <c r="A949" s="139"/>
      <c r="B949" s="71"/>
      <c r="C949" s="117"/>
      <c r="D949" s="25"/>
      <c r="E949" s="118"/>
      <c r="F949" s="118"/>
      <c r="G949" s="138"/>
      <c r="H949" s="26"/>
      <c r="I949" s="155"/>
      <c r="J949" s="200"/>
      <c r="K949" s="155"/>
      <c r="L949" s="155"/>
      <c r="M949" s="155"/>
      <c r="N949" s="155"/>
      <c r="O949" s="155"/>
      <c r="P949" s="155"/>
      <c r="Q949" s="155"/>
      <c r="R949" s="155"/>
      <c r="S949" s="155"/>
      <c r="T949" s="155"/>
      <c r="U949" s="155"/>
      <c r="V949" s="155"/>
      <c r="W949" s="155"/>
      <c r="X949" s="155"/>
      <c r="Y949" s="155"/>
      <c r="Z949" s="155"/>
      <c r="AA949" s="155"/>
    </row>
    <row r="950" ht="22.5" customHeight="1">
      <c r="A950" s="139"/>
      <c r="B950" s="71"/>
      <c r="C950" s="117"/>
      <c r="D950" s="25"/>
      <c r="E950" s="118"/>
      <c r="F950" s="118"/>
      <c r="G950" s="138"/>
      <c r="H950" s="26"/>
      <c r="I950" s="155"/>
      <c r="J950" s="200"/>
      <c r="K950" s="155"/>
      <c r="L950" s="155"/>
      <c r="M950" s="155"/>
      <c r="N950" s="155"/>
      <c r="O950" s="155"/>
      <c r="P950" s="155"/>
      <c r="Q950" s="155"/>
      <c r="R950" s="155"/>
      <c r="S950" s="155"/>
      <c r="T950" s="155"/>
      <c r="U950" s="155"/>
      <c r="V950" s="155"/>
      <c r="W950" s="155"/>
      <c r="X950" s="155"/>
      <c r="Y950" s="155"/>
      <c r="Z950" s="155"/>
      <c r="AA950" s="155"/>
    </row>
    <row r="951" ht="22.5" customHeight="1">
      <c r="A951" s="139"/>
      <c r="B951" s="71"/>
      <c r="C951" s="117"/>
      <c r="D951" s="25"/>
      <c r="E951" s="118"/>
      <c r="F951" s="118"/>
      <c r="G951" s="138"/>
      <c r="H951" s="26"/>
      <c r="I951" s="155"/>
      <c r="J951" s="200"/>
      <c r="K951" s="155"/>
      <c r="L951" s="155"/>
      <c r="M951" s="155"/>
      <c r="N951" s="155"/>
      <c r="O951" s="155"/>
      <c r="P951" s="155"/>
      <c r="Q951" s="155"/>
      <c r="R951" s="155"/>
      <c r="S951" s="155"/>
      <c r="T951" s="155"/>
      <c r="U951" s="155"/>
      <c r="V951" s="155"/>
      <c r="W951" s="155"/>
      <c r="X951" s="155"/>
      <c r="Y951" s="155"/>
      <c r="Z951" s="155"/>
      <c r="AA951" s="155"/>
    </row>
    <row r="952" ht="22.5" customHeight="1">
      <c r="A952" s="139"/>
      <c r="B952" s="71"/>
      <c r="C952" s="117"/>
      <c r="D952" s="25"/>
      <c r="E952" s="118"/>
      <c r="F952" s="118"/>
      <c r="G952" s="138"/>
      <c r="H952" s="26"/>
      <c r="I952" s="155"/>
      <c r="J952" s="200"/>
      <c r="K952" s="155"/>
      <c r="L952" s="155"/>
      <c r="M952" s="155"/>
      <c r="N952" s="155"/>
      <c r="O952" s="155"/>
      <c r="P952" s="155"/>
      <c r="Q952" s="155"/>
      <c r="R952" s="155"/>
      <c r="S952" s="155"/>
      <c r="T952" s="155"/>
      <c r="U952" s="155"/>
      <c r="V952" s="155"/>
      <c r="W952" s="155"/>
      <c r="X952" s="155"/>
      <c r="Y952" s="155"/>
      <c r="Z952" s="155"/>
      <c r="AA952" s="155"/>
    </row>
    <row r="953" ht="22.5" customHeight="1">
      <c r="A953" s="139"/>
      <c r="B953" s="71"/>
      <c r="C953" s="117"/>
      <c r="D953" s="25"/>
      <c r="E953" s="118"/>
      <c r="F953" s="118"/>
      <c r="G953" s="138"/>
      <c r="H953" s="26"/>
      <c r="I953" s="155"/>
      <c r="J953" s="200"/>
      <c r="K953" s="155"/>
      <c r="L953" s="155"/>
      <c r="M953" s="155"/>
      <c r="N953" s="155"/>
      <c r="O953" s="155"/>
      <c r="P953" s="155"/>
      <c r="Q953" s="155"/>
      <c r="R953" s="155"/>
      <c r="S953" s="155"/>
      <c r="T953" s="155"/>
      <c r="U953" s="155"/>
      <c r="V953" s="155"/>
      <c r="W953" s="155"/>
      <c r="X953" s="155"/>
      <c r="Y953" s="155"/>
      <c r="Z953" s="155"/>
      <c r="AA953" s="155"/>
    </row>
    <row r="954" ht="22.5" customHeight="1">
      <c r="A954" s="139"/>
      <c r="B954" s="71"/>
      <c r="C954" s="117"/>
      <c r="D954" s="25"/>
      <c r="E954" s="118"/>
      <c r="F954" s="118"/>
      <c r="G954" s="138"/>
      <c r="H954" s="26"/>
      <c r="I954" s="155"/>
      <c r="J954" s="200"/>
      <c r="K954" s="155"/>
      <c r="L954" s="155"/>
      <c r="M954" s="155"/>
      <c r="N954" s="155"/>
      <c r="O954" s="155"/>
      <c r="P954" s="155"/>
      <c r="Q954" s="155"/>
      <c r="R954" s="155"/>
      <c r="S954" s="155"/>
      <c r="T954" s="155"/>
      <c r="U954" s="155"/>
      <c r="V954" s="155"/>
      <c r="W954" s="155"/>
      <c r="X954" s="155"/>
      <c r="Y954" s="155"/>
      <c r="Z954" s="155"/>
      <c r="AA954" s="155"/>
    </row>
    <row r="955" ht="22.5" customHeight="1">
      <c r="A955" s="139"/>
      <c r="B955" s="71"/>
      <c r="C955" s="117"/>
      <c r="D955" s="25"/>
      <c r="E955" s="118"/>
      <c r="F955" s="118"/>
      <c r="G955" s="138"/>
      <c r="H955" s="26"/>
      <c r="I955" s="155"/>
      <c r="J955" s="200"/>
      <c r="K955" s="155"/>
      <c r="L955" s="155"/>
      <c r="M955" s="155"/>
      <c r="N955" s="155"/>
      <c r="O955" s="155"/>
      <c r="P955" s="155"/>
      <c r="Q955" s="155"/>
      <c r="R955" s="155"/>
      <c r="S955" s="155"/>
      <c r="T955" s="155"/>
      <c r="U955" s="155"/>
      <c r="V955" s="155"/>
      <c r="W955" s="155"/>
      <c r="X955" s="155"/>
      <c r="Y955" s="155"/>
      <c r="Z955" s="155"/>
      <c r="AA955" s="155"/>
    </row>
    <row r="956" ht="22.5" customHeight="1">
      <c r="A956" s="139"/>
      <c r="B956" s="71"/>
      <c r="C956" s="117"/>
      <c r="D956" s="25"/>
      <c r="E956" s="118"/>
      <c r="F956" s="118"/>
      <c r="G956" s="138"/>
      <c r="H956" s="26"/>
      <c r="I956" s="155"/>
      <c r="J956" s="200"/>
      <c r="K956" s="155"/>
      <c r="L956" s="155"/>
      <c r="M956" s="155"/>
      <c r="N956" s="155"/>
      <c r="O956" s="155"/>
      <c r="P956" s="155"/>
      <c r="Q956" s="155"/>
      <c r="R956" s="155"/>
      <c r="S956" s="155"/>
      <c r="T956" s="155"/>
      <c r="U956" s="155"/>
      <c r="V956" s="155"/>
      <c r="W956" s="155"/>
      <c r="X956" s="155"/>
      <c r="Y956" s="155"/>
      <c r="Z956" s="155"/>
      <c r="AA956" s="155"/>
    </row>
    <row r="957" ht="22.5" customHeight="1">
      <c r="A957" s="139"/>
      <c r="B957" s="71"/>
      <c r="C957" s="117"/>
      <c r="D957" s="25"/>
      <c r="E957" s="118"/>
      <c r="F957" s="118"/>
      <c r="G957" s="138"/>
      <c r="H957" s="26"/>
      <c r="I957" s="155"/>
      <c r="J957" s="200"/>
      <c r="K957" s="155"/>
      <c r="L957" s="155"/>
      <c r="M957" s="155"/>
      <c r="N957" s="155"/>
      <c r="O957" s="155"/>
      <c r="P957" s="155"/>
      <c r="Q957" s="155"/>
      <c r="R957" s="155"/>
      <c r="S957" s="155"/>
      <c r="T957" s="155"/>
      <c r="U957" s="155"/>
      <c r="V957" s="155"/>
      <c r="W957" s="155"/>
      <c r="X957" s="155"/>
      <c r="Y957" s="155"/>
      <c r="Z957" s="155"/>
      <c r="AA957" s="155"/>
    </row>
    <row r="958" ht="22.5" customHeight="1">
      <c r="A958" s="139"/>
      <c r="B958" s="71"/>
      <c r="C958" s="117"/>
      <c r="D958" s="25"/>
      <c r="E958" s="118"/>
      <c r="F958" s="118"/>
      <c r="G958" s="138"/>
      <c r="H958" s="26"/>
      <c r="I958" s="155"/>
      <c r="J958" s="200"/>
      <c r="K958" s="155"/>
      <c r="L958" s="155"/>
      <c r="M958" s="155"/>
      <c r="N958" s="155"/>
      <c r="O958" s="155"/>
      <c r="P958" s="155"/>
      <c r="Q958" s="155"/>
      <c r="R958" s="155"/>
      <c r="S958" s="155"/>
      <c r="T958" s="155"/>
      <c r="U958" s="155"/>
      <c r="V958" s="155"/>
      <c r="W958" s="155"/>
      <c r="X958" s="155"/>
      <c r="Y958" s="155"/>
      <c r="Z958" s="155"/>
      <c r="AA958" s="155"/>
    </row>
    <row r="959" ht="22.5" customHeight="1">
      <c r="A959" s="139"/>
      <c r="B959" s="71"/>
      <c r="C959" s="117"/>
      <c r="D959" s="25"/>
      <c r="E959" s="118"/>
      <c r="F959" s="118"/>
      <c r="G959" s="138"/>
      <c r="H959" s="26"/>
      <c r="I959" s="155"/>
      <c r="J959" s="200"/>
      <c r="K959" s="155"/>
      <c r="L959" s="155"/>
      <c r="M959" s="155"/>
      <c r="N959" s="155"/>
      <c r="O959" s="155"/>
      <c r="P959" s="155"/>
      <c r="Q959" s="155"/>
      <c r="R959" s="155"/>
      <c r="S959" s="155"/>
      <c r="T959" s="155"/>
      <c r="U959" s="155"/>
      <c r="V959" s="155"/>
      <c r="W959" s="155"/>
      <c r="X959" s="155"/>
      <c r="Y959" s="155"/>
      <c r="Z959" s="155"/>
      <c r="AA959" s="155"/>
    </row>
    <row r="960" ht="22.5" customHeight="1">
      <c r="A960" s="139"/>
      <c r="B960" s="71"/>
      <c r="C960" s="117"/>
      <c r="D960" s="25"/>
      <c r="E960" s="118"/>
      <c r="F960" s="118"/>
      <c r="G960" s="138"/>
      <c r="H960" s="26"/>
      <c r="I960" s="155"/>
      <c r="J960" s="200"/>
      <c r="K960" s="155"/>
      <c r="L960" s="155"/>
      <c r="M960" s="155"/>
      <c r="N960" s="155"/>
      <c r="O960" s="155"/>
      <c r="P960" s="155"/>
      <c r="Q960" s="155"/>
      <c r="R960" s="155"/>
      <c r="S960" s="155"/>
      <c r="T960" s="155"/>
      <c r="U960" s="155"/>
      <c r="V960" s="155"/>
      <c r="W960" s="155"/>
      <c r="X960" s="155"/>
      <c r="Y960" s="155"/>
      <c r="Z960" s="155"/>
      <c r="AA960" s="155"/>
    </row>
    <row r="961" ht="22.5" customHeight="1">
      <c r="A961" s="139"/>
      <c r="B961" s="71"/>
      <c r="C961" s="117"/>
      <c r="D961" s="25"/>
      <c r="E961" s="118"/>
      <c r="F961" s="118"/>
      <c r="G961" s="138"/>
      <c r="H961" s="26"/>
      <c r="I961" s="155"/>
      <c r="J961" s="200"/>
      <c r="K961" s="155"/>
      <c r="L961" s="155"/>
      <c r="M961" s="155"/>
      <c r="N961" s="155"/>
      <c r="O961" s="155"/>
      <c r="P961" s="155"/>
      <c r="Q961" s="155"/>
      <c r="R961" s="155"/>
      <c r="S961" s="155"/>
      <c r="T961" s="155"/>
      <c r="U961" s="155"/>
      <c r="V961" s="155"/>
      <c r="W961" s="155"/>
      <c r="X961" s="155"/>
      <c r="Y961" s="155"/>
      <c r="Z961" s="155"/>
      <c r="AA961" s="155"/>
    </row>
    <row r="962" ht="22.5" customHeight="1">
      <c r="A962" s="139"/>
      <c r="B962" s="71"/>
      <c r="C962" s="117"/>
      <c r="D962" s="25"/>
      <c r="E962" s="118"/>
      <c r="F962" s="118"/>
      <c r="G962" s="138"/>
      <c r="H962" s="26"/>
      <c r="I962" s="155"/>
      <c r="J962" s="200"/>
      <c r="K962" s="155"/>
      <c r="L962" s="155"/>
      <c r="M962" s="155"/>
      <c r="N962" s="155"/>
      <c r="O962" s="155"/>
      <c r="P962" s="155"/>
      <c r="Q962" s="155"/>
      <c r="R962" s="155"/>
      <c r="S962" s="155"/>
      <c r="T962" s="155"/>
      <c r="U962" s="155"/>
      <c r="V962" s="155"/>
      <c r="W962" s="155"/>
      <c r="X962" s="155"/>
      <c r="Y962" s="155"/>
      <c r="Z962" s="155"/>
      <c r="AA962" s="155"/>
    </row>
    <row r="963" ht="22.5" customHeight="1">
      <c r="A963" s="139"/>
      <c r="B963" s="71"/>
      <c r="C963" s="117"/>
      <c r="D963" s="25"/>
      <c r="E963" s="118"/>
      <c r="F963" s="118"/>
      <c r="G963" s="138"/>
      <c r="H963" s="26"/>
      <c r="I963" s="155"/>
      <c r="J963" s="200"/>
      <c r="K963" s="155"/>
      <c r="L963" s="155"/>
      <c r="M963" s="155"/>
      <c r="N963" s="155"/>
      <c r="O963" s="155"/>
      <c r="P963" s="155"/>
      <c r="Q963" s="155"/>
      <c r="R963" s="155"/>
      <c r="S963" s="155"/>
      <c r="T963" s="155"/>
      <c r="U963" s="155"/>
      <c r="V963" s="155"/>
      <c r="W963" s="155"/>
      <c r="X963" s="155"/>
      <c r="Y963" s="155"/>
      <c r="Z963" s="155"/>
      <c r="AA963" s="155"/>
    </row>
    <row r="964" ht="22.5" customHeight="1">
      <c r="A964" s="139"/>
      <c r="B964" s="71"/>
      <c r="C964" s="117"/>
      <c r="D964" s="25"/>
      <c r="E964" s="118"/>
      <c r="F964" s="118"/>
      <c r="G964" s="138"/>
      <c r="H964" s="26"/>
      <c r="I964" s="155"/>
      <c r="J964" s="200"/>
      <c r="K964" s="155"/>
      <c r="L964" s="155"/>
      <c r="M964" s="155"/>
      <c r="N964" s="155"/>
      <c r="O964" s="155"/>
      <c r="P964" s="155"/>
      <c r="Q964" s="155"/>
      <c r="R964" s="155"/>
      <c r="S964" s="155"/>
      <c r="T964" s="155"/>
      <c r="U964" s="155"/>
      <c r="V964" s="155"/>
      <c r="W964" s="155"/>
      <c r="X964" s="155"/>
      <c r="Y964" s="155"/>
      <c r="Z964" s="155"/>
      <c r="AA964" s="155"/>
    </row>
    <row r="965" ht="22.5" customHeight="1">
      <c r="A965" s="139"/>
      <c r="B965" s="71"/>
      <c r="C965" s="117"/>
      <c r="D965" s="25"/>
      <c r="E965" s="118"/>
      <c r="F965" s="118"/>
      <c r="G965" s="138"/>
      <c r="H965" s="26"/>
      <c r="I965" s="155"/>
      <c r="J965" s="200"/>
      <c r="K965" s="155"/>
      <c r="L965" s="155"/>
      <c r="M965" s="155"/>
      <c r="N965" s="155"/>
      <c r="O965" s="155"/>
      <c r="P965" s="155"/>
      <c r="Q965" s="155"/>
      <c r="R965" s="155"/>
      <c r="S965" s="155"/>
      <c r="T965" s="155"/>
      <c r="U965" s="155"/>
      <c r="V965" s="155"/>
      <c r="W965" s="155"/>
      <c r="X965" s="155"/>
      <c r="Y965" s="155"/>
      <c r="Z965" s="155"/>
      <c r="AA965" s="155"/>
    </row>
    <row r="966" ht="22.5" customHeight="1">
      <c r="A966" s="139"/>
      <c r="B966" s="71"/>
      <c r="C966" s="117"/>
      <c r="D966" s="25"/>
      <c r="E966" s="118"/>
      <c r="F966" s="118"/>
      <c r="G966" s="138"/>
      <c r="H966" s="26"/>
      <c r="I966" s="155"/>
      <c r="J966" s="200"/>
      <c r="K966" s="155"/>
      <c r="L966" s="155"/>
      <c r="M966" s="155"/>
      <c r="N966" s="155"/>
      <c r="O966" s="155"/>
      <c r="P966" s="155"/>
      <c r="Q966" s="155"/>
      <c r="R966" s="155"/>
      <c r="S966" s="155"/>
      <c r="T966" s="155"/>
      <c r="U966" s="155"/>
      <c r="V966" s="155"/>
      <c r="W966" s="155"/>
      <c r="X966" s="155"/>
      <c r="Y966" s="155"/>
      <c r="Z966" s="155"/>
      <c r="AA966" s="155"/>
    </row>
    <row r="967" ht="22.5" customHeight="1">
      <c r="A967" s="139"/>
      <c r="B967" s="71"/>
      <c r="C967" s="117"/>
      <c r="D967" s="25"/>
      <c r="E967" s="118"/>
      <c r="F967" s="118"/>
      <c r="G967" s="138"/>
      <c r="H967" s="26"/>
      <c r="I967" s="155"/>
      <c r="J967" s="200"/>
      <c r="K967" s="155"/>
      <c r="L967" s="155"/>
      <c r="M967" s="155"/>
      <c r="N967" s="155"/>
      <c r="O967" s="155"/>
      <c r="P967" s="155"/>
      <c r="Q967" s="155"/>
      <c r="R967" s="155"/>
      <c r="S967" s="155"/>
      <c r="T967" s="155"/>
      <c r="U967" s="155"/>
      <c r="V967" s="155"/>
      <c r="W967" s="155"/>
      <c r="X967" s="155"/>
      <c r="Y967" s="155"/>
      <c r="Z967" s="155"/>
      <c r="AA967" s="155"/>
    </row>
    <row r="968" ht="22.5" customHeight="1">
      <c r="A968" s="139"/>
      <c r="B968" s="71"/>
      <c r="C968" s="117"/>
      <c r="D968" s="25"/>
      <c r="E968" s="118"/>
      <c r="F968" s="118"/>
      <c r="G968" s="138"/>
      <c r="H968" s="26"/>
      <c r="I968" s="155"/>
      <c r="J968" s="200"/>
      <c r="K968" s="155"/>
      <c r="L968" s="155"/>
      <c r="M968" s="155"/>
      <c r="N968" s="155"/>
      <c r="O968" s="155"/>
      <c r="P968" s="155"/>
      <c r="Q968" s="155"/>
      <c r="R968" s="155"/>
      <c r="S968" s="155"/>
      <c r="T968" s="155"/>
      <c r="U968" s="155"/>
      <c r="V968" s="155"/>
      <c r="W968" s="155"/>
      <c r="X968" s="155"/>
      <c r="Y968" s="155"/>
      <c r="Z968" s="155"/>
      <c r="AA968" s="155"/>
    </row>
    <row r="969" ht="22.5" customHeight="1">
      <c r="A969" s="139"/>
      <c r="B969" s="71"/>
      <c r="C969" s="117"/>
      <c r="D969" s="25"/>
      <c r="E969" s="118"/>
      <c r="F969" s="118"/>
      <c r="G969" s="138"/>
      <c r="H969" s="26"/>
      <c r="I969" s="155"/>
      <c r="J969" s="200"/>
      <c r="K969" s="155"/>
      <c r="L969" s="155"/>
      <c r="M969" s="155"/>
      <c r="N969" s="155"/>
      <c r="O969" s="155"/>
      <c r="P969" s="155"/>
      <c r="Q969" s="155"/>
      <c r="R969" s="155"/>
      <c r="S969" s="155"/>
      <c r="T969" s="155"/>
      <c r="U969" s="155"/>
      <c r="V969" s="155"/>
      <c r="W969" s="155"/>
      <c r="X969" s="155"/>
      <c r="Y969" s="155"/>
      <c r="Z969" s="155"/>
      <c r="AA969" s="155"/>
    </row>
    <row r="970" ht="22.5" customHeight="1">
      <c r="A970" s="139"/>
      <c r="B970" s="71"/>
      <c r="C970" s="117"/>
      <c r="D970" s="25"/>
      <c r="E970" s="118"/>
      <c r="F970" s="118"/>
      <c r="G970" s="138"/>
      <c r="H970" s="26"/>
      <c r="I970" s="155"/>
      <c r="J970" s="200"/>
      <c r="K970" s="155"/>
      <c r="L970" s="155"/>
      <c r="M970" s="155"/>
      <c r="N970" s="155"/>
      <c r="O970" s="155"/>
      <c r="P970" s="155"/>
      <c r="Q970" s="155"/>
      <c r="R970" s="155"/>
      <c r="S970" s="155"/>
      <c r="T970" s="155"/>
      <c r="U970" s="155"/>
      <c r="V970" s="155"/>
      <c r="W970" s="155"/>
      <c r="X970" s="155"/>
      <c r="Y970" s="155"/>
      <c r="Z970" s="155"/>
      <c r="AA970" s="155"/>
    </row>
    <row r="971" ht="22.5" customHeight="1">
      <c r="A971" s="139"/>
      <c r="B971" s="71"/>
      <c r="C971" s="117"/>
      <c r="D971" s="25"/>
      <c r="E971" s="118"/>
      <c r="F971" s="118"/>
      <c r="G971" s="138"/>
      <c r="H971" s="26"/>
      <c r="I971" s="155"/>
      <c r="J971" s="200"/>
      <c r="K971" s="155"/>
      <c r="L971" s="155"/>
      <c r="M971" s="155"/>
      <c r="N971" s="155"/>
      <c r="O971" s="155"/>
      <c r="P971" s="155"/>
      <c r="Q971" s="155"/>
      <c r="R971" s="155"/>
      <c r="S971" s="155"/>
      <c r="T971" s="155"/>
      <c r="U971" s="155"/>
      <c r="V971" s="155"/>
      <c r="W971" s="155"/>
      <c r="X971" s="155"/>
      <c r="Y971" s="155"/>
      <c r="Z971" s="155"/>
      <c r="AA971" s="155"/>
    </row>
    <row r="972" ht="22.5" customHeight="1">
      <c r="A972" s="139"/>
      <c r="B972" s="71"/>
      <c r="C972" s="117"/>
      <c r="D972" s="25"/>
      <c r="E972" s="118"/>
      <c r="F972" s="118"/>
      <c r="G972" s="138"/>
      <c r="H972" s="26"/>
      <c r="I972" s="155"/>
      <c r="J972" s="200"/>
      <c r="K972" s="155"/>
      <c r="L972" s="155"/>
      <c r="M972" s="155"/>
      <c r="N972" s="155"/>
      <c r="O972" s="155"/>
      <c r="P972" s="155"/>
      <c r="Q972" s="155"/>
      <c r="R972" s="155"/>
      <c r="S972" s="155"/>
      <c r="T972" s="155"/>
      <c r="U972" s="155"/>
      <c r="V972" s="155"/>
      <c r="W972" s="155"/>
      <c r="X972" s="155"/>
      <c r="Y972" s="155"/>
      <c r="Z972" s="155"/>
      <c r="AA972" s="155"/>
    </row>
    <row r="973" ht="22.5" customHeight="1">
      <c r="A973" s="139"/>
      <c r="B973" s="71"/>
      <c r="C973" s="117"/>
      <c r="D973" s="25"/>
      <c r="E973" s="118"/>
      <c r="F973" s="118"/>
      <c r="G973" s="138"/>
      <c r="H973" s="26"/>
      <c r="I973" s="155"/>
      <c r="J973" s="200"/>
      <c r="K973" s="155"/>
      <c r="L973" s="155"/>
      <c r="M973" s="155"/>
      <c r="N973" s="155"/>
      <c r="O973" s="155"/>
      <c r="P973" s="155"/>
      <c r="Q973" s="155"/>
      <c r="R973" s="155"/>
      <c r="S973" s="155"/>
      <c r="T973" s="155"/>
      <c r="U973" s="155"/>
      <c r="V973" s="155"/>
      <c r="W973" s="155"/>
      <c r="X973" s="155"/>
      <c r="Y973" s="155"/>
      <c r="Z973" s="155"/>
      <c r="AA973" s="155"/>
    </row>
    <row r="974" ht="22.5" customHeight="1">
      <c r="A974" s="139"/>
      <c r="B974" s="71"/>
      <c r="C974" s="117"/>
      <c r="D974" s="25"/>
      <c r="E974" s="118"/>
      <c r="F974" s="118"/>
      <c r="G974" s="138"/>
      <c r="H974" s="26"/>
      <c r="I974" s="155"/>
      <c r="J974" s="200"/>
      <c r="K974" s="155"/>
      <c r="L974" s="155"/>
      <c r="M974" s="155"/>
      <c r="N974" s="155"/>
      <c r="O974" s="155"/>
      <c r="P974" s="155"/>
      <c r="Q974" s="155"/>
      <c r="R974" s="155"/>
      <c r="S974" s="155"/>
      <c r="T974" s="155"/>
      <c r="U974" s="155"/>
      <c r="V974" s="155"/>
      <c r="W974" s="155"/>
      <c r="X974" s="155"/>
      <c r="Y974" s="155"/>
      <c r="Z974" s="155"/>
      <c r="AA974" s="155"/>
    </row>
    <row r="975" ht="22.5" customHeight="1">
      <c r="A975" s="139"/>
      <c r="B975" s="71"/>
      <c r="C975" s="117"/>
      <c r="D975" s="25"/>
      <c r="E975" s="118"/>
      <c r="F975" s="118"/>
      <c r="G975" s="138"/>
      <c r="H975" s="26"/>
      <c r="I975" s="155"/>
      <c r="J975" s="200"/>
      <c r="K975" s="155"/>
      <c r="L975" s="155"/>
      <c r="M975" s="155"/>
      <c r="N975" s="155"/>
      <c r="O975" s="155"/>
      <c r="P975" s="155"/>
      <c r="Q975" s="155"/>
      <c r="R975" s="155"/>
      <c r="S975" s="155"/>
      <c r="T975" s="155"/>
      <c r="U975" s="155"/>
      <c r="V975" s="155"/>
      <c r="W975" s="155"/>
      <c r="X975" s="155"/>
      <c r="Y975" s="155"/>
      <c r="Z975" s="155"/>
      <c r="AA975" s="155"/>
    </row>
    <row r="976" ht="22.5" customHeight="1">
      <c r="A976" s="139"/>
      <c r="B976" s="71"/>
      <c r="C976" s="117"/>
      <c r="D976" s="25"/>
      <c r="E976" s="118"/>
      <c r="F976" s="118"/>
      <c r="G976" s="138"/>
      <c r="H976" s="26"/>
      <c r="I976" s="155"/>
      <c r="J976" s="200"/>
      <c r="K976" s="155"/>
      <c r="L976" s="155"/>
      <c r="M976" s="155"/>
      <c r="N976" s="155"/>
      <c r="O976" s="155"/>
      <c r="P976" s="155"/>
      <c r="Q976" s="155"/>
      <c r="R976" s="155"/>
      <c r="S976" s="155"/>
      <c r="T976" s="155"/>
      <c r="U976" s="155"/>
      <c r="V976" s="155"/>
      <c r="W976" s="155"/>
      <c r="X976" s="155"/>
      <c r="Y976" s="155"/>
      <c r="Z976" s="155"/>
      <c r="AA976" s="155"/>
    </row>
    <row r="977" ht="22.5" customHeight="1">
      <c r="A977" s="139"/>
      <c r="B977" s="71"/>
      <c r="C977" s="117"/>
      <c r="D977" s="25"/>
      <c r="E977" s="118"/>
      <c r="F977" s="118"/>
      <c r="G977" s="138"/>
      <c r="H977" s="26"/>
      <c r="I977" s="155"/>
      <c r="J977" s="200"/>
      <c r="K977" s="155"/>
      <c r="L977" s="155"/>
      <c r="M977" s="155"/>
      <c r="N977" s="155"/>
      <c r="O977" s="155"/>
      <c r="P977" s="155"/>
      <c r="Q977" s="155"/>
      <c r="R977" s="155"/>
      <c r="S977" s="155"/>
      <c r="T977" s="155"/>
      <c r="U977" s="155"/>
      <c r="V977" s="155"/>
      <c r="W977" s="155"/>
      <c r="X977" s="155"/>
      <c r="Y977" s="155"/>
      <c r="Z977" s="155"/>
      <c r="AA977" s="155"/>
    </row>
    <row r="978" ht="22.5" customHeight="1">
      <c r="A978" s="139"/>
      <c r="B978" s="71"/>
      <c r="C978" s="117"/>
      <c r="D978" s="25"/>
      <c r="E978" s="118"/>
      <c r="F978" s="118"/>
      <c r="G978" s="138"/>
      <c r="H978" s="26"/>
      <c r="I978" s="155"/>
      <c r="J978" s="200"/>
      <c r="K978" s="155"/>
      <c r="L978" s="155"/>
      <c r="M978" s="155"/>
      <c r="N978" s="155"/>
      <c r="O978" s="155"/>
      <c r="P978" s="155"/>
      <c r="Q978" s="155"/>
      <c r="R978" s="155"/>
      <c r="S978" s="155"/>
      <c r="T978" s="155"/>
      <c r="U978" s="155"/>
      <c r="V978" s="155"/>
      <c r="W978" s="155"/>
      <c r="X978" s="155"/>
      <c r="Y978" s="155"/>
      <c r="Z978" s="155"/>
      <c r="AA978" s="155"/>
    </row>
    <row r="979" ht="22.5" customHeight="1">
      <c r="A979" s="139"/>
      <c r="B979" s="71"/>
      <c r="C979" s="117"/>
      <c r="D979" s="25"/>
      <c r="E979" s="118"/>
      <c r="F979" s="118"/>
      <c r="G979" s="138"/>
      <c r="H979" s="26"/>
      <c r="I979" s="155"/>
      <c r="J979" s="200"/>
      <c r="K979" s="155"/>
      <c r="L979" s="155"/>
      <c r="M979" s="155"/>
      <c r="N979" s="155"/>
      <c r="O979" s="155"/>
      <c r="P979" s="155"/>
      <c r="Q979" s="155"/>
      <c r="R979" s="155"/>
      <c r="S979" s="155"/>
      <c r="T979" s="155"/>
      <c r="U979" s="155"/>
      <c r="V979" s="155"/>
      <c r="W979" s="155"/>
      <c r="X979" s="155"/>
      <c r="Y979" s="155"/>
      <c r="Z979" s="155"/>
      <c r="AA979" s="155"/>
    </row>
    <row r="980" ht="22.5" customHeight="1">
      <c r="A980" s="139"/>
      <c r="B980" s="71"/>
      <c r="C980" s="117"/>
      <c r="D980" s="25"/>
      <c r="E980" s="118"/>
      <c r="F980" s="118"/>
      <c r="G980" s="138"/>
      <c r="H980" s="26"/>
      <c r="I980" s="155"/>
      <c r="J980" s="200"/>
      <c r="K980" s="155"/>
      <c r="L980" s="155"/>
      <c r="M980" s="155"/>
      <c r="N980" s="155"/>
      <c r="O980" s="155"/>
      <c r="P980" s="155"/>
      <c r="Q980" s="155"/>
      <c r="R980" s="155"/>
      <c r="S980" s="155"/>
      <c r="T980" s="155"/>
      <c r="U980" s="155"/>
      <c r="V980" s="155"/>
      <c r="W980" s="155"/>
      <c r="X980" s="155"/>
      <c r="Y980" s="155"/>
      <c r="Z980" s="155"/>
      <c r="AA980" s="155"/>
    </row>
    <row r="981" ht="22.5" customHeight="1">
      <c r="A981" s="139"/>
      <c r="B981" s="71"/>
      <c r="C981" s="117"/>
      <c r="D981" s="25"/>
      <c r="E981" s="118"/>
      <c r="F981" s="118"/>
      <c r="G981" s="138"/>
      <c r="H981" s="26"/>
      <c r="I981" s="155"/>
      <c r="J981" s="200"/>
      <c r="K981" s="155"/>
      <c r="L981" s="155"/>
      <c r="M981" s="155"/>
      <c r="N981" s="155"/>
      <c r="O981" s="155"/>
      <c r="P981" s="155"/>
      <c r="Q981" s="155"/>
      <c r="R981" s="155"/>
      <c r="S981" s="155"/>
      <c r="T981" s="155"/>
      <c r="U981" s="155"/>
      <c r="V981" s="155"/>
      <c r="W981" s="155"/>
      <c r="X981" s="155"/>
      <c r="Y981" s="155"/>
      <c r="Z981" s="155"/>
      <c r="AA981" s="155"/>
    </row>
    <row r="982" ht="22.5" customHeight="1">
      <c r="A982" s="139"/>
      <c r="B982" s="71"/>
      <c r="C982" s="117"/>
      <c r="D982" s="25"/>
      <c r="E982" s="118"/>
      <c r="F982" s="118"/>
      <c r="G982" s="138"/>
      <c r="H982" s="26"/>
      <c r="I982" s="155"/>
      <c r="J982" s="200"/>
      <c r="K982" s="155"/>
      <c r="L982" s="155"/>
      <c r="M982" s="155"/>
      <c r="N982" s="155"/>
      <c r="O982" s="155"/>
      <c r="P982" s="155"/>
      <c r="Q982" s="155"/>
      <c r="R982" s="155"/>
      <c r="S982" s="155"/>
      <c r="T982" s="155"/>
      <c r="U982" s="155"/>
      <c r="V982" s="155"/>
      <c r="W982" s="155"/>
      <c r="X982" s="155"/>
      <c r="Y982" s="155"/>
      <c r="Z982" s="155"/>
      <c r="AA982" s="155"/>
    </row>
    <row r="983" ht="22.5" customHeight="1">
      <c r="A983" s="139"/>
      <c r="B983" s="71"/>
      <c r="C983" s="117"/>
      <c r="D983" s="25"/>
      <c r="E983" s="118"/>
      <c r="F983" s="118"/>
      <c r="G983" s="138"/>
      <c r="H983" s="26"/>
      <c r="I983" s="155"/>
      <c r="J983" s="200"/>
      <c r="K983" s="155"/>
      <c r="L983" s="155"/>
      <c r="M983" s="155"/>
      <c r="N983" s="155"/>
      <c r="O983" s="155"/>
      <c r="P983" s="155"/>
      <c r="Q983" s="155"/>
      <c r="R983" s="155"/>
      <c r="S983" s="155"/>
      <c r="T983" s="155"/>
      <c r="U983" s="155"/>
      <c r="V983" s="155"/>
      <c r="W983" s="155"/>
      <c r="X983" s="155"/>
      <c r="Y983" s="155"/>
      <c r="Z983" s="155"/>
      <c r="AA983" s="155"/>
    </row>
    <row r="984" ht="22.5" customHeight="1">
      <c r="A984" s="139"/>
      <c r="B984" s="71"/>
      <c r="C984" s="117"/>
      <c r="D984" s="25"/>
      <c r="E984" s="118"/>
      <c r="F984" s="118"/>
      <c r="G984" s="138"/>
      <c r="H984" s="26"/>
      <c r="I984" s="155"/>
      <c r="J984" s="200"/>
      <c r="K984" s="155"/>
      <c r="L984" s="155"/>
      <c r="M984" s="155"/>
      <c r="N984" s="155"/>
      <c r="O984" s="155"/>
      <c r="P984" s="155"/>
      <c r="Q984" s="155"/>
      <c r="R984" s="155"/>
      <c r="S984" s="155"/>
      <c r="T984" s="155"/>
      <c r="U984" s="155"/>
      <c r="V984" s="155"/>
      <c r="W984" s="155"/>
      <c r="X984" s="155"/>
      <c r="Y984" s="155"/>
      <c r="Z984" s="155"/>
      <c r="AA984" s="155"/>
    </row>
    <row r="985" ht="22.5" customHeight="1">
      <c r="A985" s="139"/>
      <c r="B985" s="71"/>
      <c r="C985" s="117"/>
      <c r="D985" s="25"/>
      <c r="E985" s="118"/>
      <c r="F985" s="118"/>
      <c r="G985" s="138"/>
      <c r="H985" s="26"/>
      <c r="I985" s="155"/>
      <c r="J985" s="200"/>
      <c r="K985" s="155"/>
      <c r="L985" s="155"/>
      <c r="M985" s="155"/>
      <c r="N985" s="155"/>
      <c r="O985" s="155"/>
      <c r="P985" s="155"/>
      <c r="Q985" s="155"/>
      <c r="R985" s="155"/>
      <c r="S985" s="155"/>
      <c r="T985" s="155"/>
      <c r="U985" s="155"/>
      <c r="V985" s="155"/>
      <c r="W985" s="155"/>
      <c r="X985" s="155"/>
      <c r="Y985" s="155"/>
      <c r="Z985" s="155"/>
      <c r="AA985" s="155"/>
    </row>
    <row r="986" ht="22.5" customHeight="1">
      <c r="A986" s="139"/>
      <c r="B986" s="71"/>
      <c r="C986" s="117"/>
      <c r="D986" s="25"/>
      <c r="E986" s="118"/>
      <c r="F986" s="118"/>
      <c r="G986" s="138"/>
      <c r="H986" s="26"/>
      <c r="I986" s="155"/>
      <c r="J986" s="200"/>
      <c r="K986" s="155"/>
      <c r="L986" s="155"/>
      <c r="M986" s="155"/>
      <c r="N986" s="155"/>
      <c r="O986" s="155"/>
      <c r="P986" s="155"/>
      <c r="Q986" s="155"/>
      <c r="R986" s="155"/>
      <c r="S986" s="155"/>
      <c r="T986" s="155"/>
      <c r="U986" s="155"/>
      <c r="V986" s="155"/>
      <c r="W986" s="155"/>
      <c r="X986" s="155"/>
      <c r="Y986" s="155"/>
      <c r="Z986" s="155"/>
      <c r="AA986" s="155"/>
    </row>
    <row r="987" ht="22.5" customHeight="1">
      <c r="A987" s="139"/>
      <c r="B987" s="71"/>
      <c r="C987" s="117"/>
      <c r="D987" s="25"/>
      <c r="E987" s="118"/>
      <c r="F987" s="118"/>
      <c r="G987" s="138"/>
      <c r="H987" s="26"/>
      <c r="I987" s="155"/>
      <c r="J987" s="200"/>
      <c r="K987" s="155"/>
      <c r="L987" s="155"/>
      <c r="M987" s="155"/>
      <c r="N987" s="155"/>
      <c r="O987" s="155"/>
      <c r="P987" s="155"/>
      <c r="Q987" s="155"/>
      <c r="R987" s="155"/>
      <c r="S987" s="155"/>
      <c r="T987" s="155"/>
      <c r="U987" s="155"/>
      <c r="V987" s="155"/>
      <c r="W987" s="155"/>
      <c r="X987" s="155"/>
      <c r="Y987" s="155"/>
      <c r="Z987" s="155"/>
      <c r="AA987" s="155"/>
    </row>
    <row r="988" ht="22.5" customHeight="1">
      <c r="A988" s="139"/>
      <c r="B988" s="71"/>
      <c r="C988" s="117"/>
      <c r="D988" s="25"/>
      <c r="E988" s="118"/>
      <c r="F988" s="118"/>
      <c r="G988" s="138"/>
      <c r="H988" s="26"/>
      <c r="I988" s="155"/>
      <c r="J988" s="200"/>
      <c r="K988" s="155"/>
      <c r="L988" s="155"/>
      <c r="M988" s="155"/>
      <c r="N988" s="155"/>
      <c r="O988" s="155"/>
      <c r="P988" s="155"/>
      <c r="Q988" s="155"/>
      <c r="R988" s="155"/>
      <c r="S988" s="155"/>
      <c r="T988" s="155"/>
      <c r="U988" s="155"/>
      <c r="V988" s="155"/>
      <c r="W988" s="155"/>
      <c r="X988" s="155"/>
      <c r="Y988" s="155"/>
      <c r="Z988" s="155"/>
      <c r="AA988" s="155"/>
    </row>
    <row r="989" ht="22.5" customHeight="1">
      <c r="A989" s="139"/>
      <c r="B989" s="71"/>
      <c r="C989" s="117"/>
      <c r="D989" s="25"/>
      <c r="E989" s="118"/>
      <c r="F989" s="118"/>
      <c r="G989" s="138"/>
      <c r="H989" s="26"/>
      <c r="I989" s="155"/>
      <c r="J989" s="200"/>
      <c r="K989" s="155"/>
      <c r="L989" s="155"/>
      <c r="M989" s="155"/>
      <c r="N989" s="155"/>
      <c r="O989" s="155"/>
      <c r="P989" s="155"/>
      <c r="Q989" s="155"/>
      <c r="R989" s="155"/>
      <c r="S989" s="155"/>
      <c r="T989" s="155"/>
      <c r="U989" s="155"/>
      <c r="V989" s="155"/>
      <c r="W989" s="155"/>
      <c r="X989" s="155"/>
      <c r="Y989" s="155"/>
      <c r="Z989" s="155"/>
      <c r="AA989" s="155"/>
    </row>
    <row r="990" ht="22.5" customHeight="1">
      <c r="A990" s="139"/>
      <c r="B990" s="71"/>
      <c r="C990" s="117"/>
      <c r="D990" s="25"/>
      <c r="E990" s="118"/>
      <c r="F990" s="118"/>
      <c r="G990" s="138"/>
      <c r="H990" s="26"/>
      <c r="I990" s="155"/>
      <c r="J990" s="200"/>
      <c r="K990" s="155"/>
      <c r="L990" s="155"/>
      <c r="M990" s="155"/>
      <c r="N990" s="155"/>
      <c r="O990" s="155"/>
      <c r="P990" s="155"/>
      <c r="Q990" s="155"/>
      <c r="R990" s="155"/>
      <c r="S990" s="155"/>
      <c r="T990" s="155"/>
      <c r="U990" s="155"/>
      <c r="V990" s="155"/>
      <c r="W990" s="155"/>
      <c r="X990" s="155"/>
      <c r="Y990" s="155"/>
      <c r="Z990" s="155"/>
      <c r="AA990" s="155"/>
    </row>
    <row r="991" ht="22.5" customHeight="1">
      <c r="A991" s="139"/>
      <c r="B991" s="71"/>
      <c r="C991" s="117"/>
      <c r="D991" s="25"/>
      <c r="E991" s="118"/>
      <c r="F991" s="118"/>
      <c r="G991" s="138"/>
      <c r="H991" s="26"/>
      <c r="I991" s="155"/>
      <c r="J991" s="200"/>
      <c r="K991" s="155"/>
      <c r="L991" s="155"/>
      <c r="M991" s="155"/>
      <c r="N991" s="155"/>
      <c r="O991" s="155"/>
      <c r="P991" s="155"/>
      <c r="Q991" s="155"/>
      <c r="R991" s="155"/>
      <c r="S991" s="155"/>
      <c r="T991" s="155"/>
      <c r="U991" s="155"/>
      <c r="V991" s="155"/>
      <c r="W991" s="155"/>
      <c r="X991" s="155"/>
      <c r="Y991" s="155"/>
      <c r="Z991" s="155"/>
      <c r="AA991" s="155"/>
    </row>
    <row r="992" ht="22.5" customHeight="1">
      <c r="A992" s="139"/>
      <c r="B992" s="71"/>
      <c r="C992" s="117"/>
      <c r="D992" s="25"/>
      <c r="E992" s="118"/>
      <c r="F992" s="118"/>
      <c r="G992" s="138"/>
      <c r="H992" s="26"/>
      <c r="I992" s="155"/>
      <c r="J992" s="200"/>
      <c r="K992" s="155"/>
      <c r="L992" s="155"/>
      <c r="M992" s="155"/>
      <c r="N992" s="155"/>
      <c r="O992" s="155"/>
      <c r="P992" s="155"/>
      <c r="Q992" s="155"/>
      <c r="R992" s="155"/>
      <c r="S992" s="155"/>
      <c r="T992" s="155"/>
      <c r="U992" s="155"/>
      <c r="V992" s="155"/>
      <c r="W992" s="155"/>
      <c r="X992" s="155"/>
      <c r="Y992" s="155"/>
      <c r="Z992" s="155"/>
      <c r="AA992" s="155"/>
    </row>
    <row r="993" ht="22.5" customHeight="1">
      <c r="A993" s="139"/>
      <c r="B993" s="71"/>
      <c r="C993" s="117"/>
      <c r="D993" s="25"/>
      <c r="E993" s="118"/>
      <c r="F993" s="118"/>
      <c r="G993" s="138"/>
      <c r="H993" s="26"/>
      <c r="I993" s="155"/>
      <c r="J993" s="200"/>
      <c r="K993" s="155"/>
      <c r="L993" s="155"/>
      <c r="M993" s="155"/>
      <c r="N993" s="155"/>
      <c r="O993" s="155"/>
      <c r="P993" s="155"/>
      <c r="Q993" s="155"/>
      <c r="R993" s="155"/>
      <c r="S993" s="155"/>
      <c r="T993" s="155"/>
      <c r="U993" s="155"/>
      <c r="V993" s="155"/>
      <c r="W993" s="155"/>
      <c r="X993" s="155"/>
      <c r="Y993" s="155"/>
      <c r="Z993" s="155"/>
      <c r="AA993" s="155"/>
    </row>
    <row r="994" ht="22.5" customHeight="1">
      <c r="A994" s="139"/>
      <c r="B994" s="71"/>
      <c r="C994" s="117"/>
      <c r="D994" s="25"/>
      <c r="E994" s="118"/>
      <c r="F994" s="118"/>
      <c r="G994" s="138"/>
      <c r="H994" s="26"/>
      <c r="I994" s="155"/>
      <c r="J994" s="200"/>
      <c r="K994" s="155"/>
      <c r="L994" s="155"/>
      <c r="M994" s="155"/>
      <c r="N994" s="155"/>
      <c r="O994" s="155"/>
      <c r="P994" s="155"/>
      <c r="Q994" s="155"/>
      <c r="R994" s="155"/>
      <c r="S994" s="155"/>
      <c r="T994" s="155"/>
      <c r="U994" s="155"/>
      <c r="V994" s="155"/>
      <c r="W994" s="155"/>
      <c r="X994" s="155"/>
      <c r="Y994" s="155"/>
      <c r="Z994" s="155"/>
      <c r="AA994" s="155"/>
    </row>
    <row r="995" ht="22.5" customHeight="1">
      <c r="A995" s="139"/>
      <c r="B995" s="71"/>
      <c r="C995" s="117"/>
      <c r="D995" s="25"/>
      <c r="E995" s="118"/>
      <c r="F995" s="118"/>
      <c r="G995" s="138"/>
      <c r="H995" s="26"/>
      <c r="I995" s="155"/>
      <c r="J995" s="200"/>
      <c r="K995" s="155"/>
      <c r="L995" s="155"/>
      <c r="M995" s="155"/>
      <c r="N995" s="155"/>
      <c r="O995" s="155"/>
      <c r="P995" s="155"/>
      <c r="Q995" s="155"/>
      <c r="R995" s="155"/>
      <c r="S995" s="155"/>
      <c r="T995" s="155"/>
      <c r="U995" s="155"/>
      <c r="V995" s="155"/>
      <c r="W995" s="155"/>
      <c r="X995" s="155"/>
      <c r="Y995" s="155"/>
      <c r="Z995" s="155"/>
      <c r="AA995" s="155"/>
    </row>
    <row r="996" ht="22.5" customHeight="1">
      <c r="A996" s="139"/>
      <c r="B996" s="71"/>
      <c r="C996" s="117"/>
      <c r="D996" s="25"/>
      <c r="E996" s="118"/>
      <c r="F996" s="118"/>
      <c r="G996" s="138"/>
      <c r="H996" s="26"/>
      <c r="I996" s="155"/>
      <c r="J996" s="200"/>
      <c r="K996" s="155"/>
      <c r="L996" s="155"/>
      <c r="M996" s="155"/>
      <c r="N996" s="155"/>
      <c r="O996" s="155"/>
      <c r="P996" s="155"/>
      <c r="Q996" s="155"/>
      <c r="R996" s="155"/>
      <c r="S996" s="155"/>
      <c r="T996" s="155"/>
      <c r="U996" s="155"/>
      <c r="V996" s="155"/>
      <c r="W996" s="155"/>
      <c r="X996" s="155"/>
      <c r="Y996" s="155"/>
      <c r="Z996" s="155"/>
      <c r="AA996" s="155"/>
    </row>
    <row r="997" ht="22.5" customHeight="1">
      <c r="A997" s="139"/>
      <c r="B997" s="71"/>
      <c r="C997" s="117"/>
      <c r="D997" s="25"/>
      <c r="E997" s="118"/>
      <c r="F997" s="118"/>
      <c r="G997" s="138"/>
      <c r="H997" s="26"/>
      <c r="I997" s="155"/>
      <c r="J997" s="200"/>
      <c r="K997" s="155"/>
      <c r="L997" s="155"/>
      <c r="M997" s="155"/>
      <c r="N997" s="155"/>
      <c r="O997" s="155"/>
      <c r="P997" s="155"/>
      <c r="Q997" s="155"/>
      <c r="R997" s="155"/>
      <c r="S997" s="155"/>
      <c r="T997" s="155"/>
      <c r="U997" s="155"/>
      <c r="V997" s="155"/>
      <c r="W997" s="155"/>
      <c r="X997" s="155"/>
      <c r="Y997" s="155"/>
      <c r="Z997" s="155"/>
      <c r="AA997" s="155"/>
    </row>
    <row r="998" ht="22.5" customHeight="1">
      <c r="A998" s="139"/>
      <c r="B998" s="71"/>
      <c r="C998" s="117"/>
      <c r="D998" s="25"/>
      <c r="E998" s="118"/>
      <c r="F998" s="118"/>
      <c r="G998" s="138"/>
      <c r="H998" s="26"/>
      <c r="I998" s="155"/>
      <c r="J998" s="200"/>
      <c r="K998" s="155"/>
      <c r="L998" s="155"/>
      <c r="M998" s="155"/>
      <c r="N998" s="155"/>
      <c r="O998" s="155"/>
      <c r="P998" s="155"/>
      <c r="Q998" s="155"/>
      <c r="R998" s="155"/>
      <c r="S998" s="155"/>
      <c r="T998" s="155"/>
      <c r="U998" s="155"/>
      <c r="V998" s="155"/>
      <c r="W998" s="155"/>
      <c r="X998" s="155"/>
      <c r="Y998" s="155"/>
      <c r="Z998" s="155"/>
      <c r="AA998" s="155"/>
    </row>
    <row r="999" ht="22.5" customHeight="1">
      <c r="A999" s="139"/>
      <c r="B999" s="71"/>
      <c r="C999" s="117"/>
      <c r="D999" s="25"/>
      <c r="E999" s="118"/>
      <c r="F999" s="118"/>
      <c r="G999" s="138"/>
      <c r="H999" s="26"/>
      <c r="I999" s="155"/>
      <c r="J999" s="200"/>
      <c r="K999" s="155"/>
      <c r="L999" s="155"/>
      <c r="M999" s="155"/>
      <c r="N999" s="155"/>
      <c r="O999" s="155"/>
      <c r="P999" s="155"/>
      <c r="Q999" s="155"/>
      <c r="R999" s="155"/>
      <c r="S999" s="155"/>
      <c r="T999" s="155"/>
      <c r="U999" s="155"/>
      <c r="V999" s="155"/>
      <c r="W999" s="155"/>
      <c r="X999" s="155"/>
      <c r="Y999" s="155"/>
      <c r="Z999" s="155"/>
      <c r="AA999" s="155"/>
    </row>
    <row r="1000" ht="22.5" customHeight="1">
      <c r="A1000" s="139"/>
      <c r="B1000" s="71"/>
      <c r="C1000" s="117"/>
      <c r="D1000" s="25"/>
      <c r="E1000" s="118"/>
      <c r="F1000" s="118"/>
      <c r="G1000" s="138"/>
      <c r="H1000" s="26"/>
      <c r="I1000" s="155"/>
      <c r="J1000" s="200"/>
      <c r="K1000" s="155"/>
      <c r="L1000" s="155"/>
      <c r="M1000" s="155"/>
      <c r="N1000" s="155"/>
      <c r="O1000" s="155"/>
      <c r="P1000" s="155"/>
      <c r="Q1000" s="155"/>
      <c r="R1000" s="155"/>
      <c r="S1000" s="155"/>
      <c r="T1000" s="155"/>
      <c r="U1000" s="155"/>
      <c r="V1000" s="155"/>
      <c r="W1000" s="155"/>
      <c r="X1000" s="155"/>
      <c r="Y1000" s="155"/>
      <c r="Z1000" s="155"/>
      <c r="AA1000" s="155"/>
    </row>
    <row r="1001" ht="22.5" customHeight="1">
      <c r="A1001" s="139"/>
      <c r="B1001" s="71"/>
      <c r="C1001" s="117"/>
      <c r="D1001" s="25"/>
      <c r="E1001" s="118"/>
      <c r="F1001" s="118"/>
      <c r="G1001" s="138"/>
      <c r="H1001" s="26"/>
      <c r="I1001" s="155"/>
      <c r="J1001" s="200"/>
      <c r="K1001" s="155"/>
      <c r="L1001" s="155"/>
      <c r="M1001" s="155"/>
      <c r="N1001" s="155"/>
      <c r="O1001" s="155"/>
      <c r="P1001" s="155"/>
      <c r="Q1001" s="155"/>
      <c r="R1001" s="155"/>
      <c r="S1001" s="155"/>
      <c r="T1001" s="155"/>
      <c r="U1001" s="155"/>
      <c r="V1001" s="155"/>
      <c r="W1001" s="155"/>
      <c r="X1001" s="155"/>
      <c r="Y1001" s="155"/>
      <c r="Z1001" s="155"/>
      <c r="AA1001" s="155"/>
    </row>
    <row r="1002" ht="22.5" customHeight="1">
      <c r="A1002" s="139"/>
      <c r="B1002" s="71"/>
      <c r="C1002" s="117"/>
      <c r="D1002" s="25"/>
      <c r="E1002" s="118"/>
      <c r="F1002" s="118"/>
      <c r="G1002" s="138"/>
      <c r="H1002" s="26"/>
      <c r="I1002" s="155"/>
      <c r="J1002" s="200"/>
      <c r="K1002" s="155"/>
      <c r="L1002" s="155"/>
      <c r="M1002" s="155"/>
      <c r="N1002" s="155"/>
      <c r="O1002" s="155"/>
      <c r="P1002" s="155"/>
      <c r="Q1002" s="155"/>
      <c r="R1002" s="155"/>
      <c r="S1002" s="155"/>
      <c r="T1002" s="155"/>
      <c r="U1002" s="155"/>
      <c r="V1002" s="155"/>
      <c r="W1002" s="155"/>
      <c r="X1002" s="155"/>
      <c r="Y1002" s="155"/>
      <c r="Z1002" s="155"/>
      <c r="AA1002" s="155"/>
    </row>
    <row r="1003" ht="22.5" customHeight="1">
      <c r="A1003" s="139"/>
      <c r="B1003" s="71"/>
      <c r="C1003" s="117"/>
      <c r="D1003" s="25"/>
      <c r="E1003" s="118"/>
      <c r="F1003" s="118"/>
      <c r="G1003" s="138"/>
      <c r="H1003" s="26"/>
      <c r="I1003" s="155"/>
      <c r="J1003" s="200"/>
      <c r="K1003" s="155"/>
      <c r="L1003" s="155"/>
      <c r="M1003" s="155"/>
      <c r="N1003" s="155"/>
      <c r="O1003" s="155"/>
      <c r="P1003" s="155"/>
      <c r="Q1003" s="155"/>
      <c r="R1003" s="155"/>
      <c r="S1003" s="155"/>
      <c r="T1003" s="155"/>
      <c r="U1003" s="155"/>
      <c r="V1003" s="155"/>
      <c r="W1003" s="155"/>
      <c r="X1003" s="155"/>
      <c r="Y1003" s="155"/>
      <c r="Z1003" s="155"/>
      <c r="AA1003" s="155"/>
    </row>
    <row r="1004" ht="22.5" customHeight="1">
      <c r="A1004" s="139"/>
      <c r="B1004" s="71"/>
      <c r="C1004" s="117"/>
      <c r="D1004" s="25"/>
      <c r="E1004" s="118"/>
      <c r="F1004" s="118"/>
      <c r="G1004" s="138"/>
      <c r="H1004" s="26"/>
      <c r="I1004" s="155"/>
      <c r="J1004" s="200"/>
      <c r="K1004" s="155"/>
      <c r="L1004" s="155"/>
      <c r="M1004" s="155"/>
      <c r="N1004" s="155"/>
      <c r="O1004" s="155"/>
      <c r="P1004" s="155"/>
      <c r="Q1004" s="155"/>
      <c r="R1004" s="155"/>
      <c r="S1004" s="155"/>
      <c r="T1004" s="155"/>
      <c r="U1004" s="155"/>
      <c r="V1004" s="155"/>
      <c r="W1004" s="155"/>
      <c r="X1004" s="155"/>
      <c r="Y1004" s="155"/>
      <c r="Z1004" s="155"/>
      <c r="AA1004" s="155"/>
    </row>
    <row r="1005" ht="22.5" customHeight="1">
      <c r="A1005" s="139"/>
      <c r="B1005" s="71"/>
      <c r="C1005" s="117"/>
      <c r="D1005" s="25"/>
      <c r="E1005" s="118"/>
      <c r="F1005" s="118"/>
      <c r="G1005" s="138"/>
      <c r="H1005" s="26"/>
      <c r="I1005" s="155"/>
      <c r="J1005" s="200"/>
      <c r="K1005" s="155"/>
      <c r="L1005" s="155"/>
      <c r="M1005" s="155"/>
      <c r="N1005" s="155"/>
      <c r="O1005" s="155"/>
      <c r="P1005" s="155"/>
      <c r="Q1005" s="155"/>
      <c r="R1005" s="155"/>
      <c r="S1005" s="155"/>
      <c r="T1005" s="155"/>
      <c r="U1005" s="155"/>
      <c r="V1005" s="155"/>
      <c r="W1005" s="155"/>
      <c r="X1005" s="155"/>
      <c r="Y1005" s="155"/>
      <c r="Z1005" s="155"/>
      <c r="AA1005" s="155"/>
    </row>
    <row r="1006" ht="22.5" customHeight="1">
      <c r="A1006" s="139"/>
      <c r="B1006" s="71"/>
      <c r="C1006" s="117"/>
      <c r="D1006" s="25"/>
      <c r="E1006" s="118"/>
      <c r="F1006" s="118"/>
      <c r="G1006" s="138"/>
      <c r="H1006" s="26"/>
      <c r="I1006" s="155"/>
      <c r="J1006" s="200"/>
      <c r="K1006" s="155"/>
      <c r="L1006" s="155"/>
      <c r="M1006" s="155"/>
      <c r="N1006" s="155"/>
      <c r="O1006" s="155"/>
      <c r="P1006" s="155"/>
      <c r="Q1006" s="155"/>
      <c r="R1006" s="155"/>
      <c r="S1006" s="155"/>
      <c r="T1006" s="155"/>
      <c r="U1006" s="155"/>
      <c r="V1006" s="155"/>
      <c r="W1006" s="155"/>
      <c r="X1006" s="155"/>
      <c r="Y1006" s="155"/>
      <c r="Z1006" s="155"/>
      <c r="AA1006" s="155"/>
    </row>
    <row r="1007" ht="22.5" customHeight="1">
      <c r="A1007" s="139"/>
      <c r="B1007" s="71"/>
      <c r="C1007" s="117"/>
      <c r="D1007" s="25"/>
      <c r="E1007" s="118"/>
      <c r="F1007" s="118"/>
      <c r="G1007" s="138"/>
      <c r="H1007" s="26"/>
      <c r="I1007" s="155"/>
      <c r="J1007" s="200"/>
      <c r="K1007" s="155"/>
      <c r="L1007" s="155"/>
      <c r="M1007" s="155"/>
      <c r="N1007" s="155"/>
      <c r="O1007" s="155"/>
      <c r="P1007" s="155"/>
      <c r="Q1007" s="155"/>
      <c r="R1007" s="155"/>
      <c r="S1007" s="155"/>
      <c r="T1007" s="155"/>
      <c r="U1007" s="155"/>
      <c r="V1007" s="155"/>
      <c r="W1007" s="155"/>
      <c r="X1007" s="155"/>
      <c r="Y1007" s="155"/>
      <c r="Z1007" s="155"/>
      <c r="AA1007" s="155"/>
    </row>
    <row r="1008" ht="22.5" customHeight="1">
      <c r="A1008" s="139"/>
      <c r="B1008" s="71"/>
      <c r="C1008" s="117"/>
      <c r="D1008" s="25"/>
      <c r="E1008" s="118"/>
      <c r="F1008" s="118"/>
      <c r="G1008" s="138"/>
      <c r="H1008" s="26"/>
      <c r="I1008" s="155"/>
      <c r="J1008" s="200"/>
      <c r="K1008" s="155"/>
      <c r="L1008" s="155"/>
      <c r="M1008" s="155"/>
      <c r="N1008" s="155"/>
      <c r="O1008" s="155"/>
      <c r="P1008" s="155"/>
      <c r="Q1008" s="155"/>
      <c r="R1008" s="155"/>
      <c r="S1008" s="155"/>
      <c r="T1008" s="155"/>
      <c r="U1008" s="155"/>
      <c r="V1008" s="155"/>
      <c r="W1008" s="155"/>
      <c r="X1008" s="155"/>
      <c r="Y1008" s="155"/>
      <c r="Z1008" s="155"/>
      <c r="AA1008" s="155"/>
    </row>
    <row r="1009" ht="22.5" customHeight="1">
      <c r="A1009" s="139"/>
      <c r="B1009" s="71"/>
      <c r="C1009" s="117"/>
      <c r="D1009" s="25"/>
      <c r="E1009" s="118"/>
      <c r="F1009" s="118"/>
      <c r="G1009" s="138"/>
      <c r="H1009" s="26"/>
      <c r="I1009" s="155"/>
      <c r="J1009" s="200"/>
      <c r="K1009" s="155"/>
      <c r="L1009" s="155"/>
      <c r="M1009" s="155"/>
      <c r="N1009" s="155"/>
      <c r="O1009" s="155"/>
      <c r="P1009" s="155"/>
      <c r="Q1009" s="155"/>
      <c r="R1009" s="155"/>
      <c r="S1009" s="155"/>
      <c r="T1009" s="155"/>
      <c r="U1009" s="155"/>
      <c r="V1009" s="155"/>
      <c r="W1009" s="155"/>
      <c r="X1009" s="155"/>
      <c r="Y1009" s="155"/>
      <c r="Z1009" s="155"/>
      <c r="AA1009" s="155"/>
    </row>
    <row r="1010" ht="22.5" customHeight="1">
      <c r="A1010" s="139"/>
      <c r="B1010" s="71"/>
      <c r="C1010" s="117"/>
      <c r="D1010" s="25"/>
      <c r="E1010" s="118"/>
      <c r="F1010" s="118"/>
      <c r="G1010" s="138"/>
      <c r="H1010" s="26"/>
      <c r="I1010" s="155"/>
      <c r="J1010" s="200"/>
      <c r="K1010" s="155"/>
      <c r="L1010" s="155"/>
      <c r="M1010" s="155"/>
      <c r="N1010" s="155"/>
      <c r="O1010" s="155"/>
      <c r="P1010" s="155"/>
      <c r="Q1010" s="155"/>
      <c r="R1010" s="155"/>
      <c r="S1010" s="155"/>
      <c r="T1010" s="155"/>
      <c r="U1010" s="155"/>
      <c r="V1010" s="155"/>
      <c r="W1010" s="155"/>
      <c r="X1010" s="155"/>
      <c r="Y1010" s="155"/>
      <c r="Z1010" s="155"/>
      <c r="AA1010" s="155"/>
    </row>
    <row r="1011" ht="22.5" customHeight="1">
      <c r="A1011" s="139"/>
      <c r="B1011" s="71"/>
      <c r="C1011" s="117"/>
      <c r="D1011" s="25"/>
      <c r="E1011" s="118"/>
      <c r="F1011" s="118"/>
      <c r="G1011" s="138"/>
      <c r="H1011" s="26"/>
      <c r="I1011" s="155"/>
      <c r="J1011" s="200"/>
      <c r="K1011" s="155"/>
      <c r="L1011" s="155"/>
      <c r="M1011" s="155"/>
      <c r="N1011" s="155"/>
      <c r="O1011" s="155"/>
      <c r="P1011" s="155"/>
      <c r="Q1011" s="155"/>
      <c r="R1011" s="155"/>
      <c r="S1011" s="155"/>
      <c r="T1011" s="155"/>
      <c r="U1011" s="155"/>
      <c r="V1011" s="155"/>
      <c r="W1011" s="155"/>
      <c r="X1011" s="155"/>
      <c r="Y1011" s="155"/>
      <c r="Z1011" s="155"/>
      <c r="AA1011" s="155"/>
    </row>
    <row r="1012" ht="22.5" customHeight="1">
      <c r="A1012" s="139"/>
      <c r="B1012" s="71"/>
      <c r="C1012" s="117"/>
      <c r="D1012" s="25"/>
      <c r="E1012" s="118"/>
      <c r="F1012" s="118"/>
      <c r="G1012" s="138"/>
      <c r="H1012" s="26"/>
      <c r="I1012" s="155"/>
      <c r="J1012" s="200"/>
      <c r="K1012" s="155"/>
      <c r="L1012" s="155"/>
      <c r="M1012" s="155"/>
      <c r="N1012" s="155"/>
      <c r="O1012" s="155"/>
      <c r="P1012" s="155"/>
      <c r="Q1012" s="155"/>
      <c r="R1012" s="155"/>
      <c r="S1012" s="155"/>
      <c r="T1012" s="155"/>
      <c r="U1012" s="155"/>
      <c r="V1012" s="155"/>
      <c r="W1012" s="155"/>
      <c r="X1012" s="155"/>
      <c r="Y1012" s="155"/>
      <c r="Z1012" s="155"/>
      <c r="AA1012" s="155"/>
    </row>
    <row r="1013" ht="22.5" customHeight="1">
      <c r="A1013" s="139"/>
      <c r="B1013" s="71"/>
      <c r="C1013" s="117"/>
      <c r="D1013" s="25"/>
      <c r="E1013" s="118"/>
      <c r="F1013" s="118"/>
      <c r="G1013" s="138"/>
      <c r="H1013" s="26"/>
      <c r="I1013" s="155"/>
      <c r="J1013" s="200"/>
      <c r="K1013" s="155"/>
      <c r="L1013" s="155"/>
      <c r="M1013" s="155"/>
      <c r="N1013" s="155"/>
      <c r="O1013" s="155"/>
      <c r="P1013" s="155"/>
      <c r="Q1013" s="155"/>
      <c r="R1013" s="155"/>
      <c r="S1013" s="155"/>
      <c r="T1013" s="155"/>
      <c r="U1013" s="155"/>
      <c r="V1013" s="155"/>
      <c r="W1013" s="155"/>
      <c r="X1013" s="155"/>
      <c r="Y1013" s="155"/>
      <c r="Z1013" s="155"/>
      <c r="AA1013" s="155"/>
    </row>
    <row r="1014" ht="22.5" customHeight="1">
      <c r="A1014" s="139"/>
      <c r="B1014" s="71"/>
      <c r="C1014" s="117"/>
      <c r="D1014" s="25"/>
      <c r="E1014" s="118"/>
      <c r="F1014" s="118"/>
      <c r="G1014" s="138"/>
      <c r="H1014" s="26"/>
      <c r="I1014" s="155"/>
      <c r="J1014" s="200"/>
      <c r="K1014" s="155"/>
      <c r="L1014" s="155"/>
      <c r="M1014" s="155"/>
      <c r="N1014" s="155"/>
      <c r="O1014" s="155"/>
      <c r="P1014" s="155"/>
      <c r="Q1014" s="155"/>
      <c r="R1014" s="155"/>
      <c r="S1014" s="155"/>
      <c r="T1014" s="155"/>
      <c r="U1014" s="155"/>
      <c r="V1014" s="155"/>
      <c r="W1014" s="155"/>
      <c r="X1014" s="155"/>
      <c r="Y1014" s="155"/>
      <c r="Z1014" s="155"/>
      <c r="AA1014" s="155"/>
    </row>
    <row r="1015" ht="22.5" customHeight="1">
      <c r="A1015" s="139"/>
      <c r="B1015" s="71"/>
      <c r="C1015" s="117"/>
      <c r="D1015" s="25"/>
      <c r="E1015" s="118"/>
      <c r="F1015" s="118"/>
      <c r="G1015" s="138"/>
      <c r="H1015" s="26"/>
      <c r="I1015" s="155"/>
      <c r="J1015" s="200"/>
      <c r="K1015" s="155"/>
      <c r="L1015" s="155"/>
      <c r="M1015" s="155"/>
      <c r="N1015" s="155"/>
      <c r="O1015" s="155"/>
      <c r="P1015" s="155"/>
      <c r="Q1015" s="155"/>
      <c r="R1015" s="155"/>
      <c r="S1015" s="155"/>
      <c r="T1015" s="155"/>
      <c r="U1015" s="155"/>
      <c r="V1015" s="155"/>
      <c r="W1015" s="155"/>
      <c r="X1015" s="155"/>
      <c r="Y1015" s="155"/>
      <c r="Z1015" s="155"/>
      <c r="AA1015" s="155"/>
    </row>
    <row r="1016" ht="22.5" customHeight="1">
      <c r="A1016" s="139"/>
      <c r="B1016" s="71"/>
      <c r="C1016" s="117"/>
      <c r="D1016" s="25"/>
      <c r="E1016" s="118"/>
      <c r="F1016" s="118"/>
      <c r="G1016" s="138"/>
      <c r="H1016" s="26"/>
      <c r="I1016" s="155"/>
      <c r="J1016" s="200"/>
      <c r="K1016" s="155"/>
      <c r="L1016" s="155"/>
      <c r="M1016" s="155"/>
      <c r="N1016" s="155"/>
      <c r="O1016" s="155"/>
      <c r="P1016" s="155"/>
      <c r="Q1016" s="155"/>
      <c r="R1016" s="155"/>
      <c r="S1016" s="155"/>
      <c r="T1016" s="155"/>
      <c r="U1016" s="155"/>
      <c r="V1016" s="155"/>
      <c r="W1016" s="155"/>
      <c r="X1016" s="155"/>
      <c r="Y1016" s="155"/>
      <c r="Z1016" s="155"/>
      <c r="AA1016" s="155"/>
    </row>
    <row r="1017" ht="22.5" customHeight="1">
      <c r="A1017" s="139"/>
      <c r="B1017" s="71"/>
      <c r="C1017" s="117"/>
      <c r="D1017" s="25"/>
      <c r="E1017" s="118"/>
      <c r="F1017" s="118"/>
      <c r="G1017" s="138"/>
      <c r="H1017" s="26"/>
      <c r="I1017" s="155"/>
      <c r="J1017" s="200"/>
      <c r="K1017" s="155"/>
      <c r="L1017" s="155"/>
      <c r="M1017" s="155"/>
      <c r="N1017" s="155"/>
      <c r="O1017" s="155"/>
      <c r="P1017" s="155"/>
      <c r="Q1017" s="155"/>
      <c r="R1017" s="155"/>
      <c r="S1017" s="155"/>
      <c r="T1017" s="155"/>
      <c r="U1017" s="155"/>
      <c r="V1017" s="155"/>
      <c r="W1017" s="155"/>
      <c r="X1017" s="155"/>
      <c r="Y1017" s="155"/>
      <c r="Z1017" s="155"/>
      <c r="AA1017" s="155"/>
    </row>
    <row r="1018" ht="22.5" customHeight="1">
      <c r="A1018" s="139"/>
      <c r="B1018" s="71"/>
      <c r="C1018" s="117"/>
      <c r="D1018" s="25"/>
      <c r="E1018" s="118"/>
      <c r="F1018" s="118"/>
      <c r="G1018" s="138"/>
      <c r="H1018" s="26"/>
      <c r="I1018" s="155"/>
      <c r="J1018" s="200"/>
      <c r="K1018" s="155"/>
      <c r="L1018" s="155"/>
      <c r="M1018" s="155"/>
      <c r="N1018" s="155"/>
      <c r="O1018" s="155"/>
      <c r="P1018" s="155"/>
      <c r="Q1018" s="155"/>
      <c r="R1018" s="155"/>
      <c r="S1018" s="155"/>
      <c r="T1018" s="155"/>
      <c r="U1018" s="155"/>
      <c r="V1018" s="155"/>
      <c r="W1018" s="155"/>
      <c r="X1018" s="155"/>
      <c r="Y1018" s="155"/>
      <c r="Z1018" s="155"/>
      <c r="AA1018" s="155"/>
    </row>
    <row r="1019" ht="22.5" customHeight="1">
      <c r="A1019" s="139"/>
      <c r="B1019" s="71"/>
      <c r="C1019" s="117"/>
      <c r="D1019" s="25"/>
      <c r="E1019" s="118"/>
      <c r="F1019" s="118"/>
      <c r="G1019" s="138"/>
      <c r="H1019" s="26"/>
      <c r="I1019" s="155"/>
      <c r="J1019" s="200"/>
      <c r="K1019" s="155"/>
      <c r="L1019" s="155"/>
      <c r="M1019" s="155"/>
      <c r="N1019" s="155"/>
      <c r="O1019" s="155"/>
      <c r="P1019" s="155"/>
      <c r="Q1019" s="155"/>
      <c r="R1019" s="155"/>
      <c r="S1019" s="155"/>
      <c r="T1019" s="155"/>
      <c r="U1019" s="155"/>
      <c r="V1019" s="155"/>
      <c r="W1019" s="155"/>
      <c r="X1019" s="155"/>
      <c r="Y1019" s="155"/>
      <c r="Z1019" s="155"/>
      <c r="AA1019" s="155"/>
    </row>
    <row r="1020" ht="22.5" customHeight="1">
      <c r="A1020" s="139"/>
      <c r="B1020" s="71"/>
      <c r="C1020" s="117"/>
      <c r="D1020" s="25"/>
      <c r="E1020" s="118"/>
      <c r="F1020" s="118"/>
      <c r="G1020" s="138"/>
      <c r="H1020" s="26"/>
      <c r="I1020" s="155"/>
      <c r="J1020" s="200"/>
      <c r="K1020" s="155"/>
      <c r="L1020" s="155"/>
      <c r="M1020" s="155"/>
      <c r="N1020" s="155"/>
      <c r="O1020" s="155"/>
      <c r="P1020" s="155"/>
      <c r="Q1020" s="155"/>
      <c r="R1020" s="155"/>
      <c r="S1020" s="155"/>
      <c r="T1020" s="155"/>
      <c r="U1020" s="155"/>
      <c r="V1020" s="155"/>
      <c r="W1020" s="155"/>
      <c r="X1020" s="155"/>
      <c r="Y1020" s="155"/>
      <c r="Z1020" s="155"/>
      <c r="AA1020" s="155"/>
    </row>
    <row r="1021" ht="22.5" customHeight="1">
      <c r="A1021" s="139"/>
      <c r="B1021" s="71"/>
      <c r="C1021" s="117"/>
      <c r="D1021" s="25"/>
      <c r="E1021" s="118"/>
      <c r="F1021" s="118"/>
      <c r="G1021" s="138"/>
      <c r="H1021" s="26"/>
      <c r="I1021" s="155"/>
      <c r="J1021" s="200"/>
      <c r="K1021" s="155"/>
      <c r="L1021" s="155"/>
      <c r="M1021" s="155"/>
      <c r="N1021" s="155"/>
      <c r="O1021" s="155"/>
      <c r="P1021" s="155"/>
      <c r="Q1021" s="155"/>
      <c r="R1021" s="155"/>
      <c r="S1021" s="155"/>
      <c r="T1021" s="155"/>
      <c r="U1021" s="155"/>
      <c r="V1021" s="155"/>
      <c r="W1021" s="155"/>
      <c r="X1021" s="155"/>
      <c r="Y1021" s="155"/>
      <c r="Z1021" s="155"/>
      <c r="AA1021" s="155"/>
    </row>
    <row r="1022" ht="22.5" customHeight="1">
      <c r="A1022" s="139"/>
      <c r="B1022" s="71"/>
      <c r="C1022" s="117"/>
      <c r="D1022" s="25"/>
      <c r="E1022" s="118"/>
      <c r="F1022" s="118"/>
      <c r="G1022" s="138"/>
      <c r="H1022" s="26"/>
      <c r="I1022" s="155"/>
      <c r="J1022" s="200"/>
      <c r="K1022" s="155"/>
      <c r="L1022" s="155"/>
      <c r="M1022" s="155"/>
      <c r="N1022" s="155"/>
      <c r="O1022" s="155"/>
      <c r="P1022" s="155"/>
      <c r="Q1022" s="155"/>
      <c r="R1022" s="155"/>
      <c r="S1022" s="155"/>
      <c r="T1022" s="155"/>
      <c r="U1022" s="155"/>
      <c r="V1022" s="155"/>
      <c r="W1022" s="155"/>
      <c r="X1022" s="155"/>
      <c r="Y1022" s="155"/>
      <c r="Z1022" s="155"/>
      <c r="AA1022" s="155"/>
    </row>
    <row r="1023" ht="22.5" customHeight="1">
      <c r="A1023" s="139"/>
      <c r="B1023" s="71"/>
      <c r="C1023" s="117"/>
      <c r="D1023" s="25"/>
      <c r="E1023" s="118"/>
      <c r="F1023" s="118"/>
      <c r="G1023" s="138"/>
      <c r="H1023" s="26"/>
      <c r="I1023" s="155"/>
      <c r="J1023" s="200"/>
      <c r="K1023" s="155"/>
      <c r="L1023" s="155"/>
      <c r="M1023" s="155"/>
      <c r="N1023" s="155"/>
      <c r="O1023" s="155"/>
      <c r="P1023" s="155"/>
      <c r="Q1023" s="155"/>
      <c r="R1023" s="155"/>
      <c r="S1023" s="155"/>
      <c r="T1023" s="155"/>
      <c r="U1023" s="155"/>
      <c r="V1023" s="155"/>
      <c r="W1023" s="155"/>
      <c r="X1023" s="155"/>
      <c r="Y1023" s="155"/>
      <c r="Z1023" s="155"/>
      <c r="AA1023" s="155"/>
    </row>
    <row r="1024" ht="22.5" customHeight="1">
      <c r="A1024" s="139"/>
      <c r="B1024" s="71"/>
      <c r="C1024" s="117"/>
      <c r="D1024" s="25"/>
      <c r="E1024" s="118"/>
      <c r="F1024" s="118"/>
      <c r="G1024" s="138"/>
      <c r="H1024" s="26"/>
      <c r="I1024" s="155"/>
      <c r="J1024" s="200"/>
      <c r="K1024" s="155"/>
      <c r="L1024" s="155"/>
      <c r="M1024" s="155"/>
      <c r="N1024" s="155"/>
      <c r="O1024" s="155"/>
      <c r="P1024" s="155"/>
      <c r="Q1024" s="155"/>
      <c r="R1024" s="155"/>
      <c r="S1024" s="155"/>
      <c r="T1024" s="155"/>
      <c r="U1024" s="155"/>
      <c r="V1024" s="155"/>
      <c r="W1024" s="155"/>
      <c r="X1024" s="155"/>
      <c r="Y1024" s="155"/>
      <c r="Z1024" s="155"/>
      <c r="AA1024" s="155"/>
    </row>
    <row r="1025" ht="22.5" customHeight="1">
      <c r="A1025" s="139"/>
      <c r="B1025" s="71"/>
      <c r="C1025" s="117"/>
      <c r="D1025" s="25"/>
      <c r="E1025" s="118"/>
      <c r="F1025" s="118"/>
      <c r="G1025" s="138"/>
      <c r="H1025" s="26"/>
      <c r="I1025" s="155"/>
      <c r="J1025" s="200"/>
      <c r="K1025" s="155"/>
      <c r="L1025" s="155"/>
      <c r="M1025" s="155"/>
      <c r="N1025" s="155"/>
      <c r="O1025" s="155"/>
      <c r="P1025" s="155"/>
      <c r="Q1025" s="155"/>
      <c r="R1025" s="155"/>
      <c r="S1025" s="155"/>
      <c r="T1025" s="155"/>
      <c r="U1025" s="155"/>
      <c r="V1025" s="155"/>
      <c r="W1025" s="155"/>
      <c r="X1025" s="155"/>
      <c r="Y1025" s="155"/>
      <c r="Z1025" s="155"/>
      <c r="AA1025" s="155"/>
    </row>
    <row r="1026" ht="22.5" customHeight="1">
      <c r="A1026" s="139"/>
      <c r="B1026" s="71"/>
      <c r="C1026" s="117"/>
      <c r="D1026" s="25"/>
      <c r="E1026" s="118"/>
      <c r="F1026" s="118"/>
      <c r="G1026" s="138"/>
      <c r="H1026" s="26"/>
      <c r="I1026" s="155"/>
      <c r="J1026" s="200"/>
      <c r="K1026" s="155"/>
      <c r="L1026" s="155"/>
      <c r="M1026" s="155"/>
      <c r="N1026" s="155"/>
      <c r="O1026" s="155"/>
      <c r="P1026" s="155"/>
      <c r="Q1026" s="155"/>
      <c r="R1026" s="155"/>
      <c r="S1026" s="155"/>
      <c r="T1026" s="155"/>
      <c r="U1026" s="155"/>
      <c r="V1026" s="155"/>
      <c r="W1026" s="155"/>
      <c r="X1026" s="155"/>
      <c r="Y1026" s="155"/>
      <c r="Z1026" s="155"/>
      <c r="AA1026" s="155"/>
    </row>
    <row r="1027" ht="22.5" customHeight="1">
      <c r="A1027" s="139"/>
      <c r="B1027" s="71"/>
      <c r="C1027" s="117"/>
      <c r="D1027" s="25"/>
      <c r="E1027" s="118"/>
      <c r="F1027" s="118"/>
      <c r="G1027" s="138"/>
      <c r="H1027" s="26"/>
      <c r="I1027" s="155"/>
      <c r="J1027" s="200"/>
      <c r="K1027" s="155"/>
      <c r="L1027" s="155"/>
      <c r="M1027" s="155"/>
      <c r="N1027" s="155"/>
      <c r="O1027" s="155"/>
      <c r="P1027" s="155"/>
      <c r="Q1027" s="155"/>
      <c r="R1027" s="155"/>
      <c r="S1027" s="155"/>
      <c r="T1027" s="155"/>
      <c r="U1027" s="155"/>
      <c r="V1027" s="155"/>
      <c r="W1027" s="155"/>
      <c r="X1027" s="155"/>
      <c r="Y1027" s="155"/>
      <c r="Z1027" s="155"/>
      <c r="AA1027" s="155"/>
    </row>
    <row r="1028" ht="22.5" customHeight="1">
      <c r="A1028" s="139"/>
      <c r="B1028" s="71"/>
      <c r="C1028" s="117"/>
      <c r="D1028" s="25"/>
      <c r="E1028" s="118"/>
      <c r="F1028" s="118"/>
      <c r="G1028" s="138"/>
      <c r="H1028" s="26"/>
      <c r="I1028" s="155"/>
      <c r="J1028" s="200"/>
      <c r="K1028" s="155"/>
      <c r="L1028" s="155"/>
      <c r="M1028" s="155"/>
      <c r="N1028" s="155"/>
      <c r="O1028" s="155"/>
      <c r="P1028" s="155"/>
      <c r="Q1028" s="155"/>
      <c r="R1028" s="155"/>
      <c r="S1028" s="155"/>
      <c r="T1028" s="155"/>
      <c r="U1028" s="155"/>
      <c r="V1028" s="155"/>
      <c r="W1028" s="155"/>
      <c r="X1028" s="155"/>
      <c r="Y1028" s="155"/>
      <c r="Z1028" s="155"/>
      <c r="AA1028" s="155"/>
    </row>
    <row r="1029" ht="22.5" customHeight="1">
      <c r="A1029" s="139"/>
      <c r="B1029" s="71"/>
      <c r="C1029" s="117"/>
      <c r="D1029" s="25"/>
      <c r="E1029" s="118"/>
      <c r="F1029" s="118"/>
      <c r="G1029" s="138"/>
      <c r="H1029" s="26"/>
      <c r="I1029" s="155"/>
      <c r="J1029" s="200"/>
      <c r="K1029" s="155"/>
      <c r="L1029" s="155"/>
      <c r="M1029" s="155"/>
      <c r="N1029" s="155"/>
      <c r="O1029" s="155"/>
      <c r="P1029" s="155"/>
      <c r="Q1029" s="155"/>
      <c r="R1029" s="155"/>
      <c r="S1029" s="155"/>
      <c r="T1029" s="155"/>
      <c r="U1029" s="155"/>
      <c r="V1029" s="155"/>
      <c r="W1029" s="155"/>
      <c r="X1029" s="155"/>
      <c r="Y1029" s="155"/>
      <c r="Z1029" s="155"/>
      <c r="AA1029" s="155"/>
    </row>
    <row r="1030" ht="22.5" customHeight="1">
      <c r="A1030" s="139"/>
      <c r="B1030" s="71"/>
      <c r="C1030" s="117"/>
      <c r="D1030" s="25"/>
      <c r="E1030" s="118"/>
      <c r="F1030" s="118"/>
      <c r="G1030" s="138"/>
      <c r="H1030" s="26"/>
      <c r="I1030" s="155"/>
      <c r="J1030" s="200"/>
      <c r="K1030" s="155"/>
      <c r="L1030" s="155"/>
      <c r="M1030" s="155"/>
      <c r="N1030" s="155"/>
      <c r="O1030" s="155"/>
      <c r="P1030" s="155"/>
      <c r="Q1030" s="155"/>
      <c r="R1030" s="155"/>
      <c r="S1030" s="155"/>
      <c r="T1030" s="155"/>
      <c r="U1030" s="155"/>
      <c r="V1030" s="155"/>
      <c r="W1030" s="155"/>
      <c r="X1030" s="155"/>
      <c r="Y1030" s="155"/>
      <c r="Z1030" s="155"/>
      <c r="AA1030" s="155"/>
    </row>
    <row r="1031" ht="22.5" customHeight="1">
      <c r="A1031" s="139"/>
      <c r="B1031" s="71"/>
      <c r="C1031" s="117"/>
      <c r="D1031" s="25"/>
      <c r="E1031" s="118"/>
      <c r="F1031" s="118"/>
      <c r="G1031" s="138"/>
      <c r="H1031" s="26"/>
      <c r="I1031" s="155"/>
      <c r="J1031" s="200"/>
      <c r="K1031" s="155"/>
      <c r="L1031" s="155"/>
      <c r="M1031" s="155"/>
      <c r="N1031" s="155"/>
      <c r="O1031" s="155"/>
      <c r="P1031" s="155"/>
      <c r="Q1031" s="155"/>
      <c r="R1031" s="155"/>
      <c r="S1031" s="155"/>
      <c r="T1031" s="155"/>
      <c r="U1031" s="155"/>
      <c r="V1031" s="155"/>
      <c r="W1031" s="155"/>
      <c r="X1031" s="155"/>
      <c r="Y1031" s="155"/>
      <c r="Z1031" s="155"/>
      <c r="AA1031" s="155"/>
    </row>
    <row r="1032" ht="22.5" customHeight="1">
      <c r="A1032" s="139"/>
      <c r="B1032" s="71"/>
      <c r="C1032" s="117"/>
      <c r="D1032" s="25"/>
      <c r="E1032" s="118"/>
      <c r="F1032" s="118"/>
      <c r="G1032" s="138"/>
      <c r="H1032" s="26"/>
      <c r="I1032" s="155"/>
      <c r="J1032" s="200"/>
      <c r="K1032" s="155"/>
      <c r="L1032" s="155"/>
      <c r="M1032" s="155"/>
      <c r="N1032" s="155"/>
      <c r="O1032" s="155"/>
      <c r="P1032" s="155"/>
      <c r="Q1032" s="155"/>
      <c r="R1032" s="155"/>
      <c r="S1032" s="155"/>
      <c r="T1032" s="155"/>
      <c r="U1032" s="155"/>
      <c r="V1032" s="155"/>
      <c r="W1032" s="155"/>
      <c r="X1032" s="155"/>
      <c r="Y1032" s="155"/>
      <c r="Z1032" s="155"/>
      <c r="AA1032" s="155"/>
    </row>
    <row r="1033" ht="22.5" customHeight="1">
      <c r="A1033" s="139"/>
      <c r="B1033" s="71"/>
      <c r="C1033" s="117"/>
      <c r="D1033" s="25"/>
      <c r="E1033" s="118"/>
      <c r="F1033" s="118"/>
      <c r="G1033" s="138"/>
      <c r="H1033" s="26"/>
      <c r="I1033" s="155"/>
      <c r="J1033" s="200"/>
      <c r="K1033" s="155"/>
      <c r="L1033" s="155"/>
      <c r="M1033" s="155"/>
      <c r="N1033" s="155"/>
      <c r="O1033" s="155"/>
      <c r="P1033" s="155"/>
      <c r="Q1033" s="155"/>
      <c r="R1033" s="155"/>
      <c r="S1033" s="155"/>
      <c r="T1033" s="155"/>
      <c r="U1033" s="155"/>
      <c r="V1033" s="155"/>
      <c r="W1033" s="155"/>
      <c r="X1033" s="155"/>
      <c r="Y1033" s="155"/>
      <c r="Z1033" s="155"/>
      <c r="AA1033" s="155"/>
    </row>
    <row r="1034" ht="22.5" customHeight="1">
      <c r="A1034" s="139"/>
      <c r="B1034" s="71"/>
      <c r="C1034" s="117"/>
      <c r="D1034" s="25"/>
      <c r="E1034" s="118"/>
      <c r="F1034" s="118"/>
      <c r="G1034" s="138"/>
      <c r="H1034" s="26"/>
      <c r="I1034" s="155"/>
      <c r="J1034" s="200"/>
      <c r="K1034" s="155"/>
      <c r="L1034" s="155"/>
      <c r="M1034" s="155"/>
      <c r="N1034" s="155"/>
      <c r="O1034" s="155"/>
      <c r="P1034" s="155"/>
      <c r="Q1034" s="155"/>
      <c r="R1034" s="155"/>
      <c r="S1034" s="155"/>
      <c r="T1034" s="155"/>
      <c r="U1034" s="155"/>
      <c r="V1034" s="155"/>
      <c r="W1034" s="155"/>
      <c r="X1034" s="155"/>
      <c r="Y1034" s="155"/>
      <c r="Z1034" s="155"/>
      <c r="AA1034" s="155"/>
    </row>
    <row r="1035" ht="22.5" customHeight="1">
      <c r="A1035" s="139"/>
      <c r="B1035" s="71"/>
      <c r="C1035" s="117"/>
      <c r="D1035" s="25"/>
      <c r="E1035" s="118"/>
      <c r="F1035" s="118"/>
      <c r="G1035" s="138"/>
      <c r="H1035" s="26"/>
      <c r="I1035" s="155"/>
      <c r="J1035" s="200"/>
      <c r="K1035" s="155"/>
      <c r="L1035" s="155"/>
      <c r="M1035" s="155"/>
      <c r="N1035" s="155"/>
      <c r="O1035" s="155"/>
      <c r="P1035" s="155"/>
      <c r="Q1035" s="155"/>
      <c r="R1035" s="155"/>
      <c r="S1035" s="155"/>
      <c r="T1035" s="155"/>
      <c r="U1035" s="155"/>
      <c r="V1035" s="155"/>
      <c r="W1035" s="155"/>
      <c r="X1035" s="155"/>
      <c r="Y1035" s="155"/>
      <c r="Z1035" s="155"/>
      <c r="AA1035" s="155"/>
    </row>
    <row r="1036" ht="22.5" customHeight="1">
      <c r="A1036" s="139"/>
      <c r="B1036" s="71"/>
      <c r="C1036" s="117"/>
      <c r="D1036" s="25"/>
      <c r="E1036" s="118"/>
      <c r="F1036" s="118"/>
      <c r="G1036" s="138"/>
      <c r="H1036" s="26"/>
      <c r="I1036" s="155"/>
      <c r="J1036" s="200"/>
      <c r="K1036" s="155"/>
      <c r="L1036" s="155"/>
      <c r="M1036" s="155"/>
      <c r="N1036" s="155"/>
      <c r="O1036" s="155"/>
      <c r="P1036" s="155"/>
      <c r="Q1036" s="155"/>
      <c r="R1036" s="155"/>
      <c r="S1036" s="155"/>
      <c r="T1036" s="155"/>
      <c r="U1036" s="155"/>
      <c r="V1036" s="155"/>
      <c r="W1036" s="155"/>
      <c r="X1036" s="155"/>
      <c r="Y1036" s="155"/>
      <c r="Z1036" s="155"/>
      <c r="AA1036" s="155"/>
    </row>
    <row r="1037" ht="22.5" customHeight="1">
      <c r="A1037" s="139"/>
      <c r="B1037" s="71"/>
      <c r="C1037" s="117"/>
      <c r="D1037" s="25"/>
      <c r="E1037" s="118"/>
      <c r="F1037" s="118"/>
      <c r="G1037" s="138"/>
      <c r="H1037" s="26"/>
      <c r="I1037" s="155"/>
      <c r="J1037" s="200"/>
      <c r="K1037" s="155"/>
      <c r="L1037" s="155"/>
      <c r="M1037" s="155"/>
      <c r="N1037" s="155"/>
      <c r="O1037" s="155"/>
      <c r="P1037" s="155"/>
      <c r="Q1037" s="155"/>
      <c r="R1037" s="155"/>
      <c r="S1037" s="155"/>
      <c r="T1037" s="155"/>
      <c r="U1037" s="155"/>
      <c r="V1037" s="155"/>
      <c r="W1037" s="155"/>
      <c r="X1037" s="155"/>
      <c r="Y1037" s="155"/>
      <c r="Z1037" s="155"/>
      <c r="AA1037" s="155"/>
    </row>
    <row r="1038" ht="22.5" customHeight="1">
      <c r="A1038" s="139"/>
      <c r="B1038" s="71"/>
      <c r="C1038" s="117"/>
      <c r="D1038" s="25"/>
      <c r="E1038" s="118"/>
      <c r="F1038" s="118"/>
      <c r="G1038" s="138"/>
      <c r="H1038" s="26"/>
      <c r="I1038" s="155"/>
      <c r="J1038" s="200"/>
      <c r="K1038" s="155"/>
      <c r="L1038" s="155"/>
      <c r="M1038" s="155"/>
      <c r="N1038" s="155"/>
      <c r="O1038" s="155"/>
      <c r="P1038" s="155"/>
      <c r="Q1038" s="155"/>
      <c r="R1038" s="155"/>
      <c r="S1038" s="155"/>
      <c r="T1038" s="155"/>
      <c r="U1038" s="155"/>
      <c r="V1038" s="155"/>
      <c r="W1038" s="155"/>
      <c r="X1038" s="155"/>
      <c r="Y1038" s="155"/>
      <c r="Z1038" s="155"/>
      <c r="AA1038" s="155"/>
    </row>
    <row r="1039" ht="22.5" customHeight="1">
      <c r="A1039" s="139"/>
      <c r="B1039" s="71"/>
      <c r="C1039" s="117"/>
      <c r="D1039" s="25"/>
      <c r="E1039" s="118"/>
      <c r="F1039" s="118"/>
      <c r="G1039" s="138"/>
      <c r="H1039" s="26"/>
      <c r="I1039" s="155"/>
      <c r="J1039" s="200"/>
      <c r="K1039" s="155"/>
      <c r="L1039" s="155"/>
      <c r="M1039" s="155"/>
      <c r="N1039" s="155"/>
      <c r="O1039" s="155"/>
      <c r="P1039" s="155"/>
      <c r="Q1039" s="155"/>
      <c r="R1039" s="155"/>
      <c r="S1039" s="155"/>
      <c r="T1039" s="155"/>
      <c r="U1039" s="155"/>
      <c r="V1039" s="155"/>
      <c r="W1039" s="155"/>
      <c r="X1039" s="155"/>
      <c r="Y1039" s="155"/>
      <c r="Z1039" s="155"/>
      <c r="AA1039" s="155"/>
    </row>
    <row r="1040" ht="22.5" customHeight="1">
      <c r="A1040" s="139"/>
      <c r="B1040" s="71"/>
      <c r="C1040" s="117"/>
      <c r="D1040" s="25"/>
      <c r="E1040" s="118"/>
      <c r="F1040" s="118"/>
      <c r="G1040" s="138"/>
      <c r="H1040" s="26"/>
      <c r="I1040" s="155"/>
      <c r="J1040" s="200"/>
      <c r="K1040" s="155"/>
      <c r="L1040" s="155"/>
      <c r="M1040" s="155"/>
      <c r="N1040" s="155"/>
      <c r="O1040" s="155"/>
      <c r="P1040" s="155"/>
      <c r="Q1040" s="155"/>
      <c r="R1040" s="155"/>
      <c r="S1040" s="155"/>
      <c r="T1040" s="155"/>
      <c r="U1040" s="155"/>
      <c r="V1040" s="155"/>
      <c r="W1040" s="155"/>
      <c r="X1040" s="155"/>
      <c r="Y1040" s="155"/>
      <c r="Z1040" s="155"/>
      <c r="AA1040" s="155"/>
    </row>
    <row r="1041" ht="22.5" customHeight="1">
      <c r="A1041" s="139"/>
      <c r="B1041" s="71"/>
      <c r="C1041" s="117"/>
      <c r="D1041" s="25"/>
      <c r="E1041" s="118"/>
      <c r="F1041" s="118"/>
      <c r="G1041" s="138"/>
      <c r="H1041" s="26"/>
      <c r="I1041" s="155"/>
      <c r="J1041" s="200"/>
      <c r="K1041" s="155"/>
      <c r="L1041" s="155"/>
      <c r="M1041" s="155"/>
      <c r="N1041" s="155"/>
      <c r="O1041" s="155"/>
      <c r="P1041" s="155"/>
      <c r="Q1041" s="155"/>
      <c r="R1041" s="155"/>
      <c r="S1041" s="155"/>
      <c r="T1041" s="155"/>
      <c r="U1041" s="155"/>
      <c r="V1041" s="155"/>
      <c r="W1041" s="155"/>
      <c r="X1041" s="155"/>
      <c r="Y1041" s="155"/>
      <c r="Z1041" s="155"/>
      <c r="AA1041" s="155"/>
    </row>
    <row r="1042" ht="22.5" customHeight="1">
      <c r="A1042" s="139"/>
      <c r="B1042" s="71"/>
      <c r="C1042" s="117"/>
      <c r="D1042" s="25"/>
      <c r="E1042" s="118"/>
      <c r="F1042" s="118"/>
      <c r="G1042" s="138"/>
      <c r="H1042" s="26"/>
      <c r="I1042" s="155"/>
      <c r="J1042" s="200"/>
      <c r="K1042" s="155"/>
      <c r="L1042" s="155"/>
      <c r="M1042" s="155"/>
      <c r="N1042" s="155"/>
      <c r="O1042" s="155"/>
      <c r="P1042" s="155"/>
      <c r="Q1042" s="155"/>
      <c r="R1042" s="155"/>
      <c r="S1042" s="155"/>
      <c r="T1042" s="155"/>
      <c r="U1042" s="155"/>
      <c r="V1042" s="155"/>
      <c r="W1042" s="155"/>
      <c r="X1042" s="155"/>
      <c r="Y1042" s="155"/>
      <c r="Z1042" s="155"/>
      <c r="AA1042" s="155"/>
    </row>
    <row r="1043" ht="22.5" customHeight="1">
      <c r="A1043" s="139"/>
      <c r="B1043" s="71"/>
      <c r="C1043" s="117"/>
      <c r="D1043" s="25"/>
      <c r="E1043" s="118"/>
      <c r="F1043" s="118"/>
      <c r="G1043" s="138"/>
      <c r="H1043" s="26"/>
      <c r="I1043" s="155"/>
      <c r="J1043" s="200"/>
      <c r="K1043" s="155"/>
      <c r="L1043" s="155"/>
      <c r="M1043" s="155"/>
      <c r="N1043" s="155"/>
      <c r="O1043" s="155"/>
      <c r="P1043" s="155"/>
      <c r="Q1043" s="155"/>
      <c r="R1043" s="155"/>
      <c r="S1043" s="155"/>
      <c r="T1043" s="155"/>
      <c r="U1043" s="155"/>
      <c r="V1043" s="155"/>
      <c r="W1043" s="155"/>
      <c r="X1043" s="155"/>
      <c r="Y1043" s="155"/>
      <c r="Z1043" s="155"/>
      <c r="AA1043" s="155"/>
    </row>
    <row r="1044" ht="22.5" customHeight="1">
      <c r="A1044" s="139"/>
      <c r="B1044" s="71"/>
      <c r="C1044" s="117"/>
      <c r="D1044" s="25"/>
      <c r="E1044" s="118"/>
      <c r="F1044" s="118"/>
      <c r="G1044" s="138"/>
      <c r="H1044" s="26"/>
      <c r="I1044" s="155"/>
      <c r="J1044" s="200"/>
      <c r="K1044" s="155"/>
      <c r="L1044" s="155"/>
      <c r="M1044" s="155"/>
      <c r="N1044" s="155"/>
      <c r="O1044" s="155"/>
      <c r="P1044" s="155"/>
      <c r="Q1044" s="155"/>
      <c r="R1044" s="155"/>
      <c r="S1044" s="155"/>
      <c r="T1044" s="155"/>
      <c r="U1044" s="155"/>
      <c r="V1044" s="155"/>
      <c r="W1044" s="155"/>
      <c r="X1044" s="155"/>
      <c r="Y1044" s="155"/>
      <c r="Z1044" s="155"/>
      <c r="AA1044" s="155"/>
    </row>
    <row r="1045" ht="22.5" customHeight="1">
      <c r="A1045" s="139"/>
      <c r="B1045" s="71"/>
      <c r="C1045" s="117"/>
      <c r="D1045" s="25"/>
      <c r="E1045" s="118"/>
      <c r="F1045" s="118"/>
      <c r="G1045" s="138"/>
      <c r="H1045" s="26"/>
      <c r="I1045" s="155"/>
      <c r="J1045" s="200"/>
      <c r="K1045" s="155"/>
      <c r="L1045" s="155"/>
      <c r="M1045" s="155"/>
      <c r="N1045" s="155"/>
      <c r="O1045" s="155"/>
      <c r="P1045" s="155"/>
      <c r="Q1045" s="155"/>
      <c r="R1045" s="155"/>
      <c r="S1045" s="155"/>
      <c r="T1045" s="155"/>
      <c r="U1045" s="155"/>
      <c r="V1045" s="155"/>
      <c r="W1045" s="155"/>
      <c r="X1045" s="155"/>
      <c r="Y1045" s="155"/>
      <c r="Z1045" s="155"/>
      <c r="AA1045" s="155"/>
    </row>
    <row r="1046" ht="22.5" customHeight="1">
      <c r="A1046" s="139"/>
      <c r="B1046" s="71"/>
      <c r="C1046" s="117"/>
      <c r="D1046" s="25"/>
      <c r="E1046" s="118"/>
      <c r="F1046" s="118"/>
      <c r="G1046" s="138"/>
      <c r="H1046" s="26"/>
      <c r="I1046" s="155"/>
      <c r="J1046" s="200"/>
      <c r="K1046" s="155"/>
      <c r="L1046" s="155"/>
      <c r="M1046" s="155"/>
      <c r="N1046" s="155"/>
      <c r="O1046" s="155"/>
      <c r="P1046" s="155"/>
      <c r="Q1046" s="155"/>
      <c r="R1046" s="155"/>
      <c r="S1046" s="155"/>
      <c r="T1046" s="155"/>
      <c r="U1046" s="155"/>
      <c r="V1046" s="155"/>
      <c r="W1046" s="155"/>
      <c r="X1046" s="155"/>
      <c r="Y1046" s="155"/>
      <c r="Z1046" s="155"/>
      <c r="AA1046" s="155"/>
    </row>
    <row r="1047" ht="22.5" customHeight="1">
      <c r="A1047" s="139"/>
      <c r="B1047" s="71"/>
      <c r="C1047" s="117"/>
      <c r="D1047" s="25"/>
      <c r="E1047" s="118"/>
      <c r="F1047" s="118"/>
      <c r="G1047" s="138"/>
      <c r="H1047" s="26"/>
      <c r="I1047" s="155"/>
      <c r="J1047" s="200"/>
      <c r="K1047" s="155"/>
      <c r="L1047" s="155"/>
      <c r="M1047" s="155"/>
      <c r="N1047" s="155"/>
      <c r="O1047" s="155"/>
      <c r="P1047" s="155"/>
      <c r="Q1047" s="155"/>
      <c r="R1047" s="155"/>
      <c r="S1047" s="155"/>
      <c r="T1047" s="155"/>
      <c r="U1047" s="155"/>
      <c r="V1047" s="155"/>
      <c r="W1047" s="155"/>
      <c r="X1047" s="155"/>
      <c r="Y1047" s="155"/>
      <c r="Z1047" s="155"/>
      <c r="AA1047" s="155"/>
    </row>
    <row r="1048" ht="22.5" customHeight="1">
      <c r="A1048" s="139"/>
      <c r="B1048" s="71"/>
      <c r="C1048" s="117"/>
      <c r="D1048" s="25"/>
      <c r="E1048" s="118"/>
      <c r="F1048" s="118"/>
      <c r="G1048" s="138"/>
      <c r="H1048" s="26"/>
      <c r="I1048" s="155"/>
      <c r="J1048" s="200"/>
      <c r="K1048" s="155"/>
      <c r="L1048" s="155"/>
      <c r="M1048" s="155"/>
      <c r="N1048" s="155"/>
      <c r="O1048" s="155"/>
      <c r="P1048" s="155"/>
      <c r="Q1048" s="155"/>
      <c r="R1048" s="155"/>
      <c r="S1048" s="155"/>
      <c r="T1048" s="155"/>
      <c r="U1048" s="155"/>
      <c r="V1048" s="155"/>
      <c r="W1048" s="155"/>
      <c r="X1048" s="155"/>
      <c r="Y1048" s="155"/>
      <c r="Z1048" s="155"/>
      <c r="AA1048" s="155"/>
    </row>
    <row r="1049" ht="22.5" customHeight="1">
      <c r="A1049" s="139"/>
      <c r="B1049" s="71"/>
      <c r="C1049" s="117"/>
      <c r="D1049" s="25"/>
      <c r="E1049" s="118"/>
      <c r="F1049" s="118"/>
      <c r="G1049" s="138"/>
      <c r="H1049" s="26"/>
      <c r="I1049" s="155"/>
      <c r="J1049" s="200"/>
      <c r="K1049" s="155"/>
      <c r="L1049" s="155"/>
      <c r="M1049" s="155"/>
      <c r="N1049" s="155"/>
      <c r="O1049" s="155"/>
      <c r="P1049" s="155"/>
      <c r="Q1049" s="155"/>
      <c r="R1049" s="155"/>
      <c r="S1049" s="155"/>
      <c r="T1049" s="155"/>
      <c r="U1049" s="155"/>
      <c r="V1049" s="155"/>
      <c r="W1049" s="155"/>
      <c r="X1049" s="155"/>
      <c r="Y1049" s="155"/>
      <c r="Z1049" s="155"/>
      <c r="AA1049" s="155"/>
    </row>
    <row r="1050" ht="22.5" customHeight="1">
      <c r="A1050" s="139"/>
      <c r="B1050" s="71"/>
      <c r="C1050" s="117"/>
      <c r="D1050" s="25"/>
      <c r="E1050" s="118"/>
      <c r="F1050" s="118"/>
      <c r="G1050" s="138"/>
      <c r="H1050" s="26"/>
      <c r="I1050" s="155"/>
      <c r="J1050" s="200"/>
      <c r="K1050" s="155"/>
      <c r="L1050" s="155"/>
      <c r="M1050" s="155"/>
      <c r="N1050" s="155"/>
      <c r="O1050" s="155"/>
      <c r="P1050" s="155"/>
      <c r="Q1050" s="155"/>
      <c r="R1050" s="155"/>
      <c r="S1050" s="155"/>
      <c r="T1050" s="155"/>
      <c r="U1050" s="155"/>
      <c r="V1050" s="155"/>
      <c r="W1050" s="155"/>
      <c r="X1050" s="155"/>
      <c r="Y1050" s="155"/>
      <c r="Z1050" s="155"/>
      <c r="AA1050" s="155"/>
    </row>
  </sheetData>
  <dataValidations>
    <dataValidation type="custom" allowBlank="1" showDropDown="1" sqref="A2:A1050">
      <formula1>OR(NOT(ISERROR(DATEVALUE(A2))), AND(ISNUMBER(A2), LEFT(CELL("format", A2))="D"))</formula1>
    </dataValidation>
    <dataValidation allowBlank="1" showDropDown="1" sqref="H2:H1050"/>
  </dataValidations>
  <hyperlinks>
    <hyperlink r:id="rId1" ref="G3"/>
    <hyperlink r:id="rId2" ref="G4"/>
    <hyperlink r:id="rId3" ref="G5"/>
    <hyperlink r:id="rId4" ref="G7"/>
    <hyperlink r:id="rId5" ref="G11"/>
    <hyperlink r:id="rId6" ref="G12"/>
    <hyperlink r:id="rId7" ref="G13"/>
    <hyperlink r:id="rId8" ref="G14"/>
    <hyperlink r:id="rId9" ref="G15"/>
    <hyperlink r:id="rId10" ref="G16"/>
    <hyperlink r:id="rId11" ref="G17"/>
    <hyperlink r:id="rId12" ref="G18"/>
    <hyperlink r:id="rId13" ref="G19"/>
    <hyperlink r:id="rId14" ref="G21"/>
    <hyperlink r:id="rId15" ref="G22"/>
    <hyperlink r:id="rId16" ref="G23"/>
    <hyperlink r:id="rId17" ref="G24"/>
    <hyperlink r:id="rId18" ref="G25"/>
    <hyperlink r:id="rId19" ref="G26"/>
    <hyperlink r:id="rId20" ref="G27"/>
    <hyperlink r:id="rId21" ref="G28"/>
    <hyperlink r:id="rId22" ref="G29"/>
    <hyperlink r:id="rId23" ref="G33"/>
    <hyperlink r:id="rId24" ref="G34"/>
    <hyperlink r:id="rId25" ref="G35"/>
    <hyperlink r:id="rId26" ref="G37"/>
    <hyperlink r:id="rId27" ref="G38"/>
    <hyperlink r:id="rId28" ref="G44"/>
    <hyperlink r:id="rId29" ref="G45"/>
    <hyperlink r:id="rId30" ref="G46"/>
    <hyperlink r:id="rId31" ref="G47"/>
    <hyperlink r:id="rId32" ref="G48"/>
    <hyperlink r:id="rId33" ref="G49"/>
    <hyperlink r:id="rId34" ref="G50"/>
    <hyperlink r:id="rId35" ref="G51"/>
    <hyperlink r:id="rId36" ref="G57"/>
    <hyperlink r:id="rId37" ref="G58"/>
    <hyperlink r:id="rId38" ref="G59"/>
    <hyperlink r:id="rId39" ref="G60"/>
    <hyperlink r:id="rId40" ref="G61"/>
    <hyperlink r:id="rId41" ref="G62"/>
    <hyperlink r:id="rId42" ref="G63"/>
    <hyperlink r:id="rId43" ref="G64"/>
    <hyperlink r:id="rId44" ref="G65"/>
    <hyperlink r:id="rId45" ref="G66"/>
    <hyperlink r:id="rId46" ref="G67"/>
    <hyperlink r:id="rId47" ref="G68"/>
    <hyperlink r:id="rId48" ref="G69"/>
    <hyperlink r:id="rId49" ref="G70"/>
    <hyperlink r:id="rId50" ref="G71"/>
    <hyperlink r:id="rId51" ref="G72"/>
    <hyperlink r:id="rId52" ref="G73"/>
    <hyperlink r:id="rId53" ref="G74"/>
    <hyperlink r:id="rId54" ref="G75"/>
    <hyperlink r:id="rId55" ref="G76"/>
    <hyperlink r:id="rId56" ref="G77"/>
    <hyperlink r:id="rId57" ref="G78"/>
    <hyperlink r:id="rId58" ref="G79"/>
    <hyperlink r:id="rId59" ref="G80"/>
    <hyperlink r:id="rId60" ref="G81"/>
    <hyperlink r:id="rId61" ref="G82"/>
    <hyperlink r:id="rId62" ref="G83"/>
    <hyperlink r:id="rId63" ref="G84"/>
    <hyperlink r:id="rId64" ref="G85"/>
    <hyperlink r:id="rId65" ref="G86"/>
    <hyperlink r:id="rId66" ref="G87"/>
    <hyperlink r:id="rId67" ref="G88"/>
    <hyperlink r:id="rId68" ref="G89"/>
    <hyperlink r:id="rId69" ref="G90"/>
    <hyperlink r:id="rId70" ref="G91"/>
    <hyperlink r:id="rId71" ref="G92"/>
    <hyperlink r:id="rId72" ref="G93"/>
    <hyperlink r:id="rId73" ref="G94"/>
    <hyperlink r:id="rId74" ref="G95"/>
    <hyperlink r:id="rId75" ref="G96"/>
  </hyperlinks>
  <drawing r:id="rId76"/>
  <tableParts count="1">
    <tablePart r:id="rId78"/>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3.5"/>
    <col customWidth="1" min="3" max="4" width="11.0"/>
    <col customWidth="1" min="5" max="5" width="35.0"/>
    <col customWidth="1" min="6" max="6" width="20.63"/>
    <col customWidth="1" min="7" max="7" width="56.13"/>
    <col customWidth="1" min="8" max="8" width="25.13"/>
  </cols>
  <sheetData>
    <row r="1" ht="66.0" customHeight="1">
      <c r="A1" s="3" t="s">
        <v>1433</v>
      </c>
      <c r="B1" s="27" t="s">
        <v>1434</v>
      </c>
      <c r="C1" s="27" t="s">
        <v>927</v>
      </c>
      <c r="D1" s="27" t="s">
        <v>30</v>
      </c>
      <c r="E1" s="27" t="s">
        <v>32</v>
      </c>
      <c r="F1" s="27" t="s">
        <v>33</v>
      </c>
      <c r="G1" s="27" t="s">
        <v>34</v>
      </c>
      <c r="H1" s="3" t="s">
        <v>8</v>
      </c>
      <c r="J1" s="140" t="s">
        <v>1288</v>
      </c>
    </row>
    <row r="2" ht="22.5" customHeight="1">
      <c r="A2" s="5">
        <v>45856.0</v>
      </c>
      <c r="B2" s="28">
        <v>4.0</v>
      </c>
      <c r="C2" s="28">
        <v>4.0</v>
      </c>
      <c r="D2" s="28"/>
      <c r="E2" s="29"/>
      <c r="F2" s="29"/>
      <c r="G2" s="8"/>
      <c r="H2" s="7"/>
    </row>
    <row r="3" ht="96.75" customHeight="1">
      <c r="A3" s="5">
        <v>45859.0</v>
      </c>
      <c r="B3" s="28">
        <v>0.0</v>
      </c>
      <c r="C3" s="28" t="s">
        <v>1435</v>
      </c>
      <c r="D3" s="169"/>
      <c r="E3" s="217" t="s">
        <v>1436</v>
      </c>
      <c r="F3" s="217" t="s">
        <v>1437</v>
      </c>
      <c r="G3" s="8"/>
      <c r="H3" s="7"/>
    </row>
    <row r="4" ht="111.0" customHeight="1">
      <c r="A4" s="5">
        <v>45860.0</v>
      </c>
      <c r="B4" s="28">
        <v>2.0</v>
      </c>
      <c r="C4" s="28">
        <v>6.0</v>
      </c>
      <c r="D4" s="169"/>
      <c r="E4" s="29" t="s">
        <v>1438</v>
      </c>
      <c r="F4" s="29" t="s">
        <v>1439</v>
      </c>
      <c r="G4" s="8"/>
      <c r="H4" s="7"/>
    </row>
    <row r="5" ht="60.75" customHeight="1">
      <c r="A5" s="5">
        <v>45861.0</v>
      </c>
      <c r="B5" s="28" t="s">
        <v>1440</v>
      </c>
      <c r="C5" s="28" t="s">
        <v>1441</v>
      </c>
      <c r="D5" s="169"/>
      <c r="E5" s="29" t="s">
        <v>1442</v>
      </c>
      <c r="F5" s="29" t="s">
        <v>1443</v>
      </c>
      <c r="G5" s="8"/>
      <c r="H5" s="7"/>
    </row>
    <row r="6" ht="66.0" customHeight="1">
      <c r="A6" s="5">
        <v>45862.0</v>
      </c>
      <c r="B6" s="28" t="s">
        <v>1444</v>
      </c>
      <c r="C6" s="28" t="s">
        <v>1445</v>
      </c>
      <c r="D6" s="169"/>
      <c r="E6" s="29" t="s">
        <v>1442</v>
      </c>
      <c r="F6" s="29" t="s">
        <v>1443</v>
      </c>
      <c r="G6" s="8"/>
      <c r="H6" s="13"/>
    </row>
    <row r="7" ht="69.75" customHeight="1">
      <c r="A7" s="5">
        <v>45863.0</v>
      </c>
      <c r="B7" s="28" t="s">
        <v>1446</v>
      </c>
      <c r="C7" s="28" t="s">
        <v>1447</v>
      </c>
      <c r="D7" s="42"/>
      <c r="E7" s="29" t="s">
        <v>1442</v>
      </c>
      <c r="F7" s="29" t="s">
        <v>1448</v>
      </c>
      <c r="G7" s="8"/>
      <c r="H7" s="13"/>
    </row>
    <row r="8" ht="100.5" customHeight="1">
      <c r="A8" s="5">
        <v>45866.0</v>
      </c>
      <c r="B8" s="33">
        <v>4.0</v>
      </c>
      <c r="C8" s="28">
        <v>4.0</v>
      </c>
      <c r="D8" s="42"/>
      <c r="E8" s="29" t="s">
        <v>1449</v>
      </c>
      <c r="F8" s="29" t="s">
        <v>1450</v>
      </c>
      <c r="G8" s="8"/>
      <c r="H8" s="13"/>
      <c r="J8" s="140" t="s">
        <v>1451</v>
      </c>
    </row>
    <row r="9" ht="22.5" customHeight="1">
      <c r="A9" s="5"/>
      <c r="B9" s="33"/>
      <c r="C9" s="28"/>
      <c r="D9" s="42"/>
      <c r="E9" s="29"/>
      <c r="F9" s="29"/>
      <c r="G9" s="8"/>
      <c r="H9" s="13"/>
      <c r="J9" s="140" t="s">
        <v>1452</v>
      </c>
    </row>
    <row r="10" ht="22.5" customHeight="1">
      <c r="A10" s="5">
        <v>45867.0</v>
      </c>
      <c r="B10" s="33">
        <v>4.0</v>
      </c>
      <c r="C10" s="28">
        <v>4.0</v>
      </c>
      <c r="D10" s="42"/>
      <c r="E10" s="29" t="s">
        <v>1453</v>
      </c>
      <c r="F10" s="29" t="s">
        <v>1454</v>
      </c>
      <c r="G10" s="8"/>
      <c r="H10" s="13"/>
    </row>
    <row r="11" ht="22.5" customHeight="1">
      <c r="A11" s="5">
        <v>45868.0</v>
      </c>
      <c r="B11" s="33">
        <v>4.0</v>
      </c>
      <c r="C11" s="28">
        <v>4.0</v>
      </c>
      <c r="D11" s="33"/>
      <c r="E11" s="29" t="s">
        <v>1455</v>
      </c>
      <c r="F11" s="29" t="s">
        <v>1454</v>
      </c>
      <c r="G11" s="8"/>
      <c r="H11" s="13"/>
    </row>
    <row r="12" ht="22.5" customHeight="1">
      <c r="A12" s="5">
        <v>45869.0</v>
      </c>
      <c r="B12" s="33" t="s">
        <v>1456</v>
      </c>
      <c r="C12" s="28" t="s">
        <v>1457</v>
      </c>
      <c r="D12" s="33"/>
      <c r="E12" s="29" t="s">
        <v>1458</v>
      </c>
      <c r="F12" s="29" t="s">
        <v>1459</v>
      </c>
      <c r="G12" s="8"/>
      <c r="H12" s="7"/>
    </row>
    <row r="13" ht="22.5" customHeight="1">
      <c r="A13" s="5">
        <v>45870.0</v>
      </c>
      <c r="B13" s="33" t="s">
        <v>1460</v>
      </c>
      <c r="C13" s="28" t="s">
        <v>1461</v>
      </c>
      <c r="D13" s="33"/>
      <c r="E13" s="29" t="s">
        <v>1462</v>
      </c>
      <c r="F13" s="29" t="s">
        <v>1463</v>
      </c>
      <c r="G13" s="8"/>
      <c r="H13" s="7"/>
    </row>
    <row r="14" ht="22.5" customHeight="1">
      <c r="A14" s="5">
        <v>45873.0</v>
      </c>
      <c r="B14" s="33" t="s">
        <v>1464</v>
      </c>
      <c r="C14" s="28" t="s">
        <v>1465</v>
      </c>
      <c r="D14" s="33"/>
      <c r="E14" s="29" t="s">
        <v>1466</v>
      </c>
      <c r="F14" s="29" t="s">
        <v>1467</v>
      </c>
      <c r="G14" s="8"/>
      <c r="H14" s="7"/>
    </row>
    <row r="15" ht="22.5" customHeight="1">
      <c r="A15" s="5">
        <v>45874.0</v>
      </c>
      <c r="B15" s="33">
        <v>8.0</v>
      </c>
      <c r="C15" s="42">
        <v>0.0</v>
      </c>
      <c r="D15" s="33"/>
      <c r="E15" s="29" t="s">
        <v>1468</v>
      </c>
      <c r="F15" s="29" t="s">
        <v>1469</v>
      </c>
      <c r="G15" s="8"/>
      <c r="H15" s="7"/>
    </row>
    <row r="16" ht="22.5" customHeight="1">
      <c r="A16" s="5">
        <v>45875.0</v>
      </c>
      <c r="B16" s="33">
        <v>8.0</v>
      </c>
      <c r="C16" s="42">
        <v>0.0</v>
      </c>
      <c r="D16" s="33"/>
      <c r="E16" s="29" t="s">
        <v>1468</v>
      </c>
      <c r="F16" s="29" t="s">
        <v>1470</v>
      </c>
      <c r="G16" s="8"/>
      <c r="H16" s="7"/>
    </row>
    <row r="17" ht="22.5" customHeight="1">
      <c r="A17" s="5">
        <v>45876.0</v>
      </c>
      <c r="B17" s="33">
        <v>4.0</v>
      </c>
      <c r="C17" s="33">
        <v>4.0</v>
      </c>
      <c r="D17" s="73"/>
      <c r="E17" s="49" t="s">
        <v>1471</v>
      </c>
      <c r="F17" s="49" t="s">
        <v>1472</v>
      </c>
      <c r="G17" s="45"/>
      <c r="H17" s="13"/>
    </row>
    <row r="18" ht="22.5" customHeight="1">
      <c r="A18" s="5">
        <v>45877.0</v>
      </c>
      <c r="B18" s="33">
        <v>4.0</v>
      </c>
      <c r="C18" s="33">
        <v>4.0</v>
      </c>
      <c r="D18" s="73"/>
      <c r="E18" s="49" t="s">
        <v>1473</v>
      </c>
      <c r="F18" s="49" t="s">
        <v>1469</v>
      </c>
      <c r="G18" s="45"/>
      <c r="H18" s="13"/>
    </row>
    <row r="19" ht="22.5" customHeight="1">
      <c r="A19" s="5">
        <v>45880.0</v>
      </c>
      <c r="B19" s="33" t="s">
        <v>1474</v>
      </c>
      <c r="C19" s="33" t="s">
        <v>1475</v>
      </c>
      <c r="D19" s="73"/>
      <c r="E19" s="49" t="s">
        <v>86</v>
      </c>
      <c r="F19" s="49"/>
      <c r="G19" s="45"/>
      <c r="H19" s="13"/>
    </row>
    <row r="20" ht="22.5" customHeight="1">
      <c r="A20" s="5">
        <v>45881.0</v>
      </c>
      <c r="B20" s="33">
        <v>4.0</v>
      </c>
      <c r="C20" s="33">
        <v>4.0</v>
      </c>
      <c r="D20" s="73"/>
      <c r="E20" s="49" t="s">
        <v>1473</v>
      </c>
      <c r="F20" s="49" t="s">
        <v>1476</v>
      </c>
      <c r="G20" s="45"/>
      <c r="H20" s="13"/>
    </row>
    <row r="21" ht="22.5" customHeight="1">
      <c r="A21" s="5">
        <v>45882.0</v>
      </c>
      <c r="B21" s="33">
        <v>4.0</v>
      </c>
      <c r="C21" s="33">
        <v>4.0</v>
      </c>
      <c r="D21" s="73"/>
      <c r="E21" s="49" t="s">
        <v>1477</v>
      </c>
      <c r="F21" s="49" t="s">
        <v>1478</v>
      </c>
      <c r="G21" s="45"/>
      <c r="H21" s="13"/>
    </row>
    <row r="22" ht="22.5" customHeight="1">
      <c r="A22" s="5">
        <v>45883.0</v>
      </c>
      <c r="B22" s="33" t="s">
        <v>1479</v>
      </c>
      <c r="C22" s="33" t="s">
        <v>1480</v>
      </c>
      <c r="D22" s="73"/>
      <c r="E22" s="49" t="s">
        <v>1481</v>
      </c>
      <c r="F22" s="49" t="s">
        <v>1482</v>
      </c>
      <c r="G22" s="45"/>
      <c r="H22" s="13"/>
    </row>
    <row r="23" ht="22.5" customHeight="1">
      <c r="A23" s="5">
        <v>45884.0</v>
      </c>
      <c r="B23" s="33" t="s">
        <v>1483</v>
      </c>
      <c r="C23" s="33" t="s">
        <v>1484</v>
      </c>
      <c r="D23" s="33"/>
      <c r="E23" s="37" t="s">
        <v>1485</v>
      </c>
      <c r="F23" s="37" t="s">
        <v>1486</v>
      </c>
      <c r="G23" s="137"/>
      <c r="H23" s="13"/>
    </row>
    <row r="24" ht="22.5" customHeight="1">
      <c r="A24" s="5">
        <v>45887.0</v>
      </c>
      <c r="B24" s="33">
        <v>0.0</v>
      </c>
      <c r="C24" s="33">
        <v>0.0</v>
      </c>
      <c r="D24" s="67"/>
      <c r="E24" s="55" t="s">
        <v>86</v>
      </c>
      <c r="F24" s="51"/>
      <c r="G24" s="22"/>
      <c r="H24" s="19"/>
    </row>
    <row r="25" ht="22.5" customHeight="1">
      <c r="A25" s="5">
        <v>45888.0</v>
      </c>
      <c r="B25" s="33">
        <v>0.0</v>
      </c>
      <c r="C25" s="33">
        <v>8.0</v>
      </c>
      <c r="D25" s="67"/>
      <c r="E25" s="55" t="s">
        <v>1487</v>
      </c>
      <c r="F25" s="51"/>
      <c r="G25" s="22"/>
      <c r="H25" s="19"/>
    </row>
    <row r="26" ht="22.5" customHeight="1">
      <c r="A26" s="5">
        <v>45889.0</v>
      </c>
      <c r="B26" s="33">
        <v>0.0</v>
      </c>
      <c r="C26" s="33">
        <v>8.0</v>
      </c>
      <c r="D26" s="67"/>
      <c r="E26" s="55" t="s">
        <v>1487</v>
      </c>
      <c r="F26" s="51"/>
      <c r="G26" s="22"/>
      <c r="H26" s="19"/>
    </row>
    <row r="27" ht="22.5" customHeight="1">
      <c r="A27" s="5">
        <v>45890.0</v>
      </c>
      <c r="B27" s="33">
        <v>0.0</v>
      </c>
      <c r="C27" s="33">
        <v>8.0</v>
      </c>
      <c r="D27" s="67"/>
      <c r="E27" s="55" t="s">
        <v>1487</v>
      </c>
      <c r="F27" s="51"/>
      <c r="G27" s="22"/>
      <c r="H27" s="19"/>
    </row>
    <row r="28" ht="22.5" customHeight="1">
      <c r="A28" s="5">
        <v>45891.0</v>
      </c>
      <c r="B28" s="33">
        <v>0.0</v>
      </c>
      <c r="C28" s="33">
        <v>8.0</v>
      </c>
      <c r="D28" s="67"/>
      <c r="E28" s="55" t="s">
        <v>1487</v>
      </c>
      <c r="F28" s="51"/>
      <c r="G28" s="22"/>
      <c r="H28" s="19"/>
    </row>
    <row r="29" ht="22.5" customHeight="1">
      <c r="A29" s="5">
        <v>45894.0</v>
      </c>
      <c r="B29" s="33" t="s">
        <v>1488</v>
      </c>
      <c r="C29" s="33" t="s">
        <v>1489</v>
      </c>
      <c r="D29" s="67"/>
      <c r="E29" s="55" t="s">
        <v>1490</v>
      </c>
      <c r="F29" s="51"/>
      <c r="G29" s="22"/>
      <c r="H29" s="19"/>
    </row>
    <row r="30" ht="22.5" customHeight="1">
      <c r="A30" s="5">
        <v>45895.0</v>
      </c>
      <c r="B30" s="33" t="s">
        <v>1491</v>
      </c>
      <c r="C30" s="33" t="s">
        <v>1492</v>
      </c>
      <c r="D30" s="67"/>
      <c r="E30" s="55" t="s">
        <v>1490</v>
      </c>
      <c r="F30" s="51"/>
      <c r="G30" s="22"/>
      <c r="H30" s="19"/>
    </row>
    <row r="31" ht="22.5" customHeight="1">
      <c r="A31" s="5">
        <v>45896.0</v>
      </c>
      <c r="B31" s="33">
        <v>4.0</v>
      </c>
      <c r="C31" s="33">
        <v>4.0</v>
      </c>
      <c r="D31" s="67"/>
      <c r="E31" s="55" t="s">
        <v>1493</v>
      </c>
      <c r="F31" s="51"/>
      <c r="G31" s="22"/>
      <c r="H31" s="19"/>
    </row>
    <row r="32" ht="22.5" customHeight="1">
      <c r="A32" s="5">
        <v>45897.0</v>
      </c>
      <c r="B32" s="61">
        <v>4.0</v>
      </c>
      <c r="C32" s="61">
        <v>4.0</v>
      </c>
      <c r="D32" s="67"/>
      <c r="E32" s="55" t="s">
        <v>1077</v>
      </c>
      <c r="F32" s="51"/>
      <c r="G32" s="22"/>
      <c r="H32" s="19"/>
    </row>
    <row r="33" ht="22.5" customHeight="1">
      <c r="A33" s="5">
        <v>45898.0</v>
      </c>
      <c r="B33" s="61">
        <v>4.0</v>
      </c>
      <c r="C33" s="61">
        <v>4.0</v>
      </c>
      <c r="D33" s="67"/>
      <c r="E33" s="55" t="s">
        <v>1077</v>
      </c>
      <c r="F33" s="51"/>
      <c r="G33" s="22"/>
      <c r="H33" s="19"/>
    </row>
    <row r="34" ht="22.5" customHeight="1">
      <c r="A34" s="5">
        <v>45901.0</v>
      </c>
      <c r="B34" s="67"/>
      <c r="C34" s="33">
        <v>8.0</v>
      </c>
      <c r="D34" s="67"/>
      <c r="E34" s="55" t="s">
        <v>1494</v>
      </c>
      <c r="F34" s="55" t="s">
        <v>39</v>
      </c>
      <c r="G34" s="22"/>
      <c r="H34" s="19"/>
    </row>
    <row r="35" ht="22.5" customHeight="1">
      <c r="A35" s="5">
        <v>45902.0</v>
      </c>
      <c r="B35" s="67"/>
      <c r="C35" s="63">
        <v>8.0</v>
      </c>
      <c r="D35" s="67"/>
      <c r="E35" s="55" t="s">
        <v>1494</v>
      </c>
      <c r="F35" s="55" t="s">
        <v>39</v>
      </c>
      <c r="G35" s="22"/>
      <c r="H35" s="19"/>
    </row>
    <row r="36" ht="22.5" customHeight="1">
      <c r="A36" s="5">
        <v>45903.0</v>
      </c>
      <c r="B36" s="67"/>
      <c r="C36" s="63">
        <v>8.0</v>
      </c>
      <c r="D36" s="67"/>
      <c r="E36" s="55" t="s">
        <v>1494</v>
      </c>
      <c r="F36" s="55" t="s">
        <v>39</v>
      </c>
      <c r="G36" s="22"/>
      <c r="H36" s="19"/>
    </row>
    <row r="37" ht="22.5" customHeight="1">
      <c r="A37" s="5">
        <v>45904.0</v>
      </c>
      <c r="B37" s="63">
        <v>2.0</v>
      </c>
      <c r="C37" s="63">
        <v>6.0</v>
      </c>
      <c r="D37" s="67"/>
      <c r="E37" s="55" t="s">
        <v>1495</v>
      </c>
      <c r="F37" s="55" t="s">
        <v>1443</v>
      </c>
      <c r="G37" s="22"/>
      <c r="H37" s="19"/>
    </row>
    <row r="38" ht="22.5" customHeight="1">
      <c r="A38" s="5">
        <v>45905.0</v>
      </c>
      <c r="B38" s="67"/>
      <c r="C38" s="67"/>
      <c r="D38" s="67"/>
      <c r="E38" s="55" t="s">
        <v>19</v>
      </c>
      <c r="F38" s="51"/>
      <c r="G38" s="22"/>
      <c r="H38" s="19"/>
    </row>
    <row r="39" ht="22.5" customHeight="1">
      <c r="A39" s="218">
        <v>45908.0</v>
      </c>
      <c r="B39" s="63">
        <v>0.0</v>
      </c>
      <c r="C39" s="63">
        <v>8.0</v>
      </c>
      <c r="D39" s="67"/>
      <c r="E39" s="51"/>
      <c r="F39" s="55" t="s">
        <v>1443</v>
      </c>
      <c r="G39" s="22"/>
      <c r="H39" s="19"/>
    </row>
    <row r="40" ht="22.5" customHeight="1">
      <c r="A40" s="218">
        <v>45909.0</v>
      </c>
      <c r="B40" s="67"/>
      <c r="C40" s="67"/>
      <c r="D40" s="67"/>
      <c r="E40" s="55" t="s">
        <v>1496</v>
      </c>
      <c r="F40" s="51"/>
      <c r="G40" s="22"/>
      <c r="H40" s="19"/>
    </row>
    <row r="41" ht="22.5" customHeight="1">
      <c r="A41" s="218">
        <v>45910.0</v>
      </c>
      <c r="B41" s="67"/>
      <c r="C41" s="67"/>
      <c r="D41" s="67"/>
      <c r="E41" s="55" t="s">
        <v>1496</v>
      </c>
      <c r="F41" s="51"/>
      <c r="G41" s="22"/>
      <c r="H41" s="19"/>
    </row>
    <row r="42" ht="22.5" customHeight="1">
      <c r="A42" s="218">
        <v>45911.0</v>
      </c>
      <c r="B42" s="67"/>
      <c r="C42" s="67"/>
      <c r="D42" s="67"/>
      <c r="E42" s="55" t="s">
        <v>1496</v>
      </c>
      <c r="F42" s="51"/>
      <c r="G42" s="22"/>
      <c r="H42" s="19"/>
    </row>
    <row r="43" ht="22.5" customHeight="1">
      <c r="A43" s="218">
        <v>45912.0</v>
      </c>
      <c r="B43" s="63">
        <v>0.0</v>
      </c>
      <c r="C43" s="63">
        <v>8.0</v>
      </c>
      <c r="D43" s="67"/>
      <c r="E43" s="55" t="s">
        <v>1494</v>
      </c>
      <c r="F43" s="55" t="s">
        <v>1443</v>
      </c>
      <c r="G43" s="22"/>
      <c r="H43" s="19"/>
    </row>
    <row r="44" ht="22.5" customHeight="1">
      <c r="A44" s="219">
        <v>45915.0</v>
      </c>
      <c r="B44" s="63">
        <v>0.0</v>
      </c>
      <c r="C44" s="63">
        <v>8.0</v>
      </c>
      <c r="D44" s="67"/>
      <c r="E44" s="55" t="s">
        <v>1494</v>
      </c>
      <c r="F44" s="55" t="s">
        <v>1443</v>
      </c>
      <c r="G44" s="22"/>
      <c r="H44" s="19"/>
    </row>
    <row r="45" ht="22.5" customHeight="1">
      <c r="A45" s="219">
        <v>45916.0</v>
      </c>
      <c r="B45" s="63" t="s">
        <v>1497</v>
      </c>
      <c r="C45" s="63" t="s">
        <v>1498</v>
      </c>
      <c r="D45" s="67"/>
      <c r="E45" s="55" t="s">
        <v>1499</v>
      </c>
      <c r="F45" s="55" t="s">
        <v>1469</v>
      </c>
      <c r="G45" s="22"/>
      <c r="H45" s="19"/>
    </row>
    <row r="46" ht="22.5" customHeight="1">
      <c r="A46" s="220">
        <v>45917.0</v>
      </c>
      <c r="B46" s="221">
        <v>0.0</v>
      </c>
      <c r="C46" s="221">
        <v>0.0</v>
      </c>
      <c r="D46" s="222"/>
      <c r="E46" s="223" t="s">
        <v>1500</v>
      </c>
      <c r="F46" s="223"/>
      <c r="G46" s="224"/>
      <c r="H46" s="225"/>
    </row>
    <row r="47" ht="22.5" customHeight="1">
      <c r="A47" s="219">
        <v>45918.0</v>
      </c>
      <c r="B47" s="63" t="s">
        <v>1497</v>
      </c>
      <c r="C47" s="63" t="s">
        <v>1498</v>
      </c>
      <c r="D47" s="67"/>
      <c r="E47" s="55" t="s">
        <v>1499</v>
      </c>
      <c r="F47" s="55" t="s">
        <v>1501</v>
      </c>
      <c r="G47" s="22"/>
      <c r="H47" s="19"/>
    </row>
    <row r="48" ht="22.5" customHeight="1">
      <c r="A48" s="219">
        <v>45919.0</v>
      </c>
      <c r="B48" s="63" t="s">
        <v>1498</v>
      </c>
      <c r="C48" s="63" t="s">
        <v>1497</v>
      </c>
      <c r="D48" s="67"/>
      <c r="E48" s="55" t="s">
        <v>1502</v>
      </c>
      <c r="F48" s="55" t="s">
        <v>1443</v>
      </c>
      <c r="G48" s="22"/>
      <c r="H48" s="19"/>
    </row>
    <row r="49" ht="22.5" customHeight="1">
      <c r="A49" s="219">
        <v>45921.0</v>
      </c>
      <c r="B49" s="63" t="s">
        <v>1498</v>
      </c>
      <c r="C49" s="63" t="s">
        <v>1497</v>
      </c>
      <c r="D49" s="67"/>
      <c r="E49" s="55" t="s">
        <v>1502</v>
      </c>
      <c r="F49" s="55" t="s">
        <v>1443</v>
      </c>
      <c r="G49" s="22"/>
      <c r="H49" s="19"/>
    </row>
    <row r="50" ht="22.5" customHeight="1">
      <c r="A50" s="219">
        <v>45922.0</v>
      </c>
      <c r="B50" s="63" t="s">
        <v>1498</v>
      </c>
      <c r="C50" s="63" t="s">
        <v>1497</v>
      </c>
      <c r="D50" s="67"/>
      <c r="E50" s="55" t="s">
        <v>1503</v>
      </c>
      <c r="F50" s="55" t="s">
        <v>1504</v>
      </c>
      <c r="G50" s="22"/>
      <c r="H50" s="19"/>
    </row>
    <row r="51" ht="22.5" customHeight="1">
      <c r="A51" s="219">
        <v>45923.0</v>
      </c>
      <c r="B51" s="63">
        <v>4.0</v>
      </c>
      <c r="C51" s="63">
        <v>4.0</v>
      </c>
      <c r="D51" s="67"/>
      <c r="E51" s="55" t="s">
        <v>1505</v>
      </c>
      <c r="F51" s="55" t="s">
        <v>1506</v>
      </c>
      <c r="G51" s="22"/>
      <c r="H51" s="19"/>
    </row>
    <row r="52" ht="22.5" customHeight="1">
      <c r="A52" s="219">
        <v>45924.0</v>
      </c>
      <c r="B52" s="63">
        <v>0.0</v>
      </c>
      <c r="C52" s="63">
        <v>8.0</v>
      </c>
      <c r="D52" s="67"/>
      <c r="E52" s="55" t="s">
        <v>1507</v>
      </c>
      <c r="F52" s="55" t="s">
        <v>1443</v>
      </c>
      <c r="G52" s="22"/>
      <c r="H52" s="19"/>
    </row>
    <row r="53" ht="22.5" customHeight="1">
      <c r="A53" s="219">
        <v>45925.0</v>
      </c>
      <c r="B53" s="63">
        <v>0.0</v>
      </c>
      <c r="C53" s="63">
        <v>8.0</v>
      </c>
      <c r="D53" s="67"/>
      <c r="E53" s="55" t="s">
        <v>1507</v>
      </c>
      <c r="F53" s="55" t="s">
        <v>1443</v>
      </c>
      <c r="G53" s="22"/>
      <c r="H53" s="19"/>
    </row>
    <row r="54" ht="22.5" customHeight="1">
      <c r="A54" s="219">
        <v>45926.0</v>
      </c>
      <c r="B54" s="63">
        <v>0.0</v>
      </c>
      <c r="C54" s="63">
        <v>8.0</v>
      </c>
      <c r="D54" s="67"/>
      <c r="E54" s="55" t="s">
        <v>1507</v>
      </c>
      <c r="F54" s="55" t="s">
        <v>1443</v>
      </c>
      <c r="G54" s="22"/>
      <c r="H54" s="19"/>
    </row>
    <row r="55" ht="22.5" customHeight="1">
      <c r="A55" s="219">
        <v>45929.0</v>
      </c>
      <c r="B55" s="63">
        <v>8.0</v>
      </c>
      <c r="C55" s="63">
        <v>0.0</v>
      </c>
      <c r="D55" s="67"/>
      <c r="E55" s="55" t="s">
        <v>1508</v>
      </c>
      <c r="F55" s="55" t="s">
        <v>1509</v>
      </c>
      <c r="G55" s="22"/>
      <c r="H55" s="19"/>
    </row>
    <row r="56" ht="22.5" customHeight="1">
      <c r="A56" s="219">
        <v>45930.0</v>
      </c>
      <c r="B56" s="63">
        <v>8.0</v>
      </c>
      <c r="C56" s="63">
        <v>0.0</v>
      </c>
      <c r="D56" s="67"/>
      <c r="E56" s="55" t="s">
        <v>1508</v>
      </c>
      <c r="F56" s="55" t="s">
        <v>1509</v>
      </c>
      <c r="G56" s="22"/>
      <c r="H56" s="19"/>
    </row>
    <row r="57" ht="22.5" customHeight="1">
      <c r="A57" s="219">
        <v>45931.0</v>
      </c>
      <c r="B57" s="63">
        <v>6.0</v>
      </c>
      <c r="C57" s="63">
        <v>2.0</v>
      </c>
      <c r="D57" s="67"/>
      <c r="E57" s="55" t="s">
        <v>1510</v>
      </c>
      <c r="F57" s="55" t="s">
        <v>1511</v>
      </c>
      <c r="G57" s="22"/>
      <c r="H57" s="19"/>
    </row>
    <row r="58" ht="22.5" customHeight="1">
      <c r="A58" s="219">
        <v>45932.0</v>
      </c>
      <c r="B58" s="63">
        <v>0.0</v>
      </c>
      <c r="C58" s="63">
        <v>8.0</v>
      </c>
      <c r="D58" s="67"/>
      <c r="E58" s="55" t="s">
        <v>1512</v>
      </c>
      <c r="F58" s="55" t="s">
        <v>1513</v>
      </c>
      <c r="G58" s="22"/>
      <c r="H58" s="19"/>
    </row>
    <row r="59" ht="22.5" customHeight="1">
      <c r="A59" s="219">
        <v>45933.0</v>
      </c>
      <c r="B59" s="63">
        <v>8.0</v>
      </c>
      <c r="C59" s="63">
        <v>0.0</v>
      </c>
      <c r="D59" s="67"/>
      <c r="E59" s="55" t="s">
        <v>1514</v>
      </c>
      <c r="F59" s="55" t="s">
        <v>1463</v>
      </c>
      <c r="G59" s="22"/>
      <c r="H59" s="19"/>
    </row>
    <row r="60" ht="22.5" customHeight="1">
      <c r="A60" s="220">
        <v>45936.0</v>
      </c>
      <c r="B60" s="221">
        <v>0.0</v>
      </c>
      <c r="C60" s="221">
        <v>0.0</v>
      </c>
      <c r="D60" s="222"/>
      <c r="E60" s="223" t="s">
        <v>1500</v>
      </c>
      <c r="F60" s="226"/>
      <c r="G60" s="224"/>
      <c r="H60" s="225"/>
    </row>
    <row r="61" ht="22.5" customHeight="1">
      <c r="A61" s="219">
        <v>45937.0</v>
      </c>
      <c r="B61" s="63">
        <v>0.0</v>
      </c>
      <c r="C61" s="63">
        <v>8.0</v>
      </c>
      <c r="D61" s="67"/>
      <c r="E61" s="55" t="s">
        <v>1515</v>
      </c>
      <c r="F61" s="55" t="s">
        <v>1516</v>
      </c>
      <c r="G61" s="22"/>
      <c r="H61" s="19"/>
    </row>
    <row r="62" ht="22.5" customHeight="1">
      <c r="A62" s="219">
        <v>45938.0</v>
      </c>
      <c r="B62" s="63">
        <v>0.0</v>
      </c>
      <c r="C62" s="63">
        <v>8.0</v>
      </c>
      <c r="D62" s="67"/>
      <c r="E62" s="55" t="s">
        <v>1517</v>
      </c>
      <c r="F62" s="55" t="s">
        <v>1518</v>
      </c>
      <c r="G62" s="22"/>
      <c r="H62" s="19"/>
    </row>
    <row r="63" ht="22.5" customHeight="1">
      <c r="A63" s="219">
        <v>45939.0</v>
      </c>
      <c r="B63" s="63">
        <v>0.0</v>
      </c>
      <c r="C63" s="63">
        <v>8.0</v>
      </c>
      <c r="D63" s="67"/>
      <c r="E63" s="55" t="s">
        <v>1517</v>
      </c>
      <c r="F63" s="55" t="s">
        <v>1519</v>
      </c>
      <c r="G63" s="22"/>
      <c r="H63" s="19"/>
    </row>
    <row r="64" ht="22.5" customHeight="1">
      <c r="A64" s="219">
        <v>45940.0</v>
      </c>
      <c r="B64" s="63">
        <v>8.0</v>
      </c>
      <c r="C64" s="63">
        <v>0.0</v>
      </c>
      <c r="D64" s="67"/>
      <c r="E64" s="55" t="s">
        <v>1520</v>
      </c>
      <c r="F64" s="55" t="s">
        <v>1521</v>
      </c>
      <c r="G64" s="22"/>
      <c r="H64" s="19"/>
    </row>
    <row r="65" ht="22.5" customHeight="1">
      <c r="A65" s="219">
        <v>45943.0</v>
      </c>
      <c r="B65" s="63">
        <v>8.0</v>
      </c>
      <c r="C65" s="63">
        <v>0.0</v>
      </c>
      <c r="D65" s="67"/>
      <c r="E65" s="55" t="s">
        <v>1522</v>
      </c>
      <c r="F65" s="55" t="s">
        <v>1523</v>
      </c>
      <c r="G65" s="22"/>
      <c r="H65" s="19"/>
    </row>
    <row r="66" ht="22.5" customHeight="1">
      <c r="A66" s="219">
        <v>45944.0</v>
      </c>
      <c r="B66" s="63">
        <v>6.0</v>
      </c>
      <c r="C66" s="63">
        <v>2.0</v>
      </c>
      <c r="D66" s="67"/>
      <c r="E66" s="55" t="s">
        <v>1524</v>
      </c>
      <c r="F66" s="55" t="s">
        <v>1525</v>
      </c>
      <c r="G66" s="22"/>
      <c r="H66" s="19"/>
    </row>
    <row r="67" ht="22.5" customHeight="1">
      <c r="A67" s="219">
        <v>45945.0</v>
      </c>
      <c r="B67" s="63">
        <v>6.0</v>
      </c>
      <c r="C67" s="63">
        <v>2.0</v>
      </c>
      <c r="D67" s="67"/>
      <c r="E67" s="55" t="s">
        <v>1524</v>
      </c>
      <c r="F67" s="55" t="s">
        <v>1526</v>
      </c>
      <c r="G67" s="22"/>
      <c r="H67" s="19"/>
    </row>
    <row r="68" ht="22.5" customHeight="1">
      <c r="A68" s="219">
        <v>45946.0</v>
      </c>
      <c r="B68" s="63">
        <v>6.0</v>
      </c>
      <c r="C68" s="63">
        <v>2.0</v>
      </c>
      <c r="D68" s="67"/>
      <c r="E68" s="55" t="s">
        <v>1527</v>
      </c>
      <c r="F68" s="55" t="s">
        <v>1528</v>
      </c>
      <c r="G68" s="22"/>
      <c r="H68" s="19"/>
    </row>
    <row r="69" ht="22.5" customHeight="1">
      <c r="A69" s="219">
        <v>45947.0</v>
      </c>
      <c r="B69" s="63">
        <v>4.0</v>
      </c>
      <c r="C69" s="63">
        <v>4.0</v>
      </c>
      <c r="D69" s="67"/>
      <c r="E69" s="55" t="s">
        <v>1529</v>
      </c>
      <c r="F69" s="55" t="s">
        <v>1530</v>
      </c>
      <c r="G69" s="22"/>
      <c r="H69" s="19"/>
    </row>
    <row r="70" ht="22.5" customHeight="1">
      <c r="A70" s="219">
        <v>45950.0</v>
      </c>
      <c r="B70" s="63">
        <v>8.0</v>
      </c>
      <c r="C70" s="63">
        <v>0.0</v>
      </c>
      <c r="D70" s="67"/>
      <c r="E70" s="55" t="s">
        <v>1531</v>
      </c>
      <c r="F70" s="55" t="s">
        <v>1469</v>
      </c>
      <c r="G70" s="22"/>
      <c r="H70" s="19"/>
    </row>
    <row r="71" ht="22.5" customHeight="1">
      <c r="A71" s="219">
        <v>45951.0</v>
      </c>
      <c r="B71" s="63">
        <v>0.0</v>
      </c>
      <c r="C71" s="63">
        <v>8.0</v>
      </c>
      <c r="D71" s="67"/>
      <c r="E71" s="55" t="s">
        <v>1532</v>
      </c>
      <c r="F71" s="55" t="s">
        <v>1516</v>
      </c>
      <c r="G71" s="22"/>
      <c r="H71" s="19"/>
    </row>
    <row r="72" ht="22.5" customHeight="1">
      <c r="A72" s="219">
        <v>45952.0</v>
      </c>
      <c r="B72" s="63">
        <v>0.0</v>
      </c>
      <c r="C72" s="63">
        <v>8.0</v>
      </c>
      <c r="D72" s="67"/>
      <c r="E72" s="55" t="s">
        <v>1533</v>
      </c>
      <c r="F72" s="55" t="s">
        <v>1534</v>
      </c>
      <c r="G72" s="22"/>
      <c r="H72" s="19"/>
    </row>
    <row r="73" ht="22.5" customHeight="1">
      <c r="A73" s="219">
        <v>45953.0</v>
      </c>
      <c r="B73" s="63">
        <v>4.0</v>
      </c>
      <c r="C73" s="63">
        <v>4.0</v>
      </c>
      <c r="D73" s="67"/>
      <c r="E73" s="55" t="s">
        <v>1535</v>
      </c>
      <c r="F73" s="55" t="s">
        <v>1536</v>
      </c>
      <c r="G73" s="22"/>
      <c r="H73" s="19"/>
    </row>
    <row r="74" ht="22.5" customHeight="1">
      <c r="A74" s="219">
        <v>45954.0</v>
      </c>
      <c r="B74" s="63">
        <v>0.0</v>
      </c>
      <c r="C74" s="63">
        <v>8.0</v>
      </c>
      <c r="D74" s="67"/>
      <c r="E74" s="55" t="s">
        <v>1537</v>
      </c>
      <c r="F74" s="55" t="s">
        <v>1538</v>
      </c>
      <c r="G74" s="22"/>
      <c r="H74" s="19"/>
    </row>
    <row r="75" ht="22.5" customHeight="1">
      <c r="A75" s="219">
        <v>45957.0</v>
      </c>
      <c r="B75" s="67"/>
      <c r="C75" s="67"/>
      <c r="D75" s="67"/>
      <c r="E75" s="55" t="s">
        <v>1539</v>
      </c>
      <c r="F75" s="55" t="s">
        <v>1540</v>
      </c>
      <c r="G75" s="227" t="s">
        <v>1541</v>
      </c>
      <c r="H75" s="19"/>
    </row>
    <row r="76" ht="22.5" customHeight="1">
      <c r="A76" s="219">
        <v>45958.0</v>
      </c>
      <c r="B76" s="67"/>
      <c r="C76" s="67"/>
      <c r="D76" s="67"/>
      <c r="E76" s="55" t="s">
        <v>1542</v>
      </c>
      <c r="F76" s="55" t="s">
        <v>1509</v>
      </c>
      <c r="G76" s="227" t="s">
        <v>1543</v>
      </c>
      <c r="H76" s="19"/>
    </row>
    <row r="77" ht="22.5" customHeight="1">
      <c r="A77" s="219">
        <v>45959.0</v>
      </c>
      <c r="B77" s="67"/>
      <c r="C77" s="67"/>
      <c r="D77" s="67"/>
      <c r="E77" s="55" t="s">
        <v>1542</v>
      </c>
      <c r="F77" s="55" t="s">
        <v>1540</v>
      </c>
      <c r="G77" s="227" t="s">
        <v>1544</v>
      </c>
      <c r="H77" s="19"/>
    </row>
    <row r="78" ht="22.5" customHeight="1">
      <c r="A78" s="219">
        <v>45960.0</v>
      </c>
      <c r="B78" s="67"/>
      <c r="C78" s="67"/>
      <c r="D78" s="67"/>
      <c r="E78" s="55" t="s">
        <v>1545</v>
      </c>
      <c r="F78" s="55" t="s">
        <v>1509</v>
      </c>
      <c r="G78" s="227" t="s">
        <v>1546</v>
      </c>
      <c r="H78" s="19"/>
    </row>
    <row r="79" ht="22.5" customHeight="1">
      <c r="A79" s="219">
        <v>45961.0</v>
      </c>
      <c r="B79" s="67"/>
      <c r="C79" s="67"/>
      <c r="D79" s="67"/>
      <c r="E79" s="55" t="s">
        <v>1545</v>
      </c>
      <c r="F79" s="55" t="s">
        <v>1540</v>
      </c>
      <c r="G79" s="227" t="s">
        <v>1547</v>
      </c>
      <c r="H79" s="19"/>
    </row>
    <row r="80" ht="22.5" customHeight="1">
      <c r="A80" s="219">
        <v>45964.0</v>
      </c>
      <c r="B80" s="67"/>
      <c r="C80" s="67"/>
      <c r="D80" s="67"/>
      <c r="E80" s="55" t="s">
        <v>1548</v>
      </c>
      <c r="F80" s="55" t="s">
        <v>1509</v>
      </c>
      <c r="G80" s="227" t="s">
        <v>1549</v>
      </c>
      <c r="H80" s="19"/>
    </row>
    <row r="81" ht="22.5" customHeight="1">
      <c r="A81" s="219">
        <v>45965.0</v>
      </c>
      <c r="B81" s="67"/>
      <c r="C81" s="67"/>
      <c r="D81" s="67"/>
      <c r="E81" s="55" t="s">
        <v>1550</v>
      </c>
      <c r="F81" s="55" t="s">
        <v>1551</v>
      </c>
      <c r="G81" s="227" t="s">
        <v>1552</v>
      </c>
      <c r="H81" s="19"/>
    </row>
    <row r="82" ht="22.5" customHeight="1">
      <c r="A82" s="219">
        <v>45966.0</v>
      </c>
      <c r="B82" s="67"/>
      <c r="C82" s="67"/>
      <c r="D82" s="67"/>
      <c r="E82" s="55" t="s">
        <v>1553</v>
      </c>
      <c r="F82" s="55" t="s">
        <v>1554</v>
      </c>
      <c r="G82" s="227" t="s">
        <v>1555</v>
      </c>
      <c r="H82" s="19"/>
    </row>
    <row r="83" ht="22.5" customHeight="1">
      <c r="A83" s="219">
        <v>45967.0</v>
      </c>
      <c r="B83" s="67"/>
      <c r="C83" s="67"/>
      <c r="D83" s="67"/>
      <c r="E83" s="55" t="s">
        <v>1556</v>
      </c>
      <c r="F83" s="55" t="s">
        <v>1557</v>
      </c>
      <c r="G83" s="227" t="s">
        <v>1558</v>
      </c>
      <c r="H83" s="19"/>
    </row>
    <row r="84" ht="22.5" customHeight="1">
      <c r="A84" s="219">
        <v>45968.0</v>
      </c>
      <c r="B84" s="63">
        <v>6.0</v>
      </c>
      <c r="C84" s="63">
        <v>2.0</v>
      </c>
      <c r="D84" s="67"/>
      <c r="E84" s="55" t="s">
        <v>1559</v>
      </c>
      <c r="F84" s="55" t="s">
        <v>1560</v>
      </c>
      <c r="G84" s="227" t="s">
        <v>1561</v>
      </c>
      <c r="H84" s="19"/>
    </row>
    <row r="85" ht="22.5" customHeight="1">
      <c r="A85" s="219">
        <v>45971.0</v>
      </c>
      <c r="B85" s="63"/>
      <c r="C85" s="63"/>
      <c r="D85" s="67"/>
      <c r="E85" s="55"/>
      <c r="F85" s="55"/>
      <c r="G85" s="228"/>
      <c r="H85" s="19"/>
    </row>
    <row r="86" ht="22.5" customHeight="1">
      <c r="A86" s="219">
        <v>45972.0</v>
      </c>
      <c r="B86" s="67"/>
      <c r="C86" s="67"/>
      <c r="D86" s="67"/>
      <c r="E86" s="51"/>
      <c r="F86" s="51"/>
      <c r="G86" s="22"/>
      <c r="H86" s="19"/>
    </row>
    <row r="87" ht="22.5" customHeight="1">
      <c r="A87" s="219">
        <v>45973.0</v>
      </c>
      <c r="B87" s="67"/>
      <c r="C87" s="67"/>
      <c r="D87" s="67"/>
      <c r="E87" s="51"/>
      <c r="F87" s="51"/>
      <c r="G87" s="22"/>
      <c r="H87" s="19"/>
    </row>
    <row r="88" ht="22.5" customHeight="1">
      <c r="A88" s="219">
        <v>45974.0</v>
      </c>
      <c r="B88" s="67"/>
      <c r="C88" s="67"/>
      <c r="D88" s="67"/>
      <c r="E88" s="51"/>
      <c r="F88" s="51"/>
      <c r="G88" s="22"/>
      <c r="H88" s="19"/>
    </row>
    <row r="89" ht="22.5" customHeight="1">
      <c r="A89" s="219">
        <v>45975.0</v>
      </c>
      <c r="B89" s="63">
        <v>1.0</v>
      </c>
      <c r="C89" s="63">
        <v>6.0</v>
      </c>
      <c r="D89" s="67"/>
      <c r="E89" s="55" t="s">
        <v>1562</v>
      </c>
      <c r="F89" s="55" t="s">
        <v>1563</v>
      </c>
      <c r="G89" s="22"/>
      <c r="H89" s="19"/>
    </row>
    <row r="90" ht="22.5" customHeight="1">
      <c r="A90" s="219">
        <v>45978.0</v>
      </c>
      <c r="B90" s="63">
        <v>8.0</v>
      </c>
      <c r="C90" s="63">
        <v>0.0</v>
      </c>
      <c r="D90" s="67"/>
      <c r="E90" s="55" t="s">
        <v>1564</v>
      </c>
      <c r="F90" s="51"/>
      <c r="G90" s="22"/>
      <c r="H90" s="19"/>
    </row>
    <row r="91" ht="22.5" customHeight="1">
      <c r="A91" s="219">
        <v>45979.0</v>
      </c>
      <c r="B91" s="63">
        <v>8.0</v>
      </c>
      <c r="C91" s="63">
        <v>0.0</v>
      </c>
      <c r="D91" s="67"/>
      <c r="E91" s="55" t="s">
        <v>1564</v>
      </c>
      <c r="F91" s="51"/>
      <c r="G91" s="22"/>
      <c r="H91" s="19"/>
    </row>
    <row r="92" ht="22.5" customHeight="1">
      <c r="A92" s="219">
        <v>45980.0</v>
      </c>
      <c r="B92" s="63">
        <v>8.0</v>
      </c>
      <c r="C92" s="63">
        <v>0.0</v>
      </c>
      <c r="D92" s="67"/>
      <c r="E92" s="55" t="s">
        <v>1565</v>
      </c>
      <c r="F92" s="51"/>
      <c r="G92" s="22"/>
      <c r="H92" s="19"/>
    </row>
    <row r="93" ht="22.5" customHeight="1">
      <c r="A93" s="219">
        <v>45981.0</v>
      </c>
      <c r="B93" s="63">
        <v>8.0</v>
      </c>
      <c r="C93" s="67"/>
      <c r="D93" s="67"/>
      <c r="E93" s="55" t="s">
        <v>1566</v>
      </c>
      <c r="F93" s="55" t="s">
        <v>1557</v>
      </c>
      <c r="G93" s="22"/>
      <c r="H93" s="19"/>
    </row>
    <row r="94" ht="22.5" customHeight="1">
      <c r="A94" s="219">
        <v>45982.0</v>
      </c>
      <c r="B94" s="63">
        <v>8.0</v>
      </c>
      <c r="C94" s="67"/>
      <c r="D94" s="67"/>
      <c r="E94" s="55" t="s">
        <v>1566</v>
      </c>
      <c r="F94" s="55" t="s">
        <v>1557</v>
      </c>
      <c r="G94" s="22"/>
      <c r="H94" s="19"/>
    </row>
    <row r="95" ht="22.5" customHeight="1">
      <c r="A95" s="219">
        <v>45985.0</v>
      </c>
      <c r="B95" s="63">
        <v>8.0</v>
      </c>
      <c r="C95" s="67"/>
      <c r="D95" s="67"/>
      <c r="E95" s="55" t="s">
        <v>1566</v>
      </c>
      <c r="F95" s="55" t="s">
        <v>1557</v>
      </c>
      <c r="G95" s="22"/>
      <c r="H95" s="19"/>
    </row>
    <row r="96" ht="22.5" customHeight="1">
      <c r="A96" s="219">
        <v>45986.0</v>
      </c>
      <c r="B96" s="67"/>
      <c r="C96" s="63">
        <v>8.0</v>
      </c>
      <c r="D96" s="67"/>
      <c r="E96" s="55" t="s">
        <v>1567</v>
      </c>
      <c r="F96" s="55" t="s">
        <v>1518</v>
      </c>
      <c r="G96" s="22"/>
      <c r="H96" s="19"/>
    </row>
    <row r="97" ht="22.5" customHeight="1">
      <c r="A97" s="219"/>
      <c r="B97" s="67"/>
      <c r="C97" s="67"/>
      <c r="D97" s="67"/>
      <c r="E97" s="51"/>
      <c r="F97" s="51"/>
      <c r="G97" s="22"/>
      <c r="H97" s="19"/>
    </row>
    <row r="98" ht="22.5" customHeight="1">
      <c r="A98" s="219"/>
      <c r="B98" s="67"/>
      <c r="C98" s="67"/>
      <c r="D98" s="67"/>
      <c r="E98" s="51"/>
      <c r="F98" s="51"/>
      <c r="G98" s="22"/>
      <c r="H98" s="19"/>
    </row>
    <row r="99" ht="22.5" customHeight="1">
      <c r="A99" s="219">
        <v>45999.0</v>
      </c>
      <c r="B99" s="67"/>
      <c r="C99" s="67"/>
      <c r="D99" s="67"/>
      <c r="E99" s="55" t="s">
        <v>1567</v>
      </c>
      <c r="F99" s="55" t="s">
        <v>1518</v>
      </c>
      <c r="G99" s="22"/>
      <c r="H99" s="19"/>
    </row>
    <row r="100" ht="22.5" customHeight="1">
      <c r="A100" s="219">
        <v>46000.0</v>
      </c>
      <c r="B100" s="67"/>
      <c r="C100" s="67"/>
      <c r="D100" s="67"/>
      <c r="E100" s="55" t="s">
        <v>1567</v>
      </c>
      <c r="F100" s="55" t="s">
        <v>1568</v>
      </c>
      <c r="G100" s="22"/>
      <c r="H100" s="19"/>
    </row>
    <row r="101" ht="22.5" customHeight="1">
      <c r="A101" s="219">
        <v>46001.0</v>
      </c>
      <c r="B101" s="67"/>
      <c r="C101" s="63">
        <v>8.0</v>
      </c>
      <c r="D101" s="67"/>
      <c r="E101" s="55" t="s">
        <v>1569</v>
      </c>
      <c r="F101" s="51"/>
      <c r="G101" s="22"/>
      <c r="H101" s="19"/>
    </row>
    <row r="102" ht="22.5" customHeight="1">
      <c r="A102" s="219">
        <v>46002.0</v>
      </c>
      <c r="B102" s="67"/>
      <c r="C102" s="63">
        <v>8.0</v>
      </c>
      <c r="D102" s="67"/>
      <c r="E102" s="55" t="s">
        <v>1569</v>
      </c>
      <c r="F102" s="51"/>
      <c r="G102" s="22"/>
      <c r="H102" s="19"/>
    </row>
    <row r="103" ht="22.5" customHeight="1">
      <c r="A103" s="219">
        <v>46003.0</v>
      </c>
      <c r="B103" s="67"/>
      <c r="C103" s="63">
        <v>8.0</v>
      </c>
      <c r="D103" s="67"/>
      <c r="E103" s="55" t="s">
        <v>1569</v>
      </c>
      <c r="F103" s="51"/>
      <c r="G103" s="22"/>
      <c r="H103" s="62" t="s">
        <v>1570</v>
      </c>
    </row>
    <row r="104" ht="22.5" customHeight="1">
      <c r="A104" s="219"/>
      <c r="B104" s="67"/>
      <c r="C104" s="67"/>
      <c r="D104" s="67"/>
      <c r="E104" s="51"/>
      <c r="F104" s="51"/>
      <c r="G104" s="22"/>
      <c r="H104" s="19"/>
    </row>
    <row r="105" ht="22.5" customHeight="1">
      <c r="A105" s="219"/>
      <c r="B105" s="67"/>
      <c r="C105" s="67"/>
      <c r="D105" s="67"/>
      <c r="E105" s="51"/>
      <c r="F105" s="51"/>
      <c r="G105" s="22"/>
      <c r="H105" s="19"/>
    </row>
    <row r="106" ht="22.5" customHeight="1">
      <c r="A106" s="219"/>
      <c r="B106" s="67"/>
      <c r="C106" s="67"/>
      <c r="D106" s="67"/>
      <c r="E106" s="51"/>
      <c r="F106" s="51"/>
      <c r="G106" s="22"/>
      <c r="H106" s="19"/>
    </row>
    <row r="107" ht="22.5" customHeight="1">
      <c r="A107" s="219"/>
      <c r="B107" s="67"/>
      <c r="C107" s="67"/>
      <c r="D107" s="67"/>
      <c r="E107" s="51"/>
      <c r="F107" s="51"/>
      <c r="G107" s="22"/>
      <c r="H107" s="19"/>
    </row>
    <row r="108" ht="22.5" customHeight="1">
      <c r="A108" s="219"/>
      <c r="B108" s="67"/>
      <c r="C108" s="67"/>
      <c r="D108" s="67"/>
      <c r="E108" s="51"/>
      <c r="F108" s="51"/>
      <c r="G108" s="22"/>
      <c r="H108" s="19"/>
    </row>
    <row r="109" ht="22.5" customHeight="1">
      <c r="A109" s="219"/>
      <c r="B109" s="67"/>
      <c r="C109" s="67"/>
      <c r="D109" s="67"/>
      <c r="E109" s="51"/>
      <c r="F109" s="51"/>
      <c r="G109" s="22"/>
      <c r="H109" s="19"/>
    </row>
    <row r="110" ht="22.5" customHeight="1">
      <c r="A110" s="219"/>
      <c r="B110" s="67"/>
      <c r="C110" s="67"/>
      <c r="D110" s="67"/>
      <c r="E110" s="51"/>
      <c r="F110" s="51"/>
      <c r="G110" s="22"/>
      <c r="H110" s="19"/>
    </row>
    <row r="111" ht="22.5" customHeight="1">
      <c r="A111" s="219"/>
      <c r="B111" s="67"/>
      <c r="C111" s="67"/>
      <c r="D111" s="67"/>
      <c r="E111" s="51"/>
      <c r="F111" s="51"/>
      <c r="G111" s="22"/>
      <c r="H111" s="19"/>
    </row>
    <row r="112" ht="22.5" customHeight="1">
      <c r="A112" s="219"/>
      <c r="B112" s="67"/>
      <c r="C112" s="67"/>
      <c r="D112" s="67"/>
      <c r="E112" s="51"/>
      <c r="F112" s="51"/>
      <c r="G112" s="22"/>
      <c r="H112" s="19"/>
    </row>
    <row r="113" ht="22.5" customHeight="1">
      <c r="A113" s="219"/>
      <c r="B113" s="67"/>
      <c r="C113" s="67"/>
      <c r="D113" s="67"/>
      <c r="E113" s="51"/>
      <c r="F113" s="51"/>
      <c r="G113" s="22"/>
      <c r="H113" s="19"/>
    </row>
    <row r="114" ht="22.5" customHeight="1">
      <c r="A114" s="219"/>
      <c r="B114" s="67"/>
      <c r="C114" s="67"/>
      <c r="D114" s="67"/>
      <c r="E114" s="51"/>
      <c r="F114" s="51"/>
      <c r="G114" s="22"/>
      <c r="H114" s="19"/>
    </row>
    <row r="115" ht="22.5" customHeight="1">
      <c r="A115" s="219"/>
      <c r="B115" s="67"/>
      <c r="C115" s="67"/>
      <c r="D115" s="67"/>
      <c r="E115" s="51"/>
      <c r="F115" s="51"/>
      <c r="G115" s="22"/>
      <c r="H115" s="19"/>
    </row>
    <row r="116" ht="22.5" customHeight="1">
      <c r="A116" s="21"/>
      <c r="B116" s="67"/>
      <c r="C116" s="67"/>
      <c r="D116" s="67"/>
      <c r="E116" s="51"/>
      <c r="F116" s="51"/>
      <c r="G116" s="22"/>
      <c r="H116" s="19"/>
    </row>
    <row r="117" ht="22.5" customHeight="1">
      <c r="A117" s="229"/>
      <c r="B117" s="71"/>
      <c r="C117" s="71"/>
      <c r="D117" s="71"/>
      <c r="E117" s="138"/>
      <c r="F117" s="138"/>
      <c r="G117" s="25"/>
      <c r="H117" s="26"/>
    </row>
    <row r="118" ht="22.5" customHeight="1">
      <c r="A118" s="229"/>
      <c r="B118" s="71"/>
      <c r="C118" s="71"/>
      <c r="D118" s="71"/>
      <c r="E118" s="138"/>
      <c r="F118" s="138"/>
      <c r="G118" s="25"/>
      <c r="H118" s="26"/>
    </row>
    <row r="119" ht="22.5" customHeight="1">
      <c r="A119" s="229"/>
      <c r="B119" s="71"/>
      <c r="C119" s="71"/>
      <c r="D119" s="71"/>
      <c r="E119" s="138"/>
      <c r="F119" s="138"/>
      <c r="G119" s="25"/>
      <c r="H119" s="26"/>
    </row>
    <row r="120" ht="22.5" customHeight="1">
      <c r="A120" s="229"/>
      <c r="B120" s="71"/>
      <c r="C120" s="71"/>
      <c r="D120" s="71"/>
      <c r="E120" s="138"/>
      <c r="F120" s="138"/>
      <c r="G120" s="25"/>
      <c r="H120" s="26"/>
    </row>
    <row r="121" ht="22.5" customHeight="1">
      <c r="A121" s="229"/>
      <c r="B121" s="71"/>
      <c r="C121" s="71"/>
      <c r="D121" s="71"/>
      <c r="E121" s="138"/>
      <c r="F121" s="138"/>
      <c r="G121" s="25"/>
      <c r="H121" s="26"/>
    </row>
    <row r="122" ht="22.5" customHeight="1">
      <c r="A122" s="229"/>
      <c r="B122" s="71"/>
      <c r="C122" s="71"/>
      <c r="D122" s="71"/>
      <c r="E122" s="138"/>
      <c r="F122" s="138"/>
      <c r="G122" s="25"/>
      <c r="H122" s="26"/>
    </row>
    <row r="123" ht="22.5" customHeight="1">
      <c r="A123" s="229"/>
      <c r="B123" s="71"/>
      <c r="C123" s="71"/>
      <c r="D123" s="71"/>
      <c r="E123" s="138"/>
      <c r="F123" s="138"/>
      <c r="G123" s="25"/>
      <c r="H123" s="26"/>
    </row>
    <row r="124" ht="22.5" customHeight="1">
      <c r="A124" s="229"/>
      <c r="B124" s="71"/>
      <c r="C124" s="71"/>
      <c r="D124" s="71"/>
      <c r="E124" s="138"/>
      <c r="F124" s="138"/>
      <c r="G124" s="25"/>
      <c r="H124" s="26"/>
    </row>
    <row r="125" ht="22.5" customHeight="1">
      <c r="A125" s="229"/>
      <c r="B125" s="71"/>
      <c r="C125" s="71"/>
      <c r="D125" s="71"/>
      <c r="E125" s="138"/>
      <c r="F125" s="138"/>
      <c r="G125" s="25"/>
      <c r="H125" s="26"/>
    </row>
    <row r="126" ht="22.5" customHeight="1">
      <c r="A126" s="24"/>
      <c r="B126" s="71"/>
      <c r="C126" s="71"/>
      <c r="D126" s="71"/>
      <c r="E126" s="138"/>
      <c r="F126" s="138"/>
      <c r="G126" s="25"/>
      <c r="H126" s="26"/>
    </row>
    <row r="127" ht="22.5" customHeight="1">
      <c r="A127" s="24"/>
      <c r="B127" s="71"/>
      <c r="C127" s="71"/>
      <c r="D127" s="71"/>
      <c r="E127" s="138"/>
      <c r="F127" s="138"/>
      <c r="G127" s="25"/>
      <c r="H127" s="26"/>
    </row>
    <row r="128" ht="22.5" customHeight="1">
      <c r="A128" s="24"/>
      <c r="B128" s="71"/>
      <c r="C128" s="71"/>
      <c r="D128" s="71"/>
      <c r="E128" s="138"/>
      <c r="F128" s="138"/>
      <c r="G128" s="25"/>
      <c r="H128" s="26"/>
    </row>
    <row r="129" ht="22.5" customHeight="1">
      <c r="A129" s="24"/>
      <c r="B129" s="71"/>
      <c r="C129" s="71"/>
      <c r="D129" s="71"/>
      <c r="E129" s="138"/>
      <c r="F129" s="138"/>
      <c r="G129" s="25"/>
      <c r="H129" s="26"/>
    </row>
    <row r="130" ht="22.5" customHeight="1">
      <c r="A130" s="24"/>
      <c r="B130" s="71"/>
      <c r="C130" s="71"/>
      <c r="D130" s="71"/>
      <c r="E130" s="138"/>
      <c r="F130" s="138"/>
      <c r="G130" s="25"/>
      <c r="H130" s="26"/>
    </row>
    <row r="131" ht="22.5" customHeight="1">
      <c r="A131" s="24"/>
      <c r="B131" s="71"/>
      <c r="C131" s="71"/>
      <c r="D131" s="71"/>
      <c r="E131" s="138"/>
      <c r="F131" s="138"/>
      <c r="G131" s="25"/>
      <c r="H131" s="26"/>
    </row>
    <row r="132" ht="22.5" customHeight="1">
      <c r="A132" s="24"/>
      <c r="B132" s="71"/>
      <c r="C132" s="71"/>
      <c r="D132" s="71"/>
      <c r="E132" s="138"/>
      <c r="F132" s="138"/>
      <c r="G132" s="25"/>
      <c r="H132" s="26"/>
    </row>
    <row r="133" ht="22.5" customHeight="1">
      <c r="A133" s="24"/>
      <c r="B133" s="71"/>
      <c r="C133" s="71"/>
      <c r="D133" s="71"/>
      <c r="E133" s="138"/>
      <c r="F133" s="138"/>
      <c r="G133" s="25"/>
      <c r="H133" s="26"/>
    </row>
    <row r="134" ht="22.5" customHeight="1">
      <c r="A134" s="24"/>
      <c r="B134" s="71"/>
      <c r="C134" s="71"/>
      <c r="D134" s="71"/>
      <c r="E134" s="138"/>
      <c r="F134" s="138"/>
      <c r="G134" s="25"/>
      <c r="H134" s="26"/>
    </row>
    <row r="135" ht="22.5" customHeight="1">
      <c r="A135" s="24"/>
      <c r="B135" s="71"/>
      <c r="C135" s="71"/>
      <c r="D135" s="71"/>
      <c r="E135" s="138"/>
      <c r="F135" s="138"/>
      <c r="G135" s="25"/>
      <c r="H135" s="26"/>
    </row>
    <row r="136" ht="22.5" customHeight="1">
      <c r="A136" s="24"/>
      <c r="B136" s="71"/>
      <c r="C136" s="71"/>
      <c r="D136" s="71"/>
      <c r="E136" s="138"/>
      <c r="F136" s="138"/>
      <c r="G136" s="25"/>
      <c r="H136" s="26"/>
    </row>
    <row r="137" ht="22.5" customHeight="1">
      <c r="A137" s="24"/>
      <c r="B137" s="71"/>
      <c r="C137" s="71"/>
      <c r="D137" s="71"/>
      <c r="E137" s="138"/>
      <c r="F137" s="138"/>
      <c r="G137" s="25"/>
      <c r="H137" s="26"/>
    </row>
    <row r="138" ht="22.5" customHeight="1">
      <c r="A138" s="24"/>
      <c r="B138" s="71"/>
      <c r="C138" s="71"/>
      <c r="D138" s="71"/>
      <c r="E138" s="138"/>
      <c r="F138" s="138"/>
      <c r="G138" s="25"/>
      <c r="H138" s="26"/>
    </row>
    <row r="139" ht="22.5" customHeight="1">
      <c r="A139" s="24"/>
      <c r="B139" s="71"/>
      <c r="C139" s="71"/>
      <c r="D139" s="71"/>
      <c r="E139" s="138"/>
      <c r="F139" s="138"/>
      <c r="G139" s="25"/>
      <c r="H139" s="26"/>
    </row>
    <row r="140" ht="22.5" customHeight="1">
      <c r="A140" s="24"/>
      <c r="B140" s="71"/>
      <c r="C140" s="71"/>
      <c r="D140" s="71"/>
      <c r="E140" s="138"/>
      <c r="F140" s="138"/>
      <c r="G140" s="25"/>
      <c r="H140" s="26"/>
    </row>
    <row r="141" ht="22.5" customHeight="1">
      <c r="A141" s="24"/>
      <c r="B141" s="71"/>
      <c r="C141" s="71"/>
      <c r="D141" s="71"/>
      <c r="E141" s="138"/>
      <c r="F141" s="138"/>
      <c r="G141" s="25"/>
      <c r="H141" s="26"/>
    </row>
    <row r="142" ht="22.5" customHeight="1">
      <c r="A142" s="24"/>
      <c r="B142" s="71"/>
      <c r="C142" s="71"/>
      <c r="D142" s="71"/>
      <c r="E142" s="138"/>
      <c r="F142" s="138"/>
      <c r="G142" s="25"/>
      <c r="H142" s="26"/>
    </row>
    <row r="143" ht="22.5" customHeight="1">
      <c r="A143" s="24"/>
      <c r="B143" s="71"/>
      <c r="C143" s="71"/>
      <c r="D143" s="71"/>
      <c r="E143" s="138"/>
      <c r="F143" s="138"/>
      <c r="G143" s="25"/>
      <c r="H143" s="26"/>
    </row>
    <row r="144" ht="22.5" customHeight="1">
      <c r="A144" s="24"/>
      <c r="B144" s="71"/>
      <c r="C144" s="71"/>
      <c r="D144" s="71"/>
      <c r="E144" s="138"/>
      <c r="F144" s="138"/>
      <c r="G144" s="25"/>
      <c r="H144" s="26"/>
    </row>
    <row r="145" ht="22.5" customHeight="1">
      <c r="A145" s="24"/>
      <c r="B145" s="71"/>
      <c r="C145" s="71"/>
      <c r="D145" s="71"/>
      <c r="E145" s="138"/>
      <c r="F145" s="138"/>
      <c r="G145" s="25"/>
      <c r="H145" s="26"/>
    </row>
    <row r="146" ht="22.5" customHeight="1">
      <c r="A146" s="24"/>
      <c r="B146" s="71"/>
      <c r="C146" s="71"/>
      <c r="D146" s="71"/>
      <c r="E146" s="138"/>
      <c r="F146" s="138"/>
      <c r="G146" s="25"/>
      <c r="H146" s="26"/>
    </row>
    <row r="147" ht="22.5" customHeight="1">
      <c r="A147" s="24"/>
      <c r="B147" s="71"/>
      <c r="C147" s="71"/>
      <c r="D147" s="71"/>
      <c r="E147" s="138"/>
      <c r="F147" s="138"/>
      <c r="G147" s="25"/>
      <c r="H147" s="26"/>
    </row>
    <row r="148" ht="22.5" customHeight="1">
      <c r="A148" s="24"/>
      <c r="B148" s="71"/>
      <c r="C148" s="71"/>
      <c r="D148" s="71"/>
      <c r="E148" s="138"/>
      <c r="F148" s="138"/>
      <c r="G148" s="25"/>
      <c r="H148" s="26"/>
    </row>
    <row r="149" ht="22.5" customHeight="1">
      <c r="A149" s="24"/>
      <c r="B149" s="71"/>
      <c r="C149" s="71"/>
      <c r="D149" s="71"/>
      <c r="E149" s="138"/>
      <c r="F149" s="138"/>
      <c r="G149" s="25"/>
      <c r="H149" s="26"/>
    </row>
    <row r="150" ht="22.5" customHeight="1">
      <c r="A150" s="24"/>
      <c r="B150" s="71"/>
      <c r="C150" s="71"/>
      <c r="D150" s="71"/>
      <c r="E150" s="138"/>
      <c r="F150" s="138"/>
      <c r="G150" s="25"/>
      <c r="H150" s="26"/>
    </row>
    <row r="151" ht="22.5" customHeight="1">
      <c r="A151" s="24"/>
      <c r="B151" s="71"/>
      <c r="C151" s="71"/>
      <c r="D151" s="71"/>
      <c r="E151" s="138"/>
      <c r="F151" s="138"/>
      <c r="G151" s="25"/>
      <c r="H151" s="26"/>
    </row>
    <row r="152" ht="22.5" customHeight="1">
      <c r="A152" s="24"/>
      <c r="B152" s="71"/>
      <c r="C152" s="71"/>
      <c r="D152" s="71"/>
      <c r="E152" s="138"/>
      <c r="F152" s="138"/>
      <c r="G152" s="25"/>
      <c r="H152" s="26"/>
    </row>
    <row r="153" ht="22.5" customHeight="1">
      <c r="A153" s="24"/>
      <c r="B153" s="71"/>
      <c r="C153" s="71"/>
      <c r="D153" s="71"/>
      <c r="E153" s="138"/>
      <c r="F153" s="138"/>
      <c r="G153" s="25"/>
      <c r="H153" s="26"/>
    </row>
    <row r="154" ht="22.5" customHeight="1">
      <c r="A154" s="24"/>
      <c r="B154" s="71"/>
      <c r="C154" s="71"/>
      <c r="D154" s="71"/>
      <c r="E154" s="138"/>
      <c r="F154" s="138"/>
      <c r="G154" s="25"/>
      <c r="H154" s="26"/>
    </row>
    <row r="155" ht="22.5" customHeight="1">
      <c r="A155" s="24"/>
      <c r="B155" s="71"/>
      <c r="C155" s="71"/>
      <c r="D155" s="71"/>
      <c r="E155" s="138"/>
      <c r="F155" s="138"/>
      <c r="G155" s="25"/>
      <c r="H155" s="26"/>
    </row>
    <row r="156" ht="22.5" customHeight="1">
      <c r="A156" s="24"/>
      <c r="B156" s="71"/>
      <c r="C156" s="71"/>
      <c r="D156" s="71"/>
      <c r="E156" s="138"/>
      <c r="F156" s="138"/>
      <c r="G156" s="25"/>
      <c r="H156" s="26"/>
    </row>
    <row r="157" ht="22.5" customHeight="1">
      <c r="A157" s="24"/>
      <c r="B157" s="71"/>
      <c r="C157" s="71"/>
      <c r="D157" s="71"/>
      <c r="E157" s="138"/>
      <c r="F157" s="138"/>
      <c r="G157" s="25"/>
      <c r="H157" s="26"/>
    </row>
    <row r="158" ht="22.5" customHeight="1">
      <c r="A158" s="24"/>
      <c r="B158" s="71"/>
      <c r="C158" s="71"/>
      <c r="D158" s="71"/>
      <c r="E158" s="138"/>
      <c r="F158" s="138"/>
      <c r="G158" s="25"/>
      <c r="H158" s="26"/>
    </row>
    <row r="159" ht="22.5" customHeight="1">
      <c r="A159" s="24"/>
      <c r="B159" s="71"/>
      <c r="C159" s="71"/>
      <c r="D159" s="71"/>
      <c r="E159" s="138"/>
      <c r="F159" s="138"/>
      <c r="G159" s="25"/>
      <c r="H159" s="26"/>
    </row>
    <row r="160" ht="22.5" customHeight="1">
      <c r="A160" s="24"/>
      <c r="B160" s="71"/>
      <c r="C160" s="71"/>
      <c r="D160" s="71"/>
      <c r="E160" s="138"/>
      <c r="F160" s="138"/>
      <c r="G160" s="25"/>
      <c r="H160" s="26"/>
    </row>
    <row r="161" ht="22.5" customHeight="1">
      <c r="A161" s="24"/>
      <c r="B161" s="71"/>
      <c r="C161" s="71"/>
      <c r="D161" s="71"/>
      <c r="E161" s="138"/>
      <c r="F161" s="138"/>
      <c r="G161" s="25"/>
      <c r="H161" s="26"/>
    </row>
    <row r="162" ht="22.5" customHeight="1">
      <c r="A162" s="24"/>
      <c r="B162" s="71"/>
      <c r="C162" s="71"/>
      <c r="D162" s="71"/>
      <c r="E162" s="138"/>
      <c r="F162" s="138"/>
      <c r="G162" s="25"/>
      <c r="H162" s="26"/>
    </row>
    <row r="163" ht="22.5" customHeight="1">
      <c r="A163" s="24"/>
      <c r="B163" s="71"/>
      <c r="C163" s="71"/>
      <c r="D163" s="71"/>
      <c r="E163" s="138"/>
      <c r="F163" s="138"/>
      <c r="G163" s="25"/>
      <c r="H163" s="26"/>
    </row>
    <row r="164" ht="22.5" customHeight="1">
      <c r="A164" s="24"/>
      <c r="B164" s="71"/>
      <c r="C164" s="71"/>
      <c r="D164" s="71"/>
      <c r="E164" s="138"/>
      <c r="F164" s="138"/>
      <c r="G164" s="25"/>
      <c r="H164" s="26"/>
    </row>
    <row r="165" ht="22.5" customHeight="1">
      <c r="A165" s="24"/>
      <c r="B165" s="71"/>
      <c r="C165" s="71"/>
      <c r="D165" s="71"/>
      <c r="E165" s="138"/>
      <c r="F165" s="138"/>
      <c r="G165" s="25"/>
      <c r="H165" s="26"/>
    </row>
    <row r="166" ht="22.5" customHeight="1">
      <c r="A166" s="24"/>
      <c r="B166" s="71"/>
      <c r="C166" s="71"/>
      <c r="D166" s="71"/>
      <c r="E166" s="138"/>
      <c r="F166" s="138"/>
      <c r="G166" s="25"/>
      <c r="H166" s="26"/>
    </row>
    <row r="167" ht="22.5" customHeight="1">
      <c r="A167" s="24"/>
      <c r="B167" s="71"/>
      <c r="C167" s="71"/>
      <c r="D167" s="71"/>
      <c r="E167" s="138"/>
      <c r="F167" s="138"/>
      <c r="G167" s="25"/>
      <c r="H167" s="26"/>
    </row>
    <row r="168" ht="22.5" customHeight="1">
      <c r="A168" s="24"/>
      <c r="B168" s="71"/>
      <c r="C168" s="71"/>
      <c r="D168" s="71"/>
      <c r="E168" s="138"/>
      <c r="F168" s="138"/>
      <c r="G168" s="25"/>
      <c r="H168" s="26"/>
    </row>
    <row r="169" ht="22.5" customHeight="1">
      <c r="A169" s="24"/>
      <c r="B169" s="71"/>
      <c r="C169" s="71"/>
      <c r="D169" s="71"/>
      <c r="E169" s="138"/>
      <c r="F169" s="138"/>
      <c r="G169" s="25"/>
      <c r="H169" s="26"/>
    </row>
    <row r="170" ht="22.5" customHeight="1">
      <c r="A170" s="24"/>
      <c r="B170" s="71"/>
      <c r="C170" s="71"/>
      <c r="D170" s="71"/>
      <c r="E170" s="138"/>
      <c r="F170" s="138"/>
      <c r="G170" s="25"/>
      <c r="H170" s="26"/>
    </row>
    <row r="171" ht="22.5" customHeight="1">
      <c r="A171" s="24"/>
      <c r="B171" s="71"/>
      <c r="C171" s="71"/>
      <c r="D171" s="71"/>
      <c r="E171" s="138"/>
      <c r="F171" s="138"/>
      <c r="G171" s="25"/>
      <c r="H171" s="26"/>
    </row>
    <row r="172" ht="22.5" customHeight="1">
      <c r="A172" s="24"/>
      <c r="B172" s="71"/>
      <c r="C172" s="71"/>
      <c r="D172" s="71"/>
      <c r="E172" s="138"/>
      <c r="F172" s="138"/>
      <c r="G172" s="25"/>
      <c r="H172" s="26"/>
    </row>
    <row r="173" ht="22.5" customHeight="1">
      <c r="A173" s="24"/>
      <c r="B173" s="71"/>
      <c r="C173" s="71"/>
      <c r="D173" s="71"/>
      <c r="E173" s="138"/>
      <c r="F173" s="138"/>
      <c r="G173" s="25"/>
      <c r="H173" s="26"/>
    </row>
    <row r="174" ht="22.5" customHeight="1">
      <c r="A174" s="24"/>
      <c r="B174" s="71"/>
      <c r="C174" s="71"/>
      <c r="D174" s="71"/>
      <c r="E174" s="138"/>
      <c r="F174" s="138"/>
      <c r="G174" s="25"/>
      <c r="H174" s="26"/>
    </row>
    <row r="175" ht="22.5" customHeight="1">
      <c r="A175" s="24"/>
      <c r="B175" s="71"/>
      <c r="C175" s="71"/>
      <c r="D175" s="71"/>
      <c r="E175" s="138"/>
      <c r="F175" s="138"/>
      <c r="G175" s="25"/>
      <c r="H175" s="26"/>
    </row>
    <row r="176" ht="22.5" customHeight="1">
      <c r="A176" s="24"/>
      <c r="B176" s="71"/>
      <c r="C176" s="71"/>
      <c r="D176" s="71"/>
      <c r="E176" s="138"/>
      <c r="F176" s="138"/>
      <c r="G176" s="25"/>
      <c r="H176" s="26"/>
    </row>
    <row r="177" ht="22.5" customHeight="1">
      <c r="A177" s="24"/>
      <c r="B177" s="71"/>
      <c r="C177" s="71"/>
      <c r="D177" s="71"/>
      <c r="E177" s="138"/>
      <c r="F177" s="138"/>
      <c r="G177" s="25"/>
      <c r="H177" s="26"/>
    </row>
    <row r="178" ht="22.5" customHeight="1">
      <c r="A178" s="24"/>
      <c r="B178" s="71"/>
      <c r="C178" s="71"/>
      <c r="D178" s="71"/>
      <c r="E178" s="138"/>
      <c r="F178" s="138"/>
      <c r="G178" s="25"/>
      <c r="H178" s="26"/>
    </row>
    <row r="179" ht="22.5" customHeight="1">
      <c r="A179" s="24"/>
      <c r="B179" s="71"/>
      <c r="C179" s="71"/>
      <c r="D179" s="71"/>
      <c r="E179" s="138"/>
      <c r="F179" s="138"/>
      <c r="G179" s="25"/>
      <c r="H179" s="26"/>
    </row>
    <row r="180" ht="22.5" customHeight="1">
      <c r="A180" s="24"/>
      <c r="B180" s="71"/>
      <c r="C180" s="71"/>
      <c r="D180" s="71"/>
      <c r="E180" s="138"/>
      <c r="F180" s="138"/>
      <c r="G180" s="25"/>
      <c r="H180" s="26"/>
    </row>
    <row r="181" ht="22.5" customHeight="1">
      <c r="A181" s="24"/>
      <c r="B181" s="71"/>
      <c r="C181" s="71"/>
      <c r="D181" s="71"/>
      <c r="E181" s="138"/>
      <c r="F181" s="138"/>
      <c r="G181" s="25"/>
      <c r="H181" s="26"/>
    </row>
    <row r="182" ht="22.5" customHeight="1">
      <c r="A182" s="24"/>
      <c r="B182" s="71"/>
      <c r="C182" s="71"/>
      <c r="D182" s="71"/>
      <c r="E182" s="138"/>
      <c r="F182" s="138"/>
      <c r="G182" s="25"/>
      <c r="H182" s="26"/>
    </row>
    <row r="183" ht="22.5" customHeight="1">
      <c r="A183" s="24"/>
      <c r="B183" s="71"/>
      <c r="C183" s="71"/>
      <c r="D183" s="71"/>
      <c r="E183" s="138"/>
      <c r="F183" s="138"/>
      <c r="G183" s="25"/>
      <c r="H183" s="26"/>
    </row>
    <row r="184" ht="22.5" customHeight="1">
      <c r="A184" s="24"/>
      <c r="B184" s="71"/>
      <c r="C184" s="71"/>
      <c r="D184" s="71"/>
      <c r="E184" s="138"/>
      <c r="F184" s="138"/>
      <c r="G184" s="25"/>
      <c r="H184" s="26"/>
    </row>
    <row r="185" ht="22.5" customHeight="1">
      <c r="A185" s="24"/>
      <c r="B185" s="71"/>
      <c r="C185" s="71"/>
      <c r="D185" s="71"/>
      <c r="E185" s="138"/>
      <c r="F185" s="138"/>
      <c r="G185" s="25"/>
      <c r="H185" s="26"/>
    </row>
    <row r="186" ht="22.5" customHeight="1">
      <c r="A186" s="24"/>
      <c r="B186" s="71"/>
      <c r="C186" s="71"/>
      <c r="D186" s="71"/>
      <c r="E186" s="138"/>
      <c r="F186" s="138"/>
      <c r="G186" s="25"/>
      <c r="H186" s="26"/>
    </row>
    <row r="187" ht="22.5" customHeight="1">
      <c r="A187" s="24"/>
      <c r="B187" s="71"/>
      <c r="C187" s="71"/>
      <c r="D187" s="71"/>
      <c r="E187" s="138"/>
      <c r="F187" s="138"/>
      <c r="G187" s="25"/>
      <c r="H187" s="26"/>
    </row>
    <row r="188" ht="22.5" customHeight="1">
      <c r="A188" s="24"/>
      <c r="B188" s="71"/>
      <c r="C188" s="71"/>
      <c r="D188" s="71"/>
      <c r="E188" s="138"/>
      <c r="F188" s="138"/>
      <c r="G188" s="25"/>
      <c r="H188" s="26"/>
    </row>
    <row r="189" ht="22.5" customHeight="1">
      <c r="A189" s="24"/>
      <c r="B189" s="71"/>
      <c r="C189" s="71"/>
      <c r="D189" s="71"/>
      <c r="E189" s="138"/>
      <c r="F189" s="138"/>
      <c r="G189" s="25"/>
      <c r="H189" s="26"/>
    </row>
    <row r="190" ht="22.5" customHeight="1">
      <c r="A190" s="24"/>
      <c r="B190" s="71"/>
      <c r="C190" s="71"/>
      <c r="D190" s="71"/>
      <c r="E190" s="138"/>
      <c r="F190" s="138"/>
      <c r="G190" s="25"/>
      <c r="H190" s="26"/>
    </row>
    <row r="191" ht="22.5" customHeight="1">
      <c r="A191" s="24"/>
      <c r="B191" s="71"/>
      <c r="C191" s="71"/>
      <c r="D191" s="71"/>
      <c r="E191" s="138"/>
      <c r="F191" s="138"/>
      <c r="G191" s="25"/>
      <c r="H191" s="26"/>
    </row>
    <row r="192" ht="22.5" customHeight="1">
      <c r="A192" s="24"/>
      <c r="B192" s="71"/>
      <c r="C192" s="71"/>
      <c r="D192" s="71"/>
      <c r="E192" s="138"/>
      <c r="F192" s="138"/>
      <c r="G192" s="25"/>
      <c r="H192" s="26"/>
    </row>
    <row r="193" ht="22.5" customHeight="1">
      <c r="A193" s="24"/>
      <c r="B193" s="71"/>
      <c r="C193" s="71"/>
      <c r="D193" s="71"/>
      <c r="E193" s="138"/>
      <c r="F193" s="138"/>
      <c r="G193" s="25"/>
      <c r="H193" s="26"/>
    </row>
    <row r="194" ht="22.5" customHeight="1">
      <c r="A194" s="24"/>
      <c r="B194" s="71"/>
      <c r="C194" s="71"/>
      <c r="D194" s="71"/>
      <c r="E194" s="138"/>
      <c r="F194" s="138"/>
      <c r="G194" s="25"/>
      <c r="H194" s="26"/>
    </row>
    <row r="195" ht="22.5" customHeight="1">
      <c r="A195" s="24"/>
      <c r="B195" s="71"/>
      <c r="C195" s="71"/>
      <c r="D195" s="71"/>
      <c r="E195" s="138"/>
      <c r="F195" s="138"/>
      <c r="G195" s="25"/>
      <c r="H195" s="26"/>
    </row>
    <row r="196" ht="22.5" customHeight="1">
      <c r="A196" s="24"/>
      <c r="B196" s="71"/>
      <c r="C196" s="71"/>
      <c r="D196" s="71"/>
      <c r="E196" s="138"/>
      <c r="F196" s="138"/>
      <c r="G196" s="25"/>
      <c r="H196" s="26"/>
    </row>
    <row r="197" ht="22.5" customHeight="1">
      <c r="A197" s="24"/>
      <c r="B197" s="71"/>
      <c r="C197" s="71"/>
      <c r="D197" s="71"/>
      <c r="E197" s="138"/>
      <c r="F197" s="138"/>
      <c r="G197" s="25"/>
      <c r="H197" s="26"/>
    </row>
    <row r="198" ht="22.5" customHeight="1">
      <c r="A198" s="24"/>
      <c r="B198" s="71"/>
      <c r="C198" s="71"/>
      <c r="D198" s="71"/>
      <c r="E198" s="138"/>
      <c r="F198" s="138"/>
      <c r="G198" s="25"/>
      <c r="H198" s="26"/>
    </row>
    <row r="199" ht="22.5" customHeight="1">
      <c r="A199" s="24"/>
      <c r="B199" s="71"/>
      <c r="C199" s="71"/>
      <c r="D199" s="71"/>
      <c r="E199" s="138"/>
      <c r="F199" s="138"/>
      <c r="G199" s="25"/>
      <c r="H199" s="26"/>
    </row>
    <row r="200" ht="22.5" customHeight="1">
      <c r="A200" s="24"/>
      <c r="B200" s="71"/>
      <c r="C200" s="71"/>
      <c r="D200" s="71"/>
      <c r="E200" s="138"/>
      <c r="F200" s="138"/>
      <c r="G200" s="25"/>
      <c r="H200" s="26"/>
    </row>
    <row r="201" ht="22.5" customHeight="1">
      <c r="A201" s="24"/>
      <c r="B201" s="71"/>
      <c r="C201" s="71"/>
      <c r="D201" s="71"/>
      <c r="E201" s="138"/>
      <c r="F201" s="138"/>
      <c r="G201" s="25"/>
      <c r="H201" s="26"/>
    </row>
    <row r="202" ht="22.5" customHeight="1">
      <c r="A202" s="24"/>
      <c r="B202" s="71"/>
      <c r="C202" s="71"/>
      <c r="D202" s="71"/>
      <c r="E202" s="138"/>
      <c r="F202" s="138"/>
      <c r="G202" s="25"/>
      <c r="H202" s="26"/>
    </row>
    <row r="203" ht="22.5" customHeight="1">
      <c r="A203" s="24"/>
      <c r="B203" s="71"/>
      <c r="C203" s="71"/>
      <c r="D203" s="71"/>
      <c r="E203" s="138"/>
      <c r="F203" s="138"/>
      <c r="G203" s="25"/>
      <c r="H203" s="26"/>
    </row>
    <row r="204" ht="22.5" customHeight="1">
      <c r="A204" s="24"/>
      <c r="B204" s="71"/>
      <c r="C204" s="71"/>
      <c r="D204" s="71"/>
      <c r="E204" s="138"/>
      <c r="F204" s="138"/>
      <c r="G204" s="25"/>
      <c r="H204" s="26"/>
    </row>
    <row r="205" ht="22.5" customHeight="1">
      <c r="A205" s="24"/>
      <c r="B205" s="71"/>
      <c r="C205" s="71"/>
      <c r="D205" s="71"/>
      <c r="E205" s="138"/>
      <c r="F205" s="138"/>
      <c r="G205" s="25"/>
      <c r="H205" s="26"/>
    </row>
    <row r="206" ht="22.5" customHeight="1">
      <c r="A206" s="24"/>
      <c r="B206" s="71"/>
      <c r="C206" s="71"/>
      <c r="D206" s="71"/>
      <c r="E206" s="138"/>
      <c r="F206" s="138"/>
      <c r="G206" s="25"/>
      <c r="H206" s="26"/>
    </row>
    <row r="207" ht="22.5" customHeight="1">
      <c r="A207" s="24"/>
      <c r="B207" s="71"/>
      <c r="C207" s="71"/>
      <c r="D207" s="71"/>
      <c r="E207" s="138"/>
      <c r="F207" s="138"/>
      <c r="G207" s="25"/>
      <c r="H207" s="26"/>
    </row>
    <row r="208" ht="22.5" customHeight="1">
      <c r="A208" s="24"/>
      <c r="B208" s="71"/>
      <c r="C208" s="71"/>
      <c r="D208" s="71"/>
      <c r="E208" s="138"/>
      <c r="F208" s="138"/>
      <c r="G208" s="25"/>
      <c r="H208" s="26"/>
    </row>
    <row r="209" ht="22.5" customHeight="1">
      <c r="A209" s="24"/>
      <c r="B209" s="71"/>
      <c r="C209" s="71"/>
      <c r="D209" s="71"/>
      <c r="E209" s="138"/>
      <c r="F209" s="138"/>
      <c r="G209" s="25"/>
      <c r="H209" s="26"/>
    </row>
    <row r="210" ht="22.5" customHeight="1">
      <c r="A210" s="24"/>
      <c r="B210" s="71"/>
      <c r="C210" s="71"/>
      <c r="D210" s="71"/>
      <c r="E210" s="138"/>
      <c r="F210" s="138"/>
      <c r="G210" s="25"/>
      <c r="H210" s="26"/>
    </row>
    <row r="211" ht="22.5" customHeight="1">
      <c r="A211" s="24"/>
      <c r="B211" s="71"/>
      <c r="C211" s="71"/>
      <c r="D211" s="71"/>
      <c r="E211" s="138"/>
      <c r="F211" s="138"/>
      <c r="G211" s="25"/>
      <c r="H211" s="26"/>
    </row>
    <row r="212" ht="22.5" customHeight="1">
      <c r="A212" s="24"/>
      <c r="B212" s="71"/>
      <c r="C212" s="71"/>
      <c r="D212" s="71"/>
      <c r="E212" s="138"/>
      <c r="F212" s="138"/>
      <c r="G212" s="25"/>
      <c r="H212" s="26"/>
    </row>
    <row r="213" ht="22.5" customHeight="1">
      <c r="A213" s="24"/>
      <c r="B213" s="71"/>
      <c r="C213" s="71"/>
      <c r="D213" s="71"/>
      <c r="E213" s="138"/>
      <c r="F213" s="138"/>
      <c r="G213" s="25"/>
      <c r="H213" s="26"/>
    </row>
    <row r="214" ht="22.5" customHeight="1">
      <c r="A214" s="24"/>
      <c r="B214" s="71"/>
      <c r="C214" s="71"/>
      <c r="D214" s="71"/>
      <c r="E214" s="138"/>
      <c r="F214" s="138"/>
      <c r="G214" s="25"/>
      <c r="H214" s="26"/>
    </row>
    <row r="215" ht="22.5" customHeight="1">
      <c r="A215" s="24"/>
      <c r="B215" s="71"/>
      <c r="C215" s="71"/>
      <c r="D215" s="71"/>
      <c r="E215" s="138"/>
      <c r="F215" s="138"/>
      <c r="G215" s="25"/>
      <c r="H215" s="26"/>
    </row>
    <row r="216" ht="22.5" customHeight="1">
      <c r="A216" s="24"/>
      <c r="B216" s="71"/>
      <c r="C216" s="71"/>
      <c r="D216" s="71"/>
      <c r="E216" s="138"/>
      <c r="F216" s="138"/>
      <c r="G216" s="25"/>
      <c r="H216" s="26"/>
    </row>
    <row r="217" ht="22.5" customHeight="1">
      <c r="A217" s="24"/>
      <c r="B217" s="71"/>
      <c r="C217" s="71"/>
      <c r="D217" s="71"/>
      <c r="E217" s="138"/>
      <c r="F217" s="138"/>
      <c r="G217" s="25"/>
      <c r="H217" s="26"/>
    </row>
    <row r="218" ht="22.5" customHeight="1">
      <c r="A218" s="24"/>
      <c r="B218" s="71"/>
      <c r="C218" s="71"/>
      <c r="D218" s="71"/>
      <c r="E218" s="138"/>
      <c r="F218" s="138"/>
      <c r="G218" s="25"/>
      <c r="H218" s="26"/>
    </row>
    <row r="219" ht="22.5" customHeight="1">
      <c r="A219" s="24"/>
      <c r="B219" s="71"/>
      <c r="C219" s="71"/>
      <c r="D219" s="71"/>
      <c r="E219" s="138"/>
      <c r="F219" s="138"/>
      <c r="G219" s="25"/>
      <c r="H219" s="26"/>
    </row>
    <row r="220" ht="22.5" customHeight="1">
      <c r="A220" s="24"/>
      <c r="B220" s="71"/>
      <c r="C220" s="71"/>
      <c r="D220" s="71"/>
      <c r="E220" s="138"/>
      <c r="F220" s="138"/>
      <c r="G220" s="25"/>
      <c r="H220" s="26"/>
    </row>
    <row r="221" ht="22.5" customHeight="1">
      <c r="A221" s="24"/>
      <c r="B221" s="71"/>
      <c r="C221" s="71"/>
      <c r="D221" s="71"/>
      <c r="E221" s="138"/>
      <c r="F221" s="138"/>
      <c r="G221" s="25"/>
      <c r="H221" s="26"/>
    </row>
    <row r="222" ht="22.5" customHeight="1">
      <c r="A222" s="24"/>
      <c r="B222" s="71"/>
      <c r="C222" s="71"/>
      <c r="D222" s="71"/>
      <c r="E222" s="138"/>
      <c r="F222" s="138"/>
      <c r="G222" s="25"/>
      <c r="H222" s="26"/>
    </row>
    <row r="223" ht="22.5" customHeight="1">
      <c r="A223" s="24"/>
      <c r="B223" s="71"/>
      <c r="C223" s="71"/>
      <c r="D223" s="71"/>
      <c r="E223" s="138"/>
      <c r="F223" s="138"/>
      <c r="G223" s="25"/>
      <c r="H223" s="26"/>
    </row>
    <row r="224" ht="22.5" customHeight="1">
      <c r="A224" s="24"/>
      <c r="B224" s="71"/>
      <c r="C224" s="71"/>
      <c r="D224" s="71"/>
      <c r="E224" s="138"/>
      <c r="F224" s="138"/>
      <c r="G224" s="25"/>
      <c r="H224" s="26"/>
    </row>
    <row r="225" ht="22.5" customHeight="1">
      <c r="A225" s="24"/>
      <c r="B225" s="71"/>
      <c r="C225" s="71"/>
      <c r="D225" s="71"/>
      <c r="E225" s="138"/>
      <c r="F225" s="138"/>
      <c r="G225" s="25"/>
      <c r="H225" s="26"/>
    </row>
    <row r="226" ht="22.5" customHeight="1">
      <c r="A226" s="24"/>
      <c r="B226" s="71"/>
      <c r="C226" s="71"/>
      <c r="D226" s="71"/>
      <c r="E226" s="138"/>
      <c r="F226" s="138"/>
      <c r="G226" s="25"/>
      <c r="H226" s="26"/>
    </row>
    <row r="227" ht="22.5" customHeight="1">
      <c r="A227" s="24"/>
      <c r="B227" s="71"/>
      <c r="C227" s="71"/>
      <c r="D227" s="71"/>
      <c r="E227" s="138"/>
      <c r="F227" s="138"/>
      <c r="G227" s="25"/>
      <c r="H227" s="26"/>
    </row>
    <row r="228" ht="22.5" customHeight="1">
      <c r="A228" s="24"/>
      <c r="B228" s="71"/>
      <c r="C228" s="71"/>
      <c r="D228" s="71"/>
      <c r="E228" s="138"/>
      <c r="F228" s="138"/>
      <c r="G228" s="25"/>
      <c r="H228" s="26"/>
    </row>
    <row r="229" ht="22.5" customHeight="1">
      <c r="A229" s="24"/>
      <c r="B229" s="71"/>
      <c r="C229" s="71"/>
      <c r="D229" s="71"/>
      <c r="E229" s="138"/>
      <c r="F229" s="138"/>
      <c r="G229" s="25"/>
      <c r="H229" s="26"/>
    </row>
    <row r="230" ht="22.5" customHeight="1">
      <c r="A230" s="24"/>
      <c r="B230" s="71"/>
      <c r="C230" s="71"/>
      <c r="D230" s="71"/>
      <c r="E230" s="138"/>
      <c r="F230" s="138"/>
      <c r="G230" s="25"/>
      <c r="H230" s="26"/>
    </row>
    <row r="231" ht="22.5" customHeight="1">
      <c r="A231" s="24"/>
      <c r="B231" s="71"/>
      <c r="C231" s="71"/>
      <c r="D231" s="71"/>
      <c r="E231" s="138"/>
      <c r="F231" s="138"/>
      <c r="G231" s="25"/>
      <c r="H231" s="26"/>
    </row>
    <row r="232" ht="22.5" customHeight="1">
      <c r="A232" s="24"/>
      <c r="B232" s="71"/>
      <c r="C232" s="71"/>
      <c r="D232" s="71"/>
      <c r="E232" s="138"/>
      <c r="F232" s="138"/>
      <c r="G232" s="25"/>
      <c r="H232" s="26"/>
    </row>
    <row r="233" ht="22.5" customHeight="1">
      <c r="A233" s="24"/>
      <c r="B233" s="71"/>
      <c r="C233" s="71"/>
      <c r="D233" s="71"/>
      <c r="E233" s="138"/>
      <c r="F233" s="138"/>
      <c r="G233" s="25"/>
      <c r="H233" s="26"/>
    </row>
    <row r="234" ht="22.5" customHeight="1">
      <c r="A234" s="24"/>
      <c r="B234" s="71"/>
      <c r="C234" s="71"/>
      <c r="D234" s="71"/>
      <c r="E234" s="138"/>
      <c r="F234" s="138"/>
      <c r="G234" s="25"/>
      <c r="H234" s="26"/>
    </row>
    <row r="235" ht="22.5" customHeight="1">
      <c r="A235" s="24"/>
      <c r="B235" s="71"/>
      <c r="C235" s="71"/>
      <c r="D235" s="71"/>
      <c r="E235" s="138"/>
      <c r="F235" s="138"/>
      <c r="G235" s="25"/>
      <c r="H235" s="26"/>
    </row>
    <row r="236" ht="22.5" customHeight="1">
      <c r="A236" s="24"/>
      <c r="B236" s="71"/>
      <c r="C236" s="71"/>
      <c r="D236" s="71"/>
      <c r="E236" s="138"/>
      <c r="F236" s="138"/>
      <c r="G236" s="25"/>
      <c r="H236" s="26"/>
    </row>
    <row r="237" ht="22.5" customHeight="1">
      <c r="A237" s="24"/>
      <c r="B237" s="71"/>
      <c r="C237" s="71"/>
      <c r="D237" s="71"/>
      <c r="E237" s="138"/>
      <c r="F237" s="138"/>
      <c r="G237" s="25"/>
      <c r="H237" s="26"/>
    </row>
    <row r="238" ht="22.5" customHeight="1">
      <c r="A238" s="24"/>
      <c r="B238" s="71"/>
      <c r="C238" s="71"/>
      <c r="D238" s="71"/>
      <c r="E238" s="138"/>
      <c r="F238" s="138"/>
      <c r="G238" s="25"/>
      <c r="H238" s="26"/>
    </row>
    <row r="239" ht="22.5" customHeight="1">
      <c r="A239" s="24"/>
      <c r="B239" s="71"/>
      <c r="C239" s="71"/>
      <c r="D239" s="71"/>
      <c r="E239" s="138"/>
      <c r="F239" s="138"/>
      <c r="G239" s="25"/>
      <c r="H239" s="26"/>
    </row>
    <row r="240" ht="22.5" customHeight="1">
      <c r="A240" s="24"/>
      <c r="B240" s="71"/>
      <c r="C240" s="71"/>
      <c r="D240" s="71"/>
      <c r="E240" s="138"/>
      <c r="F240" s="138"/>
      <c r="G240" s="25"/>
      <c r="H240" s="26"/>
    </row>
    <row r="241" ht="22.5" customHeight="1">
      <c r="A241" s="24"/>
      <c r="B241" s="71"/>
      <c r="C241" s="71"/>
      <c r="D241" s="71"/>
      <c r="E241" s="138"/>
      <c r="F241" s="138"/>
      <c r="G241" s="25"/>
      <c r="H241" s="26"/>
    </row>
    <row r="242" ht="22.5" customHeight="1">
      <c r="A242" s="24"/>
      <c r="B242" s="71"/>
      <c r="C242" s="71"/>
      <c r="D242" s="71"/>
      <c r="E242" s="138"/>
      <c r="F242" s="138"/>
      <c r="G242" s="25"/>
      <c r="H242" s="26"/>
    </row>
    <row r="243" ht="22.5" customHeight="1">
      <c r="A243" s="24"/>
      <c r="B243" s="71"/>
      <c r="C243" s="71"/>
      <c r="D243" s="71"/>
      <c r="E243" s="138"/>
      <c r="F243" s="138"/>
      <c r="G243" s="25"/>
      <c r="H243" s="26"/>
    </row>
    <row r="244" ht="22.5" customHeight="1">
      <c r="A244" s="24"/>
      <c r="B244" s="71"/>
      <c r="C244" s="71"/>
      <c r="D244" s="71"/>
      <c r="E244" s="138"/>
      <c r="F244" s="138"/>
      <c r="G244" s="25"/>
      <c r="H244" s="26"/>
    </row>
    <row r="245" ht="22.5" customHeight="1">
      <c r="A245" s="24"/>
      <c r="B245" s="71"/>
      <c r="C245" s="71"/>
      <c r="D245" s="71"/>
      <c r="E245" s="138"/>
      <c r="F245" s="138"/>
      <c r="G245" s="25"/>
      <c r="H245" s="26"/>
    </row>
    <row r="246" ht="22.5" customHeight="1">
      <c r="A246" s="24"/>
      <c r="B246" s="71"/>
      <c r="C246" s="71"/>
      <c r="D246" s="71"/>
      <c r="E246" s="138"/>
      <c r="F246" s="138"/>
      <c r="G246" s="25"/>
      <c r="H246" s="26"/>
    </row>
    <row r="247" ht="22.5" customHeight="1">
      <c r="A247" s="24"/>
      <c r="B247" s="71"/>
      <c r="C247" s="71"/>
      <c r="D247" s="71"/>
      <c r="E247" s="138"/>
      <c r="F247" s="138"/>
      <c r="G247" s="25"/>
      <c r="H247" s="26"/>
    </row>
    <row r="248" ht="22.5" customHeight="1">
      <c r="A248" s="24"/>
      <c r="B248" s="71"/>
      <c r="C248" s="71"/>
      <c r="D248" s="71"/>
      <c r="E248" s="138"/>
      <c r="F248" s="138"/>
      <c r="G248" s="25"/>
      <c r="H248" s="26"/>
    </row>
    <row r="249" ht="22.5" customHeight="1">
      <c r="A249" s="24"/>
      <c r="B249" s="71"/>
      <c r="C249" s="71"/>
      <c r="D249" s="71"/>
      <c r="E249" s="138"/>
      <c r="F249" s="138"/>
      <c r="G249" s="25"/>
      <c r="H249" s="26"/>
    </row>
    <row r="250" ht="22.5" customHeight="1">
      <c r="A250" s="24"/>
      <c r="B250" s="71"/>
      <c r="C250" s="71"/>
      <c r="D250" s="71"/>
      <c r="E250" s="138"/>
      <c r="F250" s="138"/>
      <c r="G250" s="25"/>
      <c r="H250" s="26"/>
    </row>
    <row r="251" ht="22.5" customHeight="1">
      <c r="A251" s="24"/>
      <c r="B251" s="71"/>
      <c r="C251" s="71"/>
      <c r="D251" s="71"/>
      <c r="E251" s="138"/>
      <c r="F251" s="138"/>
      <c r="G251" s="25"/>
      <c r="H251" s="26"/>
    </row>
    <row r="252" ht="22.5" customHeight="1">
      <c r="A252" s="24"/>
      <c r="B252" s="71"/>
      <c r="C252" s="71"/>
      <c r="D252" s="71"/>
      <c r="E252" s="138"/>
      <c r="F252" s="138"/>
      <c r="G252" s="25"/>
      <c r="H252" s="26"/>
    </row>
    <row r="253" ht="22.5" customHeight="1">
      <c r="A253" s="24"/>
      <c r="B253" s="71"/>
      <c r="C253" s="71"/>
      <c r="D253" s="71"/>
      <c r="E253" s="138"/>
      <c r="F253" s="138"/>
      <c r="G253" s="25"/>
      <c r="H253" s="26"/>
    </row>
    <row r="254" ht="22.5" customHeight="1">
      <c r="A254" s="24"/>
      <c r="B254" s="71"/>
      <c r="C254" s="71"/>
      <c r="D254" s="71"/>
      <c r="E254" s="138"/>
      <c r="F254" s="138"/>
      <c r="G254" s="25"/>
      <c r="H254" s="26"/>
    </row>
    <row r="255" ht="22.5" customHeight="1">
      <c r="A255" s="24"/>
      <c r="B255" s="71"/>
      <c r="C255" s="71"/>
      <c r="D255" s="71"/>
      <c r="E255" s="138"/>
      <c r="F255" s="138"/>
      <c r="G255" s="25"/>
      <c r="H255" s="26"/>
    </row>
    <row r="256" ht="22.5" customHeight="1">
      <c r="A256" s="24"/>
      <c r="B256" s="71"/>
      <c r="C256" s="71"/>
      <c r="D256" s="71"/>
      <c r="E256" s="138"/>
      <c r="F256" s="138"/>
      <c r="G256" s="25"/>
      <c r="H256" s="26"/>
    </row>
    <row r="257" ht="22.5" customHeight="1">
      <c r="A257" s="24"/>
      <c r="B257" s="71"/>
      <c r="C257" s="71"/>
      <c r="D257" s="71"/>
      <c r="E257" s="138"/>
      <c r="F257" s="138"/>
      <c r="G257" s="25"/>
      <c r="H257" s="26"/>
    </row>
    <row r="258" ht="22.5" customHeight="1">
      <c r="A258" s="24"/>
      <c r="B258" s="71"/>
      <c r="C258" s="71"/>
      <c r="D258" s="71"/>
      <c r="E258" s="138"/>
      <c r="F258" s="138"/>
      <c r="G258" s="25"/>
      <c r="H258" s="26"/>
    </row>
    <row r="259" ht="22.5" customHeight="1">
      <c r="A259" s="24"/>
      <c r="B259" s="71"/>
      <c r="C259" s="71"/>
      <c r="D259" s="71"/>
      <c r="E259" s="138"/>
      <c r="F259" s="138"/>
      <c r="G259" s="25"/>
      <c r="H259" s="26"/>
    </row>
    <row r="260" ht="22.5" customHeight="1">
      <c r="A260" s="24"/>
      <c r="B260" s="71"/>
      <c r="C260" s="71"/>
      <c r="D260" s="71"/>
      <c r="E260" s="138"/>
      <c r="F260" s="138"/>
      <c r="G260" s="25"/>
      <c r="H260" s="26"/>
    </row>
    <row r="261" ht="22.5" customHeight="1">
      <c r="A261" s="24"/>
      <c r="B261" s="71"/>
      <c r="C261" s="71"/>
      <c r="D261" s="71"/>
      <c r="E261" s="138"/>
      <c r="F261" s="138"/>
      <c r="G261" s="25"/>
      <c r="H261" s="26"/>
    </row>
    <row r="262" ht="22.5" customHeight="1">
      <c r="A262" s="24"/>
      <c r="B262" s="71"/>
      <c r="C262" s="71"/>
      <c r="D262" s="71"/>
      <c r="E262" s="138"/>
      <c r="F262" s="138"/>
      <c r="G262" s="25"/>
      <c r="H262" s="26"/>
    </row>
    <row r="263" ht="22.5" customHeight="1">
      <c r="A263" s="24"/>
      <c r="B263" s="71"/>
      <c r="C263" s="71"/>
      <c r="D263" s="71"/>
      <c r="E263" s="138"/>
      <c r="F263" s="138"/>
      <c r="G263" s="25"/>
      <c r="H263" s="26"/>
    </row>
    <row r="264" ht="22.5" customHeight="1">
      <c r="A264" s="24"/>
      <c r="B264" s="71"/>
      <c r="C264" s="71"/>
      <c r="D264" s="71"/>
      <c r="E264" s="138"/>
      <c r="F264" s="138"/>
      <c r="G264" s="25"/>
      <c r="H264" s="26"/>
    </row>
    <row r="265" ht="22.5" customHeight="1">
      <c r="A265" s="24"/>
      <c r="B265" s="71"/>
      <c r="C265" s="71"/>
      <c r="D265" s="71"/>
      <c r="E265" s="138"/>
      <c r="F265" s="138"/>
      <c r="G265" s="25"/>
      <c r="H265" s="26"/>
    </row>
    <row r="266" ht="22.5" customHeight="1">
      <c r="A266" s="24"/>
      <c r="B266" s="71"/>
      <c r="C266" s="71"/>
      <c r="D266" s="71"/>
      <c r="E266" s="138"/>
      <c r="F266" s="138"/>
      <c r="G266" s="25"/>
      <c r="H266" s="26"/>
    </row>
    <row r="267" ht="22.5" customHeight="1">
      <c r="A267" s="24"/>
      <c r="B267" s="71"/>
      <c r="C267" s="71"/>
      <c r="D267" s="71"/>
      <c r="E267" s="138"/>
      <c r="F267" s="138"/>
      <c r="G267" s="25"/>
      <c r="H267" s="26"/>
    </row>
    <row r="268" ht="22.5" customHeight="1">
      <c r="A268" s="24"/>
      <c r="B268" s="71"/>
      <c r="C268" s="71"/>
      <c r="D268" s="71"/>
      <c r="E268" s="138"/>
      <c r="F268" s="138"/>
      <c r="G268" s="25"/>
      <c r="H268" s="26"/>
    </row>
    <row r="269" ht="22.5" customHeight="1">
      <c r="A269" s="24"/>
      <c r="B269" s="71"/>
      <c r="C269" s="71"/>
      <c r="D269" s="71"/>
      <c r="E269" s="138"/>
      <c r="F269" s="138"/>
      <c r="G269" s="25"/>
      <c r="H269" s="26"/>
    </row>
    <row r="270" ht="22.5" customHeight="1">
      <c r="A270" s="24"/>
      <c r="B270" s="71"/>
      <c r="C270" s="71"/>
      <c r="D270" s="71"/>
      <c r="E270" s="138"/>
      <c r="F270" s="138"/>
      <c r="G270" s="25"/>
      <c r="H270" s="26"/>
    </row>
    <row r="271" ht="22.5" customHeight="1">
      <c r="A271" s="24"/>
      <c r="B271" s="71"/>
      <c r="C271" s="71"/>
      <c r="D271" s="71"/>
      <c r="E271" s="138"/>
      <c r="F271" s="138"/>
      <c r="G271" s="25"/>
      <c r="H271" s="26"/>
    </row>
    <row r="272" ht="22.5" customHeight="1">
      <c r="A272" s="24"/>
      <c r="B272" s="71"/>
      <c r="C272" s="71"/>
      <c r="D272" s="71"/>
      <c r="E272" s="138"/>
      <c r="F272" s="138"/>
      <c r="G272" s="25"/>
      <c r="H272" s="26"/>
    </row>
    <row r="273" ht="22.5" customHeight="1">
      <c r="A273" s="24"/>
      <c r="B273" s="71"/>
      <c r="C273" s="71"/>
      <c r="D273" s="71"/>
      <c r="E273" s="138"/>
      <c r="F273" s="138"/>
      <c r="G273" s="25"/>
      <c r="H273" s="26"/>
    </row>
    <row r="274" ht="22.5" customHeight="1">
      <c r="A274" s="24"/>
      <c r="B274" s="71"/>
      <c r="C274" s="71"/>
      <c r="D274" s="71"/>
      <c r="E274" s="138"/>
      <c r="F274" s="138"/>
      <c r="G274" s="25"/>
      <c r="H274" s="26"/>
    </row>
    <row r="275" ht="22.5" customHeight="1">
      <c r="A275" s="24"/>
      <c r="B275" s="71"/>
      <c r="C275" s="71"/>
      <c r="D275" s="71"/>
      <c r="E275" s="138"/>
      <c r="F275" s="138"/>
      <c r="G275" s="25"/>
      <c r="H275" s="26"/>
    </row>
    <row r="276" ht="22.5" customHeight="1">
      <c r="A276" s="24"/>
      <c r="B276" s="71"/>
      <c r="C276" s="71"/>
      <c r="D276" s="71"/>
      <c r="E276" s="138"/>
      <c r="F276" s="138"/>
      <c r="G276" s="25"/>
      <c r="H276" s="26"/>
    </row>
    <row r="277" ht="22.5" customHeight="1">
      <c r="A277" s="24"/>
      <c r="B277" s="71"/>
      <c r="C277" s="71"/>
      <c r="D277" s="71"/>
      <c r="E277" s="138"/>
      <c r="F277" s="138"/>
      <c r="G277" s="25"/>
      <c r="H277" s="26"/>
    </row>
    <row r="278" ht="22.5" customHeight="1">
      <c r="A278" s="24"/>
      <c r="B278" s="71"/>
      <c r="C278" s="71"/>
      <c r="D278" s="71"/>
      <c r="E278" s="138"/>
      <c r="F278" s="138"/>
      <c r="G278" s="25"/>
      <c r="H278" s="26"/>
    </row>
    <row r="279" ht="22.5" customHeight="1">
      <c r="A279" s="24"/>
      <c r="B279" s="71"/>
      <c r="C279" s="71"/>
      <c r="D279" s="71"/>
      <c r="E279" s="138"/>
      <c r="F279" s="138"/>
      <c r="G279" s="25"/>
      <c r="H279" s="26"/>
    </row>
    <row r="280" ht="22.5" customHeight="1">
      <c r="A280" s="24"/>
      <c r="B280" s="71"/>
      <c r="C280" s="71"/>
      <c r="D280" s="71"/>
      <c r="E280" s="138"/>
      <c r="F280" s="138"/>
      <c r="G280" s="25"/>
      <c r="H280" s="26"/>
    </row>
    <row r="281" ht="22.5" customHeight="1">
      <c r="A281" s="24"/>
      <c r="B281" s="71"/>
      <c r="C281" s="71"/>
      <c r="D281" s="71"/>
      <c r="E281" s="138"/>
      <c r="F281" s="138"/>
      <c r="G281" s="25"/>
      <c r="H281" s="26"/>
    </row>
    <row r="282" ht="22.5" customHeight="1">
      <c r="A282" s="24"/>
      <c r="B282" s="71"/>
      <c r="C282" s="71"/>
      <c r="D282" s="71"/>
      <c r="E282" s="138"/>
      <c r="F282" s="138"/>
      <c r="G282" s="25"/>
      <c r="H282" s="26"/>
    </row>
    <row r="283" ht="22.5" customHeight="1">
      <c r="A283" s="24"/>
      <c r="B283" s="71"/>
      <c r="C283" s="71"/>
      <c r="D283" s="71"/>
      <c r="E283" s="138"/>
      <c r="F283" s="138"/>
      <c r="G283" s="25"/>
      <c r="H283" s="26"/>
    </row>
    <row r="284" ht="22.5" customHeight="1">
      <c r="A284" s="24"/>
      <c r="B284" s="71"/>
      <c r="C284" s="71"/>
      <c r="D284" s="71"/>
      <c r="E284" s="138"/>
      <c r="F284" s="138"/>
      <c r="G284" s="25"/>
      <c r="H284" s="26"/>
    </row>
    <row r="285" ht="22.5" customHeight="1">
      <c r="A285" s="24"/>
      <c r="B285" s="71"/>
      <c r="C285" s="71"/>
      <c r="D285" s="71"/>
      <c r="E285" s="138"/>
      <c r="F285" s="138"/>
      <c r="G285" s="25"/>
      <c r="H285" s="26"/>
    </row>
    <row r="286" ht="22.5" customHeight="1">
      <c r="A286" s="24"/>
      <c r="B286" s="71"/>
      <c r="C286" s="71"/>
      <c r="D286" s="71"/>
      <c r="E286" s="138"/>
      <c r="F286" s="138"/>
      <c r="G286" s="25"/>
      <c r="H286" s="26"/>
    </row>
    <row r="287" ht="22.5" customHeight="1">
      <c r="A287" s="24"/>
      <c r="B287" s="71"/>
      <c r="C287" s="71"/>
      <c r="D287" s="71"/>
      <c r="E287" s="138"/>
      <c r="F287" s="138"/>
      <c r="G287" s="25"/>
      <c r="H287" s="26"/>
    </row>
    <row r="288" ht="22.5" customHeight="1">
      <c r="A288" s="24"/>
      <c r="B288" s="71"/>
      <c r="C288" s="71"/>
      <c r="D288" s="71"/>
      <c r="E288" s="138"/>
      <c r="F288" s="138"/>
      <c r="G288" s="25"/>
      <c r="H288" s="26"/>
    </row>
    <row r="289" ht="22.5" customHeight="1">
      <c r="A289" s="24"/>
      <c r="B289" s="71"/>
      <c r="C289" s="71"/>
      <c r="D289" s="71"/>
      <c r="E289" s="138"/>
      <c r="F289" s="138"/>
      <c r="G289" s="25"/>
      <c r="H289" s="26"/>
    </row>
    <row r="290" ht="22.5" customHeight="1">
      <c r="A290" s="24"/>
      <c r="B290" s="71"/>
      <c r="C290" s="71"/>
      <c r="D290" s="71"/>
      <c r="E290" s="138"/>
      <c r="F290" s="138"/>
      <c r="G290" s="25"/>
      <c r="H290" s="26"/>
    </row>
    <row r="291" ht="22.5" customHeight="1">
      <c r="A291" s="24"/>
      <c r="B291" s="71"/>
      <c r="C291" s="71"/>
      <c r="D291" s="71"/>
      <c r="E291" s="138"/>
      <c r="F291" s="138"/>
      <c r="G291" s="25"/>
      <c r="H291" s="26"/>
    </row>
    <row r="292" ht="22.5" customHeight="1">
      <c r="A292" s="24"/>
      <c r="B292" s="71"/>
      <c r="C292" s="71"/>
      <c r="D292" s="71"/>
      <c r="E292" s="138"/>
      <c r="F292" s="138"/>
      <c r="G292" s="25"/>
      <c r="H292" s="26"/>
    </row>
    <row r="293" ht="22.5" customHeight="1">
      <c r="A293" s="24"/>
      <c r="B293" s="71"/>
      <c r="C293" s="71"/>
      <c r="D293" s="71"/>
      <c r="E293" s="138"/>
      <c r="F293" s="138"/>
      <c r="G293" s="25"/>
      <c r="H293" s="26"/>
    </row>
    <row r="294" ht="22.5" customHeight="1">
      <c r="A294" s="24"/>
      <c r="B294" s="71"/>
      <c r="C294" s="71"/>
      <c r="D294" s="71"/>
      <c r="E294" s="138"/>
      <c r="F294" s="138"/>
      <c r="G294" s="25"/>
      <c r="H294" s="26"/>
    </row>
    <row r="295" ht="22.5" customHeight="1">
      <c r="A295" s="24"/>
      <c r="B295" s="71"/>
      <c r="C295" s="71"/>
      <c r="D295" s="71"/>
      <c r="E295" s="138"/>
      <c r="F295" s="138"/>
      <c r="G295" s="25"/>
      <c r="H295" s="26"/>
    </row>
    <row r="296" ht="22.5" customHeight="1">
      <c r="A296" s="24"/>
      <c r="B296" s="71"/>
      <c r="C296" s="71"/>
      <c r="D296" s="71"/>
      <c r="E296" s="138"/>
      <c r="F296" s="138"/>
      <c r="G296" s="25"/>
      <c r="H296" s="26"/>
    </row>
    <row r="297" ht="22.5" customHeight="1">
      <c r="A297" s="24"/>
      <c r="B297" s="71"/>
      <c r="C297" s="71"/>
      <c r="D297" s="71"/>
      <c r="E297" s="138"/>
      <c r="F297" s="138"/>
      <c r="G297" s="25"/>
      <c r="H297" s="26"/>
    </row>
    <row r="298" ht="22.5" customHeight="1">
      <c r="A298" s="24"/>
      <c r="B298" s="71"/>
      <c r="C298" s="71"/>
      <c r="D298" s="71"/>
      <c r="E298" s="138"/>
      <c r="F298" s="138"/>
      <c r="G298" s="25"/>
      <c r="H298" s="26"/>
    </row>
    <row r="299" ht="22.5" customHeight="1">
      <c r="A299" s="24"/>
      <c r="B299" s="71"/>
      <c r="C299" s="71"/>
      <c r="D299" s="71"/>
      <c r="E299" s="138"/>
      <c r="F299" s="138"/>
      <c r="G299" s="25"/>
      <c r="H299" s="26"/>
    </row>
    <row r="300" ht="22.5" customHeight="1">
      <c r="A300" s="24"/>
      <c r="B300" s="71"/>
      <c r="C300" s="71"/>
      <c r="D300" s="71"/>
      <c r="E300" s="138"/>
      <c r="F300" s="138"/>
      <c r="G300" s="25"/>
      <c r="H300" s="26"/>
    </row>
    <row r="301" ht="22.5" customHeight="1">
      <c r="A301" s="24"/>
      <c r="B301" s="71"/>
      <c r="C301" s="71"/>
      <c r="D301" s="71"/>
      <c r="E301" s="138"/>
      <c r="F301" s="138"/>
      <c r="G301" s="25"/>
      <c r="H301" s="26"/>
    </row>
    <row r="302" ht="22.5" customHeight="1">
      <c r="A302" s="24"/>
      <c r="B302" s="71"/>
      <c r="C302" s="71"/>
      <c r="D302" s="71"/>
      <c r="E302" s="138"/>
      <c r="F302" s="138"/>
      <c r="G302" s="25"/>
      <c r="H302" s="26"/>
    </row>
    <row r="303" ht="22.5" customHeight="1">
      <c r="A303" s="24"/>
      <c r="B303" s="71"/>
      <c r="C303" s="71"/>
      <c r="D303" s="71"/>
      <c r="E303" s="138"/>
      <c r="F303" s="138"/>
      <c r="G303" s="25"/>
      <c r="H303" s="26"/>
    </row>
    <row r="304" ht="22.5" customHeight="1">
      <c r="A304" s="24"/>
      <c r="B304" s="71"/>
      <c r="C304" s="71"/>
      <c r="D304" s="71"/>
      <c r="E304" s="138"/>
      <c r="F304" s="138"/>
      <c r="G304" s="25"/>
      <c r="H304" s="26"/>
    </row>
    <row r="305" ht="22.5" customHeight="1">
      <c r="A305" s="24"/>
      <c r="B305" s="71"/>
      <c r="C305" s="71"/>
      <c r="D305" s="71"/>
      <c r="E305" s="138"/>
      <c r="F305" s="138"/>
      <c r="G305" s="25"/>
      <c r="H305" s="26"/>
    </row>
    <row r="306" ht="22.5" customHeight="1">
      <c r="A306" s="24"/>
      <c r="B306" s="71"/>
      <c r="C306" s="71"/>
      <c r="D306" s="71"/>
      <c r="E306" s="138"/>
      <c r="F306" s="138"/>
      <c r="G306" s="25"/>
      <c r="H306" s="26"/>
    </row>
    <row r="307" ht="22.5" customHeight="1">
      <c r="A307" s="24"/>
      <c r="B307" s="71"/>
      <c r="C307" s="71"/>
      <c r="D307" s="71"/>
      <c r="E307" s="138"/>
      <c r="F307" s="138"/>
      <c r="G307" s="25"/>
      <c r="H307" s="26"/>
    </row>
    <row r="308" ht="22.5" customHeight="1">
      <c r="A308" s="24"/>
      <c r="B308" s="71"/>
      <c r="C308" s="71"/>
      <c r="D308" s="71"/>
      <c r="E308" s="138"/>
      <c r="F308" s="138"/>
      <c r="G308" s="25"/>
      <c r="H308" s="26"/>
    </row>
    <row r="309" ht="22.5" customHeight="1">
      <c r="A309" s="24"/>
      <c r="B309" s="71"/>
      <c r="C309" s="71"/>
      <c r="D309" s="71"/>
      <c r="E309" s="138"/>
      <c r="F309" s="138"/>
      <c r="G309" s="25"/>
      <c r="H309" s="26"/>
    </row>
    <row r="310" ht="22.5" customHeight="1">
      <c r="A310" s="24"/>
      <c r="B310" s="71"/>
      <c r="C310" s="71"/>
      <c r="D310" s="71"/>
      <c r="E310" s="138"/>
      <c r="F310" s="138"/>
      <c r="G310" s="25"/>
      <c r="H310" s="26"/>
    </row>
    <row r="311" ht="22.5" customHeight="1">
      <c r="A311" s="24"/>
      <c r="B311" s="71"/>
      <c r="C311" s="71"/>
      <c r="D311" s="71"/>
      <c r="E311" s="138"/>
      <c r="F311" s="138"/>
      <c r="G311" s="25"/>
      <c r="H311" s="26"/>
    </row>
    <row r="312" ht="22.5" customHeight="1">
      <c r="A312" s="24"/>
      <c r="B312" s="71"/>
      <c r="C312" s="71"/>
      <c r="D312" s="71"/>
      <c r="E312" s="138"/>
      <c r="F312" s="138"/>
      <c r="G312" s="25"/>
      <c r="H312" s="26"/>
    </row>
    <row r="313" ht="22.5" customHeight="1">
      <c r="A313" s="24"/>
      <c r="B313" s="71"/>
      <c r="C313" s="71"/>
      <c r="D313" s="71"/>
      <c r="E313" s="138"/>
      <c r="F313" s="138"/>
      <c r="G313" s="25"/>
      <c r="H313" s="26"/>
    </row>
    <row r="314" ht="22.5" customHeight="1">
      <c r="A314" s="24"/>
      <c r="B314" s="71"/>
      <c r="C314" s="71"/>
      <c r="D314" s="71"/>
      <c r="E314" s="138"/>
      <c r="F314" s="138"/>
      <c r="G314" s="25"/>
      <c r="H314" s="26"/>
    </row>
    <row r="315" ht="22.5" customHeight="1">
      <c r="A315" s="24"/>
      <c r="B315" s="71"/>
      <c r="C315" s="71"/>
      <c r="D315" s="71"/>
      <c r="E315" s="138"/>
      <c r="F315" s="138"/>
      <c r="G315" s="25"/>
      <c r="H315" s="26"/>
    </row>
    <row r="316" ht="22.5" customHeight="1">
      <c r="A316" s="24"/>
      <c r="B316" s="71"/>
      <c r="C316" s="71"/>
      <c r="D316" s="71"/>
      <c r="E316" s="138"/>
      <c r="F316" s="138"/>
      <c r="G316" s="25"/>
      <c r="H316" s="26"/>
    </row>
    <row r="317" ht="22.5" customHeight="1">
      <c r="A317" s="24"/>
      <c r="B317" s="71"/>
      <c r="C317" s="71"/>
      <c r="D317" s="71"/>
      <c r="E317" s="138"/>
      <c r="F317" s="138"/>
      <c r="G317" s="25"/>
      <c r="H317" s="26"/>
    </row>
    <row r="318" ht="22.5" customHeight="1">
      <c r="A318" s="24"/>
      <c r="B318" s="71"/>
      <c r="C318" s="71"/>
      <c r="D318" s="71"/>
      <c r="E318" s="138"/>
      <c r="F318" s="138"/>
      <c r="G318" s="25"/>
      <c r="H318" s="26"/>
    </row>
    <row r="319" ht="22.5" customHeight="1">
      <c r="A319" s="24"/>
      <c r="B319" s="71"/>
      <c r="C319" s="71"/>
      <c r="D319" s="71"/>
      <c r="E319" s="138"/>
      <c r="F319" s="138"/>
      <c r="G319" s="25"/>
      <c r="H319" s="26"/>
    </row>
    <row r="320" ht="22.5" customHeight="1">
      <c r="A320" s="24"/>
      <c r="B320" s="71"/>
      <c r="C320" s="71"/>
      <c r="D320" s="71"/>
      <c r="E320" s="138"/>
      <c r="F320" s="138"/>
      <c r="G320" s="25"/>
      <c r="H320" s="26"/>
    </row>
    <row r="321" ht="22.5" customHeight="1">
      <c r="A321" s="24"/>
      <c r="B321" s="71"/>
      <c r="C321" s="71"/>
      <c r="D321" s="71"/>
      <c r="E321" s="138"/>
      <c r="F321" s="138"/>
      <c r="G321" s="25"/>
      <c r="H321" s="26"/>
    </row>
    <row r="322" ht="22.5" customHeight="1">
      <c r="A322" s="24"/>
      <c r="B322" s="71"/>
      <c r="C322" s="71"/>
      <c r="D322" s="71"/>
      <c r="E322" s="138"/>
      <c r="F322" s="138"/>
      <c r="G322" s="25"/>
      <c r="H322" s="26"/>
    </row>
    <row r="323" ht="22.5" customHeight="1">
      <c r="A323" s="24"/>
      <c r="B323" s="71"/>
      <c r="C323" s="71"/>
      <c r="D323" s="71"/>
      <c r="E323" s="138"/>
      <c r="F323" s="138"/>
      <c r="G323" s="25"/>
      <c r="H323" s="26"/>
    </row>
    <row r="324" ht="22.5" customHeight="1">
      <c r="A324" s="24"/>
      <c r="B324" s="71"/>
      <c r="C324" s="71"/>
      <c r="D324" s="71"/>
      <c r="E324" s="138"/>
      <c r="F324" s="138"/>
      <c r="G324" s="25"/>
      <c r="H324" s="26"/>
    </row>
    <row r="325" ht="22.5" customHeight="1">
      <c r="A325" s="24"/>
      <c r="B325" s="71"/>
      <c r="C325" s="71"/>
      <c r="D325" s="71"/>
      <c r="E325" s="138"/>
      <c r="F325" s="138"/>
      <c r="G325" s="25"/>
      <c r="H325" s="26"/>
    </row>
    <row r="326" ht="22.5" customHeight="1">
      <c r="A326" s="24"/>
      <c r="B326" s="71"/>
      <c r="C326" s="71"/>
      <c r="D326" s="71"/>
      <c r="E326" s="138"/>
      <c r="F326" s="138"/>
      <c r="G326" s="25"/>
      <c r="H326" s="26"/>
    </row>
    <row r="327" ht="22.5" customHeight="1">
      <c r="A327" s="24"/>
      <c r="B327" s="71"/>
      <c r="C327" s="71"/>
      <c r="D327" s="71"/>
      <c r="E327" s="138"/>
      <c r="F327" s="138"/>
      <c r="G327" s="25"/>
      <c r="H327" s="26"/>
    </row>
    <row r="328" ht="22.5" customHeight="1">
      <c r="A328" s="24"/>
      <c r="B328" s="71"/>
      <c r="C328" s="71"/>
      <c r="D328" s="71"/>
      <c r="E328" s="138"/>
      <c r="F328" s="138"/>
      <c r="G328" s="25"/>
      <c r="H328" s="26"/>
    </row>
    <row r="329" ht="22.5" customHeight="1">
      <c r="A329" s="24"/>
      <c r="B329" s="71"/>
      <c r="C329" s="71"/>
      <c r="D329" s="71"/>
      <c r="E329" s="138"/>
      <c r="F329" s="138"/>
      <c r="G329" s="25"/>
      <c r="H329" s="26"/>
    </row>
    <row r="330" ht="22.5" customHeight="1">
      <c r="A330" s="24"/>
      <c r="B330" s="71"/>
      <c r="C330" s="71"/>
      <c r="D330" s="71"/>
      <c r="E330" s="138"/>
      <c r="F330" s="138"/>
      <c r="G330" s="25"/>
      <c r="H330" s="26"/>
    </row>
    <row r="331" ht="22.5" customHeight="1">
      <c r="A331" s="24"/>
      <c r="B331" s="71"/>
      <c r="C331" s="71"/>
      <c r="D331" s="71"/>
      <c r="E331" s="138"/>
      <c r="F331" s="138"/>
      <c r="G331" s="25"/>
      <c r="H331" s="26"/>
    </row>
    <row r="332" ht="22.5" customHeight="1">
      <c r="A332" s="24"/>
      <c r="B332" s="71"/>
      <c r="C332" s="71"/>
      <c r="D332" s="71"/>
      <c r="E332" s="138"/>
      <c r="F332" s="138"/>
      <c r="G332" s="25"/>
      <c r="H332" s="26"/>
    </row>
    <row r="333" ht="22.5" customHeight="1">
      <c r="A333" s="24"/>
      <c r="B333" s="71"/>
      <c r="C333" s="71"/>
      <c r="D333" s="71"/>
      <c r="E333" s="138"/>
      <c r="F333" s="138"/>
      <c r="G333" s="25"/>
      <c r="H333" s="26"/>
    </row>
    <row r="334" ht="22.5" customHeight="1">
      <c r="A334" s="24"/>
      <c r="B334" s="71"/>
      <c r="C334" s="71"/>
      <c r="D334" s="71"/>
      <c r="E334" s="138"/>
      <c r="F334" s="138"/>
      <c r="G334" s="25"/>
      <c r="H334" s="26"/>
    </row>
    <row r="335" ht="22.5" customHeight="1">
      <c r="A335" s="24"/>
      <c r="B335" s="71"/>
      <c r="C335" s="71"/>
      <c r="D335" s="71"/>
      <c r="E335" s="138"/>
      <c r="F335" s="138"/>
      <c r="G335" s="25"/>
      <c r="H335" s="26"/>
    </row>
    <row r="336" ht="22.5" customHeight="1">
      <c r="A336" s="24"/>
      <c r="B336" s="71"/>
      <c r="C336" s="71"/>
      <c r="D336" s="71"/>
      <c r="E336" s="138"/>
      <c r="F336" s="138"/>
      <c r="G336" s="25"/>
      <c r="H336" s="26"/>
    </row>
    <row r="337" ht="22.5" customHeight="1">
      <c r="A337" s="24"/>
      <c r="B337" s="71"/>
      <c r="C337" s="71"/>
      <c r="D337" s="71"/>
      <c r="E337" s="138"/>
      <c r="F337" s="138"/>
      <c r="G337" s="25"/>
      <c r="H337" s="26"/>
    </row>
    <row r="338" ht="22.5" customHeight="1">
      <c r="A338" s="24"/>
      <c r="B338" s="71"/>
      <c r="C338" s="71"/>
      <c r="D338" s="71"/>
      <c r="E338" s="138"/>
      <c r="F338" s="138"/>
      <c r="G338" s="25"/>
      <c r="H338" s="26"/>
    </row>
    <row r="339" ht="22.5" customHeight="1">
      <c r="A339" s="24"/>
      <c r="B339" s="71"/>
      <c r="C339" s="71"/>
      <c r="D339" s="71"/>
      <c r="E339" s="138"/>
      <c r="F339" s="138"/>
      <c r="G339" s="25"/>
      <c r="H339" s="26"/>
    </row>
    <row r="340" ht="22.5" customHeight="1">
      <c r="A340" s="24"/>
      <c r="B340" s="71"/>
      <c r="C340" s="71"/>
      <c r="D340" s="71"/>
      <c r="E340" s="138"/>
      <c r="F340" s="138"/>
      <c r="G340" s="25"/>
      <c r="H340" s="26"/>
    </row>
    <row r="341" ht="22.5" customHeight="1">
      <c r="A341" s="24"/>
      <c r="B341" s="71"/>
      <c r="C341" s="71"/>
      <c r="D341" s="71"/>
      <c r="E341" s="138"/>
      <c r="F341" s="138"/>
      <c r="G341" s="25"/>
      <c r="H341" s="26"/>
    </row>
    <row r="342" ht="22.5" customHeight="1">
      <c r="A342" s="24"/>
      <c r="B342" s="71"/>
      <c r="C342" s="71"/>
      <c r="D342" s="71"/>
      <c r="E342" s="138"/>
      <c r="F342" s="138"/>
      <c r="G342" s="25"/>
      <c r="H342" s="26"/>
    </row>
    <row r="343" ht="22.5" customHeight="1">
      <c r="A343" s="24"/>
      <c r="B343" s="71"/>
      <c r="C343" s="71"/>
      <c r="D343" s="71"/>
      <c r="E343" s="138"/>
      <c r="F343" s="138"/>
      <c r="G343" s="25"/>
      <c r="H343" s="26"/>
    </row>
    <row r="344" ht="22.5" customHeight="1">
      <c r="A344" s="24"/>
      <c r="B344" s="71"/>
      <c r="C344" s="71"/>
      <c r="D344" s="71"/>
      <c r="E344" s="138"/>
      <c r="F344" s="138"/>
      <c r="G344" s="25"/>
      <c r="H344" s="26"/>
    </row>
    <row r="345" ht="22.5" customHeight="1">
      <c r="A345" s="24"/>
      <c r="B345" s="71"/>
      <c r="C345" s="71"/>
      <c r="D345" s="71"/>
      <c r="E345" s="138"/>
      <c r="F345" s="138"/>
      <c r="G345" s="25"/>
      <c r="H345" s="26"/>
    </row>
    <row r="346" ht="22.5" customHeight="1">
      <c r="A346" s="24"/>
      <c r="B346" s="71"/>
      <c r="C346" s="71"/>
      <c r="D346" s="71"/>
      <c r="E346" s="138"/>
      <c r="F346" s="138"/>
      <c r="G346" s="25"/>
      <c r="H346" s="26"/>
    </row>
    <row r="347" ht="22.5" customHeight="1">
      <c r="A347" s="24"/>
      <c r="B347" s="71"/>
      <c r="C347" s="71"/>
      <c r="D347" s="71"/>
      <c r="E347" s="138"/>
      <c r="F347" s="138"/>
      <c r="G347" s="25"/>
      <c r="H347" s="26"/>
    </row>
    <row r="348" ht="22.5" customHeight="1">
      <c r="A348" s="24"/>
      <c r="B348" s="71"/>
      <c r="C348" s="71"/>
      <c r="D348" s="71"/>
      <c r="E348" s="138"/>
      <c r="F348" s="138"/>
      <c r="G348" s="25"/>
      <c r="H348" s="26"/>
    </row>
    <row r="349" ht="22.5" customHeight="1">
      <c r="A349" s="24"/>
      <c r="B349" s="71"/>
      <c r="C349" s="71"/>
      <c r="D349" s="71"/>
      <c r="E349" s="138"/>
      <c r="F349" s="138"/>
      <c r="G349" s="25"/>
      <c r="H349" s="26"/>
    </row>
    <row r="350" ht="22.5" customHeight="1">
      <c r="A350" s="24"/>
      <c r="B350" s="71"/>
      <c r="C350" s="71"/>
      <c r="D350" s="71"/>
      <c r="E350" s="138"/>
      <c r="F350" s="138"/>
      <c r="G350" s="25"/>
      <c r="H350" s="26"/>
    </row>
    <row r="351" ht="22.5" customHeight="1">
      <c r="A351" s="24"/>
      <c r="B351" s="71"/>
      <c r="C351" s="71"/>
      <c r="D351" s="71"/>
      <c r="E351" s="138"/>
      <c r="F351" s="138"/>
      <c r="G351" s="25"/>
      <c r="H351" s="26"/>
    </row>
    <row r="352" ht="22.5" customHeight="1">
      <c r="A352" s="24"/>
      <c r="B352" s="71"/>
      <c r="C352" s="71"/>
      <c r="D352" s="71"/>
      <c r="E352" s="138"/>
      <c r="F352" s="138"/>
      <c r="G352" s="25"/>
      <c r="H352" s="26"/>
    </row>
    <row r="353" ht="22.5" customHeight="1">
      <c r="A353" s="24"/>
      <c r="B353" s="71"/>
      <c r="C353" s="71"/>
      <c r="D353" s="71"/>
      <c r="E353" s="138"/>
      <c r="F353" s="138"/>
      <c r="G353" s="25"/>
      <c r="H353" s="26"/>
    </row>
    <row r="354" ht="22.5" customHeight="1">
      <c r="A354" s="24"/>
      <c r="B354" s="71"/>
      <c r="C354" s="71"/>
      <c r="D354" s="71"/>
      <c r="E354" s="138"/>
      <c r="F354" s="138"/>
      <c r="G354" s="25"/>
      <c r="H354" s="26"/>
    </row>
    <row r="355" ht="22.5" customHeight="1">
      <c r="A355" s="24"/>
      <c r="B355" s="71"/>
      <c r="C355" s="71"/>
      <c r="D355" s="71"/>
      <c r="E355" s="138"/>
      <c r="F355" s="138"/>
      <c r="G355" s="25"/>
      <c r="H355" s="26"/>
    </row>
    <row r="356" ht="22.5" customHeight="1">
      <c r="A356" s="24"/>
      <c r="B356" s="71"/>
      <c r="C356" s="71"/>
      <c r="D356" s="71"/>
      <c r="E356" s="138"/>
      <c r="F356" s="138"/>
      <c r="G356" s="25"/>
      <c r="H356" s="26"/>
    </row>
    <row r="357" ht="22.5" customHeight="1">
      <c r="A357" s="24"/>
      <c r="B357" s="71"/>
      <c r="C357" s="71"/>
      <c r="D357" s="71"/>
      <c r="E357" s="138"/>
      <c r="F357" s="138"/>
      <c r="G357" s="25"/>
      <c r="H357" s="26"/>
    </row>
    <row r="358" ht="22.5" customHeight="1">
      <c r="A358" s="24"/>
      <c r="B358" s="71"/>
      <c r="C358" s="71"/>
      <c r="D358" s="71"/>
      <c r="E358" s="138"/>
      <c r="F358" s="138"/>
      <c r="G358" s="25"/>
      <c r="H358" s="26"/>
    </row>
    <row r="359" ht="22.5" customHeight="1">
      <c r="A359" s="24"/>
      <c r="B359" s="71"/>
      <c r="C359" s="71"/>
      <c r="D359" s="71"/>
      <c r="E359" s="138"/>
      <c r="F359" s="138"/>
      <c r="G359" s="25"/>
      <c r="H359" s="26"/>
    </row>
    <row r="360" ht="22.5" customHeight="1">
      <c r="A360" s="24"/>
      <c r="B360" s="71"/>
      <c r="C360" s="71"/>
      <c r="D360" s="71"/>
      <c r="E360" s="138"/>
      <c r="F360" s="138"/>
      <c r="G360" s="25"/>
      <c r="H360" s="26"/>
    </row>
    <row r="361" ht="22.5" customHeight="1">
      <c r="A361" s="24"/>
      <c r="B361" s="71"/>
      <c r="C361" s="71"/>
      <c r="D361" s="71"/>
      <c r="E361" s="138"/>
      <c r="F361" s="138"/>
      <c r="G361" s="25"/>
      <c r="H361" s="26"/>
    </row>
    <row r="362" ht="22.5" customHeight="1">
      <c r="A362" s="24"/>
      <c r="B362" s="71"/>
      <c r="C362" s="71"/>
      <c r="D362" s="71"/>
      <c r="E362" s="138"/>
      <c r="F362" s="138"/>
      <c r="G362" s="25"/>
      <c r="H362" s="26"/>
    </row>
    <row r="363" ht="22.5" customHeight="1">
      <c r="A363" s="24"/>
      <c r="B363" s="71"/>
      <c r="C363" s="71"/>
      <c r="D363" s="71"/>
      <c r="E363" s="138"/>
      <c r="F363" s="138"/>
      <c r="G363" s="25"/>
      <c r="H363" s="26"/>
    </row>
    <row r="364" ht="22.5" customHeight="1">
      <c r="A364" s="24"/>
      <c r="B364" s="71"/>
      <c r="C364" s="71"/>
      <c r="D364" s="71"/>
      <c r="E364" s="138"/>
      <c r="F364" s="138"/>
      <c r="G364" s="25"/>
      <c r="H364" s="26"/>
    </row>
    <row r="365" ht="22.5" customHeight="1">
      <c r="A365" s="24"/>
      <c r="B365" s="71"/>
      <c r="C365" s="71"/>
      <c r="D365" s="71"/>
      <c r="E365" s="138"/>
      <c r="F365" s="138"/>
      <c r="G365" s="25"/>
      <c r="H365" s="26"/>
    </row>
    <row r="366" ht="22.5" customHeight="1">
      <c r="A366" s="24"/>
      <c r="B366" s="71"/>
      <c r="C366" s="71"/>
      <c r="D366" s="71"/>
      <c r="E366" s="138"/>
      <c r="F366" s="138"/>
      <c r="G366" s="25"/>
      <c r="H366" s="26"/>
    </row>
    <row r="367" ht="22.5" customHeight="1">
      <c r="A367" s="24"/>
      <c r="B367" s="71"/>
      <c r="C367" s="71"/>
      <c r="D367" s="71"/>
      <c r="E367" s="138"/>
      <c r="F367" s="138"/>
      <c r="G367" s="25"/>
      <c r="H367" s="26"/>
    </row>
    <row r="368" ht="22.5" customHeight="1">
      <c r="A368" s="24"/>
      <c r="B368" s="71"/>
      <c r="C368" s="71"/>
      <c r="D368" s="71"/>
      <c r="E368" s="138"/>
      <c r="F368" s="138"/>
      <c r="G368" s="25"/>
      <c r="H368" s="26"/>
    </row>
    <row r="369" ht="22.5" customHeight="1">
      <c r="A369" s="24"/>
      <c r="B369" s="71"/>
      <c r="C369" s="71"/>
      <c r="D369" s="71"/>
      <c r="E369" s="138"/>
      <c r="F369" s="138"/>
      <c r="G369" s="25"/>
      <c r="H369" s="26"/>
    </row>
    <row r="370" ht="22.5" customHeight="1">
      <c r="A370" s="24"/>
      <c r="B370" s="71"/>
      <c r="C370" s="71"/>
      <c r="D370" s="71"/>
      <c r="E370" s="138"/>
      <c r="F370" s="138"/>
      <c r="G370" s="25"/>
      <c r="H370" s="26"/>
    </row>
    <row r="371" ht="22.5" customHeight="1">
      <c r="A371" s="24"/>
      <c r="B371" s="71"/>
      <c r="C371" s="71"/>
      <c r="D371" s="71"/>
      <c r="E371" s="138"/>
      <c r="F371" s="138"/>
      <c r="G371" s="25"/>
      <c r="H371" s="26"/>
    </row>
    <row r="372" ht="22.5" customHeight="1">
      <c r="A372" s="24"/>
      <c r="B372" s="71"/>
      <c r="C372" s="71"/>
      <c r="D372" s="71"/>
      <c r="E372" s="138"/>
      <c r="F372" s="138"/>
      <c r="G372" s="25"/>
      <c r="H372" s="26"/>
    </row>
    <row r="373" ht="22.5" customHeight="1">
      <c r="A373" s="24"/>
      <c r="B373" s="71"/>
      <c r="C373" s="71"/>
      <c r="D373" s="71"/>
      <c r="E373" s="138"/>
      <c r="F373" s="138"/>
      <c r="G373" s="25"/>
      <c r="H373" s="26"/>
    </row>
    <row r="374" ht="22.5" customHeight="1">
      <c r="A374" s="24"/>
      <c r="B374" s="71"/>
      <c r="C374" s="71"/>
      <c r="D374" s="71"/>
      <c r="E374" s="138"/>
      <c r="F374" s="138"/>
      <c r="G374" s="25"/>
      <c r="H374" s="26"/>
    </row>
    <row r="375" ht="22.5" customHeight="1">
      <c r="A375" s="24"/>
      <c r="B375" s="71"/>
      <c r="C375" s="71"/>
      <c r="D375" s="71"/>
      <c r="E375" s="138"/>
      <c r="F375" s="138"/>
      <c r="G375" s="25"/>
      <c r="H375" s="26"/>
    </row>
    <row r="376" ht="22.5" customHeight="1">
      <c r="A376" s="24"/>
      <c r="B376" s="71"/>
      <c r="C376" s="71"/>
      <c r="D376" s="71"/>
      <c r="E376" s="138"/>
      <c r="F376" s="138"/>
      <c r="G376" s="25"/>
      <c r="H376" s="26"/>
    </row>
    <row r="377" ht="22.5" customHeight="1">
      <c r="A377" s="24"/>
      <c r="B377" s="71"/>
      <c r="C377" s="71"/>
      <c r="D377" s="71"/>
      <c r="E377" s="138"/>
      <c r="F377" s="138"/>
      <c r="G377" s="25"/>
      <c r="H377" s="26"/>
    </row>
    <row r="378" ht="22.5" customHeight="1">
      <c r="A378" s="24"/>
      <c r="B378" s="71"/>
      <c r="C378" s="71"/>
      <c r="D378" s="71"/>
      <c r="E378" s="138"/>
      <c r="F378" s="138"/>
      <c r="G378" s="25"/>
      <c r="H378" s="26"/>
    </row>
    <row r="379" ht="22.5" customHeight="1">
      <c r="A379" s="24"/>
      <c r="B379" s="71"/>
      <c r="C379" s="71"/>
      <c r="D379" s="71"/>
      <c r="E379" s="138"/>
      <c r="F379" s="138"/>
      <c r="G379" s="25"/>
      <c r="H379" s="26"/>
    </row>
    <row r="380" ht="22.5" customHeight="1">
      <c r="A380" s="24"/>
      <c r="B380" s="71"/>
      <c r="C380" s="71"/>
      <c r="D380" s="71"/>
      <c r="E380" s="138"/>
      <c r="F380" s="138"/>
      <c r="G380" s="25"/>
      <c r="H380" s="26"/>
    </row>
    <row r="381" ht="22.5" customHeight="1">
      <c r="A381" s="24"/>
      <c r="B381" s="71"/>
      <c r="C381" s="71"/>
      <c r="D381" s="71"/>
      <c r="E381" s="138"/>
      <c r="F381" s="138"/>
      <c r="G381" s="25"/>
      <c r="H381" s="26"/>
    </row>
    <row r="382" ht="22.5" customHeight="1">
      <c r="A382" s="24"/>
      <c r="B382" s="71"/>
      <c r="C382" s="71"/>
      <c r="D382" s="71"/>
      <c r="E382" s="138"/>
      <c r="F382" s="138"/>
      <c r="G382" s="25"/>
      <c r="H382" s="26"/>
    </row>
    <row r="383" ht="22.5" customHeight="1">
      <c r="A383" s="24"/>
      <c r="B383" s="71"/>
      <c r="C383" s="71"/>
      <c r="D383" s="71"/>
      <c r="E383" s="138"/>
      <c r="F383" s="138"/>
      <c r="G383" s="25"/>
      <c r="H383" s="26"/>
    </row>
    <row r="384" ht="22.5" customHeight="1">
      <c r="A384" s="24"/>
      <c r="B384" s="71"/>
      <c r="C384" s="71"/>
      <c r="D384" s="71"/>
      <c r="E384" s="138"/>
      <c r="F384" s="138"/>
      <c r="G384" s="25"/>
      <c r="H384" s="26"/>
    </row>
    <row r="385" ht="22.5" customHeight="1">
      <c r="A385" s="24"/>
      <c r="B385" s="71"/>
      <c r="C385" s="71"/>
      <c r="D385" s="71"/>
      <c r="E385" s="138"/>
      <c r="F385" s="138"/>
      <c r="G385" s="25"/>
      <c r="H385" s="26"/>
    </row>
    <row r="386" ht="22.5" customHeight="1">
      <c r="A386" s="24"/>
      <c r="B386" s="71"/>
      <c r="C386" s="71"/>
      <c r="D386" s="71"/>
      <c r="E386" s="138"/>
      <c r="F386" s="138"/>
      <c r="G386" s="25"/>
      <c r="H386" s="26"/>
    </row>
    <row r="387" ht="22.5" customHeight="1">
      <c r="A387" s="24"/>
      <c r="B387" s="71"/>
      <c r="C387" s="71"/>
      <c r="D387" s="71"/>
      <c r="E387" s="138"/>
      <c r="F387" s="138"/>
      <c r="G387" s="25"/>
      <c r="H387" s="26"/>
    </row>
    <row r="388" ht="22.5" customHeight="1">
      <c r="A388" s="24"/>
      <c r="B388" s="71"/>
      <c r="C388" s="71"/>
      <c r="D388" s="71"/>
      <c r="E388" s="138"/>
      <c r="F388" s="138"/>
      <c r="G388" s="25"/>
      <c r="H388" s="26"/>
    </row>
    <row r="389" ht="22.5" customHeight="1">
      <c r="A389" s="24"/>
      <c r="B389" s="71"/>
      <c r="C389" s="71"/>
      <c r="D389" s="71"/>
      <c r="E389" s="138"/>
      <c r="F389" s="138"/>
      <c r="G389" s="25"/>
      <c r="H389" s="26"/>
    </row>
    <row r="390" ht="22.5" customHeight="1">
      <c r="A390" s="24"/>
      <c r="B390" s="71"/>
      <c r="C390" s="71"/>
      <c r="D390" s="71"/>
      <c r="E390" s="138"/>
      <c r="F390" s="138"/>
      <c r="G390" s="25"/>
      <c r="H390" s="26"/>
    </row>
    <row r="391" ht="22.5" customHeight="1">
      <c r="A391" s="24"/>
      <c r="B391" s="71"/>
      <c r="C391" s="71"/>
      <c r="D391" s="71"/>
      <c r="E391" s="138"/>
      <c r="F391" s="138"/>
      <c r="G391" s="25"/>
      <c r="H391" s="26"/>
    </row>
    <row r="392" ht="22.5" customHeight="1">
      <c r="A392" s="24"/>
      <c r="B392" s="71"/>
      <c r="C392" s="71"/>
      <c r="D392" s="71"/>
      <c r="E392" s="138"/>
      <c r="F392" s="138"/>
      <c r="G392" s="25"/>
      <c r="H392" s="26"/>
    </row>
    <row r="393" ht="22.5" customHeight="1">
      <c r="A393" s="24"/>
      <c r="B393" s="71"/>
      <c r="C393" s="71"/>
      <c r="D393" s="71"/>
      <c r="E393" s="138"/>
      <c r="F393" s="138"/>
      <c r="G393" s="25"/>
      <c r="H393" s="26"/>
    </row>
    <row r="394" ht="22.5" customHeight="1">
      <c r="A394" s="24"/>
      <c r="B394" s="71"/>
      <c r="C394" s="71"/>
      <c r="D394" s="71"/>
      <c r="E394" s="138"/>
      <c r="F394" s="138"/>
      <c r="G394" s="25"/>
      <c r="H394" s="26"/>
    </row>
    <row r="395" ht="22.5" customHeight="1">
      <c r="A395" s="24"/>
      <c r="B395" s="71"/>
      <c r="C395" s="71"/>
      <c r="D395" s="71"/>
      <c r="E395" s="138"/>
      <c r="F395" s="138"/>
      <c r="G395" s="25"/>
      <c r="H395" s="26"/>
    </row>
    <row r="396" ht="22.5" customHeight="1">
      <c r="A396" s="24"/>
      <c r="B396" s="71"/>
      <c r="C396" s="71"/>
      <c r="D396" s="71"/>
      <c r="E396" s="138"/>
      <c r="F396" s="138"/>
      <c r="G396" s="25"/>
      <c r="H396" s="26"/>
    </row>
    <row r="397" ht="22.5" customHeight="1">
      <c r="A397" s="24"/>
      <c r="B397" s="71"/>
      <c r="C397" s="71"/>
      <c r="D397" s="71"/>
      <c r="E397" s="138"/>
      <c r="F397" s="138"/>
      <c r="G397" s="25"/>
      <c r="H397" s="26"/>
    </row>
    <row r="398" ht="22.5" customHeight="1">
      <c r="A398" s="24"/>
      <c r="B398" s="71"/>
      <c r="C398" s="71"/>
      <c r="D398" s="71"/>
      <c r="E398" s="138"/>
      <c r="F398" s="138"/>
      <c r="G398" s="25"/>
      <c r="H398" s="26"/>
    </row>
    <row r="399" ht="22.5" customHeight="1">
      <c r="A399" s="24"/>
      <c r="B399" s="71"/>
      <c r="C399" s="71"/>
      <c r="D399" s="71"/>
      <c r="E399" s="138"/>
      <c r="F399" s="138"/>
      <c r="G399" s="25"/>
      <c r="H399" s="26"/>
    </row>
    <row r="400" ht="22.5" customHeight="1">
      <c r="A400" s="24"/>
      <c r="B400" s="71"/>
      <c r="C400" s="71"/>
      <c r="D400" s="71"/>
      <c r="E400" s="138"/>
      <c r="F400" s="138"/>
      <c r="G400" s="25"/>
      <c r="H400" s="26"/>
    </row>
    <row r="401" ht="22.5" customHeight="1">
      <c r="A401" s="24"/>
      <c r="B401" s="71"/>
      <c r="C401" s="71"/>
      <c r="D401" s="71"/>
      <c r="E401" s="138"/>
      <c r="F401" s="138"/>
      <c r="G401" s="25"/>
      <c r="H401" s="26"/>
    </row>
    <row r="402" ht="22.5" customHeight="1">
      <c r="A402" s="24"/>
      <c r="B402" s="71"/>
      <c r="C402" s="71"/>
      <c r="D402" s="71"/>
      <c r="E402" s="138"/>
      <c r="F402" s="138"/>
      <c r="G402" s="25"/>
      <c r="H402" s="26"/>
    </row>
    <row r="403" ht="22.5" customHeight="1">
      <c r="A403" s="24"/>
      <c r="B403" s="71"/>
      <c r="C403" s="71"/>
      <c r="D403" s="71"/>
      <c r="E403" s="138"/>
      <c r="F403" s="138"/>
      <c r="G403" s="25"/>
      <c r="H403" s="26"/>
    </row>
    <row r="404" ht="22.5" customHeight="1">
      <c r="A404" s="24"/>
      <c r="B404" s="71"/>
      <c r="C404" s="71"/>
      <c r="D404" s="71"/>
      <c r="E404" s="138"/>
      <c r="F404" s="138"/>
      <c r="G404" s="25"/>
      <c r="H404" s="26"/>
    </row>
    <row r="405" ht="22.5" customHeight="1">
      <c r="A405" s="24"/>
      <c r="B405" s="71"/>
      <c r="C405" s="71"/>
      <c r="D405" s="71"/>
      <c r="E405" s="138"/>
      <c r="F405" s="138"/>
      <c r="G405" s="25"/>
      <c r="H405" s="26"/>
    </row>
    <row r="406" ht="22.5" customHeight="1">
      <c r="A406" s="24"/>
      <c r="B406" s="71"/>
      <c r="C406" s="71"/>
      <c r="D406" s="71"/>
      <c r="E406" s="138"/>
      <c r="F406" s="138"/>
      <c r="G406" s="25"/>
      <c r="H406" s="26"/>
    </row>
    <row r="407" ht="22.5" customHeight="1">
      <c r="A407" s="24"/>
      <c r="B407" s="71"/>
      <c r="C407" s="71"/>
      <c r="D407" s="71"/>
      <c r="E407" s="138"/>
      <c r="F407" s="138"/>
      <c r="G407" s="25"/>
      <c r="H407" s="26"/>
    </row>
    <row r="408" ht="22.5" customHeight="1">
      <c r="A408" s="24"/>
      <c r="B408" s="71"/>
      <c r="C408" s="71"/>
      <c r="D408" s="71"/>
      <c r="E408" s="138"/>
      <c r="F408" s="138"/>
      <c r="G408" s="25"/>
      <c r="H408" s="26"/>
    </row>
    <row r="409" ht="22.5" customHeight="1">
      <c r="A409" s="24"/>
      <c r="B409" s="71"/>
      <c r="C409" s="71"/>
      <c r="D409" s="71"/>
      <c r="E409" s="138"/>
      <c r="F409" s="138"/>
      <c r="G409" s="25"/>
      <c r="H409" s="26"/>
    </row>
    <row r="410" ht="22.5" customHeight="1">
      <c r="A410" s="24"/>
      <c r="B410" s="71"/>
      <c r="C410" s="71"/>
      <c r="D410" s="71"/>
      <c r="E410" s="138"/>
      <c r="F410" s="138"/>
      <c r="G410" s="25"/>
      <c r="H410" s="26"/>
    </row>
    <row r="411" ht="22.5" customHeight="1">
      <c r="A411" s="24"/>
      <c r="B411" s="71"/>
      <c r="C411" s="71"/>
      <c r="D411" s="71"/>
      <c r="E411" s="138"/>
      <c r="F411" s="138"/>
      <c r="G411" s="25"/>
      <c r="H411" s="26"/>
    </row>
    <row r="412" ht="22.5" customHeight="1">
      <c r="A412" s="24"/>
      <c r="B412" s="71"/>
      <c r="C412" s="71"/>
      <c r="D412" s="71"/>
      <c r="E412" s="138"/>
      <c r="F412" s="138"/>
      <c r="G412" s="25"/>
      <c r="H412" s="26"/>
    </row>
    <row r="413" ht="22.5" customHeight="1">
      <c r="A413" s="24"/>
      <c r="B413" s="71"/>
      <c r="C413" s="71"/>
      <c r="D413" s="71"/>
      <c r="E413" s="138"/>
      <c r="F413" s="138"/>
      <c r="G413" s="25"/>
      <c r="H413" s="26"/>
    </row>
    <row r="414" ht="22.5" customHeight="1">
      <c r="A414" s="24"/>
      <c r="B414" s="71"/>
      <c r="C414" s="71"/>
      <c r="D414" s="71"/>
      <c r="E414" s="138"/>
      <c r="F414" s="138"/>
      <c r="G414" s="25"/>
      <c r="H414" s="26"/>
    </row>
    <row r="415" ht="22.5" customHeight="1">
      <c r="A415" s="24"/>
      <c r="B415" s="71"/>
      <c r="C415" s="71"/>
      <c r="D415" s="71"/>
      <c r="E415" s="138"/>
      <c r="F415" s="138"/>
      <c r="G415" s="25"/>
      <c r="H415" s="26"/>
    </row>
    <row r="416" ht="22.5" customHeight="1">
      <c r="A416" s="24"/>
      <c r="B416" s="71"/>
      <c r="C416" s="71"/>
      <c r="D416" s="71"/>
      <c r="E416" s="138"/>
      <c r="F416" s="138"/>
      <c r="G416" s="25"/>
      <c r="H416" s="26"/>
    </row>
    <row r="417" ht="22.5" customHeight="1">
      <c r="A417" s="24"/>
      <c r="B417" s="71"/>
      <c r="C417" s="71"/>
      <c r="D417" s="71"/>
      <c r="E417" s="138"/>
      <c r="F417" s="138"/>
      <c r="G417" s="25"/>
      <c r="H417" s="26"/>
    </row>
    <row r="418" ht="22.5" customHeight="1">
      <c r="A418" s="24"/>
      <c r="B418" s="71"/>
      <c r="C418" s="71"/>
      <c r="D418" s="71"/>
      <c r="E418" s="138"/>
      <c r="F418" s="138"/>
      <c r="G418" s="25"/>
      <c r="H418" s="26"/>
    </row>
    <row r="419" ht="22.5" customHeight="1">
      <c r="A419" s="24"/>
      <c r="B419" s="71"/>
      <c r="C419" s="71"/>
      <c r="D419" s="71"/>
      <c r="E419" s="138"/>
      <c r="F419" s="138"/>
      <c r="G419" s="25"/>
      <c r="H419" s="26"/>
    </row>
    <row r="420" ht="22.5" customHeight="1">
      <c r="A420" s="24"/>
      <c r="B420" s="71"/>
      <c r="C420" s="71"/>
      <c r="D420" s="71"/>
      <c r="E420" s="138"/>
      <c r="F420" s="138"/>
      <c r="G420" s="25"/>
      <c r="H420" s="26"/>
    </row>
    <row r="421" ht="22.5" customHeight="1">
      <c r="A421" s="24"/>
      <c r="B421" s="71"/>
      <c r="C421" s="71"/>
      <c r="D421" s="71"/>
      <c r="E421" s="138"/>
      <c r="F421" s="138"/>
      <c r="G421" s="25"/>
      <c r="H421" s="26"/>
    </row>
    <row r="422" ht="22.5" customHeight="1">
      <c r="A422" s="24"/>
      <c r="B422" s="71"/>
      <c r="C422" s="71"/>
      <c r="D422" s="71"/>
      <c r="E422" s="138"/>
      <c r="F422" s="138"/>
      <c r="G422" s="25"/>
      <c r="H422" s="26"/>
    </row>
    <row r="423" ht="22.5" customHeight="1">
      <c r="A423" s="24"/>
      <c r="B423" s="71"/>
      <c r="C423" s="71"/>
      <c r="D423" s="71"/>
      <c r="E423" s="138"/>
      <c r="F423" s="138"/>
      <c r="G423" s="25"/>
      <c r="H423" s="26"/>
    </row>
    <row r="424" ht="22.5" customHeight="1">
      <c r="A424" s="24"/>
      <c r="B424" s="71"/>
      <c r="C424" s="71"/>
      <c r="D424" s="71"/>
      <c r="E424" s="138"/>
      <c r="F424" s="138"/>
      <c r="G424" s="25"/>
      <c r="H424" s="26"/>
    </row>
    <row r="425" ht="22.5" customHeight="1">
      <c r="A425" s="24"/>
      <c r="B425" s="71"/>
      <c r="C425" s="71"/>
      <c r="D425" s="71"/>
      <c r="E425" s="138"/>
      <c r="F425" s="138"/>
      <c r="G425" s="25"/>
      <c r="H425" s="26"/>
    </row>
    <row r="426" ht="22.5" customHeight="1">
      <c r="A426" s="24"/>
      <c r="B426" s="71"/>
      <c r="C426" s="71"/>
      <c r="D426" s="71"/>
      <c r="E426" s="138"/>
      <c r="F426" s="138"/>
      <c r="G426" s="25"/>
      <c r="H426" s="26"/>
    </row>
    <row r="427" ht="22.5" customHeight="1">
      <c r="A427" s="24"/>
      <c r="B427" s="71"/>
      <c r="C427" s="71"/>
      <c r="D427" s="71"/>
      <c r="E427" s="138"/>
      <c r="F427" s="138"/>
      <c r="G427" s="25"/>
      <c r="H427" s="26"/>
    </row>
    <row r="428" ht="22.5" customHeight="1">
      <c r="A428" s="24"/>
      <c r="B428" s="71"/>
      <c r="C428" s="71"/>
      <c r="D428" s="71"/>
      <c r="E428" s="138"/>
      <c r="F428" s="138"/>
      <c r="G428" s="25"/>
      <c r="H428" s="26"/>
    </row>
    <row r="429" ht="22.5" customHeight="1">
      <c r="A429" s="24"/>
      <c r="B429" s="71"/>
      <c r="C429" s="71"/>
      <c r="D429" s="71"/>
      <c r="E429" s="138"/>
      <c r="F429" s="138"/>
      <c r="G429" s="25"/>
      <c r="H429" s="26"/>
    </row>
    <row r="430" ht="22.5" customHeight="1">
      <c r="A430" s="24"/>
      <c r="B430" s="71"/>
      <c r="C430" s="71"/>
      <c r="D430" s="71"/>
      <c r="E430" s="138"/>
      <c r="F430" s="138"/>
      <c r="G430" s="25"/>
      <c r="H430" s="26"/>
    </row>
    <row r="431" ht="22.5" customHeight="1">
      <c r="A431" s="24"/>
      <c r="B431" s="71"/>
      <c r="C431" s="71"/>
      <c r="D431" s="71"/>
      <c r="E431" s="138"/>
      <c r="F431" s="138"/>
      <c r="G431" s="25"/>
      <c r="H431" s="26"/>
    </row>
    <row r="432" ht="22.5" customHeight="1">
      <c r="A432" s="24"/>
      <c r="B432" s="71"/>
      <c r="C432" s="71"/>
      <c r="D432" s="71"/>
      <c r="E432" s="138"/>
      <c r="F432" s="138"/>
      <c r="G432" s="25"/>
      <c r="H432" s="26"/>
    </row>
    <row r="433" ht="22.5" customHeight="1">
      <c r="A433" s="24"/>
      <c r="B433" s="71"/>
      <c r="C433" s="71"/>
      <c r="D433" s="71"/>
      <c r="E433" s="138"/>
      <c r="F433" s="138"/>
      <c r="G433" s="25"/>
      <c r="H433" s="26"/>
    </row>
    <row r="434" ht="22.5" customHeight="1">
      <c r="A434" s="24"/>
      <c r="B434" s="71"/>
      <c r="C434" s="71"/>
      <c r="D434" s="71"/>
      <c r="E434" s="138"/>
      <c r="F434" s="138"/>
      <c r="G434" s="25"/>
      <c r="H434" s="26"/>
    </row>
    <row r="435" ht="22.5" customHeight="1">
      <c r="A435" s="24"/>
      <c r="B435" s="71"/>
      <c r="C435" s="71"/>
      <c r="D435" s="71"/>
      <c r="E435" s="138"/>
      <c r="F435" s="138"/>
      <c r="G435" s="25"/>
      <c r="H435" s="26"/>
    </row>
    <row r="436" ht="22.5" customHeight="1">
      <c r="A436" s="24"/>
      <c r="B436" s="71"/>
      <c r="C436" s="71"/>
      <c r="D436" s="71"/>
      <c r="E436" s="138"/>
      <c r="F436" s="138"/>
      <c r="G436" s="25"/>
      <c r="H436" s="26"/>
    </row>
    <row r="437" ht="22.5" customHeight="1">
      <c r="A437" s="24"/>
      <c r="B437" s="71"/>
      <c r="C437" s="71"/>
      <c r="D437" s="71"/>
      <c r="E437" s="138"/>
      <c r="F437" s="138"/>
      <c r="G437" s="25"/>
      <c r="H437" s="26"/>
    </row>
    <row r="438" ht="22.5" customHeight="1">
      <c r="A438" s="24"/>
      <c r="B438" s="71"/>
      <c r="C438" s="71"/>
      <c r="D438" s="71"/>
      <c r="E438" s="138"/>
      <c r="F438" s="138"/>
      <c r="G438" s="25"/>
      <c r="H438" s="26"/>
    </row>
    <row r="439" ht="22.5" customHeight="1">
      <c r="A439" s="24"/>
      <c r="B439" s="71"/>
      <c r="C439" s="71"/>
      <c r="D439" s="71"/>
      <c r="E439" s="138"/>
      <c r="F439" s="138"/>
      <c r="G439" s="25"/>
      <c r="H439" s="26"/>
    </row>
    <row r="440" ht="22.5" customHeight="1">
      <c r="A440" s="24"/>
      <c r="B440" s="71"/>
      <c r="C440" s="71"/>
      <c r="D440" s="71"/>
      <c r="E440" s="138"/>
      <c r="F440" s="138"/>
      <c r="G440" s="25"/>
      <c r="H440" s="26"/>
    </row>
    <row r="441" ht="22.5" customHeight="1">
      <c r="A441" s="24"/>
      <c r="B441" s="71"/>
      <c r="C441" s="71"/>
      <c r="D441" s="71"/>
      <c r="E441" s="138"/>
      <c r="F441" s="138"/>
      <c r="G441" s="25"/>
      <c r="H441" s="26"/>
    </row>
    <row r="442" ht="22.5" customHeight="1">
      <c r="A442" s="24"/>
      <c r="B442" s="71"/>
      <c r="C442" s="71"/>
      <c r="D442" s="71"/>
      <c r="E442" s="138"/>
      <c r="F442" s="138"/>
      <c r="G442" s="25"/>
      <c r="H442" s="26"/>
    </row>
    <row r="443" ht="22.5" customHeight="1">
      <c r="A443" s="24"/>
      <c r="B443" s="71"/>
      <c r="C443" s="71"/>
      <c r="D443" s="71"/>
      <c r="E443" s="138"/>
      <c r="F443" s="138"/>
      <c r="G443" s="25"/>
      <c r="H443" s="26"/>
    </row>
    <row r="444" ht="22.5" customHeight="1">
      <c r="A444" s="24"/>
      <c r="B444" s="71"/>
      <c r="C444" s="71"/>
      <c r="D444" s="71"/>
      <c r="E444" s="138"/>
      <c r="F444" s="138"/>
      <c r="G444" s="25"/>
      <c r="H444" s="26"/>
    </row>
    <row r="445" ht="22.5" customHeight="1">
      <c r="A445" s="24"/>
      <c r="B445" s="71"/>
      <c r="C445" s="71"/>
      <c r="D445" s="71"/>
      <c r="E445" s="138"/>
      <c r="F445" s="138"/>
      <c r="G445" s="25"/>
      <c r="H445" s="26"/>
    </row>
    <row r="446" ht="22.5" customHeight="1">
      <c r="A446" s="24"/>
      <c r="B446" s="71"/>
      <c r="C446" s="71"/>
      <c r="D446" s="71"/>
      <c r="E446" s="138"/>
      <c r="F446" s="138"/>
      <c r="G446" s="25"/>
      <c r="H446" s="26"/>
    </row>
    <row r="447" ht="22.5" customHeight="1">
      <c r="A447" s="24"/>
      <c r="B447" s="71"/>
      <c r="C447" s="71"/>
      <c r="D447" s="71"/>
      <c r="E447" s="138"/>
      <c r="F447" s="138"/>
      <c r="G447" s="25"/>
      <c r="H447" s="26"/>
    </row>
    <row r="448" ht="22.5" customHeight="1">
      <c r="A448" s="24"/>
      <c r="B448" s="71"/>
      <c r="C448" s="71"/>
      <c r="D448" s="71"/>
      <c r="E448" s="138"/>
      <c r="F448" s="138"/>
      <c r="G448" s="25"/>
      <c r="H448" s="26"/>
    </row>
    <row r="449" ht="22.5" customHeight="1">
      <c r="A449" s="24"/>
      <c r="B449" s="71"/>
      <c r="C449" s="71"/>
      <c r="D449" s="71"/>
      <c r="E449" s="138"/>
      <c r="F449" s="138"/>
      <c r="G449" s="25"/>
      <c r="H449" s="26"/>
    </row>
    <row r="450" ht="22.5" customHeight="1">
      <c r="A450" s="24"/>
      <c r="B450" s="71"/>
      <c r="C450" s="71"/>
      <c r="D450" s="71"/>
      <c r="E450" s="138"/>
      <c r="F450" s="138"/>
      <c r="G450" s="25"/>
      <c r="H450" s="26"/>
    </row>
    <row r="451" ht="22.5" customHeight="1">
      <c r="A451" s="24"/>
      <c r="B451" s="71"/>
      <c r="C451" s="71"/>
      <c r="D451" s="71"/>
      <c r="E451" s="138"/>
      <c r="F451" s="138"/>
      <c r="G451" s="25"/>
      <c r="H451" s="26"/>
    </row>
    <row r="452" ht="22.5" customHeight="1">
      <c r="A452" s="24"/>
      <c r="B452" s="71"/>
      <c r="C452" s="71"/>
      <c r="D452" s="71"/>
      <c r="E452" s="138"/>
      <c r="F452" s="138"/>
      <c r="G452" s="25"/>
      <c r="H452" s="26"/>
    </row>
    <row r="453" ht="22.5" customHeight="1">
      <c r="A453" s="24"/>
      <c r="B453" s="71"/>
      <c r="C453" s="71"/>
      <c r="D453" s="71"/>
      <c r="E453" s="138"/>
      <c r="F453" s="138"/>
      <c r="G453" s="25"/>
      <c r="H453" s="26"/>
    </row>
    <row r="454" ht="22.5" customHeight="1">
      <c r="A454" s="24"/>
      <c r="B454" s="71"/>
      <c r="C454" s="71"/>
      <c r="D454" s="71"/>
      <c r="E454" s="138"/>
      <c r="F454" s="138"/>
      <c r="G454" s="25"/>
      <c r="H454" s="26"/>
    </row>
    <row r="455" ht="22.5" customHeight="1">
      <c r="A455" s="24"/>
      <c r="B455" s="71"/>
      <c r="C455" s="71"/>
      <c r="D455" s="71"/>
      <c r="E455" s="138"/>
      <c r="F455" s="138"/>
      <c r="G455" s="25"/>
      <c r="H455" s="26"/>
    </row>
    <row r="456" ht="22.5" customHeight="1">
      <c r="A456" s="24"/>
      <c r="B456" s="71"/>
      <c r="C456" s="71"/>
      <c r="D456" s="71"/>
      <c r="E456" s="138"/>
      <c r="F456" s="138"/>
      <c r="G456" s="25"/>
      <c r="H456" s="26"/>
    </row>
    <row r="457" ht="22.5" customHeight="1">
      <c r="A457" s="24"/>
      <c r="B457" s="71"/>
      <c r="C457" s="71"/>
      <c r="D457" s="71"/>
      <c r="E457" s="138"/>
      <c r="F457" s="138"/>
      <c r="G457" s="25"/>
      <c r="H457" s="26"/>
    </row>
    <row r="458" ht="22.5" customHeight="1">
      <c r="A458" s="24"/>
      <c r="B458" s="71"/>
      <c r="C458" s="71"/>
      <c r="D458" s="71"/>
      <c r="E458" s="138"/>
      <c r="F458" s="138"/>
      <c r="G458" s="25"/>
      <c r="H458" s="26"/>
    </row>
    <row r="459" ht="22.5" customHeight="1">
      <c r="A459" s="24"/>
      <c r="B459" s="71"/>
      <c r="C459" s="71"/>
      <c r="D459" s="71"/>
      <c r="E459" s="138"/>
      <c r="F459" s="138"/>
      <c r="G459" s="25"/>
      <c r="H459" s="26"/>
    </row>
    <row r="460" ht="22.5" customHeight="1">
      <c r="A460" s="24"/>
      <c r="B460" s="71"/>
      <c r="C460" s="71"/>
      <c r="D460" s="71"/>
      <c r="E460" s="138"/>
      <c r="F460" s="138"/>
      <c r="G460" s="25"/>
      <c r="H460" s="26"/>
    </row>
    <row r="461" ht="22.5" customHeight="1">
      <c r="A461" s="24"/>
      <c r="B461" s="71"/>
      <c r="C461" s="71"/>
      <c r="D461" s="71"/>
      <c r="E461" s="138"/>
      <c r="F461" s="138"/>
      <c r="G461" s="25"/>
      <c r="H461" s="26"/>
    </row>
    <row r="462" ht="22.5" customHeight="1">
      <c r="A462" s="24"/>
      <c r="B462" s="71"/>
      <c r="C462" s="71"/>
      <c r="D462" s="71"/>
      <c r="E462" s="138"/>
      <c r="F462" s="138"/>
      <c r="G462" s="25"/>
      <c r="H462" s="26"/>
    </row>
    <row r="463" ht="22.5" customHeight="1">
      <c r="A463" s="24"/>
      <c r="B463" s="71"/>
      <c r="C463" s="71"/>
      <c r="D463" s="71"/>
      <c r="E463" s="138"/>
      <c r="F463" s="138"/>
      <c r="G463" s="25"/>
      <c r="H463" s="26"/>
    </row>
    <row r="464" ht="22.5" customHeight="1">
      <c r="A464" s="24"/>
      <c r="B464" s="71"/>
      <c r="C464" s="71"/>
      <c r="D464" s="71"/>
      <c r="E464" s="138"/>
      <c r="F464" s="138"/>
      <c r="G464" s="25"/>
      <c r="H464" s="26"/>
    </row>
    <row r="465" ht="22.5" customHeight="1">
      <c r="A465" s="24"/>
      <c r="B465" s="71"/>
      <c r="C465" s="71"/>
      <c r="D465" s="71"/>
      <c r="E465" s="138"/>
      <c r="F465" s="138"/>
      <c r="G465" s="25"/>
      <c r="H465" s="26"/>
    </row>
    <row r="466" ht="22.5" customHeight="1">
      <c r="A466" s="24"/>
      <c r="B466" s="71"/>
      <c r="C466" s="71"/>
      <c r="D466" s="71"/>
      <c r="E466" s="138"/>
      <c r="F466" s="138"/>
      <c r="G466" s="25"/>
      <c r="H466" s="26"/>
    </row>
    <row r="467" ht="22.5" customHeight="1">
      <c r="A467" s="24"/>
      <c r="B467" s="71"/>
      <c r="C467" s="71"/>
      <c r="D467" s="71"/>
      <c r="E467" s="138"/>
      <c r="F467" s="138"/>
      <c r="G467" s="25"/>
      <c r="H467" s="26"/>
    </row>
    <row r="468" ht="22.5" customHeight="1">
      <c r="A468" s="24"/>
      <c r="B468" s="71"/>
      <c r="C468" s="71"/>
      <c r="D468" s="71"/>
      <c r="E468" s="138"/>
      <c r="F468" s="138"/>
      <c r="G468" s="25"/>
      <c r="H468" s="26"/>
    </row>
    <row r="469" ht="22.5" customHeight="1">
      <c r="A469" s="24"/>
      <c r="B469" s="71"/>
      <c r="C469" s="71"/>
      <c r="D469" s="71"/>
      <c r="E469" s="138"/>
      <c r="F469" s="138"/>
      <c r="G469" s="25"/>
      <c r="H469" s="26"/>
    </row>
    <row r="470" ht="22.5" customHeight="1">
      <c r="A470" s="24"/>
      <c r="B470" s="71"/>
      <c r="C470" s="71"/>
      <c r="D470" s="71"/>
      <c r="E470" s="138"/>
      <c r="F470" s="138"/>
      <c r="G470" s="25"/>
      <c r="H470" s="26"/>
    </row>
    <row r="471" ht="22.5" customHeight="1">
      <c r="A471" s="24"/>
      <c r="B471" s="71"/>
      <c r="C471" s="71"/>
      <c r="D471" s="71"/>
      <c r="E471" s="138"/>
      <c r="F471" s="138"/>
      <c r="G471" s="25"/>
      <c r="H471" s="26"/>
    </row>
    <row r="472" ht="22.5" customHeight="1">
      <c r="A472" s="24"/>
      <c r="B472" s="71"/>
      <c r="C472" s="71"/>
      <c r="D472" s="71"/>
      <c r="E472" s="138"/>
      <c r="F472" s="138"/>
      <c r="G472" s="25"/>
      <c r="H472" s="26"/>
    </row>
    <row r="473" ht="22.5" customHeight="1">
      <c r="A473" s="24"/>
      <c r="B473" s="71"/>
      <c r="C473" s="71"/>
      <c r="D473" s="71"/>
      <c r="E473" s="138"/>
      <c r="F473" s="138"/>
      <c r="G473" s="25"/>
      <c r="H473" s="26"/>
    </row>
    <row r="474" ht="22.5" customHeight="1">
      <c r="A474" s="24"/>
      <c r="B474" s="71"/>
      <c r="C474" s="71"/>
      <c r="D474" s="71"/>
      <c r="E474" s="138"/>
      <c r="F474" s="138"/>
      <c r="G474" s="25"/>
      <c r="H474" s="26"/>
    </row>
    <row r="475" ht="22.5" customHeight="1">
      <c r="A475" s="24"/>
      <c r="B475" s="71"/>
      <c r="C475" s="71"/>
      <c r="D475" s="71"/>
      <c r="E475" s="138"/>
      <c r="F475" s="138"/>
      <c r="G475" s="25"/>
      <c r="H475" s="26"/>
    </row>
    <row r="476" ht="22.5" customHeight="1">
      <c r="A476" s="24"/>
      <c r="B476" s="71"/>
      <c r="C476" s="71"/>
      <c r="D476" s="71"/>
      <c r="E476" s="138"/>
      <c r="F476" s="138"/>
      <c r="G476" s="25"/>
      <c r="H476" s="26"/>
    </row>
    <row r="477" ht="22.5" customHeight="1">
      <c r="A477" s="24"/>
      <c r="B477" s="71"/>
      <c r="C477" s="71"/>
      <c r="D477" s="71"/>
      <c r="E477" s="138"/>
      <c r="F477" s="138"/>
      <c r="G477" s="25"/>
      <c r="H477" s="26"/>
    </row>
    <row r="478" ht="22.5" customHeight="1">
      <c r="A478" s="24"/>
      <c r="B478" s="71"/>
      <c r="C478" s="71"/>
      <c r="D478" s="71"/>
      <c r="E478" s="138"/>
      <c r="F478" s="138"/>
      <c r="G478" s="25"/>
      <c r="H478" s="26"/>
    </row>
    <row r="479" ht="22.5" customHeight="1">
      <c r="A479" s="24"/>
      <c r="B479" s="71"/>
      <c r="C479" s="71"/>
      <c r="D479" s="71"/>
      <c r="E479" s="138"/>
      <c r="F479" s="138"/>
      <c r="G479" s="25"/>
      <c r="H479" s="26"/>
    </row>
    <row r="480" ht="22.5" customHeight="1">
      <c r="A480" s="24"/>
      <c r="B480" s="71"/>
      <c r="C480" s="71"/>
      <c r="D480" s="71"/>
      <c r="E480" s="138"/>
      <c r="F480" s="138"/>
      <c r="G480" s="25"/>
      <c r="H480" s="26"/>
    </row>
    <row r="481" ht="22.5" customHeight="1">
      <c r="A481" s="24"/>
      <c r="B481" s="71"/>
      <c r="C481" s="71"/>
      <c r="D481" s="71"/>
      <c r="E481" s="138"/>
      <c r="F481" s="138"/>
      <c r="G481" s="25"/>
      <c r="H481" s="26"/>
    </row>
    <row r="482" ht="22.5" customHeight="1">
      <c r="A482" s="24"/>
      <c r="B482" s="71"/>
      <c r="C482" s="71"/>
      <c r="D482" s="71"/>
      <c r="E482" s="138"/>
      <c r="F482" s="138"/>
      <c r="G482" s="25"/>
      <c r="H482" s="26"/>
    </row>
    <row r="483" ht="22.5" customHeight="1">
      <c r="A483" s="24"/>
      <c r="B483" s="71"/>
      <c r="C483" s="71"/>
      <c r="D483" s="71"/>
      <c r="E483" s="138"/>
      <c r="F483" s="138"/>
      <c r="G483" s="25"/>
      <c r="H483" s="26"/>
    </row>
    <row r="484" ht="22.5" customHeight="1">
      <c r="A484" s="24"/>
      <c r="B484" s="71"/>
      <c r="C484" s="71"/>
      <c r="D484" s="71"/>
      <c r="E484" s="138"/>
      <c r="F484" s="138"/>
      <c r="G484" s="25"/>
      <c r="H484" s="26"/>
    </row>
    <row r="485" ht="22.5" customHeight="1">
      <c r="A485" s="24"/>
      <c r="B485" s="71"/>
      <c r="C485" s="71"/>
      <c r="D485" s="71"/>
      <c r="E485" s="138"/>
      <c r="F485" s="138"/>
      <c r="G485" s="25"/>
      <c r="H485" s="26"/>
    </row>
    <row r="486" ht="22.5" customHeight="1">
      <c r="A486" s="24"/>
      <c r="B486" s="71"/>
      <c r="C486" s="71"/>
      <c r="D486" s="71"/>
      <c r="E486" s="138"/>
      <c r="F486" s="138"/>
      <c r="G486" s="25"/>
      <c r="H486" s="26"/>
    </row>
    <row r="487" ht="22.5" customHeight="1">
      <c r="A487" s="24"/>
      <c r="B487" s="71"/>
      <c r="C487" s="71"/>
      <c r="D487" s="71"/>
      <c r="E487" s="138"/>
      <c r="F487" s="138"/>
      <c r="G487" s="25"/>
      <c r="H487" s="26"/>
    </row>
    <row r="488" ht="22.5" customHeight="1">
      <c r="A488" s="24"/>
      <c r="B488" s="71"/>
      <c r="C488" s="71"/>
      <c r="D488" s="71"/>
      <c r="E488" s="138"/>
      <c r="F488" s="138"/>
      <c r="G488" s="25"/>
      <c r="H488" s="26"/>
    </row>
    <row r="489" ht="22.5" customHeight="1">
      <c r="A489" s="24"/>
      <c r="B489" s="71"/>
      <c r="C489" s="71"/>
      <c r="D489" s="71"/>
      <c r="E489" s="138"/>
      <c r="F489" s="138"/>
      <c r="G489" s="25"/>
      <c r="H489" s="26"/>
    </row>
    <row r="490" ht="22.5" customHeight="1">
      <c r="A490" s="24"/>
      <c r="B490" s="71"/>
      <c r="C490" s="71"/>
      <c r="D490" s="71"/>
      <c r="E490" s="138"/>
      <c r="F490" s="138"/>
      <c r="G490" s="25"/>
      <c r="H490" s="26"/>
    </row>
    <row r="491" ht="22.5" customHeight="1">
      <c r="A491" s="24"/>
      <c r="B491" s="71"/>
      <c r="C491" s="71"/>
      <c r="D491" s="71"/>
      <c r="E491" s="138"/>
      <c r="F491" s="138"/>
      <c r="G491" s="25"/>
      <c r="H491" s="26"/>
    </row>
    <row r="492" ht="22.5" customHeight="1">
      <c r="A492" s="24"/>
      <c r="B492" s="71"/>
      <c r="C492" s="71"/>
      <c r="D492" s="71"/>
      <c r="E492" s="138"/>
      <c r="F492" s="138"/>
      <c r="G492" s="25"/>
      <c r="H492" s="26"/>
    </row>
    <row r="493" ht="22.5" customHeight="1">
      <c r="A493" s="24"/>
      <c r="B493" s="71"/>
      <c r="C493" s="71"/>
      <c r="D493" s="71"/>
      <c r="E493" s="138"/>
      <c r="F493" s="138"/>
      <c r="G493" s="25"/>
      <c r="H493" s="26"/>
    </row>
    <row r="494" ht="22.5" customHeight="1">
      <c r="A494" s="24"/>
      <c r="B494" s="71"/>
      <c r="C494" s="71"/>
      <c r="D494" s="71"/>
      <c r="E494" s="138"/>
      <c r="F494" s="138"/>
      <c r="G494" s="25"/>
      <c r="H494" s="26"/>
    </row>
    <row r="495" ht="22.5" customHeight="1">
      <c r="A495" s="24"/>
      <c r="B495" s="71"/>
      <c r="C495" s="71"/>
      <c r="D495" s="71"/>
      <c r="E495" s="138"/>
      <c r="F495" s="138"/>
      <c r="G495" s="25"/>
      <c r="H495" s="26"/>
    </row>
    <row r="496" ht="22.5" customHeight="1">
      <c r="A496" s="24"/>
      <c r="B496" s="71"/>
      <c r="C496" s="71"/>
      <c r="D496" s="71"/>
      <c r="E496" s="138"/>
      <c r="F496" s="138"/>
      <c r="G496" s="25"/>
      <c r="H496" s="26"/>
    </row>
    <row r="497" ht="22.5" customHeight="1">
      <c r="A497" s="24"/>
      <c r="B497" s="71"/>
      <c r="C497" s="71"/>
      <c r="D497" s="71"/>
      <c r="E497" s="138"/>
      <c r="F497" s="138"/>
      <c r="G497" s="25"/>
      <c r="H497" s="26"/>
    </row>
    <row r="498" ht="22.5" customHeight="1">
      <c r="A498" s="24"/>
      <c r="B498" s="71"/>
      <c r="C498" s="71"/>
      <c r="D498" s="71"/>
      <c r="E498" s="138"/>
      <c r="F498" s="138"/>
      <c r="G498" s="25"/>
      <c r="H498" s="26"/>
    </row>
    <row r="499" ht="22.5" customHeight="1">
      <c r="A499" s="24"/>
      <c r="B499" s="71"/>
      <c r="C499" s="71"/>
      <c r="D499" s="71"/>
      <c r="E499" s="138"/>
      <c r="F499" s="138"/>
      <c r="G499" s="25"/>
      <c r="H499" s="26"/>
    </row>
    <row r="500" ht="22.5" customHeight="1">
      <c r="A500" s="24"/>
      <c r="B500" s="71"/>
      <c r="C500" s="71"/>
      <c r="D500" s="71"/>
      <c r="E500" s="138"/>
      <c r="F500" s="138"/>
      <c r="G500" s="25"/>
      <c r="H500" s="26"/>
    </row>
    <row r="501" ht="22.5" customHeight="1">
      <c r="A501" s="24"/>
      <c r="B501" s="71"/>
      <c r="C501" s="71"/>
      <c r="D501" s="71"/>
      <c r="E501" s="138"/>
      <c r="F501" s="138"/>
      <c r="G501" s="25"/>
      <c r="H501" s="26"/>
    </row>
    <row r="502" ht="22.5" customHeight="1">
      <c r="A502" s="24"/>
      <c r="B502" s="71"/>
      <c r="C502" s="71"/>
      <c r="D502" s="71"/>
      <c r="E502" s="138"/>
      <c r="F502" s="138"/>
      <c r="G502" s="25"/>
      <c r="H502" s="26"/>
    </row>
    <row r="503" ht="22.5" customHeight="1">
      <c r="A503" s="24"/>
      <c r="B503" s="71"/>
      <c r="C503" s="71"/>
      <c r="D503" s="71"/>
      <c r="E503" s="138"/>
      <c r="F503" s="138"/>
      <c r="G503" s="25"/>
      <c r="H503" s="26"/>
    </row>
    <row r="504" ht="22.5" customHeight="1">
      <c r="A504" s="24"/>
      <c r="B504" s="71"/>
      <c r="C504" s="71"/>
      <c r="D504" s="71"/>
      <c r="E504" s="138"/>
      <c r="F504" s="138"/>
      <c r="G504" s="25"/>
      <c r="H504" s="26"/>
    </row>
    <row r="505" ht="22.5" customHeight="1">
      <c r="A505" s="24"/>
      <c r="B505" s="71"/>
      <c r="C505" s="71"/>
      <c r="D505" s="71"/>
      <c r="E505" s="138"/>
      <c r="F505" s="138"/>
      <c r="G505" s="25"/>
      <c r="H505" s="26"/>
    </row>
    <row r="506" ht="22.5" customHeight="1">
      <c r="A506" s="24"/>
      <c r="B506" s="71"/>
      <c r="C506" s="71"/>
      <c r="D506" s="71"/>
      <c r="E506" s="138"/>
      <c r="F506" s="138"/>
      <c r="G506" s="25"/>
      <c r="H506" s="26"/>
    </row>
    <row r="507" ht="22.5" customHeight="1">
      <c r="A507" s="24"/>
      <c r="B507" s="71"/>
      <c r="C507" s="71"/>
      <c r="D507" s="71"/>
      <c r="E507" s="138"/>
      <c r="F507" s="138"/>
      <c r="G507" s="25"/>
      <c r="H507" s="26"/>
    </row>
    <row r="508" ht="22.5" customHeight="1">
      <c r="A508" s="24"/>
      <c r="B508" s="71"/>
      <c r="C508" s="71"/>
      <c r="D508" s="71"/>
      <c r="E508" s="138"/>
      <c r="F508" s="138"/>
      <c r="G508" s="25"/>
      <c r="H508" s="26"/>
    </row>
    <row r="509" ht="22.5" customHeight="1">
      <c r="A509" s="24"/>
      <c r="B509" s="71"/>
      <c r="C509" s="71"/>
      <c r="D509" s="71"/>
      <c r="E509" s="138"/>
      <c r="F509" s="138"/>
      <c r="G509" s="25"/>
      <c r="H509" s="26"/>
    </row>
    <row r="510" ht="22.5" customHeight="1">
      <c r="A510" s="24"/>
      <c r="B510" s="71"/>
      <c r="C510" s="71"/>
      <c r="D510" s="71"/>
      <c r="E510" s="138"/>
      <c r="F510" s="138"/>
      <c r="G510" s="25"/>
      <c r="H510" s="26"/>
    </row>
    <row r="511" ht="22.5" customHeight="1">
      <c r="A511" s="24"/>
      <c r="B511" s="71"/>
      <c r="C511" s="71"/>
      <c r="D511" s="71"/>
      <c r="E511" s="138"/>
      <c r="F511" s="138"/>
      <c r="G511" s="25"/>
      <c r="H511" s="26"/>
    </row>
    <row r="512" ht="22.5" customHeight="1">
      <c r="A512" s="24"/>
      <c r="B512" s="71"/>
      <c r="C512" s="71"/>
      <c r="D512" s="71"/>
      <c r="E512" s="138"/>
      <c r="F512" s="138"/>
      <c r="G512" s="25"/>
      <c r="H512" s="26"/>
    </row>
    <row r="513" ht="22.5" customHeight="1">
      <c r="A513" s="24"/>
      <c r="B513" s="71"/>
      <c r="C513" s="71"/>
      <c r="D513" s="71"/>
      <c r="E513" s="138"/>
      <c r="F513" s="138"/>
      <c r="G513" s="25"/>
      <c r="H513" s="26"/>
    </row>
    <row r="514" ht="22.5" customHeight="1">
      <c r="A514" s="24"/>
      <c r="B514" s="71"/>
      <c r="C514" s="71"/>
      <c r="D514" s="71"/>
      <c r="E514" s="138"/>
      <c r="F514" s="138"/>
      <c r="G514" s="25"/>
      <c r="H514" s="26"/>
    </row>
    <row r="515" ht="22.5" customHeight="1">
      <c r="A515" s="24"/>
      <c r="B515" s="71"/>
      <c r="C515" s="71"/>
      <c r="D515" s="71"/>
      <c r="E515" s="138"/>
      <c r="F515" s="138"/>
      <c r="G515" s="25"/>
      <c r="H515" s="26"/>
    </row>
    <row r="516" ht="22.5" customHeight="1">
      <c r="A516" s="24"/>
      <c r="B516" s="71"/>
      <c r="C516" s="71"/>
      <c r="D516" s="71"/>
      <c r="E516" s="138"/>
      <c r="F516" s="138"/>
      <c r="G516" s="25"/>
      <c r="H516" s="26"/>
    </row>
    <row r="517" ht="22.5" customHeight="1">
      <c r="A517" s="24"/>
      <c r="B517" s="71"/>
      <c r="C517" s="71"/>
      <c r="D517" s="71"/>
      <c r="E517" s="138"/>
      <c r="F517" s="138"/>
      <c r="G517" s="25"/>
      <c r="H517" s="26"/>
    </row>
    <row r="518" ht="22.5" customHeight="1">
      <c r="A518" s="24"/>
      <c r="B518" s="71"/>
      <c r="C518" s="71"/>
      <c r="D518" s="71"/>
      <c r="E518" s="138"/>
      <c r="F518" s="138"/>
      <c r="G518" s="25"/>
      <c r="H518" s="26"/>
    </row>
    <row r="519" ht="22.5" customHeight="1">
      <c r="A519" s="24"/>
      <c r="B519" s="71"/>
      <c r="C519" s="71"/>
      <c r="D519" s="71"/>
      <c r="E519" s="138"/>
      <c r="F519" s="138"/>
      <c r="G519" s="25"/>
      <c r="H519" s="26"/>
    </row>
    <row r="520" ht="22.5" customHeight="1">
      <c r="A520" s="24"/>
      <c r="B520" s="71"/>
      <c r="C520" s="71"/>
      <c r="D520" s="71"/>
      <c r="E520" s="138"/>
      <c r="F520" s="138"/>
      <c r="G520" s="25"/>
      <c r="H520" s="26"/>
    </row>
    <row r="521" ht="22.5" customHeight="1">
      <c r="A521" s="24"/>
      <c r="B521" s="71"/>
      <c r="C521" s="71"/>
      <c r="D521" s="71"/>
      <c r="E521" s="138"/>
      <c r="F521" s="138"/>
      <c r="G521" s="25"/>
      <c r="H521" s="26"/>
    </row>
    <row r="522" ht="22.5" customHeight="1">
      <c r="A522" s="24"/>
      <c r="B522" s="71"/>
      <c r="C522" s="71"/>
      <c r="D522" s="71"/>
      <c r="E522" s="138"/>
      <c r="F522" s="138"/>
      <c r="G522" s="25"/>
      <c r="H522" s="26"/>
    </row>
    <row r="523" ht="22.5" customHeight="1">
      <c r="A523" s="24"/>
      <c r="B523" s="71"/>
      <c r="C523" s="71"/>
      <c r="D523" s="71"/>
      <c r="E523" s="138"/>
      <c r="F523" s="138"/>
      <c r="G523" s="25"/>
      <c r="H523" s="26"/>
    </row>
    <row r="524" ht="22.5" customHeight="1">
      <c r="A524" s="24"/>
      <c r="B524" s="71"/>
      <c r="C524" s="71"/>
      <c r="D524" s="71"/>
      <c r="E524" s="138"/>
      <c r="F524" s="138"/>
      <c r="G524" s="25"/>
      <c r="H524" s="26"/>
    </row>
    <row r="525" ht="22.5" customHeight="1">
      <c r="A525" s="24"/>
      <c r="B525" s="71"/>
      <c r="C525" s="71"/>
      <c r="D525" s="71"/>
      <c r="E525" s="138"/>
      <c r="F525" s="138"/>
      <c r="G525" s="25"/>
      <c r="H525" s="26"/>
    </row>
    <row r="526" ht="22.5" customHeight="1">
      <c r="A526" s="24"/>
      <c r="B526" s="71"/>
      <c r="C526" s="71"/>
      <c r="D526" s="71"/>
      <c r="E526" s="138"/>
      <c r="F526" s="138"/>
      <c r="G526" s="25"/>
      <c r="H526" s="26"/>
    </row>
    <row r="527" ht="22.5" customHeight="1">
      <c r="A527" s="24"/>
      <c r="B527" s="71"/>
      <c r="C527" s="71"/>
      <c r="D527" s="71"/>
      <c r="E527" s="138"/>
      <c r="F527" s="138"/>
      <c r="G527" s="25"/>
      <c r="H527" s="26"/>
    </row>
    <row r="528" ht="22.5" customHeight="1">
      <c r="A528" s="24"/>
      <c r="B528" s="71"/>
      <c r="C528" s="71"/>
      <c r="D528" s="71"/>
      <c r="E528" s="138"/>
      <c r="F528" s="138"/>
      <c r="G528" s="25"/>
      <c r="H528" s="26"/>
    </row>
    <row r="529" ht="22.5" customHeight="1">
      <c r="A529" s="24"/>
      <c r="B529" s="71"/>
      <c r="C529" s="71"/>
      <c r="D529" s="71"/>
      <c r="E529" s="138"/>
      <c r="F529" s="138"/>
      <c r="G529" s="25"/>
      <c r="H529" s="26"/>
    </row>
    <row r="530" ht="22.5" customHeight="1">
      <c r="A530" s="24"/>
      <c r="B530" s="71"/>
      <c r="C530" s="71"/>
      <c r="D530" s="71"/>
      <c r="E530" s="138"/>
      <c r="F530" s="138"/>
      <c r="G530" s="25"/>
      <c r="H530" s="26"/>
    </row>
    <row r="531" ht="22.5" customHeight="1">
      <c r="A531" s="24"/>
      <c r="B531" s="71"/>
      <c r="C531" s="71"/>
      <c r="D531" s="71"/>
      <c r="E531" s="138"/>
      <c r="F531" s="138"/>
      <c r="G531" s="25"/>
      <c r="H531" s="26"/>
    </row>
    <row r="532" ht="22.5" customHeight="1">
      <c r="A532" s="24"/>
      <c r="B532" s="71"/>
      <c r="C532" s="71"/>
      <c r="D532" s="71"/>
      <c r="E532" s="138"/>
      <c r="F532" s="138"/>
      <c r="G532" s="25"/>
      <c r="H532" s="26"/>
    </row>
    <row r="533" ht="22.5" customHeight="1">
      <c r="A533" s="24"/>
      <c r="B533" s="71"/>
      <c r="C533" s="71"/>
      <c r="D533" s="71"/>
      <c r="E533" s="138"/>
      <c r="F533" s="138"/>
      <c r="G533" s="25"/>
      <c r="H533" s="26"/>
    </row>
    <row r="534" ht="22.5" customHeight="1">
      <c r="A534" s="24"/>
      <c r="B534" s="71"/>
      <c r="C534" s="71"/>
      <c r="D534" s="71"/>
      <c r="E534" s="138"/>
      <c r="F534" s="138"/>
      <c r="G534" s="25"/>
      <c r="H534" s="26"/>
    </row>
    <row r="535" ht="22.5" customHeight="1">
      <c r="A535" s="24"/>
      <c r="B535" s="71"/>
      <c r="C535" s="71"/>
      <c r="D535" s="71"/>
      <c r="E535" s="138"/>
      <c r="F535" s="138"/>
      <c r="G535" s="25"/>
      <c r="H535" s="26"/>
    </row>
    <row r="536" ht="22.5" customHeight="1">
      <c r="A536" s="24"/>
      <c r="B536" s="71"/>
      <c r="C536" s="71"/>
      <c r="D536" s="71"/>
      <c r="E536" s="138"/>
      <c r="F536" s="138"/>
      <c r="G536" s="25"/>
      <c r="H536" s="26"/>
    </row>
    <row r="537" ht="22.5" customHeight="1">
      <c r="A537" s="24"/>
      <c r="B537" s="71"/>
      <c r="C537" s="71"/>
      <c r="D537" s="71"/>
      <c r="E537" s="138"/>
      <c r="F537" s="138"/>
      <c r="G537" s="25"/>
      <c r="H537" s="26"/>
    </row>
    <row r="538" ht="22.5" customHeight="1">
      <c r="A538" s="24"/>
      <c r="B538" s="71"/>
      <c r="C538" s="71"/>
      <c r="D538" s="71"/>
      <c r="E538" s="138"/>
      <c r="F538" s="138"/>
      <c r="G538" s="25"/>
      <c r="H538" s="26"/>
    </row>
    <row r="539" ht="22.5" customHeight="1">
      <c r="A539" s="24"/>
      <c r="B539" s="71"/>
      <c r="C539" s="71"/>
      <c r="D539" s="71"/>
      <c r="E539" s="138"/>
      <c r="F539" s="138"/>
      <c r="G539" s="25"/>
      <c r="H539" s="26"/>
    </row>
    <row r="540" ht="22.5" customHeight="1">
      <c r="A540" s="24"/>
      <c r="B540" s="71"/>
      <c r="C540" s="71"/>
      <c r="D540" s="71"/>
      <c r="E540" s="138"/>
      <c r="F540" s="138"/>
      <c r="G540" s="25"/>
      <c r="H540" s="26"/>
    </row>
    <row r="541" ht="22.5" customHeight="1">
      <c r="A541" s="24"/>
      <c r="B541" s="71"/>
      <c r="C541" s="71"/>
      <c r="D541" s="71"/>
      <c r="E541" s="138"/>
      <c r="F541" s="138"/>
      <c r="G541" s="25"/>
      <c r="H541" s="26"/>
    </row>
    <row r="542" ht="22.5" customHeight="1">
      <c r="A542" s="24"/>
      <c r="B542" s="71"/>
      <c r="C542" s="71"/>
      <c r="D542" s="71"/>
      <c r="E542" s="138"/>
      <c r="F542" s="138"/>
      <c r="G542" s="25"/>
      <c r="H542" s="26"/>
    </row>
    <row r="543" ht="22.5" customHeight="1">
      <c r="A543" s="24"/>
      <c r="B543" s="71"/>
      <c r="C543" s="71"/>
      <c r="D543" s="71"/>
      <c r="E543" s="138"/>
      <c r="F543" s="138"/>
      <c r="G543" s="25"/>
      <c r="H543" s="26"/>
    </row>
    <row r="544" ht="22.5" customHeight="1">
      <c r="A544" s="24"/>
      <c r="B544" s="71"/>
      <c r="C544" s="71"/>
      <c r="D544" s="71"/>
      <c r="E544" s="138"/>
      <c r="F544" s="138"/>
      <c r="G544" s="25"/>
      <c r="H544" s="26"/>
    </row>
    <row r="545" ht="22.5" customHeight="1">
      <c r="A545" s="24"/>
      <c r="B545" s="71"/>
      <c r="C545" s="71"/>
      <c r="D545" s="71"/>
      <c r="E545" s="138"/>
      <c r="F545" s="138"/>
      <c r="G545" s="25"/>
      <c r="H545" s="26"/>
    </row>
    <row r="546" ht="22.5" customHeight="1">
      <c r="A546" s="24"/>
      <c r="B546" s="71"/>
      <c r="C546" s="71"/>
      <c r="D546" s="71"/>
      <c r="E546" s="138"/>
      <c r="F546" s="138"/>
      <c r="G546" s="25"/>
      <c r="H546" s="26"/>
    </row>
    <row r="547" ht="22.5" customHeight="1">
      <c r="A547" s="24"/>
      <c r="B547" s="71"/>
      <c r="C547" s="71"/>
      <c r="D547" s="71"/>
      <c r="E547" s="138"/>
      <c r="F547" s="138"/>
      <c r="G547" s="25"/>
      <c r="H547" s="26"/>
    </row>
    <row r="548" ht="22.5" customHeight="1">
      <c r="A548" s="24"/>
      <c r="B548" s="71"/>
      <c r="C548" s="71"/>
      <c r="D548" s="71"/>
      <c r="E548" s="138"/>
      <c r="F548" s="138"/>
      <c r="G548" s="25"/>
      <c r="H548" s="26"/>
    </row>
    <row r="549" ht="22.5" customHeight="1">
      <c r="A549" s="24"/>
      <c r="B549" s="71"/>
      <c r="C549" s="71"/>
      <c r="D549" s="71"/>
      <c r="E549" s="138"/>
      <c r="F549" s="138"/>
      <c r="G549" s="25"/>
      <c r="H549" s="26"/>
    </row>
    <row r="550" ht="22.5" customHeight="1">
      <c r="A550" s="24"/>
      <c r="B550" s="71"/>
      <c r="C550" s="71"/>
      <c r="D550" s="71"/>
      <c r="E550" s="138"/>
      <c r="F550" s="138"/>
      <c r="G550" s="25"/>
      <c r="H550" s="26"/>
    </row>
    <row r="551" ht="22.5" customHeight="1">
      <c r="A551" s="24"/>
      <c r="B551" s="71"/>
      <c r="C551" s="71"/>
      <c r="D551" s="71"/>
      <c r="E551" s="138"/>
      <c r="F551" s="138"/>
      <c r="G551" s="25"/>
      <c r="H551" s="26"/>
    </row>
    <row r="552" ht="22.5" customHeight="1">
      <c r="A552" s="24"/>
      <c r="B552" s="71"/>
      <c r="C552" s="71"/>
      <c r="D552" s="71"/>
      <c r="E552" s="138"/>
      <c r="F552" s="138"/>
      <c r="G552" s="25"/>
      <c r="H552" s="26"/>
    </row>
    <row r="553" ht="22.5" customHeight="1">
      <c r="A553" s="24"/>
      <c r="B553" s="71"/>
      <c r="C553" s="71"/>
      <c r="D553" s="71"/>
      <c r="E553" s="138"/>
      <c r="F553" s="138"/>
      <c r="G553" s="25"/>
      <c r="H553" s="26"/>
    </row>
    <row r="554" ht="22.5" customHeight="1">
      <c r="A554" s="24"/>
      <c r="B554" s="71"/>
      <c r="C554" s="71"/>
      <c r="D554" s="71"/>
      <c r="E554" s="138"/>
      <c r="F554" s="138"/>
      <c r="G554" s="25"/>
      <c r="H554" s="26"/>
    </row>
    <row r="555" ht="22.5" customHeight="1">
      <c r="A555" s="24"/>
      <c r="B555" s="71"/>
      <c r="C555" s="71"/>
      <c r="D555" s="71"/>
      <c r="E555" s="138"/>
      <c r="F555" s="138"/>
      <c r="G555" s="25"/>
      <c r="H555" s="26"/>
    </row>
    <row r="556" ht="22.5" customHeight="1">
      <c r="A556" s="24"/>
      <c r="B556" s="71"/>
      <c r="C556" s="71"/>
      <c r="D556" s="71"/>
      <c r="E556" s="138"/>
      <c r="F556" s="138"/>
      <c r="G556" s="25"/>
      <c r="H556" s="26"/>
    </row>
    <row r="557" ht="22.5" customHeight="1">
      <c r="A557" s="24"/>
      <c r="B557" s="71"/>
      <c r="C557" s="71"/>
      <c r="D557" s="71"/>
      <c r="E557" s="138"/>
      <c r="F557" s="138"/>
      <c r="G557" s="25"/>
      <c r="H557" s="26"/>
    </row>
    <row r="558" ht="22.5" customHeight="1">
      <c r="A558" s="24"/>
      <c r="B558" s="71"/>
      <c r="C558" s="71"/>
      <c r="D558" s="71"/>
      <c r="E558" s="138"/>
      <c r="F558" s="138"/>
      <c r="G558" s="25"/>
      <c r="H558" s="26"/>
    </row>
    <row r="559" ht="22.5" customHeight="1">
      <c r="A559" s="24"/>
      <c r="B559" s="71"/>
      <c r="C559" s="71"/>
      <c r="D559" s="71"/>
      <c r="E559" s="138"/>
      <c r="F559" s="138"/>
      <c r="G559" s="25"/>
      <c r="H559" s="26"/>
    </row>
    <row r="560" ht="22.5" customHeight="1">
      <c r="A560" s="24"/>
      <c r="B560" s="71"/>
      <c r="C560" s="71"/>
      <c r="D560" s="71"/>
      <c r="E560" s="138"/>
      <c r="F560" s="138"/>
      <c r="G560" s="25"/>
      <c r="H560" s="26"/>
    </row>
    <row r="561" ht="22.5" customHeight="1">
      <c r="A561" s="24"/>
      <c r="B561" s="71"/>
      <c r="C561" s="71"/>
      <c r="D561" s="71"/>
      <c r="E561" s="138"/>
      <c r="F561" s="138"/>
      <c r="G561" s="25"/>
      <c r="H561" s="26"/>
    </row>
    <row r="562" ht="22.5" customHeight="1">
      <c r="A562" s="24"/>
      <c r="B562" s="71"/>
      <c r="C562" s="71"/>
      <c r="D562" s="71"/>
      <c r="E562" s="138"/>
      <c r="F562" s="138"/>
      <c r="G562" s="25"/>
      <c r="H562" s="26"/>
    </row>
    <row r="563" ht="22.5" customHeight="1">
      <c r="A563" s="24"/>
      <c r="B563" s="71"/>
      <c r="C563" s="71"/>
      <c r="D563" s="71"/>
      <c r="E563" s="138"/>
      <c r="F563" s="138"/>
      <c r="G563" s="25"/>
      <c r="H563" s="26"/>
    </row>
    <row r="564" ht="22.5" customHeight="1">
      <c r="A564" s="24"/>
      <c r="B564" s="71"/>
      <c r="C564" s="71"/>
      <c r="D564" s="71"/>
      <c r="E564" s="138"/>
      <c r="F564" s="138"/>
      <c r="G564" s="25"/>
      <c r="H564" s="26"/>
    </row>
    <row r="565" ht="22.5" customHeight="1">
      <c r="A565" s="24"/>
      <c r="B565" s="71"/>
      <c r="C565" s="71"/>
      <c r="D565" s="71"/>
      <c r="E565" s="138"/>
      <c r="F565" s="138"/>
      <c r="G565" s="25"/>
      <c r="H565" s="26"/>
    </row>
    <row r="566" ht="22.5" customHeight="1">
      <c r="A566" s="24"/>
      <c r="B566" s="71"/>
      <c r="C566" s="71"/>
      <c r="D566" s="71"/>
      <c r="E566" s="138"/>
      <c r="F566" s="138"/>
      <c r="G566" s="25"/>
      <c r="H566" s="26"/>
    </row>
    <row r="567" ht="22.5" customHeight="1">
      <c r="A567" s="24"/>
      <c r="B567" s="71"/>
      <c r="C567" s="71"/>
      <c r="D567" s="71"/>
      <c r="E567" s="138"/>
      <c r="F567" s="138"/>
      <c r="G567" s="25"/>
      <c r="H567" s="26"/>
    </row>
    <row r="568" ht="22.5" customHeight="1">
      <c r="A568" s="24"/>
      <c r="B568" s="71"/>
      <c r="C568" s="71"/>
      <c r="D568" s="71"/>
      <c r="E568" s="138"/>
      <c r="F568" s="138"/>
      <c r="G568" s="25"/>
      <c r="H568" s="26"/>
    </row>
    <row r="569" ht="22.5" customHeight="1">
      <c r="A569" s="24"/>
      <c r="B569" s="71"/>
      <c r="C569" s="71"/>
      <c r="D569" s="71"/>
      <c r="E569" s="138"/>
      <c r="F569" s="138"/>
      <c r="G569" s="25"/>
      <c r="H569" s="26"/>
    </row>
    <row r="570" ht="22.5" customHeight="1">
      <c r="A570" s="24"/>
      <c r="B570" s="71"/>
      <c r="C570" s="71"/>
      <c r="D570" s="71"/>
      <c r="E570" s="138"/>
      <c r="F570" s="138"/>
      <c r="G570" s="25"/>
      <c r="H570" s="26"/>
    </row>
    <row r="571" ht="22.5" customHeight="1">
      <c r="A571" s="24"/>
      <c r="B571" s="71"/>
      <c r="C571" s="71"/>
      <c r="D571" s="71"/>
      <c r="E571" s="138"/>
      <c r="F571" s="138"/>
      <c r="G571" s="25"/>
      <c r="H571" s="26"/>
    </row>
    <row r="572" ht="22.5" customHeight="1">
      <c r="A572" s="24"/>
      <c r="B572" s="71"/>
      <c r="C572" s="71"/>
      <c r="D572" s="71"/>
      <c r="E572" s="138"/>
      <c r="F572" s="138"/>
      <c r="G572" s="25"/>
      <c r="H572" s="26"/>
    </row>
    <row r="573" ht="22.5" customHeight="1">
      <c r="A573" s="24"/>
      <c r="B573" s="71"/>
      <c r="C573" s="71"/>
      <c r="D573" s="71"/>
      <c r="E573" s="138"/>
      <c r="F573" s="138"/>
      <c r="G573" s="25"/>
      <c r="H573" s="26"/>
    </row>
    <row r="574" ht="22.5" customHeight="1">
      <c r="A574" s="24"/>
      <c r="B574" s="71"/>
      <c r="C574" s="71"/>
      <c r="D574" s="71"/>
      <c r="E574" s="138"/>
      <c r="F574" s="138"/>
      <c r="G574" s="25"/>
      <c r="H574" s="26"/>
    </row>
    <row r="575" ht="22.5" customHeight="1">
      <c r="A575" s="24"/>
      <c r="B575" s="71"/>
      <c r="C575" s="71"/>
      <c r="D575" s="71"/>
      <c r="E575" s="138"/>
      <c r="F575" s="138"/>
      <c r="G575" s="25"/>
      <c r="H575" s="26"/>
    </row>
    <row r="576" ht="22.5" customHeight="1">
      <c r="A576" s="24"/>
      <c r="B576" s="71"/>
      <c r="C576" s="71"/>
      <c r="D576" s="71"/>
      <c r="E576" s="138"/>
      <c r="F576" s="138"/>
      <c r="G576" s="25"/>
      <c r="H576" s="26"/>
    </row>
    <row r="577" ht="22.5" customHeight="1">
      <c r="A577" s="24"/>
      <c r="B577" s="71"/>
      <c r="C577" s="71"/>
      <c r="D577" s="71"/>
      <c r="E577" s="138"/>
      <c r="F577" s="138"/>
      <c r="G577" s="25"/>
      <c r="H577" s="26"/>
    </row>
    <row r="578" ht="22.5" customHeight="1">
      <c r="A578" s="24"/>
      <c r="B578" s="71"/>
      <c r="C578" s="71"/>
      <c r="D578" s="71"/>
      <c r="E578" s="138"/>
      <c r="F578" s="138"/>
      <c r="G578" s="25"/>
      <c r="H578" s="26"/>
    </row>
    <row r="579" ht="22.5" customHeight="1">
      <c r="A579" s="24"/>
      <c r="B579" s="71"/>
      <c r="C579" s="71"/>
      <c r="D579" s="71"/>
      <c r="E579" s="138"/>
      <c r="F579" s="138"/>
      <c r="G579" s="25"/>
      <c r="H579" s="26"/>
    </row>
    <row r="580" ht="22.5" customHeight="1">
      <c r="A580" s="24"/>
      <c r="B580" s="71"/>
      <c r="C580" s="71"/>
      <c r="D580" s="71"/>
      <c r="E580" s="138"/>
      <c r="F580" s="138"/>
      <c r="G580" s="25"/>
      <c r="H580" s="26"/>
    </row>
    <row r="581" ht="22.5" customHeight="1">
      <c r="A581" s="24"/>
      <c r="B581" s="71"/>
      <c r="C581" s="71"/>
      <c r="D581" s="71"/>
      <c r="E581" s="138"/>
      <c r="F581" s="138"/>
      <c r="G581" s="25"/>
      <c r="H581" s="26"/>
    </row>
    <row r="582" ht="22.5" customHeight="1">
      <c r="A582" s="24"/>
      <c r="B582" s="71"/>
      <c r="C582" s="71"/>
      <c r="D582" s="71"/>
      <c r="E582" s="138"/>
      <c r="F582" s="138"/>
      <c r="G582" s="25"/>
      <c r="H582" s="26"/>
    </row>
    <row r="583" ht="22.5" customHeight="1">
      <c r="A583" s="24"/>
      <c r="B583" s="71"/>
      <c r="C583" s="71"/>
      <c r="D583" s="71"/>
      <c r="E583" s="138"/>
      <c r="F583" s="138"/>
      <c r="G583" s="25"/>
      <c r="H583" s="26"/>
    </row>
    <row r="584" ht="22.5" customHeight="1">
      <c r="A584" s="24"/>
      <c r="B584" s="71"/>
      <c r="C584" s="71"/>
      <c r="D584" s="71"/>
      <c r="E584" s="138"/>
      <c r="F584" s="138"/>
      <c r="G584" s="25"/>
      <c r="H584" s="26"/>
    </row>
    <row r="585" ht="22.5" customHeight="1">
      <c r="A585" s="24"/>
      <c r="B585" s="71"/>
      <c r="C585" s="71"/>
      <c r="D585" s="71"/>
      <c r="E585" s="138"/>
      <c r="F585" s="138"/>
      <c r="G585" s="25"/>
      <c r="H585" s="26"/>
    </row>
    <row r="586" ht="22.5" customHeight="1">
      <c r="A586" s="24"/>
      <c r="B586" s="71"/>
      <c r="C586" s="71"/>
      <c r="D586" s="71"/>
      <c r="E586" s="138"/>
      <c r="F586" s="138"/>
      <c r="G586" s="25"/>
      <c r="H586" s="26"/>
    </row>
    <row r="587" ht="22.5" customHeight="1">
      <c r="A587" s="24"/>
      <c r="B587" s="71"/>
      <c r="C587" s="71"/>
      <c r="D587" s="71"/>
      <c r="E587" s="138"/>
      <c r="F587" s="138"/>
      <c r="G587" s="25"/>
      <c r="H587" s="26"/>
    </row>
    <row r="588" ht="22.5" customHeight="1">
      <c r="A588" s="24"/>
      <c r="B588" s="71"/>
      <c r="C588" s="71"/>
      <c r="D588" s="71"/>
      <c r="E588" s="138"/>
      <c r="F588" s="138"/>
      <c r="G588" s="25"/>
      <c r="H588" s="26"/>
    </row>
    <row r="589" ht="22.5" customHeight="1">
      <c r="A589" s="24"/>
      <c r="B589" s="71"/>
      <c r="C589" s="71"/>
      <c r="D589" s="71"/>
      <c r="E589" s="138"/>
      <c r="F589" s="138"/>
      <c r="G589" s="25"/>
      <c r="H589" s="26"/>
    </row>
    <row r="590" ht="22.5" customHeight="1">
      <c r="A590" s="24"/>
      <c r="B590" s="71"/>
      <c r="C590" s="71"/>
      <c r="D590" s="71"/>
      <c r="E590" s="138"/>
      <c r="F590" s="138"/>
      <c r="G590" s="25"/>
      <c r="H590" s="26"/>
    </row>
    <row r="591" ht="22.5" customHeight="1">
      <c r="A591" s="24"/>
      <c r="B591" s="71"/>
      <c r="C591" s="71"/>
      <c r="D591" s="71"/>
      <c r="E591" s="138"/>
      <c r="F591" s="138"/>
      <c r="G591" s="25"/>
      <c r="H591" s="26"/>
    </row>
    <row r="592" ht="22.5" customHeight="1">
      <c r="A592" s="24"/>
      <c r="B592" s="71"/>
      <c r="C592" s="71"/>
      <c r="D592" s="71"/>
      <c r="E592" s="138"/>
      <c r="F592" s="138"/>
      <c r="G592" s="25"/>
      <c r="H592" s="26"/>
    </row>
    <row r="593" ht="22.5" customHeight="1">
      <c r="A593" s="24"/>
      <c r="B593" s="71"/>
      <c r="C593" s="71"/>
      <c r="D593" s="71"/>
      <c r="E593" s="138"/>
      <c r="F593" s="138"/>
      <c r="G593" s="25"/>
      <c r="H593" s="26"/>
    </row>
    <row r="594" ht="22.5" customHeight="1">
      <c r="A594" s="24"/>
      <c r="B594" s="71"/>
      <c r="C594" s="71"/>
      <c r="D594" s="71"/>
      <c r="E594" s="138"/>
      <c r="F594" s="138"/>
      <c r="G594" s="25"/>
      <c r="H594" s="26"/>
    </row>
    <row r="595" ht="22.5" customHeight="1">
      <c r="A595" s="24"/>
      <c r="B595" s="71"/>
      <c r="C595" s="71"/>
      <c r="D595" s="71"/>
      <c r="E595" s="138"/>
      <c r="F595" s="138"/>
      <c r="G595" s="25"/>
      <c r="H595" s="26"/>
    </row>
    <row r="596" ht="22.5" customHeight="1">
      <c r="A596" s="24"/>
      <c r="B596" s="71"/>
      <c r="C596" s="71"/>
      <c r="D596" s="71"/>
      <c r="E596" s="138"/>
      <c r="F596" s="138"/>
      <c r="G596" s="25"/>
      <c r="H596" s="26"/>
    </row>
    <row r="597" ht="22.5" customHeight="1">
      <c r="A597" s="24"/>
      <c r="B597" s="71"/>
      <c r="C597" s="71"/>
      <c r="D597" s="71"/>
      <c r="E597" s="138"/>
      <c r="F597" s="138"/>
      <c r="G597" s="25"/>
      <c r="H597" s="26"/>
    </row>
    <row r="598" ht="22.5" customHeight="1">
      <c r="A598" s="24"/>
      <c r="B598" s="71"/>
      <c r="C598" s="71"/>
      <c r="D598" s="71"/>
      <c r="E598" s="138"/>
      <c r="F598" s="138"/>
      <c r="G598" s="25"/>
      <c r="H598" s="26"/>
    </row>
    <row r="599" ht="22.5" customHeight="1">
      <c r="A599" s="24"/>
      <c r="B599" s="71"/>
      <c r="C599" s="71"/>
      <c r="D599" s="71"/>
      <c r="E599" s="138"/>
      <c r="F599" s="138"/>
      <c r="G599" s="25"/>
      <c r="H599" s="26"/>
    </row>
    <row r="600" ht="22.5" customHeight="1">
      <c r="A600" s="24"/>
      <c r="B600" s="71"/>
      <c r="C600" s="71"/>
      <c r="D600" s="71"/>
      <c r="E600" s="138"/>
      <c r="F600" s="138"/>
      <c r="G600" s="25"/>
      <c r="H600" s="26"/>
    </row>
    <row r="601" ht="22.5" customHeight="1">
      <c r="A601" s="24"/>
      <c r="B601" s="71"/>
      <c r="C601" s="71"/>
      <c r="D601" s="71"/>
      <c r="E601" s="138"/>
      <c r="F601" s="138"/>
      <c r="G601" s="25"/>
      <c r="H601" s="26"/>
    </row>
    <row r="602" ht="22.5" customHeight="1">
      <c r="A602" s="24"/>
      <c r="B602" s="71"/>
      <c r="C602" s="71"/>
      <c r="D602" s="71"/>
      <c r="E602" s="138"/>
      <c r="F602" s="138"/>
      <c r="G602" s="25"/>
      <c r="H602" s="26"/>
    </row>
    <row r="603" ht="22.5" customHeight="1">
      <c r="A603" s="24"/>
      <c r="B603" s="71"/>
      <c r="C603" s="71"/>
      <c r="D603" s="71"/>
      <c r="E603" s="138"/>
      <c r="F603" s="138"/>
      <c r="G603" s="25"/>
      <c r="H603" s="26"/>
    </row>
    <row r="604" ht="22.5" customHeight="1">
      <c r="A604" s="24"/>
      <c r="B604" s="71"/>
      <c r="C604" s="71"/>
      <c r="D604" s="71"/>
      <c r="E604" s="138"/>
      <c r="F604" s="138"/>
      <c r="G604" s="25"/>
      <c r="H604" s="26"/>
    </row>
    <row r="605" ht="22.5" customHeight="1">
      <c r="A605" s="24"/>
      <c r="B605" s="71"/>
      <c r="C605" s="71"/>
      <c r="D605" s="71"/>
      <c r="E605" s="138"/>
      <c r="F605" s="138"/>
      <c r="G605" s="25"/>
      <c r="H605" s="26"/>
    </row>
    <row r="606" ht="22.5" customHeight="1">
      <c r="A606" s="24"/>
      <c r="B606" s="71"/>
      <c r="C606" s="71"/>
      <c r="D606" s="71"/>
      <c r="E606" s="138"/>
      <c r="F606" s="138"/>
      <c r="G606" s="25"/>
      <c r="H606" s="26"/>
    </row>
    <row r="607" ht="22.5" customHeight="1">
      <c r="A607" s="24"/>
      <c r="B607" s="71"/>
      <c r="C607" s="71"/>
      <c r="D607" s="71"/>
      <c r="E607" s="138"/>
      <c r="F607" s="138"/>
      <c r="G607" s="25"/>
      <c r="H607" s="26"/>
    </row>
    <row r="608" ht="22.5" customHeight="1">
      <c r="A608" s="24"/>
      <c r="B608" s="71"/>
      <c r="C608" s="71"/>
      <c r="D608" s="71"/>
      <c r="E608" s="138"/>
      <c r="F608" s="138"/>
      <c r="G608" s="25"/>
      <c r="H608" s="26"/>
    </row>
    <row r="609" ht="22.5" customHeight="1">
      <c r="A609" s="24"/>
      <c r="B609" s="71"/>
      <c r="C609" s="71"/>
      <c r="D609" s="71"/>
      <c r="E609" s="138"/>
      <c r="F609" s="138"/>
      <c r="G609" s="25"/>
      <c r="H609" s="26"/>
    </row>
    <row r="610" ht="22.5" customHeight="1">
      <c r="A610" s="24"/>
      <c r="B610" s="71"/>
      <c r="C610" s="71"/>
      <c r="D610" s="71"/>
      <c r="E610" s="138"/>
      <c r="F610" s="138"/>
      <c r="G610" s="25"/>
      <c r="H610" s="26"/>
    </row>
    <row r="611" ht="22.5" customHeight="1">
      <c r="A611" s="24"/>
      <c r="B611" s="71"/>
      <c r="C611" s="71"/>
      <c r="D611" s="71"/>
      <c r="E611" s="138"/>
      <c r="F611" s="138"/>
      <c r="G611" s="25"/>
      <c r="H611" s="26"/>
    </row>
    <row r="612" ht="22.5" customHeight="1">
      <c r="A612" s="24"/>
      <c r="B612" s="71"/>
      <c r="C612" s="71"/>
      <c r="D612" s="71"/>
      <c r="E612" s="138"/>
      <c r="F612" s="138"/>
      <c r="G612" s="25"/>
      <c r="H612" s="26"/>
    </row>
    <row r="613" ht="22.5" customHeight="1">
      <c r="A613" s="24"/>
      <c r="B613" s="71"/>
      <c r="C613" s="71"/>
      <c r="D613" s="71"/>
      <c r="E613" s="138"/>
      <c r="F613" s="138"/>
      <c r="G613" s="25"/>
      <c r="H613" s="26"/>
    </row>
    <row r="614" ht="22.5" customHeight="1">
      <c r="A614" s="24"/>
      <c r="B614" s="71"/>
      <c r="C614" s="71"/>
      <c r="D614" s="71"/>
      <c r="E614" s="138"/>
      <c r="F614" s="138"/>
      <c r="G614" s="25"/>
      <c r="H614" s="26"/>
    </row>
    <row r="615" ht="22.5" customHeight="1">
      <c r="A615" s="24"/>
      <c r="B615" s="71"/>
      <c r="C615" s="71"/>
      <c r="D615" s="71"/>
      <c r="E615" s="138"/>
      <c r="F615" s="138"/>
      <c r="G615" s="25"/>
      <c r="H615" s="26"/>
    </row>
    <row r="616" ht="22.5" customHeight="1">
      <c r="A616" s="24"/>
      <c r="B616" s="71"/>
      <c r="C616" s="71"/>
      <c r="D616" s="71"/>
      <c r="E616" s="138"/>
      <c r="F616" s="138"/>
      <c r="G616" s="25"/>
      <c r="H616" s="26"/>
    </row>
    <row r="617" ht="22.5" customHeight="1">
      <c r="A617" s="24"/>
      <c r="B617" s="71"/>
      <c r="C617" s="71"/>
      <c r="D617" s="71"/>
      <c r="E617" s="138"/>
      <c r="F617" s="138"/>
      <c r="G617" s="25"/>
      <c r="H617" s="26"/>
    </row>
    <row r="618" ht="22.5" customHeight="1">
      <c r="A618" s="24"/>
      <c r="B618" s="71"/>
      <c r="C618" s="71"/>
      <c r="D618" s="71"/>
      <c r="E618" s="138"/>
      <c r="F618" s="138"/>
      <c r="G618" s="25"/>
      <c r="H618" s="26"/>
    </row>
    <row r="619" ht="22.5" customHeight="1">
      <c r="A619" s="24"/>
      <c r="B619" s="71"/>
      <c r="C619" s="71"/>
      <c r="D619" s="71"/>
      <c r="E619" s="138"/>
      <c r="F619" s="138"/>
      <c r="G619" s="25"/>
      <c r="H619" s="26"/>
    </row>
    <row r="620" ht="22.5" customHeight="1">
      <c r="A620" s="24"/>
      <c r="B620" s="71"/>
      <c r="C620" s="71"/>
      <c r="D620" s="71"/>
      <c r="E620" s="138"/>
      <c r="F620" s="138"/>
      <c r="G620" s="25"/>
      <c r="H620" s="26"/>
    </row>
    <row r="621" ht="22.5" customHeight="1">
      <c r="A621" s="24"/>
      <c r="B621" s="71"/>
      <c r="C621" s="71"/>
      <c r="D621" s="71"/>
      <c r="E621" s="138"/>
      <c r="F621" s="138"/>
      <c r="G621" s="25"/>
      <c r="H621" s="26"/>
    </row>
    <row r="622" ht="22.5" customHeight="1">
      <c r="A622" s="24"/>
      <c r="B622" s="71"/>
      <c r="C622" s="71"/>
      <c r="D622" s="71"/>
      <c r="E622" s="138"/>
      <c r="F622" s="138"/>
      <c r="G622" s="25"/>
      <c r="H622" s="26"/>
    </row>
    <row r="623" ht="22.5" customHeight="1">
      <c r="A623" s="24"/>
      <c r="B623" s="71"/>
      <c r="C623" s="71"/>
      <c r="D623" s="71"/>
      <c r="E623" s="138"/>
      <c r="F623" s="138"/>
      <c r="G623" s="25"/>
      <c r="H623" s="26"/>
    </row>
    <row r="624" ht="22.5" customHeight="1">
      <c r="A624" s="24"/>
      <c r="B624" s="71"/>
      <c r="C624" s="71"/>
      <c r="D624" s="71"/>
      <c r="E624" s="138"/>
      <c r="F624" s="138"/>
      <c r="G624" s="25"/>
      <c r="H624" s="26"/>
    </row>
    <row r="625" ht="22.5" customHeight="1">
      <c r="A625" s="24"/>
      <c r="B625" s="71"/>
      <c r="C625" s="71"/>
      <c r="D625" s="71"/>
      <c r="E625" s="138"/>
      <c r="F625" s="138"/>
      <c r="G625" s="25"/>
      <c r="H625" s="26"/>
    </row>
    <row r="626" ht="22.5" customHeight="1">
      <c r="A626" s="24"/>
      <c r="B626" s="71"/>
      <c r="C626" s="71"/>
      <c r="D626" s="71"/>
      <c r="E626" s="138"/>
      <c r="F626" s="138"/>
      <c r="G626" s="25"/>
      <c r="H626" s="26"/>
    </row>
    <row r="627" ht="22.5" customHeight="1">
      <c r="A627" s="24"/>
      <c r="B627" s="71"/>
      <c r="C627" s="71"/>
      <c r="D627" s="71"/>
      <c r="E627" s="138"/>
      <c r="F627" s="138"/>
      <c r="G627" s="25"/>
      <c r="H627" s="26"/>
    </row>
    <row r="628" ht="22.5" customHeight="1">
      <c r="A628" s="24"/>
      <c r="B628" s="71"/>
      <c r="C628" s="71"/>
      <c r="D628" s="71"/>
      <c r="E628" s="138"/>
      <c r="F628" s="138"/>
      <c r="G628" s="25"/>
      <c r="H628" s="26"/>
    </row>
    <row r="629" ht="22.5" customHeight="1">
      <c r="A629" s="24"/>
      <c r="B629" s="71"/>
      <c r="C629" s="71"/>
      <c r="D629" s="71"/>
      <c r="E629" s="138"/>
      <c r="F629" s="138"/>
      <c r="G629" s="25"/>
      <c r="H629" s="26"/>
    </row>
    <row r="630" ht="22.5" customHeight="1">
      <c r="A630" s="24"/>
      <c r="B630" s="71"/>
      <c r="C630" s="71"/>
      <c r="D630" s="71"/>
      <c r="E630" s="138"/>
      <c r="F630" s="138"/>
      <c r="G630" s="25"/>
      <c r="H630" s="26"/>
    </row>
    <row r="631" ht="22.5" customHeight="1">
      <c r="A631" s="24"/>
      <c r="B631" s="71"/>
      <c r="C631" s="71"/>
      <c r="D631" s="71"/>
      <c r="E631" s="138"/>
      <c r="F631" s="138"/>
      <c r="G631" s="25"/>
      <c r="H631" s="26"/>
    </row>
    <row r="632" ht="22.5" customHeight="1">
      <c r="A632" s="24"/>
      <c r="B632" s="71"/>
      <c r="C632" s="71"/>
      <c r="D632" s="71"/>
      <c r="E632" s="138"/>
      <c r="F632" s="138"/>
      <c r="G632" s="25"/>
      <c r="H632" s="26"/>
    </row>
    <row r="633" ht="22.5" customHeight="1">
      <c r="A633" s="24"/>
      <c r="B633" s="71"/>
      <c r="C633" s="71"/>
      <c r="D633" s="71"/>
      <c r="E633" s="138"/>
      <c r="F633" s="138"/>
      <c r="G633" s="25"/>
      <c r="H633" s="26"/>
    </row>
    <row r="634" ht="22.5" customHeight="1">
      <c r="A634" s="24"/>
      <c r="B634" s="71"/>
      <c r="C634" s="71"/>
      <c r="D634" s="71"/>
      <c r="E634" s="138"/>
      <c r="F634" s="138"/>
      <c r="G634" s="25"/>
      <c r="H634" s="26"/>
    </row>
    <row r="635" ht="22.5" customHeight="1">
      <c r="A635" s="24"/>
      <c r="B635" s="71"/>
      <c r="C635" s="71"/>
      <c r="D635" s="71"/>
      <c r="E635" s="138"/>
      <c r="F635" s="138"/>
      <c r="G635" s="25"/>
      <c r="H635" s="26"/>
    </row>
    <row r="636" ht="22.5" customHeight="1">
      <c r="A636" s="24"/>
      <c r="B636" s="71"/>
      <c r="C636" s="71"/>
      <c r="D636" s="71"/>
      <c r="E636" s="138"/>
      <c r="F636" s="138"/>
      <c r="G636" s="25"/>
      <c r="H636" s="26"/>
    </row>
    <row r="637" ht="22.5" customHeight="1">
      <c r="A637" s="24"/>
      <c r="B637" s="71"/>
      <c r="C637" s="71"/>
      <c r="D637" s="71"/>
      <c r="E637" s="138"/>
      <c r="F637" s="138"/>
      <c r="G637" s="25"/>
      <c r="H637" s="26"/>
    </row>
    <row r="638" ht="22.5" customHeight="1">
      <c r="A638" s="24"/>
      <c r="B638" s="71"/>
      <c r="C638" s="71"/>
      <c r="D638" s="71"/>
      <c r="E638" s="138"/>
      <c r="F638" s="138"/>
      <c r="G638" s="25"/>
      <c r="H638" s="26"/>
    </row>
    <row r="639" ht="22.5" customHeight="1">
      <c r="A639" s="24"/>
      <c r="B639" s="71"/>
      <c r="C639" s="71"/>
      <c r="D639" s="71"/>
      <c r="E639" s="138"/>
      <c r="F639" s="138"/>
      <c r="G639" s="25"/>
      <c r="H639" s="26"/>
    </row>
    <row r="640" ht="22.5" customHeight="1">
      <c r="A640" s="24"/>
      <c r="B640" s="71"/>
      <c r="C640" s="71"/>
      <c r="D640" s="71"/>
      <c r="E640" s="138"/>
      <c r="F640" s="138"/>
      <c r="G640" s="25"/>
      <c r="H640" s="26"/>
    </row>
    <row r="641" ht="22.5" customHeight="1">
      <c r="A641" s="24"/>
      <c r="B641" s="71"/>
      <c r="C641" s="71"/>
      <c r="D641" s="71"/>
      <c r="E641" s="138"/>
      <c r="F641" s="138"/>
      <c r="G641" s="25"/>
      <c r="H641" s="26"/>
    </row>
    <row r="642" ht="22.5" customHeight="1">
      <c r="A642" s="24"/>
      <c r="B642" s="71"/>
      <c r="C642" s="71"/>
      <c r="D642" s="71"/>
      <c r="E642" s="138"/>
      <c r="F642" s="138"/>
      <c r="G642" s="25"/>
      <c r="H642" s="26"/>
    </row>
    <row r="643" ht="22.5" customHeight="1">
      <c r="A643" s="24"/>
      <c r="B643" s="71"/>
      <c r="C643" s="71"/>
      <c r="D643" s="71"/>
      <c r="E643" s="138"/>
      <c r="F643" s="138"/>
      <c r="G643" s="25"/>
      <c r="H643" s="26"/>
    </row>
    <row r="644" ht="22.5" customHeight="1">
      <c r="A644" s="24"/>
      <c r="B644" s="71"/>
      <c r="C644" s="71"/>
      <c r="D644" s="71"/>
      <c r="E644" s="138"/>
      <c r="F644" s="138"/>
      <c r="G644" s="25"/>
      <c r="H644" s="26"/>
    </row>
    <row r="645" ht="22.5" customHeight="1">
      <c r="A645" s="24"/>
      <c r="B645" s="71"/>
      <c r="C645" s="71"/>
      <c r="D645" s="71"/>
      <c r="E645" s="138"/>
      <c r="F645" s="138"/>
      <c r="G645" s="25"/>
      <c r="H645" s="26"/>
    </row>
    <row r="646" ht="22.5" customHeight="1">
      <c r="A646" s="24"/>
      <c r="B646" s="71"/>
      <c r="C646" s="71"/>
      <c r="D646" s="71"/>
      <c r="E646" s="138"/>
      <c r="F646" s="138"/>
      <c r="G646" s="25"/>
      <c r="H646" s="26"/>
    </row>
    <row r="647" ht="22.5" customHeight="1">
      <c r="A647" s="24"/>
      <c r="B647" s="71"/>
      <c r="C647" s="71"/>
      <c r="D647" s="71"/>
      <c r="E647" s="138"/>
      <c r="F647" s="138"/>
      <c r="G647" s="25"/>
      <c r="H647" s="26"/>
    </row>
    <row r="648" ht="22.5" customHeight="1">
      <c r="A648" s="24"/>
      <c r="B648" s="71"/>
      <c r="C648" s="71"/>
      <c r="D648" s="71"/>
      <c r="E648" s="138"/>
      <c r="F648" s="138"/>
      <c r="G648" s="25"/>
      <c r="H648" s="26"/>
    </row>
    <row r="649" ht="22.5" customHeight="1">
      <c r="A649" s="24"/>
      <c r="B649" s="71"/>
      <c r="C649" s="71"/>
      <c r="D649" s="71"/>
      <c r="E649" s="138"/>
      <c r="F649" s="138"/>
      <c r="G649" s="25"/>
      <c r="H649" s="26"/>
    </row>
    <row r="650" ht="22.5" customHeight="1">
      <c r="A650" s="24"/>
      <c r="B650" s="71"/>
      <c r="C650" s="71"/>
      <c r="D650" s="71"/>
      <c r="E650" s="138"/>
      <c r="F650" s="138"/>
      <c r="G650" s="25"/>
      <c r="H650" s="26"/>
    </row>
    <row r="651" ht="22.5" customHeight="1">
      <c r="A651" s="24"/>
      <c r="B651" s="71"/>
      <c r="C651" s="71"/>
      <c r="D651" s="71"/>
      <c r="E651" s="138"/>
      <c r="F651" s="138"/>
      <c r="G651" s="25"/>
      <c r="H651" s="26"/>
    </row>
    <row r="652" ht="22.5" customHeight="1">
      <c r="A652" s="24"/>
      <c r="B652" s="71"/>
      <c r="C652" s="71"/>
      <c r="D652" s="71"/>
      <c r="E652" s="138"/>
      <c r="F652" s="138"/>
      <c r="G652" s="25"/>
      <c r="H652" s="26"/>
    </row>
    <row r="653" ht="22.5" customHeight="1">
      <c r="A653" s="24"/>
      <c r="B653" s="71"/>
      <c r="C653" s="71"/>
      <c r="D653" s="71"/>
      <c r="E653" s="138"/>
      <c r="F653" s="138"/>
      <c r="G653" s="25"/>
      <c r="H653" s="26"/>
    </row>
    <row r="654" ht="22.5" customHeight="1">
      <c r="A654" s="24"/>
      <c r="B654" s="71"/>
      <c r="C654" s="71"/>
      <c r="D654" s="71"/>
      <c r="E654" s="138"/>
      <c r="F654" s="138"/>
      <c r="G654" s="25"/>
      <c r="H654" s="26"/>
    </row>
    <row r="655" ht="22.5" customHeight="1">
      <c r="A655" s="24"/>
      <c r="B655" s="71"/>
      <c r="C655" s="71"/>
      <c r="D655" s="71"/>
      <c r="E655" s="138"/>
      <c r="F655" s="138"/>
      <c r="G655" s="25"/>
      <c r="H655" s="26"/>
    </row>
    <row r="656" ht="22.5" customHeight="1">
      <c r="A656" s="24"/>
      <c r="B656" s="71"/>
      <c r="C656" s="71"/>
      <c r="D656" s="71"/>
      <c r="E656" s="138"/>
      <c r="F656" s="138"/>
      <c r="G656" s="25"/>
      <c r="H656" s="26"/>
    </row>
    <row r="657" ht="22.5" customHeight="1">
      <c r="A657" s="24"/>
      <c r="B657" s="71"/>
      <c r="C657" s="71"/>
      <c r="D657" s="71"/>
      <c r="E657" s="138"/>
      <c r="F657" s="138"/>
      <c r="G657" s="25"/>
      <c r="H657" s="26"/>
    </row>
    <row r="658" ht="22.5" customHeight="1">
      <c r="A658" s="24"/>
      <c r="B658" s="71"/>
      <c r="C658" s="71"/>
      <c r="D658" s="71"/>
      <c r="E658" s="138"/>
      <c r="F658" s="138"/>
      <c r="G658" s="25"/>
      <c r="H658" s="26"/>
    </row>
    <row r="659" ht="22.5" customHeight="1">
      <c r="A659" s="24"/>
      <c r="B659" s="71"/>
      <c r="C659" s="71"/>
      <c r="D659" s="71"/>
      <c r="E659" s="138"/>
      <c r="F659" s="138"/>
      <c r="G659" s="25"/>
      <c r="H659" s="26"/>
    </row>
    <row r="660" ht="22.5" customHeight="1">
      <c r="A660" s="24"/>
      <c r="B660" s="71"/>
      <c r="C660" s="71"/>
      <c r="D660" s="71"/>
      <c r="E660" s="138"/>
      <c r="F660" s="138"/>
      <c r="G660" s="25"/>
      <c r="H660" s="26"/>
    </row>
    <row r="661" ht="22.5" customHeight="1">
      <c r="A661" s="24"/>
      <c r="B661" s="71"/>
      <c r="C661" s="71"/>
      <c r="D661" s="71"/>
      <c r="E661" s="138"/>
      <c r="F661" s="138"/>
      <c r="G661" s="25"/>
      <c r="H661" s="26"/>
    </row>
    <row r="662" ht="22.5" customHeight="1">
      <c r="A662" s="24"/>
      <c r="B662" s="71"/>
      <c r="C662" s="71"/>
      <c r="D662" s="71"/>
      <c r="E662" s="138"/>
      <c r="F662" s="138"/>
      <c r="G662" s="25"/>
      <c r="H662" s="26"/>
    </row>
    <row r="663" ht="22.5" customHeight="1">
      <c r="A663" s="24"/>
      <c r="B663" s="71"/>
      <c r="C663" s="71"/>
      <c r="D663" s="71"/>
      <c r="E663" s="138"/>
      <c r="F663" s="138"/>
      <c r="G663" s="25"/>
      <c r="H663" s="26"/>
    </row>
    <row r="664" ht="22.5" customHeight="1">
      <c r="A664" s="24"/>
      <c r="B664" s="71"/>
      <c r="C664" s="71"/>
      <c r="D664" s="71"/>
      <c r="E664" s="138"/>
      <c r="F664" s="138"/>
      <c r="G664" s="25"/>
      <c r="H664" s="26"/>
    </row>
    <row r="665" ht="22.5" customHeight="1">
      <c r="A665" s="24"/>
      <c r="B665" s="71"/>
      <c r="C665" s="71"/>
      <c r="D665" s="71"/>
      <c r="E665" s="138"/>
      <c r="F665" s="138"/>
      <c r="G665" s="25"/>
      <c r="H665" s="26"/>
    </row>
    <row r="666" ht="22.5" customHeight="1">
      <c r="A666" s="24"/>
      <c r="B666" s="71"/>
      <c r="C666" s="71"/>
      <c r="D666" s="71"/>
      <c r="E666" s="138"/>
      <c r="F666" s="138"/>
      <c r="G666" s="25"/>
      <c r="H666" s="26"/>
    </row>
    <row r="667" ht="22.5" customHeight="1">
      <c r="A667" s="24"/>
      <c r="B667" s="71"/>
      <c r="C667" s="71"/>
      <c r="D667" s="71"/>
      <c r="E667" s="138"/>
      <c r="F667" s="138"/>
      <c r="G667" s="25"/>
      <c r="H667" s="26"/>
    </row>
    <row r="668" ht="22.5" customHeight="1">
      <c r="A668" s="24"/>
      <c r="B668" s="71"/>
      <c r="C668" s="71"/>
      <c r="D668" s="71"/>
      <c r="E668" s="138"/>
      <c r="F668" s="138"/>
      <c r="G668" s="25"/>
      <c r="H668" s="26"/>
    </row>
    <row r="669" ht="22.5" customHeight="1">
      <c r="A669" s="24"/>
      <c r="B669" s="71"/>
      <c r="C669" s="71"/>
      <c r="D669" s="71"/>
      <c r="E669" s="138"/>
      <c r="F669" s="138"/>
      <c r="G669" s="25"/>
      <c r="H669" s="26"/>
    </row>
    <row r="670" ht="22.5" customHeight="1">
      <c r="A670" s="24"/>
      <c r="B670" s="71"/>
      <c r="C670" s="71"/>
      <c r="D670" s="71"/>
      <c r="E670" s="138"/>
      <c r="F670" s="138"/>
      <c r="G670" s="25"/>
      <c r="H670" s="26"/>
    </row>
    <row r="671" ht="22.5" customHeight="1">
      <c r="A671" s="24"/>
      <c r="B671" s="71"/>
      <c r="C671" s="71"/>
      <c r="D671" s="71"/>
      <c r="E671" s="138"/>
      <c r="F671" s="138"/>
      <c r="G671" s="25"/>
      <c r="H671" s="26"/>
    </row>
    <row r="672" ht="22.5" customHeight="1">
      <c r="A672" s="24"/>
      <c r="B672" s="71"/>
      <c r="C672" s="71"/>
      <c r="D672" s="71"/>
      <c r="E672" s="138"/>
      <c r="F672" s="138"/>
      <c r="G672" s="25"/>
      <c r="H672" s="26"/>
    </row>
    <row r="673" ht="22.5" customHeight="1">
      <c r="A673" s="24"/>
      <c r="B673" s="71"/>
      <c r="C673" s="71"/>
      <c r="D673" s="71"/>
      <c r="E673" s="138"/>
      <c r="F673" s="138"/>
      <c r="G673" s="25"/>
      <c r="H673" s="26"/>
    </row>
    <row r="674" ht="22.5" customHeight="1">
      <c r="A674" s="24"/>
      <c r="B674" s="71"/>
      <c r="C674" s="71"/>
      <c r="D674" s="71"/>
      <c r="E674" s="138"/>
      <c r="F674" s="138"/>
      <c r="G674" s="25"/>
      <c r="H674" s="26"/>
    </row>
    <row r="675" ht="22.5" customHeight="1">
      <c r="A675" s="24"/>
      <c r="B675" s="71"/>
      <c r="C675" s="71"/>
      <c r="D675" s="71"/>
      <c r="E675" s="138"/>
      <c r="F675" s="138"/>
      <c r="G675" s="25"/>
      <c r="H675" s="26"/>
    </row>
    <row r="676" ht="22.5" customHeight="1">
      <c r="A676" s="24"/>
      <c r="B676" s="71"/>
      <c r="C676" s="71"/>
      <c r="D676" s="71"/>
      <c r="E676" s="138"/>
      <c r="F676" s="138"/>
      <c r="G676" s="25"/>
      <c r="H676" s="26"/>
    </row>
    <row r="677" ht="22.5" customHeight="1">
      <c r="A677" s="24"/>
      <c r="B677" s="71"/>
      <c r="C677" s="71"/>
      <c r="D677" s="71"/>
      <c r="E677" s="138"/>
      <c r="F677" s="138"/>
      <c r="G677" s="25"/>
      <c r="H677" s="26"/>
    </row>
    <row r="678" ht="22.5" customHeight="1">
      <c r="A678" s="24"/>
      <c r="B678" s="71"/>
      <c r="C678" s="71"/>
      <c r="D678" s="71"/>
      <c r="E678" s="138"/>
      <c r="F678" s="138"/>
      <c r="G678" s="25"/>
      <c r="H678" s="26"/>
    </row>
    <row r="679" ht="22.5" customHeight="1">
      <c r="A679" s="24"/>
      <c r="B679" s="71"/>
      <c r="C679" s="71"/>
      <c r="D679" s="71"/>
      <c r="E679" s="138"/>
      <c r="F679" s="138"/>
      <c r="G679" s="25"/>
      <c r="H679" s="26"/>
    </row>
    <row r="680" ht="22.5" customHeight="1">
      <c r="A680" s="24"/>
      <c r="B680" s="71"/>
      <c r="C680" s="71"/>
      <c r="D680" s="71"/>
      <c r="E680" s="138"/>
      <c r="F680" s="138"/>
      <c r="G680" s="25"/>
      <c r="H680" s="26"/>
    </row>
    <row r="681" ht="22.5" customHeight="1">
      <c r="A681" s="24"/>
      <c r="B681" s="71"/>
      <c r="C681" s="71"/>
      <c r="D681" s="71"/>
      <c r="E681" s="138"/>
      <c r="F681" s="138"/>
      <c r="G681" s="25"/>
      <c r="H681" s="26"/>
    </row>
    <row r="682" ht="22.5" customHeight="1">
      <c r="A682" s="24"/>
      <c r="B682" s="71"/>
      <c r="C682" s="71"/>
      <c r="D682" s="71"/>
      <c r="E682" s="138"/>
      <c r="F682" s="138"/>
      <c r="G682" s="25"/>
      <c r="H682" s="26"/>
    </row>
    <row r="683" ht="22.5" customHeight="1">
      <c r="A683" s="24"/>
      <c r="B683" s="71"/>
      <c r="C683" s="71"/>
      <c r="D683" s="71"/>
      <c r="E683" s="138"/>
      <c r="F683" s="138"/>
      <c r="G683" s="25"/>
      <c r="H683" s="26"/>
    </row>
    <row r="684" ht="22.5" customHeight="1">
      <c r="A684" s="24"/>
      <c r="B684" s="71"/>
      <c r="C684" s="71"/>
      <c r="D684" s="71"/>
      <c r="E684" s="138"/>
      <c r="F684" s="138"/>
      <c r="G684" s="25"/>
      <c r="H684" s="26"/>
    </row>
    <row r="685" ht="22.5" customHeight="1">
      <c r="A685" s="24"/>
      <c r="B685" s="71"/>
      <c r="C685" s="71"/>
      <c r="D685" s="71"/>
      <c r="E685" s="138"/>
      <c r="F685" s="138"/>
      <c r="G685" s="25"/>
      <c r="H685" s="26"/>
    </row>
    <row r="686" ht="22.5" customHeight="1">
      <c r="A686" s="24"/>
      <c r="B686" s="71"/>
      <c r="C686" s="71"/>
      <c r="D686" s="71"/>
      <c r="E686" s="138"/>
      <c r="F686" s="138"/>
      <c r="G686" s="25"/>
      <c r="H686" s="26"/>
    </row>
    <row r="687" ht="22.5" customHeight="1">
      <c r="A687" s="24"/>
      <c r="B687" s="71"/>
      <c r="C687" s="71"/>
      <c r="D687" s="71"/>
      <c r="E687" s="138"/>
      <c r="F687" s="138"/>
      <c r="G687" s="25"/>
      <c r="H687" s="26"/>
    </row>
    <row r="688" ht="22.5" customHeight="1">
      <c r="A688" s="24"/>
      <c r="B688" s="71"/>
      <c r="C688" s="71"/>
      <c r="D688" s="71"/>
      <c r="E688" s="138"/>
      <c r="F688" s="138"/>
      <c r="G688" s="25"/>
      <c r="H688" s="26"/>
    </row>
    <row r="689" ht="22.5" customHeight="1">
      <c r="A689" s="24"/>
      <c r="B689" s="71"/>
      <c r="C689" s="71"/>
      <c r="D689" s="71"/>
      <c r="E689" s="138"/>
      <c r="F689" s="138"/>
      <c r="G689" s="25"/>
      <c r="H689" s="26"/>
    </row>
    <row r="690" ht="22.5" customHeight="1">
      <c r="A690" s="24"/>
      <c r="B690" s="71"/>
      <c r="C690" s="71"/>
      <c r="D690" s="71"/>
      <c r="E690" s="138"/>
      <c r="F690" s="138"/>
      <c r="G690" s="25"/>
      <c r="H690" s="26"/>
    </row>
    <row r="691" ht="22.5" customHeight="1">
      <c r="A691" s="24"/>
      <c r="B691" s="71"/>
      <c r="C691" s="71"/>
      <c r="D691" s="71"/>
      <c r="E691" s="138"/>
      <c r="F691" s="138"/>
      <c r="G691" s="25"/>
      <c r="H691" s="26"/>
    </row>
    <row r="692" ht="22.5" customHeight="1">
      <c r="A692" s="24"/>
      <c r="B692" s="71"/>
      <c r="C692" s="71"/>
      <c r="D692" s="71"/>
      <c r="E692" s="138"/>
      <c r="F692" s="138"/>
      <c r="G692" s="25"/>
      <c r="H692" s="26"/>
    </row>
    <row r="693" ht="22.5" customHeight="1">
      <c r="A693" s="24"/>
      <c r="B693" s="71"/>
      <c r="C693" s="71"/>
      <c r="D693" s="71"/>
      <c r="E693" s="138"/>
      <c r="F693" s="138"/>
      <c r="G693" s="25"/>
      <c r="H693" s="26"/>
    </row>
    <row r="694" ht="22.5" customHeight="1">
      <c r="A694" s="24"/>
      <c r="B694" s="71"/>
      <c r="C694" s="71"/>
      <c r="D694" s="71"/>
      <c r="E694" s="138"/>
      <c r="F694" s="138"/>
      <c r="G694" s="25"/>
      <c r="H694" s="26"/>
    </row>
    <row r="695" ht="22.5" customHeight="1">
      <c r="A695" s="24"/>
      <c r="B695" s="71"/>
      <c r="C695" s="71"/>
      <c r="D695" s="71"/>
      <c r="E695" s="138"/>
      <c r="F695" s="138"/>
      <c r="G695" s="25"/>
      <c r="H695" s="26"/>
    </row>
    <row r="696" ht="22.5" customHeight="1">
      <c r="A696" s="24"/>
      <c r="B696" s="71"/>
      <c r="C696" s="71"/>
      <c r="D696" s="71"/>
      <c r="E696" s="138"/>
      <c r="F696" s="138"/>
      <c r="G696" s="25"/>
      <c r="H696" s="26"/>
    </row>
    <row r="697" ht="22.5" customHeight="1">
      <c r="A697" s="24"/>
      <c r="B697" s="71"/>
      <c r="C697" s="71"/>
      <c r="D697" s="71"/>
      <c r="E697" s="138"/>
      <c r="F697" s="138"/>
      <c r="G697" s="25"/>
      <c r="H697" s="26"/>
    </row>
    <row r="698" ht="22.5" customHeight="1">
      <c r="A698" s="24"/>
      <c r="B698" s="71"/>
      <c r="C698" s="71"/>
      <c r="D698" s="71"/>
      <c r="E698" s="138"/>
      <c r="F698" s="138"/>
      <c r="G698" s="25"/>
      <c r="H698" s="26"/>
    </row>
    <row r="699" ht="22.5" customHeight="1">
      <c r="A699" s="24"/>
      <c r="B699" s="71"/>
      <c r="C699" s="71"/>
      <c r="D699" s="71"/>
      <c r="E699" s="138"/>
      <c r="F699" s="138"/>
      <c r="G699" s="25"/>
      <c r="H699" s="26"/>
    </row>
    <row r="700" ht="22.5" customHeight="1">
      <c r="A700" s="24"/>
      <c r="B700" s="71"/>
      <c r="C700" s="71"/>
      <c r="D700" s="71"/>
      <c r="E700" s="138"/>
      <c r="F700" s="138"/>
      <c r="G700" s="25"/>
      <c r="H700" s="26"/>
    </row>
    <row r="701" ht="22.5" customHeight="1">
      <c r="A701" s="24"/>
      <c r="B701" s="71"/>
      <c r="C701" s="71"/>
      <c r="D701" s="71"/>
      <c r="E701" s="138"/>
      <c r="F701" s="138"/>
      <c r="G701" s="25"/>
      <c r="H701" s="26"/>
    </row>
    <row r="702" ht="22.5" customHeight="1">
      <c r="A702" s="24"/>
      <c r="B702" s="71"/>
      <c r="C702" s="71"/>
      <c r="D702" s="71"/>
      <c r="E702" s="138"/>
      <c r="F702" s="138"/>
      <c r="G702" s="25"/>
      <c r="H702" s="26"/>
    </row>
    <row r="703" ht="22.5" customHeight="1">
      <c r="A703" s="24"/>
      <c r="B703" s="71"/>
      <c r="C703" s="71"/>
      <c r="D703" s="71"/>
      <c r="E703" s="138"/>
      <c r="F703" s="138"/>
      <c r="G703" s="25"/>
      <c r="H703" s="26"/>
    </row>
    <row r="704" ht="22.5" customHeight="1">
      <c r="A704" s="24"/>
      <c r="B704" s="71"/>
      <c r="C704" s="71"/>
      <c r="D704" s="71"/>
      <c r="E704" s="138"/>
      <c r="F704" s="138"/>
      <c r="G704" s="25"/>
      <c r="H704" s="26"/>
    </row>
    <row r="705" ht="22.5" customHeight="1">
      <c r="A705" s="24"/>
      <c r="B705" s="71"/>
      <c r="C705" s="71"/>
      <c r="D705" s="71"/>
      <c r="E705" s="138"/>
      <c r="F705" s="138"/>
      <c r="G705" s="25"/>
      <c r="H705" s="26"/>
    </row>
    <row r="706" ht="22.5" customHeight="1">
      <c r="A706" s="24"/>
      <c r="B706" s="71"/>
      <c r="C706" s="71"/>
      <c r="D706" s="71"/>
      <c r="E706" s="138"/>
      <c r="F706" s="138"/>
      <c r="G706" s="25"/>
      <c r="H706" s="26"/>
    </row>
    <row r="707" ht="22.5" customHeight="1">
      <c r="A707" s="24"/>
      <c r="B707" s="71"/>
      <c r="C707" s="71"/>
      <c r="D707" s="71"/>
      <c r="E707" s="138"/>
      <c r="F707" s="138"/>
      <c r="G707" s="25"/>
      <c r="H707" s="26"/>
    </row>
    <row r="708" ht="22.5" customHeight="1">
      <c r="A708" s="24"/>
      <c r="B708" s="71"/>
      <c r="C708" s="71"/>
      <c r="D708" s="71"/>
      <c r="E708" s="138"/>
      <c r="F708" s="138"/>
      <c r="G708" s="25"/>
      <c r="H708" s="26"/>
    </row>
    <row r="709" ht="22.5" customHeight="1">
      <c r="A709" s="24"/>
      <c r="B709" s="71"/>
      <c r="C709" s="71"/>
      <c r="D709" s="71"/>
      <c r="E709" s="138"/>
      <c r="F709" s="138"/>
      <c r="G709" s="25"/>
      <c r="H709" s="26"/>
    </row>
    <row r="710" ht="22.5" customHeight="1">
      <c r="A710" s="24"/>
      <c r="B710" s="71"/>
      <c r="C710" s="71"/>
      <c r="D710" s="71"/>
      <c r="E710" s="138"/>
      <c r="F710" s="138"/>
      <c r="G710" s="25"/>
      <c r="H710" s="26"/>
    </row>
    <row r="711" ht="22.5" customHeight="1">
      <c r="A711" s="24"/>
      <c r="B711" s="71"/>
      <c r="C711" s="71"/>
      <c r="D711" s="71"/>
      <c r="E711" s="138"/>
      <c r="F711" s="138"/>
      <c r="G711" s="25"/>
      <c r="H711" s="26"/>
    </row>
    <row r="712" ht="22.5" customHeight="1">
      <c r="A712" s="24"/>
      <c r="B712" s="71"/>
      <c r="C712" s="71"/>
      <c r="D712" s="71"/>
      <c r="E712" s="138"/>
      <c r="F712" s="138"/>
      <c r="G712" s="25"/>
      <c r="H712" s="26"/>
    </row>
    <row r="713" ht="22.5" customHeight="1">
      <c r="A713" s="24"/>
      <c r="B713" s="71"/>
      <c r="C713" s="71"/>
      <c r="D713" s="71"/>
      <c r="E713" s="138"/>
      <c r="F713" s="138"/>
      <c r="G713" s="25"/>
      <c r="H713" s="26"/>
    </row>
    <row r="714" ht="22.5" customHeight="1">
      <c r="A714" s="24"/>
      <c r="B714" s="71"/>
      <c r="C714" s="71"/>
      <c r="D714" s="71"/>
      <c r="E714" s="138"/>
      <c r="F714" s="138"/>
      <c r="G714" s="25"/>
      <c r="H714" s="26"/>
    </row>
    <row r="715" ht="22.5" customHeight="1">
      <c r="A715" s="24"/>
      <c r="B715" s="71"/>
      <c r="C715" s="71"/>
      <c r="D715" s="71"/>
      <c r="E715" s="138"/>
      <c r="F715" s="138"/>
      <c r="G715" s="25"/>
      <c r="H715" s="26"/>
    </row>
    <row r="716" ht="22.5" customHeight="1">
      <c r="A716" s="24"/>
      <c r="B716" s="71"/>
      <c r="C716" s="71"/>
      <c r="D716" s="71"/>
      <c r="E716" s="138"/>
      <c r="F716" s="138"/>
      <c r="G716" s="25"/>
      <c r="H716" s="26"/>
    </row>
    <row r="717" ht="22.5" customHeight="1">
      <c r="A717" s="24"/>
      <c r="B717" s="71"/>
      <c r="C717" s="71"/>
      <c r="D717" s="71"/>
      <c r="E717" s="138"/>
      <c r="F717" s="138"/>
      <c r="G717" s="25"/>
      <c r="H717" s="26"/>
    </row>
    <row r="718" ht="22.5" customHeight="1">
      <c r="A718" s="24"/>
      <c r="B718" s="71"/>
      <c r="C718" s="71"/>
      <c r="D718" s="71"/>
      <c r="E718" s="138"/>
      <c r="F718" s="138"/>
      <c r="G718" s="25"/>
      <c r="H718" s="26"/>
    </row>
    <row r="719" ht="22.5" customHeight="1">
      <c r="A719" s="24"/>
      <c r="B719" s="71"/>
      <c r="C719" s="71"/>
      <c r="D719" s="71"/>
      <c r="E719" s="138"/>
      <c r="F719" s="138"/>
      <c r="G719" s="25"/>
      <c r="H719" s="26"/>
    </row>
    <row r="720" ht="22.5" customHeight="1">
      <c r="A720" s="24"/>
      <c r="B720" s="71"/>
      <c r="C720" s="71"/>
      <c r="D720" s="71"/>
      <c r="E720" s="138"/>
      <c r="F720" s="138"/>
      <c r="G720" s="25"/>
      <c r="H720" s="26"/>
    </row>
    <row r="721" ht="22.5" customHeight="1">
      <c r="A721" s="24"/>
      <c r="B721" s="71"/>
      <c r="C721" s="71"/>
      <c r="D721" s="71"/>
      <c r="E721" s="138"/>
      <c r="F721" s="138"/>
      <c r="G721" s="25"/>
      <c r="H721" s="26"/>
    </row>
    <row r="722" ht="22.5" customHeight="1">
      <c r="A722" s="24"/>
      <c r="B722" s="71"/>
      <c r="C722" s="71"/>
      <c r="D722" s="71"/>
      <c r="E722" s="138"/>
      <c r="F722" s="138"/>
      <c r="G722" s="25"/>
      <c r="H722" s="26"/>
    </row>
    <row r="723" ht="22.5" customHeight="1">
      <c r="A723" s="24"/>
      <c r="B723" s="71"/>
      <c r="C723" s="71"/>
      <c r="D723" s="71"/>
      <c r="E723" s="138"/>
      <c r="F723" s="138"/>
      <c r="G723" s="25"/>
      <c r="H723" s="26"/>
    </row>
    <row r="724" ht="22.5" customHeight="1">
      <c r="A724" s="24"/>
      <c r="B724" s="71"/>
      <c r="C724" s="71"/>
      <c r="D724" s="71"/>
      <c r="E724" s="138"/>
      <c r="F724" s="138"/>
      <c r="G724" s="25"/>
      <c r="H724" s="26"/>
    </row>
    <row r="725" ht="22.5" customHeight="1">
      <c r="A725" s="24"/>
      <c r="B725" s="71"/>
      <c r="C725" s="71"/>
      <c r="D725" s="71"/>
      <c r="E725" s="138"/>
      <c r="F725" s="138"/>
      <c r="G725" s="25"/>
      <c r="H725" s="26"/>
    </row>
    <row r="726" ht="22.5" customHeight="1">
      <c r="A726" s="24"/>
      <c r="B726" s="71"/>
      <c r="C726" s="71"/>
      <c r="D726" s="71"/>
      <c r="E726" s="138"/>
      <c r="F726" s="138"/>
      <c r="G726" s="25"/>
      <c r="H726" s="26"/>
    </row>
    <row r="727" ht="22.5" customHeight="1">
      <c r="A727" s="24"/>
      <c r="B727" s="71"/>
      <c r="C727" s="71"/>
      <c r="D727" s="71"/>
      <c r="E727" s="138"/>
      <c r="F727" s="138"/>
      <c r="G727" s="25"/>
      <c r="H727" s="26"/>
    </row>
    <row r="728" ht="22.5" customHeight="1">
      <c r="A728" s="24"/>
      <c r="B728" s="71"/>
      <c r="C728" s="71"/>
      <c r="D728" s="71"/>
      <c r="E728" s="138"/>
      <c r="F728" s="138"/>
      <c r="G728" s="25"/>
      <c r="H728" s="26"/>
    </row>
    <row r="729" ht="22.5" customHeight="1">
      <c r="A729" s="24"/>
      <c r="B729" s="71"/>
      <c r="C729" s="71"/>
      <c r="D729" s="71"/>
      <c r="E729" s="138"/>
      <c r="F729" s="138"/>
      <c r="G729" s="25"/>
      <c r="H729" s="26"/>
    </row>
    <row r="730" ht="22.5" customHeight="1">
      <c r="A730" s="24"/>
      <c r="B730" s="71"/>
      <c r="C730" s="71"/>
      <c r="D730" s="71"/>
      <c r="E730" s="138"/>
      <c r="F730" s="138"/>
      <c r="G730" s="25"/>
      <c r="H730" s="26"/>
    </row>
    <row r="731" ht="22.5" customHeight="1">
      <c r="A731" s="24"/>
      <c r="B731" s="71"/>
      <c r="C731" s="71"/>
      <c r="D731" s="71"/>
      <c r="E731" s="138"/>
      <c r="F731" s="138"/>
      <c r="G731" s="25"/>
      <c r="H731" s="26"/>
    </row>
    <row r="732" ht="22.5" customHeight="1">
      <c r="A732" s="24"/>
      <c r="B732" s="71"/>
      <c r="C732" s="71"/>
      <c r="D732" s="71"/>
      <c r="E732" s="138"/>
      <c r="F732" s="138"/>
      <c r="G732" s="25"/>
      <c r="H732" s="26"/>
    </row>
    <row r="733" ht="22.5" customHeight="1">
      <c r="A733" s="24"/>
      <c r="B733" s="71"/>
      <c r="C733" s="71"/>
      <c r="D733" s="71"/>
      <c r="E733" s="138"/>
      <c r="F733" s="138"/>
      <c r="G733" s="25"/>
      <c r="H733" s="26"/>
    </row>
    <row r="734" ht="22.5" customHeight="1">
      <c r="A734" s="24"/>
      <c r="B734" s="71"/>
      <c r="C734" s="71"/>
      <c r="D734" s="71"/>
      <c r="E734" s="138"/>
      <c r="F734" s="138"/>
      <c r="G734" s="25"/>
      <c r="H734" s="26"/>
    </row>
    <row r="735" ht="22.5" customHeight="1">
      <c r="A735" s="24"/>
      <c r="B735" s="71"/>
      <c r="C735" s="71"/>
      <c r="D735" s="71"/>
      <c r="E735" s="138"/>
      <c r="F735" s="138"/>
      <c r="G735" s="25"/>
      <c r="H735" s="26"/>
    </row>
    <row r="736" ht="22.5" customHeight="1">
      <c r="A736" s="24"/>
      <c r="B736" s="71"/>
      <c r="C736" s="71"/>
      <c r="D736" s="71"/>
      <c r="E736" s="138"/>
      <c r="F736" s="138"/>
      <c r="G736" s="25"/>
      <c r="H736" s="26"/>
    </row>
    <row r="737" ht="22.5" customHeight="1">
      <c r="A737" s="24"/>
      <c r="B737" s="71"/>
      <c r="C737" s="71"/>
      <c r="D737" s="71"/>
      <c r="E737" s="138"/>
      <c r="F737" s="138"/>
      <c r="G737" s="25"/>
      <c r="H737" s="26"/>
    </row>
    <row r="738" ht="22.5" customHeight="1">
      <c r="A738" s="24"/>
      <c r="B738" s="71"/>
      <c r="C738" s="71"/>
      <c r="D738" s="71"/>
      <c r="E738" s="138"/>
      <c r="F738" s="138"/>
      <c r="G738" s="25"/>
      <c r="H738" s="26"/>
    </row>
    <row r="739" ht="22.5" customHeight="1">
      <c r="A739" s="24"/>
      <c r="B739" s="71"/>
      <c r="C739" s="71"/>
      <c r="D739" s="71"/>
      <c r="E739" s="138"/>
      <c r="F739" s="138"/>
      <c r="G739" s="25"/>
      <c r="H739" s="26"/>
    </row>
    <row r="740" ht="22.5" customHeight="1">
      <c r="A740" s="24"/>
      <c r="B740" s="71"/>
      <c r="C740" s="71"/>
      <c r="D740" s="71"/>
      <c r="E740" s="138"/>
      <c r="F740" s="138"/>
      <c r="G740" s="25"/>
      <c r="H740" s="26"/>
    </row>
    <row r="741" ht="22.5" customHeight="1">
      <c r="A741" s="24"/>
      <c r="B741" s="71"/>
      <c r="C741" s="71"/>
      <c r="D741" s="71"/>
      <c r="E741" s="138"/>
      <c r="F741" s="138"/>
      <c r="G741" s="25"/>
      <c r="H741" s="26"/>
    </row>
    <row r="742" ht="22.5" customHeight="1">
      <c r="A742" s="24"/>
      <c r="B742" s="71"/>
      <c r="C742" s="71"/>
      <c r="D742" s="71"/>
      <c r="E742" s="138"/>
      <c r="F742" s="138"/>
      <c r="G742" s="25"/>
      <c r="H742" s="26"/>
    </row>
    <row r="743" ht="22.5" customHeight="1">
      <c r="A743" s="24"/>
      <c r="B743" s="71"/>
      <c r="C743" s="71"/>
      <c r="D743" s="71"/>
      <c r="E743" s="138"/>
      <c r="F743" s="138"/>
      <c r="G743" s="25"/>
      <c r="H743" s="26"/>
    </row>
    <row r="744" ht="22.5" customHeight="1">
      <c r="A744" s="24"/>
      <c r="B744" s="71"/>
      <c r="C744" s="71"/>
      <c r="D744" s="71"/>
      <c r="E744" s="138"/>
      <c r="F744" s="138"/>
      <c r="G744" s="25"/>
      <c r="H744" s="26"/>
    </row>
    <row r="745" ht="22.5" customHeight="1">
      <c r="A745" s="24"/>
      <c r="B745" s="71"/>
      <c r="C745" s="71"/>
      <c r="D745" s="71"/>
      <c r="E745" s="138"/>
      <c r="F745" s="138"/>
      <c r="G745" s="25"/>
      <c r="H745" s="26"/>
    </row>
    <row r="746" ht="22.5" customHeight="1">
      <c r="A746" s="24"/>
      <c r="B746" s="71"/>
      <c r="C746" s="71"/>
      <c r="D746" s="71"/>
      <c r="E746" s="138"/>
      <c r="F746" s="138"/>
      <c r="G746" s="25"/>
      <c r="H746" s="26"/>
    </row>
    <row r="747" ht="22.5" customHeight="1">
      <c r="A747" s="24"/>
      <c r="B747" s="71"/>
      <c r="C747" s="71"/>
      <c r="D747" s="71"/>
      <c r="E747" s="138"/>
      <c r="F747" s="138"/>
      <c r="G747" s="25"/>
      <c r="H747" s="26"/>
    </row>
    <row r="748" ht="22.5" customHeight="1">
      <c r="A748" s="24"/>
      <c r="B748" s="71"/>
      <c r="C748" s="71"/>
      <c r="D748" s="71"/>
      <c r="E748" s="138"/>
      <c r="F748" s="138"/>
      <c r="G748" s="25"/>
      <c r="H748" s="26"/>
    </row>
    <row r="749" ht="22.5" customHeight="1">
      <c r="A749" s="24"/>
      <c r="B749" s="71"/>
      <c r="C749" s="71"/>
      <c r="D749" s="71"/>
      <c r="E749" s="138"/>
      <c r="F749" s="138"/>
      <c r="G749" s="25"/>
      <c r="H749" s="26"/>
    </row>
    <row r="750" ht="22.5" customHeight="1">
      <c r="A750" s="24"/>
      <c r="B750" s="71"/>
      <c r="C750" s="71"/>
      <c r="D750" s="71"/>
      <c r="E750" s="138"/>
      <c r="F750" s="138"/>
      <c r="G750" s="25"/>
      <c r="H750" s="26"/>
    </row>
    <row r="751" ht="22.5" customHeight="1">
      <c r="A751" s="24"/>
      <c r="B751" s="71"/>
      <c r="C751" s="71"/>
      <c r="D751" s="71"/>
      <c r="E751" s="138"/>
      <c r="F751" s="138"/>
      <c r="G751" s="25"/>
      <c r="H751" s="26"/>
    </row>
    <row r="752" ht="22.5" customHeight="1">
      <c r="A752" s="24"/>
      <c r="B752" s="71"/>
      <c r="C752" s="71"/>
      <c r="D752" s="71"/>
      <c r="E752" s="138"/>
      <c r="F752" s="138"/>
      <c r="G752" s="25"/>
      <c r="H752" s="26"/>
    </row>
    <row r="753" ht="22.5" customHeight="1">
      <c r="A753" s="24"/>
      <c r="B753" s="71"/>
      <c r="C753" s="71"/>
      <c r="D753" s="71"/>
      <c r="E753" s="138"/>
      <c r="F753" s="138"/>
      <c r="G753" s="25"/>
      <c r="H753" s="26"/>
    </row>
    <row r="754" ht="22.5" customHeight="1">
      <c r="A754" s="24"/>
      <c r="B754" s="71"/>
      <c r="C754" s="71"/>
      <c r="D754" s="71"/>
      <c r="E754" s="138"/>
      <c r="F754" s="138"/>
      <c r="G754" s="25"/>
      <c r="H754" s="26"/>
    </row>
    <row r="755" ht="22.5" customHeight="1">
      <c r="A755" s="24"/>
      <c r="B755" s="71"/>
      <c r="C755" s="71"/>
      <c r="D755" s="71"/>
      <c r="E755" s="138"/>
      <c r="F755" s="138"/>
      <c r="G755" s="25"/>
      <c r="H755" s="26"/>
    </row>
    <row r="756" ht="22.5" customHeight="1">
      <c r="A756" s="24"/>
      <c r="B756" s="71"/>
      <c r="C756" s="71"/>
      <c r="D756" s="71"/>
      <c r="E756" s="138"/>
      <c r="F756" s="138"/>
      <c r="G756" s="25"/>
      <c r="H756" s="26"/>
    </row>
    <row r="757" ht="22.5" customHeight="1">
      <c r="A757" s="24"/>
      <c r="B757" s="71"/>
      <c r="C757" s="71"/>
      <c r="D757" s="71"/>
      <c r="E757" s="138"/>
      <c r="F757" s="138"/>
      <c r="G757" s="25"/>
      <c r="H757" s="26"/>
    </row>
    <row r="758" ht="22.5" customHeight="1">
      <c r="A758" s="24"/>
      <c r="B758" s="71"/>
      <c r="C758" s="71"/>
      <c r="D758" s="71"/>
      <c r="E758" s="138"/>
      <c r="F758" s="138"/>
      <c r="G758" s="25"/>
      <c r="H758" s="26"/>
    </row>
    <row r="759" ht="22.5" customHeight="1">
      <c r="A759" s="24"/>
      <c r="B759" s="71"/>
      <c r="C759" s="71"/>
      <c r="D759" s="71"/>
      <c r="E759" s="138"/>
      <c r="F759" s="138"/>
      <c r="G759" s="25"/>
      <c r="H759" s="26"/>
    </row>
    <row r="760" ht="22.5" customHeight="1">
      <c r="A760" s="24"/>
      <c r="B760" s="71"/>
      <c r="C760" s="71"/>
      <c r="D760" s="71"/>
      <c r="E760" s="138"/>
      <c r="F760" s="138"/>
      <c r="G760" s="25"/>
      <c r="H760" s="26"/>
    </row>
    <row r="761" ht="22.5" customHeight="1">
      <c r="A761" s="24"/>
      <c r="B761" s="71"/>
      <c r="C761" s="71"/>
      <c r="D761" s="71"/>
      <c r="E761" s="138"/>
      <c r="F761" s="138"/>
      <c r="G761" s="25"/>
      <c r="H761" s="26"/>
    </row>
    <row r="762" ht="22.5" customHeight="1">
      <c r="A762" s="24"/>
      <c r="B762" s="71"/>
      <c r="C762" s="71"/>
      <c r="D762" s="71"/>
      <c r="E762" s="138"/>
      <c r="F762" s="138"/>
      <c r="G762" s="25"/>
      <c r="H762" s="26"/>
    </row>
    <row r="763" ht="22.5" customHeight="1">
      <c r="A763" s="24"/>
      <c r="B763" s="71"/>
      <c r="C763" s="71"/>
      <c r="D763" s="71"/>
      <c r="E763" s="138"/>
      <c r="F763" s="138"/>
      <c r="G763" s="25"/>
      <c r="H763" s="26"/>
    </row>
    <row r="764" ht="22.5" customHeight="1">
      <c r="A764" s="24"/>
      <c r="B764" s="71"/>
      <c r="C764" s="71"/>
      <c r="D764" s="71"/>
      <c r="E764" s="138"/>
      <c r="F764" s="138"/>
      <c r="G764" s="25"/>
      <c r="H764" s="26"/>
    </row>
    <row r="765" ht="22.5" customHeight="1">
      <c r="A765" s="24"/>
      <c r="B765" s="71"/>
      <c r="C765" s="71"/>
      <c r="D765" s="71"/>
      <c r="E765" s="138"/>
      <c r="F765" s="138"/>
      <c r="G765" s="25"/>
      <c r="H765" s="26"/>
    </row>
    <row r="766" ht="22.5" customHeight="1">
      <c r="A766" s="24"/>
      <c r="B766" s="71"/>
      <c r="C766" s="71"/>
      <c r="D766" s="71"/>
      <c r="E766" s="138"/>
      <c r="F766" s="138"/>
      <c r="G766" s="25"/>
      <c r="H766" s="26"/>
    </row>
    <row r="767" ht="22.5" customHeight="1">
      <c r="A767" s="24"/>
      <c r="B767" s="71"/>
      <c r="C767" s="71"/>
      <c r="D767" s="71"/>
      <c r="E767" s="138"/>
      <c r="F767" s="138"/>
      <c r="G767" s="25"/>
      <c r="H767" s="26"/>
    </row>
    <row r="768" ht="22.5" customHeight="1">
      <c r="A768" s="24"/>
      <c r="B768" s="71"/>
      <c r="C768" s="71"/>
      <c r="D768" s="71"/>
      <c r="E768" s="138"/>
      <c r="F768" s="138"/>
      <c r="G768" s="25"/>
      <c r="H768" s="26"/>
    </row>
    <row r="769" ht="22.5" customHeight="1">
      <c r="A769" s="24"/>
      <c r="B769" s="71"/>
      <c r="C769" s="71"/>
      <c r="D769" s="71"/>
      <c r="E769" s="138"/>
      <c r="F769" s="138"/>
      <c r="G769" s="25"/>
      <c r="H769" s="26"/>
    </row>
    <row r="770" ht="22.5" customHeight="1">
      <c r="A770" s="24"/>
      <c r="B770" s="71"/>
      <c r="C770" s="71"/>
      <c r="D770" s="71"/>
      <c r="E770" s="138"/>
      <c r="F770" s="138"/>
      <c r="G770" s="25"/>
      <c r="H770" s="26"/>
    </row>
    <row r="771" ht="22.5" customHeight="1">
      <c r="A771" s="24"/>
      <c r="B771" s="71"/>
      <c r="C771" s="71"/>
      <c r="D771" s="71"/>
      <c r="E771" s="138"/>
      <c r="F771" s="138"/>
      <c r="G771" s="25"/>
      <c r="H771" s="26"/>
    </row>
    <row r="772" ht="22.5" customHeight="1">
      <c r="A772" s="24"/>
      <c r="B772" s="71"/>
      <c r="C772" s="71"/>
      <c r="D772" s="71"/>
      <c r="E772" s="138"/>
      <c r="F772" s="138"/>
      <c r="G772" s="25"/>
      <c r="H772" s="26"/>
    </row>
    <row r="773" ht="22.5" customHeight="1">
      <c r="A773" s="24"/>
      <c r="B773" s="71"/>
      <c r="C773" s="71"/>
      <c r="D773" s="71"/>
      <c r="E773" s="138"/>
      <c r="F773" s="138"/>
      <c r="G773" s="25"/>
      <c r="H773" s="26"/>
    </row>
    <row r="774" ht="22.5" customHeight="1">
      <c r="A774" s="24"/>
      <c r="B774" s="71"/>
      <c r="C774" s="71"/>
      <c r="D774" s="71"/>
      <c r="E774" s="138"/>
      <c r="F774" s="138"/>
      <c r="G774" s="25"/>
      <c r="H774" s="26"/>
    </row>
    <row r="775" ht="22.5" customHeight="1">
      <c r="A775" s="24"/>
      <c r="B775" s="71"/>
      <c r="C775" s="71"/>
      <c r="D775" s="71"/>
      <c r="E775" s="138"/>
      <c r="F775" s="138"/>
      <c r="G775" s="25"/>
      <c r="H775" s="26"/>
    </row>
    <row r="776" ht="22.5" customHeight="1">
      <c r="A776" s="24"/>
      <c r="B776" s="71"/>
      <c r="C776" s="71"/>
      <c r="D776" s="71"/>
      <c r="E776" s="138"/>
      <c r="F776" s="138"/>
      <c r="G776" s="25"/>
      <c r="H776" s="26"/>
    </row>
    <row r="777" ht="22.5" customHeight="1">
      <c r="A777" s="24"/>
      <c r="B777" s="71"/>
      <c r="C777" s="71"/>
      <c r="D777" s="71"/>
      <c r="E777" s="138"/>
      <c r="F777" s="138"/>
      <c r="G777" s="25"/>
      <c r="H777" s="26"/>
    </row>
    <row r="778" ht="22.5" customHeight="1">
      <c r="A778" s="24"/>
      <c r="B778" s="71"/>
      <c r="C778" s="71"/>
      <c r="D778" s="71"/>
      <c r="E778" s="138"/>
      <c r="F778" s="138"/>
      <c r="G778" s="25"/>
      <c r="H778" s="26"/>
    </row>
    <row r="779" ht="22.5" customHeight="1">
      <c r="A779" s="24"/>
      <c r="B779" s="71"/>
      <c r="C779" s="71"/>
      <c r="D779" s="71"/>
      <c r="E779" s="138"/>
      <c r="F779" s="138"/>
      <c r="G779" s="25"/>
      <c r="H779" s="26"/>
    </row>
    <row r="780" ht="22.5" customHeight="1">
      <c r="A780" s="24"/>
      <c r="B780" s="71"/>
      <c r="C780" s="71"/>
      <c r="D780" s="71"/>
      <c r="E780" s="138"/>
      <c r="F780" s="138"/>
      <c r="G780" s="25"/>
      <c r="H780" s="26"/>
    </row>
    <row r="781" ht="22.5" customHeight="1">
      <c r="A781" s="24"/>
      <c r="B781" s="71"/>
      <c r="C781" s="71"/>
      <c r="D781" s="71"/>
      <c r="E781" s="138"/>
      <c r="F781" s="138"/>
      <c r="G781" s="25"/>
      <c r="H781" s="26"/>
    </row>
    <row r="782" ht="22.5" customHeight="1">
      <c r="A782" s="24"/>
      <c r="B782" s="71"/>
      <c r="C782" s="71"/>
      <c r="D782" s="71"/>
      <c r="E782" s="138"/>
      <c r="F782" s="138"/>
      <c r="G782" s="25"/>
      <c r="H782" s="26"/>
    </row>
    <row r="783" ht="22.5" customHeight="1">
      <c r="A783" s="24"/>
      <c r="B783" s="71"/>
      <c r="C783" s="71"/>
      <c r="D783" s="71"/>
      <c r="E783" s="138"/>
      <c r="F783" s="138"/>
      <c r="G783" s="25"/>
      <c r="H783" s="26"/>
    </row>
    <row r="784" ht="22.5" customHeight="1">
      <c r="A784" s="24"/>
      <c r="B784" s="71"/>
      <c r="C784" s="71"/>
      <c r="D784" s="71"/>
      <c r="E784" s="138"/>
      <c r="F784" s="138"/>
      <c r="G784" s="25"/>
      <c r="H784" s="26"/>
    </row>
    <row r="785" ht="22.5" customHeight="1">
      <c r="A785" s="24"/>
      <c r="B785" s="71"/>
      <c r="C785" s="71"/>
      <c r="D785" s="71"/>
      <c r="E785" s="138"/>
      <c r="F785" s="138"/>
      <c r="G785" s="25"/>
      <c r="H785" s="26"/>
    </row>
    <row r="786" ht="22.5" customHeight="1">
      <c r="A786" s="24"/>
      <c r="B786" s="71"/>
      <c r="C786" s="71"/>
      <c r="D786" s="71"/>
      <c r="E786" s="138"/>
      <c r="F786" s="138"/>
      <c r="G786" s="25"/>
      <c r="H786" s="26"/>
    </row>
    <row r="787" ht="22.5" customHeight="1">
      <c r="A787" s="24"/>
      <c r="B787" s="71"/>
      <c r="C787" s="71"/>
      <c r="D787" s="71"/>
      <c r="E787" s="138"/>
      <c r="F787" s="138"/>
      <c r="G787" s="25"/>
      <c r="H787" s="26"/>
    </row>
    <row r="788" ht="22.5" customHeight="1">
      <c r="A788" s="24"/>
      <c r="B788" s="71"/>
      <c r="C788" s="71"/>
      <c r="D788" s="71"/>
      <c r="E788" s="138"/>
      <c r="F788" s="138"/>
      <c r="G788" s="25"/>
      <c r="H788" s="26"/>
    </row>
    <row r="789" ht="22.5" customHeight="1">
      <c r="A789" s="24"/>
      <c r="B789" s="71"/>
      <c r="C789" s="71"/>
      <c r="D789" s="71"/>
      <c r="E789" s="138"/>
      <c r="F789" s="138"/>
      <c r="G789" s="25"/>
      <c r="H789" s="26"/>
    </row>
    <row r="790" ht="22.5" customHeight="1">
      <c r="A790" s="24"/>
      <c r="B790" s="71"/>
      <c r="C790" s="71"/>
      <c r="D790" s="71"/>
      <c r="E790" s="138"/>
      <c r="F790" s="138"/>
      <c r="G790" s="25"/>
      <c r="H790" s="26"/>
    </row>
    <row r="791" ht="22.5" customHeight="1">
      <c r="A791" s="24"/>
      <c r="B791" s="71"/>
      <c r="C791" s="71"/>
      <c r="D791" s="71"/>
      <c r="E791" s="138"/>
      <c r="F791" s="138"/>
      <c r="G791" s="25"/>
      <c r="H791" s="26"/>
    </row>
    <row r="792" ht="22.5" customHeight="1">
      <c r="A792" s="24"/>
      <c r="B792" s="71"/>
      <c r="C792" s="71"/>
      <c r="D792" s="71"/>
      <c r="E792" s="138"/>
      <c r="F792" s="138"/>
      <c r="G792" s="25"/>
      <c r="H792" s="26"/>
    </row>
    <row r="793" ht="22.5" customHeight="1">
      <c r="A793" s="24"/>
      <c r="B793" s="71"/>
      <c r="C793" s="71"/>
      <c r="D793" s="71"/>
      <c r="E793" s="138"/>
      <c r="F793" s="138"/>
      <c r="G793" s="25"/>
      <c r="H793" s="26"/>
    </row>
    <row r="794" ht="22.5" customHeight="1">
      <c r="A794" s="24"/>
      <c r="B794" s="71"/>
      <c r="C794" s="71"/>
      <c r="D794" s="71"/>
      <c r="E794" s="138"/>
      <c r="F794" s="138"/>
      <c r="G794" s="25"/>
      <c r="H794" s="26"/>
    </row>
    <row r="795" ht="22.5" customHeight="1">
      <c r="A795" s="24"/>
      <c r="B795" s="71"/>
      <c r="C795" s="71"/>
      <c r="D795" s="71"/>
      <c r="E795" s="138"/>
      <c r="F795" s="138"/>
      <c r="G795" s="25"/>
      <c r="H795" s="26"/>
    </row>
    <row r="796" ht="22.5" customHeight="1">
      <c r="A796" s="24"/>
      <c r="B796" s="71"/>
      <c r="C796" s="71"/>
      <c r="D796" s="71"/>
      <c r="E796" s="138"/>
      <c r="F796" s="138"/>
      <c r="G796" s="25"/>
      <c r="H796" s="26"/>
    </row>
    <row r="797" ht="22.5" customHeight="1">
      <c r="A797" s="24"/>
      <c r="B797" s="71"/>
      <c r="C797" s="71"/>
      <c r="D797" s="71"/>
      <c r="E797" s="138"/>
      <c r="F797" s="138"/>
      <c r="G797" s="25"/>
      <c r="H797" s="26"/>
    </row>
    <row r="798" ht="22.5" customHeight="1">
      <c r="A798" s="24"/>
      <c r="B798" s="71"/>
      <c r="C798" s="71"/>
      <c r="D798" s="71"/>
      <c r="E798" s="138"/>
      <c r="F798" s="138"/>
      <c r="G798" s="25"/>
      <c r="H798" s="26"/>
    </row>
    <row r="799" ht="22.5" customHeight="1">
      <c r="A799" s="24"/>
      <c r="B799" s="71"/>
      <c r="C799" s="71"/>
      <c r="D799" s="71"/>
      <c r="E799" s="138"/>
      <c r="F799" s="138"/>
      <c r="G799" s="25"/>
      <c r="H799" s="26"/>
    </row>
    <row r="800" ht="22.5" customHeight="1">
      <c r="A800" s="24"/>
      <c r="B800" s="71"/>
      <c r="C800" s="71"/>
      <c r="D800" s="71"/>
      <c r="E800" s="138"/>
      <c r="F800" s="138"/>
      <c r="G800" s="25"/>
      <c r="H800" s="26"/>
    </row>
    <row r="801" ht="22.5" customHeight="1">
      <c r="A801" s="24"/>
      <c r="B801" s="71"/>
      <c r="C801" s="71"/>
      <c r="D801" s="71"/>
      <c r="E801" s="138"/>
      <c r="F801" s="138"/>
      <c r="G801" s="25"/>
      <c r="H801" s="26"/>
    </row>
    <row r="802" ht="22.5" customHeight="1">
      <c r="A802" s="24"/>
      <c r="B802" s="71"/>
      <c r="C802" s="71"/>
      <c r="D802" s="71"/>
      <c r="E802" s="138"/>
      <c r="F802" s="138"/>
      <c r="G802" s="25"/>
      <c r="H802" s="26"/>
    </row>
    <row r="803" ht="22.5" customHeight="1">
      <c r="A803" s="24"/>
      <c r="B803" s="71"/>
      <c r="C803" s="71"/>
      <c r="D803" s="71"/>
      <c r="E803" s="138"/>
      <c r="F803" s="138"/>
      <c r="G803" s="25"/>
      <c r="H803" s="26"/>
    </row>
    <row r="804" ht="22.5" customHeight="1">
      <c r="A804" s="24"/>
      <c r="B804" s="71"/>
      <c r="C804" s="71"/>
      <c r="D804" s="71"/>
      <c r="E804" s="138"/>
      <c r="F804" s="138"/>
      <c r="G804" s="25"/>
      <c r="H804" s="26"/>
    </row>
    <row r="805" ht="22.5" customHeight="1">
      <c r="A805" s="24"/>
      <c r="B805" s="71"/>
      <c r="C805" s="71"/>
      <c r="D805" s="71"/>
      <c r="E805" s="138"/>
      <c r="F805" s="138"/>
      <c r="G805" s="25"/>
      <c r="H805" s="26"/>
    </row>
    <row r="806" ht="22.5" customHeight="1">
      <c r="A806" s="24"/>
      <c r="B806" s="71"/>
      <c r="C806" s="71"/>
      <c r="D806" s="71"/>
      <c r="E806" s="138"/>
      <c r="F806" s="138"/>
      <c r="G806" s="25"/>
      <c r="H806" s="26"/>
    </row>
    <row r="807" ht="22.5" customHeight="1">
      <c r="A807" s="24"/>
      <c r="B807" s="71"/>
      <c r="C807" s="71"/>
      <c r="D807" s="71"/>
      <c r="E807" s="138"/>
      <c r="F807" s="138"/>
      <c r="G807" s="25"/>
      <c r="H807" s="26"/>
    </row>
    <row r="808" ht="22.5" customHeight="1">
      <c r="A808" s="24"/>
      <c r="B808" s="71"/>
      <c r="C808" s="71"/>
      <c r="D808" s="71"/>
      <c r="E808" s="138"/>
      <c r="F808" s="138"/>
      <c r="G808" s="25"/>
      <c r="H808" s="26"/>
    </row>
    <row r="809" ht="22.5" customHeight="1">
      <c r="A809" s="24"/>
      <c r="B809" s="71"/>
      <c r="C809" s="71"/>
      <c r="D809" s="71"/>
      <c r="E809" s="138"/>
      <c r="F809" s="138"/>
      <c r="G809" s="25"/>
      <c r="H809" s="26"/>
    </row>
    <row r="810" ht="22.5" customHeight="1">
      <c r="A810" s="24"/>
      <c r="B810" s="71"/>
      <c r="C810" s="71"/>
      <c r="D810" s="71"/>
      <c r="E810" s="138"/>
      <c r="F810" s="138"/>
      <c r="G810" s="25"/>
      <c r="H810" s="26"/>
    </row>
    <row r="811" ht="22.5" customHeight="1">
      <c r="A811" s="24"/>
      <c r="B811" s="71"/>
      <c r="C811" s="71"/>
      <c r="D811" s="71"/>
      <c r="E811" s="138"/>
      <c r="F811" s="138"/>
      <c r="G811" s="25"/>
      <c r="H811" s="26"/>
    </row>
    <row r="812" ht="22.5" customHeight="1">
      <c r="A812" s="24"/>
      <c r="B812" s="71"/>
      <c r="C812" s="71"/>
      <c r="D812" s="71"/>
      <c r="E812" s="138"/>
      <c r="F812" s="138"/>
      <c r="G812" s="25"/>
      <c r="H812" s="26"/>
    </row>
    <row r="813" ht="22.5" customHeight="1">
      <c r="A813" s="24"/>
      <c r="B813" s="71"/>
      <c r="C813" s="71"/>
      <c r="D813" s="71"/>
      <c r="E813" s="138"/>
      <c r="F813" s="138"/>
      <c r="G813" s="25"/>
      <c r="H813" s="26"/>
    </row>
    <row r="814" ht="22.5" customHeight="1">
      <c r="A814" s="24"/>
      <c r="B814" s="71"/>
      <c r="C814" s="71"/>
      <c r="D814" s="71"/>
      <c r="E814" s="138"/>
      <c r="F814" s="138"/>
      <c r="G814" s="25"/>
      <c r="H814" s="26"/>
    </row>
    <row r="815" ht="22.5" customHeight="1">
      <c r="A815" s="24"/>
      <c r="B815" s="71"/>
      <c r="C815" s="71"/>
      <c r="D815" s="71"/>
      <c r="E815" s="138"/>
      <c r="F815" s="138"/>
      <c r="G815" s="25"/>
      <c r="H815" s="26"/>
    </row>
    <row r="816" ht="22.5" customHeight="1">
      <c r="A816" s="24"/>
      <c r="B816" s="71"/>
      <c r="C816" s="71"/>
      <c r="D816" s="71"/>
      <c r="E816" s="138"/>
      <c r="F816" s="138"/>
      <c r="G816" s="25"/>
      <c r="H816" s="26"/>
    </row>
    <row r="817" ht="22.5" customHeight="1">
      <c r="A817" s="24"/>
      <c r="B817" s="71"/>
      <c r="C817" s="71"/>
      <c r="D817" s="71"/>
      <c r="E817" s="138"/>
      <c r="F817" s="138"/>
      <c r="G817" s="25"/>
      <c r="H817" s="26"/>
    </row>
    <row r="818" ht="22.5" customHeight="1">
      <c r="A818" s="24"/>
      <c r="B818" s="71"/>
      <c r="C818" s="71"/>
      <c r="D818" s="71"/>
      <c r="E818" s="138"/>
      <c r="F818" s="138"/>
      <c r="G818" s="25"/>
      <c r="H818" s="26"/>
    </row>
    <row r="819" ht="22.5" customHeight="1">
      <c r="A819" s="24"/>
      <c r="B819" s="71"/>
      <c r="C819" s="71"/>
      <c r="D819" s="71"/>
      <c r="E819" s="138"/>
      <c r="F819" s="138"/>
      <c r="G819" s="25"/>
      <c r="H819" s="26"/>
    </row>
    <row r="820" ht="22.5" customHeight="1">
      <c r="A820" s="24"/>
      <c r="B820" s="71"/>
      <c r="C820" s="71"/>
      <c r="D820" s="71"/>
      <c r="E820" s="138"/>
      <c r="F820" s="138"/>
      <c r="G820" s="25"/>
      <c r="H820" s="26"/>
    </row>
    <row r="821" ht="22.5" customHeight="1">
      <c r="A821" s="24"/>
      <c r="B821" s="71"/>
      <c r="C821" s="71"/>
      <c r="D821" s="71"/>
      <c r="E821" s="138"/>
      <c r="F821" s="138"/>
      <c r="G821" s="25"/>
      <c r="H821" s="26"/>
    </row>
    <row r="822" ht="22.5" customHeight="1">
      <c r="A822" s="24"/>
      <c r="B822" s="71"/>
      <c r="C822" s="71"/>
      <c r="D822" s="71"/>
      <c r="E822" s="138"/>
      <c r="F822" s="138"/>
      <c r="G822" s="25"/>
      <c r="H822" s="26"/>
    </row>
    <row r="823" ht="22.5" customHeight="1">
      <c r="A823" s="24"/>
      <c r="B823" s="71"/>
      <c r="C823" s="71"/>
      <c r="D823" s="71"/>
      <c r="E823" s="138"/>
      <c r="F823" s="138"/>
      <c r="G823" s="25"/>
      <c r="H823" s="26"/>
    </row>
    <row r="824" ht="22.5" customHeight="1">
      <c r="A824" s="24"/>
      <c r="B824" s="71"/>
      <c r="C824" s="71"/>
      <c r="D824" s="71"/>
      <c r="E824" s="138"/>
      <c r="F824" s="138"/>
      <c r="G824" s="25"/>
      <c r="H824" s="26"/>
    </row>
    <row r="825" ht="22.5" customHeight="1">
      <c r="A825" s="24"/>
      <c r="B825" s="71"/>
      <c r="C825" s="71"/>
      <c r="D825" s="71"/>
      <c r="E825" s="138"/>
      <c r="F825" s="138"/>
      <c r="G825" s="25"/>
      <c r="H825" s="26"/>
    </row>
    <row r="826" ht="22.5" customHeight="1">
      <c r="A826" s="24"/>
      <c r="B826" s="71"/>
      <c r="C826" s="71"/>
      <c r="D826" s="71"/>
      <c r="E826" s="138"/>
      <c r="F826" s="138"/>
      <c r="G826" s="25"/>
      <c r="H826" s="26"/>
    </row>
    <row r="827" ht="22.5" customHeight="1">
      <c r="A827" s="24"/>
      <c r="B827" s="71"/>
      <c r="C827" s="71"/>
      <c r="D827" s="71"/>
      <c r="E827" s="138"/>
      <c r="F827" s="138"/>
      <c r="G827" s="25"/>
      <c r="H827" s="26"/>
    </row>
    <row r="828" ht="22.5" customHeight="1">
      <c r="A828" s="24"/>
      <c r="B828" s="71"/>
      <c r="C828" s="71"/>
      <c r="D828" s="71"/>
      <c r="E828" s="138"/>
      <c r="F828" s="138"/>
      <c r="G828" s="25"/>
      <c r="H828" s="26"/>
    </row>
    <row r="829" ht="22.5" customHeight="1">
      <c r="A829" s="24"/>
      <c r="B829" s="71"/>
      <c r="C829" s="71"/>
      <c r="D829" s="71"/>
      <c r="E829" s="138"/>
      <c r="F829" s="138"/>
      <c r="G829" s="25"/>
      <c r="H829" s="26"/>
    </row>
    <row r="830" ht="22.5" customHeight="1">
      <c r="A830" s="24"/>
      <c r="B830" s="71"/>
      <c r="C830" s="71"/>
      <c r="D830" s="71"/>
      <c r="E830" s="138"/>
      <c r="F830" s="138"/>
      <c r="G830" s="25"/>
      <c r="H830" s="26"/>
    </row>
    <row r="831" ht="22.5" customHeight="1">
      <c r="A831" s="24"/>
      <c r="B831" s="71"/>
      <c r="C831" s="71"/>
      <c r="D831" s="71"/>
      <c r="E831" s="138"/>
      <c r="F831" s="138"/>
      <c r="G831" s="25"/>
      <c r="H831" s="26"/>
    </row>
    <row r="832" ht="22.5" customHeight="1">
      <c r="A832" s="24"/>
      <c r="B832" s="71"/>
      <c r="C832" s="71"/>
      <c r="D832" s="71"/>
      <c r="E832" s="138"/>
      <c r="F832" s="138"/>
      <c r="G832" s="25"/>
      <c r="H832" s="26"/>
    </row>
    <row r="833" ht="22.5" customHeight="1">
      <c r="A833" s="24"/>
      <c r="B833" s="71"/>
      <c r="C833" s="71"/>
      <c r="D833" s="71"/>
      <c r="E833" s="138"/>
      <c r="F833" s="138"/>
      <c r="G833" s="25"/>
      <c r="H833" s="26"/>
    </row>
    <row r="834" ht="22.5" customHeight="1">
      <c r="A834" s="24"/>
      <c r="B834" s="71"/>
      <c r="C834" s="71"/>
      <c r="D834" s="71"/>
      <c r="E834" s="138"/>
      <c r="F834" s="138"/>
      <c r="G834" s="25"/>
      <c r="H834" s="26"/>
    </row>
    <row r="835" ht="22.5" customHeight="1">
      <c r="A835" s="24"/>
      <c r="B835" s="71"/>
      <c r="C835" s="71"/>
      <c r="D835" s="71"/>
      <c r="E835" s="138"/>
      <c r="F835" s="138"/>
      <c r="G835" s="25"/>
      <c r="H835" s="26"/>
    </row>
    <row r="836" ht="22.5" customHeight="1">
      <c r="A836" s="24"/>
      <c r="B836" s="71"/>
      <c r="C836" s="71"/>
      <c r="D836" s="71"/>
      <c r="E836" s="138"/>
      <c r="F836" s="138"/>
      <c r="G836" s="25"/>
      <c r="H836" s="26"/>
    </row>
    <row r="837" ht="22.5" customHeight="1">
      <c r="A837" s="24"/>
      <c r="B837" s="71"/>
      <c r="C837" s="71"/>
      <c r="D837" s="71"/>
      <c r="E837" s="138"/>
      <c r="F837" s="138"/>
      <c r="G837" s="25"/>
      <c r="H837" s="26"/>
    </row>
    <row r="838" ht="22.5" customHeight="1">
      <c r="A838" s="24"/>
      <c r="B838" s="71"/>
      <c r="C838" s="71"/>
      <c r="D838" s="71"/>
      <c r="E838" s="138"/>
      <c r="F838" s="138"/>
      <c r="G838" s="25"/>
      <c r="H838" s="26"/>
    </row>
    <row r="839" ht="22.5" customHeight="1">
      <c r="A839" s="24"/>
      <c r="B839" s="71"/>
      <c r="C839" s="71"/>
      <c r="D839" s="71"/>
      <c r="E839" s="138"/>
      <c r="F839" s="138"/>
      <c r="G839" s="25"/>
      <c r="H839" s="26"/>
    </row>
    <row r="840" ht="22.5" customHeight="1">
      <c r="A840" s="24"/>
      <c r="B840" s="71"/>
      <c r="C840" s="71"/>
      <c r="D840" s="71"/>
      <c r="E840" s="138"/>
      <c r="F840" s="138"/>
      <c r="G840" s="25"/>
      <c r="H840" s="26"/>
    </row>
    <row r="841" ht="22.5" customHeight="1">
      <c r="A841" s="24"/>
      <c r="B841" s="71"/>
      <c r="C841" s="71"/>
      <c r="D841" s="71"/>
      <c r="E841" s="138"/>
      <c r="F841" s="138"/>
      <c r="G841" s="25"/>
      <c r="H841" s="26"/>
    </row>
    <row r="842" ht="22.5" customHeight="1">
      <c r="A842" s="24"/>
      <c r="B842" s="71"/>
      <c r="C842" s="71"/>
      <c r="D842" s="71"/>
      <c r="E842" s="138"/>
      <c r="F842" s="138"/>
      <c r="G842" s="25"/>
      <c r="H842" s="26"/>
    </row>
    <row r="843" ht="22.5" customHeight="1">
      <c r="A843" s="24"/>
      <c r="B843" s="71"/>
      <c r="C843" s="71"/>
      <c r="D843" s="71"/>
      <c r="E843" s="138"/>
      <c r="F843" s="138"/>
      <c r="G843" s="25"/>
      <c r="H843" s="26"/>
    </row>
    <row r="844" ht="22.5" customHeight="1">
      <c r="A844" s="24"/>
      <c r="B844" s="71"/>
      <c r="C844" s="71"/>
      <c r="D844" s="71"/>
      <c r="E844" s="138"/>
      <c r="F844" s="138"/>
      <c r="G844" s="25"/>
      <c r="H844" s="26"/>
    </row>
    <row r="845" ht="22.5" customHeight="1">
      <c r="A845" s="24"/>
      <c r="B845" s="71"/>
      <c r="C845" s="71"/>
      <c r="D845" s="71"/>
      <c r="E845" s="138"/>
      <c r="F845" s="138"/>
      <c r="G845" s="25"/>
      <c r="H845" s="26"/>
    </row>
    <row r="846" ht="22.5" customHeight="1">
      <c r="A846" s="24"/>
      <c r="B846" s="71"/>
      <c r="C846" s="71"/>
      <c r="D846" s="71"/>
      <c r="E846" s="138"/>
      <c r="F846" s="138"/>
      <c r="G846" s="25"/>
      <c r="H846" s="26"/>
    </row>
    <row r="847" ht="22.5" customHeight="1">
      <c r="A847" s="24"/>
      <c r="B847" s="71"/>
      <c r="C847" s="71"/>
      <c r="D847" s="71"/>
      <c r="E847" s="138"/>
      <c r="F847" s="138"/>
      <c r="G847" s="25"/>
      <c r="H847" s="26"/>
    </row>
    <row r="848" ht="22.5" customHeight="1">
      <c r="A848" s="24"/>
      <c r="B848" s="71"/>
      <c r="C848" s="71"/>
      <c r="D848" s="71"/>
      <c r="E848" s="138"/>
      <c r="F848" s="138"/>
      <c r="G848" s="25"/>
      <c r="H848" s="26"/>
    </row>
    <row r="849" ht="22.5" customHeight="1">
      <c r="A849" s="24"/>
      <c r="B849" s="71"/>
      <c r="C849" s="71"/>
      <c r="D849" s="71"/>
      <c r="E849" s="138"/>
      <c r="F849" s="138"/>
      <c r="G849" s="25"/>
      <c r="H849" s="26"/>
    </row>
    <row r="850" ht="22.5" customHeight="1">
      <c r="A850" s="24"/>
      <c r="B850" s="71"/>
      <c r="C850" s="71"/>
      <c r="D850" s="71"/>
      <c r="E850" s="138"/>
      <c r="F850" s="138"/>
      <c r="G850" s="25"/>
      <c r="H850" s="26"/>
    </row>
    <row r="851" ht="22.5" customHeight="1">
      <c r="A851" s="24"/>
      <c r="B851" s="71"/>
      <c r="C851" s="71"/>
      <c r="D851" s="71"/>
      <c r="E851" s="138"/>
      <c r="F851" s="138"/>
      <c r="G851" s="25"/>
      <c r="H851" s="26"/>
    </row>
    <row r="852" ht="22.5" customHeight="1">
      <c r="A852" s="24"/>
      <c r="B852" s="71"/>
      <c r="C852" s="71"/>
      <c r="D852" s="71"/>
      <c r="E852" s="138"/>
      <c r="F852" s="138"/>
      <c r="G852" s="25"/>
      <c r="H852" s="26"/>
    </row>
    <row r="853" ht="22.5" customHeight="1">
      <c r="A853" s="24"/>
      <c r="B853" s="71"/>
      <c r="C853" s="71"/>
      <c r="D853" s="71"/>
      <c r="E853" s="138"/>
      <c r="F853" s="138"/>
      <c r="G853" s="25"/>
      <c r="H853" s="26"/>
    </row>
    <row r="854" ht="22.5" customHeight="1">
      <c r="A854" s="24"/>
      <c r="B854" s="71"/>
      <c r="C854" s="71"/>
      <c r="D854" s="71"/>
      <c r="E854" s="138"/>
      <c r="F854" s="138"/>
      <c r="G854" s="25"/>
      <c r="H854" s="26"/>
    </row>
    <row r="855" ht="22.5" customHeight="1">
      <c r="A855" s="24"/>
      <c r="B855" s="71"/>
      <c r="C855" s="71"/>
      <c r="D855" s="71"/>
      <c r="E855" s="138"/>
      <c r="F855" s="138"/>
      <c r="G855" s="25"/>
      <c r="H855" s="26"/>
    </row>
    <row r="856" ht="22.5" customHeight="1">
      <c r="A856" s="24"/>
      <c r="B856" s="71"/>
      <c r="C856" s="71"/>
      <c r="D856" s="71"/>
      <c r="E856" s="138"/>
      <c r="F856" s="138"/>
      <c r="G856" s="25"/>
      <c r="H856" s="26"/>
    </row>
    <row r="857" ht="22.5" customHeight="1">
      <c r="A857" s="24"/>
      <c r="B857" s="71"/>
      <c r="C857" s="71"/>
      <c r="D857" s="71"/>
      <c r="E857" s="138"/>
      <c r="F857" s="138"/>
      <c r="G857" s="25"/>
      <c r="H857" s="26"/>
    </row>
    <row r="858" ht="22.5" customHeight="1">
      <c r="A858" s="24"/>
      <c r="B858" s="71"/>
      <c r="C858" s="71"/>
      <c r="D858" s="71"/>
      <c r="E858" s="138"/>
      <c r="F858" s="138"/>
      <c r="G858" s="25"/>
      <c r="H858" s="26"/>
    </row>
    <row r="859" ht="22.5" customHeight="1">
      <c r="A859" s="24"/>
      <c r="B859" s="71"/>
      <c r="C859" s="71"/>
      <c r="D859" s="71"/>
      <c r="E859" s="138"/>
      <c r="F859" s="138"/>
      <c r="G859" s="25"/>
      <c r="H859" s="26"/>
    </row>
    <row r="860" ht="22.5" customHeight="1">
      <c r="A860" s="24"/>
      <c r="B860" s="71"/>
      <c r="C860" s="71"/>
      <c r="D860" s="71"/>
      <c r="E860" s="138"/>
      <c r="F860" s="138"/>
      <c r="G860" s="25"/>
      <c r="H860" s="26"/>
    </row>
    <row r="861" ht="22.5" customHeight="1">
      <c r="A861" s="24"/>
      <c r="B861" s="71"/>
      <c r="C861" s="71"/>
      <c r="D861" s="71"/>
      <c r="E861" s="138"/>
      <c r="F861" s="138"/>
      <c r="G861" s="25"/>
      <c r="H861" s="26"/>
    </row>
    <row r="862" ht="22.5" customHeight="1">
      <c r="A862" s="24"/>
      <c r="B862" s="71"/>
      <c r="C862" s="71"/>
      <c r="D862" s="71"/>
      <c r="E862" s="138"/>
      <c r="F862" s="138"/>
      <c r="G862" s="25"/>
      <c r="H862" s="26"/>
    </row>
    <row r="863" ht="22.5" customHeight="1">
      <c r="A863" s="24"/>
      <c r="B863" s="71"/>
      <c r="C863" s="71"/>
      <c r="D863" s="71"/>
      <c r="E863" s="138"/>
      <c r="F863" s="138"/>
      <c r="G863" s="25"/>
      <c r="H863" s="26"/>
    </row>
    <row r="864" ht="22.5" customHeight="1">
      <c r="A864" s="24"/>
      <c r="B864" s="71"/>
      <c r="C864" s="71"/>
      <c r="D864" s="71"/>
      <c r="E864" s="138"/>
      <c r="F864" s="138"/>
      <c r="G864" s="25"/>
      <c r="H864" s="26"/>
    </row>
    <row r="865" ht="22.5" customHeight="1">
      <c r="A865" s="24"/>
      <c r="B865" s="71"/>
      <c r="C865" s="71"/>
      <c r="D865" s="71"/>
      <c r="E865" s="138"/>
      <c r="F865" s="138"/>
      <c r="G865" s="25"/>
      <c r="H865" s="26"/>
    </row>
    <row r="866" ht="22.5" customHeight="1">
      <c r="A866" s="24"/>
      <c r="B866" s="71"/>
      <c r="C866" s="71"/>
      <c r="D866" s="71"/>
      <c r="E866" s="138"/>
      <c r="F866" s="138"/>
      <c r="G866" s="25"/>
      <c r="H866" s="26"/>
    </row>
    <row r="867" ht="22.5" customHeight="1">
      <c r="A867" s="24"/>
      <c r="B867" s="71"/>
      <c r="C867" s="71"/>
      <c r="D867" s="71"/>
      <c r="E867" s="138"/>
      <c r="F867" s="138"/>
      <c r="G867" s="25"/>
      <c r="H867" s="26"/>
    </row>
    <row r="868" ht="22.5" customHeight="1">
      <c r="A868" s="24"/>
      <c r="B868" s="71"/>
      <c r="C868" s="71"/>
      <c r="D868" s="71"/>
      <c r="E868" s="138"/>
      <c r="F868" s="138"/>
      <c r="G868" s="25"/>
      <c r="H868" s="26"/>
    </row>
    <row r="869" ht="22.5" customHeight="1">
      <c r="A869" s="24"/>
      <c r="B869" s="71"/>
      <c r="C869" s="71"/>
      <c r="D869" s="71"/>
      <c r="E869" s="138"/>
      <c r="F869" s="138"/>
      <c r="G869" s="25"/>
      <c r="H869" s="26"/>
    </row>
    <row r="870" ht="22.5" customHeight="1">
      <c r="A870" s="24"/>
      <c r="B870" s="71"/>
      <c r="C870" s="71"/>
      <c r="D870" s="71"/>
      <c r="E870" s="138"/>
      <c r="F870" s="138"/>
      <c r="G870" s="25"/>
      <c r="H870" s="26"/>
    </row>
    <row r="871" ht="22.5" customHeight="1">
      <c r="A871" s="24"/>
      <c r="B871" s="71"/>
      <c r="C871" s="71"/>
      <c r="D871" s="71"/>
      <c r="E871" s="138"/>
      <c r="F871" s="138"/>
      <c r="G871" s="25"/>
      <c r="H871" s="26"/>
    </row>
    <row r="872" ht="22.5" customHeight="1">
      <c r="A872" s="24"/>
      <c r="B872" s="71"/>
      <c r="C872" s="71"/>
      <c r="D872" s="71"/>
      <c r="E872" s="138"/>
      <c r="F872" s="138"/>
      <c r="G872" s="25"/>
      <c r="H872" s="26"/>
    </row>
    <row r="873" ht="22.5" customHeight="1">
      <c r="A873" s="24"/>
      <c r="B873" s="71"/>
      <c r="C873" s="71"/>
      <c r="D873" s="71"/>
      <c r="E873" s="138"/>
      <c r="F873" s="138"/>
      <c r="G873" s="25"/>
      <c r="H873" s="26"/>
    </row>
    <row r="874" ht="22.5" customHeight="1">
      <c r="A874" s="24"/>
      <c r="B874" s="71"/>
      <c r="C874" s="71"/>
      <c r="D874" s="71"/>
      <c r="E874" s="138"/>
      <c r="F874" s="138"/>
      <c r="G874" s="25"/>
      <c r="H874" s="26"/>
    </row>
    <row r="875" ht="22.5" customHeight="1">
      <c r="A875" s="24"/>
      <c r="B875" s="71"/>
      <c r="C875" s="71"/>
      <c r="D875" s="71"/>
      <c r="E875" s="138"/>
      <c r="F875" s="138"/>
      <c r="G875" s="25"/>
      <c r="H875" s="26"/>
    </row>
    <row r="876" ht="22.5" customHeight="1">
      <c r="A876" s="24"/>
      <c r="B876" s="71"/>
      <c r="C876" s="71"/>
      <c r="D876" s="71"/>
      <c r="E876" s="138"/>
      <c r="F876" s="138"/>
      <c r="G876" s="25"/>
      <c r="H876" s="26"/>
    </row>
    <row r="877" ht="22.5" customHeight="1">
      <c r="A877" s="24"/>
      <c r="B877" s="71"/>
      <c r="C877" s="71"/>
      <c r="D877" s="71"/>
      <c r="E877" s="138"/>
      <c r="F877" s="138"/>
      <c r="G877" s="25"/>
      <c r="H877" s="26"/>
    </row>
    <row r="878" ht="22.5" customHeight="1">
      <c r="A878" s="24"/>
      <c r="B878" s="71"/>
      <c r="C878" s="71"/>
      <c r="D878" s="71"/>
      <c r="E878" s="138"/>
      <c r="F878" s="138"/>
      <c r="G878" s="25"/>
      <c r="H878" s="26"/>
    </row>
    <row r="879" ht="22.5" customHeight="1">
      <c r="A879" s="24"/>
      <c r="B879" s="71"/>
      <c r="C879" s="71"/>
      <c r="D879" s="71"/>
      <c r="E879" s="138"/>
      <c r="F879" s="138"/>
      <c r="G879" s="25"/>
      <c r="H879" s="26"/>
    </row>
    <row r="880" ht="22.5" customHeight="1">
      <c r="A880" s="24"/>
      <c r="B880" s="71"/>
      <c r="C880" s="71"/>
      <c r="D880" s="71"/>
      <c r="E880" s="138"/>
      <c r="F880" s="138"/>
      <c r="G880" s="25"/>
      <c r="H880" s="26"/>
    </row>
    <row r="881" ht="22.5" customHeight="1">
      <c r="A881" s="24"/>
      <c r="B881" s="71"/>
      <c r="C881" s="71"/>
      <c r="D881" s="71"/>
      <c r="E881" s="138"/>
      <c r="F881" s="138"/>
      <c r="G881" s="25"/>
      <c r="H881" s="26"/>
    </row>
    <row r="882" ht="22.5" customHeight="1">
      <c r="A882" s="24"/>
      <c r="B882" s="71"/>
      <c r="C882" s="71"/>
      <c r="D882" s="71"/>
      <c r="E882" s="138"/>
      <c r="F882" s="138"/>
      <c r="G882" s="25"/>
      <c r="H882" s="26"/>
    </row>
    <row r="883" ht="22.5" customHeight="1">
      <c r="A883" s="24"/>
      <c r="B883" s="71"/>
      <c r="C883" s="71"/>
      <c r="D883" s="71"/>
      <c r="E883" s="138"/>
      <c r="F883" s="138"/>
      <c r="G883" s="25"/>
      <c r="H883" s="26"/>
    </row>
    <row r="884" ht="22.5" customHeight="1">
      <c r="A884" s="24"/>
      <c r="B884" s="71"/>
      <c r="C884" s="71"/>
      <c r="D884" s="71"/>
      <c r="E884" s="138"/>
      <c r="F884" s="138"/>
      <c r="G884" s="25"/>
      <c r="H884" s="26"/>
    </row>
    <row r="885" ht="22.5" customHeight="1">
      <c r="A885" s="24"/>
      <c r="B885" s="71"/>
      <c r="C885" s="71"/>
      <c r="D885" s="71"/>
      <c r="E885" s="138"/>
      <c r="F885" s="138"/>
      <c r="G885" s="25"/>
      <c r="H885" s="26"/>
    </row>
    <row r="886" ht="22.5" customHeight="1">
      <c r="A886" s="24"/>
      <c r="B886" s="71"/>
      <c r="C886" s="71"/>
      <c r="D886" s="71"/>
      <c r="E886" s="138"/>
      <c r="F886" s="138"/>
      <c r="G886" s="25"/>
      <c r="H886" s="26"/>
    </row>
    <row r="887" ht="22.5" customHeight="1">
      <c r="A887" s="24"/>
      <c r="B887" s="71"/>
      <c r="C887" s="71"/>
      <c r="D887" s="71"/>
      <c r="E887" s="138"/>
      <c r="F887" s="138"/>
      <c r="G887" s="25"/>
      <c r="H887" s="26"/>
    </row>
    <row r="888" ht="22.5" customHeight="1">
      <c r="A888" s="24"/>
      <c r="B888" s="71"/>
      <c r="C888" s="71"/>
      <c r="D888" s="71"/>
      <c r="E888" s="138"/>
      <c r="F888" s="138"/>
      <c r="G888" s="25"/>
      <c r="H888" s="26"/>
    </row>
    <row r="889" ht="22.5" customHeight="1">
      <c r="A889" s="24"/>
      <c r="B889" s="71"/>
      <c r="C889" s="71"/>
      <c r="D889" s="71"/>
      <c r="E889" s="138"/>
      <c r="F889" s="138"/>
      <c r="G889" s="25"/>
      <c r="H889" s="26"/>
    </row>
    <row r="890" ht="22.5" customHeight="1">
      <c r="A890" s="24"/>
      <c r="B890" s="71"/>
      <c r="C890" s="71"/>
      <c r="D890" s="71"/>
      <c r="E890" s="138"/>
      <c r="F890" s="138"/>
      <c r="G890" s="25"/>
      <c r="H890" s="26"/>
    </row>
    <row r="891" ht="22.5" customHeight="1">
      <c r="A891" s="24"/>
      <c r="B891" s="71"/>
      <c r="C891" s="71"/>
      <c r="D891" s="71"/>
      <c r="E891" s="138"/>
      <c r="F891" s="138"/>
      <c r="G891" s="25"/>
      <c r="H891" s="26"/>
    </row>
    <row r="892" ht="22.5" customHeight="1">
      <c r="A892" s="24"/>
      <c r="B892" s="71"/>
      <c r="C892" s="71"/>
      <c r="D892" s="71"/>
      <c r="E892" s="138"/>
      <c r="F892" s="138"/>
      <c r="G892" s="25"/>
      <c r="H892" s="26"/>
    </row>
    <row r="893" ht="22.5" customHeight="1">
      <c r="A893" s="24"/>
      <c r="B893" s="71"/>
      <c r="C893" s="71"/>
      <c r="D893" s="71"/>
      <c r="E893" s="138"/>
      <c r="F893" s="138"/>
      <c r="G893" s="25"/>
      <c r="H893" s="26"/>
    </row>
    <row r="894" ht="22.5" customHeight="1">
      <c r="A894" s="24"/>
      <c r="B894" s="71"/>
      <c r="C894" s="71"/>
      <c r="D894" s="71"/>
      <c r="E894" s="138"/>
      <c r="F894" s="138"/>
      <c r="G894" s="25"/>
      <c r="H894" s="26"/>
    </row>
    <row r="895" ht="22.5" customHeight="1">
      <c r="A895" s="24"/>
      <c r="B895" s="71"/>
      <c r="C895" s="71"/>
      <c r="D895" s="71"/>
      <c r="E895" s="138"/>
      <c r="F895" s="138"/>
      <c r="G895" s="25"/>
      <c r="H895" s="26"/>
    </row>
    <row r="896" ht="22.5" customHeight="1">
      <c r="A896" s="24"/>
      <c r="B896" s="71"/>
      <c r="C896" s="71"/>
      <c r="D896" s="71"/>
      <c r="E896" s="138"/>
      <c r="F896" s="138"/>
      <c r="G896" s="25"/>
      <c r="H896" s="26"/>
    </row>
    <row r="897" ht="22.5" customHeight="1">
      <c r="A897" s="24"/>
      <c r="B897" s="71"/>
      <c r="C897" s="71"/>
      <c r="D897" s="71"/>
      <c r="E897" s="138"/>
      <c r="F897" s="138"/>
      <c r="G897" s="25"/>
      <c r="H897" s="26"/>
    </row>
    <row r="898" ht="22.5" customHeight="1">
      <c r="A898" s="24"/>
      <c r="B898" s="71"/>
      <c r="C898" s="71"/>
      <c r="D898" s="71"/>
      <c r="E898" s="138"/>
      <c r="F898" s="138"/>
      <c r="G898" s="25"/>
      <c r="H898" s="26"/>
    </row>
    <row r="899" ht="22.5" customHeight="1">
      <c r="A899" s="24"/>
      <c r="B899" s="71"/>
      <c r="C899" s="71"/>
      <c r="D899" s="71"/>
      <c r="E899" s="138"/>
      <c r="F899" s="138"/>
      <c r="G899" s="25"/>
      <c r="H899" s="26"/>
    </row>
    <row r="900" ht="22.5" customHeight="1">
      <c r="A900" s="24"/>
      <c r="B900" s="71"/>
      <c r="C900" s="71"/>
      <c r="D900" s="71"/>
      <c r="E900" s="138"/>
      <c r="F900" s="138"/>
      <c r="G900" s="25"/>
      <c r="H900" s="26"/>
    </row>
    <row r="901" ht="22.5" customHeight="1">
      <c r="A901" s="24"/>
      <c r="B901" s="71"/>
      <c r="C901" s="71"/>
      <c r="D901" s="71"/>
      <c r="E901" s="138"/>
      <c r="F901" s="138"/>
      <c r="G901" s="25"/>
      <c r="H901" s="26"/>
    </row>
    <row r="902" ht="22.5" customHeight="1">
      <c r="A902" s="24"/>
      <c r="B902" s="71"/>
      <c r="C902" s="71"/>
      <c r="D902" s="71"/>
      <c r="E902" s="138"/>
      <c r="F902" s="138"/>
      <c r="G902" s="25"/>
      <c r="H902" s="26"/>
    </row>
    <row r="903" ht="22.5" customHeight="1">
      <c r="A903" s="24"/>
      <c r="B903" s="71"/>
      <c r="C903" s="71"/>
      <c r="D903" s="71"/>
      <c r="E903" s="138"/>
      <c r="F903" s="138"/>
      <c r="G903" s="25"/>
      <c r="H903" s="26"/>
    </row>
    <row r="904" ht="22.5" customHeight="1">
      <c r="A904" s="24"/>
      <c r="B904" s="71"/>
      <c r="C904" s="71"/>
      <c r="D904" s="71"/>
      <c r="E904" s="138"/>
      <c r="F904" s="138"/>
      <c r="G904" s="25"/>
      <c r="H904" s="26"/>
    </row>
    <row r="905" ht="22.5" customHeight="1">
      <c r="A905" s="24"/>
      <c r="B905" s="71"/>
      <c r="C905" s="71"/>
      <c r="D905" s="71"/>
      <c r="E905" s="138"/>
      <c r="F905" s="138"/>
      <c r="G905" s="25"/>
      <c r="H905" s="26"/>
    </row>
    <row r="906" ht="22.5" customHeight="1">
      <c r="A906" s="24"/>
      <c r="B906" s="71"/>
      <c r="C906" s="71"/>
      <c r="D906" s="71"/>
      <c r="E906" s="138"/>
      <c r="F906" s="138"/>
      <c r="G906" s="25"/>
      <c r="H906" s="26"/>
    </row>
    <row r="907" ht="22.5" customHeight="1">
      <c r="A907" s="24"/>
      <c r="B907" s="71"/>
      <c r="C907" s="71"/>
      <c r="D907" s="71"/>
      <c r="E907" s="138"/>
      <c r="F907" s="138"/>
      <c r="G907" s="25"/>
      <c r="H907" s="26"/>
    </row>
    <row r="908" ht="22.5" customHeight="1">
      <c r="A908" s="24"/>
      <c r="B908" s="71"/>
      <c r="C908" s="71"/>
      <c r="D908" s="71"/>
      <c r="E908" s="138"/>
      <c r="F908" s="138"/>
      <c r="G908" s="25"/>
      <c r="H908" s="26"/>
    </row>
    <row r="909" ht="22.5" customHeight="1">
      <c r="A909" s="24"/>
      <c r="B909" s="71"/>
      <c r="C909" s="71"/>
      <c r="D909" s="71"/>
      <c r="E909" s="138"/>
      <c r="F909" s="138"/>
      <c r="G909" s="25"/>
      <c r="H909" s="26"/>
    </row>
    <row r="910" ht="22.5" customHeight="1">
      <c r="A910" s="24"/>
      <c r="B910" s="71"/>
      <c r="C910" s="71"/>
      <c r="D910" s="71"/>
      <c r="E910" s="138"/>
      <c r="F910" s="138"/>
      <c r="G910" s="25"/>
      <c r="H910" s="26"/>
    </row>
    <row r="911" ht="22.5" customHeight="1">
      <c r="A911" s="24"/>
      <c r="B911" s="71"/>
      <c r="C911" s="71"/>
      <c r="D911" s="71"/>
      <c r="E911" s="138"/>
      <c r="F911" s="138"/>
      <c r="G911" s="25"/>
      <c r="H911" s="26"/>
    </row>
    <row r="912" ht="22.5" customHeight="1">
      <c r="A912" s="24"/>
      <c r="B912" s="71"/>
      <c r="C912" s="71"/>
      <c r="D912" s="71"/>
      <c r="E912" s="138"/>
      <c r="F912" s="138"/>
      <c r="G912" s="25"/>
      <c r="H912" s="26"/>
    </row>
    <row r="913" ht="22.5" customHeight="1">
      <c r="A913" s="24"/>
      <c r="B913" s="71"/>
      <c r="C913" s="71"/>
      <c r="D913" s="71"/>
      <c r="E913" s="138"/>
      <c r="F913" s="138"/>
      <c r="G913" s="25"/>
      <c r="H913" s="26"/>
    </row>
    <row r="914" ht="22.5" customHeight="1">
      <c r="A914" s="24"/>
      <c r="B914" s="71"/>
      <c r="C914" s="71"/>
      <c r="D914" s="71"/>
      <c r="E914" s="138"/>
      <c r="F914" s="138"/>
      <c r="G914" s="25"/>
      <c r="H914" s="26"/>
    </row>
    <row r="915" ht="22.5" customHeight="1">
      <c r="A915" s="24"/>
      <c r="B915" s="71"/>
      <c r="C915" s="71"/>
      <c r="D915" s="71"/>
      <c r="E915" s="138"/>
      <c r="F915" s="138"/>
      <c r="G915" s="25"/>
      <c r="H915" s="26"/>
    </row>
    <row r="916" ht="22.5" customHeight="1">
      <c r="A916" s="24"/>
      <c r="B916" s="71"/>
      <c r="C916" s="71"/>
      <c r="D916" s="71"/>
      <c r="E916" s="138"/>
      <c r="F916" s="138"/>
      <c r="G916" s="25"/>
      <c r="H916" s="26"/>
    </row>
    <row r="917" ht="22.5" customHeight="1">
      <c r="A917" s="24"/>
      <c r="B917" s="71"/>
      <c r="C917" s="71"/>
      <c r="D917" s="71"/>
      <c r="E917" s="138"/>
      <c r="F917" s="138"/>
      <c r="G917" s="25"/>
      <c r="H917" s="26"/>
    </row>
    <row r="918" ht="22.5" customHeight="1">
      <c r="A918" s="24"/>
      <c r="B918" s="71"/>
      <c r="C918" s="71"/>
      <c r="D918" s="71"/>
      <c r="E918" s="138"/>
      <c r="F918" s="138"/>
      <c r="G918" s="25"/>
      <c r="H918" s="26"/>
    </row>
    <row r="919" ht="22.5" customHeight="1">
      <c r="A919" s="24"/>
      <c r="B919" s="71"/>
      <c r="C919" s="71"/>
      <c r="D919" s="71"/>
      <c r="E919" s="138"/>
      <c r="F919" s="138"/>
      <c r="G919" s="25"/>
      <c r="H919" s="26"/>
    </row>
    <row r="920" ht="22.5" customHeight="1">
      <c r="A920" s="24"/>
      <c r="B920" s="71"/>
      <c r="C920" s="71"/>
      <c r="D920" s="71"/>
      <c r="E920" s="138"/>
      <c r="F920" s="138"/>
      <c r="G920" s="25"/>
      <c r="H920" s="26"/>
    </row>
    <row r="921" ht="22.5" customHeight="1">
      <c r="A921" s="24"/>
      <c r="B921" s="71"/>
      <c r="C921" s="71"/>
      <c r="D921" s="71"/>
      <c r="E921" s="138"/>
      <c r="F921" s="138"/>
      <c r="G921" s="25"/>
      <c r="H921" s="26"/>
    </row>
    <row r="922" ht="22.5" customHeight="1">
      <c r="A922" s="24"/>
      <c r="B922" s="71"/>
      <c r="C922" s="71"/>
      <c r="D922" s="71"/>
      <c r="E922" s="138"/>
      <c r="F922" s="138"/>
      <c r="G922" s="25"/>
      <c r="H922" s="26"/>
    </row>
    <row r="923" ht="22.5" customHeight="1">
      <c r="A923" s="24"/>
      <c r="B923" s="71"/>
      <c r="C923" s="71"/>
      <c r="D923" s="71"/>
      <c r="E923" s="138"/>
      <c r="F923" s="138"/>
      <c r="G923" s="25"/>
      <c r="H923" s="26"/>
    </row>
    <row r="924" ht="22.5" customHeight="1">
      <c r="A924" s="24"/>
      <c r="B924" s="71"/>
      <c r="C924" s="71"/>
      <c r="D924" s="71"/>
      <c r="E924" s="138"/>
      <c r="F924" s="138"/>
      <c r="G924" s="25"/>
      <c r="H924" s="26"/>
    </row>
    <row r="925" ht="22.5" customHeight="1">
      <c r="A925" s="24"/>
      <c r="B925" s="71"/>
      <c r="C925" s="71"/>
      <c r="D925" s="71"/>
      <c r="E925" s="138"/>
      <c r="F925" s="138"/>
      <c r="G925" s="25"/>
      <c r="H925" s="26"/>
    </row>
    <row r="926" ht="22.5" customHeight="1">
      <c r="A926" s="24"/>
      <c r="B926" s="71"/>
      <c r="C926" s="71"/>
      <c r="D926" s="71"/>
      <c r="E926" s="138"/>
      <c r="F926" s="138"/>
      <c r="G926" s="25"/>
      <c r="H926" s="26"/>
    </row>
    <row r="927" ht="22.5" customHeight="1">
      <c r="A927" s="24"/>
      <c r="B927" s="71"/>
      <c r="C927" s="71"/>
      <c r="D927" s="71"/>
      <c r="E927" s="138"/>
      <c r="F927" s="138"/>
      <c r="G927" s="25"/>
      <c r="H927" s="26"/>
    </row>
    <row r="928" ht="22.5" customHeight="1">
      <c r="A928" s="24"/>
      <c r="B928" s="71"/>
      <c r="C928" s="71"/>
      <c r="D928" s="71"/>
      <c r="E928" s="138"/>
      <c r="F928" s="138"/>
      <c r="G928" s="25"/>
      <c r="H928" s="26"/>
    </row>
    <row r="929" ht="22.5" customHeight="1">
      <c r="A929" s="24"/>
      <c r="B929" s="71"/>
      <c r="C929" s="71"/>
      <c r="D929" s="71"/>
      <c r="E929" s="138"/>
      <c r="F929" s="138"/>
      <c r="G929" s="25"/>
      <c r="H929" s="26"/>
    </row>
    <row r="930" ht="22.5" customHeight="1">
      <c r="A930" s="24"/>
      <c r="B930" s="71"/>
      <c r="C930" s="71"/>
      <c r="D930" s="71"/>
      <c r="E930" s="138"/>
      <c r="F930" s="138"/>
      <c r="G930" s="25"/>
      <c r="H930" s="26"/>
    </row>
    <row r="931" ht="22.5" customHeight="1">
      <c r="A931" s="24"/>
      <c r="B931" s="71"/>
      <c r="C931" s="71"/>
      <c r="D931" s="71"/>
      <c r="E931" s="138"/>
      <c r="F931" s="138"/>
      <c r="G931" s="25"/>
      <c r="H931" s="26"/>
    </row>
    <row r="932" ht="22.5" customHeight="1">
      <c r="A932" s="24"/>
      <c r="B932" s="71"/>
      <c r="C932" s="71"/>
      <c r="D932" s="71"/>
      <c r="E932" s="138"/>
      <c r="F932" s="138"/>
      <c r="G932" s="25"/>
      <c r="H932" s="26"/>
    </row>
    <row r="933" ht="22.5" customHeight="1">
      <c r="A933" s="24"/>
      <c r="B933" s="71"/>
      <c r="C933" s="71"/>
      <c r="D933" s="71"/>
      <c r="E933" s="138"/>
      <c r="F933" s="138"/>
      <c r="G933" s="25"/>
      <c r="H933" s="26"/>
    </row>
    <row r="934" ht="22.5" customHeight="1">
      <c r="A934" s="24"/>
      <c r="B934" s="71"/>
      <c r="C934" s="71"/>
      <c r="D934" s="71"/>
      <c r="E934" s="138"/>
      <c r="F934" s="138"/>
      <c r="G934" s="25"/>
      <c r="H934" s="26"/>
    </row>
    <row r="935" ht="22.5" customHeight="1">
      <c r="A935" s="24"/>
      <c r="B935" s="71"/>
      <c r="C935" s="71"/>
      <c r="D935" s="71"/>
      <c r="E935" s="138"/>
      <c r="F935" s="138"/>
      <c r="G935" s="25"/>
      <c r="H935" s="26"/>
    </row>
    <row r="936" ht="22.5" customHeight="1">
      <c r="A936" s="24"/>
      <c r="B936" s="71"/>
      <c r="C936" s="71"/>
      <c r="D936" s="71"/>
      <c r="E936" s="138"/>
      <c r="F936" s="138"/>
      <c r="G936" s="25"/>
      <c r="H936" s="26"/>
    </row>
    <row r="937" ht="22.5" customHeight="1">
      <c r="A937" s="24"/>
      <c r="B937" s="71"/>
      <c r="C937" s="71"/>
      <c r="D937" s="71"/>
      <c r="E937" s="138"/>
      <c r="F937" s="138"/>
      <c r="G937" s="25"/>
      <c r="H937" s="26"/>
    </row>
    <row r="938" ht="22.5" customHeight="1">
      <c r="A938" s="24"/>
      <c r="B938" s="71"/>
      <c r="C938" s="71"/>
      <c r="D938" s="71"/>
      <c r="E938" s="138"/>
      <c r="F938" s="138"/>
      <c r="G938" s="25"/>
      <c r="H938" s="26"/>
    </row>
    <row r="939" ht="22.5" customHeight="1">
      <c r="A939" s="24"/>
      <c r="B939" s="71"/>
      <c r="C939" s="71"/>
      <c r="D939" s="71"/>
      <c r="E939" s="138"/>
      <c r="F939" s="138"/>
      <c r="G939" s="25"/>
      <c r="H939" s="26"/>
    </row>
    <row r="940" ht="22.5" customHeight="1">
      <c r="A940" s="24"/>
      <c r="B940" s="71"/>
      <c r="C940" s="71"/>
      <c r="D940" s="71"/>
      <c r="E940" s="138"/>
      <c r="F940" s="138"/>
      <c r="G940" s="25"/>
      <c r="H940" s="26"/>
    </row>
    <row r="941" ht="22.5" customHeight="1">
      <c r="A941" s="24"/>
      <c r="B941" s="71"/>
      <c r="C941" s="71"/>
      <c r="D941" s="71"/>
      <c r="E941" s="138"/>
      <c r="F941" s="138"/>
      <c r="G941" s="25"/>
      <c r="H941" s="26"/>
    </row>
    <row r="942" ht="22.5" customHeight="1">
      <c r="A942" s="24"/>
      <c r="B942" s="71"/>
      <c r="C942" s="71"/>
      <c r="D942" s="71"/>
      <c r="E942" s="138"/>
      <c r="F942" s="138"/>
      <c r="G942" s="25"/>
      <c r="H942" s="26"/>
    </row>
    <row r="943" ht="22.5" customHeight="1">
      <c r="A943" s="24"/>
      <c r="B943" s="71"/>
      <c r="C943" s="71"/>
      <c r="D943" s="71"/>
      <c r="E943" s="138"/>
      <c r="F943" s="138"/>
      <c r="G943" s="25"/>
      <c r="H943" s="26"/>
    </row>
    <row r="944" ht="22.5" customHeight="1">
      <c r="A944" s="24"/>
      <c r="B944" s="71"/>
      <c r="C944" s="71"/>
      <c r="D944" s="71"/>
      <c r="E944" s="138"/>
      <c r="F944" s="138"/>
      <c r="G944" s="25"/>
      <c r="H944" s="26"/>
    </row>
    <row r="945" ht="22.5" customHeight="1">
      <c r="A945" s="24"/>
      <c r="B945" s="71"/>
      <c r="C945" s="71"/>
      <c r="D945" s="71"/>
      <c r="E945" s="138"/>
      <c r="F945" s="138"/>
      <c r="G945" s="25"/>
      <c r="H945" s="26"/>
    </row>
    <row r="946" ht="22.5" customHeight="1">
      <c r="A946" s="24"/>
      <c r="B946" s="71"/>
      <c r="C946" s="71"/>
      <c r="D946" s="71"/>
      <c r="E946" s="138"/>
      <c r="F946" s="138"/>
      <c r="G946" s="25"/>
      <c r="H946" s="26"/>
    </row>
    <row r="947" ht="22.5" customHeight="1">
      <c r="A947" s="24"/>
      <c r="B947" s="71"/>
      <c r="C947" s="71"/>
      <c r="D947" s="71"/>
      <c r="E947" s="138"/>
      <c r="F947" s="138"/>
      <c r="G947" s="25"/>
      <c r="H947" s="26"/>
    </row>
    <row r="948" ht="22.5" customHeight="1">
      <c r="A948" s="24"/>
      <c r="B948" s="71"/>
      <c r="C948" s="71"/>
      <c r="D948" s="71"/>
      <c r="E948" s="138"/>
      <c r="F948" s="138"/>
      <c r="G948" s="25"/>
      <c r="H948" s="26"/>
    </row>
    <row r="949" ht="22.5" customHeight="1">
      <c r="A949" s="24"/>
      <c r="B949" s="71"/>
      <c r="C949" s="71"/>
      <c r="D949" s="71"/>
      <c r="E949" s="138"/>
      <c r="F949" s="138"/>
      <c r="G949" s="25"/>
      <c r="H949" s="26"/>
    </row>
    <row r="950" ht="22.5" customHeight="1">
      <c r="A950" s="24"/>
      <c r="B950" s="71"/>
      <c r="C950" s="71"/>
      <c r="D950" s="71"/>
      <c r="E950" s="138"/>
      <c r="F950" s="138"/>
      <c r="G950" s="25"/>
      <c r="H950" s="26"/>
    </row>
    <row r="951" ht="22.5" customHeight="1">
      <c r="A951" s="24"/>
      <c r="B951" s="71"/>
      <c r="C951" s="71"/>
      <c r="D951" s="71"/>
      <c r="E951" s="138"/>
      <c r="F951" s="138"/>
      <c r="G951" s="25"/>
      <c r="H951" s="26"/>
    </row>
    <row r="952" ht="22.5" customHeight="1">
      <c r="A952" s="24"/>
      <c r="B952" s="71"/>
      <c r="C952" s="71"/>
      <c r="D952" s="71"/>
      <c r="E952" s="138"/>
      <c r="F952" s="138"/>
      <c r="G952" s="25"/>
      <c r="H952" s="26"/>
    </row>
    <row r="953" ht="22.5" customHeight="1">
      <c r="A953" s="24"/>
      <c r="B953" s="71"/>
      <c r="C953" s="71"/>
      <c r="D953" s="71"/>
      <c r="E953" s="138"/>
      <c r="F953" s="138"/>
      <c r="G953" s="25"/>
      <c r="H953" s="26"/>
    </row>
    <row r="954" ht="22.5" customHeight="1">
      <c r="A954" s="24"/>
      <c r="B954" s="71"/>
      <c r="C954" s="71"/>
      <c r="D954" s="71"/>
      <c r="E954" s="138"/>
      <c r="F954" s="138"/>
      <c r="G954" s="25"/>
      <c r="H954" s="26"/>
    </row>
    <row r="955" ht="22.5" customHeight="1">
      <c r="A955" s="24"/>
      <c r="B955" s="71"/>
      <c r="C955" s="71"/>
      <c r="D955" s="71"/>
      <c r="E955" s="138"/>
      <c r="F955" s="138"/>
      <c r="G955" s="25"/>
      <c r="H955" s="26"/>
    </row>
    <row r="956" ht="22.5" customHeight="1">
      <c r="A956" s="24"/>
      <c r="B956" s="71"/>
      <c r="C956" s="71"/>
      <c r="D956" s="71"/>
      <c r="E956" s="138"/>
      <c r="F956" s="138"/>
      <c r="G956" s="25"/>
      <c r="H956" s="26"/>
    </row>
    <row r="957" ht="22.5" customHeight="1">
      <c r="A957" s="24"/>
      <c r="B957" s="71"/>
      <c r="C957" s="71"/>
      <c r="D957" s="71"/>
      <c r="E957" s="138"/>
      <c r="F957" s="138"/>
      <c r="G957" s="25"/>
      <c r="H957" s="26"/>
    </row>
    <row r="958" ht="22.5" customHeight="1">
      <c r="A958" s="24"/>
      <c r="B958" s="71"/>
      <c r="C958" s="71"/>
      <c r="D958" s="71"/>
      <c r="E958" s="138"/>
      <c r="F958" s="138"/>
      <c r="G958" s="25"/>
      <c r="H958" s="26"/>
    </row>
    <row r="959" ht="22.5" customHeight="1">
      <c r="A959" s="24"/>
      <c r="B959" s="71"/>
      <c r="C959" s="71"/>
      <c r="D959" s="71"/>
      <c r="E959" s="138"/>
      <c r="F959" s="138"/>
      <c r="G959" s="25"/>
      <c r="H959" s="26"/>
    </row>
    <row r="960" ht="22.5" customHeight="1">
      <c r="A960" s="24"/>
      <c r="B960" s="71"/>
      <c r="C960" s="71"/>
      <c r="D960" s="71"/>
      <c r="E960" s="138"/>
      <c r="F960" s="138"/>
      <c r="G960" s="25"/>
      <c r="H960" s="26"/>
    </row>
    <row r="961" ht="22.5" customHeight="1">
      <c r="A961" s="24"/>
      <c r="B961" s="71"/>
      <c r="C961" s="71"/>
      <c r="D961" s="71"/>
      <c r="E961" s="138"/>
      <c r="F961" s="138"/>
      <c r="G961" s="25"/>
      <c r="H961" s="26"/>
    </row>
    <row r="962" ht="22.5" customHeight="1">
      <c r="A962" s="24"/>
      <c r="B962" s="71"/>
      <c r="C962" s="71"/>
      <c r="D962" s="71"/>
      <c r="E962" s="138"/>
      <c r="F962" s="138"/>
      <c r="G962" s="25"/>
      <c r="H962" s="26"/>
    </row>
    <row r="963" ht="22.5" customHeight="1">
      <c r="A963" s="24"/>
      <c r="B963" s="71"/>
      <c r="C963" s="71"/>
      <c r="D963" s="71"/>
      <c r="E963" s="138"/>
      <c r="F963" s="138"/>
      <c r="G963" s="25"/>
      <c r="H963" s="26"/>
    </row>
    <row r="964" ht="22.5" customHeight="1">
      <c r="A964" s="24"/>
      <c r="B964" s="71"/>
      <c r="C964" s="71"/>
      <c r="D964" s="71"/>
      <c r="E964" s="138"/>
      <c r="F964" s="138"/>
      <c r="G964" s="25"/>
      <c r="H964" s="26"/>
    </row>
    <row r="965" ht="22.5" customHeight="1">
      <c r="A965" s="24"/>
      <c r="B965" s="71"/>
      <c r="C965" s="71"/>
      <c r="D965" s="71"/>
      <c r="E965" s="138"/>
      <c r="F965" s="138"/>
      <c r="G965" s="25"/>
      <c r="H965" s="26"/>
    </row>
    <row r="966" ht="22.5" customHeight="1">
      <c r="A966" s="24"/>
      <c r="B966" s="71"/>
      <c r="C966" s="71"/>
      <c r="D966" s="71"/>
      <c r="E966" s="138"/>
      <c r="F966" s="138"/>
      <c r="G966" s="25"/>
      <c r="H966" s="26"/>
    </row>
    <row r="967" ht="22.5" customHeight="1">
      <c r="A967" s="24"/>
      <c r="B967" s="71"/>
      <c r="C967" s="71"/>
      <c r="D967" s="71"/>
      <c r="E967" s="138"/>
      <c r="F967" s="138"/>
      <c r="G967" s="25"/>
      <c r="H967" s="26"/>
    </row>
    <row r="968" ht="22.5" customHeight="1">
      <c r="A968" s="24"/>
      <c r="B968" s="71"/>
      <c r="C968" s="71"/>
      <c r="D968" s="71"/>
      <c r="E968" s="138"/>
      <c r="F968" s="138"/>
      <c r="G968" s="25"/>
      <c r="H968" s="26"/>
    </row>
    <row r="969" ht="22.5" customHeight="1">
      <c r="A969" s="24"/>
      <c r="B969" s="71"/>
      <c r="C969" s="71"/>
      <c r="D969" s="71"/>
      <c r="E969" s="138"/>
      <c r="F969" s="138"/>
      <c r="G969" s="25"/>
      <c r="H969" s="26"/>
    </row>
    <row r="970" ht="22.5" customHeight="1">
      <c r="A970" s="24"/>
      <c r="B970" s="71"/>
      <c r="C970" s="71"/>
      <c r="D970" s="71"/>
      <c r="E970" s="138"/>
      <c r="F970" s="138"/>
      <c r="G970" s="25"/>
      <c r="H970" s="26"/>
    </row>
    <row r="971" ht="22.5" customHeight="1">
      <c r="A971" s="24"/>
      <c r="B971" s="71"/>
      <c r="C971" s="71"/>
      <c r="D971" s="71"/>
      <c r="E971" s="138"/>
      <c r="F971" s="138"/>
      <c r="G971" s="25"/>
      <c r="H971" s="26"/>
    </row>
    <row r="972" ht="22.5" customHeight="1">
      <c r="A972" s="24"/>
      <c r="B972" s="71"/>
      <c r="C972" s="71"/>
      <c r="D972" s="71"/>
      <c r="E972" s="138"/>
      <c r="F972" s="138"/>
      <c r="G972" s="25"/>
      <c r="H972" s="26"/>
    </row>
    <row r="973" ht="22.5" customHeight="1">
      <c r="A973" s="24"/>
      <c r="B973" s="71"/>
      <c r="C973" s="71"/>
      <c r="D973" s="71"/>
      <c r="E973" s="138"/>
      <c r="F973" s="138"/>
      <c r="G973" s="25"/>
      <c r="H973" s="26"/>
    </row>
    <row r="974" ht="22.5" customHeight="1">
      <c r="A974" s="24"/>
      <c r="B974" s="71"/>
      <c r="C974" s="71"/>
      <c r="D974" s="71"/>
      <c r="E974" s="138"/>
      <c r="F974" s="138"/>
      <c r="G974" s="25"/>
      <c r="H974" s="26"/>
    </row>
    <row r="975" ht="22.5" customHeight="1">
      <c r="A975" s="24"/>
      <c r="B975" s="71"/>
      <c r="C975" s="71"/>
      <c r="D975" s="71"/>
      <c r="E975" s="138"/>
      <c r="F975" s="138"/>
      <c r="G975" s="25"/>
      <c r="H975" s="26"/>
    </row>
    <row r="976" ht="22.5" customHeight="1">
      <c r="A976" s="24"/>
      <c r="B976" s="71"/>
      <c r="C976" s="71"/>
      <c r="D976" s="71"/>
      <c r="E976" s="138"/>
      <c r="F976" s="138"/>
      <c r="G976" s="25"/>
      <c r="H976" s="26"/>
    </row>
    <row r="977" ht="22.5" customHeight="1">
      <c r="A977" s="24"/>
      <c r="B977" s="71"/>
      <c r="C977" s="71"/>
      <c r="D977" s="71"/>
      <c r="E977" s="138"/>
      <c r="F977" s="138"/>
      <c r="G977" s="25"/>
      <c r="H977" s="26"/>
    </row>
    <row r="978" ht="22.5" customHeight="1">
      <c r="A978" s="24"/>
      <c r="B978" s="71"/>
      <c r="C978" s="71"/>
      <c r="D978" s="71"/>
      <c r="E978" s="138"/>
      <c r="F978" s="138"/>
      <c r="G978" s="25"/>
      <c r="H978" s="26"/>
    </row>
    <row r="979" ht="22.5" customHeight="1">
      <c r="A979" s="24"/>
      <c r="B979" s="71"/>
      <c r="C979" s="71"/>
      <c r="D979" s="71"/>
      <c r="E979" s="138"/>
      <c r="F979" s="138"/>
      <c r="G979" s="25"/>
      <c r="H979" s="26"/>
    </row>
    <row r="980" ht="22.5" customHeight="1">
      <c r="A980" s="24"/>
      <c r="B980" s="71"/>
      <c r="C980" s="71"/>
      <c r="D980" s="71"/>
      <c r="E980" s="138"/>
      <c r="F980" s="138"/>
      <c r="G980" s="25"/>
      <c r="H980" s="26"/>
    </row>
    <row r="981" ht="22.5" customHeight="1">
      <c r="A981" s="24"/>
      <c r="B981" s="71"/>
      <c r="C981" s="71"/>
      <c r="D981" s="71"/>
      <c r="E981" s="138"/>
      <c r="F981" s="138"/>
      <c r="G981" s="25"/>
      <c r="H981" s="26"/>
    </row>
    <row r="982" ht="22.5" customHeight="1">
      <c r="A982" s="24"/>
      <c r="B982" s="71"/>
      <c r="C982" s="71"/>
      <c r="D982" s="71"/>
      <c r="E982" s="138"/>
      <c r="F982" s="138"/>
      <c r="G982" s="25"/>
      <c r="H982" s="26"/>
    </row>
    <row r="983" ht="22.5" customHeight="1">
      <c r="A983" s="24"/>
      <c r="B983" s="71"/>
      <c r="C983" s="71"/>
      <c r="D983" s="71"/>
      <c r="E983" s="138"/>
      <c r="F983" s="138"/>
      <c r="G983" s="25"/>
      <c r="H983" s="26"/>
    </row>
    <row r="984" ht="22.5" customHeight="1">
      <c r="A984" s="24"/>
      <c r="B984" s="71"/>
      <c r="C984" s="71"/>
      <c r="D984" s="71"/>
      <c r="E984" s="138"/>
      <c r="F984" s="138"/>
      <c r="G984" s="25"/>
      <c r="H984" s="26"/>
    </row>
    <row r="985" ht="22.5" customHeight="1">
      <c r="A985" s="24"/>
      <c r="B985" s="71"/>
      <c r="C985" s="71"/>
      <c r="D985" s="71"/>
      <c r="E985" s="138"/>
      <c r="F985" s="138"/>
      <c r="G985" s="25"/>
      <c r="H985" s="26"/>
    </row>
    <row r="986" ht="22.5" customHeight="1">
      <c r="A986" s="24"/>
      <c r="B986" s="71"/>
      <c r="C986" s="71"/>
      <c r="D986" s="71"/>
      <c r="E986" s="138"/>
      <c r="F986" s="138"/>
      <c r="G986" s="25"/>
      <c r="H986" s="26"/>
    </row>
    <row r="987" ht="22.5" customHeight="1">
      <c r="A987" s="24"/>
      <c r="B987" s="71"/>
      <c r="C987" s="71"/>
      <c r="D987" s="71"/>
      <c r="E987" s="138"/>
      <c r="F987" s="138"/>
      <c r="G987" s="25"/>
      <c r="H987" s="26"/>
    </row>
    <row r="988" ht="22.5" customHeight="1">
      <c r="A988" s="24"/>
      <c r="B988" s="71"/>
      <c r="C988" s="71"/>
      <c r="D988" s="71"/>
      <c r="E988" s="138"/>
      <c r="F988" s="138"/>
      <c r="G988" s="25"/>
      <c r="H988" s="26"/>
    </row>
    <row r="989" ht="22.5" customHeight="1">
      <c r="A989" s="24"/>
      <c r="B989" s="71"/>
      <c r="C989" s="71"/>
      <c r="D989" s="71"/>
      <c r="E989" s="138"/>
      <c r="F989" s="138"/>
      <c r="G989" s="25"/>
      <c r="H989" s="26"/>
    </row>
    <row r="990" ht="22.5" customHeight="1">
      <c r="A990" s="24"/>
      <c r="B990" s="71"/>
      <c r="C990" s="71"/>
      <c r="D990" s="71"/>
      <c r="E990" s="138"/>
      <c r="F990" s="138"/>
      <c r="G990" s="25"/>
      <c r="H990" s="26"/>
    </row>
    <row r="991" ht="22.5" customHeight="1">
      <c r="A991" s="24"/>
      <c r="B991" s="71"/>
      <c r="C991" s="71"/>
      <c r="D991" s="71"/>
      <c r="E991" s="138"/>
      <c r="F991" s="138"/>
      <c r="G991" s="25"/>
      <c r="H991" s="26"/>
    </row>
    <row r="992" ht="22.5" customHeight="1">
      <c r="A992" s="24"/>
      <c r="B992" s="71"/>
      <c r="C992" s="71"/>
      <c r="D992" s="71"/>
      <c r="E992" s="138"/>
      <c r="F992" s="138"/>
      <c r="G992" s="25"/>
      <c r="H992" s="26"/>
    </row>
    <row r="993" ht="22.5" customHeight="1">
      <c r="A993" s="24"/>
      <c r="B993" s="71"/>
      <c r="C993" s="71"/>
      <c r="D993" s="71"/>
      <c r="E993" s="138"/>
      <c r="F993" s="138"/>
      <c r="G993" s="25"/>
      <c r="H993" s="26"/>
    </row>
    <row r="994" ht="22.5" customHeight="1">
      <c r="A994" s="24"/>
      <c r="B994" s="71"/>
      <c r="C994" s="71"/>
      <c r="D994" s="71"/>
      <c r="E994" s="138"/>
      <c r="F994" s="138"/>
      <c r="G994" s="25"/>
      <c r="H994" s="26"/>
    </row>
    <row r="995" ht="22.5" customHeight="1">
      <c r="A995" s="24"/>
      <c r="B995" s="71"/>
      <c r="C995" s="71"/>
      <c r="D995" s="71"/>
      <c r="E995" s="138"/>
      <c r="F995" s="138"/>
      <c r="G995" s="25"/>
      <c r="H995" s="26"/>
    </row>
    <row r="996" ht="22.5" customHeight="1">
      <c r="A996" s="24"/>
      <c r="B996" s="71"/>
      <c r="C996" s="71"/>
      <c r="D996" s="71"/>
      <c r="E996" s="138"/>
      <c r="F996" s="138"/>
      <c r="G996" s="25"/>
      <c r="H996" s="26"/>
    </row>
    <row r="997" ht="22.5" customHeight="1">
      <c r="A997" s="24"/>
      <c r="B997" s="71"/>
      <c r="C997" s="71"/>
      <c r="D997" s="71"/>
      <c r="E997" s="138"/>
      <c r="F997" s="138"/>
      <c r="G997" s="25"/>
      <c r="H997" s="26"/>
    </row>
    <row r="998" ht="22.5" customHeight="1">
      <c r="A998" s="24"/>
      <c r="B998" s="71"/>
      <c r="C998" s="71"/>
      <c r="D998" s="71"/>
      <c r="E998" s="138"/>
      <c r="F998" s="138"/>
      <c r="G998" s="25"/>
      <c r="H998" s="26"/>
    </row>
    <row r="999" ht="22.5" customHeight="1">
      <c r="A999" s="24"/>
      <c r="B999" s="71"/>
      <c r="C999" s="71"/>
      <c r="D999" s="71"/>
      <c r="E999" s="138"/>
      <c r="F999" s="138"/>
      <c r="G999" s="25"/>
      <c r="H999" s="26"/>
    </row>
    <row r="1000" ht="22.5" customHeight="1">
      <c r="A1000" s="24"/>
      <c r="B1000" s="71"/>
      <c r="C1000" s="71"/>
      <c r="D1000" s="71"/>
      <c r="E1000" s="138"/>
      <c r="F1000" s="138"/>
      <c r="G1000" s="25"/>
      <c r="H1000" s="26"/>
    </row>
    <row r="1001" ht="22.5" customHeight="1">
      <c r="A1001" s="24"/>
      <c r="B1001" s="71"/>
      <c r="C1001" s="71"/>
      <c r="D1001" s="71"/>
      <c r="E1001" s="138"/>
      <c r="F1001" s="138"/>
      <c r="G1001" s="25"/>
      <c r="H1001" s="26"/>
    </row>
    <row r="1002" ht="22.5" customHeight="1">
      <c r="A1002" s="24"/>
      <c r="B1002" s="71"/>
      <c r="C1002" s="71"/>
      <c r="D1002" s="71"/>
      <c r="E1002" s="138"/>
      <c r="F1002" s="138"/>
      <c r="G1002" s="25"/>
      <c r="H1002" s="26"/>
    </row>
    <row r="1003" ht="22.5" customHeight="1">
      <c r="A1003" s="24"/>
      <c r="B1003" s="71"/>
      <c r="C1003" s="71"/>
      <c r="D1003" s="71"/>
      <c r="E1003" s="138"/>
      <c r="F1003" s="138"/>
      <c r="G1003" s="25"/>
      <c r="H1003" s="26"/>
    </row>
    <row r="1004" ht="22.5" customHeight="1">
      <c r="A1004" s="24"/>
      <c r="B1004" s="71"/>
      <c r="C1004" s="71"/>
      <c r="D1004" s="71"/>
      <c r="E1004" s="138"/>
      <c r="F1004" s="138"/>
      <c r="G1004" s="25"/>
      <c r="H1004" s="26"/>
    </row>
    <row r="1005" ht="22.5" customHeight="1">
      <c r="A1005" s="24"/>
      <c r="B1005" s="71"/>
      <c r="C1005" s="71"/>
      <c r="D1005" s="71"/>
      <c r="E1005" s="138"/>
      <c r="F1005" s="138"/>
      <c r="G1005" s="25"/>
      <c r="H1005" s="26"/>
    </row>
    <row r="1006" ht="22.5" customHeight="1">
      <c r="A1006" s="24"/>
      <c r="B1006" s="71"/>
      <c r="C1006" s="71"/>
      <c r="D1006" s="71"/>
      <c r="E1006" s="138"/>
      <c r="F1006" s="138"/>
      <c r="G1006" s="25"/>
      <c r="H1006" s="26"/>
    </row>
    <row r="1007" ht="22.5" customHeight="1">
      <c r="A1007" s="24"/>
      <c r="B1007" s="71"/>
      <c r="C1007" s="71"/>
      <c r="D1007" s="71"/>
      <c r="E1007" s="138"/>
      <c r="F1007" s="138"/>
      <c r="G1007" s="25"/>
      <c r="H1007" s="26"/>
    </row>
    <row r="1008" ht="22.5" customHeight="1">
      <c r="A1008" s="24"/>
      <c r="B1008" s="71"/>
      <c r="C1008" s="71"/>
      <c r="D1008" s="71"/>
      <c r="E1008" s="138"/>
      <c r="F1008" s="138"/>
      <c r="G1008" s="25"/>
      <c r="H1008" s="26"/>
    </row>
    <row r="1009" ht="22.5" customHeight="1">
      <c r="A1009" s="24"/>
      <c r="B1009" s="71"/>
      <c r="C1009" s="71"/>
      <c r="D1009" s="71"/>
      <c r="E1009" s="138"/>
      <c r="F1009" s="138"/>
      <c r="G1009" s="25"/>
      <c r="H1009" s="26"/>
    </row>
    <row r="1010" ht="22.5" customHeight="1">
      <c r="A1010" s="24"/>
      <c r="B1010" s="71"/>
      <c r="C1010" s="71"/>
      <c r="D1010" s="71"/>
      <c r="E1010" s="138"/>
      <c r="F1010" s="138"/>
      <c r="G1010" s="25"/>
      <c r="H1010" s="26"/>
    </row>
    <row r="1011" ht="22.5" customHeight="1">
      <c r="A1011" s="24"/>
      <c r="B1011" s="71"/>
      <c r="C1011" s="71"/>
      <c r="D1011" s="71"/>
      <c r="E1011" s="138"/>
      <c r="F1011" s="138"/>
      <c r="G1011" s="25"/>
      <c r="H1011" s="26"/>
    </row>
    <row r="1012" ht="22.5" customHeight="1">
      <c r="A1012" s="24"/>
      <c r="B1012" s="71"/>
      <c r="C1012" s="71"/>
      <c r="D1012" s="71"/>
      <c r="E1012" s="138"/>
      <c r="F1012" s="138"/>
      <c r="G1012" s="25"/>
      <c r="H1012" s="26"/>
    </row>
    <row r="1013" ht="22.5" customHeight="1">
      <c r="A1013" s="24"/>
      <c r="B1013" s="71"/>
      <c r="C1013" s="71"/>
      <c r="D1013" s="71"/>
      <c r="E1013" s="138"/>
      <c r="F1013" s="138"/>
      <c r="G1013" s="25"/>
      <c r="H1013" s="26"/>
    </row>
    <row r="1014" ht="22.5" customHeight="1">
      <c r="A1014" s="24"/>
      <c r="B1014" s="71"/>
      <c r="C1014" s="71"/>
      <c r="D1014" s="71"/>
      <c r="E1014" s="138"/>
      <c r="F1014" s="138"/>
      <c r="G1014" s="25"/>
      <c r="H1014" s="26"/>
    </row>
    <row r="1015" ht="22.5" customHeight="1">
      <c r="A1015" s="24"/>
      <c r="B1015" s="71"/>
      <c r="C1015" s="71"/>
      <c r="D1015" s="71"/>
      <c r="E1015" s="138"/>
      <c r="F1015" s="138"/>
      <c r="G1015" s="25"/>
      <c r="H1015" s="26"/>
    </row>
    <row r="1016" ht="22.5" customHeight="1">
      <c r="A1016" s="24"/>
      <c r="B1016" s="71"/>
      <c r="C1016" s="71"/>
      <c r="D1016" s="71"/>
      <c r="E1016" s="138"/>
      <c r="F1016" s="138"/>
      <c r="G1016" s="25"/>
      <c r="H1016" s="26"/>
    </row>
    <row r="1017" ht="22.5" customHeight="1">
      <c r="A1017" s="24"/>
      <c r="B1017" s="71"/>
      <c r="C1017" s="71"/>
      <c r="D1017" s="71"/>
      <c r="E1017" s="138"/>
      <c r="F1017" s="138"/>
      <c r="G1017" s="25"/>
      <c r="H1017" s="26"/>
    </row>
    <row r="1018" ht="22.5" customHeight="1">
      <c r="A1018" s="24"/>
      <c r="B1018" s="71"/>
      <c r="C1018" s="71"/>
      <c r="D1018" s="71"/>
      <c r="E1018" s="138"/>
      <c r="F1018" s="138"/>
      <c r="G1018" s="25"/>
      <c r="H1018" s="26"/>
    </row>
    <row r="1019" ht="22.5" customHeight="1">
      <c r="A1019" s="24"/>
      <c r="B1019" s="71"/>
      <c r="C1019" s="71"/>
      <c r="D1019" s="71"/>
      <c r="E1019" s="138"/>
      <c r="F1019" s="138"/>
      <c r="G1019" s="25"/>
      <c r="H1019" s="26"/>
    </row>
    <row r="1020" ht="22.5" customHeight="1">
      <c r="A1020" s="24"/>
      <c r="B1020" s="71"/>
      <c r="C1020" s="71"/>
      <c r="D1020" s="71"/>
      <c r="E1020" s="138"/>
      <c r="F1020" s="138"/>
      <c r="G1020" s="25"/>
      <c r="H1020" s="26"/>
    </row>
    <row r="1021" ht="22.5" customHeight="1">
      <c r="A1021" s="24"/>
      <c r="B1021" s="71"/>
      <c r="C1021" s="71"/>
      <c r="D1021" s="71"/>
      <c r="E1021" s="138"/>
      <c r="F1021" s="138"/>
      <c r="G1021" s="25"/>
      <c r="H1021" s="26"/>
    </row>
    <row r="1022" ht="22.5" customHeight="1">
      <c r="A1022" s="24"/>
      <c r="B1022" s="71"/>
      <c r="C1022" s="71"/>
      <c r="D1022" s="71"/>
      <c r="E1022" s="138"/>
      <c r="F1022" s="138"/>
      <c r="G1022" s="25"/>
      <c r="H1022" s="26"/>
    </row>
    <row r="1023" ht="22.5" customHeight="1">
      <c r="A1023" s="24"/>
      <c r="B1023" s="71"/>
      <c r="C1023" s="71"/>
      <c r="D1023" s="71"/>
      <c r="E1023" s="138"/>
      <c r="F1023" s="138"/>
      <c r="G1023" s="25"/>
      <c r="H1023" s="26"/>
    </row>
    <row r="1024" ht="22.5" customHeight="1">
      <c r="A1024" s="24"/>
      <c r="B1024" s="71"/>
      <c r="C1024" s="71"/>
      <c r="D1024" s="71"/>
      <c r="E1024" s="138"/>
      <c r="F1024" s="138"/>
      <c r="G1024" s="25"/>
      <c r="H1024" s="26"/>
    </row>
    <row r="1025" ht="22.5" customHeight="1">
      <c r="A1025" s="24"/>
      <c r="B1025" s="71"/>
      <c r="C1025" s="71"/>
      <c r="D1025" s="71"/>
      <c r="E1025" s="138"/>
      <c r="F1025" s="138"/>
      <c r="G1025" s="25"/>
      <c r="H1025" s="26"/>
    </row>
    <row r="1026" ht="22.5" customHeight="1">
      <c r="A1026" s="24"/>
      <c r="B1026" s="71"/>
      <c r="C1026" s="71"/>
      <c r="D1026" s="71"/>
      <c r="E1026" s="138"/>
      <c r="F1026" s="138"/>
      <c r="G1026" s="25"/>
      <c r="H1026" s="26"/>
    </row>
    <row r="1027" ht="22.5" customHeight="1">
      <c r="A1027" s="24"/>
      <c r="B1027" s="71"/>
      <c r="C1027" s="71"/>
      <c r="D1027" s="71"/>
      <c r="E1027" s="138"/>
      <c r="F1027" s="138"/>
      <c r="G1027" s="25"/>
      <c r="H1027" s="26"/>
    </row>
    <row r="1028" ht="22.5" customHeight="1">
      <c r="A1028" s="24"/>
      <c r="B1028" s="71"/>
      <c r="C1028" s="71"/>
      <c r="D1028" s="71"/>
      <c r="E1028" s="138"/>
      <c r="F1028" s="138"/>
      <c r="G1028" s="25"/>
      <c r="H1028" s="26"/>
    </row>
    <row r="1029" ht="22.5" customHeight="1">
      <c r="A1029" s="24"/>
      <c r="B1029" s="71"/>
      <c r="C1029" s="71"/>
      <c r="D1029" s="71"/>
      <c r="E1029" s="138"/>
      <c r="F1029" s="138"/>
      <c r="G1029" s="25"/>
      <c r="H1029" s="26"/>
    </row>
    <row r="1030" ht="22.5" customHeight="1">
      <c r="A1030" s="24"/>
      <c r="B1030" s="71"/>
      <c r="C1030" s="71"/>
      <c r="D1030" s="71"/>
      <c r="E1030" s="138"/>
      <c r="F1030" s="138"/>
      <c r="G1030" s="25"/>
      <c r="H1030" s="26"/>
    </row>
    <row r="1031" ht="22.5" customHeight="1">
      <c r="A1031" s="24"/>
      <c r="B1031" s="71"/>
      <c r="C1031" s="71"/>
      <c r="D1031" s="71"/>
      <c r="E1031" s="138"/>
      <c r="F1031" s="138"/>
      <c r="G1031" s="25"/>
      <c r="H1031" s="26"/>
    </row>
    <row r="1032" ht="22.5" customHeight="1">
      <c r="A1032" s="24"/>
      <c r="B1032" s="71"/>
      <c r="C1032" s="71"/>
      <c r="D1032" s="71"/>
      <c r="E1032" s="138"/>
      <c r="F1032" s="138"/>
      <c r="G1032" s="25"/>
      <c r="H1032" s="26"/>
    </row>
    <row r="1033" ht="22.5" customHeight="1">
      <c r="A1033" s="24"/>
      <c r="B1033" s="71"/>
      <c r="C1033" s="71"/>
      <c r="D1033" s="71"/>
      <c r="E1033" s="138"/>
      <c r="F1033" s="138"/>
      <c r="G1033" s="25"/>
      <c r="H1033" s="26"/>
    </row>
    <row r="1034" ht="22.5" customHeight="1">
      <c r="A1034" s="24"/>
      <c r="B1034" s="71"/>
      <c r="C1034" s="71"/>
      <c r="D1034" s="71"/>
      <c r="E1034" s="138"/>
      <c r="F1034" s="138"/>
      <c r="G1034" s="25"/>
      <c r="H1034" s="26"/>
    </row>
    <row r="1035" ht="22.5" customHeight="1">
      <c r="A1035" s="24"/>
      <c r="B1035" s="71"/>
      <c r="C1035" s="71"/>
      <c r="D1035" s="71"/>
      <c r="E1035" s="138"/>
      <c r="F1035" s="138"/>
      <c r="G1035" s="25"/>
      <c r="H1035" s="26"/>
    </row>
    <row r="1036" ht="22.5" customHeight="1">
      <c r="A1036" s="24"/>
      <c r="B1036" s="71"/>
      <c r="C1036" s="71"/>
      <c r="D1036" s="71"/>
      <c r="E1036" s="138"/>
      <c r="F1036" s="138"/>
      <c r="G1036" s="25"/>
      <c r="H1036" s="26"/>
    </row>
    <row r="1037" ht="22.5" customHeight="1">
      <c r="A1037" s="24"/>
      <c r="B1037" s="71"/>
      <c r="C1037" s="71"/>
      <c r="D1037" s="71"/>
      <c r="E1037" s="138"/>
      <c r="F1037" s="138"/>
      <c r="G1037" s="25"/>
      <c r="H1037" s="26"/>
    </row>
    <row r="1038" ht="22.5" customHeight="1">
      <c r="A1038" s="24"/>
      <c r="B1038" s="71"/>
      <c r="C1038" s="71"/>
      <c r="D1038" s="71"/>
      <c r="E1038" s="138"/>
      <c r="F1038" s="138"/>
      <c r="G1038" s="25"/>
      <c r="H1038" s="26"/>
    </row>
    <row r="1039" ht="22.5" customHeight="1">
      <c r="A1039" s="24"/>
      <c r="B1039" s="71"/>
      <c r="C1039" s="71"/>
      <c r="D1039" s="71"/>
      <c r="E1039" s="138"/>
      <c r="F1039" s="138"/>
      <c r="G1039" s="25"/>
      <c r="H1039" s="26"/>
    </row>
    <row r="1040" ht="22.5" customHeight="1">
      <c r="A1040" s="24"/>
      <c r="B1040" s="71"/>
      <c r="C1040" s="71"/>
      <c r="D1040" s="71"/>
      <c r="E1040" s="138"/>
      <c r="F1040" s="138"/>
      <c r="G1040" s="25"/>
      <c r="H1040" s="26"/>
    </row>
    <row r="1041" ht="22.5" customHeight="1">
      <c r="A1041" s="24"/>
      <c r="B1041" s="71"/>
      <c r="C1041" s="71"/>
      <c r="D1041" s="71"/>
      <c r="E1041" s="138"/>
      <c r="F1041" s="138"/>
      <c r="G1041" s="25"/>
      <c r="H1041" s="26"/>
    </row>
    <row r="1042" ht="22.5" customHeight="1">
      <c r="A1042" s="24"/>
      <c r="B1042" s="71"/>
      <c r="C1042" s="71"/>
      <c r="D1042" s="71"/>
      <c r="E1042" s="138"/>
      <c r="F1042" s="138"/>
      <c r="G1042" s="25"/>
      <c r="H1042" s="26"/>
    </row>
    <row r="1043" ht="22.5" customHeight="1">
      <c r="A1043" s="24"/>
      <c r="B1043" s="71"/>
      <c r="C1043" s="71"/>
      <c r="D1043" s="71"/>
      <c r="E1043" s="138"/>
      <c r="F1043" s="138"/>
      <c r="G1043" s="25"/>
      <c r="H1043" s="26"/>
    </row>
    <row r="1044" ht="22.5" customHeight="1">
      <c r="A1044" s="24"/>
      <c r="B1044" s="71"/>
      <c r="C1044" s="71"/>
      <c r="D1044" s="71"/>
      <c r="E1044" s="138"/>
      <c r="F1044" s="138"/>
      <c r="G1044" s="25"/>
      <c r="H1044" s="26"/>
    </row>
    <row r="1045" ht="22.5" customHeight="1">
      <c r="A1045" s="24"/>
      <c r="B1045" s="71"/>
      <c r="C1045" s="71"/>
      <c r="D1045" s="71"/>
      <c r="E1045" s="138"/>
      <c r="F1045" s="138"/>
      <c r="G1045" s="25"/>
      <c r="H1045" s="26"/>
    </row>
    <row r="1046" ht="22.5" customHeight="1">
      <c r="A1046" s="24"/>
      <c r="B1046" s="71"/>
      <c r="C1046" s="71"/>
      <c r="D1046" s="71"/>
      <c r="E1046" s="138"/>
      <c r="F1046" s="138"/>
      <c r="G1046" s="25"/>
      <c r="H1046" s="26"/>
    </row>
    <row r="1047" ht="22.5" customHeight="1">
      <c r="A1047" s="24"/>
      <c r="B1047" s="71"/>
      <c r="C1047" s="71"/>
      <c r="D1047" s="71"/>
      <c r="E1047" s="138"/>
      <c r="F1047" s="138"/>
      <c r="G1047" s="25"/>
      <c r="H1047" s="26"/>
    </row>
    <row r="1048" ht="22.5" customHeight="1">
      <c r="A1048" s="24"/>
      <c r="B1048" s="71"/>
      <c r="C1048" s="71"/>
      <c r="D1048" s="71"/>
      <c r="E1048" s="138"/>
      <c r="F1048" s="138"/>
      <c r="G1048" s="25"/>
      <c r="H1048" s="26"/>
    </row>
    <row r="1049" ht="22.5" customHeight="1">
      <c r="A1049" s="24"/>
      <c r="B1049" s="71"/>
      <c r="C1049" s="71"/>
      <c r="D1049" s="71"/>
      <c r="E1049" s="138"/>
      <c r="F1049" s="138"/>
      <c r="G1049" s="25"/>
      <c r="H1049" s="26"/>
    </row>
    <row r="1050" ht="22.5" customHeight="1">
      <c r="A1050" s="24"/>
      <c r="B1050" s="71"/>
      <c r="C1050" s="71"/>
      <c r="D1050" s="71"/>
      <c r="E1050" s="138"/>
      <c r="F1050" s="138"/>
      <c r="G1050" s="25"/>
      <c r="H1050" s="26"/>
    </row>
    <row r="1051" ht="22.5" customHeight="1">
      <c r="A1051" s="24"/>
      <c r="B1051" s="71"/>
      <c r="C1051" s="71"/>
      <c r="D1051" s="71"/>
      <c r="E1051" s="138"/>
      <c r="F1051" s="138"/>
      <c r="G1051" s="25"/>
      <c r="H1051" s="26"/>
    </row>
    <row r="1052" ht="22.5" customHeight="1">
      <c r="A1052" s="24"/>
      <c r="B1052" s="71"/>
      <c r="C1052" s="71"/>
      <c r="D1052" s="71"/>
      <c r="E1052" s="138"/>
      <c r="F1052" s="138"/>
      <c r="G1052" s="25"/>
      <c r="H1052" s="26"/>
    </row>
    <row r="1053" ht="22.5" customHeight="1">
      <c r="A1053" s="24"/>
      <c r="B1053" s="71"/>
      <c r="C1053" s="71"/>
      <c r="D1053" s="71"/>
      <c r="E1053" s="138"/>
      <c r="F1053" s="138"/>
      <c r="G1053" s="25"/>
      <c r="H1053" s="26"/>
    </row>
    <row r="1054" ht="22.5" customHeight="1">
      <c r="A1054" s="24"/>
      <c r="B1054" s="71"/>
      <c r="C1054" s="71"/>
      <c r="D1054" s="71"/>
      <c r="E1054" s="138"/>
      <c r="F1054" s="138"/>
      <c r="G1054" s="25"/>
      <c r="H1054" s="26"/>
    </row>
    <row r="1055" ht="22.5" customHeight="1">
      <c r="A1055" s="24"/>
      <c r="B1055" s="71"/>
      <c r="C1055" s="71"/>
      <c r="D1055" s="71"/>
      <c r="E1055" s="138"/>
      <c r="F1055" s="138"/>
      <c r="G1055" s="25"/>
      <c r="H1055" s="26"/>
    </row>
    <row r="1056" ht="22.5" customHeight="1">
      <c r="A1056" s="24"/>
      <c r="B1056" s="71"/>
      <c r="C1056" s="71"/>
      <c r="D1056" s="71"/>
      <c r="E1056" s="138"/>
      <c r="F1056" s="138"/>
      <c r="G1056" s="25"/>
      <c r="H1056" s="26"/>
    </row>
    <row r="1057" ht="22.5" customHeight="1">
      <c r="A1057" s="24"/>
      <c r="B1057" s="71"/>
      <c r="C1057" s="71"/>
      <c r="D1057" s="71"/>
      <c r="E1057" s="138"/>
      <c r="F1057" s="138"/>
      <c r="G1057" s="25"/>
      <c r="H1057" s="26"/>
    </row>
    <row r="1058" ht="22.5" customHeight="1">
      <c r="A1058" s="24"/>
      <c r="B1058" s="71"/>
      <c r="C1058" s="71"/>
      <c r="D1058" s="71"/>
      <c r="E1058" s="138"/>
      <c r="F1058" s="138"/>
      <c r="G1058" s="25"/>
      <c r="H1058" s="26"/>
    </row>
    <row r="1059" ht="22.5" customHeight="1">
      <c r="A1059" s="24"/>
      <c r="B1059" s="71"/>
      <c r="C1059" s="71"/>
      <c r="D1059" s="71"/>
      <c r="E1059" s="138"/>
      <c r="F1059" s="138"/>
      <c r="G1059" s="25"/>
      <c r="H1059" s="26"/>
    </row>
    <row r="1060" ht="22.5" customHeight="1">
      <c r="A1060" s="24"/>
      <c r="B1060" s="71"/>
      <c r="C1060" s="71"/>
      <c r="D1060" s="71"/>
      <c r="E1060" s="138"/>
      <c r="F1060" s="138"/>
      <c r="G1060" s="25"/>
      <c r="H1060" s="26"/>
    </row>
    <row r="1061" ht="22.5" customHeight="1">
      <c r="A1061" s="24"/>
      <c r="B1061" s="71"/>
      <c r="C1061" s="71"/>
      <c r="D1061" s="71"/>
      <c r="E1061" s="138"/>
      <c r="F1061" s="138"/>
      <c r="G1061" s="25"/>
      <c r="H1061" s="26"/>
    </row>
    <row r="1062" ht="22.5" customHeight="1">
      <c r="A1062" s="24"/>
      <c r="B1062" s="71"/>
      <c r="C1062" s="71"/>
      <c r="D1062" s="71"/>
      <c r="E1062" s="138"/>
      <c r="F1062" s="138"/>
      <c r="G1062" s="25"/>
      <c r="H1062" s="26"/>
    </row>
    <row r="1063" ht="22.5" customHeight="1">
      <c r="A1063" s="24"/>
      <c r="B1063" s="71"/>
      <c r="C1063" s="71"/>
      <c r="D1063" s="71"/>
      <c r="E1063" s="138"/>
      <c r="F1063" s="138"/>
      <c r="G1063" s="25"/>
      <c r="H1063" s="26"/>
    </row>
    <row r="1064" ht="22.5" customHeight="1">
      <c r="A1064" s="24"/>
      <c r="B1064" s="71"/>
      <c r="C1064" s="71"/>
      <c r="D1064" s="71"/>
      <c r="E1064" s="138"/>
      <c r="F1064" s="138"/>
      <c r="G1064" s="25"/>
      <c r="H1064" s="26"/>
    </row>
    <row r="1065" ht="22.5" customHeight="1">
      <c r="A1065" s="24"/>
      <c r="B1065" s="71"/>
      <c r="C1065" s="71"/>
      <c r="D1065" s="71"/>
      <c r="E1065" s="138"/>
      <c r="F1065" s="138"/>
      <c r="G1065" s="25"/>
      <c r="H1065" s="26"/>
    </row>
    <row r="1066" ht="22.5" customHeight="1">
      <c r="A1066" s="24"/>
      <c r="B1066" s="71"/>
      <c r="C1066" s="71"/>
      <c r="D1066" s="71"/>
      <c r="E1066" s="138"/>
      <c r="F1066" s="138"/>
      <c r="G1066" s="25"/>
      <c r="H1066" s="26"/>
    </row>
    <row r="1067" ht="22.5" customHeight="1">
      <c r="A1067" s="24"/>
      <c r="B1067" s="71"/>
      <c r="C1067" s="71"/>
      <c r="D1067" s="71"/>
      <c r="E1067" s="138"/>
      <c r="F1067" s="138"/>
      <c r="G1067" s="25"/>
      <c r="H1067" s="26"/>
    </row>
    <row r="1068" ht="22.5" customHeight="1">
      <c r="A1068" s="24"/>
      <c r="B1068" s="71"/>
      <c r="C1068" s="71"/>
      <c r="D1068" s="71"/>
      <c r="E1068" s="138"/>
      <c r="F1068" s="138"/>
      <c r="G1068" s="25"/>
      <c r="H1068" s="26"/>
    </row>
    <row r="1069" ht="22.5" customHeight="1">
      <c r="A1069" s="24"/>
      <c r="B1069" s="71"/>
      <c r="C1069" s="71"/>
      <c r="D1069" s="71"/>
      <c r="E1069" s="138"/>
      <c r="F1069" s="138"/>
      <c r="G1069" s="25"/>
      <c r="H1069" s="26"/>
    </row>
    <row r="1070" ht="22.5" customHeight="1">
      <c r="A1070" s="24"/>
      <c r="B1070" s="71"/>
      <c r="C1070" s="71"/>
      <c r="D1070" s="71"/>
      <c r="E1070" s="138"/>
      <c r="F1070" s="138"/>
      <c r="G1070" s="25"/>
      <c r="H1070" s="26"/>
    </row>
    <row r="1071" ht="22.5" customHeight="1">
      <c r="A1071" s="24"/>
      <c r="B1071" s="71"/>
      <c r="C1071" s="71"/>
      <c r="D1071" s="71"/>
      <c r="E1071" s="138"/>
      <c r="F1071" s="138"/>
      <c r="G1071" s="25"/>
      <c r="H1071" s="26"/>
    </row>
    <row r="1072" ht="22.5" customHeight="1">
      <c r="A1072" s="24"/>
      <c r="B1072" s="71"/>
      <c r="C1072" s="71"/>
      <c r="D1072" s="71"/>
      <c r="E1072" s="138"/>
      <c r="F1072" s="138"/>
      <c r="G1072" s="25"/>
      <c r="H1072" s="26"/>
    </row>
    <row r="1073" ht="22.5" customHeight="1">
      <c r="A1073" s="24"/>
      <c r="B1073" s="71"/>
      <c r="C1073" s="71"/>
      <c r="D1073" s="71"/>
      <c r="E1073" s="138"/>
      <c r="F1073" s="138"/>
      <c r="G1073" s="25"/>
      <c r="H1073" s="26"/>
    </row>
    <row r="1074" ht="22.5" customHeight="1">
      <c r="A1074" s="24"/>
      <c r="B1074" s="71"/>
      <c r="C1074" s="71"/>
      <c r="D1074" s="71"/>
      <c r="E1074" s="138"/>
      <c r="F1074" s="138"/>
      <c r="G1074" s="25"/>
      <c r="H1074" s="26"/>
    </row>
    <row r="1075" ht="22.5" customHeight="1">
      <c r="A1075" s="24"/>
      <c r="B1075" s="71"/>
      <c r="C1075" s="71"/>
      <c r="D1075" s="71"/>
      <c r="E1075" s="138"/>
      <c r="F1075" s="138"/>
      <c r="G1075" s="25"/>
      <c r="H1075" s="26"/>
    </row>
    <row r="1076" ht="22.5" customHeight="1">
      <c r="A1076" s="24"/>
      <c r="B1076" s="71"/>
      <c r="C1076" s="71"/>
      <c r="D1076" s="71"/>
      <c r="E1076" s="138"/>
      <c r="F1076" s="138"/>
      <c r="G1076" s="25"/>
      <c r="H1076" s="26"/>
    </row>
    <row r="1077" ht="22.5" customHeight="1">
      <c r="A1077" s="24"/>
      <c r="B1077" s="71"/>
      <c r="C1077" s="71"/>
      <c r="D1077" s="71"/>
      <c r="E1077" s="138"/>
      <c r="F1077" s="138"/>
      <c r="G1077" s="25"/>
      <c r="H1077" s="26"/>
    </row>
    <row r="1078" ht="22.5" customHeight="1">
      <c r="A1078" s="24"/>
      <c r="B1078" s="71"/>
      <c r="C1078" s="71"/>
      <c r="D1078" s="71"/>
      <c r="E1078" s="138"/>
      <c r="F1078" s="138"/>
      <c r="G1078" s="25"/>
      <c r="H1078" s="26"/>
    </row>
    <row r="1079" ht="22.5" customHeight="1">
      <c r="A1079" s="24"/>
      <c r="B1079" s="71"/>
      <c r="C1079" s="71"/>
      <c r="D1079" s="71"/>
      <c r="E1079" s="138"/>
      <c r="F1079" s="138"/>
      <c r="G1079" s="25"/>
      <c r="H1079" s="26"/>
    </row>
    <row r="1080" ht="22.5" customHeight="1">
      <c r="A1080" s="24"/>
      <c r="B1080" s="71"/>
      <c r="C1080" s="71"/>
      <c r="D1080" s="71"/>
      <c r="E1080" s="138"/>
      <c r="F1080" s="138"/>
      <c r="G1080" s="25"/>
      <c r="H1080" s="26"/>
    </row>
    <row r="1081" ht="22.5" customHeight="1">
      <c r="A1081" s="24"/>
      <c r="B1081" s="71"/>
      <c r="C1081" s="71"/>
      <c r="D1081" s="71"/>
      <c r="E1081" s="138"/>
      <c r="F1081" s="138"/>
      <c r="G1081" s="25"/>
      <c r="H1081" s="26"/>
    </row>
    <row r="1082" ht="22.5" customHeight="1">
      <c r="A1082" s="24"/>
      <c r="B1082" s="71"/>
      <c r="C1082" s="71"/>
      <c r="D1082" s="71"/>
      <c r="E1082" s="138"/>
      <c r="F1082" s="138"/>
      <c r="G1082" s="25"/>
      <c r="H1082" s="26"/>
    </row>
    <row r="1083" ht="22.5" customHeight="1">
      <c r="A1083" s="24"/>
      <c r="B1083" s="71"/>
      <c r="C1083" s="71"/>
      <c r="D1083" s="71"/>
      <c r="E1083" s="138"/>
      <c r="F1083" s="138"/>
      <c r="G1083" s="25"/>
      <c r="H1083" s="26"/>
    </row>
    <row r="1084" ht="22.5" customHeight="1">
      <c r="A1084" s="24"/>
      <c r="B1084" s="71"/>
      <c r="C1084" s="71"/>
      <c r="D1084" s="71"/>
      <c r="E1084" s="138"/>
      <c r="F1084" s="138"/>
      <c r="G1084" s="25"/>
      <c r="H1084" s="26"/>
    </row>
    <row r="1085" ht="22.5" customHeight="1">
      <c r="A1085" s="24"/>
      <c r="B1085" s="71"/>
      <c r="C1085" s="71"/>
      <c r="D1085" s="71"/>
      <c r="E1085" s="138"/>
      <c r="F1085" s="138"/>
      <c r="G1085" s="25"/>
      <c r="H1085" s="26"/>
    </row>
    <row r="1086" ht="22.5" customHeight="1">
      <c r="A1086" s="24"/>
      <c r="B1086" s="71"/>
      <c r="C1086" s="71"/>
      <c r="D1086" s="71"/>
      <c r="E1086" s="138"/>
      <c r="F1086" s="138"/>
      <c r="G1086" s="25"/>
      <c r="H1086" s="26"/>
    </row>
    <row r="1087" ht="22.5" customHeight="1">
      <c r="A1087" s="24"/>
      <c r="B1087" s="71"/>
      <c r="C1087" s="71"/>
      <c r="D1087" s="71"/>
      <c r="E1087" s="138"/>
      <c r="F1087" s="138"/>
      <c r="G1087" s="25"/>
      <c r="H1087" s="26"/>
    </row>
    <row r="1088" ht="22.5" customHeight="1">
      <c r="A1088" s="24"/>
      <c r="B1088" s="71"/>
      <c r="C1088" s="71"/>
      <c r="D1088" s="71"/>
      <c r="E1088" s="138"/>
      <c r="F1088" s="138"/>
      <c r="G1088" s="25"/>
      <c r="H1088" s="26"/>
    </row>
    <row r="1089" ht="22.5" customHeight="1">
      <c r="A1089" s="24"/>
      <c r="B1089" s="71"/>
      <c r="C1089" s="71"/>
      <c r="D1089" s="71"/>
      <c r="E1089" s="138"/>
      <c r="F1089" s="138"/>
      <c r="G1089" s="25"/>
      <c r="H1089" s="26"/>
    </row>
    <row r="1090" ht="22.5" customHeight="1">
      <c r="A1090" s="24"/>
      <c r="B1090" s="71"/>
      <c r="C1090" s="71"/>
      <c r="D1090" s="71"/>
      <c r="E1090" s="138"/>
      <c r="F1090" s="138"/>
      <c r="G1090" s="25"/>
      <c r="H1090" s="26"/>
    </row>
    <row r="1091" ht="22.5" customHeight="1">
      <c r="A1091" s="24"/>
      <c r="B1091" s="71"/>
      <c r="C1091" s="71"/>
      <c r="D1091" s="71"/>
      <c r="E1091" s="138"/>
      <c r="F1091" s="138"/>
      <c r="G1091" s="25"/>
      <c r="H1091" s="26"/>
    </row>
    <row r="1092" ht="22.5" customHeight="1">
      <c r="A1092" s="24"/>
      <c r="B1092" s="71"/>
      <c r="C1092" s="71"/>
      <c r="D1092" s="71"/>
      <c r="E1092" s="138"/>
      <c r="F1092" s="138"/>
      <c r="G1092" s="25"/>
      <c r="H1092" s="26"/>
    </row>
    <row r="1093" ht="22.5" customHeight="1">
      <c r="A1093" s="24"/>
      <c r="B1093" s="71"/>
      <c r="C1093" s="71"/>
      <c r="D1093" s="71"/>
      <c r="E1093" s="138"/>
      <c r="F1093" s="138"/>
      <c r="G1093" s="25"/>
      <c r="H1093" s="26"/>
    </row>
    <row r="1094" ht="22.5" customHeight="1">
      <c r="A1094" s="24"/>
      <c r="B1094" s="71"/>
      <c r="C1094" s="71"/>
      <c r="D1094" s="71"/>
      <c r="E1094" s="138"/>
      <c r="F1094" s="138"/>
      <c r="G1094" s="25"/>
      <c r="H1094" s="26"/>
    </row>
    <row r="1095" ht="22.5" customHeight="1">
      <c r="A1095" s="24"/>
      <c r="B1095" s="71"/>
      <c r="C1095" s="71"/>
      <c r="D1095" s="71"/>
      <c r="E1095" s="138"/>
      <c r="F1095" s="138"/>
      <c r="G1095" s="25"/>
      <c r="H1095" s="26"/>
    </row>
    <row r="1096" ht="22.5" customHeight="1">
      <c r="A1096" s="24"/>
      <c r="B1096" s="71"/>
      <c r="C1096" s="71"/>
      <c r="D1096" s="71"/>
      <c r="E1096" s="138"/>
      <c r="F1096" s="138"/>
      <c r="G1096" s="25"/>
      <c r="H1096" s="26"/>
    </row>
    <row r="1097" ht="22.5" customHeight="1">
      <c r="A1097" s="24"/>
      <c r="B1097" s="71"/>
      <c r="C1097" s="71"/>
      <c r="D1097" s="71"/>
      <c r="E1097" s="138"/>
      <c r="F1097" s="138"/>
      <c r="G1097" s="25"/>
      <c r="H1097" s="26"/>
    </row>
    <row r="1098" ht="22.5" customHeight="1">
      <c r="A1098" s="24"/>
      <c r="B1098" s="71"/>
      <c r="C1098" s="71"/>
      <c r="D1098" s="71"/>
      <c r="E1098" s="138"/>
      <c r="F1098" s="138"/>
      <c r="G1098" s="25"/>
      <c r="H1098" s="26"/>
    </row>
    <row r="1099" ht="22.5" customHeight="1">
      <c r="A1099" s="24"/>
      <c r="B1099" s="71"/>
      <c r="C1099" s="71"/>
      <c r="D1099" s="71"/>
      <c r="E1099" s="138"/>
      <c r="F1099" s="138"/>
      <c r="G1099" s="25"/>
      <c r="H1099" s="26"/>
    </row>
    <row r="1100" ht="22.5" customHeight="1">
      <c r="A1100" s="24"/>
      <c r="B1100" s="71"/>
      <c r="C1100" s="71"/>
      <c r="D1100" s="71"/>
      <c r="E1100" s="138"/>
      <c r="F1100" s="138"/>
      <c r="G1100" s="25"/>
      <c r="H1100" s="26"/>
    </row>
    <row r="1101" ht="22.5" customHeight="1">
      <c r="A1101" s="24"/>
      <c r="B1101" s="71"/>
      <c r="C1101" s="71"/>
      <c r="D1101" s="71"/>
      <c r="E1101" s="138"/>
      <c r="F1101" s="138"/>
      <c r="G1101" s="25"/>
      <c r="H1101" s="26"/>
    </row>
    <row r="1102" ht="22.5" customHeight="1">
      <c r="A1102" s="24"/>
      <c r="B1102" s="71"/>
      <c r="C1102" s="71"/>
      <c r="D1102" s="71"/>
      <c r="E1102" s="138"/>
      <c r="F1102" s="138"/>
      <c r="G1102" s="25"/>
      <c r="H1102" s="26"/>
    </row>
    <row r="1103" ht="22.5" customHeight="1">
      <c r="A1103" s="24"/>
      <c r="B1103" s="71"/>
      <c r="C1103" s="71"/>
      <c r="D1103" s="71"/>
      <c r="E1103" s="138"/>
      <c r="F1103" s="138"/>
      <c r="G1103" s="25"/>
      <c r="H1103" s="26"/>
    </row>
    <row r="1104" ht="22.5" customHeight="1">
      <c r="A1104" s="24"/>
      <c r="B1104" s="71"/>
      <c r="C1104" s="71"/>
      <c r="D1104" s="71"/>
      <c r="E1104" s="138"/>
      <c r="F1104" s="138"/>
      <c r="G1104" s="25"/>
      <c r="H1104" s="26"/>
    </row>
    <row r="1105" ht="22.5" customHeight="1">
      <c r="A1105" s="24"/>
      <c r="B1105" s="71"/>
      <c r="C1105" s="71"/>
      <c r="D1105" s="71"/>
      <c r="E1105" s="138"/>
      <c r="F1105" s="138"/>
      <c r="G1105" s="25"/>
      <c r="H1105" s="26"/>
    </row>
    <row r="1106" ht="22.5" customHeight="1">
      <c r="A1106" s="24"/>
      <c r="B1106" s="71"/>
      <c r="C1106" s="71"/>
      <c r="D1106" s="71"/>
      <c r="E1106" s="138"/>
      <c r="F1106" s="138"/>
      <c r="G1106" s="25"/>
      <c r="H1106" s="26"/>
    </row>
    <row r="1107" ht="22.5" customHeight="1">
      <c r="A1107" s="24"/>
      <c r="B1107" s="71"/>
      <c r="C1107" s="71"/>
      <c r="D1107" s="71"/>
      <c r="E1107" s="138"/>
      <c r="F1107" s="138"/>
      <c r="G1107" s="25"/>
      <c r="H1107" s="26"/>
    </row>
    <row r="1108" ht="22.5" customHeight="1">
      <c r="A1108" s="24"/>
      <c r="B1108" s="71"/>
      <c r="C1108" s="71"/>
      <c r="D1108" s="71"/>
      <c r="E1108" s="138"/>
      <c r="F1108" s="138"/>
      <c r="G1108" s="25"/>
      <c r="H1108" s="26"/>
    </row>
    <row r="1109" ht="22.5" customHeight="1">
      <c r="A1109" s="24"/>
      <c r="B1109" s="71"/>
      <c r="C1109" s="71"/>
      <c r="D1109" s="71"/>
      <c r="E1109" s="138"/>
      <c r="F1109" s="138"/>
      <c r="G1109" s="25"/>
      <c r="H1109" s="26"/>
    </row>
    <row r="1110" ht="22.5" customHeight="1">
      <c r="A1110" s="24"/>
      <c r="B1110" s="71"/>
      <c r="C1110" s="71"/>
      <c r="D1110" s="71"/>
      <c r="E1110" s="138"/>
      <c r="F1110" s="138"/>
      <c r="G1110" s="25"/>
      <c r="H1110" s="26"/>
    </row>
    <row r="1111" ht="22.5" customHeight="1">
      <c r="A1111" s="24"/>
      <c r="B1111" s="71"/>
      <c r="C1111" s="71"/>
      <c r="D1111" s="71"/>
      <c r="E1111" s="138"/>
      <c r="F1111" s="138"/>
      <c r="G1111" s="25"/>
      <c r="H1111" s="26"/>
    </row>
    <row r="1112" ht="22.5" customHeight="1">
      <c r="A1112" s="24"/>
      <c r="B1112" s="71"/>
      <c r="C1112" s="71"/>
      <c r="D1112" s="71"/>
      <c r="E1112" s="138"/>
      <c r="F1112" s="138"/>
      <c r="G1112" s="25"/>
      <c r="H1112" s="26"/>
    </row>
    <row r="1113" ht="22.5" customHeight="1">
      <c r="A1113" s="24"/>
      <c r="B1113" s="71"/>
      <c r="C1113" s="71"/>
      <c r="D1113" s="71"/>
      <c r="E1113" s="138"/>
      <c r="F1113" s="138"/>
      <c r="G1113" s="25"/>
      <c r="H1113" s="26"/>
    </row>
    <row r="1114" ht="22.5" customHeight="1">
      <c r="A1114" s="24"/>
      <c r="B1114" s="71"/>
      <c r="C1114" s="71"/>
      <c r="D1114" s="71"/>
      <c r="E1114" s="138"/>
      <c r="F1114" s="138"/>
      <c r="G1114" s="25"/>
      <c r="H1114" s="26"/>
    </row>
    <row r="1115" ht="22.5" customHeight="1">
      <c r="A1115" s="24"/>
      <c r="B1115" s="71"/>
      <c r="C1115" s="71"/>
      <c r="D1115" s="71"/>
      <c r="E1115" s="138"/>
      <c r="F1115" s="138"/>
      <c r="G1115" s="25"/>
      <c r="H1115" s="26"/>
    </row>
    <row r="1116" ht="22.5" customHeight="1">
      <c r="A1116" s="24"/>
      <c r="B1116" s="71"/>
      <c r="C1116" s="71"/>
      <c r="D1116" s="71"/>
      <c r="E1116" s="138"/>
      <c r="F1116" s="138"/>
      <c r="G1116" s="25"/>
      <c r="H1116" s="26"/>
    </row>
    <row r="1117" ht="22.5" customHeight="1">
      <c r="A1117" s="24"/>
      <c r="B1117" s="71"/>
      <c r="C1117" s="71"/>
      <c r="D1117" s="71"/>
      <c r="E1117" s="138"/>
      <c r="F1117" s="138"/>
      <c r="G1117" s="25"/>
      <c r="H1117" s="26"/>
    </row>
    <row r="1118" ht="22.5" customHeight="1">
      <c r="A1118" s="24"/>
      <c r="B1118" s="71"/>
      <c r="C1118" s="71"/>
      <c r="D1118" s="71"/>
      <c r="E1118" s="138"/>
      <c r="F1118" s="138"/>
      <c r="G1118" s="25"/>
      <c r="H1118" s="26"/>
    </row>
    <row r="1119" ht="22.5" customHeight="1">
      <c r="A1119" s="24"/>
      <c r="B1119" s="71"/>
      <c r="C1119" s="71"/>
      <c r="D1119" s="71"/>
      <c r="E1119" s="138"/>
      <c r="F1119" s="138"/>
      <c r="G1119" s="25"/>
      <c r="H1119" s="26"/>
    </row>
    <row r="1120" ht="22.5" customHeight="1">
      <c r="A1120" s="24"/>
      <c r="B1120" s="71"/>
      <c r="C1120" s="71"/>
      <c r="D1120" s="71"/>
      <c r="E1120" s="138"/>
      <c r="F1120" s="138"/>
      <c r="G1120" s="25"/>
      <c r="H1120" s="26"/>
    </row>
    <row r="1121" ht="22.5" customHeight="1">
      <c r="A1121" s="24"/>
      <c r="B1121" s="71"/>
      <c r="C1121" s="71"/>
      <c r="D1121" s="71"/>
      <c r="E1121" s="138"/>
      <c r="F1121" s="138"/>
      <c r="G1121" s="25"/>
      <c r="H1121" s="26"/>
    </row>
    <row r="1122" ht="22.5" customHeight="1">
      <c r="A1122" s="24"/>
      <c r="B1122" s="71"/>
      <c r="C1122" s="71"/>
      <c r="D1122" s="71"/>
      <c r="E1122" s="138"/>
      <c r="F1122" s="138"/>
      <c r="G1122" s="25"/>
      <c r="H1122" s="26"/>
    </row>
    <row r="1123" ht="22.5" customHeight="1">
      <c r="A1123" s="24"/>
      <c r="B1123" s="71"/>
      <c r="C1123" s="71"/>
      <c r="D1123" s="71"/>
      <c r="E1123" s="138"/>
      <c r="F1123" s="138"/>
      <c r="G1123" s="25"/>
      <c r="H1123" s="26"/>
    </row>
    <row r="1124" ht="22.5" customHeight="1">
      <c r="A1124" s="24"/>
      <c r="B1124" s="71"/>
      <c r="C1124" s="71"/>
      <c r="D1124" s="71"/>
      <c r="E1124" s="138"/>
      <c r="F1124" s="138"/>
      <c r="G1124" s="25"/>
      <c r="H1124" s="26"/>
    </row>
    <row r="1125" ht="22.5" customHeight="1">
      <c r="A1125" s="24"/>
      <c r="B1125" s="71"/>
      <c r="C1125" s="71"/>
      <c r="D1125" s="71"/>
      <c r="E1125" s="138"/>
      <c r="F1125" s="138"/>
      <c r="G1125" s="25"/>
      <c r="H1125" s="26"/>
    </row>
    <row r="1126" ht="22.5" customHeight="1">
      <c r="A1126" s="24"/>
      <c r="B1126" s="71"/>
      <c r="C1126" s="71"/>
      <c r="D1126" s="71"/>
      <c r="E1126" s="138"/>
      <c r="F1126" s="138"/>
      <c r="G1126" s="25"/>
      <c r="H1126" s="26"/>
    </row>
  </sheetData>
  <dataValidations>
    <dataValidation type="custom" allowBlank="1" showDropDown="1" sqref="A2:A1126">
      <formula1>OR(NOT(ISERROR(DATEVALUE(A2))), AND(ISNUMBER(A2), LEFT(CELL("format", A2))="D"))</formula1>
    </dataValidation>
    <dataValidation allowBlank="1" showDropDown="1" sqref="H2:H1126"/>
  </dataValidations>
  <hyperlinks>
    <hyperlink r:id="rId1" ref="G75"/>
    <hyperlink r:id="rId2" ref="G76"/>
    <hyperlink r:id="rId3" ref="G77"/>
    <hyperlink r:id="rId4" ref="G78"/>
    <hyperlink r:id="rId5" ref="G79"/>
    <hyperlink r:id="rId6" ref="G80"/>
    <hyperlink r:id="rId7" ref="G81"/>
    <hyperlink r:id="rId8" ref="G82"/>
    <hyperlink r:id="rId9" ref="G83"/>
    <hyperlink r:id="rId10" ref="G84"/>
  </hyperlinks>
  <drawing r:id="rId11"/>
  <tableParts count="1">
    <tablePart r:id="rId1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1.38"/>
    <col customWidth="1" min="3" max="3" width="11.88"/>
    <col customWidth="1" min="4" max="4" width="47.13"/>
    <col customWidth="1" min="5" max="5" width="20.13"/>
    <col customWidth="1" min="6" max="6" width="43.75"/>
    <col customWidth="1" min="7" max="7" width="35.0"/>
  </cols>
  <sheetData>
    <row r="1" ht="66.0" customHeight="1">
      <c r="A1" s="3" t="s">
        <v>1433</v>
      </c>
      <c r="B1" s="27" t="s">
        <v>1571</v>
      </c>
      <c r="C1" s="3" t="s">
        <v>584</v>
      </c>
      <c r="D1" s="27" t="s">
        <v>32</v>
      </c>
      <c r="E1" s="27" t="s">
        <v>33</v>
      </c>
      <c r="F1" s="27" t="s">
        <v>34</v>
      </c>
      <c r="G1" s="3" t="s">
        <v>8</v>
      </c>
    </row>
    <row r="2" ht="35.25" customHeight="1">
      <c r="A2" s="5">
        <v>45856.0</v>
      </c>
      <c r="B2" s="28">
        <v>8.0</v>
      </c>
      <c r="C2" s="6"/>
      <c r="D2" s="68" t="s">
        <v>1572</v>
      </c>
      <c r="E2" s="6" t="s">
        <v>1573</v>
      </c>
      <c r="F2" s="230" t="s">
        <v>1574</v>
      </c>
      <c r="G2" s="31"/>
    </row>
    <row r="3" ht="35.25" customHeight="1">
      <c r="A3" s="5">
        <v>45859.0</v>
      </c>
      <c r="B3" s="28">
        <v>8.0</v>
      </c>
      <c r="C3" s="6"/>
      <c r="D3" s="29" t="s">
        <v>1575</v>
      </c>
      <c r="E3" s="8" t="s">
        <v>1576</v>
      </c>
      <c r="F3" s="231" t="s">
        <v>1577</v>
      </c>
      <c r="G3" s="31"/>
    </row>
    <row r="4" ht="35.25" customHeight="1">
      <c r="A4" s="5">
        <v>45860.0</v>
      </c>
      <c r="B4" s="28">
        <v>8.0</v>
      </c>
      <c r="C4" s="6"/>
      <c r="D4" s="29" t="s">
        <v>1575</v>
      </c>
      <c r="E4" s="8" t="s">
        <v>1578</v>
      </c>
      <c r="F4" s="231" t="s">
        <v>1579</v>
      </c>
      <c r="G4" s="31"/>
    </row>
    <row r="5" ht="35.25" customHeight="1">
      <c r="A5" s="5">
        <v>45861.0</v>
      </c>
      <c r="B5" s="28">
        <v>8.0</v>
      </c>
      <c r="C5" s="6"/>
      <c r="D5" s="29" t="s">
        <v>1580</v>
      </c>
      <c r="E5" s="8" t="s">
        <v>1576</v>
      </c>
      <c r="F5" s="231" t="s">
        <v>1581</v>
      </c>
      <c r="G5" s="31"/>
    </row>
    <row r="6" ht="35.25" customHeight="1">
      <c r="A6" s="5">
        <v>45862.0</v>
      </c>
      <c r="B6" s="33">
        <v>8.0</v>
      </c>
      <c r="C6" s="6"/>
      <c r="D6" s="29" t="s">
        <v>1580</v>
      </c>
      <c r="E6" s="8" t="s">
        <v>1576</v>
      </c>
      <c r="F6" s="231" t="s">
        <v>1582</v>
      </c>
      <c r="G6" s="36"/>
    </row>
    <row r="7" ht="35.25" customHeight="1">
      <c r="A7" s="5">
        <v>45863.0</v>
      </c>
      <c r="B7" s="33">
        <v>8.0</v>
      </c>
      <c r="C7" s="6"/>
      <c r="D7" s="29" t="s">
        <v>1580</v>
      </c>
      <c r="E7" s="12" t="s">
        <v>1583</v>
      </c>
      <c r="F7" s="231" t="s">
        <v>1584</v>
      </c>
      <c r="G7" s="36"/>
    </row>
    <row r="8" ht="35.25" customHeight="1">
      <c r="A8" s="5">
        <v>45866.0</v>
      </c>
      <c r="B8" s="33">
        <v>8.0</v>
      </c>
      <c r="C8" s="6"/>
      <c r="D8" s="72" t="s">
        <v>1585</v>
      </c>
      <c r="E8" s="12" t="s">
        <v>1576</v>
      </c>
      <c r="F8" s="231" t="s">
        <v>1586</v>
      </c>
      <c r="G8" s="37" t="s">
        <v>1587</v>
      </c>
    </row>
    <row r="9" ht="38.25" customHeight="1">
      <c r="A9" s="5">
        <v>45867.0</v>
      </c>
      <c r="B9" s="33">
        <v>8.0</v>
      </c>
      <c r="C9" s="6"/>
      <c r="D9" s="72" t="s">
        <v>1588</v>
      </c>
      <c r="E9" s="12" t="s">
        <v>1589</v>
      </c>
      <c r="F9" s="231" t="s">
        <v>1590</v>
      </c>
      <c r="G9" s="37" t="s">
        <v>1591</v>
      </c>
    </row>
    <row r="10" ht="47.25" customHeight="1">
      <c r="A10" s="5">
        <v>45868.0</v>
      </c>
      <c r="B10" s="33">
        <v>8.0</v>
      </c>
      <c r="C10" s="6"/>
      <c r="D10" s="49" t="s">
        <v>1592</v>
      </c>
      <c r="E10" s="12" t="s">
        <v>1593</v>
      </c>
      <c r="F10" s="231" t="s">
        <v>1594</v>
      </c>
      <c r="G10" s="36"/>
    </row>
    <row r="11" ht="35.25" customHeight="1">
      <c r="A11" s="5">
        <v>45869.0</v>
      </c>
      <c r="B11" s="33">
        <v>8.0</v>
      </c>
      <c r="C11" s="12"/>
      <c r="D11" s="49" t="s">
        <v>1595</v>
      </c>
      <c r="E11" s="12" t="s">
        <v>1596</v>
      </c>
      <c r="F11" s="231" t="s">
        <v>1597</v>
      </c>
      <c r="G11" s="29" t="s">
        <v>1598</v>
      </c>
    </row>
    <row r="12" ht="35.25" customHeight="1">
      <c r="A12" s="5">
        <v>45870.0</v>
      </c>
      <c r="B12" s="33">
        <v>8.0</v>
      </c>
      <c r="C12" s="12"/>
      <c r="D12" s="72" t="s">
        <v>1585</v>
      </c>
      <c r="E12" s="12" t="s">
        <v>1576</v>
      </c>
      <c r="F12" s="231" t="s">
        <v>1599</v>
      </c>
      <c r="G12" s="29"/>
    </row>
    <row r="13" ht="35.25" customHeight="1">
      <c r="A13" s="5">
        <v>45873.0</v>
      </c>
      <c r="B13" s="33">
        <v>8.0</v>
      </c>
      <c r="C13" s="12"/>
      <c r="D13" s="72" t="s">
        <v>1585</v>
      </c>
      <c r="E13" s="12" t="s">
        <v>1576</v>
      </c>
      <c r="F13" s="231" t="s">
        <v>1600</v>
      </c>
      <c r="G13" s="31"/>
    </row>
    <row r="14" ht="35.25" customHeight="1">
      <c r="A14" s="5">
        <v>45874.0</v>
      </c>
      <c r="B14" s="33">
        <v>8.0</v>
      </c>
      <c r="C14" s="12"/>
      <c r="D14" s="72" t="s">
        <v>1585</v>
      </c>
      <c r="E14" s="12" t="s">
        <v>1576</v>
      </c>
      <c r="F14" s="231" t="s">
        <v>1601</v>
      </c>
      <c r="G14" s="31"/>
    </row>
    <row r="15" ht="22.5" customHeight="1">
      <c r="A15" s="5">
        <v>45875.0</v>
      </c>
      <c r="B15" s="33">
        <v>8.0</v>
      </c>
      <c r="C15" s="12"/>
      <c r="D15" s="72" t="s">
        <v>1585</v>
      </c>
      <c r="E15" s="12" t="s">
        <v>1576</v>
      </c>
      <c r="F15" s="231" t="s">
        <v>1602</v>
      </c>
      <c r="G15" s="31"/>
    </row>
    <row r="16" ht="22.5" customHeight="1">
      <c r="A16" s="5">
        <v>45876.0</v>
      </c>
      <c r="B16" s="33">
        <v>8.0</v>
      </c>
      <c r="C16" s="12"/>
      <c r="D16" s="72" t="s">
        <v>1585</v>
      </c>
      <c r="E16" s="12" t="s">
        <v>1576</v>
      </c>
      <c r="F16" s="231" t="s">
        <v>1603</v>
      </c>
      <c r="G16" s="36"/>
    </row>
    <row r="17" ht="22.5" customHeight="1">
      <c r="A17" s="5">
        <v>45877.0</v>
      </c>
      <c r="B17" s="33">
        <v>8.0</v>
      </c>
      <c r="C17" s="12"/>
      <c r="D17" s="72" t="s">
        <v>1585</v>
      </c>
      <c r="E17" s="12" t="s">
        <v>1576</v>
      </c>
      <c r="F17" s="231" t="s">
        <v>1604</v>
      </c>
      <c r="G17" s="36"/>
    </row>
    <row r="18" ht="22.5" customHeight="1">
      <c r="A18" s="5">
        <v>45880.0</v>
      </c>
      <c r="B18" s="33">
        <v>8.0</v>
      </c>
      <c r="C18" s="12"/>
      <c r="D18" s="72" t="s">
        <v>1605</v>
      </c>
      <c r="E18" s="12" t="s">
        <v>1606</v>
      </c>
      <c r="F18" s="231" t="s">
        <v>1607</v>
      </c>
      <c r="G18" s="36"/>
    </row>
    <row r="19" ht="22.5" customHeight="1">
      <c r="A19" s="5">
        <v>45881.0</v>
      </c>
      <c r="B19" s="33">
        <v>8.0</v>
      </c>
      <c r="C19" s="11"/>
      <c r="D19" s="72" t="s">
        <v>1608</v>
      </c>
      <c r="E19" s="12" t="s">
        <v>1606</v>
      </c>
      <c r="F19" s="231" t="s">
        <v>1609</v>
      </c>
      <c r="G19" s="36"/>
    </row>
    <row r="20" ht="22.5" customHeight="1">
      <c r="A20" s="5">
        <v>45882.0</v>
      </c>
      <c r="B20" s="33">
        <v>8.0</v>
      </c>
      <c r="C20" s="11"/>
      <c r="D20" s="232" t="s">
        <v>1610</v>
      </c>
      <c r="E20" s="233" t="s">
        <v>1606</v>
      </c>
      <c r="F20" s="234" t="s">
        <v>1611</v>
      </c>
      <c r="G20" s="36"/>
    </row>
    <row r="21" ht="22.5" customHeight="1">
      <c r="A21" s="5">
        <v>45883.0</v>
      </c>
      <c r="B21" s="33">
        <v>8.0</v>
      </c>
      <c r="C21" s="11"/>
      <c r="D21" s="235" t="s">
        <v>1612</v>
      </c>
      <c r="E21" s="233" t="s">
        <v>1606</v>
      </c>
      <c r="F21" s="234" t="s">
        <v>1613</v>
      </c>
      <c r="G21" s="36"/>
    </row>
    <row r="22" ht="22.5" customHeight="1">
      <c r="A22" s="5">
        <v>45884.0</v>
      </c>
      <c r="B22" s="33">
        <v>8.0</v>
      </c>
      <c r="C22" s="11"/>
      <c r="D22" s="232" t="s">
        <v>1614</v>
      </c>
      <c r="E22" s="236" t="s">
        <v>1606</v>
      </c>
      <c r="F22" s="234" t="s">
        <v>1615</v>
      </c>
      <c r="G22" s="36"/>
    </row>
    <row r="23" ht="22.5" customHeight="1">
      <c r="A23" s="5">
        <v>45887.0</v>
      </c>
      <c r="B23" s="33">
        <v>8.0</v>
      </c>
      <c r="C23" s="11"/>
      <c r="D23" s="232" t="s">
        <v>1616</v>
      </c>
      <c r="E23" s="233" t="s">
        <v>1606</v>
      </c>
      <c r="F23" s="234" t="s">
        <v>1617</v>
      </c>
      <c r="G23" s="53"/>
    </row>
    <row r="24" ht="22.5" customHeight="1">
      <c r="A24" s="5">
        <v>45888.0</v>
      </c>
      <c r="B24" s="33">
        <v>8.0</v>
      </c>
      <c r="C24" s="11"/>
      <c r="D24" s="232" t="s">
        <v>1618</v>
      </c>
      <c r="E24" s="237" t="s">
        <v>1619</v>
      </c>
      <c r="F24" s="234" t="s">
        <v>1620</v>
      </c>
      <c r="G24" s="53"/>
    </row>
    <row r="25" ht="59.25" customHeight="1">
      <c r="A25" s="5">
        <v>45889.0</v>
      </c>
      <c r="B25" s="33">
        <v>8.0</v>
      </c>
      <c r="C25" s="11"/>
      <c r="D25" s="232" t="s">
        <v>1621</v>
      </c>
      <c r="E25" s="236" t="s">
        <v>1606</v>
      </c>
      <c r="F25" s="238" t="s">
        <v>1622</v>
      </c>
      <c r="G25" s="53"/>
    </row>
    <row r="26" ht="22.5" customHeight="1">
      <c r="A26" s="5">
        <v>45890.0</v>
      </c>
      <c r="B26" s="33">
        <v>8.0</v>
      </c>
      <c r="C26" s="11"/>
      <c r="D26" s="232" t="s">
        <v>1623</v>
      </c>
      <c r="E26" s="236" t="s">
        <v>1606</v>
      </c>
      <c r="F26" s="238" t="s">
        <v>1624</v>
      </c>
      <c r="G26" s="53"/>
    </row>
    <row r="27" ht="22.5" customHeight="1">
      <c r="A27" s="5">
        <v>45891.0</v>
      </c>
      <c r="B27" s="33">
        <v>8.0</v>
      </c>
      <c r="C27" s="11"/>
      <c r="D27" s="232" t="s">
        <v>1625</v>
      </c>
      <c r="E27" s="236" t="s">
        <v>1606</v>
      </c>
      <c r="F27" s="238" t="s">
        <v>1626</v>
      </c>
      <c r="G27" s="79" t="s">
        <v>1627</v>
      </c>
    </row>
    <row r="28" ht="22.5" customHeight="1">
      <c r="A28" s="5">
        <v>45894.0</v>
      </c>
      <c r="B28" s="33">
        <v>8.0</v>
      </c>
      <c r="C28" s="11"/>
      <c r="D28" s="232" t="s">
        <v>1628</v>
      </c>
      <c r="E28" s="237" t="s">
        <v>1629</v>
      </c>
      <c r="F28" s="238" t="s">
        <v>1630</v>
      </c>
      <c r="G28" s="53"/>
    </row>
    <row r="29" ht="22.5" customHeight="1">
      <c r="A29" s="5">
        <v>45895.0</v>
      </c>
      <c r="B29" s="33">
        <v>8.0</v>
      </c>
      <c r="C29" s="11"/>
      <c r="D29" s="232" t="s">
        <v>1631</v>
      </c>
      <c r="E29" s="236" t="s">
        <v>1606</v>
      </c>
      <c r="F29" s="238" t="s">
        <v>1632</v>
      </c>
      <c r="G29" s="53"/>
    </row>
    <row r="30" ht="22.5" customHeight="1">
      <c r="A30" s="5">
        <v>45896.0</v>
      </c>
      <c r="B30" s="33">
        <v>8.0</v>
      </c>
      <c r="C30" s="11"/>
      <c r="D30" s="232" t="s">
        <v>1633</v>
      </c>
      <c r="E30" s="237" t="s">
        <v>1634</v>
      </c>
      <c r="F30" s="238" t="s">
        <v>1635</v>
      </c>
      <c r="G30" s="53"/>
    </row>
    <row r="31" ht="22.5" customHeight="1">
      <c r="A31" s="5">
        <v>45897.0</v>
      </c>
      <c r="B31" s="33">
        <v>8.0</v>
      </c>
      <c r="C31" s="11"/>
      <c r="D31" s="232" t="s">
        <v>1636</v>
      </c>
      <c r="E31" s="237" t="s">
        <v>1637</v>
      </c>
      <c r="F31" s="238" t="s">
        <v>1638</v>
      </c>
      <c r="G31" s="53"/>
    </row>
    <row r="32" ht="22.5" customHeight="1">
      <c r="A32" s="5">
        <v>45898.0</v>
      </c>
      <c r="B32" s="33">
        <v>8.0</v>
      </c>
      <c r="C32" s="11"/>
      <c r="D32" s="232" t="s">
        <v>1639</v>
      </c>
      <c r="E32" s="237" t="s">
        <v>1640</v>
      </c>
      <c r="F32" s="238" t="s">
        <v>1641</v>
      </c>
      <c r="G32" s="53"/>
    </row>
    <row r="33" ht="22.5" customHeight="1">
      <c r="A33" s="5">
        <v>45901.0</v>
      </c>
      <c r="B33" s="33">
        <v>8.0</v>
      </c>
      <c r="C33" s="11"/>
      <c r="D33" s="232" t="s">
        <v>1642</v>
      </c>
      <c r="E33" s="237" t="s">
        <v>1643</v>
      </c>
      <c r="F33" s="238" t="s">
        <v>1644</v>
      </c>
      <c r="G33" s="53"/>
    </row>
    <row r="34" ht="22.5" customHeight="1">
      <c r="A34" s="5">
        <v>45902.0</v>
      </c>
      <c r="B34" s="63">
        <v>8.0</v>
      </c>
      <c r="C34" s="22"/>
      <c r="D34" s="55" t="s">
        <v>1645</v>
      </c>
      <c r="E34" s="237" t="s">
        <v>1646</v>
      </c>
      <c r="F34" s="238" t="s">
        <v>1647</v>
      </c>
      <c r="G34" s="53"/>
    </row>
    <row r="35" ht="22.5" customHeight="1">
      <c r="A35" s="5">
        <v>45903.0</v>
      </c>
      <c r="B35" s="63">
        <v>8.0</v>
      </c>
      <c r="C35" s="22"/>
      <c r="D35" s="55" t="s">
        <v>1648</v>
      </c>
      <c r="E35" s="237" t="s">
        <v>1649</v>
      </c>
      <c r="F35" s="238" t="s">
        <v>1650</v>
      </c>
      <c r="G35" s="53"/>
    </row>
    <row r="36" ht="22.5" customHeight="1">
      <c r="A36" s="5">
        <v>45904.0</v>
      </c>
      <c r="B36" s="63">
        <v>8.0</v>
      </c>
      <c r="C36" s="22"/>
      <c r="D36" s="55" t="s">
        <v>1651</v>
      </c>
      <c r="E36" s="237" t="s">
        <v>1652</v>
      </c>
      <c r="F36" s="238" t="s">
        <v>1653</v>
      </c>
      <c r="G36" s="53"/>
    </row>
    <row r="37" ht="22.5" customHeight="1">
      <c r="A37" s="5">
        <v>45905.0</v>
      </c>
      <c r="B37" s="63">
        <v>8.0</v>
      </c>
      <c r="C37" s="22"/>
      <c r="D37" s="55" t="s">
        <v>1654</v>
      </c>
      <c r="E37" s="22"/>
      <c r="F37" s="64" t="s">
        <v>1655</v>
      </c>
      <c r="G37" s="53"/>
    </row>
    <row r="38" ht="44.25" customHeight="1">
      <c r="A38" s="5">
        <v>45908.0</v>
      </c>
      <c r="B38" s="63">
        <v>8.0</v>
      </c>
      <c r="C38" s="22"/>
      <c r="D38" s="55" t="s">
        <v>1656</v>
      </c>
      <c r="E38" s="64" t="s">
        <v>1657</v>
      </c>
      <c r="F38" s="64" t="s">
        <v>1658</v>
      </c>
      <c r="G38" s="53"/>
    </row>
    <row r="39" ht="39.75" customHeight="1">
      <c r="A39" s="5">
        <v>45909.0</v>
      </c>
      <c r="B39" s="63">
        <v>8.0</v>
      </c>
      <c r="C39" s="22"/>
      <c r="D39" s="55" t="s">
        <v>1659</v>
      </c>
      <c r="E39" s="64" t="s">
        <v>1660</v>
      </c>
      <c r="F39" s="64" t="s">
        <v>1661</v>
      </c>
      <c r="G39" s="53"/>
    </row>
    <row r="40" ht="22.5" customHeight="1">
      <c r="A40" s="5">
        <v>45910.0</v>
      </c>
      <c r="B40" s="63">
        <v>8.0</v>
      </c>
      <c r="C40" s="22"/>
      <c r="D40" s="55" t="s">
        <v>1662</v>
      </c>
      <c r="E40" s="64" t="s">
        <v>1663</v>
      </c>
      <c r="F40" s="239" t="s">
        <v>1664</v>
      </c>
      <c r="G40" s="53"/>
    </row>
    <row r="41" ht="22.5" customHeight="1">
      <c r="A41" s="5">
        <v>45911.0</v>
      </c>
      <c r="B41" s="63">
        <v>8.0</v>
      </c>
      <c r="C41" s="22"/>
      <c r="D41" s="55" t="s">
        <v>1662</v>
      </c>
      <c r="E41" s="64" t="s">
        <v>1663</v>
      </c>
      <c r="F41" s="239" t="s">
        <v>1664</v>
      </c>
      <c r="G41" s="53"/>
    </row>
    <row r="42" ht="55.5" customHeight="1">
      <c r="A42" s="5">
        <v>45912.0</v>
      </c>
      <c r="B42" s="63">
        <v>8.0</v>
      </c>
      <c r="C42" s="22"/>
      <c r="D42" s="55" t="s">
        <v>1665</v>
      </c>
      <c r="E42" s="64" t="s">
        <v>1666</v>
      </c>
      <c r="F42" s="64" t="s">
        <v>1667</v>
      </c>
      <c r="G42" s="53"/>
    </row>
    <row r="43" ht="22.5" customHeight="1">
      <c r="A43" s="5">
        <v>45915.0</v>
      </c>
      <c r="B43" s="63">
        <v>8.0</v>
      </c>
      <c r="C43" s="22"/>
      <c r="D43" s="55" t="s">
        <v>1668</v>
      </c>
      <c r="E43" s="64" t="s">
        <v>1669</v>
      </c>
      <c r="F43" s="239" t="s">
        <v>1670</v>
      </c>
      <c r="G43" s="79" t="s">
        <v>1671</v>
      </c>
    </row>
    <row r="44" ht="22.5" customHeight="1">
      <c r="A44" s="5">
        <v>45916.0</v>
      </c>
      <c r="B44" s="63">
        <v>8.0</v>
      </c>
      <c r="C44" s="22"/>
      <c r="D44" s="55" t="s">
        <v>1672</v>
      </c>
      <c r="E44" s="64" t="s">
        <v>36</v>
      </c>
      <c r="F44" s="239" t="s">
        <v>1673</v>
      </c>
      <c r="G44" s="53"/>
    </row>
    <row r="45" ht="22.5" customHeight="1">
      <c r="A45" s="5">
        <v>45917.0</v>
      </c>
      <c r="B45" s="63">
        <v>8.0</v>
      </c>
      <c r="C45" s="22"/>
      <c r="D45" s="55" t="s">
        <v>1674</v>
      </c>
      <c r="E45" s="64" t="s">
        <v>1675</v>
      </c>
      <c r="F45" s="227" t="s">
        <v>1676</v>
      </c>
      <c r="G45" s="53"/>
    </row>
    <row r="46" ht="22.5" customHeight="1">
      <c r="A46" s="5">
        <v>45918.0</v>
      </c>
      <c r="B46" s="63">
        <v>8.0</v>
      </c>
      <c r="C46" s="22"/>
      <c r="D46" s="55" t="s">
        <v>1677</v>
      </c>
      <c r="E46" s="64" t="s">
        <v>39</v>
      </c>
      <c r="F46" s="239" t="s">
        <v>1678</v>
      </c>
      <c r="G46" s="53"/>
    </row>
    <row r="47" ht="22.5" customHeight="1">
      <c r="A47" s="5">
        <v>45919.0</v>
      </c>
      <c r="B47" s="63">
        <v>8.0</v>
      </c>
      <c r="C47" s="22"/>
      <c r="D47" s="55" t="s">
        <v>1674</v>
      </c>
      <c r="E47" s="64" t="s">
        <v>39</v>
      </c>
      <c r="F47" s="240" t="s">
        <v>1676</v>
      </c>
      <c r="G47" s="53"/>
    </row>
    <row r="48" ht="22.5" customHeight="1">
      <c r="A48" s="5">
        <v>45922.0</v>
      </c>
      <c r="B48" s="63">
        <v>8.0</v>
      </c>
      <c r="C48" s="22"/>
      <c r="D48" s="60" t="s">
        <v>1679</v>
      </c>
      <c r="E48" s="64" t="s">
        <v>1680</v>
      </c>
      <c r="F48" s="227" t="s">
        <v>1681</v>
      </c>
      <c r="G48" s="79" t="s">
        <v>1682</v>
      </c>
    </row>
    <row r="49" ht="22.5" customHeight="1">
      <c r="A49" s="5">
        <v>45923.0</v>
      </c>
      <c r="B49" s="63">
        <v>8.0</v>
      </c>
      <c r="C49" s="22"/>
      <c r="D49" s="55" t="s">
        <v>1674</v>
      </c>
      <c r="E49" s="64" t="s">
        <v>39</v>
      </c>
      <c r="F49" s="240" t="s">
        <v>1676</v>
      </c>
      <c r="G49" s="53"/>
    </row>
    <row r="50" ht="22.5" customHeight="1">
      <c r="A50" s="5">
        <v>45924.0</v>
      </c>
      <c r="B50" s="63">
        <v>8.0</v>
      </c>
      <c r="C50" s="22"/>
      <c r="D50" s="55" t="s">
        <v>1674</v>
      </c>
      <c r="E50" s="64" t="s">
        <v>39</v>
      </c>
      <c r="F50" s="240" t="s">
        <v>1676</v>
      </c>
      <c r="G50" s="53"/>
    </row>
    <row r="51" ht="22.5" customHeight="1">
      <c r="A51" s="5">
        <v>45925.0</v>
      </c>
      <c r="B51" s="63">
        <v>8.0</v>
      </c>
      <c r="C51" s="22"/>
      <c r="D51" s="241" t="s">
        <v>1683</v>
      </c>
      <c r="E51" s="64" t="s">
        <v>1660</v>
      </c>
      <c r="F51" s="240" t="s">
        <v>1684</v>
      </c>
      <c r="G51" s="53"/>
    </row>
    <row r="52" ht="22.5" customHeight="1">
      <c r="A52" s="5">
        <v>45926.0</v>
      </c>
      <c r="B52" s="63">
        <v>8.0</v>
      </c>
      <c r="C52" s="22"/>
      <c r="D52" s="55" t="s">
        <v>1685</v>
      </c>
      <c r="E52" s="64" t="s">
        <v>36</v>
      </c>
      <c r="F52" s="239" t="s">
        <v>1686</v>
      </c>
      <c r="G52" s="53"/>
    </row>
    <row r="53" ht="22.5" customHeight="1">
      <c r="A53" s="5">
        <v>45929.0</v>
      </c>
      <c r="B53" s="63">
        <v>8.0</v>
      </c>
      <c r="C53" s="22"/>
      <c r="D53" s="55" t="s">
        <v>1687</v>
      </c>
      <c r="E53" s="64" t="s">
        <v>36</v>
      </c>
      <c r="F53" s="240" t="s">
        <v>1688</v>
      </c>
      <c r="G53" s="53"/>
    </row>
    <row r="54" ht="22.5" customHeight="1">
      <c r="A54" s="5">
        <v>45930.0</v>
      </c>
      <c r="B54" s="63">
        <v>8.0</v>
      </c>
      <c r="C54" s="22"/>
      <c r="D54" s="55" t="s">
        <v>1689</v>
      </c>
      <c r="E54" s="64" t="s">
        <v>1690</v>
      </c>
      <c r="F54" s="227" t="s">
        <v>1691</v>
      </c>
      <c r="G54" s="53"/>
    </row>
    <row r="55" ht="22.5" customHeight="1">
      <c r="A55" s="5">
        <v>45931.0</v>
      </c>
      <c r="B55" s="63">
        <v>8.0</v>
      </c>
      <c r="C55" s="22"/>
      <c r="D55" s="55" t="s">
        <v>1692</v>
      </c>
      <c r="E55" s="64" t="s">
        <v>36</v>
      </c>
      <c r="F55" s="239" t="s">
        <v>1693</v>
      </c>
      <c r="G55" s="53"/>
    </row>
    <row r="56" ht="22.5" customHeight="1">
      <c r="A56" s="5">
        <v>45932.0</v>
      </c>
      <c r="B56" s="63">
        <v>8.0</v>
      </c>
      <c r="C56" s="22"/>
      <c r="D56" s="216" t="s">
        <v>1694</v>
      </c>
      <c r="E56" s="64" t="s">
        <v>1663</v>
      </c>
      <c r="F56" s="152" t="s">
        <v>1695</v>
      </c>
      <c r="G56" s="53"/>
    </row>
    <row r="57" ht="22.5" customHeight="1">
      <c r="A57" s="5">
        <v>45933.0</v>
      </c>
      <c r="B57" s="63">
        <v>8.0</v>
      </c>
      <c r="C57" s="22"/>
      <c r="D57" s="55" t="s">
        <v>1694</v>
      </c>
      <c r="E57" s="64" t="s">
        <v>1663</v>
      </c>
      <c r="F57" s="152" t="s">
        <v>1695</v>
      </c>
      <c r="G57" s="53"/>
    </row>
    <row r="58" ht="22.5" customHeight="1">
      <c r="A58" s="5">
        <v>45936.0</v>
      </c>
      <c r="B58" s="63">
        <v>8.0</v>
      </c>
      <c r="C58" s="22"/>
      <c r="D58" s="55" t="s">
        <v>1696</v>
      </c>
      <c r="E58" s="64" t="s">
        <v>1663</v>
      </c>
      <c r="F58" s="239" t="s">
        <v>1697</v>
      </c>
      <c r="G58" s="53"/>
    </row>
    <row r="59" ht="22.5" customHeight="1">
      <c r="A59" s="5">
        <v>45937.0</v>
      </c>
      <c r="B59" s="63">
        <v>8.0</v>
      </c>
      <c r="C59" s="22"/>
      <c r="D59" s="55" t="s">
        <v>1696</v>
      </c>
      <c r="E59" s="64" t="s">
        <v>1663</v>
      </c>
      <c r="F59" s="239" t="s">
        <v>1697</v>
      </c>
      <c r="G59" s="53"/>
    </row>
    <row r="60" ht="22.5" customHeight="1">
      <c r="A60" s="5">
        <v>45938.0</v>
      </c>
      <c r="B60" s="63">
        <v>8.0</v>
      </c>
      <c r="C60" s="22"/>
      <c r="D60" s="55" t="s">
        <v>1698</v>
      </c>
      <c r="E60" s="64" t="s">
        <v>1663</v>
      </c>
      <c r="F60" s="239" t="s">
        <v>1699</v>
      </c>
      <c r="G60" s="53"/>
    </row>
    <row r="61" ht="22.5" customHeight="1">
      <c r="A61" s="5">
        <v>45939.0</v>
      </c>
      <c r="B61" s="63">
        <v>8.0</v>
      </c>
      <c r="C61" s="22"/>
      <c r="D61" s="55" t="s">
        <v>1698</v>
      </c>
      <c r="E61" s="64" t="s">
        <v>1675</v>
      </c>
      <c r="F61" s="239" t="s">
        <v>1699</v>
      </c>
      <c r="G61" s="53"/>
    </row>
    <row r="62" ht="22.5" customHeight="1">
      <c r="A62" s="5">
        <v>45940.0</v>
      </c>
      <c r="B62" s="63">
        <v>8.0</v>
      </c>
      <c r="C62" s="22"/>
      <c r="D62" s="55" t="s">
        <v>1696</v>
      </c>
      <c r="E62" s="64" t="s">
        <v>1663</v>
      </c>
      <c r="F62" s="239" t="s">
        <v>1697</v>
      </c>
      <c r="G62" s="53"/>
    </row>
    <row r="63" ht="22.5" customHeight="1">
      <c r="A63" s="5">
        <v>45943.0</v>
      </c>
      <c r="B63" s="63">
        <v>8.0</v>
      </c>
      <c r="C63" s="22"/>
      <c r="D63" s="55" t="s">
        <v>1696</v>
      </c>
      <c r="E63" s="64" t="s">
        <v>1663</v>
      </c>
      <c r="F63" s="239" t="s">
        <v>1697</v>
      </c>
      <c r="G63" s="53"/>
    </row>
    <row r="64" ht="22.5" customHeight="1">
      <c r="A64" s="5">
        <v>45944.0</v>
      </c>
      <c r="B64" s="63">
        <v>8.0</v>
      </c>
      <c r="C64" s="22"/>
      <c r="D64" s="55" t="s">
        <v>1696</v>
      </c>
      <c r="E64" s="64" t="s">
        <v>1663</v>
      </c>
      <c r="F64" s="239" t="s">
        <v>1697</v>
      </c>
      <c r="G64" s="53"/>
    </row>
    <row r="65" ht="22.5" customHeight="1">
      <c r="A65" s="5">
        <v>45945.0</v>
      </c>
      <c r="B65" s="63">
        <v>8.0</v>
      </c>
      <c r="C65" s="22"/>
      <c r="D65" s="55" t="s">
        <v>1696</v>
      </c>
      <c r="E65" s="64" t="s">
        <v>1663</v>
      </c>
      <c r="F65" s="239" t="s">
        <v>1697</v>
      </c>
      <c r="G65" s="53"/>
    </row>
    <row r="66" ht="22.5" customHeight="1">
      <c r="A66" s="5">
        <v>45946.0</v>
      </c>
      <c r="B66" s="63">
        <v>8.0</v>
      </c>
      <c r="C66" s="22"/>
      <c r="D66" s="55" t="s">
        <v>1696</v>
      </c>
      <c r="E66" s="64" t="s">
        <v>1663</v>
      </c>
      <c r="F66" s="239" t="s">
        <v>1697</v>
      </c>
      <c r="G66" s="53"/>
    </row>
    <row r="67" ht="22.5" customHeight="1">
      <c r="A67" s="5">
        <v>45947.0</v>
      </c>
      <c r="B67" s="63">
        <v>8.0</v>
      </c>
      <c r="C67" s="22"/>
      <c r="D67" s="55" t="s">
        <v>1700</v>
      </c>
      <c r="E67" s="64" t="s">
        <v>1701</v>
      </c>
      <c r="F67" s="227" t="s">
        <v>1702</v>
      </c>
      <c r="G67" s="53"/>
    </row>
    <row r="68" ht="22.5" customHeight="1">
      <c r="A68" s="5">
        <v>45950.0</v>
      </c>
      <c r="B68" s="67"/>
      <c r="C68" s="22"/>
      <c r="D68" s="55"/>
      <c r="E68" s="22"/>
      <c r="F68" s="64"/>
      <c r="G68" s="53"/>
    </row>
    <row r="69" ht="22.5" customHeight="1">
      <c r="A69" s="5">
        <v>45951.0</v>
      </c>
      <c r="B69" s="63">
        <v>8.0</v>
      </c>
      <c r="C69" s="22"/>
      <c r="D69" s="55" t="s">
        <v>1700</v>
      </c>
      <c r="E69" s="64" t="s">
        <v>1703</v>
      </c>
      <c r="F69" s="227" t="s">
        <v>1704</v>
      </c>
      <c r="G69" s="53"/>
    </row>
    <row r="70" ht="22.5" customHeight="1">
      <c r="A70" s="5">
        <v>45952.0</v>
      </c>
      <c r="B70" s="63">
        <v>8.0</v>
      </c>
      <c r="C70" s="22"/>
      <c r="D70" s="55" t="s">
        <v>1705</v>
      </c>
      <c r="E70" s="64" t="s">
        <v>1701</v>
      </c>
      <c r="F70" s="240" t="s">
        <v>1706</v>
      </c>
      <c r="G70" s="53"/>
    </row>
    <row r="71" ht="22.5" customHeight="1">
      <c r="A71" s="5">
        <v>45953.0</v>
      </c>
      <c r="B71" s="63">
        <v>8.0</v>
      </c>
      <c r="C71" s="22"/>
      <c r="D71" s="55" t="s">
        <v>1705</v>
      </c>
      <c r="E71" s="64" t="s">
        <v>1701</v>
      </c>
      <c r="F71" s="240" t="s">
        <v>1706</v>
      </c>
      <c r="G71" s="53"/>
    </row>
    <row r="72" ht="22.5" customHeight="1">
      <c r="A72" s="5">
        <v>45954.0</v>
      </c>
      <c r="B72" s="63">
        <v>8.0</v>
      </c>
      <c r="C72" s="22"/>
      <c r="D72" s="55" t="s">
        <v>1705</v>
      </c>
      <c r="E72" s="64" t="s">
        <v>1701</v>
      </c>
      <c r="F72" s="240" t="s">
        <v>1706</v>
      </c>
      <c r="G72" s="53"/>
    </row>
    <row r="73" ht="22.5" customHeight="1">
      <c r="A73" s="5">
        <v>45957.0</v>
      </c>
      <c r="B73" s="63">
        <v>8.0</v>
      </c>
      <c r="C73" s="22"/>
      <c r="D73" s="55" t="s">
        <v>1705</v>
      </c>
      <c r="E73" s="64" t="s">
        <v>1701</v>
      </c>
      <c r="F73" s="240" t="s">
        <v>1706</v>
      </c>
      <c r="G73" s="53"/>
    </row>
    <row r="74" ht="22.5" customHeight="1">
      <c r="A74" s="5">
        <v>45958.0</v>
      </c>
      <c r="B74" s="63">
        <v>8.0</v>
      </c>
      <c r="C74" s="22"/>
      <c r="D74" s="55" t="s">
        <v>1694</v>
      </c>
      <c r="E74" s="64" t="s">
        <v>39</v>
      </c>
      <c r="F74" s="239" t="s">
        <v>1695</v>
      </c>
      <c r="G74" s="53"/>
    </row>
    <row r="75" ht="22.5" customHeight="1">
      <c r="A75" s="5">
        <v>45959.0</v>
      </c>
      <c r="B75" s="63">
        <v>8.0</v>
      </c>
      <c r="C75" s="22"/>
      <c r="D75" s="55" t="s">
        <v>1694</v>
      </c>
      <c r="E75" s="64" t="s">
        <v>39</v>
      </c>
      <c r="F75" s="239" t="s">
        <v>1695</v>
      </c>
      <c r="G75" s="53"/>
    </row>
    <row r="76" ht="22.5" customHeight="1">
      <c r="A76" s="5">
        <v>45960.0</v>
      </c>
      <c r="B76" s="63">
        <v>8.0</v>
      </c>
      <c r="C76" s="22"/>
      <c r="D76" s="55" t="s">
        <v>1694</v>
      </c>
      <c r="E76" s="64" t="s">
        <v>36</v>
      </c>
      <c r="F76" s="239" t="s">
        <v>1695</v>
      </c>
      <c r="G76" s="53"/>
    </row>
    <row r="77" ht="22.5" customHeight="1">
      <c r="A77" s="5">
        <v>45961.0</v>
      </c>
      <c r="B77" s="63">
        <v>8.0</v>
      </c>
      <c r="C77" s="22"/>
      <c r="D77" s="55" t="s">
        <v>1707</v>
      </c>
      <c r="E77" s="64" t="s">
        <v>1663</v>
      </c>
      <c r="F77" s="227" t="s">
        <v>1708</v>
      </c>
      <c r="G77" s="53"/>
    </row>
    <row r="78" ht="22.5" customHeight="1">
      <c r="A78" s="5">
        <v>45964.0</v>
      </c>
      <c r="B78" s="63">
        <v>8.0</v>
      </c>
      <c r="C78" s="22"/>
      <c r="D78" s="55" t="s">
        <v>1707</v>
      </c>
      <c r="E78" s="64" t="s">
        <v>1663</v>
      </c>
      <c r="F78" s="227" t="s">
        <v>1708</v>
      </c>
      <c r="G78" s="53"/>
    </row>
    <row r="79" ht="22.5" customHeight="1">
      <c r="A79" s="5">
        <v>45965.0</v>
      </c>
      <c r="B79" s="63">
        <v>8.0</v>
      </c>
      <c r="C79" s="22"/>
      <c r="D79" s="55" t="s">
        <v>1707</v>
      </c>
      <c r="E79" s="64" t="s">
        <v>1663</v>
      </c>
      <c r="F79" s="227" t="s">
        <v>1708</v>
      </c>
      <c r="G79" s="53"/>
    </row>
    <row r="80" ht="22.5" customHeight="1">
      <c r="A80" s="5">
        <v>45966.0</v>
      </c>
      <c r="B80" s="63">
        <v>8.0</v>
      </c>
      <c r="C80" s="22"/>
      <c r="D80" s="55" t="s">
        <v>1707</v>
      </c>
      <c r="E80" s="64" t="s">
        <v>1663</v>
      </c>
      <c r="F80" s="227" t="s">
        <v>1708</v>
      </c>
      <c r="G80" s="53"/>
    </row>
    <row r="81" ht="22.5" customHeight="1">
      <c r="A81" s="5">
        <v>45967.0</v>
      </c>
      <c r="B81" s="63">
        <v>8.0</v>
      </c>
      <c r="C81" s="22"/>
      <c r="D81" s="55" t="s">
        <v>1709</v>
      </c>
      <c r="E81" s="64" t="s">
        <v>1663</v>
      </c>
      <c r="F81" s="239" t="s">
        <v>1710</v>
      </c>
      <c r="G81" s="53"/>
    </row>
    <row r="82" ht="22.5" customHeight="1">
      <c r="A82" s="5">
        <v>45968.0</v>
      </c>
      <c r="B82" s="63">
        <v>8.0</v>
      </c>
      <c r="C82" s="22"/>
      <c r="D82" s="55" t="s">
        <v>1709</v>
      </c>
      <c r="E82" s="64" t="s">
        <v>1663</v>
      </c>
      <c r="F82" s="239" t="s">
        <v>1710</v>
      </c>
      <c r="G82" s="53"/>
    </row>
    <row r="83" ht="22.5" customHeight="1">
      <c r="A83" s="5">
        <v>45971.0</v>
      </c>
      <c r="B83" s="63">
        <v>8.0</v>
      </c>
      <c r="C83" s="22"/>
      <c r="D83" s="55" t="s">
        <v>1709</v>
      </c>
      <c r="E83" s="64" t="s">
        <v>36</v>
      </c>
      <c r="F83" s="239" t="s">
        <v>1710</v>
      </c>
      <c r="G83" s="53"/>
    </row>
    <row r="84" ht="22.5" customHeight="1">
      <c r="A84" s="5">
        <v>45972.0</v>
      </c>
      <c r="B84" s="63">
        <v>8.0</v>
      </c>
      <c r="C84" s="22"/>
      <c r="D84" s="55" t="s">
        <v>1707</v>
      </c>
      <c r="E84" s="64" t="s">
        <v>1663</v>
      </c>
      <c r="F84" s="227" t="s">
        <v>1708</v>
      </c>
      <c r="G84" s="53"/>
    </row>
    <row r="85" ht="22.5" customHeight="1">
      <c r="A85" s="5">
        <v>45973.0</v>
      </c>
      <c r="B85" s="63">
        <v>8.0</v>
      </c>
      <c r="C85" s="22"/>
      <c r="D85" s="55" t="s">
        <v>1707</v>
      </c>
      <c r="E85" s="64" t="s">
        <v>1663</v>
      </c>
      <c r="F85" s="227" t="s">
        <v>1708</v>
      </c>
      <c r="G85" s="53"/>
    </row>
    <row r="86" ht="22.5" customHeight="1">
      <c r="A86" s="5">
        <v>45974.0</v>
      </c>
      <c r="B86" s="63">
        <v>8.0</v>
      </c>
      <c r="C86" s="22"/>
      <c r="D86" s="55" t="s">
        <v>1707</v>
      </c>
      <c r="E86" s="64" t="s">
        <v>1663</v>
      </c>
      <c r="F86" s="227" t="s">
        <v>1708</v>
      </c>
      <c r="G86" s="53"/>
    </row>
    <row r="87" ht="22.5" customHeight="1">
      <c r="A87" s="5">
        <v>45975.0</v>
      </c>
      <c r="B87" s="63">
        <v>8.0</v>
      </c>
      <c r="C87" s="22"/>
      <c r="D87" s="55" t="s">
        <v>1707</v>
      </c>
      <c r="E87" s="64" t="s">
        <v>1663</v>
      </c>
      <c r="F87" s="227" t="s">
        <v>1708</v>
      </c>
      <c r="G87" s="53"/>
    </row>
    <row r="88" ht="22.5" customHeight="1">
      <c r="A88" s="5">
        <v>45978.0</v>
      </c>
      <c r="B88" s="63">
        <v>8.0</v>
      </c>
      <c r="C88" s="22"/>
      <c r="D88" s="55" t="s">
        <v>1707</v>
      </c>
      <c r="E88" s="64" t="s">
        <v>36</v>
      </c>
      <c r="F88" s="227" t="s">
        <v>1708</v>
      </c>
      <c r="G88" s="53"/>
    </row>
    <row r="89" ht="22.5" customHeight="1">
      <c r="A89" s="5">
        <v>45979.0</v>
      </c>
      <c r="B89" s="63">
        <v>8.0</v>
      </c>
      <c r="C89" s="22"/>
      <c r="D89" s="55" t="s">
        <v>1711</v>
      </c>
      <c r="E89" s="64" t="s">
        <v>1663</v>
      </c>
      <c r="F89" s="240" t="s">
        <v>1712</v>
      </c>
      <c r="G89" s="53"/>
    </row>
    <row r="90" ht="22.5" customHeight="1">
      <c r="A90" s="5">
        <v>45980.0</v>
      </c>
      <c r="B90" s="63">
        <v>8.0</v>
      </c>
      <c r="C90" s="22"/>
      <c r="D90" s="55" t="s">
        <v>1713</v>
      </c>
      <c r="E90" s="64" t="s">
        <v>1663</v>
      </c>
      <c r="F90" s="239" t="s">
        <v>1714</v>
      </c>
      <c r="G90" s="53"/>
    </row>
    <row r="91" ht="22.5" customHeight="1">
      <c r="A91" s="5">
        <v>45981.0</v>
      </c>
      <c r="B91" s="63">
        <v>8.0</v>
      </c>
      <c r="C91" s="22"/>
      <c r="D91" s="55" t="s">
        <v>1713</v>
      </c>
      <c r="E91" s="64" t="s">
        <v>1663</v>
      </c>
      <c r="F91" s="239" t="s">
        <v>1714</v>
      </c>
      <c r="G91" s="53"/>
    </row>
    <row r="92" ht="22.5" customHeight="1">
      <c r="A92" s="5">
        <v>45982.0</v>
      </c>
      <c r="B92" s="63">
        <v>8.0</v>
      </c>
      <c r="C92" s="22"/>
      <c r="D92" s="55" t="s">
        <v>1715</v>
      </c>
      <c r="E92" s="64" t="s">
        <v>1690</v>
      </c>
      <c r="F92" s="227" t="s">
        <v>1716</v>
      </c>
      <c r="G92" s="53"/>
    </row>
    <row r="93" ht="22.5" customHeight="1">
      <c r="A93" s="5">
        <v>45985.0</v>
      </c>
      <c r="B93" s="63">
        <v>8.0</v>
      </c>
      <c r="C93" s="22"/>
      <c r="D93" s="55" t="s">
        <v>1717</v>
      </c>
      <c r="E93" s="64" t="s">
        <v>1718</v>
      </c>
      <c r="F93" s="240" t="s">
        <v>1719</v>
      </c>
      <c r="G93" s="53"/>
    </row>
    <row r="94" ht="22.5" customHeight="1">
      <c r="A94" s="5">
        <v>45986.0</v>
      </c>
      <c r="B94" s="63">
        <v>8.0</v>
      </c>
      <c r="C94" s="22"/>
      <c r="D94" s="55" t="s">
        <v>1717</v>
      </c>
      <c r="E94" s="64" t="s">
        <v>1720</v>
      </c>
      <c r="F94" s="240" t="s">
        <v>1719</v>
      </c>
      <c r="G94" s="53"/>
    </row>
    <row r="95" ht="22.5" customHeight="1">
      <c r="A95" s="5">
        <v>45987.0</v>
      </c>
      <c r="B95" s="63">
        <v>8.0</v>
      </c>
      <c r="C95" s="22"/>
      <c r="D95" s="55" t="s">
        <v>1721</v>
      </c>
      <c r="E95" s="64" t="s">
        <v>1722</v>
      </c>
      <c r="F95" s="227" t="s">
        <v>1723</v>
      </c>
      <c r="G95" s="53"/>
    </row>
    <row r="96" ht="22.5" customHeight="1">
      <c r="A96" s="5">
        <v>45988.0</v>
      </c>
      <c r="B96" s="63">
        <v>8.0</v>
      </c>
      <c r="C96" s="22"/>
      <c r="D96" s="55" t="s">
        <v>1724</v>
      </c>
      <c r="E96" s="64" t="s">
        <v>1663</v>
      </c>
      <c r="F96" s="240" t="s">
        <v>1725</v>
      </c>
      <c r="G96" s="53"/>
    </row>
    <row r="97" ht="22.5" customHeight="1">
      <c r="A97" s="5">
        <v>45989.0</v>
      </c>
      <c r="B97" s="63">
        <v>8.0</v>
      </c>
      <c r="C97" s="22"/>
      <c r="D97" s="55" t="s">
        <v>1724</v>
      </c>
      <c r="E97" s="64" t="s">
        <v>36</v>
      </c>
      <c r="F97" s="239" t="s">
        <v>1725</v>
      </c>
      <c r="G97" s="53"/>
    </row>
    <row r="98" ht="22.5" customHeight="1">
      <c r="A98" s="5">
        <v>45992.0</v>
      </c>
      <c r="B98" s="63">
        <v>8.0</v>
      </c>
      <c r="C98" s="22"/>
      <c r="D98" s="55" t="s">
        <v>1726</v>
      </c>
      <c r="E98" s="64" t="s">
        <v>1727</v>
      </c>
      <c r="F98" s="240" t="s">
        <v>1725</v>
      </c>
      <c r="G98" s="53"/>
    </row>
    <row r="99" ht="22.5" customHeight="1">
      <c r="A99" s="5">
        <v>45993.0</v>
      </c>
      <c r="B99" s="63">
        <v>8.0</v>
      </c>
      <c r="C99" s="22"/>
      <c r="D99" s="55" t="s">
        <v>1728</v>
      </c>
      <c r="E99" s="64" t="s">
        <v>1660</v>
      </c>
      <c r="F99" s="239" t="s">
        <v>1725</v>
      </c>
      <c r="G99" s="53"/>
    </row>
    <row r="100" ht="22.5" customHeight="1">
      <c r="A100" s="5">
        <v>45994.0</v>
      </c>
      <c r="B100" s="63">
        <v>8.0</v>
      </c>
      <c r="C100" s="22"/>
      <c r="D100" s="55" t="s">
        <v>1729</v>
      </c>
      <c r="E100" s="64" t="s">
        <v>1660</v>
      </c>
      <c r="F100" s="239" t="s">
        <v>1725</v>
      </c>
      <c r="G100" s="53"/>
    </row>
    <row r="101" ht="22.5" customHeight="1">
      <c r="A101" s="5">
        <v>45995.0</v>
      </c>
      <c r="B101" s="63">
        <v>8.0</v>
      </c>
      <c r="C101" s="22"/>
      <c r="D101" s="55" t="s">
        <v>1730</v>
      </c>
      <c r="E101" s="64" t="s">
        <v>1660</v>
      </c>
      <c r="F101" s="64" t="s">
        <v>584</v>
      </c>
      <c r="G101" s="53"/>
    </row>
    <row r="102" ht="22.5" customHeight="1">
      <c r="A102" s="5">
        <v>45996.0</v>
      </c>
      <c r="B102" s="63">
        <v>8.0</v>
      </c>
      <c r="C102" s="22"/>
      <c r="D102" s="55" t="s">
        <v>1731</v>
      </c>
      <c r="E102" s="64" t="s">
        <v>1690</v>
      </c>
      <c r="F102" s="64" t="s">
        <v>584</v>
      </c>
      <c r="G102" s="53"/>
    </row>
    <row r="103" ht="22.5" customHeight="1">
      <c r="A103" s="5">
        <v>45999.0</v>
      </c>
      <c r="B103" s="63">
        <v>8.0</v>
      </c>
      <c r="C103" s="22"/>
      <c r="D103" s="55" t="s">
        <v>1732</v>
      </c>
      <c r="E103" s="64" t="s">
        <v>39</v>
      </c>
      <c r="F103" s="239" t="s">
        <v>1733</v>
      </c>
      <c r="G103" s="53"/>
    </row>
    <row r="104" ht="22.5" customHeight="1">
      <c r="A104" s="5">
        <v>46000.0</v>
      </c>
      <c r="B104" s="63">
        <v>8.0</v>
      </c>
      <c r="C104" s="22"/>
      <c r="D104" s="55" t="s">
        <v>1732</v>
      </c>
      <c r="E104" s="64" t="s">
        <v>39</v>
      </c>
      <c r="F104" s="227" t="s">
        <v>1733</v>
      </c>
      <c r="G104" s="53"/>
    </row>
    <row r="105" ht="22.5" customHeight="1">
      <c r="A105" s="5">
        <v>46001.0</v>
      </c>
      <c r="B105" s="63">
        <v>8.0</v>
      </c>
      <c r="C105" s="22"/>
      <c r="D105" s="55" t="s">
        <v>1732</v>
      </c>
      <c r="E105" s="64" t="s">
        <v>36</v>
      </c>
      <c r="F105" s="239" t="s">
        <v>1733</v>
      </c>
      <c r="G105" s="53"/>
    </row>
    <row r="106" ht="22.5" customHeight="1">
      <c r="A106" s="5">
        <v>46002.0</v>
      </c>
      <c r="B106" s="63">
        <v>8.0</v>
      </c>
      <c r="C106" s="22"/>
      <c r="D106" s="55" t="s">
        <v>1734</v>
      </c>
      <c r="E106" s="64" t="s">
        <v>39</v>
      </c>
      <c r="F106" s="239" t="s">
        <v>1735</v>
      </c>
      <c r="G106" s="53"/>
    </row>
    <row r="107" ht="22.5" customHeight="1">
      <c r="A107" s="5">
        <v>46003.0</v>
      </c>
      <c r="B107" s="63">
        <v>8.0</v>
      </c>
      <c r="C107" s="22"/>
      <c r="D107" s="55" t="s">
        <v>1734</v>
      </c>
      <c r="E107" s="64" t="s">
        <v>36</v>
      </c>
      <c r="F107" s="239" t="s">
        <v>1735</v>
      </c>
      <c r="G107" s="53"/>
    </row>
    <row r="108" ht="22.5" customHeight="1">
      <c r="A108" s="5">
        <v>46006.0</v>
      </c>
      <c r="B108" s="63">
        <v>8.0</v>
      </c>
      <c r="C108" s="22"/>
      <c r="D108" s="55" t="s">
        <v>1736</v>
      </c>
      <c r="E108" s="216" t="s">
        <v>1737</v>
      </c>
      <c r="F108" s="227" t="s">
        <v>1738</v>
      </c>
      <c r="G108" s="53"/>
    </row>
    <row r="109" ht="22.5" customHeight="1">
      <c r="A109" s="5">
        <v>46007.0</v>
      </c>
      <c r="B109" s="63">
        <v>8.0</v>
      </c>
      <c r="C109" s="22"/>
      <c r="D109" s="55" t="s">
        <v>1739</v>
      </c>
      <c r="E109" s="64" t="s">
        <v>39</v>
      </c>
      <c r="F109" s="239" t="s">
        <v>1740</v>
      </c>
      <c r="G109" s="53"/>
    </row>
    <row r="110" ht="22.5" customHeight="1">
      <c r="A110" s="5">
        <v>46008.0</v>
      </c>
      <c r="B110" s="63">
        <v>8.0</v>
      </c>
      <c r="C110" s="22"/>
      <c r="D110" s="55" t="s">
        <v>1739</v>
      </c>
      <c r="E110" s="64" t="s">
        <v>39</v>
      </c>
      <c r="F110" s="239" t="s">
        <v>1740</v>
      </c>
      <c r="G110" s="119"/>
    </row>
    <row r="111" ht="22.5" customHeight="1">
      <c r="A111" s="5">
        <v>46009.0</v>
      </c>
      <c r="B111" s="63">
        <v>8.0</v>
      </c>
      <c r="C111" s="22"/>
      <c r="D111" s="55" t="s">
        <v>1739</v>
      </c>
      <c r="E111" s="64" t="s">
        <v>39</v>
      </c>
      <c r="F111" s="239" t="s">
        <v>1740</v>
      </c>
      <c r="G111" s="119"/>
    </row>
    <row r="112" ht="22.5" customHeight="1">
      <c r="A112" s="5">
        <v>46010.0</v>
      </c>
      <c r="B112" s="63">
        <v>8.0</v>
      </c>
      <c r="C112" s="22"/>
      <c r="D112" s="55" t="s">
        <v>1739</v>
      </c>
      <c r="E112" s="64" t="s">
        <v>39</v>
      </c>
      <c r="F112" s="239" t="s">
        <v>1740</v>
      </c>
      <c r="G112" s="119"/>
    </row>
    <row r="113" ht="22.5" customHeight="1">
      <c r="A113" s="5">
        <v>46013.0</v>
      </c>
      <c r="B113" s="63">
        <v>8.0</v>
      </c>
      <c r="C113" s="22"/>
      <c r="D113" s="55" t="s">
        <v>1739</v>
      </c>
      <c r="E113" s="64" t="s">
        <v>39</v>
      </c>
      <c r="F113" s="239" t="s">
        <v>1740</v>
      </c>
      <c r="G113" s="119"/>
    </row>
    <row r="114" ht="22.5" customHeight="1">
      <c r="A114" s="5">
        <v>46014.0</v>
      </c>
      <c r="B114" s="63">
        <v>4.0</v>
      </c>
      <c r="C114" s="22"/>
      <c r="D114" s="55" t="s">
        <v>1741</v>
      </c>
      <c r="E114" s="64" t="s">
        <v>39</v>
      </c>
      <c r="F114" s="239" t="s">
        <v>1740</v>
      </c>
      <c r="G114" s="119"/>
    </row>
    <row r="115" ht="22.5" customHeight="1">
      <c r="A115" s="5">
        <v>46015.0</v>
      </c>
      <c r="B115" s="63">
        <v>8.0</v>
      </c>
      <c r="C115" s="22"/>
      <c r="D115" s="55" t="s">
        <v>1739</v>
      </c>
      <c r="E115" s="64" t="s">
        <v>36</v>
      </c>
      <c r="F115" s="239" t="s">
        <v>1740</v>
      </c>
      <c r="G115" s="119"/>
    </row>
    <row r="116" ht="22.5" customHeight="1">
      <c r="A116" s="5">
        <v>46016.0</v>
      </c>
      <c r="B116" s="63">
        <v>0.0</v>
      </c>
      <c r="C116" s="22"/>
      <c r="D116" s="55" t="s">
        <v>1742</v>
      </c>
      <c r="E116" s="64" t="s">
        <v>36</v>
      </c>
      <c r="F116" s="64"/>
      <c r="G116" s="119"/>
    </row>
    <row r="117" ht="22.5" customHeight="1">
      <c r="A117" s="5">
        <v>46017.0</v>
      </c>
      <c r="B117" s="63">
        <v>8.0</v>
      </c>
      <c r="C117" s="22"/>
      <c r="D117" s="55" t="s">
        <v>1743</v>
      </c>
      <c r="E117" s="64" t="s">
        <v>36</v>
      </c>
      <c r="F117" s="227" t="s">
        <v>1744</v>
      </c>
      <c r="G117" s="119"/>
    </row>
    <row r="118" ht="22.5" customHeight="1">
      <c r="A118" s="5">
        <v>46020.0</v>
      </c>
      <c r="B118" s="63">
        <v>8.0</v>
      </c>
      <c r="C118" s="22"/>
      <c r="D118" s="55" t="s">
        <v>1745</v>
      </c>
      <c r="E118" s="64" t="s">
        <v>39</v>
      </c>
      <c r="F118" s="227" t="s">
        <v>1746</v>
      </c>
      <c r="G118" s="119"/>
    </row>
    <row r="119" ht="22.5" customHeight="1">
      <c r="A119" s="5">
        <v>46021.0</v>
      </c>
      <c r="B119" s="63">
        <v>8.0</v>
      </c>
      <c r="C119" s="22"/>
      <c r="D119" s="55" t="s">
        <v>1745</v>
      </c>
      <c r="E119" s="64"/>
      <c r="F119" s="227" t="s">
        <v>1746</v>
      </c>
      <c r="G119" s="119"/>
    </row>
    <row r="120" ht="22.5" customHeight="1">
      <c r="A120" s="5">
        <v>46022.0</v>
      </c>
      <c r="B120" s="63">
        <v>8.0</v>
      </c>
      <c r="C120" s="22"/>
      <c r="D120" s="55"/>
      <c r="E120" s="64"/>
      <c r="F120" s="228"/>
      <c r="G120" s="119"/>
    </row>
    <row r="121" ht="22.5" customHeight="1">
      <c r="A121" s="5">
        <v>46023.0</v>
      </c>
      <c r="B121" s="63">
        <v>0.0</v>
      </c>
      <c r="C121" s="22"/>
      <c r="D121" s="55" t="s">
        <v>1742</v>
      </c>
      <c r="E121" s="64"/>
      <c r="F121" s="228"/>
      <c r="G121" s="119"/>
    </row>
    <row r="122" ht="22.5" customHeight="1">
      <c r="A122" s="5">
        <v>46024.0</v>
      </c>
      <c r="B122" s="63">
        <v>8.0</v>
      </c>
      <c r="C122" s="22"/>
      <c r="D122" s="55"/>
      <c r="E122" s="64"/>
      <c r="F122" s="228"/>
      <c r="G122" s="119"/>
    </row>
    <row r="123" ht="22.5" customHeight="1">
      <c r="A123" s="5">
        <v>46025.0</v>
      </c>
      <c r="B123" s="63">
        <v>8.0</v>
      </c>
      <c r="C123" s="22"/>
      <c r="D123" s="55"/>
      <c r="E123" s="64"/>
      <c r="F123" s="228"/>
      <c r="G123" s="119"/>
    </row>
    <row r="124" ht="22.5" customHeight="1">
      <c r="A124" s="5">
        <v>46026.0</v>
      </c>
      <c r="B124" s="63">
        <v>8.0</v>
      </c>
      <c r="C124" s="22"/>
      <c r="D124" s="55"/>
      <c r="E124" s="64"/>
      <c r="F124" s="228"/>
      <c r="G124" s="119"/>
    </row>
    <row r="125" ht="22.5" customHeight="1">
      <c r="A125" s="139"/>
      <c r="B125" s="71"/>
      <c r="C125" s="25"/>
      <c r="D125" s="138"/>
      <c r="E125" s="25"/>
      <c r="F125" s="25"/>
      <c r="G125" s="119"/>
    </row>
    <row r="126" ht="22.5" customHeight="1">
      <c r="A126" s="139"/>
      <c r="B126" s="71"/>
      <c r="C126" s="25"/>
      <c r="D126" s="138"/>
      <c r="E126" s="25"/>
      <c r="F126" s="25"/>
      <c r="G126" s="119"/>
    </row>
    <row r="127" ht="22.5" customHeight="1">
      <c r="A127" s="139"/>
      <c r="B127" s="71"/>
      <c r="C127" s="25"/>
      <c r="D127" s="138"/>
      <c r="E127" s="25"/>
      <c r="F127" s="25"/>
      <c r="G127" s="119"/>
    </row>
    <row r="128" ht="22.5" customHeight="1">
      <c r="A128" s="139"/>
      <c r="B128" s="71"/>
      <c r="C128" s="25"/>
      <c r="D128" s="138"/>
      <c r="E128" s="25"/>
      <c r="F128" s="25"/>
      <c r="G128" s="119"/>
    </row>
    <row r="129" ht="22.5" customHeight="1">
      <c r="A129" s="139"/>
      <c r="B129" s="71"/>
      <c r="C129" s="25"/>
      <c r="D129" s="138"/>
      <c r="E129" s="25"/>
      <c r="F129" s="25"/>
      <c r="G129" s="119"/>
    </row>
    <row r="130" ht="22.5" customHeight="1">
      <c r="A130" s="139"/>
      <c r="B130" s="71"/>
      <c r="C130" s="25"/>
      <c r="D130" s="138"/>
      <c r="E130" s="25"/>
      <c r="F130" s="25"/>
      <c r="G130" s="119"/>
    </row>
    <row r="131" ht="22.5" customHeight="1">
      <c r="A131" s="139"/>
      <c r="B131" s="71"/>
      <c r="C131" s="25"/>
      <c r="D131" s="138"/>
      <c r="E131" s="25"/>
      <c r="F131" s="25"/>
      <c r="G131" s="119"/>
    </row>
    <row r="132" ht="22.5" customHeight="1">
      <c r="A132" s="139"/>
      <c r="B132" s="71"/>
      <c r="C132" s="25"/>
      <c r="D132" s="138"/>
      <c r="E132" s="25"/>
      <c r="F132" s="25"/>
      <c r="G132" s="119"/>
    </row>
    <row r="133" ht="22.5" customHeight="1">
      <c r="A133" s="139"/>
      <c r="B133" s="71"/>
      <c r="C133" s="25"/>
      <c r="D133" s="138"/>
      <c r="E133" s="25"/>
      <c r="F133" s="25"/>
      <c r="G133" s="119"/>
    </row>
    <row r="134" ht="22.5" customHeight="1">
      <c r="A134" s="139"/>
      <c r="B134" s="71"/>
      <c r="C134" s="25"/>
      <c r="D134" s="138"/>
      <c r="E134" s="25"/>
      <c r="F134" s="25"/>
      <c r="G134" s="119"/>
    </row>
    <row r="135" ht="22.5" customHeight="1">
      <c r="A135" s="139"/>
      <c r="B135" s="71"/>
      <c r="C135" s="25"/>
      <c r="D135" s="138"/>
      <c r="E135" s="25"/>
      <c r="F135" s="25"/>
      <c r="G135" s="119"/>
    </row>
    <row r="136" ht="22.5" customHeight="1">
      <c r="A136" s="139"/>
      <c r="B136" s="71"/>
      <c r="C136" s="25"/>
      <c r="D136" s="138"/>
      <c r="E136" s="25"/>
      <c r="F136" s="25"/>
      <c r="G136" s="119"/>
    </row>
    <row r="137" ht="22.5" customHeight="1">
      <c r="A137" s="139"/>
      <c r="B137" s="71"/>
      <c r="C137" s="25"/>
      <c r="D137" s="138"/>
      <c r="E137" s="25"/>
      <c r="F137" s="25"/>
      <c r="G137" s="119"/>
    </row>
    <row r="138" ht="22.5" customHeight="1">
      <c r="A138" s="139"/>
      <c r="B138" s="71"/>
      <c r="C138" s="25"/>
      <c r="D138" s="138"/>
      <c r="E138" s="25"/>
      <c r="F138" s="25"/>
      <c r="G138" s="119"/>
    </row>
    <row r="139" ht="22.5" customHeight="1">
      <c r="A139" s="139"/>
      <c r="B139" s="71"/>
      <c r="C139" s="25"/>
      <c r="D139" s="138"/>
      <c r="E139" s="25"/>
      <c r="F139" s="25"/>
      <c r="G139" s="119"/>
    </row>
    <row r="140" ht="22.5" customHeight="1">
      <c r="A140" s="139"/>
      <c r="B140" s="71"/>
      <c r="C140" s="25"/>
      <c r="D140" s="138"/>
      <c r="E140" s="25"/>
      <c r="F140" s="25"/>
      <c r="G140" s="119"/>
    </row>
    <row r="141" ht="22.5" customHeight="1">
      <c r="A141" s="139"/>
      <c r="B141" s="71"/>
      <c r="C141" s="25"/>
      <c r="D141" s="138"/>
      <c r="E141" s="25"/>
      <c r="F141" s="25"/>
      <c r="G141" s="119"/>
    </row>
    <row r="142" ht="22.5" customHeight="1">
      <c r="A142" s="139"/>
      <c r="B142" s="71"/>
      <c r="C142" s="25"/>
      <c r="D142" s="138"/>
      <c r="E142" s="25"/>
      <c r="F142" s="25"/>
      <c r="G142" s="119"/>
    </row>
    <row r="143" ht="22.5" customHeight="1">
      <c r="A143" s="139"/>
      <c r="B143" s="71"/>
      <c r="C143" s="25"/>
      <c r="D143" s="138"/>
      <c r="E143" s="25"/>
      <c r="F143" s="25"/>
      <c r="G143" s="119"/>
    </row>
    <row r="144" ht="22.5" customHeight="1">
      <c r="A144" s="139"/>
      <c r="B144" s="71"/>
      <c r="C144" s="25"/>
      <c r="D144" s="138"/>
      <c r="E144" s="25"/>
      <c r="F144" s="25"/>
      <c r="G144" s="119"/>
    </row>
    <row r="145" ht="22.5" customHeight="1">
      <c r="A145" s="139"/>
      <c r="B145" s="71"/>
      <c r="C145" s="25"/>
      <c r="D145" s="138"/>
      <c r="E145" s="25"/>
      <c r="F145" s="25"/>
      <c r="G145" s="119"/>
    </row>
    <row r="146" ht="22.5" customHeight="1">
      <c r="A146" s="139"/>
      <c r="B146" s="71"/>
      <c r="C146" s="25"/>
      <c r="D146" s="138"/>
      <c r="E146" s="25"/>
      <c r="F146" s="25"/>
      <c r="G146" s="119"/>
    </row>
    <row r="147" ht="22.5" customHeight="1">
      <c r="A147" s="139"/>
      <c r="B147" s="71"/>
      <c r="C147" s="25"/>
      <c r="D147" s="138"/>
      <c r="E147" s="25"/>
      <c r="F147" s="25"/>
      <c r="G147" s="119"/>
    </row>
    <row r="148" ht="22.5" customHeight="1">
      <c r="A148" s="139"/>
      <c r="B148" s="71"/>
      <c r="C148" s="25"/>
      <c r="D148" s="138"/>
      <c r="E148" s="25"/>
      <c r="F148" s="25"/>
      <c r="G148" s="119"/>
    </row>
    <row r="149" ht="22.5" customHeight="1">
      <c r="A149" s="139"/>
      <c r="B149" s="71"/>
      <c r="C149" s="25"/>
      <c r="D149" s="138"/>
      <c r="E149" s="25"/>
      <c r="F149" s="25"/>
      <c r="G149" s="119"/>
    </row>
    <row r="150" ht="22.5" customHeight="1">
      <c r="A150" s="139"/>
      <c r="B150" s="71"/>
      <c r="C150" s="25"/>
      <c r="D150" s="138"/>
      <c r="E150" s="25"/>
      <c r="F150" s="25"/>
      <c r="G150" s="119"/>
    </row>
    <row r="151" ht="22.5" customHeight="1">
      <c r="A151" s="139"/>
      <c r="B151" s="71"/>
      <c r="C151" s="25"/>
      <c r="D151" s="138"/>
      <c r="E151" s="25"/>
      <c r="F151" s="25"/>
      <c r="G151" s="119"/>
    </row>
    <row r="152" ht="22.5" customHeight="1">
      <c r="A152" s="139"/>
      <c r="B152" s="71"/>
      <c r="C152" s="25"/>
      <c r="D152" s="138"/>
      <c r="E152" s="25"/>
      <c r="F152" s="25"/>
      <c r="G152" s="119"/>
    </row>
    <row r="153" ht="22.5" customHeight="1">
      <c r="A153" s="139"/>
      <c r="B153" s="71"/>
      <c r="C153" s="25"/>
      <c r="D153" s="138"/>
      <c r="E153" s="25"/>
      <c r="F153" s="25"/>
      <c r="G153" s="119"/>
    </row>
    <row r="154" ht="22.5" customHeight="1">
      <c r="A154" s="139"/>
      <c r="B154" s="71"/>
      <c r="C154" s="25"/>
      <c r="D154" s="138"/>
      <c r="E154" s="25"/>
      <c r="F154" s="25"/>
      <c r="G154" s="119"/>
    </row>
    <row r="155" ht="22.5" customHeight="1">
      <c r="A155" s="139"/>
      <c r="B155" s="71"/>
      <c r="C155" s="25"/>
      <c r="D155" s="138"/>
      <c r="E155" s="25"/>
      <c r="F155" s="25"/>
      <c r="G155" s="119"/>
    </row>
    <row r="156" ht="22.5" customHeight="1">
      <c r="A156" s="139"/>
      <c r="B156" s="71"/>
      <c r="C156" s="25"/>
      <c r="D156" s="138"/>
      <c r="E156" s="25"/>
      <c r="F156" s="25"/>
      <c r="G156" s="119"/>
    </row>
    <row r="157" ht="22.5" customHeight="1">
      <c r="A157" s="139"/>
      <c r="B157" s="71"/>
      <c r="C157" s="25"/>
      <c r="D157" s="138"/>
      <c r="E157" s="25"/>
      <c r="F157" s="25"/>
      <c r="G157" s="119"/>
    </row>
    <row r="158" ht="22.5" customHeight="1">
      <c r="A158" s="139"/>
      <c r="B158" s="71"/>
      <c r="C158" s="25"/>
      <c r="D158" s="138"/>
      <c r="E158" s="25"/>
      <c r="F158" s="25"/>
      <c r="G158" s="119"/>
    </row>
    <row r="159" ht="22.5" customHeight="1">
      <c r="A159" s="139"/>
      <c r="B159" s="71"/>
      <c r="C159" s="25"/>
      <c r="D159" s="138"/>
      <c r="E159" s="25"/>
      <c r="F159" s="25"/>
      <c r="G159" s="119"/>
    </row>
    <row r="160" ht="22.5" customHeight="1">
      <c r="A160" s="139"/>
      <c r="B160" s="71"/>
      <c r="C160" s="25"/>
      <c r="D160" s="138"/>
      <c r="E160" s="25"/>
      <c r="F160" s="25"/>
      <c r="G160" s="119"/>
    </row>
    <row r="161" ht="22.5" customHeight="1">
      <c r="A161" s="139"/>
      <c r="B161" s="71"/>
      <c r="C161" s="25"/>
      <c r="D161" s="138"/>
      <c r="E161" s="25"/>
      <c r="F161" s="25"/>
      <c r="G161" s="119"/>
    </row>
    <row r="162" ht="22.5" customHeight="1">
      <c r="A162" s="139"/>
      <c r="B162" s="71"/>
      <c r="C162" s="25"/>
      <c r="D162" s="138"/>
      <c r="E162" s="25"/>
      <c r="F162" s="25"/>
      <c r="G162" s="119"/>
    </row>
    <row r="163" ht="22.5" customHeight="1">
      <c r="A163" s="139"/>
      <c r="B163" s="71"/>
      <c r="C163" s="25"/>
      <c r="D163" s="138"/>
      <c r="E163" s="25"/>
      <c r="F163" s="25"/>
      <c r="G163" s="119"/>
    </row>
    <row r="164" ht="22.5" customHeight="1">
      <c r="A164" s="139"/>
      <c r="B164" s="71"/>
      <c r="C164" s="25"/>
      <c r="D164" s="138"/>
      <c r="E164" s="25"/>
      <c r="F164" s="25"/>
      <c r="G164" s="119"/>
    </row>
    <row r="165" ht="22.5" customHeight="1">
      <c r="A165" s="139"/>
      <c r="B165" s="71"/>
      <c r="C165" s="25"/>
      <c r="D165" s="138"/>
      <c r="E165" s="25"/>
      <c r="F165" s="25"/>
      <c r="G165" s="119"/>
    </row>
    <row r="166" ht="22.5" customHeight="1">
      <c r="A166" s="139"/>
      <c r="B166" s="71"/>
      <c r="C166" s="25"/>
      <c r="D166" s="138"/>
      <c r="E166" s="25"/>
      <c r="F166" s="25"/>
      <c r="G166" s="119"/>
    </row>
    <row r="167" ht="22.5" customHeight="1">
      <c r="A167" s="139"/>
      <c r="B167" s="71"/>
      <c r="C167" s="25"/>
      <c r="D167" s="138"/>
      <c r="E167" s="25"/>
      <c r="F167" s="25"/>
      <c r="G167" s="119"/>
    </row>
    <row r="168" ht="22.5" customHeight="1">
      <c r="A168" s="139"/>
      <c r="B168" s="71"/>
      <c r="C168" s="25"/>
      <c r="D168" s="138"/>
      <c r="E168" s="25"/>
      <c r="F168" s="25"/>
      <c r="G168" s="119"/>
    </row>
    <row r="169" ht="22.5" customHeight="1">
      <c r="A169" s="139"/>
      <c r="B169" s="71"/>
      <c r="C169" s="25"/>
      <c r="D169" s="138"/>
      <c r="E169" s="25"/>
      <c r="F169" s="25"/>
      <c r="G169" s="119"/>
    </row>
    <row r="170" ht="22.5" customHeight="1">
      <c r="A170" s="139"/>
      <c r="B170" s="71"/>
      <c r="C170" s="25"/>
      <c r="D170" s="138"/>
      <c r="E170" s="25"/>
      <c r="F170" s="25"/>
      <c r="G170" s="119"/>
    </row>
    <row r="171" ht="22.5" customHeight="1">
      <c r="A171" s="139"/>
      <c r="B171" s="71"/>
      <c r="C171" s="25"/>
      <c r="D171" s="138"/>
      <c r="E171" s="25"/>
      <c r="F171" s="25"/>
      <c r="G171" s="119"/>
    </row>
    <row r="172" ht="22.5" customHeight="1">
      <c r="A172" s="139"/>
      <c r="B172" s="71"/>
      <c r="C172" s="25"/>
      <c r="D172" s="138"/>
      <c r="E172" s="25"/>
      <c r="F172" s="25"/>
      <c r="G172" s="119"/>
    </row>
    <row r="173" ht="22.5" customHeight="1">
      <c r="A173" s="139"/>
      <c r="B173" s="71"/>
      <c r="C173" s="25"/>
      <c r="D173" s="138"/>
      <c r="E173" s="25"/>
      <c r="F173" s="25"/>
      <c r="G173" s="119"/>
    </row>
    <row r="174" ht="22.5" customHeight="1">
      <c r="A174" s="139"/>
      <c r="B174" s="71"/>
      <c r="C174" s="25"/>
      <c r="D174" s="138"/>
      <c r="E174" s="25"/>
      <c r="F174" s="25"/>
      <c r="G174" s="119"/>
    </row>
    <row r="175" ht="22.5" customHeight="1">
      <c r="A175" s="139"/>
      <c r="B175" s="71"/>
      <c r="C175" s="25"/>
      <c r="D175" s="138"/>
      <c r="E175" s="25"/>
      <c r="F175" s="25"/>
      <c r="G175" s="119"/>
    </row>
    <row r="176" ht="22.5" customHeight="1">
      <c r="A176" s="139"/>
      <c r="B176" s="71"/>
      <c r="C176" s="25"/>
      <c r="D176" s="138"/>
      <c r="E176" s="25"/>
      <c r="F176" s="25"/>
      <c r="G176" s="119"/>
    </row>
    <row r="177" ht="22.5" customHeight="1">
      <c r="A177" s="139"/>
      <c r="B177" s="71"/>
      <c r="C177" s="25"/>
      <c r="D177" s="138"/>
      <c r="E177" s="25"/>
      <c r="F177" s="25"/>
      <c r="G177" s="119"/>
    </row>
    <row r="178" ht="22.5" customHeight="1">
      <c r="A178" s="139"/>
      <c r="B178" s="71"/>
      <c r="C178" s="25"/>
      <c r="D178" s="138"/>
      <c r="E178" s="25"/>
      <c r="F178" s="25"/>
      <c r="G178" s="119"/>
    </row>
    <row r="179" ht="22.5" customHeight="1">
      <c r="A179" s="139"/>
      <c r="B179" s="71"/>
      <c r="C179" s="25"/>
      <c r="D179" s="138"/>
      <c r="E179" s="25"/>
      <c r="F179" s="25"/>
      <c r="G179" s="119"/>
    </row>
    <row r="180" ht="22.5" customHeight="1">
      <c r="A180" s="139"/>
      <c r="B180" s="71"/>
      <c r="C180" s="25"/>
      <c r="D180" s="138"/>
      <c r="E180" s="25"/>
      <c r="F180" s="25"/>
      <c r="G180" s="119"/>
    </row>
    <row r="181" ht="22.5" customHeight="1">
      <c r="A181" s="139"/>
      <c r="B181" s="71"/>
      <c r="C181" s="25"/>
      <c r="D181" s="138"/>
      <c r="E181" s="25"/>
      <c r="F181" s="25"/>
      <c r="G181" s="119"/>
    </row>
    <row r="182" ht="22.5" customHeight="1">
      <c r="A182" s="139"/>
      <c r="B182" s="71"/>
      <c r="C182" s="25"/>
      <c r="D182" s="138"/>
      <c r="E182" s="25"/>
      <c r="F182" s="25"/>
      <c r="G182" s="119"/>
    </row>
    <row r="183" ht="22.5" customHeight="1">
      <c r="A183" s="139"/>
      <c r="B183" s="71"/>
      <c r="C183" s="25"/>
      <c r="D183" s="138"/>
      <c r="E183" s="25"/>
      <c r="F183" s="25"/>
      <c r="G183" s="119"/>
    </row>
    <row r="184" ht="22.5" customHeight="1">
      <c r="A184" s="139"/>
      <c r="B184" s="71"/>
      <c r="C184" s="25"/>
      <c r="D184" s="138"/>
      <c r="E184" s="25"/>
      <c r="F184" s="25"/>
      <c r="G184" s="119"/>
    </row>
    <row r="185" ht="22.5" customHeight="1">
      <c r="A185" s="139"/>
      <c r="B185" s="71"/>
      <c r="C185" s="25"/>
      <c r="D185" s="138"/>
      <c r="E185" s="25"/>
      <c r="F185" s="25"/>
      <c r="G185" s="119"/>
    </row>
    <row r="186" ht="22.5" customHeight="1">
      <c r="A186" s="139"/>
      <c r="B186" s="71"/>
      <c r="C186" s="25"/>
      <c r="D186" s="138"/>
      <c r="E186" s="25"/>
      <c r="F186" s="25"/>
      <c r="G186" s="119"/>
    </row>
    <row r="187" ht="22.5" customHeight="1">
      <c r="A187" s="139"/>
      <c r="B187" s="71"/>
      <c r="C187" s="25"/>
      <c r="D187" s="138"/>
      <c r="E187" s="25"/>
      <c r="F187" s="25"/>
      <c r="G187" s="119"/>
    </row>
    <row r="188" ht="22.5" customHeight="1">
      <c r="A188" s="139"/>
      <c r="B188" s="71"/>
      <c r="C188" s="25"/>
      <c r="D188" s="138"/>
      <c r="E188" s="25"/>
      <c r="F188" s="25"/>
      <c r="G188" s="119"/>
    </row>
    <row r="189" ht="22.5" customHeight="1">
      <c r="A189" s="139"/>
      <c r="B189" s="71"/>
      <c r="C189" s="25"/>
      <c r="D189" s="138"/>
      <c r="E189" s="25"/>
      <c r="F189" s="25"/>
      <c r="G189" s="119"/>
    </row>
    <row r="190" ht="22.5" customHeight="1">
      <c r="A190" s="139"/>
      <c r="B190" s="71"/>
      <c r="C190" s="25"/>
      <c r="D190" s="138"/>
      <c r="E190" s="25"/>
      <c r="F190" s="25"/>
      <c r="G190" s="119"/>
    </row>
    <row r="191" ht="22.5" customHeight="1">
      <c r="A191" s="139"/>
      <c r="B191" s="71"/>
      <c r="C191" s="25"/>
      <c r="D191" s="138"/>
      <c r="E191" s="25"/>
      <c r="F191" s="25"/>
      <c r="G191" s="119"/>
    </row>
    <row r="192" ht="22.5" customHeight="1">
      <c r="A192" s="139"/>
      <c r="B192" s="71"/>
      <c r="C192" s="25"/>
      <c r="D192" s="138"/>
      <c r="E192" s="25"/>
      <c r="F192" s="25"/>
      <c r="G192" s="119"/>
    </row>
    <row r="193" ht="22.5" customHeight="1">
      <c r="A193" s="139"/>
      <c r="B193" s="71"/>
      <c r="C193" s="25"/>
      <c r="D193" s="138"/>
      <c r="E193" s="25"/>
      <c r="F193" s="25"/>
      <c r="G193" s="119"/>
    </row>
    <row r="194" ht="22.5" customHeight="1">
      <c r="A194" s="139"/>
      <c r="B194" s="71"/>
      <c r="C194" s="25"/>
      <c r="D194" s="138"/>
      <c r="E194" s="25"/>
      <c r="F194" s="25"/>
      <c r="G194" s="119"/>
    </row>
    <row r="195" ht="22.5" customHeight="1">
      <c r="A195" s="139"/>
      <c r="B195" s="71"/>
      <c r="C195" s="25"/>
      <c r="D195" s="138"/>
      <c r="E195" s="25"/>
      <c r="F195" s="25"/>
      <c r="G195" s="119"/>
    </row>
    <row r="196" ht="22.5" customHeight="1">
      <c r="A196" s="139"/>
      <c r="B196" s="71"/>
      <c r="C196" s="25"/>
      <c r="D196" s="138"/>
      <c r="E196" s="25"/>
      <c r="F196" s="25"/>
      <c r="G196" s="119"/>
    </row>
    <row r="197" ht="22.5" customHeight="1">
      <c r="A197" s="139"/>
      <c r="B197" s="71"/>
      <c r="C197" s="25"/>
      <c r="D197" s="138"/>
      <c r="E197" s="25"/>
      <c r="F197" s="25"/>
      <c r="G197" s="119"/>
    </row>
    <row r="198" ht="22.5" customHeight="1">
      <c r="A198" s="139"/>
      <c r="B198" s="71"/>
      <c r="C198" s="25"/>
      <c r="D198" s="138"/>
      <c r="E198" s="25"/>
      <c r="F198" s="25"/>
      <c r="G198" s="119"/>
    </row>
    <row r="199" ht="22.5" customHeight="1">
      <c r="A199" s="139"/>
      <c r="B199" s="71"/>
      <c r="C199" s="25"/>
      <c r="D199" s="138"/>
      <c r="E199" s="25"/>
      <c r="F199" s="25"/>
      <c r="G199" s="119"/>
    </row>
    <row r="200" ht="22.5" customHeight="1">
      <c r="A200" s="139"/>
      <c r="B200" s="71"/>
      <c r="C200" s="25"/>
      <c r="D200" s="138"/>
      <c r="E200" s="25"/>
      <c r="F200" s="25"/>
      <c r="G200" s="119"/>
    </row>
    <row r="201" ht="22.5" customHeight="1">
      <c r="A201" s="139"/>
      <c r="B201" s="71"/>
      <c r="C201" s="25"/>
      <c r="D201" s="138"/>
      <c r="E201" s="25"/>
      <c r="F201" s="25"/>
      <c r="G201" s="119"/>
    </row>
    <row r="202" ht="22.5" customHeight="1">
      <c r="A202" s="139"/>
      <c r="B202" s="71"/>
      <c r="C202" s="25"/>
      <c r="D202" s="138"/>
      <c r="E202" s="25"/>
      <c r="F202" s="25"/>
      <c r="G202" s="119"/>
    </row>
    <row r="203" ht="22.5" customHeight="1">
      <c r="A203" s="139"/>
      <c r="B203" s="71"/>
      <c r="C203" s="25"/>
      <c r="D203" s="138"/>
      <c r="E203" s="25"/>
      <c r="F203" s="25"/>
      <c r="G203" s="119"/>
    </row>
    <row r="204" ht="22.5" customHeight="1">
      <c r="A204" s="139"/>
      <c r="B204" s="71"/>
      <c r="C204" s="25"/>
      <c r="D204" s="138"/>
      <c r="E204" s="25"/>
      <c r="F204" s="25"/>
      <c r="G204" s="119"/>
    </row>
    <row r="205" ht="22.5" customHeight="1">
      <c r="A205" s="139"/>
      <c r="B205" s="71"/>
      <c r="C205" s="25"/>
      <c r="D205" s="138"/>
      <c r="E205" s="25"/>
      <c r="F205" s="25"/>
      <c r="G205" s="119"/>
    </row>
    <row r="206" ht="22.5" customHeight="1">
      <c r="A206" s="139"/>
      <c r="B206" s="71"/>
      <c r="C206" s="25"/>
      <c r="D206" s="138"/>
      <c r="E206" s="25"/>
      <c r="F206" s="25"/>
      <c r="G206" s="119"/>
    </row>
    <row r="207" ht="22.5" customHeight="1">
      <c r="A207" s="139"/>
      <c r="B207" s="71"/>
      <c r="C207" s="25"/>
      <c r="D207" s="138"/>
      <c r="E207" s="25"/>
      <c r="F207" s="25"/>
      <c r="G207" s="119"/>
    </row>
    <row r="208" ht="22.5" customHeight="1">
      <c r="A208" s="139"/>
      <c r="B208" s="71"/>
      <c r="C208" s="25"/>
      <c r="D208" s="138"/>
      <c r="E208" s="25"/>
      <c r="F208" s="25"/>
      <c r="G208" s="119"/>
    </row>
    <row r="209" ht="22.5" customHeight="1">
      <c r="A209" s="139"/>
      <c r="B209" s="71"/>
      <c r="C209" s="25"/>
      <c r="D209" s="138"/>
      <c r="E209" s="25"/>
      <c r="F209" s="25"/>
      <c r="G209" s="119"/>
    </row>
    <row r="210" ht="22.5" customHeight="1">
      <c r="A210" s="139"/>
      <c r="B210" s="71"/>
      <c r="C210" s="25"/>
      <c r="D210" s="138"/>
      <c r="E210" s="25"/>
      <c r="F210" s="25"/>
      <c r="G210" s="119"/>
    </row>
    <row r="211" ht="22.5" customHeight="1">
      <c r="A211" s="139"/>
      <c r="B211" s="71"/>
      <c r="C211" s="25"/>
      <c r="D211" s="138"/>
      <c r="E211" s="25"/>
      <c r="F211" s="25"/>
      <c r="G211" s="119"/>
    </row>
    <row r="212" ht="22.5" customHeight="1">
      <c r="A212" s="139"/>
      <c r="B212" s="71"/>
      <c r="C212" s="25"/>
      <c r="D212" s="138"/>
      <c r="E212" s="25"/>
      <c r="F212" s="25"/>
      <c r="G212" s="119"/>
    </row>
    <row r="213" ht="22.5" customHeight="1">
      <c r="A213" s="139"/>
      <c r="B213" s="71"/>
      <c r="C213" s="25"/>
      <c r="D213" s="138"/>
      <c r="E213" s="25"/>
      <c r="F213" s="25"/>
      <c r="G213" s="119"/>
    </row>
    <row r="214" ht="22.5" customHeight="1">
      <c r="A214" s="139"/>
      <c r="B214" s="71"/>
      <c r="C214" s="25"/>
      <c r="D214" s="138"/>
      <c r="E214" s="25"/>
      <c r="F214" s="25"/>
      <c r="G214" s="119"/>
    </row>
    <row r="215" ht="22.5" customHeight="1">
      <c r="A215" s="139"/>
      <c r="B215" s="71"/>
      <c r="C215" s="25"/>
      <c r="D215" s="138"/>
      <c r="E215" s="25"/>
      <c r="F215" s="25"/>
      <c r="G215" s="119"/>
    </row>
    <row r="216" ht="22.5" customHeight="1">
      <c r="A216" s="139"/>
      <c r="B216" s="71"/>
      <c r="C216" s="25"/>
      <c r="D216" s="138"/>
      <c r="E216" s="25"/>
      <c r="F216" s="25"/>
      <c r="G216" s="119"/>
    </row>
    <row r="217" ht="22.5" customHeight="1">
      <c r="A217" s="139"/>
      <c r="B217" s="71"/>
      <c r="C217" s="25"/>
      <c r="D217" s="138"/>
      <c r="E217" s="25"/>
      <c r="F217" s="25"/>
      <c r="G217" s="119"/>
    </row>
    <row r="218" ht="22.5" customHeight="1">
      <c r="A218" s="139"/>
      <c r="B218" s="71"/>
      <c r="C218" s="25"/>
      <c r="D218" s="138"/>
      <c r="E218" s="25"/>
      <c r="F218" s="25"/>
      <c r="G218" s="119"/>
    </row>
    <row r="219" ht="22.5" customHeight="1">
      <c r="A219" s="139"/>
      <c r="B219" s="71"/>
      <c r="C219" s="25"/>
      <c r="D219" s="138"/>
      <c r="E219" s="25"/>
      <c r="F219" s="25"/>
      <c r="G219" s="119"/>
    </row>
    <row r="220" ht="22.5" customHeight="1">
      <c r="A220" s="139"/>
      <c r="B220" s="71"/>
      <c r="C220" s="25"/>
      <c r="D220" s="138"/>
      <c r="E220" s="25"/>
      <c r="F220" s="25"/>
      <c r="G220" s="119"/>
    </row>
    <row r="221" ht="22.5" customHeight="1">
      <c r="A221" s="139"/>
      <c r="B221" s="71"/>
      <c r="C221" s="25"/>
      <c r="D221" s="138"/>
      <c r="E221" s="25"/>
      <c r="F221" s="25"/>
      <c r="G221" s="119"/>
    </row>
    <row r="222" ht="22.5" customHeight="1">
      <c r="A222" s="139"/>
      <c r="B222" s="71"/>
      <c r="C222" s="25"/>
      <c r="D222" s="138"/>
      <c r="E222" s="25"/>
      <c r="F222" s="25"/>
      <c r="G222" s="119"/>
    </row>
    <row r="223" ht="22.5" customHeight="1">
      <c r="A223" s="139"/>
      <c r="B223" s="71"/>
      <c r="C223" s="25"/>
      <c r="D223" s="138"/>
      <c r="E223" s="25"/>
      <c r="F223" s="25"/>
      <c r="G223" s="119"/>
    </row>
    <row r="224" ht="22.5" customHeight="1">
      <c r="A224" s="139"/>
      <c r="B224" s="71"/>
      <c r="C224" s="25"/>
      <c r="D224" s="138"/>
      <c r="E224" s="25"/>
      <c r="F224" s="25"/>
      <c r="G224" s="119"/>
    </row>
    <row r="225" ht="22.5" customHeight="1">
      <c r="A225" s="139"/>
      <c r="B225" s="71"/>
      <c r="C225" s="25"/>
      <c r="D225" s="138"/>
      <c r="E225" s="25"/>
      <c r="F225" s="25"/>
      <c r="G225" s="119"/>
    </row>
    <row r="226" ht="22.5" customHeight="1">
      <c r="A226" s="139"/>
      <c r="B226" s="71"/>
      <c r="C226" s="25"/>
      <c r="D226" s="138"/>
      <c r="E226" s="25"/>
      <c r="F226" s="25"/>
      <c r="G226" s="119"/>
    </row>
    <row r="227" ht="22.5" customHeight="1">
      <c r="A227" s="139"/>
      <c r="B227" s="71"/>
      <c r="C227" s="25"/>
      <c r="D227" s="138"/>
      <c r="E227" s="25"/>
      <c r="F227" s="25"/>
      <c r="G227" s="119"/>
    </row>
    <row r="228" ht="22.5" customHeight="1">
      <c r="A228" s="139"/>
      <c r="B228" s="71"/>
      <c r="C228" s="25"/>
      <c r="D228" s="138"/>
      <c r="E228" s="25"/>
      <c r="F228" s="25"/>
      <c r="G228" s="119"/>
    </row>
    <row r="229" ht="22.5" customHeight="1">
      <c r="A229" s="139"/>
      <c r="B229" s="71"/>
      <c r="C229" s="25"/>
      <c r="D229" s="138"/>
      <c r="E229" s="25"/>
      <c r="F229" s="25"/>
      <c r="G229" s="119"/>
    </row>
    <row r="230" ht="22.5" customHeight="1">
      <c r="A230" s="139"/>
      <c r="B230" s="71"/>
      <c r="C230" s="25"/>
      <c r="D230" s="138"/>
      <c r="E230" s="25"/>
      <c r="F230" s="25"/>
      <c r="G230" s="119"/>
    </row>
    <row r="231" ht="22.5" customHeight="1">
      <c r="A231" s="139"/>
      <c r="B231" s="71"/>
      <c r="C231" s="25"/>
      <c r="D231" s="138"/>
      <c r="E231" s="25"/>
      <c r="F231" s="25"/>
      <c r="G231" s="119"/>
    </row>
    <row r="232" ht="22.5" customHeight="1">
      <c r="A232" s="139"/>
      <c r="B232" s="71"/>
      <c r="C232" s="25"/>
      <c r="D232" s="138"/>
      <c r="E232" s="25"/>
      <c r="F232" s="25"/>
      <c r="G232" s="119"/>
    </row>
    <row r="233" ht="22.5" customHeight="1">
      <c r="A233" s="139"/>
      <c r="B233" s="71"/>
      <c r="C233" s="25"/>
      <c r="D233" s="138"/>
      <c r="E233" s="25"/>
      <c r="F233" s="25"/>
      <c r="G233" s="119"/>
    </row>
    <row r="234" ht="22.5" customHeight="1">
      <c r="A234" s="139"/>
      <c r="B234" s="71"/>
      <c r="C234" s="25"/>
      <c r="D234" s="138"/>
      <c r="E234" s="25"/>
      <c r="F234" s="25"/>
      <c r="G234" s="119"/>
    </row>
    <row r="235" ht="22.5" customHeight="1">
      <c r="A235" s="139"/>
      <c r="B235" s="71"/>
      <c r="C235" s="25"/>
      <c r="D235" s="138"/>
      <c r="E235" s="25"/>
      <c r="F235" s="25"/>
      <c r="G235" s="119"/>
    </row>
    <row r="236" ht="22.5" customHeight="1">
      <c r="A236" s="139"/>
      <c r="B236" s="71"/>
      <c r="C236" s="25"/>
      <c r="D236" s="138"/>
      <c r="E236" s="25"/>
      <c r="F236" s="25"/>
      <c r="G236" s="119"/>
    </row>
    <row r="237" ht="22.5" customHeight="1">
      <c r="A237" s="139"/>
      <c r="B237" s="71"/>
      <c r="C237" s="25"/>
      <c r="D237" s="138"/>
      <c r="E237" s="25"/>
      <c r="F237" s="25"/>
      <c r="G237" s="119"/>
    </row>
    <row r="238" ht="22.5" customHeight="1">
      <c r="A238" s="139"/>
      <c r="B238" s="71"/>
      <c r="C238" s="25"/>
      <c r="D238" s="138"/>
      <c r="E238" s="25"/>
      <c r="F238" s="25"/>
      <c r="G238" s="119"/>
    </row>
    <row r="239" ht="22.5" customHeight="1">
      <c r="A239" s="139"/>
      <c r="B239" s="71"/>
      <c r="C239" s="25"/>
      <c r="D239" s="138"/>
      <c r="E239" s="25"/>
      <c r="F239" s="25"/>
      <c r="G239" s="119"/>
    </row>
    <row r="240" ht="22.5" customHeight="1">
      <c r="A240" s="139"/>
      <c r="B240" s="71"/>
      <c r="C240" s="25"/>
      <c r="D240" s="138"/>
      <c r="E240" s="25"/>
      <c r="F240" s="25"/>
      <c r="G240" s="119"/>
    </row>
    <row r="241" ht="22.5" customHeight="1">
      <c r="A241" s="139"/>
      <c r="B241" s="71"/>
      <c r="C241" s="25"/>
      <c r="D241" s="138"/>
      <c r="E241" s="25"/>
      <c r="F241" s="25"/>
      <c r="G241" s="119"/>
    </row>
    <row r="242" ht="22.5" customHeight="1">
      <c r="A242" s="139"/>
      <c r="B242" s="71"/>
      <c r="C242" s="25"/>
      <c r="D242" s="138"/>
      <c r="E242" s="25"/>
      <c r="F242" s="25"/>
      <c r="G242" s="119"/>
    </row>
    <row r="243" ht="22.5" customHeight="1">
      <c r="A243" s="139"/>
      <c r="B243" s="71"/>
      <c r="C243" s="25"/>
      <c r="D243" s="138"/>
      <c r="E243" s="25"/>
      <c r="F243" s="25"/>
      <c r="G243" s="119"/>
    </row>
    <row r="244" ht="22.5" customHeight="1">
      <c r="A244" s="139"/>
      <c r="B244" s="71"/>
      <c r="C244" s="25"/>
      <c r="D244" s="138"/>
      <c r="E244" s="25"/>
      <c r="F244" s="25"/>
      <c r="G244" s="119"/>
    </row>
    <row r="245" ht="22.5" customHeight="1">
      <c r="A245" s="139"/>
      <c r="B245" s="71"/>
      <c r="C245" s="25"/>
      <c r="D245" s="138"/>
      <c r="E245" s="25"/>
      <c r="F245" s="25"/>
      <c r="G245" s="119"/>
    </row>
    <row r="246" ht="22.5" customHeight="1">
      <c r="A246" s="139"/>
      <c r="B246" s="71"/>
      <c r="C246" s="25"/>
      <c r="D246" s="138"/>
      <c r="E246" s="25"/>
      <c r="F246" s="25"/>
      <c r="G246" s="119"/>
    </row>
    <row r="247" ht="22.5" customHeight="1">
      <c r="A247" s="139"/>
      <c r="B247" s="71"/>
      <c r="C247" s="25"/>
      <c r="D247" s="138"/>
      <c r="E247" s="25"/>
      <c r="F247" s="25"/>
      <c r="G247" s="119"/>
    </row>
    <row r="248" ht="22.5" customHeight="1">
      <c r="A248" s="139"/>
      <c r="B248" s="71"/>
      <c r="C248" s="25"/>
      <c r="D248" s="138"/>
      <c r="E248" s="25"/>
      <c r="F248" s="25"/>
      <c r="G248" s="119"/>
    </row>
    <row r="249" ht="22.5" customHeight="1">
      <c r="A249" s="139"/>
      <c r="B249" s="71"/>
      <c r="C249" s="25"/>
      <c r="D249" s="138"/>
      <c r="E249" s="25"/>
      <c r="F249" s="25"/>
      <c r="G249" s="119"/>
    </row>
    <row r="250" ht="22.5" customHeight="1">
      <c r="A250" s="139"/>
      <c r="B250" s="71"/>
      <c r="C250" s="25"/>
      <c r="D250" s="138"/>
      <c r="E250" s="25"/>
      <c r="F250" s="25"/>
      <c r="G250" s="119"/>
    </row>
    <row r="251" ht="22.5" customHeight="1">
      <c r="A251" s="139"/>
      <c r="B251" s="71"/>
      <c r="C251" s="25"/>
      <c r="D251" s="138"/>
      <c r="E251" s="25"/>
      <c r="F251" s="25"/>
      <c r="G251" s="119"/>
    </row>
    <row r="252" ht="22.5" customHeight="1">
      <c r="A252" s="139"/>
      <c r="B252" s="71"/>
      <c r="C252" s="25"/>
      <c r="D252" s="138"/>
      <c r="E252" s="25"/>
      <c r="F252" s="25"/>
      <c r="G252" s="119"/>
    </row>
    <row r="253" ht="22.5" customHeight="1">
      <c r="A253" s="139"/>
      <c r="B253" s="71"/>
      <c r="C253" s="25"/>
      <c r="D253" s="138"/>
      <c r="E253" s="25"/>
      <c r="F253" s="25"/>
      <c r="G253" s="119"/>
    </row>
    <row r="254" ht="22.5" customHeight="1">
      <c r="A254" s="139"/>
      <c r="B254" s="71"/>
      <c r="C254" s="25"/>
      <c r="D254" s="138"/>
      <c r="E254" s="25"/>
      <c r="F254" s="25"/>
      <c r="G254" s="119"/>
    </row>
    <row r="255" ht="22.5" customHeight="1">
      <c r="A255" s="139"/>
      <c r="B255" s="71"/>
      <c r="C255" s="25"/>
      <c r="D255" s="138"/>
      <c r="E255" s="25"/>
      <c r="F255" s="25"/>
      <c r="G255" s="119"/>
    </row>
    <row r="256" ht="22.5" customHeight="1">
      <c r="A256" s="139"/>
      <c r="B256" s="71"/>
      <c r="C256" s="25"/>
      <c r="D256" s="138"/>
      <c r="E256" s="25"/>
      <c r="F256" s="25"/>
      <c r="G256" s="119"/>
    </row>
    <row r="257" ht="22.5" customHeight="1">
      <c r="A257" s="139"/>
      <c r="B257" s="71"/>
      <c r="C257" s="25"/>
      <c r="D257" s="138"/>
      <c r="E257" s="25"/>
      <c r="F257" s="25"/>
      <c r="G257" s="119"/>
    </row>
    <row r="258" ht="22.5" customHeight="1">
      <c r="A258" s="139"/>
      <c r="B258" s="71"/>
      <c r="C258" s="25"/>
      <c r="D258" s="138"/>
      <c r="E258" s="25"/>
      <c r="F258" s="25"/>
      <c r="G258" s="119"/>
    </row>
    <row r="259" ht="22.5" customHeight="1">
      <c r="A259" s="139"/>
      <c r="B259" s="71"/>
      <c r="C259" s="25"/>
      <c r="D259" s="138"/>
      <c r="E259" s="25"/>
      <c r="F259" s="25"/>
      <c r="G259" s="119"/>
    </row>
    <row r="260" ht="22.5" customHeight="1">
      <c r="A260" s="139"/>
      <c r="B260" s="71"/>
      <c r="C260" s="25"/>
      <c r="D260" s="138"/>
      <c r="E260" s="25"/>
      <c r="F260" s="25"/>
      <c r="G260" s="119"/>
    </row>
    <row r="261" ht="22.5" customHeight="1">
      <c r="A261" s="139"/>
      <c r="B261" s="71"/>
      <c r="C261" s="25"/>
      <c r="D261" s="138"/>
      <c r="E261" s="25"/>
      <c r="F261" s="25"/>
      <c r="G261" s="119"/>
    </row>
    <row r="262" ht="22.5" customHeight="1">
      <c r="A262" s="139"/>
      <c r="B262" s="71"/>
      <c r="C262" s="25"/>
      <c r="D262" s="138"/>
      <c r="E262" s="25"/>
      <c r="F262" s="25"/>
      <c r="G262" s="119"/>
    </row>
    <row r="263" ht="22.5" customHeight="1">
      <c r="A263" s="139"/>
      <c r="B263" s="71"/>
      <c r="C263" s="25"/>
      <c r="D263" s="138"/>
      <c r="E263" s="25"/>
      <c r="F263" s="25"/>
      <c r="G263" s="119"/>
    </row>
    <row r="264" ht="22.5" customHeight="1">
      <c r="A264" s="139"/>
      <c r="B264" s="71"/>
      <c r="C264" s="25"/>
      <c r="D264" s="138"/>
      <c r="E264" s="25"/>
      <c r="F264" s="25"/>
      <c r="G264" s="119"/>
    </row>
    <row r="265" ht="22.5" customHeight="1">
      <c r="A265" s="139"/>
      <c r="B265" s="71"/>
      <c r="C265" s="25"/>
      <c r="D265" s="138"/>
      <c r="E265" s="25"/>
      <c r="F265" s="25"/>
      <c r="G265" s="119"/>
    </row>
    <row r="266" ht="22.5" customHeight="1">
      <c r="A266" s="139"/>
      <c r="B266" s="71"/>
      <c r="C266" s="25"/>
      <c r="D266" s="138"/>
      <c r="E266" s="25"/>
      <c r="F266" s="25"/>
      <c r="G266" s="119"/>
    </row>
    <row r="267" ht="22.5" customHeight="1">
      <c r="A267" s="139"/>
      <c r="B267" s="71"/>
      <c r="C267" s="25"/>
      <c r="D267" s="138"/>
      <c r="E267" s="25"/>
      <c r="F267" s="25"/>
      <c r="G267" s="119"/>
    </row>
    <row r="268" ht="22.5" customHeight="1">
      <c r="A268" s="139"/>
      <c r="B268" s="71"/>
      <c r="C268" s="25"/>
      <c r="D268" s="138"/>
      <c r="E268" s="25"/>
      <c r="F268" s="25"/>
      <c r="G268" s="119"/>
    </row>
    <row r="269" ht="22.5" customHeight="1">
      <c r="A269" s="139"/>
      <c r="B269" s="71"/>
      <c r="C269" s="25"/>
      <c r="D269" s="138"/>
      <c r="E269" s="25"/>
      <c r="F269" s="25"/>
      <c r="G269" s="119"/>
    </row>
    <row r="270" ht="22.5" customHeight="1">
      <c r="A270" s="139"/>
      <c r="B270" s="71"/>
      <c r="C270" s="25"/>
      <c r="D270" s="138"/>
      <c r="E270" s="25"/>
      <c r="F270" s="25"/>
      <c r="G270" s="119"/>
    </row>
    <row r="271" ht="22.5" customHeight="1">
      <c r="A271" s="139"/>
      <c r="B271" s="71"/>
      <c r="C271" s="25"/>
      <c r="D271" s="138"/>
      <c r="E271" s="25"/>
      <c r="F271" s="25"/>
      <c r="G271" s="119"/>
    </row>
    <row r="272" ht="22.5" customHeight="1">
      <c r="A272" s="139"/>
      <c r="B272" s="71"/>
      <c r="C272" s="25"/>
      <c r="D272" s="138"/>
      <c r="E272" s="25"/>
      <c r="F272" s="25"/>
      <c r="G272" s="119"/>
    </row>
    <row r="273" ht="22.5" customHeight="1">
      <c r="A273" s="139"/>
      <c r="B273" s="71"/>
      <c r="C273" s="25"/>
      <c r="D273" s="138"/>
      <c r="E273" s="25"/>
      <c r="F273" s="25"/>
      <c r="G273" s="119"/>
    </row>
    <row r="274" ht="22.5" customHeight="1">
      <c r="A274" s="139"/>
      <c r="B274" s="71"/>
      <c r="C274" s="25"/>
      <c r="D274" s="138"/>
      <c r="E274" s="25"/>
      <c r="F274" s="25"/>
      <c r="G274" s="119"/>
    </row>
    <row r="275" ht="22.5" customHeight="1">
      <c r="A275" s="139"/>
      <c r="B275" s="71"/>
      <c r="C275" s="25"/>
      <c r="D275" s="138"/>
      <c r="E275" s="25"/>
      <c r="F275" s="25"/>
      <c r="G275" s="119"/>
    </row>
    <row r="276" ht="22.5" customHeight="1">
      <c r="A276" s="139"/>
      <c r="B276" s="71"/>
      <c r="C276" s="25"/>
      <c r="D276" s="138"/>
      <c r="E276" s="25"/>
      <c r="F276" s="25"/>
      <c r="G276" s="119"/>
    </row>
    <row r="277" ht="22.5" customHeight="1">
      <c r="A277" s="139"/>
      <c r="B277" s="71"/>
      <c r="C277" s="25"/>
      <c r="D277" s="138"/>
      <c r="E277" s="25"/>
      <c r="F277" s="25"/>
      <c r="G277" s="119"/>
    </row>
    <row r="278" ht="22.5" customHeight="1">
      <c r="A278" s="139"/>
      <c r="B278" s="71"/>
      <c r="C278" s="25"/>
      <c r="D278" s="138"/>
      <c r="E278" s="25"/>
      <c r="F278" s="25"/>
      <c r="G278" s="119"/>
    </row>
    <row r="279" ht="22.5" customHeight="1">
      <c r="A279" s="139"/>
      <c r="B279" s="71"/>
      <c r="C279" s="25"/>
      <c r="D279" s="138"/>
      <c r="E279" s="25"/>
      <c r="F279" s="25"/>
      <c r="G279" s="119"/>
    </row>
    <row r="280" ht="22.5" customHeight="1">
      <c r="A280" s="139"/>
      <c r="B280" s="71"/>
      <c r="C280" s="25"/>
      <c r="D280" s="138"/>
      <c r="E280" s="25"/>
      <c r="F280" s="25"/>
      <c r="G280" s="119"/>
    </row>
    <row r="281" ht="22.5" customHeight="1">
      <c r="A281" s="139"/>
      <c r="B281" s="71"/>
      <c r="C281" s="25"/>
      <c r="D281" s="138"/>
      <c r="E281" s="25"/>
      <c r="F281" s="25"/>
      <c r="G281" s="119"/>
    </row>
    <row r="282" ht="22.5" customHeight="1">
      <c r="A282" s="139"/>
      <c r="B282" s="71"/>
      <c r="C282" s="25"/>
      <c r="D282" s="138"/>
      <c r="E282" s="25"/>
      <c r="F282" s="25"/>
      <c r="G282" s="119"/>
    </row>
    <row r="283" ht="22.5" customHeight="1">
      <c r="A283" s="139"/>
      <c r="B283" s="71"/>
      <c r="C283" s="25"/>
      <c r="D283" s="138"/>
      <c r="E283" s="25"/>
      <c r="F283" s="25"/>
      <c r="G283" s="119"/>
    </row>
    <row r="284" ht="22.5" customHeight="1">
      <c r="A284" s="139"/>
      <c r="B284" s="71"/>
      <c r="C284" s="25"/>
      <c r="D284" s="138"/>
      <c r="E284" s="25"/>
      <c r="F284" s="25"/>
      <c r="G284" s="119"/>
    </row>
    <row r="285" ht="22.5" customHeight="1">
      <c r="A285" s="139"/>
      <c r="B285" s="71"/>
      <c r="C285" s="25"/>
      <c r="D285" s="138"/>
      <c r="E285" s="25"/>
      <c r="F285" s="25"/>
      <c r="G285" s="119"/>
    </row>
    <row r="286" ht="22.5" customHeight="1">
      <c r="A286" s="139"/>
      <c r="B286" s="71"/>
      <c r="C286" s="25"/>
      <c r="D286" s="138"/>
      <c r="E286" s="25"/>
      <c r="F286" s="25"/>
      <c r="G286" s="119"/>
    </row>
    <row r="287" ht="22.5" customHeight="1">
      <c r="A287" s="139"/>
      <c r="B287" s="71"/>
      <c r="C287" s="25"/>
      <c r="D287" s="138"/>
      <c r="E287" s="25"/>
      <c r="F287" s="25"/>
      <c r="G287" s="119"/>
    </row>
    <row r="288" ht="22.5" customHeight="1">
      <c r="A288" s="139"/>
      <c r="B288" s="71"/>
      <c r="C288" s="25"/>
      <c r="D288" s="138"/>
      <c r="E288" s="25"/>
      <c r="F288" s="25"/>
      <c r="G288" s="119"/>
    </row>
    <row r="289" ht="22.5" customHeight="1">
      <c r="A289" s="139"/>
      <c r="B289" s="71"/>
      <c r="C289" s="25"/>
      <c r="D289" s="138"/>
      <c r="E289" s="25"/>
      <c r="F289" s="25"/>
      <c r="G289" s="119"/>
    </row>
    <row r="290" ht="22.5" customHeight="1">
      <c r="A290" s="139"/>
      <c r="B290" s="71"/>
      <c r="C290" s="25"/>
      <c r="D290" s="138"/>
      <c r="E290" s="25"/>
      <c r="F290" s="25"/>
      <c r="G290" s="119"/>
    </row>
    <row r="291" ht="22.5" customHeight="1">
      <c r="A291" s="139"/>
      <c r="B291" s="71"/>
      <c r="C291" s="25"/>
      <c r="D291" s="138"/>
      <c r="E291" s="25"/>
      <c r="F291" s="25"/>
      <c r="G291" s="119"/>
    </row>
    <row r="292" ht="22.5" customHeight="1">
      <c r="A292" s="139"/>
      <c r="B292" s="71"/>
      <c r="C292" s="25"/>
      <c r="D292" s="138"/>
      <c r="E292" s="25"/>
      <c r="F292" s="25"/>
      <c r="G292" s="119"/>
    </row>
    <row r="293" ht="22.5" customHeight="1">
      <c r="A293" s="139"/>
      <c r="B293" s="71"/>
      <c r="C293" s="25"/>
      <c r="D293" s="138"/>
      <c r="E293" s="25"/>
      <c r="F293" s="25"/>
      <c r="G293" s="119"/>
    </row>
    <row r="294" ht="22.5" customHeight="1">
      <c r="A294" s="139"/>
      <c r="B294" s="71"/>
      <c r="C294" s="25"/>
      <c r="D294" s="138"/>
      <c r="E294" s="25"/>
      <c r="F294" s="25"/>
      <c r="G294" s="119"/>
    </row>
    <row r="295" ht="22.5" customHeight="1">
      <c r="A295" s="139"/>
      <c r="B295" s="71"/>
      <c r="C295" s="25"/>
      <c r="D295" s="138"/>
      <c r="E295" s="25"/>
      <c r="F295" s="25"/>
      <c r="G295" s="119"/>
    </row>
    <row r="296" ht="22.5" customHeight="1">
      <c r="A296" s="139"/>
      <c r="B296" s="71"/>
      <c r="C296" s="25"/>
      <c r="D296" s="138"/>
      <c r="E296" s="25"/>
      <c r="F296" s="25"/>
      <c r="G296" s="119"/>
    </row>
    <row r="297" ht="22.5" customHeight="1">
      <c r="A297" s="139"/>
      <c r="B297" s="71"/>
      <c r="C297" s="25"/>
      <c r="D297" s="138"/>
      <c r="E297" s="25"/>
      <c r="F297" s="25"/>
      <c r="G297" s="119"/>
    </row>
    <row r="298" ht="22.5" customHeight="1">
      <c r="A298" s="139"/>
      <c r="B298" s="71"/>
      <c r="C298" s="25"/>
      <c r="D298" s="138"/>
      <c r="E298" s="25"/>
      <c r="F298" s="25"/>
      <c r="G298" s="119"/>
    </row>
    <row r="299" ht="22.5" customHeight="1">
      <c r="A299" s="139"/>
      <c r="B299" s="71"/>
      <c r="C299" s="25"/>
      <c r="D299" s="138"/>
      <c r="E299" s="25"/>
      <c r="F299" s="25"/>
      <c r="G299" s="119"/>
    </row>
    <row r="300" ht="22.5" customHeight="1">
      <c r="A300" s="139"/>
      <c r="B300" s="71"/>
      <c r="C300" s="25"/>
      <c r="D300" s="138"/>
      <c r="E300" s="25"/>
      <c r="F300" s="25"/>
      <c r="G300" s="119"/>
    </row>
    <row r="301" ht="22.5" customHeight="1">
      <c r="A301" s="139"/>
      <c r="B301" s="71"/>
      <c r="C301" s="25"/>
      <c r="D301" s="138"/>
      <c r="E301" s="25"/>
      <c r="F301" s="25"/>
      <c r="G301" s="119"/>
    </row>
    <row r="302" ht="22.5" customHeight="1">
      <c r="A302" s="139"/>
      <c r="B302" s="71"/>
      <c r="C302" s="25"/>
      <c r="D302" s="138"/>
      <c r="E302" s="25"/>
      <c r="F302" s="25"/>
      <c r="G302" s="119"/>
    </row>
    <row r="303" ht="22.5" customHeight="1">
      <c r="A303" s="139"/>
      <c r="B303" s="71"/>
      <c r="C303" s="25"/>
      <c r="D303" s="138"/>
      <c r="E303" s="25"/>
      <c r="F303" s="25"/>
      <c r="G303" s="119"/>
    </row>
    <row r="304" ht="22.5" customHeight="1">
      <c r="A304" s="139"/>
      <c r="B304" s="71"/>
      <c r="C304" s="25"/>
      <c r="D304" s="138"/>
      <c r="E304" s="25"/>
      <c r="F304" s="25"/>
      <c r="G304" s="119"/>
    </row>
    <row r="305" ht="22.5" customHeight="1">
      <c r="A305" s="139"/>
      <c r="B305" s="71"/>
      <c r="C305" s="25"/>
      <c r="D305" s="138"/>
      <c r="E305" s="25"/>
      <c r="F305" s="25"/>
      <c r="G305" s="119"/>
    </row>
    <row r="306" ht="22.5" customHeight="1">
      <c r="A306" s="139"/>
      <c r="B306" s="71"/>
      <c r="C306" s="25"/>
      <c r="D306" s="138"/>
      <c r="E306" s="25"/>
      <c r="F306" s="25"/>
      <c r="G306" s="119"/>
    </row>
    <row r="307" ht="22.5" customHeight="1">
      <c r="A307" s="139"/>
      <c r="B307" s="71"/>
      <c r="C307" s="25"/>
      <c r="D307" s="138"/>
      <c r="E307" s="25"/>
      <c r="F307" s="25"/>
      <c r="G307" s="119"/>
    </row>
    <row r="308" ht="22.5" customHeight="1">
      <c r="A308" s="139"/>
      <c r="B308" s="71"/>
      <c r="C308" s="25"/>
      <c r="D308" s="138"/>
      <c r="E308" s="25"/>
      <c r="F308" s="25"/>
      <c r="G308" s="119"/>
    </row>
    <row r="309" ht="22.5" customHeight="1">
      <c r="A309" s="139"/>
      <c r="B309" s="71"/>
      <c r="C309" s="25"/>
      <c r="D309" s="138"/>
      <c r="E309" s="25"/>
      <c r="F309" s="25"/>
      <c r="G309" s="119"/>
    </row>
    <row r="310" ht="22.5" customHeight="1">
      <c r="A310" s="139"/>
      <c r="B310" s="71"/>
      <c r="C310" s="25"/>
      <c r="D310" s="138"/>
      <c r="E310" s="25"/>
      <c r="F310" s="25"/>
      <c r="G310" s="119"/>
    </row>
    <row r="311" ht="22.5" customHeight="1">
      <c r="A311" s="139"/>
      <c r="B311" s="71"/>
      <c r="C311" s="25"/>
      <c r="D311" s="138"/>
      <c r="E311" s="25"/>
      <c r="F311" s="25"/>
      <c r="G311" s="119"/>
    </row>
    <row r="312" ht="22.5" customHeight="1">
      <c r="A312" s="139"/>
      <c r="B312" s="71"/>
      <c r="C312" s="25"/>
      <c r="D312" s="138"/>
      <c r="E312" s="25"/>
      <c r="F312" s="25"/>
      <c r="G312" s="119"/>
    </row>
    <row r="313" ht="22.5" customHeight="1">
      <c r="A313" s="139"/>
      <c r="B313" s="71"/>
      <c r="C313" s="25"/>
      <c r="D313" s="138"/>
      <c r="E313" s="25"/>
      <c r="F313" s="25"/>
      <c r="G313" s="119"/>
    </row>
    <row r="314" ht="22.5" customHeight="1">
      <c r="A314" s="139"/>
      <c r="B314" s="71"/>
      <c r="C314" s="25"/>
      <c r="D314" s="138"/>
      <c r="E314" s="25"/>
      <c r="F314" s="25"/>
      <c r="G314" s="119"/>
    </row>
    <row r="315" ht="22.5" customHeight="1">
      <c r="A315" s="139"/>
      <c r="B315" s="71"/>
      <c r="C315" s="25"/>
      <c r="D315" s="138"/>
      <c r="E315" s="25"/>
      <c r="F315" s="25"/>
      <c r="G315" s="119"/>
    </row>
    <row r="316" ht="22.5" customHeight="1">
      <c r="A316" s="139"/>
      <c r="B316" s="71"/>
      <c r="C316" s="25"/>
      <c r="D316" s="138"/>
      <c r="E316" s="25"/>
      <c r="F316" s="25"/>
      <c r="G316" s="119"/>
    </row>
    <row r="317" ht="22.5" customHeight="1">
      <c r="A317" s="139"/>
      <c r="B317" s="71"/>
      <c r="C317" s="25"/>
      <c r="D317" s="138"/>
      <c r="E317" s="25"/>
      <c r="F317" s="25"/>
      <c r="G317" s="119"/>
    </row>
    <row r="318" ht="22.5" customHeight="1">
      <c r="A318" s="139"/>
      <c r="B318" s="71"/>
      <c r="C318" s="25"/>
      <c r="D318" s="138"/>
      <c r="E318" s="25"/>
      <c r="F318" s="25"/>
      <c r="G318" s="119"/>
    </row>
    <row r="319" ht="22.5" customHeight="1">
      <c r="A319" s="139"/>
      <c r="B319" s="71"/>
      <c r="C319" s="25"/>
      <c r="D319" s="138"/>
      <c r="E319" s="25"/>
      <c r="F319" s="25"/>
      <c r="G319" s="119"/>
    </row>
    <row r="320" ht="22.5" customHeight="1">
      <c r="A320" s="139"/>
      <c r="B320" s="71"/>
      <c r="C320" s="25"/>
      <c r="D320" s="138"/>
      <c r="E320" s="25"/>
      <c r="F320" s="25"/>
      <c r="G320" s="119"/>
    </row>
    <row r="321" ht="22.5" customHeight="1">
      <c r="A321" s="139"/>
      <c r="B321" s="71"/>
      <c r="C321" s="25"/>
      <c r="D321" s="138"/>
      <c r="E321" s="25"/>
      <c r="F321" s="25"/>
      <c r="G321" s="119"/>
    </row>
    <row r="322" ht="22.5" customHeight="1">
      <c r="A322" s="139"/>
      <c r="B322" s="71"/>
      <c r="C322" s="25"/>
      <c r="D322" s="138"/>
      <c r="E322" s="25"/>
      <c r="F322" s="25"/>
      <c r="G322" s="119"/>
    </row>
    <row r="323" ht="22.5" customHeight="1">
      <c r="A323" s="139"/>
      <c r="B323" s="71"/>
      <c r="C323" s="25"/>
      <c r="D323" s="138"/>
      <c r="E323" s="25"/>
      <c r="F323" s="25"/>
      <c r="G323" s="119"/>
    </row>
    <row r="324" ht="22.5" customHeight="1">
      <c r="A324" s="139"/>
      <c r="B324" s="71"/>
      <c r="C324" s="25"/>
      <c r="D324" s="138"/>
      <c r="E324" s="25"/>
      <c r="F324" s="25"/>
      <c r="G324" s="119"/>
    </row>
    <row r="325" ht="22.5" customHeight="1">
      <c r="A325" s="139"/>
      <c r="B325" s="71"/>
      <c r="C325" s="25"/>
      <c r="D325" s="138"/>
      <c r="E325" s="25"/>
      <c r="F325" s="25"/>
      <c r="G325" s="119"/>
    </row>
    <row r="326" ht="22.5" customHeight="1">
      <c r="A326" s="139"/>
      <c r="B326" s="71"/>
      <c r="C326" s="25"/>
      <c r="D326" s="138"/>
      <c r="E326" s="25"/>
      <c r="F326" s="25"/>
      <c r="G326" s="119"/>
    </row>
    <row r="327" ht="22.5" customHeight="1">
      <c r="A327" s="139"/>
      <c r="B327" s="71"/>
      <c r="C327" s="25"/>
      <c r="D327" s="138"/>
      <c r="E327" s="25"/>
      <c r="F327" s="25"/>
      <c r="G327" s="119"/>
    </row>
    <row r="328" ht="22.5" customHeight="1">
      <c r="A328" s="139"/>
      <c r="B328" s="71"/>
      <c r="C328" s="25"/>
      <c r="D328" s="138"/>
      <c r="E328" s="25"/>
      <c r="F328" s="25"/>
      <c r="G328" s="119"/>
    </row>
    <row r="329" ht="22.5" customHeight="1">
      <c r="A329" s="139"/>
      <c r="B329" s="71"/>
      <c r="C329" s="25"/>
      <c r="D329" s="138"/>
      <c r="E329" s="25"/>
      <c r="F329" s="25"/>
      <c r="G329" s="119"/>
    </row>
    <row r="330" ht="22.5" customHeight="1">
      <c r="A330" s="139"/>
      <c r="B330" s="71"/>
      <c r="C330" s="25"/>
      <c r="D330" s="138"/>
      <c r="E330" s="25"/>
      <c r="F330" s="25"/>
      <c r="G330" s="119"/>
    </row>
    <row r="331" ht="22.5" customHeight="1">
      <c r="A331" s="139"/>
      <c r="B331" s="71"/>
      <c r="C331" s="25"/>
      <c r="D331" s="138"/>
      <c r="E331" s="25"/>
      <c r="F331" s="25"/>
      <c r="G331" s="119"/>
    </row>
    <row r="332" ht="22.5" customHeight="1">
      <c r="A332" s="139"/>
      <c r="B332" s="71"/>
      <c r="C332" s="25"/>
      <c r="D332" s="138"/>
      <c r="E332" s="25"/>
      <c r="F332" s="25"/>
      <c r="G332" s="119"/>
    </row>
    <row r="333" ht="22.5" customHeight="1">
      <c r="A333" s="139"/>
      <c r="B333" s="71"/>
      <c r="C333" s="25"/>
      <c r="D333" s="138"/>
      <c r="E333" s="25"/>
      <c r="F333" s="25"/>
      <c r="G333" s="119"/>
    </row>
    <row r="334" ht="22.5" customHeight="1">
      <c r="A334" s="139"/>
      <c r="B334" s="71"/>
      <c r="C334" s="25"/>
      <c r="D334" s="138"/>
      <c r="E334" s="25"/>
      <c r="F334" s="25"/>
      <c r="G334" s="119"/>
    </row>
    <row r="335" ht="22.5" customHeight="1">
      <c r="A335" s="139"/>
      <c r="B335" s="71"/>
      <c r="C335" s="25"/>
      <c r="D335" s="138"/>
      <c r="E335" s="25"/>
      <c r="F335" s="25"/>
      <c r="G335" s="119"/>
    </row>
    <row r="336" ht="22.5" customHeight="1">
      <c r="A336" s="139"/>
      <c r="B336" s="71"/>
      <c r="C336" s="25"/>
      <c r="D336" s="138"/>
      <c r="E336" s="25"/>
      <c r="F336" s="25"/>
      <c r="G336" s="119"/>
    </row>
    <row r="337" ht="22.5" customHeight="1">
      <c r="A337" s="139"/>
      <c r="B337" s="71"/>
      <c r="C337" s="25"/>
      <c r="D337" s="138"/>
      <c r="E337" s="25"/>
      <c r="F337" s="25"/>
      <c r="G337" s="119"/>
    </row>
    <row r="338" ht="22.5" customHeight="1">
      <c r="A338" s="139"/>
      <c r="B338" s="71"/>
      <c r="C338" s="25"/>
      <c r="D338" s="138"/>
      <c r="E338" s="25"/>
      <c r="F338" s="25"/>
      <c r="G338" s="119"/>
    </row>
    <row r="339" ht="22.5" customHeight="1">
      <c r="A339" s="139"/>
      <c r="B339" s="71"/>
      <c r="C339" s="25"/>
      <c r="D339" s="138"/>
      <c r="E339" s="25"/>
      <c r="F339" s="25"/>
      <c r="G339" s="119"/>
    </row>
    <row r="340" ht="22.5" customHeight="1">
      <c r="A340" s="139"/>
      <c r="B340" s="71"/>
      <c r="C340" s="25"/>
      <c r="D340" s="138"/>
      <c r="E340" s="25"/>
      <c r="F340" s="25"/>
      <c r="G340" s="119"/>
    </row>
    <row r="341" ht="22.5" customHeight="1">
      <c r="A341" s="139"/>
      <c r="B341" s="71"/>
      <c r="C341" s="25"/>
      <c r="D341" s="138"/>
      <c r="E341" s="25"/>
      <c r="F341" s="25"/>
      <c r="G341" s="119"/>
    </row>
    <row r="342" ht="22.5" customHeight="1">
      <c r="A342" s="139"/>
      <c r="B342" s="71"/>
      <c r="C342" s="25"/>
      <c r="D342" s="138"/>
      <c r="E342" s="25"/>
      <c r="F342" s="25"/>
      <c r="G342" s="119"/>
    </row>
    <row r="343" ht="22.5" customHeight="1">
      <c r="A343" s="139"/>
      <c r="B343" s="71"/>
      <c r="C343" s="25"/>
      <c r="D343" s="138"/>
      <c r="E343" s="25"/>
      <c r="F343" s="25"/>
      <c r="G343" s="119"/>
    </row>
    <row r="344" ht="22.5" customHeight="1">
      <c r="A344" s="139"/>
      <c r="B344" s="71"/>
      <c r="C344" s="25"/>
      <c r="D344" s="138"/>
      <c r="E344" s="25"/>
      <c r="F344" s="25"/>
      <c r="G344" s="119"/>
    </row>
    <row r="345" ht="22.5" customHeight="1">
      <c r="A345" s="139"/>
      <c r="B345" s="71"/>
      <c r="C345" s="25"/>
      <c r="D345" s="138"/>
      <c r="E345" s="25"/>
      <c r="F345" s="25"/>
      <c r="G345" s="119"/>
    </row>
    <row r="346" ht="22.5" customHeight="1">
      <c r="A346" s="139"/>
      <c r="B346" s="71"/>
      <c r="C346" s="25"/>
      <c r="D346" s="138"/>
      <c r="E346" s="25"/>
      <c r="F346" s="25"/>
      <c r="G346" s="119"/>
    </row>
    <row r="347" ht="22.5" customHeight="1">
      <c r="A347" s="139"/>
      <c r="B347" s="71"/>
      <c r="C347" s="25"/>
      <c r="D347" s="138"/>
      <c r="E347" s="25"/>
      <c r="F347" s="25"/>
      <c r="G347" s="119"/>
    </row>
    <row r="348" ht="22.5" customHeight="1">
      <c r="A348" s="139"/>
      <c r="B348" s="71"/>
      <c r="C348" s="25"/>
      <c r="D348" s="138"/>
      <c r="E348" s="25"/>
      <c r="F348" s="25"/>
      <c r="G348" s="119"/>
    </row>
    <row r="349" ht="22.5" customHeight="1">
      <c r="A349" s="139"/>
      <c r="B349" s="71"/>
      <c r="C349" s="25"/>
      <c r="D349" s="138"/>
      <c r="E349" s="25"/>
      <c r="F349" s="25"/>
      <c r="G349" s="119"/>
    </row>
    <row r="350" ht="22.5" customHeight="1">
      <c r="A350" s="139"/>
      <c r="B350" s="71"/>
      <c r="C350" s="25"/>
      <c r="D350" s="138"/>
      <c r="E350" s="25"/>
      <c r="F350" s="25"/>
      <c r="G350" s="119"/>
    </row>
    <row r="351" ht="22.5" customHeight="1">
      <c r="A351" s="139"/>
      <c r="B351" s="71"/>
      <c r="C351" s="25"/>
      <c r="D351" s="138"/>
      <c r="E351" s="25"/>
      <c r="F351" s="25"/>
      <c r="G351" s="119"/>
    </row>
    <row r="352" ht="22.5" customHeight="1">
      <c r="A352" s="139"/>
      <c r="B352" s="71"/>
      <c r="C352" s="25"/>
      <c r="D352" s="138"/>
      <c r="E352" s="25"/>
      <c r="F352" s="25"/>
      <c r="G352" s="119"/>
    </row>
    <row r="353" ht="22.5" customHeight="1">
      <c r="A353" s="139"/>
      <c r="B353" s="71"/>
      <c r="C353" s="25"/>
      <c r="D353" s="138"/>
      <c r="E353" s="25"/>
      <c r="F353" s="25"/>
      <c r="G353" s="119"/>
    </row>
    <row r="354" ht="22.5" customHeight="1">
      <c r="A354" s="139"/>
      <c r="B354" s="71"/>
      <c r="C354" s="25"/>
      <c r="D354" s="138"/>
      <c r="E354" s="25"/>
      <c r="F354" s="25"/>
      <c r="G354" s="119"/>
    </row>
    <row r="355" ht="22.5" customHeight="1">
      <c r="A355" s="139"/>
      <c r="B355" s="71"/>
      <c r="C355" s="25"/>
      <c r="D355" s="138"/>
      <c r="E355" s="25"/>
      <c r="F355" s="25"/>
      <c r="G355" s="119"/>
    </row>
    <row r="356" ht="22.5" customHeight="1">
      <c r="A356" s="139"/>
      <c r="B356" s="71"/>
      <c r="C356" s="25"/>
      <c r="D356" s="138"/>
      <c r="E356" s="25"/>
      <c r="F356" s="25"/>
      <c r="G356" s="119"/>
    </row>
    <row r="357" ht="22.5" customHeight="1">
      <c r="A357" s="139"/>
      <c r="B357" s="71"/>
      <c r="C357" s="25"/>
      <c r="D357" s="138"/>
      <c r="E357" s="25"/>
      <c r="F357" s="25"/>
      <c r="G357" s="119"/>
    </row>
    <row r="358" ht="22.5" customHeight="1">
      <c r="A358" s="139"/>
      <c r="B358" s="71"/>
      <c r="C358" s="25"/>
      <c r="D358" s="138"/>
      <c r="E358" s="25"/>
      <c r="F358" s="25"/>
      <c r="G358" s="119"/>
    </row>
    <row r="359" ht="22.5" customHeight="1">
      <c r="A359" s="139"/>
      <c r="B359" s="71"/>
      <c r="C359" s="25"/>
      <c r="D359" s="138"/>
      <c r="E359" s="25"/>
      <c r="F359" s="25"/>
      <c r="G359" s="119"/>
    </row>
    <row r="360" ht="22.5" customHeight="1">
      <c r="A360" s="139"/>
      <c r="B360" s="71"/>
      <c r="C360" s="25"/>
      <c r="D360" s="138"/>
      <c r="E360" s="25"/>
      <c r="F360" s="25"/>
      <c r="G360" s="119"/>
    </row>
    <row r="361" ht="22.5" customHeight="1">
      <c r="A361" s="139"/>
      <c r="B361" s="71"/>
      <c r="C361" s="25"/>
      <c r="D361" s="138"/>
      <c r="E361" s="25"/>
      <c r="F361" s="25"/>
      <c r="G361" s="119"/>
    </row>
    <row r="362" ht="22.5" customHeight="1">
      <c r="A362" s="139"/>
      <c r="B362" s="71"/>
      <c r="C362" s="25"/>
      <c r="D362" s="138"/>
      <c r="E362" s="25"/>
      <c r="F362" s="25"/>
      <c r="G362" s="119"/>
    </row>
    <row r="363" ht="22.5" customHeight="1">
      <c r="A363" s="139"/>
      <c r="B363" s="71"/>
      <c r="C363" s="25"/>
      <c r="D363" s="138"/>
      <c r="E363" s="25"/>
      <c r="F363" s="25"/>
      <c r="G363" s="119"/>
    </row>
    <row r="364" ht="22.5" customHeight="1">
      <c r="A364" s="139"/>
      <c r="B364" s="71"/>
      <c r="C364" s="25"/>
      <c r="D364" s="138"/>
      <c r="E364" s="25"/>
      <c r="F364" s="25"/>
      <c r="G364" s="119"/>
    </row>
    <row r="365" ht="22.5" customHeight="1">
      <c r="A365" s="139"/>
      <c r="B365" s="71"/>
      <c r="C365" s="25"/>
      <c r="D365" s="138"/>
      <c r="E365" s="25"/>
      <c r="F365" s="25"/>
      <c r="G365" s="119"/>
    </row>
    <row r="366" ht="22.5" customHeight="1">
      <c r="A366" s="139"/>
      <c r="B366" s="71"/>
      <c r="C366" s="25"/>
      <c r="D366" s="138"/>
      <c r="E366" s="25"/>
      <c r="F366" s="25"/>
      <c r="G366" s="119"/>
    </row>
    <row r="367" ht="22.5" customHeight="1">
      <c r="A367" s="139"/>
      <c r="B367" s="71"/>
      <c r="C367" s="25"/>
      <c r="D367" s="138"/>
      <c r="E367" s="25"/>
      <c r="F367" s="25"/>
      <c r="G367" s="119"/>
    </row>
    <row r="368" ht="22.5" customHeight="1">
      <c r="A368" s="139"/>
      <c r="B368" s="71"/>
      <c r="C368" s="25"/>
      <c r="D368" s="138"/>
      <c r="E368" s="25"/>
      <c r="F368" s="25"/>
      <c r="G368" s="119"/>
    </row>
    <row r="369" ht="22.5" customHeight="1">
      <c r="A369" s="139"/>
      <c r="B369" s="71"/>
      <c r="C369" s="25"/>
      <c r="D369" s="138"/>
      <c r="E369" s="25"/>
      <c r="F369" s="25"/>
      <c r="G369" s="119"/>
    </row>
    <row r="370" ht="22.5" customHeight="1">
      <c r="A370" s="139"/>
      <c r="B370" s="71"/>
      <c r="C370" s="25"/>
      <c r="D370" s="138"/>
      <c r="E370" s="25"/>
      <c r="F370" s="25"/>
      <c r="G370" s="119"/>
    </row>
    <row r="371" ht="22.5" customHeight="1">
      <c r="A371" s="139"/>
      <c r="B371" s="71"/>
      <c r="C371" s="25"/>
      <c r="D371" s="138"/>
      <c r="E371" s="25"/>
      <c r="F371" s="25"/>
      <c r="G371" s="119"/>
    </row>
    <row r="372" ht="22.5" customHeight="1">
      <c r="A372" s="139"/>
      <c r="B372" s="71"/>
      <c r="C372" s="25"/>
      <c r="D372" s="138"/>
      <c r="E372" s="25"/>
      <c r="F372" s="25"/>
      <c r="G372" s="119"/>
    </row>
    <row r="373" ht="22.5" customHeight="1">
      <c r="A373" s="139"/>
      <c r="B373" s="71"/>
      <c r="C373" s="25"/>
      <c r="D373" s="138"/>
      <c r="E373" s="25"/>
      <c r="F373" s="25"/>
      <c r="G373" s="119"/>
    </row>
    <row r="374" ht="22.5" customHeight="1">
      <c r="A374" s="139"/>
      <c r="B374" s="71"/>
      <c r="C374" s="25"/>
      <c r="D374" s="138"/>
      <c r="E374" s="25"/>
      <c r="F374" s="25"/>
      <c r="G374" s="119"/>
    </row>
    <row r="375" ht="22.5" customHeight="1">
      <c r="A375" s="139"/>
      <c r="B375" s="71"/>
      <c r="C375" s="25"/>
      <c r="D375" s="138"/>
      <c r="E375" s="25"/>
      <c r="F375" s="25"/>
      <c r="G375" s="119"/>
    </row>
    <row r="376" ht="22.5" customHeight="1">
      <c r="A376" s="139"/>
      <c r="B376" s="71"/>
      <c r="C376" s="25"/>
      <c r="D376" s="138"/>
      <c r="E376" s="25"/>
      <c r="F376" s="25"/>
      <c r="G376" s="119"/>
    </row>
    <row r="377" ht="22.5" customHeight="1">
      <c r="A377" s="139"/>
      <c r="B377" s="71"/>
      <c r="C377" s="25"/>
      <c r="D377" s="138"/>
      <c r="E377" s="25"/>
      <c r="F377" s="25"/>
      <c r="G377" s="119"/>
    </row>
    <row r="378" ht="22.5" customHeight="1">
      <c r="A378" s="139"/>
      <c r="B378" s="71"/>
      <c r="C378" s="25"/>
      <c r="D378" s="138"/>
      <c r="E378" s="25"/>
      <c r="F378" s="25"/>
      <c r="G378" s="119"/>
    </row>
    <row r="379" ht="22.5" customHeight="1">
      <c r="A379" s="139"/>
      <c r="B379" s="71"/>
      <c r="C379" s="25"/>
      <c r="D379" s="138"/>
      <c r="E379" s="25"/>
      <c r="F379" s="25"/>
      <c r="G379" s="119"/>
    </row>
    <row r="380" ht="22.5" customHeight="1">
      <c r="A380" s="139"/>
      <c r="B380" s="71"/>
      <c r="C380" s="25"/>
      <c r="D380" s="138"/>
      <c r="E380" s="25"/>
      <c r="F380" s="25"/>
      <c r="G380" s="119"/>
    </row>
    <row r="381" ht="22.5" customHeight="1">
      <c r="A381" s="139"/>
      <c r="B381" s="71"/>
      <c r="C381" s="25"/>
      <c r="D381" s="138"/>
      <c r="E381" s="25"/>
      <c r="F381" s="25"/>
      <c r="G381" s="119"/>
    </row>
    <row r="382" ht="22.5" customHeight="1">
      <c r="A382" s="139"/>
      <c r="B382" s="71"/>
      <c r="C382" s="25"/>
      <c r="D382" s="138"/>
      <c r="E382" s="25"/>
      <c r="F382" s="25"/>
      <c r="G382" s="119"/>
    </row>
    <row r="383" ht="22.5" customHeight="1">
      <c r="A383" s="139"/>
      <c r="B383" s="71"/>
      <c r="C383" s="25"/>
      <c r="D383" s="138"/>
      <c r="E383" s="25"/>
      <c r="F383" s="25"/>
      <c r="G383" s="119"/>
    </row>
    <row r="384" ht="22.5" customHeight="1">
      <c r="A384" s="139"/>
      <c r="B384" s="71"/>
      <c r="C384" s="25"/>
      <c r="D384" s="138"/>
      <c r="E384" s="25"/>
      <c r="F384" s="25"/>
      <c r="G384" s="119"/>
    </row>
    <row r="385" ht="22.5" customHeight="1">
      <c r="A385" s="139"/>
      <c r="B385" s="71"/>
      <c r="C385" s="25"/>
      <c r="D385" s="138"/>
      <c r="E385" s="25"/>
      <c r="F385" s="25"/>
      <c r="G385" s="119"/>
    </row>
    <row r="386" ht="22.5" customHeight="1">
      <c r="A386" s="139"/>
      <c r="B386" s="71"/>
      <c r="C386" s="25"/>
      <c r="D386" s="138"/>
      <c r="E386" s="25"/>
      <c r="F386" s="25"/>
      <c r="G386" s="119"/>
    </row>
    <row r="387" ht="22.5" customHeight="1">
      <c r="A387" s="139"/>
      <c r="B387" s="71"/>
      <c r="C387" s="25"/>
      <c r="D387" s="138"/>
      <c r="E387" s="25"/>
      <c r="F387" s="25"/>
      <c r="G387" s="119"/>
    </row>
    <row r="388" ht="22.5" customHeight="1">
      <c r="A388" s="139"/>
      <c r="B388" s="71"/>
      <c r="C388" s="25"/>
      <c r="D388" s="138"/>
      <c r="E388" s="25"/>
      <c r="F388" s="25"/>
      <c r="G388" s="119"/>
    </row>
    <row r="389" ht="22.5" customHeight="1">
      <c r="A389" s="139"/>
      <c r="B389" s="71"/>
      <c r="C389" s="25"/>
      <c r="D389" s="138"/>
      <c r="E389" s="25"/>
      <c r="F389" s="25"/>
      <c r="G389" s="119"/>
    </row>
    <row r="390" ht="22.5" customHeight="1">
      <c r="A390" s="139"/>
      <c r="B390" s="71"/>
      <c r="C390" s="25"/>
      <c r="D390" s="138"/>
      <c r="E390" s="25"/>
      <c r="F390" s="25"/>
      <c r="G390" s="119"/>
    </row>
    <row r="391" ht="22.5" customHeight="1">
      <c r="A391" s="139"/>
      <c r="B391" s="71"/>
      <c r="C391" s="25"/>
      <c r="D391" s="138"/>
      <c r="E391" s="25"/>
      <c r="F391" s="25"/>
      <c r="G391" s="119"/>
    </row>
    <row r="392" ht="22.5" customHeight="1">
      <c r="A392" s="139"/>
      <c r="B392" s="71"/>
      <c r="C392" s="25"/>
      <c r="D392" s="138"/>
      <c r="E392" s="25"/>
      <c r="F392" s="25"/>
      <c r="G392" s="119"/>
    </row>
    <row r="393" ht="22.5" customHeight="1">
      <c r="A393" s="139"/>
      <c r="B393" s="71"/>
      <c r="C393" s="25"/>
      <c r="D393" s="138"/>
      <c r="E393" s="25"/>
      <c r="F393" s="25"/>
      <c r="G393" s="119"/>
    </row>
    <row r="394" ht="22.5" customHeight="1">
      <c r="A394" s="139"/>
      <c r="B394" s="71"/>
      <c r="C394" s="25"/>
      <c r="D394" s="138"/>
      <c r="E394" s="25"/>
      <c r="F394" s="25"/>
      <c r="G394" s="119"/>
    </row>
    <row r="395" ht="22.5" customHeight="1">
      <c r="A395" s="139"/>
      <c r="B395" s="71"/>
      <c r="C395" s="25"/>
      <c r="D395" s="138"/>
      <c r="E395" s="25"/>
      <c r="F395" s="25"/>
      <c r="G395" s="119"/>
    </row>
    <row r="396" ht="22.5" customHeight="1">
      <c r="A396" s="139"/>
      <c r="B396" s="71"/>
      <c r="C396" s="25"/>
      <c r="D396" s="138"/>
      <c r="E396" s="25"/>
      <c r="F396" s="25"/>
      <c r="G396" s="119"/>
    </row>
    <row r="397" ht="22.5" customHeight="1">
      <c r="A397" s="139"/>
      <c r="B397" s="71"/>
      <c r="C397" s="25"/>
      <c r="D397" s="138"/>
      <c r="E397" s="25"/>
      <c r="F397" s="25"/>
      <c r="G397" s="119"/>
    </row>
    <row r="398" ht="22.5" customHeight="1">
      <c r="A398" s="139"/>
      <c r="B398" s="71"/>
      <c r="C398" s="25"/>
      <c r="D398" s="138"/>
      <c r="E398" s="25"/>
      <c r="F398" s="25"/>
      <c r="G398" s="119"/>
    </row>
    <row r="399" ht="22.5" customHeight="1">
      <c r="A399" s="139"/>
      <c r="B399" s="71"/>
      <c r="C399" s="25"/>
      <c r="D399" s="138"/>
      <c r="E399" s="25"/>
      <c r="F399" s="25"/>
      <c r="G399" s="119"/>
    </row>
    <row r="400" ht="22.5" customHeight="1">
      <c r="A400" s="139"/>
      <c r="B400" s="71"/>
      <c r="C400" s="25"/>
      <c r="D400" s="138"/>
      <c r="E400" s="25"/>
      <c r="F400" s="25"/>
      <c r="G400" s="119"/>
    </row>
    <row r="401" ht="22.5" customHeight="1">
      <c r="A401" s="139"/>
      <c r="B401" s="71"/>
      <c r="C401" s="25"/>
      <c r="D401" s="138"/>
      <c r="E401" s="25"/>
      <c r="F401" s="25"/>
      <c r="G401" s="119"/>
    </row>
    <row r="402" ht="22.5" customHeight="1">
      <c r="A402" s="139"/>
      <c r="B402" s="71"/>
      <c r="C402" s="25"/>
      <c r="D402" s="138"/>
      <c r="E402" s="25"/>
      <c r="F402" s="25"/>
      <c r="G402" s="119"/>
    </row>
    <row r="403" ht="22.5" customHeight="1">
      <c r="A403" s="139"/>
      <c r="B403" s="71"/>
      <c r="C403" s="25"/>
      <c r="D403" s="138"/>
      <c r="E403" s="25"/>
      <c r="F403" s="25"/>
      <c r="G403" s="119"/>
    </row>
    <row r="404" ht="22.5" customHeight="1">
      <c r="A404" s="139"/>
      <c r="B404" s="71"/>
      <c r="C404" s="25"/>
      <c r="D404" s="138"/>
      <c r="E404" s="25"/>
      <c r="F404" s="25"/>
      <c r="G404" s="119"/>
    </row>
    <row r="405" ht="22.5" customHeight="1">
      <c r="A405" s="139"/>
      <c r="B405" s="71"/>
      <c r="C405" s="25"/>
      <c r="D405" s="138"/>
      <c r="E405" s="25"/>
      <c r="F405" s="25"/>
      <c r="G405" s="119"/>
    </row>
    <row r="406" ht="22.5" customHeight="1">
      <c r="A406" s="139"/>
      <c r="B406" s="71"/>
      <c r="C406" s="25"/>
      <c r="D406" s="138"/>
      <c r="E406" s="25"/>
      <c r="F406" s="25"/>
      <c r="G406" s="119"/>
    </row>
    <row r="407" ht="22.5" customHeight="1">
      <c r="A407" s="139"/>
      <c r="B407" s="71"/>
      <c r="C407" s="25"/>
      <c r="D407" s="138"/>
      <c r="E407" s="25"/>
      <c r="F407" s="25"/>
      <c r="G407" s="119"/>
    </row>
    <row r="408" ht="22.5" customHeight="1">
      <c r="A408" s="139"/>
      <c r="B408" s="71"/>
      <c r="C408" s="25"/>
      <c r="D408" s="138"/>
      <c r="E408" s="25"/>
      <c r="F408" s="25"/>
      <c r="G408" s="119"/>
    </row>
    <row r="409" ht="22.5" customHeight="1">
      <c r="A409" s="139"/>
      <c r="B409" s="71"/>
      <c r="C409" s="25"/>
      <c r="D409" s="138"/>
      <c r="E409" s="25"/>
      <c r="F409" s="25"/>
      <c r="G409" s="119"/>
    </row>
    <row r="410" ht="22.5" customHeight="1">
      <c r="A410" s="139"/>
      <c r="B410" s="71"/>
      <c r="C410" s="25"/>
      <c r="D410" s="138"/>
      <c r="E410" s="25"/>
      <c r="F410" s="25"/>
      <c r="G410" s="119"/>
    </row>
    <row r="411" ht="22.5" customHeight="1">
      <c r="A411" s="139"/>
      <c r="B411" s="71"/>
      <c r="C411" s="25"/>
      <c r="D411" s="138"/>
      <c r="E411" s="25"/>
      <c r="F411" s="25"/>
      <c r="G411" s="119"/>
    </row>
    <row r="412" ht="22.5" customHeight="1">
      <c r="A412" s="139"/>
      <c r="B412" s="71"/>
      <c r="C412" s="25"/>
      <c r="D412" s="138"/>
      <c r="E412" s="25"/>
      <c r="F412" s="25"/>
      <c r="G412" s="119"/>
    </row>
    <row r="413" ht="22.5" customHeight="1">
      <c r="A413" s="139"/>
      <c r="B413" s="71"/>
      <c r="C413" s="25"/>
      <c r="D413" s="138"/>
      <c r="E413" s="25"/>
      <c r="F413" s="25"/>
      <c r="G413" s="119"/>
    </row>
    <row r="414" ht="22.5" customHeight="1">
      <c r="A414" s="139"/>
      <c r="B414" s="71"/>
      <c r="C414" s="25"/>
      <c r="D414" s="138"/>
      <c r="E414" s="25"/>
      <c r="F414" s="25"/>
      <c r="G414" s="119"/>
    </row>
    <row r="415" ht="22.5" customHeight="1">
      <c r="A415" s="139"/>
      <c r="B415" s="71"/>
      <c r="C415" s="25"/>
      <c r="D415" s="138"/>
      <c r="E415" s="25"/>
      <c r="F415" s="25"/>
      <c r="G415" s="119"/>
    </row>
    <row r="416" ht="22.5" customHeight="1">
      <c r="A416" s="139"/>
      <c r="B416" s="71"/>
      <c r="C416" s="25"/>
      <c r="D416" s="138"/>
      <c r="E416" s="25"/>
      <c r="F416" s="25"/>
      <c r="G416" s="119"/>
    </row>
    <row r="417" ht="22.5" customHeight="1">
      <c r="A417" s="139"/>
      <c r="B417" s="71"/>
      <c r="C417" s="25"/>
      <c r="D417" s="138"/>
      <c r="E417" s="25"/>
      <c r="F417" s="25"/>
      <c r="G417" s="119"/>
    </row>
    <row r="418" ht="22.5" customHeight="1">
      <c r="A418" s="139"/>
      <c r="B418" s="71"/>
      <c r="C418" s="25"/>
      <c r="D418" s="138"/>
      <c r="E418" s="25"/>
      <c r="F418" s="25"/>
      <c r="G418" s="119"/>
    </row>
    <row r="419" ht="22.5" customHeight="1">
      <c r="A419" s="139"/>
      <c r="B419" s="71"/>
      <c r="C419" s="25"/>
      <c r="D419" s="138"/>
      <c r="E419" s="25"/>
      <c r="F419" s="25"/>
      <c r="G419" s="119"/>
    </row>
    <row r="420" ht="22.5" customHeight="1">
      <c r="A420" s="139"/>
      <c r="B420" s="71"/>
      <c r="C420" s="25"/>
      <c r="D420" s="138"/>
      <c r="E420" s="25"/>
      <c r="F420" s="25"/>
      <c r="G420" s="119"/>
    </row>
    <row r="421" ht="22.5" customHeight="1">
      <c r="A421" s="139"/>
      <c r="B421" s="71"/>
      <c r="C421" s="25"/>
      <c r="D421" s="138"/>
      <c r="E421" s="25"/>
      <c r="F421" s="25"/>
      <c r="G421" s="119"/>
    </row>
    <row r="422" ht="22.5" customHeight="1">
      <c r="A422" s="139"/>
      <c r="B422" s="71"/>
      <c r="C422" s="25"/>
      <c r="D422" s="138"/>
      <c r="E422" s="25"/>
      <c r="F422" s="25"/>
      <c r="G422" s="119"/>
    </row>
    <row r="423" ht="22.5" customHeight="1">
      <c r="A423" s="139"/>
      <c r="B423" s="71"/>
      <c r="C423" s="25"/>
      <c r="D423" s="138"/>
      <c r="E423" s="25"/>
      <c r="F423" s="25"/>
      <c r="G423" s="119"/>
    </row>
    <row r="424" ht="22.5" customHeight="1">
      <c r="A424" s="139"/>
      <c r="B424" s="71"/>
      <c r="C424" s="25"/>
      <c r="D424" s="138"/>
      <c r="E424" s="25"/>
      <c r="F424" s="25"/>
      <c r="G424" s="119"/>
    </row>
    <row r="425" ht="22.5" customHeight="1">
      <c r="A425" s="139"/>
      <c r="B425" s="71"/>
      <c r="C425" s="25"/>
      <c r="D425" s="138"/>
      <c r="E425" s="25"/>
      <c r="F425" s="25"/>
      <c r="G425" s="119"/>
    </row>
    <row r="426" ht="22.5" customHeight="1">
      <c r="A426" s="139"/>
      <c r="B426" s="71"/>
      <c r="C426" s="25"/>
      <c r="D426" s="138"/>
      <c r="E426" s="25"/>
      <c r="F426" s="25"/>
      <c r="G426" s="119"/>
    </row>
    <row r="427" ht="22.5" customHeight="1">
      <c r="A427" s="139"/>
      <c r="B427" s="71"/>
      <c r="C427" s="25"/>
      <c r="D427" s="138"/>
      <c r="E427" s="25"/>
      <c r="F427" s="25"/>
      <c r="G427" s="119"/>
    </row>
    <row r="428" ht="22.5" customHeight="1">
      <c r="A428" s="139"/>
      <c r="B428" s="71"/>
      <c r="C428" s="25"/>
      <c r="D428" s="138"/>
      <c r="E428" s="25"/>
      <c r="F428" s="25"/>
      <c r="G428" s="119"/>
    </row>
    <row r="429" ht="22.5" customHeight="1">
      <c r="A429" s="139"/>
      <c r="B429" s="71"/>
      <c r="C429" s="25"/>
      <c r="D429" s="138"/>
      <c r="E429" s="25"/>
      <c r="F429" s="25"/>
      <c r="G429" s="119"/>
    </row>
    <row r="430" ht="22.5" customHeight="1">
      <c r="A430" s="139"/>
      <c r="B430" s="71"/>
      <c r="C430" s="25"/>
      <c r="D430" s="138"/>
      <c r="E430" s="25"/>
      <c r="F430" s="25"/>
      <c r="G430" s="119"/>
    </row>
    <row r="431" ht="22.5" customHeight="1">
      <c r="A431" s="139"/>
      <c r="B431" s="71"/>
      <c r="C431" s="25"/>
      <c r="D431" s="138"/>
      <c r="E431" s="25"/>
      <c r="F431" s="25"/>
      <c r="G431" s="119"/>
    </row>
    <row r="432" ht="22.5" customHeight="1">
      <c r="A432" s="139"/>
      <c r="B432" s="71"/>
      <c r="C432" s="25"/>
      <c r="D432" s="138"/>
      <c r="E432" s="25"/>
      <c r="F432" s="25"/>
      <c r="G432" s="119"/>
    </row>
    <row r="433" ht="22.5" customHeight="1">
      <c r="A433" s="139"/>
      <c r="B433" s="71"/>
      <c r="C433" s="25"/>
      <c r="D433" s="138"/>
      <c r="E433" s="25"/>
      <c r="F433" s="25"/>
      <c r="G433" s="119"/>
    </row>
    <row r="434" ht="22.5" customHeight="1">
      <c r="A434" s="139"/>
      <c r="B434" s="71"/>
      <c r="C434" s="25"/>
      <c r="D434" s="138"/>
      <c r="E434" s="25"/>
      <c r="F434" s="25"/>
      <c r="G434" s="119"/>
    </row>
    <row r="435" ht="22.5" customHeight="1">
      <c r="A435" s="139"/>
      <c r="B435" s="71"/>
      <c r="C435" s="25"/>
      <c r="D435" s="138"/>
      <c r="E435" s="25"/>
      <c r="F435" s="25"/>
      <c r="G435" s="119"/>
    </row>
    <row r="436" ht="22.5" customHeight="1">
      <c r="A436" s="139"/>
      <c r="B436" s="71"/>
      <c r="C436" s="25"/>
      <c r="D436" s="138"/>
      <c r="E436" s="25"/>
      <c r="F436" s="25"/>
      <c r="G436" s="119"/>
    </row>
    <row r="437" ht="22.5" customHeight="1">
      <c r="A437" s="139"/>
      <c r="B437" s="71"/>
      <c r="C437" s="25"/>
      <c r="D437" s="138"/>
      <c r="E437" s="25"/>
      <c r="F437" s="25"/>
      <c r="G437" s="119"/>
    </row>
    <row r="438" ht="22.5" customHeight="1">
      <c r="A438" s="139"/>
      <c r="B438" s="71"/>
      <c r="C438" s="25"/>
      <c r="D438" s="138"/>
      <c r="E438" s="25"/>
      <c r="F438" s="25"/>
      <c r="G438" s="119"/>
    </row>
    <row r="439" ht="22.5" customHeight="1">
      <c r="A439" s="139"/>
      <c r="B439" s="71"/>
      <c r="C439" s="25"/>
      <c r="D439" s="138"/>
      <c r="E439" s="25"/>
      <c r="F439" s="25"/>
      <c r="G439" s="119"/>
    </row>
    <row r="440" ht="22.5" customHeight="1">
      <c r="A440" s="139"/>
      <c r="B440" s="71"/>
      <c r="C440" s="25"/>
      <c r="D440" s="138"/>
      <c r="E440" s="25"/>
      <c r="F440" s="25"/>
      <c r="G440" s="119"/>
    </row>
    <row r="441" ht="22.5" customHeight="1">
      <c r="A441" s="139"/>
      <c r="B441" s="71"/>
      <c r="C441" s="25"/>
      <c r="D441" s="138"/>
      <c r="E441" s="25"/>
      <c r="F441" s="25"/>
      <c r="G441" s="119"/>
    </row>
    <row r="442" ht="22.5" customHeight="1">
      <c r="A442" s="139"/>
      <c r="B442" s="71"/>
      <c r="C442" s="25"/>
      <c r="D442" s="138"/>
      <c r="E442" s="25"/>
      <c r="F442" s="25"/>
      <c r="G442" s="119"/>
    </row>
    <row r="443" ht="22.5" customHeight="1">
      <c r="A443" s="139"/>
      <c r="B443" s="71"/>
      <c r="C443" s="25"/>
      <c r="D443" s="138"/>
      <c r="E443" s="25"/>
      <c r="F443" s="25"/>
      <c r="G443" s="119"/>
    </row>
    <row r="444" ht="22.5" customHeight="1">
      <c r="A444" s="139"/>
      <c r="B444" s="71"/>
      <c r="C444" s="25"/>
      <c r="D444" s="138"/>
      <c r="E444" s="25"/>
      <c r="F444" s="25"/>
      <c r="G444" s="119"/>
    </row>
    <row r="445" ht="22.5" customHeight="1">
      <c r="A445" s="139"/>
      <c r="B445" s="71"/>
      <c r="C445" s="25"/>
      <c r="D445" s="138"/>
      <c r="E445" s="25"/>
      <c r="F445" s="25"/>
      <c r="G445" s="119"/>
    </row>
    <row r="446" ht="22.5" customHeight="1">
      <c r="A446" s="139"/>
      <c r="B446" s="71"/>
      <c r="C446" s="25"/>
      <c r="D446" s="138"/>
      <c r="E446" s="25"/>
      <c r="F446" s="25"/>
      <c r="G446" s="119"/>
    </row>
    <row r="447" ht="22.5" customHeight="1">
      <c r="A447" s="139"/>
      <c r="B447" s="71"/>
      <c r="C447" s="25"/>
      <c r="D447" s="138"/>
      <c r="E447" s="25"/>
      <c r="F447" s="25"/>
      <c r="G447" s="119"/>
    </row>
    <row r="448" ht="22.5" customHeight="1">
      <c r="A448" s="139"/>
      <c r="B448" s="71"/>
      <c r="C448" s="25"/>
      <c r="D448" s="138"/>
      <c r="E448" s="25"/>
      <c r="F448" s="25"/>
      <c r="G448" s="119"/>
    </row>
    <row r="449" ht="22.5" customHeight="1">
      <c r="A449" s="139"/>
      <c r="B449" s="71"/>
      <c r="C449" s="25"/>
      <c r="D449" s="138"/>
      <c r="E449" s="25"/>
      <c r="F449" s="25"/>
      <c r="G449" s="119"/>
    </row>
    <row r="450" ht="22.5" customHeight="1">
      <c r="A450" s="139"/>
      <c r="B450" s="71"/>
      <c r="C450" s="25"/>
      <c r="D450" s="138"/>
      <c r="E450" s="25"/>
      <c r="F450" s="25"/>
      <c r="G450" s="119"/>
    </row>
    <row r="451" ht="22.5" customHeight="1">
      <c r="A451" s="139"/>
      <c r="B451" s="71"/>
      <c r="C451" s="25"/>
      <c r="D451" s="138"/>
      <c r="E451" s="25"/>
      <c r="F451" s="25"/>
      <c r="G451" s="119"/>
    </row>
    <row r="452" ht="22.5" customHeight="1">
      <c r="A452" s="139"/>
      <c r="B452" s="71"/>
      <c r="C452" s="25"/>
      <c r="D452" s="138"/>
      <c r="E452" s="25"/>
      <c r="F452" s="25"/>
      <c r="G452" s="119"/>
    </row>
    <row r="453" ht="22.5" customHeight="1">
      <c r="A453" s="139"/>
      <c r="B453" s="71"/>
      <c r="C453" s="25"/>
      <c r="D453" s="138"/>
      <c r="E453" s="25"/>
      <c r="F453" s="25"/>
      <c r="G453" s="119"/>
    </row>
    <row r="454" ht="22.5" customHeight="1">
      <c r="A454" s="139"/>
      <c r="B454" s="71"/>
      <c r="C454" s="25"/>
      <c r="D454" s="138"/>
      <c r="E454" s="25"/>
      <c r="F454" s="25"/>
      <c r="G454" s="119"/>
    </row>
    <row r="455" ht="22.5" customHeight="1">
      <c r="A455" s="139"/>
      <c r="B455" s="71"/>
      <c r="C455" s="25"/>
      <c r="D455" s="138"/>
      <c r="E455" s="25"/>
      <c r="F455" s="25"/>
      <c r="G455" s="119"/>
    </row>
    <row r="456" ht="22.5" customHeight="1">
      <c r="A456" s="139"/>
      <c r="B456" s="71"/>
      <c r="C456" s="25"/>
      <c r="D456" s="138"/>
      <c r="E456" s="25"/>
      <c r="F456" s="25"/>
      <c r="G456" s="119"/>
    </row>
    <row r="457" ht="22.5" customHeight="1">
      <c r="A457" s="139"/>
      <c r="B457" s="71"/>
      <c r="C457" s="25"/>
      <c r="D457" s="138"/>
      <c r="E457" s="25"/>
      <c r="F457" s="25"/>
      <c r="G457" s="119"/>
    </row>
    <row r="458" ht="22.5" customHeight="1">
      <c r="A458" s="139"/>
      <c r="B458" s="71"/>
      <c r="C458" s="25"/>
      <c r="D458" s="138"/>
      <c r="E458" s="25"/>
      <c r="F458" s="25"/>
      <c r="G458" s="119"/>
    </row>
    <row r="459" ht="22.5" customHeight="1">
      <c r="A459" s="139"/>
      <c r="B459" s="71"/>
      <c r="C459" s="25"/>
      <c r="D459" s="138"/>
      <c r="E459" s="25"/>
      <c r="F459" s="25"/>
      <c r="G459" s="119"/>
    </row>
    <row r="460" ht="22.5" customHeight="1">
      <c r="A460" s="139"/>
      <c r="B460" s="71"/>
      <c r="C460" s="25"/>
      <c r="D460" s="138"/>
      <c r="E460" s="25"/>
      <c r="F460" s="25"/>
      <c r="G460" s="119"/>
    </row>
    <row r="461" ht="22.5" customHeight="1">
      <c r="A461" s="139"/>
      <c r="B461" s="71"/>
      <c r="C461" s="25"/>
      <c r="D461" s="138"/>
      <c r="E461" s="25"/>
      <c r="F461" s="25"/>
      <c r="G461" s="119"/>
    </row>
    <row r="462" ht="22.5" customHeight="1">
      <c r="A462" s="139"/>
      <c r="B462" s="71"/>
      <c r="C462" s="25"/>
      <c r="D462" s="138"/>
      <c r="E462" s="25"/>
      <c r="F462" s="25"/>
      <c r="G462" s="119"/>
    </row>
    <row r="463" ht="22.5" customHeight="1">
      <c r="A463" s="139"/>
      <c r="B463" s="71"/>
      <c r="C463" s="25"/>
      <c r="D463" s="138"/>
      <c r="E463" s="25"/>
      <c r="F463" s="25"/>
      <c r="G463" s="119"/>
    </row>
    <row r="464" ht="22.5" customHeight="1">
      <c r="A464" s="139"/>
      <c r="B464" s="71"/>
      <c r="C464" s="25"/>
      <c r="D464" s="138"/>
      <c r="E464" s="25"/>
      <c r="F464" s="25"/>
      <c r="G464" s="119"/>
    </row>
    <row r="465" ht="22.5" customHeight="1">
      <c r="A465" s="139"/>
      <c r="B465" s="71"/>
      <c r="C465" s="25"/>
      <c r="D465" s="138"/>
      <c r="E465" s="25"/>
      <c r="F465" s="25"/>
      <c r="G465" s="119"/>
    </row>
    <row r="466" ht="22.5" customHeight="1">
      <c r="A466" s="139"/>
      <c r="B466" s="71"/>
      <c r="C466" s="25"/>
      <c r="D466" s="138"/>
      <c r="E466" s="25"/>
      <c r="F466" s="25"/>
      <c r="G466" s="119"/>
    </row>
    <row r="467" ht="22.5" customHeight="1">
      <c r="A467" s="139"/>
      <c r="B467" s="71"/>
      <c r="C467" s="25"/>
      <c r="D467" s="138"/>
      <c r="E467" s="25"/>
      <c r="F467" s="25"/>
      <c r="G467" s="119"/>
    </row>
    <row r="468" ht="22.5" customHeight="1">
      <c r="A468" s="139"/>
      <c r="B468" s="71"/>
      <c r="C468" s="25"/>
      <c r="D468" s="138"/>
      <c r="E468" s="25"/>
      <c r="F468" s="25"/>
      <c r="G468" s="119"/>
    </row>
    <row r="469" ht="22.5" customHeight="1">
      <c r="A469" s="139"/>
      <c r="B469" s="71"/>
      <c r="C469" s="25"/>
      <c r="D469" s="138"/>
      <c r="E469" s="25"/>
      <c r="F469" s="25"/>
      <c r="G469" s="119"/>
    </row>
    <row r="470" ht="22.5" customHeight="1">
      <c r="A470" s="139"/>
      <c r="B470" s="71"/>
      <c r="C470" s="25"/>
      <c r="D470" s="138"/>
      <c r="E470" s="25"/>
      <c r="F470" s="25"/>
      <c r="G470" s="119"/>
    </row>
    <row r="471" ht="22.5" customHeight="1">
      <c r="A471" s="139"/>
      <c r="B471" s="71"/>
      <c r="C471" s="25"/>
      <c r="D471" s="138"/>
      <c r="E471" s="25"/>
      <c r="F471" s="25"/>
      <c r="G471" s="119"/>
    </row>
    <row r="472" ht="22.5" customHeight="1">
      <c r="A472" s="139"/>
      <c r="B472" s="71"/>
      <c r="C472" s="25"/>
      <c r="D472" s="138"/>
      <c r="E472" s="25"/>
      <c r="F472" s="25"/>
      <c r="G472" s="119"/>
    </row>
    <row r="473" ht="22.5" customHeight="1">
      <c r="A473" s="139"/>
      <c r="B473" s="71"/>
      <c r="C473" s="25"/>
      <c r="D473" s="138"/>
      <c r="E473" s="25"/>
      <c r="F473" s="25"/>
      <c r="G473" s="119"/>
    </row>
    <row r="474" ht="22.5" customHeight="1">
      <c r="A474" s="139"/>
      <c r="B474" s="71"/>
      <c r="C474" s="25"/>
      <c r="D474" s="138"/>
      <c r="E474" s="25"/>
      <c r="F474" s="25"/>
      <c r="G474" s="119"/>
    </row>
    <row r="475" ht="22.5" customHeight="1">
      <c r="A475" s="139"/>
      <c r="B475" s="71"/>
      <c r="C475" s="25"/>
      <c r="D475" s="138"/>
      <c r="E475" s="25"/>
      <c r="F475" s="25"/>
      <c r="G475" s="119"/>
    </row>
    <row r="476" ht="22.5" customHeight="1">
      <c r="A476" s="139"/>
      <c r="B476" s="71"/>
      <c r="C476" s="25"/>
      <c r="D476" s="138"/>
      <c r="E476" s="25"/>
      <c r="F476" s="25"/>
      <c r="G476" s="119"/>
    </row>
    <row r="477" ht="22.5" customHeight="1">
      <c r="A477" s="139"/>
      <c r="B477" s="71"/>
      <c r="C477" s="25"/>
      <c r="D477" s="138"/>
      <c r="E477" s="25"/>
      <c r="F477" s="25"/>
      <c r="G477" s="119"/>
    </row>
    <row r="478" ht="22.5" customHeight="1">
      <c r="A478" s="139"/>
      <c r="B478" s="71"/>
      <c r="C478" s="25"/>
      <c r="D478" s="138"/>
      <c r="E478" s="25"/>
      <c r="F478" s="25"/>
      <c r="G478" s="119"/>
    </row>
    <row r="479" ht="22.5" customHeight="1">
      <c r="A479" s="139"/>
      <c r="B479" s="71"/>
      <c r="C479" s="25"/>
      <c r="D479" s="138"/>
      <c r="E479" s="25"/>
      <c r="F479" s="25"/>
      <c r="G479" s="119"/>
    </row>
    <row r="480" ht="22.5" customHeight="1">
      <c r="A480" s="139"/>
      <c r="B480" s="71"/>
      <c r="C480" s="25"/>
      <c r="D480" s="138"/>
      <c r="E480" s="25"/>
      <c r="F480" s="25"/>
      <c r="G480" s="119"/>
    </row>
    <row r="481" ht="22.5" customHeight="1">
      <c r="A481" s="139"/>
      <c r="B481" s="71"/>
      <c r="C481" s="25"/>
      <c r="D481" s="138"/>
      <c r="E481" s="25"/>
      <c r="F481" s="25"/>
      <c r="G481" s="119"/>
    </row>
    <row r="482" ht="22.5" customHeight="1">
      <c r="A482" s="139"/>
      <c r="B482" s="71"/>
      <c r="C482" s="25"/>
      <c r="D482" s="138"/>
      <c r="E482" s="25"/>
      <c r="F482" s="25"/>
      <c r="G482" s="119"/>
    </row>
    <row r="483" ht="22.5" customHeight="1">
      <c r="A483" s="139"/>
      <c r="B483" s="71"/>
      <c r="C483" s="25"/>
      <c r="D483" s="138"/>
      <c r="E483" s="25"/>
      <c r="F483" s="25"/>
      <c r="G483" s="119"/>
    </row>
    <row r="484" ht="22.5" customHeight="1">
      <c r="A484" s="139"/>
      <c r="B484" s="71"/>
      <c r="C484" s="25"/>
      <c r="D484" s="138"/>
      <c r="E484" s="25"/>
      <c r="F484" s="25"/>
      <c r="G484" s="119"/>
    </row>
    <row r="485" ht="22.5" customHeight="1">
      <c r="A485" s="139"/>
      <c r="B485" s="71"/>
      <c r="C485" s="25"/>
      <c r="D485" s="138"/>
      <c r="E485" s="25"/>
      <c r="F485" s="25"/>
      <c r="G485" s="119"/>
    </row>
    <row r="486" ht="22.5" customHeight="1">
      <c r="A486" s="139"/>
      <c r="B486" s="71"/>
      <c r="C486" s="25"/>
      <c r="D486" s="138"/>
      <c r="E486" s="25"/>
      <c r="F486" s="25"/>
      <c r="G486" s="119"/>
    </row>
    <row r="487" ht="22.5" customHeight="1">
      <c r="A487" s="139"/>
      <c r="B487" s="71"/>
      <c r="C487" s="25"/>
      <c r="D487" s="138"/>
      <c r="E487" s="25"/>
      <c r="F487" s="25"/>
      <c r="G487" s="119"/>
    </row>
    <row r="488" ht="22.5" customHeight="1">
      <c r="A488" s="139"/>
      <c r="B488" s="71"/>
      <c r="C488" s="25"/>
      <c r="D488" s="138"/>
      <c r="E488" s="25"/>
      <c r="F488" s="25"/>
      <c r="G488" s="119"/>
    </row>
    <row r="489" ht="22.5" customHeight="1">
      <c r="A489" s="139"/>
      <c r="B489" s="71"/>
      <c r="C489" s="25"/>
      <c r="D489" s="138"/>
      <c r="E489" s="25"/>
      <c r="F489" s="25"/>
      <c r="G489" s="119"/>
    </row>
    <row r="490" ht="22.5" customHeight="1">
      <c r="A490" s="139"/>
      <c r="B490" s="71"/>
      <c r="C490" s="25"/>
      <c r="D490" s="138"/>
      <c r="E490" s="25"/>
      <c r="F490" s="25"/>
      <c r="G490" s="119"/>
    </row>
    <row r="491" ht="22.5" customHeight="1">
      <c r="A491" s="139"/>
      <c r="B491" s="71"/>
      <c r="C491" s="25"/>
      <c r="D491" s="138"/>
      <c r="E491" s="25"/>
      <c r="F491" s="25"/>
      <c r="G491" s="119"/>
    </row>
    <row r="492" ht="22.5" customHeight="1">
      <c r="A492" s="139"/>
      <c r="B492" s="71"/>
      <c r="C492" s="25"/>
      <c r="D492" s="138"/>
      <c r="E492" s="25"/>
      <c r="F492" s="25"/>
      <c r="G492" s="119"/>
    </row>
    <row r="493" ht="22.5" customHeight="1">
      <c r="A493" s="139"/>
      <c r="B493" s="71"/>
      <c r="C493" s="25"/>
      <c r="D493" s="138"/>
      <c r="E493" s="25"/>
      <c r="F493" s="25"/>
      <c r="G493" s="119"/>
    </row>
    <row r="494" ht="22.5" customHeight="1">
      <c r="A494" s="139"/>
      <c r="B494" s="71"/>
      <c r="C494" s="25"/>
      <c r="D494" s="138"/>
      <c r="E494" s="25"/>
      <c r="F494" s="25"/>
      <c r="G494" s="119"/>
    </row>
    <row r="495" ht="22.5" customHeight="1">
      <c r="A495" s="139"/>
      <c r="B495" s="71"/>
      <c r="C495" s="25"/>
      <c r="D495" s="138"/>
      <c r="E495" s="25"/>
      <c r="F495" s="25"/>
      <c r="G495" s="119"/>
    </row>
    <row r="496" ht="22.5" customHeight="1">
      <c r="A496" s="139"/>
      <c r="B496" s="71"/>
      <c r="C496" s="25"/>
      <c r="D496" s="138"/>
      <c r="E496" s="25"/>
      <c r="F496" s="25"/>
      <c r="G496" s="119"/>
    </row>
    <row r="497" ht="22.5" customHeight="1">
      <c r="A497" s="139"/>
      <c r="B497" s="71"/>
      <c r="C497" s="25"/>
      <c r="D497" s="138"/>
      <c r="E497" s="25"/>
      <c r="F497" s="25"/>
      <c r="G497" s="119"/>
    </row>
    <row r="498" ht="22.5" customHeight="1">
      <c r="A498" s="139"/>
      <c r="B498" s="71"/>
      <c r="C498" s="25"/>
      <c r="D498" s="138"/>
      <c r="E498" s="25"/>
      <c r="F498" s="25"/>
      <c r="G498" s="119"/>
    </row>
    <row r="499" ht="22.5" customHeight="1">
      <c r="A499" s="139"/>
      <c r="B499" s="71"/>
      <c r="C499" s="25"/>
      <c r="D499" s="138"/>
      <c r="E499" s="25"/>
      <c r="F499" s="25"/>
      <c r="G499" s="119"/>
    </row>
    <row r="500" ht="22.5" customHeight="1">
      <c r="A500" s="139"/>
      <c r="B500" s="71"/>
      <c r="C500" s="25"/>
      <c r="D500" s="138"/>
      <c r="E500" s="25"/>
      <c r="F500" s="25"/>
      <c r="G500" s="119"/>
    </row>
    <row r="501" ht="22.5" customHeight="1">
      <c r="A501" s="139"/>
      <c r="B501" s="71"/>
      <c r="C501" s="25"/>
      <c r="D501" s="138"/>
      <c r="E501" s="25"/>
      <c r="F501" s="25"/>
      <c r="G501" s="119"/>
    </row>
    <row r="502" ht="22.5" customHeight="1">
      <c r="A502" s="139"/>
      <c r="B502" s="71"/>
      <c r="C502" s="25"/>
      <c r="D502" s="138"/>
      <c r="E502" s="25"/>
      <c r="F502" s="25"/>
      <c r="G502" s="119"/>
    </row>
    <row r="503" ht="22.5" customHeight="1">
      <c r="A503" s="139"/>
      <c r="B503" s="71"/>
      <c r="C503" s="25"/>
      <c r="D503" s="138"/>
      <c r="E503" s="25"/>
      <c r="F503" s="25"/>
      <c r="G503" s="119"/>
    </row>
    <row r="504" ht="22.5" customHeight="1">
      <c r="A504" s="139"/>
      <c r="B504" s="71"/>
      <c r="C504" s="25"/>
      <c r="D504" s="138"/>
      <c r="E504" s="25"/>
      <c r="F504" s="25"/>
      <c r="G504" s="119"/>
    </row>
    <row r="505" ht="22.5" customHeight="1">
      <c r="A505" s="139"/>
      <c r="B505" s="71"/>
      <c r="C505" s="25"/>
      <c r="D505" s="138"/>
      <c r="E505" s="25"/>
      <c r="F505" s="25"/>
      <c r="G505" s="119"/>
    </row>
    <row r="506" ht="22.5" customHeight="1">
      <c r="A506" s="139"/>
      <c r="B506" s="71"/>
      <c r="C506" s="25"/>
      <c r="D506" s="138"/>
      <c r="E506" s="25"/>
      <c r="F506" s="25"/>
      <c r="G506" s="119"/>
    </row>
    <row r="507" ht="22.5" customHeight="1">
      <c r="A507" s="139"/>
      <c r="B507" s="71"/>
      <c r="C507" s="25"/>
      <c r="D507" s="138"/>
      <c r="E507" s="25"/>
      <c r="F507" s="25"/>
      <c r="G507" s="119"/>
    </row>
    <row r="508" ht="22.5" customHeight="1">
      <c r="A508" s="139"/>
      <c r="B508" s="71"/>
      <c r="C508" s="25"/>
      <c r="D508" s="138"/>
      <c r="E508" s="25"/>
      <c r="F508" s="25"/>
      <c r="G508" s="119"/>
    </row>
    <row r="509" ht="22.5" customHeight="1">
      <c r="A509" s="139"/>
      <c r="B509" s="71"/>
      <c r="C509" s="25"/>
      <c r="D509" s="138"/>
      <c r="E509" s="25"/>
      <c r="F509" s="25"/>
      <c r="G509" s="119"/>
    </row>
    <row r="510" ht="22.5" customHeight="1">
      <c r="A510" s="139"/>
      <c r="B510" s="71"/>
      <c r="C510" s="25"/>
      <c r="D510" s="138"/>
      <c r="E510" s="25"/>
      <c r="F510" s="25"/>
      <c r="G510" s="119"/>
    </row>
    <row r="511" ht="22.5" customHeight="1">
      <c r="A511" s="139"/>
      <c r="B511" s="71"/>
      <c r="C511" s="25"/>
      <c r="D511" s="138"/>
      <c r="E511" s="25"/>
      <c r="F511" s="25"/>
      <c r="G511" s="119"/>
    </row>
    <row r="512" ht="22.5" customHeight="1">
      <c r="A512" s="139"/>
      <c r="B512" s="71"/>
      <c r="C512" s="25"/>
      <c r="D512" s="138"/>
      <c r="E512" s="25"/>
      <c r="F512" s="25"/>
      <c r="G512" s="119"/>
    </row>
    <row r="513" ht="22.5" customHeight="1">
      <c r="A513" s="139"/>
      <c r="B513" s="71"/>
      <c r="C513" s="25"/>
      <c r="D513" s="138"/>
      <c r="E513" s="25"/>
      <c r="F513" s="25"/>
      <c r="G513" s="119"/>
    </row>
    <row r="514" ht="22.5" customHeight="1">
      <c r="A514" s="139"/>
      <c r="B514" s="71"/>
      <c r="C514" s="25"/>
      <c r="D514" s="138"/>
      <c r="E514" s="25"/>
      <c r="F514" s="25"/>
      <c r="G514" s="119"/>
    </row>
    <row r="515" ht="22.5" customHeight="1">
      <c r="A515" s="139"/>
      <c r="B515" s="71"/>
      <c r="C515" s="25"/>
      <c r="D515" s="138"/>
      <c r="E515" s="25"/>
      <c r="F515" s="25"/>
      <c r="G515" s="119"/>
    </row>
    <row r="516" ht="22.5" customHeight="1">
      <c r="A516" s="139"/>
      <c r="B516" s="71"/>
      <c r="C516" s="25"/>
      <c r="D516" s="138"/>
      <c r="E516" s="25"/>
      <c r="F516" s="25"/>
      <c r="G516" s="119"/>
    </row>
    <row r="517" ht="22.5" customHeight="1">
      <c r="A517" s="139"/>
      <c r="B517" s="71"/>
      <c r="C517" s="25"/>
      <c r="D517" s="138"/>
      <c r="E517" s="25"/>
      <c r="F517" s="25"/>
      <c r="G517" s="119"/>
    </row>
    <row r="518" ht="22.5" customHeight="1">
      <c r="A518" s="139"/>
      <c r="B518" s="71"/>
      <c r="C518" s="25"/>
      <c r="D518" s="138"/>
      <c r="E518" s="25"/>
      <c r="F518" s="25"/>
      <c r="G518" s="119"/>
    </row>
    <row r="519" ht="22.5" customHeight="1">
      <c r="A519" s="139"/>
      <c r="B519" s="71"/>
      <c r="C519" s="25"/>
      <c r="D519" s="138"/>
      <c r="E519" s="25"/>
      <c r="F519" s="25"/>
      <c r="G519" s="119"/>
    </row>
    <row r="520" ht="22.5" customHeight="1">
      <c r="A520" s="139"/>
      <c r="B520" s="71"/>
      <c r="C520" s="25"/>
      <c r="D520" s="138"/>
      <c r="E520" s="25"/>
      <c r="F520" s="25"/>
      <c r="G520" s="119"/>
    </row>
    <row r="521" ht="22.5" customHeight="1">
      <c r="A521" s="139"/>
      <c r="B521" s="71"/>
      <c r="C521" s="25"/>
      <c r="D521" s="138"/>
      <c r="E521" s="25"/>
      <c r="F521" s="25"/>
      <c r="G521" s="119"/>
    </row>
    <row r="522" ht="22.5" customHeight="1">
      <c r="A522" s="139"/>
      <c r="B522" s="71"/>
      <c r="C522" s="25"/>
      <c r="D522" s="138"/>
      <c r="E522" s="25"/>
      <c r="F522" s="25"/>
      <c r="G522" s="119"/>
    </row>
    <row r="523" ht="22.5" customHeight="1">
      <c r="A523" s="139"/>
      <c r="B523" s="71"/>
      <c r="C523" s="25"/>
      <c r="D523" s="138"/>
      <c r="E523" s="25"/>
      <c r="F523" s="25"/>
      <c r="G523" s="119"/>
    </row>
    <row r="524" ht="22.5" customHeight="1">
      <c r="A524" s="139"/>
      <c r="B524" s="71"/>
      <c r="C524" s="25"/>
      <c r="D524" s="138"/>
      <c r="E524" s="25"/>
      <c r="F524" s="25"/>
      <c r="G524" s="119"/>
    </row>
    <row r="525" ht="22.5" customHeight="1">
      <c r="A525" s="139"/>
      <c r="B525" s="71"/>
      <c r="C525" s="25"/>
      <c r="D525" s="138"/>
      <c r="E525" s="25"/>
      <c r="F525" s="25"/>
      <c r="G525" s="119"/>
    </row>
    <row r="526" ht="22.5" customHeight="1">
      <c r="A526" s="139"/>
      <c r="B526" s="71"/>
      <c r="C526" s="25"/>
      <c r="D526" s="138"/>
      <c r="E526" s="25"/>
      <c r="F526" s="25"/>
      <c r="G526" s="119"/>
    </row>
    <row r="527" ht="22.5" customHeight="1">
      <c r="A527" s="139"/>
      <c r="B527" s="71"/>
      <c r="C527" s="25"/>
      <c r="D527" s="138"/>
      <c r="E527" s="25"/>
      <c r="F527" s="25"/>
      <c r="G527" s="119"/>
    </row>
    <row r="528" ht="22.5" customHeight="1">
      <c r="A528" s="139"/>
      <c r="B528" s="71"/>
      <c r="C528" s="25"/>
      <c r="D528" s="138"/>
      <c r="E528" s="25"/>
      <c r="F528" s="25"/>
      <c r="G528" s="119"/>
    </row>
    <row r="529" ht="22.5" customHeight="1">
      <c r="A529" s="139"/>
      <c r="B529" s="71"/>
      <c r="C529" s="25"/>
      <c r="D529" s="138"/>
      <c r="E529" s="25"/>
      <c r="F529" s="25"/>
      <c r="G529" s="119"/>
    </row>
    <row r="530" ht="22.5" customHeight="1">
      <c r="A530" s="139"/>
      <c r="B530" s="71"/>
      <c r="C530" s="25"/>
      <c r="D530" s="138"/>
      <c r="E530" s="25"/>
      <c r="F530" s="25"/>
      <c r="G530" s="119"/>
    </row>
    <row r="531" ht="22.5" customHeight="1">
      <c r="A531" s="139"/>
      <c r="B531" s="71"/>
      <c r="C531" s="25"/>
      <c r="D531" s="138"/>
      <c r="E531" s="25"/>
      <c r="F531" s="25"/>
      <c r="G531" s="119"/>
    </row>
    <row r="532" ht="22.5" customHeight="1">
      <c r="A532" s="139"/>
      <c r="B532" s="71"/>
      <c r="C532" s="25"/>
      <c r="D532" s="138"/>
      <c r="E532" s="25"/>
      <c r="F532" s="25"/>
      <c r="G532" s="119"/>
    </row>
    <row r="533" ht="22.5" customHeight="1">
      <c r="A533" s="139"/>
      <c r="B533" s="71"/>
      <c r="C533" s="25"/>
      <c r="D533" s="138"/>
      <c r="E533" s="25"/>
      <c r="F533" s="25"/>
      <c r="G533" s="119"/>
    </row>
    <row r="534" ht="22.5" customHeight="1">
      <c r="A534" s="139"/>
      <c r="B534" s="71"/>
      <c r="C534" s="25"/>
      <c r="D534" s="138"/>
      <c r="E534" s="25"/>
      <c r="F534" s="25"/>
      <c r="G534" s="119"/>
    </row>
    <row r="535" ht="22.5" customHeight="1">
      <c r="A535" s="139"/>
      <c r="B535" s="71"/>
      <c r="C535" s="25"/>
      <c r="D535" s="138"/>
      <c r="E535" s="25"/>
      <c r="F535" s="25"/>
      <c r="G535" s="119"/>
    </row>
    <row r="536" ht="22.5" customHeight="1">
      <c r="A536" s="139"/>
      <c r="B536" s="71"/>
      <c r="C536" s="25"/>
      <c r="D536" s="138"/>
      <c r="E536" s="25"/>
      <c r="F536" s="25"/>
      <c r="G536" s="119"/>
    </row>
    <row r="537" ht="22.5" customHeight="1">
      <c r="A537" s="139"/>
      <c r="B537" s="71"/>
      <c r="C537" s="25"/>
      <c r="D537" s="138"/>
      <c r="E537" s="25"/>
      <c r="F537" s="25"/>
      <c r="G537" s="119"/>
    </row>
    <row r="538" ht="22.5" customHeight="1">
      <c r="A538" s="139"/>
      <c r="B538" s="71"/>
      <c r="C538" s="25"/>
      <c r="D538" s="138"/>
      <c r="E538" s="25"/>
      <c r="F538" s="25"/>
      <c r="G538" s="119"/>
    </row>
    <row r="539" ht="22.5" customHeight="1">
      <c r="A539" s="139"/>
      <c r="B539" s="71"/>
      <c r="C539" s="25"/>
      <c r="D539" s="138"/>
      <c r="E539" s="25"/>
      <c r="F539" s="25"/>
      <c r="G539" s="119"/>
    </row>
    <row r="540" ht="22.5" customHeight="1">
      <c r="A540" s="139"/>
      <c r="B540" s="71"/>
      <c r="C540" s="25"/>
      <c r="D540" s="138"/>
      <c r="E540" s="25"/>
      <c r="F540" s="25"/>
      <c r="G540" s="119"/>
    </row>
    <row r="541" ht="22.5" customHeight="1">
      <c r="A541" s="139"/>
      <c r="B541" s="71"/>
      <c r="C541" s="25"/>
      <c r="D541" s="138"/>
      <c r="E541" s="25"/>
      <c r="F541" s="25"/>
      <c r="G541" s="119"/>
    </row>
    <row r="542" ht="22.5" customHeight="1">
      <c r="A542" s="139"/>
      <c r="B542" s="71"/>
      <c r="C542" s="25"/>
      <c r="D542" s="138"/>
      <c r="E542" s="25"/>
      <c r="F542" s="25"/>
      <c r="G542" s="119"/>
    </row>
    <row r="543" ht="22.5" customHeight="1">
      <c r="A543" s="139"/>
      <c r="B543" s="71"/>
      <c r="C543" s="25"/>
      <c r="D543" s="138"/>
      <c r="E543" s="25"/>
      <c r="F543" s="25"/>
      <c r="G543" s="119"/>
    </row>
    <row r="544" ht="22.5" customHeight="1">
      <c r="A544" s="139"/>
      <c r="B544" s="71"/>
      <c r="C544" s="25"/>
      <c r="D544" s="138"/>
      <c r="E544" s="25"/>
      <c r="F544" s="25"/>
      <c r="G544" s="119"/>
    </row>
    <row r="545" ht="22.5" customHeight="1">
      <c r="A545" s="139"/>
      <c r="B545" s="71"/>
      <c r="C545" s="25"/>
      <c r="D545" s="138"/>
      <c r="E545" s="25"/>
      <c r="F545" s="25"/>
      <c r="G545" s="119"/>
    </row>
    <row r="546" ht="22.5" customHeight="1">
      <c r="A546" s="139"/>
      <c r="B546" s="71"/>
      <c r="C546" s="25"/>
      <c r="D546" s="138"/>
      <c r="E546" s="25"/>
      <c r="F546" s="25"/>
      <c r="G546" s="119"/>
    </row>
    <row r="547" ht="22.5" customHeight="1">
      <c r="A547" s="139"/>
      <c r="B547" s="71"/>
      <c r="C547" s="25"/>
      <c r="D547" s="138"/>
      <c r="E547" s="25"/>
      <c r="F547" s="25"/>
      <c r="G547" s="119"/>
    </row>
    <row r="548" ht="22.5" customHeight="1">
      <c r="A548" s="139"/>
      <c r="B548" s="71"/>
      <c r="C548" s="25"/>
      <c r="D548" s="138"/>
      <c r="E548" s="25"/>
      <c r="F548" s="25"/>
      <c r="G548" s="119"/>
    </row>
    <row r="549" ht="22.5" customHeight="1">
      <c r="A549" s="139"/>
      <c r="B549" s="71"/>
      <c r="C549" s="25"/>
      <c r="D549" s="138"/>
      <c r="E549" s="25"/>
      <c r="F549" s="25"/>
      <c r="G549" s="119"/>
    </row>
    <row r="550" ht="22.5" customHeight="1">
      <c r="A550" s="139"/>
      <c r="B550" s="71"/>
      <c r="C550" s="25"/>
      <c r="D550" s="138"/>
      <c r="E550" s="25"/>
      <c r="F550" s="25"/>
      <c r="G550" s="119"/>
    </row>
    <row r="551" ht="22.5" customHeight="1">
      <c r="A551" s="139"/>
      <c r="B551" s="71"/>
      <c r="C551" s="25"/>
      <c r="D551" s="138"/>
      <c r="E551" s="25"/>
      <c r="F551" s="25"/>
      <c r="G551" s="119"/>
    </row>
    <row r="552" ht="22.5" customHeight="1">
      <c r="A552" s="139"/>
      <c r="B552" s="71"/>
      <c r="C552" s="25"/>
      <c r="D552" s="138"/>
      <c r="E552" s="25"/>
      <c r="F552" s="25"/>
      <c r="G552" s="119"/>
    </row>
    <row r="553" ht="22.5" customHeight="1">
      <c r="A553" s="139"/>
      <c r="B553" s="71"/>
      <c r="C553" s="25"/>
      <c r="D553" s="138"/>
      <c r="E553" s="25"/>
      <c r="F553" s="25"/>
      <c r="G553" s="119"/>
    </row>
    <row r="554" ht="22.5" customHeight="1">
      <c r="A554" s="139"/>
      <c r="B554" s="71"/>
      <c r="C554" s="25"/>
      <c r="D554" s="138"/>
      <c r="E554" s="25"/>
      <c r="F554" s="25"/>
      <c r="G554" s="119"/>
    </row>
    <row r="555" ht="22.5" customHeight="1">
      <c r="A555" s="139"/>
      <c r="B555" s="71"/>
      <c r="C555" s="25"/>
      <c r="D555" s="138"/>
      <c r="E555" s="25"/>
      <c r="F555" s="25"/>
      <c r="G555" s="119"/>
    </row>
    <row r="556" ht="22.5" customHeight="1">
      <c r="A556" s="139"/>
      <c r="B556" s="71"/>
      <c r="C556" s="25"/>
      <c r="D556" s="138"/>
      <c r="E556" s="25"/>
      <c r="F556" s="25"/>
      <c r="G556" s="119"/>
    </row>
    <row r="557" ht="22.5" customHeight="1">
      <c r="A557" s="139"/>
      <c r="B557" s="71"/>
      <c r="C557" s="25"/>
      <c r="D557" s="138"/>
      <c r="E557" s="25"/>
      <c r="F557" s="25"/>
      <c r="G557" s="119"/>
    </row>
    <row r="558" ht="22.5" customHeight="1">
      <c r="A558" s="139"/>
      <c r="B558" s="71"/>
      <c r="C558" s="25"/>
      <c r="D558" s="138"/>
      <c r="E558" s="25"/>
      <c r="F558" s="25"/>
      <c r="G558" s="119"/>
    </row>
    <row r="559" ht="22.5" customHeight="1">
      <c r="A559" s="139"/>
      <c r="B559" s="71"/>
      <c r="C559" s="25"/>
      <c r="D559" s="138"/>
      <c r="E559" s="25"/>
      <c r="F559" s="25"/>
      <c r="G559" s="119"/>
    </row>
    <row r="560" ht="22.5" customHeight="1">
      <c r="A560" s="139"/>
      <c r="B560" s="71"/>
      <c r="C560" s="25"/>
      <c r="D560" s="138"/>
      <c r="E560" s="25"/>
      <c r="F560" s="25"/>
      <c r="G560" s="119"/>
    </row>
    <row r="561" ht="22.5" customHeight="1">
      <c r="A561" s="139"/>
      <c r="B561" s="71"/>
      <c r="C561" s="25"/>
      <c r="D561" s="138"/>
      <c r="E561" s="25"/>
      <c r="F561" s="25"/>
      <c r="G561" s="119"/>
    </row>
    <row r="562" ht="22.5" customHeight="1">
      <c r="A562" s="139"/>
      <c r="B562" s="71"/>
      <c r="C562" s="25"/>
      <c r="D562" s="138"/>
      <c r="E562" s="25"/>
      <c r="F562" s="25"/>
      <c r="G562" s="119"/>
    </row>
    <row r="563" ht="22.5" customHeight="1">
      <c r="A563" s="139"/>
      <c r="B563" s="71"/>
      <c r="C563" s="25"/>
      <c r="D563" s="138"/>
      <c r="E563" s="25"/>
      <c r="F563" s="25"/>
      <c r="G563" s="119"/>
    </row>
    <row r="564" ht="22.5" customHeight="1">
      <c r="A564" s="139"/>
      <c r="B564" s="71"/>
      <c r="C564" s="25"/>
      <c r="D564" s="138"/>
      <c r="E564" s="25"/>
      <c r="F564" s="25"/>
      <c r="G564" s="119"/>
    </row>
    <row r="565" ht="22.5" customHeight="1">
      <c r="A565" s="139"/>
      <c r="B565" s="71"/>
      <c r="C565" s="25"/>
      <c r="D565" s="138"/>
      <c r="E565" s="25"/>
      <c r="F565" s="25"/>
      <c r="G565" s="119"/>
    </row>
    <row r="566" ht="22.5" customHeight="1">
      <c r="A566" s="139"/>
      <c r="B566" s="71"/>
      <c r="C566" s="25"/>
      <c r="D566" s="138"/>
      <c r="E566" s="25"/>
      <c r="F566" s="25"/>
      <c r="G566" s="119"/>
    </row>
    <row r="567" ht="22.5" customHeight="1">
      <c r="A567" s="139"/>
      <c r="B567" s="71"/>
      <c r="C567" s="25"/>
      <c r="D567" s="138"/>
      <c r="E567" s="25"/>
      <c r="F567" s="25"/>
      <c r="G567" s="119"/>
    </row>
    <row r="568" ht="22.5" customHeight="1">
      <c r="A568" s="139"/>
      <c r="B568" s="71"/>
      <c r="C568" s="25"/>
      <c r="D568" s="138"/>
      <c r="E568" s="25"/>
      <c r="F568" s="25"/>
      <c r="G568" s="119"/>
    </row>
    <row r="569" ht="22.5" customHeight="1">
      <c r="A569" s="139"/>
      <c r="B569" s="71"/>
      <c r="C569" s="25"/>
      <c r="D569" s="138"/>
      <c r="E569" s="25"/>
      <c r="F569" s="25"/>
      <c r="G569" s="119"/>
    </row>
    <row r="570" ht="22.5" customHeight="1">
      <c r="A570" s="139"/>
      <c r="B570" s="71"/>
      <c r="C570" s="25"/>
      <c r="D570" s="138"/>
      <c r="E570" s="25"/>
      <c r="F570" s="25"/>
      <c r="G570" s="119"/>
    </row>
    <row r="571" ht="22.5" customHeight="1">
      <c r="A571" s="139"/>
      <c r="B571" s="71"/>
      <c r="C571" s="25"/>
      <c r="D571" s="138"/>
      <c r="E571" s="25"/>
      <c r="F571" s="25"/>
      <c r="G571" s="119"/>
    </row>
    <row r="572" ht="22.5" customHeight="1">
      <c r="A572" s="139"/>
      <c r="B572" s="71"/>
      <c r="C572" s="25"/>
      <c r="D572" s="138"/>
      <c r="E572" s="25"/>
      <c r="F572" s="25"/>
      <c r="G572" s="119"/>
    </row>
    <row r="573" ht="22.5" customHeight="1">
      <c r="A573" s="139"/>
      <c r="B573" s="71"/>
      <c r="C573" s="25"/>
      <c r="D573" s="138"/>
      <c r="E573" s="25"/>
      <c r="F573" s="25"/>
      <c r="G573" s="119"/>
    </row>
    <row r="574" ht="22.5" customHeight="1">
      <c r="A574" s="139"/>
      <c r="B574" s="71"/>
      <c r="C574" s="25"/>
      <c r="D574" s="138"/>
      <c r="E574" s="25"/>
      <c r="F574" s="25"/>
      <c r="G574" s="119"/>
    </row>
    <row r="575" ht="22.5" customHeight="1">
      <c r="A575" s="139"/>
      <c r="B575" s="71"/>
      <c r="C575" s="25"/>
      <c r="D575" s="138"/>
      <c r="E575" s="25"/>
      <c r="F575" s="25"/>
      <c r="G575" s="119"/>
    </row>
    <row r="576" ht="22.5" customHeight="1">
      <c r="A576" s="139"/>
      <c r="B576" s="71"/>
      <c r="C576" s="25"/>
      <c r="D576" s="138"/>
      <c r="E576" s="25"/>
      <c r="F576" s="25"/>
      <c r="G576" s="119"/>
    </row>
    <row r="577" ht="22.5" customHeight="1">
      <c r="A577" s="139"/>
      <c r="B577" s="71"/>
      <c r="C577" s="25"/>
      <c r="D577" s="138"/>
      <c r="E577" s="25"/>
      <c r="F577" s="25"/>
      <c r="G577" s="119"/>
    </row>
    <row r="578" ht="22.5" customHeight="1">
      <c r="A578" s="139"/>
      <c r="B578" s="71"/>
      <c r="C578" s="25"/>
      <c r="D578" s="138"/>
      <c r="E578" s="25"/>
      <c r="F578" s="25"/>
      <c r="G578" s="119"/>
    </row>
    <row r="579" ht="22.5" customHeight="1">
      <c r="A579" s="139"/>
      <c r="B579" s="71"/>
      <c r="C579" s="25"/>
      <c r="D579" s="138"/>
      <c r="E579" s="25"/>
      <c r="F579" s="25"/>
      <c r="G579" s="119"/>
    </row>
    <row r="580" ht="22.5" customHeight="1">
      <c r="A580" s="139"/>
      <c r="B580" s="71"/>
      <c r="C580" s="25"/>
      <c r="D580" s="138"/>
      <c r="E580" s="25"/>
      <c r="F580" s="25"/>
      <c r="G580" s="119"/>
    </row>
    <row r="581" ht="22.5" customHeight="1">
      <c r="A581" s="139"/>
      <c r="B581" s="71"/>
      <c r="C581" s="25"/>
      <c r="D581" s="138"/>
      <c r="E581" s="25"/>
      <c r="F581" s="25"/>
      <c r="G581" s="119"/>
    </row>
    <row r="582" ht="22.5" customHeight="1">
      <c r="A582" s="139"/>
      <c r="B582" s="71"/>
      <c r="C582" s="25"/>
      <c r="D582" s="138"/>
      <c r="E582" s="25"/>
      <c r="F582" s="25"/>
      <c r="G582" s="119"/>
    </row>
    <row r="583" ht="22.5" customHeight="1">
      <c r="A583" s="139"/>
      <c r="B583" s="71"/>
      <c r="C583" s="25"/>
      <c r="D583" s="138"/>
      <c r="E583" s="25"/>
      <c r="F583" s="25"/>
      <c r="G583" s="119"/>
    </row>
    <row r="584" ht="22.5" customHeight="1">
      <c r="A584" s="139"/>
      <c r="B584" s="71"/>
      <c r="C584" s="25"/>
      <c r="D584" s="138"/>
      <c r="E584" s="25"/>
      <c r="F584" s="25"/>
      <c r="G584" s="119"/>
    </row>
    <row r="585" ht="22.5" customHeight="1">
      <c r="A585" s="139"/>
      <c r="B585" s="71"/>
      <c r="C585" s="25"/>
      <c r="D585" s="138"/>
      <c r="E585" s="25"/>
      <c r="F585" s="25"/>
      <c r="G585" s="119"/>
    </row>
    <row r="586" ht="22.5" customHeight="1">
      <c r="A586" s="139"/>
      <c r="B586" s="71"/>
      <c r="C586" s="25"/>
      <c r="D586" s="138"/>
      <c r="E586" s="25"/>
      <c r="F586" s="25"/>
      <c r="G586" s="119"/>
    </row>
    <row r="587" ht="22.5" customHeight="1">
      <c r="A587" s="139"/>
      <c r="B587" s="71"/>
      <c r="C587" s="25"/>
      <c r="D587" s="138"/>
      <c r="E587" s="25"/>
      <c r="F587" s="25"/>
      <c r="G587" s="119"/>
    </row>
    <row r="588" ht="22.5" customHeight="1">
      <c r="A588" s="139"/>
      <c r="B588" s="71"/>
      <c r="C588" s="25"/>
      <c r="D588" s="138"/>
      <c r="E588" s="25"/>
      <c r="F588" s="25"/>
      <c r="G588" s="119"/>
    </row>
    <row r="589" ht="22.5" customHeight="1">
      <c r="A589" s="139"/>
      <c r="B589" s="71"/>
      <c r="C589" s="25"/>
      <c r="D589" s="138"/>
      <c r="E589" s="25"/>
      <c r="F589" s="25"/>
      <c r="G589" s="119"/>
    </row>
    <row r="590" ht="22.5" customHeight="1">
      <c r="A590" s="139"/>
      <c r="B590" s="71"/>
      <c r="C590" s="25"/>
      <c r="D590" s="138"/>
      <c r="E590" s="25"/>
      <c r="F590" s="25"/>
      <c r="G590" s="119"/>
    </row>
    <row r="591" ht="22.5" customHeight="1">
      <c r="A591" s="139"/>
      <c r="B591" s="71"/>
      <c r="C591" s="25"/>
      <c r="D591" s="138"/>
      <c r="E591" s="25"/>
      <c r="F591" s="25"/>
      <c r="G591" s="119"/>
    </row>
    <row r="592" ht="22.5" customHeight="1">
      <c r="A592" s="139"/>
      <c r="B592" s="71"/>
      <c r="C592" s="25"/>
      <c r="D592" s="138"/>
      <c r="E592" s="25"/>
      <c r="F592" s="25"/>
      <c r="G592" s="119"/>
    </row>
    <row r="593" ht="22.5" customHeight="1">
      <c r="A593" s="139"/>
      <c r="B593" s="71"/>
      <c r="C593" s="25"/>
      <c r="D593" s="138"/>
      <c r="E593" s="25"/>
      <c r="F593" s="25"/>
      <c r="G593" s="119"/>
    </row>
    <row r="594" ht="22.5" customHeight="1">
      <c r="A594" s="139"/>
      <c r="B594" s="71"/>
      <c r="C594" s="25"/>
      <c r="D594" s="138"/>
      <c r="E594" s="25"/>
      <c r="F594" s="25"/>
      <c r="G594" s="119"/>
    </row>
    <row r="595" ht="22.5" customHeight="1">
      <c r="A595" s="139"/>
      <c r="B595" s="71"/>
      <c r="C595" s="25"/>
      <c r="D595" s="138"/>
      <c r="E595" s="25"/>
      <c r="F595" s="25"/>
      <c r="G595" s="119"/>
    </row>
    <row r="596" ht="22.5" customHeight="1">
      <c r="A596" s="139"/>
      <c r="B596" s="71"/>
      <c r="C596" s="25"/>
      <c r="D596" s="138"/>
      <c r="E596" s="25"/>
      <c r="F596" s="25"/>
      <c r="G596" s="119"/>
    </row>
    <row r="597" ht="22.5" customHeight="1">
      <c r="A597" s="139"/>
      <c r="B597" s="71"/>
      <c r="C597" s="25"/>
      <c r="D597" s="138"/>
      <c r="E597" s="25"/>
      <c r="F597" s="25"/>
      <c r="G597" s="119"/>
    </row>
    <row r="598" ht="22.5" customHeight="1">
      <c r="A598" s="139"/>
      <c r="B598" s="71"/>
      <c r="C598" s="25"/>
      <c r="D598" s="138"/>
      <c r="E598" s="25"/>
      <c r="F598" s="25"/>
      <c r="G598" s="119"/>
    </row>
    <row r="599" ht="22.5" customHeight="1">
      <c r="A599" s="139"/>
      <c r="B599" s="71"/>
      <c r="C599" s="25"/>
      <c r="D599" s="138"/>
      <c r="E599" s="25"/>
      <c r="F599" s="25"/>
      <c r="G599" s="119"/>
    </row>
    <row r="600" ht="22.5" customHeight="1">
      <c r="A600" s="139"/>
      <c r="B600" s="71"/>
      <c r="C600" s="25"/>
      <c r="D600" s="138"/>
      <c r="E600" s="25"/>
      <c r="F600" s="25"/>
      <c r="G600" s="119"/>
    </row>
    <row r="601" ht="22.5" customHeight="1">
      <c r="A601" s="139"/>
      <c r="B601" s="71"/>
      <c r="C601" s="25"/>
      <c r="D601" s="138"/>
      <c r="E601" s="25"/>
      <c r="F601" s="25"/>
      <c r="G601" s="119"/>
    </row>
    <row r="602" ht="22.5" customHeight="1">
      <c r="A602" s="139"/>
      <c r="B602" s="71"/>
      <c r="C602" s="25"/>
      <c r="D602" s="138"/>
      <c r="E602" s="25"/>
      <c r="F602" s="25"/>
      <c r="G602" s="119"/>
    </row>
    <row r="603" ht="22.5" customHeight="1">
      <c r="A603" s="139"/>
      <c r="B603" s="71"/>
      <c r="C603" s="25"/>
      <c r="D603" s="138"/>
      <c r="E603" s="25"/>
      <c r="F603" s="25"/>
      <c r="G603" s="119"/>
    </row>
    <row r="604" ht="22.5" customHeight="1">
      <c r="A604" s="139"/>
      <c r="B604" s="71"/>
      <c r="C604" s="25"/>
      <c r="D604" s="138"/>
      <c r="E604" s="25"/>
      <c r="F604" s="25"/>
      <c r="G604" s="119"/>
    </row>
    <row r="605" ht="22.5" customHeight="1">
      <c r="A605" s="139"/>
      <c r="B605" s="71"/>
      <c r="C605" s="25"/>
      <c r="D605" s="138"/>
      <c r="E605" s="25"/>
      <c r="F605" s="25"/>
      <c r="G605" s="119"/>
    </row>
    <row r="606" ht="22.5" customHeight="1">
      <c r="A606" s="139"/>
      <c r="B606" s="71"/>
      <c r="C606" s="25"/>
      <c r="D606" s="138"/>
      <c r="E606" s="25"/>
      <c r="F606" s="25"/>
      <c r="G606" s="119"/>
    </row>
    <row r="607" ht="22.5" customHeight="1">
      <c r="A607" s="139"/>
      <c r="B607" s="71"/>
      <c r="C607" s="25"/>
      <c r="D607" s="138"/>
      <c r="E607" s="25"/>
      <c r="F607" s="25"/>
      <c r="G607" s="119"/>
    </row>
    <row r="608" ht="22.5" customHeight="1">
      <c r="A608" s="139"/>
      <c r="B608" s="71"/>
      <c r="C608" s="25"/>
      <c r="D608" s="138"/>
      <c r="E608" s="25"/>
      <c r="F608" s="25"/>
      <c r="G608" s="119"/>
    </row>
    <row r="609" ht="22.5" customHeight="1">
      <c r="A609" s="139"/>
      <c r="B609" s="71"/>
      <c r="C609" s="25"/>
      <c r="D609" s="138"/>
      <c r="E609" s="25"/>
      <c r="F609" s="25"/>
      <c r="G609" s="119"/>
    </row>
    <row r="610" ht="22.5" customHeight="1">
      <c r="A610" s="139"/>
      <c r="B610" s="71"/>
      <c r="C610" s="25"/>
      <c r="D610" s="138"/>
      <c r="E610" s="25"/>
      <c r="F610" s="25"/>
      <c r="G610" s="119"/>
    </row>
    <row r="611" ht="22.5" customHeight="1">
      <c r="A611" s="139"/>
      <c r="B611" s="71"/>
      <c r="C611" s="25"/>
      <c r="D611" s="138"/>
      <c r="E611" s="25"/>
      <c r="F611" s="25"/>
      <c r="G611" s="119"/>
    </row>
    <row r="612" ht="22.5" customHeight="1">
      <c r="A612" s="139"/>
      <c r="B612" s="71"/>
      <c r="C612" s="25"/>
      <c r="D612" s="138"/>
      <c r="E612" s="25"/>
      <c r="F612" s="25"/>
      <c r="G612" s="119"/>
    </row>
    <row r="613" ht="22.5" customHeight="1">
      <c r="A613" s="139"/>
      <c r="B613" s="71"/>
      <c r="C613" s="25"/>
      <c r="D613" s="138"/>
      <c r="E613" s="25"/>
      <c r="F613" s="25"/>
      <c r="G613" s="119"/>
    </row>
    <row r="614" ht="22.5" customHeight="1">
      <c r="A614" s="139"/>
      <c r="B614" s="71"/>
      <c r="C614" s="25"/>
      <c r="D614" s="138"/>
      <c r="E614" s="25"/>
      <c r="F614" s="25"/>
      <c r="G614" s="119"/>
    </row>
    <row r="615" ht="22.5" customHeight="1">
      <c r="A615" s="139"/>
      <c r="B615" s="71"/>
      <c r="C615" s="25"/>
      <c r="D615" s="138"/>
      <c r="E615" s="25"/>
      <c r="F615" s="25"/>
      <c r="G615" s="119"/>
    </row>
    <row r="616" ht="22.5" customHeight="1">
      <c r="A616" s="139"/>
      <c r="B616" s="71"/>
      <c r="C616" s="25"/>
      <c r="D616" s="138"/>
      <c r="E616" s="25"/>
      <c r="F616" s="25"/>
      <c r="G616" s="119"/>
    </row>
    <row r="617" ht="22.5" customHeight="1">
      <c r="A617" s="139"/>
      <c r="B617" s="71"/>
      <c r="C617" s="25"/>
      <c r="D617" s="138"/>
      <c r="E617" s="25"/>
      <c r="F617" s="25"/>
      <c r="G617" s="119"/>
    </row>
    <row r="618" ht="22.5" customHeight="1">
      <c r="A618" s="139"/>
      <c r="B618" s="71"/>
      <c r="C618" s="25"/>
      <c r="D618" s="138"/>
      <c r="E618" s="25"/>
      <c r="F618" s="25"/>
      <c r="G618" s="119"/>
    </row>
    <row r="619" ht="22.5" customHeight="1">
      <c r="A619" s="139"/>
      <c r="B619" s="71"/>
      <c r="C619" s="25"/>
      <c r="D619" s="138"/>
      <c r="E619" s="25"/>
      <c r="F619" s="25"/>
      <c r="G619" s="119"/>
    </row>
    <row r="620" ht="22.5" customHeight="1">
      <c r="A620" s="139"/>
      <c r="B620" s="71"/>
      <c r="C620" s="25"/>
      <c r="D620" s="138"/>
      <c r="E620" s="25"/>
      <c r="F620" s="25"/>
      <c r="G620" s="119"/>
    </row>
    <row r="621" ht="22.5" customHeight="1">
      <c r="A621" s="139"/>
      <c r="B621" s="71"/>
      <c r="C621" s="25"/>
      <c r="D621" s="138"/>
      <c r="E621" s="25"/>
      <c r="F621" s="25"/>
      <c r="G621" s="119"/>
    </row>
    <row r="622" ht="22.5" customHeight="1">
      <c r="A622" s="139"/>
      <c r="B622" s="71"/>
      <c r="C622" s="25"/>
      <c r="D622" s="138"/>
      <c r="E622" s="25"/>
      <c r="F622" s="25"/>
      <c r="G622" s="119"/>
    </row>
    <row r="623" ht="22.5" customHeight="1">
      <c r="A623" s="139"/>
      <c r="B623" s="71"/>
      <c r="C623" s="25"/>
      <c r="D623" s="138"/>
      <c r="E623" s="25"/>
      <c r="F623" s="25"/>
      <c r="G623" s="119"/>
    </row>
    <row r="624" ht="22.5" customHeight="1">
      <c r="A624" s="139"/>
      <c r="B624" s="71"/>
      <c r="C624" s="25"/>
      <c r="D624" s="138"/>
      <c r="E624" s="25"/>
      <c r="F624" s="25"/>
      <c r="G624" s="119"/>
    </row>
    <row r="625" ht="22.5" customHeight="1">
      <c r="A625" s="139"/>
      <c r="B625" s="71"/>
      <c r="C625" s="25"/>
      <c r="D625" s="138"/>
      <c r="E625" s="25"/>
      <c r="F625" s="25"/>
      <c r="G625" s="119"/>
    </row>
    <row r="626" ht="22.5" customHeight="1">
      <c r="A626" s="139"/>
      <c r="B626" s="71"/>
      <c r="C626" s="25"/>
      <c r="D626" s="138"/>
      <c r="E626" s="25"/>
      <c r="F626" s="25"/>
      <c r="G626" s="119"/>
    </row>
    <row r="627" ht="22.5" customHeight="1">
      <c r="A627" s="139"/>
      <c r="B627" s="71"/>
      <c r="C627" s="25"/>
      <c r="D627" s="138"/>
      <c r="E627" s="25"/>
      <c r="F627" s="25"/>
      <c r="G627" s="119"/>
    </row>
    <row r="628" ht="22.5" customHeight="1">
      <c r="A628" s="139"/>
      <c r="B628" s="71"/>
      <c r="C628" s="25"/>
      <c r="D628" s="138"/>
      <c r="E628" s="25"/>
      <c r="F628" s="25"/>
      <c r="G628" s="119"/>
    </row>
    <row r="629" ht="22.5" customHeight="1">
      <c r="A629" s="139"/>
      <c r="B629" s="71"/>
      <c r="C629" s="25"/>
      <c r="D629" s="138"/>
      <c r="E629" s="25"/>
      <c r="F629" s="25"/>
      <c r="G629" s="119"/>
    </row>
    <row r="630" ht="22.5" customHeight="1">
      <c r="A630" s="139"/>
      <c r="B630" s="71"/>
      <c r="C630" s="25"/>
      <c r="D630" s="138"/>
      <c r="E630" s="25"/>
      <c r="F630" s="25"/>
      <c r="G630" s="119"/>
    </row>
    <row r="631" ht="22.5" customHeight="1">
      <c r="A631" s="139"/>
      <c r="B631" s="71"/>
      <c r="C631" s="25"/>
      <c r="D631" s="138"/>
      <c r="E631" s="25"/>
      <c r="F631" s="25"/>
      <c r="G631" s="119"/>
    </row>
    <row r="632" ht="22.5" customHeight="1">
      <c r="A632" s="139"/>
      <c r="B632" s="71"/>
      <c r="C632" s="25"/>
      <c r="D632" s="138"/>
      <c r="E632" s="25"/>
      <c r="F632" s="25"/>
      <c r="G632" s="119"/>
    </row>
    <row r="633" ht="22.5" customHeight="1">
      <c r="A633" s="139"/>
      <c r="B633" s="71"/>
      <c r="C633" s="25"/>
      <c r="D633" s="138"/>
      <c r="E633" s="25"/>
      <c r="F633" s="25"/>
      <c r="G633" s="119"/>
    </row>
    <row r="634" ht="22.5" customHeight="1">
      <c r="A634" s="139"/>
      <c r="B634" s="71"/>
      <c r="C634" s="25"/>
      <c r="D634" s="138"/>
      <c r="E634" s="25"/>
      <c r="F634" s="25"/>
      <c r="G634" s="119"/>
    </row>
    <row r="635" ht="22.5" customHeight="1">
      <c r="A635" s="139"/>
      <c r="B635" s="71"/>
      <c r="C635" s="25"/>
      <c r="D635" s="138"/>
      <c r="E635" s="25"/>
      <c r="F635" s="25"/>
      <c r="G635" s="119"/>
    </row>
    <row r="636" ht="22.5" customHeight="1">
      <c r="A636" s="139"/>
      <c r="B636" s="71"/>
      <c r="C636" s="25"/>
      <c r="D636" s="138"/>
      <c r="E636" s="25"/>
      <c r="F636" s="25"/>
      <c r="G636" s="119"/>
    </row>
    <row r="637" ht="22.5" customHeight="1">
      <c r="A637" s="139"/>
      <c r="B637" s="71"/>
      <c r="C637" s="25"/>
      <c r="D637" s="138"/>
      <c r="E637" s="25"/>
      <c r="F637" s="25"/>
      <c r="G637" s="119"/>
    </row>
    <row r="638" ht="22.5" customHeight="1">
      <c r="A638" s="139"/>
      <c r="B638" s="71"/>
      <c r="C638" s="25"/>
      <c r="D638" s="138"/>
      <c r="E638" s="25"/>
      <c r="F638" s="25"/>
      <c r="G638" s="119"/>
    </row>
    <row r="639" ht="22.5" customHeight="1">
      <c r="A639" s="139"/>
      <c r="B639" s="71"/>
      <c r="C639" s="25"/>
      <c r="D639" s="138"/>
      <c r="E639" s="25"/>
      <c r="F639" s="25"/>
      <c r="G639" s="119"/>
    </row>
    <row r="640" ht="22.5" customHeight="1">
      <c r="A640" s="139"/>
      <c r="B640" s="71"/>
      <c r="C640" s="25"/>
      <c r="D640" s="138"/>
      <c r="E640" s="25"/>
      <c r="F640" s="25"/>
      <c r="G640" s="119"/>
    </row>
    <row r="641" ht="22.5" customHeight="1">
      <c r="A641" s="139"/>
      <c r="B641" s="71"/>
      <c r="C641" s="25"/>
      <c r="D641" s="138"/>
      <c r="E641" s="25"/>
      <c r="F641" s="25"/>
      <c r="G641" s="119"/>
    </row>
    <row r="642" ht="22.5" customHeight="1">
      <c r="A642" s="139"/>
      <c r="B642" s="71"/>
      <c r="C642" s="25"/>
      <c r="D642" s="138"/>
      <c r="E642" s="25"/>
      <c r="F642" s="25"/>
      <c r="G642" s="119"/>
    </row>
    <row r="643" ht="22.5" customHeight="1">
      <c r="A643" s="139"/>
      <c r="B643" s="71"/>
      <c r="C643" s="25"/>
      <c r="D643" s="138"/>
      <c r="E643" s="25"/>
      <c r="F643" s="25"/>
      <c r="G643" s="119"/>
    </row>
    <row r="644" ht="22.5" customHeight="1">
      <c r="A644" s="139"/>
      <c r="B644" s="71"/>
      <c r="C644" s="25"/>
      <c r="D644" s="138"/>
      <c r="E644" s="25"/>
      <c r="F644" s="25"/>
      <c r="G644" s="119"/>
    </row>
    <row r="645" ht="22.5" customHeight="1">
      <c r="A645" s="139"/>
      <c r="B645" s="71"/>
      <c r="C645" s="25"/>
      <c r="D645" s="138"/>
      <c r="E645" s="25"/>
      <c r="F645" s="25"/>
      <c r="G645" s="119"/>
    </row>
    <row r="646" ht="22.5" customHeight="1">
      <c r="A646" s="139"/>
      <c r="B646" s="71"/>
      <c r="C646" s="25"/>
      <c r="D646" s="138"/>
      <c r="E646" s="25"/>
      <c r="F646" s="25"/>
      <c r="G646" s="119"/>
    </row>
    <row r="647" ht="22.5" customHeight="1">
      <c r="A647" s="139"/>
      <c r="B647" s="71"/>
      <c r="C647" s="25"/>
      <c r="D647" s="138"/>
      <c r="E647" s="25"/>
      <c r="F647" s="25"/>
      <c r="G647" s="119"/>
    </row>
    <row r="648" ht="22.5" customHeight="1">
      <c r="A648" s="139"/>
      <c r="B648" s="71"/>
      <c r="C648" s="25"/>
      <c r="D648" s="138"/>
      <c r="E648" s="25"/>
      <c r="F648" s="25"/>
      <c r="G648" s="119"/>
    </row>
    <row r="649" ht="22.5" customHeight="1">
      <c r="A649" s="139"/>
      <c r="B649" s="71"/>
      <c r="C649" s="25"/>
      <c r="D649" s="138"/>
      <c r="E649" s="25"/>
      <c r="F649" s="25"/>
      <c r="G649" s="119"/>
    </row>
    <row r="650" ht="22.5" customHeight="1">
      <c r="A650" s="139"/>
      <c r="B650" s="71"/>
      <c r="C650" s="25"/>
      <c r="D650" s="138"/>
      <c r="E650" s="25"/>
      <c r="F650" s="25"/>
      <c r="G650" s="119"/>
    </row>
    <row r="651" ht="22.5" customHeight="1">
      <c r="A651" s="139"/>
      <c r="B651" s="71"/>
      <c r="C651" s="25"/>
      <c r="D651" s="138"/>
      <c r="E651" s="25"/>
      <c r="F651" s="25"/>
      <c r="G651" s="119"/>
    </row>
    <row r="652" ht="22.5" customHeight="1">
      <c r="A652" s="139"/>
      <c r="B652" s="71"/>
      <c r="C652" s="25"/>
      <c r="D652" s="138"/>
      <c r="E652" s="25"/>
      <c r="F652" s="25"/>
      <c r="G652" s="119"/>
    </row>
    <row r="653" ht="22.5" customHeight="1">
      <c r="A653" s="139"/>
      <c r="B653" s="71"/>
      <c r="C653" s="25"/>
      <c r="D653" s="138"/>
      <c r="E653" s="25"/>
      <c r="F653" s="25"/>
      <c r="G653" s="119"/>
    </row>
    <row r="654" ht="22.5" customHeight="1">
      <c r="A654" s="139"/>
      <c r="B654" s="71"/>
      <c r="C654" s="25"/>
      <c r="D654" s="138"/>
      <c r="E654" s="25"/>
      <c r="F654" s="25"/>
      <c r="G654" s="119"/>
    </row>
    <row r="655" ht="22.5" customHeight="1">
      <c r="A655" s="139"/>
      <c r="B655" s="71"/>
      <c r="C655" s="25"/>
      <c r="D655" s="138"/>
      <c r="E655" s="25"/>
      <c r="F655" s="25"/>
      <c r="G655" s="119"/>
    </row>
    <row r="656" ht="22.5" customHeight="1">
      <c r="A656" s="139"/>
      <c r="B656" s="71"/>
      <c r="C656" s="25"/>
      <c r="D656" s="138"/>
      <c r="E656" s="25"/>
      <c r="F656" s="25"/>
      <c r="G656" s="119"/>
    </row>
    <row r="657" ht="22.5" customHeight="1">
      <c r="A657" s="139"/>
      <c r="B657" s="71"/>
      <c r="C657" s="25"/>
      <c r="D657" s="138"/>
      <c r="E657" s="25"/>
      <c r="F657" s="25"/>
      <c r="G657" s="119"/>
    </row>
    <row r="658" ht="22.5" customHeight="1">
      <c r="A658" s="139"/>
      <c r="B658" s="71"/>
      <c r="C658" s="25"/>
      <c r="D658" s="138"/>
      <c r="E658" s="25"/>
      <c r="F658" s="25"/>
      <c r="G658" s="119"/>
    </row>
    <row r="659" ht="22.5" customHeight="1">
      <c r="A659" s="139"/>
      <c r="B659" s="71"/>
      <c r="C659" s="25"/>
      <c r="D659" s="138"/>
      <c r="E659" s="25"/>
      <c r="F659" s="25"/>
      <c r="G659" s="119"/>
    </row>
    <row r="660" ht="22.5" customHeight="1">
      <c r="A660" s="139"/>
      <c r="B660" s="71"/>
      <c r="C660" s="25"/>
      <c r="D660" s="138"/>
      <c r="E660" s="25"/>
      <c r="F660" s="25"/>
      <c r="G660" s="119"/>
    </row>
    <row r="661" ht="22.5" customHeight="1">
      <c r="A661" s="139"/>
      <c r="B661" s="71"/>
      <c r="C661" s="25"/>
      <c r="D661" s="138"/>
      <c r="E661" s="25"/>
      <c r="F661" s="25"/>
      <c r="G661" s="119"/>
    </row>
    <row r="662" ht="22.5" customHeight="1">
      <c r="A662" s="139"/>
      <c r="B662" s="71"/>
      <c r="C662" s="25"/>
      <c r="D662" s="138"/>
      <c r="E662" s="25"/>
      <c r="F662" s="25"/>
      <c r="G662" s="119"/>
    </row>
    <row r="663" ht="22.5" customHeight="1">
      <c r="A663" s="139"/>
      <c r="B663" s="71"/>
      <c r="C663" s="25"/>
      <c r="D663" s="138"/>
      <c r="E663" s="25"/>
      <c r="F663" s="25"/>
      <c r="G663" s="119"/>
    </row>
    <row r="664" ht="22.5" customHeight="1">
      <c r="A664" s="139"/>
      <c r="B664" s="71"/>
      <c r="C664" s="25"/>
      <c r="D664" s="138"/>
      <c r="E664" s="25"/>
      <c r="F664" s="25"/>
      <c r="G664" s="119"/>
    </row>
    <row r="665" ht="22.5" customHeight="1">
      <c r="A665" s="139"/>
      <c r="B665" s="71"/>
      <c r="C665" s="25"/>
      <c r="D665" s="138"/>
      <c r="E665" s="25"/>
      <c r="F665" s="25"/>
      <c r="G665" s="119"/>
    </row>
    <row r="666" ht="22.5" customHeight="1">
      <c r="A666" s="139"/>
      <c r="B666" s="71"/>
      <c r="C666" s="25"/>
      <c r="D666" s="138"/>
      <c r="E666" s="25"/>
      <c r="F666" s="25"/>
      <c r="G666" s="119"/>
    </row>
    <row r="667" ht="22.5" customHeight="1">
      <c r="A667" s="139"/>
      <c r="B667" s="71"/>
      <c r="C667" s="25"/>
      <c r="D667" s="138"/>
      <c r="E667" s="25"/>
      <c r="F667" s="25"/>
      <c r="G667" s="119"/>
    </row>
    <row r="668" ht="22.5" customHeight="1">
      <c r="A668" s="139"/>
      <c r="B668" s="71"/>
      <c r="C668" s="25"/>
      <c r="D668" s="138"/>
      <c r="E668" s="25"/>
      <c r="F668" s="25"/>
      <c r="G668" s="119"/>
    </row>
    <row r="669" ht="22.5" customHeight="1">
      <c r="A669" s="139"/>
      <c r="B669" s="71"/>
      <c r="C669" s="25"/>
      <c r="D669" s="138"/>
      <c r="E669" s="25"/>
      <c r="F669" s="25"/>
      <c r="G669" s="119"/>
    </row>
    <row r="670" ht="22.5" customHeight="1">
      <c r="A670" s="139"/>
      <c r="B670" s="71"/>
      <c r="C670" s="25"/>
      <c r="D670" s="138"/>
      <c r="E670" s="25"/>
      <c r="F670" s="25"/>
      <c r="G670" s="119"/>
    </row>
    <row r="671" ht="22.5" customHeight="1">
      <c r="A671" s="139"/>
      <c r="B671" s="71"/>
      <c r="C671" s="25"/>
      <c r="D671" s="138"/>
      <c r="E671" s="25"/>
      <c r="F671" s="25"/>
      <c r="G671" s="119"/>
    </row>
    <row r="672" ht="22.5" customHeight="1">
      <c r="A672" s="139"/>
      <c r="B672" s="71"/>
      <c r="C672" s="25"/>
      <c r="D672" s="138"/>
      <c r="E672" s="25"/>
      <c r="F672" s="25"/>
      <c r="G672" s="119"/>
    </row>
    <row r="673" ht="22.5" customHeight="1">
      <c r="A673" s="139"/>
      <c r="B673" s="71"/>
      <c r="C673" s="25"/>
      <c r="D673" s="138"/>
      <c r="E673" s="25"/>
      <c r="F673" s="25"/>
      <c r="G673" s="119"/>
    </row>
    <row r="674" ht="22.5" customHeight="1">
      <c r="A674" s="139"/>
      <c r="B674" s="71"/>
      <c r="C674" s="25"/>
      <c r="D674" s="138"/>
      <c r="E674" s="25"/>
      <c r="F674" s="25"/>
      <c r="G674" s="119"/>
    </row>
    <row r="675" ht="22.5" customHeight="1">
      <c r="A675" s="139"/>
      <c r="B675" s="71"/>
      <c r="C675" s="25"/>
      <c r="D675" s="138"/>
      <c r="E675" s="25"/>
      <c r="F675" s="25"/>
      <c r="G675" s="119"/>
    </row>
    <row r="676" ht="22.5" customHeight="1">
      <c r="A676" s="139"/>
      <c r="B676" s="71"/>
      <c r="C676" s="25"/>
      <c r="D676" s="138"/>
      <c r="E676" s="25"/>
      <c r="F676" s="25"/>
      <c r="G676" s="119"/>
    </row>
    <row r="677" ht="22.5" customHeight="1">
      <c r="A677" s="139"/>
      <c r="B677" s="71"/>
      <c r="C677" s="25"/>
      <c r="D677" s="138"/>
      <c r="E677" s="25"/>
      <c r="F677" s="25"/>
      <c r="G677" s="119"/>
    </row>
    <row r="678" ht="22.5" customHeight="1">
      <c r="A678" s="139"/>
      <c r="B678" s="71"/>
      <c r="C678" s="25"/>
      <c r="D678" s="138"/>
      <c r="E678" s="25"/>
      <c r="F678" s="25"/>
      <c r="G678" s="119"/>
    </row>
    <row r="679" ht="22.5" customHeight="1">
      <c r="A679" s="139"/>
      <c r="B679" s="71"/>
      <c r="C679" s="25"/>
      <c r="D679" s="138"/>
      <c r="E679" s="25"/>
      <c r="F679" s="25"/>
      <c r="G679" s="119"/>
    </row>
    <row r="680" ht="22.5" customHeight="1">
      <c r="A680" s="139"/>
      <c r="B680" s="71"/>
      <c r="C680" s="25"/>
      <c r="D680" s="138"/>
      <c r="E680" s="25"/>
      <c r="F680" s="25"/>
      <c r="G680" s="119"/>
    </row>
    <row r="681" ht="22.5" customHeight="1">
      <c r="A681" s="139"/>
      <c r="B681" s="71"/>
      <c r="C681" s="25"/>
      <c r="D681" s="138"/>
      <c r="E681" s="25"/>
      <c r="F681" s="25"/>
      <c r="G681" s="119"/>
    </row>
    <row r="682" ht="22.5" customHeight="1">
      <c r="A682" s="139"/>
      <c r="B682" s="71"/>
      <c r="C682" s="25"/>
      <c r="D682" s="138"/>
      <c r="E682" s="25"/>
      <c r="F682" s="25"/>
      <c r="G682" s="119"/>
    </row>
    <row r="683" ht="22.5" customHeight="1">
      <c r="A683" s="139"/>
      <c r="B683" s="71"/>
      <c r="C683" s="25"/>
      <c r="D683" s="138"/>
      <c r="E683" s="25"/>
      <c r="F683" s="25"/>
      <c r="G683" s="119"/>
    </row>
    <row r="684" ht="22.5" customHeight="1">
      <c r="A684" s="139"/>
      <c r="B684" s="71"/>
      <c r="C684" s="25"/>
      <c r="D684" s="138"/>
      <c r="E684" s="25"/>
      <c r="F684" s="25"/>
      <c r="G684" s="119"/>
    </row>
    <row r="685" ht="22.5" customHeight="1">
      <c r="A685" s="139"/>
      <c r="B685" s="71"/>
      <c r="C685" s="25"/>
      <c r="D685" s="138"/>
      <c r="E685" s="25"/>
      <c r="F685" s="25"/>
      <c r="G685" s="119"/>
    </row>
    <row r="686" ht="22.5" customHeight="1">
      <c r="A686" s="139"/>
      <c r="B686" s="71"/>
      <c r="C686" s="25"/>
      <c r="D686" s="138"/>
      <c r="E686" s="25"/>
      <c r="F686" s="25"/>
      <c r="G686" s="119"/>
    </row>
    <row r="687" ht="22.5" customHeight="1">
      <c r="A687" s="139"/>
      <c r="B687" s="71"/>
      <c r="C687" s="25"/>
      <c r="D687" s="138"/>
      <c r="E687" s="25"/>
      <c r="F687" s="25"/>
      <c r="G687" s="119"/>
    </row>
    <row r="688" ht="22.5" customHeight="1">
      <c r="A688" s="139"/>
      <c r="B688" s="71"/>
      <c r="C688" s="25"/>
      <c r="D688" s="138"/>
      <c r="E688" s="25"/>
      <c r="F688" s="25"/>
      <c r="G688" s="119"/>
    </row>
    <row r="689" ht="22.5" customHeight="1">
      <c r="A689" s="139"/>
      <c r="B689" s="71"/>
      <c r="C689" s="25"/>
      <c r="D689" s="138"/>
      <c r="E689" s="25"/>
      <c r="F689" s="25"/>
      <c r="G689" s="119"/>
    </row>
    <row r="690" ht="22.5" customHeight="1">
      <c r="A690" s="139"/>
      <c r="B690" s="71"/>
      <c r="C690" s="25"/>
      <c r="D690" s="138"/>
      <c r="E690" s="25"/>
      <c r="F690" s="25"/>
      <c r="G690" s="119"/>
    </row>
    <row r="691" ht="22.5" customHeight="1">
      <c r="A691" s="139"/>
      <c r="B691" s="71"/>
      <c r="C691" s="25"/>
      <c r="D691" s="138"/>
      <c r="E691" s="25"/>
      <c r="F691" s="25"/>
      <c r="G691" s="119"/>
    </row>
    <row r="692" ht="22.5" customHeight="1">
      <c r="A692" s="139"/>
      <c r="B692" s="71"/>
      <c r="C692" s="25"/>
      <c r="D692" s="138"/>
      <c r="E692" s="25"/>
      <c r="F692" s="25"/>
      <c r="G692" s="119"/>
    </row>
    <row r="693" ht="22.5" customHeight="1">
      <c r="A693" s="139"/>
      <c r="B693" s="71"/>
      <c r="C693" s="25"/>
      <c r="D693" s="138"/>
      <c r="E693" s="25"/>
      <c r="F693" s="25"/>
      <c r="G693" s="119"/>
    </row>
    <row r="694" ht="22.5" customHeight="1">
      <c r="A694" s="139"/>
      <c r="B694" s="71"/>
      <c r="C694" s="25"/>
      <c r="D694" s="138"/>
      <c r="E694" s="25"/>
      <c r="F694" s="25"/>
      <c r="G694" s="119"/>
    </row>
    <row r="695" ht="22.5" customHeight="1">
      <c r="A695" s="139"/>
      <c r="B695" s="71"/>
      <c r="C695" s="25"/>
      <c r="D695" s="138"/>
      <c r="E695" s="25"/>
      <c r="F695" s="25"/>
      <c r="G695" s="119"/>
    </row>
    <row r="696" ht="22.5" customHeight="1">
      <c r="A696" s="139"/>
      <c r="B696" s="71"/>
      <c r="C696" s="25"/>
      <c r="D696" s="138"/>
      <c r="E696" s="25"/>
      <c r="F696" s="25"/>
      <c r="G696" s="119"/>
    </row>
    <row r="697" ht="22.5" customHeight="1">
      <c r="A697" s="139"/>
      <c r="B697" s="71"/>
      <c r="C697" s="25"/>
      <c r="D697" s="138"/>
      <c r="E697" s="25"/>
      <c r="F697" s="25"/>
      <c r="G697" s="119"/>
    </row>
    <row r="698" ht="22.5" customHeight="1">
      <c r="A698" s="139"/>
      <c r="B698" s="71"/>
      <c r="C698" s="25"/>
      <c r="D698" s="138"/>
      <c r="E698" s="25"/>
      <c r="F698" s="25"/>
      <c r="G698" s="119"/>
    </row>
    <row r="699" ht="22.5" customHeight="1">
      <c r="A699" s="139"/>
      <c r="B699" s="71"/>
      <c r="C699" s="25"/>
      <c r="D699" s="138"/>
      <c r="E699" s="25"/>
      <c r="F699" s="25"/>
      <c r="G699" s="119"/>
    </row>
    <row r="700" ht="22.5" customHeight="1">
      <c r="A700" s="139"/>
      <c r="B700" s="71"/>
      <c r="C700" s="25"/>
      <c r="D700" s="138"/>
      <c r="E700" s="25"/>
      <c r="F700" s="25"/>
      <c r="G700" s="119"/>
    </row>
    <row r="701" ht="22.5" customHeight="1">
      <c r="A701" s="139"/>
      <c r="B701" s="71"/>
      <c r="C701" s="25"/>
      <c r="D701" s="138"/>
      <c r="E701" s="25"/>
      <c r="F701" s="25"/>
      <c r="G701" s="119"/>
    </row>
    <row r="702" ht="22.5" customHeight="1">
      <c r="A702" s="139"/>
      <c r="B702" s="71"/>
      <c r="C702" s="25"/>
      <c r="D702" s="138"/>
      <c r="E702" s="25"/>
      <c r="F702" s="25"/>
      <c r="G702" s="119"/>
    </row>
    <row r="703" ht="22.5" customHeight="1">
      <c r="A703" s="139"/>
      <c r="B703" s="71"/>
      <c r="C703" s="25"/>
      <c r="D703" s="138"/>
      <c r="E703" s="25"/>
      <c r="F703" s="25"/>
      <c r="G703" s="119"/>
    </row>
    <row r="704" ht="22.5" customHeight="1">
      <c r="A704" s="139"/>
      <c r="B704" s="71"/>
      <c r="C704" s="25"/>
      <c r="D704" s="138"/>
      <c r="E704" s="25"/>
      <c r="F704" s="25"/>
      <c r="G704" s="119"/>
    </row>
    <row r="705" ht="22.5" customHeight="1">
      <c r="A705" s="139"/>
      <c r="B705" s="71"/>
      <c r="C705" s="25"/>
      <c r="D705" s="138"/>
      <c r="E705" s="25"/>
      <c r="F705" s="25"/>
      <c r="G705" s="119"/>
    </row>
    <row r="706" ht="22.5" customHeight="1">
      <c r="A706" s="139"/>
      <c r="B706" s="71"/>
      <c r="C706" s="25"/>
      <c r="D706" s="138"/>
      <c r="E706" s="25"/>
      <c r="F706" s="25"/>
      <c r="G706" s="119"/>
    </row>
    <row r="707" ht="22.5" customHeight="1">
      <c r="A707" s="139"/>
      <c r="B707" s="71"/>
      <c r="C707" s="25"/>
      <c r="D707" s="138"/>
      <c r="E707" s="25"/>
      <c r="F707" s="25"/>
      <c r="G707" s="119"/>
    </row>
    <row r="708" ht="22.5" customHeight="1">
      <c r="A708" s="139"/>
      <c r="B708" s="71"/>
      <c r="C708" s="25"/>
      <c r="D708" s="138"/>
      <c r="E708" s="25"/>
      <c r="F708" s="25"/>
      <c r="G708" s="119"/>
    </row>
    <row r="709" ht="22.5" customHeight="1">
      <c r="A709" s="139"/>
      <c r="B709" s="71"/>
      <c r="C709" s="25"/>
      <c r="D709" s="138"/>
      <c r="E709" s="25"/>
      <c r="F709" s="25"/>
      <c r="G709" s="119"/>
    </row>
    <row r="710" ht="22.5" customHeight="1">
      <c r="A710" s="139"/>
      <c r="B710" s="71"/>
      <c r="C710" s="25"/>
      <c r="D710" s="138"/>
      <c r="E710" s="25"/>
      <c r="F710" s="25"/>
      <c r="G710" s="119"/>
    </row>
    <row r="711" ht="22.5" customHeight="1">
      <c r="A711" s="139"/>
      <c r="B711" s="71"/>
      <c r="C711" s="25"/>
      <c r="D711" s="138"/>
      <c r="E711" s="25"/>
      <c r="F711" s="25"/>
      <c r="G711" s="119"/>
    </row>
    <row r="712" ht="22.5" customHeight="1">
      <c r="A712" s="139"/>
      <c r="B712" s="71"/>
      <c r="C712" s="25"/>
      <c r="D712" s="138"/>
      <c r="E712" s="25"/>
      <c r="F712" s="25"/>
      <c r="G712" s="119"/>
    </row>
    <row r="713" ht="22.5" customHeight="1">
      <c r="A713" s="139"/>
      <c r="B713" s="71"/>
      <c r="C713" s="25"/>
      <c r="D713" s="138"/>
      <c r="E713" s="25"/>
      <c r="F713" s="25"/>
      <c r="G713" s="119"/>
    </row>
    <row r="714" ht="22.5" customHeight="1">
      <c r="A714" s="139"/>
      <c r="B714" s="71"/>
      <c r="C714" s="25"/>
      <c r="D714" s="138"/>
      <c r="E714" s="25"/>
      <c r="F714" s="25"/>
      <c r="G714" s="119"/>
    </row>
    <row r="715" ht="22.5" customHeight="1">
      <c r="A715" s="139"/>
      <c r="B715" s="71"/>
      <c r="C715" s="25"/>
      <c r="D715" s="138"/>
      <c r="E715" s="25"/>
      <c r="F715" s="25"/>
      <c r="G715" s="119"/>
    </row>
    <row r="716" ht="22.5" customHeight="1">
      <c r="A716" s="139"/>
      <c r="B716" s="71"/>
      <c r="C716" s="25"/>
      <c r="D716" s="138"/>
      <c r="E716" s="25"/>
      <c r="F716" s="25"/>
      <c r="G716" s="119"/>
    </row>
    <row r="717" ht="22.5" customHeight="1">
      <c r="A717" s="139"/>
      <c r="B717" s="71"/>
      <c r="C717" s="25"/>
      <c r="D717" s="138"/>
      <c r="E717" s="25"/>
      <c r="F717" s="25"/>
      <c r="G717" s="119"/>
    </row>
    <row r="718" ht="22.5" customHeight="1">
      <c r="A718" s="139"/>
      <c r="B718" s="71"/>
      <c r="C718" s="25"/>
      <c r="D718" s="138"/>
      <c r="E718" s="25"/>
      <c r="F718" s="25"/>
      <c r="G718" s="119"/>
    </row>
    <row r="719" ht="22.5" customHeight="1">
      <c r="A719" s="139"/>
      <c r="B719" s="71"/>
      <c r="C719" s="25"/>
      <c r="D719" s="138"/>
      <c r="E719" s="25"/>
      <c r="F719" s="25"/>
      <c r="G719" s="119"/>
    </row>
    <row r="720" ht="22.5" customHeight="1">
      <c r="A720" s="139"/>
      <c r="B720" s="71"/>
      <c r="C720" s="25"/>
      <c r="D720" s="138"/>
      <c r="E720" s="25"/>
      <c r="F720" s="25"/>
      <c r="G720" s="119"/>
    </row>
    <row r="721" ht="22.5" customHeight="1">
      <c r="A721" s="139"/>
      <c r="B721" s="71"/>
      <c r="C721" s="25"/>
      <c r="D721" s="138"/>
      <c r="E721" s="25"/>
      <c r="F721" s="25"/>
      <c r="G721" s="119"/>
    </row>
    <row r="722" ht="22.5" customHeight="1">
      <c r="A722" s="139"/>
      <c r="B722" s="71"/>
      <c r="C722" s="25"/>
      <c r="D722" s="138"/>
      <c r="E722" s="25"/>
      <c r="F722" s="25"/>
      <c r="G722" s="119"/>
    </row>
    <row r="723" ht="22.5" customHeight="1">
      <c r="A723" s="139"/>
      <c r="B723" s="71"/>
      <c r="C723" s="25"/>
      <c r="D723" s="138"/>
      <c r="E723" s="25"/>
      <c r="F723" s="25"/>
      <c r="G723" s="119"/>
    </row>
    <row r="724" ht="22.5" customHeight="1">
      <c r="A724" s="139"/>
      <c r="B724" s="71"/>
      <c r="C724" s="25"/>
      <c r="D724" s="138"/>
      <c r="E724" s="25"/>
      <c r="F724" s="25"/>
      <c r="G724" s="119"/>
    </row>
    <row r="725" ht="22.5" customHeight="1">
      <c r="A725" s="139"/>
      <c r="B725" s="71"/>
      <c r="C725" s="25"/>
      <c r="D725" s="138"/>
      <c r="E725" s="25"/>
      <c r="F725" s="25"/>
      <c r="G725" s="119"/>
    </row>
    <row r="726" ht="22.5" customHeight="1">
      <c r="A726" s="139"/>
      <c r="B726" s="71"/>
      <c r="C726" s="25"/>
      <c r="D726" s="138"/>
      <c r="E726" s="25"/>
      <c r="F726" s="25"/>
      <c r="G726" s="119"/>
    </row>
    <row r="727" ht="22.5" customHeight="1">
      <c r="A727" s="139"/>
      <c r="B727" s="71"/>
      <c r="C727" s="25"/>
      <c r="D727" s="138"/>
      <c r="E727" s="25"/>
      <c r="F727" s="25"/>
      <c r="G727" s="119"/>
    </row>
    <row r="728" ht="22.5" customHeight="1">
      <c r="A728" s="139"/>
      <c r="B728" s="71"/>
      <c r="C728" s="25"/>
      <c r="D728" s="138"/>
      <c r="E728" s="25"/>
      <c r="F728" s="25"/>
      <c r="G728" s="119"/>
    </row>
    <row r="729" ht="22.5" customHeight="1">
      <c r="A729" s="139"/>
      <c r="B729" s="71"/>
      <c r="C729" s="25"/>
      <c r="D729" s="138"/>
      <c r="E729" s="25"/>
      <c r="F729" s="25"/>
      <c r="G729" s="119"/>
    </row>
    <row r="730" ht="22.5" customHeight="1">
      <c r="A730" s="139"/>
      <c r="B730" s="71"/>
      <c r="C730" s="25"/>
      <c r="D730" s="138"/>
      <c r="E730" s="25"/>
      <c r="F730" s="25"/>
      <c r="G730" s="119"/>
    </row>
    <row r="731" ht="22.5" customHeight="1">
      <c r="A731" s="139"/>
      <c r="B731" s="71"/>
      <c r="C731" s="25"/>
      <c r="D731" s="138"/>
      <c r="E731" s="25"/>
      <c r="F731" s="25"/>
      <c r="G731" s="119"/>
    </row>
    <row r="732" ht="22.5" customHeight="1">
      <c r="A732" s="139"/>
      <c r="B732" s="71"/>
      <c r="C732" s="25"/>
      <c r="D732" s="138"/>
      <c r="E732" s="25"/>
      <c r="F732" s="25"/>
      <c r="G732" s="119"/>
    </row>
    <row r="733" ht="22.5" customHeight="1">
      <c r="A733" s="139"/>
      <c r="B733" s="71"/>
      <c r="C733" s="25"/>
      <c r="D733" s="138"/>
      <c r="E733" s="25"/>
      <c r="F733" s="25"/>
      <c r="G733" s="119"/>
    </row>
    <row r="734" ht="22.5" customHeight="1">
      <c r="A734" s="139"/>
      <c r="B734" s="71"/>
      <c r="C734" s="25"/>
      <c r="D734" s="138"/>
      <c r="E734" s="25"/>
      <c r="F734" s="25"/>
      <c r="G734" s="119"/>
    </row>
    <row r="735" ht="22.5" customHeight="1">
      <c r="A735" s="139"/>
      <c r="B735" s="71"/>
      <c r="C735" s="25"/>
      <c r="D735" s="138"/>
      <c r="E735" s="25"/>
      <c r="F735" s="25"/>
      <c r="G735" s="119"/>
    </row>
    <row r="736" ht="22.5" customHeight="1">
      <c r="A736" s="139"/>
      <c r="B736" s="71"/>
      <c r="C736" s="25"/>
      <c r="D736" s="138"/>
      <c r="E736" s="25"/>
      <c r="F736" s="25"/>
      <c r="G736" s="119"/>
    </row>
    <row r="737" ht="22.5" customHeight="1">
      <c r="A737" s="139"/>
      <c r="B737" s="71"/>
      <c r="C737" s="25"/>
      <c r="D737" s="138"/>
      <c r="E737" s="25"/>
      <c r="F737" s="25"/>
      <c r="G737" s="119"/>
    </row>
    <row r="738" ht="22.5" customHeight="1">
      <c r="A738" s="139"/>
      <c r="B738" s="71"/>
      <c r="C738" s="25"/>
      <c r="D738" s="138"/>
      <c r="E738" s="25"/>
      <c r="F738" s="25"/>
      <c r="G738" s="119"/>
    </row>
    <row r="739" ht="22.5" customHeight="1">
      <c r="A739" s="139"/>
      <c r="B739" s="71"/>
      <c r="C739" s="25"/>
      <c r="D739" s="138"/>
      <c r="E739" s="25"/>
      <c r="F739" s="25"/>
      <c r="G739" s="119"/>
    </row>
    <row r="740" ht="22.5" customHeight="1">
      <c r="A740" s="139"/>
      <c r="B740" s="71"/>
      <c r="C740" s="25"/>
      <c r="D740" s="138"/>
      <c r="E740" s="25"/>
      <c r="F740" s="25"/>
      <c r="G740" s="119"/>
    </row>
    <row r="741" ht="22.5" customHeight="1">
      <c r="A741" s="139"/>
      <c r="B741" s="71"/>
      <c r="C741" s="25"/>
      <c r="D741" s="138"/>
      <c r="E741" s="25"/>
      <c r="F741" s="25"/>
      <c r="G741" s="119"/>
    </row>
    <row r="742" ht="22.5" customHeight="1">
      <c r="A742" s="139"/>
      <c r="B742" s="71"/>
      <c r="C742" s="25"/>
      <c r="D742" s="138"/>
      <c r="E742" s="25"/>
      <c r="F742" s="25"/>
      <c r="G742" s="119"/>
    </row>
    <row r="743" ht="22.5" customHeight="1">
      <c r="A743" s="139"/>
      <c r="B743" s="71"/>
      <c r="C743" s="25"/>
      <c r="D743" s="138"/>
      <c r="E743" s="25"/>
      <c r="F743" s="25"/>
      <c r="G743" s="119"/>
    </row>
    <row r="744" ht="22.5" customHeight="1">
      <c r="A744" s="139"/>
      <c r="B744" s="71"/>
      <c r="C744" s="25"/>
      <c r="D744" s="138"/>
      <c r="E744" s="25"/>
      <c r="F744" s="25"/>
      <c r="G744" s="119"/>
    </row>
    <row r="745" ht="22.5" customHeight="1">
      <c r="A745" s="139"/>
      <c r="B745" s="71"/>
      <c r="C745" s="25"/>
      <c r="D745" s="138"/>
      <c r="E745" s="25"/>
      <c r="F745" s="25"/>
      <c r="G745" s="119"/>
    </row>
    <row r="746" ht="22.5" customHeight="1">
      <c r="A746" s="139"/>
      <c r="B746" s="71"/>
      <c r="C746" s="25"/>
      <c r="D746" s="138"/>
      <c r="E746" s="25"/>
      <c r="F746" s="25"/>
      <c r="G746" s="119"/>
    </row>
    <row r="747" ht="22.5" customHeight="1">
      <c r="A747" s="139"/>
      <c r="B747" s="71"/>
      <c r="C747" s="25"/>
      <c r="D747" s="138"/>
      <c r="E747" s="25"/>
      <c r="F747" s="25"/>
      <c r="G747" s="119"/>
    </row>
    <row r="748" ht="22.5" customHeight="1">
      <c r="A748" s="139"/>
      <c r="B748" s="71"/>
      <c r="C748" s="25"/>
      <c r="D748" s="138"/>
      <c r="E748" s="25"/>
      <c r="F748" s="25"/>
      <c r="G748" s="119"/>
    </row>
    <row r="749" ht="22.5" customHeight="1">
      <c r="A749" s="139"/>
      <c r="B749" s="71"/>
      <c r="C749" s="25"/>
      <c r="D749" s="138"/>
      <c r="E749" s="25"/>
      <c r="F749" s="25"/>
      <c r="G749" s="119"/>
    </row>
    <row r="750" ht="22.5" customHeight="1">
      <c r="A750" s="139"/>
      <c r="B750" s="71"/>
      <c r="C750" s="25"/>
      <c r="D750" s="138"/>
      <c r="E750" s="25"/>
      <c r="F750" s="25"/>
      <c r="G750" s="119"/>
    </row>
    <row r="751" ht="22.5" customHeight="1">
      <c r="A751" s="139"/>
      <c r="B751" s="71"/>
      <c r="C751" s="25"/>
      <c r="D751" s="138"/>
      <c r="E751" s="25"/>
      <c r="F751" s="25"/>
      <c r="G751" s="119"/>
    </row>
    <row r="752" ht="22.5" customHeight="1">
      <c r="A752" s="139"/>
      <c r="B752" s="71"/>
      <c r="C752" s="25"/>
      <c r="D752" s="138"/>
      <c r="E752" s="25"/>
      <c r="F752" s="25"/>
      <c r="G752" s="119"/>
    </row>
    <row r="753" ht="22.5" customHeight="1">
      <c r="A753" s="139"/>
      <c r="B753" s="71"/>
      <c r="C753" s="25"/>
      <c r="D753" s="138"/>
      <c r="E753" s="25"/>
      <c r="F753" s="25"/>
      <c r="G753" s="119"/>
    </row>
    <row r="754" ht="22.5" customHeight="1">
      <c r="A754" s="139"/>
      <c r="B754" s="71"/>
      <c r="C754" s="25"/>
      <c r="D754" s="138"/>
      <c r="E754" s="25"/>
      <c r="F754" s="25"/>
      <c r="G754" s="119"/>
    </row>
    <row r="755" ht="22.5" customHeight="1">
      <c r="A755" s="139"/>
      <c r="B755" s="71"/>
      <c r="C755" s="25"/>
      <c r="D755" s="138"/>
      <c r="E755" s="25"/>
      <c r="F755" s="25"/>
      <c r="G755" s="119"/>
    </row>
    <row r="756" ht="22.5" customHeight="1">
      <c r="A756" s="139"/>
      <c r="B756" s="71"/>
      <c r="C756" s="25"/>
      <c r="D756" s="138"/>
      <c r="E756" s="25"/>
      <c r="F756" s="25"/>
      <c r="G756" s="119"/>
    </row>
    <row r="757" ht="22.5" customHeight="1">
      <c r="A757" s="139"/>
      <c r="B757" s="71"/>
      <c r="C757" s="25"/>
      <c r="D757" s="138"/>
      <c r="E757" s="25"/>
      <c r="F757" s="25"/>
      <c r="G757" s="119"/>
    </row>
    <row r="758" ht="22.5" customHeight="1">
      <c r="A758" s="139"/>
      <c r="B758" s="71"/>
      <c r="C758" s="25"/>
      <c r="D758" s="138"/>
      <c r="E758" s="25"/>
      <c r="F758" s="25"/>
      <c r="G758" s="119"/>
    </row>
    <row r="759" ht="22.5" customHeight="1">
      <c r="A759" s="139"/>
      <c r="B759" s="71"/>
      <c r="C759" s="25"/>
      <c r="D759" s="138"/>
      <c r="E759" s="25"/>
      <c r="F759" s="25"/>
      <c r="G759" s="119"/>
    </row>
    <row r="760" ht="22.5" customHeight="1">
      <c r="A760" s="139"/>
      <c r="B760" s="71"/>
      <c r="C760" s="25"/>
      <c r="D760" s="138"/>
      <c r="E760" s="25"/>
      <c r="F760" s="25"/>
      <c r="G760" s="119"/>
    </row>
    <row r="761" ht="22.5" customHeight="1">
      <c r="A761" s="139"/>
      <c r="B761" s="71"/>
      <c r="C761" s="25"/>
      <c r="D761" s="138"/>
      <c r="E761" s="25"/>
      <c r="F761" s="25"/>
      <c r="G761" s="119"/>
    </row>
    <row r="762" ht="22.5" customHeight="1">
      <c r="A762" s="139"/>
      <c r="B762" s="71"/>
      <c r="C762" s="25"/>
      <c r="D762" s="138"/>
      <c r="E762" s="25"/>
      <c r="F762" s="25"/>
      <c r="G762" s="119"/>
    </row>
    <row r="763" ht="22.5" customHeight="1">
      <c r="A763" s="139"/>
      <c r="B763" s="71"/>
      <c r="C763" s="25"/>
      <c r="D763" s="138"/>
      <c r="E763" s="25"/>
      <c r="F763" s="25"/>
      <c r="G763" s="119"/>
    </row>
    <row r="764" ht="22.5" customHeight="1">
      <c r="A764" s="139"/>
      <c r="B764" s="71"/>
      <c r="C764" s="25"/>
      <c r="D764" s="138"/>
      <c r="E764" s="25"/>
      <c r="F764" s="25"/>
      <c r="G764" s="119"/>
    </row>
    <row r="765" ht="22.5" customHeight="1">
      <c r="A765" s="139"/>
      <c r="B765" s="71"/>
      <c r="C765" s="25"/>
      <c r="D765" s="138"/>
      <c r="E765" s="25"/>
      <c r="F765" s="25"/>
      <c r="G765" s="119"/>
    </row>
    <row r="766" ht="22.5" customHeight="1">
      <c r="A766" s="139"/>
      <c r="B766" s="71"/>
      <c r="C766" s="25"/>
      <c r="D766" s="138"/>
      <c r="E766" s="25"/>
      <c r="F766" s="25"/>
      <c r="G766" s="119"/>
    </row>
    <row r="767" ht="22.5" customHeight="1">
      <c r="A767" s="139"/>
      <c r="B767" s="71"/>
      <c r="C767" s="25"/>
      <c r="D767" s="138"/>
      <c r="E767" s="25"/>
      <c r="F767" s="25"/>
      <c r="G767" s="119"/>
    </row>
    <row r="768" ht="22.5" customHeight="1">
      <c r="A768" s="139"/>
      <c r="B768" s="71"/>
      <c r="C768" s="25"/>
      <c r="D768" s="138"/>
      <c r="E768" s="25"/>
      <c r="F768" s="25"/>
      <c r="G768" s="119"/>
    </row>
    <row r="769" ht="22.5" customHeight="1">
      <c r="A769" s="139"/>
      <c r="B769" s="71"/>
      <c r="C769" s="25"/>
      <c r="D769" s="138"/>
      <c r="E769" s="25"/>
      <c r="F769" s="25"/>
      <c r="G769" s="119"/>
    </row>
    <row r="770" ht="22.5" customHeight="1">
      <c r="A770" s="139"/>
      <c r="B770" s="71"/>
      <c r="C770" s="25"/>
      <c r="D770" s="138"/>
      <c r="E770" s="25"/>
      <c r="F770" s="25"/>
      <c r="G770" s="119"/>
    </row>
    <row r="771" ht="22.5" customHeight="1">
      <c r="A771" s="139"/>
      <c r="B771" s="71"/>
      <c r="C771" s="25"/>
      <c r="D771" s="138"/>
      <c r="E771" s="25"/>
      <c r="F771" s="25"/>
      <c r="G771" s="119"/>
    </row>
    <row r="772" ht="22.5" customHeight="1">
      <c r="A772" s="139"/>
      <c r="B772" s="71"/>
      <c r="C772" s="25"/>
      <c r="D772" s="138"/>
      <c r="E772" s="25"/>
      <c r="F772" s="25"/>
      <c r="G772" s="119"/>
    </row>
    <row r="773" ht="22.5" customHeight="1">
      <c r="A773" s="139"/>
      <c r="B773" s="71"/>
      <c r="C773" s="25"/>
      <c r="D773" s="138"/>
      <c r="E773" s="25"/>
      <c r="F773" s="25"/>
      <c r="G773" s="119"/>
    </row>
    <row r="774" ht="22.5" customHeight="1">
      <c r="A774" s="139"/>
      <c r="B774" s="71"/>
      <c r="C774" s="25"/>
      <c r="D774" s="138"/>
      <c r="E774" s="25"/>
      <c r="F774" s="25"/>
      <c r="G774" s="119"/>
    </row>
    <row r="775" ht="22.5" customHeight="1">
      <c r="A775" s="139"/>
      <c r="B775" s="71"/>
      <c r="C775" s="25"/>
      <c r="D775" s="138"/>
      <c r="E775" s="25"/>
      <c r="F775" s="25"/>
      <c r="G775" s="119"/>
    </row>
    <row r="776" ht="22.5" customHeight="1">
      <c r="A776" s="139"/>
      <c r="B776" s="71"/>
      <c r="C776" s="25"/>
      <c r="D776" s="138"/>
      <c r="E776" s="25"/>
      <c r="F776" s="25"/>
      <c r="G776" s="119"/>
    </row>
    <row r="777" ht="22.5" customHeight="1">
      <c r="A777" s="139"/>
      <c r="B777" s="71"/>
      <c r="C777" s="25"/>
      <c r="D777" s="138"/>
      <c r="E777" s="25"/>
      <c r="F777" s="25"/>
      <c r="G777" s="119"/>
    </row>
    <row r="778" ht="22.5" customHeight="1">
      <c r="A778" s="139"/>
      <c r="B778" s="71"/>
      <c r="C778" s="25"/>
      <c r="D778" s="138"/>
      <c r="E778" s="25"/>
      <c r="F778" s="25"/>
      <c r="G778" s="119"/>
    </row>
    <row r="779" ht="22.5" customHeight="1">
      <c r="A779" s="139"/>
      <c r="B779" s="71"/>
      <c r="C779" s="25"/>
      <c r="D779" s="138"/>
      <c r="E779" s="25"/>
      <c r="F779" s="25"/>
      <c r="G779" s="119"/>
    </row>
    <row r="780" ht="22.5" customHeight="1">
      <c r="A780" s="139"/>
      <c r="B780" s="71"/>
      <c r="C780" s="25"/>
      <c r="D780" s="138"/>
      <c r="E780" s="25"/>
      <c r="F780" s="25"/>
      <c r="G780" s="119"/>
    </row>
    <row r="781" ht="22.5" customHeight="1">
      <c r="A781" s="139"/>
      <c r="B781" s="71"/>
      <c r="C781" s="25"/>
      <c r="D781" s="138"/>
      <c r="E781" s="25"/>
      <c r="F781" s="25"/>
      <c r="G781" s="119"/>
    </row>
    <row r="782" ht="22.5" customHeight="1">
      <c r="A782" s="139"/>
      <c r="B782" s="71"/>
      <c r="C782" s="25"/>
      <c r="D782" s="138"/>
      <c r="E782" s="25"/>
      <c r="F782" s="25"/>
      <c r="G782" s="119"/>
    </row>
    <row r="783" ht="22.5" customHeight="1">
      <c r="A783" s="139"/>
      <c r="B783" s="71"/>
      <c r="C783" s="25"/>
      <c r="D783" s="138"/>
      <c r="E783" s="25"/>
      <c r="F783" s="25"/>
      <c r="G783" s="119"/>
    </row>
    <row r="784" ht="22.5" customHeight="1">
      <c r="A784" s="139"/>
      <c r="B784" s="71"/>
      <c r="C784" s="25"/>
      <c r="D784" s="138"/>
      <c r="E784" s="25"/>
      <c r="F784" s="25"/>
      <c r="G784" s="119"/>
    </row>
    <row r="785" ht="22.5" customHeight="1">
      <c r="A785" s="139"/>
      <c r="B785" s="71"/>
      <c r="C785" s="25"/>
      <c r="D785" s="138"/>
      <c r="E785" s="25"/>
      <c r="F785" s="25"/>
      <c r="G785" s="119"/>
    </row>
    <row r="786" ht="22.5" customHeight="1">
      <c r="A786" s="139"/>
      <c r="B786" s="71"/>
      <c r="C786" s="25"/>
      <c r="D786" s="138"/>
      <c r="E786" s="25"/>
      <c r="F786" s="25"/>
      <c r="G786" s="119"/>
    </row>
    <row r="787" ht="22.5" customHeight="1">
      <c r="A787" s="139"/>
      <c r="B787" s="71"/>
      <c r="C787" s="25"/>
      <c r="D787" s="138"/>
      <c r="E787" s="25"/>
      <c r="F787" s="25"/>
      <c r="G787" s="119"/>
    </row>
    <row r="788" ht="22.5" customHeight="1">
      <c r="A788" s="139"/>
      <c r="B788" s="71"/>
      <c r="C788" s="25"/>
      <c r="D788" s="138"/>
      <c r="E788" s="25"/>
      <c r="F788" s="25"/>
      <c r="G788" s="119"/>
    </row>
    <row r="789" ht="22.5" customHeight="1">
      <c r="A789" s="139"/>
      <c r="B789" s="71"/>
      <c r="C789" s="25"/>
      <c r="D789" s="138"/>
      <c r="E789" s="25"/>
      <c r="F789" s="25"/>
      <c r="G789" s="119"/>
    </row>
    <row r="790" ht="22.5" customHeight="1">
      <c r="A790" s="139"/>
      <c r="B790" s="71"/>
      <c r="C790" s="25"/>
      <c r="D790" s="138"/>
      <c r="E790" s="25"/>
      <c r="F790" s="25"/>
      <c r="G790" s="119"/>
    </row>
    <row r="791" ht="22.5" customHeight="1">
      <c r="A791" s="139"/>
      <c r="B791" s="71"/>
      <c r="C791" s="25"/>
      <c r="D791" s="138"/>
      <c r="E791" s="25"/>
      <c r="F791" s="25"/>
      <c r="G791" s="119"/>
    </row>
    <row r="792" ht="22.5" customHeight="1">
      <c r="A792" s="139"/>
      <c r="B792" s="71"/>
      <c r="C792" s="25"/>
      <c r="D792" s="138"/>
      <c r="E792" s="25"/>
      <c r="F792" s="25"/>
      <c r="G792" s="119"/>
    </row>
    <row r="793" ht="22.5" customHeight="1">
      <c r="A793" s="139"/>
      <c r="B793" s="71"/>
      <c r="C793" s="25"/>
      <c r="D793" s="138"/>
      <c r="E793" s="25"/>
      <c r="F793" s="25"/>
      <c r="G793" s="119"/>
    </row>
    <row r="794" ht="22.5" customHeight="1">
      <c r="A794" s="139"/>
      <c r="B794" s="71"/>
      <c r="C794" s="25"/>
      <c r="D794" s="138"/>
      <c r="E794" s="25"/>
      <c r="F794" s="25"/>
      <c r="G794" s="119"/>
    </row>
    <row r="795" ht="22.5" customHeight="1">
      <c r="A795" s="139"/>
      <c r="B795" s="71"/>
      <c r="C795" s="25"/>
      <c r="D795" s="138"/>
      <c r="E795" s="25"/>
      <c r="F795" s="25"/>
      <c r="G795" s="119"/>
    </row>
    <row r="796" ht="22.5" customHeight="1">
      <c r="A796" s="139"/>
      <c r="B796" s="71"/>
      <c r="C796" s="25"/>
      <c r="D796" s="138"/>
      <c r="E796" s="25"/>
      <c r="F796" s="25"/>
      <c r="G796" s="119"/>
    </row>
    <row r="797" ht="22.5" customHeight="1">
      <c r="A797" s="139"/>
      <c r="B797" s="71"/>
      <c r="C797" s="25"/>
      <c r="D797" s="138"/>
      <c r="E797" s="25"/>
      <c r="F797" s="25"/>
      <c r="G797" s="119"/>
    </row>
    <row r="798" ht="22.5" customHeight="1">
      <c r="A798" s="139"/>
      <c r="B798" s="71"/>
      <c r="C798" s="25"/>
      <c r="D798" s="138"/>
      <c r="E798" s="25"/>
      <c r="F798" s="25"/>
      <c r="G798" s="119"/>
    </row>
    <row r="799" ht="22.5" customHeight="1">
      <c r="A799" s="139"/>
      <c r="B799" s="71"/>
      <c r="C799" s="25"/>
      <c r="D799" s="138"/>
      <c r="E799" s="25"/>
      <c r="F799" s="25"/>
      <c r="G799" s="119"/>
    </row>
    <row r="800" ht="22.5" customHeight="1">
      <c r="A800" s="139"/>
      <c r="B800" s="71"/>
      <c r="C800" s="25"/>
      <c r="D800" s="138"/>
      <c r="E800" s="25"/>
      <c r="F800" s="25"/>
      <c r="G800" s="119"/>
    </row>
    <row r="801" ht="22.5" customHeight="1">
      <c r="A801" s="139"/>
      <c r="B801" s="71"/>
      <c r="C801" s="25"/>
      <c r="D801" s="138"/>
      <c r="E801" s="25"/>
      <c r="F801" s="25"/>
      <c r="G801" s="119"/>
    </row>
    <row r="802" ht="22.5" customHeight="1">
      <c r="A802" s="139"/>
      <c r="B802" s="71"/>
      <c r="C802" s="25"/>
      <c r="D802" s="138"/>
      <c r="E802" s="25"/>
      <c r="F802" s="25"/>
      <c r="G802" s="119"/>
    </row>
    <row r="803" ht="22.5" customHeight="1">
      <c r="A803" s="139"/>
      <c r="B803" s="71"/>
      <c r="C803" s="25"/>
      <c r="D803" s="138"/>
      <c r="E803" s="25"/>
      <c r="F803" s="25"/>
      <c r="G803" s="119"/>
    </row>
    <row r="804" ht="22.5" customHeight="1">
      <c r="A804" s="139"/>
      <c r="B804" s="71"/>
      <c r="C804" s="25"/>
      <c r="D804" s="138"/>
      <c r="E804" s="25"/>
      <c r="F804" s="25"/>
      <c r="G804" s="119"/>
    </row>
    <row r="805" ht="22.5" customHeight="1">
      <c r="A805" s="139"/>
      <c r="B805" s="71"/>
      <c r="C805" s="25"/>
      <c r="D805" s="138"/>
      <c r="E805" s="25"/>
      <c r="F805" s="25"/>
      <c r="G805" s="119"/>
    </row>
    <row r="806" ht="22.5" customHeight="1">
      <c r="A806" s="139"/>
      <c r="B806" s="71"/>
      <c r="C806" s="25"/>
      <c r="D806" s="138"/>
      <c r="E806" s="25"/>
      <c r="F806" s="25"/>
      <c r="G806" s="119"/>
    </row>
    <row r="807" ht="22.5" customHeight="1">
      <c r="A807" s="139"/>
      <c r="B807" s="71"/>
      <c r="C807" s="25"/>
      <c r="D807" s="138"/>
      <c r="E807" s="25"/>
      <c r="F807" s="25"/>
      <c r="G807" s="119"/>
    </row>
    <row r="808" ht="22.5" customHeight="1">
      <c r="A808" s="139"/>
      <c r="B808" s="71"/>
      <c r="C808" s="25"/>
      <c r="D808" s="138"/>
      <c r="E808" s="25"/>
      <c r="F808" s="25"/>
      <c r="G808" s="119"/>
    </row>
    <row r="809" ht="22.5" customHeight="1">
      <c r="A809" s="139"/>
      <c r="B809" s="71"/>
      <c r="C809" s="25"/>
      <c r="D809" s="138"/>
      <c r="E809" s="25"/>
      <c r="F809" s="25"/>
      <c r="G809" s="119"/>
    </row>
    <row r="810" ht="22.5" customHeight="1">
      <c r="A810" s="139"/>
      <c r="B810" s="71"/>
      <c r="C810" s="25"/>
      <c r="D810" s="138"/>
      <c r="E810" s="25"/>
      <c r="F810" s="25"/>
      <c r="G810" s="119"/>
    </row>
    <row r="811" ht="22.5" customHeight="1">
      <c r="A811" s="139"/>
      <c r="B811" s="71"/>
      <c r="C811" s="25"/>
      <c r="D811" s="138"/>
      <c r="E811" s="25"/>
      <c r="F811" s="25"/>
      <c r="G811" s="119"/>
    </row>
    <row r="812" ht="22.5" customHeight="1">
      <c r="A812" s="139"/>
      <c r="B812" s="71"/>
      <c r="C812" s="25"/>
      <c r="D812" s="138"/>
      <c r="E812" s="25"/>
      <c r="F812" s="25"/>
      <c r="G812" s="119"/>
    </row>
    <row r="813" ht="22.5" customHeight="1">
      <c r="A813" s="139"/>
      <c r="B813" s="71"/>
      <c r="C813" s="25"/>
      <c r="D813" s="138"/>
      <c r="E813" s="25"/>
      <c r="F813" s="25"/>
      <c r="G813" s="119"/>
    </row>
    <row r="814" ht="22.5" customHeight="1">
      <c r="A814" s="139"/>
      <c r="B814" s="71"/>
      <c r="C814" s="25"/>
      <c r="D814" s="138"/>
      <c r="E814" s="25"/>
      <c r="F814" s="25"/>
      <c r="G814" s="119"/>
    </row>
    <row r="815" ht="22.5" customHeight="1">
      <c r="A815" s="139"/>
      <c r="B815" s="71"/>
      <c r="C815" s="25"/>
      <c r="D815" s="138"/>
      <c r="E815" s="25"/>
      <c r="F815" s="25"/>
      <c r="G815" s="119"/>
    </row>
    <row r="816" ht="22.5" customHeight="1">
      <c r="A816" s="139"/>
      <c r="B816" s="71"/>
      <c r="C816" s="25"/>
      <c r="D816" s="138"/>
      <c r="E816" s="25"/>
      <c r="F816" s="25"/>
      <c r="G816" s="119"/>
    </row>
    <row r="817" ht="22.5" customHeight="1">
      <c r="A817" s="139"/>
      <c r="B817" s="71"/>
      <c r="C817" s="25"/>
      <c r="D817" s="138"/>
      <c r="E817" s="25"/>
      <c r="F817" s="25"/>
      <c r="G817" s="119"/>
    </row>
    <row r="818" ht="22.5" customHeight="1">
      <c r="A818" s="139"/>
      <c r="B818" s="71"/>
      <c r="C818" s="25"/>
      <c r="D818" s="138"/>
      <c r="E818" s="25"/>
      <c r="F818" s="25"/>
      <c r="G818" s="119"/>
    </row>
    <row r="819" ht="22.5" customHeight="1">
      <c r="A819" s="139"/>
      <c r="B819" s="71"/>
      <c r="C819" s="25"/>
      <c r="D819" s="138"/>
      <c r="E819" s="25"/>
      <c r="F819" s="25"/>
      <c r="G819" s="119"/>
    </row>
    <row r="820" ht="22.5" customHeight="1">
      <c r="A820" s="139"/>
      <c r="B820" s="71"/>
      <c r="C820" s="25"/>
      <c r="D820" s="138"/>
      <c r="E820" s="25"/>
      <c r="F820" s="25"/>
      <c r="G820" s="119"/>
    </row>
    <row r="821" ht="22.5" customHeight="1">
      <c r="A821" s="139"/>
      <c r="B821" s="71"/>
      <c r="C821" s="25"/>
      <c r="D821" s="138"/>
      <c r="E821" s="25"/>
      <c r="F821" s="25"/>
      <c r="G821" s="119"/>
    </row>
    <row r="822" ht="22.5" customHeight="1">
      <c r="A822" s="139"/>
      <c r="B822" s="71"/>
      <c r="C822" s="25"/>
      <c r="D822" s="138"/>
      <c r="E822" s="25"/>
      <c r="F822" s="25"/>
      <c r="G822" s="119"/>
    </row>
    <row r="823" ht="22.5" customHeight="1">
      <c r="A823" s="139"/>
      <c r="B823" s="71"/>
      <c r="C823" s="25"/>
      <c r="D823" s="138"/>
      <c r="E823" s="25"/>
      <c r="F823" s="25"/>
      <c r="G823" s="119"/>
    </row>
    <row r="824" ht="22.5" customHeight="1">
      <c r="A824" s="139"/>
      <c r="B824" s="71"/>
      <c r="C824" s="25"/>
      <c r="D824" s="138"/>
      <c r="E824" s="25"/>
      <c r="F824" s="25"/>
      <c r="G824" s="119"/>
    </row>
    <row r="825" ht="22.5" customHeight="1">
      <c r="A825" s="139"/>
      <c r="B825" s="71"/>
      <c r="C825" s="25"/>
      <c r="D825" s="138"/>
      <c r="E825" s="25"/>
      <c r="F825" s="25"/>
      <c r="G825" s="119"/>
    </row>
    <row r="826" ht="22.5" customHeight="1">
      <c r="A826" s="139"/>
      <c r="B826" s="71"/>
      <c r="C826" s="25"/>
      <c r="D826" s="138"/>
      <c r="E826" s="25"/>
      <c r="F826" s="25"/>
      <c r="G826" s="119"/>
    </row>
    <row r="827" ht="22.5" customHeight="1">
      <c r="A827" s="139"/>
      <c r="B827" s="71"/>
      <c r="C827" s="25"/>
      <c r="D827" s="138"/>
      <c r="E827" s="25"/>
      <c r="F827" s="25"/>
      <c r="G827" s="119"/>
    </row>
    <row r="828" ht="22.5" customHeight="1">
      <c r="A828" s="139"/>
      <c r="B828" s="71"/>
      <c r="C828" s="25"/>
      <c r="D828" s="138"/>
      <c r="E828" s="25"/>
      <c r="F828" s="25"/>
      <c r="G828" s="119"/>
    </row>
    <row r="829" ht="22.5" customHeight="1">
      <c r="A829" s="139"/>
      <c r="B829" s="71"/>
      <c r="C829" s="25"/>
      <c r="D829" s="138"/>
      <c r="E829" s="25"/>
      <c r="F829" s="25"/>
      <c r="G829" s="119"/>
    </row>
    <row r="830" ht="22.5" customHeight="1">
      <c r="A830" s="139"/>
      <c r="B830" s="71"/>
      <c r="C830" s="25"/>
      <c r="D830" s="138"/>
      <c r="E830" s="25"/>
      <c r="F830" s="25"/>
      <c r="G830" s="119"/>
    </row>
    <row r="831" ht="22.5" customHeight="1">
      <c r="A831" s="139"/>
      <c r="B831" s="71"/>
      <c r="C831" s="25"/>
      <c r="D831" s="138"/>
      <c r="E831" s="25"/>
      <c r="F831" s="25"/>
      <c r="G831" s="119"/>
    </row>
    <row r="832" ht="22.5" customHeight="1">
      <c r="A832" s="139"/>
      <c r="B832" s="71"/>
      <c r="C832" s="25"/>
      <c r="D832" s="138"/>
      <c r="E832" s="25"/>
      <c r="F832" s="25"/>
      <c r="G832" s="119"/>
    </row>
    <row r="833" ht="22.5" customHeight="1">
      <c r="A833" s="139"/>
      <c r="B833" s="71"/>
      <c r="C833" s="25"/>
      <c r="D833" s="138"/>
      <c r="E833" s="25"/>
      <c r="F833" s="25"/>
      <c r="G833" s="119"/>
    </row>
    <row r="834" ht="22.5" customHeight="1">
      <c r="A834" s="139"/>
      <c r="B834" s="71"/>
      <c r="C834" s="25"/>
      <c r="D834" s="138"/>
      <c r="E834" s="25"/>
      <c r="F834" s="25"/>
      <c r="G834" s="119"/>
    </row>
    <row r="835" ht="22.5" customHeight="1">
      <c r="A835" s="139"/>
      <c r="B835" s="71"/>
      <c r="C835" s="25"/>
      <c r="D835" s="138"/>
      <c r="E835" s="25"/>
      <c r="F835" s="25"/>
      <c r="G835" s="119"/>
    </row>
    <row r="836" ht="22.5" customHeight="1">
      <c r="A836" s="139"/>
      <c r="B836" s="71"/>
      <c r="C836" s="25"/>
      <c r="D836" s="138"/>
      <c r="E836" s="25"/>
      <c r="F836" s="25"/>
      <c r="G836" s="119"/>
    </row>
    <row r="837" ht="22.5" customHeight="1">
      <c r="A837" s="139"/>
      <c r="B837" s="71"/>
      <c r="C837" s="25"/>
      <c r="D837" s="138"/>
      <c r="E837" s="25"/>
      <c r="F837" s="25"/>
      <c r="G837" s="119"/>
    </row>
    <row r="838" ht="22.5" customHeight="1">
      <c r="A838" s="139"/>
      <c r="B838" s="71"/>
      <c r="C838" s="25"/>
      <c r="D838" s="138"/>
      <c r="E838" s="25"/>
      <c r="F838" s="25"/>
      <c r="G838" s="119"/>
    </row>
    <row r="839" ht="22.5" customHeight="1">
      <c r="A839" s="139"/>
      <c r="B839" s="71"/>
      <c r="C839" s="25"/>
      <c r="D839" s="138"/>
      <c r="E839" s="25"/>
      <c r="F839" s="25"/>
      <c r="G839" s="119"/>
    </row>
    <row r="840" ht="22.5" customHeight="1">
      <c r="A840" s="139"/>
      <c r="B840" s="71"/>
      <c r="C840" s="25"/>
      <c r="D840" s="138"/>
      <c r="E840" s="25"/>
      <c r="F840" s="25"/>
      <c r="G840" s="119"/>
    </row>
    <row r="841" ht="22.5" customHeight="1">
      <c r="A841" s="139"/>
      <c r="B841" s="71"/>
      <c r="C841" s="25"/>
      <c r="D841" s="138"/>
      <c r="E841" s="25"/>
      <c r="F841" s="25"/>
      <c r="G841" s="119"/>
    </row>
    <row r="842" ht="22.5" customHeight="1">
      <c r="A842" s="139"/>
      <c r="B842" s="71"/>
      <c r="C842" s="25"/>
      <c r="D842" s="138"/>
      <c r="E842" s="25"/>
      <c r="F842" s="25"/>
      <c r="G842" s="119"/>
    </row>
    <row r="843" ht="22.5" customHeight="1">
      <c r="A843" s="139"/>
      <c r="B843" s="71"/>
      <c r="C843" s="25"/>
      <c r="D843" s="138"/>
      <c r="E843" s="25"/>
      <c r="F843" s="25"/>
      <c r="G843" s="119"/>
    </row>
    <row r="844" ht="22.5" customHeight="1">
      <c r="A844" s="139"/>
      <c r="B844" s="71"/>
      <c r="C844" s="25"/>
      <c r="D844" s="138"/>
      <c r="E844" s="25"/>
      <c r="F844" s="25"/>
      <c r="G844" s="119"/>
    </row>
    <row r="845" ht="22.5" customHeight="1">
      <c r="A845" s="139"/>
      <c r="B845" s="71"/>
      <c r="C845" s="25"/>
      <c r="D845" s="138"/>
      <c r="E845" s="25"/>
      <c r="F845" s="25"/>
      <c r="G845" s="119"/>
    </row>
    <row r="846" ht="22.5" customHeight="1">
      <c r="A846" s="139"/>
      <c r="B846" s="71"/>
      <c r="C846" s="25"/>
      <c r="D846" s="138"/>
      <c r="E846" s="25"/>
      <c r="F846" s="25"/>
      <c r="G846" s="119"/>
    </row>
    <row r="847" ht="22.5" customHeight="1">
      <c r="A847" s="139"/>
      <c r="B847" s="71"/>
      <c r="C847" s="25"/>
      <c r="D847" s="138"/>
      <c r="E847" s="25"/>
      <c r="F847" s="25"/>
      <c r="G847" s="119"/>
    </row>
    <row r="848" ht="22.5" customHeight="1">
      <c r="A848" s="139"/>
      <c r="B848" s="71"/>
      <c r="C848" s="25"/>
      <c r="D848" s="138"/>
      <c r="E848" s="25"/>
      <c r="F848" s="25"/>
      <c r="G848" s="119"/>
    </row>
    <row r="849" ht="22.5" customHeight="1">
      <c r="A849" s="139"/>
      <c r="B849" s="71"/>
      <c r="C849" s="25"/>
      <c r="D849" s="138"/>
      <c r="E849" s="25"/>
      <c r="F849" s="25"/>
      <c r="G849" s="119"/>
    </row>
    <row r="850" ht="22.5" customHeight="1">
      <c r="A850" s="139"/>
      <c r="B850" s="71"/>
      <c r="C850" s="25"/>
      <c r="D850" s="138"/>
      <c r="E850" s="25"/>
      <c r="F850" s="25"/>
      <c r="G850" s="119"/>
    </row>
    <row r="851" ht="22.5" customHeight="1">
      <c r="A851" s="139"/>
      <c r="B851" s="71"/>
      <c r="C851" s="25"/>
      <c r="D851" s="138"/>
      <c r="E851" s="25"/>
      <c r="F851" s="25"/>
      <c r="G851" s="119"/>
    </row>
    <row r="852" ht="22.5" customHeight="1">
      <c r="A852" s="139"/>
      <c r="B852" s="71"/>
      <c r="C852" s="25"/>
      <c r="D852" s="138"/>
      <c r="E852" s="25"/>
      <c r="F852" s="25"/>
      <c r="G852" s="119"/>
    </row>
    <row r="853" ht="22.5" customHeight="1">
      <c r="A853" s="139"/>
      <c r="B853" s="71"/>
      <c r="C853" s="25"/>
      <c r="D853" s="138"/>
      <c r="E853" s="25"/>
      <c r="F853" s="25"/>
      <c r="G853" s="119"/>
    </row>
    <row r="854" ht="22.5" customHeight="1">
      <c r="A854" s="139"/>
      <c r="B854" s="71"/>
      <c r="C854" s="25"/>
      <c r="D854" s="138"/>
      <c r="E854" s="25"/>
      <c r="F854" s="25"/>
      <c r="G854" s="119"/>
    </row>
    <row r="855" ht="22.5" customHeight="1">
      <c r="A855" s="139"/>
      <c r="B855" s="71"/>
      <c r="C855" s="25"/>
      <c r="D855" s="138"/>
      <c r="E855" s="25"/>
      <c r="F855" s="25"/>
      <c r="G855" s="119"/>
    </row>
    <row r="856" ht="22.5" customHeight="1">
      <c r="A856" s="139"/>
      <c r="B856" s="71"/>
      <c r="C856" s="25"/>
      <c r="D856" s="138"/>
      <c r="E856" s="25"/>
      <c r="F856" s="25"/>
      <c r="G856" s="119"/>
    </row>
    <row r="857" ht="22.5" customHeight="1">
      <c r="A857" s="139"/>
      <c r="B857" s="71"/>
      <c r="C857" s="25"/>
      <c r="D857" s="138"/>
      <c r="E857" s="25"/>
      <c r="F857" s="25"/>
      <c r="G857" s="119"/>
    </row>
    <row r="858" ht="22.5" customHeight="1">
      <c r="A858" s="139"/>
      <c r="B858" s="71"/>
      <c r="C858" s="25"/>
      <c r="D858" s="138"/>
      <c r="E858" s="25"/>
      <c r="F858" s="25"/>
      <c r="G858" s="119"/>
    </row>
    <row r="859" ht="22.5" customHeight="1">
      <c r="A859" s="139"/>
      <c r="B859" s="71"/>
      <c r="C859" s="25"/>
      <c r="D859" s="138"/>
      <c r="E859" s="25"/>
      <c r="F859" s="25"/>
      <c r="G859" s="119"/>
    </row>
    <row r="860" ht="22.5" customHeight="1">
      <c r="A860" s="139"/>
      <c r="B860" s="71"/>
      <c r="C860" s="25"/>
      <c r="D860" s="138"/>
      <c r="E860" s="25"/>
      <c r="F860" s="25"/>
      <c r="G860" s="119"/>
    </row>
    <row r="861" ht="22.5" customHeight="1">
      <c r="A861" s="139"/>
      <c r="B861" s="71"/>
      <c r="C861" s="25"/>
      <c r="D861" s="138"/>
      <c r="E861" s="25"/>
      <c r="F861" s="25"/>
      <c r="G861" s="119"/>
    </row>
    <row r="862" ht="22.5" customHeight="1">
      <c r="A862" s="139"/>
      <c r="B862" s="71"/>
      <c r="C862" s="25"/>
      <c r="D862" s="138"/>
      <c r="E862" s="25"/>
      <c r="F862" s="25"/>
      <c r="G862" s="119"/>
    </row>
    <row r="863" ht="22.5" customHeight="1">
      <c r="A863" s="139"/>
      <c r="B863" s="71"/>
      <c r="C863" s="25"/>
      <c r="D863" s="138"/>
      <c r="E863" s="25"/>
      <c r="F863" s="25"/>
      <c r="G863" s="119"/>
    </row>
    <row r="864" ht="22.5" customHeight="1">
      <c r="A864" s="139"/>
      <c r="B864" s="71"/>
      <c r="C864" s="25"/>
      <c r="D864" s="138"/>
      <c r="E864" s="25"/>
      <c r="F864" s="25"/>
      <c r="G864" s="119"/>
    </row>
    <row r="865" ht="22.5" customHeight="1">
      <c r="A865" s="139"/>
      <c r="B865" s="71"/>
      <c r="C865" s="25"/>
      <c r="D865" s="138"/>
      <c r="E865" s="25"/>
      <c r="F865" s="25"/>
      <c r="G865" s="119"/>
    </row>
    <row r="866" ht="22.5" customHeight="1">
      <c r="A866" s="139"/>
      <c r="B866" s="71"/>
      <c r="C866" s="25"/>
      <c r="D866" s="138"/>
      <c r="E866" s="25"/>
      <c r="F866" s="25"/>
      <c r="G866" s="119"/>
    </row>
    <row r="867" ht="22.5" customHeight="1">
      <c r="A867" s="139"/>
      <c r="B867" s="71"/>
      <c r="C867" s="25"/>
      <c r="D867" s="138"/>
      <c r="E867" s="25"/>
      <c r="F867" s="25"/>
      <c r="G867" s="119"/>
    </row>
    <row r="868" ht="22.5" customHeight="1">
      <c r="A868" s="139"/>
      <c r="B868" s="71"/>
      <c r="C868" s="25"/>
      <c r="D868" s="138"/>
      <c r="E868" s="25"/>
      <c r="F868" s="25"/>
      <c r="G868" s="119"/>
    </row>
    <row r="869" ht="22.5" customHeight="1">
      <c r="A869" s="139"/>
      <c r="B869" s="71"/>
      <c r="C869" s="25"/>
      <c r="D869" s="138"/>
      <c r="E869" s="25"/>
      <c r="F869" s="25"/>
      <c r="G869" s="119"/>
    </row>
    <row r="870" ht="22.5" customHeight="1">
      <c r="A870" s="139"/>
      <c r="B870" s="71"/>
      <c r="C870" s="25"/>
      <c r="D870" s="138"/>
      <c r="E870" s="25"/>
      <c r="F870" s="25"/>
      <c r="G870" s="119"/>
    </row>
    <row r="871" ht="22.5" customHeight="1">
      <c r="A871" s="139"/>
      <c r="B871" s="71"/>
      <c r="C871" s="25"/>
      <c r="D871" s="138"/>
      <c r="E871" s="25"/>
      <c r="F871" s="25"/>
      <c r="G871" s="119"/>
    </row>
    <row r="872" ht="22.5" customHeight="1">
      <c r="A872" s="139"/>
      <c r="B872" s="71"/>
      <c r="C872" s="25"/>
      <c r="D872" s="138"/>
      <c r="E872" s="25"/>
      <c r="F872" s="25"/>
      <c r="G872" s="119"/>
    </row>
    <row r="873" ht="22.5" customHeight="1">
      <c r="A873" s="139"/>
      <c r="B873" s="71"/>
      <c r="C873" s="25"/>
      <c r="D873" s="138"/>
      <c r="E873" s="25"/>
      <c r="F873" s="25"/>
      <c r="G873" s="119"/>
    </row>
    <row r="874" ht="22.5" customHeight="1">
      <c r="A874" s="139"/>
      <c r="B874" s="71"/>
      <c r="C874" s="25"/>
      <c r="D874" s="138"/>
      <c r="E874" s="25"/>
      <c r="F874" s="25"/>
      <c r="G874" s="119"/>
    </row>
    <row r="875" ht="22.5" customHeight="1">
      <c r="A875" s="139"/>
      <c r="B875" s="71"/>
      <c r="C875" s="25"/>
      <c r="D875" s="138"/>
      <c r="E875" s="25"/>
      <c r="F875" s="25"/>
      <c r="G875" s="119"/>
    </row>
    <row r="876" ht="22.5" customHeight="1">
      <c r="A876" s="139"/>
      <c r="B876" s="71"/>
      <c r="C876" s="25"/>
      <c r="D876" s="138"/>
      <c r="E876" s="25"/>
      <c r="F876" s="25"/>
      <c r="G876" s="119"/>
    </row>
    <row r="877" ht="22.5" customHeight="1">
      <c r="A877" s="139"/>
      <c r="B877" s="71"/>
      <c r="C877" s="25"/>
      <c r="D877" s="138"/>
      <c r="E877" s="25"/>
      <c r="F877" s="25"/>
      <c r="G877" s="119"/>
    </row>
    <row r="878" ht="22.5" customHeight="1">
      <c r="A878" s="139"/>
      <c r="B878" s="71"/>
      <c r="C878" s="25"/>
      <c r="D878" s="138"/>
      <c r="E878" s="25"/>
      <c r="F878" s="25"/>
      <c r="G878" s="119"/>
    </row>
    <row r="879" ht="22.5" customHeight="1">
      <c r="A879" s="139"/>
      <c r="B879" s="71"/>
      <c r="C879" s="25"/>
      <c r="D879" s="138"/>
      <c r="E879" s="25"/>
      <c r="F879" s="25"/>
      <c r="G879" s="119"/>
    </row>
    <row r="880" ht="22.5" customHeight="1">
      <c r="A880" s="139"/>
      <c r="B880" s="71"/>
      <c r="C880" s="25"/>
      <c r="D880" s="138"/>
      <c r="E880" s="25"/>
      <c r="F880" s="25"/>
      <c r="G880" s="119"/>
    </row>
    <row r="881" ht="22.5" customHeight="1">
      <c r="A881" s="139"/>
      <c r="B881" s="71"/>
      <c r="C881" s="25"/>
      <c r="D881" s="138"/>
      <c r="E881" s="25"/>
      <c r="F881" s="25"/>
      <c r="G881" s="119"/>
    </row>
    <row r="882" ht="22.5" customHeight="1">
      <c r="A882" s="139"/>
      <c r="B882" s="71"/>
      <c r="C882" s="25"/>
      <c r="D882" s="138"/>
      <c r="E882" s="25"/>
      <c r="F882" s="25"/>
      <c r="G882" s="119"/>
    </row>
    <row r="883" ht="22.5" customHeight="1">
      <c r="A883" s="139"/>
      <c r="B883" s="71"/>
      <c r="C883" s="25"/>
      <c r="D883" s="138"/>
      <c r="E883" s="25"/>
      <c r="F883" s="25"/>
      <c r="G883" s="119"/>
    </row>
    <row r="884" ht="22.5" customHeight="1">
      <c r="A884" s="139"/>
      <c r="B884" s="71"/>
      <c r="C884" s="25"/>
      <c r="D884" s="138"/>
      <c r="E884" s="25"/>
      <c r="F884" s="25"/>
      <c r="G884" s="119"/>
    </row>
    <row r="885" ht="22.5" customHeight="1">
      <c r="A885" s="139"/>
      <c r="B885" s="71"/>
      <c r="C885" s="25"/>
      <c r="D885" s="138"/>
      <c r="E885" s="25"/>
      <c r="F885" s="25"/>
      <c r="G885" s="119"/>
    </row>
    <row r="886" ht="22.5" customHeight="1">
      <c r="A886" s="139"/>
      <c r="B886" s="71"/>
      <c r="C886" s="25"/>
      <c r="D886" s="138"/>
      <c r="E886" s="25"/>
      <c r="F886" s="25"/>
      <c r="G886" s="119"/>
    </row>
    <row r="887" ht="22.5" customHeight="1">
      <c r="A887" s="139"/>
      <c r="B887" s="71"/>
      <c r="C887" s="25"/>
      <c r="D887" s="138"/>
      <c r="E887" s="25"/>
      <c r="F887" s="25"/>
      <c r="G887" s="119"/>
    </row>
    <row r="888" ht="22.5" customHeight="1">
      <c r="A888" s="139"/>
      <c r="B888" s="71"/>
      <c r="C888" s="25"/>
      <c r="D888" s="138"/>
      <c r="E888" s="25"/>
      <c r="F888" s="25"/>
      <c r="G888" s="119"/>
    </row>
    <row r="889" ht="22.5" customHeight="1">
      <c r="A889" s="139"/>
      <c r="B889" s="71"/>
      <c r="C889" s="25"/>
      <c r="D889" s="138"/>
      <c r="E889" s="25"/>
      <c r="F889" s="25"/>
      <c r="G889" s="119"/>
    </row>
    <row r="890" ht="22.5" customHeight="1">
      <c r="A890" s="139"/>
      <c r="B890" s="71"/>
      <c r="C890" s="25"/>
      <c r="D890" s="138"/>
      <c r="E890" s="25"/>
      <c r="F890" s="25"/>
      <c r="G890" s="119"/>
    </row>
    <row r="891" ht="22.5" customHeight="1">
      <c r="A891" s="139"/>
      <c r="B891" s="71"/>
      <c r="C891" s="25"/>
      <c r="D891" s="138"/>
      <c r="E891" s="25"/>
      <c r="F891" s="25"/>
      <c r="G891" s="119"/>
    </row>
    <row r="892" ht="22.5" customHeight="1">
      <c r="A892" s="139"/>
      <c r="B892" s="71"/>
      <c r="C892" s="25"/>
      <c r="D892" s="138"/>
      <c r="E892" s="25"/>
      <c r="F892" s="25"/>
      <c r="G892" s="119"/>
    </row>
    <row r="893" ht="22.5" customHeight="1">
      <c r="A893" s="139"/>
      <c r="B893" s="71"/>
      <c r="C893" s="25"/>
      <c r="D893" s="138"/>
      <c r="E893" s="25"/>
      <c r="F893" s="25"/>
      <c r="G893" s="119"/>
    </row>
    <row r="894" ht="22.5" customHeight="1">
      <c r="A894" s="139"/>
      <c r="B894" s="71"/>
      <c r="C894" s="25"/>
      <c r="D894" s="138"/>
      <c r="E894" s="25"/>
      <c r="F894" s="25"/>
      <c r="G894" s="119"/>
    </row>
    <row r="895" ht="22.5" customHeight="1">
      <c r="A895" s="139"/>
      <c r="B895" s="71"/>
      <c r="C895" s="25"/>
      <c r="D895" s="138"/>
      <c r="E895" s="25"/>
      <c r="F895" s="25"/>
      <c r="G895" s="119"/>
    </row>
    <row r="896" ht="22.5" customHeight="1">
      <c r="A896" s="139"/>
      <c r="B896" s="71"/>
      <c r="C896" s="25"/>
      <c r="D896" s="138"/>
      <c r="E896" s="25"/>
      <c r="F896" s="25"/>
      <c r="G896" s="119"/>
    </row>
    <row r="897" ht="22.5" customHeight="1">
      <c r="A897" s="139"/>
      <c r="B897" s="71"/>
      <c r="C897" s="25"/>
      <c r="D897" s="138"/>
      <c r="E897" s="25"/>
      <c r="F897" s="25"/>
      <c r="G897" s="119"/>
    </row>
    <row r="898" ht="22.5" customHeight="1">
      <c r="A898" s="139"/>
      <c r="B898" s="71"/>
      <c r="C898" s="25"/>
      <c r="D898" s="138"/>
      <c r="E898" s="25"/>
      <c r="F898" s="25"/>
      <c r="G898" s="119"/>
    </row>
    <row r="899" ht="22.5" customHeight="1">
      <c r="A899" s="139"/>
      <c r="B899" s="71"/>
      <c r="C899" s="25"/>
      <c r="D899" s="138"/>
      <c r="E899" s="25"/>
      <c r="F899" s="25"/>
      <c r="G899" s="119"/>
    </row>
    <row r="900" ht="22.5" customHeight="1">
      <c r="A900" s="139"/>
      <c r="B900" s="71"/>
      <c r="C900" s="25"/>
      <c r="D900" s="138"/>
      <c r="E900" s="25"/>
      <c r="F900" s="25"/>
      <c r="G900" s="119"/>
    </row>
    <row r="901" ht="22.5" customHeight="1">
      <c r="A901" s="139"/>
      <c r="B901" s="71"/>
      <c r="C901" s="25"/>
      <c r="D901" s="138"/>
      <c r="E901" s="25"/>
      <c r="F901" s="25"/>
      <c r="G901" s="119"/>
    </row>
    <row r="902" ht="22.5" customHeight="1">
      <c r="A902" s="139"/>
      <c r="B902" s="71"/>
      <c r="C902" s="25"/>
      <c r="D902" s="138"/>
      <c r="E902" s="25"/>
      <c r="F902" s="25"/>
      <c r="G902" s="119"/>
    </row>
    <row r="903" ht="22.5" customHeight="1">
      <c r="A903" s="139"/>
      <c r="B903" s="71"/>
      <c r="C903" s="25"/>
      <c r="D903" s="138"/>
      <c r="E903" s="25"/>
      <c r="F903" s="25"/>
      <c r="G903" s="119"/>
    </row>
    <row r="904" ht="22.5" customHeight="1">
      <c r="A904" s="139"/>
      <c r="B904" s="71"/>
      <c r="C904" s="25"/>
      <c r="D904" s="138"/>
      <c r="E904" s="25"/>
      <c r="F904" s="25"/>
      <c r="G904" s="119"/>
    </row>
    <row r="905" ht="22.5" customHeight="1">
      <c r="A905" s="139"/>
      <c r="B905" s="71"/>
      <c r="C905" s="25"/>
      <c r="D905" s="138"/>
      <c r="E905" s="25"/>
      <c r="F905" s="25"/>
      <c r="G905" s="119"/>
    </row>
    <row r="906" ht="22.5" customHeight="1">
      <c r="A906" s="139"/>
      <c r="B906" s="71"/>
      <c r="C906" s="25"/>
      <c r="D906" s="138"/>
      <c r="E906" s="25"/>
      <c r="F906" s="25"/>
      <c r="G906" s="119"/>
    </row>
    <row r="907" ht="22.5" customHeight="1">
      <c r="A907" s="139"/>
      <c r="B907" s="71"/>
      <c r="C907" s="25"/>
      <c r="D907" s="138"/>
      <c r="E907" s="25"/>
      <c r="F907" s="25"/>
      <c r="G907" s="119"/>
    </row>
    <row r="908" ht="22.5" customHeight="1">
      <c r="A908" s="139"/>
      <c r="B908" s="71"/>
      <c r="C908" s="25"/>
      <c r="D908" s="138"/>
      <c r="E908" s="25"/>
      <c r="F908" s="25"/>
      <c r="G908" s="119"/>
    </row>
    <row r="909" ht="22.5" customHeight="1">
      <c r="A909" s="139"/>
      <c r="B909" s="71"/>
      <c r="C909" s="25"/>
      <c r="D909" s="138"/>
      <c r="E909" s="25"/>
      <c r="F909" s="25"/>
      <c r="G909" s="119"/>
    </row>
    <row r="910" ht="22.5" customHeight="1">
      <c r="A910" s="139"/>
      <c r="B910" s="71"/>
      <c r="C910" s="25"/>
      <c r="D910" s="138"/>
      <c r="E910" s="25"/>
      <c r="F910" s="25"/>
      <c r="G910" s="119"/>
    </row>
    <row r="911" ht="22.5" customHeight="1">
      <c r="A911" s="139"/>
      <c r="B911" s="71"/>
      <c r="C911" s="25"/>
      <c r="D911" s="138"/>
      <c r="E911" s="25"/>
      <c r="F911" s="25"/>
      <c r="G911" s="119"/>
    </row>
    <row r="912" ht="22.5" customHeight="1">
      <c r="A912" s="139"/>
      <c r="B912" s="71"/>
      <c r="C912" s="25"/>
      <c r="D912" s="138"/>
      <c r="E912" s="25"/>
      <c r="F912" s="25"/>
      <c r="G912" s="119"/>
    </row>
    <row r="913" ht="22.5" customHeight="1">
      <c r="A913" s="139"/>
      <c r="B913" s="71"/>
      <c r="C913" s="25"/>
      <c r="D913" s="138"/>
      <c r="E913" s="25"/>
      <c r="F913" s="25"/>
      <c r="G913" s="119"/>
    </row>
    <row r="914" ht="22.5" customHeight="1">
      <c r="A914" s="139"/>
      <c r="B914" s="71"/>
      <c r="C914" s="25"/>
      <c r="D914" s="138"/>
      <c r="E914" s="25"/>
      <c r="F914" s="25"/>
      <c r="G914" s="119"/>
    </row>
    <row r="915" ht="22.5" customHeight="1">
      <c r="A915" s="139"/>
      <c r="B915" s="71"/>
      <c r="C915" s="25"/>
      <c r="D915" s="138"/>
      <c r="E915" s="25"/>
      <c r="F915" s="25"/>
      <c r="G915" s="119"/>
    </row>
    <row r="916" ht="22.5" customHeight="1">
      <c r="A916" s="139"/>
      <c r="B916" s="71"/>
      <c r="C916" s="25"/>
      <c r="D916" s="138"/>
      <c r="E916" s="25"/>
      <c r="F916" s="25"/>
      <c r="G916" s="119"/>
    </row>
    <row r="917" ht="22.5" customHeight="1">
      <c r="A917" s="139"/>
      <c r="B917" s="71"/>
      <c r="C917" s="25"/>
      <c r="D917" s="138"/>
      <c r="E917" s="25"/>
      <c r="F917" s="25"/>
      <c r="G917" s="119"/>
    </row>
    <row r="918" ht="22.5" customHeight="1">
      <c r="A918" s="139"/>
      <c r="B918" s="71"/>
      <c r="C918" s="25"/>
      <c r="D918" s="138"/>
      <c r="E918" s="25"/>
      <c r="F918" s="25"/>
      <c r="G918" s="119"/>
    </row>
    <row r="919" ht="22.5" customHeight="1">
      <c r="A919" s="139"/>
      <c r="B919" s="71"/>
      <c r="C919" s="25"/>
      <c r="D919" s="138"/>
      <c r="E919" s="25"/>
      <c r="F919" s="25"/>
      <c r="G919" s="119"/>
    </row>
    <row r="920" ht="22.5" customHeight="1">
      <c r="A920" s="139"/>
      <c r="B920" s="71"/>
      <c r="C920" s="25"/>
      <c r="D920" s="138"/>
      <c r="E920" s="25"/>
      <c r="F920" s="25"/>
      <c r="G920" s="119"/>
    </row>
    <row r="921" ht="22.5" customHeight="1">
      <c r="A921" s="139"/>
      <c r="B921" s="71"/>
      <c r="C921" s="25"/>
      <c r="D921" s="138"/>
      <c r="E921" s="25"/>
      <c r="F921" s="25"/>
      <c r="G921" s="119"/>
    </row>
    <row r="922" ht="22.5" customHeight="1">
      <c r="A922" s="139"/>
      <c r="B922" s="71"/>
      <c r="C922" s="25"/>
      <c r="D922" s="138"/>
      <c r="E922" s="25"/>
      <c r="F922" s="25"/>
      <c r="G922" s="119"/>
    </row>
    <row r="923" ht="22.5" customHeight="1">
      <c r="A923" s="139"/>
      <c r="B923" s="71"/>
      <c r="C923" s="25"/>
      <c r="D923" s="138"/>
      <c r="E923" s="25"/>
      <c r="F923" s="25"/>
      <c r="G923" s="119"/>
    </row>
    <row r="924" ht="22.5" customHeight="1">
      <c r="A924" s="139"/>
      <c r="B924" s="71"/>
      <c r="C924" s="25"/>
      <c r="D924" s="138"/>
      <c r="E924" s="25"/>
      <c r="F924" s="25"/>
      <c r="G924" s="119"/>
    </row>
    <row r="925" ht="22.5" customHeight="1">
      <c r="A925" s="139"/>
      <c r="B925" s="71"/>
      <c r="C925" s="25"/>
      <c r="D925" s="138"/>
      <c r="E925" s="25"/>
      <c r="F925" s="25"/>
      <c r="G925" s="119"/>
    </row>
    <row r="926" ht="22.5" customHeight="1">
      <c r="A926" s="139"/>
      <c r="B926" s="71"/>
      <c r="C926" s="25"/>
      <c r="D926" s="138"/>
      <c r="E926" s="25"/>
      <c r="F926" s="25"/>
      <c r="G926" s="119"/>
    </row>
    <row r="927" ht="22.5" customHeight="1">
      <c r="A927" s="139"/>
      <c r="B927" s="71"/>
      <c r="C927" s="25"/>
      <c r="D927" s="138"/>
      <c r="E927" s="25"/>
      <c r="F927" s="25"/>
      <c r="G927" s="119"/>
    </row>
    <row r="928" ht="22.5" customHeight="1">
      <c r="A928" s="139"/>
      <c r="B928" s="71"/>
      <c r="C928" s="25"/>
      <c r="D928" s="138"/>
      <c r="E928" s="25"/>
      <c r="F928" s="25"/>
      <c r="G928" s="119"/>
    </row>
    <row r="929" ht="22.5" customHeight="1">
      <c r="A929" s="139"/>
      <c r="B929" s="71"/>
      <c r="C929" s="25"/>
      <c r="D929" s="138"/>
      <c r="E929" s="25"/>
      <c r="F929" s="25"/>
      <c r="G929" s="119"/>
    </row>
    <row r="930" ht="22.5" customHeight="1">
      <c r="A930" s="139"/>
      <c r="B930" s="71"/>
      <c r="C930" s="25"/>
      <c r="D930" s="138"/>
      <c r="E930" s="25"/>
      <c r="F930" s="25"/>
      <c r="G930" s="119"/>
    </row>
    <row r="931" ht="22.5" customHeight="1">
      <c r="A931" s="139"/>
      <c r="B931" s="71"/>
      <c r="C931" s="25"/>
      <c r="D931" s="138"/>
      <c r="E931" s="25"/>
      <c r="F931" s="25"/>
      <c r="G931" s="119"/>
    </row>
    <row r="932" ht="22.5" customHeight="1">
      <c r="A932" s="139"/>
      <c r="B932" s="71"/>
      <c r="C932" s="25"/>
      <c r="D932" s="138"/>
      <c r="E932" s="25"/>
      <c r="F932" s="25"/>
      <c r="G932" s="119"/>
    </row>
    <row r="933" ht="22.5" customHeight="1">
      <c r="A933" s="139"/>
      <c r="B933" s="71"/>
      <c r="C933" s="25"/>
      <c r="D933" s="138"/>
      <c r="E933" s="25"/>
      <c r="F933" s="25"/>
      <c r="G933" s="119"/>
    </row>
    <row r="934" ht="22.5" customHeight="1">
      <c r="A934" s="139"/>
      <c r="B934" s="71"/>
      <c r="C934" s="25"/>
      <c r="D934" s="138"/>
      <c r="E934" s="25"/>
      <c r="F934" s="25"/>
      <c r="G934" s="119"/>
    </row>
    <row r="935" ht="22.5" customHeight="1">
      <c r="A935" s="139"/>
      <c r="B935" s="71"/>
      <c r="C935" s="25"/>
      <c r="D935" s="138"/>
      <c r="E935" s="25"/>
      <c r="F935" s="25"/>
      <c r="G935" s="119"/>
    </row>
    <row r="936" ht="22.5" customHeight="1">
      <c r="A936" s="139"/>
      <c r="B936" s="71"/>
      <c r="C936" s="25"/>
      <c r="D936" s="138"/>
      <c r="E936" s="25"/>
      <c r="F936" s="25"/>
      <c r="G936" s="119"/>
    </row>
    <row r="937" ht="22.5" customHeight="1">
      <c r="A937" s="139"/>
      <c r="B937" s="71"/>
      <c r="C937" s="25"/>
      <c r="D937" s="138"/>
      <c r="E937" s="25"/>
      <c r="F937" s="25"/>
      <c r="G937" s="119"/>
    </row>
    <row r="938" ht="22.5" customHeight="1">
      <c r="A938" s="139"/>
      <c r="B938" s="71"/>
      <c r="C938" s="25"/>
      <c r="D938" s="138"/>
      <c r="E938" s="25"/>
      <c r="F938" s="25"/>
      <c r="G938" s="119"/>
    </row>
    <row r="939" ht="22.5" customHeight="1">
      <c r="A939" s="139"/>
      <c r="B939" s="71"/>
      <c r="C939" s="25"/>
      <c r="D939" s="138"/>
      <c r="E939" s="25"/>
      <c r="F939" s="25"/>
      <c r="G939" s="119"/>
    </row>
    <row r="940" ht="22.5" customHeight="1">
      <c r="A940" s="139"/>
      <c r="B940" s="71"/>
      <c r="C940" s="25"/>
      <c r="D940" s="138"/>
      <c r="E940" s="25"/>
      <c r="F940" s="25"/>
      <c r="G940" s="119"/>
    </row>
    <row r="941" ht="22.5" customHeight="1">
      <c r="A941" s="139"/>
      <c r="B941" s="71"/>
      <c r="C941" s="25"/>
      <c r="D941" s="138"/>
      <c r="E941" s="25"/>
      <c r="F941" s="25"/>
      <c r="G941" s="119"/>
    </row>
    <row r="942" ht="22.5" customHeight="1">
      <c r="A942" s="139"/>
      <c r="B942" s="71"/>
      <c r="C942" s="25"/>
      <c r="D942" s="138"/>
      <c r="E942" s="25"/>
      <c r="F942" s="25"/>
      <c r="G942" s="119"/>
    </row>
    <row r="943" ht="22.5" customHeight="1">
      <c r="A943" s="139"/>
      <c r="B943" s="71"/>
      <c r="C943" s="25"/>
      <c r="D943" s="138"/>
      <c r="E943" s="25"/>
      <c r="F943" s="25"/>
      <c r="G943" s="119"/>
    </row>
    <row r="944" ht="22.5" customHeight="1">
      <c r="A944" s="139"/>
      <c r="B944" s="71"/>
      <c r="C944" s="25"/>
      <c r="D944" s="138"/>
      <c r="E944" s="25"/>
      <c r="F944" s="25"/>
      <c r="G944" s="119"/>
    </row>
    <row r="945" ht="22.5" customHeight="1">
      <c r="A945" s="139"/>
      <c r="B945" s="71"/>
      <c r="C945" s="25"/>
      <c r="D945" s="138"/>
      <c r="E945" s="25"/>
      <c r="F945" s="25"/>
      <c r="G945" s="119"/>
    </row>
    <row r="946" ht="22.5" customHeight="1">
      <c r="A946" s="139"/>
      <c r="B946" s="71"/>
      <c r="C946" s="25"/>
      <c r="D946" s="138"/>
      <c r="E946" s="25"/>
      <c r="F946" s="25"/>
      <c r="G946" s="119"/>
    </row>
    <row r="947" ht="22.5" customHeight="1">
      <c r="A947" s="139"/>
      <c r="B947" s="71"/>
      <c r="C947" s="25"/>
      <c r="D947" s="138"/>
      <c r="E947" s="25"/>
      <c r="F947" s="25"/>
      <c r="G947" s="119"/>
    </row>
    <row r="948" ht="22.5" customHeight="1">
      <c r="A948" s="139"/>
      <c r="B948" s="71"/>
      <c r="C948" s="25"/>
      <c r="D948" s="138"/>
      <c r="E948" s="25"/>
      <c r="F948" s="25"/>
      <c r="G948" s="119"/>
    </row>
    <row r="949" ht="22.5" customHeight="1">
      <c r="A949" s="139"/>
      <c r="B949" s="71"/>
      <c r="C949" s="25"/>
      <c r="D949" s="138"/>
      <c r="E949" s="25"/>
      <c r="F949" s="25"/>
      <c r="G949" s="119"/>
    </row>
    <row r="950" ht="22.5" customHeight="1">
      <c r="A950" s="139"/>
      <c r="B950" s="71"/>
      <c r="C950" s="25"/>
      <c r="D950" s="138"/>
      <c r="E950" s="25"/>
      <c r="F950" s="25"/>
      <c r="G950" s="119"/>
    </row>
    <row r="951" ht="22.5" customHeight="1">
      <c r="A951" s="139"/>
      <c r="B951" s="71"/>
      <c r="C951" s="25"/>
      <c r="D951" s="138"/>
      <c r="E951" s="25"/>
      <c r="F951" s="25"/>
      <c r="G951" s="119"/>
    </row>
    <row r="952" ht="22.5" customHeight="1">
      <c r="A952" s="139"/>
      <c r="B952" s="71"/>
      <c r="C952" s="25"/>
      <c r="D952" s="138"/>
      <c r="E952" s="25"/>
      <c r="F952" s="25"/>
      <c r="G952" s="119"/>
    </row>
    <row r="953" ht="22.5" customHeight="1">
      <c r="A953" s="139"/>
      <c r="B953" s="71"/>
      <c r="C953" s="25"/>
      <c r="D953" s="138"/>
      <c r="E953" s="25"/>
      <c r="F953" s="25"/>
      <c r="G953" s="119"/>
    </row>
    <row r="954" ht="22.5" customHeight="1">
      <c r="A954" s="139"/>
      <c r="B954" s="71"/>
      <c r="C954" s="25"/>
      <c r="D954" s="138"/>
      <c r="E954" s="25"/>
      <c r="F954" s="25"/>
      <c r="G954" s="119"/>
    </row>
    <row r="955" ht="22.5" customHeight="1">
      <c r="A955" s="139"/>
      <c r="B955" s="71"/>
      <c r="C955" s="25"/>
      <c r="D955" s="138"/>
      <c r="E955" s="25"/>
      <c r="F955" s="25"/>
      <c r="G955" s="119"/>
    </row>
    <row r="956" ht="22.5" customHeight="1">
      <c r="A956" s="139"/>
      <c r="B956" s="71"/>
      <c r="C956" s="25"/>
      <c r="D956" s="138"/>
      <c r="E956" s="25"/>
      <c r="F956" s="25"/>
      <c r="G956" s="119"/>
    </row>
    <row r="957" ht="22.5" customHeight="1">
      <c r="A957" s="139"/>
      <c r="B957" s="71"/>
      <c r="C957" s="25"/>
      <c r="D957" s="138"/>
      <c r="E957" s="25"/>
      <c r="F957" s="25"/>
      <c r="G957" s="119"/>
    </row>
    <row r="958" ht="22.5" customHeight="1">
      <c r="A958" s="139"/>
      <c r="B958" s="71"/>
      <c r="C958" s="25"/>
      <c r="D958" s="138"/>
      <c r="E958" s="25"/>
      <c r="F958" s="25"/>
      <c r="G958" s="119"/>
    </row>
    <row r="959" ht="22.5" customHeight="1">
      <c r="A959" s="139"/>
      <c r="B959" s="71"/>
      <c r="C959" s="25"/>
      <c r="D959" s="138"/>
      <c r="E959" s="25"/>
      <c r="F959" s="25"/>
      <c r="G959" s="119"/>
    </row>
    <row r="960" ht="22.5" customHeight="1">
      <c r="A960" s="139"/>
      <c r="B960" s="71"/>
      <c r="C960" s="25"/>
      <c r="D960" s="138"/>
      <c r="E960" s="25"/>
      <c r="F960" s="25"/>
      <c r="G960" s="119"/>
    </row>
    <row r="961" ht="22.5" customHeight="1">
      <c r="A961" s="139"/>
      <c r="B961" s="71"/>
      <c r="C961" s="25"/>
      <c r="D961" s="138"/>
      <c r="E961" s="25"/>
      <c r="F961" s="25"/>
      <c r="G961" s="119"/>
    </row>
    <row r="962" ht="22.5" customHeight="1">
      <c r="A962" s="139"/>
      <c r="B962" s="71"/>
      <c r="C962" s="25"/>
      <c r="D962" s="138"/>
      <c r="E962" s="25"/>
      <c r="F962" s="25"/>
      <c r="G962" s="119"/>
    </row>
    <row r="963" ht="22.5" customHeight="1">
      <c r="A963" s="139"/>
      <c r="B963" s="71"/>
      <c r="C963" s="25"/>
      <c r="D963" s="138"/>
      <c r="E963" s="25"/>
      <c r="F963" s="25"/>
      <c r="G963" s="119"/>
    </row>
    <row r="964" ht="22.5" customHeight="1">
      <c r="A964" s="139"/>
      <c r="B964" s="71"/>
      <c r="C964" s="25"/>
      <c r="D964" s="138"/>
      <c r="E964" s="25"/>
      <c r="F964" s="25"/>
      <c r="G964" s="119"/>
    </row>
    <row r="965" ht="22.5" customHeight="1">
      <c r="A965" s="139"/>
      <c r="B965" s="71"/>
      <c r="C965" s="25"/>
      <c r="D965" s="138"/>
      <c r="E965" s="25"/>
      <c r="F965" s="25"/>
      <c r="G965" s="119"/>
    </row>
    <row r="966" ht="22.5" customHeight="1">
      <c r="A966" s="139"/>
      <c r="B966" s="71"/>
      <c r="C966" s="25"/>
      <c r="D966" s="138"/>
      <c r="E966" s="25"/>
      <c r="F966" s="25"/>
      <c r="G966" s="119"/>
    </row>
    <row r="967" ht="22.5" customHeight="1">
      <c r="A967" s="139"/>
      <c r="B967" s="71"/>
      <c r="C967" s="25"/>
      <c r="D967" s="138"/>
      <c r="E967" s="25"/>
      <c r="F967" s="25"/>
      <c r="G967" s="119"/>
    </row>
    <row r="968" ht="22.5" customHeight="1">
      <c r="A968" s="139"/>
      <c r="B968" s="71"/>
      <c r="C968" s="25"/>
      <c r="D968" s="138"/>
      <c r="E968" s="25"/>
      <c r="F968" s="25"/>
      <c r="G968" s="119"/>
    </row>
    <row r="969" ht="22.5" customHeight="1">
      <c r="A969" s="139"/>
      <c r="B969" s="71"/>
      <c r="C969" s="25"/>
      <c r="D969" s="138"/>
      <c r="E969" s="25"/>
      <c r="F969" s="25"/>
      <c r="G969" s="119"/>
    </row>
    <row r="970" ht="22.5" customHeight="1">
      <c r="A970" s="139"/>
      <c r="B970" s="71"/>
      <c r="C970" s="25"/>
      <c r="D970" s="138"/>
      <c r="E970" s="25"/>
      <c r="F970" s="25"/>
      <c r="G970" s="119"/>
    </row>
    <row r="971" ht="22.5" customHeight="1">
      <c r="A971" s="139"/>
      <c r="B971" s="71"/>
      <c r="C971" s="25"/>
      <c r="D971" s="138"/>
      <c r="E971" s="25"/>
      <c r="F971" s="25"/>
      <c r="G971" s="119"/>
    </row>
    <row r="972" ht="22.5" customHeight="1">
      <c r="A972" s="139"/>
      <c r="B972" s="71"/>
      <c r="C972" s="25"/>
      <c r="D972" s="138"/>
      <c r="E972" s="25"/>
      <c r="F972" s="25"/>
      <c r="G972" s="119"/>
    </row>
    <row r="973" ht="22.5" customHeight="1">
      <c r="A973" s="139"/>
      <c r="B973" s="71"/>
      <c r="C973" s="25"/>
      <c r="D973" s="138"/>
      <c r="E973" s="25"/>
      <c r="F973" s="25"/>
      <c r="G973" s="119"/>
    </row>
    <row r="974" ht="22.5" customHeight="1">
      <c r="A974" s="139"/>
      <c r="B974" s="71"/>
      <c r="C974" s="25"/>
      <c r="D974" s="138"/>
      <c r="E974" s="25"/>
      <c r="F974" s="25"/>
      <c r="G974" s="119"/>
    </row>
    <row r="975" ht="22.5" customHeight="1">
      <c r="A975" s="139"/>
      <c r="B975" s="71"/>
      <c r="C975" s="25"/>
      <c r="D975" s="138"/>
      <c r="E975" s="25"/>
      <c r="F975" s="25"/>
      <c r="G975" s="119"/>
    </row>
    <row r="976" ht="22.5" customHeight="1">
      <c r="A976" s="139"/>
      <c r="B976" s="71"/>
      <c r="C976" s="25"/>
      <c r="D976" s="138"/>
      <c r="E976" s="25"/>
      <c r="F976" s="25"/>
      <c r="G976" s="119"/>
    </row>
    <row r="977" ht="22.5" customHeight="1">
      <c r="A977" s="139"/>
      <c r="B977" s="71"/>
      <c r="C977" s="25"/>
      <c r="D977" s="138"/>
      <c r="E977" s="25"/>
      <c r="F977" s="25"/>
      <c r="G977" s="119"/>
    </row>
    <row r="978" ht="22.5" customHeight="1">
      <c r="A978" s="139"/>
      <c r="B978" s="71"/>
      <c r="C978" s="25"/>
      <c r="D978" s="138"/>
      <c r="E978" s="25"/>
      <c r="F978" s="25"/>
      <c r="G978" s="119"/>
    </row>
    <row r="979" ht="22.5" customHeight="1">
      <c r="A979" s="139"/>
      <c r="B979" s="71"/>
      <c r="C979" s="25"/>
      <c r="D979" s="138"/>
      <c r="E979" s="25"/>
      <c r="F979" s="25"/>
      <c r="G979" s="119"/>
    </row>
    <row r="980" ht="22.5" customHeight="1">
      <c r="A980" s="139"/>
      <c r="B980" s="71"/>
      <c r="C980" s="25"/>
      <c r="D980" s="138"/>
      <c r="E980" s="25"/>
      <c r="F980" s="25"/>
      <c r="G980" s="119"/>
    </row>
    <row r="981" ht="22.5" customHeight="1">
      <c r="A981" s="139"/>
      <c r="B981" s="71"/>
      <c r="C981" s="25"/>
      <c r="D981" s="138"/>
      <c r="E981" s="25"/>
      <c r="F981" s="25"/>
      <c r="G981" s="119"/>
    </row>
    <row r="982" ht="22.5" customHeight="1">
      <c r="A982" s="139"/>
      <c r="B982" s="71"/>
      <c r="C982" s="25"/>
      <c r="D982" s="138"/>
      <c r="E982" s="25"/>
      <c r="F982" s="25"/>
      <c r="G982" s="119"/>
    </row>
    <row r="983" ht="22.5" customHeight="1">
      <c r="A983" s="139"/>
      <c r="B983" s="71"/>
      <c r="C983" s="25"/>
      <c r="D983" s="138"/>
      <c r="E983" s="25"/>
      <c r="F983" s="25"/>
      <c r="G983" s="119"/>
    </row>
    <row r="984" ht="22.5" customHeight="1">
      <c r="A984" s="139"/>
      <c r="B984" s="71"/>
      <c r="C984" s="25"/>
      <c r="D984" s="138"/>
      <c r="E984" s="25"/>
      <c r="F984" s="25"/>
      <c r="G984" s="119"/>
    </row>
    <row r="985" ht="22.5" customHeight="1">
      <c r="A985" s="139"/>
      <c r="B985" s="71"/>
      <c r="C985" s="25"/>
      <c r="D985" s="138"/>
      <c r="E985" s="25"/>
      <c r="F985" s="25"/>
      <c r="G985" s="119"/>
    </row>
    <row r="986" ht="22.5" customHeight="1">
      <c r="A986" s="139"/>
      <c r="B986" s="71"/>
      <c r="C986" s="25"/>
      <c r="D986" s="138"/>
      <c r="E986" s="25"/>
      <c r="F986" s="25"/>
      <c r="G986" s="119"/>
    </row>
    <row r="987" ht="22.5" customHeight="1">
      <c r="A987" s="139"/>
      <c r="B987" s="71"/>
      <c r="C987" s="25"/>
      <c r="D987" s="138"/>
      <c r="E987" s="25"/>
      <c r="F987" s="25"/>
      <c r="G987" s="119"/>
    </row>
    <row r="988" ht="22.5" customHeight="1">
      <c r="A988" s="139"/>
      <c r="B988" s="71"/>
      <c r="C988" s="25"/>
      <c r="D988" s="138"/>
      <c r="E988" s="25"/>
      <c r="F988" s="25"/>
      <c r="G988" s="119"/>
    </row>
    <row r="989" ht="22.5" customHeight="1">
      <c r="A989" s="139"/>
      <c r="B989" s="71"/>
      <c r="C989" s="25"/>
      <c r="D989" s="138"/>
      <c r="E989" s="25"/>
      <c r="F989" s="25"/>
      <c r="G989" s="119"/>
    </row>
    <row r="990" ht="22.5" customHeight="1">
      <c r="A990" s="139"/>
      <c r="B990" s="71"/>
      <c r="C990" s="25"/>
      <c r="D990" s="138"/>
      <c r="E990" s="25"/>
      <c r="F990" s="25"/>
      <c r="G990" s="119"/>
    </row>
    <row r="991" ht="22.5" customHeight="1">
      <c r="A991" s="139"/>
      <c r="B991" s="71"/>
      <c r="C991" s="25"/>
      <c r="D991" s="138"/>
      <c r="E991" s="25"/>
      <c r="F991" s="25"/>
      <c r="G991" s="119"/>
    </row>
    <row r="992" ht="22.5" customHeight="1">
      <c r="A992" s="139"/>
      <c r="B992" s="71"/>
      <c r="C992" s="25"/>
      <c r="D992" s="138"/>
      <c r="E992" s="25"/>
      <c r="F992" s="25"/>
      <c r="G992" s="119"/>
    </row>
    <row r="993" ht="22.5" customHeight="1">
      <c r="A993" s="139"/>
      <c r="B993" s="71"/>
      <c r="C993" s="25"/>
      <c r="D993" s="138"/>
      <c r="E993" s="25"/>
      <c r="F993" s="25"/>
      <c r="G993" s="119"/>
    </row>
    <row r="994" ht="22.5" customHeight="1">
      <c r="A994" s="139"/>
      <c r="B994" s="71"/>
      <c r="C994" s="25"/>
      <c r="D994" s="138"/>
      <c r="E994" s="25"/>
      <c r="F994" s="25"/>
      <c r="G994" s="119"/>
    </row>
    <row r="995" ht="22.5" customHeight="1">
      <c r="A995" s="139"/>
      <c r="B995" s="71"/>
      <c r="C995" s="25"/>
      <c r="D995" s="138"/>
      <c r="E995" s="25"/>
      <c r="F995" s="25"/>
      <c r="G995" s="119"/>
    </row>
    <row r="996" ht="22.5" customHeight="1">
      <c r="A996" s="139"/>
      <c r="B996" s="71"/>
      <c r="C996" s="25"/>
      <c r="D996" s="138"/>
      <c r="E996" s="25"/>
      <c r="F996" s="25"/>
      <c r="G996" s="119"/>
    </row>
    <row r="997" ht="22.5" customHeight="1">
      <c r="A997" s="139"/>
      <c r="B997" s="71"/>
      <c r="C997" s="25"/>
      <c r="D997" s="138"/>
      <c r="E997" s="25"/>
      <c r="F997" s="25"/>
      <c r="G997" s="119"/>
    </row>
    <row r="998" ht="22.5" customHeight="1">
      <c r="A998" s="139"/>
      <c r="B998" s="71"/>
      <c r="C998" s="25"/>
      <c r="D998" s="138"/>
      <c r="E998" s="25"/>
      <c r="F998" s="25"/>
      <c r="G998" s="119"/>
    </row>
    <row r="999" ht="22.5" customHeight="1">
      <c r="A999" s="139"/>
      <c r="B999" s="71"/>
      <c r="C999" s="25"/>
      <c r="D999" s="138"/>
      <c r="E999" s="25"/>
      <c r="F999" s="25"/>
      <c r="G999" s="119"/>
    </row>
    <row r="1000" ht="22.5" customHeight="1">
      <c r="A1000" s="139"/>
      <c r="B1000" s="71"/>
      <c r="C1000" s="25"/>
      <c r="D1000" s="138"/>
      <c r="E1000" s="25"/>
      <c r="F1000" s="25"/>
      <c r="G1000" s="119"/>
    </row>
    <row r="1001" ht="22.5" customHeight="1">
      <c r="A1001" s="139"/>
      <c r="B1001" s="71"/>
      <c r="C1001" s="25"/>
      <c r="D1001" s="138"/>
      <c r="E1001" s="25"/>
      <c r="F1001" s="25"/>
      <c r="G1001" s="119"/>
    </row>
    <row r="1002" ht="22.5" customHeight="1">
      <c r="A1002" s="139"/>
      <c r="B1002" s="71"/>
      <c r="C1002" s="25"/>
      <c r="D1002" s="138"/>
      <c r="E1002" s="25"/>
      <c r="F1002" s="25"/>
      <c r="G1002" s="119"/>
    </row>
    <row r="1003" ht="22.5" customHeight="1">
      <c r="A1003" s="139"/>
      <c r="B1003" s="71"/>
      <c r="C1003" s="25"/>
      <c r="D1003" s="138"/>
      <c r="E1003" s="25"/>
      <c r="F1003" s="25"/>
      <c r="G1003" s="119"/>
    </row>
    <row r="1004" ht="22.5" customHeight="1">
      <c r="A1004" s="139"/>
      <c r="B1004" s="71"/>
      <c r="C1004" s="25"/>
      <c r="D1004" s="138"/>
      <c r="E1004" s="25"/>
      <c r="F1004" s="25"/>
      <c r="G1004" s="119"/>
    </row>
    <row r="1005" ht="22.5" customHeight="1">
      <c r="A1005" s="139"/>
      <c r="B1005" s="71"/>
      <c r="C1005" s="25"/>
      <c r="D1005" s="138"/>
      <c r="E1005" s="25"/>
      <c r="F1005" s="25"/>
      <c r="G1005" s="119"/>
    </row>
    <row r="1006" ht="22.5" customHeight="1">
      <c r="A1006" s="139"/>
      <c r="B1006" s="71"/>
      <c r="C1006" s="25"/>
      <c r="D1006" s="138"/>
      <c r="E1006" s="25"/>
      <c r="F1006" s="25"/>
      <c r="G1006" s="119"/>
    </row>
    <row r="1007" ht="22.5" customHeight="1">
      <c r="A1007" s="139"/>
      <c r="B1007" s="71"/>
      <c r="C1007" s="25"/>
      <c r="D1007" s="138"/>
      <c r="E1007" s="25"/>
      <c r="F1007" s="25"/>
      <c r="G1007" s="119"/>
    </row>
    <row r="1008" ht="22.5" customHeight="1">
      <c r="A1008" s="139"/>
      <c r="B1008" s="71"/>
      <c r="C1008" s="25"/>
      <c r="D1008" s="138"/>
      <c r="E1008" s="25"/>
      <c r="F1008" s="25"/>
      <c r="G1008" s="119"/>
    </row>
    <row r="1009" ht="22.5" customHeight="1">
      <c r="A1009" s="139"/>
      <c r="B1009" s="71"/>
      <c r="C1009" s="25"/>
      <c r="D1009" s="138"/>
      <c r="E1009" s="25"/>
      <c r="F1009" s="25"/>
      <c r="G1009" s="119"/>
    </row>
    <row r="1010" ht="22.5" customHeight="1">
      <c r="A1010" s="139"/>
      <c r="B1010" s="71"/>
      <c r="C1010" s="25"/>
      <c r="D1010" s="138"/>
      <c r="E1010" s="25"/>
      <c r="F1010" s="25"/>
      <c r="G1010" s="119"/>
    </row>
    <row r="1011" ht="22.5" customHeight="1">
      <c r="A1011" s="139"/>
      <c r="B1011" s="71"/>
      <c r="C1011" s="25"/>
      <c r="D1011" s="138"/>
      <c r="E1011" s="25"/>
      <c r="F1011" s="25"/>
      <c r="G1011" s="119"/>
    </row>
    <row r="1012" ht="22.5" customHeight="1">
      <c r="A1012" s="139"/>
      <c r="B1012" s="71"/>
      <c r="C1012" s="25"/>
      <c r="D1012" s="138"/>
      <c r="E1012" s="25"/>
      <c r="F1012" s="25"/>
      <c r="G1012" s="119"/>
    </row>
    <row r="1013" ht="22.5" customHeight="1">
      <c r="A1013" s="139"/>
      <c r="B1013" s="71"/>
      <c r="C1013" s="25"/>
      <c r="D1013" s="138"/>
      <c r="E1013" s="25"/>
      <c r="F1013" s="25"/>
      <c r="G1013" s="119"/>
    </row>
    <row r="1014" ht="22.5" customHeight="1">
      <c r="A1014" s="139"/>
      <c r="B1014" s="71"/>
      <c r="C1014" s="25"/>
      <c r="D1014" s="138"/>
      <c r="E1014" s="25"/>
      <c r="F1014" s="25"/>
      <c r="G1014" s="119"/>
    </row>
    <row r="1015" ht="22.5" customHeight="1">
      <c r="A1015" s="139"/>
      <c r="B1015" s="71"/>
      <c r="C1015" s="25"/>
      <c r="D1015" s="138"/>
      <c r="E1015" s="25"/>
      <c r="F1015" s="25"/>
      <c r="G1015" s="119"/>
    </row>
    <row r="1016" ht="22.5" customHeight="1">
      <c r="A1016" s="139"/>
      <c r="B1016" s="71"/>
      <c r="C1016" s="25"/>
      <c r="D1016" s="138"/>
      <c r="E1016" s="25"/>
      <c r="F1016" s="25"/>
      <c r="G1016" s="119"/>
    </row>
    <row r="1017" ht="22.5" customHeight="1">
      <c r="A1017" s="139"/>
      <c r="B1017" s="71"/>
      <c r="C1017" s="25"/>
      <c r="D1017" s="138"/>
      <c r="E1017" s="25"/>
      <c r="F1017" s="25"/>
      <c r="G1017" s="119"/>
    </row>
    <row r="1018" ht="22.5" customHeight="1">
      <c r="A1018" s="139"/>
      <c r="B1018" s="71"/>
      <c r="C1018" s="25"/>
      <c r="D1018" s="138"/>
      <c r="E1018" s="25"/>
      <c r="F1018" s="25"/>
      <c r="G1018" s="119"/>
    </row>
    <row r="1019" ht="22.5" customHeight="1">
      <c r="A1019" s="139"/>
      <c r="B1019" s="71"/>
      <c r="C1019" s="25"/>
      <c r="D1019" s="138"/>
      <c r="E1019" s="25"/>
      <c r="F1019" s="25"/>
      <c r="G1019" s="119"/>
    </row>
    <row r="1020" ht="22.5" customHeight="1">
      <c r="A1020" s="139"/>
      <c r="B1020" s="71"/>
      <c r="C1020" s="25"/>
      <c r="D1020" s="138"/>
      <c r="E1020" s="25"/>
      <c r="F1020" s="25"/>
      <c r="G1020" s="119"/>
    </row>
    <row r="1021" ht="22.5" customHeight="1">
      <c r="A1021" s="139"/>
      <c r="B1021" s="71"/>
      <c r="C1021" s="25"/>
      <c r="D1021" s="138"/>
      <c r="E1021" s="25"/>
      <c r="F1021" s="25"/>
      <c r="G1021" s="119"/>
    </row>
    <row r="1022" ht="22.5" customHeight="1">
      <c r="A1022" s="139"/>
      <c r="B1022" s="71"/>
      <c r="C1022" s="25"/>
      <c r="D1022" s="138"/>
      <c r="E1022" s="25"/>
      <c r="F1022" s="25"/>
      <c r="G1022" s="119"/>
    </row>
    <row r="1023" ht="22.5" customHeight="1">
      <c r="A1023" s="139"/>
      <c r="B1023" s="71"/>
      <c r="C1023" s="25"/>
      <c r="D1023" s="138"/>
      <c r="E1023" s="25"/>
      <c r="F1023" s="25"/>
      <c r="G1023" s="119"/>
    </row>
    <row r="1024" ht="22.5" customHeight="1">
      <c r="A1024" s="139"/>
      <c r="B1024" s="71"/>
      <c r="C1024" s="25"/>
      <c r="D1024" s="138"/>
      <c r="E1024" s="25"/>
      <c r="F1024" s="25"/>
      <c r="G1024" s="119"/>
    </row>
    <row r="1025" ht="22.5" customHeight="1">
      <c r="A1025" s="139"/>
      <c r="B1025" s="71"/>
      <c r="C1025" s="25"/>
      <c r="D1025" s="138"/>
      <c r="E1025" s="25"/>
      <c r="F1025" s="25"/>
      <c r="G1025" s="119"/>
    </row>
    <row r="1026" ht="22.5" customHeight="1">
      <c r="A1026" s="139"/>
      <c r="B1026" s="71"/>
      <c r="C1026" s="25"/>
      <c r="D1026" s="138"/>
      <c r="E1026" s="25"/>
      <c r="F1026" s="25"/>
      <c r="G1026" s="119"/>
    </row>
    <row r="1027" ht="22.5" customHeight="1">
      <c r="A1027" s="139"/>
      <c r="B1027" s="71"/>
      <c r="C1027" s="25"/>
      <c r="D1027" s="138"/>
      <c r="E1027" s="25"/>
      <c r="F1027" s="25"/>
      <c r="G1027" s="119"/>
    </row>
    <row r="1028" ht="22.5" customHeight="1">
      <c r="A1028" s="139"/>
      <c r="B1028" s="71"/>
      <c r="C1028" s="25"/>
      <c r="D1028" s="138"/>
      <c r="E1028" s="25"/>
      <c r="F1028" s="25"/>
      <c r="G1028" s="119"/>
    </row>
    <row r="1029" ht="22.5" customHeight="1">
      <c r="A1029" s="139"/>
      <c r="B1029" s="71"/>
      <c r="C1029" s="25"/>
      <c r="D1029" s="138"/>
      <c r="E1029" s="25"/>
      <c r="F1029" s="25"/>
      <c r="G1029" s="119"/>
    </row>
    <row r="1030" ht="22.5" customHeight="1">
      <c r="A1030" s="139"/>
      <c r="B1030" s="71"/>
      <c r="C1030" s="25"/>
      <c r="D1030" s="138"/>
      <c r="E1030" s="25"/>
      <c r="F1030" s="25"/>
      <c r="G1030" s="119"/>
    </row>
    <row r="1031" ht="22.5" customHeight="1">
      <c r="A1031" s="139"/>
      <c r="B1031" s="71"/>
      <c r="C1031" s="25"/>
      <c r="D1031" s="138"/>
      <c r="E1031" s="25"/>
      <c r="F1031" s="25"/>
      <c r="G1031" s="119"/>
    </row>
    <row r="1032" ht="22.5" customHeight="1">
      <c r="A1032" s="139"/>
      <c r="B1032" s="71"/>
      <c r="C1032" s="25"/>
      <c r="D1032" s="138"/>
      <c r="E1032" s="25"/>
      <c r="F1032" s="25"/>
      <c r="G1032" s="119"/>
    </row>
    <row r="1033" ht="22.5" customHeight="1">
      <c r="A1033" s="139"/>
      <c r="B1033" s="71"/>
      <c r="C1033" s="25"/>
      <c r="D1033" s="138"/>
      <c r="E1033" s="25"/>
      <c r="F1033" s="25"/>
      <c r="G1033" s="119"/>
    </row>
    <row r="1034" ht="22.5" customHeight="1">
      <c r="A1034" s="139"/>
      <c r="B1034" s="71"/>
      <c r="C1034" s="25"/>
      <c r="D1034" s="138"/>
      <c r="E1034" s="25"/>
      <c r="F1034" s="25"/>
      <c r="G1034" s="119"/>
    </row>
    <row r="1035" ht="22.5" customHeight="1">
      <c r="A1035" s="139"/>
      <c r="B1035" s="71"/>
      <c r="C1035" s="25"/>
      <c r="D1035" s="138"/>
      <c r="E1035" s="25"/>
      <c r="F1035" s="25"/>
      <c r="G1035" s="119"/>
    </row>
    <row r="1036" ht="22.5" customHeight="1">
      <c r="A1036" s="139"/>
      <c r="B1036" s="71"/>
      <c r="C1036" s="25"/>
      <c r="D1036" s="138"/>
      <c r="E1036" s="25"/>
      <c r="F1036" s="25"/>
      <c r="G1036" s="119"/>
    </row>
    <row r="1037" ht="22.5" customHeight="1">
      <c r="A1037" s="139"/>
      <c r="B1037" s="71"/>
      <c r="C1037" s="25"/>
      <c r="D1037" s="138"/>
      <c r="E1037" s="25"/>
      <c r="F1037" s="25"/>
      <c r="G1037" s="119"/>
    </row>
    <row r="1038" ht="22.5" customHeight="1">
      <c r="A1038" s="139"/>
      <c r="B1038" s="71"/>
      <c r="C1038" s="25"/>
      <c r="D1038" s="138"/>
      <c r="E1038" s="25"/>
      <c r="F1038" s="25"/>
      <c r="G1038" s="119"/>
    </row>
    <row r="1039" ht="22.5" customHeight="1">
      <c r="A1039" s="139"/>
      <c r="B1039" s="71"/>
      <c r="C1039" s="25"/>
      <c r="D1039" s="138"/>
      <c r="E1039" s="25"/>
      <c r="F1039" s="25"/>
      <c r="G1039" s="119"/>
    </row>
    <row r="1040" ht="22.5" customHeight="1">
      <c r="A1040" s="139"/>
      <c r="B1040" s="71"/>
      <c r="C1040" s="25"/>
      <c r="D1040" s="138"/>
      <c r="E1040" s="25"/>
      <c r="F1040" s="25"/>
      <c r="G1040" s="119"/>
    </row>
    <row r="1041" ht="22.5" customHeight="1">
      <c r="A1041" s="139"/>
      <c r="B1041" s="71"/>
      <c r="C1041" s="25"/>
      <c r="D1041" s="138"/>
      <c r="E1041" s="25"/>
      <c r="F1041" s="25"/>
      <c r="G1041" s="119"/>
    </row>
    <row r="1042" ht="22.5" customHeight="1">
      <c r="A1042" s="139"/>
      <c r="B1042" s="71"/>
      <c r="C1042" s="25"/>
      <c r="D1042" s="138"/>
      <c r="E1042" s="25"/>
      <c r="F1042" s="25"/>
      <c r="G1042" s="119"/>
    </row>
    <row r="1043" ht="22.5" customHeight="1">
      <c r="A1043" s="139"/>
      <c r="B1043" s="71"/>
      <c r="C1043" s="25"/>
      <c r="D1043" s="138"/>
      <c r="E1043" s="25"/>
      <c r="F1043" s="25"/>
      <c r="G1043" s="119"/>
    </row>
    <row r="1044" ht="22.5" customHeight="1">
      <c r="A1044" s="139"/>
      <c r="B1044" s="71"/>
      <c r="C1044" s="25"/>
      <c r="D1044" s="138"/>
      <c r="E1044" s="25"/>
      <c r="F1044" s="25"/>
      <c r="G1044" s="119"/>
    </row>
    <row r="1045" ht="22.5" customHeight="1">
      <c r="A1045" s="139"/>
      <c r="B1045" s="71"/>
      <c r="C1045" s="25"/>
      <c r="D1045" s="138"/>
      <c r="E1045" s="25"/>
      <c r="F1045" s="25"/>
      <c r="G1045" s="119"/>
    </row>
    <row r="1046" ht="22.5" customHeight="1">
      <c r="A1046" s="139"/>
      <c r="B1046" s="71"/>
      <c r="C1046" s="25"/>
      <c r="D1046" s="138"/>
      <c r="E1046" s="25"/>
      <c r="F1046" s="25"/>
      <c r="G1046" s="119"/>
    </row>
    <row r="1047" ht="22.5" customHeight="1">
      <c r="A1047" s="139"/>
      <c r="B1047" s="71"/>
      <c r="C1047" s="25"/>
      <c r="D1047" s="138"/>
      <c r="E1047" s="25"/>
      <c r="F1047" s="25"/>
      <c r="G1047" s="119"/>
    </row>
    <row r="1048" ht="22.5" customHeight="1">
      <c r="A1048" s="139"/>
      <c r="B1048" s="71"/>
      <c r="C1048" s="25"/>
      <c r="D1048" s="138"/>
      <c r="E1048" s="25"/>
      <c r="F1048" s="25"/>
      <c r="G1048" s="119"/>
    </row>
    <row r="1049" ht="22.5" customHeight="1">
      <c r="A1049" s="139"/>
      <c r="B1049" s="71"/>
      <c r="C1049" s="25"/>
      <c r="D1049" s="138"/>
      <c r="E1049" s="25"/>
      <c r="F1049" s="25"/>
      <c r="G1049" s="119"/>
    </row>
    <row r="1050" ht="22.5" customHeight="1">
      <c r="A1050" s="139"/>
      <c r="B1050" s="71"/>
      <c r="C1050" s="25"/>
      <c r="D1050" s="138"/>
      <c r="E1050" s="25"/>
      <c r="F1050" s="25"/>
      <c r="G1050" s="119"/>
    </row>
    <row r="1051" ht="22.5" customHeight="1">
      <c r="A1051" s="139"/>
      <c r="B1051" s="71"/>
      <c r="C1051" s="25"/>
      <c r="D1051" s="138"/>
      <c r="E1051" s="25"/>
      <c r="F1051" s="25"/>
      <c r="G1051" s="119"/>
    </row>
    <row r="1052" ht="22.5" customHeight="1">
      <c r="A1052" s="139"/>
      <c r="B1052" s="71"/>
      <c r="C1052" s="25"/>
      <c r="D1052" s="138"/>
      <c r="E1052" s="25"/>
      <c r="F1052" s="25"/>
      <c r="G1052" s="119"/>
    </row>
    <row r="1053" ht="22.5" customHeight="1">
      <c r="A1053" s="139"/>
      <c r="B1053" s="71"/>
      <c r="C1053" s="25"/>
      <c r="D1053" s="138"/>
      <c r="E1053" s="25"/>
      <c r="F1053" s="25"/>
      <c r="G1053" s="119"/>
    </row>
    <row r="1054" ht="22.5" customHeight="1">
      <c r="A1054" s="139"/>
      <c r="B1054" s="71"/>
      <c r="C1054" s="25"/>
      <c r="D1054" s="138"/>
      <c r="E1054" s="25"/>
      <c r="F1054" s="25"/>
      <c r="G1054" s="119"/>
    </row>
    <row r="1055" ht="22.5" customHeight="1">
      <c r="A1055" s="139"/>
      <c r="B1055" s="71"/>
      <c r="C1055" s="25"/>
      <c r="D1055" s="138"/>
      <c r="E1055" s="25"/>
      <c r="F1055" s="25"/>
      <c r="G1055" s="119"/>
    </row>
    <row r="1056" ht="22.5" customHeight="1">
      <c r="A1056" s="139"/>
      <c r="B1056" s="71"/>
      <c r="C1056" s="25"/>
      <c r="D1056" s="138"/>
      <c r="E1056" s="25"/>
      <c r="F1056" s="25"/>
      <c r="G1056" s="119"/>
    </row>
    <row r="1057" ht="22.5" customHeight="1">
      <c r="A1057" s="139"/>
      <c r="B1057" s="71"/>
      <c r="C1057" s="25"/>
      <c r="D1057" s="138"/>
      <c r="E1057" s="25"/>
      <c r="F1057" s="25"/>
      <c r="G1057" s="119"/>
    </row>
    <row r="1058" ht="22.5" customHeight="1">
      <c r="A1058" s="139"/>
      <c r="B1058" s="71"/>
      <c r="C1058" s="25"/>
      <c r="D1058" s="138"/>
      <c r="E1058" s="25"/>
      <c r="F1058" s="25"/>
      <c r="G1058" s="119"/>
    </row>
    <row r="1059" ht="22.5" customHeight="1">
      <c r="A1059" s="139"/>
      <c r="B1059" s="71"/>
      <c r="C1059" s="25"/>
      <c r="D1059" s="138"/>
      <c r="E1059" s="25"/>
      <c r="F1059" s="25"/>
      <c r="G1059" s="119"/>
    </row>
    <row r="1060" ht="22.5" customHeight="1">
      <c r="A1060" s="139"/>
      <c r="B1060" s="71"/>
      <c r="C1060" s="25"/>
      <c r="D1060" s="138"/>
      <c r="E1060" s="25"/>
      <c r="F1060" s="25"/>
      <c r="G1060" s="119"/>
    </row>
    <row r="1061" ht="22.5" customHeight="1">
      <c r="A1061" s="139"/>
      <c r="B1061" s="71"/>
      <c r="C1061" s="25"/>
      <c r="D1061" s="138"/>
      <c r="E1061" s="25"/>
      <c r="F1061" s="25"/>
      <c r="G1061" s="119"/>
    </row>
    <row r="1062" ht="22.5" customHeight="1">
      <c r="A1062" s="139"/>
      <c r="B1062" s="71"/>
      <c r="C1062" s="25"/>
      <c r="D1062" s="138"/>
      <c r="E1062" s="25"/>
      <c r="F1062" s="25"/>
      <c r="G1062" s="119"/>
    </row>
    <row r="1063" ht="22.5" customHeight="1">
      <c r="A1063" s="139"/>
      <c r="B1063" s="71"/>
      <c r="C1063" s="25"/>
      <c r="D1063" s="138"/>
      <c r="E1063" s="25"/>
      <c r="F1063" s="25"/>
      <c r="G1063" s="119"/>
    </row>
    <row r="1064" ht="22.5" customHeight="1">
      <c r="A1064" s="139"/>
      <c r="B1064" s="71"/>
      <c r="C1064" s="25"/>
      <c r="D1064" s="138"/>
      <c r="E1064" s="25"/>
      <c r="F1064" s="25"/>
      <c r="G1064" s="119"/>
    </row>
    <row r="1065" ht="22.5" customHeight="1">
      <c r="A1065" s="139"/>
      <c r="B1065" s="71"/>
      <c r="C1065" s="25"/>
      <c r="D1065" s="138"/>
      <c r="E1065" s="25"/>
      <c r="F1065" s="25"/>
      <c r="G1065" s="119"/>
    </row>
    <row r="1066" ht="22.5" customHeight="1">
      <c r="A1066" s="139"/>
      <c r="B1066" s="71"/>
      <c r="C1066" s="25"/>
      <c r="D1066" s="138"/>
      <c r="E1066" s="25"/>
      <c r="F1066" s="25"/>
      <c r="G1066" s="119"/>
    </row>
    <row r="1067" ht="22.5" customHeight="1">
      <c r="A1067" s="139"/>
      <c r="B1067" s="71"/>
      <c r="C1067" s="25"/>
      <c r="D1067" s="138"/>
      <c r="E1067" s="25"/>
      <c r="F1067" s="25"/>
      <c r="G1067" s="119"/>
    </row>
    <row r="1068" ht="22.5" customHeight="1">
      <c r="A1068" s="139"/>
      <c r="B1068" s="71"/>
      <c r="C1068" s="25"/>
      <c r="D1068" s="138"/>
      <c r="E1068" s="25"/>
      <c r="F1068" s="25"/>
      <c r="G1068" s="119"/>
    </row>
    <row r="1069" ht="22.5" customHeight="1">
      <c r="A1069" s="139"/>
      <c r="B1069" s="71"/>
      <c r="C1069" s="25"/>
      <c r="D1069" s="138"/>
      <c r="E1069" s="25"/>
      <c r="F1069" s="25"/>
      <c r="G1069" s="119"/>
    </row>
    <row r="1070" ht="22.5" customHeight="1">
      <c r="A1070" s="139"/>
      <c r="B1070" s="71"/>
      <c r="C1070" s="25"/>
      <c r="D1070" s="138"/>
      <c r="E1070" s="25"/>
      <c r="F1070" s="25"/>
      <c r="G1070" s="119"/>
    </row>
    <row r="1071" ht="22.5" customHeight="1">
      <c r="A1071" s="139"/>
      <c r="B1071" s="71"/>
      <c r="C1071" s="25"/>
      <c r="D1071" s="138"/>
      <c r="E1071" s="25"/>
      <c r="F1071" s="25"/>
      <c r="G1071" s="119"/>
    </row>
    <row r="1072" ht="22.5" customHeight="1">
      <c r="A1072" s="139"/>
      <c r="B1072" s="71"/>
      <c r="C1072" s="25"/>
      <c r="D1072" s="138"/>
      <c r="E1072" s="25"/>
      <c r="F1072" s="25"/>
      <c r="G1072" s="119"/>
    </row>
  </sheetData>
  <dataValidations>
    <dataValidation type="custom" allowBlank="1" showDropDown="1" sqref="A2:A1072">
      <formula1>OR(NOT(ISERROR(DATEVALUE(A2))), AND(ISNUMBER(A2), LEFT(CELL("format", A2))="D"))</formula1>
    </dataValidation>
    <dataValidation allowBlank="1" showDropDown="1" sqref="G2:G1072"/>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40"/>
    <hyperlink r:id="rId37" ref="F41"/>
    <hyperlink r:id="rId38" ref="F43"/>
    <hyperlink r:id="rId39" ref="F44"/>
    <hyperlink r:id="rId40" ref="F45"/>
    <hyperlink r:id="rId41" ref="F46"/>
    <hyperlink r:id="rId42" ref="F47"/>
    <hyperlink r:id="rId43" ref="D48"/>
    <hyperlink r:id="rId44" ref="F48"/>
    <hyperlink r:id="rId45" ref="F49"/>
    <hyperlink r:id="rId46" ref="F50"/>
    <hyperlink r:id="rId47" ref="F51"/>
    <hyperlink r:id="rId48" ref="F52"/>
    <hyperlink r:id="rId49" ref="F53"/>
    <hyperlink r:id="rId50" ref="F54"/>
    <hyperlink r:id="rId51" ref="F55"/>
    <hyperlink r:id="rId52" ref="F56"/>
    <hyperlink r:id="rId53" ref="F57"/>
    <hyperlink r:id="rId54" ref="F58"/>
    <hyperlink r:id="rId55" ref="F59"/>
    <hyperlink r:id="rId56" ref="F60"/>
    <hyperlink r:id="rId57" ref="F61"/>
    <hyperlink r:id="rId58" ref="F62"/>
    <hyperlink r:id="rId59" ref="F63"/>
    <hyperlink r:id="rId60" ref="F64"/>
    <hyperlink r:id="rId61" ref="F65"/>
    <hyperlink r:id="rId62" ref="F66"/>
    <hyperlink r:id="rId63" ref="F67"/>
    <hyperlink r:id="rId64" ref="F69"/>
    <hyperlink r:id="rId65" ref="F70"/>
    <hyperlink r:id="rId66" ref="F71"/>
    <hyperlink r:id="rId67" ref="F72"/>
    <hyperlink r:id="rId68" ref="F73"/>
    <hyperlink r:id="rId69" ref="F74"/>
    <hyperlink r:id="rId70" ref="F75"/>
    <hyperlink r:id="rId71" ref="F76"/>
    <hyperlink r:id="rId72" ref="F77"/>
    <hyperlink r:id="rId73" ref="F78"/>
    <hyperlink r:id="rId74" ref="F79"/>
    <hyperlink r:id="rId75" ref="F80"/>
    <hyperlink r:id="rId76" ref="F81"/>
    <hyperlink r:id="rId77" ref="F82"/>
    <hyperlink r:id="rId78" ref="F83"/>
    <hyperlink r:id="rId79" ref="F84"/>
    <hyperlink r:id="rId80" ref="F85"/>
    <hyperlink r:id="rId81" ref="F86"/>
    <hyperlink r:id="rId82" ref="F87"/>
    <hyperlink r:id="rId83" ref="F88"/>
    <hyperlink r:id="rId84" ref="F89"/>
    <hyperlink r:id="rId85" ref="F90"/>
    <hyperlink r:id="rId86" ref="F91"/>
    <hyperlink r:id="rId87" ref="F92"/>
    <hyperlink r:id="rId88" ref="F93"/>
    <hyperlink r:id="rId89" ref="F94"/>
    <hyperlink r:id="rId90" ref="F95"/>
    <hyperlink r:id="rId91" ref="F96"/>
    <hyperlink r:id="rId92" ref="F97"/>
    <hyperlink r:id="rId93" ref="F98"/>
    <hyperlink r:id="rId94" ref="F99"/>
    <hyperlink r:id="rId95" ref="F100"/>
    <hyperlink r:id="rId96" ref="F103"/>
    <hyperlink r:id="rId97" ref="F104"/>
    <hyperlink r:id="rId98" ref="F105"/>
    <hyperlink r:id="rId99" ref="F106"/>
    <hyperlink r:id="rId100" ref="F107"/>
    <hyperlink r:id="rId101" ref="F108"/>
    <hyperlink r:id="rId102" ref="F109"/>
    <hyperlink r:id="rId103" ref="F110"/>
    <hyperlink r:id="rId104" ref="F111"/>
    <hyperlink r:id="rId105" ref="F112"/>
    <hyperlink r:id="rId106" ref="F113"/>
    <hyperlink r:id="rId107" ref="F114"/>
    <hyperlink r:id="rId108" ref="F115"/>
    <hyperlink r:id="rId109" ref="F117"/>
    <hyperlink r:id="rId110" ref="F118"/>
    <hyperlink r:id="rId111" ref="F119"/>
  </hyperlinks>
  <drawing r:id="rId112"/>
  <tableParts count="1">
    <tablePart r:id="rId114"/>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1.25"/>
    <col customWidth="1" min="3" max="3" width="11.0"/>
    <col customWidth="1" min="4" max="4" width="52.13"/>
    <col customWidth="1" min="5" max="5" width="21.0"/>
    <col customWidth="1" min="6" max="6" width="77.0"/>
    <col customWidth="1" min="7" max="7" width="32.63"/>
  </cols>
  <sheetData>
    <row r="1" ht="66.0" customHeight="1">
      <c r="A1" s="3" t="s">
        <v>1433</v>
      </c>
      <c r="B1" s="27" t="s">
        <v>1747</v>
      </c>
      <c r="C1" s="3" t="s">
        <v>584</v>
      </c>
      <c r="D1" s="27" t="s">
        <v>32</v>
      </c>
      <c r="E1" s="27" t="s">
        <v>33</v>
      </c>
      <c r="F1" s="27" t="s">
        <v>34</v>
      </c>
      <c r="G1" s="3" t="s">
        <v>8</v>
      </c>
    </row>
    <row r="2" ht="33.75" customHeight="1">
      <c r="A2" s="5">
        <v>45856.0</v>
      </c>
      <c r="B2" s="28">
        <v>8.0</v>
      </c>
      <c r="C2" s="6"/>
      <c r="D2" s="6" t="s">
        <v>1748</v>
      </c>
      <c r="E2" s="68" t="s">
        <v>36</v>
      </c>
      <c r="F2" s="32" t="s">
        <v>1749</v>
      </c>
      <c r="G2" s="7"/>
    </row>
    <row r="3" ht="42.75" customHeight="1">
      <c r="A3" s="5">
        <v>45859.0</v>
      </c>
      <c r="B3" s="28">
        <v>8.0</v>
      </c>
      <c r="C3" s="6"/>
      <c r="D3" s="8" t="s">
        <v>1750</v>
      </c>
      <c r="E3" s="68" t="s">
        <v>36</v>
      </c>
      <c r="F3" s="32" t="s">
        <v>1751</v>
      </c>
      <c r="G3" s="7"/>
    </row>
    <row r="4" ht="33.75" customHeight="1">
      <c r="A4" s="5">
        <v>45860.0</v>
      </c>
      <c r="B4" s="28">
        <v>8.0</v>
      </c>
      <c r="C4" s="6"/>
      <c r="D4" s="8" t="s">
        <v>1752</v>
      </c>
      <c r="E4" s="29" t="s">
        <v>1753</v>
      </c>
      <c r="F4" s="32" t="s">
        <v>1754</v>
      </c>
      <c r="G4" s="7"/>
    </row>
    <row r="5" ht="33.75" customHeight="1">
      <c r="A5" s="5">
        <v>45861.0</v>
      </c>
      <c r="B5" s="28">
        <v>8.0</v>
      </c>
      <c r="C5" s="6"/>
      <c r="D5" s="8" t="s">
        <v>1755</v>
      </c>
      <c r="E5" s="29" t="s">
        <v>1753</v>
      </c>
      <c r="F5" s="32" t="s">
        <v>1756</v>
      </c>
      <c r="G5" s="7"/>
    </row>
    <row r="6" ht="33.75" customHeight="1">
      <c r="A6" s="5">
        <v>45862.0</v>
      </c>
      <c r="B6" s="33">
        <v>8.0</v>
      </c>
      <c r="C6" s="6"/>
      <c r="D6" s="8" t="s">
        <v>1757</v>
      </c>
      <c r="E6" s="29" t="s">
        <v>1753</v>
      </c>
      <c r="F6" s="32" t="s">
        <v>1758</v>
      </c>
      <c r="G6" s="13"/>
    </row>
    <row r="7" ht="33.75" customHeight="1">
      <c r="A7" s="5">
        <v>45863.0</v>
      </c>
      <c r="B7" s="33">
        <v>8.0</v>
      </c>
      <c r="C7" s="6"/>
      <c r="D7" s="12" t="s">
        <v>1755</v>
      </c>
      <c r="E7" s="72" t="s">
        <v>1759</v>
      </c>
      <c r="F7" s="32" t="s">
        <v>1760</v>
      </c>
      <c r="G7" s="13"/>
    </row>
    <row r="8" ht="33.75" customHeight="1">
      <c r="A8" s="5">
        <v>45866.0</v>
      </c>
      <c r="B8" s="33">
        <v>8.0</v>
      </c>
      <c r="C8" s="6"/>
      <c r="D8" s="12" t="s">
        <v>1761</v>
      </c>
      <c r="E8" s="72" t="s">
        <v>1762</v>
      </c>
      <c r="F8" s="32" t="s">
        <v>1763</v>
      </c>
      <c r="G8" s="13"/>
    </row>
    <row r="9" ht="33.75" customHeight="1">
      <c r="A9" s="5">
        <v>45867.0</v>
      </c>
      <c r="B9" s="33">
        <v>8.0</v>
      </c>
      <c r="C9" s="6"/>
      <c r="D9" s="12" t="s">
        <v>1764</v>
      </c>
      <c r="E9" s="72" t="s">
        <v>1762</v>
      </c>
      <c r="F9" s="32" t="s">
        <v>1765</v>
      </c>
      <c r="G9" s="13"/>
    </row>
    <row r="10" ht="33.75" customHeight="1">
      <c r="A10" s="5">
        <v>45868.0</v>
      </c>
      <c r="B10" s="33">
        <v>8.0</v>
      </c>
      <c r="C10" s="6"/>
      <c r="D10" s="11" t="s">
        <v>1766</v>
      </c>
      <c r="E10" s="49" t="s">
        <v>1762</v>
      </c>
      <c r="F10" s="32" t="s">
        <v>1767</v>
      </c>
      <c r="G10" s="13"/>
    </row>
    <row r="11" ht="47.25" customHeight="1">
      <c r="A11" s="5">
        <v>45869.0</v>
      </c>
      <c r="B11" s="33">
        <v>8.0</v>
      </c>
      <c r="C11" s="12"/>
      <c r="D11" s="11" t="s">
        <v>1768</v>
      </c>
      <c r="E11" s="49" t="s">
        <v>1762</v>
      </c>
      <c r="F11" s="32" t="s">
        <v>1769</v>
      </c>
      <c r="G11" s="7"/>
    </row>
    <row r="12" ht="33.75" customHeight="1">
      <c r="A12" s="5">
        <v>45870.0</v>
      </c>
      <c r="B12" s="33">
        <v>8.0</v>
      </c>
      <c r="C12" s="12"/>
      <c r="D12" s="11" t="s">
        <v>1770</v>
      </c>
      <c r="E12" s="49" t="s">
        <v>1771</v>
      </c>
      <c r="F12" s="30" t="s">
        <v>1772</v>
      </c>
      <c r="G12" s="7"/>
    </row>
    <row r="13" ht="33.75" customHeight="1">
      <c r="A13" s="5">
        <v>45873.0</v>
      </c>
      <c r="B13" s="33">
        <v>8.0</v>
      </c>
      <c r="C13" s="12"/>
      <c r="D13" s="11" t="s">
        <v>1770</v>
      </c>
      <c r="E13" s="49" t="s">
        <v>1771</v>
      </c>
      <c r="F13" s="30" t="s">
        <v>1773</v>
      </c>
      <c r="G13" s="7"/>
    </row>
    <row r="14" ht="22.5" customHeight="1">
      <c r="A14" s="5">
        <v>45874.0</v>
      </c>
      <c r="B14" s="33">
        <v>8.0</v>
      </c>
      <c r="C14" s="12"/>
      <c r="D14" s="11" t="s">
        <v>1770</v>
      </c>
      <c r="E14" s="49" t="s">
        <v>1771</v>
      </c>
      <c r="F14" s="30" t="s">
        <v>1774</v>
      </c>
      <c r="G14" s="7"/>
    </row>
    <row r="15" ht="22.5" customHeight="1">
      <c r="A15" s="5">
        <v>45875.0</v>
      </c>
      <c r="B15" s="33">
        <v>8.0</v>
      </c>
      <c r="C15" s="12"/>
      <c r="D15" s="11" t="s">
        <v>1770</v>
      </c>
      <c r="E15" s="49" t="s">
        <v>1771</v>
      </c>
      <c r="F15" s="30" t="s">
        <v>1775</v>
      </c>
      <c r="G15" s="7"/>
    </row>
    <row r="16" ht="22.5" customHeight="1">
      <c r="A16" s="5">
        <v>45876.0</v>
      </c>
      <c r="B16" s="33">
        <v>8.0</v>
      </c>
      <c r="C16" s="45"/>
      <c r="D16" s="11" t="s">
        <v>1770</v>
      </c>
      <c r="E16" s="49" t="s">
        <v>1771</v>
      </c>
      <c r="F16" s="30" t="s">
        <v>1776</v>
      </c>
      <c r="G16" s="13"/>
    </row>
    <row r="17" ht="22.5" customHeight="1">
      <c r="A17" s="5">
        <v>45877.0</v>
      </c>
      <c r="B17" s="33">
        <v>8.0</v>
      </c>
      <c r="C17" s="45"/>
      <c r="D17" s="11" t="s">
        <v>1770</v>
      </c>
      <c r="E17" s="49" t="s">
        <v>1777</v>
      </c>
      <c r="F17" s="30" t="s">
        <v>1778</v>
      </c>
      <c r="G17" s="13"/>
    </row>
    <row r="18" ht="22.5" customHeight="1">
      <c r="A18" s="5">
        <v>45880.0</v>
      </c>
      <c r="B18" s="33">
        <v>8.0</v>
      </c>
      <c r="C18" s="11"/>
      <c r="D18" s="11" t="s">
        <v>1770</v>
      </c>
      <c r="E18" s="49" t="s">
        <v>1779</v>
      </c>
      <c r="F18" s="30" t="s">
        <v>1780</v>
      </c>
      <c r="G18" s="13"/>
    </row>
    <row r="19" ht="22.5" customHeight="1">
      <c r="A19" s="5">
        <v>45881.0</v>
      </c>
      <c r="B19" s="33">
        <v>8.0</v>
      </c>
      <c r="C19" s="11"/>
      <c r="D19" s="11" t="s">
        <v>1781</v>
      </c>
      <c r="E19" s="49" t="s">
        <v>1782</v>
      </c>
      <c r="F19" s="30" t="s">
        <v>1783</v>
      </c>
      <c r="G19" s="13"/>
    </row>
    <row r="20" ht="22.5" customHeight="1">
      <c r="A20" s="5">
        <v>45882.0</v>
      </c>
      <c r="B20" s="33">
        <v>8.0</v>
      </c>
      <c r="C20" s="11"/>
      <c r="D20" s="11" t="s">
        <v>1781</v>
      </c>
      <c r="E20" s="49" t="s">
        <v>1782</v>
      </c>
      <c r="F20" s="30" t="s">
        <v>1784</v>
      </c>
      <c r="G20" s="13"/>
    </row>
    <row r="21" ht="22.5" customHeight="1">
      <c r="A21" s="5">
        <v>45883.0</v>
      </c>
      <c r="B21" s="33">
        <v>8.0</v>
      </c>
      <c r="C21" s="11"/>
      <c r="D21" s="11" t="s">
        <v>1781</v>
      </c>
      <c r="E21" s="49" t="s">
        <v>1782</v>
      </c>
      <c r="F21" s="30" t="s">
        <v>1785</v>
      </c>
      <c r="G21" s="13"/>
    </row>
    <row r="22" ht="22.5" customHeight="1">
      <c r="A22" s="5">
        <v>45884.0</v>
      </c>
      <c r="B22" s="33">
        <v>8.0</v>
      </c>
      <c r="C22" s="11"/>
      <c r="D22" s="11" t="s">
        <v>1781</v>
      </c>
      <c r="E22" s="49" t="s">
        <v>1782</v>
      </c>
      <c r="F22" s="30" t="s">
        <v>1786</v>
      </c>
      <c r="G22" s="13"/>
    </row>
    <row r="23" ht="22.5" customHeight="1">
      <c r="A23" s="5">
        <v>45887.0</v>
      </c>
      <c r="B23" s="33">
        <v>8.0</v>
      </c>
      <c r="C23" s="11"/>
      <c r="D23" s="11" t="s">
        <v>1787</v>
      </c>
      <c r="E23" s="49" t="s">
        <v>1788</v>
      </c>
      <c r="F23" s="30" t="s">
        <v>1789</v>
      </c>
      <c r="G23" s="19"/>
    </row>
    <row r="24" ht="22.5" customHeight="1">
      <c r="A24" s="5">
        <v>45888.0</v>
      </c>
      <c r="B24" s="33">
        <v>8.0</v>
      </c>
      <c r="C24" s="11"/>
      <c r="D24" s="11" t="s">
        <v>1787</v>
      </c>
      <c r="E24" s="49" t="s">
        <v>1788</v>
      </c>
      <c r="F24" s="30" t="s">
        <v>1790</v>
      </c>
      <c r="G24" s="19"/>
    </row>
    <row r="25" ht="22.5" customHeight="1">
      <c r="A25" s="5">
        <v>45889.0</v>
      </c>
      <c r="B25" s="33">
        <v>8.0</v>
      </c>
      <c r="C25" s="11"/>
      <c r="D25" s="11" t="s">
        <v>1787</v>
      </c>
      <c r="E25" s="49" t="s">
        <v>1788</v>
      </c>
      <c r="F25" s="30" t="s">
        <v>1791</v>
      </c>
      <c r="G25" s="19"/>
    </row>
    <row r="26" ht="22.5" customHeight="1">
      <c r="A26" s="5">
        <v>45890.0</v>
      </c>
      <c r="B26" s="33">
        <v>8.0</v>
      </c>
      <c r="C26" s="11"/>
      <c r="D26" s="11" t="s">
        <v>1792</v>
      </c>
      <c r="E26" s="49" t="s">
        <v>1793</v>
      </c>
      <c r="F26" s="30" t="s">
        <v>1794</v>
      </c>
      <c r="G26" s="19"/>
    </row>
    <row r="27" ht="22.5" customHeight="1">
      <c r="A27" s="5">
        <v>45891.0</v>
      </c>
      <c r="B27" s="33">
        <v>8.0</v>
      </c>
      <c r="C27" s="11"/>
      <c r="D27" s="11" t="s">
        <v>1795</v>
      </c>
      <c r="E27" s="55" t="s">
        <v>1796</v>
      </c>
      <c r="F27" s="30" t="s">
        <v>1797</v>
      </c>
      <c r="G27" s="19"/>
    </row>
    <row r="28" ht="22.5" customHeight="1">
      <c r="A28" s="5">
        <v>45894.0</v>
      </c>
      <c r="B28" s="33">
        <v>8.0</v>
      </c>
      <c r="C28" s="11"/>
      <c r="D28" s="11" t="s">
        <v>1798</v>
      </c>
      <c r="E28" s="55" t="s">
        <v>1799</v>
      </c>
      <c r="F28" s="30" t="s">
        <v>1800</v>
      </c>
      <c r="G28" s="19"/>
    </row>
    <row r="29" ht="22.5" customHeight="1">
      <c r="A29" s="5">
        <v>45895.0</v>
      </c>
      <c r="B29" s="33">
        <v>8.0</v>
      </c>
      <c r="C29" s="11"/>
      <c r="D29" s="11" t="s">
        <v>1801</v>
      </c>
      <c r="E29" s="55" t="s">
        <v>1802</v>
      </c>
      <c r="F29" s="30" t="s">
        <v>1803</v>
      </c>
      <c r="G29" s="19"/>
    </row>
    <row r="30" ht="22.5" customHeight="1">
      <c r="A30" s="5">
        <v>45896.0</v>
      </c>
      <c r="B30" s="33">
        <v>8.0</v>
      </c>
      <c r="C30" s="11"/>
      <c r="D30" s="11" t="s">
        <v>1804</v>
      </c>
      <c r="E30" s="55" t="s">
        <v>1805</v>
      </c>
      <c r="F30" s="30" t="s">
        <v>1806</v>
      </c>
      <c r="G30" s="19"/>
    </row>
    <row r="31" ht="22.5" customHeight="1">
      <c r="A31" s="5">
        <v>45897.0</v>
      </c>
      <c r="B31" s="33">
        <v>8.0</v>
      </c>
      <c r="C31" s="11"/>
      <c r="D31" s="11" t="s">
        <v>1807</v>
      </c>
      <c r="E31" s="55" t="s">
        <v>1808</v>
      </c>
      <c r="F31" s="30" t="s">
        <v>1809</v>
      </c>
      <c r="G31" s="19"/>
    </row>
    <row r="32" ht="22.5" customHeight="1">
      <c r="A32" s="5">
        <v>45898.0</v>
      </c>
      <c r="B32" s="33">
        <v>8.0</v>
      </c>
      <c r="C32" s="11"/>
      <c r="D32" s="11" t="s">
        <v>1810</v>
      </c>
      <c r="E32" s="55" t="s">
        <v>1811</v>
      </c>
      <c r="F32" s="30" t="s">
        <v>1812</v>
      </c>
      <c r="G32" s="19"/>
    </row>
    <row r="33" ht="22.5" customHeight="1">
      <c r="A33" s="5">
        <v>45901.0</v>
      </c>
      <c r="B33" s="33">
        <v>8.0</v>
      </c>
      <c r="C33" s="11"/>
      <c r="D33" s="11" t="s">
        <v>1813</v>
      </c>
      <c r="E33" s="55" t="s">
        <v>1814</v>
      </c>
      <c r="F33" s="60" t="s">
        <v>1815</v>
      </c>
      <c r="G33" s="19"/>
    </row>
    <row r="34" ht="22.5" customHeight="1">
      <c r="A34" s="5">
        <v>45902.0</v>
      </c>
      <c r="B34" s="33">
        <v>8.0</v>
      </c>
      <c r="C34" s="22"/>
      <c r="D34" s="11" t="s">
        <v>1816</v>
      </c>
      <c r="E34" s="55" t="s">
        <v>1817</v>
      </c>
      <c r="F34" s="60" t="s">
        <v>1818</v>
      </c>
      <c r="G34" s="19"/>
    </row>
    <row r="35" ht="22.5" customHeight="1">
      <c r="A35" s="5">
        <v>45903.0</v>
      </c>
      <c r="B35" s="33">
        <v>8.0</v>
      </c>
      <c r="C35" s="22"/>
      <c r="D35" s="11" t="s">
        <v>1819</v>
      </c>
      <c r="E35" s="55" t="s">
        <v>1820</v>
      </c>
      <c r="F35" s="60" t="s">
        <v>1821</v>
      </c>
      <c r="G35" s="19"/>
    </row>
    <row r="36" ht="22.5" customHeight="1">
      <c r="A36" s="5">
        <v>45904.0</v>
      </c>
      <c r="B36" s="33">
        <v>8.0</v>
      </c>
      <c r="C36" s="22"/>
      <c r="D36" s="11" t="s">
        <v>1822</v>
      </c>
      <c r="E36" s="55" t="s">
        <v>1823</v>
      </c>
      <c r="F36" s="60" t="s">
        <v>1824</v>
      </c>
      <c r="G36" s="19"/>
    </row>
    <row r="37" ht="22.5" customHeight="1">
      <c r="A37" s="5">
        <v>45908.0</v>
      </c>
      <c r="B37" s="33">
        <v>8.0</v>
      </c>
      <c r="C37" s="22"/>
      <c r="D37" s="209" t="s">
        <v>86</v>
      </c>
      <c r="E37" s="55"/>
      <c r="F37" s="59"/>
      <c r="G37" s="19"/>
    </row>
    <row r="38" ht="22.5" customHeight="1">
      <c r="A38" s="5">
        <v>45909.0</v>
      </c>
      <c r="B38" s="33">
        <v>8.0</v>
      </c>
      <c r="C38" s="22"/>
      <c r="D38" s="11" t="s">
        <v>1825</v>
      </c>
      <c r="E38" s="55" t="s">
        <v>1826</v>
      </c>
      <c r="F38" s="60" t="s">
        <v>1827</v>
      </c>
      <c r="G38" s="62" t="s">
        <v>1828</v>
      </c>
    </row>
    <row r="39" ht="22.5" customHeight="1">
      <c r="A39" s="5">
        <v>45910.0</v>
      </c>
      <c r="B39" s="33">
        <v>8.0</v>
      </c>
      <c r="C39" s="22"/>
      <c r="D39" s="11" t="s">
        <v>1829</v>
      </c>
      <c r="E39" s="55" t="s">
        <v>1771</v>
      </c>
      <c r="F39" s="60" t="s">
        <v>1830</v>
      </c>
      <c r="G39" s="19"/>
    </row>
    <row r="40" ht="22.5" customHeight="1">
      <c r="A40" s="5">
        <v>45911.0</v>
      </c>
      <c r="B40" s="33">
        <v>8.0</v>
      </c>
      <c r="C40" s="22"/>
      <c r="D40" s="11" t="s">
        <v>1829</v>
      </c>
      <c r="E40" s="55" t="s">
        <v>1771</v>
      </c>
      <c r="F40" s="60" t="s">
        <v>1831</v>
      </c>
      <c r="G40" s="19"/>
    </row>
    <row r="41" ht="22.5" customHeight="1">
      <c r="A41" s="5">
        <v>45912.0</v>
      </c>
      <c r="B41" s="33">
        <v>8.0</v>
      </c>
      <c r="C41" s="22"/>
      <c r="D41" s="11" t="s">
        <v>1832</v>
      </c>
      <c r="E41" s="55" t="s">
        <v>1833</v>
      </c>
      <c r="F41" s="60" t="s">
        <v>1834</v>
      </c>
      <c r="G41" s="19"/>
    </row>
    <row r="42" ht="65.25" customHeight="1">
      <c r="A42" s="5">
        <v>45915.0</v>
      </c>
      <c r="B42" s="33">
        <v>8.0</v>
      </c>
      <c r="C42" s="22"/>
      <c r="D42" s="11" t="s">
        <v>1835</v>
      </c>
      <c r="E42" s="55" t="s">
        <v>1836</v>
      </c>
      <c r="F42" s="60" t="s">
        <v>1837</v>
      </c>
      <c r="G42" s="19"/>
    </row>
    <row r="43" ht="22.5" customHeight="1">
      <c r="A43" s="5">
        <v>45916.0</v>
      </c>
      <c r="B43" s="33">
        <v>8.0</v>
      </c>
      <c r="C43" s="22"/>
      <c r="D43" s="11" t="s">
        <v>1838</v>
      </c>
      <c r="E43" s="55" t="s">
        <v>1839</v>
      </c>
      <c r="F43" s="60" t="s">
        <v>1840</v>
      </c>
      <c r="G43" s="19"/>
    </row>
    <row r="44" ht="22.5" customHeight="1">
      <c r="A44" s="5">
        <v>45917.0</v>
      </c>
      <c r="B44" s="33">
        <v>8.0</v>
      </c>
      <c r="C44" s="22"/>
      <c r="D44" s="11" t="s">
        <v>1841</v>
      </c>
      <c r="E44" s="55" t="s">
        <v>1842</v>
      </c>
      <c r="F44" s="60" t="s">
        <v>1843</v>
      </c>
      <c r="G44" s="19"/>
    </row>
    <row r="45" ht="22.5" customHeight="1">
      <c r="A45" s="5">
        <v>45918.0</v>
      </c>
      <c r="B45" s="33">
        <v>8.0</v>
      </c>
      <c r="C45" s="22"/>
      <c r="D45" s="11" t="s">
        <v>1844</v>
      </c>
      <c r="E45" s="55" t="s">
        <v>1845</v>
      </c>
      <c r="F45" s="60" t="s">
        <v>1846</v>
      </c>
      <c r="G45" s="19"/>
    </row>
    <row r="46" ht="22.5" customHeight="1">
      <c r="A46" s="5">
        <v>45919.0</v>
      </c>
      <c r="B46" s="33">
        <v>8.0</v>
      </c>
      <c r="C46" s="22"/>
      <c r="D46" s="11" t="s">
        <v>1847</v>
      </c>
      <c r="E46" s="55" t="s">
        <v>1848</v>
      </c>
      <c r="F46" s="60" t="s">
        <v>1849</v>
      </c>
      <c r="G46" s="19"/>
    </row>
    <row r="47" ht="22.5" customHeight="1">
      <c r="A47" s="5">
        <v>45922.0</v>
      </c>
      <c r="B47" s="33">
        <v>8.0</v>
      </c>
      <c r="C47" s="22"/>
      <c r="D47" s="11" t="s">
        <v>1850</v>
      </c>
      <c r="E47" s="55" t="s">
        <v>1851</v>
      </c>
      <c r="F47" s="60" t="s">
        <v>1852</v>
      </c>
      <c r="G47" s="19"/>
    </row>
    <row r="48" ht="22.5" customHeight="1">
      <c r="A48" s="5">
        <v>45923.0</v>
      </c>
      <c r="B48" s="33">
        <v>8.0</v>
      </c>
      <c r="C48" s="22"/>
      <c r="D48" s="11" t="s">
        <v>1853</v>
      </c>
      <c r="E48" s="55" t="s">
        <v>1782</v>
      </c>
      <c r="F48" s="60" t="s">
        <v>1854</v>
      </c>
      <c r="G48" s="19"/>
    </row>
    <row r="49" ht="22.5" customHeight="1">
      <c r="A49" s="5">
        <v>45924.0</v>
      </c>
      <c r="B49" s="33">
        <v>8.0</v>
      </c>
      <c r="C49" s="22"/>
      <c r="D49" s="11" t="s">
        <v>1855</v>
      </c>
      <c r="E49" s="55" t="s">
        <v>1856</v>
      </c>
      <c r="F49" s="60" t="s">
        <v>1857</v>
      </c>
      <c r="G49" s="19"/>
    </row>
    <row r="50" ht="22.5" customHeight="1">
      <c r="A50" s="5">
        <v>45925.0</v>
      </c>
      <c r="B50" s="33">
        <v>8.0</v>
      </c>
      <c r="C50" s="22"/>
      <c r="D50" s="11" t="s">
        <v>1858</v>
      </c>
      <c r="E50" s="55" t="s">
        <v>1859</v>
      </c>
      <c r="F50" s="60" t="s">
        <v>1860</v>
      </c>
      <c r="G50" s="19"/>
    </row>
    <row r="51" ht="22.5" customHeight="1">
      <c r="A51" s="5">
        <v>45926.0</v>
      </c>
      <c r="B51" s="33">
        <v>8.0</v>
      </c>
      <c r="C51" s="22"/>
      <c r="D51" s="11" t="s">
        <v>1861</v>
      </c>
      <c r="E51" s="55" t="s">
        <v>1862</v>
      </c>
      <c r="F51" s="60" t="s">
        <v>1863</v>
      </c>
      <c r="G51" s="19"/>
    </row>
    <row r="52" ht="22.5" customHeight="1">
      <c r="A52" s="5">
        <v>45929.0</v>
      </c>
      <c r="B52" s="33">
        <v>8.0</v>
      </c>
      <c r="C52" s="22"/>
      <c r="D52" s="242" t="s">
        <v>1864</v>
      </c>
      <c r="E52" s="55" t="s">
        <v>1865</v>
      </c>
      <c r="F52" s="60" t="s">
        <v>1866</v>
      </c>
      <c r="G52" s="19"/>
    </row>
    <row r="53" ht="22.5" customHeight="1">
      <c r="A53" s="5">
        <v>45930.0</v>
      </c>
      <c r="B53" s="33">
        <v>8.0</v>
      </c>
      <c r="C53" s="22"/>
      <c r="D53" s="242" t="s">
        <v>1867</v>
      </c>
      <c r="E53" s="55" t="s">
        <v>1868</v>
      </c>
      <c r="F53" s="60" t="s">
        <v>1869</v>
      </c>
      <c r="G53" s="19"/>
    </row>
    <row r="54" ht="22.5" customHeight="1">
      <c r="A54" s="5">
        <v>45931.0</v>
      </c>
      <c r="B54" s="33">
        <v>8.0</v>
      </c>
      <c r="C54" s="22"/>
      <c r="D54" s="243" t="s">
        <v>1870</v>
      </c>
      <c r="E54" s="55" t="s">
        <v>1868</v>
      </c>
      <c r="F54" s="60" t="s">
        <v>1871</v>
      </c>
      <c r="G54" s="19"/>
    </row>
    <row r="55" ht="22.5" customHeight="1">
      <c r="A55" s="5">
        <v>45932.0</v>
      </c>
      <c r="B55" s="33">
        <v>8.0</v>
      </c>
      <c r="C55" s="22"/>
      <c r="D55" s="243" t="s">
        <v>1872</v>
      </c>
      <c r="E55" s="55" t="s">
        <v>1873</v>
      </c>
      <c r="F55" s="60" t="s">
        <v>1874</v>
      </c>
      <c r="G55" s="19"/>
    </row>
    <row r="56" ht="22.5" customHeight="1">
      <c r="A56" s="5">
        <v>45933.0</v>
      </c>
      <c r="B56" s="33">
        <v>8.0</v>
      </c>
      <c r="C56" s="22"/>
      <c r="D56" s="243" t="s">
        <v>1875</v>
      </c>
      <c r="E56" s="55" t="s">
        <v>1873</v>
      </c>
      <c r="F56" s="60" t="s">
        <v>1876</v>
      </c>
      <c r="G56" s="19"/>
    </row>
    <row r="57" ht="22.5" customHeight="1">
      <c r="A57" s="5">
        <v>45936.0</v>
      </c>
      <c r="B57" s="33">
        <v>8.0</v>
      </c>
      <c r="C57" s="22"/>
      <c r="D57" s="244" t="s">
        <v>86</v>
      </c>
      <c r="E57" s="55"/>
      <c r="F57" s="59" t="s">
        <v>1877</v>
      </c>
      <c r="G57" s="19"/>
    </row>
    <row r="58" ht="22.5" customHeight="1">
      <c r="A58" s="5">
        <v>45937.0</v>
      </c>
      <c r="B58" s="33">
        <v>8.0</v>
      </c>
      <c r="C58" s="22"/>
      <c r="D58" s="244" t="s">
        <v>86</v>
      </c>
      <c r="E58" s="55"/>
      <c r="F58" s="59"/>
      <c r="G58" s="19"/>
    </row>
    <row r="59" ht="22.5" customHeight="1">
      <c r="A59" s="5">
        <v>45938.0</v>
      </c>
      <c r="B59" s="33">
        <v>8.0</v>
      </c>
      <c r="C59" s="22"/>
      <c r="D59" s="244" t="s">
        <v>86</v>
      </c>
      <c r="E59" s="55"/>
      <c r="F59" s="59"/>
      <c r="G59" s="19"/>
    </row>
    <row r="60" ht="22.5" customHeight="1">
      <c r="A60" s="5">
        <v>45939.0</v>
      </c>
      <c r="B60" s="33">
        <v>8.0</v>
      </c>
      <c r="C60" s="22"/>
      <c r="D60" s="243" t="s">
        <v>1878</v>
      </c>
      <c r="E60" s="55" t="s">
        <v>1873</v>
      </c>
      <c r="F60" s="60" t="s">
        <v>1879</v>
      </c>
      <c r="G60" s="19"/>
    </row>
    <row r="61" ht="22.5" customHeight="1">
      <c r="A61" s="5">
        <v>45939.0</v>
      </c>
      <c r="B61" s="33">
        <v>8.0</v>
      </c>
      <c r="C61" s="22"/>
      <c r="D61" s="243" t="s">
        <v>1880</v>
      </c>
      <c r="E61" s="55" t="s">
        <v>1873</v>
      </c>
      <c r="F61" s="60" t="s">
        <v>1881</v>
      </c>
      <c r="G61" s="19"/>
    </row>
    <row r="62" ht="22.5" customHeight="1">
      <c r="A62" s="5">
        <v>45943.0</v>
      </c>
      <c r="B62" s="33">
        <v>8.0</v>
      </c>
      <c r="C62" s="22"/>
      <c r="D62" s="243" t="s">
        <v>1882</v>
      </c>
      <c r="E62" s="55" t="s">
        <v>1865</v>
      </c>
      <c r="F62" s="60" t="s">
        <v>1883</v>
      </c>
      <c r="G62" s="19"/>
    </row>
    <row r="63" ht="22.5" customHeight="1">
      <c r="A63" s="5">
        <v>45944.0</v>
      </c>
      <c r="B63" s="33">
        <v>8.0</v>
      </c>
      <c r="C63" s="22"/>
      <c r="D63" s="243" t="s">
        <v>1884</v>
      </c>
      <c r="E63" s="55" t="s">
        <v>1885</v>
      </c>
      <c r="F63" s="60" t="s">
        <v>1886</v>
      </c>
      <c r="G63" s="19"/>
    </row>
    <row r="64" ht="22.5" customHeight="1">
      <c r="A64" s="5">
        <v>45945.0</v>
      </c>
      <c r="B64" s="33">
        <v>8.0</v>
      </c>
      <c r="C64" s="22"/>
      <c r="D64" s="243" t="s">
        <v>1887</v>
      </c>
      <c r="E64" s="55" t="s">
        <v>1771</v>
      </c>
      <c r="F64" s="60" t="s">
        <v>1888</v>
      </c>
      <c r="G64" s="19"/>
    </row>
    <row r="65" ht="22.5" customHeight="1">
      <c r="A65" s="5">
        <v>45946.0</v>
      </c>
      <c r="B65" s="33">
        <v>8.0</v>
      </c>
      <c r="C65" s="22"/>
      <c r="D65" s="243" t="s">
        <v>1889</v>
      </c>
      <c r="E65" s="55" t="s">
        <v>1771</v>
      </c>
      <c r="F65" s="60" t="s">
        <v>1890</v>
      </c>
      <c r="G65" s="19"/>
    </row>
    <row r="66" ht="22.5" customHeight="1">
      <c r="A66" s="5">
        <v>45947.0</v>
      </c>
      <c r="B66" s="33">
        <v>8.0</v>
      </c>
      <c r="C66" s="22"/>
      <c r="D66" s="243" t="s">
        <v>1891</v>
      </c>
      <c r="E66" s="55" t="s">
        <v>1771</v>
      </c>
      <c r="F66" s="60" t="s">
        <v>1892</v>
      </c>
      <c r="G66" s="19"/>
    </row>
    <row r="67" ht="22.5" customHeight="1">
      <c r="A67" s="5">
        <v>45950.0</v>
      </c>
      <c r="B67" s="33">
        <v>8.0</v>
      </c>
      <c r="C67" s="22"/>
      <c r="D67" s="243" t="s">
        <v>1893</v>
      </c>
      <c r="E67" s="55" t="s">
        <v>1833</v>
      </c>
      <c r="F67" s="60" t="s">
        <v>1894</v>
      </c>
      <c r="G67" s="19"/>
    </row>
    <row r="68" ht="22.5" customHeight="1">
      <c r="A68" s="5">
        <v>45951.0</v>
      </c>
      <c r="B68" s="33">
        <v>8.0</v>
      </c>
      <c r="C68" s="22"/>
      <c r="D68" s="243" t="s">
        <v>1895</v>
      </c>
      <c r="E68" s="55" t="s">
        <v>1833</v>
      </c>
      <c r="F68" s="60" t="s">
        <v>1896</v>
      </c>
      <c r="G68" s="19"/>
    </row>
    <row r="69" ht="22.5" customHeight="1">
      <c r="A69" s="5">
        <v>45952.0</v>
      </c>
      <c r="B69" s="33">
        <v>8.0</v>
      </c>
      <c r="C69" s="22"/>
      <c r="D69" s="243" t="s">
        <v>1897</v>
      </c>
      <c r="E69" s="55" t="s">
        <v>1833</v>
      </c>
      <c r="F69" s="60" t="s">
        <v>1898</v>
      </c>
      <c r="G69" s="19"/>
    </row>
    <row r="70" ht="22.5" customHeight="1">
      <c r="A70" s="5">
        <v>45953.0</v>
      </c>
      <c r="B70" s="33">
        <v>8.0</v>
      </c>
      <c r="C70" s="22"/>
      <c r="D70" s="243" t="s">
        <v>1899</v>
      </c>
      <c r="E70" s="55" t="s">
        <v>1833</v>
      </c>
      <c r="F70" s="60" t="s">
        <v>1900</v>
      </c>
      <c r="G70" s="19"/>
    </row>
    <row r="71" ht="22.5" customHeight="1">
      <c r="A71" s="5">
        <v>45954.0</v>
      </c>
      <c r="B71" s="33">
        <v>8.0</v>
      </c>
      <c r="C71" s="22"/>
      <c r="D71" s="243" t="s">
        <v>1901</v>
      </c>
      <c r="E71" s="245" t="s">
        <v>1833</v>
      </c>
      <c r="F71" s="60" t="s">
        <v>1902</v>
      </c>
      <c r="G71" s="19"/>
    </row>
    <row r="72" ht="22.5" customHeight="1">
      <c r="A72" s="5">
        <v>45957.0</v>
      </c>
      <c r="B72" s="33">
        <v>8.0</v>
      </c>
      <c r="C72" s="22"/>
      <c r="D72" s="243" t="s">
        <v>1903</v>
      </c>
      <c r="E72" s="245" t="s">
        <v>1833</v>
      </c>
      <c r="F72" s="60" t="s">
        <v>1904</v>
      </c>
      <c r="G72" s="19"/>
    </row>
    <row r="73" ht="22.5" customHeight="1">
      <c r="A73" s="5">
        <v>45958.0</v>
      </c>
      <c r="B73" s="33">
        <v>8.0</v>
      </c>
      <c r="C73" s="22"/>
      <c r="D73" s="243" t="s">
        <v>1905</v>
      </c>
      <c r="E73" s="75" t="s">
        <v>1856</v>
      </c>
      <c r="F73" s="60" t="s">
        <v>1906</v>
      </c>
      <c r="G73" s="19"/>
    </row>
    <row r="74" ht="22.5" customHeight="1">
      <c r="A74" s="5">
        <v>45959.0</v>
      </c>
      <c r="B74" s="33">
        <v>8.0</v>
      </c>
      <c r="C74" s="22"/>
      <c r="D74" s="243" t="s">
        <v>1907</v>
      </c>
      <c r="E74" s="75" t="s">
        <v>1771</v>
      </c>
      <c r="F74" s="60" t="s">
        <v>1908</v>
      </c>
      <c r="G74" s="19"/>
    </row>
    <row r="75" ht="22.5" customHeight="1">
      <c r="A75" s="5">
        <v>45960.0</v>
      </c>
      <c r="B75" s="33">
        <v>8.0</v>
      </c>
      <c r="C75" s="22"/>
      <c r="D75" s="243" t="s">
        <v>1907</v>
      </c>
      <c r="E75" s="75" t="s">
        <v>1771</v>
      </c>
      <c r="F75" s="60" t="s">
        <v>1909</v>
      </c>
      <c r="G75" s="19"/>
    </row>
    <row r="76" ht="22.5" customHeight="1">
      <c r="A76" s="5">
        <v>45961.0</v>
      </c>
      <c r="B76" s="33">
        <v>8.0</v>
      </c>
      <c r="C76" s="22"/>
      <c r="D76" s="243" t="s">
        <v>1910</v>
      </c>
      <c r="E76" s="75" t="s">
        <v>1851</v>
      </c>
      <c r="F76" s="60" t="s">
        <v>1911</v>
      </c>
      <c r="G76" s="19"/>
    </row>
    <row r="77" ht="22.5" customHeight="1">
      <c r="A77" s="5">
        <v>45964.0</v>
      </c>
      <c r="B77" s="33">
        <v>8.0</v>
      </c>
      <c r="C77" s="22"/>
      <c r="D77" s="243" t="s">
        <v>1910</v>
      </c>
      <c r="E77" s="75" t="s">
        <v>1851</v>
      </c>
      <c r="F77" s="60" t="s">
        <v>1912</v>
      </c>
      <c r="G77" s="19"/>
    </row>
    <row r="78" ht="22.5" customHeight="1">
      <c r="A78" s="246">
        <v>45965.0</v>
      </c>
      <c r="B78" s="33">
        <v>8.0</v>
      </c>
      <c r="C78" s="25"/>
      <c r="D78" s="243" t="s">
        <v>1910</v>
      </c>
      <c r="E78" s="75" t="s">
        <v>1851</v>
      </c>
      <c r="F78" s="60" t="s">
        <v>1913</v>
      </c>
      <c r="G78" s="26"/>
    </row>
    <row r="79" ht="22.5" customHeight="1">
      <c r="A79" s="246">
        <v>45966.0</v>
      </c>
      <c r="B79" s="33">
        <v>8.0</v>
      </c>
      <c r="C79" s="25"/>
      <c r="D79" s="243" t="s">
        <v>1910</v>
      </c>
      <c r="E79" s="75" t="s">
        <v>1851</v>
      </c>
      <c r="F79" s="60" t="s">
        <v>1914</v>
      </c>
      <c r="G79" s="26"/>
    </row>
    <row r="80" ht="22.5" customHeight="1">
      <c r="A80" s="246">
        <v>45967.0</v>
      </c>
      <c r="B80" s="33">
        <v>8.0</v>
      </c>
      <c r="C80" s="25"/>
      <c r="D80" s="243" t="s">
        <v>1910</v>
      </c>
      <c r="E80" s="75" t="s">
        <v>1851</v>
      </c>
      <c r="F80" s="60" t="s">
        <v>1915</v>
      </c>
      <c r="G80" s="26"/>
    </row>
    <row r="81" ht="22.5" customHeight="1">
      <c r="A81" s="246">
        <v>45968.0</v>
      </c>
      <c r="B81" s="33">
        <v>8.0</v>
      </c>
      <c r="C81" s="25"/>
      <c r="D81" s="247" t="s">
        <v>10</v>
      </c>
      <c r="E81" s="138"/>
      <c r="F81" s="138"/>
      <c r="G81" s="26"/>
    </row>
    <row r="82" ht="22.5" customHeight="1">
      <c r="A82" s="246">
        <v>45971.0</v>
      </c>
      <c r="B82" s="33">
        <v>8.0</v>
      </c>
      <c r="C82" s="25"/>
      <c r="D82" s="243" t="s">
        <v>1916</v>
      </c>
      <c r="E82" s="75" t="s">
        <v>1851</v>
      </c>
      <c r="F82" s="60" t="s">
        <v>1917</v>
      </c>
      <c r="G82" s="26"/>
    </row>
    <row r="83" ht="22.5" customHeight="1">
      <c r="A83" s="246">
        <v>45972.0</v>
      </c>
      <c r="B83" s="33">
        <v>8.0</v>
      </c>
      <c r="C83" s="25"/>
      <c r="D83" s="243" t="s">
        <v>1916</v>
      </c>
      <c r="E83" s="75" t="s">
        <v>1851</v>
      </c>
      <c r="F83" s="60" t="s">
        <v>1918</v>
      </c>
      <c r="G83" s="26"/>
    </row>
    <row r="84" ht="22.5" customHeight="1">
      <c r="A84" s="246">
        <v>45973.0</v>
      </c>
      <c r="B84" s="33">
        <v>8.0</v>
      </c>
      <c r="C84" s="25"/>
      <c r="D84" s="243" t="s">
        <v>1916</v>
      </c>
      <c r="E84" s="75" t="s">
        <v>1851</v>
      </c>
      <c r="F84" s="60" t="s">
        <v>1919</v>
      </c>
      <c r="G84" s="26"/>
    </row>
    <row r="85" ht="22.5" customHeight="1">
      <c r="A85" s="246">
        <v>45974.0</v>
      </c>
      <c r="B85" s="33">
        <v>8.0</v>
      </c>
      <c r="C85" s="25"/>
      <c r="D85" s="243" t="s">
        <v>1916</v>
      </c>
      <c r="E85" s="75" t="s">
        <v>1851</v>
      </c>
      <c r="F85" s="60" t="s">
        <v>1920</v>
      </c>
      <c r="G85" s="26"/>
    </row>
    <row r="86" ht="22.5" customHeight="1">
      <c r="A86" s="246">
        <v>45975.0</v>
      </c>
      <c r="B86" s="33">
        <v>8.0</v>
      </c>
      <c r="C86" s="25"/>
      <c r="D86" s="243" t="s">
        <v>1916</v>
      </c>
      <c r="E86" s="75" t="s">
        <v>1851</v>
      </c>
      <c r="F86" s="60" t="s">
        <v>1921</v>
      </c>
      <c r="G86" s="26"/>
    </row>
    <row r="87" ht="22.5" customHeight="1">
      <c r="A87" s="246">
        <v>45978.0</v>
      </c>
      <c r="B87" s="33"/>
      <c r="C87" s="25"/>
      <c r="D87" s="243"/>
      <c r="E87" s="75"/>
      <c r="F87" s="59"/>
      <c r="G87" s="26"/>
    </row>
    <row r="88" ht="22.5" customHeight="1">
      <c r="A88" s="24"/>
      <c r="B88" s="25"/>
      <c r="C88" s="25"/>
      <c r="D88" s="25"/>
      <c r="E88" s="138"/>
      <c r="F88" s="138"/>
      <c r="G88" s="26"/>
    </row>
    <row r="89" ht="22.5" customHeight="1">
      <c r="A89" s="24"/>
      <c r="B89" s="25"/>
      <c r="C89" s="25"/>
      <c r="D89" s="25"/>
      <c r="E89" s="138"/>
      <c r="F89" s="138"/>
      <c r="G89" s="26"/>
    </row>
    <row r="90" ht="22.5" customHeight="1">
      <c r="A90" s="24"/>
      <c r="B90" s="25"/>
      <c r="C90" s="25"/>
      <c r="D90" s="25"/>
      <c r="E90" s="138"/>
      <c r="F90" s="138"/>
      <c r="G90" s="26"/>
    </row>
    <row r="91" ht="22.5" customHeight="1">
      <c r="A91" s="24"/>
      <c r="B91" s="25"/>
      <c r="C91" s="25"/>
      <c r="D91" s="25"/>
      <c r="E91" s="138"/>
      <c r="F91" s="138"/>
      <c r="G91" s="26"/>
    </row>
    <row r="92" ht="22.5" customHeight="1">
      <c r="A92" s="24"/>
      <c r="B92" s="25"/>
      <c r="C92" s="25"/>
      <c r="D92" s="25"/>
      <c r="E92" s="138"/>
      <c r="F92" s="138"/>
      <c r="G92" s="26"/>
    </row>
    <row r="93" ht="22.5" customHeight="1">
      <c r="A93" s="24"/>
      <c r="B93" s="25"/>
      <c r="C93" s="25"/>
      <c r="D93" s="25"/>
      <c r="E93" s="138"/>
      <c r="F93" s="138"/>
      <c r="G93" s="26"/>
    </row>
    <row r="94" ht="22.5" customHeight="1">
      <c r="A94" s="24"/>
      <c r="B94" s="25"/>
      <c r="C94" s="25"/>
      <c r="D94" s="25"/>
      <c r="E94" s="138"/>
      <c r="F94" s="138"/>
      <c r="G94" s="26"/>
    </row>
    <row r="95" ht="22.5" customHeight="1">
      <c r="A95" s="24"/>
      <c r="B95" s="25"/>
      <c r="C95" s="25"/>
      <c r="D95" s="25"/>
      <c r="E95" s="138"/>
      <c r="F95" s="138"/>
      <c r="G95" s="26"/>
    </row>
    <row r="96" ht="22.5" customHeight="1">
      <c r="A96" s="24"/>
      <c r="B96" s="25"/>
      <c r="C96" s="25"/>
      <c r="D96" s="25"/>
      <c r="E96" s="138"/>
      <c r="F96" s="138"/>
      <c r="G96" s="26"/>
    </row>
    <row r="97" ht="22.5" customHeight="1">
      <c r="A97" s="24"/>
      <c r="B97" s="25"/>
      <c r="C97" s="25"/>
      <c r="D97" s="25"/>
      <c r="E97" s="138"/>
      <c r="F97" s="138"/>
      <c r="G97" s="26"/>
    </row>
    <row r="98" ht="22.5" customHeight="1">
      <c r="A98" s="24"/>
      <c r="B98" s="25"/>
      <c r="C98" s="25"/>
      <c r="D98" s="25"/>
      <c r="E98" s="138"/>
      <c r="F98" s="138"/>
      <c r="G98" s="26"/>
    </row>
    <row r="99" ht="22.5" customHeight="1">
      <c r="A99" s="24"/>
      <c r="B99" s="25"/>
      <c r="C99" s="25"/>
      <c r="D99" s="25"/>
      <c r="E99" s="138"/>
      <c r="F99" s="138"/>
      <c r="G99" s="26"/>
    </row>
    <row r="100" ht="22.5" customHeight="1">
      <c r="A100" s="24"/>
      <c r="B100" s="25"/>
      <c r="C100" s="25"/>
      <c r="D100" s="25"/>
      <c r="E100" s="138"/>
      <c r="F100" s="138"/>
      <c r="G100" s="26"/>
    </row>
    <row r="101" ht="22.5" customHeight="1">
      <c r="A101" s="24"/>
      <c r="B101" s="25"/>
      <c r="C101" s="25"/>
      <c r="D101" s="25"/>
      <c r="E101" s="138"/>
      <c r="F101" s="138"/>
      <c r="G101" s="26"/>
    </row>
    <row r="102" ht="22.5" customHeight="1">
      <c r="A102" s="24"/>
      <c r="B102" s="25"/>
      <c r="C102" s="25"/>
      <c r="D102" s="25"/>
      <c r="E102" s="138"/>
      <c r="F102" s="138"/>
      <c r="G102" s="26"/>
    </row>
    <row r="103" ht="22.5" customHeight="1">
      <c r="A103" s="24"/>
      <c r="B103" s="25"/>
      <c r="C103" s="25"/>
      <c r="D103" s="25"/>
      <c r="E103" s="138"/>
      <c r="F103" s="138"/>
      <c r="G103" s="26"/>
    </row>
    <row r="104" ht="22.5" customHeight="1">
      <c r="A104" s="24"/>
      <c r="B104" s="25"/>
      <c r="C104" s="25"/>
      <c r="D104" s="25"/>
      <c r="E104" s="138"/>
      <c r="F104" s="138"/>
      <c r="G104" s="26"/>
    </row>
    <row r="105" ht="22.5" customHeight="1">
      <c r="A105" s="24"/>
      <c r="B105" s="25"/>
      <c r="C105" s="25"/>
      <c r="D105" s="25"/>
      <c r="E105" s="138"/>
      <c r="F105" s="138"/>
      <c r="G105" s="26"/>
    </row>
    <row r="106" ht="22.5" customHeight="1">
      <c r="A106" s="24"/>
      <c r="B106" s="25"/>
      <c r="C106" s="25"/>
      <c r="D106" s="25"/>
      <c r="E106" s="138"/>
      <c r="F106" s="138"/>
      <c r="G106" s="26"/>
    </row>
    <row r="107" ht="22.5" customHeight="1">
      <c r="A107" s="24"/>
      <c r="B107" s="25"/>
      <c r="C107" s="25"/>
      <c r="D107" s="25"/>
      <c r="E107" s="138"/>
      <c r="F107" s="138"/>
      <c r="G107" s="26"/>
    </row>
    <row r="108" ht="22.5" customHeight="1">
      <c r="A108" s="24"/>
      <c r="B108" s="25"/>
      <c r="C108" s="25"/>
      <c r="D108" s="25"/>
      <c r="E108" s="138"/>
      <c r="F108" s="138"/>
      <c r="G108" s="26"/>
    </row>
    <row r="109" ht="22.5" customHeight="1">
      <c r="A109" s="24"/>
      <c r="B109" s="25"/>
      <c r="C109" s="25"/>
      <c r="D109" s="25"/>
      <c r="E109" s="138"/>
      <c r="F109" s="138"/>
      <c r="G109" s="26"/>
    </row>
    <row r="110" ht="22.5" customHeight="1">
      <c r="A110" s="24"/>
      <c r="B110" s="25"/>
      <c r="C110" s="25"/>
      <c r="D110" s="25"/>
      <c r="E110" s="138"/>
      <c r="F110" s="138"/>
      <c r="G110" s="26"/>
    </row>
    <row r="111" ht="22.5" customHeight="1">
      <c r="A111" s="24"/>
      <c r="B111" s="25"/>
      <c r="C111" s="25"/>
      <c r="D111" s="25"/>
      <c r="E111" s="138"/>
      <c r="F111" s="138"/>
      <c r="G111" s="26"/>
    </row>
    <row r="112" ht="22.5" customHeight="1">
      <c r="A112" s="24"/>
      <c r="B112" s="25"/>
      <c r="C112" s="25"/>
      <c r="D112" s="25"/>
      <c r="E112" s="138"/>
      <c r="F112" s="138"/>
      <c r="G112" s="26"/>
    </row>
    <row r="113" ht="22.5" customHeight="1">
      <c r="A113" s="24"/>
      <c r="B113" s="25"/>
      <c r="C113" s="25"/>
      <c r="D113" s="25"/>
      <c r="E113" s="138"/>
      <c r="F113" s="138"/>
      <c r="G113" s="26"/>
    </row>
    <row r="114" ht="22.5" customHeight="1">
      <c r="A114" s="24"/>
      <c r="B114" s="25"/>
      <c r="C114" s="25"/>
      <c r="D114" s="25"/>
      <c r="E114" s="138"/>
      <c r="F114" s="138"/>
      <c r="G114" s="26"/>
    </row>
    <row r="115" ht="22.5" customHeight="1">
      <c r="A115" s="24"/>
      <c r="B115" s="25"/>
      <c r="C115" s="25"/>
      <c r="D115" s="25"/>
      <c r="E115" s="138"/>
      <c r="F115" s="138"/>
      <c r="G115" s="26"/>
    </row>
    <row r="116" ht="22.5" customHeight="1">
      <c r="A116" s="24"/>
      <c r="B116" s="25"/>
      <c r="C116" s="25"/>
      <c r="D116" s="25"/>
      <c r="E116" s="138"/>
      <c r="F116" s="138"/>
      <c r="G116" s="26"/>
    </row>
    <row r="117" ht="22.5" customHeight="1">
      <c r="A117" s="24"/>
      <c r="B117" s="25"/>
      <c r="C117" s="25"/>
      <c r="D117" s="25"/>
      <c r="E117" s="138"/>
      <c r="F117" s="138"/>
      <c r="G117" s="26"/>
    </row>
    <row r="118" ht="22.5" customHeight="1">
      <c r="A118" s="24"/>
      <c r="B118" s="25"/>
      <c r="C118" s="25"/>
      <c r="D118" s="25"/>
      <c r="E118" s="138"/>
      <c r="F118" s="138"/>
      <c r="G118" s="26"/>
    </row>
    <row r="119" ht="22.5" customHeight="1">
      <c r="A119" s="24"/>
      <c r="B119" s="25"/>
      <c r="C119" s="25"/>
      <c r="D119" s="25"/>
      <c r="E119" s="138"/>
      <c r="F119" s="138"/>
      <c r="G119" s="26"/>
    </row>
    <row r="120" ht="22.5" customHeight="1">
      <c r="A120" s="24"/>
      <c r="B120" s="25"/>
      <c r="C120" s="25"/>
      <c r="D120" s="25"/>
      <c r="E120" s="138"/>
      <c r="F120" s="138"/>
      <c r="G120" s="26"/>
    </row>
    <row r="121" ht="22.5" customHeight="1">
      <c r="A121" s="24"/>
      <c r="B121" s="25"/>
      <c r="C121" s="25"/>
      <c r="D121" s="25"/>
      <c r="E121" s="138"/>
      <c r="F121" s="138"/>
      <c r="G121" s="26"/>
    </row>
    <row r="122" ht="22.5" customHeight="1">
      <c r="A122" s="24"/>
      <c r="B122" s="25"/>
      <c r="C122" s="25"/>
      <c r="D122" s="25"/>
      <c r="E122" s="138"/>
      <c r="F122" s="138"/>
      <c r="G122" s="26"/>
    </row>
    <row r="123" ht="22.5" customHeight="1">
      <c r="A123" s="24"/>
      <c r="B123" s="25"/>
      <c r="C123" s="25"/>
      <c r="D123" s="25"/>
      <c r="E123" s="138"/>
      <c r="F123" s="138"/>
      <c r="G123" s="26"/>
    </row>
    <row r="124" ht="22.5" customHeight="1">
      <c r="A124" s="24"/>
      <c r="B124" s="25"/>
      <c r="C124" s="25"/>
      <c r="D124" s="25"/>
      <c r="E124" s="138"/>
      <c r="F124" s="138"/>
      <c r="G124" s="26"/>
    </row>
    <row r="125" ht="22.5" customHeight="1">
      <c r="A125" s="24"/>
      <c r="B125" s="25"/>
      <c r="C125" s="25"/>
      <c r="D125" s="25"/>
      <c r="E125" s="138"/>
      <c r="F125" s="138"/>
      <c r="G125" s="26"/>
    </row>
    <row r="126" ht="22.5" customHeight="1">
      <c r="A126" s="24"/>
      <c r="B126" s="25"/>
      <c r="C126" s="25"/>
      <c r="D126" s="25"/>
      <c r="E126" s="138"/>
      <c r="F126" s="138"/>
      <c r="G126" s="26"/>
    </row>
    <row r="127" ht="22.5" customHeight="1">
      <c r="A127" s="24"/>
      <c r="B127" s="25"/>
      <c r="C127" s="25"/>
      <c r="D127" s="25"/>
      <c r="E127" s="138"/>
      <c r="F127" s="138"/>
      <c r="G127" s="26"/>
    </row>
    <row r="128" ht="22.5" customHeight="1">
      <c r="A128" s="24"/>
      <c r="B128" s="25"/>
      <c r="C128" s="25"/>
      <c r="D128" s="25"/>
      <c r="E128" s="138"/>
      <c r="F128" s="138"/>
      <c r="G128" s="26"/>
    </row>
    <row r="129" ht="22.5" customHeight="1">
      <c r="A129" s="24"/>
      <c r="B129" s="25"/>
      <c r="C129" s="25"/>
      <c r="D129" s="25"/>
      <c r="E129" s="138"/>
      <c r="F129" s="138"/>
      <c r="G129" s="26"/>
    </row>
    <row r="130" ht="22.5" customHeight="1">
      <c r="A130" s="24"/>
      <c r="B130" s="25"/>
      <c r="C130" s="25"/>
      <c r="D130" s="25"/>
      <c r="E130" s="138"/>
      <c r="F130" s="138"/>
      <c r="G130" s="26"/>
    </row>
    <row r="131" ht="22.5" customHeight="1">
      <c r="A131" s="24"/>
      <c r="B131" s="25"/>
      <c r="C131" s="25"/>
      <c r="D131" s="25"/>
      <c r="E131" s="138"/>
      <c r="F131" s="138"/>
      <c r="G131" s="26"/>
    </row>
    <row r="132" ht="22.5" customHeight="1">
      <c r="A132" s="24"/>
      <c r="B132" s="25"/>
      <c r="C132" s="25"/>
      <c r="D132" s="25"/>
      <c r="E132" s="138"/>
      <c r="F132" s="138"/>
      <c r="G132" s="26"/>
    </row>
    <row r="133" ht="22.5" customHeight="1">
      <c r="A133" s="24"/>
      <c r="B133" s="25"/>
      <c r="C133" s="25"/>
      <c r="D133" s="25"/>
      <c r="E133" s="138"/>
      <c r="F133" s="138"/>
      <c r="G133" s="26"/>
    </row>
    <row r="134" ht="22.5" customHeight="1">
      <c r="A134" s="24"/>
      <c r="B134" s="25"/>
      <c r="C134" s="25"/>
      <c r="D134" s="25"/>
      <c r="E134" s="138"/>
      <c r="F134" s="138"/>
      <c r="G134" s="26"/>
    </row>
    <row r="135" ht="22.5" customHeight="1">
      <c r="A135" s="24"/>
      <c r="B135" s="25"/>
      <c r="C135" s="25"/>
      <c r="D135" s="25"/>
      <c r="E135" s="138"/>
      <c r="F135" s="138"/>
      <c r="G135" s="26"/>
    </row>
    <row r="136" ht="22.5" customHeight="1">
      <c r="A136" s="24"/>
      <c r="B136" s="25"/>
      <c r="C136" s="25"/>
      <c r="D136" s="25"/>
      <c r="E136" s="138"/>
      <c r="F136" s="138"/>
      <c r="G136" s="26"/>
    </row>
    <row r="137" ht="22.5" customHeight="1">
      <c r="A137" s="24"/>
      <c r="B137" s="25"/>
      <c r="C137" s="25"/>
      <c r="D137" s="25"/>
      <c r="E137" s="138"/>
      <c r="F137" s="138"/>
      <c r="G137" s="26"/>
    </row>
    <row r="138" ht="22.5" customHeight="1">
      <c r="A138" s="24"/>
      <c r="B138" s="25"/>
      <c r="C138" s="25"/>
      <c r="D138" s="25"/>
      <c r="E138" s="138"/>
      <c r="F138" s="138"/>
      <c r="G138" s="26"/>
    </row>
    <row r="139" ht="22.5" customHeight="1">
      <c r="A139" s="24"/>
      <c r="B139" s="25"/>
      <c r="C139" s="25"/>
      <c r="D139" s="25"/>
      <c r="E139" s="138"/>
      <c r="F139" s="138"/>
      <c r="G139" s="26"/>
    </row>
    <row r="140" ht="22.5" customHeight="1">
      <c r="A140" s="24"/>
      <c r="B140" s="25"/>
      <c r="C140" s="25"/>
      <c r="D140" s="25"/>
      <c r="E140" s="138"/>
      <c r="F140" s="138"/>
      <c r="G140" s="26"/>
    </row>
    <row r="141" ht="22.5" customHeight="1">
      <c r="A141" s="24"/>
      <c r="B141" s="25"/>
      <c r="C141" s="25"/>
      <c r="D141" s="25"/>
      <c r="E141" s="138"/>
      <c r="F141" s="138"/>
      <c r="G141" s="26"/>
    </row>
    <row r="142" ht="22.5" customHeight="1">
      <c r="A142" s="24"/>
      <c r="B142" s="25"/>
      <c r="C142" s="25"/>
      <c r="D142" s="25"/>
      <c r="E142" s="138"/>
      <c r="F142" s="138"/>
      <c r="G142" s="26"/>
    </row>
    <row r="143" ht="22.5" customHeight="1">
      <c r="A143" s="24"/>
      <c r="B143" s="25"/>
      <c r="C143" s="25"/>
      <c r="D143" s="25"/>
      <c r="E143" s="138"/>
      <c r="F143" s="138"/>
      <c r="G143" s="26"/>
    </row>
    <row r="144" ht="22.5" customHeight="1">
      <c r="A144" s="24"/>
      <c r="B144" s="25"/>
      <c r="C144" s="25"/>
      <c r="D144" s="25"/>
      <c r="E144" s="138"/>
      <c r="F144" s="138"/>
      <c r="G144" s="26"/>
    </row>
    <row r="145" ht="22.5" customHeight="1">
      <c r="A145" s="24"/>
      <c r="B145" s="25"/>
      <c r="C145" s="25"/>
      <c r="D145" s="25"/>
      <c r="E145" s="138"/>
      <c r="F145" s="138"/>
      <c r="G145" s="26"/>
    </row>
    <row r="146" ht="22.5" customHeight="1">
      <c r="A146" s="24"/>
      <c r="B146" s="25"/>
      <c r="C146" s="25"/>
      <c r="D146" s="25"/>
      <c r="E146" s="138"/>
      <c r="F146" s="138"/>
      <c r="G146" s="26"/>
    </row>
    <row r="147" ht="22.5" customHeight="1">
      <c r="A147" s="24"/>
      <c r="B147" s="25"/>
      <c r="C147" s="25"/>
      <c r="D147" s="25"/>
      <c r="E147" s="138"/>
      <c r="F147" s="138"/>
      <c r="G147" s="26"/>
    </row>
    <row r="148" ht="22.5" customHeight="1">
      <c r="A148" s="24"/>
      <c r="B148" s="25"/>
      <c r="C148" s="25"/>
      <c r="D148" s="25"/>
      <c r="E148" s="138"/>
      <c r="F148" s="138"/>
      <c r="G148" s="26"/>
    </row>
    <row r="149" ht="22.5" customHeight="1">
      <c r="A149" s="24"/>
      <c r="B149" s="25"/>
      <c r="C149" s="25"/>
      <c r="D149" s="25"/>
      <c r="E149" s="138"/>
      <c r="F149" s="138"/>
      <c r="G149" s="26"/>
    </row>
    <row r="150" ht="22.5" customHeight="1">
      <c r="A150" s="24"/>
      <c r="B150" s="25"/>
      <c r="C150" s="25"/>
      <c r="D150" s="25"/>
      <c r="E150" s="138"/>
      <c r="F150" s="138"/>
      <c r="G150" s="26"/>
    </row>
    <row r="151" ht="22.5" customHeight="1">
      <c r="A151" s="24"/>
      <c r="B151" s="25"/>
      <c r="C151" s="25"/>
      <c r="D151" s="25"/>
      <c r="E151" s="138"/>
      <c r="F151" s="138"/>
      <c r="G151" s="26"/>
    </row>
    <row r="152" ht="22.5" customHeight="1">
      <c r="A152" s="24"/>
      <c r="B152" s="25"/>
      <c r="C152" s="25"/>
      <c r="D152" s="25"/>
      <c r="E152" s="138"/>
      <c r="F152" s="138"/>
      <c r="G152" s="26"/>
    </row>
    <row r="153" ht="22.5" customHeight="1">
      <c r="A153" s="24"/>
      <c r="B153" s="25"/>
      <c r="C153" s="25"/>
      <c r="D153" s="25"/>
      <c r="E153" s="138"/>
      <c r="F153" s="138"/>
      <c r="G153" s="26"/>
    </row>
    <row r="154" ht="22.5" customHeight="1">
      <c r="A154" s="24"/>
      <c r="B154" s="25"/>
      <c r="C154" s="25"/>
      <c r="D154" s="25"/>
      <c r="E154" s="138"/>
      <c r="F154" s="138"/>
      <c r="G154" s="26"/>
    </row>
    <row r="155" ht="22.5" customHeight="1">
      <c r="A155" s="24"/>
      <c r="B155" s="25"/>
      <c r="C155" s="25"/>
      <c r="D155" s="25"/>
      <c r="E155" s="138"/>
      <c r="F155" s="138"/>
      <c r="G155" s="26"/>
    </row>
    <row r="156" ht="22.5" customHeight="1">
      <c r="A156" s="24"/>
      <c r="B156" s="25"/>
      <c r="C156" s="25"/>
      <c r="D156" s="25"/>
      <c r="E156" s="138"/>
      <c r="F156" s="138"/>
      <c r="G156" s="26"/>
    </row>
    <row r="157" ht="22.5" customHeight="1">
      <c r="A157" s="24"/>
      <c r="B157" s="25"/>
      <c r="C157" s="25"/>
      <c r="D157" s="25"/>
      <c r="E157" s="138"/>
      <c r="F157" s="138"/>
      <c r="G157" s="26"/>
    </row>
    <row r="158" ht="22.5" customHeight="1">
      <c r="A158" s="24"/>
      <c r="B158" s="25"/>
      <c r="C158" s="25"/>
      <c r="D158" s="25"/>
      <c r="E158" s="138"/>
      <c r="F158" s="138"/>
      <c r="G158" s="26"/>
    </row>
    <row r="159" ht="22.5" customHeight="1">
      <c r="A159" s="24"/>
      <c r="B159" s="25"/>
      <c r="C159" s="25"/>
      <c r="D159" s="25"/>
      <c r="E159" s="138"/>
      <c r="F159" s="138"/>
      <c r="G159" s="26"/>
    </row>
    <row r="160" ht="22.5" customHeight="1">
      <c r="A160" s="24"/>
      <c r="B160" s="25"/>
      <c r="C160" s="25"/>
      <c r="D160" s="25"/>
      <c r="E160" s="138"/>
      <c r="F160" s="138"/>
      <c r="G160" s="26"/>
    </row>
    <row r="161" ht="22.5" customHeight="1">
      <c r="A161" s="24"/>
      <c r="B161" s="25"/>
      <c r="C161" s="25"/>
      <c r="D161" s="25"/>
      <c r="E161" s="138"/>
      <c r="F161" s="138"/>
      <c r="G161" s="26"/>
    </row>
    <row r="162" ht="22.5" customHeight="1">
      <c r="A162" s="24"/>
      <c r="B162" s="25"/>
      <c r="C162" s="25"/>
      <c r="D162" s="25"/>
      <c r="E162" s="138"/>
      <c r="F162" s="138"/>
      <c r="G162" s="26"/>
    </row>
    <row r="163" ht="22.5" customHeight="1">
      <c r="A163" s="24"/>
      <c r="B163" s="25"/>
      <c r="C163" s="25"/>
      <c r="D163" s="25"/>
      <c r="E163" s="138"/>
      <c r="F163" s="138"/>
      <c r="G163" s="26"/>
    </row>
    <row r="164" ht="22.5" customHeight="1">
      <c r="A164" s="24"/>
      <c r="B164" s="25"/>
      <c r="C164" s="25"/>
      <c r="D164" s="25"/>
      <c r="E164" s="138"/>
      <c r="F164" s="138"/>
      <c r="G164" s="26"/>
    </row>
    <row r="165" ht="22.5" customHeight="1">
      <c r="A165" s="24"/>
      <c r="B165" s="25"/>
      <c r="C165" s="25"/>
      <c r="D165" s="25"/>
      <c r="E165" s="138"/>
      <c r="F165" s="138"/>
      <c r="G165" s="26"/>
    </row>
    <row r="166" ht="22.5" customHeight="1">
      <c r="A166" s="24"/>
      <c r="B166" s="25"/>
      <c r="C166" s="25"/>
      <c r="D166" s="25"/>
      <c r="E166" s="138"/>
      <c r="F166" s="138"/>
      <c r="G166" s="26"/>
    </row>
    <row r="167" ht="22.5" customHeight="1">
      <c r="A167" s="24"/>
      <c r="B167" s="25"/>
      <c r="C167" s="25"/>
      <c r="D167" s="25"/>
      <c r="E167" s="138"/>
      <c r="F167" s="138"/>
      <c r="G167" s="26"/>
    </row>
    <row r="168" ht="22.5" customHeight="1">
      <c r="A168" s="24"/>
      <c r="B168" s="25"/>
      <c r="C168" s="25"/>
      <c r="D168" s="25"/>
      <c r="E168" s="138"/>
      <c r="F168" s="138"/>
      <c r="G168" s="26"/>
    </row>
    <row r="169" ht="22.5" customHeight="1">
      <c r="A169" s="24"/>
      <c r="B169" s="25"/>
      <c r="C169" s="25"/>
      <c r="D169" s="25"/>
      <c r="E169" s="138"/>
      <c r="F169" s="138"/>
      <c r="G169" s="26"/>
    </row>
    <row r="170" ht="22.5" customHeight="1">
      <c r="A170" s="24"/>
      <c r="B170" s="25"/>
      <c r="C170" s="25"/>
      <c r="D170" s="25"/>
      <c r="E170" s="138"/>
      <c r="F170" s="138"/>
      <c r="G170" s="26"/>
    </row>
    <row r="171" ht="22.5" customHeight="1">
      <c r="A171" s="24"/>
      <c r="B171" s="25"/>
      <c r="C171" s="25"/>
      <c r="D171" s="25"/>
      <c r="E171" s="138"/>
      <c r="F171" s="138"/>
      <c r="G171" s="26"/>
    </row>
    <row r="172" ht="22.5" customHeight="1">
      <c r="A172" s="24"/>
      <c r="B172" s="25"/>
      <c r="C172" s="25"/>
      <c r="D172" s="25"/>
      <c r="E172" s="138"/>
      <c r="F172" s="138"/>
      <c r="G172" s="26"/>
    </row>
    <row r="173" ht="22.5" customHeight="1">
      <c r="A173" s="24"/>
      <c r="B173" s="25"/>
      <c r="C173" s="25"/>
      <c r="D173" s="25"/>
      <c r="E173" s="138"/>
      <c r="F173" s="138"/>
      <c r="G173" s="26"/>
    </row>
    <row r="174" ht="22.5" customHeight="1">
      <c r="A174" s="24"/>
      <c r="B174" s="25"/>
      <c r="C174" s="25"/>
      <c r="D174" s="25"/>
      <c r="E174" s="138"/>
      <c r="F174" s="138"/>
      <c r="G174" s="26"/>
    </row>
    <row r="175" ht="22.5" customHeight="1">
      <c r="A175" s="24"/>
      <c r="B175" s="25"/>
      <c r="C175" s="25"/>
      <c r="D175" s="25"/>
      <c r="E175" s="138"/>
      <c r="F175" s="138"/>
      <c r="G175" s="26"/>
    </row>
    <row r="176" ht="22.5" customHeight="1">
      <c r="A176" s="24"/>
      <c r="B176" s="25"/>
      <c r="C176" s="25"/>
      <c r="D176" s="25"/>
      <c r="E176" s="138"/>
      <c r="F176" s="138"/>
      <c r="G176" s="26"/>
    </row>
    <row r="177" ht="22.5" customHeight="1">
      <c r="A177" s="24"/>
      <c r="B177" s="25"/>
      <c r="C177" s="25"/>
      <c r="D177" s="25"/>
      <c r="E177" s="138"/>
      <c r="F177" s="138"/>
      <c r="G177" s="26"/>
    </row>
    <row r="178" ht="22.5" customHeight="1">
      <c r="A178" s="24"/>
      <c r="B178" s="25"/>
      <c r="C178" s="25"/>
      <c r="D178" s="25"/>
      <c r="E178" s="138"/>
      <c r="F178" s="138"/>
      <c r="G178" s="26"/>
    </row>
    <row r="179" ht="22.5" customHeight="1">
      <c r="A179" s="24"/>
      <c r="B179" s="25"/>
      <c r="C179" s="25"/>
      <c r="D179" s="25"/>
      <c r="E179" s="138"/>
      <c r="F179" s="138"/>
      <c r="G179" s="26"/>
    </row>
    <row r="180" ht="22.5" customHeight="1">
      <c r="A180" s="24"/>
      <c r="B180" s="25"/>
      <c r="C180" s="25"/>
      <c r="D180" s="25"/>
      <c r="E180" s="138"/>
      <c r="F180" s="138"/>
      <c r="G180" s="26"/>
    </row>
    <row r="181" ht="22.5" customHeight="1">
      <c r="A181" s="24"/>
      <c r="B181" s="25"/>
      <c r="C181" s="25"/>
      <c r="D181" s="25"/>
      <c r="E181" s="138"/>
      <c r="F181" s="138"/>
      <c r="G181" s="26"/>
    </row>
    <row r="182" ht="22.5" customHeight="1">
      <c r="A182" s="24"/>
      <c r="B182" s="25"/>
      <c r="C182" s="25"/>
      <c r="D182" s="25"/>
      <c r="E182" s="138"/>
      <c r="F182" s="138"/>
      <c r="G182" s="26"/>
    </row>
    <row r="183" ht="22.5" customHeight="1">
      <c r="A183" s="24"/>
      <c r="B183" s="25"/>
      <c r="C183" s="25"/>
      <c r="D183" s="25"/>
      <c r="E183" s="138"/>
      <c r="F183" s="138"/>
      <c r="G183" s="26"/>
    </row>
    <row r="184" ht="22.5" customHeight="1">
      <c r="A184" s="24"/>
      <c r="B184" s="25"/>
      <c r="C184" s="25"/>
      <c r="D184" s="25"/>
      <c r="E184" s="138"/>
      <c r="F184" s="138"/>
      <c r="G184" s="26"/>
    </row>
    <row r="185" ht="22.5" customHeight="1">
      <c r="A185" s="24"/>
      <c r="B185" s="25"/>
      <c r="C185" s="25"/>
      <c r="D185" s="25"/>
      <c r="E185" s="138"/>
      <c r="F185" s="138"/>
      <c r="G185" s="26"/>
    </row>
    <row r="186" ht="22.5" customHeight="1">
      <c r="A186" s="24"/>
      <c r="B186" s="25"/>
      <c r="C186" s="25"/>
      <c r="D186" s="25"/>
      <c r="E186" s="138"/>
      <c r="F186" s="138"/>
      <c r="G186" s="26"/>
    </row>
    <row r="187" ht="22.5" customHeight="1">
      <c r="A187" s="24"/>
      <c r="B187" s="25"/>
      <c r="C187" s="25"/>
      <c r="D187" s="25"/>
      <c r="E187" s="138"/>
      <c r="F187" s="138"/>
      <c r="G187" s="26"/>
    </row>
    <row r="188" ht="22.5" customHeight="1">
      <c r="A188" s="24"/>
      <c r="B188" s="25"/>
      <c r="C188" s="25"/>
      <c r="D188" s="25"/>
      <c r="E188" s="138"/>
      <c r="F188" s="138"/>
      <c r="G188" s="26"/>
    </row>
    <row r="189" ht="22.5" customHeight="1">
      <c r="A189" s="24"/>
      <c r="B189" s="25"/>
      <c r="C189" s="25"/>
      <c r="D189" s="25"/>
      <c r="E189" s="138"/>
      <c r="F189" s="138"/>
      <c r="G189" s="26"/>
    </row>
    <row r="190" ht="22.5" customHeight="1">
      <c r="A190" s="24"/>
      <c r="B190" s="25"/>
      <c r="C190" s="25"/>
      <c r="D190" s="25"/>
      <c r="E190" s="138"/>
      <c r="F190" s="138"/>
      <c r="G190" s="26"/>
    </row>
    <row r="191" ht="22.5" customHeight="1">
      <c r="A191" s="24"/>
      <c r="B191" s="25"/>
      <c r="C191" s="25"/>
      <c r="D191" s="25"/>
      <c r="E191" s="138"/>
      <c r="F191" s="138"/>
      <c r="G191" s="26"/>
    </row>
    <row r="192" ht="22.5" customHeight="1">
      <c r="A192" s="24"/>
      <c r="B192" s="25"/>
      <c r="C192" s="25"/>
      <c r="D192" s="25"/>
      <c r="E192" s="138"/>
      <c r="F192" s="138"/>
      <c r="G192" s="26"/>
    </row>
    <row r="193" ht="22.5" customHeight="1">
      <c r="A193" s="24"/>
      <c r="B193" s="25"/>
      <c r="C193" s="25"/>
      <c r="D193" s="25"/>
      <c r="E193" s="138"/>
      <c r="F193" s="138"/>
      <c r="G193" s="26"/>
    </row>
    <row r="194" ht="22.5" customHeight="1">
      <c r="A194" s="24"/>
      <c r="B194" s="25"/>
      <c r="C194" s="25"/>
      <c r="D194" s="25"/>
      <c r="E194" s="138"/>
      <c r="F194" s="138"/>
      <c r="G194" s="26"/>
    </row>
    <row r="195" ht="22.5" customHeight="1">
      <c r="A195" s="24"/>
      <c r="B195" s="25"/>
      <c r="C195" s="25"/>
      <c r="D195" s="25"/>
      <c r="E195" s="138"/>
      <c r="F195" s="138"/>
      <c r="G195" s="26"/>
    </row>
    <row r="196" ht="22.5" customHeight="1">
      <c r="A196" s="24"/>
      <c r="B196" s="25"/>
      <c r="C196" s="25"/>
      <c r="D196" s="25"/>
      <c r="E196" s="138"/>
      <c r="F196" s="138"/>
      <c r="G196" s="26"/>
    </row>
    <row r="197" ht="22.5" customHeight="1">
      <c r="A197" s="24"/>
      <c r="B197" s="25"/>
      <c r="C197" s="25"/>
      <c r="D197" s="25"/>
      <c r="E197" s="138"/>
      <c r="F197" s="138"/>
      <c r="G197" s="26"/>
    </row>
    <row r="198" ht="22.5" customHeight="1">
      <c r="A198" s="24"/>
      <c r="B198" s="25"/>
      <c r="C198" s="25"/>
      <c r="D198" s="25"/>
      <c r="E198" s="138"/>
      <c r="F198" s="138"/>
      <c r="G198" s="26"/>
    </row>
    <row r="199" ht="22.5" customHeight="1">
      <c r="A199" s="24"/>
      <c r="B199" s="25"/>
      <c r="C199" s="25"/>
      <c r="D199" s="25"/>
      <c r="E199" s="138"/>
      <c r="F199" s="138"/>
      <c r="G199" s="26"/>
    </row>
    <row r="200" ht="22.5" customHeight="1">
      <c r="A200" s="24"/>
      <c r="B200" s="25"/>
      <c r="C200" s="25"/>
      <c r="D200" s="25"/>
      <c r="E200" s="138"/>
      <c r="F200" s="138"/>
      <c r="G200" s="26"/>
    </row>
    <row r="201" ht="22.5" customHeight="1">
      <c r="A201" s="24"/>
      <c r="B201" s="25"/>
      <c r="C201" s="25"/>
      <c r="D201" s="25"/>
      <c r="E201" s="138"/>
      <c r="F201" s="138"/>
      <c r="G201" s="26"/>
    </row>
    <row r="202" ht="22.5" customHeight="1">
      <c r="A202" s="24"/>
      <c r="B202" s="25"/>
      <c r="C202" s="25"/>
      <c r="D202" s="25"/>
      <c r="E202" s="138"/>
      <c r="F202" s="138"/>
      <c r="G202" s="26"/>
    </row>
    <row r="203" ht="22.5" customHeight="1">
      <c r="A203" s="24"/>
      <c r="B203" s="25"/>
      <c r="C203" s="25"/>
      <c r="D203" s="25"/>
      <c r="E203" s="138"/>
      <c r="F203" s="138"/>
      <c r="G203" s="26"/>
    </row>
    <row r="204" ht="22.5" customHeight="1">
      <c r="A204" s="24"/>
      <c r="B204" s="25"/>
      <c r="C204" s="25"/>
      <c r="D204" s="25"/>
      <c r="E204" s="138"/>
      <c r="F204" s="138"/>
      <c r="G204" s="26"/>
    </row>
    <row r="205" ht="22.5" customHeight="1">
      <c r="A205" s="24"/>
      <c r="B205" s="25"/>
      <c r="C205" s="25"/>
      <c r="D205" s="25"/>
      <c r="E205" s="138"/>
      <c r="F205" s="138"/>
      <c r="G205" s="26"/>
    </row>
    <row r="206" ht="22.5" customHeight="1">
      <c r="A206" s="24"/>
      <c r="B206" s="25"/>
      <c r="C206" s="25"/>
      <c r="D206" s="25"/>
      <c r="E206" s="138"/>
      <c r="F206" s="138"/>
      <c r="G206" s="26"/>
    </row>
    <row r="207" ht="22.5" customHeight="1">
      <c r="A207" s="24"/>
      <c r="B207" s="25"/>
      <c r="C207" s="25"/>
      <c r="D207" s="25"/>
      <c r="E207" s="138"/>
      <c r="F207" s="138"/>
      <c r="G207" s="26"/>
    </row>
    <row r="208" ht="22.5" customHeight="1">
      <c r="A208" s="24"/>
      <c r="B208" s="25"/>
      <c r="C208" s="25"/>
      <c r="D208" s="25"/>
      <c r="E208" s="138"/>
      <c r="F208" s="138"/>
      <c r="G208" s="26"/>
    </row>
    <row r="209" ht="22.5" customHeight="1">
      <c r="A209" s="24"/>
      <c r="B209" s="25"/>
      <c r="C209" s="25"/>
      <c r="D209" s="25"/>
      <c r="E209" s="138"/>
      <c r="F209" s="138"/>
      <c r="G209" s="26"/>
    </row>
    <row r="210" ht="22.5" customHeight="1">
      <c r="A210" s="24"/>
      <c r="B210" s="25"/>
      <c r="C210" s="25"/>
      <c r="D210" s="25"/>
      <c r="E210" s="138"/>
      <c r="F210" s="138"/>
      <c r="G210" s="26"/>
    </row>
    <row r="211" ht="22.5" customHeight="1">
      <c r="A211" s="24"/>
      <c r="B211" s="25"/>
      <c r="C211" s="25"/>
      <c r="D211" s="25"/>
      <c r="E211" s="138"/>
      <c r="F211" s="138"/>
      <c r="G211" s="26"/>
    </row>
    <row r="212" ht="22.5" customHeight="1">
      <c r="A212" s="24"/>
      <c r="B212" s="25"/>
      <c r="C212" s="25"/>
      <c r="D212" s="25"/>
      <c r="E212" s="138"/>
      <c r="F212" s="138"/>
      <c r="G212" s="26"/>
    </row>
    <row r="213" ht="22.5" customHeight="1">
      <c r="A213" s="24"/>
      <c r="B213" s="25"/>
      <c r="C213" s="25"/>
      <c r="D213" s="25"/>
      <c r="E213" s="138"/>
      <c r="F213" s="138"/>
      <c r="G213" s="26"/>
    </row>
    <row r="214" ht="22.5" customHeight="1">
      <c r="A214" s="24"/>
      <c r="B214" s="25"/>
      <c r="C214" s="25"/>
      <c r="D214" s="25"/>
      <c r="E214" s="138"/>
      <c r="F214" s="138"/>
      <c r="G214" s="26"/>
    </row>
    <row r="215" ht="22.5" customHeight="1">
      <c r="A215" s="24"/>
      <c r="B215" s="25"/>
      <c r="C215" s="25"/>
      <c r="D215" s="25"/>
      <c r="E215" s="138"/>
      <c r="F215" s="138"/>
      <c r="G215" s="26"/>
    </row>
    <row r="216" ht="22.5" customHeight="1">
      <c r="A216" s="24"/>
      <c r="B216" s="25"/>
      <c r="C216" s="25"/>
      <c r="D216" s="25"/>
      <c r="E216" s="138"/>
      <c r="F216" s="138"/>
      <c r="G216" s="26"/>
    </row>
    <row r="217" ht="22.5" customHeight="1">
      <c r="A217" s="24"/>
      <c r="B217" s="25"/>
      <c r="C217" s="25"/>
      <c r="D217" s="25"/>
      <c r="E217" s="138"/>
      <c r="F217" s="138"/>
      <c r="G217" s="26"/>
    </row>
    <row r="218" ht="22.5" customHeight="1">
      <c r="A218" s="24"/>
      <c r="B218" s="25"/>
      <c r="C218" s="25"/>
      <c r="D218" s="25"/>
      <c r="E218" s="138"/>
      <c r="F218" s="138"/>
      <c r="G218" s="26"/>
    </row>
    <row r="219" ht="22.5" customHeight="1">
      <c r="A219" s="24"/>
      <c r="B219" s="25"/>
      <c r="C219" s="25"/>
      <c r="D219" s="25"/>
      <c r="E219" s="138"/>
      <c r="F219" s="138"/>
      <c r="G219" s="26"/>
    </row>
    <row r="220" ht="22.5" customHeight="1">
      <c r="A220" s="24"/>
      <c r="B220" s="25"/>
      <c r="C220" s="25"/>
      <c r="D220" s="25"/>
      <c r="E220" s="138"/>
      <c r="F220" s="138"/>
      <c r="G220" s="26"/>
    </row>
    <row r="221" ht="22.5" customHeight="1">
      <c r="A221" s="24"/>
      <c r="B221" s="25"/>
      <c r="C221" s="25"/>
      <c r="D221" s="25"/>
      <c r="E221" s="138"/>
      <c r="F221" s="138"/>
      <c r="G221" s="26"/>
    </row>
    <row r="222" ht="22.5" customHeight="1">
      <c r="A222" s="24"/>
      <c r="B222" s="25"/>
      <c r="C222" s="25"/>
      <c r="D222" s="25"/>
      <c r="E222" s="138"/>
      <c r="F222" s="138"/>
      <c r="G222" s="26"/>
    </row>
    <row r="223" ht="22.5" customHeight="1">
      <c r="A223" s="24"/>
      <c r="B223" s="25"/>
      <c r="C223" s="25"/>
      <c r="D223" s="25"/>
      <c r="E223" s="138"/>
      <c r="F223" s="138"/>
      <c r="G223" s="26"/>
    </row>
    <row r="224" ht="22.5" customHeight="1">
      <c r="A224" s="24"/>
      <c r="B224" s="25"/>
      <c r="C224" s="25"/>
      <c r="D224" s="25"/>
      <c r="E224" s="138"/>
      <c r="F224" s="138"/>
      <c r="G224" s="26"/>
    </row>
    <row r="225" ht="22.5" customHeight="1">
      <c r="A225" s="24"/>
      <c r="B225" s="25"/>
      <c r="C225" s="25"/>
      <c r="D225" s="25"/>
      <c r="E225" s="138"/>
      <c r="F225" s="138"/>
      <c r="G225" s="26"/>
    </row>
    <row r="226" ht="22.5" customHeight="1">
      <c r="A226" s="24"/>
      <c r="B226" s="25"/>
      <c r="C226" s="25"/>
      <c r="D226" s="25"/>
      <c r="E226" s="138"/>
      <c r="F226" s="138"/>
      <c r="G226" s="26"/>
    </row>
    <row r="227" ht="22.5" customHeight="1">
      <c r="A227" s="24"/>
      <c r="B227" s="25"/>
      <c r="C227" s="25"/>
      <c r="D227" s="25"/>
      <c r="E227" s="138"/>
      <c r="F227" s="138"/>
      <c r="G227" s="26"/>
    </row>
    <row r="228" ht="22.5" customHeight="1">
      <c r="A228" s="24"/>
      <c r="B228" s="25"/>
      <c r="C228" s="25"/>
      <c r="D228" s="25"/>
      <c r="E228" s="138"/>
      <c r="F228" s="138"/>
      <c r="G228" s="26"/>
    </row>
    <row r="229" ht="22.5" customHeight="1">
      <c r="A229" s="24"/>
      <c r="B229" s="25"/>
      <c r="C229" s="25"/>
      <c r="D229" s="25"/>
      <c r="E229" s="138"/>
      <c r="F229" s="138"/>
      <c r="G229" s="26"/>
    </row>
    <row r="230" ht="22.5" customHeight="1">
      <c r="A230" s="24"/>
      <c r="B230" s="25"/>
      <c r="C230" s="25"/>
      <c r="D230" s="25"/>
      <c r="E230" s="138"/>
      <c r="F230" s="138"/>
      <c r="G230" s="26"/>
    </row>
    <row r="231" ht="22.5" customHeight="1">
      <c r="A231" s="24"/>
      <c r="B231" s="25"/>
      <c r="C231" s="25"/>
      <c r="D231" s="25"/>
      <c r="E231" s="138"/>
      <c r="F231" s="138"/>
      <c r="G231" s="26"/>
    </row>
    <row r="232" ht="22.5" customHeight="1">
      <c r="A232" s="24"/>
      <c r="B232" s="25"/>
      <c r="C232" s="25"/>
      <c r="D232" s="25"/>
      <c r="E232" s="138"/>
      <c r="F232" s="138"/>
      <c r="G232" s="26"/>
    </row>
    <row r="233" ht="22.5" customHeight="1">
      <c r="A233" s="24"/>
      <c r="B233" s="25"/>
      <c r="C233" s="25"/>
      <c r="D233" s="25"/>
      <c r="E233" s="138"/>
      <c r="F233" s="138"/>
      <c r="G233" s="26"/>
    </row>
    <row r="234" ht="22.5" customHeight="1">
      <c r="A234" s="24"/>
      <c r="B234" s="25"/>
      <c r="C234" s="25"/>
      <c r="D234" s="25"/>
      <c r="E234" s="138"/>
      <c r="F234" s="138"/>
      <c r="G234" s="26"/>
    </row>
    <row r="235" ht="22.5" customHeight="1">
      <c r="A235" s="24"/>
      <c r="B235" s="25"/>
      <c r="C235" s="25"/>
      <c r="D235" s="25"/>
      <c r="E235" s="138"/>
      <c r="F235" s="138"/>
      <c r="G235" s="26"/>
    </row>
    <row r="236" ht="22.5" customHeight="1">
      <c r="A236" s="24"/>
      <c r="B236" s="25"/>
      <c r="C236" s="25"/>
      <c r="D236" s="25"/>
      <c r="E236" s="138"/>
      <c r="F236" s="138"/>
      <c r="G236" s="26"/>
    </row>
    <row r="237" ht="22.5" customHeight="1">
      <c r="A237" s="24"/>
      <c r="B237" s="25"/>
      <c r="C237" s="25"/>
      <c r="D237" s="25"/>
      <c r="E237" s="138"/>
      <c r="F237" s="138"/>
      <c r="G237" s="26"/>
    </row>
    <row r="238" ht="22.5" customHeight="1">
      <c r="A238" s="24"/>
      <c r="B238" s="25"/>
      <c r="C238" s="25"/>
      <c r="D238" s="25"/>
      <c r="E238" s="138"/>
      <c r="F238" s="138"/>
      <c r="G238" s="26"/>
    </row>
    <row r="239" ht="22.5" customHeight="1">
      <c r="A239" s="24"/>
      <c r="B239" s="25"/>
      <c r="C239" s="25"/>
      <c r="D239" s="25"/>
      <c r="E239" s="138"/>
      <c r="F239" s="138"/>
      <c r="G239" s="26"/>
    </row>
    <row r="240" ht="22.5" customHeight="1">
      <c r="A240" s="24"/>
      <c r="B240" s="25"/>
      <c r="C240" s="25"/>
      <c r="D240" s="25"/>
      <c r="E240" s="138"/>
      <c r="F240" s="138"/>
      <c r="G240" s="26"/>
    </row>
    <row r="241" ht="22.5" customHeight="1">
      <c r="A241" s="24"/>
      <c r="B241" s="25"/>
      <c r="C241" s="25"/>
      <c r="D241" s="25"/>
      <c r="E241" s="138"/>
      <c r="F241" s="138"/>
      <c r="G241" s="26"/>
    </row>
    <row r="242" ht="22.5" customHeight="1">
      <c r="A242" s="24"/>
      <c r="B242" s="25"/>
      <c r="C242" s="25"/>
      <c r="D242" s="25"/>
      <c r="E242" s="138"/>
      <c r="F242" s="138"/>
      <c r="G242" s="26"/>
    </row>
    <row r="243" ht="22.5" customHeight="1">
      <c r="A243" s="24"/>
      <c r="B243" s="25"/>
      <c r="C243" s="25"/>
      <c r="D243" s="25"/>
      <c r="E243" s="138"/>
      <c r="F243" s="138"/>
      <c r="G243" s="26"/>
    </row>
    <row r="244" ht="22.5" customHeight="1">
      <c r="A244" s="24"/>
      <c r="B244" s="25"/>
      <c r="C244" s="25"/>
      <c r="D244" s="25"/>
      <c r="E244" s="138"/>
      <c r="F244" s="138"/>
      <c r="G244" s="26"/>
    </row>
    <row r="245" ht="22.5" customHeight="1">
      <c r="A245" s="24"/>
      <c r="B245" s="25"/>
      <c r="C245" s="25"/>
      <c r="D245" s="25"/>
      <c r="E245" s="138"/>
      <c r="F245" s="138"/>
      <c r="G245" s="26"/>
    </row>
    <row r="246" ht="22.5" customHeight="1">
      <c r="A246" s="24"/>
      <c r="B246" s="25"/>
      <c r="C246" s="25"/>
      <c r="D246" s="25"/>
      <c r="E246" s="138"/>
      <c r="F246" s="138"/>
      <c r="G246" s="26"/>
    </row>
    <row r="247" ht="22.5" customHeight="1">
      <c r="A247" s="24"/>
      <c r="B247" s="25"/>
      <c r="C247" s="25"/>
      <c r="D247" s="25"/>
      <c r="E247" s="138"/>
      <c r="F247" s="138"/>
      <c r="G247" s="26"/>
    </row>
    <row r="248" ht="22.5" customHeight="1">
      <c r="A248" s="24"/>
      <c r="B248" s="25"/>
      <c r="C248" s="25"/>
      <c r="D248" s="25"/>
      <c r="E248" s="138"/>
      <c r="F248" s="138"/>
      <c r="G248" s="26"/>
    </row>
    <row r="249" ht="22.5" customHeight="1">
      <c r="A249" s="24"/>
      <c r="B249" s="25"/>
      <c r="C249" s="25"/>
      <c r="D249" s="25"/>
      <c r="E249" s="138"/>
      <c r="F249" s="138"/>
      <c r="G249" s="26"/>
    </row>
    <row r="250" ht="22.5" customHeight="1">
      <c r="A250" s="24"/>
      <c r="B250" s="25"/>
      <c r="C250" s="25"/>
      <c r="D250" s="25"/>
      <c r="E250" s="138"/>
      <c r="F250" s="138"/>
      <c r="G250" s="26"/>
    </row>
    <row r="251" ht="22.5" customHeight="1">
      <c r="A251" s="24"/>
      <c r="B251" s="25"/>
      <c r="C251" s="25"/>
      <c r="D251" s="25"/>
      <c r="E251" s="138"/>
      <c r="F251" s="138"/>
      <c r="G251" s="26"/>
    </row>
    <row r="252" ht="22.5" customHeight="1">
      <c r="A252" s="24"/>
      <c r="B252" s="25"/>
      <c r="C252" s="25"/>
      <c r="D252" s="25"/>
      <c r="E252" s="138"/>
      <c r="F252" s="138"/>
      <c r="G252" s="26"/>
    </row>
    <row r="253" ht="22.5" customHeight="1">
      <c r="A253" s="24"/>
      <c r="B253" s="25"/>
      <c r="C253" s="25"/>
      <c r="D253" s="25"/>
      <c r="E253" s="138"/>
      <c r="F253" s="138"/>
      <c r="G253" s="26"/>
    </row>
    <row r="254" ht="22.5" customHeight="1">
      <c r="A254" s="24"/>
      <c r="B254" s="25"/>
      <c r="C254" s="25"/>
      <c r="D254" s="25"/>
      <c r="E254" s="138"/>
      <c r="F254" s="138"/>
      <c r="G254" s="26"/>
    </row>
    <row r="255" ht="22.5" customHeight="1">
      <c r="A255" s="24"/>
      <c r="B255" s="25"/>
      <c r="C255" s="25"/>
      <c r="D255" s="25"/>
      <c r="E255" s="138"/>
      <c r="F255" s="138"/>
      <c r="G255" s="26"/>
    </row>
    <row r="256" ht="22.5" customHeight="1">
      <c r="A256" s="24"/>
      <c r="B256" s="25"/>
      <c r="C256" s="25"/>
      <c r="D256" s="25"/>
      <c r="E256" s="138"/>
      <c r="F256" s="138"/>
      <c r="G256" s="26"/>
    </row>
    <row r="257" ht="22.5" customHeight="1">
      <c r="A257" s="24"/>
      <c r="B257" s="25"/>
      <c r="C257" s="25"/>
      <c r="D257" s="25"/>
      <c r="E257" s="138"/>
      <c r="F257" s="138"/>
      <c r="G257" s="26"/>
    </row>
    <row r="258" ht="22.5" customHeight="1">
      <c r="A258" s="24"/>
      <c r="B258" s="25"/>
      <c r="C258" s="25"/>
      <c r="D258" s="25"/>
      <c r="E258" s="138"/>
      <c r="F258" s="138"/>
      <c r="G258" s="26"/>
    </row>
    <row r="259" ht="22.5" customHeight="1">
      <c r="A259" s="24"/>
      <c r="B259" s="25"/>
      <c r="C259" s="25"/>
      <c r="D259" s="25"/>
      <c r="E259" s="138"/>
      <c r="F259" s="138"/>
      <c r="G259" s="26"/>
    </row>
    <row r="260" ht="22.5" customHeight="1">
      <c r="A260" s="24"/>
      <c r="B260" s="25"/>
      <c r="C260" s="25"/>
      <c r="D260" s="25"/>
      <c r="E260" s="138"/>
      <c r="F260" s="138"/>
      <c r="G260" s="26"/>
    </row>
    <row r="261" ht="22.5" customHeight="1">
      <c r="A261" s="24"/>
      <c r="B261" s="25"/>
      <c r="C261" s="25"/>
      <c r="D261" s="25"/>
      <c r="E261" s="138"/>
      <c r="F261" s="138"/>
      <c r="G261" s="26"/>
    </row>
    <row r="262" ht="22.5" customHeight="1">
      <c r="A262" s="24"/>
      <c r="B262" s="25"/>
      <c r="C262" s="25"/>
      <c r="D262" s="25"/>
      <c r="E262" s="138"/>
      <c r="F262" s="138"/>
      <c r="G262" s="26"/>
    </row>
    <row r="263" ht="22.5" customHeight="1">
      <c r="A263" s="24"/>
      <c r="B263" s="25"/>
      <c r="C263" s="25"/>
      <c r="D263" s="25"/>
      <c r="E263" s="138"/>
      <c r="F263" s="138"/>
      <c r="G263" s="26"/>
    </row>
    <row r="264" ht="22.5" customHeight="1">
      <c r="A264" s="24"/>
      <c r="B264" s="25"/>
      <c r="C264" s="25"/>
      <c r="D264" s="25"/>
      <c r="E264" s="138"/>
      <c r="F264" s="138"/>
      <c r="G264" s="26"/>
    </row>
    <row r="265" ht="22.5" customHeight="1">
      <c r="A265" s="24"/>
      <c r="B265" s="25"/>
      <c r="C265" s="25"/>
      <c r="D265" s="25"/>
      <c r="E265" s="138"/>
      <c r="F265" s="138"/>
      <c r="G265" s="26"/>
    </row>
    <row r="266" ht="22.5" customHeight="1">
      <c r="A266" s="24"/>
      <c r="B266" s="25"/>
      <c r="C266" s="25"/>
      <c r="D266" s="25"/>
      <c r="E266" s="138"/>
      <c r="F266" s="138"/>
      <c r="G266" s="26"/>
    </row>
    <row r="267" ht="22.5" customHeight="1">
      <c r="A267" s="24"/>
      <c r="B267" s="25"/>
      <c r="C267" s="25"/>
      <c r="D267" s="25"/>
      <c r="E267" s="138"/>
      <c r="F267" s="138"/>
      <c r="G267" s="26"/>
    </row>
    <row r="268" ht="22.5" customHeight="1">
      <c r="A268" s="24"/>
      <c r="B268" s="25"/>
      <c r="C268" s="25"/>
      <c r="D268" s="25"/>
      <c r="E268" s="138"/>
      <c r="F268" s="138"/>
      <c r="G268" s="26"/>
    </row>
    <row r="269" ht="22.5" customHeight="1">
      <c r="A269" s="24"/>
      <c r="B269" s="25"/>
      <c r="C269" s="25"/>
      <c r="D269" s="25"/>
      <c r="E269" s="138"/>
      <c r="F269" s="138"/>
      <c r="G269" s="26"/>
    </row>
    <row r="270" ht="22.5" customHeight="1">
      <c r="A270" s="24"/>
      <c r="B270" s="25"/>
      <c r="C270" s="25"/>
      <c r="D270" s="25"/>
      <c r="E270" s="138"/>
      <c r="F270" s="138"/>
      <c r="G270" s="26"/>
    </row>
    <row r="271" ht="22.5" customHeight="1">
      <c r="A271" s="24"/>
      <c r="B271" s="25"/>
      <c r="C271" s="25"/>
      <c r="D271" s="25"/>
      <c r="E271" s="138"/>
      <c r="F271" s="138"/>
      <c r="G271" s="26"/>
    </row>
    <row r="272" ht="22.5" customHeight="1">
      <c r="A272" s="24"/>
      <c r="B272" s="25"/>
      <c r="C272" s="25"/>
      <c r="D272" s="25"/>
      <c r="E272" s="138"/>
      <c r="F272" s="138"/>
      <c r="G272" s="26"/>
    </row>
    <row r="273" ht="22.5" customHeight="1">
      <c r="A273" s="24"/>
      <c r="B273" s="25"/>
      <c r="C273" s="25"/>
      <c r="D273" s="25"/>
      <c r="E273" s="138"/>
      <c r="F273" s="138"/>
      <c r="G273" s="26"/>
    </row>
    <row r="274" ht="22.5" customHeight="1">
      <c r="A274" s="24"/>
      <c r="B274" s="25"/>
      <c r="C274" s="25"/>
      <c r="D274" s="25"/>
      <c r="E274" s="138"/>
      <c r="F274" s="138"/>
      <c r="G274" s="26"/>
    </row>
    <row r="275" ht="22.5" customHeight="1">
      <c r="A275" s="24"/>
      <c r="B275" s="25"/>
      <c r="C275" s="25"/>
      <c r="D275" s="25"/>
      <c r="E275" s="138"/>
      <c r="F275" s="138"/>
      <c r="G275" s="26"/>
    </row>
    <row r="276" ht="22.5" customHeight="1">
      <c r="A276" s="24"/>
      <c r="B276" s="25"/>
      <c r="C276" s="25"/>
      <c r="D276" s="25"/>
      <c r="E276" s="138"/>
      <c r="F276" s="138"/>
      <c r="G276" s="26"/>
    </row>
    <row r="277" ht="22.5" customHeight="1">
      <c r="A277" s="24"/>
      <c r="B277" s="25"/>
      <c r="C277" s="25"/>
      <c r="D277" s="25"/>
      <c r="E277" s="138"/>
      <c r="F277" s="138"/>
      <c r="G277" s="26"/>
    </row>
    <row r="278" ht="22.5" customHeight="1">
      <c r="A278" s="24"/>
      <c r="B278" s="25"/>
      <c r="C278" s="25"/>
      <c r="D278" s="25"/>
      <c r="E278" s="138"/>
      <c r="F278" s="138"/>
      <c r="G278" s="26"/>
    </row>
    <row r="279" ht="22.5" customHeight="1">
      <c r="A279" s="24"/>
      <c r="B279" s="25"/>
      <c r="C279" s="25"/>
      <c r="D279" s="25"/>
      <c r="E279" s="138"/>
      <c r="F279" s="138"/>
      <c r="G279" s="26"/>
    </row>
    <row r="280" ht="22.5" customHeight="1">
      <c r="A280" s="24"/>
      <c r="B280" s="25"/>
      <c r="C280" s="25"/>
      <c r="D280" s="25"/>
      <c r="E280" s="138"/>
      <c r="F280" s="138"/>
      <c r="G280" s="26"/>
    </row>
    <row r="281" ht="22.5" customHeight="1">
      <c r="A281" s="24"/>
      <c r="B281" s="25"/>
      <c r="C281" s="25"/>
      <c r="D281" s="25"/>
      <c r="E281" s="138"/>
      <c r="F281" s="138"/>
      <c r="G281" s="26"/>
    </row>
    <row r="282" ht="22.5" customHeight="1">
      <c r="A282" s="24"/>
      <c r="B282" s="25"/>
      <c r="C282" s="25"/>
      <c r="D282" s="25"/>
      <c r="E282" s="138"/>
      <c r="F282" s="138"/>
      <c r="G282" s="26"/>
    </row>
    <row r="283" ht="22.5" customHeight="1">
      <c r="A283" s="24"/>
      <c r="B283" s="25"/>
      <c r="C283" s="25"/>
      <c r="D283" s="25"/>
      <c r="E283" s="138"/>
      <c r="F283" s="138"/>
      <c r="G283" s="26"/>
    </row>
    <row r="284" ht="22.5" customHeight="1">
      <c r="A284" s="24"/>
      <c r="B284" s="25"/>
      <c r="C284" s="25"/>
      <c r="D284" s="25"/>
      <c r="E284" s="138"/>
      <c r="F284" s="138"/>
      <c r="G284" s="26"/>
    </row>
    <row r="285" ht="22.5" customHeight="1">
      <c r="A285" s="24"/>
      <c r="B285" s="25"/>
      <c r="C285" s="25"/>
      <c r="D285" s="25"/>
      <c r="E285" s="138"/>
      <c r="F285" s="138"/>
      <c r="G285" s="26"/>
    </row>
    <row r="286" ht="22.5" customHeight="1">
      <c r="A286" s="24"/>
      <c r="B286" s="25"/>
      <c r="C286" s="25"/>
      <c r="D286" s="25"/>
      <c r="E286" s="138"/>
      <c r="F286" s="138"/>
      <c r="G286" s="26"/>
    </row>
    <row r="287" ht="22.5" customHeight="1">
      <c r="A287" s="24"/>
      <c r="B287" s="25"/>
      <c r="C287" s="25"/>
      <c r="D287" s="25"/>
      <c r="E287" s="138"/>
      <c r="F287" s="138"/>
      <c r="G287" s="26"/>
    </row>
    <row r="288" ht="22.5" customHeight="1">
      <c r="A288" s="24"/>
      <c r="B288" s="25"/>
      <c r="C288" s="25"/>
      <c r="D288" s="25"/>
      <c r="E288" s="138"/>
      <c r="F288" s="138"/>
      <c r="G288" s="26"/>
    </row>
    <row r="289" ht="22.5" customHeight="1">
      <c r="A289" s="24"/>
      <c r="B289" s="25"/>
      <c r="C289" s="25"/>
      <c r="D289" s="25"/>
      <c r="E289" s="138"/>
      <c r="F289" s="138"/>
      <c r="G289" s="26"/>
    </row>
    <row r="290" ht="22.5" customHeight="1">
      <c r="A290" s="24"/>
      <c r="B290" s="25"/>
      <c r="C290" s="25"/>
      <c r="D290" s="25"/>
      <c r="E290" s="138"/>
      <c r="F290" s="138"/>
      <c r="G290" s="26"/>
    </row>
    <row r="291" ht="22.5" customHeight="1">
      <c r="A291" s="24"/>
      <c r="B291" s="25"/>
      <c r="C291" s="25"/>
      <c r="D291" s="25"/>
      <c r="E291" s="138"/>
      <c r="F291" s="138"/>
      <c r="G291" s="26"/>
    </row>
    <row r="292" ht="22.5" customHeight="1">
      <c r="A292" s="24"/>
      <c r="B292" s="25"/>
      <c r="C292" s="25"/>
      <c r="D292" s="25"/>
      <c r="E292" s="138"/>
      <c r="F292" s="138"/>
      <c r="G292" s="26"/>
    </row>
    <row r="293" ht="22.5" customHeight="1">
      <c r="A293" s="24"/>
      <c r="B293" s="25"/>
      <c r="C293" s="25"/>
      <c r="D293" s="25"/>
      <c r="E293" s="138"/>
      <c r="F293" s="138"/>
      <c r="G293" s="26"/>
    </row>
    <row r="294" ht="22.5" customHeight="1">
      <c r="A294" s="24"/>
      <c r="B294" s="25"/>
      <c r="C294" s="25"/>
      <c r="D294" s="25"/>
      <c r="E294" s="138"/>
      <c r="F294" s="138"/>
      <c r="G294" s="26"/>
    </row>
    <row r="295" ht="22.5" customHeight="1">
      <c r="A295" s="24"/>
      <c r="B295" s="25"/>
      <c r="C295" s="25"/>
      <c r="D295" s="25"/>
      <c r="E295" s="138"/>
      <c r="F295" s="138"/>
      <c r="G295" s="26"/>
    </row>
    <row r="296" ht="22.5" customHeight="1">
      <c r="A296" s="24"/>
      <c r="B296" s="25"/>
      <c r="C296" s="25"/>
      <c r="D296" s="25"/>
      <c r="E296" s="138"/>
      <c r="F296" s="138"/>
      <c r="G296" s="26"/>
    </row>
    <row r="297" ht="22.5" customHeight="1">
      <c r="A297" s="24"/>
      <c r="B297" s="25"/>
      <c r="C297" s="25"/>
      <c r="D297" s="25"/>
      <c r="E297" s="138"/>
      <c r="F297" s="138"/>
      <c r="G297" s="26"/>
    </row>
    <row r="298" ht="22.5" customHeight="1">
      <c r="A298" s="24"/>
      <c r="B298" s="25"/>
      <c r="C298" s="25"/>
      <c r="D298" s="25"/>
      <c r="E298" s="138"/>
      <c r="F298" s="138"/>
      <c r="G298" s="26"/>
    </row>
    <row r="299" ht="22.5" customHeight="1">
      <c r="A299" s="24"/>
      <c r="B299" s="25"/>
      <c r="C299" s="25"/>
      <c r="D299" s="25"/>
      <c r="E299" s="138"/>
      <c r="F299" s="138"/>
      <c r="G299" s="26"/>
    </row>
    <row r="300" ht="22.5" customHeight="1">
      <c r="A300" s="24"/>
      <c r="B300" s="25"/>
      <c r="C300" s="25"/>
      <c r="D300" s="25"/>
      <c r="E300" s="138"/>
      <c r="F300" s="138"/>
      <c r="G300" s="26"/>
    </row>
    <row r="301" ht="22.5" customHeight="1">
      <c r="A301" s="24"/>
      <c r="B301" s="25"/>
      <c r="C301" s="25"/>
      <c r="D301" s="25"/>
      <c r="E301" s="138"/>
      <c r="F301" s="138"/>
      <c r="G301" s="26"/>
    </row>
    <row r="302" ht="22.5" customHeight="1">
      <c r="A302" s="24"/>
      <c r="B302" s="25"/>
      <c r="C302" s="25"/>
      <c r="D302" s="25"/>
      <c r="E302" s="138"/>
      <c r="F302" s="138"/>
      <c r="G302" s="26"/>
    </row>
    <row r="303" ht="22.5" customHeight="1">
      <c r="A303" s="24"/>
      <c r="B303" s="25"/>
      <c r="C303" s="25"/>
      <c r="D303" s="25"/>
      <c r="E303" s="138"/>
      <c r="F303" s="138"/>
      <c r="G303" s="26"/>
    </row>
    <row r="304" ht="22.5" customHeight="1">
      <c r="A304" s="24"/>
      <c r="B304" s="25"/>
      <c r="C304" s="25"/>
      <c r="D304" s="25"/>
      <c r="E304" s="138"/>
      <c r="F304" s="138"/>
      <c r="G304" s="26"/>
    </row>
    <row r="305" ht="22.5" customHeight="1">
      <c r="A305" s="24"/>
      <c r="B305" s="25"/>
      <c r="C305" s="25"/>
      <c r="D305" s="25"/>
      <c r="E305" s="138"/>
      <c r="F305" s="138"/>
      <c r="G305" s="26"/>
    </row>
    <row r="306" ht="22.5" customHeight="1">
      <c r="A306" s="24"/>
      <c r="B306" s="25"/>
      <c r="C306" s="25"/>
      <c r="D306" s="25"/>
      <c r="E306" s="138"/>
      <c r="F306" s="138"/>
      <c r="G306" s="26"/>
    </row>
    <row r="307" ht="22.5" customHeight="1">
      <c r="A307" s="24"/>
      <c r="B307" s="25"/>
      <c r="C307" s="25"/>
      <c r="D307" s="25"/>
      <c r="E307" s="138"/>
      <c r="F307" s="138"/>
      <c r="G307" s="26"/>
    </row>
    <row r="308" ht="22.5" customHeight="1">
      <c r="A308" s="24"/>
      <c r="B308" s="25"/>
      <c r="C308" s="25"/>
      <c r="D308" s="25"/>
      <c r="E308" s="138"/>
      <c r="F308" s="138"/>
      <c r="G308" s="26"/>
    </row>
    <row r="309" ht="22.5" customHeight="1">
      <c r="A309" s="24"/>
      <c r="B309" s="25"/>
      <c r="C309" s="25"/>
      <c r="D309" s="25"/>
      <c r="E309" s="138"/>
      <c r="F309" s="138"/>
      <c r="G309" s="26"/>
    </row>
    <row r="310" ht="22.5" customHeight="1">
      <c r="A310" s="24"/>
      <c r="B310" s="25"/>
      <c r="C310" s="25"/>
      <c r="D310" s="25"/>
      <c r="E310" s="138"/>
      <c r="F310" s="138"/>
      <c r="G310" s="26"/>
    </row>
    <row r="311" ht="22.5" customHeight="1">
      <c r="A311" s="24"/>
      <c r="B311" s="25"/>
      <c r="C311" s="25"/>
      <c r="D311" s="25"/>
      <c r="E311" s="138"/>
      <c r="F311" s="138"/>
      <c r="G311" s="26"/>
    </row>
    <row r="312" ht="22.5" customHeight="1">
      <c r="A312" s="24"/>
      <c r="B312" s="25"/>
      <c r="C312" s="25"/>
      <c r="D312" s="25"/>
      <c r="E312" s="138"/>
      <c r="F312" s="138"/>
      <c r="G312" s="26"/>
    </row>
    <row r="313" ht="22.5" customHeight="1">
      <c r="A313" s="24"/>
      <c r="B313" s="25"/>
      <c r="C313" s="25"/>
      <c r="D313" s="25"/>
      <c r="E313" s="138"/>
      <c r="F313" s="138"/>
      <c r="G313" s="26"/>
    </row>
    <row r="314" ht="22.5" customHeight="1">
      <c r="A314" s="24"/>
      <c r="B314" s="25"/>
      <c r="C314" s="25"/>
      <c r="D314" s="25"/>
      <c r="E314" s="138"/>
      <c r="F314" s="138"/>
      <c r="G314" s="26"/>
    </row>
    <row r="315" ht="22.5" customHeight="1">
      <c r="A315" s="24"/>
      <c r="B315" s="25"/>
      <c r="C315" s="25"/>
      <c r="D315" s="25"/>
      <c r="E315" s="138"/>
      <c r="F315" s="138"/>
      <c r="G315" s="26"/>
    </row>
    <row r="316" ht="22.5" customHeight="1">
      <c r="A316" s="24"/>
      <c r="B316" s="25"/>
      <c r="C316" s="25"/>
      <c r="D316" s="25"/>
      <c r="E316" s="138"/>
      <c r="F316" s="138"/>
      <c r="G316" s="26"/>
    </row>
    <row r="317" ht="22.5" customHeight="1">
      <c r="A317" s="24"/>
      <c r="B317" s="25"/>
      <c r="C317" s="25"/>
      <c r="D317" s="25"/>
      <c r="E317" s="138"/>
      <c r="F317" s="138"/>
      <c r="G317" s="26"/>
    </row>
    <row r="318" ht="22.5" customHeight="1">
      <c r="A318" s="24"/>
      <c r="B318" s="25"/>
      <c r="C318" s="25"/>
      <c r="D318" s="25"/>
      <c r="E318" s="138"/>
      <c r="F318" s="138"/>
      <c r="G318" s="26"/>
    </row>
    <row r="319" ht="22.5" customHeight="1">
      <c r="A319" s="24"/>
      <c r="B319" s="25"/>
      <c r="C319" s="25"/>
      <c r="D319" s="25"/>
      <c r="E319" s="138"/>
      <c r="F319" s="138"/>
      <c r="G319" s="26"/>
    </row>
    <row r="320" ht="22.5" customHeight="1">
      <c r="A320" s="24"/>
      <c r="B320" s="25"/>
      <c r="C320" s="25"/>
      <c r="D320" s="25"/>
      <c r="E320" s="138"/>
      <c r="F320" s="138"/>
      <c r="G320" s="26"/>
    </row>
    <row r="321" ht="22.5" customHeight="1">
      <c r="A321" s="24"/>
      <c r="B321" s="25"/>
      <c r="C321" s="25"/>
      <c r="D321" s="25"/>
      <c r="E321" s="138"/>
      <c r="F321" s="138"/>
      <c r="G321" s="26"/>
    </row>
    <row r="322" ht="22.5" customHeight="1">
      <c r="A322" s="24"/>
      <c r="B322" s="25"/>
      <c r="C322" s="25"/>
      <c r="D322" s="25"/>
      <c r="E322" s="138"/>
      <c r="F322" s="138"/>
      <c r="G322" s="26"/>
    </row>
    <row r="323" ht="22.5" customHeight="1">
      <c r="A323" s="24"/>
      <c r="B323" s="25"/>
      <c r="C323" s="25"/>
      <c r="D323" s="25"/>
      <c r="E323" s="138"/>
      <c r="F323" s="138"/>
      <c r="G323" s="26"/>
    </row>
    <row r="324" ht="22.5" customHeight="1">
      <c r="A324" s="24"/>
      <c r="B324" s="25"/>
      <c r="C324" s="25"/>
      <c r="D324" s="25"/>
      <c r="E324" s="138"/>
      <c r="F324" s="138"/>
      <c r="G324" s="26"/>
    </row>
    <row r="325" ht="22.5" customHeight="1">
      <c r="A325" s="24"/>
      <c r="B325" s="25"/>
      <c r="C325" s="25"/>
      <c r="D325" s="25"/>
      <c r="E325" s="138"/>
      <c r="F325" s="138"/>
      <c r="G325" s="26"/>
    </row>
    <row r="326" ht="22.5" customHeight="1">
      <c r="A326" s="24"/>
      <c r="B326" s="25"/>
      <c r="C326" s="25"/>
      <c r="D326" s="25"/>
      <c r="E326" s="138"/>
      <c r="F326" s="138"/>
      <c r="G326" s="26"/>
    </row>
    <row r="327" ht="22.5" customHeight="1">
      <c r="A327" s="24"/>
      <c r="B327" s="25"/>
      <c r="C327" s="25"/>
      <c r="D327" s="25"/>
      <c r="E327" s="138"/>
      <c r="F327" s="138"/>
      <c r="G327" s="26"/>
    </row>
    <row r="328" ht="22.5" customHeight="1">
      <c r="A328" s="24"/>
      <c r="B328" s="25"/>
      <c r="C328" s="25"/>
      <c r="D328" s="25"/>
      <c r="E328" s="138"/>
      <c r="F328" s="138"/>
      <c r="G328" s="26"/>
    </row>
    <row r="329" ht="22.5" customHeight="1">
      <c r="A329" s="24"/>
      <c r="B329" s="25"/>
      <c r="C329" s="25"/>
      <c r="D329" s="25"/>
      <c r="E329" s="138"/>
      <c r="F329" s="138"/>
      <c r="G329" s="26"/>
    </row>
    <row r="330" ht="22.5" customHeight="1">
      <c r="A330" s="24"/>
      <c r="B330" s="25"/>
      <c r="C330" s="25"/>
      <c r="D330" s="25"/>
      <c r="E330" s="138"/>
      <c r="F330" s="138"/>
      <c r="G330" s="26"/>
    </row>
    <row r="331" ht="22.5" customHeight="1">
      <c r="A331" s="24"/>
      <c r="B331" s="25"/>
      <c r="C331" s="25"/>
      <c r="D331" s="25"/>
      <c r="E331" s="138"/>
      <c r="F331" s="138"/>
      <c r="G331" s="26"/>
    </row>
    <row r="332" ht="22.5" customHeight="1">
      <c r="A332" s="24"/>
      <c r="B332" s="25"/>
      <c r="C332" s="25"/>
      <c r="D332" s="25"/>
      <c r="E332" s="138"/>
      <c r="F332" s="138"/>
      <c r="G332" s="26"/>
    </row>
    <row r="333" ht="22.5" customHeight="1">
      <c r="A333" s="24"/>
      <c r="B333" s="25"/>
      <c r="C333" s="25"/>
      <c r="D333" s="25"/>
      <c r="E333" s="138"/>
      <c r="F333" s="138"/>
      <c r="G333" s="26"/>
    </row>
    <row r="334" ht="22.5" customHeight="1">
      <c r="A334" s="24"/>
      <c r="B334" s="25"/>
      <c r="C334" s="25"/>
      <c r="D334" s="25"/>
      <c r="E334" s="138"/>
      <c r="F334" s="138"/>
      <c r="G334" s="26"/>
    </row>
    <row r="335" ht="22.5" customHeight="1">
      <c r="A335" s="24"/>
      <c r="B335" s="25"/>
      <c r="C335" s="25"/>
      <c r="D335" s="25"/>
      <c r="E335" s="138"/>
      <c r="F335" s="138"/>
      <c r="G335" s="26"/>
    </row>
    <row r="336" ht="22.5" customHeight="1">
      <c r="A336" s="24"/>
      <c r="B336" s="25"/>
      <c r="C336" s="25"/>
      <c r="D336" s="25"/>
      <c r="E336" s="138"/>
      <c r="F336" s="138"/>
      <c r="G336" s="26"/>
    </row>
    <row r="337" ht="22.5" customHeight="1">
      <c r="A337" s="24"/>
      <c r="B337" s="25"/>
      <c r="C337" s="25"/>
      <c r="D337" s="25"/>
      <c r="E337" s="138"/>
      <c r="F337" s="138"/>
      <c r="G337" s="26"/>
    </row>
    <row r="338" ht="22.5" customHeight="1">
      <c r="A338" s="24"/>
      <c r="B338" s="25"/>
      <c r="C338" s="25"/>
      <c r="D338" s="25"/>
      <c r="E338" s="138"/>
      <c r="F338" s="138"/>
      <c r="G338" s="26"/>
    </row>
    <row r="339" ht="22.5" customHeight="1">
      <c r="A339" s="24"/>
      <c r="B339" s="25"/>
      <c r="C339" s="25"/>
      <c r="D339" s="25"/>
      <c r="E339" s="138"/>
      <c r="F339" s="138"/>
      <c r="G339" s="26"/>
    </row>
    <row r="340" ht="22.5" customHeight="1">
      <c r="A340" s="24"/>
      <c r="B340" s="25"/>
      <c r="C340" s="25"/>
      <c r="D340" s="25"/>
      <c r="E340" s="138"/>
      <c r="F340" s="138"/>
      <c r="G340" s="26"/>
    </row>
    <row r="341" ht="22.5" customHeight="1">
      <c r="A341" s="24"/>
      <c r="B341" s="25"/>
      <c r="C341" s="25"/>
      <c r="D341" s="25"/>
      <c r="E341" s="138"/>
      <c r="F341" s="138"/>
      <c r="G341" s="26"/>
    </row>
    <row r="342" ht="22.5" customHeight="1">
      <c r="A342" s="24"/>
      <c r="B342" s="25"/>
      <c r="C342" s="25"/>
      <c r="D342" s="25"/>
      <c r="E342" s="138"/>
      <c r="F342" s="138"/>
      <c r="G342" s="26"/>
    </row>
    <row r="343" ht="22.5" customHeight="1">
      <c r="A343" s="24"/>
      <c r="B343" s="25"/>
      <c r="C343" s="25"/>
      <c r="D343" s="25"/>
      <c r="E343" s="138"/>
      <c r="F343" s="138"/>
      <c r="G343" s="26"/>
    </row>
    <row r="344" ht="22.5" customHeight="1">
      <c r="A344" s="24"/>
      <c r="B344" s="25"/>
      <c r="C344" s="25"/>
      <c r="D344" s="25"/>
      <c r="E344" s="138"/>
      <c r="F344" s="138"/>
      <c r="G344" s="26"/>
    </row>
    <row r="345" ht="22.5" customHeight="1">
      <c r="A345" s="24"/>
      <c r="B345" s="25"/>
      <c r="C345" s="25"/>
      <c r="D345" s="25"/>
      <c r="E345" s="138"/>
      <c r="F345" s="138"/>
      <c r="G345" s="26"/>
    </row>
    <row r="346" ht="22.5" customHeight="1">
      <c r="A346" s="24"/>
      <c r="B346" s="25"/>
      <c r="C346" s="25"/>
      <c r="D346" s="25"/>
      <c r="E346" s="138"/>
      <c r="F346" s="138"/>
      <c r="G346" s="26"/>
    </row>
    <row r="347" ht="22.5" customHeight="1">
      <c r="A347" s="24"/>
      <c r="B347" s="25"/>
      <c r="C347" s="25"/>
      <c r="D347" s="25"/>
      <c r="E347" s="138"/>
      <c r="F347" s="138"/>
      <c r="G347" s="26"/>
    </row>
    <row r="348" ht="22.5" customHeight="1">
      <c r="A348" s="24"/>
      <c r="B348" s="25"/>
      <c r="C348" s="25"/>
      <c r="D348" s="25"/>
      <c r="E348" s="138"/>
      <c r="F348" s="138"/>
      <c r="G348" s="26"/>
    </row>
    <row r="349" ht="22.5" customHeight="1">
      <c r="A349" s="24"/>
      <c r="B349" s="25"/>
      <c r="C349" s="25"/>
      <c r="D349" s="25"/>
      <c r="E349" s="138"/>
      <c r="F349" s="138"/>
      <c r="G349" s="26"/>
    </row>
    <row r="350" ht="22.5" customHeight="1">
      <c r="A350" s="24"/>
      <c r="B350" s="25"/>
      <c r="C350" s="25"/>
      <c r="D350" s="25"/>
      <c r="E350" s="138"/>
      <c r="F350" s="138"/>
      <c r="G350" s="26"/>
    </row>
    <row r="351" ht="22.5" customHeight="1">
      <c r="A351" s="24"/>
      <c r="B351" s="25"/>
      <c r="C351" s="25"/>
      <c r="D351" s="25"/>
      <c r="E351" s="138"/>
      <c r="F351" s="138"/>
      <c r="G351" s="26"/>
    </row>
    <row r="352" ht="22.5" customHeight="1">
      <c r="A352" s="24"/>
      <c r="B352" s="25"/>
      <c r="C352" s="25"/>
      <c r="D352" s="25"/>
      <c r="E352" s="138"/>
      <c r="F352" s="138"/>
      <c r="G352" s="26"/>
    </row>
    <row r="353" ht="22.5" customHeight="1">
      <c r="A353" s="24"/>
      <c r="B353" s="25"/>
      <c r="C353" s="25"/>
      <c r="D353" s="25"/>
      <c r="E353" s="138"/>
      <c r="F353" s="138"/>
      <c r="G353" s="26"/>
    </row>
    <row r="354" ht="22.5" customHeight="1">
      <c r="A354" s="24"/>
      <c r="B354" s="25"/>
      <c r="C354" s="25"/>
      <c r="D354" s="25"/>
      <c r="E354" s="138"/>
      <c r="F354" s="138"/>
      <c r="G354" s="26"/>
    </row>
    <row r="355" ht="22.5" customHeight="1">
      <c r="A355" s="24"/>
      <c r="B355" s="25"/>
      <c r="C355" s="25"/>
      <c r="D355" s="25"/>
      <c r="E355" s="138"/>
      <c r="F355" s="138"/>
      <c r="G355" s="26"/>
    </row>
    <row r="356" ht="22.5" customHeight="1">
      <c r="A356" s="24"/>
      <c r="B356" s="25"/>
      <c r="C356" s="25"/>
      <c r="D356" s="25"/>
      <c r="E356" s="138"/>
      <c r="F356" s="138"/>
      <c r="G356" s="26"/>
    </row>
    <row r="357" ht="22.5" customHeight="1">
      <c r="A357" s="24"/>
      <c r="B357" s="25"/>
      <c r="C357" s="25"/>
      <c r="D357" s="25"/>
      <c r="E357" s="138"/>
      <c r="F357" s="138"/>
      <c r="G357" s="26"/>
    </row>
    <row r="358" ht="22.5" customHeight="1">
      <c r="A358" s="24"/>
      <c r="B358" s="25"/>
      <c r="C358" s="25"/>
      <c r="D358" s="25"/>
      <c r="E358" s="138"/>
      <c r="F358" s="138"/>
      <c r="G358" s="26"/>
    </row>
    <row r="359" ht="22.5" customHeight="1">
      <c r="A359" s="24"/>
      <c r="B359" s="25"/>
      <c r="C359" s="25"/>
      <c r="D359" s="25"/>
      <c r="E359" s="138"/>
      <c r="F359" s="138"/>
      <c r="G359" s="26"/>
    </row>
    <row r="360" ht="22.5" customHeight="1">
      <c r="A360" s="24"/>
      <c r="B360" s="25"/>
      <c r="C360" s="25"/>
      <c r="D360" s="25"/>
      <c r="E360" s="138"/>
      <c r="F360" s="138"/>
      <c r="G360" s="26"/>
    </row>
    <row r="361" ht="22.5" customHeight="1">
      <c r="A361" s="24"/>
      <c r="B361" s="25"/>
      <c r="C361" s="25"/>
      <c r="D361" s="25"/>
      <c r="E361" s="138"/>
      <c r="F361" s="138"/>
      <c r="G361" s="26"/>
    </row>
    <row r="362" ht="22.5" customHeight="1">
      <c r="A362" s="24"/>
      <c r="B362" s="25"/>
      <c r="C362" s="25"/>
      <c r="D362" s="25"/>
      <c r="E362" s="138"/>
      <c r="F362" s="138"/>
      <c r="G362" s="26"/>
    </row>
    <row r="363" ht="22.5" customHeight="1">
      <c r="A363" s="24"/>
      <c r="B363" s="25"/>
      <c r="C363" s="25"/>
      <c r="D363" s="25"/>
      <c r="E363" s="138"/>
      <c r="F363" s="138"/>
      <c r="G363" s="26"/>
    </row>
    <row r="364" ht="22.5" customHeight="1">
      <c r="A364" s="24"/>
      <c r="B364" s="25"/>
      <c r="C364" s="25"/>
      <c r="D364" s="25"/>
      <c r="E364" s="138"/>
      <c r="F364" s="138"/>
      <c r="G364" s="26"/>
    </row>
    <row r="365" ht="22.5" customHeight="1">
      <c r="A365" s="24"/>
      <c r="B365" s="25"/>
      <c r="C365" s="25"/>
      <c r="D365" s="25"/>
      <c r="E365" s="138"/>
      <c r="F365" s="138"/>
      <c r="G365" s="26"/>
    </row>
    <row r="366" ht="22.5" customHeight="1">
      <c r="A366" s="24"/>
      <c r="B366" s="25"/>
      <c r="C366" s="25"/>
      <c r="D366" s="25"/>
      <c r="E366" s="138"/>
      <c r="F366" s="138"/>
      <c r="G366" s="26"/>
    </row>
    <row r="367" ht="22.5" customHeight="1">
      <c r="A367" s="24"/>
      <c r="B367" s="25"/>
      <c r="C367" s="25"/>
      <c r="D367" s="25"/>
      <c r="E367" s="138"/>
      <c r="F367" s="138"/>
      <c r="G367" s="26"/>
    </row>
    <row r="368" ht="22.5" customHeight="1">
      <c r="A368" s="24"/>
      <c r="B368" s="25"/>
      <c r="C368" s="25"/>
      <c r="D368" s="25"/>
      <c r="E368" s="138"/>
      <c r="F368" s="138"/>
      <c r="G368" s="26"/>
    </row>
    <row r="369" ht="22.5" customHeight="1">
      <c r="A369" s="24"/>
      <c r="B369" s="25"/>
      <c r="C369" s="25"/>
      <c r="D369" s="25"/>
      <c r="E369" s="138"/>
      <c r="F369" s="138"/>
      <c r="G369" s="26"/>
    </row>
    <row r="370" ht="22.5" customHeight="1">
      <c r="A370" s="24"/>
      <c r="B370" s="25"/>
      <c r="C370" s="25"/>
      <c r="D370" s="25"/>
      <c r="E370" s="138"/>
      <c r="F370" s="138"/>
      <c r="G370" s="26"/>
    </row>
    <row r="371" ht="22.5" customHeight="1">
      <c r="A371" s="24"/>
      <c r="B371" s="25"/>
      <c r="C371" s="25"/>
      <c r="D371" s="25"/>
      <c r="E371" s="138"/>
      <c r="F371" s="138"/>
      <c r="G371" s="26"/>
    </row>
    <row r="372" ht="22.5" customHeight="1">
      <c r="A372" s="24"/>
      <c r="B372" s="25"/>
      <c r="C372" s="25"/>
      <c r="D372" s="25"/>
      <c r="E372" s="138"/>
      <c r="F372" s="138"/>
      <c r="G372" s="26"/>
    </row>
    <row r="373" ht="22.5" customHeight="1">
      <c r="A373" s="24"/>
      <c r="B373" s="25"/>
      <c r="C373" s="25"/>
      <c r="D373" s="25"/>
      <c r="E373" s="138"/>
      <c r="F373" s="138"/>
      <c r="G373" s="26"/>
    </row>
    <row r="374" ht="22.5" customHeight="1">
      <c r="A374" s="24"/>
      <c r="B374" s="25"/>
      <c r="C374" s="25"/>
      <c r="D374" s="25"/>
      <c r="E374" s="138"/>
      <c r="F374" s="138"/>
      <c r="G374" s="26"/>
    </row>
    <row r="375" ht="22.5" customHeight="1">
      <c r="A375" s="24"/>
      <c r="B375" s="25"/>
      <c r="C375" s="25"/>
      <c r="D375" s="25"/>
      <c r="E375" s="138"/>
      <c r="F375" s="138"/>
      <c r="G375" s="26"/>
    </row>
    <row r="376" ht="22.5" customHeight="1">
      <c r="A376" s="24"/>
      <c r="B376" s="25"/>
      <c r="C376" s="25"/>
      <c r="D376" s="25"/>
      <c r="E376" s="138"/>
      <c r="F376" s="138"/>
      <c r="G376" s="26"/>
    </row>
    <row r="377" ht="22.5" customHeight="1">
      <c r="A377" s="24"/>
      <c r="B377" s="25"/>
      <c r="C377" s="25"/>
      <c r="D377" s="25"/>
      <c r="E377" s="138"/>
      <c r="F377" s="138"/>
      <c r="G377" s="26"/>
    </row>
    <row r="378" ht="22.5" customHeight="1">
      <c r="A378" s="24"/>
      <c r="B378" s="25"/>
      <c r="C378" s="25"/>
      <c r="D378" s="25"/>
      <c r="E378" s="138"/>
      <c r="F378" s="138"/>
      <c r="G378" s="26"/>
    </row>
    <row r="379" ht="22.5" customHeight="1">
      <c r="A379" s="24"/>
      <c r="B379" s="25"/>
      <c r="C379" s="25"/>
      <c r="D379" s="25"/>
      <c r="E379" s="138"/>
      <c r="F379" s="138"/>
      <c r="G379" s="26"/>
    </row>
    <row r="380" ht="22.5" customHeight="1">
      <c r="A380" s="24"/>
      <c r="B380" s="25"/>
      <c r="C380" s="25"/>
      <c r="D380" s="25"/>
      <c r="E380" s="138"/>
      <c r="F380" s="138"/>
      <c r="G380" s="26"/>
    </row>
    <row r="381" ht="22.5" customHeight="1">
      <c r="A381" s="24"/>
      <c r="B381" s="25"/>
      <c r="C381" s="25"/>
      <c r="D381" s="25"/>
      <c r="E381" s="138"/>
      <c r="F381" s="138"/>
      <c r="G381" s="26"/>
    </row>
    <row r="382" ht="22.5" customHeight="1">
      <c r="A382" s="24"/>
      <c r="B382" s="25"/>
      <c r="C382" s="25"/>
      <c r="D382" s="25"/>
      <c r="E382" s="138"/>
      <c r="F382" s="138"/>
      <c r="G382" s="26"/>
    </row>
    <row r="383" ht="22.5" customHeight="1">
      <c r="A383" s="24"/>
      <c r="B383" s="25"/>
      <c r="C383" s="25"/>
      <c r="D383" s="25"/>
      <c r="E383" s="138"/>
      <c r="F383" s="138"/>
      <c r="G383" s="26"/>
    </row>
    <row r="384" ht="22.5" customHeight="1">
      <c r="A384" s="24"/>
      <c r="B384" s="25"/>
      <c r="C384" s="25"/>
      <c r="D384" s="25"/>
      <c r="E384" s="138"/>
      <c r="F384" s="138"/>
      <c r="G384" s="26"/>
    </row>
    <row r="385" ht="22.5" customHeight="1">
      <c r="A385" s="24"/>
      <c r="B385" s="25"/>
      <c r="C385" s="25"/>
      <c r="D385" s="25"/>
      <c r="E385" s="138"/>
      <c r="F385" s="138"/>
      <c r="G385" s="26"/>
    </row>
    <row r="386" ht="22.5" customHeight="1">
      <c r="A386" s="24"/>
      <c r="B386" s="25"/>
      <c r="C386" s="25"/>
      <c r="D386" s="25"/>
      <c r="E386" s="138"/>
      <c r="F386" s="138"/>
      <c r="G386" s="26"/>
    </row>
    <row r="387" ht="22.5" customHeight="1">
      <c r="A387" s="24"/>
      <c r="B387" s="25"/>
      <c r="C387" s="25"/>
      <c r="D387" s="25"/>
      <c r="E387" s="138"/>
      <c r="F387" s="138"/>
      <c r="G387" s="26"/>
    </row>
    <row r="388" ht="22.5" customHeight="1">
      <c r="A388" s="24"/>
      <c r="B388" s="25"/>
      <c r="C388" s="25"/>
      <c r="D388" s="25"/>
      <c r="E388" s="138"/>
      <c r="F388" s="138"/>
      <c r="G388" s="26"/>
    </row>
    <row r="389" ht="22.5" customHeight="1">
      <c r="A389" s="24"/>
      <c r="B389" s="25"/>
      <c r="C389" s="25"/>
      <c r="D389" s="25"/>
      <c r="E389" s="138"/>
      <c r="F389" s="138"/>
      <c r="G389" s="26"/>
    </row>
    <row r="390" ht="22.5" customHeight="1">
      <c r="A390" s="24"/>
      <c r="B390" s="25"/>
      <c r="C390" s="25"/>
      <c r="D390" s="25"/>
      <c r="E390" s="138"/>
      <c r="F390" s="138"/>
      <c r="G390" s="26"/>
    </row>
    <row r="391" ht="22.5" customHeight="1">
      <c r="A391" s="24"/>
      <c r="B391" s="25"/>
      <c r="C391" s="25"/>
      <c r="D391" s="25"/>
      <c r="E391" s="138"/>
      <c r="F391" s="138"/>
      <c r="G391" s="26"/>
    </row>
    <row r="392" ht="22.5" customHeight="1">
      <c r="A392" s="24"/>
      <c r="B392" s="25"/>
      <c r="C392" s="25"/>
      <c r="D392" s="25"/>
      <c r="E392" s="138"/>
      <c r="F392" s="138"/>
      <c r="G392" s="26"/>
    </row>
    <row r="393" ht="22.5" customHeight="1">
      <c r="A393" s="24"/>
      <c r="B393" s="25"/>
      <c r="C393" s="25"/>
      <c r="D393" s="25"/>
      <c r="E393" s="138"/>
      <c r="F393" s="138"/>
      <c r="G393" s="26"/>
    </row>
    <row r="394" ht="22.5" customHeight="1">
      <c r="A394" s="24"/>
      <c r="B394" s="25"/>
      <c r="C394" s="25"/>
      <c r="D394" s="25"/>
      <c r="E394" s="138"/>
      <c r="F394" s="138"/>
      <c r="G394" s="26"/>
    </row>
    <row r="395" ht="22.5" customHeight="1">
      <c r="A395" s="24"/>
      <c r="B395" s="25"/>
      <c r="C395" s="25"/>
      <c r="D395" s="25"/>
      <c r="E395" s="138"/>
      <c r="F395" s="138"/>
      <c r="G395" s="26"/>
    </row>
    <row r="396" ht="22.5" customHeight="1">
      <c r="A396" s="24"/>
      <c r="B396" s="25"/>
      <c r="C396" s="25"/>
      <c r="D396" s="25"/>
      <c r="E396" s="138"/>
      <c r="F396" s="138"/>
      <c r="G396" s="26"/>
    </row>
    <row r="397" ht="22.5" customHeight="1">
      <c r="A397" s="24"/>
      <c r="B397" s="25"/>
      <c r="C397" s="25"/>
      <c r="D397" s="25"/>
      <c r="E397" s="138"/>
      <c r="F397" s="138"/>
      <c r="G397" s="26"/>
    </row>
    <row r="398" ht="22.5" customHeight="1">
      <c r="A398" s="24"/>
      <c r="B398" s="25"/>
      <c r="C398" s="25"/>
      <c r="D398" s="25"/>
      <c r="E398" s="138"/>
      <c r="F398" s="138"/>
      <c r="G398" s="26"/>
    </row>
    <row r="399" ht="22.5" customHeight="1">
      <c r="A399" s="24"/>
      <c r="B399" s="25"/>
      <c r="C399" s="25"/>
      <c r="D399" s="25"/>
      <c r="E399" s="138"/>
      <c r="F399" s="138"/>
      <c r="G399" s="26"/>
    </row>
    <row r="400" ht="22.5" customHeight="1">
      <c r="A400" s="24"/>
      <c r="B400" s="25"/>
      <c r="C400" s="25"/>
      <c r="D400" s="25"/>
      <c r="E400" s="138"/>
      <c r="F400" s="138"/>
      <c r="G400" s="26"/>
    </row>
    <row r="401" ht="22.5" customHeight="1">
      <c r="A401" s="24"/>
      <c r="B401" s="25"/>
      <c r="C401" s="25"/>
      <c r="D401" s="25"/>
      <c r="E401" s="138"/>
      <c r="F401" s="138"/>
      <c r="G401" s="26"/>
    </row>
    <row r="402" ht="22.5" customHeight="1">
      <c r="A402" s="24"/>
      <c r="B402" s="25"/>
      <c r="C402" s="25"/>
      <c r="D402" s="25"/>
      <c r="E402" s="138"/>
      <c r="F402" s="138"/>
      <c r="G402" s="26"/>
    </row>
    <row r="403" ht="22.5" customHeight="1">
      <c r="A403" s="24"/>
      <c r="B403" s="25"/>
      <c r="C403" s="25"/>
      <c r="D403" s="25"/>
      <c r="E403" s="138"/>
      <c r="F403" s="138"/>
      <c r="G403" s="26"/>
    </row>
    <row r="404" ht="22.5" customHeight="1">
      <c r="A404" s="24"/>
      <c r="B404" s="25"/>
      <c r="C404" s="25"/>
      <c r="D404" s="25"/>
      <c r="E404" s="138"/>
      <c r="F404" s="138"/>
      <c r="G404" s="26"/>
    </row>
    <row r="405" ht="22.5" customHeight="1">
      <c r="A405" s="24"/>
      <c r="B405" s="25"/>
      <c r="C405" s="25"/>
      <c r="D405" s="25"/>
      <c r="E405" s="138"/>
      <c r="F405" s="138"/>
      <c r="G405" s="26"/>
    </row>
    <row r="406" ht="22.5" customHeight="1">
      <c r="A406" s="24"/>
      <c r="B406" s="25"/>
      <c r="C406" s="25"/>
      <c r="D406" s="25"/>
      <c r="E406" s="138"/>
      <c r="F406" s="138"/>
      <c r="G406" s="26"/>
    </row>
    <row r="407" ht="22.5" customHeight="1">
      <c r="A407" s="24"/>
      <c r="B407" s="25"/>
      <c r="C407" s="25"/>
      <c r="D407" s="25"/>
      <c r="E407" s="138"/>
      <c r="F407" s="138"/>
      <c r="G407" s="26"/>
    </row>
    <row r="408" ht="22.5" customHeight="1">
      <c r="A408" s="24"/>
      <c r="B408" s="25"/>
      <c r="C408" s="25"/>
      <c r="D408" s="25"/>
      <c r="E408" s="138"/>
      <c r="F408" s="138"/>
      <c r="G408" s="26"/>
    </row>
    <row r="409" ht="22.5" customHeight="1">
      <c r="A409" s="24"/>
      <c r="B409" s="25"/>
      <c r="C409" s="25"/>
      <c r="D409" s="25"/>
      <c r="E409" s="138"/>
      <c r="F409" s="138"/>
      <c r="G409" s="26"/>
    </row>
    <row r="410" ht="22.5" customHeight="1">
      <c r="A410" s="24"/>
      <c r="B410" s="25"/>
      <c r="C410" s="25"/>
      <c r="D410" s="25"/>
      <c r="E410" s="138"/>
      <c r="F410" s="138"/>
      <c r="G410" s="26"/>
    </row>
    <row r="411" ht="22.5" customHeight="1">
      <c r="A411" s="24"/>
      <c r="B411" s="25"/>
      <c r="C411" s="25"/>
      <c r="D411" s="25"/>
      <c r="E411" s="138"/>
      <c r="F411" s="138"/>
      <c r="G411" s="26"/>
    </row>
    <row r="412" ht="22.5" customHeight="1">
      <c r="A412" s="24"/>
      <c r="B412" s="25"/>
      <c r="C412" s="25"/>
      <c r="D412" s="25"/>
      <c r="E412" s="138"/>
      <c r="F412" s="138"/>
      <c r="G412" s="26"/>
    </row>
    <row r="413" ht="22.5" customHeight="1">
      <c r="A413" s="24"/>
      <c r="B413" s="25"/>
      <c r="C413" s="25"/>
      <c r="D413" s="25"/>
      <c r="E413" s="138"/>
      <c r="F413" s="138"/>
      <c r="G413" s="26"/>
    </row>
    <row r="414" ht="22.5" customHeight="1">
      <c r="A414" s="24"/>
      <c r="B414" s="25"/>
      <c r="C414" s="25"/>
      <c r="D414" s="25"/>
      <c r="E414" s="138"/>
      <c r="F414" s="138"/>
      <c r="G414" s="26"/>
    </row>
    <row r="415" ht="22.5" customHeight="1">
      <c r="A415" s="24"/>
      <c r="B415" s="25"/>
      <c r="C415" s="25"/>
      <c r="D415" s="25"/>
      <c r="E415" s="138"/>
      <c r="F415" s="138"/>
      <c r="G415" s="26"/>
    </row>
    <row r="416" ht="22.5" customHeight="1">
      <c r="A416" s="24"/>
      <c r="B416" s="25"/>
      <c r="C416" s="25"/>
      <c r="D416" s="25"/>
      <c r="E416" s="138"/>
      <c r="F416" s="138"/>
      <c r="G416" s="26"/>
    </row>
    <row r="417" ht="22.5" customHeight="1">
      <c r="A417" s="24"/>
      <c r="B417" s="25"/>
      <c r="C417" s="25"/>
      <c r="D417" s="25"/>
      <c r="E417" s="138"/>
      <c r="F417" s="138"/>
      <c r="G417" s="26"/>
    </row>
    <row r="418" ht="22.5" customHeight="1">
      <c r="A418" s="24"/>
      <c r="B418" s="25"/>
      <c r="C418" s="25"/>
      <c r="D418" s="25"/>
      <c r="E418" s="138"/>
      <c r="F418" s="138"/>
      <c r="G418" s="26"/>
    </row>
    <row r="419" ht="22.5" customHeight="1">
      <c r="A419" s="24"/>
      <c r="B419" s="25"/>
      <c r="C419" s="25"/>
      <c r="D419" s="25"/>
      <c r="E419" s="138"/>
      <c r="F419" s="138"/>
      <c r="G419" s="26"/>
    </row>
    <row r="420" ht="22.5" customHeight="1">
      <c r="A420" s="24"/>
      <c r="B420" s="25"/>
      <c r="C420" s="25"/>
      <c r="D420" s="25"/>
      <c r="E420" s="138"/>
      <c r="F420" s="138"/>
      <c r="G420" s="26"/>
    </row>
    <row r="421" ht="22.5" customHeight="1">
      <c r="A421" s="24"/>
      <c r="B421" s="25"/>
      <c r="C421" s="25"/>
      <c r="D421" s="25"/>
      <c r="E421" s="138"/>
      <c r="F421" s="138"/>
      <c r="G421" s="26"/>
    </row>
    <row r="422" ht="22.5" customHeight="1">
      <c r="A422" s="24"/>
      <c r="B422" s="25"/>
      <c r="C422" s="25"/>
      <c r="D422" s="25"/>
      <c r="E422" s="138"/>
      <c r="F422" s="138"/>
      <c r="G422" s="26"/>
    </row>
    <row r="423" ht="22.5" customHeight="1">
      <c r="A423" s="24"/>
      <c r="B423" s="25"/>
      <c r="C423" s="25"/>
      <c r="D423" s="25"/>
      <c r="E423" s="138"/>
      <c r="F423" s="138"/>
      <c r="G423" s="26"/>
    </row>
    <row r="424" ht="22.5" customHeight="1">
      <c r="A424" s="24"/>
      <c r="B424" s="25"/>
      <c r="C424" s="25"/>
      <c r="D424" s="25"/>
      <c r="E424" s="138"/>
      <c r="F424" s="138"/>
      <c r="G424" s="26"/>
    </row>
    <row r="425" ht="22.5" customHeight="1">
      <c r="A425" s="24"/>
      <c r="B425" s="25"/>
      <c r="C425" s="25"/>
      <c r="D425" s="25"/>
      <c r="E425" s="138"/>
      <c r="F425" s="138"/>
      <c r="G425" s="26"/>
    </row>
    <row r="426" ht="22.5" customHeight="1">
      <c r="A426" s="24"/>
      <c r="B426" s="25"/>
      <c r="C426" s="25"/>
      <c r="D426" s="25"/>
      <c r="E426" s="138"/>
      <c r="F426" s="138"/>
      <c r="G426" s="26"/>
    </row>
    <row r="427" ht="22.5" customHeight="1">
      <c r="A427" s="24"/>
      <c r="B427" s="25"/>
      <c r="C427" s="25"/>
      <c r="D427" s="25"/>
      <c r="E427" s="138"/>
      <c r="F427" s="138"/>
      <c r="G427" s="26"/>
    </row>
    <row r="428" ht="22.5" customHeight="1">
      <c r="A428" s="24"/>
      <c r="B428" s="25"/>
      <c r="C428" s="25"/>
      <c r="D428" s="25"/>
      <c r="E428" s="138"/>
      <c r="F428" s="138"/>
      <c r="G428" s="26"/>
    </row>
    <row r="429" ht="22.5" customHeight="1">
      <c r="A429" s="24"/>
      <c r="B429" s="25"/>
      <c r="C429" s="25"/>
      <c r="D429" s="25"/>
      <c r="E429" s="138"/>
      <c r="F429" s="138"/>
      <c r="G429" s="26"/>
    </row>
    <row r="430" ht="22.5" customHeight="1">
      <c r="A430" s="24"/>
      <c r="B430" s="25"/>
      <c r="C430" s="25"/>
      <c r="D430" s="25"/>
      <c r="E430" s="138"/>
      <c r="F430" s="138"/>
      <c r="G430" s="26"/>
    </row>
    <row r="431" ht="22.5" customHeight="1">
      <c r="A431" s="24"/>
      <c r="B431" s="25"/>
      <c r="C431" s="25"/>
      <c r="D431" s="25"/>
      <c r="E431" s="138"/>
      <c r="F431" s="138"/>
      <c r="G431" s="26"/>
    </row>
    <row r="432" ht="22.5" customHeight="1">
      <c r="A432" s="24"/>
      <c r="B432" s="25"/>
      <c r="C432" s="25"/>
      <c r="D432" s="25"/>
      <c r="E432" s="138"/>
      <c r="F432" s="138"/>
      <c r="G432" s="26"/>
    </row>
    <row r="433" ht="22.5" customHeight="1">
      <c r="A433" s="24"/>
      <c r="B433" s="25"/>
      <c r="C433" s="25"/>
      <c r="D433" s="25"/>
      <c r="E433" s="138"/>
      <c r="F433" s="138"/>
      <c r="G433" s="26"/>
    </row>
    <row r="434" ht="22.5" customHeight="1">
      <c r="A434" s="24"/>
      <c r="B434" s="25"/>
      <c r="C434" s="25"/>
      <c r="D434" s="25"/>
      <c r="E434" s="138"/>
      <c r="F434" s="138"/>
      <c r="G434" s="26"/>
    </row>
    <row r="435" ht="22.5" customHeight="1">
      <c r="A435" s="24"/>
      <c r="B435" s="25"/>
      <c r="C435" s="25"/>
      <c r="D435" s="25"/>
      <c r="E435" s="138"/>
      <c r="F435" s="138"/>
      <c r="G435" s="26"/>
    </row>
    <row r="436" ht="22.5" customHeight="1">
      <c r="A436" s="24"/>
      <c r="B436" s="25"/>
      <c r="C436" s="25"/>
      <c r="D436" s="25"/>
      <c r="E436" s="138"/>
      <c r="F436" s="138"/>
      <c r="G436" s="26"/>
    </row>
    <row r="437" ht="22.5" customHeight="1">
      <c r="A437" s="24"/>
      <c r="B437" s="25"/>
      <c r="C437" s="25"/>
      <c r="D437" s="25"/>
      <c r="E437" s="138"/>
      <c r="F437" s="138"/>
      <c r="G437" s="26"/>
    </row>
    <row r="438" ht="22.5" customHeight="1">
      <c r="A438" s="24"/>
      <c r="B438" s="25"/>
      <c r="C438" s="25"/>
      <c r="D438" s="25"/>
      <c r="E438" s="138"/>
      <c r="F438" s="138"/>
      <c r="G438" s="26"/>
    </row>
    <row r="439" ht="22.5" customHeight="1">
      <c r="A439" s="24"/>
      <c r="B439" s="25"/>
      <c r="C439" s="25"/>
      <c r="D439" s="25"/>
      <c r="E439" s="138"/>
      <c r="F439" s="138"/>
      <c r="G439" s="26"/>
    </row>
    <row r="440" ht="22.5" customHeight="1">
      <c r="A440" s="24"/>
      <c r="B440" s="25"/>
      <c r="C440" s="25"/>
      <c r="D440" s="25"/>
      <c r="E440" s="138"/>
      <c r="F440" s="138"/>
      <c r="G440" s="26"/>
    </row>
    <row r="441" ht="22.5" customHeight="1">
      <c r="A441" s="24"/>
      <c r="B441" s="25"/>
      <c r="C441" s="25"/>
      <c r="D441" s="25"/>
      <c r="E441" s="138"/>
      <c r="F441" s="138"/>
      <c r="G441" s="26"/>
    </row>
    <row r="442" ht="22.5" customHeight="1">
      <c r="A442" s="24"/>
      <c r="B442" s="25"/>
      <c r="C442" s="25"/>
      <c r="D442" s="25"/>
      <c r="E442" s="138"/>
      <c r="F442" s="138"/>
      <c r="G442" s="26"/>
    </row>
    <row r="443" ht="22.5" customHeight="1">
      <c r="A443" s="24"/>
      <c r="B443" s="25"/>
      <c r="C443" s="25"/>
      <c r="D443" s="25"/>
      <c r="E443" s="138"/>
      <c r="F443" s="138"/>
      <c r="G443" s="26"/>
    </row>
    <row r="444" ht="22.5" customHeight="1">
      <c r="A444" s="24"/>
      <c r="B444" s="25"/>
      <c r="C444" s="25"/>
      <c r="D444" s="25"/>
      <c r="E444" s="138"/>
      <c r="F444" s="138"/>
      <c r="G444" s="26"/>
    </row>
    <row r="445" ht="22.5" customHeight="1">
      <c r="A445" s="24"/>
      <c r="B445" s="25"/>
      <c r="C445" s="25"/>
      <c r="D445" s="25"/>
      <c r="E445" s="138"/>
      <c r="F445" s="138"/>
      <c r="G445" s="26"/>
    </row>
    <row r="446" ht="22.5" customHeight="1">
      <c r="A446" s="24"/>
      <c r="B446" s="25"/>
      <c r="C446" s="25"/>
      <c r="D446" s="25"/>
      <c r="E446" s="138"/>
      <c r="F446" s="138"/>
      <c r="G446" s="26"/>
    </row>
    <row r="447" ht="22.5" customHeight="1">
      <c r="A447" s="24"/>
      <c r="B447" s="25"/>
      <c r="C447" s="25"/>
      <c r="D447" s="25"/>
      <c r="E447" s="138"/>
      <c r="F447" s="138"/>
      <c r="G447" s="26"/>
    </row>
    <row r="448" ht="22.5" customHeight="1">
      <c r="A448" s="24"/>
      <c r="B448" s="25"/>
      <c r="C448" s="25"/>
      <c r="D448" s="25"/>
      <c r="E448" s="138"/>
      <c r="F448" s="138"/>
      <c r="G448" s="26"/>
    </row>
    <row r="449" ht="22.5" customHeight="1">
      <c r="A449" s="24"/>
      <c r="B449" s="25"/>
      <c r="C449" s="25"/>
      <c r="D449" s="25"/>
      <c r="E449" s="138"/>
      <c r="F449" s="138"/>
      <c r="G449" s="26"/>
    </row>
    <row r="450" ht="22.5" customHeight="1">
      <c r="A450" s="24"/>
      <c r="B450" s="25"/>
      <c r="C450" s="25"/>
      <c r="D450" s="25"/>
      <c r="E450" s="138"/>
      <c r="F450" s="138"/>
      <c r="G450" s="26"/>
    </row>
    <row r="451" ht="22.5" customHeight="1">
      <c r="A451" s="24"/>
      <c r="B451" s="25"/>
      <c r="C451" s="25"/>
      <c r="D451" s="25"/>
      <c r="E451" s="138"/>
      <c r="F451" s="138"/>
      <c r="G451" s="26"/>
    </row>
    <row r="452" ht="22.5" customHeight="1">
      <c r="A452" s="24"/>
      <c r="B452" s="25"/>
      <c r="C452" s="25"/>
      <c r="D452" s="25"/>
      <c r="E452" s="138"/>
      <c r="F452" s="138"/>
      <c r="G452" s="26"/>
    </row>
    <row r="453" ht="22.5" customHeight="1">
      <c r="A453" s="24"/>
      <c r="B453" s="25"/>
      <c r="C453" s="25"/>
      <c r="D453" s="25"/>
      <c r="E453" s="138"/>
      <c r="F453" s="138"/>
      <c r="G453" s="26"/>
    </row>
    <row r="454" ht="22.5" customHeight="1">
      <c r="A454" s="24"/>
      <c r="B454" s="25"/>
      <c r="C454" s="25"/>
      <c r="D454" s="25"/>
      <c r="E454" s="138"/>
      <c r="F454" s="138"/>
      <c r="G454" s="26"/>
    </row>
    <row r="455" ht="22.5" customHeight="1">
      <c r="A455" s="24"/>
      <c r="B455" s="25"/>
      <c r="C455" s="25"/>
      <c r="D455" s="25"/>
      <c r="E455" s="138"/>
      <c r="F455" s="138"/>
      <c r="G455" s="26"/>
    </row>
    <row r="456" ht="22.5" customHeight="1">
      <c r="A456" s="24"/>
      <c r="B456" s="25"/>
      <c r="C456" s="25"/>
      <c r="D456" s="25"/>
      <c r="E456" s="138"/>
      <c r="F456" s="138"/>
      <c r="G456" s="26"/>
    </row>
    <row r="457" ht="22.5" customHeight="1">
      <c r="A457" s="24"/>
      <c r="B457" s="25"/>
      <c r="C457" s="25"/>
      <c r="D457" s="25"/>
      <c r="E457" s="138"/>
      <c r="F457" s="138"/>
      <c r="G457" s="26"/>
    </row>
    <row r="458" ht="22.5" customHeight="1">
      <c r="A458" s="24"/>
      <c r="B458" s="25"/>
      <c r="C458" s="25"/>
      <c r="D458" s="25"/>
      <c r="E458" s="138"/>
      <c r="F458" s="138"/>
      <c r="G458" s="26"/>
    </row>
    <row r="459" ht="22.5" customHeight="1">
      <c r="A459" s="24"/>
      <c r="B459" s="25"/>
      <c r="C459" s="25"/>
      <c r="D459" s="25"/>
      <c r="E459" s="138"/>
      <c r="F459" s="138"/>
      <c r="G459" s="26"/>
    </row>
    <row r="460" ht="22.5" customHeight="1">
      <c r="A460" s="24"/>
      <c r="B460" s="25"/>
      <c r="C460" s="25"/>
      <c r="D460" s="25"/>
      <c r="E460" s="138"/>
      <c r="F460" s="138"/>
      <c r="G460" s="26"/>
    </row>
    <row r="461" ht="22.5" customHeight="1">
      <c r="A461" s="24"/>
      <c r="B461" s="25"/>
      <c r="C461" s="25"/>
      <c r="D461" s="25"/>
      <c r="E461" s="138"/>
      <c r="F461" s="138"/>
      <c r="G461" s="26"/>
    </row>
    <row r="462" ht="22.5" customHeight="1">
      <c r="A462" s="24"/>
      <c r="B462" s="25"/>
      <c r="C462" s="25"/>
      <c r="D462" s="25"/>
      <c r="E462" s="138"/>
      <c r="F462" s="138"/>
      <c r="G462" s="26"/>
    </row>
    <row r="463" ht="22.5" customHeight="1">
      <c r="A463" s="24"/>
      <c r="B463" s="25"/>
      <c r="C463" s="25"/>
      <c r="D463" s="25"/>
      <c r="E463" s="138"/>
      <c r="F463" s="138"/>
      <c r="G463" s="26"/>
    </row>
    <row r="464" ht="22.5" customHeight="1">
      <c r="A464" s="24"/>
      <c r="B464" s="25"/>
      <c r="C464" s="25"/>
      <c r="D464" s="25"/>
      <c r="E464" s="138"/>
      <c r="F464" s="138"/>
      <c r="G464" s="26"/>
    </row>
    <row r="465" ht="22.5" customHeight="1">
      <c r="A465" s="24"/>
      <c r="B465" s="25"/>
      <c r="C465" s="25"/>
      <c r="D465" s="25"/>
      <c r="E465" s="138"/>
      <c r="F465" s="138"/>
      <c r="G465" s="26"/>
    </row>
    <row r="466" ht="22.5" customHeight="1">
      <c r="A466" s="24"/>
      <c r="B466" s="25"/>
      <c r="C466" s="25"/>
      <c r="D466" s="25"/>
      <c r="E466" s="138"/>
      <c r="F466" s="138"/>
      <c r="G466" s="26"/>
    </row>
    <row r="467" ht="22.5" customHeight="1">
      <c r="A467" s="24"/>
      <c r="B467" s="25"/>
      <c r="C467" s="25"/>
      <c r="D467" s="25"/>
      <c r="E467" s="138"/>
      <c r="F467" s="138"/>
      <c r="G467" s="26"/>
    </row>
    <row r="468" ht="22.5" customHeight="1">
      <c r="A468" s="24"/>
      <c r="B468" s="25"/>
      <c r="C468" s="25"/>
      <c r="D468" s="25"/>
      <c r="E468" s="138"/>
      <c r="F468" s="138"/>
      <c r="G468" s="26"/>
    </row>
    <row r="469" ht="22.5" customHeight="1">
      <c r="A469" s="24"/>
      <c r="B469" s="25"/>
      <c r="C469" s="25"/>
      <c r="D469" s="25"/>
      <c r="E469" s="138"/>
      <c r="F469" s="138"/>
      <c r="G469" s="26"/>
    </row>
    <row r="470" ht="22.5" customHeight="1">
      <c r="A470" s="24"/>
      <c r="B470" s="25"/>
      <c r="C470" s="25"/>
      <c r="D470" s="25"/>
      <c r="E470" s="138"/>
      <c r="F470" s="138"/>
      <c r="G470" s="26"/>
    </row>
    <row r="471" ht="22.5" customHeight="1">
      <c r="A471" s="24"/>
      <c r="B471" s="25"/>
      <c r="C471" s="25"/>
      <c r="D471" s="25"/>
      <c r="E471" s="138"/>
      <c r="F471" s="138"/>
      <c r="G471" s="26"/>
    </row>
    <row r="472" ht="22.5" customHeight="1">
      <c r="A472" s="24"/>
      <c r="B472" s="25"/>
      <c r="C472" s="25"/>
      <c r="D472" s="25"/>
      <c r="E472" s="138"/>
      <c r="F472" s="138"/>
      <c r="G472" s="26"/>
    </row>
    <row r="473" ht="22.5" customHeight="1">
      <c r="A473" s="24"/>
      <c r="B473" s="25"/>
      <c r="C473" s="25"/>
      <c r="D473" s="25"/>
      <c r="E473" s="138"/>
      <c r="F473" s="138"/>
      <c r="G473" s="26"/>
    </row>
    <row r="474" ht="22.5" customHeight="1">
      <c r="A474" s="24"/>
      <c r="B474" s="25"/>
      <c r="C474" s="25"/>
      <c r="D474" s="25"/>
      <c r="E474" s="138"/>
      <c r="F474" s="138"/>
      <c r="G474" s="26"/>
    </row>
    <row r="475" ht="22.5" customHeight="1">
      <c r="A475" s="24"/>
      <c r="B475" s="25"/>
      <c r="C475" s="25"/>
      <c r="D475" s="25"/>
      <c r="E475" s="138"/>
      <c r="F475" s="138"/>
      <c r="G475" s="26"/>
    </row>
    <row r="476" ht="22.5" customHeight="1">
      <c r="A476" s="24"/>
      <c r="B476" s="25"/>
      <c r="C476" s="25"/>
      <c r="D476" s="25"/>
      <c r="E476" s="138"/>
      <c r="F476" s="138"/>
      <c r="G476" s="26"/>
    </row>
    <row r="477" ht="22.5" customHeight="1">
      <c r="A477" s="24"/>
      <c r="B477" s="25"/>
      <c r="C477" s="25"/>
      <c r="D477" s="25"/>
      <c r="E477" s="138"/>
      <c r="F477" s="138"/>
      <c r="G477" s="26"/>
    </row>
    <row r="478" ht="22.5" customHeight="1">
      <c r="A478" s="24"/>
      <c r="B478" s="25"/>
      <c r="C478" s="25"/>
      <c r="D478" s="25"/>
      <c r="E478" s="138"/>
      <c r="F478" s="138"/>
      <c r="G478" s="26"/>
    </row>
    <row r="479" ht="22.5" customHeight="1">
      <c r="A479" s="24"/>
      <c r="B479" s="25"/>
      <c r="C479" s="25"/>
      <c r="D479" s="25"/>
      <c r="E479" s="138"/>
      <c r="F479" s="138"/>
      <c r="G479" s="26"/>
    </row>
    <row r="480" ht="22.5" customHeight="1">
      <c r="A480" s="24"/>
      <c r="B480" s="25"/>
      <c r="C480" s="25"/>
      <c r="D480" s="25"/>
      <c r="E480" s="138"/>
      <c r="F480" s="138"/>
      <c r="G480" s="26"/>
    </row>
    <row r="481" ht="22.5" customHeight="1">
      <c r="A481" s="24"/>
      <c r="B481" s="25"/>
      <c r="C481" s="25"/>
      <c r="D481" s="25"/>
      <c r="E481" s="138"/>
      <c r="F481" s="138"/>
      <c r="G481" s="26"/>
    </row>
    <row r="482" ht="22.5" customHeight="1">
      <c r="A482" s="24"/>
      <c r="B482" s="25"/>
      <c r="C482" s="25"/>
      <c r="D482" s="25"/>
      <c r="E482" s="138"/>
      <c r="F482" s="138"/>
      <c r="G482" s="26"/>
    </row>
    <row r="483" ht="22.5" customHeight="1">
      <c r="A483" s="24"/>
      <c r="B483" s="25"/>
      <c r="C483" s="25"/>
      <c r="D483" s="25"/>
      <c r="E483" s="138"/>
      <c r="F483" s="138"/>
      <c r="G483" s="26"/>
    </row>
    <row r="484" ht="22.5" customHeight="1">
      <c r="A484" s="24"/>
      <c r="B484" s="25"/>
      <c r="C484" s="25"/>
      <c r="D484" s="25"/>
      <c r="E484" s="138"/>
      <c r="F484" s="138"/>
      <c r="G484" s="26"/>
    </row>
    <row r="485" ht="22.5" customHeight="1">
      <c r="A485" s="24"/>
      <c r="B485" s="25"/>
      <c r="C485" s="25"/>
      <c r="D485" s="25"/>
      <c r="E485" s="138"/>
      <c r="F485" s="138"/>
      <c r="G485" s="26"/>
    </row>
    <row r="486" ht="22.5" customHeight="1">
      <c r="A486" s="24"/>
      <c r="B486" s="25"/>
      <c r="C486" s="25"/>
      <c r="D486" s="25"/>
      <c r="E486" s="138"/>
      <c r="F486" s="138"/>
      <c r="G486" s="26"/>
    </row>
    <row r="487" ht="22.5" customHeight="1">
      <c r="A487" s="24"/>
      <c r="B487" s="25"/>
      <c r="C487" s="25"/>
      <c r="D487" s="25"/>
      <c r="E487" s="138"/>
      <c r="F487" s="138"/>
      <c r="G487" s="26"/>
    </row>
    <row r="488" ht="22.5" customHeight="1">
      <c r="A488" s="24"/>
      <c r="B488" s="25"/>
      <c r="C488" s="25"/>
      <c r="D488" s="25"/>
      <c r="E488" s="138"/>
      <c r="F488" s="138"/>
      <c r="G488" s="26"/>
    </row>
    <row r="489" ht="22.5" customHeight="1">
      <c r="A489" s="24"/>
      <c r="B489" s="25"/>
      <c r="C489" s="25"/>
      <c r="D489" s="25"/>
      <c r="E489" s="138"/>
      <c r="F489" s="138"/>
      <c r="G489" s="26"/>
    </row>
    <row r="490" ht="22.5" customHeight="1">
      <c r="A490" s="24"/>
      <c r="B490" s="25"/>
      <c r="C490" s="25"/>
      <c r="D490" s="25"/>
      <c r="E490" s="138"/>
      <c r="F490" s="138"/>
      <c r="G490" s="26"/>
    </row>
    <row r="491" ht="22.5" customHeight="1">
      <c r="A491" s="24"/>
      <c r="B491" s="25"/>
      <c r="C491" s="25"/>
      <c r="D491" s="25"/>
      <c r="E491" s="138"/>
      <c r="F491" s="138"/>
      <c r="G491" s="26"/>
    </row>
    <row r="492" ht="22.5" customHeight="1">
      <c r="A492" s="24"/>
      <c r="B492" s="25"/>
      <c r="C492" s="25"/>
      <c r="D492" s="25"/>
      <c r="E492" s="138"/>
      <c r="F492" s="138"/>
      <c r="G492" s="26"/>
    </row>
    <row r="493" ht="22.5" customHeight="1">
      <c r="A493" s="24"/>
      <c r="B493" s="25"/>
      <c r="C493" s="25"/>
      <c r="D493" s="25"/>
      <c r="E493" s="138"/>
      <c r="F493" s="138"/>
      <c r="G493" s="26"/>
    </row>
    <row r="494" ht="22.5" customHeight="1">
      <c r="A494" s="24"/>
      <c r="B494" s="25"/>
      <c r="C494" s="25"/>
      <c r="D494" s="25"/>
      <c r="E494" s="138"/>
      <c r="F494" s="138"/>
      <c r="G494" s="26"/>
    </row>
    <row r="495" ht="22.5" customHeight="1">
      <c r="A495" s="24"/>
      <c r="B495" s="25"/>
      <c r="C495" s="25"/>
      <c r="D495" s="25"/>
      <c r="E495" s="138"/>
      <c r="F495" s="138"/>
      <c r="G495" s="26"/>
    </row>
    <row r="496" ht="22.5" customHeight="1">
      <c r="A496" s="24"/>
      <c r="B496" s="25"/>
      <c r="C496" s="25"/>
      <c r="D496" s="25"/>
      <c r="E496" s="138"/>
      <c r="F496" s="138"/>
      <c r="G496" s="26"/>
    </row>
    <row r="497" ht="22.5" customHeight="1">
      <c r="A497" s="24"/>
      <c r="B497" s="25"/>
      <c r="C497" s="25"/>
      <c r="D497" s="25"/>
      <c r="E497" s="138"/>
      <c r="F497" s="138"/>
      <c r="G497" s="26"/>
    </row>
    <row r="498" ht="22.5" customHeight="1">
      <c r="A498" s="24"/>
      <c r="B498" s="25"/>
      <c r="C498" s="25"/>
      <c r="D498" s="25"/>
      <c r="E498" s="138"/>
      <c r="F498" s="138"/>
      <c r="G498" s="26"/>
    </row>
    <row r="499" ht="22.5" customHeight="1">
      <c r="A499" s="24"/>
      <c r="B499" s="25"/>
      <c r="C499" s="25"/>
      <c r="D499" s="25"/>
      <c r="E499" s="138"/>
      <c r="F499" s="138"/>
      <c r="G499" s="26"/>
    </row>
    <row r="500" ht="22.5" customHeight="1">
      <c r="A500" s="24"/>
      <c r="B500" s="25"/>
      <c r="C500" s="25"/>
      <c r="D500" s="25"/>
      <c r="E500" s="138"/>
      <c r="F500" s="138"/>
      <c r="G500" s="26"/>
    </row>
    <row r="501" ht="22.5" customHeight="1">
      <c r="A501" s="24"/>
      <c r="B501" s="25"/>
      <c r="C501" s="25"/>
      <c r="D501" s="25"/>
      <c r="E501" s="138"/>
      <c r="F501" s="138"/>
      <c r="G501" s="26"/>
    </row>
    <row r="502" ht="22.5" customHeight="1">
      <c r="A502" s="24"/>
      <c r="B502" s="25"/>
      <c r="C502" s="25"/>
      <c r="D502" s="25"/>
      <c r="E502" s="138"/>
      <c r="F502" s="138"/>
      <c r="G502" s="26"/>
    </row>
    <row r="503" ht="22.5" customHeight="1">
      <c r="A503" s="24"/>
      <c r="B503" s="25"/>
      <c r="C503" s="25"/>
      <c r="D503" s="25"/>
      <c r="E503" s="138"/>
      <c r="F503" s="138"/>
      <c r="G503" s="26"/>
    </row>
    <row r="504" ht="22.5" customHeight="1">
      <c r="A504" s="24"/>
      <c r="B504" s="25"/>
      <c r="C504" s="25"/>
      <c r="D504" s="25"/>
      <c r="E504" s="138"/>
      <c r="F504" s="138"/>
      <c r="G504" s="26"/>
    </row>
    <row r="505" ht="22.5" customHeight="1">
      <c r="A505" s="24"/>
      <c r="B505" s="25"/>
      <c r="C505" s="25"/>
      <c r="D505" s="25"/>
      <c r="E505" s="138"/>
      <c r="F505" s="138"/>
      <c r="G505" s="26"/>
    </row>
    <row r="506" ht="22.5" customHeight="1">
      <c r="A506" s="24"/>
      <c r="B506" s="25"/>
      <c r="C506" s="25"/>
      <c r="D506" s="25"/>
      <c r="E506" s="138"/>
      <c r="F506" s="138"/>
      <c r="G506" s="26"/>
    </row>
    <row r="507" ht="22.5" customHeight="1">
      <c r="A507" s="24"/>
      <c r="B507" s="25"/>
      <c r="C507" s="25"/>
      <c r="D507" s="25"/>
      <c r="E507" s="138"/>
      <c r="F507" s="138"/>
      <c r="G507" s="26"/>
    </row>
    <row r="508" ht="22.5" customHeight="1">
      <c r="A508" s="24"/>
      <c r="B508" s="25"/>
      <c r="C508" s="25"/>
      <c r="D508" s="25"/>
      <c r="E508" s="138"/>
      <c r="F508" s="138"/>
      <c r="G508" s="26"/>
    </row>
    <row r="509" ht="22.5" customHeight="1">
      <c r="A509" s="24"/>
      <c r="B509" s="25"/>
      <c r="C509" s="25"/>
      <c r="D509" s="25"/>
      <c r="E509" s="138"/>
      <c r="F509" s="138"/>
      <c r="G509" s="26"/>
    </row>
    <row r="510" ht="22.5" customHeight="1">
      <c r="A510" s="24"/>
      <c r="B510" s="25"/>
      <c r="C510" s="25"/>
      <c r="D510" s="25"/>
      <c r="E510" s="138"/>
      <c r="F510" s="138"/>
      <c r="G510" s="26"/>
    </row>
    <row r="511" ht="22.5" customHeight="1">
      <c r="A511" s="24"/>
      <c r="B511" s="25"/>
      <c r="C511" s="25"/>
      <c r="D511" s="25"/>
      <c r="E511" s="138"/>
      <c r="F511" s="138"/>
      <c r="G511" s="26"/>
    </row>
    <row r="512" ht="22.5" customHeight="1">
      <c r="A512" s="24"/>
      <c r="B512" s="25"/>
      <c r="C512" s="25"/>
      <c r="D512" s="25"/>
      <c r="E512" s="138"/>
      <c r="F512" s="138"/>
      <c r="G512" s="26"/>
    </row>
    <row r="513" ht="22.5" customHeight="1">
      <c r="A513" s="24"/>
      <c r="B513" s="25"/>
      <c r="C513" s="25"/>
      <c r="D513" s="25"/>
      <c r="E513" s="138"/>
      <c r="F513" s="138"/>
      <c r="G513" s="26"/>
    </row>
    <row r="514" ht="22.5" customHeight="1">
      <c r="A514" s="24"/>
      <c r="B514" s="25"/>
      <c r="C514" s="25"/>
      <c r="D514" s="25"/>
      <c r="E514" s="138"/>
      <c r="F514" s="138"/>
      <c r="G514" s="26"/>
    </row>
    <row r="515" ht="22.5" customHeight="1">
      <c r="A515" s="24"/>
      <c r="B515" s="25"/>
      <c r="C515" s="25"/>
      <c r="D515" s="25"/>
      <c r="E515" s="138"/>
      <c r="F515" s="138"/>
      <c r="G515" s="26"/>
    </row>
    <row r="516" ht="22.5" customHeight="1">
      <c r="A516" s="24"/>
      <c r="B516" s="25"/>
      <c r="C516" s="25"/>
      <c r="D516" s="25"/>
      <c r="E516" s="138"/>
      <c r="F516" s="138"/>
      <c r="G516" s="26"/>
    </row>
    <row r="517" ht="22.5" customHeight="1">
      <c r="A517" s="24"/>
      <c r="B517" s="25"/>
      <c r="C517" s="25"/>
      <c r="D517" s="25"/>
      <c r="E517" s="138"/>
      <c r="F517" s="138"/>
      <c r="G517" s="26"/>
    </row>
    <row r="518" ht="22.5" customHeight="1">
      <c r="A518" s="24"/>
      <c r="B518" s="25"/>
      <c r="C518" s="25"/>
      <c r="D518" s="25"/>
      <c r="E518" s="138"/>
      <c r="F518" s="138"/>
      <c r="G518" s="26"/>
    </row>
    <row r="519" ht="22.5" customHeight="1">
      <c r="A519" s="24"/>
      <c r="B519" s="25"/>
      <c r="C519" s="25"/>
      <c r="D519" s="25"/>
      <c r="E519" s="138"/>
      <c r="F519" s="138"/>
      <c r="G519" s="26"/>
    </row>
    <row r="520" ht="22.5" customHeight="1">
      <c r="A520" s="24"/>
      <c r="B520" s="25"/>
      <c r="C520" s="25"/>
      <c r="D520" s="25"/>
      <c r="E520" s="138"/>
      <c r="F520" s="138"/>
      <c r="G520" s="26"/>
    </row>
    <row r="521" ht="22.5" customHeight="1">
      <c r="A521" s="24"/>
      <c r="B521" s="25"/>
      <c r="C521" s="25"/>
      <c r="D521" s="25"/>
      <c r="E521" s="138"/>
      <c r="F521" s="138"/>
      <c r="G521" s="26"/>
    </row>
    <row r="522" ht="22.5" customHeight="1">
      <c r="A522" s="24"/>
      <c r="B522" s="25"/>
      <c r="C522" s="25"/>
      <c r="D522" s="25"/>
      <c r="E522" s="138"/>
      <c r="F522" s="138"/>
      <c r="G522" s="26"/>
    </row>
    <row r="523" ht="22.5" customHeight="1">
      <c r="A523" s="24"/>
      <c r="B523" s="25"/>
      <c r="C523" s="25"/>
      <c r="D523" s="25"/>
      <c r="E523" s="138"/>
      <c r="F523" s="138"/>
      <c r="G523" s="26"/>
    </row>
    <row r="524" ht="22.5" customHeight="1">
      <c r="A524" s="24"/>
      <c r="B524" s="25"/>
      <c r="C524" s="25"/>
      <c r="D524" s="25"/>
      <c r="E524" s="138"/>
      <c r="F524" s="138"/>
      <c r="G524" s="26"/>
    </row>
    <row r="525" ht="22.5" customHeight="1">
      <c r="A525" s="24"/>
      <c r="B525" s="25"/>
      <c r="C525" s="25"/>
      <c r="D525" s="25"/>
      <c r="E525" s="138"/>
      <c r="F525" s="138"/>
      <c r="G525" s="26"/>
    </row>
    <row r="526" ht="22.5" customHeight="1">
      <c r="A526" s="24"/>
      <c r="B526" s="25"/>
      <c r="C526" s="25"/>
      <c r="D526" s="25"/>
      <c r="E526" s="138"/>
      <c r="F526" s="138"/>
      <c r="G526" s="26"/>
    </row>
    <row r="527" ht="22.5" customHeight="1">
      <c r="A527" s="24"/>
      <c r="B527" s="25"/>
      <c r="C527" s="25"/>
      <c r="D527" s="25"/>
      <c r="E527" s="138"/>
      <c r="F527" s="138"/>
      <c r="G527" s="26"/>
    </row>
    <row r="528" ht="22.5" customHeight="1">
      <c r="A528" s="24"/>
      <c r="B528" s="25"/>
      <c r="C528" s="25"/>
      <c r="D528" s="25"/>
      <c r="E528" s="138"/>
      <c r="F528" s="138"/>
      <c r="G528" s="26"/>
    </row>
    <row r="529" ht="22.5" customHeight="1">
      <c r="A529" s="24"/>
      <c r="B529" s="25"/>
      <c r="C529" s="25"/>
      <c r="D529" s="25"/>
      <c r="E529" s="138"/>
      <c r="F529" s="138"/>
      <c r="G529" s="26"/>
    </row>
    <row r="530" ht="22.5" customHeight="1">
      <c r="A530" s="24"/>
      <c r="B530" s="25"/>
      <c r="C530" s="25"/>
      <c r="D530" s="25"/>
      <c r="E530" s="138"/>
      <c r="F530" s="138"/>
      <c r="G530" s="26"/>
    </row>
    <row r="531" ht="22.5" customHeight="1">
      <c r="A531" s="24"/>
      <c r="B531" s="25"/>
      <c r="C531" s="25"/>
      <c r="D531" s="25"/>
      <c r="E531" s="138"/>
      <c r="F531" s="138"/>
      <c r="G531" s="26"/>
    </row>
    <row r="532" ht="22.5" customHeight="1">
      <c r="A532" s="24"/>
      <c r="B532" s="25"/>
      <c r="C532" s="25"/>
      <c r="D532" s="25"/>
      <c r="E532" s="138"/>
      <c r="F532" s="138"/>
      <c r="G532" s="26"/>
    </row>
    <row r="533" ht="22.5" customHeight="1">
      <c r="A533" s="24"/>
      <c r="B533" s="25"/>
      <c r="C533" s="25"/>
      <c r="D533" s="25"/>
      <c r="E533" s="138"/>
      <c r="F533" s="138"/>
      <c r="G533" s="26"/>
    </row>
    <row r="534" ht="22.5" customHeight="1">
      <c r="A534" s="24"/>
      <c r="B534" s="25"/>
      <c r="C534" s="25"/>
      <c r="D534" s="25"/>
      <c r="E534" s="138"/>
      <c r="F534" s="138"/>
      <c r="G534" s="26"/>
    </row>
    <row r="535" ht="22.5" customHeight="1">
      <c r="A535" s="24"/>
      <c r="B535" s="25"/>
      <c r="C535" s="25"/>
      <c r="D535" s="25"/>
      <c r="E535" s="138"/>
      <c r="F535" s="138"/>
      <c r="G535" s="26"/>
    </row>
    <row r="536" ht="22.5" customHeight="1">
      <c r="A536" s="24"/>
      <c r="B536" s="25"/>
      <c r="C536" s="25"/>
      <c r="D536" s="25"/>
      <c r="E536" s="138"/>
      <c r="F536" s="138"/>
      <c r="G536" s="26"/>
    </row>
    <row r="537" ht="22.5" customHeight="1">
      <c r="A537" s="24"/>
      <c r="B537" s="25"/>
      <c r="C537" s="25"/>
      <c r="D537" s="25"/>
      <c r="E537" s="138"/>
      <c r="F537" s="138"/>
      <c r="G537" s="26"/>
    </row>
    <row r="538" ht="22.5" customHeight="1">
      <c r="A538" s="24"/>
      <c r="B538" s="25"/>
      <c r="C538" s="25"/>
      <c r="D538" s="25"/>
      <c r="E538" s="138"/>
      <c r="F538" s="138"/>
      <c r="G538" s="26"/>
    </row>
    <row r="539" ht="22.5" customHeight="1">
      <c r="A539" s="24"/>
      <c r="B539" s="25"/>
      <c r="C539" s="25"/>
      <c r="D539" s="25"/>
      <c r="E539" s="138"/>
      <c r="F539" s="138"/>
      <c r="G539" s="26"/>
    </row>
    <row r="540" ht="22.5" customHeight="1">
      <c r="A540" s="24"/>
      <c r="B540" s="25"/>
      <c r="C540" s="25"/>
      <c r="D540" s="25"/>
      <c r="E540" s="138"/>
      <c r="F540" s="138"/>
      <c r="G540" s="26"/>
    </row>
    <row r="541" ht="22.5" customHeight="1">
      <c r="A541" s="24"/>
      <c r="B541" s="25"/>
      <c r="C541" s="25"/>
      <c r="D541" s="25"/>
      <c r="E541" s="138"/>
      <c r="F541" s="138"/>
      <c r="G541" s="26"/>
    </row>
    <row r="542" ht="22.5" customHeight="1">
      <c r="A542" s="24"/>
      <c r="B542" s="25"/>
      <c r="C542" s="25"/>
      <c r="D542" s="25"/>
      <c r="E542" s="138"/>
      <c r="F542" s="138"/>
      <c r="G542" s="26"/>
    </row>
    <row r="543" ht="22.5" customHeight="1">
      <c r="A543" s="24"/>
      <c r="B543" s="25"/>
      <c r="C543" s="25"/>
      <c r="D543" s="25"/>
      <c r="E543" s="138"/>
      <c r="F543" s="138"/>
      <c r="G543" s="26"/>
    </row>
    <row r="544" ht="22.5" customHeight="1">
      <c r="A544" s="24"/>
      <c r="B544" s="25"/>
      <c r="C544" s="25"/>
      <c r="D544" s="25"/>
      <c r="E544" s="138"/>
      <c r="F544" s="138"/>
      <c r="G544" s="26"/>
    </row>
    <row r="545" ht="22.5" customHeight="1">
      <c r="A545" s="24"/>
      <c r="B545" s="25"/>
      <c r="C545" s="25"/>
      <c r="D545" s="25"/>
      <c r="E545" s="138"/>
      <c r="F545" s="138"/>
      <c r="G545" s="26"/>
    </row>
    <row r="546" ht="22.5" customHeight="1">
      <c r="A546" s="24"/>
      <c r="B546" s="25"/>
      <c r="C546" s="25"/>
      <c r="D546" s="25"/>
      <c r="E546" s="138"/>
      <c r="F546" s="138"/>
      <c r="G546" s="26"/>
    </row>
    <row r="547" ht="22.5" customHeight="1">
      <c r="A547" s="24"/>
      <c r="B547" s="25"/>
      <c r="C547" s="25"/>
      <c r="D547" s="25"/>
      <c r="E547" s="138"/>
      <c r="F547" s="138"/>
      <c r="G547" s="26"/>
    </row>
    <row r="548" ht="22.5" customHeight="1">
      <c r="A548" s="24"/>
      <c r="B548" s="25"/>
      <c r="C548" s="25"/>
      <c r="D548" s="25"/>
      <c r="E548" s="138"/>
      <c r="F548" s="138"/>
      <c r="G548" s="26"/>
    </row>
    <row r="549" ht="22.5" customHeight="1">
      <c r="A549" s="24"/>
      <c r="B549" s="25"/>
      <c r="C549" s="25"/>
      <c r="D549" s="25"/>
      <c r="E549" s="138"/>
      <c r="F549" s="138"/>
      <c r="G549" s="26"/>
    </row>
    <row r="550" ht="22.5" customHeight="1">
      <c r="A550" s="24"/>
      <c r="B550" s="25"/>
      <c r="C550" s="25"/>
      <c r="D550" s="25"/>
      <c r="E550" s="138"/>
      <c r="F550" s="138"/>
      <c r="G550" s="26"/>
    </row>
    <row r="551" ht="22.5" customHeight="1">
      <c r="A551" s="24"/>
      <c r="B551" s="25"/>
      <c r="C551" s="25"/>
      <c r="D551" s="25"/>
      <c r="E551" s="138"/>
      <c r="F551" s="138"/>
      <c r="G551" s="26"/>
    </row>
    <row r="552" ht="22.5" customHeight="1">
      <c r="A552" s="24"/>
      <c r="B552" s="25"/>
      <c r="C552" s="25"/>
      <c r="D552" s="25"/>
      <c r="E552" s="138"/>
      <c r="F552" s="138"/>
      <c r="G552" s="26"/>
    </row>
    <row r="553" ht="22.5" customHeight="1">
      <c r="A553" s="24"/>
      <c r="B553" s="25"/>
      <c r="C553" s="25"/>
      <c r="D553" s="25"/>
      <c r="E553" s="138"/>
      <c r="F553" s="138"/>
      <c r="G553" s="26"/>
    </row>
    <row r="554" ht="22.5" customHeight="1">
      <c r="A554" s="24"/>
      <c r="B554" s="25"/>
      <c r="C554" s="25"/>
      <c r="D554" s="25"/>
      <c r="E554" s="138"/>
      <c r="F554" s="138"/>
      <c r="G554" s="26"/>
    </row>
    <row r="555" ht="22.5" customHeight="1">
      <c r="A555" s="24"/>
      <c r="B555" s="25"/>
      <c r="C555" s="25"/>
      <c r="D555" s="25"/>
      <c r="E555" s="138"/>
      <c r="F555" s="138"/>
      <c r="G555" s="26"/>
    </row>
    <row r="556" ht="22.5" customHeight="1">
      <c r="A556" s="24"/>
      <c r="B556" s="25"/>
      <c r="C556" s="25"/>
      <c r="D556" s="25"/>
      <c r="E556" s="138"/>
      <c r="F556" s="138"/>
      <c r="G556" s="26"/>
    </row>
    <row r="557" ht="22.5" customHeight="1">
      <c r="A557" s="24"/>
      <c r="B557" s="25"/>
      <c r="C557" s="25"/>
      <c r="D557" s="25"/>
      <c r="E557" s="138"/>
      <c r="F557" s="138"/>
      <c r="G557" s="26"/>
    </row>
    <row r="558" ht="22.5" customHeight="1">
      <c r="A558" s="24"/>
      <c r="B558" s="25"/>
      <c r="C558" s="25"/>
      <c r="D558" s="25"/>
      <c r="E558" s="138"/>
      <c r="F558" s="138"/>
      <c r="G558" s="26"/>
    </row>
    <row r="559" ht="22.5" customHeight="1">
      <c r="A559" s="24"/>
      <c r="B559" s="25"/>
      <c r="C559" s="25"/>
      <c r="D559" s="25"/>
      <c r="E559" s="138"/>
      <c r="F559" s="138"/>
      <c r="G559" s="26"/>
    </row>
    <row r="560" ht="22.5" customHeight="1">
      <c r="A560" s="24"/>
      <c r="B560" s="25"/>
      <c r="C560" s="25"/>
      <c r="D560" s="25"/>
      <c r="E560" s="138"/>
      <c r="F560" s="138"/>
      <c r="G560" s="26"/>
    </row>
    <row r="561" ht="22.5" customHeight="1">
      <c r="A561" s="24"/>
      <c r="B561" s="25"/>
      <c r="C561" s="25"/>
      <c r="D561" s="25"/>
      <c r="E561" s="138"/>
      <c r="F561" s="138"/>
      <c r="G561" s="26"/>
    </row>
    <row r="562" ht="22.5" customHeight="1">
      <c r="A562" s="24"/>
      <c r="B562" s="25"/>
      <c r="C562" s="25"/>
      <c r="D562" s="25"/>
      <c r="E562" s="138"/>
      <c r="F562" s="138"/>
      <c r="G562" s="26"/>
    </row>
    <row r="563" ht="22.5" customHeight="1">
      <c r="A563" s="24"/>
      <c r="B563" s="25"/>
      <c r="C563" s="25"/>
      <c r="D563" s="25"/>
      <c r="E563" s="138"/>
      <c r="F563" s="138"/>
      <c r="G563" s="26"/>
    </row>
    <row r="564" ht="22.5" customHeight="1">
      <c r="A564" s="24"/>
      <c r="B564" s="25"/>
      <c r="C564" s="25"/>
      <c r="D564" s="25"/>
      <c r="E564" s="138"/>
      <c r="F564" s="138"/>
      <c r="G564" s="26"/>
    </row>
    <row r="565" ht="22.5" customHeight="1">
      <c r="A565" s="24"/>
      <c r="B565" s="25"/>
      <c r="C565" s="25"/>
      <c r="D565" s="25"/>
      <c r="E565" s="138"/>
      <c r="F565" s="138"/>
      <c r="G565" s="26"/>
    </row>
    <row r="566" ht="22.5" customHeight="1">
      <c r="A566" s="24"/>
      <c r="B566" s="25"/>
      <c r="C566" s="25"/>
      <c r="D566" s="25"/>
      <c r="E566" s="138"/>
      <c r="F566" s="138"/>
      <c r="G566" s="26"/>
    </row>
    <row r="567" ht="22.5" customHeight="1">
      <c r="A567" s="24"/>
      <c r="B567" s="25"/>
      <c r="C567" s="25"/>
      <c r="D567" s="25"/>
      <c r="E567" s="138"/>
      <c r="F567" s="138"/>
      <c r="G567" s="26"/>
    </row>
    <row r="568" ht="22.5" customHeight="1">
      <c r="A568" s="24"/>
      <c r="B568" s="25"/>
      <c r="C568" s="25"/>
      <c r="D568" s="25"/>
      <c r="E568" s="138"/>
      <c r="F568" s="138"/>
      <c r="G568" s="26"/>
    </row>
    <row r="569" ht="22.5" customHeight="1">
      <c r="A569" s="24"/>
      <c r="B569" s="25"/>
      <c r="C569" s="25"/>
      <c r="D569" s="25"/>
      <c r="E569" s="138"/>
      <c r="F569" s="138"/>
      <c r="G569" s="26"/>
    </row>
    <row r="570" ht="22.5" customHeight="1">
      <c r="A570" s="24"/>
      <c r="B570" s="25"/>
      <c r="C570" s="25"/>
      <c r="D570" s="25"/>
      <c r="E570" s="138"/>
      <c r="F570" s="138"/>
      <c r="G570" s="26"/>
    </row>
    <row r="571" ht="22.5" customHeight="1">
      <c r="A571" s="24"/>
      <c r="B571" s="25"/>
      <c r="C571" s="25"/>
      <c r="D571" s="25"/>
      <c r="E571" s="138"/>
      <c r="F571" s="138"/>
      <c r="G571" s="26"/>
    </row>
    <row r="572" ht="22.5" customHeight="1">
      <c r="A572" s="24"/>
      <c r="B572" s="25"/>
      <c r="C572" s="25"/>
      <c r="D572" s="25"/>
      <c r="E572" s="138"/>
      <c r="F572" s="138"/>
      <c r="G572" s="26"/>
    </row>
    <row r="573" ht="22.5" customHeight="1">
      <c r="A573" s="24"/>
      <c r="B573" s="25"/>
      <c r="C573" s="25"/>
      <c r="D573" s="25"/>
      <c r="E573" s="138"/>
      <c r="F573" s="138"/>
      <c r="G573" s="26"/>
    </row>
    <row r="574" ht="22.5" customHeight="1">
      <c r="A574" s="24"/>
      <c r="B574" s="25"/>
      <c r="C574" s="25"/>
      <c r="D574" s="25"/>
      <c r="E574" s="138"/>
      <c r="F574" s="138"/>
      <c r="G574" s="26"/>
    </row>
    <row r="575" ht="22.5" customHeight="1">
      <c r="A575" s="24"/>
      <c r="B575" s="25"/>
      <c r="C575" s="25"/>
      <c r="D575" s="25"/>
      <c r="E575" s="138"/>
      <c r="F575" s="138"/>
      <c r="G575" s="26"/>
    </row>
    <row r="576" ht="22.5" customHeight="1">
      <c r="A576" s="24"/>
      <c r="B576" s="25"/>
      <c r="C576" s="25"/>
      <c r="D576" s="25"/>
      <c r="E576" s="138"/>
      <c r="F576" s="138"/>
      <c r="G576" s="26"/>
    </row>
    <row r="577" ht="22.5" customHeight="1">
      <c r="A577" s="24"/>
      <c r="B577" s="25"/>
      <c r="C577" s="25"/>
      <c r="D577" s="25"/>
      <c r="E577" s="138"/>
      <c r="F577" s="138"/>
      <c r="G577" s="26"/>
    </row>
    <row r="578" ht="22.5" customHeight="1">
      <c r="A578" s="24"/>
      <c r="B578" s="25"/>
      <c r="C578" s="25"/>
      <c r="D578" s="25"/>
      <c r="E578" s="138"/>
      <c r="F578" s="138"/>
      <c r="G578" s="26"/>
    </row>
    <row r="579" ht="22.5" customHeight="1">
      <c r="A579" s="24"/>
      <c r="B579" s="25"/>
      <c r="C579" s="25"/>
      <c r="D579" s="25"/>
      <c r="E579" s="138"/>
      <c r="F579" s="138"/>
      <c r="G579" s="26"/>
    </row>
    <row r="580" ht="22.5" customHeight="1">
      <c r="A580" s="24"/>
      <c r="B580" s="25"/>
      <c r="C580" s="25"/>
      <c r="D580" s="25"/>
      <c r="E580" s="138"/>
      <c r="F580" s="138"/>
      <c r="G580" s="26"/>
    </row>
    <row r="581" ht="22.5" customHeight="1">
      <c r="A581" s="24"/>
      <c r="B581" s="25"/>
      <c r="C581" s="25"/>
      <c r="D581" s="25"/>
      <c r="E581" s="138"/>
      <c r="F581" s="138"/>
      <c r="G581" s="26"/>
    </row>
    <row r="582" ht="22.5" customHeight="1">
      <c r="A582" s="24"/>
      <c r="B582" s="25"/>
      <c r="C582" s="25"/>
      <c r="D582" s="25"/>
      <c r="E582" s="138"/>
      <c r="F582" s="138"/>
      <c r="G582" s="26"/>
    </row>
    <row r="583" ht="22.5" customHeight="1">
      <c r="A583" s="24"/>
      <c r="B583" s="25"/>
      <c r="C583" s="25"/>
      <c r="D583" s="25"/>
      <c r="E583" s="138"/>
      <c r="F583" s="138"/>
      <c r="G583" s="26"/>
    </row>
    <row r="584" ht="22.5" customHeight="1">
      <c r="A584" s="24"/>
      <c r="B584" s="25"/>
      <c r="C584" s="25"/>
      <c r="D584" s="25"/>
      <c r="E584" s="138"/>
      <c r="F584" s="138"/>
      <c r="G584" s="26"/>
    </row>
    <row r="585" ht="22.5" customHeight="1">
      <c r="A585" s="24"/>
      <c r="B585" s="25"/>
      <c r="C585" s="25"/>
      <c r="D585" s="25"/>
      <c r="E585" s="138"/>
      <c r="F585" s="138"/>
      <c r="G585" s="26"/>
    </row>
    <row r="586" ht="22.5" customHeight="1">
      <c r="A586" s="24"/>
      <c r="B586" s="25"/>
      <c r="C586" s="25"/>
      <c r="D586" s="25"/>
      <c r="E586" s="138"/>
      <c r="F586" s="138"/>
      <c r="G586" s="26"/>
    </row>
    <row r="587" ht="22.5" customHeight="1">
      <c r="A587" s="24"/>
      <c r="B587" s="25"/>
      <c r="C587" s="25"/>
      <c r="D587" s="25"/>
      <c r="E587" s="138"/>
      <c r="F587" s="138"/>
      <c r="G587" s="26"/>
    </row>
    <row r="588" ht="22.5" customHeight="1">
      <c r="A588" s="24"/>
      <c r="B588" s="25"/>
      <c r="C588" s="25"/>
      <c r="D588" s="25"/>
      <c r="E588" s="138"/>
      <c r="F588" s="138"/>
      <c r="G588" s="26"/>
    </row>
    <row r="589" ht="22.5" customHeight="1">
      <c r="A589" s="24"/>
      <c r="B589" s="25"/>
      <c r="C589" s="25"/>
      <c r="D589" s="25"/>
      <c r="E589" s="138"/>
      <c r="F589" s="138"/>
      <c r="G589" s="26"/>
    </row>
    <row r="590" ht="22.5" customHeight="1">
      <c r="A590" s="24"/>
      <c r="B590" s="25"/>
      <c r="C590" s="25"/>
      <c r="D590" s="25"/>
      <c r="E590" s="138"/>
      <c r="F590" s="138"/>
      <c r="G590" s="26"/>
    </row>
    <row r="591" ht="22.5" customHeight="1">
      <c r="A591" s="24"/>
      <c r="B591" s="25"/>
      <c r="C591" s="25"/>
      <c r="D591" s="25"/>
      <c r="E591" s="138"/>
      <c r="F591" s="138"/>
      <c r="G591" s="26"/>
    </row>
    <row r="592" ht="22.5" customHeight="1">
      <c r="A592" s="24"/>
      <c r="B592" s="25"/>
      <c r="C592" s="25"/>
      <c r="D592" s="25"/>
      <c r="E592" s="138"/>
      <c r="F592" s="138"/>
      <c r="G592" s="26"/>
    </row>
    <row r="593" ht="22.5" customHeight="1">
      <c r="A593" s="24"/>
      <c r="B593" s="25"/>
      <c r="C593" s="25"/>
      <c r="D593" s="25"/>
      <c r="E593" s="138"/>
      <c r="F593" s="138"/>
      <c r="G593" s="26"/>
    </row>
    <row r="594" ht="22.5" customHeight="1">
      <c r="A594" s="24"/>
      <c r="B594" s="25"/>
      <c r="C594" s="25"/>
      <c r="D594" s="25"/>
      <c r="E594" s="138"/>
      <c r="F594" s="138"/>
      <c r="G594" s="26"/>
    </row>
    <row r="595" ht="22.5" customHeight="1">
      <c r="A595" s="24"/>
      <c r="B595" s="25"/>
      <c r="C595" s="25"/>
      <c r="D595" s="25"/>
      <c r="E595" s="138"/>
      <c r="F595" s="138"/>
      <c r="G595" s="26"/>
    </row>
    <row r="596" ht="22.5" customHeight="1">
      <c r="A596" s="24"/>
      <c r="B596" s="25"/>
      <c r="C596" s="25"/>
      <c r="D596" s="25"/>
      <c r="E596" s="138"/>
      <c r="F596" s="138"/>
      <c r="G596" s="26"/>
    </row>
    <row r="597" ht="22.5" customHeight="1">
      <c r="A597" s="24"/>
      <c r="B597" s="25"/>
      <c r="C597" s="25"/>
      <c r="D597" s="25"/>
      <c r="E597" s="138"/>
      <c r="F597" s="138"/>
      <c r="G597" s="26"/>
    </row>
    <row r="598" ht="22.5" customHeight="1">
      <c r="A598" s="24"/>
      <c r="B598" s="25"/>
      <c r="C598" s="25"/>
      <c r="D598" s="25"/>
      <c r="E598" s="138"/>
      <c r="F598" s="138"/>
      <c r="G598" s="26"/>
    </row>
    <row r="599" ht="22.5" customHeight="1">
      <c r="A599" s="24"/>
      <c r="B599" s="25"/>
      <c r="C599" s="25"/>
      <c r="D599" s="25"/>
      <c r="E599" s="138"/>
      <c r="F599" s="138"/>
      <c r="G599" s="26"/>
    </row>
    <row r="600" ht="22.5" customHeight="1">
      <c r="A600" s="24"/>
      <c r="B600" s="25"/>
      <c r="C600" s="25"/>
      <c r="D600" s="25"/>
      <c r="E600" s="138"/>
      <c r="F600" s="138"/>
      <c r="G600" s="26"/>
    </row>
    <row r="601" ht="22.5" customHeight="1">
      <c r="A601" s="24"/>
      <c r="B601" s="25"/>
      <c r="C601" s="25"/>
      <c r="D601" s="25"/>
      <c r="E601" s="138"/>
      <c r="F601" s="138"/>
      <c r="G601" s="26"/>
    </row>
    <row r="602" ht="22.5" customHeight="1">
      <c r="A602" s="24"/>
      <c r="B602" s="25"/>
      <c r="C602" s="25"/>
      <c r="D602" s="25"/>
      <c r="E602" s="138"/>
      <c r="F602" s="138"/>
      <c r="G602" s="26"/>
    </row>
    <row r="603" ht="22.5" customHeight="1">
      <c r="A603" s="24"/>
      <c r="B603" s="25"/>
      <c r="C603" s="25"/>
      <c r="D603" s="25"/>
      <c r="E603" s="138"/>
      <c r="F603" s="138"/>
      <c r="G603" s="26"/>
    </row>
    <row r="604" ht="22.5" customHeight="1">
      <c r="A604" s="24"/>
      <c r="B604" s="25"/>
      <c r="C604" s="25"/>
      <c r="D604" s="25"/>
      <c r="E604" s="138"/>
      <c r="F604" s="138"/>
      <c r="G604" s="26"/>
    </row>
    <row r="605" ht="22.5" customHeight="1">
      <c r="A605" s="24"/>
      <c r="B605" s="25"/>
      <c r="C605" s="25"/>
      <c r="D605" s="25"/>
      <c r="E605" s="138"/>
      <c r="F605" s="138"/>
      <c r="G605" s="26"/>
    </row>
    <row r="606" ht="22.5" customHeight="1">
      <c r="A606" s="24"/>
      <c r="B606" s="25"/>
      <c r="C606" s="25"/>
      <c r="D606" s="25"/>
      <c r="E606" s="138"/>
      <c r="F606" s="138"/>
      <c r="G606" s="26"/>
    </row>
    <row r="607" ht="22.5" customHeight="1">
      <c r="A607" s="24"/>
      <c r="B607" s="25"/>
      <c r="C607" s="25"/>
      <c r="D607" s="25"/>
      <c r="E607" s="138"/>
      <c r="F607" s="138"/>
      <c r="G607" s="26"/>
    </row>
    <row r="608" ht="22.5" customHeight="1">
      <c r="A608" s="24"/>
      <c r="B608" s="25"/>
      <c r="C608" s="25"/>
      <c r="D608" s="25"/>
      <c r="E608" s="138"/>
      <c r="F608" s="138"/>
      <c r="G608" s="26"/>
    </row>
    <row r="609" ht="22.5" customHeight="1">
      <c r="A609" s="24"/>
      <c r="B609" s="25"/>
      <c r="C609" s="25"/>
      <c r="D609" s="25"/>
      <c r="E609" s="138"/>
      <c r="F609" s="138"/>
      <c r="G609" s="26"/>
    </row>
    <row r="610" ht="22.5" customHeight="1">
      <c r="A610" s="24"/>
      <c r="B610" s="25"/>
      <c r="C610" s="25"/>
      <c r="D610" s="25"/>
      <c r="E610" s="138"/>
      <c r="F610" s="138"/>
      <c r="G610" s="26"/>
    </row>
    <row r="611" ht="22.5" customHeight="1">
      <c r="A611" s="24"/>
      <c r="B611" s="25"/>
      <c r="C611" s="25"/>
      <c r="D611" s="25"/>
      <c r="E611" s="138"/>
      <c r="F611" s="138"/>
      <c r="G611" s="26"/>
    </row>
    <row r="612" ht="22.5" customHeight="1">
      <c r="A612" s="24"/>
      <c r="B612" s="25"/>
      <c r="C612" s="25"/>
      <c r="D612" s="25"/>
      <c r="E612" s="138"/>
      <c r="F612" s="138"/>
      <c r="G612" s="26"/>
    </row>
    <row r="613" ht="22.5" customHeight="1">
      <c r="A613" s="24"/>
      <c r="B613" s="25"/>
      <c r="C613" s="25"/>
      <c r="D613" s="25"/>
      <c r="E613" s="138"/>
      <c r="F613" s="138"/>
      <c r="G613" s="26"/>
    </row>
    <row r="614" ht="22.5" customHeight="1">
      <c r="A614" s="24"/>
      <c r="B614" s="25"/>
      <c r="C614" s="25"/>
      <c r="D614" s="25"/>
      <c r="E614" s="138"/>
      <c r="F614" s="138"/>
      <c r="G614" s="26"/>
    </row>
    <row r="615" ht="22.5" customHeight="1">
      <c r="A615" s="24"/>
      <c r="B615" s="25"/>
      <c r="C615" s="25"/>
      <c r="D615" s="25"/>
      <c r="E615" s="138"/>
      <c r="F615" s="138"/>
      <c r="G615" s="26"/>
    </row>
    <row r="616" ht="22.5" customHeight="1">
      <c r="A616" s="24"/>
      <c r="B616" s="25"/>
      <c r="C616" s="25"/>
      <c r="D616" s="25"/>
      <c r="E616" s="138"/>
      <c r="F616" s="138"/>
      <c r="G616" s="26"/>
    </row>
    <row r="617" ht="22.5" customHeight="1">
      <c r="A617" s="24"/>
      <c r="B617" s="25"/>
      <c r="C617" s="25"/>
      <c r="D617" s="25"/>
      <c r="E617" s="138"/>
      <c r="F617" s="138"/>
      <c r="G617" s="26"/>
    </row>
    <row r="618" ht="22.5" customHeight="1">
      <c r="A618" s="24"/>
      <c r="B618" s="25"/>
      <c r="C618" s="25"/>
      <c r="D618" s="25"/>
      <c r="E618" s="138"/>
      <c r="F618" s="138"/>
      <c r="G618" s="26"/>
    </row>
    <row r="619" ht="22.5" customHeight="1">
      <c r="A619" s="24"/>
      <c r="B619" s="25"/>
      <c r="C619" s="25"/>
      <c r="D619" s="25"/>
      <c r="E619" s="138"/>
      <c r="F619" s="138"/>
      <c r="G619" s="26"/>
    </row>
    <row r="620" ht="22.5" customHeight="1">
      <c r="A620" s="24"/>
      <c r="B620" s="25"/>
      <c r="C620" s="25"/>
      <c r="D620" s="25"/>
      <c r="E620" s="138"/>
      <c r="F620" s="138"/>
      <c r="G620" s="26"/>
    </row>
    <row r="621" ht="22.5" customHeight="1">
      <c r="A621" s="24"/>
      <c r="B621" s="25"/>
      <c r="C621" s="25"/>
      <c r="D621" s="25"/>
      <c r="E621" s="138"/>
      <c r="F621" s="138"/>
      <c r="G621" s="26"/>
    </row>
    <row r="622" ht="22.5" customHeight="1">
      <c r="A622" s="24"/>
      <c r="B622" s="25"/>
      <c r="C622" s="25"/>
      <c r="D622" s="25"/>
      <c r="E622" s="138"/>
      <c r="F622" s="138"/>
      <c r="G622" s="26"/>
    </row>
    <row r="623" ht="22.5" customHeight="1">
      <c r="A623" s="24"/>
      <c r="B623" s="25"/>
      <c r="C623" s="25"/>
      <c r="D623" s="25"/>
      <c r="E623" s="138"/>
      <c r="F623" s="138"/>
      <c r="G623" s="26"/>
    </row>
    <row r="624" ht="22.5" customHeight="1">
      <c r="A624" s="24"/>
      <c r="B624" s="25"/>
      <c r="C624" s="25"/>
      <c r="D624" s="25"/>
      <c r="E624" s="138"/>
      <c r="F624" s="138"/>
      <c r="G624" s="26"/>
    </row>
    <row r="625" ht="22.5" customHeight="1">
      <c r="A625" s="24"/>
      <c r="B625" s="25"/>
      <c r="C625" s="25"/>
      <c r="D625" s="25"/>
      <c r="E625" s="138"/>
      <c r="F625" s="138"/>
      <c r="G625" s="26"/>
    </row>
    <row r="626" ht="22.5" customHeight="1">
      <c r="A626" s="24"/>
      <c r="B626" s="25"/>
      <c r="C626" s="25"/>
      <c r="D626" s="25"/>
      <c r="E626" s="138"/>
      <c r="F626" s="138"/>
      <c r="G626" s="26"/>
    </row>
    <row r="627" ht="22.5" customHeight="1">
      <c r="A627" s="24"/>
      <c r="B627" s="25"/>
      <c r="C627" s="25"/>
      <c r="D627" s="25"/>
      <c r="E627" s="138"/>
      <c r="F627" s="138"/>
      <c r="G627" s="26"/>
    </row>
    <row r="628" ht="22.5" customHeight="1">
      <c r="A628" s="24"/>
      <c r="B628" s="25"/>
      <c r="C628" s="25"/>
      <c r="D628" s="25"/>
      <c r="E628" s="138"/>
      <c r="F628" s="138"/>
      <c r="G628" s="26"/>
    </row>
    <row r="629" ht="22.5" customHeight="1">
      <c r="A629" s="24"/>
      <c r="B629" s="25"/>
      <c r="C629" s="25"/>
      <c r="D629" s="25"/>
      <c r="E629" s="138"/>
      <c r="F629" s="138"/>
      <c r="G629" s="26"/>
    </row>
    <row r="630" ht="22.5" customHeight="1">
      <c r="A630" s="24"/>
      <c r="B630" s="25"/>
      <c r="C630" s="25"/>
      <c r="D630" s="25"/>
      <c r="E630" s="138"/>
      <c r="F630" s="138"/>
      <c r="G630" s="26"/>
    </row>
    <row r="631" ht="22.5" customHeight="1">
      <c r="A631" s="24"/>
      <c r="B631" s="25"/>
      <c r="C631" s="25"/>
      <c r="D631" s="25"/>
      <c r="E631" s="138"/>
      <c r="F631" s="138"/>
      <c r="G631" s="26"/>
    </row>
    <row r="632" ht="22.5" customHeight="1">
      <c r="A632" s="24"/>
      <c r="B632" s="25"/>
      <c r="C632" s="25"/>
      <c r="D632" s="25"/>
      <c r="E632" s="138"/>
      <c r="F632" s="138"/>
      <c r="G632" s="26"/>
    </row>
    <row r="633" ht="22.5" customHeight="1">
      <c r="A633" s="24"/>
      <c r="B633" s="25"/>
      <c r="C633" s="25"/>
      <c r="D633" s="25"/>
      <c r="E633" s="138"/>
      <c r="F633" s="138"/>
      <c r="G633" s="26"/>
    </row>
    <row r="634" ht="22.5" customHeight="1">
      <c r="A634" s="24"/>
      <c r="B634" s="25"/>
      <c r="C634" s="25"/>
      <c r="D634" s="25"/>
      <c r="E634" s="138"/>
      <c r="F634" s="138"/>
      <c r="G634" s="26"/>
    </row>
    <row r="635" ht="22.5" customHeight="1">
      <c r="A635" s="24"/>
      <c r="B635" s="25"/>
      <c r="C635" s="25"/>
      <c r="D635" s="25"/>
      <c r="E635" s="138"/>
      <c r="F635" s="138"/>
      <c r="G635" s="26"/>
    </row>
    <row r="636" ht="22.5" customHeight="1">
      <c r="A636" s="24"/>
      <c r="B636" s="25"/>
      <c r="C636" s="25"/>
      <c r="D636" s="25"/>
      <c r="E636" s="138"/>
      <c r="F636" s="138"/>
      <c r="G636" s="26"/>
    </row>
    <row r="637" ht="22.5" customHeight="1">
      <c r="A637" s="24"/>
      <c r="B637" s="25"/>
      <c r="C637" s="25"/>
      <c r="D637" s="25"/>
      <c r="E637" s="138"/>
      <c r="F637" s="138"/>
      <c r="G637" s="26"/>
    </row>
    <row r="638" ht="22.5" customHeight="1">
      <c r="A638" s="24"/>
      <c r="B638" s="25"/>
      <c r="C638" s="25"/>
      <c r="D638" s="25"/>
      <c r="E638" s="138"/>
      <c r="F638" s="138"/>
      <c r="G638" s="26"/>
    </row>
    <row r="639" ht="22.5" customHeight="1">
      <c r="A639" s="24"/>
      <c r="B639" s="25"/>
      <c r="C639" s="25"/>
      <c r="D639" s="25"/>
      <c r="E639" s="138"/>
      <c r="F639" s="138"/>
      <c r="G639" s="26"/>
    </row>
    <row r="640" ht="22.5" customHeight="1">
      <c r="A640" s="24"/>
      <c r="B640" s="25"/>
      <c r="C640" s="25"/>
      <c r="D640" s="25"/>
      <c r="E640" s="138"/>
      <c r="F640" s="138"/>
      <c r="G640" s="26"/>
    </row>
    <row r="641" ht="22.5" customHeight="1">
      <c r="A641" s="24"/>
      <c r="B641" s="25"/>
      <c r="C641" s="25"/>
      <c r="D641" s="25"/>
      <c r="E641" s="138"/>
      <c r="F641" s="138"/>
      <c r="G641" s="26"/>
    </row>
    <row r="642" ht="22.5" customHeight="1">
      <c r="A642" s="24"/>
      <c r="B642" s="25"/>
      <c r="C642" s="25"/>
      <c r="D642" s="25"/>
      <c r="E642" s="138"/>
      <c r="F642" s="138"/>
      <c r="G642" s="26"/>
    </row>
    <row r="643" ht="22.5" customHeight="1">
      <c r="A643" s="24"/>
      <c r="B643" s="25"/>
      <c r="C643" s="25"/>
      <c r="D643" s="25"/>
      <c r="E643" s="138"/>
      <c r="F643" s="138"/>
      <c r="G643" s="26"/>
    </row>
    <row r="644" ht="22.5" customHeight="1">
      <c r="A644" s="24"/>
      <c r="B644" s="25"/>
      <c r="C644" s="25"/>
      <c r="D644" s="25"/>
      <c r="E644" s="138"/>
      <c r="F644" s="138"/>
      <c r="G644" s="26"/>
    </row>
    <row r="645" ht="22.5" customHeight="1">
      <c r="A645" s="24"/>
      <c r="B645" s="25"/>
      <c r="C645" s="25"/>
      <c r="D645" s="25"/>
      <c r="E645" s="138"/>
      <c r="F645" s="138"/>
      <c r="G645" s="26"/>
    </row>
    <row r="646" ht="22.5" customHeight="1">
      <c r="A646" s="24"/>
      <c r="B646" s="25"/>
      <c r="C646" s="25"/>
      <c r="D646" s="25"/>
      <c r="E646" s="138"/>
      <c r="F646" s="138"/>
      <c r="G646" s="26"/>
    </row>
    <row r="647" ht="22.5" customHeight="1">
      <c r="A647" s="24"/>
      <c r="B647" s="25"/>
      <c r="C647" s="25"/>
      <c r="D647" s="25"/>
      <c r="E647" s="138"/>
      <c r="F647" s="138"/>
      <c r="G647" s="26"/>
    </row>
    <row r="648" ht="22.5" customHeight="1">
      <c r="A648" s="24"/>
      <c r="B648" s="25"/>
      <c r="C648" s="25"/>
      <c r="D648" s="25"/>
      <c r="E648" s="138"/>
      <c r="F648" s="138"/>
      <c r="G648" s="26"/>
    </row>
    <row r="649" ht="22.5" customHeight="1">
      <c r="A649" s="24"/>
      <c r="B649" s="25"/>
      <c r="C649" s="25"/>
      <c r="D649" s="25"/>
      <c r="E649" s="138"/>
      <c r="F649" s="138"/>
      <c r="G649" s="26"/>
    </row>
    <row r="650" ht="22.5" customHeight="1">
      <c r="A650" s="24"/>
      <c r="B650" s="25"/>
      <c r="C650" s="25"/>
      <c r="D650" s="25"/>
      <c r="E650" s="138"/>
      <c r="F650" s="138"/>
      <c r="G650" s="26"/>
    </row>
    <row r="651" ht="22.5" customHeight="1">
      <c r="A651" s="24"/>
      <c r="B651" s="25"/>
      <c r="C651" s="25"/>
      <c r="D651" s="25"/>
      <c r="E651" s="138"/>
      <c r="F651" s="138"/>
      <c r="G651" s="26"/>
    </row>
    <row r="652" ht="22.5" customHeight="1">
      <c r="A652" s="24"/>
      <c r="B652" s="25"/>
      <c r="C652" s="25"/>
      <c r="D652" s="25"/>
      <c r="E652" s="138"/>
      <c r="F652" s="138"/>
      <c r="G652" s="26"/>
    </row>
    <row r="653" ht="22.5" customHeight="1">
      <c r="A653" s="24"/>
      <c r="B653" s="25"/>
      <c r="C653" s="25"/>
      <c r="D653" s="25"/>
      <c r="E653" s="138"/>
      <c r="F653" s="138"/>
      <c r="G653" s="26"/>
    </row>
    <row r="654" ht="22.5" customHeight="1">
      <c r="A654" s="24"/>
      <c r="B654" s="25"/>
      <c r="C654" s="25"/>
      <c r="D654" s="25"/>
      <c r="E654" s="138"/>
      <c r="F654" s="138"/>
      <c r="G654" s="26"/>
    </row>
    <row r="655" ht="22.5" customHeight="1">
      <c r="A655" s="24"/>
      <c r="B655" s="25"/>
      <c r="C655" s="25"/>
      <c r="D655" s="25"/>
      <c r="E655" s="138"/>
      <c r="F655" s="138"/>
      <c r="G655" s="26"/>
    </row>
    <row r="656" ht="22.5" customHeight="1">
      <c r="A656" s="24"/>
      <c r="B656" s="25"/>
      <c r="C656" s="25"/>
      <c r="D656" s="25"/>
      <c r="E656" s="138"/>
      <c r="F656" s="138"/>
      <c r="G656" s="26"/>
    </row>
    <row r="657" ht="22.5" customHeight="1">
      <c r="A657" s="24"/>
      <c r="B657" s="25"/>
      <c r="C657" s="25"/>
      <c r="D657" s="25"/>
      <c r="E657" s="138"/>
      <c r="F657" s="138"/>
      <c r="G657" s="26"/>
    </row>
    <row r="658" ht="22.5" customHeight="1">
      <c r="A658" s="24"/>
      <c r="B658" s="25"/>
      <c r="C658" s="25"/>
      <c r="D658" s="25"/>
      <c r="E658" s="138"/>
      <c r="F658" s="138"/>
      <c r="G658" s="26"/>
    </row>
    <row r="659" ht="22.5" customHeight="1">
      <c r="A659" s="24"/>
      <c r="B659" s="25"/>
      <c r="C659" s="25"/>
      <c r="D659" s="25"/>
      <c r="E659" s="138"/>
      <c r="F659" s="138"/>
      <c r="G659" s="26"/>
    </row>
    <row r="660" ht="22.5" customHeight="1">
      <c r="A660" s="24"/>
      <c r="B660" s="25"/>
      <c r="C660" s="25"/>
      <c r="D660" s="25"/>
      <c r="E660" s="138"/>
      <c r="F660" s="138"/>
      <c r="G660" s="26"/>
    </row>
    <row r="661" ht="22.5" customHeight="1">
      <c r="A661" s="24"/>
      <c r="B661" s="25"/>
      <c r="C661" s="25"/>
      <c r="D661" s="25"/>
      <c r="E661" s="138"/>
      <c r="F661" s="138"/>
      <c r="G661" s="26"/>
    </row>
    <row r="662" ht="22.5" customHeight="1">
      <c r="A662" s="24"/>
      <c r="B662" s="25"/>
      <c r="C662" s="25"/>
      <c r="D662" s="25"/>
      <c r="E662" s="138"/>
      <c r="F662" s="138"/>
      <c r="G662" s="26"/>
    </row>
    <row r="663" ht="22.5" customHeight="1">
      <c r="A663" s="24"/>
      <c r="B663" s="25"/>
      <c r="C663" s="25"/>
      <c r="D663" s="25"/>
      <c r="E663" s="138"/>
      <c r="F663" s="138"/>
      <c r="G663" s="26"/>
    </row>
    <row r="664" ht="22.5" customHeight="1">
      <c r="A664" s="24"/>
      <c r="B664" s="25"/>
      <c r="C664" s="25"/>
      <c r="D664" s="25"/>
      <c r="E664" s="138"/>
      <c r="F664" s="138"/>
      <c r="G664" s="26"/>
    </row>
    <row r="665" ht="22.5" customHeight="1">
      <c r="A665" s="24"/>
      <c r="B665" s="25"/>
      <c r="C665" s="25"/>
      <c r="D665" s="25"/>
      <c r="E665" s="138"/>
      <c r="F665" s="138"/>
      <c r="G665" s="26"/>
    </row>
    <row r="666" ht="22.5" customHeight="1">
      <c r="A666" s="24"/>
      <c r="B666" s="25"/>
      <c r="C666" s="25"/>
      <c r="D666" s="25"/>
      <c r="E666" s="138"/>
      <c r="F666" s="138"/>
      <c r="G666" s="26"/>
    </row>
    <row r="667" ht="22.5" customHeight="1">
      <c r="A667" s="24"/>
      <c r="B667" s="25"/>
      <c r="C667" s="25"/>
      <c r="D667" s="25"/>
      <c r="E667" s="138"/>
      <c r="F667" s="138"/>
      <c r="G667" s="26"/>
    </row>
    <row r="668" ht="22.5" customHeight="1">
      <c r="A668" s="24"/>
      <c r="B668" s="25"/>
      <c r="C668" s="25"/>
      <c r="D668" s="25"/>
      <c r="E668" s="138"/>
      <c r="F668" s="138"/>
      <c r="G668" s="26"/>
    </row>
    <row r="669" ht="22.5" customHeight="1">
      <c r="A669" s="24"/>
      <c r="B669" s="25"/>
      <c r="C669" s="25"/>
      <c r="D669" s="25"/>
      <c r="E669" s="138"/>
      <c r="F669" s="138"/>
      <c r="G669" s="26"/>
    </row>
    <row r="670" ht="22.5" customHeight="1">
      <c r="A670" s="24"/>
      <c r="B670" s="25"/>
      <c r="C670" s="25"/>
      <c r="D670" s="25"/>
      <c r="E670" s="138"/>
      <c r="F670" s="138"/>
      <c r="G670" s="26"/>
    </row>
    <row r="671" ht="22.5" customHeight="1">
      <c r="A671" s="24"/>
      <c r="B671" s="25"/>
      <c r="C671" s="25"/>
      <c r="D671" s="25"/>
      <c r="E671" s="138"/>
      <c r="F671" s="138"/>
      <c r="G671" s="26"/>
    </row>
    <row r="672" ht="22.5" customHeight="1">
      <c r="A672" s="24"/>
      <c r="B672" s="25"/>
      <c r="C672" s="25"/>
      <c r="D672" s="25"/>
      <c r="E672" s="138"/>
      <c r="F672" s="138"/>
      <c r="G672" s="26"/>
    </row>
    <row r="673" ht="22.5" customHeight="1">
      <c r="A673" s="24"/>
      <c r="B673" s="25"/>
      <c r="C673" s="25"/>
      <c r="D673" s="25"/>
      <c r="E673" s="138"/>
      <c r="F673" s="138"/>
      <c r="G673" s="26"/>
    </row>
    <row r="674" ht="22.5" customHeight="1">
      <c r="A674" s="24"/>
      <c r="B674" s="25"/>
      <c r="C674" s="25"/>
      <c r="D674" s="25"/>
      <c r="E674" s="138"/>
      <c r="F674" s="138"/>
      <c r="G674" s="26"/>
    </row>
    <row r="675" ht="22.5" customHeight="1">
      <c r="A675" s="24"/>
      <c r="B675" s="25"/>
      <c r="C675" s="25"/>
      <c r="D675" s="25"/>
      <c r="E675" s="138"/>
      <c r="F675" s="138"/>
      <c r="G675" s="26"/>
    </row>
    <row r="676" ht="22.5" customHeight="1">
      <c r="A676" s="24"/>
      <c r="B676" s="25"/>
      <c r="C676" s="25"/>
      <c r="D676" s="25"/>
      <c r="E676" s="138"/>
      <c r="F676" s="138"/>
      <c r="G676" s="26"/>
    </row>
    <row r="677" ht="22.5" customHeight="1">
      <c r="A677" s="24"/>
      <c r="B677" s="25"/>
      <c r="C677" s="25"/>
      <c r="D677" s="25"/>
      <c r="E677" s="138"/>
      <c r="F677" s="138"/>
      <c r="G677" s="26"/>
    </row>
    <row r="678" ht="22.5" customHeight="1">
      <c r="A678" s="24"/>
      <c r="B678" s="25"/>
      <c r="C678" s="25"/>
      <c r="D678" s="25"/>
      <c r="E678" s="138"/>
      <c r="F678" s="138"/>
      <c r="G678" s="26"/>
    </row>
    <row r="679" ht="22.5" customHeight="1">
      <c r="A679" s="24"/>
      <c r="B679" s="25"/>
      <c r="C679" s="25"/>
      <c r="D679" s="25"/>
      <c r="E679" s="138"/>
      <c r="F679" s="138"/>
      <c r="G679" s="26"/>
    </row>
    <row r="680" ht="22.5" customHeight="1">
      <c r="A680" s="24"/>
      <c r="B680" s="25"/>
      <c r="C680" s="25"/>
      <c r="D680" s="25"/>
      <c r="E680" s="138"/>
      <c r="F680" s="138"/>
      <c r="G680" s="26"/>
    </row>
    <row r="681" ht="22.5" customHeight="1">
      <c r="A681" s="24"/>
      <c r="B681" s="25"/>
      <c r="C681" s="25"/>
      <c r="D681" s="25"/>
      <c r="E681" s="138"/>
      <c r="F681" s="138"/>
      <c r="G681" s="26"/>
    </row>
    <row r="682" ht="22.5" customHeight="1">
      <c r="A682" s="24"/>
      <c r="B682" s="25"/>
      <c r="C682" s="25"/>
      <c r="D682" s="25"/>
      <c r="E682" s="138"/>
      <c r="F682" s="138"/>
      <c r="G682" s="26"/>
    </row>
    <row r="683" ht="22.5" customHeight="1">
      <c r="A683" s="24"/>
      <c r="B683" s="25"/>
      <c r="C683" s="25"/>
      <c r="D683" s="25"/>
      <c r="E683" s="138"/>
      <c r="F683" s="138"/>
      <c r="G683" s="26"/>
    </row>
    <row r="684" ht="22.5" customHeight="1">
      <c r="A684" s="24"/>
      <c r="B684" s="25"/>
      <c r="C684" s="25"/>
      <c r="D684" s="25"/>
      <c r="E684" s="138"/>
      <c r="F684" s="138"/>
      <c r="G684" s="26"/>
    </row>
    <row r="685" ht="22.5" customHeight="1">
      <c r="A685" s="24"/>
      <c r="B685" s="25"/>
      <c r="C685" s="25"/>
      <c r="D685" s="25"/>
      <c r="E685" s="138"/>
      <c r="F685" s="138"/>
      <c r="G685" s="26"/>
    </row>
    <row r="686" ht="22.5" customHeight="1">
      <c r="A686" s="24"/>
      <c r="B686" s="25"/>
      <c r="C686" s="25"/>
      <c r="D686" s="25"/>
      <c r="E686" s="138"/>
      <c r="F686" s="138"/>
      <c r="G686" s="26"/>
    </row>
    <row r="687" ht="22.5" customHeight="1">
      <c r="A687" s="24"/>
      <c r="B687" s="25"/>
      <c r="C687" s="25"/>
      <c r="D687" s="25"/>
      <c r="E687" s="138"/>
      <c r="F687" s="138"/>
      <c r="G687" s="26"/>
    </row>
    <row r="688" ht="22.5" customHeight="1">
      <c r="A688" s="24"/>
      <c r="B688" s="25"/>
      <c r="C688" s="25"/>
      <c r="D688" s="25"/>
      <c r="E688" s="138"/>
      <c r="F688" s="138"/>
      <c r="G688" s="26"/>
    </row>
    <row r="689" ht="22.5" customHeight="1">
      <c r="A689" s="24"/>
      <c r="B689" s="25"/>
      <c r="C689" s="25"/>
      <c r="D689" s="25"/>
      <c r="E689" s="138"/>
      <c r="F689" s="138"/>
      <c r="G689" s="26"/>
    </row>
    <row r="690" ht="22.5" customHeight="1">
      <c r="A690" s="24"/>
      <c r="B690" s="25"/>
      <c r="C690" s="25"/>
      <c r="D690" s="25"/>
      <c r="E690" s="138"/>
      <c r="F690" s="138"/>
      <c r="G690" s="26"/>
    </row>
    <row r="691" ht="22.5" customHeight="1">
      <c r="A691" s="24"/>
      <c r="B691" s="25"/>
      <c r="C691" s="25"/>
      <c r="D691" s="25"/>
      <c r="E691" s="138"/>
      <c r="F691" s="138"/>
      <c r="G691" s="26"/>
    </row>
    <row r="692" ht="22.5" customHeight="1">
      <c r="A692" s="24"/>
      <c r="B692" s="25"/>
      <c r="C692" s="25"/>
      <c r="D692" s="25"/>
      <c r="E692" s="138"/>
      <c r="F692" s="138"/>
      <c r="G692" s="26"/>
    </row>
    <row r="693" ht="22.5" customHeight="1">
      <c r="A693" s="24"/>
      <c r="B693" s="25"/>
      <c r="C693" s="25"/>
      <c r="D693" s="25"/>
      <c r="E693" s="138"/>
      <c r="F693" s="138"/>
      <c r="G693" s="26"/>
    </row>
    <row r="694" ht="22.5" customHeight="1">
      <c r="A694" s="24"/>
      <c r="B694" s="25"/>
      <c r="C694" s="25"/>
      <c r="D694" s="25"/>
      <c r="E694" s="138"/>
      <c r="F694" s="138"/>
      <c r="G694" s="26"/>
    </row>
    <row r="695" ht="22.5" customHeight="1">
      <c r="A695" s="24"/>
      <c r="B695" s="25"/>
      <c r="C695" s="25"/>
      <c r="D695" s="25"/>
      <c r="E695" s="138"/>
      <c r="F695" s="138"/>
      <c r="G695" s="26"/>
    </row>
    <row r="696" ht="22.5" customHeight="1">
      <c r="A696" s="24"/>
      <c r="B696" s="25"/>
      <c r="C696" s="25"/>
      <c r="D696" s="25"/>
      <c r="E696" s="138"/>
      <c r="F696" s="138"/>
      <c r="G696" s="26"/>
    </row>
    <row r="697" ht="22.5" customHeight="1">
      <c r="A697" s="24"/>
      <c r="B697" s="25"/>
      <c r="C697" s="25"/>
      <c r="D697" s="25"/>
      <c r="E697" s="138"/>
      <c r="F697" s="138"/>
      <c r="G697" s="26"/>
    </row>
    <row r="698" ht="22.5" customHeight="1">
      <c r="A698" s="24"/>
      <c r="B698" s="25"/>
      <c r="C698" s="25"/>
      <c r="D698" s="25"/>
      <c r="E698" s="138"/>
      <c r="F698" s="138"/>
      <c r="G698" s="26"/>
    </row>
    <row r="699" ht="22.5" customHeight="1">
      <c r="A699" s="24"/>
      <c r="B699" s="25"/>
      <c r="C699" s="25"/>
      <c r="D699" s="25"/>
      <c r="E699" s="138"/>
      <c r="F699" s="138"/>
      <c r="G699" s="26"/>
    </row>
    <row r="700" ht="22.5" customHeight="1">
      <c r="A700" s="24"/>
      <c r="B700" s="25"/>
      <c r="C700" s="25"/>
      <c r="D700" s="25"/>
      <c r="E700" s="138"/>
      <c r="F700" s="138"/>
      <c r="G700" s="26"/>
    </row>
    <row r="701" ht="22.5" customHeight="1">
      <c r="A701" s="24"/>
      <c r="B701" s="25"/>
      <c r="C701" s="25"/>
      <c r="D701" s="25"/>
      <c r="E701" s="138"/>
      <c r="F701" s="138"/>
      <c r="G701" s="26"/>
    </row>
    <row r="702" ht="22.5" customHeight="1">
      <c r="A702" s="24"/>
      <c r="B702" s="25"/>
      <c r="C702" s="25"/>
      <c r="D702" s="25"/>
      <c r="E702" s="138"/>
      <c r="F702" s="138"/>
      <c r="G702" s="26"/>
    </row>
    <row r="703" ht="22.5" customHeight="1">
      <c r="A703" s="24"/>
      <c r="B703" s="25"/>
      <c r="C703" s="25"/>
      <c r="D703" s="25"/>
      <c r="E703" s="138"/>
      <c r="F703" s="138"/>
      <c r="G703" s="26"/>
    </row>
    <row r="704" ht="22.5" customHeight="1">
      <c r="A704" s="24"/>
      <c r="B704" s="25"/>
      <c r="C704" s="25"/>
      <c r="D704" s="25"/>
      <c r="E704" s="138"/>
      <c r="F704" s="138"/>
      <c r="G704" s="26"/>
    </row>
    <row r="705" ht="22.5" customHeight="1">
      <c r="A705" s="24"/>
      <c r="B705" s="25"/>
      <c r="C705" s="25"/>
      <c r="D705" s="25"/>
      <c r="E705" s="138"/>
      <c r="F705" s="138"/>
      <c r="G705" s="26"/>
    </row>
    <row r="706" ht="22.5" customHeight="1">
      <c r="A706" s="24"/>
      <c r="B706" s="25"/>
      <c r="C706" s="25"/>
      <c r="D706" s="25"/>
      <c r="E706" s="138"/>
      <c r="F706" s="138"/>
      <c r="G706" s="26"/>
    </row>
    <row r="707" ht="22.5" customHeight="1">
      <c r="A707" s="24"/>
      <c r="B707" s="25"/>
      <c r="C707" s="25"/>
      <c r="D707" s="25"/>
      <c r="E707" s="138"/>
      <c r="F707" s="138"/>
      <c r="G707" s="26"/>
    </row>
    <row r="708" ht="22.5" customHeight="1">
      <c r="A708" s="24"/>
      <c r="B708" s="25"/>
      <c r="C708" s="25"/>
      <c r="D708" s="25"/>
      <c r="E708" s="138"/>
      <c r="F708" s="138"/>
      <c r="G708" s="26"/>
    </row>
    <row r="709" ht="22.5" customHeight="1">
      <c r="A709" s="24"/>
      <c r="B709" s="25"/>
      <c r="C709" s="25"/>
      <c r="D709" s="25"/>
      <c r="E709" s="138"/>
      <c r="F709" s="138"/>
      <c r="G709" s="26"/>
    </row>
    <row r="710" ht="22.5" customHeight="1">
      <c r="A710" s="24"/>
      <c r="B710" s="25"/>
      <c r="C710" s="25"/>
      <c r="D710" s="25"/>
      <c r="E710" s="138"/>
      <c r="F710" s="138"/>
      <c r="G710" s="26"/>
    </row>
    <row r="711" ht="22.5" customHeight="1">
      <c r="A711" s="24"/>
      <c r="B711" s="25"/>
      <c r="C711" s="25"/>
      <c r="D711" s="25"/>
      <c r="E711" s="138"/>
      <c r="F711" s="138"/>
      <c r="G711" s="26"/>
    </row>
    <row r="712" ht="22.5" customHeight="1">
      <c r="A712" s="24"/>
      <c r="B712" s="25"/>
      <c r="C712" s="25"/>
      <c r="D712" s="25"/>
      <c r="E712" s="138"/>
      <c r="F712" s="138"/>
      <c r="G712" s="26"/>
    </row>
    <row r="713" ht="22.5" customHeight="1">
      <c r="A713" s="24"/>
      <c r="B713" s="25"/>
      <c r="C713" s="25"/>
      <c r="D713" s="25"/>
      <c r="E713" s="138"/>
      <c r="F713" s="138"/>
      <c r="G713" s="26"/>
    </row>
    <row r="714" ht="22.5" customHeight="1">
      <c r="A714" s="24"/>
      <c r="B714" s="25"/>
      <c r="C714" s="25"/>
      <c r="D714" s="25"/>
      <c r="E714" s="138"/>
      <c r="F714" s="138"/>
      <c r="G714" s="26"/>
    </row>
    <row r="715" ht="22.5" customHeight="1">
      <c r="A715" s="24"/>
      <c r="B715" s="25"/>
      <c r="C715" s="25"/>
      <c r="D715" s="25"/>
      <c r="E715" s="138"/>
      <c r="F715" s="138"/>
      <c r="G715" s="26"/>
    </row>
    <row r="716" ht="22.5" customHeight="1">
      <c r="A716" s="24"/>
      <c r="B716" s="25"/>
      <c r="C716" s="25"/>
      <c r="D716" s="25"/>
      <c r="E716" s="138"/>
      <c r="F716" s="138"/>
      <c r="G716" s="26"/>
    </row>
    <row r="717" ht="22.5" customHeight="1">
      <c r="A717" s="24"/>
      <c r="B717" s="25"/>
      <c r="C717" s="25"/>
      <c r="D717" s="25"/>
      <c r="E717" s="138"/>
      <c r="F717" s="138"/>
      <c r="G717" s="26"/>
    </row>
    <row r="718" ht="22.5" customHeight="1">
      <c r="A718" s="24"/>
      <c r="B718" s="25"/>
      <c r="C718" s="25"/>
      <c r="D718" s="25"/>
      <c r="E718" s="138"/>
      <c r="F718" s="138"/>
      <c r="G718" s="26"/>
    </row>
    <row r="719" ht="22.5" customHeight="1">
      <c r="A719" s="24"/>
      <c r="B719" s="25"/>
      <c r="C719" s="25"/>
      <c r="D719" s="25"/>
      <c r="E719" s="138"/>
      <c r="F719" s="138"/>
      <c r="G719" s="26"/>
    </row>
    <row r="720" ht="22.5" customHeight="1">
      <c r="A720" s="24"/>
      <c r="B720" s="25"/>
      <c r="C720" s="25"/>
      <c r="D720" s="25"/>
      <c r="E720" s="138"/>
      <c r="F720" s="138"/>
      <c r="G720" s="26"/>
    </row>
    <row r="721" ht="22.5" customHeight="1">
      <c r="A721" s="24"/>
      <c r="B721" s="25"/>
      <c r="C721" s="25"/>
      <c r="D721" s="25"/>
      <c r="E721" s="138"/>
      <c r="F721" s="138"/>
      <c r="G721" s="26"/>
    </row>
    <row r="722" ht="22.5" customHeight="1">
      <c r="A722" s="24"/>
      <c r="B722" s="25"/>
      <c r="C722" s="25"/>
      <c r="D722" s="25"/>
      <c r="E722" s="138"/>
      <c r="F722" s="138"/>
      <c r="G722" s="26"/>
    </row>
    <row r="723" ht="22.5" customHeight="1">
      <c r="A723" s="24"/>
      <c r="B723" s="25"/>
      <c r="C723" s="25"/>
      <c r="D723" s="25"/>
      <c r="E723" s="138"/>
      <c r="F723" s="138"/>
      <c r="G723" s="26"/>
    </row>
    <row r="724" ht="22.5" customHeight="1">
      <c r="A724" s="24"/>
      <c r="B724" s="25"/>
      <c r="C724" s="25"/>
      <c r="D724" s="25"/>
      <c r="E724" s="138"/>
      <c r="F724" s="138"/>
      <c r="G724" s="26"/>
    </row>
    <row r="725" ht="22.5" customHeight="1">
      <c r="A725" s="24"/>
      <c r="B725" s="25"/>
      <c r="C725" s="25"/>
      <c r="D725" s="25"/>
      <c r="E725" s="138"/>
      <c r="F725" s="138"/>
      <c r="G725" s="26"/>
    </row>
    <row r="726" ht="22.5" customHeight="1">
      <c r="A726" s="24"/>
      <c r="B726" s="25"/>
      <c r="C726" s="25"/>
      <c r="D726" s="25"/>
      <c r="E726" s="138"/>
      <c r="F726" s="138"/>
      <c r="G726" s="26"/>
    </row>
    <row r="727" ht="22.5" customHeight="1">
      <c r="A727" s="24"/>
      <c r="B727" s="25"/>
      <c r="C727" s="25"/>
      <c r="D727" s="25"/>
      <c r="E727" s="138"/>
      <c r="F727" s="138"/>
      <c r="G727" s="26"/>
    </row>
    <row r="728" ht="22.5" customHeight="1">
      <c r="A728" s="24"/>
      <c r="B728" s="25"/>
      <c r="C728" s="25"/>
      <c r="D728" s="25"/>
      <c r="E728" s="138"/>
      <c r="F728" s="138"/>
      <c r="G728" s="26"/>
    </row>
    <row r="729" ht="22.5" customHeight="1">
      <c r="A729" s="24"/>
      <c r="B729" s="25"/>
      <c r="C729" s="25"/>
      <c r="D729" s="25"/>
      <c r="E729" s="138"/>
      <c r="F729" s="138"/>
      <c r="G729" s="26"/>
    </row>
    <row r="730" ht="22.5" customHeight="1">
      <c r="A730" s="24"/>
      <c r="B730" s="25"/>
      <c r="C730" s="25"/>
      <c r="D730" s="25"/>
      <c r="E730" s="138"/>
      <c r="F730" s="138"/>
      <c r="G730" s="26"/>
    </row>
    <row r="731" ht="22.5" customHeight="1">
      <c r="A731" s="24"/>
      <c r="B731" s="25"/>
      <c r="C731" s="25"/>
      <c r="D731" s="25"/>
      <c r="E731" s="138"/>
      <c r="F731" s="138"/>
      <c r="G731" s="26"/>
    </row>
    <row r="732" ht="22.5" customHeight="1">
      <c r="A732" s="24"/>
      <c r="B732" s="25"/>
      <c r="C732" s="25"/>
      <c r="D732" s="25"/>
      <c r="E732" s="138"/>
      <c r="F732" s="138"/>
      <c r="G732" s="26"/>
    </row>
    <row r="733" ht="22.5" customHeight="1">
      <c r="A733" s="24"/>
      <c r="B733" s="25"/>
      <c r="C733" s="25"/>
      <c r="D733" s="25"/>
      <c r="E733" s="138"/>
      <c r="F733" s="138"/>
      <c r="G733" s="26"/>
    </row>
    <row r="734" ht="22.5" customHeight="1">
      <c r="A734" s="24"/>
      <c r="B734" s="25"/>
      <c r="C734" s="25"/>
      <c r="D734" s="25"/>
      <c r="E734" s="138"/>
      <c r="F734" s="138"/>
      <c r="G734" s="26"/>
    </row>
    <row r="735" ht="22.5" customHeight="1">
      <c r="A735" s="24"/>
      <c r="B735" s="25"/>
      <c r="C735" s="25"/>
      <c r="D735" s="25"/>
      <c r="E735" s="138"/>
      <c r="F735" s="138"/>
      <c r="G735" s="26"/>
    </row>
    <row r="736" ht="22.5" customHeight="1">
      <c r="A736" s="24"/>
      <c r="B736" s="25"/>
      <c r="C736" s="25"/>
      <c r="D736" s="25"/>
      <c r="E736" s="138"/>
      <c r="F736" s="138"/>
      <c r="G736" s="26"/>
    </row>
    <row r="737" ht="22.5" customHeight="1">
      <c r="A737" s="24"/>
      <c r="B737" s="25"/>
      <c r="C737" s="25"/>
      <c r="D737" s="25"/>
      <c r="E737" s="138"/>
      <c r="F737" s="138"/>
      <c r="G737" s="26"/>
    </row>
    <row r="738" ht="22.5" customHeight="1">
      <c r="A738" s="24"/>
      <c r="B738" s="25"/>
      <c r="C738" s="25"/>
      <c r="D738" s="25"/>
      <c r="E738" s="138"/>
      <c r="F738" s="138"/>
      <c r="G738" s="26"/>
    </row>
    <row r="739" ht="22.5" customHeight="1">
      <c r="A739" s="24"/>
      <c r="B739" s="25"/>
      <c r="C739" s="25"/>
      <c r="D739" s="25"/>
      <c r="E739" s="138"/>
      <c r="F739" s="138"/>
      <c r="G739" s="26"/>
    </row>
    <row r="740" ht="22.5" customHeight="1">
      <c r="A740" s="24"/>
      <c r="B740" s="25"/>
      <c r="C740" s="25"/>
      <c r="D740" s="25"/>
      <c r="E740" s="138"/>
      <c r="F740" s="138"/>
      <c r="G740" s="26"/>
    </row>
    <row r="741" ht="22.5" customHeight="1">
      <c r="A741" s="24"/>
      <c r="B741" s="25"/>
      <c r="C741" s="25"/>
      <c r="D741" s="25"/>
      <c r="E741" s="138"/>
      <c r="F741" s="138"/>
      <c r="G741" s="26"/>
    </row>
    <row r="742" ht="22.5" customHeight="1">
      <c r="A742" s="24"/>
      <c r="B742" s="25"/>
      <c r="C742" s="25"/>
      <c r="D742" s="25"/>
      <c r="E742" s="138"/>
      <c r="F742" s="138"/>
      <c r="G742" s="26"/>
    </row>
    <row r="743" ht="22.5" customHeight="1">
      <c r="A743" s="24"/>
      <c r="B743" s="25"/>
      <c r="C743" s="25"/>
      <c r="D743" s="25"/>
      <c r="E743" s="138"/>
      <c r="F743" s="138"/>
      <c r="G743" s="26"/>
    </row>
    <row r="744" ht="22.5" customHeight="1">
      <c r="A744" s="24"/>
      <c r="B744" s="25"/>
      <c r="C744" s="25"/>
      <c r="D744" s="25"/>
      <c r="E744" s="138"/>
      <c r="F744" s="138"/>
      <c r="G744" s="26"/>
    </row>
    <row r="745" ht="22.5" customHeight="1">
      <c r="A745" s="24"/>
      <c r="B745" s="25"/>
      <c r="C745" s="25"/>
      <c r="D745" s="25"/>
      <c r="E745" s="138"/>
      <c r="F745" s="138"/>
      <c r="G745" s="26"/>
    </row>
    <row r="746" ht="22.5" customHeight="1">
      <c r="A746" s="24"/>
      <c r="B746" s="25"/>
      <c r="C746" s="25"/>
      <c r="D746" s="25"/>
      <c r="E746" s="138"/>
      <c r="F746" s="138"/>
      <c r="G746" s="26"/>
    </row>
    <row r="747" ht="22.5" customHeight="1">
      <c r="A747" s="24"/>
      <c r="B747" s="25"/>
      <c r="C747" s="25"/>
      <c r="D747" s="25"/>
      <c r="E747" s="138"/>
      <c r="F747" s="138"/>
      <c r="G747" s="26"/>
    </row>
    <row r="748" ht="22.5" customHeight="1">
      <c r="A748" s="24"/>
      <c r="B748" s="25"/>
      <c r="C748" s="25"/>
      <c r="D748" s="25"/>
      <c r="E748" s="138"/>
      <c r="F748" s="138"/>
      <c r="G748" s="26"/>
    </row>
    <row r="749" ht="22.5" customHeight="1">
      <c r="A749" s="24"/>
      <c r="B749" s="25"/>
      <c r="C749" s="25"/>
      <c r="D749" s="25"/>
      <c r="E749" s="138"/>
      <c r="F749" s="138"/>
      <c r="G749" s="26"/>
    </row>
    <row r="750" ht="22.5" customHeight="1">
      <c r="A750" s="24"/>
      <c r="B750" s="25"/>
      <c r="C750" s="25"/>
      <c r="D750" s="25"/>
      <c r="E750" s="138"/>
      <c r="F750" s="138"/>
      <c r="G750" s="26"/>
    </row>
    <row r="751" ht="22.5" customHeight="1">
      <c r="A751" s="24"/>
      <c r="B751" s="25"/>
      <c r="C751" s="25"/>
      <c r="D751" s="25"/>
      <c r="E751" s="138"/>
      <c r="F751" s="138"/>
      <c r="G751" s="26"/>
    </row>
    <row r="752" ht="22.5" customHeight="1">
      <c r="A752" s="24"/>
      <c r="B752" s="25"/>
      <c r="C752" s="25"/>
      <c r="D752" s="25"/>
      <c r="E752" s="138"/>
      <c r="F752" s="138"/>
      <c r="G752" s="26"/>
    </row>
    <row r="753" ht="22.5" customHeight="1">
      <c r="A753" s="24"/>
      <c r="B753" s="25"/>
      <c r="C753" s="25"/>
      <c r="D753" s="25"/>
      <c r="E753" s="138"/>
      <c r="F753" s="138"/>
      <c r="G753" s="26"/>
    </row>
    <row r="754" ht="22.5" customHeight="1">
      <c r="A754" s="24"/>
      <c r="B754" s="25"/>
      <c r="C754" s="25"/>
      <c r="D754" s="25"/>
      <c r="E754" s="138"/>
      <c r="F754" s="138"/>
      <c r="G754" s="26"/>
    </row>
    <row r="755" ht="22.5" customHeight="1">
      <c r="A755" s="24"/>
      <c r="B755" s="25"/>
      <c r="C755" s="25"/>
      <c r="D755" s="25"/>
      <c r="E755" s="138"/>
      <c r="F755" s="138"/>
      <c r="G755" s="26"/>
    </row>
    <row r="756" ht="22.5" customHeight="1">
      <c r="A756" s="24"/>
      <c r="B756" s="25"/>
      <c r="C756" s="25"/>
      <c r="D756" s="25"/>
      <c r="E756" s="138"/>
      <c r="F756" s="138"/>
      <c r="G756" s="26"/>
    </row>
    <row r="757" ht="22.5" customHeight="1">
      <c r="A757" s="24"/>
      <c r="B757" s="25"/>
      <c r="C757" s="25"/>
      <c r="D757" s="25"/>
      <c r="E757" s="138"/>
      <c r="F757" s="138"/>
      <c r="G757" s="26"/>
    </row>
    <row r="758" ht="22.5" customHeight="1">
      <c r="A758" s="24"/>
      <c r="B758" s="25"/>
      <c r="C758" s="25"/>
      <c r="D758" s="25"/>
      <c r="E758" s="138"/>
      <c r="F758" s="138"/>
      <c r="G758" s="26"/>
    </row>
    <row r="759" ht="22.5" customHeight="1">
      <c r="A759" s="24"/>
      <c r="B759" s="25"/>
      <c r="C759" s="25"/>
      <c r="D759" s="25"/>
      <c r="E759" s="138"/>
      <c r="F759" s="138"/>
      <c r="G759" s="26"/>
    </row>
    <row r="760" ht="22.5" customHeight="1">
      <c r="A760" s="24"/>
      <c r="B760" s="25"/>
      <c r="C760" s="25"/>
      <c r="D760" s="25"/>
      <c r="E760" s="138"/>
      <c r="F760" s="138"/>
      <c r="G760" s="26"/>
    </row>
    <row r="761" ht="22.5" customHeight="1">
      <c r="A761" s="24"/>
      <c r="B761" s="25"/>
      <c r="C761" s="25"/>
      <c r="D761" s="25"/>
      <c r="E761" s="138"/>
      <c r="F761" s="138"/>
      <c r="G761" s="26"/>
    </row>
    <row r="762" ht="22.5" customHeight="1">
      <c r="A762" s="24"/>
      <c r="B762" s="25"/>
      <c r="C762" s="25"/>
      <c r="D762" s="25"/>
      <c r="E762" s="138"/>
      <c r="F762" s="138"/>
      <c r="G762" s="26"/>
    </row>
    <row r="763" ht="22.5" customHeight="1">
      <c r="A763" s="24"/>
      <c r="B763" s="25"/>
      <c r="C763" s="25"/>
      <c r="D763" s="25"/>
      <c r="E763" s="138"/>
      <c r="F763" s="138"/>
      <c r="G763" s="26"/>
    </row>
    <row r="764" ht="22.5" customHeight="1">
      <c r="A764" s="24"/>
      <c r="B764" s="25"/>
      <c r="C764" s="25"/>
      <c r="D764" s="25"/>
      <c r="E764" s="138"/>
      <c r="F764" s="138"/>
      <c r="G764" s="26"/>
    </row>
    <row r="765" ht="22.5" customHeight="1">
      <c r="A765" s="24"/>
      <c r="B765" s="25"/>
      <c r="C765" s="25"/>
      <c r="D765" s="25"/>
      <c r="E765" s="138"/>
      <c r="F765" s="138"/>
      <c r="G765" s="26"/>
    </row>
    <row r="766" ht="22.5" customHeight="1">
      <c r="A766" s="24"/>
      <c r="B766" s="25"/>
      <c r="C766" s="25"/>
      <c r="D766" s="25"/>
      <c r="E766" s="138"/>
      <c r="F766" s="138"/>
      <c r="G766" s="26"/>
    </row>
    <row r="767" ht="22.5" customHeight="1">
      <c r="A767" s="24"/>
      <c r="B767" s="25"/>
      <c r="C767" s="25"/>
      <c r="D767" s="25"/>
      <c r="E767" s="138"/>
      <c r="F767" s="138"/>
      <c r="G767" s="26"/>
    </row>
    <row r="768" ht="22.5" customHeight="1">
      <c r="A768" s="24"/>
      <c r="B768" s="25"/>
      <c r="C768" s="25"/>
      <c r="D768" s="25"/>
      <c r="E768" s="138"/>
      <c r="F768" s="138"/>
      <c r="G768" s="26"/>
    </row>
    <row r="769" ht="22.5" customHeight="1">
      <c r="A769" s="24"/>
      <c r="B769" s="25"/>
      <c r="C769" s="25"/>
      <c r="D769" s="25"/>
      <c r="E769" s="138"/>
      <c r="F769" s="138"/>
      <c r="G769" s="26"/>
    </row>
    <row r="770" ht="22.5" customHeight="1">
      <c r="A770" s="24"/>
      <c r="B770" s="25"/>
      <c r="C770" s="25"/>
      <c r="D770" s="25"/>
      <c r="E770" s="138"/>
      <c r="F770" s="138"/>
      <c r="G770" s="26"/>
    </row>
    <row r="771" ht="22.5" customHeight="1">
      <c r="A771" s="24"/>
      <c r="B771" s="25"/>
      <c r="C771" s="25"/>
      <c r="D771" s="25"/>
      <c r="E771" s="138"/>
      <c r="F771" s="138"/>
      <c r="G771" s="26"/>
    </row>
    <row r="772" ht="22.5" customHeight="1">
      <c r="A772" s="24"/>
      <c r="B772" s="25"/>
      <c r="C772" s="25"/>
      <c r="D772" s="25"/>
      <c r="E772" s="138"/>
      <c r="F772" s="138"/>
      <c r="G772" s="26"/>
    </row>
    <row r="773" ht="22.5" customHeight="1">
      <c r="A773" s="24"/>
      <c r="B773" s="25"/>
      <c r="C773" s="25"/>
      <c r="D773" s="25"/>
      <c r="E773" s="138"/>
      <c r="F773" s="138"/>
      <c r="G773" s="26"/>
    </row>
    <row r="774" ht="22.5" customHeight="1">
      <c r="A774" s="24"/>
      <c r="B774" s="25"/>
      <c r="C774" s="25"/>
      <c r="D774" s="25"/>
      <c r="E774" s="138"/>
      <c r="F774" s="138"/>
      <c r="G774" s="26"/>
    </row>
    <row r="775" ht="22.5" customHeight="1">
      <c r="A775" s="24"/>
      <c r="B775" s="25"/>
      <c r="C775" s="25"/>
      <c r="D775" s="25"/>
      <c r="E775" s="138"/>
      <c r="F775" s="138"/>
      <c r="G775" s="26"/>
    </row>
    <row r="776" ht="22.5" customHeight="1">
      <c r="A776" s="24"/>
      <c r="B776" s="25"/>
      <c r="C776" s="25"/>
      <c r="D776" s="25"/>
      <c r="E776" s="138"/>
      <c r="F776" s="138"/>
      <c r="G776" s="26"/>
    </row>
    <row r="777" ht="22.5" customHeight="1">
      <c r="A777" s="24"/>
      <c r="B777" s="25"/>
      <c r="C777" s="25"/>
      <c r="D777" s="25"/>
      <c r="E777" s="138"/>
      <c r="F777" s="138"/>
      <c r="G777" s="26"/>
    </row>
    <row r="778" ht="22.5" customHeight="1">
      <c r="A778" s="24"/>
      <c r="B778" s="25"/>
      <c r="C778" s="25"/>
      <c r="D778" s="25"/>
      <c r="E778" s="138"/>
      <c r="F778" s="138"/>
      <c r="G778" s="26"/>
    </row>
    <row r="779" ht="22.5" customHeight="1">
      <c r="A779" s="24"/>
      <c r="B779" s="25"/>
      <c r="C779" s="25"/>
      <c r="D779" s="25"/>
      <c r="E779" s="138"/>
      <c r="F779" s="138"/>
      <c r="G779" s="26"/>
    </row>
    <row r="780" ht="22.5" customHeight="1">
      <c r="A780" s="24"/>
      <c r="B780" s="25"/>
      <c r="C780" s="25"/>
      <c r="D780" s="25"/>
      <c r="E780" s="138"/>
      <c r="F780" s="138"/>
      <c r="G780" s="26"/>
    </row>
    <row r="781" ht="22.5" customHeight="1">
      <c r="A781" s="24"/>
      <c r="B781" s="25"/>
      <c r="C781" s="25"/>
      <c r="D781" s="25"/>
      <c r="E781" s="138"/>
      <c r="F781" s="138"/>
      <c r="G781" s="26"/>
    </row>
    <row r="782" ht="22.5" customHeight="1">
      <c r="A782" s="24"/>
      <c r="B782" s="25"/>
      <c r="C782" s="25"/>
      <c r="D782" s="25"/>
      <c r="E782" s="138"/>
      <c r="F782" s="138"/>
      <c r="G782" s="26"/>
    </row>
    <row r="783" ht="22.5" customHeight="1">
      <c r="A783" s="24"/>
      <c r="B783" s="25"/>
      <c r="C783" s="25"/>
      <c r="D783" s="25"/>
      <c r="E783" s="138"/>
      <c r="F783" s="138"/>
      <c r="G783" s="26"/>
    </row>
    <row r="784" ht="22.5" customHeight="1">
      <c r="A784" s="24"/>
      <c r="B784" s="25"/>
      <c r="C784" s="25"/>
      <c r="D784" s="25"/>
      <c r="E784" s="138"/>
      <c r="F784" s="138"/>
      <c r="G784" s="26"/>
    </row>
    <row r="785" ht="22.5" customHeight="1">
      <c r="A785" s="24"/>
      <c r="B785" s="25"/>
      <c r="C785" s="25"/>
      <c r="D785" s="25"/>
      <c r="E785" s="138"/>
      <c r="F785" s="138"/>
      <c r="G785" s="26"/>
    </row>
    <row r="786" ht="22.5" customHeight="1">
      <c r="A786" s="24"/>
      <c r="B786" s="25"/>
      <c r="C786" s="25"/>
      <c r="D786" s="25"/>
      <c r="E786" s="138"/>
      <c r="F786" s="138"/>
      <c r="G786" s="26"/>
    </row>
    <row r="787" ht="22.5" customHeight="1">
      <c r="A787" s="24"/>
      <c r="B787" s="25"/>
      <c r="C787" s="25"/>
      <c r="D787" s="25"/>
      <c r="E787" s="138"/>
      <c r="F787" s="138"/>
      <c r="G787" s="26"/>
    </row>
    <row r="788" ht="22.5" customHeight="1">
      <c r="A788" s="24"/>
      <c r="B788" s="25"/>
      <c r="C788" s="25"/>
      <c r="D788" s="25"/>
      <c r="E788" s="138"/>
      <c r="F788" s="138"/>
      <c r="G788" s="26"/>
    </row>
    <row r="789" ht="22.5" customHeight="1">
      <c r="A789" s="24"/>
      <c r="B789" s="25"/>
      <c r="C789" s="25"/>
      <c r="D789" s="25"/>
      <c r="E789" s="138"/>
      <c r="F789" s="138"/>
      <c r="G789" s="26"/>
    </row>
    <row r="790" ht="22.5" customHeight="1">
      <c r="A790" s="24"/>
      <c r="B790" s="25"/>
      <c r="C790" s="25"/>
      <c r="D790" s="25"/>
      <c r="E790" s="138"/>
      <c r="F790" s="138"/>
      <c r="G790" s="26"/>
    </row>
    <row r="791" ht="22.5" customHeight="1">
      <c r="A791" s="24"/>
      <c r="B791" s="25"/>
      <c r="C791" s="25"/>
      <c r="D791" s="25"/>
      <c r="E791" s="138"/>
      <c r="F791" s="138"/>
      <c r="G791" s="26"/>
    </row>
    <row r="792" ht="22.5" customHeight="1">
      <c r="A792" s="24"/>
      <c r="B792" s="25"/>
      <c r="C792" s="25"/>
      <c r="D792" s="25"/>
      <c r="E792" s="138"/>
      <c r="F792" s="138"/>
      <c r="G792" s="26"/>
    </row>
    <row r="793" ht="22.5" customHeight="1">
      <c r="A793" s="24"/>
      <c r="B793" s="25"/>
      <c r="C793" s="25"/>
      <c r="D793" s="25"/>
      <c r="E793" s="138"/>
      <c r="F793" s="138"/>
      <c r="G793" s="26"/>
    </row>
    <row r="794" ht="22.5" customHeight="1">
      <c r="A794" s="24"/>
      <c r="B794" s="25"/>
      <c r="C794" s="25"/>
      <c r="D794" s="25"/>
      <c r="E794" s="138"/>
      <c r="F794" s="138"/>
      <c r="G794" s="26"/>
    </row>
    <row r="795" ht="22.5" customHeight="1">
      <c r="A795" s="24"/>
      <c r="B795" s="25"/>
      <c r="C795" s="25"/>
      <c r="D795" s="25"/>
      <c r="E795" s="138"/>
      <c r="F795" s="138"/>
      <c r="G795" s="26"/>
    </row>
    <row r="796" ht="22.5" customHeight="1">
      <c r="A796" s="24"/>
      <c r="B796" s="25"/>
      <c r="C796" s="25"/>
      <c r="D796" s="25"/>
      <c r="E796" s="138"/>
      <c r="F796" s="138"/>
      <c r="G796" s="26"/>
    </row>
    <row r="797" ht="22.5" customHeight="1">
      <c r="A797" s="24"/>
      <c r="B797" s="25"/>
      <c r="C797" s="25"/>
      <c r="D797" s="25"/>
      <c r="E797" s="138"/>
      <c r="F797" s="138"/>
      <c r="G797" s="26"/>
    </row>
    <row r="798" ht="22.5" customHeight="1">
      <c r="A798" s="24"/>
      <c r="B798" s="25"/>
      <c r="C798" s="25"/>
      <c r="D798" s="25"/>
      <c r="E798" s="138"/>
      <c r="F798" s="138"/>
      <c r="G798" s="26"/>
    </row>
    <row r="799" ht="22.5" customHeight="1">
      <c r="A799" s="24"/>
      <c r="B799" s="25"/>
      <c r="C799" s="25"/>
      <c r="D799" s="25"/>
      <c r="E799" s="138"/>
      <c r="F799" s="138"/>
      <c r="G799" s="26"/>
    </row>
    <row r="800" ht="22.5" customHeight="1">
      <c r="A800" s="24"/>
      <c r="B800" s="25"/>
      <c r="C800" s="25"/>
      <c r="D800" s="25"/>
      <c r="E800" s="138"/>
      <c r="F800" s="138"/>
      <c r="G800" s="26"/>
    </row>
    <row r="801" ht="22.5" customHeight="1">
      <c r="A801" s="24"/>
      <c r="B801" s="25"/>
      <c r="C801" s="25"/>
      <c r="D801" s="25"/>
      <c r="E801" s="138"/>
      <c r="F801" s="138"/>
      <c r="G801" s="26"/>
    </row>
    <row r="802" ht="22.5" customHeight="1">
      <c r="A802" s="24"/>
      <c r="B802" s="25"/>
      <c r="C802" s="25"/>
      <c r="D802" s="25"/>
      <c r="E802" s="138"/>
      <c r="F802" s="138"/>
      <c r="G802" s="26"/>
    </row>
    <row r="803" ht="22.5" customHeight="1">
      <c r="A803" s="24"/>
      <c r="B803" s="25"/>
      <c r="C803" s="25"/>
      <c r="D803" s="25"/>
      <c r="E803" s="138"/>
      <c r="F803" s="138"/>
      <c r="G803" s="26"/>
    </row>
    <row r="804" ht="22.5" customHeight="1">
      <c r="A804" s="24"/>
      <c r="B804" s="25"/>
      <c r="C804" s="25"/>
      <c r="D804" s="25"/>
      <c r="E804" s="138"/>
      <c r="F804" s="138"/>
      <c r="G804" s="26"/>
    </row>
    <row r="805" ht="22.5" customHeight="1">
      <c r="A805" s="24"/>
      <c r="B805" s="25"/>
      <c r="C805" s="25"/>
      <c r="D805" s="25"/>
      <c r="E805" s="138"/>
      <c r="F805" s="138"/>
      <c r="G805" s="26"/>
    </row>
    <row r="806" ht="22.5" customHeight="1">
      <c r="A806" s="24"/>
      <c r="B806" s="25"/>
      <c r="C806" s="25"/>
      <c r="D806" s="25"/>
      <c r="E806" s="138"/>
      <c r="F806" s="138"/>
      <c r="G806" s="26"/>
    </row>
    <row r="807" ht="22.5" customHeight="1">
      <c r="A807" s="24"/>
      <c r="B807" s="25"/>
      <c r="C807" s="25"/>
      <c r="D807" s="25"/>
      <c r="E807" s="138"/>
      <c r="F807" s="138"/>
      <c r="G807" s="26"/>
    </row>
    <row r="808" ht="22.5" customHeight="1">
      <c r="A808" s="24"/>
      <c r="B808" s="25"/>
      <c r="C808" s="25"/>
      <c r="D808" s="25"/>
      <c r="E808" s="138"/>
      <c r="F808" s="138"/>
      <c r="G808" s="26"/>
    </row>
    <row r="809" ht="22.5" customHeight="1">
      <c r="A809" s="24"/>
      <c r="B809" s="25"/>
      <c r="C809" s="25"/>
      <c r="D809" s="25"/>
      <c r="E809" s="138"/>
      <c r="F809" s="138"/>
      <c r="G809" s="26"/>
    </row>
    <row r="810" ht="22.5" customHeight="1">
      <c r="A810" s="24"/>
      <c r="B810" s="25"/>
      <c r="C810" s="25"/>
      <c r="D810" s="25"/>
      <c r="E810" s="138"/>
      <c r="F810" s="138"/>
      <c r="G810" s="26"/>
    </row>
    <row r="811" ht="22.5" customHeight="1">
      <c r="A811" s="24"/>
      <c r="B811" s="25"/>
      <c r="C811" s="25"/>
      <c r="D811" s="25"/>
      <c r="E811" s="138"/>
      <c r="F811" s="138"/>
      <c r="G811" s="26"/>
    </row>
    <row r="812" ht="22.5" customHeight="1">
      <c r="A812" s="24"/>
      <c r="B812" s="25"/>
      <c r="C812" s="25"/>
      <c r="D812" s="25"/>
      <c r="E812" s="138"/>
      <c r="F812" s="138"/>
      <c r="G812" s="26"/>
    </row>
    <row r="813" ht="22.5" customHeight="1">
      <c r="A813" s="24"/>
      <c r="B813" s="25"/>
      <c r="C813" s="25"/>
      <c r="D813" s="25"/>
      <c r="E813" s="138"/>
      <c r="F813" s="138"/>
      <c r="G813" s="26"/>
    </row>
    <row r="814" ht="22.5" customHeight="1">
      <c r="A814" s="24"/>
      <c r="B814" s="25"/>
      <c r="C814" s="25"/>
      <c r="D814" s="25"/>
      <c r="E814" s="138"/>
      <c r="F814" s="138"/>
      <c r="G814" s="26"/>
    </row>
    <row r="815" ht="22.5" customHeight="1">
      <c r="A815" s="24"/>
      <c r="B815" s="25"/>
      <c r="C815" s="25"/>
      <c r="D815" s="25"/>
      <c r="E815" s="138"/>
      <c r="F815" s="138"/>
      <c r="G815" s="26"/>
    </row>
    <row r="816" ht="22.5" customHeight="1">
      <c r="A816" s="24"/>
      <c r="B816" s="25"/>
      <c r="C816" s="25"/>
      <c r="D816" s="25"/>
      <c r="E816" s="138"/>
      <c r="F816" s="138"/>
      <c r="G816" s="26"/>
    </row>
    <row r="817" ht="22.5" customHeight="1">
      <c r="A817" s="24"/>
      <c r="B817" s="25"/>
      <c r="C817" s="25"/>
      <c r="D817" s="25"/>
      <c r="E817" s="138"/>
      <c r="F817" s="138"/>
      <c r="G817" s="26"/>
    </row>
    <row r="818" ht="22.5" customHeight="1">
      <c r="A818" s="24"/>
      <c r="B818" s="25"/>
      <c r="C818" s="25"/>
      <c r="D818" s="25"/>
      <c r="E818" s="138"/>
      <c r="F818" s="138"/>
      <c r="G818" s="26"/>
    </row>
    <row r="819" ht="22.5" customHeight="1">
      <c r="A819" s="24"/>
      <c r="B819" s="25"/>
      <c r="C819" s="25"/>
      <c r="D819" s="25"/>
      <c r="E819" s="138"/>
      <c r="F819" s="138"/>
      <c r="G819" s="26"/>
    </row>
    <row r="820" ht="22.5" customHeight="1">
      <c r="A820" s="24"/>
      <c r="B820" s="25"/>
      <c r="C820" s="25"/>
      <c r="D820" s="25"/>
      <c r="E820" s="138"/>
      <c r="F820" s="138"/>
      <c r="G820" s="26"/>
    </row>
    <row r="821" ht="22.5" customHeight="1">
      <c r="A821" s="24"/>
      <c r="B821" s="25"/>
      <c r="C821" s="25"/>
      <c r="D821" s="25"/>
      <c r="E821" s="138"/>
      <c r="F821" s="138"/>
      <c r="G821" s="26"/>
    </row>
    <row r="822" ht="22.5" customHeight="1">
      <c r="A822" s="24"/>
      <c r="B822" s="25"/>
      <c r="C822" s="25"/>
      <c r="D822" s="25"/>
      <c r="E822" s="138"/>
      <c r="F822" s="138"/>
      <c r="G822" s="26"/>
    </row>
    <row r="823" ht="22.5" customHeight="1">
      <c r="A823" s="24"/>
      <c r="B823" s="25"/>
      <c r="C823" s="25"/>
      <c r="D823" s="25"/>
      <c r="E823" s="138"/>
      <c r="F823" s="138"/>
      <c r="G823" s="26"/>
    </row>
    <row r="824" ht="22.5" customHeight="1">
      <c r="A824" s="24"/>
      <c r="B824" s="25"/>
      <c r="C824" s="25"/>
      <c r="D824" s="25"/>
      <c r="E824" s="138"/>
      <c r="F824" s="138"/>
      <c r="G824" s="26"/>
    </row>
    <row r="825" ht="22.5" customHeight="1">
      <c r="A825" s="24"/>
      <c r="B825" s="25"/>
      <c r="C825" s="25"/>
      <c r="D825" s="25"/>
      <c r="E825" s="138"/>
      <c r="F825" s="138"/>
      <c r="G825" s="26"/>
    </row>
    <row r="826" ht="22.5" customHeight="1">
      <c r="A826" s="24"/>
      <c r="B826" s="25"/>
      <c r="C826" s="25"/>
      <c r="D826" s="25"/>
      <c r="E826" s="138"/>
      <c r="F826" s="138"/>
      <c r="G826" s="26"/>
    </row>
    <row r="827" ht="22.5" customHeight="1">
      <c r="A827" s="24"/>
      <c r="B827" s="25"/>
      <c r="C827" s="25"/>
      <c r="D827" s="25"/>
      <c r="E827" s="138"/>
      <c r="F827" s="138"/>
      <c r="G827" s="26"/>
    </row>
    <row r="828" ht="22.5" customHeight="1">
      <c r="A828" s="24"/>
      <c r="B828" s="25"/>
      <c r="C828" s="25"/>
      <c r="D828" s="25"/>
      <c r="E828" s="138"/>
      <c r="F828" s="138"/>
      <c r="G828" s="26"/>
    </row>
    <row r="829" ht="22.5" customHeight="1">
      <c r="A829" s="24"/>
      <c r="B829" s="25"/>
      <c r="C829" s="25"/>
      <c r="D829" s="25"/>
      <c r="E829" s="138"/>
      <c r="F829" s="138"/>
      <c r="G829" s="26"/>
    </row>
    <row r="830" ht="22.5" customHeight="1">
      <c r="A830" s="24"/>
      <c r="B830" s="25"/>
      <c r="C830" s="25"/>
      <c r="D830" s="25"/>
      <c r="E830" s="138"/>
      <c r="F830" s="138"/>
      <c r="G830" s="26"/>
    </row>
    <row r="831" ht="22.5" customHeight="1">
      <c r="A831" s="24"/>
      <c r="B831" s="25"/>
      <c r="C831" s="25"/>
      <c r="D831" s="25"/>
      <c r="E831" s="138"/>
      <c r="F831" s="138"/>
      <c r="G831" s="26"/>
    </row>
    <row r="832" ht="22.5" customHeight="1">
      <c r="A832" s="24"/>
      <c r="B832" s="25"/>
      <c r="C832" s="25"/>
      <c r="D832" s="25"/>
      <c r="E832" s="138"/>
      <c r="F832" s="138"/>
      <c r="G832" s="26"/>
    </row>
    <row r="833" ht="22.5" customHeight="1">
      <c r="A833" s="24"/>
      <c r="B833" s="25"/>
      <c r="C833" s="25"/>
      <c r="D833" s="25"/>
      <c r="E833" s="138"/>
      <c r="F833" s="138"/>
      <c r="G833" s="26"/>
    </row>
    <row r="834" ht="22.5" customHeight="1">
      <c r="A834" s="24"/>
      <c r="B834" s="25"/>
      <c r="C834" s="25"/>
      <c r="D834" s="25"/>
      <c r="E834" s="138"/>
      <c r="F834" s="138"/>
      <c r="G834" s="26"/>
    </row>
    <row r="835" ht="22.5" customHeight="1">
      <c r="A835" s="24"/>
      <c r="B835" s="25"/>
      <c r="C835" s="25"/>
      <c r="D835" s="25"/>
      <c r="E835" s="138"/>
      <c r="F835" s="138"/>
      <c r="G835" s="26"/>
    </row>
    <row r="836" ht="22.5" customHeight="1">
      <c r="A836" s="24"/>
      <c r="B836" s="25"/>
      <c r="C836" s="25"/>
      <c r="D836" s="25"/>
      <c r="E836" s="138"/>
      <c r="F836" s="138"/>
      <c r="G836" s="26"/>
    </row>
    <row r="837" ht="22.5" customHeight="1">
      <c r="A837" s="24"/>
      <c r="B837" s="25"/>
      <c r="C837" s="25"/>
      <c r="D837" s="25"/>
      <c r="E837" s="138"/>
      <c r="F837" s="138"/>
      <c r="G837" s="26"/>
    </row>
    <row r="838" ht="22.5" customHeight="1">
      <c r="A838" s="24"/>
      <c r="B838" s="25"/>
      <c r="C838" s="25"/>
      <c r="D838" s="25"/>
      <c r="E838" s="138"/>
      <c r="F838" s="138"/>
      <c r="G838" s="26"/>
    </row>
    <row r="839" ht="22.5" customHeight="1">
      <c r="A839" s="24"/>
      <c r="B839" s="25"/>
      <c r="C839" s="25"/>
      <c r="D839" s="25"/>
      <c r="E839" s="138"/>
      <c r="F839" s="138"/>
      <c r="G839" s="26"/>
    </row>
    <row r="840" ht="22.5" customHeight="1">
      <c r="A840" s="24"/>
      <c r="B840" s="25"/>
      <c r="C840" s="25"/>
      <c r="D840" s="25"/>
      <c r="E840" s="138"/>
      <c r="F840" s="138"/>
      <c r="G840" s="26"/>
    </row>
    <row r="841" ht="22.5" customHeight="1">
      <c r="A841" s="24"/>
      <c r="B841" s="25"/>
      <c r="C841" s="25"/>
      <c r="D841" s="25"/>
      <c r="E841" s="138"/>
      <c r="F841" s="138"/>
      <c r="G841" s="26"/>
    </row>
    <row r="842" ht="22.5" customHeight="1">
      <c r="A842" s="24"/>
      <c r="B842" s="25"/>
      <c r="C842" s="25"/>
      <c r="D842" s="25"/>
      <c r="E842" s="138"/>
      <c r="F842" s="138"/>
      <c r="G842" s="26"/>
    </row>
    <row r="843" ht="22.5" customHeight="1">
      <c r="A843" s="24"/>
      <c r="B843" s="25"/>
      <c r="C843" s="25"/>
      <c r="D843" s="25"/>
      <c r="E843" s="138"/>
      <c r="F843" s="138"/>
      <c r="G843" s="26"/>
    </row>
    <row r="844" ht="22.5" customHeight="1">
      <c r="A844" s="24"/>
      <c r="B844" s="25"/>
      <c r="C844" s="25"/>
      <c r="D844" s="25"/>
      <c r="E844" s="138"/>
      <c r="F844" s="138"/>
      <c r="G844" s="26"/>
    </row>
    <row r="845" ht="22.5" customHeight="1">
      <c r="A845" s="24"/>
      <c r="B845" s="25"/>
      <c r="C845" s="25"/>
      <c r="D845" s="25"/>
      <c r="E845" s="138"/>
      <c r="F845" s="138"/>
      <c r="G845" s="26"/>
    </row>
    <row r="846" ht="22.5" customHeight="1">
      <c r="A846" s="24"/>
      <c r="B846" s="25"/>
      <c r="C846" s="25"/>
      <c r="D846" s="25"/>
      <c r="E846" s="138"/>
      <c r="F846" s="138"/>
      <c r="G846" s="26"/>
    </row>
    <row r="847" ht="22.5" customHeight="1">
      <c r="A847" s="24"/>
      <c r="B847" s="25"/>
      <c r="C847" s="25"/>
      <c r="D847" s="25"/>
      <c r="E847" s="138"/>
      <c r="F847" s="138"/>
      <c r="G847" s="26"/>
    </row>
    <row r="848" ht="22.5" customHeight="1">
      <c r="A848" s="24"/>
      <c r="B848" s="25"/>
      <c r="C848" s="25"/>
      <c r="D848" s="25"/>
      <c r="E848" s="138"/>
      <c r="F848" s="138"/>
      <c r="G848" s="26"/>
    </row>
    <row r="849" ht="22.5" customHeight="1">
      <c r="A849" s="24"/>
      <c r="B849" s="25"/>
      <c r="C849" s="25"/>
      <c r="D849" s="25"/>
      <c r="E849" s="138"/>
      <c r="F849" s="138"/>
      <c r="G849" s="26"/>
    </row>
    <row r="850" ht="22.5" customHeight="1">
      <c r="A850" s="24"/>
      <c r="B850" s="25"/>
      <c r="C850" s="25"/>
      <c r="D850" s="25"/>
      <c r="E850" s="138"/>
      <c r="F850" s="138"/>
      <c r="G850" s="26"/>
    </row>
    <row r="851" ht="22.5" customHeight="1">
      <c r="A851" s="24"/>
      <c r="B851" s="25"/>
      <c r="C851" s="25"/>
      <c r="D851" s="25"/>
      <c r="E851" s="138"/>
      <c r="F851" s="138"/>
      <c r="G851" s="26"/>
    </row>
    <row r="852" ht="22.5" customHeight="1">
      <c r="A852" s="24"/>
      <c r="B852" s="25"/>
      <c r="C852" s="25"/>
      <c r="D852" s="25"/>
      <c r="E852" s="138"/>
      <c r="F852" s="138"/>
      <c r="G852" s="26"/>
    </row>
    <row r="853" ht="22.5" customHeight="1">
      <c r="A853" s="24"/>
      <c r="B853" s="25"/>
      <c r="C853" s="25"/>
      <c r="D853" s="25"/>
      <c r="E853" s="138"/>
      <c r="F853" s="138"/>
      <c r="G853" s="26"/>
    </row>
    <row r="854" ht="22.5" customHeight="1">
      <c r="A854" s="24"/>
      <c r="B854" s="25"/>
      <c r="C854" s="25"/>
      <c r="D854" s="25"/>
      <c r="E854" s="138"/>
      <c r="F854" s="138"/>
      <c r="G854" s="26"/>
    </row>
    <row r="855" ht="22.5" customHeight="1">
      <c r="A855" s="24"/>
      <c r="B855" s="25"/>
      <c r="C855" s="25"/>
      <c r="D855" s="25"/>
      <c r="E855" s="138"/>
      <c r="F855" s="138"/>
      <c r="G855" s="26"/>
    </row>
    <row r="856" ht="22.5" customHeight="1">
      <c r="A856" s="24"/>
      <c r="B856" s="25"/>
      <c r="C856" s="25"/>
      <c r="D856" s="25"/>
      <c r="E856" s="138"/>
      <c r="F856" s="138"/>
      <c r="G856" s="26"/>
    </row>
    <row r="857" ht="22.5" customHeight="1">
      <c r="A857" s="24"/>
      <c r="B857" s="25"/>
      <c r="C857" s="25"/>
      <c r="D857" s="25"/>
      <c r="E857" s="138"/>
      <c r="F857" s="138"/>
      <c r="G857" s="26"/>
    </row>
    <row r="858" ht="22.5" customHeight="1">
      <c r="A858" s="24"/>
      <c r="B858" s="25"/>
      <c r="C858" s="25"/>
      <c r="D858" s="25"/>
      <c r="E858" s="138"/>
      <c r="F858" s="138"/>
      <c r="G858" s="26"/>
    </row>
    <row r="859" ht="22.5" customHeight="1">
      <c r="A859" s="24"/>
      <c r="B859" s="25"/>
      <c r="C859" s="25"/>
      <c r="D859" s="25"/>
      <c r="E859" s="138"/>
      <c r="F859" s="138"/>
      <c r="G859" s="26"/>
    </row>
    <row r="860" ht="22.5" customHeight="1">
      <c r="A860" s="24"/>
      <c r="B860" s="25"/>
      <c r="C860" s="25"/>
      <c r="D860" s="25"/>
      <c r="E860" s="138"/>
      <c r="F860" s="138"/>
      <c r="G860" s="26"/>
    </row>
    <row r="861" ht="22.5" customHeight="1">
      <c r="A861" s="24"/>
      <c r="B861" s="25"/>
      <c r="C861" s="25"/>
      <c r="D861" s="25"/>
      <c r="E861" s="138"/>
      <c r="F861" s="138"/>
      <c r="G861" s="26"/>
    </row>
    <row r="862" ht="22.5" customHeight="1">
      <c r="A862" s="24"/>
      <c r="B862" s="25"/>
      <c r="C862" s="25"/>
      <c r="D862" s="25"/>
      <c r="E862" s="138"/>
      <c r="F862" s="138"/>
      <c r="G862" s="26"/>
    </row>
    <row r="863" ht="22.5" customHeight="1">
      <c r="A863" s="24"/>
      <c r="B863" s="25"/>
      <c r="C863" s="25"/>
      <c r="D863" s="25"/>
      <c r="E863" s="138"/>
      <c r="F863" s="138"/>
      <c r="G863" s="26"/>
    </row>
    <row r="864" ht="22.5" customHeight="1">
      <c r="A864" s="24"/>
      <c r="B864" s="25"/>
      <c r="C864" s="25"/>
      <c r="D864" s="25"/>
      <c r="E864" s="138"/>
      <c r="F864" s="138"/>
      <c r="G864" s="26"/>
    </row>
    <row r="865" ht="22.5" customHeight="1">
      <c r="A865" s="24"/>
      <c r="B865" s="25"/>
      <c r="C865" s="25"/>
      <c r="D865" s="25"/>
      <c r="E865" s="138"/>
      <c r="F865" s="138"/>
      <c r="G865" s="26"/>
    </row>
    <row r="866" ht="22.5" customHeight="1">
      <c r="A866" s="24"/>
      <c r="B866" s="25"/>
      <c r="C866" s="25"/>
      <c r="D866" s="25"/>
      <c r="E866" s="138"/>
      <c r="F866" s="138"/>
      <c r="G866" s="26"/>
    </row>
    <row r="867" ht="22.5" customHeight="1">
      <c r="A867" s="24"/>
      <c r="B867" s="25"/>
      <c r="C867" s="25"/>
      <c r="D867" s="25"/>
      <c r="E867" s="138"/>
      <c r="F867" s="138"/>
      <c r="G867" s="26"/>
    </row>
    <row r="868" ht="22.5" customHeight="1">
      <c r="A868" s="24"/>
      <c r="B868" s="25"/>
      <c r="C868" s="25"/>
      <c r="D868" s="25"/>
      <c r="E868" s="138"/>
      <c r="F868" s="138"/>
      <c r="G868" s="26"/>
    </row>
    <row r="869" ht="22.5" customHeight="1">
      <c r="A869" s="24"/>
      <c r="B869" s="25"/>
      <c r="C869" s="25"/>
      <c r="D869" s="25"/>
      <c r="E869" s="138"/>
      <c r="F869" s="138"/>
      <c r="G869" s="26"/>
    </row>
    <row r="870" ht="22.5" customHeight="1">
      <c r="A870" s="24"/>
      <c r="B870" s="25"/>
      <c r="C870" s="25"/>
      <c r="D870" s="25"/>
      <c r="E870" s="138"/>
      <c r="F870" s="138"/>
      <c r="G870" s="26"/>
    </row>
    <row r="871" ht="22.5" customHeight="1">
      <c r="A871" s="24"/>
      <c r="B871" s="25"/>
      <c r="C871" s="25"/>
      <c r="D871" s="25"/>
      <c r="E871" s="138"/>
      <c r="F871" s="138"/>
      <c r="G871" s="26"/>
    </row>
    <row r="872" ht="22.5" customHeight="1">
      <c r="A872" s="24"/>
      <c r="B872" s="25"/>
      <c r="C872" s="25"/>
      <c r="D872" s="25"/>
      <c r="E872" s="138"/>
      <c r="F872" s="138"/>
      <c r="G872" s="26"/>
    </row>
    <row r="873" ht="22.5" customHeight="1">
      <c r="A873" s="24"/>
      <c r="B873" s="25"/>
      <c r="C873" s="25"/>
      <c r="D873" s="25"/>
      <c r="E873" s="138"/>
      <c r="F873" s="138"/>
      <c r="G873" s="26"/>
    </row>
    <row r="874" ht="22.5" customHeight="1">
      <c r="A874" s="24"/>
      <c r="B874" s="25"/>
      <c r="C874" s="25"/>
      <c r="D874" s="25"/>
      <c r="E874" s="138"/>
      <c r="F874" s="138"/>
      <c r="G874" s="26"/>
    </row>
    <row r="875" ht="22.5" customHeight="1">
      <c r="A875" s="24"/>
      <c r="B875" s="25"/>
      <c r="C875" s="25"/>
      <c r="D875" s="25"/>
      <c r="E875" s="138"/>
      <c r="F875" s="138"/>
      <c r="G875" s="26"/>
    </row>
    <row r="876" ht="22.5" customHeight="1">
      <c r="A876" s="24"/>
      <c r="B876" s="25"/>
      <c r="C876" s="25"/>
      <c r="D876" s="25"/>
      <c r="E876" s="138"/>
      <c r="F876" s="138"/>
      <c r="G876" s="26"/>
    </row>
    <row r="877" ht="22.5" customHeight="1">
      <c r="A877" s="24"/>
      <c r="B877" s="25"/>
      <c r="C877" s="25"/>
      <c r="D877" s="25"/>
      <c r="E877" s="138"/>
      <c r="F877" s="138"/>
      <c r="G877" s="26"/>
    </row>
    <row r="878" ht="22.5" customHeight="1">
      <c r="A878" s="24"/>
      <c r="B878" s="25"/>
      <c r="C878" s="25"/>
      <c r="D878" s="25"/>
      <c r="E878" s="138"/>
      <c r="F878" s="138"/>
      <c r="G878" s="26"/>
    </row>
    <row r="879" ht="22.5" customHeight="1">
      <c r="A879" s="24"/>
      <c r="B879" s="25"/>
      <c r="C879" s="25"/>
      <c r="D879" s="25"/>
      <c r="E879" s="138"/>
      <c r="F879" s="138"/>
      <c r="G879" s="26"/>
    </row>
    <row r="880" ht="22.5" customHeight="1">
      <c r="A880" s="24"/>
      <c r="B880" s="25"/>
      <c r="C880" s="25"/>
      <c r="D880" s="25"/>
      <c r="E880" s="138"/>
      <c r="F880" s="138"/>
      <c r="G880" s="26"/>
    </row>
    <row r="881" ht="22.5" customHeight="1">
      <c r="A881" s="24"/>
      <c r="B881" s="25"/>
      <c r="C881" s="25"/>
      <c r="D881" s="25"/>
      <c r="E881" s="138"/>
      <c r="F881" s="138"/>
      <c r="G881" s="26"/>
    </row>
    <row r="882" ht="22.5" customHeight="1">
      <c r="A882" s="24"/>
      <c r="B882" s="25"/>
      <c r="C882" s="25"/>
      <c r="D882" s="25"/>
      <c r="E882" s="138"/>
      <c r="F882" s="138"/>
      <c r="G882" s="26"/>
    </row>
    <row r="883" ht="22.5" customHeight="1">
      <c r="A883" s="24"/>
      <c r="B883" s="25"/>
      <c r="C883" s="25"/>
      <c r="D883" s="25"/>
      <c r="E883" s="138"/>
      <c r="F883" s="138"/>
      <c r="G883" s="26"/>
    </row>
    <row r="884" ht="22.5" customHeight="1">
      <c r="A884" s="24"/>
      <c r="B884" s="25"/>
      <c r="C884" s="25"/>
      <c r="D884" s="25"/>
      <c r="E884" s="138"/>
      <c r="F884" s="138"/>
      <c r="G884" s="26"/>
    </row>
    <row r="885" ht="22.5" customHeight="1">
      <c r="A885" s="24"/>
      <c r="B885" s="25"/>
      <c r="C885" s="25"/>
      <c r="D885" s="25"/>
      <c r="E885" s="138"/>
      <c r="F885" s="138"/>
      <c r="G885" s="26"/>
    </row>
    <row r="886" ht="22.5" customHeight="1">
      <c r="A886" s="24"/>
      <c r="B886" s="25"/>
      <c r="C886" s="25"/>
      <c r="D886" s="25"/>
      <c r="E886" s="138"/>
      <c r="F886" s="138"/>
      <c r="G886" s="26"/>
    </row>
    <row r="887" ht="22.5" customHeight="1">
      <c r="A887" s="24"/>
      <c r="B887" s="25"/>
      <c r="C887" s="25"/>
      <c r="D887" s="25"/>
      <c r="E887" s="138"/>
      <c r="F887" s="138"/>
      <c r="G887" s="26"/>
    </row>
    <row r="888" ht="22.5" customHeight="1">
      <c r="A888" s="24"/>
      <c r="B888" s="25"/>
      <c r="C888" s="25"/>
      <c r="D888" s="25"/>
      <c r="E888" s="138"/>
      <c r="F888" s="138"/>
      <c r="G888" s="26"/>
    </row>
    <row r="889" ht="22.5" customHeight="1">
      <c r="A889" s="24"/>
      <c r="B889" s="25"/>
      <c r="C889" s="25"/>
      <c r="D889" s="25"/>
      <c r="E889" s="138"/>
      <c r="F889" s="138"/>
      <c r="G889" s="26"/>
    </row>
    <row r="890" ht="22.5" customHeight="1">
      <c r="A890" s="24"/>
      <c r="B890" s="25"/>
      <c r="C890" s="25"/>
      <c r="D890" s="25"/>
      <c r="E890" s="138"/>
      <c r="F890" s="138"/>
      <c r="G890" s="26"/>
    </row>
    <row r="891" ht="22.5" customHeight="1">
      <c r="A891" s="24"/>
      <c r="B891" s="25"/>
      <c r="C891" s="25"/>
      <c r="D891" s="25"/>
      <c r="E891" s="138"/>
      <c r="F891" s="138"/>
      <c r="G891" s="26"/>
    </row>
    <row r="892" ht="22.5" customHeight="1">
      <c r="A892" s="24"/>
      <c r="B892" s="25"/>
      <c r="C892" s="25"/>
      <c r="D892" s="25"/>
      <c r="E892" s="138"/>
      <c r="F892" s="138"/>
      <c r="G892" s="26"/>
    </row>
    <row r="893" ht="22.5" customHeight="1">
      <c r="A893" s="24"/>
      <c r="B893" s="25"/>
      <c r="C893" s="25"/>
      <c r="D893" s="25"/>
      <c r="E893" s="138"/>
      <c r="F893" s="138"/>
      <c r="G893" s="26"/>
    </row>
    <row r="894" ht="22.5" customHeight="1">
      <c r="A894" s="24"/>
      <c r="B894" s="25"/>
      <c r="C894" s="25"/>
      <c r="D894" s="25"/>
      <c r="E894" s="138"/>
      <c r="F894" s="138"/>
      <c r="G894" s="26"/>
    </row>
    <row r="895" ht="22.5" customHeight="1">
      <c r="A895" s="24"/>
      <c r="B895" s="25"/>
      <c r="C895" s="25"/>
      <c r="D895" s="25"/>
      <c r="E895" s="138"/>
      <c r="F895" s="138"/>
      <c r="G895" s="26"/>
    </row>
    <row r="896" ht="22.5" customHeight="1">
      <c r="A896" s="24"/>
      <c r="B896" s="25"/>
      <c r="C896" s="25"/>
      <c r="D896" s="25"/>
      <c r="E896" s="138"/>
      <c r="F896" s="138"/>
      <c r="G896" s="26"/>
    </row>
    <row r="897" ht="22.5" customHeight="1">
      <c r="A897" s="24"/>
      <c r="B897" s="25"/>
      <c r="C897" s="25"/>
      <c r="D897" s="25"/>
      <c r="E897" s="138"/>
      <c r="F897" s="138"/>
      <c r="G897" s="26"/>
    </row>
    <row r="898" ht="22.5" customHeight="1">
      <c r="A898" s="24"/>
      <c r="B898" s="25"/>
      <c r="C898" s="25"/>
      <c r="D898" s="25"/>
      <c r="E898" s="138"/>
      <c r="F898" s="138"/>
      <c r="G898" s="26"/>
    </row>
    <row r="899" ht="22.5" customHeight="1">
      <c r="A899" s="24"/>
      <c r="B899" s="25"/>
      <c r="C899" s="25"/>
      <c r="D899" s="25"/>
      <c r="E899" s="138"/>
      <c r="F899" s="138"/>
      <c r="G899" s="26"/>
    </row>
    <row r="900" ht="22.5" customHeight="1">
      <c r="A900" s="24"/>
      <c r="B900" s="25"/>
      <c r="C900" s="25"/>
      <c r="D900" s="25"/>
      <c r="E900" s="138"/>
      <c r="F900" s="138"/>
      <c r="G900" s="26"/>
    </row>
    <row r="901" ht="22.5" customHeight="1">
      <c r="A901" s="24"/>
      <c r="B901" s="25"/>
      <c r="C901" s="25"/>
      <c r="D901" s="25"/>
      <c r="E901" s="138"/>
      <c r="F901" s="138"/>
      <c r="G901" s="26"/>
    </row>
    <row r="902" ht="22.5" customHeight="1">
      <c r="A902" s="24"/>
      <c r="B902" s="25"/>
      <c r="C902" s="25"/>
      <c r="D902" s="25"/>
      <c r="E902" s="138"/>
      <c r="F902" s="138"/>
      <c r="G902" s="26"/>
    </row>
    <row r="903" ht="22.5" customHeight="1">
      <c r="A903" s="24"/>
      <c r="B903" s="25"/>
      <c r="C903" s="25"/>
      <c r="D903" s="25"/>
      <c r="E903" s="138"/>
      <c r="F903" s="138"/>
      <c r="G903" s="26"/>
    </row>
    <row r="904" ht="22.5" customHeight="1">
      <c r="A904" s="24"/>
      <c r="B904" s="25"/>
      <c r="C904" s="25"/>
      <c r="D904" s="25"/>
      <c r="E904" s="138"/>
      <c r="F904" s="138"/>
      <c r="G904" s="26"/>
    </row>
    <row r="905" ht="22.5" customHeight="1">
      <c r="A905" s="24"/>
      <c r="B905" s="25"/>
      <c r="C905" s="25"/>
      <c r="D905" s="25"/>
      <c r="E905" s="138"/>
      <c r="F905" s="138"/>
      <c r="G905" s="26"/>
    </row>
    <row r="906" ht="22.5" customHeight="1">
      <c r="A906" s="24"/>
      <c r="B906" s="25"/>
      <c r="C906" s="25"/>
      <c r="D906" s="25"/>
      <c r="E906" s="138"/>
      <c r="F906" s="138"/>
      <c r="G906" s="26"/>
    </row>
    <row r="907" ht="22.5" customHeight="1">
      <c r="A907" s="24"/>
      <c r="B907" s="25"/>
      <c r="C907" s="25"/>
      <c r="D907" s="25"/>
      <c r="E907" s="138"/>
      <c r="F907" s="138"/>
      <c r="G907" s="26"/>
    </row>
    <row r="908" ht="22.5" customHeight="1">
      <c r="A908" s="24"/>
      <c r="B908" s="25"/>
      <c r="C908" s="25"/>
      <c r="D908" s="25"/>
      <c r="E908" s="138"/>
      <c r="F908" s="138"/>
      <c r="G908" s="26"/>
    </row>
    <row r="909" ht="22.5" customHeight="1">
      <c r="A909" s="24"/>
      <c r="B909" s="25"/>
      <c r="C909" s="25"/>
      <c r="D909" s="25"/>
      <c r="E909" s="138"/>
      <c r="F909" s="138"/>
      <c r="G909" s="26"/>
    </row>
    <row r="910" ht="22.5" customHeight="1">
      <c r="A910" s="24"/>
      <c r="B910" s="25"/>
      <c r="C910" s="25"/>
      <c r="D910" s="25"/>
      <c r="E910" s="138"/>
      <c r="F910" s="138"/>
      <c r="G910" s="26"/>
    </row>
    <row r="911" ht="22.5" customHeight="1">
      <c r="A911" s="24"/>
      <c r="B911" s="25"/>
      <c r="C911" s="25"/>
      <c r="D911" s="25"/>
      <c r="E911" s="138"/>
      <c r="F911" s="138"/>
      <c r="G911" s="26"/>
    </row>
    <row r="912" ht="22.5" customHeight="1">
      <c r="A912" s="24"/>
      <c r="B912" s="25"/>
      <c r="C912" s="25"/>
      <c r="D912" s="25"/>
      <c r="E912" s="138"/>
      <c r="F912" s="138"/>
      <c r="G912" s="26"/>
    </row>
    <row r="913" ht="22.5" customHeight="1">
      <c r="A913" s="24"/>
      <c r="B913" s="25"/>
      <c r="C913" s="25"/>
      <c r="D913" s="25"/>
      <c r="E913" s="138"/>
      <c r="F913" s="138"/>
      <c r="G913" s="26"/>
    </row>
    <row r="914" ht="22.5" customHeight="1">
      <c r="A914" s="24"/>
      <c r="B914" s="25"/>
      <c r="C914" s="25"/>
      <c r="D914" s="25"/>
      <c r="E914" s="138"/>
      <c r="F914" s="138"/>
      <c r="G914" s="26"/>
    </row>
    <row r="915" ht="22.5" customHeight="1">
      <c r="A915" s="24"/>
      <c r="B915" s="25"/>
      <c r="C915" s="25"/>
      <c r="D915" s="25"/>
      <c r="E915" s="138"/>
      <c r="F915" s="138"/>
      <c r="G915" s="26"/>
    </row>
    <row r="916" ht="22.5" customHeight="1">
      <c r="A916" s="24"/>
      <c r="B916" s="25"/>
      <c r="C916" s="25"/>
      <c r="D916" s="25"/>
      <c r="E916" s="138"/>
      <c r="F916" s="138"/>
      <c r="G916" s="26"/>
    </row>
    <row r="917" ht="22.5" customHeight="1">
      <c r="A917" s="24"/>
      <c r="B917" s="25"/>
      <c r="C917" s="25"/>
      <c r="D917" s="25"/>
      <c r="E917" s="138"/>
      <c r="F917" s="138"/>
      <c r="G917" s="26"/>
    </row>
    <row r="918" ht="22.5" customHeight="1">
      <c r="A918" s="24"/>
      <c r="B918" s="25"/>
      <c r="C918" s="25"/>
      <c r="D918" s="25"/>
      <c r="E918" s="138"/>
      <c r="F918" s="138"/>
      <c r="G918" s="26"/>
    </row>
    <row r="919" ht="22.5" customHeight="1">
      <c r="A919" s="24"/>
      <c r="B919" s="25"/>
      <c r="C919" s="25"/>
      <c r="D919" s="25"/>
      <c r="E919" s="138"/>
      <c r="F919" s="138"/>
      <c r="G919" s="26"/>
    </row>
    <row r="920" ht="22.5" customHeight="1">
      <c r="A920" s="24"/>
      <c r="B920" s="25"/>
      <c r="C920" s="25"/>
      <c r="D920" s="25"/>
      <c r="E920" s="138"/>
      <c r="F920" s="138"/>
      <c r="G920" s="26"/>
    </row>
    <row r="921" ht="22.5" customHeight="1">
      <c r="A921" s="24"/>
      <c r="B921" s="25"/>
      <c r="C921" s="25"/>
      <c r="D921" s="25"/>
      <c r="E921" s="138"/>
      <c r="F921" s="138"/>
      <c r="G921" s="26"/>
    </row>
    <row r="922" ht="22.5" customHeight="1">
      <c r="A922" s="24"/>
      <c r="B922" s="25"/>
      <c r="C922" s="25"/>
      <c r="D922" s="25"/>
      <c r="E922" s="138"/>
      <c r="F922" s="138"/>
      <c r="G922" s="26"/>
    </row>
    <row r="923" ht="22.5" customHeight="1">
      <c r="A923" s="24"/>
      <c r="B923" s="25"/>
      <c r="C923" s="25"/>
      <c r="D923" s="25"/>
      <c r="E923" s="138"/>
      <c r="F923" s="138"/>
      <c r="G923" s="26"/>
    </row>
    <row r="924" ht="22.5" customHeight="1">
      <c r="A924" s="24"/>
      <c r="B924" s="25"/>
      <c r="C924" s="25"/>
      <c r="D924" s="25"/>
      <c r="E924" s="138"/>
      <c r="F924" s="138"/>
      <c r="G924" s="26"/>
    </row>
    <row r="925" ht="22.5" customHeight="1">
      <c r="A925" s="24"/>
      <c r="B925" s="25"/>
      <c r="C925" s="25"/>
      <c r="D925" s="25"/>
      <c r="E925" s="138"/>
      <c r="F925" s="138"/>
      <c r="G925" s="26"/>
    </row>
    <row r="926" ht="22.5" customHeight="1">
      <c r="A926" s="24"/>
      <c r="B926" s="25"/>
      <c r="C926" s="25"/>
      <c r="D926" s="25"/>
      <c r="E926" s="138"/>
      <c r="F926" s="138"/>
      <c r="G926" s="26"/>
    </row>
    <row r="927" ht="22.5" customHeight="1">
      <c r="A927" s="24"/>
      <c r="B927" s="25"/>
      <c r="C927" s="25"/>
      <c r="D927" s="25"/>
      <c r="E927" s="138"/>
      <c r="F927" s="138"/>
      <c r="G927" s="26"/>
    </row>
    <row r="928" ht="22.5" customHeight="1">
      <c r="A928" s="24"/>
      <c r="B928" s="25"/>
      <c r="C928" s="25"/>
      <c r="D928" s="25"/>
      <c r="E928" s="138"/>
      <c r="F928" s="138"/>
      <c r="G928" s="26"/>
    </row>
    <row r="929" ht="22.5" customHeight="1">
      <c r="A929" s="24"/>
      <c r="B929" s="25"/>
      <c r="C929" s="25"/>
      <c r="D929" s="25"/>
      <c r="E929" s="138"/>
      <c r="F929" s="138"/>
      <c r="G929" s="26"/>
    </row>
    <row r="930" ht="22.5" customHeight="1">
      <c r="A930" s="24"/>
      <c r="B930" s="25"/>
      <c r="C930" s="25"/>
      <c r="D930" s="25"/>
      <c r="E930" s="138"/>
      <c r="F930" s="138"/>
      <c r="G930" s="26"/>
    </row>
    <row r="931" ht="22.5" customHeight="1">
      <c r="A931" s="24"/>
      <c r="B931" s="25"/>
      <c r="C931" s="25"/>
      <c r="D931" s="25"/>
      <c r="E931" s="138"/>
      <c r="F931" s="138"/>
      <c r="G931" s="26"/>
    </row>
    <row r="932" ht="22.5" customHeight="1">
      <c r="A932" s="24"/>
      <c r="B932" s="25"/>
      <c r="C932" s="25"/>
      <c r="D932" s="25"/>
      <c r="E932" s="138"/>
      <c r="F932" s="138"/>
      <c r="G932" s="26"/>
    </row>
    <row r="933" ht="22.5" customHeight="1">
      <c r="A933" s="24"/>
      <c r="B933" s="25"/>
      <c r="C933" s="25"/>
      <c r="D933" s="25"/>
      <c r="E933" s="138"/>
      <c r="F933" s="138"/>
      <c r="G933" s="26"/>
    </row>
    <row r="934" ht="22.5" customHeight="1">
      <c r="A934" s="24"/>
      <c r="B934" s="25"/>
      <c r="C934" s="25"/>
      <c r="D934" s="25"/>
      <c r="E934" s="138"/>
      <c r="F934" s="138"/>
      <c r="G934" s="26"/>
    </row>
    <row r="935" ht="22.5" customHeight="1">
      <c r="A935" s="24"/>
      <c r="B935" s="25"/>
      <c r="C935" s="25"/>
      <c r="D935" s="25"/>
      <c r="E935" s="138"/>
      <c r="F935" s="138"/>
      <c r="G935" s="26"/>
    </row>
    <row r="936" ht="22.5" customHeight="1">
      <c r="A936" s="24"/>
      <c r="B936" s="25"/>
      <c r="C936" s="25"/>
      <c r="D936" s="25"/>
      <c r="E936" s="138"/>
      <c r="F936" s="138"/>
      <c r="G936" s="26"/>
    </row>
    <row r="937" ht="22.5" customHeight="1">
      <c r="A937" s="24"/>
      <c r="B937" s="25"/>
      <c r="C937" s="25"/>
      <c r="D937" s="25"/>
      <c r="E937" s="138"/>
      <c r="F937" s="138"/>
      <c r="G937" s="26"/>
    </row>
    <row r="938" ht="22.5" customHeight="1">
      <c r="A938" s="24"/>
      <c r="B938" s="25"/>
      <c r="C938" s="25"/>
      <c r="D938" s="25"/>
      <c r="E938" s="138"/>
      <c r="F938" s="138"/>
      <c r="G938" s="26"/>
    </row>
    <row r="939" ht="22.5" customHeight="1">
      <c r="A939" s="24"/>
      <c r="B939" s="25"/>
      <c r="C939" s="25"/>
      <c r="D939" s="25"/>
      <c r="E939" s="138"/>
      <c r="F939" s="138"/>
      <c r="G939" s="26"/>
    </row>
    <row r="940" ht="22.5" customHeight="1">
      <c r="A940" s="24"/>
      <c r="B940" s="25"/>
      <c r="C940" s="25"/>
      <c r="D940" s="25"/>
      <c r="E940" s="138"/>
      <c r="F940" s="138"/>
      <c r="G940" s="26"/>
    </row>
    <row r="941" ht="22.5" customHeight="1">
      <c r="A941" s="24"/>
      <c r="B941" s="25"/>
      <c r="C941" s="25"/>
      <c r="D941" s="25"/>
      <c r="E941" s="138"/>
      <c r="F941" s="138"/>
      <c r="G941" s="26"/>
    </row>
    <row r="942" ht="22.5" customHeight="1">
      <c r="A942" s="24"/>
      <c r="B942" s="25"/>
      <c r="C942" s="25"/>
      <c r="D942" s="25"/>
      <c r="E942" s="138"/>
      <c r="F942" s="138"/>
      <c r="G942" s="26"/>
    </row>
    <row r="943" ht="22.5" customHeight="1">
      <c r="A943" s="24"/>
      <c r="B943" s="25"/>
      <c r="C943" s="25"/>
      <c r="D943" s="25"/>
      <c r="E943" s="138"/>
      <c r="F943" s="138"/>
      <c r="G943" s="26"/>
    </row>
    <row r="944" ht="22.5" customHeight="1">
      <c r="A944" s="24"/>
      <c r="B944" s="25"/>
      <c r="C944" s="25"/>
      <c r="D944" s="25"/>
      <c r="E944" s="138"/>
      <c r="F944" s="138"/>
      <c r="G944" s="26"/>
    </row>
    <row r="945" ht="22.5" customHeight="1">
      <c r="A945" s="24"/>
      <c r="B945" s="25"/>
      <c r="C945" s="25"/>
      <c r="D945" s="25"/>
      <c r="E945" s="138"/>
      <c r="F945" s="138"/>
      <c r="G945" s="26"/>
    </row>
    <row r="946" ht="22.5" customHeight="1">
      <c r="A946" s="24"/>
      <c r="B946" s="25"/>
      <c r="C946" s="25"/>
      <c r="D946" s="25"/>
      <c r="E946" s="138"/>
      <c r="F946" s="138"/>
      <c r="G946" s="26"/>
    </row>
    <row r="947" ht="22.5" customHeight="1">
      <c r="A947" s="24"/>
      <c r="B947" s="25"/>
      <c r="C947" s="25"/>
      <c r="D947" s="25"/>
      <c r="E947" s="138"/>
      <c r="F947" s="138"/>
      <c r="G947" s="26"/>
    </row>
    <row r="948" ht="22.5" customHeight="1">
      <c r="A948" s="24"/>
      <c r="B948" s="25"/>
      <c r="C948" s="25"/>
      <c r="D948" s="25"/>
      <c r="E948" s="138"/>
      <c r="F948" s="138"/>
      <c r="G948" s="26"/>
    </row>
    <row r="949" ht="22.5" customHeight="1">
      <c r="A949" s="24"/>
      <c r="B949" s="25"/>
      <c r="C949" s="25"/>
      <c r="D949" s="25"/>
      <c r="E949" s="138"/>
      <c r="F949" s="138"/>
      <c r="G949" s="26"/>
    </row>
    <row r="950" ht="22.5" customHeight="1">
      <c r="A950" s="24"/>
      <c r="B950" s="25"/>
      <c r="C950" s="25"/>
      <c r="D950" s="25"/>
      <c r="E950" s="138"/>
      <c r="F950" s="138"/>
      <c r="G950" s="26"/>
    </row>
    <row r="951" ht="22.5" customHeight="1">
      <c r="A951" s="24"/>
      <c r="B951" s="25"/>
      <c r="C951" s="25"/>
      <c r="D951" s="25"/>
      <c r="E951" s="138"/>
      <c r="F951" s="138"/>
      <c r="G951" s="26"/>
    </row>
    <row r="952" ht="22.5" customHeight="1">
      <c r="A952" s="24"/>
      <c r="B952" s="25"/>
      <c r="C952" s="25"/>
      <c r="D952" s="25"/>
      <c r="E952" s="138"/>
      <c r="F952" s="138"/>
      <c r="G952" s="26"/>
    </row>
    <row r="953" ht="22.5" customHeight="1">
      <c r="A953" s="24"/>
      <c r="B953" s="25"/>
      <c r="C953" s="25"/>
      <c r="D953" s="25"/>
      <c r="E953" s="138"/>
      <c r="F953" s="138"/>
      <c r="G953" s="26"/>
    </row>
    <row r="954" ht="22.5" customHeight="1">
      <c r="A954" s="24"/>
      <c r="B954" s="25"/>
      <c r="C954" s="25"/>
      <c r="D954" s="25"/>
      <c r="E954" s="138"/>
      <c r="F954" s="138"/>
      <c r="G954" s="26"/>
    </row>
    <row r="955" ht="22.5" customHeight="1">
      <c r="A955" s="24"/>
      <c r="B955" s="25"/>
      <c r="C955" s="25"/>
      <c r="D955" s="25"/>
      <c r="E955" s="138"/>
      <c r="F955" s="138"/>
      <c r="G955" s="26"/>
    </row>
    <row r="956" ht="22.5" customHeight="1">
      <c r="A956" s="24"/>
      <c r="B956" s="25"/>
      <c r="C956" s="25"/>
      <c r="D956" s="25"/>
      <c r="E956" s="138"/>
      <c r="F956" s="138"/>
      <c r="G956" s="26"/>
    </row>
    <row r="957" ht="22.5" customHeight="1">
      <c r="A957" s="24"/>
      <c r="B957" s="25"/>
      <c r="C957" s="25"/>
      <c r="D957" s="25"/>
      <c r="E957" s="138"/>
      <c r="F957" s="138"/>
      <c r="G957" s="26"/>
    </row>
    <row r="958" ht="22.5" customHeight="1">
      <c r="A958" s="24"/>
      <c r="B958" s="25"/>
      <c r="C958" s="25"/>
      <c r="D958" s="25"/>
      <c r="E958" s="138"/>
      <c r="F958" s="138"/>
      <c r="G958" s="26"/>
    </row>
    <row r="959" ht="22.5" customHeight="1">
      <c r="A959" s="24"/>
      <c r="B959" s="25"/>
      <c r="C959" s="25"/>
      <c r="D959" s="25"/>
      <c r="E959" s="138"/>
      <c r="F959" s="138"/>
      <c r="G959" s="26"/>
    </row>
    <row r="960" ht="22.5" customHeight="1">
      <c r="A960" s="24"/>
      <c r="B960" s="25"/>
      <c r="C960" s="25"/>
      <c r="D960" s="25"/>
      <c r="E960" s="138"/>
      <c r="F960" s="138"/>
      <c r="G960" s="26"/>
    </row>
    <row r="961" ht="22.5" customHeight="1">
      <c r="A961" s="24"/>
      <c r="B961" s="25"/>
      <c r="C961" s="25"/>
      <c r="D961" s="25"/>
      <c r="E961" s="138"/>
      <c r="F961" s="138"/>
      <c r="G961" s="26"/>
    </row>
    <row r="962" ht="22.5" customHeight="1">
      <c r="A962" s="24"/>
      <c r="B962" s="25"/>
      <c r="C962" s="25"/>
      <c r="D962" s="25"/>
      <c r="E962" s="138"/>
      <c r="F962" s="138"/>
      <c r="G962" s="26"/>
    </row>
    <row r="963" ht="22.5" customHeight="1">
      <c r="A963" s="24"/>
      <c r="B963" s="25"/>
      <c r="C963" s="25"/>
      <c r="D963" s="25"/>
      <c r="E963" s="138"/>
      <c r="F963" s="138"/>
      <c r="G963" s="26"/>
    </row>
    <row r="964" ht="22.5" customHeight="1">
      <c r="A964" s="24"/>
      <c r="B964" s="25"/>
      <c r="C964" s="25"/>
      <c r="D964" s="25"/>
      <c r="E964" s="138"/>
      <c r="F964" s="138"/>
      <c r="G964" s="26"/>
    </row>
    <row r="965" ht="22.5" customHeight="1">
      <c r="A965" s="24"/>
      <c r="B965" s="25"/>
      <c r="C965" s="25"/>
      <c r="D965" s="25"/>
      <c r="E965" s="138"/>
      <c r="F965" s="138"/>
      <c r="G965" s="26"/>
    </row>
    <row r="966" ht="22.5" customHeight="1">
      <c r="A966" s="24"/>
      <c r="B966" s="25"/>
      <c r="C966" s="25"/>
      <c r="D966" s="25"/>
      <c r="E966" s="138"/>
      <c r="F966" s="138"/>
      <c r="G966" s="26"/>
    </row>
    <row r="967" ht="22.5" customHeight="1">
      <c r="A967" s="24"/>
      <c r="B967" s="25"/>
      <c r="C967" s="25"/>
      <c r="D967" s="25"/>
      <c r="E967" s="138"/>
      <c r="F967" s="138"/>
      <c r="G967" s="26"/>
    </row>
    <row r="968" ht="22.5" customHeight="1">
      <c r="A968" s="24"/>
      <c r="B968" s="25"/>
      <c r="C968" s="25"/>
      <c r="D968" s="25"/>
      <c r="E968" s="138"/>
      <c r="F968" s="138"/>
      <c r="G968" s="26"/>
    </row>
    <row r="969" ht="22.5" customHeight="1">
      <c r="A969" s="24"/>
      <c r="B969" s="25"/>
      <c r="C969" s="25"/>
      <c r="D969" s="25"/>
      <c r="E969" s="138"/>
      <c r="F969" s="138"/>
      <c r="G969" s="26"/>
    </row>
    <row r="970" ht="22.5" customHeight="1">
      <c r="A970" s="24"/>
      <c r="B970" s="25"/>
      <c r="C970" s="25"/>
      <c r="D970" s="25"/>
      <c r="E970" s="138"/>
      <c r="F970" s="138"/>
      <c r="G970" s="26"/>
    </row>
    <row r="971" ht="22.5" customHeight="1">
      <c r="A971" s="24"/>
      <c r="B971" s="25"/>
      <c r="C971" s="25"/>
      <c r="D971" s="25"/>
      <c r="E971" s="138"/>
      <c r="F971" s="138"/>
      <c r="G971" s="26"/>
    </row>
    <row r="972" ht="22.5" customHeight="1">
      <c r="A972" s="24"/>
      <c r="B972" s="25"/>
      <c r="C972" s="25"/>
      <c r="D972" s="25"/>
      <c r="E972" s="138"/>
      <c r="F972" s="138"/>
      <c r="G972" s="26"/>
    </row>
    <row r="973" ht="22.5" customHeight="1">
      <c r="A973" s="24"/>
      <c r="B973" s="25"/>
      <c r="C973" s="25"/>
      <c r="D973" s="25"/>
      <c r="E973" s="138"/>
      <c r="F973" s="138"/>
      <c r="G973" s="26"/>
    </row>
    <row r="974" ht="22.5" customHeight="1">
      <c r="A974" s="24"/>
      <c r="B974" s="25"/>
      <c r="C974" s="25"/>
      <c r="D974" s="25"/>
      <c r="E974" s="138"/>
      <c r="F974" s="138"/>
      <c r="G974" s="26"/>
    </row>
    <row r="975" ht="22.5" customHeight="1">
      <c r="A975" s="24"/>
      <c r="B975" s="25"/>
      <c r="C975" s="25"/>
      <c r="D975" s="25"/>
      <c r="E975" s="138"/>
      <c r="F975" s="138"/>
      <c r="G975" s="26"/>
    </row>
    <row r="976" ht="22.5" customHeight="1">
      <c r="A976" s="24"/>
      <c r="B976" s="25"/>
      <c r="C976" s="25"/>
      <c r="D976" s="25"/>
      <c r="E976" s="138"/>
      <c r="F976" s="138"/>
      <c r="G976" s="26"/>
    </row>
    <row r="977" ht="22.5" customHeight="1">
      <c r="A977" s="24"/>
      <c r="B977" s="25"/>
      <c r="C977" s="25"/>
      <c r="D977" s="25"/>
      <c r="E977" s="138"/>
      <c r="F977" s="138"/>
      <c r="G977" s="26"/>
    </row>
    <row r="978" ht="22.5" customHeight="1">
      <c r="A978" s="24"/>
      <c r="B978" s="25"/>
      <c r="C978" s="25"/>
      <c r="D978" s="25"/>
      <c r="E978" s="138"/>
      <c r="F978" s="138"/>
      <c r="G978" s="26"/>
    </row>
    <row r="979" ht="22.5" customHeight="1">
      <c r="A979" s="24"/>
      <c r="B979" s="25"/>
      <c r="C979" s="25"/>
      <c r="D979" s="25"/>
      <c r="E979" s="138"/>
      <c r="F979" s="138"/>
      <c r="G979" s="26"/>
    </row>
    <row r="980" ht="22.5" customHeight="1">
      <c r="A980" s="24"/>
      <c r="B980" s="25"/>
      <c r="C980" s="25"/>
      <c r="D980" s="25"/>
      <c r="E980" s="138"/>
      <c r="F980" s="138"/>
      <c r="G980" s="26"/>
    </row>
    <row r="981" ht="22.5" customHeight="1">
      <c r="A981" s="24"/>
      <c r="B981" s="25"/>
      <c r="C981" s="25"/>
      <c r="D981" s="25"/>
      <c r="E981" s="138"/>
      <c r="F981" s="138"/>
      <c r="G981" s="26"/>
    </row>
    <row r="982" ht="22.5" customHeight="1">
      <c r="A982" s="24"/>
      <c r="B982" s="25"/>
      <c r="C982" s="25"/>
      <c r="D982" s="25"/>
      <c r="E982" s="138"/>
      <c r="F982" s="138"/>
      <c r="G982" s="26"/>
    </row>
    <row r="983" ht="22.5" customHeight="1">
      <c r="A983" s="24"/>
      <c r="B983" s="25"/>
      <c r="C983" s="25"/>
      <c r="D983" s="25"/>
      <c r="E983" s="138"/>
      <c r="F983" s="138"/>
      <c r="G983" s="26"/>
    </row>
    <row r="984" ht="22.5" customHeight="1">
      <c r="A984" s="24"/>
      <c r="B984" s="25"/>
      <c r="C984" s="25"/>
      <c r="D984" s="25"/>
      <c r="E984" s="138"/>
      <c r="F984" s="138"/>
      <c r="G984" s="26"/>
    </row>
    <row r="985" ht="22.5" customHeight="1">
      <c r="A985" s="24"/>
      <c r="B985" s="25"/>
      <c r="C985" s="25"/>
      <c r="D985" s="25"/>
      <c r="E985" s="138"/>
      <c r="F985" s="138"/>
      <c r="G985" s="26"/>
    </row>
    <row r="986" ht="22.5" customHeight="1">
      <c r="A986" s="24"/>
      <c r="B986" s="25"/>
      <c r="C986" s="25"/>
      <c r="D986" s="25"/>
      <c r="E986" s="138"/>
      <c r="F986" s="138"/>
      <c r="G986" s="26"/>
    </row>
    <row r="987" ht="22.5" customHeight="1">
      <c r="A987" s="24"/>
      <c r="B987" s="25"/>
      <c r="C987" s="25"/>
      <c r="D987" s="25"/>
      <c r="E987" s="138"/>
      <c r="F987" s="138"/>
      <c r="G987" s="26"/>
    </row>
    <row r="988" ht="22.5" customHeight="1">
      <c r="A988" s="24"/>
      <c r="B988" s="25"/>
      <c r="C988" s="25"/>
      <c r="D988" s="25"/>
      <c r="E988" s="138"/>
      <c r="F988" s="138"/>
      <c r="G988" s="26"/>
    </row>
    <row r="989" ht="22.5" customHeight="1">
      <c r="A989" s="24"/>
      <c r="B989" s="25"/>
      <c r="C989" s="25"/>
      <c r="D989" s="25"/>
      <c r="E989" s="138"/>
      <c r="F989" s="138"/>
      <c r="G989" s="26"/>
    </row>
    <row r="990" ht="22.5" customHeight="1">
      <c r="A990" s="24"/>
      <c r="B990" s="25"/>
      <c r="C990" s="25"/>
      <c r="D990" s="25"/>
      <c r="E990" s="138"/>
      <c r="F990" s="138"/>
      <c r="G990" s="26"/>
    </row>
    <row r="991" ht="22.5" customHeight="1">
      <c r="A991" s="24"/>
      <c r="B991" s="25"/>
      <c r="C991" s="25"/>
      <c r="D991" s="25"/>
      <c r="E991" s="138"/>
      <c r="F991" s="138"/>
      <c r="G991" s="26"/>
    </row>
    <row r="992" ht="22.5" customHeight="1">
      <c r="A992" s="24"/>
      <c r="B992" s="25"/>
      <c r="C992" s="25"/>
      <c r="D992" s="25"/>
      <c r="E992" s="138"/>
      <c r="F992" s="138"/>
      <c r="G992" s="26"/>
    </row>
    <row r="993" ht="22.5" customHeight="1">
      <c r="A993" s="24"/>
      <c r="B993" s="25"/>
      <c r="C993" s="25"/>
      <c r="D993" s="25"/>
      <c r="E993" s="138"/>
      <c r="F993" s="138"/>
      <c r="G993" s="26"/>
    </row>
    <row r="994" ht="22.5" customHeight="1">
      <c r="A994" s="24"/>
      <c r="B994" s="25"/>
      <c r="C994" s="25"/>
      <c r="D994" s="25"/>
      <c r="E994" s="138"/>
      <c r="F994" s="138"/>
      <c r="G994" s="26"/>
    </row>
    <row r="995" ht="22.5" customHeight="1">
      <c r="A995" s="24"/>
      <c r="B995" s="25"/>
      <c r="C995" s="25"/>
      <c r="D995" s="25"/>
      <c r="E995" s="138"/>
      <c r="F995" s="138"/>
      <c r="G995" s="26"/>
    </row>
    <row r="996" ht="22.5" customHeight="1">
      <c r="A996" s="24"/>
      <c r="B996" s="25"/>
      <c r="C996" s="25"/>
      <c r="D996" s="25"/>
      <c r="E996" s="138"/>
      <c r="F996" s="138"/>
      <c r="G996" s="26"/>
    </row>
    <row r="997" ht="22.5" customHeight="1">
      <c r="A997" s="24"/>
      <c r="B997" s="25"/>
      <c r="C997" s="25"/>
      <c r="D997" s="25"/>
      <c r="E997" s="138"/>
      <c r="F997" s="138"/>
      <c r="G997" s="26"/>
    </row>
    <row r="998" ht="22.5" customHeight="1">
      <c r="A998" s="24"/>
      <c r="B998" s="25"/>
      <c r="C998" s="25"/>
      <c r="D998" s="25"/>
      <c r="E998" s="138"/>
      <c r="F998" s="138"/>
      <c r="G998" s="26"/>
    </row>
    <row r="999" ht="22.5" customHeight="1">
      <c r="A999" s="24"/>
      <c r="B999" s="25"/>
      <c r="C999" s="25"/>
      <c r="D999" s="25"/>
      <c r="E999" s="138"/>
      <c r="F999" s="138"/>
      <c r="G999" s="26"/>
    </row>
    <row r="1000" ht="22.5" customHeight="1">
      <c r="A1000" s="24"/>
      <c r="B1000" s="25"/>
      <c r="C1000" s="25"/>
      <c r="D1000" s="25"/>
      <c r="E1000" s="138"/>
      <c r="F1000" s="138"/>
      <c r="G1000" s="26"/>
    </row>
    <row r="1001" ht="22.5" customHeight="1">
      <c r="A1001" s="24"/>
      <c r="B1001" s="25"/>
      <c r="C1001" s="25"/>
      <c r="D1001" s="25"/>
      <c r="E1001" s="138"/>
      <c r="F1001" s="138"/>
      <c r="G1001" s="26"/>
    </row>
    <row r="1002" ht="22.5" customHeight="1">
      <c r="A1002" s="24"/>
      <c r="B1002" s="25"/>
      <c r="C1002" s="25"/>
      <c r="D1002" s="25"/>
      <c r="E1002" s="138"/>
      <c r="F1002" s="138"/>
      <c r="G1002" s="26"/>
    </row>
    <row r="1003" ht="22.5" customHeight="1">
      <c r="A1003" s="24"/>
      <c r="B1003" s="25"/>
      <c r="C1003" s="25"/>
      <c r="D1003" s="25"/>
      <c r="E1003" s="138"/>
      <c r="F1003" s="138"/>
      <c r="G1003" s="26"/>
    </row>
    <row r="1004" ht="22.5" customHeight="1">
      <c r="A1004" s="24"/>
      <c r="B1004" s="25"/>
      <c r="C1004" s="25"/>
      <c r="D1004" s="25"/>
      <c r="E1004" s="138"/>
      <c r="F1004" s="138"/>
      <c r="G1004" s="26"/>
    </row>
    <row r="1005" ht="22.5" customHeight="1">
      <c r="A1005" s="24"/>
      <c r="B1005" s="25"/>
      <c r="C1005" s="25"/>
      <c r="D1005" s="25"/>
      <c r="E1005" s="138"/>
      <c r="F1005" s="138"/>
      <c r="G1005" s="26"/>
    </row>
    <row r="1006" ht="22.5" customHeight="1">
      <c r="A1006" s="24"/>
      <c r="B1006" s="25"/>
      <c r="C1006" s="25"/>
      <c r="D1006" s="25"/>
      <c r="E1006" s="138"/>
      <c r="F1006" s="138"/>
      <c r="G1006" s="26"/>
    </row>
    <row r="1007" ht="22.5" customHeight="1">
      <c r="A1007" s="24"/>
      <c r="B1007" s="25"/>
      <c r="C1007" s="25"/>
      <c r="D1007" s="25"/>
      <c r="E1007" s="138"/>
      <c r="F1007" s="138"/>
      <c r="G1007" s="26"/>
    </row>
    <row r="1008" ht="22.5" customHeight="1">
      <c r="A1008" s="24"/>
      <c r="B1008" s="25"/>
      <c r="C1008" s="25"/>
      <c r="D1008" s="25"/>
      <c r="E1008" s="138"/>
      <c r="F1008" s="138"/>
      <c r="G1008" s="26"/>
    </row>
    <row r="1009" ht="22.5" customHeight="1">
      <c r="A1009" s="24"/>
      <c r="B1009" s="25"/>
      <c r="C1009" s="25"/>
      <c r="D1009" s="25"/>
      <c r="E1009" s="138"/>
      <c r="F1009" s="138"/>
      <c r="G1009" s="26"/>
    </row>
    <row r="1010" ht="22.5" customHeight="1">
      <c r="A1010" s="24"/>
      <c r="B1010" s="25"/>
      <c r="C1010" s="25"/>
      <c r="D1010" s="25"/>
      <c r="E1010" s="138"/>
      <c r="F1010" s="138"/>
      <c r="G1010" s="26"/>
    </row>
    <row r="1011" ht="22.5" customHeight="1">
      <c r="A1011" s="24"/>
      <c r="B1011" s="25"/>
      <c r="C1011" s="25"/>
      <c r="D1011" s="25"/>
      <c r="E1011" s="138"/>
      <c r="F1011" s="138"/>
      <c r="G1011" s="26"/>
    </row>
    <row r="1012" ht="22.5" customHeight="1">
      <c r="A1012" s="24"/>
      <c r="B1012" s="25"/>
      <c r="C1012" s="25"/>
      <c r="D1012" s="25"/>
      <c r="E1012" s="138"/>
      <c r="F1012" s="138"/>
      <c r="G1012" s="26"/>
    </row>
    <row r="1013" ht="22.5" customHeight="1">
      <c r="A1013" s="24"/>
      <c r="B1013" s="25"/>
      <c r="C1013" s="25"/>
      <c r="D1013" s="25"/>
      <c r="E1013" s="138"/>
      <c r="F1013" s="138"/>
      <c r="G1013" s="26"/>
    </row>
    <row r="1014" ht="22.5" customHeight="1">
      <c r="A1014" s="24"/>
      <c r="B1014" s="25"/>
      <c r="C1014" s="25"/>
      <c r="D1014" s="25"/>
      <c r="E1014" s="138"/>
      <c r="F1014" s="138"/>
      <c r="G1014" s="26"/>
    </row>
    <row r="1015" ht="22.5" customHeight="1">
      <c r="A1015" s="24"/>
      <c r="B1015" s="25"/>
      <c r="C1015" s="25"/>
      <c r="D1015" s="25"/>
      <c r="E1015" s="138"/>
      <c r="F1015" s="138"/>
      <c r="G1015" s="26"/>
    </row>
    <row r="1016" ht="22.5" customHeight="1">
      <c r="A1016" s="24"/>
      <c r="B1016" s="25"/>
      <c r="C1016" s="25"/>
      <c r="D1016" s="25"/>
      <c r="E1016" s="138"/>
      <c r="F1016" s="138"/>
      <c r="G1016" s="26"/>
    </row>
    <row r="1017" ht="22.5" customHeight="1">
      <c r="A1017" s="24"/>
      <c r="B1017" s="25"/>
      <c r="C1017" s="25"/>
      <c r="D1017" s="25"/>
      <c r="E1017" s="138"/>
      <c r="F1017" s="138"/>
      <c r="G1017" s="26"/>
    </row>
    <row r="1018" ht="22.5" customHeight="1">
      <c r="A1018" s="24"/>
      <c r="B1018" s="25"/>
      <c r="C1018" s="25"/>
      <c r="D1018" s="25"/>
      <c r="E1018" s="138"/>
      <c r="F1018" s="138"/>
      <c r="G1018" s="26"/>
    </row>
    <row r="1019" ht="22.5" customHeight="1">
      <c r="A1019" s="24"/>
      <c r="B1019" s="25"/>
      <c r="C1019" s="25"/>
      <c r="D1019" s="25"/>
      <c r="E1019" s="138"/>
      <c r="F1019" s="138"/>
      <c r="G1019" s="26"/>
    </row>
    <row r="1020" ht="22.5" customHeight="1">
      <c r="A1020" s="24"/>
      <c r="B1020" s="25"/>
      <c r="C1020" s="25"/>
      <c r="D1020" s="25"/>
      <c r="E1020" s="138"/>
      <c r="F1020" s="138"/>
      <c r="G1020" s="26"/>
    </row>
    <row r="1021" ht="22.5" customHeight="1">
      <c r="A1021" s="24"/>
      <c r="B1021" s="25"/>
      <c r="C1021" s="25"/>
      <c r="D1021" s="25"/>
      <c r="E1021" s="138"/>
      <c r="F1021" s="138"/>
      <c r="G1021" s="26"/>
    </row>
    <row r="1022" ht="22.5" customHeight="1">
      <c r="A1022" s="24"/>
      <c r="B1022" s="25"/>
      <c r="C1022" s="25"/>
      <c r="D1022" s="25"/>
      <c r="E1022" s="138"/>
      <c r="F1022" s="138"/>
      <c r="G1022" s="26"/>
    </row>
    <row r="1023" ht="22.5" customHeight="1">
      <c r="A1023" s="24"/>
      <c r="B1023" s="25"/>
      <c r="C1023" s="25"/>
      <c r="D1023" s="25"/>
      <c r="E1023" s="138"/>
      <c r="F1023" s="138"/>
      <c r="G1023" s="26"/>
    </row>
    <row r="1024" ht="22.5" customHeight="1">
      <c r="A1024" s="24"/>
      <c r="B1024" s="25"/>
      <c r="C1024" s="25"/>
      <c r="D1024" s="25"/>
      <c r="E1024" s="138"/>
      <c r="F1024" s="138"/>
      <c r="G1024" s="26"/>
    </row>
    <row r="1025" ht="22.5" customHeight="1">
      <c r="A1025" s="24"/>
      <c r="B1025" s="25"/>
      <c r="C1025" s="25"/>
      <c r="D1025" s="25"/>
      <c r="E1025" s="138"/>
      <c r="F1025" s="138"/>
      <c r="G1025" s="26"/>
    </row>
    <row r="1026" ht="22.5" customHeight="1">
      <c r="A1026" s="24"/>
      <c r="B1026" s="25"/>
      <c r="C1026" s="25"/>
      <c r="D1026" s="25"/>
      <c r="E1026" s="138"/>
      <c r="F1026" s="138"/>
      <c r="G1026" s="26"/>
    </row>
    <row r="1027" ht="22.5" customHeight="1">
      <c r="A1027" s="24"/>
      <c r="B1027" s="25"/>
      <c r="C1027" s="25"/>
      <c r="D1027" s="25"/>
      <c r="E1027" s="138"/>
      <c r="F1027" s="138"/>
      <c r="G1027" s="26"/>
    </row>
    <row r="1028" ht="22.5" customHeight="1">
      <c r="A1028" s="24"/>
      <c r="B1028" s="25"/>
      <c r="C1028" s="25"/>
      <c r="D1028" s="25"/>
      <c r="E1028" s="138"/>
      <c r="F1028" s="138"/>
      <c r="G1028" s="26"/>
    </row>
    <row r="1029" ht="22.5" customHeight="1">
      <c r="A1029" s="24"/>
      <c r="B1029" s="25"/>
      <c r="C1029" s="25"/>
      <c r="D1029" s="25"/>
      <c r="E1029" s="138"/>
      <c r="F1029" s="138"/>
      <c r="G1029" s="26"/>
    </row>
    <row r="1030" ht="22.5" customHeight="1">
      <c r="A1030" s="24"/>
      <c r="B1030" s="25"/>
      <c r="C1030" s="25"/>
      <c r="D1030" s="25"/>
      <c r="E1030" s="138"/>
      <c r="F1030" s="138"/>
      <c r="G1030" s="26"/>
    </row>
    <row r="1031" ht="22.5" customHeight="1">
      <c r="A1031" s="24"/>
      <c r="B1031" s="25"/>
      <c r="C1031" s="25"/>
      <c r="D1031" s="25"/>
      <c r="E1031" s="138"/>
      <c r="F1031" s="138"/>
      <c r="G1031" s="26"/>
    </row>
    <row r="1032" ht="22.5" customHeight="1">
      <c r="A1032" s="24"/>
      <c r="B1032" s="25"/>
      <c r="C1032" s="25"/>
      <c r="D1032" s="25"/>
      <c r="E1032" s="138"/>
      <c r="F1032" s="138"/>
      <c r="G1032" s="26"/>
    </row>
    <row r="1033" ht="22.5" customHeight="1">
      <c r="A1033" s="24"/>
      <c r="B1033" s="25"/>
      <c r="C1033" s="25"/>
      <c r="D1033" s="25"/>
      <c r="E1033" s="138"/>
      <c r="F1033" s="138"/>
      <c r="G1033" s="26"/>
    </row>
    <row r="1034" ht="22.5" customHeight="1">
      <c r="A1034" s="24"/>
      <c r="B1034" s="25"/>
      <c r="C1034" s="25"/>
      <c r="D1034" s="25"/>
      <c r="E1034" s="138"/>
      <c r="F1034" s="138"/>
      <c r="G1034" s="26"/>
    </row>
    <row r="1035" ht="22.5" customHeight="1">
      <c r="A1035" s="24"/>
      <c r="B1035" s="25"/>
      <c r="C1035" s="25"/>
      <c r="D1035" s="25"/>
      <c r="E1035" s="138"/>
      <c r="F1035" s="138"/>
      <c r="G1035" s="26"/>
    </row>
    <row r="1036" ht="22.5" customHeight="1">
      <c r="A1036" s="24"/>
      <c r="B1036" s="25"/>
      <c r="C1036" s="25"/>
      <c r="D1036" s="25"/>
      <c r="E1036" s="138"/>
      <c r="F1036" s="138"/>
      <c r="G1036" s="26"/>
    </row>
    <row r="1037" ht="22.5" customHeight="1">
      <c r="A1037" s="24"/>
      <c r="B1037" s="25"/>
      <c r="C1037" s="25"/>
      <c r="D1037" s="25"/>
      <c r="E1037" s="138"/>
      <c r="F1037" s="138"/>
      <c r="G1037" s="26"/>
    </row>
    <row r="1038" ht="22.5" customHeight="1">
      <c r="A1038" s="24"/>
      <c r="B1038" s="25"/>
      <c r="C1038" s="25"/>
      <c r="D1038" s="25"/>
      <c r="E1038" s="138"/>
      <c r="F1038" s="138"/>
      <c r="G1038" s="26"/>
    </row>
    <row r="1039" ht="22.5" customHeight="1">
      <c r="A1039" s="24"/>
      <c r="B1039" s="25"/>
      <c r="C1039" s="25"/>
      <c r="D1039" s="25"/>
      <c r="E1039" s="138"/>
      <c r="F1039" s="138"/>
      <c r="G1039" s="26"/>
    </row>
    <row r="1040" ht="22.5" customHeight="1">
      <c r="A1040" s="24"/>
      <c r="B1040" s="25"/>
      <c r="C1040" s="25"/>
      <c r="D1040" s="25"/>
      <c r="E1040" s="138"/>
      <c r="F1040" s="138"/>
      <c r="G1040" s="26"/>
    </row>
    <row r="1041" ht="22.5" customHeight="1">
      <c r="A1041" s="24"/>
      <c r="B1041" s="25"/>
      <c r="C1041" s="25"/>
      <c r="D1041" s="25"/>
      <c r="E1041" s="138"/>
      <c r="F1041" s="138"/>
      <c r="G1041" s="26"/>
    </row>
    <row r="1042" ht="22.5" customHeight="1">
      <c r="A1042" s="24"/>
      <c r="B1042" s="25"/>
      <c r="C1042" s="25"/>
      <c r="D1042" s="25"/>
      <c r="E1042" s="138"/>
      <c r="F1042" s="138"/>
      <c r="G1042" s="26"/>
    </row>
    <row r="1043" ht="22.5" customHeight="1">
      <c r="A1043" s="24"/>
      <c r="B1043" s="25"/>
      <c r="C1043" s="25"/>
      <c r="D1043" s="25"/>
      <c r="E1043" s="138"/>
      <c r="F1043" s="138"/>
      <c r="G1043" s="26"/>
    </row>
    <row r="1044" ht="22.5" customHeight="1">
      <c r="A1044" s="24"/>
      <c r="B1044" s="25"/>
      <c r="C1044" s="25"/>
      <c r="D1044" s="25"/>
      <c r="E1044" s="138"/>
      <c r="F1044" s="138"/>
      <c r="G1044" s="26"/>
    </row>
    <row r="1045" ht="22.5" customHeight="1">
      <c r="A1045" s="24"/>
      <c r="B1045" s="25"/>
      <c r="C1045" s="25"/>
      <c r="D1045" s="25"/>
      <c r="E1045" s="138"/>
      <c r="F1045" s="138"/>
      <c r="G1045" s="26"/>
    </row>
    <row r="1046" ht="22.5" customHeight="1">
      <c r="A1046" s="24"/>
      <c r="B1046" s="25"/>
      <c r="C1046" s="25"/>
      <c r="D1046" s="25"/>
      <c r="E1046" s="138"/>
      <c r="F1046" s="138"/>
      <c r="G1046" s="26"/>
    </row>
    <row r="1047" ht="22.5" customHeight="1">
      <c r="A1047" s="24"/>
      <c r="B1047" s="25"/>
      <c r="C1047" s="25"/>
      <c r="D1047" s="25"/>
      <c r="E1047" s="138"/>
      <c r="F1047" s="138"/>
      <c r="G1047" s="26"/>
    </row>
    <row r="1048" ht="22.5" customHeight="1">
      <c r="A1048" s="24"/>
      <c r="B1048" s="25"/>
      <c r="C1048" s="25"/>
      <c r="D1048" s="25"/>
      <c r="E1048" s="138"/>
      <c r="F1048" s="138"/>
      <c r="G1048" s="26"/>
    </row>
    <row r="1049" ht="22.5" customHeight="1">
      <c r="A1049" s="24"/>
      <c r="B1049" s="25"/>
      <c r="C1049" s="25"/>
      <c r="D1049" s="25"/>
      <c r="E1049" s="138"/>
      <c r="F1049" s="138"/>
      <c r="G1049" s="26"/>
    </row>
    <row r="1050" ht="22.5" customHeight="1">
      <c r="A1050" s="24"/>
      <c r="B1050" s="25"/>
      <c r="C1050" s="25"/>
      <c r="D1050" s="25"/>
      <c r="E1050" s="138"/>
      <c r="F1050" s="138"/>
      <c r="G1050" s="26"/>
    </row>
    <row r="1051" ht="22.5" customHeight="1">
      <c r="A1051" s="24"/>
      <c r="B1051" s="25"/>
      <c r="C1051" s="25"/>
      <c r="D1051" s="25"/>
      <c r="E1051" s="138"/>
      <c r="F1051" s="138"/>
      <c r="G1051" s="26"/>
    </row>
    <row r="1052" ht="22.5" customHeight="1">
      <c r="A1052" s="24"/>
      <c r="B1052" s="25"/>
      <c r="C1052" s="25"/>
      <c r="D1052" s="25"/>
      <c r="E1052" s="138"/>
      <c r="F1052" s="138"/>
      <c r="G1052" s="26"/>
    </row>
    <row r="1053" ht="22.5" customHeight="1">
      <c r="A1053" s="24"/>
      <c r="B1053" s="25"/>
      <c r="C1053" s="25"/>
      <c r="D1053" s="25"/>
      <c r="E1053" s="138"/>
      <c r="F1053" s="138"/>
      <c r="G1053" s="26"/>
    </row>
    <row r="1054" ht="22.5" customHeight="1">
      <c r="A1054" s="24"/>
      <c r="B1054" s="25"/>
      <c r="C1054" s="25"/>
      <c r="D1054" s="25"/>
      <c r="E1054" s="138"/>
      <c r="F1054" s="138"/>
      <c r="G1054" s="26"/>
    </row>
    <row r="1055" ht="22.5" customHeight="1">
      <c r="A1055" s="24"/>
      <c r="B1055" s="25"/>
      <c r="C1055" s="25"/>
      <c r="D1055" s="25"/>
      <c r="E1055" s="138"/>
      <c r="F1055" s="138"/>
      <c r="G1055" s="26"/>
    </row>
    <row r="1056" ht="22.5" customHeight="1">
      <c r="A1056" s="24"/>
      <c r="B1056" s="25"/>
      <c r="C1056" s="25"/>
      <c r="D1056" s="25"/>
      <c r="E1056" s="138"/>
      <c r="F1056" s="138"/>
      <c r="G1056" s="26"/>
    </row>
    <row r="1057" ht="22.5" customHeight="1">
      <c r="A1057" s="24"/>
      <c r="B1057" s="25"/>
      <c r="C1057" s="25"/>
      <c r="D1057" s="25"/>
      <c r="E1057" s="138"/>
      <c r="F1057" s="138"/>
      <c r="G1057" s="26"/>
    </row>
    <row r="1058" ht="22.5" customHeight="1">
      <c r="A1058" s="24"/>
      <c r="B1058" s="25"/>
      <c r="C1058" s="25"/>
      <c r="D1058" s="25"/>
      <c r="E1058" s="138"/>
      <c r="F1058" s="138"/>
      <c r="G1058" s="26"/>
    </row>
    <row r="1059" ht="22.5" customHeight="1">
      <c r="A1059" s="24"/>
      <c r="B1059" s="25"/>
      <c r="C1059" s="25"/>
      <c r="D1059" s="25"/>
      <c r="E1059" s="138"/>
      <c r="F1059" s="138"/>
      <c r="G1059" s="26"/>
    </row>
    <row r="1060" ht="22.5" customHeight="1">
      <c r="A1060" s="24"/>
      <c r="B1060" s="25"/>
      <c r="C1060" s="25"/>
      <c r="D1060" s="25"/>
      <c r="E1060" s="138"/>
      <c r="F1060" s="138"/>
      <c r="G1060" s="26"/>
    </row>
    <row r="1061" ht="22.5" customHeight="1">
      <c r="A1061" s="24"/>
      <c r="B1061" s="25"/>
      <c r="C1061" s="25"/>
      <c r="D1061" s="25"/>
      <c r="E1061" s="138"/>
      <c r="F1061" s="138"/>
      <c r="G1061" s="26"/>
    </row>
    <row r="1062" ht="22.5" customHeight="1">
      <c r="A1062" s="24"/>
      <c r="B1062" s="25"/>
      <c r="C1062" s="25"/>
      <c r="D1062" s="25"/>
      <c r="E1062" s="138"/>
      <c r="F1062" s="138"/>
      <c r="G1062" s="26"/>
    </row>
    <row r="1063" ht="22.5" customHeight="1">
      <c r="A1063" s="24"/>
      <c r="B1063" s="25"/>
      <c r="C1063" s="25"/>
      <c r="D1063" s="25"/>
      <c r="E1063" s="138"/>
      <c r="F1063" s="138"/>
      <c r="G1063" s="26"/>
    </row>
    <row r="1064" ht="22.5" customHeight="1">
      <c r="A1064" s="24"/>
      <c r="B1064" s="25"/>
      <c r="C1064" s="25"/>
      <c r="D1064" s="25"/>
      <c r="E1064" s="138"/>
      <c r="F1064" s="138"/>
      <c r="G1064" s="26"/>
    </row>
    <row r="1065" ht="22.5" customHeight="1">
      <c r="A1065" s="24"/>
      <c r="B1065" s="25"/>
      <c r="C1065" s="25"/>
      <c r="D1065" s="25"/>
      <c r="E1065" s="138"/>
      <c r="F1065" s="138"/>
      <c r="G1065" s="26"/>
    </row>
    <row r="1066" ht="22.5" customHeight="1">
      <c r="A1066" s="24"/>
      <c r="B1066" s="25"/>
      <c r="C1066" s="25"/>
      <c r="D1066" s="25"/>
      <c r="E1066" s="138"/>
      <c r="F1066" s="138"/>
      <c r="G1066" s="26"/>
    </row>
    <row r="1067" ht="22.5" customHeight="1">
      <c r="A1067" s="24"/>
      <c r="B1067" s="25"/>
      <c r="C1067" s="25"/>
      <c r="D1067" s="25"/>
      <c r="E1067" s="138"/>
      <c r="F1067" s="138"/>
      <c r="G1067" s="26"/>
    </row>
    <row r="1068" ht="22.5" customHeight="1">
      <c r="A1068" s="24"/>
      <c r="B1068" s="25"/>
      <c r="C1068" s="25"/>
      <c r="D1068" s="25"/>
      <c r="E1068" s="138"/>
      <c r="F1068" s="138"/>
      <c r="G1068" s="26"/>
    </row>
    <row r="1069" ht="22.5" customHeight="1">
      <c r="A1069" s="24"/>
      <c r="B1069" s="25"/>
      <c r="C1069" s="25"/>
      <c r="D1069" s="25"/>
      <c r="E1069" s="138"/>
      <c r="F1069" s="138"/>
      <c r="G1069" s="26"/>
    </row>
    <row r="1070" ht="22.5" customHeight="1">
      <c r="A1070" s="24"/>
      <c r="B1070" s="25"/>
      <c r="C1070" s="25"/>
      <c r="D1070" s="25"/>
      <c r="E1070" s="138"/>
      <c r="F1070" s="138"/>
      <c r="G1070" s="26"/>
    </row>
    <row r="1071" ht="22.5" customHeight="1">
      <c r="A1071" s="24"/>
      <c r="B1071" s="25"/>
      <c r="C1071" s="25"/>
      <c r="D1071" s="25"/>
      <c r="E1071" s="138"/>
      <c r="F1071" s="138"/>
      <c r="G1071" s="26"/>
    </row>
    <row r="1072" ht="22.5" customHeight="1">
      <c r="A1072" s="24"/>
      <c r="B1072" s="25"/>
      <c r="C1072" s="25"/>
      <c r="D1072" s="25"/>
      <c r="E1072" s="138"/>
      <c r="F1072" s="138"/>
      <c r="G1072" s="26"/>
    </row>
    <row r="1073" ht="22.5" customHeight="1">
      <c r="A1073" s="24"/>
      <c r="B1073" s="25"/>
      <c r="C1073" s="25"/>
      <c r="D1073" s="25"/>
      <c r="E1073" s="138"/>
      <c r="F1073" s="138"/>
      <c r="G1073" s="26"/>
    </row>
    <row r="1074" ht="22.5" customHeight="1">
      <c r="A1074" s="24"/>
      <c r="B1074" s="25"/>
      <c r="C1074" s="25"/>
      <c r="D1074" s="25"/>
      <c r="E1074" s="138"/>
      <c r="F1074" s="138"/>
      <c r="G1074" s="26"/>
    </row>
    <row r="1075" ht="22.5" customHeight="1">
      <c r="A1075" s="24"/>
      <c r="B1075" s="25"/>
      <c r="C1075" s="25"/>
      <c r="D1075" s="25"/>
      <c r="E1075" s="138"/>
      <c r="F1075" s="138"/>
      <c r="G1075" s="26"/>
    </row>
    <row r="1076" ht="22.5" customHeight="1">
      <c r="A1076" s="24"/>
      <c r="B1076" s="25"/>
      <c r="C1076" s="25"/>
      <c r="D1076" s="25"/>
      <c r="E1076" s="138"/>
      <c r="F1076" s="138"/>
      <c r="G1076" s="26"/>
    </row>
    <row r="1077" ht="22.5" customHeight="1">
      <c r="A1077" s="24"/>
      <c r="B1077" s="25"/>
      <c r="C1077" s="25"/>
      <c r="D1077" s="25"/>
      <c r="E1077" s="138"/>
      <c r="F1077" s="138"/>
      <c r="G1077" s="26"/>
    </row>
    <row r="1078" ht="22.5" customHeight="1">
      <c r="A1078" s="24"/>
      <c r="B1078" s="25"/>
      <c r="C1078" s="25"/>
      <c r="D1078" s="25"/>
      <c r="E1078" s="138"/>
      <c r="F1078" s="138"/>
      <c r="G1078" s="26"/>
    </row>
    <row r="1079" ht="22.5" customHeight="1">
      <c r="A1079" s="24"/>
      <c r="B1079" s="25"/>
      <c r="C1079" s="25"/>
      <c r="D1079" s="25"/>
      <c r="E1079" s="138"/>
      <c r="F1079" s="138"/>
      <c r="G1079" s="26"/>
    </row>
    <row r="1080" ht="22.5" customHeight="1">
      <c r="A1080" s="24"/>
      <c r="B1080" s="25"/>
      <c r="C1080" s="25"/>
      <c r="D1080" s="25"/>
      <c r="E1080" s="138"/>
      <c r="F1080" s="138"/>
      <c r="G1080" s="26"/>
    </row>
    <row r="1081" ht="22.5" customHeight="1">
      <c r="A1081" s="24"/>
      <c r="B1081" s="25"/>
      <c r="C1081" s="25"/>
      <c r="D1081" s="25"/>
      <c r="E1081" s="138"/>
      <c r="F1081" s="138"/>
      <c r="G1081" s="26"/>
    </row>
    <row r="1082" ht="22.5" customHeight="1">
      <c r="A1082" s="24"/>
      <c r="B1082" s="25"/>
      <c r="C1082" s="25"/>
      <c r="D1082" s="25"/>
      <c r="E1082" s="138"/>
      <c r="F1082" s="138"/>
      <c r="G1082" s="26"/>
    </row>
  </sheetData>
  <dataValidations>
    <dataValidation type="custom" allowBlank="1" showDropDown="1" sqref="A2:A1082">
      <formula1>OR(NOT(ISERROR(DATEVALUE(A2))), AND(ISNUMBER(A2), LEFT(CELL("format", A2))="D"))</formula1>
    </dataValidation>
    <dataValidation allowBlank="1" showDropDown="1" sqref="G2:G1082"/>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D52"/>
    <hyperlink r:id="rId51" ref="F52"/>
    <hyperlink r:id="rId52" ref="D53"/>
    <hyperlink r:id="rId53" ref="F53"/>
    <hyperlink r:id="rId54" ref="F54"/>
    <hyperlink r:id="rId55" ref="F55"/>
    <hyperlink r:id="rId56" ref="F56"/>
    <hyperlink r:id="rId57" ref="F60"/>
    <hyperlink r:id="rId58" ref="F61"/>
    <hyperlink r:id="rId59" ref="F62"/>
    <hyperlink r:id="rId60" ref="F63"/>
    <hyperlink r:id="rId61" ref="F64"/>
    <hyperlink r:id="rId62" ref="F65"/>
    <hyperlink r:id="rId63" ref="F66"/>
    <hyperlink r:id="rId64" ref="F67"/>
    <hyperlink r:id="rId65" ref="F68"/>
    <hyperlink r:id="rId66" ref="F69"/>
    <hyperlink r:id="rId67" ref="F70"/>
    <hyperlink r:id="rId68" ref="F71"/>
    <hyperlink r:id="rId69" ref="F72"/>
    <hyperlink r:id="rId70" ref="F73"/>
    <hyperlink r:id="rId71" ref="F74"/>
    <hyperlink r:id="rId72" ref="F75"/>
    <hyperlink r:id="rId73" ref="F76"/>
    <hyperlink r:id="rId74" ref="F77"/>
    <hyperlink r:id="rId75" ref="F78"/>
    <hyperlink r:id="rId76" ref="F79"/>
    <hyperlink r:id="rId77" ref="F80"/>
    <hyperlink r:id="rId78" ref="F82"/>
    <hyperlink r:id="rId79" ref="F83"/>
    <hyperlink r:id="rId80" ref="F84"/>
    <hyperlink r:id="rId81" ref="F85"/>
    <hyperlink r:id="rId82" ref="F86"/>
  </hyperlinks>
  <drawing r:id="rId83"/>
  <tableParts count="1">
    <tablePart r:id="rId8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2.0"/>
    <col customWidth="1" min="3" max="3" width="10.63"/>
    <col customWidth="1" min="4" max="4" width="52.13"/>
    <col customWidth="1" min="5" max="5" width="15.13"/>
    <col customWidth="1" min="6" max="6" width="22.38"/>
    <col customWidth="1" min="7" max="7" width="32.63"/>
  </cols>
  <sheetData>
    <row r="1" ht="66.0" customHeight="1">
      <c r="A1" s="3" t="s">
        <v>1433</v>
      </c>
      <c r="B1" s="27" t="s">
        <v>1571</v>
      </c>
      <c r="C1" s="3" t="s">
        <v>584</v>
      </c>
      <c r="D1" s="27" t="s">
        <v>32</v>
      </c>
      <c r="E1" s="27" t="s">
        <v>33</v>
      </c>
      <c r="F1" s="27" t="s">
        <v>34</v>
      </c>
      <c r="G1" s="3" t="s">
        <v>8</v>
      </c>
    </row>
    <row r="2" ht="22.5" customHeight="1">
      <c r="A2" s="131">
        <v>45856.0</v>
      </c>
      <c r="B2" s="132"/>
      <c r="C2" s="133"/>
      <c r="D2" s="209" t="s">
        <v>86</v>
      </c>
      <c r="E2" s="190"/>
      <c r="F2" s="35"/>
      <c r="G2" s="190" t="s">
        <v>939</v>
      </c>
    </row>
    <row r="3" ht="22.5" customHeight="1">
      <c r="A3" s="5">
        <v>45859.0</v>
      </c>
      <c r="B3" s="28">
        <v>8.0</v>
      </c>
      <c r="C3" s="6"/>
      <c r="D3" s="68" t="s">
        <v>1922</v>
      </c>
      <c r="E3" s="29" t="s">
        <v>1576</v>
      </c>
      <c r="F3" s="32" t="s">
        <v>1923</v>
      </c>
      <c r="G3" s="7"/>
    </row>
    <row r="4" ht="22.5" customHeight="1">
      <c r="A4" s="5">
        <v>45860.0</v>
      </c>
      <c r="B4" s="28">
        <v>8.0</v>
      </c>
      <c r="C4" s="6"/>
      <c r="D4" s="68" t="s">
        <v>1922</v>
      </c>
      <c r="E4" s="29" t="s">
        <v>1576</v>
      </c>
      <c r="F4" s="32" t="s">
        <v>1924</v>
      </c>
      <c r="G4" s="7"/>
    </row>
    <row r="5" ht="22.5" customHeight="1">
      <c r="A5" s="5">
        <v>45861.0</v>
      </c>
      <c r="B5" s="28">
        <v>8.0</v>
      </c>
      <c r="C5" s="6"/>
      <c r="D5" s="68" t="s">
        <v>1925</v>
      </c>
      <c r="E5" s="8" t="s">
        <v>1926</v>
      </c>
      <c r="F5" s="32" t="s">
        <v>1927</v>
      </c>
      <c r="G5" s="7"/>
    </row>
    <row r="6" ht="22.5" customHeight="1">
      <c r="A6" s="5">
        <v>45862.0</v>
      </c>
      <c r="B6" s="33">
        <v>8.0</v>
      </c>
      <c r="C6" s="6"/>
      <c r="D6" s="68" t="s">
        <v>1928</v>
      </c>
      <c r="E6" s="8" t="s">
        <v>1606</v>
      </c>
      <c r="F6" s="32" t="s">
        <v>1929</v>
      </c>
      <c r="G6" s="13"/>
    </row>
    <row r="7" ht="22.5" customHeight="1">
      <c r="A7" s="5">
        <v>45863.0</v>
      </c>
      <c r="B7" s="33">
        <v>8.0</v>
      </c>
      <c r="C7" s="6"/>
      <c r="D7" s="68" t="s">
        <v>1930</v>
      </c>
      <c r="E7" s="8" t="s">
        <v>1931</v>
      </c>
      <c r="F7" s="32" t="s">
        <v>1932</v>
      </c>
      <c r="G7" s="13"/>
    </row>
    <row r="8" ht="22.5" customHeight="1">
      <c r="A8" s="5">
        <v>45866.0</v>
      </c>
      <c r="B8" s="33">
        <v>8.0</v>
      </c>
      <c r="C8" s="6"/>
      <c r="D8" s="68" t="s">
        <v>1933</v>
      </c>
      <c r="E8" s="12" t="s">
        <v>1934</v>
      </c>
      <c r="F8" s="32" t="s">
        <v>1935</v>
      </c>
      <c r="G8" s="13"/>
    </row>
    <row r="9" ht="22.5" customHeight="1">
      <c r="A9" s="5">
        <v>45867.0</v>
      </c>
      <c r="B9" s="33">
        <v>8.0</v>
      </c>
      <c r="C9" s="6"/>
      <c r="D9" s="68" t="s">
        <v>1936</v>
      </c>
      <c r="E9" s="12" t="s">
        <v>1934</v>
      </c>
      <c r="F9" s="32" t="s">
        <v>1937</v>
      </c>
      <c r="G9" s="13"/>
    </row>
    <row r="10" ht="22.5" customHeight="1">
      <c r="A10" s="5">
        <v>45868.0</v>
      </c>
      <c r="B10" s="33">
        <v>8.0</v>
      </c>
      <c r="C10" s="6"/>
      <c r="D10" s="68" t="s">
        <v>1938</v>
      </c>
      <c r="E10" s="12" t="s">
        <v>1934</v>
      </c>
      <c r="F10" s="32" t="s">
        <v>1939</v>
      </c>
      <c r="G10" s="13"/>
    </row>
    <row r="11" ht="22.5" customHeight="1">
      <c r="A11" s="5">
        <v>45869.0</v>
      </c>
      <c r="B11" s="33">
        <v>8.0</v>
      </c>
      <c r="C11" s="12"/>
      <c r="D11" s="68" t="s">
        <v>1940</v>
      </c>
      <c r="E11" s="12" t="s">
        <v>1934</v>
      </c>
      <c r="F11" s="32" t="s">
        <v>1941</v>
      </c>
      <c r="G11" s="7"/>
    </row>
    <row r="12" ht="22.5" customHeight="1">
      <c r="A12" s="5">
        <v>45870.0</v>
      </c>
      <c r="B12" s="33">
        <v>8.0</v>
      </c>
      <c r="C12" s="12"/>
      <c r="D12" s="68" t="s">
        <v>1942</v>
      </c>
      <c r="E12" s="12" t="s">
        <v>1934</v>
      </c>
      <c r="F12" s="32" t="s">
        <v>1943</v>
      </c>
      <c r="G12" s="7"/>
    </row>
    <row r="13" ht="22.5" customHeight="1">
      <c r="A13" s="5">
        <v>45873.0</v>
      </c>
      <c r="B13" s="33">
        <v>8.0</v>
      </c>
      <c r="C13" s="12"/>
      <c r="D13" s="49" t="s">
        <v>1944</v>
      </c>
      <c r="E13" s="12" t="s">
        <v>1934</v>
      </c>
      <c r="F13" s="30" t="s">
        <v>1945</v>
      </c>
      <c r="G13" s="7"/>
    </row>
    <row r="14" ht="22.5" customHeight="1">
      <c r="A14" s="5">
        <v>45874.0</v>
      </c>
      <c r="B14" s="33">
        <v>8.0</v>
      </c>
      <c r="C14" s="12"/>
      <c r="D14" s="49" t="s">
        <v>1946</v>
      </c>
      <c r="E14" s="11" t="s">
        <v>1578</v>
      </c>
      <c r="F14" s="30" t="s">
        <v>1947</v>
      </c>
      <c r="G14" s="7"/>
    </row>
    <row r="15" ht="22.5" customHeight="1">
      <c r="A15" s="5">
        <v>45875.0</v>
      </c>
      <c r="B15" s="33">
        <v>8.0</v>
      </c>
      <c r="C15" s="12"/>
      <c r="D15" s="49" t="s">
        <v>1948</v>
      </c>
      <c r="E15" s="11" t="s">
        <v>1949</v>
      </c>
      <c r="F15" s="30" t="s">
        <v>1950</v>
      </c>
      <c r="G15" s="7"/>
    </row>
    <row r="16" ht="22.5" customHeight="1">
      <c r="A16" s="5">
        <v>45876.0</v>
      </c>
      <c r="B16" s="33">
        <v>8.0</v>
      </c>
      <c r="C16" s="45"/>
      <c r="D16" s="49" t="s">
        <v>1951</v>
      </c>
      <c r="E16" s="11" t="s">
        <v>1952</v>
      </c>
      <c r="F16" s="74" t="s">
        <v>1953</v>
      </c>
      <c r="G16" s="13"/>
    </row>
    <row r="17" ht="22.5" customHeight="1">
      <c r="A17" s="5">
        <v>45877.0</v>
      </c>
      <c r="B17" s="45"/>
      <c r="C17" s="45"/>
      <c r="D17" s="209" t="s">
        <v>286</v>
      </c>
      <c r="E17" s="190"/>
      <c r="F17" s="35"/>
      <c r="G17" s="190" t="s">
        <v>939</v>
      </c>
    </row>
    <row r="18" ht="22.5" customHeight="1">
      <c r="A18" s="5">
        <v>45880.0</v>
      </c>
      <c r="B18" s="33">
        <v>8.0</v>
      </c>
      <c r="C18" s="11"/>
      <c r="D18" s="49" t="s">
        <v>1954</v>
      </c>
      <c r="E18" s="11" t="s">
        <v>1037</v>
      </c>
      <c r="F18" s="74" t="s">
        <v>1953</v>
      </c>
      <c r="G18" s="13"/>
    </row>
    <row r="19" ht="22.5" customHeight="1">
      <c r="A19" s="5">
        <v>45881.0</v>
      </c>
      <c r="B19" s="33">
        <v>8.0</v>
      </c>
      <c r="C19" s="11"/>
      <c r="D19" s="49" t="s">
        <v>1955</v>
      </c>
      <c r="E19" s="11" t="s">
        <v>1956</v>
      </c>
      <c r="F19" s="248" t="s">
        <v>1957</v>
      </c>
      <c r="G19" s="13"/>
    </row>
    <row r="20" ht="22.5" customHeight="1">
      <c r="A20" s="5">
        <v>45882.0</v>
      </c>
      <c r="B20" s="33">
        <v>8.0</v>
      </c>
      <c r="C20" s="11"/>
      <c r="D20" s="49" t="s">
        <v>1958</v>
      </c>
      <c r="E20" s="11" t="s">
        <v>1959</v>
      </c>
      <c r="F20" s="248" t="s">
        <v>1957</v>
      </c>
      <c r="G20" s="13"/>
    </row>
    <row r="21" ht="22.5" customHeight="1">
      <c r="A21" s="5">
        <v>45883.0</v>
      </c>
      <c r="B21" s="33">
        <v>8.0</v>
      </c>
      <c r="C21" s="11"/>
      <c r="D21" s="49" t="s">
        <v>1960</v>
      </c>
      <c r="E21" s="11" t="s">
        <v>1961</v>
      </c>
      <c r="F21" s="248" t="s">
        <v>1957</v>
      </c>
      <c r="G21" s="13"/>
    </row>
    <row r="22" ht="22.5" customHeight="1">
      <c r="A22" s="5">
        <v>45884.0</v>
      </c>
      <c r="B22" s="33">
        <v>8.0</v>
      </c>
      <c r="C22" s="11"/>
      <c r="D22" s="49" t="s">
        <v>1962</v>
      </c>
      <c r="E22" s="11" t="s">
        <v>1963</v>
      </c>
      <c r="F22" s="248" t="s">
        <v>1957</v>
      </c>
      <c r="G22" s="13"/>
    </row>
    <row r="23" ht="22.5" customHeight="1">
      <c r="A23" s="5">
        <v>45887.0</v>
      </c>
      <c r="B23" s="33">
        <v>4.0</v>
      </c>
      <c r="C23" s="11"/>
      <c r="D23" s="49" t="s">
        <v>1964</v>
      </c>
      <c r="E23" s="11" t="s">
        <v>1965</v>
      </c>
      <c r="F23" s="248" t="s">
        <v>1957</v>
      </c>
      <c r="G23" s="190" t="s">
        <v>1966</v>
      </c>
    </row>
    <row r="24" ht="22.5" customHeight="1">
      <c r="A24" s="5">
        <v>45888.0</v>
      </c>
      <c r="B24" s="33">
        <v>8.0</v>
      </c>
      <c r="C24" s="11"/>
      <c r="D24" s="49" t="s">
        <v>1967</v>
      </c>
      <c r="E24" s="64" t="s">
        <v>1576</v>
      </c>
      <c r="F24" s="248" t="s">
        <v>1957</v>
      </c>
      <c r="G24" s="19"/>
    </row>
    <row r="25" ht="22.5" customHeight="1">
      <c r="A25" s="5">
        <v>45889.0</v>
      </c>
      <c r="B25" s="33">
        <v>8.0</v>
      </c>
      <c r="C25" s="11"/>
      <c r="D25" s="49" t="s">
        <v>1968</v>
      </c>
      <c r="E25" s="11" t="s">
        <v>1969</v>
      </c>
      <c r="F25" s="248" t="s">
        <v>1957</v>
      </c>
      <c r="G25" s="19"/>
    </row>
    <row r="26" ht="22.5" customHeight="1">
      <c r="A26" s="5">
        <v>45890.0</v>
      </c>
      <c r="B26" s="33">
        <v>8.0</v>
      </c>
      <c r="C26" s="11"/>
      <c r="D26" s="245" t="s">
        <v>1970</v>
      </c>
      <c r="E26" s="161" t="s">
        <v>1971</v>
      </c>
      <c r="F26" s="248" t="s">
        <v>1957</v>
      </c>
      <c r="G26" s="19"/>
    </row>
    <row r="27" ht="22.5" customHeight="1">
      <c r="A27" s="5">
        <v>45891.0</v>
      </c>
      <c r="B27" s="33">
        <v>8.0</v>
      </c>
      <c r="C27" s="11"/>
      <c r="D27" s="245" t="s">
        <v>1972</v>
      </c>
      <c r="E27" s="161" t="s">
        <v>1973</v>
      </c>
      <c r="F27" s="248" t="s">
        <v>1957</v>
      </c>
      <c r="G27" s="19"/>
    </row>
    <row r="28" ht="22.5" customHeight="1">
      <c r="A28" s="5">
        <v>45894.0</v>
      </c>
      <c r="B28" s="33">
        <v>8.0</v>
      </c>
      <c r="C28" s="11"/>
      <c r="D28" s="245" t="s">
        <v>1974</v>
      </c>
      <c r="E28" s="161" t="s">
        <v>1975</v>
      </c>
      <c r="F28" s="248" t="s">
        <v>1957</v>
      </c>
      <c r="G28" s="19"/>
    </row>
    <row r="29" ht="22.5" customHeight="1">
      <c r="A29" s="5">
        <v>45895.0</v>
      </c>
      <c r="B29" s="33">
        <v>8.0</v>
      </c>
      <c r="C29" s="11"/>
      <c r="D29" s="75" t="s">
        <v>1976</v>
      </c>
      <c r="E29" s="161" t="s">
        <v>1977</v>
      </c>
      <c r="F29" s="248" t="s">
        <v>1957</v>
      </c>
      <c r="G29" s="19"/>
    </row>
    <row r="30" ht="22.5" customHeight="1">
      <c r="A30" s="5">
        <v>45896.0</v>
      </c>
      <c r="B30" s="33">
        <v>8.0</v>
      </c>
      <c r="C30" s="11"/>
      <c r="D30" s="75" t="s">
        <v>1978</v>
      </c>
      <c r="E30" s="161" t="s">
        <v>1979</v>
      </c>
      <c r="F30" s="248" t="s">
        <v>1957</v>
      </c>
      <c r="G30" s="19"/>
    </row>
    <row r="31" ht="22.5" customHeight="1">
      <c r="A31" s="5">
        <v>45897.0</v>
      </c>
      <c r="B31" s="33">
        <v>8.0</v>
      </c>
      <c r="C31" s="11"/>
      <c r="D31" s="75" t="s">
        <v>1980</v>
      </c>
      <c r="E31" s="162" t="s">
        <v>1981</v>
      </c>
      <c r="F31" s="248" t="s">
        <v>1957</v>
      </c>
      <c r="G31" s="19"/>
    </row>
    <row r="32" ht="22.5" customHeight="1">
      <c r="A32" s="5">
        <v>45898.0</v>
      </c>
      <c r="B32" s="33">
        <v>8.0</v>
      </c>
      <c r="C32" s="11"/>
      <c r="D32" s="75" t="s">
        <v>1982</v>
      </c>
      <c r="E32" s="162" t="s">
        <v>1983</v>
      </c>
      <c r="F32" s="248" t="s">
        <v>1984</v>
      </c>
      <c r="G32" s="19"/>
    </row>
    <row r="33" ht="22.5" customHeight="1">
      <c r="A33" s="5">
        <v>45901.0</v>
      </c>
      <c r="B33" s="33">
        <v>8.0</v>
      </c>
      <c r="C33" s="11"/>
      <c r="D33" s="75" t="s">
        <v>1985</v>
      </c>
      <c r="E33" s="162" t="s">
        <v>1986</v>
      </c>
      <c r="F33" s="248" t="s">
        <v>1987</v>
      </c>
      <c r="G33" s="19"/>
    </row>
    <row r="34" ht="22.5" customHeight="1">
      <c r="A34" s="5">
        <v>45902.0</v>
      </c>
      <c r="B34" s="33">
        <v>8.0</v>
      </c>
      <c r="C34" s="11"/>
      <c r="D34" s="75" t="s">
        <v>1988</v>
      </c>
      <c r="E34" s="162" t="s">
        <v>1989</v>
      </c>
      <c r="F34" s="248" t="s">
        <v>1990</v>
      </c>
      <c r="G34" s="19"/>
    </row>
    <row r="35" ht="22.5" customHeight="1">
      <c r="A35" s="5">
        <v>45903.0</v>
      </c>
      <c r="B35" s="33">
        <v>8.0</v>
      </c>
      <c r="C35" s="11"/>
      <c r="D35" s="75" t="s">
        <v>1991</v>
      </c>
      <c r="E35" s="162" t="s">
        <v>1992</v>
      </c>
      <c r="F35" s="248" t="s">
        <v>1993</v>
      </c>
      <c r="G35" s="19"/>
    </row>
    <row r="36" ht="22.5" customHeight="1">
      <c r="A36" s="5">
        <v>45904.0</v>
      </c>
      <c r="B36" s="249">
        <v>8.0</v>
      </c>
      <c r="C36" s="166"/>
      <c r="D36" s="213" t="s">
        <v>1994</v>
      </c>
      <c r="E36" s="250" t="s">
        <v>1995</v>
      </c>
      <c r="F36" s="251" t="s">
        <v>1996</v>
      </c>
      <c r="G36" s="19"/>
    </row>
    <row r="37" ht="22.5" customHeight="1">
      <c r="A37" s="5">
        <v>45905.0</v>
      </c>
      <c r="B37" s="22"/>
      <c r="C37" s="22"/>
      <c r="D37" s="252" t="s">
        <v>222</v>
      </c>
      <c r="E37" s="22"/>
      <c r="F37" s="51"/>
      <c r="G37" s="190" t="s">
        <v>939</v>
      </c>
    </row>
    <row r="38" ht="22.5" customHeight="1">
      <c r="A38" s="5">
        <v>45908.0</v>
      </c>
      <c r="B38" s="249">
        <v>8.0</v>
      </c>
      <c r="C38" s="22"/>
      <c r="D38" s="55" t="s">
        <v>1997</v>
      </c>
      <c r="E38" s="64" t="s">
        <v>1998</v>
      </c>
      <c r="F38" s="253" t="s">
        <v>1999</v>
      </c>
      <c r="G38" s="19"/>
    </row>
    <row r="39" ht="22.5" customHeight="1">
      <c r="A39" s="5">
        <v>45909.0</v>
      </c>
      <c r="B39" s="249">
        <v>8.0</v>
      </c>
      <c r="C39" s="22"/>
      <c r="D39" s="55" t="s">
        <v>2000</v>
      </c>
      <c r="E39" s="64" t="s">
        <v>2001</v>
      </c>
      <c r="F39" s="253" t="s">
        <v>1999</v>
      </c>
      <c r="G39" s="19"/>
    </row>
    <row r="40" ht="22.5" customHeight="1">
      <c r="A40" s="5">
        <v>45910.0</v>
      </c>
      <c r="B40" s="249">
        <v>8.0</v>
      </c>
      <c r="C40" s="22"/>
      <c r="D40" s="55" t="s">
        <v>2002</v>
      </c>
      <c r="E40" s="64" t="s">
        <v>2003</v>
      </c>
      <c r="F40" s="253" t="s">
        <v>2004</v>
      </c>
      <c r="G40" s="19"/>
    </row>
    <row r="41" ht="22.5" customHeight="1">
      <c r="A41" s="5">
        <v>45911.0</v>
      </c>
      <c r="B41" s="249">
        <v>8.0</v>
      </c>
      <c r="C41" s="22"/>
      <c r="D41" s="55" t="s">
        <v>2005</v>
      </c>
      <c r="E41" s="64" t="s">
        <v>2006</v>
      </c>
      <c r="F41" s="253" t="s">
        <v>2004</v>
      </c>
      <c r="G41" s="19"/>
    </row>
    <row r="42" ht="22.5" customHeight="1">
      <c r="A42" s="5">
        <v>45912.0</v>
      </c>
      <c r="B42" s="249">
        <v>8.0</v>
      </c>
      <c r="C42" s="22"/>
      <c r="D42" s="55" t="s">
        <v>2007</v>
      </c>
      <c r="E42" s="64" t="s">
        <v>2008</v>
      </c>
      <c r="F42" s="253" t="s">
        <v>2004</v>
      </c>
      <c r="G42" s="19"/>
    </row>
    <row r="43" ht="22.5" customHeight="1">
      <c r="A43" s="5">
        <v>45915.0</v>
      </c>
      <c r="B43" s="249">
        <v>8.0</v>
      </c>
      <c r="C43" s="22"/>
      <c r="D43" s="55" t="s">
        <v>2009</v>
      </c>
      <c r="E43" s="64" t="s">
        <v>2010</v>
      </c>
      <c r="F43" s="253" t="s">
        <v>2004</v>
      </c>
      <c r="G43" s="19"/>
    </row>
    <row r="44" ht="22.5" customHeight="1">
      <c r="A44" s="5">
        <v>45916.0</v>
      </c>
      <c r="B44" s="249">
        <v>8.0</v>
      </c>
      <c r="C44" s="22"/>
      <c r="D44" s="55" t="s">
        <v>2011</v>
      </c>
      <c r="E44" s="64" t="s">
        <v>2012</v>
      </c>
      <c r="F44" s="253" t="s">
        <v>2004</v>
      </c>
      <c r="G44" s="19"/>
    </row>
    <row r="45" ht="22.5" customHeight="1">
      <c r="A45" s="5">
        <v>45917.0</v>
      </c>
      <c r="B45" s="249">
        <v>8.0</v>
      </c>
      <c r="C45" s="22"/>
      <c r="D45" s="55" t="s">
        <v>2013</v>
      </c>
      <c r="E45" s="64" t="s">
        <v>2014</v>
      </c>
      <c r="F45" s="253" t="s">
        <v>2004</v>
      </c>
      <c r="G45" s="19"/>
    </row>
    <row r="46" ht="22.5" customHeight="1">
      <c r="A46" s="5">
        <v>45918.0</v>
      </c>
      <c r="B46" s="249">
        <v>8.0</v>
      </c>
      <c r="C46" s="22"/>
      <c r="D46" s="55" t="s">
        <v>2015</v>
      </c>
      <c r="E46" s="64" t="s">
        <v>2016</v>
      </c>
      <c r="F46" s="253" t="s">
        <v>2004</v>
      </c>
      <c r="G46" s="19"/>
    </row>
    <row r="47" ht="22.5" customHeight="1">
      <c r="A47" s="5">
        <v>45919.0</v>
      </c>
      <c r="B47" s="249">
        <v>8.0</v>
      </c>
      <c r="C47" s="22"/>
      <c r="D47" s="55" t="s">
        <v>2017</v>
      </c>
      <c r="E47" s="64" t="s">
        <v>2018</v>
      </c>
      <c r="F47" s="253" t="s">
        <v>2004</v>
      </c>
      <c r="G47" s="19"/>
    </row>
    <row r="48" ht="22.5" customHeight="1">
      <c r="A48" s="5">
        <v>45922.0</v>
      </c>
      <c r="B48" s="249">
        <v>8.0</v>
      </c>
      <c r="C48" s="22"/>
      <c r="D48" s="55" t="s">
        <v>2019</v>
      </c>
      <c r="E48" s="64" t="s">
        <v>2020</v>
      </c>
      <c r="F48" s="253" t="s">
        <v>2004</v>
      </c>
      <c r="G48" s="19"/>
    </row>
    <row r="49" ht="22.5" customHeight="1">
      <c r="A49" s="5">
        <v>45923.0</v>
      </c>
      <c r="B49" s="249">
        <v>8.0</v>
      </c>
      <c r="C49" s="22"/>
      <c r="D49" s="11" t="s">
        <v>2021</v>
      </c>
      <c r="E49" s="64" t="s">
        <v>2022</v>
      </c>
      <c r="F49" s="253" t="s">
        <v>2023</v>
      </c>
      <c r="G49" s="19"/>
    </row>
    <row r="50" ht="22.5" customHeight="1">
      <c r="A50" s="5">
        <v>45924.0</v>
      </c>
      <c r="B50" s="249">
        <v>8.0</v>
      </c>
      <c r="C50" s="22"/>
      <c r="D50" s="11" t="s">
        <v>2024</v>
      </c>
      <c r="E50" s="64" t="s">
        <v>2025</v>
      </c>
      <c r="F50" s="253" t="s">
        <v>2023</v>
      </c>
      <c r="G50" s="19"/>
    </row>
    <row r="51" ht="22.5" customHeight="1">
      <c r="A51" s="5">
        <v>45925.0</v>
      </c>
      <c r="B51" s="249">
        <v>8.0</v>
      </c>
      <c r="C51" s="22"/>
      <c r="D51" s="11" t="s">
        <v>2026</v>
      </c>
      <c r="E51" s="64" t="s">
        <v>2027</v>
      </c>
      <c r="F51" s="253" t="s">
        <v>2028</v>
      </c>
      <c r="G51" s="19"/>
    </row>
    <row r="52" ht="22.5" customHeight="1">
      <c r="A52" s="5">
        <v>45926.0</v>
      </c>
      <c r="B52" s="249">
        <v>8.0</v>
      </c>
      <c r="C52" s="22"/>
      <c r="D52" s="11" t="s">
        <v>2029</v>
      </c>
      <c r="E52" s="64" t="s">
        <v>2030</v>
      </c>
      <c r="F52" s="253" t="s">
        <v>2031</v>
      </c>
      <c r="G52" s="19"/>
    </row>
    <row r="53" ht="22.5" customHeight="1">
      <c r="A53" s="5">
        <v>45929.0</v>
      </c>
      <c r="B53" s="249">
        <v>8.0</v>
      </c>
      <c r="C53" s="22"/>
      <c r="D53" s="11" t="s">
        <v>2032</v>
      </c>
      <c r="E53" s="64" t="s">
        <v>2033</v>
      </c>
      <c r="F53" s="253" t="s">
        <v>2034</v>
      </c>
      <c r="G53" s="19"/>
    </row>
    <row r="54" ht="22.5" customHeight="1">
      <c r="A54" s="5">
        <v>45930.0</v>
      </c>
      <c r="B54" s="249">
        <v>8.0</v>
      </c>
      <c r="C54" s="22"/>
      <c r="D54" s="11" t="s">
        <v>2035</v>
      </c>
      <c r="E54" s="64" t="s">
        <v>2036</v>
      </c>
      <c r="F54" s="253" t="s">
        <v>2037</v>
      </c>
      <c r="G54" s="19"/>
    </row>
    <row r="55" ht="22.5" customHeight="1">
      <c r="A55" s="5">
        <v>45931.0</v>
      </c>
      <c r="B55" s="22"/>
      <c r="C55" s="22"/>
      <c r="D55" s="244" t="s">
        <v>86</v>
      </c>
      <c r="E55" s="254"/>
      <c r="F55" s="254"/>
      <c r="G55" s="255" t="s">
        <v>939</v>
      </c>
    </row>
    <row r="56" ht="22.5" customHeight="1">
      <c r="A56" s="5">
        <v>45932.0</v>
      </c>
      <c r="B56" s="249">
        <v>8.0</v>
      </c>
      <c r="C56" s="22"/>
      <c r="D56" s="11" t="s">
        <v>2038</v>
      </c>
      <c r="E56" s="64" t="s">
        <v>2039</v>
      </c>
      <c r="F56" s="253" t="s">
        <v>2040</v>
      </c>
      <c r="G56" s="19"/>
    </row>
    <row r="57" ht="22.5" customHeight="1">
      <c r="A57" s="5">
        <v>45933.0</v>
      </c>
      <c r="B57" s="249">
        <v>8.0</v>
      </c>
      <c r="C57" s="22"/>
      <c r="D57" s="11" t="s">
        <v>2041</v>
      </c>
      <c r="E57" s="64" t="s">
        <v>2042</v>
      </c>
      <c r="F57" s="253" t="s">
        <v>2043</v>
      </c>
      <c r="G57" s="19"/>
    </row>
    <row r="58" ht="22.5" customHeight="1">
      <c r="A58" s="5">
        <v>45936.0</v>
      </c>
      <c r="B58" s="249">
        <v>8.0</v>
      </c>
      <c r="C58" s="22"/>
      <c r="D58" s="11" t="s">
        <v>2044</v>
      </c>
      <c r="E58" s="64" t="s">
        <v>2045</v>
      </c>
      <c r="F58" s="253" t="s">
        <v>2046</v>
      </c>
      <c r="G58" s="215"/>
    </row>
    <row r="59" ht="22.5" customHeight="1">
      <c r="A59" s="5">
        <v>45937.0</v>
      </c>
      <c r="B59" s="249">
        <v>8.0</v>
      </c>
      <c r="C59" s="22"/>
      <c r="D59" s="11" t="s">
        <v>2047</v>
      </c>
      <c r="E59" s="64" t="s">
        <v>2048</v>
      </c>
      <c r="F59" s="253" t="s">
        <v>2049</v>
      </c>
      <c r="G59" s="19"/>
    </row>
    <row r="60" ht="22.5" customHeight="1">
      <c r="A60" s="5">
        <v>45938.0</v>
      </c>
      <c r="B60" s="249">
        <v>8.0</v>
      </c>
      <c r="C60" s="22"/>
      <c r="D60" s="11" t="s">
        <v>2050</v>
      </c>
      <c r="E60" s="64" t="s">
        <v>2048</v>
      </c>
      <c r="F60" s="253" t="s">
        <v>2051</v>
      </c>
      <c r="G60" s="19"/>
    </row>
    <row r="61" ht="22.5" customHeight="1">
      <c r="A61" s="5">
        <v>45939.0</v>
      </c>
      <c r="B61" s="249">
        <v>8.0</v>
      </c>
      <c r="C61" s="22"/>
      <c r="D61" s="11" t="s">
        <v>2052</v>
      </c>
      <c r="E61" s="64" t="s">
        <v>2048</v>
      </c>
      <c r="F61" s="253" t="s">
        <v>2053</v>
      </c>
      <c r="G61" s="19"/>
    </row>
    <row r="62" ht="22.5" customHeight="1">
      <c r="A62" s="5">
        <v>45940.0</v>
      </c>
      <c r="B62" s="249">
        <v>8.0</v>
      </c>
      <c r="C62" s="22"/>
      <c r="D62" s="11" t="s">
        <v>2054</v>
      </c>
      <c r="E62" s="64" t="s">
        <v>2048</v>
      </c>
      <c r="F62" s="253" t="s">
        <v>2055</v>
      </c>
      <c r="G62" s="19"/>
    </row>
    <row r="63" ht="22.5" customHeight="1">
      <c r="A63" s="5">
        <v>45941.0</v>
      </c>
      <c r="B63" s="249">
        <v>8.0</v>
      </c>
      <c r="C63" s="22"/>
      <c r="D63" s="11" t="s">
        <v>2056</v>
      </c>
      <c r="E63" s="64" t="s">
        <v>2057</v>
      </c>
      <c r="F63" s="253" t="s">
        <v>2058</v>
      </c>
      <c r="G63" s="19"/>
    </row>
    <row r="64" ht="22.5" customHeight="1">
      <c r="A64" s="5">
        <v>45942.0</v>
      </c>
      <c r="B64" s="249">
        <v>8.0</v>
      </c>
      <c r="C64" s="22"/>
      <c r="D64" s="216" t="s">
        <v>2059</v>
      </c>
      <c r="E64" s="64" t="s">
        <v>2057</v>
      </c>
      <c r="F64" s="253" t="s">
        <v>2060</v>
      </c>
      <c r="G64" s="19"/>
    </row>
    <row r="65" ht="22.5" customHeight="1">
      <c r="A65" s="5">
        <v>45943.0</v>
      </c>
      <c r="B65" s="249">
        <v>8.0</v>
      </c>
      <c r="C65" s="22"/>
      <c r="D65" s="216" t="s">
        <v>2059</v>
      </c>
      <c r="E65" s="64" t="s">
        <v>2057</v>
      </c>
      <c r="F65" s="253" t="s">
        <v>2061</v>
      </c>
      <c r="G65" s="19"/>
    </row>
    <row r="66" ht="22.5" customHeight="1">
      <c r="A66" s="5">
        <v>45944.0</v>
      </c>
      <c r="B66" s="249">
        <v>8.0</v>
      </c>
      <c r="C66" s="22"/>
      <c r="D66" s="216" t="s">
        <v>2059</v>
      </c>
      <c r="E66" s="64" t="s">
        <v>2057</v>
      </c>
      <c r="F66" s="253" t="s">
        <v>2062</v>
      </c>
      <c r="G66" s="19"/>
    </row>
    <row r="67" ht="22.5" customHeight="1">
      <c r="A67" s="5">
        <v>45945.0</v>
      </c>
      <c r="B67" s="249">
        <v>8.0</v>
      </c>
      <c r="C67" s="22"/>
      <c r="D67" s="216" t="s">
        <v>2059</v>
      </c>
      <c r="E67" s="64" t="s">
        <v>2057</v>
      </c>
      <c r="F67" s="253" t="s">
        <v>2063</v>
      </c>
      <c r="G67" s="19"/>
    </row>
    <row r="68" ht="22.5" customHeight="1">
      <c r="A68" s="5">
        <v>45946.0</v>
      </c>
      <c r="B68" s="249">
        <v>8.0</v>
      </c>
      <c r="C68" s="22"/>
      <c r="D68" s="216" t="s">
        <v>2064</v>
      </c>
      <c r="E68" s="64" t="s">
        <v>2065</v>
      </c>
      <c r="F68" s="253" t="s">
        <v>2004</v>
      </c>
      <c r="G68" s="19"/>
    </row>
    <row r="69" ht="22.5" customHeight="1">
      <c r="A69" s="5">
        <v>45947.0</v>
      </c>
      <c r="B69" s="249">
        <v>8.0</v>
      </c>
      <c r="C69" s="22"/>
      <c r="D69" s="216" t="s">
        <v>2064</v>
      </c>
      <c r="E69" s="64" t="s">
        <v>2065</v>
      </c>
      <c r="F69" s="253" t="s">
        <v>2004</v>
      </c>
      <c r="G69" s="19"/>
    </row>
    <row r="70" ht="22.5" customHeight="1">
      <c r="A70" s="5">
        <v>45950.0</v>
      </c>
      <c r="B70" s="249">
        <v>8.0</v>
      </c>
      <c r="C70" s="22"/>
      <c r="D70" s="216" t="s">
        <v>2064</v>
      </c>
      <c r="E70" s="64" t="s">
        <v>2065</v>
      </c>
      <c r="F70" s="253" t="s">
        <v>2004</v>
      </c>
      <c r="G70" s="19"/>
    </row>
    <row r="71" ht="22.5" customHeight="1">
      <c r="A71" s="5">
        <v>45950.0</v>
      </c>
      <c r="B71" s="249">
        <v>8.0</v>
      </c>
      <c r="C71" s="22"/>
      <c r="D71" s="216" t="s">
        <v>2064</v>
      </c>
      <c r="E71" s="64" t="s">
        <v>2065</v>
      </c>
      <c r="F71" s="253" t="s">
        <v>2004</v>
      </c>
      <c r="G71" s="19"/>
    </row>
    <row r="72" ht="22.5" customHeight="1">
      <c r="A72" s="5">
        <v>45952.0</v>
      </c>
      <c r="B72" s="249">
        <v>8.0</v>
      </c>
      <c r="C72" s="22"/>
      <c r="D72" s="216" t="s">
        <v>2064</v>
      </c>
      <c r="E72" s="64" t="s">
        <v>2065</v>
      </c>
      <c r="F72" s="253" t="s">
        <v>2004</v>
      </c>
      <c r="G72" s="19"/>
    </row>
    <row r="73" ht="22.5" customHeight="1">
      <c r="A73" s="5">
        <v>45953.0</v>
      </c>
      <c r="B73" s="249">
        <v>8.0</v>
      </c>
      <c r="C73" s="22"/>
      <c r="D73" s="216" t="s">
        <v>2064</v>
      </c>
      <c r="E73" s="64" t="s">
        <v>2065</v>
      </c>
      <c r="F73" s="253" t="s">
        <v>2004</v>
      </c>
      <c r="G73" s="19"/>
    </row>
    <row r="74" ht="22.5" customHeight="1">
      <c r="A74" s="5">
        <v>45954.0</v>
      </c>
      <c r="B74" s="249">
        <v>8.0</v>
      </c>
      <c r="C74" s="22"/>
      <c r="D74" s="216" t="s">
        <v>2064</v>
      </c>
      <c r="E74" s="64" t="s">
        <v>2065</v>
      </c>
      <c r="F74" s="253" t="s">
        <v>2004</v>
      </c>
      <c r="G74" s="19"/>
    </row>
    <row r="75" ht="22.5" customHeight="1">
      <c r="A75" s="5">
        <v>45957.0</v>
      </c>
      <c r="B75" s="256">
        <v>8.0</v>
      </c>
      <c r="C75" s="212"/>
      <c r="D75" s="257" t="s">
        <v>2066</v>
      </c>
      <c r="E75" s="250" t="s">
        <v>2067</v>
      </c>
      <c r="F75" s="258" t="s">
        <v>2068</v>
      </c>
      <c r="G75" s="19"/>
    </row>
    <row r="76" ht="22.5" customHeight="1">
      <c r="A76" s="5">
        <v>45958.0</v>
      </c>
      <c r="B76" s="256">
        <v>8.0</v>
      </c>
      <c r="C76" s="212"/>
      <c r="D76" s="257" t="s">
        <v>2066</v>
      </c>
      <c r="E76" s="250" t="s">
        <v>2069</v>
      </c>
      <c r="F76" s="258" t="s">
        <v>2068</v>
      </c>
      <c r="G76" s="19"/>
    </row>
    <row r="77" ht="22.5" customHeight="1">
      <c r="A77" s="5">
        <v>45959.0</v>
      </c>
      <c r="B77" s="256">
        <v>8.0</v>
      </c>
      <c r="C77" s="212"/>
      <c r="D77" s="257" t="s">
        <v>2066</v>
      </c>
      <c r="E77" s="250" t="s">
        <v>2069</v>
      </c>
      <c r="F77" s="258" t="s">
        <v>2068</v>
      </c>
      <c r="G77" s="19"/>
    </row>
    <row r="78" ht="22.5" customHeight="1">
      <c r="A78" s="5">
        <v>45960.0</v>
      </c>
      <c r="B78" s="256">
        <v>8.0</v>
      </c>
      <c r="C78" s="212"/>
      <c r="D78" s="257" t="s">
        <v>2066</v>
      </c>
      <c r="E78" s="250" t="s">
        <v>2069</v>
      </c>
      <c r="F78" s="258" t="s">
        <v>2068</v>
      </c>
      <c r="G78" s="19"/>
    </row>
    <row r="79" ht="22.5" customHeight="1">
      <c r="A79" s="5">
        <v>45961.0</v>
      </c>
      <c r="B79" s="256"/>
      <c r="C79" s="212"/>
      <c r="D79" s="55" t="s">
        <v>2070</v>
      </c>
      <c r="E79" s="64" t="s">
        <v>1934</v>
      </c>
      <c r="F79" s="60">
        <v>1.0</v>
      </c>
      <c r="G79" s="255"/>
    </row>
    <row r="80" ht="22.5" customHeight="1">
      <c r="A80" s="5">
        <v>45964.0</v>
      </c>
      <c r="B80" s="256">
        <v>8.0</v>
      </c>
      <c r="C80" s="22"/>
      <c r="D80" s="55" t="s">
        <v>2071</v>
      </c>
      <c r="E80" s="64" t="s">
        <v>1934</v>
      </c>
      <c r="F80" s="60">
        <v>1.0</v>
      </c>
      <c r="G80" s="19"/>
    </row>
    <row r="81" ht="22.5" customHeight="1">
      <c r="A81" s="5">
        <v>45965.0</v>
      </c>
      <c r="B81" s="256">
        <v>8.0</v>
      </c>
      <c r="C81" s="22"/>
      <c r="D81" s="259" t="s">
        <v>286</v>
      </c>
      <c r="E81" s="254"/>
      <c r="F81" s="254"/>
      <c r="G81" s="255" t="s">
        <v>939</v>
      </c>
    </row>
    <row r="82" ht="22.5" customHeight="1">
      <c r="A82" s="5">
        <v>45966.0</v>
      </c>
      <c r="B82" s="256">
        <v>8.0</v>
      </c>
      <c r="C82" s="22"/>
      <c r="D82" s="55" t="s">
        <v>2071</v>
      </c>
      <c r="E82" s="64" t="s">
        <v>1934</v>
      </c>
      <c r="F82" s="60">
        <v>1.0</v>
      </c>
      <c r="G82" s="19"/>
    </row>
    <row r="83" ht="22.5" customHeight="1">
      <c r="A83" s="5">
        <v>45967.0</v>
      </c>
      <c r="B83" s="256">
        <v>8.0</v>
      </c>
      <c r="C83" s="22"/>
      <c r="D83" s="55" t="s">
        <v>2071</v>
      </c>
      <c r="E83" s="64" t="s">
        <v>1934</v>
      </c>
      <c r="F83" s="60">
        <v>1.0</v>
      </c>
      <c r="G83" s="19"/>
    </row>
    <row r="84" ht="22.5" customHeight="1">
      <c r="A84" s="5">
        <v>45968.0</v>
      </c>
      <c r="B84" s="256">
        <v>8.0</v>
      </c>
      <c r="C84" s="22"/>
      <c r="D84" s="244" t="s">
        <v>86</v>
      </c>
      <c r="E84" s="254"/>
      <c r="F84" s="254"/>
      <c r="G84" s="255" t="s">
        <v>939</v>
      </c>
    </row>
    <row r="85" ht="22.5" customHeight="1">
      <c r="A85" s="5">
        <v>45971.0</v>
      </c>
      <c r="B85" s="256">
        <v>8.0</v>
      </c>
      <c r="C85" s="22"/>
      <c r="D85" s="55" t="s">
        <v>2072</v>
      </c>
      <c r="E85" s="64" t="s">
        <v>1583</v>
      </c>
      <c r="F85" s="60" t="s">
        <v>2073</v>
      </c>
      <c r="G85" s="19"/>
    </row>
    <row r="86" ht="22.5" customHeight="1">
      <c r="A86" s="5">
        <v>45972.0</v>
      </c>
      <c r="B86" s="256">
        <v>8.0</v>
      </c>
      <c r="C86" s="22"/>
      <c r="D86" s="55" t="s">
        <v>2074</v>
      </c>
      <c r="E86" s="64" t="s">
        <v>2075</v>
      </c>
      <c r="F86" s="60" t="s">
        <v>2076</v>
      </c>
      <c r="G86" s="19"/>
    </row>
    <row r="87" ht="22.5" customHeight="1">
      <c r="A87" s="5">
        <v>45973.0</v>
      </c>
      <c r="B87" s="256">
        <v>8.0</v>
      </c>
      <c r="C87" s="22"/>
      <c r="D87" s="55" t="s">
        <v>2077</v>
      </c>
      <c r="E87" s="64" t="s">
        <v>2078</v>
      </c>
      <c r="F87" s="60" t="s">
        <v>2079</v>
      </c>
      <c r="G87" s="19"/>
    </row>
    <row r="88" ht="22.5" customHeight="1">
      <c r="A88" s="5">
        <v>45974.0</v>
      </c>
      <c r="B88" s="256">
        <v>8.0</v>
      </c>
      <c r="C88" s="22"/>
      <c r="D88" s="55" t="s">
        <v>2080</v>
      </c>
      <c r="E88" s="64" t="s">
        <v>2081</v>
      </c>
      <c r="F88" s="60" t="s">
        <v>2082</v>
      </c>
      <c r="G88" s="19"/>
    </row>
    <row r="89" ht="22.5" customHeight="1">
      <c r="A89" s="5">
        <v>45975.0</v>
      </c>
      <c r="B89" s="256">
        <v>8.0</v>
      </c>
      <c r="C89" s="22"/>
      <c r="D89" s="55" t="s">
        <v>2083</v>
      </c>
      <c r="E89" s="64" t="s">
        <v>2084</v>
      </c>
      <c r="F89" s="60" t="s">
        <v>2085</v>
      </c>
      <c r="G89" s="19"/>
    </row>
    <row r="90" ht="22.5" customHeight="1">
      <c r="A90" s="5">
        <v>45978.0</v>
      </c>
      <c r="B90" s="22"/>
      <c r="C90" s="22"/>
      <c r="D90" s="51"/>
      <c r="E90" s="22"/>
      <c r="F90" s="51"/>
      <c r="G90" s="19"/>
    </row>
    <row r="91" ht="22.5" customHeight="1">
      <c r="A91" s="5">
        <v>45979.0</v>
      </c>
      <c r="B91" s="22"/>
      <c r="C91" s="22"/>
      <c r="D91" s="51"/>
      <c r="E91" s="22"/>
      <c r="F91" s="51"/>
      <c r="G91" s="19"/>
    </row>
    <row r="92" ht="22.5" customHeight="1">
      <c r="A92" s="5">
        <v>45980.0</v>
      </c>
      <c r="B92" s="22"/>
      <c r="C92" s="22"/>
      <c r="D92" s="51"/>
      <c r="E92" s="22"/>
      <c r="F92" s="51"/>
      <c r="G92" s="19"/>
    </row>
    <row r="93" ht="22.5" customHeight="1">
      <c r="A93" s="5">
        <v>45981.0</v>
      </c>
      <c r="B93" s="22"/>
      <c r="C93" s="22"/>
      <c r="D93" s="51"/>
      <c r="E93" s="22"/>
      <c r="F93" s="51"/>
      <c r="G93" s="19"/>
    </row>
    <row r="94" ht="22.5" customHeight="1">
      <c r="A94" s="5">
        <v>45982.0</v>
      </c>
      <c r="B94" s="22"/>
      <c r="C94" s="22"/>
      <c r="D94" s="51"/>
      <c r="E94" s="22"/>
      <c r="F94" s="51"/>
      <c r="G94" s="19"/>
    </row>
    <row r="95" ht="22.5" customHeight="1">
      <c r="A95" s="5">
        <v>45983.0</v>
      </c>
      <c r="B95" s="22"/>
      <c r="C95" s="22"/>
      <c r="D95" s="51"/>
      <c r="E95" s="22"/>
      <c r="F95" s="51"/>
      <c r="G95" s="19"/>
    </row>
    <row r="96" ht="22.5" customHeight="1">
      <c r="A96" s="5">
        <v>45984.0</v>
      </c>
      <c r="B96" s="22"/>
      <c r="C96" s="22"/>
      <c r="D96" s="51"/>
      <c r="E96" s="22"/>
      <c r="F96" s="51"/>
      <c r="G96" s="19"/>
    </row>
    <row r="97" ht="22.5" customHeight="1">
      <c r="A97" s="5">
        <v>45985.0</v>
      </c>
      <c r="B97" s="22"/>
      <c r="C97" s="22"/>
      <c r="D97" s="51"/>
      <c r="E97" s="22"/>
      <c r="F97" s="51"/>
      <c r="G97" s="19"/>
    </row>
    <row r="98" ht="22.5" customHeight="1">
      <c r="A98" s="5">
        <v>45986.0</v>
      </c>
      <c r="B98" s="22"/>
      <c r="C98" s="22"/>
      <c r="D98" s="51"/>
      <c r="E98" s="22"/>
      <c r="F98" s="51"/>
      <c r="G98" s="19"/>
    </row>
    <row r="99" ht="22.5" customHeight="1">
      <c r="A99" s="5">
        <v>45987.0</v>
      </c>
      <c r="B99" s="22"/>
      <c r="C99" s="22"/>
      <c r="D99" s="51"/>
      <c r="E99" s="22"/>
      <c r="F99" s="51"/>
      <c r="G99" s="19"/>
    </row>
    <row r="100" ht="22.5" customHeight="1">
      <c r="A100" s="5">
        <v>45988.0</v>
      </c>
      <c r="B100" s="22"/>
      <c r="C100" s="22"/>
      <c r="D100" s="51"/>
      <c r="E100" s="22"/>
      <c r="F100" s="51"/>
      <c r="G100" s="19"/>
    </row>
    <row r="101" ht="22.5" customHeight="1">
      <c r="A101" s="5">
        <v>45989.0</v>
      </c>
      <c r="B101" s="22"/>
      <c r="C101" s="22"/>
      <c r="D101" s="51"/>
      <c r="E101" s="22"/>
      <c r="F101" s="51"/>
      <c r="G101" s="19"/>
    </row>
    <row r="102" ht="22.5" customHeight="1">
      <c r="A102" s="5">
        <v>45990.0</v>
      </c>
      <c r="B102" s="22"/>
      <c r="C102" s="22"/>
      <c r="D102" s="51"/>
      <c r="E102" s="22"/>
      <c r="F102" s="51"/>
      <c r="G102" s="19"/>
    </row>
    <row r="103" ht="22.5" customHeight="1">
      <c r="A103" s="5">
        <v>45991.0</v>
      </c>
      <c r="B103" s="22"/>
      <c r="C103" s="22"/>
      <c r="D103" s="51"/>
      <c r="E103" s="22"/>
      <c r="F103" s="51"/>
      <c r="G103" s="19"/>
    </row>
    <row r="104" ht="22.5" customHeight="1">
      <c r="A104" s="5">
        <v>45992.0</v>
      </c>
      <c r="B104" s="22"/>
      <c r="C104" s="22"/>
      <c r="D104" s="51"/>
      <c r="E104" s="22"/>
      <c r="F104" s="51"/>
      <c r="G104" s="19"/>
    </row>
    <row r="105" ht="22.5" customHeight="1">
      <c r="A105" s="5">
        <v>45993.0</v>
      </c>
      <c r="B105" s="22"/>
      <c r="C105" s="22"/>
      <c r="D105" s="51"/>
      <c r="E105" s="22"/>
      <c r="F105" s="51"/>
      <c r="G105" s="19"/>
    </row>
    <row r="106" ht="22.5" customHeight="1">
      <c r="A106" s="5">
        <v>45994.0</v>
      </c>
      <c r="B106" s="22"/>
      <c r="C106" s="22"/>
      <c r="D106" s="51"/>
      <c r="E106" s="22"/>
      <c r="F106" s="51"/>
      <c r="G106" s="19"/>
    </row>
    <row r="107" ht="22.5" customHeight="1">
      <c r="A107" s="5">
        <v>45995.0</v>
      </c>
      <c r="B107" s="22"/>
      <c r="C107" s="22"/>
      <c r="D107" s="51"/>
      <c r="E107" s="22"/>
      <c r="F107" s="51"/>
      <c r="G107" s="19"/>
    </row>
    <row r="108" ht="22.5" customHeight="1">
      <c r="A108" s="5">
        <v>45996.0</v>
      </c>
      <c r="B108" s="22"/>
      <c r="C108" s="22"/>
      <c r="D108" s="51"/>
      <c r="E108" s="22"/>
      <c r="F108" s="51"/>
      <c r="G108" s="19"/>
    </row>
    <row r="109" ht="22.5" customHeight="1">
      <c r="A109" s="5">
        <v>45997.0</v>
      </c>
      <c r="B109" s="22"/>
      <c r="C109" s="22"/>
      <c r="D109" s="51"/>
      <c r="E109" s="22"/>
      <c r="F109" s="51"/>
      <c r="G109" s="19"/>
    </row>
    <row r="110" ht="22.5" customHeight="1">
      <c r="A110" s="5">
        <v>45998.0</v>
      </c>
      <c r="B110" s="22"/>
      <c r="C110" s="22"/>
      <c r="D110" s="51"/>
      <c r="E110" s="22"/>
      <c r="F110" s="51"/>
      <c r="G110" s="19"/>
    </row>
    <row r="111" ht="22.5" customHeight="1">
      <c r="A111" s="5">
        <v>45999.0</v>
      </c>
      <c r="B111" s="22"/>
      <c r="C111" s="22"/>
      <c r="D111" s="51"/>
      <c r="E111" s="22"/>
      <c r="F111" s="51"/>
      <c r="G111" s="19"/>
    </row>
    <row r="112" ht="22.5" customHeight="1">
      <c r="A112" s="5">
        <v>46000.0</v>
      </c>
      <c r="B112" s="22"/>
      <c r="C112" s="22"/>
      <c r="D112" s="51"/>
      <c r="E112" s="22"/>
      <c r="F112" s="51"/>
      <c r="G112" s="19"/>
    </row>
    <row r="113" ht="22.5" customHeight="1">
      <c r="A113" s="5">
        <v>46001.0</v>
      </c>
      <c r="B113" s="22"/>
      <c r="C113" s="22"/>
      <c r="D113" s="51"/>
      <c r="E113" s="22"/>
      <c r="F113" s="51"/>
      <c r="G113" s="19"/>
    </row>
    <row r="114" ht="22.5" customHeight="1">
      <c r="A114" s="5">
        <v>46002.0</v>
      </c>
      <c r="B114" s="22"/>
      <c r="C114" s="22"/>
      <c r="D114" s="51"/>
      <c r="E114" s="22"/>
      <c r="F114" s="51"/>
      <c r="G114" s="19"/>
    </row>
    <row r="115" ht="22.5" customHeight="1">
      <c r="A115" s="5">
        <v>46003.0</v>
      </c>
      <c r="B115" s="22"/>
      <c r="C115" s="22"/>
      <c r="D115" s="51"/>
      <c r="E115" s="22"/>
      <c r="F115" s="51"/>
      <c r="G115" s="19"/>
    </row>
    <row r="116" ht="22.5" customHeight="1">
      <c r="A116" s="5">
        <v>46004.0</v>
      </c>
      <c r="B116" s="22"/>
      <c r="C116" s="22"/>
      <c r="D116" s="51"/>
      <c r="E116" s="22"/>
      <c r="F116" s="51"/>
      <c r="G116" s="19"/>
    </row>
    <row r="117" ht="22.5" customHeight="1">
      <c r="A117" s="5">
        <v>46005.0</v>
      </c>
      <c r="B117" s="22"/>
      <c r="C117" s="22"/>
      <c r="D117" s="51"/>
      <c r="E117" s="22"/>
      <c r="F117" s="51"/>
      <c r="G117" s="19"/>
    </row>
    <row r="118" ht="22.5" customHeight="1">
      <c r="A118" s="5">
        <v>46006.0</v>
      </c>
      <c r="B118" s="22"/>
      <c r="C118" s="22"/>
      <c r="D118" s="51"/>
      <c r="E118" s="22"/>
      <c r="F118" s="51"/>
      <c r="G118" s="19"/>
    </row>
    <row r="119" ht="22.5" customHeight="1">
      <c r="A119" s="5">
        <v>46007.0</v>
      </c>
      <c r="B119" s="22"/>
      <c r="C119" s="22"/>
      <c r="D119" s="51"/>
      <c r="E119" s="22"/>
      <c r="F119" s="51"/>
      <c r="G119" s="19"/>
    </row>
    <row r="120" ht="22.5" customHeight="1">
      <c r="A120" s="5">
        <v>46008.0</v>
      </c>
      <c r="B120" s="22"/>
      <c r="C120" s="22"/>
      <c r="D120" s="51"/>
      <c r="E120" s="22"/>
      <c r="F120" s="51"/>
      <c r="G120" s="19"/>
    </row>
    <row r="121" ht="22.5" customHeight="1">
      <c r="A121" s="5">
        <v>46009.0</v>
      </c>
      <c r="B121" s="22"/>
      <c r="C121" s="22"/>
      <c r="D121" s="51"/>
      <c r="E121" s="22"/>
      <c r="F121" s="51"/>
      <c r="G121" s="19"/>
    </row>
    <row r="122" ht="22.5" customHeight="1">
      <c r="A122" s="5">
        <v>46010.0</v>
      </c>
      <c r="B122" s="22"/>
      <c r="C122" s="22"/>
      <c r="D122" s="51"/>
      <c r="E122" s="22"/>
      <c r="F122" s="51"/>
      <c r="G122" s="19"/>
    </row>
    <row r="123" ht="22.5" customHeight="1">
      <c r="A123" s="5">
        <v>46011.0</v>
      </c>
      <c r="B123" s="22"/>
      <c r="C123" s="22"/>
      <c r="D123" s="51"/>
      <c r="E123" s="22"/>
      <c r="F123" s="51"/>
      <c r="G123" s="19"/>
    </row>
    <row r="124" ht="22.5" customHeight="1">
      <c r="A124" s="5">
        <v>46012.0</v>
      </c>
      <c r="B124" s="22"/>
      <c r="C124" s="22"/>
      <c r="D124" s="51"/>
      <c r="E124" s="22"/>
      <c r="F124" s="51"/>
      <c r="G124" s="19"/>
    </row>
    <row r="125" ht="22.5" customHeight="1">
      <c r="A125" s="5">
        <v>46013.0</v>
      </c>
      <c r="B125" s="22"/>
      <c r="C125" s="22"/>
      <c r="D125" s="51"/>
      <c r="E125" s="22"/>
      <c r="F125" s="51"/>
      <c r="G125" s="19"/>
    </row>
    <row r="126" ht="22.5" customHeight="1">
      <c r="A126" s="139"/>
      <c r="B126" s="25"/>
      <c r="C126" s="25"/>
      <c r="D126" s="138"/>
      <c r="E126" s="25"/>
      <c r="F126" s="138"/>
      <c r="G126" s="26"/>
    </row>
    <row r="127" ht="22.5" customHeight="1">
      <c r="A127" s="139"/>
      <c r="B127" s="25"/>
      <c r="C127" s="25"/>
      <c r="D127" s="138"/>
      <c r="E127" s="25"/>
      <c r="F127" s="138"/>
      <c r="G127" s="26"/>
    </row>
    <row r="128" ht="22.5" customHeight="1">
      <c r="A128" s="139"/>
      <c r="B128" s="25"/>
      <c r="C128" s="25"/>
      <c r="D128" s="138"/>
      <c r="E128" s="25"/>
      <c r="F128" s="138"/>
      <c r="G128" s="26"/>
    </row>
    <row r="129" ht="22.5" customHeight="1">
      <c r="A129" s="139"/>
      <c r="B129" s="25"/>
      <c r="C129" s="25"/>
      <c r="D129" s="138"/>
      <c r="E129" s="25"/>
      <c r="F129" s="138"/>
      <c r="G129" s="26"/>
    </row>
    <row r="130" ht="22.5" customHeight="1">
      <c r="A130" s="139"/>
      <c r="B130" s="25"/>
      <c r="C130" s="25"/>
      <c r="D130" s="138"/>
      <c r="E130" s="25"/>
      <c r="F130" s="138"/>
      <c r="G130" s="26"/>
    </row>
    <row r="131" ht="22.5" customHeight="1">
      <c r="A131" s="139"/>
      <c r="B131" s="25"/>
      <c r="C131" s="25"/>
      <c r="D131" s="138"/>
      <c r="E131" s="25"/>
      <c r="F131" s="138"/>
      <c r="G131" s="26"/>
    </row>
    <row r="132" ht="22.5" customHeight="1">
      <c r="A132" s="139"/>
      <c r="B132" s="25"/>
      <c r="C132" s="25"/>
      <c r="D132" s="138"/>
      <c r="E132" s="25"/>
      <c r="F132" s="138"/>
      <c r="G132" s="26"/>
    </row>
    <row r="133" ht="22.5" customHeight="1">
      <c r="A133" s="139"/>
      <c r="B133" s="25"/>
      <c r="C133" s="25"/>
      <c r="D133" s="138"/>
      <c r="E133" s="25"/>
      <c r="F133" s="138"/>
      <c r="G133" s="26"/>
    </row>
    <row r="134" ht="22.5" customHeight="1">
      <c r="A134" s="139"/>
      <c r="B134" s="25"/>
      <c r="C134" s="25"/>
      <c r="D134" s="138"/>
      <c r="E134" s="25"/>
      <c r="F134" s="138"/>
      <c r="G134" s="26"/>
    </row>
    <row r="135" ht="22.5" customHeight="1">
      <c r="A135" s="139"/>
      <c r="B135" s="25"/>
      <c r="C135" s="25"/>
      <c r="D135" s="138"/>
      <c r="E135" s="25"/>
      <c r="F135" s="138"/>
      <c r="G135" s="26"/>
    </row>
    <row r="136" ht="22.5" customHeight="1">
      <c r="A136" s="139"/>
      <c r="B136" s="25"/>
      <c r="C136" s="25"/>
      <c r="D136" s="138"/>
      <c r="E136" s="25"/>
      <c r="F136" s="138"/>
      <c r="G136" s="26"/>
    </row>
    <row r="137" ht="22.5" customHeight="1">
      <c r="A137" s="139"/>
      <c r="B137" s="25"/>
      <c r="C137" s="25"/>
      <c r="D137" s="138"/>
      <c r="E137" s="25"/>
      <c r="F137" s="138"/>
      <c r="G137" s="26"/>
    </row>
    <row r="138" ht="22.5" customHeight="1">
      <c r="A138" s="139"/>
      <c r="B138" s="25"/>
      <c r="C138" s="25"/>
      <c r="D138" s="138"/>
      <c r="E138" s="25"/>
      <c r="F138" s="138"/>
      <c r="G138" s="26"/>
    </row>
    <row r="139" ht="22.5" customHeight="1">
      <c r="A139" s="139"/>
      <c r="B139" s="25"/>
      <c r="C139" s="25"/>
      <c r="D139" s="138"/>
      <c r="E139" s="25"/>
      <c r="F139" s="138"/>
      <c r="G139" s="26"/>
    </row>
    <row r="140" ht="22.5" customHeight="1">
      <c r="A140" s="139"/>
      <c r="B140" s="25"/>
      <c r="C140" s="25"/>
      <c r="D140" s="138"/>
      <c r="E140" s="25"/>
      <c r="F140" s="138"/>
      <c r="G140" s="26"/>
    </row>
    <row r="141" ht="22.5" customHeight="1">
      <c r="A141" s="139"/>
      <c r="B141" s="25"/>
      <c r="C141" s="25"/>
      <c r="D141" s="138"/>
      <c r="E141" s="25"/>
      <c r="F141" s="138"/>
      <c r="G141" s="26"/>
    </row>
    <row r="142" ht="22.5" customHeight="1">
      <c r="A142" s="139"/>
      <c r="B142" s="25"/>
      <c r="C142" s="25"/>
      <c r="D142" s="138"/>
      <c r="E142" s="25"/>
      <c r="F142" s="138"/>
      <c r="G142" s="26"/>
    </row>
    <row r="143" ht="22.5" customHeight="1">
      <c r="A143" s="139"/>
      <c r="B143" s="25"/>
      <c r="C143" s="25"/>
      <c r="D143" s="138"/>
      <c r="E143" s="25"/>
      <c r="F143" s="138"/>
      <c r="G143" s="26"/>
    </row>
    <row r="144" ht="22.5" customHeight="1">
      <c r="A144" s="139"/>
      <c r="B144" s="25"/>
      <c r="C144" s="25"/>
      <c r="D144" s="138"/>
      <c r="E144" s="25"/>
      <c r="F144" s="138"/>
      <c r="G144" s="26"/>
    </row>
    <row r="145" ht="22.5" customHeight="1">
      <c r="A145" s="139"/>
      <c r="B145" s="25"/>
      <c r="C145" s="25"/>
      <c r="D145" s="138"/>
      <c r="E145" s="25"/>
      <c r="F145" s="138"/>
      <c r="G145" s="26"/>
    </row>
    <row r="146" ht="22.5" customHeight="1">
      <c r="A146" s="139"/>
      <c r="B146" s="25"/>
      <c r="C146" s="25"/>
      <c r="D146" s="138"/>
      <c r="E146" s="25"/>
      <c r="F146" s="138"/>
      <c r="G146" s="26"/>
    </row>
    <row r="147" ht="22.5" customHeight="1">
      <c r="A147" s="139"/>
      <c r="B147" s="25"/>
      <c r="C147" s="25"/>
      <c r="D147" s="138"/>
      <c r="E147" s="25"/>
      <c r="F147" s="138"/>
      <c r="G147" s="26"/>
    </row>
    <row r="148" ht="22.5" customHeight="1">
      <c r="A148" s="139"/>
      <c r="B148" s="25"/>
      <c r="C148" s="25"/>
      <c r="D148" s="138"/>
      <c r="E148" s="25"/>
      <c r="F148" s="138"/>
      <c r="G148" s="26"/>
    </row>
    <row r="149" ht="22.5" customHeight="1">
      <c r="A149" s="139"/>
      <c r="B149" s="25"/>
      <c r="C149" s="25"/>
      <c r="D149" s="138"/>
      <c r="E149" s="25"/>
      <c r="F149" s="138"/>
      <c r="G149" s="26"/>
    </row>
    <row r="150" ht="22.5" customHeight="1">
      <c r="A150" s="139"/>
      <c r="B150" s="25"/>
      <c r="C150" s="25"/>
      <c r="D150" s="138"/>
      <c r="E150" s="25"/>
      <c r="F150" s="138"/>
      <c r="G150" s="26"/>
    </row>
    <row r="151" ht="22.5" customHeight="1">
      <c r="A151" s="139"/>
      <c r="B151" s="25"/>
      <c r="C151" s="25"/>
      <c r="D151" s="138"/>
      <c r="E151" s="25"/>
      <c r="F151" s="138"/>
      <c r="G151" s="26"/>
    </row>
    <row r="152" ht="22.5" customHeight="1">
      <c r="A152" s="139"/>
      <c r="B152" s="25"/>
      <c r="C152" s="25"/>
      <c r="D152" s="138"/>
      <c r="E152" s="25"/>
      <c r="F152" s="138"/>
      <c r="G152" s="26"/>
    </row>
    <row r="153" ht="22.5" customHeight="1">
      <c r="A153" s="139"/>
      <c r="B153" s="25"/>
      <c r="C153" s="25"/>
      <c r="D153" s="138"/>
      <c r="E153" s="25"/>
      <c r="F153" s="138"/>
      <c r="G153" s="26"/>
    </row>
    <row r="154" ht="22.5" customHeight="1">
      <c r="A154" s="139"/>
      <c r="B154" s="25"/>
      <c r="C154" s="25"/>
      <c r="D154" s="138"/>
      <c r="E154" s="25"/>
      <c r="F154" s="138"/>
      <c r="G154" s="26"/>
    </row>
    <row r="155" ht="22.5" customHeight="1">
      <c r="A155" s="139"/>
      <c r="B155" s="25"/>
      <c r="C155" s="25"/>
      <c r="D155" s="138"/>
      <c r="E155" s="25"/>
      <c r="F155" s="138"/>
      <c r="G155" s="26"/>
    </row>
    <row r="156" ht="22.5" customHeight="1">
      <c r="A156" s="139"/>
      <c r="B156" s="25"/>
      <c r="C156" s="25"/>
      <c r="D156" s="138"/>
      <c r="E156" s="25"/>
      <c r="F156" s="138"/>
      <c r="G156" s="26"/>
    </row>
    <row r="157" ht="22.5" customHeight="1">
      <c r="A157" s="139"/>
      <c r="B157" s="25"/>
      <c r="C157" s="25"/>
      <c r="D157" s="138"/>
      <c r="E157" s="25"/>
      <c r="F157" s="138"/>
      <c r="G157" s="26"/>
    </row>
    <row r="158" ht="22.5" customHeight="1">
      <c r="A158" s="139"/>
      <c r="B158" s="25"/>
      <c r="C158" s="25"/>
      <c r="D158" s="138"/>
      <c r="E158" s="25"/>
      <c r="F158" s="138"/>
      <c r="G158" s="26"/>
    </row>
    <row r="159" ht="22.5" customHeight="1">
      <c r="A159" s="139"/>
      <c r="B159" s="25"/>
      <c r="C159" s="25"/>
      <c r="D159" s="138"/>
      <c r="E159" s="25"/>
      <c r="F159" s="138"/>
      <c r="G159" s="26"/>
    </row>
    <row r="160" ht="22.5" customHeight="1">
      <c r="A160" s="139"/>
      <c r="B160" s="25"/>
      <c r="C160" s="25"/>
      <c r="D160" s="138"/>
      <c r="E160" s="25"/>
      <c r="F160" s="138"/>
      <c r="G160" s="26"/>
    </row>
    <row r="161" ht="22.5" customHeight="1">
      <c r="A161" s="139"/>
      <c r="B161" s="25"/>
      <c r="C161" s="25"/>
      <c r="D161" s="138"/>
      <c r="E161" s="25"/>
      <c r="F161" s="138"/>
      <c r="G161" s="26"/>
    </row>
    <row r="162" ht="22.5" customHeight="1">
      <c r="A162" s="139"/>
      <c r="B162" s="25"/>
      <c r="C162" s="25"/>
      <c r="D162" s="138"/>
      <c r="E162" s="25"/>
      <c r="F162" s="138"/>
      <c r="G162" s="26"/>
    </row>
    <row r="163" ht="22.5" customHeight="1">
      <c r="A163" s="139"/>
      <c r="B163" s="25"/>
      <c r="C163" s="25"/>
      <c r="D163" s="138"/>
      <c r="E163" s="25"/>
      <c r="F163" s="138"/>
      <c r="G163" s="26"/>
    </row>
    <row r="164" ht="22.5" customHeight="1">
      <c r="A164" s="139"/>
      <c r="B164" s="25"/>
      <c r="C164" s="25"/>
      <c r="D164" s="138"/>
      <c r="E164" s="25"/>
      <c r="F164" s="138"/>
      <c r="G164" s="26"/>
    </row>
    <row r="165" ht="22.5" customHeight="1">
      <c r="A165" s="139"/>
      <c r="B165" s="25"/>
      <c r="C165" s="25"/>
      <c r="D165" s="138"/>
      <c r="E165" s="25"/>
      <c r="F165" s="138"/>
      <c r="G165" s="26"/>
    </row>
    <row r="166" ht="22.5" customHeight="1">
      <c r="A166" s="139"/>
      <c r="B166" s="25"/>
      <c r="C166" s="25"/>
      <c r="D166" s="138"/>
      <c r="E166" s="25"/>
      <c r="F166" s="138"/>
      <c r="G166" s="26"/>
    </row>
    <row r="167" ht="22.5" customHeight="1">
      <c r="A167" s="139"/>
      <c r="B167" s="25"/>
      <c r="C167" s="25"/>
      <c r="D167" s="138"/>
      <c r="E167" s="25"/>
      <c r="F167" s="138"/>
      <c r="G167" s="26"/>
    </row>
    <row r="168" ht="22.5" customHeight="1">
      <c r="A168" s="139"/>
      <c r="B168" s="25"/>
      <c r="C168" s="25"/>
      <c r="D168" s="138"/>
      <c r="E168" s="25"/>
      <c r="F168" s="138"/>
      <c r="G168" s="26"/>
    </row>
    <row r="169" ht="22.5" customHeight="1">
      <c r="A169" s="139"/>
      <c r="B169" s="25"/>
      <c r="C169" s="25"/>
      <c r="D169" s="138"/>
      <c r="E169" s="25"/>
      <c r="F169" s="138"/>
      <c r="G169" s="26"/>
    </row>
    <row r="170" ht="22.5" customHeight="1">
      <c r="A170" s="139"/>
      <c r="B170" s="25"/>
      <c r="C170" s="25"/>
      <c r="D170" s="138"/>
      <c r="E170" s="25"/>
      <c r="F170" s="138"/>
      <c r="G170" s="26"/>
    </row>
    <row r="171" ht="22.5" customHeight="1">
      <c r="A171" s="139"/>
      <c r="B171" s="25"/>
      <c r="C171" s="25"/>
      <c r="D171" s="138"/>
      <c r="E171" s="25"/>
      <c r="F171" s="138"/>
      <c r="G171" s="26"/>
    </row>
    <row r="172" ht="22.5" customHeight="1">
      <c r="A172" s="139"/>
      <c r="B172" s="25"/>
      <c r="C172" s="25"/>
      <c r="D172" s="138"/>
      <c r="E172" s="25"/>
      <c r="F172" s="138"/>
      <c r="G172" s="26"/>
    </row>
    <row r="173" ht="22.5" customHeight="1">
      <c r="A173" s="139"/>
      <c r="B173" s="25"/>
      <c r="C173" s="25"/>
      <c r="D173" s="138"/>
      <c r="E173" s="25"/>
      <c r="F173" s="138"/>
      <c r="G173" s="26"/>
    </row>
    <row r="174" ht="22.5" customHeight="1">
      <c r="A174" s="139"/>
      <c r="B174" s="25"/>
      <c r="C174" s="25"/>
      <c r="D174" s="138"/>
      <c r="E174" s="25"/>
      <c r="F174" s="138"/>
      <c r="G174" s="26"/>
    </row>
    <row r="175" ht="22.5" customHeight="1">
      <c r="A175" s="139"/>
      <c r="B175" s="25"/>
      <c r="C175" s="25"/>
      <c r="D175" s="138"/>
      <c r="E175" s="25"/>
      <c r="F175" s="138"/>
      <c r="G175" s="26"/>
    </row>
    <row r="176" ht="22.5" customHeight="1">
      <c r="A176" s="139"/>
      <c r="B176" s="25"/>
      <c r="C176" s="25"/>
      <c r="D176" s="138"/>
      <c r="E176" s="25"/>
      <c r="F176" s="138"/>
      <c r="G176" s="26"/>
    </row>
    <row r="177" ht="22.5" customHeight="1">
      <c r="A177" s="139"/>
      <c r="B177" s="25"/>
      <c r="C177" s="25"/>
      <c r="D177" s="138"/>
      <c r="E177" s="25"/>
      <c r="F177" s="138"/>
      <c r="G177" s="26"/>
    </row>
    <row r="178" ht="22.5" customHeight="1">
      <c r="A178" s="139"/>
      <c r="B178" s="25"/>
      <c r="C178" s="25"/>
      <c r="D178" s="138"/>
      <c r="E178" s="25"/>
      <c r="F178" s="138"/>
      <c r="G178" s="26"/>
    </row>
    <row r="179" ht="22.5" customHeight="1">
      <c r="A179" s="139"/>
      <c r="B179" s="25"/>
      <c r="C179" s="25"/>
      <c r="D179" s="138"/>
      <c r="E179" s="25"/>
      <c r="F179" s="138"/>
      <c r="G179" s="26"/>
    </row>
    <row r="180" ht="22.5" customHeight="1">
      <c r="A180" s="139"/>
      <c r="B180" s="25"/>
      <c r="C180" s="25"/>
      <c r="D180" s="138"/>
      <c r="E180" s="25"/>
      <c r="F180" s="138"/>
      <c r="G180" s="26"/>
    </row>
    <row r="181" ht="22.5" customHeight="1">
      <c r="A181" s="139"/>
      <c r="B181" s="25"/>
      <c r="C181" s="25"/>
      <c r="D181" s="138"/>
      <c r="E181" s="25"/>
      <c r="F181" s="138"/>
      <c r="G181" s="26"/>
    </row>
    <row r="182" ht="22.5" customHeight="1">
      <c r="A182" s="139"/>
      <c r="B182" s="25"/>
      <c r="C182" s="25"/>
      <c r="D182" s="138"/>
      <c r="E182" s="25"/>
      <c r="F182" s="138"/>
      <c r="G182" s="26"/>
    </row>
    <row r="183" ht="22.5" customHeight="1">
      <c r="A183" s="139"/>
      <c r="B183" s="25"/>
      <c r="C183" s="25"/>
      <c r="D183" s="138"/>
      <c r="E183" s="25"/>
      <c r="F183" s="138"/>
      <c r="G183" s="26"/>
    </row>
    <row r="184" ht="22.5" customHeight="1">
      <c r="A184" s="139"/>
      <c r="B184" s="25"/>
      <c r="C184" s="25"/>
      <c r="D184" s="138"/>
      <c r="E184" s="25"/>
      <c r="F184" s="138"/>
      <c r="G184" s="26"/>
    </row>
    <row r="185" ht="22.5" customHeight="1">
      <c r="A185" s="139"/>
      <c r="B185" s="25"/>
      <c r="C185" s="25"/>
      <c r="D185" s="138"/>
      <c r="E185" s="25"/>
      <c r="F185" s="138"/>
      <c r="G185" s="26"/>
    </row>
    <row r="186" ht="22.5" customHeight="1">
      <c r="A186" s="139"/>
      <c r="B186" s="25"/>
      <c r="C186" s="25"/>
      <c r="D186" s="138"/>
      <c r="E186" s="25"/>
      <c r="F186" s="138"/>
      <c r="G186" s="26"/>
    </row>
    <row r="187" ht="22.5" customHeight="1">
      <c r="A187" s="139"/>
      <c r="B187" s="25"/>
      <c r="C187" s="25"/>
      <c r="D187" s="138"/>
      <c r="E187" s="25"/>
      <c r="F187" s="138"/>
      <c r="G187" s="26"/>
    </row>
    <row r="188" ht="22.5" customHeight="1">
      <c r="A188" s="139"/>
      <c r="B188" s="25"/>
      <c r="C188" s="25"/>
      <c r="D188" s="138"/>
      <c r="E188" s="25"/>
      <c r="F188" s="138"/>
      <c r="G188" s="26"/>
    </row>
    <row r="189" ht="22.5" customHeight="1">
      <c r="A189" s="139"/>
      <c r="B189" s="25"/>
      <c r="C189" s="25"/>
      <c r="D189" s="138"/>
      <c r="E189" s="25"/>
      <c r="F189" s="138"/>
      <c r="G189" s="26"/>
    </row>
    <row r="190" ht="22.5" customHeight="1">
      <c r="A190" s="139"/>
      <c r="B190" s="25"/>
      <c r="C190" s="25"/>
      <c r="D190" s="138"/>
      <c r="E190" s="25"/>
      <c r="F190" s="138"/>
      <c r="G190" s="26"/>
    </row>
    <row r="191" ht="22.5" customHeight="1">
      <c r="A191" s="139"/>
      <c r="B191" s="25"/>
      <c r="C191" s="25"/>
      <c r="D191" s="138"/>
      <c r="E191" s="25"/>
      <c r="F191" s="138"/>
      <c r="G191" s="26"/>
    </row>
    <row r="192" ht="22.5" customHeight="1">
      <c r="A192" s="139"/>
      <c r="B192" s="25"/>
      <c r="C192" s="25"/>
      <c r="D192" s="138"/>
      <c r="E192" s="25"/>
      <c r="F192" s="138"/>
      <c r="G192" s="26"/>
    </row>
    <row r="193" ht="22.5" customHeight="1">
      <c r="A193" s="139"/>
      <c r="B193" s="25"/>
      <c r="C193" s="25"/>
      <c r="D193" s="138"/>
      <c r="E193" s="25"/>
      <c r="F193" s="138"/>
      <c r="G193" s="26"/>
    </row>
    <row r="194" ht="22.5" customHeight="1">
      <c r="A194" s="139"/>
      <c r="B194" s="25"/>
      <c r="C194" s="25"/>
      <c r="D194" s="138"/>
      <c r="E194" s="25"/>
      <c r="F194" s="138"/>
      <c r="G194" s="26"/>
    </row>
    <row r="195" ht="22.5" customHeight="1">
      <c r="A195" s="139"/>
      <c r="B195" s="25"/>
      <c r="C195" s="25"/>
      <c r="D195" s="138"/>
      <c r="E195" s="25"/>
      <c r="F195" s="138"/>
      <c r="G195" s="26"/>
    </row>
    <row r="196" ht="22.5" customHeight="1">
      <c r="A196" s="139"/>
      <c r="B196" s="25"/>
      <c r="C196" s="25"/>
      <c r="D196" s="138"/>
      <c r="E196" s="25"/>
      <c r="F196" s="138"/>
      <c r="G196" s="26"/>
    </row>
    <row r="197" ht="22.5" customHeight="1">
      <c r="A197" s="139"/>
      <c r="B197" s="25"/>
      <c r="C197" s="25"/>
      <c r="D197" s="138"/>
      <c r="E197" s="25"/>
      <c r="F197" s="138"/>
      <c r="G197" s="26"/>
    </row>
    <row r="198" ht="22.5" customHeight="1">
      <c r="A198" s="139"/>
      <c r="B198" s="25"/>
      <c r="C198" s="25"/>
      <c r="D198" s="138"/>
      <c r="E198" s="25"/>
      <c r="F198" s="138"/>
      <c r="G198" s="26"/>
    </row>
    <row r="199" ht="22.5" customHeight="1">
      <c r="A199" s="139"/>
      <c r="B199" s="25"/>
      <c r="C199" s="25"/>
      <c r="D199" s="138"/>
      <c r="E199" s="25"/>
      <c r="F199" s="138"/>
      <c r="G199" s="26"/>
    </row>
    <row r="200" ht="22.5" customHeight="1">
      <c r="A200" s="139"/>
      <c r="B200" s="25"/>
      <c r="C200" s="25"/>
      <c r="D200" s="138"/>
      <c r="E200" s="25"/>
      <c r="F200" s="138"/>
      <c r="G200" s="26"/>
    </row>
    <row r="201" ht="22.5" customHeight="1">
      <c r="A201" s="139"/>
      <c r="B201" s="25"/>
      <c r="C201" s="25"/>
      <c r="D201" s="138"/>
      <c r="E201" s="25"/>
      <c r="F201" s="138"/>
      <c r="G201" s="26"/>
    </row>
    <row r="202" ht="22.5" customHeight="1">
      <c r="A202" s="139"/>
      <c r="B202" s="25"/>
      <c r="C202" s="25"/>
      <c r="D202" s="138"/>
      <c r="E202" s="25"/>
      <c r="F202" s="138"/>
      <c r="G202" s="26"/>
    </row>
    <row r="203" ht="22.5" customHeight="1">
      <c r="A203" s="139"/>
      <c r="B203" s="25"/>
      <c r="C203" s="25"/>
      <c r="D203" s="138"/>
      <c r="E203" s="25"/>
      <c r="F203" s="138"/>
      <c r="G203" s="26"/>
    </row>
    <row r="204" ht="22.5" customHeight="1">
      <c r="A204" s="139"/>
      <c r="B204" s="25"/>
      <c r="C204" s="25"/>
      <c r="D204" s="138"/>
      <c r="E204" s="25"/>
      <c r="F204" s="138"/>
      <c r="G204" s="26"/>
    </row>
    <row r="205" ht="22.5" customHeight="1">
      <c r="A205" s="139"/>
      <c r="B205" s="25"/>
      <c r="C205" s="25"/>
      <c r="D205" s="138"/>
      <c r="E205" s="25"/>
      <c r="F205" s="138"/>
      <c r="G205" s="26"/>
    </row>
    <row r="206" ht="22.5" customHeight="1">
      <c r="A206" s="139"/>
      <c r="B206" s="25"/>
      <c r="C206" s="25"/>
      <c r="D206" s="138"/>
      <c r="E206" s="25"/>
      <c r="F206" s="138"/>
      <c r="G206" s="26"/>
    </row>
    <row r="207" ht="22.5" customHeight="1">
      <c r="A207" s="139"/>
      <c r="B207" s="25"/>
      <c r="C207" s="25"/>
      <c r="D207" s="138"/>
      <c r="E207" s="25"/>
      <c r="F207" s="138"/>
      <c r="G207" s="26"/>
    </row>
    <row r="208" ht="22.5" customHeight="1">
      <c r="A208" s="139"/>
      <c r="B208" s="25"/>
      <c r="C208" s="25"/>
      <c r="D208" s="138"/>
      <c r="E208" s="25"/>
      <c r="F208" s="138"/>
      <c r="G208" s="26"/>
    </row>
    <row r="209" ht="22.5" customHeight="1">
      <c r="A209" s="139"/>
      <c r="B209" s="25"/>
      <c r="C209" s="25"/>
      <c r="D209" s="138"/>
      <c r="E209" s="25"/>
      <c r="F209" s="138"/>
      <c r="G209" s="26"/>
    </row>
    <row r="210" ht="22.5" customHeight="1">
      <c r="A210" s="139"/>
      <c r="B210" s="25"/>
      <c r="C210" s="25"/>
      <c r="D210" s="138"/>
      <c r="E210" s="25"/>
      <c r="F210" s="138"/>
      <c r="G210" s="26"/>
    </row>
    <row r="211" ht="22.5" customHeight="1">
      <c r="A211" s="139"/>
      <c r="B211" s="25"/>
      <c r="C211" s="25"/>
      <c r="D211" s="138"/>
      <c r="E211" s="25"/>
      <c r="F211" s="138"/>
      <c r="G211" s="26"/>
    </row>
    <row r="212" ht="22.5" customHeight="1">
      <c r="A212" s="139"/>
      <c r="B212" s="25"/>
      <c r="C212" s="25"/>
      <c r="D212" s="138"/>
      <c r="E212" s="25"/>
      <c r="F212" s="138"/>
      <c r="G212" s="26"/>
    </row>
    <row r="213" ht="22.5" customHeight="1">
      <c r="A213" s="139"/>
      <c r="B213" s="25"/>
      <c r="C213" s="25"/>
      <c r="D213" s="138"/>
      <c r="E213" s="25"/>
      <c r="F213" s="138"/>
      <c r="G213" s="26"/>
    </row>
    <row r="214" ht="22.5" customHeight="1">
      <c r="A214" s="139"/>
      <c r="B214" s="25"/>
      <c r="C214" s="25"/>
      <c r="D214" s="138"/>
      <c r="E214" s="25"/>
      <c r="F214" s="138"/>
      <c r="G214" s="26"/>
    </row>
    <row r="215" ht="22.5" customHeight="1">
      <c r="A215" s="139"/>
      <c r="B215" s="25"/>
      <c r="C215" s="25"/>
      <c r="D215" s="138"/>
      <c r="E215" s="25"/>
      <c r="F215" s="138"/>
      <c r="G215" s="26"/>
    </row>
    <row r="216" ht="22.5" customHeight="1">
      <c r="A216" s="139"/>
      <c r="B216" s="25"/>
      <c r="C216" s="25"/>
      <c r="D216" s="138"/>
      <c r="E216" s="25"/>
      <c r="F216" s="138"/>
      <c r="G216" s="26"/>
    </row>
    <row r="217" ht="22.5" customHeight="1">
      <c r="A217" s="139"/>
      <c r="B217" s="25"/>
      <c r="C217" s="25"/>
      <c r="D217" s="138"/>
      <c r="E217" s="25"/>
      <c r="F217" s="138"/>
      <c r="G217" s="26"/>
    </row>
    <row r="218" ht="22.5" customHeight="1">
      <c r="A218" s="139"/>
      <c r="B218" s="25"/>
      <c r="C218" s="25"/>
      <c r="D218" s="138"/>
      <c r="E218" s="25"/>
      <c r="F218" s="138"/>
      <c r="G218" s="26"/>
    </row>
    <row r="219" ht="22.5" customHeight="1">
      <c r="A219" s="139"/>
      <c r="B219" s="25"/>
      <c r="C219" s="25"/>
      <c r="D219" s="138"/>
      <c r="E219" s="25"/>
      <c r="F219" s="138"/>
      <c r="G219" s="26"/>
    </row>
    <row r="220" ht="22.5" customHeight="1">
      <c r="A220" s="139"/>
      <c r="B220" s="25"/>
      <c r="C220" s="25"/>
      <c r="D220" s="138"/>
      <c r="E220" s="25"/>
      <c r="F220" s="138"/>
      <c r="G220" s="26"/>
    </row>
    <row r="221" ht="22.5" customHeight="1">
      <c r="A221" s="139"/>
      <c r="B221" s="25"/>
      <c r="C221" s="25"/>
      <c r="D221" s="138"/>
      <c r="E221" s="25"/>
      <c r="F221" s="138"/>
      <c r="G221" s="26"/>
    </row>
    <row r="222" ht="22.5" customHeight="1">
      <c r="A222" s="139"/>
      <c r="B222" s="25"/>
      <c r="C222" s="25"/>
      <c r="D222" s="138"/>
      <c r="E222" s="25"/>
      <c r="F222" s="138"/>
      <c r="G222" s="26"/>
    </row>
    <row r="223" ht="22.5" customHeight="1">
      <c r="A223" s="139"/>
      <c r="B223" s="25"/>
      <c r="C223" s="25"/>
      <c r="D223" s="138"/>
      <c r="E223" s="25"/>
      <c r="F223" s="138"/>
      <c r="G223" s="26"/>
    </row>
    <row r="224" ht="22.5" customHeight="1">
      <c r="A224" s="139"/>
      <c r="B224" s="25"/>
      <c r="C224" s="25"/>
      <c r="D224" s="138"/>
      <c r="E224" s="25"/>
      <c r="F224" s="138"/>
      <c r="G224" s="26"/>
    </row>
    <row r="225" ht="22.5" customHeight="1">
      <c r="A225" s="139"/>
      <c r="B225" s="25"/>
      <c r="C225" s="25"/>
      <c r="D225" s="138"/>
      <c r="E225" s="25"/>
      <c r="F225" s="138"/>
      <c r="G225" s="26"/>
    </row>
    <row r="226" ht="22.5" customHeight="1">
      <c r="A226" s="139"/>
      <c r="B226" s="25"/>
      <c r="C226" s="25"/>
      <c r="D226" s="138"/>
      <c r="E226" s="25"/>
      <c r="F226" s="138"/>
      <c r="G226" s="26"/>
    </row>
    <row r="227" ht="22.5" customHeight="1">
      <c r="A227" s="139"/>
      <c r="B227" s="25"/>
      <c r="C227" s="25"/>
      <c r="D227" s="138"/>
      <c r="E227" s="25"/>
      <c r="F227" s="138"/>
      <c r="G227" s="26"/>
    </row>
    <row r="228" ht="22.5" customHeight="1">
      <c r="A228" s="139"/>
      <c r="B228" s="25"/>
      <c r="C228" s="25"/>
      <c r="D228" s="138"/>
      <c r="E228" s="25"/>
      <c r="F228" s="138"/>
      <c r="G228" s="26"/>
    </row>
    <row r="229" ht="22.5" customHeight="1">
      <c r="A229" s="139"/>
      <c r="B229" s="25"/>
      <c r="C229" s="25"/>
      <c r="D229" s="138"/>
      <c r="E229" s="25"/>
      <c r="F229" s="138"/>
      <c r="G229" s="26"/>
    </row>
    <row r="230" ht="22.5" customHeight="1">
      <c r="A230" s="139"/>
      <c r="B230" s="25"/>
      <c r="C230" s="25"/>
      <c r="D230" s="138"/>
      <c r="E230" s="25"/>
      <c r="F230" s="138"/>
      <c r="G230" s="26"/>
    </row>
    <row r="231" ht="22.5" customHeight="1">
      <c r="A231" s="139"/>
      <c r="B231" s="25"/>
      <c r="C231" s="25"/>
      <c r="D231" s="138"/>
      <c r="E231" s="25"/>
      <c r="F231" s="138"/>
      <c r="G231" s="26"/>
    </row>
    <row r="232" ht="22.5" customHeight="1">
      <c r="A232" s="139"/>
      <c r="B232" s="25"/>
      <c r="C232" s="25"/>
      <c r="D232" s="138"/>
      <c r="E232" s="25"/>
      <c r="F232" s="138"/>
      <c r="G232" s="26"/>
    </row>
    <row r="233" ht="22.5" customHeight="1">
      <c r="A233" s="139"/>
      <c r="B233" s="25"/>
      <c r="C233" s="25"/>
      <c r="D233" s="138"/>
      <c r="E233" s="25"/>
      <c r="F233" s="138"/>
      <c r="G233" s="26"/>
    </row>
    <row r="234" ht="22.5" customHeight="1">
      <c r="A234" s="139"/>
      <c r="B234" s="25"/>
      <c r="C234" s="25"/>
      <c r="D234" s="138"/>
      <c r="E234" s="25"/>
      <c r="F234" s="138"/>
      <c r="G234" s="26"/>
    </row>
    <row r="235" ht="22.5" customHeight="1">
      <c r="A235" s="139"/>
      <c r="B235" s="25"/>
      <c r="C235" s="25"/>
      <c r="D235" s="138"/>
      <c r="E235" s="25"/>
      <c r="F235" s="138"/>
      <c r="G235" s="26"/>
    </row>
    <row r="236" ht="22.5" customHeight="1">
      <c r="A236" s="139"/>
      <c r="B236" s="25"/>
      <c r="C236" s="25"/>
      <c r="D236" s="138"/>
      <c r="E236" s="25"/>
      <c r="F236" s="138"/>
      <c r="G236" s="26"/>
    </row>
    <row r="237" ht="22.5" customHeight="1">
      <c r="A237" s="139"/>
      <c r="B237" s="25"/>
      <c r="C237" s="25"/>
      <c r="D237" s="138"/>
      <c r="E237" s="25"/>
      <c r="F237" s="138"/>
      <c r="G237" s="26"/>
    </row>
    <row r="238" ht="22.5" customHeight="1">
      <c r="A238" s="139"/>
      <c r="B238" s="25"/>
      <c r="C238" s="25"/>
      <c r="D238" s="138"/>
      <c r="E238" s="25"/>
      <c r="F238" s="138"/>
      <c r="G238" s="26"/>
    </row>
    <row r="239" ht="22.5" customHeight="1">
      <c r="A239" s="139"/>
      <c r="B239" s="25"/>
      <c r="C239" s="25"/>
      <c r="D239" s="138"/>
      <c r="E239" s="25"/>
      <c r="F239" s="138"/>
      <c r="G239" s="26"/>
    </row>
    <row r="240" ht="22.5" customHeight="1">
      <c r="A240" s="139"/>
      <c r="B240" s="25"/>
      <c r="C240" s="25"/>
      <c r="D240" s="138"/>
      <c r="E240" s="25"/>
      <c r="F240" s="138"/>
      <c r="G240" s="26"/>
    </row>
    <row r="241" ht="22.5" customHeight="1">
      <c r="A241" s="139"/>
      <c r="B241" s="25"/>
      <c r="C241" s="25"/>
      <c r="D241" s="138"/>
      <c r="E241" s="25"/>
      <c r="F241" s="138"/>
      <c r="G241" s="26"/>
    </row>
    <row r="242" ht="22.5" customHeight="1">
      <c r="A242" s="139"/>
      <c r="B242" s="25"/>
      <c r="C242" s="25"/>
      <c r="D242" s="138"/>
      <c r="E242" s="25"/>
      <c r="F242" s="138"/>
      <c r="G242" s="26"/>
    </row>
    <row r="243" ht="22.5" customHeight="1">
      <c r="A243" s="139"/>
      <c r="B243" s="25"/>
      <c r="C243" s="25"/>
      <c r="D243" s="138"/>
      <c r="E243" s="25"/>
      <c r="F243" s="138"/>
      <c r="G243" s="26"/>
    </row>
    <row r="244" ht="22.5" customHeight="1">
      <c r="A244" s="139"/>
      <c r="B244" s="25"/>
      <c r="C244" s="25"/>
      <c r="D244" s="138"/>
      <c r="E244" s="25"/>
      <c r="F244" s="138"/>
      <c r="G244" s="26"/>
    </row>
    <row r="245" ht="22.5" customHeight="1">
      <c r="A245" s="139"/>
      <c r="B245" s="25"/>
      <c r="C245" s="25"/>
      <c r="D245" s="138"/>
      <c r="E245" s="25"/>
      <c r="F245" s="138"/>
      <c r="G245" s="26"/>
    </row>
    <row r="246" ht="22.5" customHeight="1">
      <c r="A246" s="139"/>
      <c r="B246" s="25"/>
      <c r="C246" s="25"/>
      <c r="D246" s="138"/>
      <c r="E246" s="25"/>
      <c r="F246" s="138"/>
      <c r="G246" s="26"/>
    </row>
    <row r="247" ht="22.5" customHeight="1">
      <c r="A247" s="139"/>
      <c r="B247" s="25"/>
      <c r="C247" s="25"/>
      <c r="D247" s="138"/>
      <c r="E247" s="25"/>
      <c r="F247" s="138"/>
      <c r="G247" s="26"/>
    </row>
    <row r="248" ht="22.5" customHeight="1">
      <c r="A248" s="139"/>
      <c r="B248" s="25"/>
      <c r="C248" s="25"/>
      <c r="D248" s="138"/>
      <c r="E248" s="25"/>
      <c r="F248" s="138"/>
      <c r="G248" s="26"/>
    </row>
    <row r="249" ht="22.5" customHeight="1">
      <c r="A249" s="139"/>
      <c r="B249" s="25"/>
      <c r="C249" s="25"/>
      <c r="D249" s="138"/>
      <c r="E249" s="25"/>
      <c r="F249" s="138"/>
      <c r="G249" s="26"/>
    </row>
    <row r="250" ht="22.5" customHeight="1">
      <c r="A250" s="139"/>
      <c r="B250" s="25"/>
      <c r="C250" s="25"/>
      <c r="D250" s="138"/>
      <c r="E250" s="25"/>
      <c r="F250" s="138"/>
      <c r="G250" s="26"/>
    </row>
    <row r="251" ht="22.5" customHeight="1">
      <c r="A251" s="139"/>
      <c r="B251" s="25"/>
      <c r="C251" s="25"/>
      <c r="D251" s="138"/>
      <c r="E251" s="25"/>
      <c r="F251" s="138"/>
      <c r="G251" s="26"/>
    </row>
    <row r="252" ht="22.5" customHeight="1">
      <c r="A252" s="139"/>
      <c r="B252" s="25"/>
      <c r="C252" s="25"/>
      <c r="D252" s="138"/>
      <c r="E252" s="25"/>
      <c r="F252" s="138"/>
      <c r="G252" s="26"/>
    </row>
    <row r="253" ht="22.5" customHeight="1">
      <c r="A253" s="139"/>
      <c r="B253" s="25"/>
      <c r="C253" s="25"/>
      <c r="D253" s="138"/>
      <c r="E253" s="25"/>
      <c r="F253" s="138"/>
      <c r="G253" s="26"/>
    </row>
    <row r="254" ht="22.5" customHeight="1">
      <c r="A254" s="139"/>
      <c r="B254" s="25"/>
      <c r="C254" s="25"/>
      <c r="D254" s="138"/>
      <c r="E254" s="25"/>
      <c r="F254" s="138"/>
      <c r="G254" s="26"/>
    </row>
    <row r="255" ht="22.5" customHeight="1">
      <c r="A255" s="139"/>
      <c r="B255" s="25"/>
      <c r="C255" s="25"/>
      <c r="D255" s="138"/>
      <c r="E255" s="25"/>
      <c r="F255" s="138"/>
      <c r="G255" s="26"/>
    </row>
    <row r="256" ht="22.5" customHeight="1">
      <c r="A256" s="139"/>
      <c r="B256" s="25"/>
      <c r="C256" s="25"/>
      <c r="D256" s="138"/>
      <c r="E256" s="25"/>
      <c r="F256" s="138"/>
      <c r="G256" s="26"/>
    </row>
    <row r="257" ht="22.5" customHeight="1">
      <c r="A257" s="139"/>
      <c r="B257" s="25"/>
      <c r="C257" s="25"/>
      <c r="D257" s="138"/>
      <c r="E257" s="25"/>
      <c r="F257" s="138"/>
      <c r="G257" s="26"/>
    </row>
    <row r="258" ht="22.5" customHeight="1">
      <c r="A258" s="139"/>
      <c r="B258" s="25"/>
      <c r="C258" s="25"/>
      <c r="D258" s="138"/>
      <c r="E258" s="25"/>
      <c r="F258" s="138"/>
      <c r="G258" s="26"/>
    </row>
    <row r="259" ht="22.5" customHeight="1">
      <c r="A259" s="139"/>
      <c r="B259" s="25"/>
      <c r="C259" s="25"/>
      <c r="D259" s="138"/>
      <c r="E259" s="25"/>
      <c r="F259" s="138"/>
      <c r="G259" s="26"/>
    </row>
    <row r="260" ht="22.5" customHeight="1">
      <c r="A260" s="139"/>
      <c r="B260" s="25"/>
      <c r="C260" s="25"/>
      <c r="D260" s="138"/>
      <c r="E260" s="25"/>
      <c r="F260" s="138"/>
      <c r="G260" s="26"/>
    </row>
    <row r="261" ht="22.5" customHeight="1">
      <c r="A261" s="139"/>
      <c r="B261" s="25"/>
      <c r="C261" s="25"/>
      <c r="D261" s="138"/>
      <c r="E261" s="25"/>
      <c r="F261" s="138"/>
      <c r="G261" s="26"/>
    </row>
    <row r="262" ht="22.5" customHeight="1">
      <c r="A262" s="139"/>
      <c r="B262" s="25"/>
      <c r="C262" s="25"/>
      <c r="D262" s="138"/>
      <c r="E262" s="25"/>
      <c r="F262" s="138"/>
      <c r="G262" s="26"/>
    </row>
    <row r="263" ht="22.5" customHeight="1">
      <c r="A263" s="139"/>
      <c r="B263" s="25"/>
      <c r="C263" s="25"/>
      <c r="D263" s="138"/>
      <c r="E263" s="25"/>
      <c r="F263" s="138"/>
      <c r="G263" s="26"/>
    </row>
    <row r="264" ht="22.5" customHeight="1">
      <c r="A264" s="139"/>
      <c r="B264" s="25"/>
      <c r="C264" s="25"/>
      <c r="D264" s="138"/>
      <c r="E264" s="25"/>
      <c r="F264" s="138"/>
      <c r="G264" s="26"/>
    </row>
    <row r="265" ht="22.5" customHeight="1">
      <c r="A265" s="139"/>
      <c r="B265" s="25"/>
      <c r="C265" s="25"/>
      <c r="D265" s="138"/>
      <c r="E265" s="25"/>
      <c r="F265" s="138"/>
      <c r="G265" s="26"/>
    </row>
    <row r="266" ht="22.5" customHeight="1">
      <c r="A266" s="139"/>
      <c r="B266" s="25"/>
      <c r="C266" s="25"/>
      <c r="D266" s="138"/>
      <c r="E266" s="25"/>
      <c r="F266" s="138"/>
      <c r="G266" s="26"/>
    </row>
    <row r="267" ht="22.5" customHeight="1">
      <c r="A267" s="139"/>
      <c r="B267" s="25"/>
      <c r="C267" s="25"/>
      <c r="D267" s="138"/>
      <c r="E267" s="25"/>
      <c r="F267" s="138"/>
      <c r="G267" s="26"/>
    </row>
    <row r="268" ht="22.5" customHeight="1">
      <c r="A268" s="139"/>
      <c r="B268" s="25"/>
      <c r="C268" s="25"/>
      <c r="D268" s="138"/>
      <c r="E268" s="25"/>
      <c r="F268" s="138"/>
      <c r="G268" s="26"/>
    </row>
    <row r="269" ht="22.5" customHeight="1">
      <c r="A269" s="139"/>
      <c r="B269" s="25"/>
      <c r="C269" s="25"/>
      <c r="D269" s="138"/>
      <c r="E269" s="25"/>
      <c r="F269" s="138"/>
      <c r="G269" s="26"/>
    </row>
    <row r="270" ht="22.5" customHeight="1">
      <c r="A270" s="139"/>
      <c r="B270" s="25"/>
      <c r="C270" s="25"/>
      <c r="D270" s="138"/>
      <c r="E270" s="25"/>
      <c r="F270" s="138"/>
      <c r="G270" s="26"/>
    </row>
    <row r="271" ht="22.5" customHeight="1">
      <c r="A271" s="139"/>
      <c r="B271" s="25"/>
      <c r="C271" s="25"/>
      <c r="D271" s="138"/>
      <c r="E271" s="25"/>
      <c r="F271" s="138"/>
      <c r="G271" s="26"/>
    </row>
    <row r="272" ht="22.5" customHeight="1">
      <c r="A272" s="139"/>
      <c r="B272" s="25"/>
      <c r="C272" s="25"/>
      <c r="D272" s="138"/>
      <c r="E272" s="25"/>
      <c r="F272" s="138"/>
      <c r="G272" s="26"/>
    </row>
    <row r="273" ht="22.5" customHeight="1">
      <c r="A273" s="139"/>
      <c r="B273" s="25"/>
      <c r="C273" s="25"/>
      <c r="D273" s="138"/>
      <c r="E273" s="25"/>
      <c r="F273" s="138"/>
      <c r="G273" s="26"/>
    </row>
    <row r="274" ht="22.5" customHeight="1">
      <c r="A274" s="139"/>
      <c r="B274" s="25"/>
      <c r="C274" s="25"/>
      <c r="D274" s="138"/>
      <c r="E274" s="25"/>
      <c r="F274" s="138"/>
      <c r="G274" s="26"/>
    </row>
    <row r="275" ht="22.5" customHeight="1">
      <c r="A275" s="139"/>
      <c r="B275" s="25"/>
      <c r="C275" s="25"/>
      <c r="D275" s="138"/>
      <c r="E275" s="25"/>
      <c r="F275" s="138"/>
      <c r="G275" s="26"/>
    </row>
    <row r="276" ht="22.5" customHeight="1">
      <c r="A276" s="139"/>
      <c r="B276" s="25"/>
      <c r="C276" s="25"/>
      <c r="D276" s="138"/>
      <c r="E276" s="25"/>
      <c r="F276" s="138"/>
      <c r="G276" s="26"/>
    </row>
    <row r="277" ht="22.5" customHeight="1">
      <c r="A277" s="139"/>
      <c r="B277" s="25"/>
      <c r="C277" s="25"/>
      <c r="D277" s="138"/>
      <c r="E277" s="25"/>
      <c r="F277" s="138"/>
      <c r="G277" s="26"/>
    </row>
    <row r="278" ht="22.5" customHeight="1">
      <c r="A278" s="139"/>
      <c r="B278" s="25"/>
      <c r="C278" s="25"/>
      <c r="D278" s="138"/>
      <c r="E278" s="25"/>
      <c r="F278" s="138"/>
      <c r="G278" s="26"/>
    </row>
    <row r="279" ht="22.5" customHeight="1">
      <c r="A279" s="139"/>
      <c r="B279" s="25"/>
      <c r="C279" s="25"/>
      <c r="D279" s="138"/>
      <c r="E279" s="25"/>
      <c r="F279" s="138"/>
      <c r="G279" s="26"/>
    </row>
    <row r="280" ht="22.5" customHeight="1">
      <c r="A280" s="139"/>
      <c r="B280" s="25"/>
      <c r="C280" s="25"/>
      <c r="D280" s="138"/>
      <c r="E280" s="25"/>
      <c r="F280" s="138"/>
      <c r="G280" s="26"/>
    </row>
    <row r="281" ht="22.5" customHeight="1">
      <c r="A281" s="139"/>
      <c r="B281" s="25"/>
      <c r="C281" s="25"/>
      <c r="D281" s="138"/>
      <c r="E281" s="25"/>
      <c r="F281" s="138"/>
      <c r="G281" s="26"/>
    </row>
    <row r="282" ht="22.5" customHeight="1">
      <c r="A282" s="139"/>
      <c r="B282" s="25"/>
      <c r="C282" s="25"/>
      <c r="D282" s="138"/>
      <c r="E282" s="25"/>
      <c r="F282" s="138"/>
      <c r="G282" s="26"/>
    </row>
    <row r="283" ht="22.5" customHeight="1">
      <c r="A283" s="139"/>
      <c r="B283" s="25"/>
      <c r="C283" s="25"/>
      <c r="D283" s="138"/>
      <c r="E283" s="25"/>
      <c r="F283" s="138"/>
      <c r="G283" s="26"/>
    </row>
    <row r="284" ht="22.5" customHeight="1">
      <c r="A284" s="139"/>
      <c r="B284" s="25"/>
      <c r="C284" s="25"/>
      <c r="D284" s="138"/>
      <c r="E284" s="25"/>
      <c r="F284" s="138"/>
      <c r="G284" s="26"/>
    </row>
    <row r="285" ht="22.5" customHeight="1">
      <c r="A285" s="139"/>
      <c r="B285" s="25"/>
      <c r="C285" s="25"/>
      <c r="D285" s="138"/>
      <c r="E285" s="25"/>
      <c r="F285" s="138"/>
      <c r="G285" s="26"/>
    </row>
    <row r="286" ht="22.5" customHeight="1">
      <c r="A286" s="139"/>
      <c r="B286" s="25"/>
      <c r="C286" s="25"/>
      <c r="D286" s="138"/>
      <c r="E286" s="25"/>
      <c r="F286" s="138"/>
      <c r="G286" s="26"/>
    </row>
    <row r="287" ht="22.5" customHeight="1">
      <c r="A287" s="139"/>
      <c r="B287" s="25"/>
      <c r="C287" s="25"/>
      <c r="D287" s="138"/>
      <c r="E287" s="25"/>
      <c r="F287" s="138"/>
      <c r="G287" s="26"/>
    </row>
    <row r="288" ht="22.5" customHeight="1">
      <c r="A288" s="139"/>
      <c r="B288" s="25"/>
      <c r="C288" s="25"/>
      <c r="D288" s="138"/>
      <c r="E288" s="25"/>
      <c r="F288" s="138"/>
      <c r="G288" s="26"/>
    </row>
    <row r="289" ht="22.5" customHeight="1">
      <c r="A289" s="139"/>
      <c r="B289" s="25"/>
      <c r="C289" s="25"/>
      <c r="D289" s="138"/>
      <c r="E289" s="25"/>
      <c r="F289" s="138"/>
      <c r="G289" s="26"/>
    </row>
    <row r="290" ht="22.5" customHeight="1">
      <c r="A290" s="139"/>
      <c r="B290" s="25"/>
      <c r="C290" s="25"/>
      <c r="D290" s="138"/>
      <c r="E290" s="25"/>
      <c r="F290" s="138"/>
      <c r="G290" s="26"/>
    </row>
    <row r="291" ht="22.5" customHeight="1">
      <c r="A291" s="139"/>
      <c r="B291" s="25"/>
      <c r="C291" s="25"/>
      <c r="D291" s="138"/>
      <c r="E291" s="25"/>
      <c r="F291" s="138"/>
      <c r="G291" s="26"/>
    </row>
    <row r="292" ht="22.5" customHeight="1">
      <c r="A292" s="139"/>
      <c r="B292" s="25"/>
      <c r="C292" s="25"/>
      <c r="D292" s="138"/>
      <c r="E292" s="25"/>
      <c r="F292" s="138"/>
      <c r="G292" s="26"/>
    </row>
    <row r="293" ht="22.5" customHeight="1">
      <c r="A293" s="139"/>
      <c r="B293" s="25"/>
      <c r="C293" s="25"/>
      <c r="D293" s="138"/>
      <c r="E293" s="25"/>
      <c r="F293" s="138"/>
      <c r="G293" s="26"/>
    </row>
    <row r="294" ht="22.5" customHeight="1">
      <c r="A294" s="139"/>
      <c r="B294" s="25"/>
      <c r="C294" s="25"/>
      <c r="D294" s="138"/>
      <c r="E294" s="25"/>
      <c r="F294" s="138"/>
      <c r="G294" s="26"/>
    </row>
    <row r="295" ht="22.5" customHeight="1">
      <c r="A295" s="139"/>
      <c r="B295" s="25"/>
      <c r="C295" s="25"/>
      <c r="D295" s="138"/>
      <c r="E295" s="25"/>
      <c r="F295" s="138"/>
      <c r="G295" s="26"/>
    </row>
    <row r="296" ht="22.5" customHeight="1">
      <c r="A296" s="139"/>
      <c r="B296" s="25"/>
      <c r="C296" s="25"/>
      <c r="D296" s="138"/>
      <c r="E296" s="25"/>
      <c r="F296" s="138"/>
      <c r="G296" s="26"/>
    </row>
    <row r="297" ht="22.5" customHeight="1">
      <c r="A297" s="139"/>
      <c r="B297" s="25"/>
      <c r="C297" s="25"/>
      <c r="D297" s="138"/>
      <c r="E297" s="25"/>
      <c r="F297" s="138"/>
      <c r="G297" s="26"/>
    </row>
    <row r="298" ht="22.5" customHeight="1">
      <c r="A298" s="139"/>
      <c r="B298" s="25"/>
      <c r="C298" s="25"/>
      <c r="D298" s="138"/>
      <c r="E298" s="25"/>
      <c r="F298" s="138"/>
      <c r="G298" s="26"/>
    </row>
    <row r="299" ht="22.5" customHeight="1">
      <c r="A299" s="139"/>
      <c r="B299" s="25"/>
      <c r="C299" s="25"/>
      <c r="D299" s="138"/>
      <c r="E299" s="25"/>
      <c r="F299" s="138"/>
      <c r="G299" s="26"/>
    </row>
    <row r="300" ht="22.5" customHeight="1">
      <c r="A300" s="139"/>
      <c r="B300" s="25"/>
      <c r="C300" s="25"/>
      <c r="D300" s="138"/>
      <c r="E300" s="25"/>
      <c r="F300" s="138"/>
      <c r="G300" s="26"/>
    </row>
    <row r="301" ht="22.5" customHeight="1">
      <c r="A301" s="139"/>
      <c r="B301" s="25"/>
      <c r="C301" s="25"/>
      <c r="D301" s="138"/>
      <c r="E301" s="25"/>
      <c r="F301" s="138"/>
      <c r="G301" s="26"/>
    </row>
    <row r="302" ht="22.5" customHeight="1">
      <c r="A302" s="139"/>
      <c r="B302" s="25"/>
      <c r="C302" s="25"/>
      <c r="D302" s="138"/>
      <c r="E302" s="25"/>
      <c r="F302" s="138"/>
      <c r="G302" s="26"/>
    </row>
    <row r="303" ht="22.5" customHeight="1">
      <c r="A303" s="139"/>
      <c r="B303" s="25"/>
      <c r="C303" s="25"/>
      <c r="D303" s="138"/>
      <c r="E303" s="25"/>
      <c r="F303" s="138"/>
      <c r="G303" s="26"/>
    </row>
    <row r="304" ht="22.5" customHeight="1">
      <c r="A304" s="139"/>
      <c r="B304" s="25"/>
      <c r="C304" s="25"/>
      <c r="D304" s="138"/>
      <c r="E304" s="25"/>
      <c r="F304" s="138"/>
      <c r="G304" s="26"/>
    </row>
    <row r="305" ht="22.5" customHeight="1">
      <c r="A305" s="139"/>
      <c r="B305" s="25"/>
      <c r="C305" s="25"/>
      <c r="D305" s="138"/>
      <c r="E305" s="25"/>
      <c r="F305" s="138"/>
      <c r="G305" s="26"/>
    </row>
    <row r="306" ht="22.5" customHeight="1">
      <c r="A306" s="139"/>
      <c r="B306" s="25"/>
      <c r="C306" s="25"/>
      <c r="D306" s="138"/>
      <c r="E306" s="25"/>
      <c r="F306" s="138"/>
      <c r="G306" s="26"/>
    </row>
    <row r="307" ht="22.5" customHeight="1">
      <c r="A307" s="139"/>
      <c r="B307" s="25"/>
      <c r="C307" s="25"/>
      <c r="D307" s="138"/>
      <c r="E307" s="25"/>
      <c r="F307" s="138"/>
      <c r="G307" s="26"/>
    </row>
    <row r="308" ht="22.5" customHeight="1">
      <c r="A308" s="139"/>
      <c r="B308" s="25"/>
      <c r="C308" s="25"/>
      <c r="D308" s="138"/>
      <c r="E308" s="25"/>
      <c r="F308" s="138"/>
      <c r="G308" s="26"/>
    </row>
    <row r="309" ht="22.5" customHeight="1">
      <c r="A309" s="139"/>
      <c r="B309" s="25"/>
      <c r="C309" s="25"/>
      <c r="D309" s="138"/>
      <c r="E309" s="25"/>
      <c r="F309" s="138"/>
      <c r="G309" s="26"/>
    </row>
    <row r="310" ht="22.5" customHeight="1">
      <c r="A310" s="139"/>
      <c r="B310" s="25"/>
      <c r="C310" s="25"/>
      <c r="D310" s="138"/>
      <c r="E310" s="25"/>
      <c r="F310" s="138"/>
      <c r="G310" s="26"/>
    </row>
    <row r="311" ht="22.5" customHeight="1">
      <c r="A311" s="139"/>
      <c r="B311" s="25"/>
      <c r="C311" s="25"/>
      <c r="D311" s="138"/>
      <c r="E311" s="25"/>
      <c r="F311" s="138"/>
      <c r="G311" s="26"/>
    </row>
    <row r="312" ht="22.5" customHeight="1">
      <c r="A312" s="139"/>
      <c r="B312" s="25"/>
      <c r="C312" s="25"/>
      <c r="D312" s="138"/>
      <c r="E312" s="25"/>
      <c r="F312" s="138"/>
      <c r="G312" s="26"/>
    </row>
    <row r="313" ht="22.5" customHeight="1">
      <c r="A313" s="139"/>
      <c r="B313" s="25"/>
      <c r="C313" s="25"/>
      <c r="D313" s="138"/>
      <c r="E313" s="25"/>
      <c r="F313" s="138"/>
      <c r="G313" s="26"/>
    </row>
    <row r="314" ht="22.5" customHeight="1">
      <c r="A314" s="139"/>
      <c r="B314" s="25"/>
      <c r="C314" s="25"/>
      <c r="D314" s="138"/>
      <c r="E314" s="25"/>
      <c r="F314" s="138"/>
      <c r="G314" s="26"/>
    </row>
    <row r="315" ht="22.5" customHeight="1">
      <c r="A315" s="139"/>
      <c r="B315" s="25"/>
      <c r="C315" s="25"/>
      <c r="D315" s="138"/>
      <c r="E315" s="25"/>
      <c r="F315" s="138"/>
      <c r="G315" s="26"/>
    </row>
    <row r="316" ht="22.5" customHeight="1">
      <c r="A316" s="139"/>
      <c r="B316" s="25"/>
      <c r="C316" s="25"/>
      <c r="D316" s="138"/>
      <c r="E316" s="25"/>
      <c r="F316" s="138"/>
      <c r="G316" s="26"/>
    </row>
    <row r="317" ht="22.5" customHeight="1">
      <c r="A317" s="139"/>
      <c r="B317" s="25"/>
      <c r="C317" s="25"/>
      <c r="D317" s="138"/>
      <c r="E317" s="25"/>
      <c r="F317" s="138"/>
      <c r="G317" s="26"/>
    </row>
    <row r="318" ht="22.5" customHeight="1">
      <c r="A318" s="139"/>
      <c r="B318" s="25"/>
      <c r="C318" s="25"/>
      <c r="D318" s="138"/>
      <c r="E318" s="25"/>
      <c r="F318" s="138"/>
      <c r="G318" s="26"/>
    </row>
    <row r="319" ht="22.5" customHeight="1">
      <c r="A319" s="139"/>
      <c r="B319" s="25"/>
      <c r="C319" s="25"/>
      <c r="D319" s="138"/>
      <c r="E319" s="25"/>
      <c r="F319" s="138"/>
      <c r="G319" s="26"/>
    </row>
    <row r="320" ht="22.5" customHeight="1">
      <c r="A320" s="139"/>
      <c r="B320" s="25"/>
      <c r="C320" s="25"/>
      <c r="D320" s="138"/>
      <c r="E320" s="25"/>
      <c r="F320" s="138"/>
      <c r="G320" s="26"/>
    </row>
    <row r="321" ht="22.5" customHeight="1">
      <c r="A321" s="139"/>
      <c r="B321" s="25"/>
      <c r="C321" s="25"/>
      <c r="D321" s="138"/>
      <c r="E321" s="25"/>
      <c r="F321" s="138"/>
      <c r="G321" s="26"/>
    </row>
    <row r="322" ht="22.5" customHeight="1">
      <c r="A322" s="139"/>
      <c r="B322" s="25"/>
      <c r="C322" s="25"/>
      <c r="D322" s="138"/>
      <c r="E322" s="25"/>
      <c r="F322" s="138"/>
      <c r="G322" s="26"/>
    </row>
    <row r="323" ht="22.5" customHeight="1">
      <c r="A323" s="139"/>
      <c r="B323" s="25"/>
      <c r="C323" s="25"/>
      <c r="D323" s="138"/>
      <c r="E323" s="25"/>
      <c r="F323" s="138"/>
      <c r="G323" s="26"/>
    </row>
    <row r="324" ht="22.5" customHeight="1">
      <c r="A324" s="139"/>
      <c r="B324" s="25"/>
      <c r="C324" s="25"/>
      <c r="D324" s="138"/>
      <c r="E324" s="25"/>
      <c r="F324" s="138"/>
      <c r="G324" s="26"/>
    </row>
    <row r="325" ht="22.5" customHeight="1">
      <c r="A325" s="139"/>
      <c r="B325" s="25"/>
      <c r="C325" s="25"/>
      <c r="D325" s="138"/>
      <c r="E325" s="25"/>
      <c r="F325" s="138"/>
      <c r="G325" s="26"/>
    </row>
    <row r="326" ht="22.5" customHeight="1">
      <c r="A326" s="139"/>
      <c r="B326" s="25"/>
      <c r="C326" s="25"/>
      <c r="D326" s="138"/>
      <c r="E326" s="25"/>
      <c r="F326" s="138"/>
      <c r="G326" s="26"/>
    </row>
    <row r="327" ht="22.5" customHeight="1">
      <c r="A327" s="139"/>
      <c r="B327" s="25"/>
      <c r="C327" s="25"/>
      <c r="D327" s="138"/>
      <c r="E327" s="25"/>
      <c r="F327" s="138"/>
      <c r="G327" s="26"/>
    </row>
    <row r="328" ht="22.5" customHeight="1">
      <c r="A328" s="139"/>
      <c r="B328" s="25"/>
      <c r="C328" s="25"/>
      <c r="D328" s="138"/>
      <c r="E328" s="25"/>
      <c r="F328" s="138"/>
      <c r="G328" s="26"/>
    </row>
    <row r="329" ht="22.5" customHeight="1">
      <c r="A329" s="139"/>
      <c r="B329" s="25"/>
      <c r="C329" s="25"/>
      <c r="D329" s="138"/>
      <c r="E329" s="25"/>
      <c r="F329" s="138"/>
      <c r="G329" s="26"/>
    </row>
    <row r="330" ht="22.5" customHeight="1">
      <c r="A330" s="139"/>
      <c r="B330" s="25"/>
      <c r="C330" s="25"/>
      <c r="D330" s="138"/>
      <c r="E330" s="25"/>
      <c r="F330" s="138"/>
      <c r="G330" s="26"/>
    </row>
    <row r="331" ht="22.5" customHeight="1">
      <c r="A331" s="139"/>
      <c r="B331" s="25"/>
      <c r="C331" s="25"/>
      <c r="D331" s="138"/>
      <c r="E331" s="25"/>
      <c r="F331" s="138"/>
      <c r="G331" s="26"/>
    </row>
    <row r="332" ht="22.5" customHeight="1">
      <c r="A332" s="139"/>
      <c r="B332" s="25"/>
      <c r="C332" s="25"/>
      <c r="D332" s="138"/>
      <c r="E332" s="25"/>
      <c r="F332" s="138"/>
      <c r="G332" s="26"/>
    </row>
    <row r="333" ht="22.5" customHeight="1">
      <c r="A333" s="139"/>
      <c r="B333" s="25"/>
      <c r="C333" s="25"/>
      <c r="D333" s="138"/>
      <c r="E333" s="25"/>
      <c r="F333" s="138"/>
      <c r="G333" s="26"/>
    </row>
    <row r="334" ht="22.5" customHeight="1">
      <c r="A334" s="139"/>
      <c r="B334" s="25"/>
      <c r="C334" s="25"/>
      <c r="D334" s="138"/>
      <c r="E334" s="25"/>
      <c r="F334" s="138"/>
      <c r="G334" s="26"/>
    </row>
    <row r="335" ht="22.5" customHeight="1">
      <c r="A335" s="139"/>
      <c r="B335" s="25"/>
      <c r="C335" s="25"/>
      <c r="D335" s="138"/>
      <c r="E335" s="25"/>
      <c r="F335" s="138"/>
      <c r="G335" s="26"/>
    </row>
    <row r="336" ht="22.5" customHeight="1">
      <c r="A336" s="139"/>
      <c r="B336" s="25"/>
      <c r="C336" s="25"/>
      <c r="D336" s="138"/>
      <c r="E336" s="25"/>
      <c r="F336" s="138"/>
      <c r="G336" s="26"/>
    </row>
    <row r="337" ht="22.5" customHeight="1">
      <c r="A337" s="139"/>
      <c r="B337" s="25"/>
      <c r="C337" s="25"/>
      <c r="D337" s="138"/>
      <c r="E337" s="25"/>
      <c r="F337" s="138"/>
      <c r="G337" s="26"/>
    </row>
    <row r="338" ht="22.5" customHeight="1">
      <c r="A338" s="139"/>
      <c r="B338" s="25"/>
      <c r="C338" s="25"/>
      <c r="D338" s="138"/>
      <c r="E338" s="25"/>
      <c r="F338" s="138"/>
      <c r="G338" s="26"/>
    </row>
    <row r="339" ht="22.5" customHeight="1">
      <c r="A339" s="139"/>
      <c r="B339" s="25"/>
      <c r="C339" s="25"/>
      <c r="D339" s="138"/>
      <c r="E339" s="25"/>
      <c r="F339" s="138"/>
      <c r="G339" s="26"/>
    </row>
    <row r="340" ht="22.5" customHeight="1">
      <c r="A340" s="139"/>
      <c r="B340" s="25"/>
      <c r="C340" s="25"/>
      <c r="D340" s="138"/>
      <c r="E340" s="25"/>
      <c r="F340" s="138"/>
      <c r="G340" s="26"/>
    </row>
    <row r="341" ht="22.5" customHeight="1">
      <c r="A341" s="139"/>
      <c r="B341" s="25"/>
      <c r="C341" s="25"/>
      <c r="D341" s="138"/>
      <c r="E341" s="25"/>
      <c r="F341" s="138"/>
      <c r="G341" s="26"/>
    </row>
    <row r="342" ht="22.5" customHeight="1">
      <c r="A342" s="139"/>
      <c r="B342" s="25"/>
      <c r="C342" s="25"/>
      <c r="D342" s="138"/>
      <c r="E342" s="25"/>
      <c r="F342" s="138"/>
      <c r="G342" s="26"/>
    </row>
    <row r="343" ht="22.5" customHeight="1">
      <c r="A343" s="139"/>
      <c r="B343" s="25"/>
      <c r="C343" s="25"/>
      <c r="D343" s="138"/>
      <c r="E343" s="25"/>
      <c r="F343" s="138"/>
      <c r="G343" s="26"/>
    </row>
    <row r="344" ht="22.5" customHeight="1">
      <c r="A344" s="139"/>
      <c r="B344" s="25"/>
      <c r="C344" s="25"/>
      <c r="D344" s="138"/>
      <c r="E344" s="25"/>
      <c r="F344" s="138"/>
      <c r="G344" s="26"/>
    </row>
    <row r="345" ht="22.5" customHeight="1">
      <c r="A345" s="139"/>
      <c r="B345" s="25"/>
      <c r="C345" s="25"/>
      <c r="D345" s="138"/>
      <c r="E345" s="25"/>
      <c r="F345" s="138"/>
      <c r="G345" s="26"/>
    </row>
    <row r="346" ht="22.5" customHeight="1">
      <c r="A346" s="139"/>
      <c r="B346" s="25"/>
      <c r="C346" s="25"/>
      <c r="D346" s="138"/>
      <c r="E346" s="25"/>
      <c r="F346" s="138"/>
      <c r="G346" s="26"/>
    </row>
    <row r="347" ht="22.5" customHeight="1">
      <c r="A347" s="139"/>
      <c r="B347" s="25"/>
      <c r="C347" s="25"/>
      <c r="D347" s="138"/>
      <c r="E347" s="25"/>
      <c r="F347" s="138"/>
      <c r="G347" s="26"/>
    </row>
    <row r="348" ht="22.5" customHeight="1">
      <c r="A348" s="139"/>
      <c r="B348" s="25"/>
      <c r="C348" s="25"/>
      <c r="D348" s="138"/>
      <c r="E348" s="25"/>
      <c r="F348" s="138"/>
      <c r="G348" s="26"/>
    </row>
    <row r="349" ht="22.5" customHeight="1">
      <c r="A349" s="139"/>
      <c r="B349" s="25"/>
      <c r="C349" s="25"/>
      <c r="D349" s="138"/>
      <c r="E349" s="25"/>
      <c r="F349" s="138"/>
      <c r="G349" s="26"/>
    </row>
    <row r="350" ht="22.5" customHeight="1">
      <c r="A350" s="139"/>
      <c r="B350" s="25"/>
      <c r="C350" s="25"/>
      <c r="D350" s="138"/>
      <c r="E350" s="25"/>
      <c r="F350" s="138"/>
      <c r="G350" s="26"/>
    </row>
    <row r="351" ht="22.5" customHeight="1">
      <c r="A351" s="139"/>
      <c r="B351" s="25"/>
      <c r="C351" s="25"/>
      <c r="D351" s="138"/>
      <c r="E351" s="25"/>
      <c r="F351" s="138"/>
      <c r="G351" s="26"/>
    </row>
    <row r="352" ht="22.5" customHeight="1">
      <c r="A352" s="139"/>
      <c r="B352" s="25"/>
      <c r="C352" s="25"/>
      <c r="D352" s="138"/>
      <c r="E352" s="25"/>
      <c r="F352" s="138"/>
      <c r="G352" s="26"/>
    </row>
    <row r="353" ht="22.5" customHeight="1">
      <c r="A353" s="139"/>
      <c r="B353" s="25"/>
      <c r="C353" s="25"/>
      <c r="D353" s="138"/>
      <c r="E353" s="25"/>
      <c r="F353" s="138"/>
      <c r="G353" s="26"/>
    </row>
    <row r="354" ht="22.5" customHeight="1">
      <c r="A354" s="139"/>
      <c r="B354" s="25"/>
      <c r="C354" s="25"/>
      <c r="D354" s="138"/>
      <c r="E354" s="25"/>
      <c r="F354" s="138"/>
      <c r="G354" s="26"/>
    </row>
    <row r="355" ht="22.5" customHeight="1">
      <c r="A355" s="139"/>
      <c r="B355" s="25"/>
      <c r="C355" s="25"/>
      <c r="D355" s="138"/>
      <c r="E355" s="25"/>
      <c r="F355" s="138"/>
      <c r="G355" s="26"/>
    </row>
    <row r="356" ht="22.5" customHeight="1">
      <c r="A356" s="139"/>
      <c r="B356" s="25"/>
      <c r="C356" s="25"/>
      <c r="D356" s="138"/>
      <c r="E356" s="25"/>
      <c r="F356" s="138"/>
      <c r="G356" s="26"/>
    </row>
    <row r="357" ht="22.5" customHeight="1">
      <c r="A357" s="139"/>
      <c r="B357" s="25"/>
      <c r="C357" s="25"/>
      <c r="D357" s="138"/>
      <c r="E357" s="25"/>
      <c r="F357" s="138"/>
      <c r="G357" s="26"/>
    </row>
    <row r="358" ht="22.5" customHeight="1">
      <c r="A358" s="139"/>
      <c r="B358" s="25"/>
      <c r="C358" s="25"/>
      <c r="D358" s="138"/>
      <c r="E358" s="25"/>
      <c r="F358" s="138"/>
      <c r="G358" s="26"/>
    </row>
    <row r="359" ht="22.5" customHeight="1">
      <c r="A359" s="139"/>
      <c r="B359" s="25"/>
      <c r="C359" s="25"/>
      <c r="D359" s="138"/>
      <c r="E359" s="25"/>
      <c r="F359" s="138"/>
      <c r="G359" s="26"/>
    </row>
    <row r="360" ht="22.5" customHeight="1">
      <c r="A360" s="139"/>
      <c r="B360" s="25"/>
      <c r="C360" s="25"/>
      <c r="D360" s="138"/>
      <c r="E360" s="25"/>
      <c r="F360" s="138"/>
      <c r="G360" s="26"/>
    </row>
    <row r="361" ht="22.5" customHeight="1">
      <c r="A361" s="139"/>
      <c r="B361" s="25"/>
      <c r="C361" s="25"/>
      <c r="D361" s="138"/>
      <c r="E361" s="25"/>
      <c r="F361" s="138"/>
      <c r="G361" s="26"/>
    </row>
    <row r="362" ht="22.5" customHeight="1">
      <c r="A362" s="139"/>
      <c r="B362" s="25"/>
      <c r="C362" s="25"/>
      <c r="D362" s="138"/>
      <c r="E362" s="25"/>
      <c r="F362" s="138"/>
      <c r="G362" s="26"/>
    </row>
    <row r="363" ht="22.5" customHeight="1">
      <c r="A363" s="139"/>
      <c r="B363" s="25"/>
      <c r="C363" s="25"/>
      <c r="D363" s="138"/>
      <c r="E363" s="25"/>
      <c r="F363" s="138"/>
      <c r="G363" s="26"/>
    </row>
    <row r="364" ht="22.5" customHeight="1">
      <c r="A364" s="139"/>
      <c r="B364" s="25"/>
      <c r="C364" s="25"/>
      <c r="D364" s="138"/>
      <c r="E364" s="25"/>
      <c r="F364" s="138"/>
      <c r="G364" s="26"/>
    </row>
    <row r="365" ht="22.5" customHeight="1">
      <c r="A365" s="139"/>
      <c r="B365" s="25"/>
      <c r="C365" s="25"/>
      <c r="D365" s="138"/>
      <c r="E365" s="25"/>
      <c r="F365" s="138"/>
      <c r="G365" s="26"/>
    </row>
    <row r="366" ht="22.5" customHeight="1">
      <c r="A366" s="139"/>
      <c r="B366" s="25"/>
      <c r="C366" s="25"/>
      <c r="D366" s="138"/>
      <c r="E366" s="25"/>
      <c r="F366" s="138"/>
      <c r="G366" s="26"/>
    </row>
    <row r="367" ht="22.5" customHeight="1">
      <c r="A367" s="139"/>
      <c r="B367" s="25"/>
      <c r="C367" s="25"/>
      <c r="D367" s="138"/>
      <c r="E367" s="25"/>
      <c r="F367" s="138"/>
      <c r="G367" s="26"/>
    </row>
    <row r="368" ht="22.5" customHeight="1">
      <c r="A368" s="139"/>
      <c r="B368" s="25"/>
      <c r="C368" s="25"/>
      <c r="D368" s="138"/>
      <c r="E368" s="25"/>
      <c r="F368" s="138"/>
      <c r="G368" s="26"/>
    </row>
    <row r="369" ht="22.5" customHeight="1">
      <c r="A369" s="139"/>
      <c r="B369" s="25"/>
      <c r="C369" s="25"/>
      <c r="D369" s="138"/>
      <c r="E369" s="25"/>
      <c r="F369" s="138"/>
      <c r="G369" s="26"/>
    </row>
    <row r="370" ht="22.5" customHeight="1">
      <c r="A370" s="139"/>
      <c r="B370" s="25"/>
      <c r="C370" s="25"/>
      <c r="D370" s="138"/>
      <c r="E370" s="25"/>
      <c r="F370" s="138"/>
      <c r="G370" s="26"/>
    </row>
    <row r="371" ht="22.5" customHeight="1">
      <c r="A371" s="139"/>
      <c r="B371" s="25"/>
      <c r="C371" s="25"/>
      <c r="D371" s="138"/>
      <c r="E371" s="25"/>
      <c r="F371" s="138"/>
      <c r="G371" s="26"/>
    </row>
    <row r="372" ht="22.5" customHeight="1">
      <c r="A372" s="139"/>
      <c r="B372" s="25"/>
      <c r="C372" s="25"/>
      <c r="D372" s="138"/>
      <c r="E372" s="25"/>
      <c r="F372" s="138"/>
      <c r="G372" s="26"/>
    </row>
    <row r="373" ht="22.5" customHeight="1">
      <c r="A373" s="139"/>
      <c r="B373" s="25"/>
      <c r="C373" s="25"/>
      <c r="D373" s="138"/>
      <c r="E373" s="25"/>
      <c r="F373" s="138"/>
      <c r="G373" s="26"/>
    </row>
    <row r="374" ht="22.5" customHeight="1">
      <c r="A374" s="139"/>
      <c r="B374" s="25"/>
      <c r="C374" s="25"/>
      <c r="D374" s="138"/>
      <c r="E374" s="25"/>
      <c r="F374" s="138"/>
      <c r="G374" s="26"/>
    </row>
    <row r="375" ht="22.5" customHeight="1">
      <c r="A375" s="139"/>
      <c r="B375" s="25"/>
      <c r="C375" s="25"/>
      <c r="D375" s="138"/>
      <c r="E375" s="25"/>
      <c r="F375" s="138"/>
      <c r="G375" s="26"/>
    </row>
    <row r="376" ht="22.5" customHeight="1">
      <c r="A376" s="139"/>
      <c r="B376" s="25"/>
      <c r="C376" s="25"/>
      <c r="D376" s="138"/>
      <c r="E376" s="25"/>
      <c r="F376" s="138"/>
      <c r="G376" s="26"/>
    </row>
    <row r="377" ht="22.5" customHeight="1">
      <c r="A377" s="139"/>
      <c r="B377" s="25"/>
      <c r="C377" s="25"/>
      <c r="D377" s="138"/>
      <c r="E377" s="25"/>
      <c r="F377" s="138"/>
      <c r="G377" s="26"/>
    </row>
    <row r="378" ht="22.5" customHeight="1">
      <c r="A378" s="139"/>
      <c r="B378" s="25"/>
      <c r="C378" s="25"/>
      <c r="D378" s="138"/>
      <c r="E378" s="25"/>
      <c r="F378" s="138"/>
      <c r="G378" s="26"/>
    </row>
    <row r="379" ht="22.5" customHeight="1">
      <c r="A379" s="139"/>
      <c r="B379" s="25"/>
      <c r="C379" s="25"/>
      <c r="D379" s="138"/>
      <c r="E379" s="25"/>
      <c r="F379" s="138"/>
      <c r="G379" s="26"/>
    </row>
    <row r="380" ht="22.5" customHeight="1">
      <c r="A380" s="139"/>
      <c r="B380" s="25"/>
      <c r="C380" s="25"/>
      <c r="D380" s="138"/>
      <c r="E380" s="25"/>
      <c r="F380" s="138"/>
      <c r="G380" s="26"/>
    </row>
    <row r="381" ht="22.5" customHeight="1">
      <c r="A381" s="139"/>
      <c r="B381" s="25"/>
      <c r="C381" s="25"/>
      <c r="D381" s="138"/>
      <c r="E381" s="25"/>
      <c r="F381" s="138"/>
      <c r="G381" s="26"/>
    </row>
    <row r="382" ht="22.5" customHeight="1">
      <c r="A382" s="139"/>
      <c r="B382" s="25"/>
      <c r="C382" s="25"/>
      <c r="D382" s="138"/>
      <c r="E382" s="25"/>
      <c r="F382" s="138"/>
      <c r="G382" s="26"/>
    </row>
    <row r="383" ht="22.5" customHeight="1">
      <c r="A383" s="139"/>
      <c r="B383" s="25"/>
      <c r="C383" s="25"/>
      <c r="D383" s="138"/>
      <c r="E383" s="25"/>
      <c r="F383" s="138"/>
      <c r="G383" s="26"/>
    </row>
    <row r="384" ht="22.5" customHeight="1">
      <c r="A384" s="139"/>
      <c r="B384" s="25"/>
      <c r="C384" s="25"/>
      <c r="D384" s="138"/>
      <c r="E384" s="25"/>
      <c r="F384" s="138"/>
      <c r="G384" s="26"/>
    </row>
    <row r="385" ht="22.5" customHeight="1">
      <c r="A385" s="139"/>
      <c r="B385" s="25"/>
      <c r="C385" s="25"/>
      <c r="D385" s="138"/>
      <c r="E385" s="25"/>
      <c r="F385" s="138"/>
      <c r="G385" s="26"/>
    </row>
    <row r="386" ht="22.5" customHeight="1">
      <c r="A386" s="139"/>
      <c r="B386" s="25"/>
      <c r="C386" s="25"/>
      <c r="D386" s="138"/>
      <c r="E386" s="25"/>
      <c r="F386" s="138"/>
      <c r="G386" s="26"/>
    </row>
    <row r="387" ht="22.5" customHeight="1">
      <c r="A387" s="139"/>
      <c r="B387" s="25"/>
      <c r="C387" s="25"/>
      <c r="D387" s="138"/>
      <c r="E387" s="25"/>
      <c r="F387" s="138"/>
      <c r="G387" s="26"/>
    </row>
    <row r="388" ht="22.5" customHeight="1">
      <c r="A388" s="139"/>
      <c r="B388" s="25"/>
      <c r="C388" s="25"/>
      <c r="D388" s="138"/>
      <c r="E388" s="25"/>
      <c r="F388" s="138"/>
      <c r="G388" s="26"/>
    </row>
    <row r="389" ht="22.5" customHeight="1">
      <c r="A389" s="139"/>
      <c r="B389" s="25"/>
      <c r="C389" s="25"/>
      <c r="D389" s="138"/>
      <c r="E389" s="25"/>
      <c r="F389" s="138"/>
      <c r="G389" s="26"/>
    </row>
    <row r="390" ht="22.5" customHeight="1">
      <c r="A390" s="139"/>
      <c r="B390" s="25"/>
      <c r="C390" s="25"/>
      <c r="D390" s="138"/>
      <c r="E390" s="25"/>
      <c r="F390" s="138"/>
      <c r="G390" s="26"/>
    </row>
    <row r="391" ht="22.5" customHeight="1">
      <c r="A391" s="139"/>
      <c r="B391" s="25"/>
      <c r="C391" s="25"/>
      <c r="D391" s="138"/>
      <c r="E391" s="25"/>
      <c r="F391" s="138"/>
      <c r="G391" s="26"/>
    </row>
    <row r="392" ht="22.5" customHeight="1">
      <c r="A392" s="139"/>
      <c r="B392" s="25"/>
      <c r="C392" s="25"/>
      <c r="D392" s="138"/>
      <c r="E392" s="25"/>
      <c r="F392" s="138"/>
      <c r="G392" s="26"/>
    </row>
    <row r="393" ht="22.5" customHeight="1">
      <c r="A393" s="139"/>
      <c r="B393" s="25"/>
      <c r="C393" s="25"/>
      <c r="D393" s="138"/>
      <c r="E393" s="25"/>
      <c r="F393" s="138"/>
      <c r="G393" s="26"/>
    </row>
    <row r="394" ht="22.5" customHeight="1">
      <c r="A394" s="139"/>
      <c r="B394" s="25"/>
      <c r="C394" s="25"/>
      <c r="D394" s="138"/>
      <c r="E394" s="25"/>
      <c r="F394" s="138"/>
      <c r="G394" s="26"/>
    </row>
    <row r="395" ht="22.5" customHeight="1">
      <c r="A395" s="139"/>
      <c r="B395" s="25"/>
      <c r="C395" s="25"/>
      <c r="D395" s="138"/>
      <c r="E395" s="25"/>
      <c r="F395" s="138"/>
      <c r="G395" s="26"/>
    </row>
    <row r="396" ht="22.5" customHeight="1">
      <c r="A396" s="139"/>
      <c r="B396" s="25"/>
      <c r="C396" s="25"/>
      <c r="D396" s="138"/>
      <c r="E396" s="25"/>
      <c r="F396" s="138"/>
      <c r="G396" s="26"/>
    </row>
    <row r="397" ht="22.5" customHeight="1">
      <c r="A397" s="139"/>
      <c r="B397" s="25"/>
      <c r="C397" s="25"/>
      <c r="D397" s="138"/>
      <c r="E397" s="25"/>
      <c r="F397" s="138"/>
      <c r="G397" s="26"/>
    </row>
    <row r="398" ht="22.5" customHeight="1">
      <c r="A398" s="139"/>
      <c r="B398" s="25"/>
      <c r="C398" s="25"/>
      <c r="D398" s="138"/>
      <c r="E398" s="25"/>
      <c r="F398" s="138"/>
      <c r="G398" s="26"/>
    </row>
    <row r="399" ht="22.5" customHeight="1">
      <c r="A399" s="139"/>
      <c r="B399" s="25"/>
      <c r="C399" s="25"/>
      <c r="D399" s="138"/>
      <c r="E399" s="25"/>
      <c r="F399" s="138"/>
      <c r="G399" s="26"/>
    </row>
    <row r="400" ht="22.5" customHeight="1">
      <c r="A400" s="139"/>
      <c r="B400" s="25"/>
      <c r="C400" s="25"/>
      <c r="D400" s="138"/>
      <c r="E400" s="25"/>
      <c r="F400" s="138"/>
      <c r="G400" s="26"/>
    </row>
    <row r="401" ht="22.5" customHeight="1">
      <c r="A401" s="139"/>
      <c r="B401" s="25"/>
      <c r="C401" s="25"/>
      <c r="D401" s="138"/>
      <c r="E401" s="25"/>
      <c r="F401" s="138"/>
      <c r="G401" s="26"/>
    </row>
    <row r="402" ht="22.5" customHeight="1">
      <c r="A402" s="139"/>
      <c r="B402" s="25"/>
      <c r="C402" s="25"/>
      <c r="D402" s="138"/>
      <c r="E402" s="25"/>
      <c r="F402" s="138"/>
      <c r="G402" s="26"/>
    </row>
    <row r="403" ht="22.5" customHeight="1">
      <c r="A403" s="139"/>
      <c r="B403" s="25"/>
      <c r="C403" s="25"/>
      <c r="D403" s="138"/>
      <c r="E403" s="25"/>
      <c r="F403" s="138"/>
      <c r="G403" s="26"/>
    </row>
    <row r="404" ht="22.5" customHeight="1">
      <c r="A404" s="139"/>
      <c r="B404" s="25"/>
      <c r="C404" s="25"/>
      <c r="D404" s="138"/>
      <c r="E404" s="25"/>
      <c r="F404" s="138"/>
      <c r="G404" s="26"/>
    </row>
    <row r="405" ht="22.5" customHeight="1">
      <c r="A405" s="139"/>
      <c r="B405" s="25"/>
      <c r="C405" s="25"/>
      <c r="D405" s="138"/>
      <c r="E405" s="25"/>
      <c r="F405" s="138"/>
      <c r="G405" s="26"/>
    </row>
    <row r="406" ht="22.5" customHeight="1">
      <c r="A406" s="139"/>
      <c r="B406" s="25"/>
      <c r="C406" s="25"/>
      <c r="D406" s="138"/>
      <c r="E406" s="25"/>
      <c r="F406" s="138"/>
      <c r="G406" s="26"/>
    </row>
    <row r="407" ht="22.5" customHeight="1">
      <c r="A407" s="139"/>
      <c r="B407" s="25"/>
      <c r="C407" s="25"/>
      <c r="D407" s="138"/>
      <c r="E407" s="25"/>
      <c r="F407" s="138"/>
      <c r="G407" s="26"/>
    </row>
    <row r="408" ht="22.5" customHeight="1">
      <c r="A408" s="139"/>
      <c r="B408" s="25"/>
      <c r="C408" s="25"/>
      <c r="D408" s="138"/>
      <c r="E408" s="25"/>
      <c r="F408" s="138"/>
      <c r="G408" s="26"/>
    </row>
    <row r="409" ht="22.5" customHeight="1">
      <c r="A409" s="139"/>
      <c r="B409" s="25"/>
      <c r="C409" s="25"/>
      <c r="D409" s="138"/>
      <c r="E409" s="25"/>
      <c r="F409" s="138"/>
      <c r="G409" s="26"/>
    </row>
    <row r="410" ht="22.5" customHeight="1">
      <c r="A410" s="139"/>
      <c r="B410" s="25"/>
      <c r="C410" s="25"/>
      <c r="D410" s="138"/>
      <c r="E410" s="25"/>
      <c r="F410" s="138"/>
      <c r="G410" s="26"/>
    </row>
    <row r="411" ht="22.5" customHeight="1">
      <c r="A411" s="139"/>
      <c r="B411" s="25"/>
      <c r="C411" s="25"/>
      <c r="D411" s="138"/>
      <c r="E411" s="25"/>
      <c r="F411" s="138"/>
      <c r="G411" s="26"/>
    </row>
    <row r="412" ht="22.5" customHeight="1">
      <c r="A412" s="139"/>
      <c r="B412" s="25"/>
      <c r="C412" s="25"/>
      <c r="D412" s="138"/>
      <c r="E412" s="25"/>
      <c r="F412" s="138"/>
      <c r="G412" s="26"/>
    </row>
    <row r="413" ht="22.5" customHeight="1">
      <c r="A413" s="139"/>
      <c r="B413" s="25"/>
      <c r="C413" s="25"/>
      <c r="D413" s="138"/>
      <c r="E413" s="25"/>
      <c r="F413" s="138"/>
      <c r="G413" s="26"/>
    </row>
    <row r="414" ht="22.5" customHeight="1">
      <c r="A414" s="139"/>
      <c r="B414" s="25"/>
      <c r="C414" s="25"/>
      <c r="D414" s="138"/>
      <c r="E414" s="25"/>
      <c r="F414" s="138"/>
      <c r="G414" s="26"/>
    </row>
    <row r="415" ht="22.5" customHeight="1">
      <c r="A415" s="139"/>
      <c r="B415" s="25"/>
      <c r="C415" s="25"/>
      <c r="D415" s="138"/>
      <c r="E415" s="25"/>
      <c r="F415" s="138"/>
      <c r="G415" s="26"/>
    </row>
    <row r="416" ht="22.5" customHeight="1">
      <c r="A416" s="139"/>
      <c r="B416" s="25"/>
      <c r="C416" s="25"/>
      <c r="D416" s="138"/>
      <c r="E416" s="25"/>
      <c r="F416" s="138"/>
      <c r="G416" s="26"/>
    </row>
    <row r="417" ht="22.5" customHeight="1">
      <c r="A417" s="139"/>
      <c r="B417" s="25"/>
      <c r="C417" s="25"/>
      <c r="D417" s="138"/>
      <c r="E417" s="25"/>
      <c r="F417" s="138"/>
      <c r="G417" s="26"/>
    </row>
    <row r="418" ht="22.5" customHeight="1">
      <c r="A418" s="139"/>
      <c r="B418" s="25"/>
      <c r="C418" s="25"/>
      <c r="D418" s="138"/>
      <c r="E418" s="25"/>
      <c r="F418" s="138"/>
      <c r="G418" s="26"/>
    </row>
    <row r="419" ht="22.5" customHeight="1">
      <c r="A419" s="139"/>
      <c r="B419" s="25"/>
      <c r="C419" s="25"/>
      <c r="D419" s="138"/>
      <c r="E419" s="25"/>
      <c r="F419" s="138"/>
      <c r="G419" s="26"/>
    </row>
    <row r="420" ht="22.5" customHeight="1">
      <c r="A420" s="139"/>
      <c r="B420" s="25"/>
      <c r="C420" s="25"/>
      <c r="D420" s="138"/>
      <c r="E420" s="25"/>
      <c r="F420" s="138"/>
      <c r="G420" s="26"/>
    </row>
    <row r="421" ht="22.5" customHeight="1">
      <c r="A421" s="139"/>
      <c r="B421" s="25"/>
      <c r="C421" s="25"/>
      <c r="D421" s="138"/>
      <c r="E421" s="25"/>
      <c r="F421" s="138"/>
      <c r="G421" s="26"/>
    </row>
    <row r="422" ht="22.5" customHeight="1">
      <c r="A422" s="139"/>
      <c r="B422" s="25"/>
      <c r="C422" s="25"/>
      <c r="D422" s="138"/>
      <c r="E422" s="25"/>
      <c r="F422" s="138"/>
      <c r="G422" s="26"/>
    </row>
    <row r="423" ht="22.5" customHeight="1">
      <c r="A423" s="139"/>
      <c r="B423" s="25"/>
      <c r="C423" s="25"/>
      <c r="D423" s="138"/>
      <c r="E423" s="25"/>
      <c r="F423" s="138"/>
      <c r="G423" s="26"/>
    </row>
    <row r="424" ht="22.5" customHeight="1">
      <c r="A424" s="139"/>
      <c r="B424" s="25"/>
      <c r="C424" s="25"/>
      <c r="D424" s="138"/>
      <c r="E424" s="25"/>
      <c r="F424" s="138"/>
      <c r="G424" s="26"/>
    </row>
    <row r="425" ht="22.5" customHeight="1">
      <c r="A425" s="139"/>
      <c r="B425" s="25"/>
      <c r="C425" s="25"/>
      <c r="D425" s="138"/>
      <c r="E425" s="25"/>
      <c r="F425" s="138"/>
      <c r="G425" s="26"/>
    </row>
    <row r="426" ht="22.5" customHeight="1">
      <c r="A426" s="139"/>
      <c r="B426" s="25"/>
      <c r="C426" s="25"/>
      <c r="D426" s="138"/>
      <c r="E426" s="25"/>
      <c r="F426" s="138"/>
      <c r="G426" s="26"/>
    </row>
    <row r="427" ht="22.5" customHeight="1">
      <c r="A427" s="139"/>
      <c r="B427" s="25"/>
      <c r="C427" s="25"/>
      <c r="D427" s="138"/>
      <c r="E427" s="25"/>
      <c r="F427" s="138"/>
      <c r="G427" s="26"/>
    </row>
    <row r="428" ht="22.5" customHeight="1">
      <c r="A428" s="139"/>
      <c r="B428" s="25"/>
      <c r="C428" s="25"/>
      <c r="D428" s="138"/>
      <c r="E428" s="25"/>
      <c r="F428" s="138"/>
      <c r="G428" s="26"/>
    </row>
    <row r="429" ht="22.5" customHeight="1">
      <c r="A429" s="139"/>
      <c r="B429" s="25"/>
      <c r="C429" s="25"/>
      <c r="D429" s="138"/>
      <c r="E429" s="25"/>
      <c r="F429" s="138"/>
      <c r="G429" s="26"/>
    </row>
    <row r="430" ht="22.5" customHeight="1">
      <c r="A430" s="139"/>
      <c r="B430" s="25"/>
      <c r="C430" s="25"/>
      <c r="D430" s="138"/>
      <c r="E430" s="25"/>
      <c r="F430" s="138"/>
      <c r="G430" s="26"/>
    </row>
    <row r="431" ht="22.5" customHeight="1">
      <c r="A431" s="139"/>
      <c r="B431" s="25"/>
      <c r="C431" s="25"/>
      <c r="D431" s="138"/>
      <c r="E431" s="25"/>
      <c r="F431" s="138"/>
      <c r="G431" s="26"/>
    </row>
    <row r="432" ht="22.5" customHeight="1">
      <c r="A432" s="139"/>
      <c r="B432" s="25"/>
      <c r="C432" s="25"/>
      <c r="D432" s="138"/>
      <c r="E432" s="25"/>
      <c r="F432" s="138"/>
      <c r="G432" s="26"/>
    </row>
    <row r="433" ht="22.5" customHeight="1">
      <c r="A433" s="139"/>
      <c r="B433" s="25"/>
      <c r="C433" s="25"/>
      <c r="D433" s="138"/>
      <c r="E433" s="25"/>
      <c r="F433" s="138"/>
      <c r="G433" s="26"/>
    </row>
    <row r="434" ht="22.5" customHeight="1">
      <c r="A434" s="139"/>
      <c r="B434" s="25"/>
      <c r="C434" s="25"/>
      <c r="D434" s="138"/>
      <c r="E434" s="25"/>
      <c r="F434" s="138"/>
      <c r="G434" s="26"/>
    </row>
    <row r="435" ht="22.5" customHeight="1">
      <c r="A435" s="139"/>
      <c r="B435" s="25"/>
      <c r="C435" s="25"/>
      <c r="D435" s="138"/>
      <c r="E435" s="25"/>
      <c r="F435" s="138"/>
      <c r="G435" s="26"/>
    </row>
    <row r="436" ht="22.5" customHeight="1">
      <c r="A436" s="139"/>
      <c r="B436" s="25"/>
      <c r="C436" s="25"/>
      <c r="D436" s="138"/>
      <c r="E436" s="25"/>
      <c r="F436" s="138"/>
      <c r="G436" s="26"/>
    </row>
    <row r="437" ht="22.5" customHeight="1">
      <c r="A437" s="139"/>
      <c r="B437" s="25"/>
      <c r="C437" s="25"/>
      <c r="D437" s="138"/>
      <c r="E437" s="25"/>
      <c r="F437" s="138"/>
      <c r="G437" s="26"/>
    </row>
    <row r="438" ht="22.5" customHeight="1">
      <c r="A438" s="139"/>
      <c r="B438" s="25"/>
      <c r="C438" s="25"/>
      <c r="D438" s="138"/>
      <c r="E438" s="25"/>
      <c r="F438" s="138"/>
      <c r="G438" s="26"/>
    </row>
    <row r="439" ht="22.5" customHeight="1">
      <c r="A439" s="139"/>
      <c r="B439" s="25"/>
      <c r="C439" s="25"/>
      <c r="D439" s="138"/>
      <c r="E439" s="25"/>
      <c r="F439" s="138"/>
      <c r="G439" s="26"/>
    </row>
    <row r="440" ht="22.5" customHeight="1">
      <c r="A440" s="139"/>
      <c r="B440" s="25"/>
      <c r="C440" s="25"/>
      <c r="D440" s="138"/>
      <c r="E440" s="25"/>
      <c r="F440" s="138"/>
      <c r="G440" s="26"/>
    </row>
    <row r="441" ht="22.5" customHeight="1">
      <c r="A441" s="139"/>
      <c r="B441" s="25"/>
      <c r="C441" s="25"/>
      <c r="D441" s="138"/>
      <c r="E441" s="25"/>
      <c r="F441" s="138"/>
      <c r="G441" s="26"/>
    </row>
    <row r="442" ht="22.5" customHeight="1">
      <c r="A442" s="139"/>
      <c r="B442" s="25"/>
      <c r="C442" s="25"/>
      <c r="D442" s="138"/>
      <c r="E442" s="25"/>
      <c r="F442" s="138"/>
      <c r="G442" s="26"/>
    </row>
    <row r="443" ht="22.5" customHeight="1">
      <c r="A443" s="139"/>
      <c r="B443" s="25"/>
      <c r="C443" s="25"/>
      <c r="D443" s="138"/>
      <c r="E443" s="25"/>
      <c r="F443" s="138"/>
      <c r="G443" s="26"/>
    </row>
    <row r="444" ht="22.5" customHeight="1">
      <c r="A444" s="139"/>
      <c r="B444" s="25"/>
      <c r="C444" s="25"/>
      <c r="D444" s="138"/>
      <c r="E444" s="25"/>
      <c r="F444" s="138"/>
      <c r="G444" s="26"/>
    </row>
    <row r="445" ht="22.5" customHeight="1">
      <c r="A445" s="139"/>
      <c r="B445" s="25"/>
      <c r="C445" s="25"/>
      <c r="D445" s="138"/>
      <c r="E445" s="25"/>
      <c r="F445" s="138"/>
      <c r="G445" s="26"/>
    </row>
    <row r="446" ht="22.5" customHeight="1">
      <c r="A446" s="139"/>
      <c r="B446" s="25"/>
      <c r="C446" s="25"/>
      <c r="D446" s="138"/>
      <c r="E446" s="25"/>
      <c r="F446" s="138"/>
      <c r="G446" s="26"/>
    </row>
    <row r="447" ht="22.5" customHeight="1">
      <c r="A447" s="139"/>
      <c r="B447" s="25"/>
      <c r="C447" s="25"/>
      <c r="D447" s="138"/>
      <c r="E447" s="25"/>
      <c r="F447" s="138"/>
      <c r="G447" s="26"/>
    </row>
    <row r="448" ht="22.5" customHeight="1">
      <c r="A448" s="139"/>
      <c r="B448" s="25"/>
      <c r="C448" s="25"/>
      <c r="D448" s="138"/>
      <c r="E448" s="25"/>
      <c r="F448" s="138"/>
      <c r="G448" s="26"/>
    </row>
    <row r="449" ht="22.5" customHeight="1">
      <c r="A449" s="139"/>
      <c r="B449" s="25"/>
      <c r="C449" s="25"/>
      <c r="D449" s="138"/>
      <c r="E449" s="25"/>
      <c r="F449" s="138"/>
      <c r="G449" s="26"/>
    </row>
    <row r="450" ht="22.5" customHeight="1">
      <c r="A450" s="139"/>
      <c r="B450" s="25"/>
      <c r="C450" s="25"/>
      <c r="D450" s="138"/>
      <c r="E450" s="25"/>
      <c r="F450" s="138"/>
      <c r="G450" s="26"/>
    </row>
    <row r="451" ht="22.5" customHeight="1">
      <c r="A451" s="139"/>
      <c r="B451" s="25"/>
      <c r="C451" s="25"/>
      <c r="D451" s="138"/>
      <c r="E451" s="25"/>
      <c r="F451" s="138"/>
      <c r="G451" s="26"/>
    </row>
    <row r="452" ht="22.5" customHeight="1">
      <c r="A452" s="139"/>
      <c r="B452" s="25"/>
      <c r="C452" s="25"/>
      <c r="D452" s="138"/>
      <c r="E452" s="25"/>
      <c r="F452" s="138"/>
      <c r="G452" s="26"/>
    </row>
    <row r="453" ht="22.5" customHeight="1">
      <c r="A453" s="139"/>
      <c r="B453" s="25"/>
      <c r="C453" s="25"/>
      <c r="D453" s="138"/>
      <c r="E453" s="25"/>
      <c r="F453" s="138"/>
      <c r="G453" s="26"/>
    </row>
    <row r="454" ht="22.5" customHeight="1">
      <c r="A454" s="139"/>
      <c r="B454" s="25"/>
      <c r="C454" s="25"/>
      <c r="D454" s="138"/>
      <c r="E454" s="25"/>
      <c r="F454" s="138"/>
      <c r="G454" s="26"/>
    </row>
    <row r="455" ht="22.5" customHeight="1">
      <c r="A455" s="139"/>
      <c r="B455" s="25"/>
      <c r="C455" s="25"/>
      <c r="D455" s="138"/>
      <c r="E455" s="25"/>
      <c r="F455" s="138"/>
      <c r="G455" s="26"/>
    </row>
    <row r="456" ht="22.5" customHeight="1">
      <c r="A456" s="139"/>
      <c r="B456" s="25"/>
      <c r="C456" s="25"/>
      <c r="D456" s="138"/>
      <c r="E456" s="25"/>
      <c r="F456" s="138"/>
      <c r="G456" s="26"/>
    </row>
    <row r="457" ht="22.5" customHeight="1">
      <c r="A457" s="139"/>
      <c r="B457" s="25"/>
      <c r="C457" s="25"/>
      <c r="D457" s="138"/>
      <c r="E457" s="25"/>
      <c r="F457" s="138"/>
      <c r="G457" s="26"/>
    </row>
    <row r="458" ht="22.5" customHeight="1">
      <c r="A458" s="139"/>
      <c r="B458" s="25"/>
      <c r="C458" s="25"/>
      <c r="D458" s="138"/>
      <c r="E458" s="25"/>
      <c r="F458" s="138"/>
      <c r="G458" s="26"/>
    </row>
    <row r="459" ht="22.5" customHeight="1">
      <c r="A459" s="139"/>
      <c r="B459" s="25"/>
      <c r="C459" s="25"/>
      <c r="D459" s="138"/>
      <c r="E459" s="25"/>
      <c r="F459" s="138"/>
      <c r="G459" s="26"/>
    </row>
    <row r="460" ht="22.5" customHeight="1">
      <c r="A460" s="139"/>
      <c r="B460" s="25"/>
      <c r="C460" s="25"/>
      <c r="D460" s="138"/>
      <c r="E460" s="25"/>
      <c r="F460" s="138"/>
      <c r="G460" s="26"/>
    </row>
    <row r="461" ht="22.5" customHeight="1">
      <c r="A461" s="139"/>
      <c r="B461" s="25"/>
      <c r="C461" s="25"/>
      <c r="D461" s="138"/>
      <c r="E461" s="25"/>
      <c r="F461" s="138"/>
      <c r="G461" s="26"/>
    </row>
    <row r="462" ht="22.5" customHeight="1">
      <c r="A462" s="139"/>
      <c r="B462" s="25"/>
      <c r="C462" s="25"/>
      <c r="D462" s="138"/>
      <c r="E462" s="25"/>
      <c r="F462" s="138"/>
      <c r="G462" s="26"/>
    </row>
    <row r="463" ht="22.5" customHeight="1">
      <c r="A463" s="139"/>
      <c r="B463" s="25"/>
      <c r="C463" s="25"/>
      <c r="D463" s="138"/>
      <c r="E463" s="25"/>
      <c r="F463" s="138"/>
      <c r="G463" s="26"/>
    </row>
    <row r="464" ht="22.5" customHeight="1">
      <c r="A464" s="139"/>
      <c r="B464" s="25"/>
      <c r="C464" s="25"/>
      <c r="D464" s="138"/>
      <c r="E464" s="25"/>
      <c r="F464" s="138"/>
      <c r="G464" s="26"/>
    </row>
    <row r="465" ht="22.5" customHeight="1">
      <c r="A465" s="139"/>
      <c r="B465" s="25"/>
      <c r="C465" s="25"/>
      <c r="D465" s="138"/>
      <c r="E465" s="25"/>
      <c r="F465" s="138"/>
      <c r="G465" s="26"/>
    </row>
    <row r="466" ht="22.5" customHeight="1">
      <c r="A466" s="139"/>
      <c r="B466" s="25"/>
      <c r="C466" s="25"/>
      <c r="D466" s="138"/>
      <c r="E466" s="25"/>
      <c r="F466" s="138"/>
      <c r="G466" s="26"/>
    </row>
    <row r="467" ht="22.5" customHeight="1">
      <c r="A467" s="139"/>
      <c r="B467" s="25"/>
      <c r="C467" s="25"/>
      <c r="D467" s="138"/>
      <c r="E467" s="25"/>
      <c r="F467" s="138"/>
      <c r="G467" s="26"/>
    </row>
    <row r="468" ht="22.5" customHeight="1">
      <c r="A468" s="139"/>
      <c r="B468" s="25"/>
      <c r="C468" s="25"/>
      <c r="D468" s="138"/>
      <c r="E468" s="25"/>
      <c r="F468" s="138"/>
      <c r="G468" s="26"/>
    </row>
    <row r="469" ht="22.5" customHeight="1">
      <c r="A469" s="139"/>
      <c r="B469" s="25"/>
      <c r="C469" s="25"/>
      <c r="D469" s="138"/>
      <c r="E469" s="25"/>
      <c r="F469" s="138"/>
      <c r="G469" s="26"/>
    </row>
    <row r="470" ht="22.5" customHeight="1">
      <c r="A470" s="139"/>
      <c r="B470" s="25"/>
      <c r="C470" s="25"/>
      <c r="D470" s="138"/>
      <c r="E470" s="25"/>
      <c r="F470" s="138"/>
      <c r="G470" s="26"/>
    </row>
    <row r="471" ht="22.5" customHeight="1">
      <c r="A471" s="139"/>
      <c r="B471" s="25"/>
      <c r="C471" s="25"/>
      <c r="D471" s="138"/>
      <c r="E471" s="25"/>
      <c r="F471" s="138"/>
      <c r="G471" s="26"/>
    </row>
    <row r="472" ht="22.5" customHeight="1">
      <c r="A472" s="139"/>
      <c r="B472" s="25"/>
      <c r="C472" s="25"/>
      <c r="D472" s="138"/>
      <c r="E472" s="25"/>
      <c r="F472" s="138"/>
      <c r="G472" s="26"/>
    </row>
    <row r="473" ht="22.5" customHeight="1">
      <c r="A473" s="139"/>
      <c r="B473" s="25"/>
      <c r="C473" s="25"/>
      <c r="D473" s="138"/>
      <c r="E473" s="25"/>
      <c r="F473" s="138"/>
      <c r="G473" s="26"/>
    </row>
    <row r="474" ht="22.5" customHeight="1">
      <c r="A474" s="139"/>
      <c r="B474" s="25"/>
      <c r="C474" s="25"/>
      <c r="D474" s="138"/>
      <c r="E474" s="25"/>
      <c r="F474" s="138"/>
      <c r="G474" s="26"/>
    </row>
    <row r="475" ht="22.5" customHeight="1">
      <c r="A475" s="139"/>
      <c r="B475" s="25"/>
      <c r="C475" s="25"/>
      <c r="D475" s="138"/>
      <c r="E475" s="25"/>
      <c r="F475" s="138"/>
      <c r="G475" s="26"/>
    </row>
    <row r="476" ht="22.5" customHeight="1">
      <c r="A476" s="139"/>
      <c r="B476" s="25"/>
      <c r="C476" s="25"/>
      <c r="D476" s="138"/>
      <c r="E476" s="25"/>
      <c r="F476" s="138"/>
      <c r="G476" s="26"/>
    </row>
    <row r="477" ht="22.5" customHeight="1">
      <c r="A477" s="139"/>
      <c r="B477" s="25"/>
      <c r="C477" s="25"/>
      <c r="D477" s="138"/>
      <c r="E477" s="25"/>
      <c r="F477" s="138"/>
      <c r="G477" s="26"/>
    </row>
    <row r="478" ht="22.5" customHeight="1">
      <c r="A478" s="139"/>
      <c r="B478" s="25"/>
      <c r="C478" s="25"/>
      <c r="D478" s="138"/>
      <c r="E478" s="25"/>
      <c r="F478" s="138"/>
      <c r="G478" s="26"/>
    </row>
    <row r="479" ht="22.5" customHeight="1">
      <c r="A479" s="139"/>
      <c r="B479" s="25"/>
      <c r="C479" s="25"/>
      <c r="D479" s="138"/>
      <c r="E479" s="25"/>
      <c r="F479" s="138"/>
      <c r="G479" s="26"/>
    </row>
    <row r="480" ht="22.5" customHeight="1">
      <c r="A480" s="139"/>
      <c r="B480" s="25"/>
      <c r="C480" s="25"/>
      <c r="D480" s="138"/>
      <c r="E480" s="25"/>
      <c r="F480" s="138"/>
      <c r="G480" s="26"/>
    </row>
    <row r="481" ht="22.5" customHeight="1">
      <c r="A481" s="139"/>
      <c r="B481" s="25"/>
      <c r="C481" s="25"/>
      <c r="D481" s="138"/>
      <c r="E481" s="25"/>
      <c r="F481" s="138"/>
      <c r="G481" s="26"/>
    </row>
    <row r="482" ht="22.5" customHeight="1">
      <c r="A482" s="139"/>
      <c r="B482" s="25"/>
      <c r="C482" s="25"/>
      <c r="D482" s="138"/>
      <c r="E482" s="25"/>
      <c r="F482" s="138"/>
      <c r="G482" s="26"/>
    </row>
    <row r="483" ht="22.5" customHeight="1">
      <c r="A483" s="139"/>
      <c r="B483" s="25"/>
      <c r="C483" s="25"/>
      <c r="D483" s="138"/>
      <c r="E483" s="25"/>
      <c r="F483" s="138"/>
      <c r="G483" s="26"/>
    </row>
    <row r="484" ht="22.5" customHeight="1">
      <c r="A484" s="139"/>
      <c r="B484" s="25"/>
      <c r="C484" s="25"/>
      <c r="D484" s="138"/>
      <c r="E484" s="25"/>
      <c r="F484" s="138"/>
      <c r="G484" s="26"/>
    </row>
    <row r="485" ht="22.5" customHeight="1">
      <c r="A485" s="139"/>
      <c r="B485" s="25"/>
      <c r="C485" s="25"/>
      <c r="D485" s="138"/>
      <c r="E485" s="25"/>
      <c r="F485" s="138"/>
      <c r="G485" s="26"/>
    </row>
    <row r="486" ht="22.5" customHeight="1">
      <c r="A486" s="139"/>
      <c r="B486" s="25"/>
      <c r="C486" s="25"/>
      <c r="D486" s="138"/>
      <c r="E486" s="25"/>
      <c r="F486" s="138"/>
      <c r="G486" s="26"/>
    </row>
    <row r="487" ht="22.5" customHeight="1">
      <c r="A487" s="139"/>
      <c r="B487" s="25"/>
      <c r="C487" s="25"/>
      <c r="D487" s="138"/>
      <c r="E487" s="25"/>
      <c r="F487" s="138"/>
      <c r="G487" s="26"/>
    </row>
    <row r="488" ht="22.5" customHeight="1">
      <c r="A488" s="139"/>
      <c r="B488" s="25"/>
      <c r="C488" s="25"/>
      <c r="D488" s="138"/>
      <c r="E488" s="25"/>
      <c r="F488" s="138"/>
      <c r="G488" s="26"/>
    </row>
    <row r="489" ht="22.5" customHeight="1">
      <c r="A489" s="139"/>
      <c r="B489" s="25"/>
      <c r="C489" s="25"/>
      <c r="D489" s="138"/>
      <c r="E489" s="25"/>
      <c r="F489" s="138"/>
      <c r="G489" s="26"/>
    </row>
    <row r="490" ht="22.5" customHeight="1">
      <c r="A490" s="139"/>
      <c r="B490" s="25"/>
      <c r="C490" s="25"/>
      <c r="D490" s="138"/>
      <c r="E490" s="25"/>
      <c r="F490" s="138"/>
      <c r="G490" s="26"/>
    </row>
    <row r="491" ht="22.5" customHeight="1">
      <c r="A491" s="139"/>
      <c r="B491" s="25"/>
      <c r="C491" s="25"/>
      <c r="D491" s="138"/>
      <c r="E491" s="25"/>
      <c r="F491" s="138"/>
      <c r="G491" s="26"/>
    </row>
    <row r="492" ht="22.5" customHeight="1">
      <c r="A492" s="139"/>
      <c r="B492" s="25"/>
      <c r="C492" s="25"/>
      <c r="D492" s="138"/>
      <c r="E492" s="25"/>
      <c r="F492" s="138"/>
      <c r="G492" s="26"/>
    </row>
    <row r="493" ht="22.5" customHeight="1">
      <c r="A493" s="139"/>
      <c r="B493" s="25"/>
      <c r="C493" s="25"/>
      <c r="D493" s="138"/>
      <c r="E493" s="25"/>
      <c r="F493" s="138"/>
      <c r="G493" s="26"/>
    </row>
    <row r="494" ht="22.5" customHeight="1">
      <c r="A494" s="139"/>
      <c r="B494" s="25"/>
      <c r="C494" s="25"/>
      <c r="D494" s="138"/>
      <c r="E494" s="25"/>
      <c r="F494" s="138"/>
      <c r="G494" s="26"/>
    </row>
    <row r="495" ht="22.5" customHeight="1">
      <c r="A495" s="139"/>
      <c r="B495" s="25"/>
      <c r="C495" s="25"/>
      <c r="D495" s="138"/>
      <c r="E495" s="25"/>
      <c r="F495" s="138"/>
      <c r="G495" s="26"/>
    </row>
    <row r="496" ht="22.5" customHeight="1">
      <c r="A496" s="139"/>
      <c r="B496" s="25"/>
      <c r="C496" s="25"/>
      <c r="D496" s="138"/>
      <c r="E496" s="25"/>
      <c r="F496" s="138"/>
      <c r="G496" s="26"/>
    </row>
    <row r="497" ht="22.5" customHeight="1">
      <c r="A497" s="139"/>
      <c r="B497" s="25"/>
      <c r="C497" s="25"/>
      <c r="D497" s="138"/>
      <c r="E497" s="25"/>
      <c r="F497" s="138"/>
      <c r="G497" s="26"/>
    </row>
    <row r="498" ht="22.5" customHeight="1">
      <c r="A498" s="139"/>
      <c r="B498" s="25"/>
      <c r="C498" s="25"/>
      <c r="D498" s="138"/>
      <c r="E498" s="25"/>
      <c r="F498" s="138"/>
      <c r="G498" s="26"/>
    </row>
    <row r="499" ht="22.5" customHeight="1">
      <c r="A499" s="139"/>
      <c r="B499" s="25"/>
      <c r="C499" s="25"/>
      <c r="D499" s="138"/>
      <c r="E499" s="25"/>
      <c r="F499" s="138"/>
      <c r="G499" s="26"/>
    </row>
    <row r="500" ht="22.5" customHeight="1">
      <c r="A500" s="139"/>
      <c r="B500" s="25"/>
      <c r="C500" s="25"/>
      <c r="D500" s="138"/>
      <c r="E500" s="25"/>
      <c r="F500" s="138"/>
      <c r="G500" s="26"/>
    </row>
    <row r="501" ht="22.5" customHeight="1">
      <c r="A501" s="139"/>
      <c r="B501" s="25"/>
      <c r="C501" s="25"/>
      <c r="D501" s="138"/>
      <c r="E501" s="25"/>
      <c r="F501" s="138"/>
      <c r="G501" s="26"/>
    </row>
    <row r="502" ht="22.5" customHeight="1">
      <c r="A502" s="139"/>
      <c r="B502" s="25"/>
      <c r="C502" s="25"/>
      <c r="D502" s="138"/>
      <c r="E502" s="25"/>
      <c r="F502" s="138"/>
      <c r="G502" s="26"/>
    </row>
    <row r="503" ht="22.5" customHeight="1">
      <c r="A503" s="139"/>
      <c r="B503" s="25"/>
      <c r="C503" s="25"/>
      <c r="D503" s="138"/>
      <c r="E503" s="25"/>
      <c r="F503" s="138"/>
      <c r="G503" s="26"/>
    </row>
    <row r="504" ht="22.5" customHeight="1">
      <c r="A504" s="139"/>
      <c r="B504" s="25"/>
      <c r="C504" s="25"/>
      <c r="D504" s="138"/>
      <c r="E504" s="25"/>
      <c r="F504" s="138"/>
      <c r="G504" s="26"/>
    </row>
    <row r="505" ht="22.5" customHeight="1">
      <c r="A505" s="139"/>
      <c r="B505" s="25"/>
      <c r="C505" s="25"/>
      <c r="D505" s="138"/>
      <c r="E505" s="25"/>
      <c r="F505" s="138"/>
      <c r="G505" s="26"/>
    </row>
    <row r="506" ht="22.5" customHeight="1">
      <c r="A506" s="139"/>
      <c r="B506" s="25"/>
      <c r="C506" s="25"/>
      <c r="D506" s="138"/>
      <c r="E506" s="25"/>
      <c r="F506" s="138"/>
      <c r="G506" s="26"/>
    </row>
    <row r="507" ht="22.5" customHeight="1">
      <c r="A507" s="139"/>
      <c r="B507" s="25"/>
      <c r="C507" s="25"/>
      <c r="D507" s="138"/>
      <c r="E507" s="25"/>
      <c r="F507" s="138"/>
      <c r="G507" s="26"/>
    </row>
    <row r="508" ht="22.5" customHeight="1">
      <c r="A508" s="139"/>
      <c r="B508" s="25"/>
      <c r="C508" s="25"/>
      <c r="D508" s="138"/>
      <c r="E508" s="25"/>
      <c r="F508" s="138"/>
      <c r="G508" s="26"/>
    </row>
    <row r="509" ht="22.5" customHeight="1">
      <c r="A509" s="139"/>
      <c r="B509" s="25"/>
      <c r="C509" s="25"/>
      <c r="D509" s="138"/>
      <c r="E509" s="25"/>
      <c r="F509" s="138"/>
      <c r="G509" s="26"/>
    </row>
    <row r="510" ht="22.5" customHeight="1">
      <c r="A510" s="139"/>
      <c r="B510" s="25"/>
      <c r="C510" s="25"/>
      <c r="D510" s="138"/>
      <c r="E510" s="25"/>
      <c r="F510" s="138"/>
      <c r="G510" s="26"/>
    </row>
    <row r="511" ht="22.5" customHeight="1">
      <c r="A511" s="139"/>
      <c r="B511" s="25"/>
      <c r="C511" s="25"/>
      <c r="D511" s="138"/>
      <c r="E511" s="25"/>
      <c r="F511" s="138"/>
      <c r="G511" s="26"/>
    </row>
    <row r="512" ht="22.5" customHeight="1">
      <c r="A512" s="139"/>
      <c r="B512" s="25"/>
      <c r="C512" s="25"/>
      <c r="D512" s="138"/>
      <c r="E512" s="25"/>
      <c r="F512" s="138"/>
      <c r="G512" s="26"/>
    </row>
    <row r="513" ht="22.5" customHeight="1">
      <c r="A513" s="139"/>
      <c r="B513" s="25"/>
      <c r="C513" s="25"/>
      <c r="D513" s="138"/>
      <c r="E513" s="25"/>
      <c r="F513" s="138"/>
      <c r="G513" s="26"/>
    </row>
    <row r="514" ht="22.5" customHeight="1">
      <c r="A514" s="139"/>
      <c r="B514" s="25"/>
      <c r="C514" s="25"/>
      <c r="D514" s="138"/>
      <c r="E514" s="25"/>
      <c r="F514" s="138"/>
      <c r="G514" s="26"/>
    </row>
    <row r="515" ht="22.5" customHeight="1">
      <c r="A515" s="139"/>
      <c r="B515" s="25"/>
      <c r="C515" s="25"/>
      <c r="D515" s="138"/>
      <c r="E515" s="25"/>
      <c r="F515" s="138"/>
      <c r="G515" s="26"/>
    </row>
    <row r="516" ht="22.5" customHeight="1">
      <c r="A516" s="139"/>
      <c r="B516" s="25"/>
      <c r="C516" s="25"/>
      <c r="D516" s="138"/>
      <c r="E516" s="25"/>
      <c r="F516" s="138"/>
      <c r="G516" s="26"/>
    </row>
    <row r="517" ht="22.5" customHeight="1">
      <c r="A517" s="139"/>
      <c r="B517" s="25"/>
      <c r="C517" s="25"/>
      <c r="D517" s="138"/>
      <c r="E517" s="25"/>
      <c r="F517" s="138"/>
      <c r="G517" s="26"/>
    </row>
    <row r="518" ht="22.5" customHeight="1">
      <c r="A518" s="139"/>
      <c r="B518" s="25"/>
      <c r="C518" s="25"/>
      <c r="D518" s="138"/>
      <c r="E518" s="25"/>
      <c r="F518" s="138"/>
      <c r="G518" s="26"/>
    </row>
    <row r="519" ht="22.5" customHeight="1">
      <c r="A519" s="139"/>
      <c r="B519" s="25"/>
      <c r="C519" s="25"/>
      <c r="D519" s="138"/>
      <c r="E519" s="25"/>
      <c r="F519" s="138"/>
      <c r="G519" s="26"/>
    </row>
    <row r="520" ht="22.5" customHeight="1">
      <c r="A520" s="139"/>
      <c r="B520" s="25"/>
      <c r="C520" s="25"/>
      <c r="D520" s="138"/>
      <c r="E520" s="25"/>
      <c r="F520" s="138"/>
      <c r="G520" s="26"/>
    </row>
    <row r="521" ht="22.5" customHeight="1">
      <c r="A521" s="139"/>
      <c r="B521" s="25"/>
      <c r="C521" s="25"/>
      <c r="D521" s="138"/>
      <c r="E521" s="25"/>
      <c r="F521" s="138"/>
      <c r="G521" s="26"/>
    </row>
    <row r="522" ht="22.5" customHeight="1">
      <c r="A522" s="139"/>
      <c r="B522" s="25"/>
      <c r="C522" s="25"/>
      <c r="D522" s="138"/>
      <c r="E522" s="25"/>
      <c r="F522" s="138"/>
      <c r="G522" s="26"/>
    </row>
    <row r="523" ht="22.5" customHeight="1">
      <c r="A523" s="139"/>
      <c r="B523" s="25"/>
      <c r="C523" s="25"/>
      <c r="D523" s="138"/>
      <c r="E523" s="25"/>
      <c r="F523" s="138"/>
      <c r="G523" s="26"/>
    </row>
    <row r="524" ht="22.5" customHeight="1">
      <c r="A524" s="139"/>
      <c r="B524" s="25"/>
      <c r="C524" s="25"/>
      <c r="D524" s="138"/>
      <c r="E524" s="25"/>
      <c r="F524" s="138"/>
      <c r="G524" s="26"/>
    </row>
    <row r="525" ht="22.5" customHeight="1">
      <c r="A525" s="139"/>
      <c r="B525" s="25"/>
      <c r="C525" s="25"/>
      <c r="D525" s="138"/>
      <c r="E525" s="25"/>
      <c r="F525" s="138"/>
      <c r="G525" s="26"/>
    </row>
    <row r="526" ht="22.5" customHeight="1">
      <c r="A526" s="139"/>
      <c r="B526" s="25"/>
      <c r="C526" s="25"/>
      <c r="D526" s="138"/>
      <c r="E526" s="25"/>
      <c r="F526" s="138"/>
      <c r="G526" s="26"/>
    </row>
    <row r="527" ht="22.5" customHeight="1">
      <c r="A527" s="139"/>
      <c r="B527" s="25"/>
      <c r="C527" s="25"/>
      <c r="D527" s="138"/>
      <c r="E527" s="25"/>
      <c r="F527" s="138"/>
      <c r="G527" s="26"/>
    </row>
    <row r="528" ht="22.5" customHeight="1">
      <c r="A528" s="139"/>
      <c r="B528" s="25"/>
      <c r="C528" s="25"/>
      <c r="D528" s="138"/>
      <c r="E528" s="25"/>
      <c r="F528" s="138"/>
      <c r="G528" s="26"/>
    </row>
    <row r="529" ht="22.5" customHeight="1">
      <c r="A529" s="139"/>
      <c r="B529" s="25"/>
      <c r="C529" s="25"/>
      <c r="D529" s="138"/>
      <c r="E529" s="25"/>
      <c r="F529" s="138"/>
      <c r="G529" s="26"/>
    </row>
    <row r="530" ht="22.5" customHeight="1">
      <c r="A530" s="139"/>
      <c r="B530" s="25"/>
      <c r="C530" s="25"/>
      <c r="D530" s="138"/>
      <c r="E530" s="25"/>
      <c r="F530" s="138"/>
      <c r="G530" s="26"/>
    </row>
    <row r="531" ht="22.5" customHeight="1">
      <c r="A531" s="139"/>
      <c r="B531" s="25"/>
      <c r="C531" s="25"/>
      <c r="D531" s="138"/>
      <c r="E531" s="25"/>
      <c r="F531" s="138"/>
      <c r="G531" s="26"/>
    </row>
    <row r="532" ht="22.5" customHeight="1">
      <c r="A532" s="139"/>
      <c r="B532" s="25"/>
      <c r="C532" s="25"/>
      <c r="D532" s="138"/>
      <c r="E532" s="25"/>
      <c r="F532" s="138"/>
      <c r="G532" s="26"/>
    </row>
    <row r="533" ht="22.5" customHeight="1">
      <c r="A533" s="139"/>
      <c r="B533" s="25"/>
      <c r="C533" s="25"/>
      <c r="D533" s="138"/>
      <c r="E533" s="25"/>
      <c r="F533" s="138"/>
      <c r="G533" s="26"/>
    </row>
    <row r="534" ht="22.5" customHeight="1">
      <c r="A534" s="139"/>
      <c r="B534" s="25"/>
      <c r="C534" s="25"/>
      <c r="D534" s="138"/>
      <c r="E534" s="25"/>
      <c r="F534" s="138"/>
      <c r="G534" s="26"/>
    </row>
    <row r="535" ht="22.5" customHeight="1">
      <c r="A535" s="139"/>
      <c r="B535" s="25"/>
      <c r="C535" s="25"/>
      <c r="D535" s="138"/>
      <c r="E535" s="25"/>
      <c r="F535" s="138"/>
      <c r="G535" s="26"/>
    </row>
    <row r="536" ht="22.5" customHeight="1">
      <c r="A536" s="139"/>
      <c r="B536" s="25"/>
      <c r="C536" s="25"/>
      <c r="D536" s="138"/>
      <c r="E536" s="25"/>
      <c r="F536" s="138"/>
      <c r="G536" s="26"/>
    </row>
    <row r="537" ht="22.5" customHeight="1">
      <c r="A537" s="139"/>
      <c r="B537" s="25"/>
      <c r="C537" s="25"/>
      <c r="D537" s="138"/>
      <c r="E537" s="25"/>
      <c r="F537" s="138"/>
      <c r="G537" s="26"/>
    </row>
    <row r="538" ht="22.5" customHeight="1">
      <c r="A538" s="139"/>
      <c r="B538" s="25"/>
      <c r="C538" s="25"/>
      <c r="D538" s="138"/>
      <c r="E538" s="25"/>
      <c r="F538" s="138"/>
      <c r="G538" s="26"/>
    </row>
    <row r="539" ht="22.5" customHeight="1">
      <c r="A539" s="139"/>
      <c r="B539" s="25"/>
      <c r="C539" s="25"/>
      <c r="D539" s="138"/>
      <c r="E539" s="25"/>
      <c r="F539" s="138"/>
      <c r="G539" s="26"/>
    </row>
    <row r="540" ht="22.5" customHeight="1">
      <c r="A540" s="139"/>
      <c r="B540" s="25"/>
      <c r="C540" s="25"/>
      <c r="D540" s="138"/>
      <c r="E540" s="25"/>
      <c r="F540" s="138"/>
      <c r="G540" s="26"/>
    </row>
    <row r="541" ht="22.5" customHeight="1">
      <c r="A541" s="139"/>
      <c r="B541" s="25"/>
      <c r="C541" s="25"/>
      <c r="D541" s="138"/>
      <c r="E541" s="25"/>
      <c r="F541" s="138"/>
      <c r="G541" s="26"/>
    </row>
    <row r="542" ht="22.5" customHeight="1">
      <c r="A542" s="139"/>
      <c r="B542" s="25"/>
      <c r="C542" s="25"/>
      <c r="D542" s="138"/>
      <c r="E542" s="25"/>
      <c r="F542" s="138"/>
      <c r="G542" s="26"/>
    </row>
    <row r="543" ht="22.5" customHeight="1">
      <c r="A543" s="139"/>
      <c r="B543" s="25"/>
      <c r="C543" s="25"/>
      <c r="D543" s="138"/>
      <c r="E543" s="25"/>
      <c r="F543" s="138"/>
      <c r="G543" s="26"/>
    </row>
    <row r="544" ht="22.5" customHeight="1">
      <c r="A544" s="139"/>
      <c r="B544" s="25"/>
      <c r="C544" s="25"/>
      <c r="D544" s="138"/>
      <c r="E544" s="25"/>
      <c r="F544" s="138"/>
      <c r="G544" s="26"/>
    </row>
    <row r="545" ht="22.5" customHeight="1">
      <c r="A545" s="139"/>
      <c r="B545" s="25"/>
      <c r="C545" s="25"/>
      <c r="D545" s="138"/>
      <c r="E545" s="25"/>
      <c r="F545" s="138"/>
      <c r="G545" s="26"/>
    </row>
    <row r="546" ht="22.5" customHeight="1">
      <c r="A546" s="139"/>
      <c r="B546" s="25"/>
      <c r="C546" s="25"/>
      <c r="D546" s="138"/>
      <c r="E546" s="25"/>
      <c r="F546" s="138"/>
      <c r="G546" s="26"/>
    </row>
    <row r="547" ht="22.5" customHeight="1">
      <c r="A547" s="139"/>
      <c r="B547" s="25"/>
      <c r="C547" s="25"/>
      <c r="D547" s="138"/>
      <c r="E547" s="25"/>
      <c r="F547" s="138"/>
      <c r="G547" s="26"/>
    </row>
    <row r="548" ht="22.5" customHeight="1">
      <c r="A548" s="139"/>
      <c r="B548" s="25"/>
      <c r="C548" s="25"/>
      <c r="D548" s="138"/>
      <c r="E548" s="25"/>
      <c r="F548" s="138"/>
      <c r="G548" s="26"/>
    </row>
    <row r="549" ht="22.5" customHeight="1">
      <c r="A549" s="139"/>
      <c r="B549" s="25"/>
      <c r="C549" s="25"/>
      <c r="D549" s="138"/>
      <c r="E549" s="25"/>
      <c r="F549" s="138"/>
      <c r="G549" s="26"/>
    </row>
    <row r="550" ht="22.5" customHeight="1">
      <c r="A550" s="139"/>
      <c r="B550" s="25"/>
      <c r="C550" s="25"/>
      <c r="D550" s="138"/>
      <c r="E550" s="25"/>
      <c r="F550" s="138"/>
      <c r="G550" s="26"/>
    </row>
    <row r="551" ht="22.5" customHeight="1">
      <c r="A551" s="139"/>
      <c r="B551" s="25"/>
      <c r="C551" s="25"/>
      <c r="D551" s="138"/>
      <c r="E551" s="25"/>
      <c r="F551" s="138"/>
      <c r="G551" s="26"/>
    </row>
    <row r="552" ht="22.5" customHeight="1">
      <c r="A552" s="139"/>
      <c r="B552" s="25"/>
      <c r="C552" s="25"/>
      <c r="D552" s="138"/>
      <c r="E552" s="25"/>
      <c r="F552" s="138"/>
      <c r="G552" s="26"/>
    </row>
    <row r="553" ht="22.5" customHeight="1">
      <c r="A553" s="139"/>
      <c r="B553" s="25"/>
      <c r="C553" s="25"/>
      <c r="D553" s="138"/>
      <c r="E553" s="25"/>
      <c r="F553" s="138"/>
      <c r="G553" s="26"/>
    </row>
    <row r="554" ht="22.5" customHeight="1">
      <c r="A554" s="139"/>
      <c r="B554" s="25"/>
      <c r="C554" s="25"/>
      <c r="D554" s="138"/>
      <c r="E554" s="25"/>
      <c r="F554" s="138"/>
      <c r="G554" s="26"/>
    </row>
    <row r="555" ht="22.5" customHeight="1">
      <c r="A555" s="139"/>
      <c r="B555" s="25"/>
      <c r="C555" s="25"/>
      <c r="D555" s="138"/>
      <c r="E555" s="25"/>
      <c r="F555" s="138"/>
      <c r="G555" s="26"/>
    </row>
    <row r="556" ht="22.5" customHeight="1">
      <c r="A556" s="139"/>
      <c r="B556" s="25"/>
      <c r="C556" s="25"/>
      <c r="D556" s="138"/>
      <c r="E556" s="25"/>
      <c r="F556" s="138"/>
      <c r="G556" s="26"/>
    </row>
    <row r="557" ht="22.5" customHeight="1">
      <c r="A557" s="139"/>
      <c r="B557" s="25"/>
      <c r="C557" s="25"/>
      <c r="D557" s="138"/>
      <c r="E557" s="25"/>
      <c r="F557" s="138"/>
      <c r="G557" s="26"/>
    </row>
    <row r="558" ht="22.5" customHeight="1">
      <c r="A558" s="139"/>
      <c r="B558" s="25"/>
      <c r="C558" s="25"/>
      <c r="D558" s="138"/>
      <c r="E558" s="25"/>
      <c r="F558" s="138"/>
      <c r="G558" s="26"/>
    </row>
    <row r="559" ht="22.5" customHeight="1">
      <c r="A559" s="139"/>
      <c r="B559" s="25"/>
      <c r="C559" s="25"/>
      <c r="D559" s="138"/>
      <c r="E559" s="25"/>
      <c r="F559" s="138"/>
      <c r="G559" s="26"/>
    </row>
    <row r="560" ht="22.5" customHeight="1">
      <c r="A560" s="139"/>
      <c r="B560" s="25"/>
      <c r="C560" s="25"/>
      <c r="D560" s="138"/>
      <c r="E560" s="25"/>
      <c r="F560" s="138"/>
      <c r="G560" s="26"/>
    </row>
    <row r="561" ht="22.5" customHeight="1">
      <c r="A561" s="139"/>
      <c r="B561" s="25"/>
      <c r="C561" s="25"/>
      <c r="D561" s="138"/>
      <c r="E561" s="25"/>
      <c r="F561" s="138"/>
      <c r="G561" s="26"/>
    </row>
    <row r="562" ht="22.5" customHeight="1">
      <c r="A562" s="139"/>
      <c r="B562" s="25"/>
      <c r="C562" s="25"/>
      <c r="D562" s="138"/>
      <c r="E562" s="25"/>
      <c r="F562" s="138"/>
      <c r="G562" s="26"/>
    </row>
    <row r="563" ht="22.5" customHeight="1">
      <c r="A563" s="139"/>
      <c r="B563" s="25"/>
      <c r="C563" s="25"/>
      <c r="D563" s="138"/>
      <c r="E563" s="25"/>
      <c r="F563" s="138"/>
      <c r="G563" s="26"/>
    </row>
    <row r="564" ht="22.5" customHeight="1">
      <c r="A564" s="139"/>
      <c r="B564" s="25"/>
      <c r="C564" s="25"/>
      <c r="D564" s="138"/>
      <c r="E564" s="25"/>
      <c r="F564" s="138"/>
      <c r="G564" s="26"/>
    </row>
    <row r="565" ht="22.5" customHeight="1">
      <c r="A565" s="139"/>
      <c r="B565" s="25"/>
      <c r="C565" s="25"/>
      <c r="D565" s="138"/>
      <c r="E565" s="25"/>
      <c r="F565" s="138"/>
      <c r="G565" s="26"/>
    </row>
    <row r="566" ht="22.5" customHeight="1">
      <c r="A566" s="139"/>
      <c r="B566" s="25"/>
      <c r="C566" s="25"/>
      <c r="D566" s="138"/>
      <c r="E566" s="25"/>
      <c r="F566" s="138"/>
      <c r="G566" s="26"/>
    </row>
    <row r="567" ht="22.5" customHeight="1">
      <c r="A567" s="139"/>
      <c r="B567" s="25"/>
      <c r="C567" s="25"/>
      <c r="D567" s="138"/>
      <c r="E567" s="25"/>
      <c r="F567" s="138"/>
      <c r="G567" s="26"/>
    </row>
    <row r="568" ht="22.5" customHeight="1">
      <c r="A568" s="139"/>
      <c r="B568" s="25"/>
      <c r="C568" s="25"/>
      <c r="D568" s="138"/>
      <c r="E568" s="25"/>
      <c r="F568" s="138"/>
      <c r="G568" s="26"/>
    </row>
    <row r="569" ht="22.5" customHeight="1">
      <c r="A569" s="139"/>
      <c r="B569" s="25"/>
      <c r="C569" s="25"/>
      <c r="D569" s="138"/>
      <c r="E569" s="25"/>
      <c r="F569" s="138"/>
      <c r="G569" s="26"/>
    </row>
    <row r="570" ht="22.5" customHeight="1">
      <c r="A570" s="139"/>
      <c r="B570" s="25"/>
      <c r="C570" s="25"/>
      <c r="D570" s="138"/>
      <c r="E570" s="25"/>
      <c r="F570" s="138"/>
      <c r="G570" s="26"/>
    </row>
    <row r="571" ht="22.5" customHeight="1">
      <c r="A571" s="139"/>
      <c r="B571" s="25"/>
      <c r="C571" s="25"/>
      <c r="D571" s="138"/>
      <c r="E571" s="25"/>
      <c r="F571" s="138"/>
      <c r="G571" s="26"/>
    </row>
    <row r="572" ht="22.5" customHeight="1">
      <c r="A572" s="139"/>
      <c r="B572" s="25"/>
      <c r="C572" s="25"/>
      <c r="D572" s="138"/>
      <c r="E572" s="25"/>
      <c r="F572" s="138"/>
      <c r="G572" s="26"/>
    </row>
    <row r="573" ht="22.5" customHeight="1">
      <c r="A573" s="139"/>
      <c r="B573" s="25"/>
      <c r="C573" s="25"/>
      <c r="D573" s="138"/>
      <c r="E573" s="25"/>
      <c r="F573" s="138"/>
      <c r="G573" s="26"/>
    </row>
    <row r="574" ht="22.5" customHeight="1">
      <c r="A574" s="139"/>
      <c r="B574" s="25"/>
      <c r="C574" s="25"/>
      <c r="D574" s="138"/>
      <c r="E574" s="25"/>
      <c r="F574" s="138"/>
      <c r="G574" s="26"/>
    </row>
    <row r="575" ht="22.5" customHeight="1">
      <c r="A575" s="139"/>
      <c r="B575" s="25"/>
      <c r="C575" s="25"/>
      <c r="D575" s="138"/>
      <c r="E575" s="25"/>
      <c r="F575" s="138"/>
      <c r="G575" s="26"/>
    </row>
    <row r="576" ht="22.5" customHeight="1">
      <c r="A576" s="139"/>
      <c r="B576" s="25"/>
      <c r="C576" s="25"/>
      <c r="D576" s="138"/>
      <c r="E576" s="25"/>
      <c r="F576" s="138"/>
      <c r="G576" s="26"/>
    </row>
    <row r="577" ht="22.5" customHeight="1">
      <c r="A577" s="139"/>
      <c r="B577" s="25"/>
      <c r="C577" s="25"/>
      <c r="D577" s="138"/>
      <c r="E577" s="25"/>
      <c r="F577" s="138"/>
      <c r="G577" s="26"/>
    </row>
    <row r="578" ht="22.5" customHeight="1">
      <c r="A578" s="139"/>
      <c r="B578" s="25"/>
      <c r="C578" s="25"/>
      <c r="D578" s="138"/>
      <c r="E578" s="25"/>
      <c r="F578" s="138"/>
      <c r="G578" s="26"/>
    </row>
    <row r="579" ht="22.5" customHeight="1">
      <c r="A579" s="139"/>
      <c r="B579" s="25"/>
      <c r="C579" s="25"/>
      <c r="D579" s="138"/>
      <c r="E579" s="25"/>
      <c r="F579" s="138"/>
      <c r="G579" s="26"/>
    </row>
    <row r="580" ht="22.5" customHeight="1">
      <c r="A580" s="139"/>
      <c r="B580" s="25"/>
      <c r="C580" s="25"/>
      <c r="D580" s="138"/>
      <c r="E580" s="25"/>
      <c r="F580" s="138"/>
      <c r="G580" s="26"/>
    </row>
    <row r="581" ht="22.5" customHeight="1">
      <c r="A581" s="139"/>
      <c r="B581" s="25"/>
      <c r="C581" s="25"/>
      <c r="D581" s="138"/>
      <c r="E581" s="25"/>
      <c r="F581" s="138"/>
      <c r="G581" s="26"/>
    </row>
    <row r="582" ht="22.5" customHeight="1">
      <c r="A582" s="139"/>
      <c r="B582" s="25"/>
      <c r="C582" s="25"/>
      <c r="D582" s="138"/>
      <c r="E582" s="25"/>
      <c r="F582" s="138"/>
      <c r="G582" s="26"/>
    </row>
    <row r="583" ht="22.5" customHeight="1">
      <c r="A583" s="139"/>
      <c r="B583" s="25"/>
      <c r="C583" s="25"/>
      <c r="D583" s="138"/>
      <c r="E583" s="25"/>
      <c r="F583" s="138"/>
      <c r="G583" s="26"/>
    </row>
    <row r="584" ht="22.5" customHeight="1">
      <c r="A584" s="139"/>
      <c r="B584" s="25"/>
      <c r="C584" s="25"/>
      <c r="D584" s="138"/>
      <c r="E584" s="25"/>
      <c r="F584" s="138"/>
      <c r="G584" s="26"/>
    </row>
    <row r="585" ht="22.5" customHeight="1">
      <c r="A585" s="139"/>
      <c r="B585" s="25"/>
      <c r="C585" s="25"/>
      <c r="D585" s="138"/>
      <c r="E585" s="25"/>
      <c r="F585" s="138"/>
      <c r="G585" s="26"/>
    </row>
    <row r="586" ht="22.5" customHeight="1">
      <c r="A586" s="139"/>
      <c r="B586" s="25"/>
      <c r="C586" s="25"/>
      <c r="D586" s="138"/>
      <c r="E586" s="25"/>
      <c r="F586" s="138"/>
      <c r="G586" s="26"/>
    </row>
    <row r="587" ht="22.5" customHeight="1">
      <c r="A587" s="139"/>
      <c r="B587" s="25"/>
      <c r="C587" s="25"/>
      <c r="D587" s="138"/>
      <c r="E587" s="25"/>
      <c r="F587" s="138"/>
      <c r="G587" s="26"/>
    </row>
    <row r="588" ht="22.5" customHeight="1">
      <c r="A588" s="139"/>
      <c r="B588" s="25"/>
      <c r="C588" s="25"/>
      <c r="D588" s="138"/>
      <c r="E588" s="25"/>
      <c r="F588" s="138"/>
      <c r="G588" s="26"/>
    </row>
    <row r="589" ht="22.5" customHeight="1">
      <c r="A589" s="139"/>
      <c r="B589" s="25"/>
      <c r="C589" s="25"/>
      <c r="D589" s="138"/>
      <c r="E589" s="25"/>
      <c r="F589" s="138"/>
      <c r="G589" s="26"/>
    </row>
    <row r="590" ht="22.5" customHeight="1">
      <c r="A590" s="139"/>
      <c r="B590" s="25"/>
      <c r="C590" s="25"/>
      <c r="D590" s="138"/>
      <c r="E590" s="25"/>
      <c r="F590" s="138"/>
      <c r="G590" s="26"/>
    </row>
    <row r="591" ht="22.5" customHeight="1">
      <c r="A591" s="139"/>
      <c r="B591" s="25"/>
      <c r="C591" s="25"/>
      <c r="D591" s="138"/>
      <c r="E591" s="25"/>
      <c r="F591" s="138"/>
      <c r="G591" s="26"/>
    </row>
    <row r="592" ht="22.5" customHeight="1">
      <c r="A592" s="139"/>
      <c r="B592" s="25"/>
      <c r="C592" s="25"/>
      <c r="D592" s="138"/>
      <c r="E592" s="25"/>
      <c r="F592" s="138"/>
      <c r="G592" s="26"/>
    </row>
    <row r="593" ht="22.5" customHeight="1">
      <c r="A593" s="139"/>
      <c r="B593" s="25"/>
      <c r="C593" s="25"/>
      <c r="D593" s="138"/>
      <c r="E593" s="25"/>
      <c r="F593" s="138"/>
      <c r="G593" s="26"/>
    </row>
    <row r="594" ht="22.5" customHeight="1">
      <c r="A594" s="139"/>
      <c r="B594" s="25"/>
      <c r="C594" s="25"/>
      <c r="D594" s="138"/>
      <c r="E594" s="25"/>
      <c r="F594" s="138"/>
      <c r="G594" s="26"/>
    </row>
    <row r="595" ht="22.5" customHeight="1">
      <c r="A595" s="139"/>
      <c r="B595" s="25"/>
      <c r="C595" s="25"/>
      <c r="D595" s="138"/>
      <c r="E595" s="25"/>
      <c r="F595" s="138"/>
      <c r="G595" s="26"/>
    </row>
    <row r="596" ht="22.5" customHeight="1">
      <c r="A596" s="139"/>
      <c r="B596" s="25"/>
      <c r="C596" s="25"/>
      <c r="D596" s="138"/>
      <c r="E596" s="25"/>
      <c r="F596" s="138"/>
      <c r="G596" s="26"/>
    </row>
    <row r="597" ht="22.5" customHeight="1">
      <c r="A597" s="139"/>
      <c r="B597" s="25"/>
      <c r="C597" s="25"/>
      <c r="D597" s="138"/>
      <c r="E597" s="25"/>
      <c r="F597" s="138"/>
      <c r="G597" s="26"/>
    </row>
    <row r="598" ht="22.5" customHeight="1">
      <c r="A598" s="139"/>
      <c r="B598" s="25"/>
      <c r="C598" s="25"/>
      <c r="D598" s="138"/>
      <c r="E598" s="25"/>
      <c r="F598" s="138"/>
      <c r="G598" s="26"/>
    </row>
    <row r="599" ht="22.5" customHeight="1">
      <c r="A599" s="139"/>
      <c r="B599" s="25"/>
      <c r="C599" s="25"/>
      <c r="D599" s="138"/>
      <c r="E599" s="25"/>
      <c r="F599" s="138"/>
      <c r="G599" s="26"/>
    </row>
    <row r="600" ht="22.5" customHeight="1">
      <c r="A600" s="139"/>
      <c r="B600" s="25"/>
      <c r="C600" s="25"/>
      <c r="D600" s="138"/>
      <c r="E600" s="25"/>
      <c r="F600" s="138"/>
      <c r="G600" s="26"/>
    </row>
    <row r="601" ht="22.5" customHeight="1">
      <c r="A601" s="139"/>
      <c r="B601" s="25"/>
      <c r="C601" s="25"/>
      <c r="D601" s="138"/>
      <c r="E601" s="25"/>
      <c r="F601" s="138"/>
      <c r="G601" s="26"/>
    </row>
    <row r="602" ht="22.5" customHeight="1">
      <c r="A602" s="139"/>
      <c r="B602" s="25"/>
      <c r="C602" s="25"/>
      <c r="D602" s="138"/>
      <c r="E602" s="25"/>
      <c r="F602" s="138"/>
      <c r="G602" s="26"/>
    </row>
    <row r="603" ht="22.5" customHeight="1">
      <c r="A603" s="139"/>
      <c r="B603" s="25"/>
      <c r="C603" s="25"/>
      <c r="D603" s="138"/>
      <c r="E603" s="25"/>
      <c r="F603" s="138"/>
      <c r="G603" s="26"/>
    </row>
    <row r="604" ht="22.5" customHeight="1">
      <c r="A604" s="139"/>
      <c r="B604" s="25"/>
      <c r="C604" s="25"/>
      <c r="D604" s="138"/>
      <c r="E604" s="25"/>
      <c r="F604" s="138"/>
      <c r="G604" s="26"/>
    </row>
    <row r="605" ht="22.5" customHeight="1">
      <c r="A605" s="139"/>
      <c r="B605" s="25"/>
      <c r="C605" s="25"/>
      <c r="D605" s="138"/>
      <c r="E605" s="25"/>
      <c r="F605" s="138"/>
      <c r="G605" s="26"/>
    </row>
    <row r="606" ht="22.5" customHeight="1">
      <c r="A606" s="139"/>
      <c r="B606" s="25"/>
      <c r="C606" s="25"/>
      <c r="D606" s="138"/>
      <c r="E606" s="25"/>
      <c r="F606" s="138"/>
      <c r="G606" s="26"/>
    </row>
    <row r="607" ht="22.5" customHeight="1">
      <c r="A607" s="139"/>
      <c r="B607" s="25"/>
      <c r="C607" s="25"/>
      <c r="D607" s="138"/>
      <c r="E607" s="25"/>
      <c r="F607" s="138"/>
      <c r="G607" s="26"/>
    </row>
    <row r="608" ht="22.5" customHeight="1">
      <c r="A608" s="139"/>
      <c r="B608" s="25"/>
      <c r="C608" s="25"/>
      <c r="D608" s="138"/>
      <c r="E608" s="25"/>
      <c r="F608" s="138"/>
      <c r="G608" s="26"/>
    </row>
    <row r="609" ht="22.5" customHeight="1">
      <c r="A609" s="139"/>
      <c r="B609" s="25"/>
      <c r="C609" s="25"/>
      <c r="D609" s="138"/>
      <c r="E609" s="25"/>
      <c r="F609" s="138"/>
      <c r="G609" s="26"/>
    </row>
    <row r="610" ht="22.5" customHeight="1">
      <c r="A610" s="139"/>
      <c r="B610" s="25"/>
      <c r="C610" s="25"/>
      <c r="D610" s="138"/>
      <c r="E610" s="25"/>
      <c r="F610" s="138"/>
      <c r="G610" s="26"/>
    </row>
    <row r="611" ht="22.5" customHeight="1">
      <c r="A611" s="139"/>
      <c r="B611" s="25"/>
      <c r="C611" s="25"/>
      <c r="D611" s="138"/>
      <c r="E611" s="25"/>
      <c r="F611" s="138"/>
      <c r="G611" s="26"/>
    </row>
    <row r="612" ht="22.5" customHeight="1">
      <c r="A612" s="139"/>
      <c r="B612" s="25"/>
      <c r="C612" s="25"/>
      <c r="D612" s="138"/>
      <c r="E612" s="25"/>
      <c r="F612" s="138"/>
      <c r="G612" s="26"/>
    </row>
    <row r="613" ht="22.5" customHeight="1">
      <c r="A613" s="139"/>
      <c r="B613" s="25"/>
      <c r="C613" s="25"/>
      <c r="D613" s="138"/>
      <c r="E613" s="25"/>
      <c r="F613" s="138"/>
      <c r="G613" s="26"/>
    </row>
    <row r="614" ht="22.5" customHeight="1">
      <c r="A614" s="139"/>
      <c r="B614" s="25"/>
      <c r="C614" s="25"/>
      <c r="D614" s="138"/>
      <c r="E614" s="25"/>
      <c r="F614" s="138"/>
      <c r="G614" s="26"/>
    </row>
    <row r="615" ht="22.5" customHeight="1">
      <c r="A615" s="139"/>
      <c r="B615" s="25"/>
      <c r="C615" s="25"/>
      <c r="D615" s="138"/>
      <c r="E615" s="25"/>
      <c r="F615" s="138"/>
      <c r="G615" s="26"/>
    </row>
    <row r="616" ht="22.5" customHeight="1">
      <c r="A616" s="139"/>
      <c r="B616" s="25"/>
      <c r="C616" s="25"/>
      <c r="D616" s="138"/>
      <c r="E616" s="25"/>
      <c r="F616" s="138"/>
      <c r="G616" s="26"/>
    </row>
    <row r="617" ht="22.5" customHeight="1">
      <c r="A617" s="139"/>
      <c r="B617" s="25"/>
      <c r="C617" s="25"/>
      <c r="D617" s="138"/>
      <c r="E617" s="25"/>
      <c r="F617" s="138"/>
      <c r="G617" s="26"/>
    </row>
    <row r="618" ht="22.5" customHeight="1">
      <c r="A618" s="139"/>
      <c r="B618" s="25"/>
      <c r="C618" s="25"/>
      <c r="D618" s="138"/>
      <c r="E618" s="25"/>
      <c r="F618" s="138"/>
      <c r="G618" s="26"/>
    </row>
    <row r="619" ht="22.5" customHeight="1">
      <c r="A619" s="139"/>
      <c r="B619" s="25"/>
      <c r="C619" s="25"/>
      <c r="D619" s="138"/>
      <c r="E619" s="25"/>
      <c r="F619" s="138"/>
      <c r="G619" s="26"/>
    </row>
    <row r="620" ht="22.5" customHeight="1">
      <c r="A620" s="139"/>
      <c r="B620" s="25"/>
      <c r="C620" s="25"/>
      <c r="D620" s="138"/>
      <c r="E620" s="25"/>
      <c r="F620" s="138"/>
      <c r="G620" s="26"/>
    </row>
    <row r="621" ht="22.5" customHeight="1">
      <c r="A621" s="139"/>
      <c r="B621" s="25"/>
      <c r="C621" s="25"/>
      <c r="D621" s="138"/>
      <c r="E621" s="25"/>
      <c r="F621" s="138"/>
      <c r="G621" s="26"/>
    </row>
    <row r="622" ht="22.5" customHeight="1">
      <c r="A622" s="139"/>
      <c r="B622" s="25"/>
      <c r="C622" s="25"/>
      <c r="D622" s="138"/>
      <c r="E622" s="25"/>
      <c r="F622" s="138"/>
      <c r="G622" s="26"/>
    </row>
    <row r="623" ht="22.5" customHeight="1">
      <c r="A623" s="139"/>
      <c r="B623" s="25"/>
      <c r="C623" s="25"/>
      <c r="D623" s="138"/>
      <c r="E623" s="25"/>
      <c r="F623" s="138"/>
      <c r="G623" s="26"/>
    </row>
    <row r="624" ht="22.5" customHeight="1">
      <c r="A624" s="139"/>
      <c r="B624" s="25"/>
      <c r="C624" s="25"/>
      <c r="D624" s="138"/>
      <c r="E624" s="25"/>
      <c r="F624" s="138"/>
      <c r="G624" s="26"/>
    </row>
    <row r="625" ht="22.5" customHeight="1">
      <c r="A625" s="139"/>
      <c r="B625" s="25"/>
      <c r="C625" s="25"/>
      <c r="D625" s="138"/>
      <c r="E625" s="25"/>
      <c r="F625" s="138"/>
      <c r="G625" s="26"/>
    </row>
    <row r="626" ht="22.5" customHeight="1">
      <c r="A626" s="139"/>
      <c r="B626" s="25"/>
      <c r="C626" s="25"/>
      <c r="D626" s="138"/>
      <c r="E626" s="25"/>
      <c r="F626" s="138"/>
      <c r="G626" s="26"/>
    </row>
    <row r="627" ht="22.5" customHeight="1">
      <c r="A627" s="139"/>
      <c r="B627" s="25"/>
      <c r="C627" s="25"/>
      <c r="D627" s="138"/>
      <c r="E627" s="25"/>
      <c r="F627" s="138"/>
      <c r="G627" s="26"/>
    </row>
    <row r="628" ht="22.5" customHeight="1">
      <c r="A628" s="139"/>
      <c r="B628" s="25"/>
      <c r="C628" s="25"/>
      <c r="D628" s="138"/>
      <c r="E628" s="25"/>
      <c r="F628" s="138"/>
      <c r="G628" s="26"/>
    </row>
    <row r="629" ht="22.5" customHeight="1">
      <c r="A629" s="139"/>
      <c r="B629" s="25"/>
      <c r="C629" s="25"/>
      <c r="D629" s="138"/>
      <c r="E629" s="25"/>
      <c r="F629" s="138"/>
      <c r="G629" s="26"/>
    </row>
    <row r="630" ht="22.5" customHeight="1">
      <c r="A630" s="139"/>
      <c r="B630" s="25"/>
      <c r="C630" s="25"/>
      <c r="D630" s="138"/>
      <c r="E630" s="25"/>
      <c r="F630" s="138"/>
      <c r="G630" s="26"/>
    </row>
    <row r="631" ht="22.5" customHeight="1">
      <c r="A631" s="139"/>
      <c r="B631" s="25"/>
      <c r="C631" s="25"/>
      <c r="D631" s="138"/>
      <c r="E631" s="25"/>
      <c r="F631" s="138"/>
      <c r="G631" s="26"/>
    </row>
    <row r="632" ht="22.5" customHeight="1">
      <c r="A632" s="139"/>
      <c r="B632" s="25"/>
      <c r="C632" s="25"/>
      <c r="D632" s="138"/>
      <c r="E632" s="25"/>
      <c r="F632" s="138"/>
      <c r="G632" s="26"/>
    </row>
    <row r="633" ht="22.5" customHeight="1">
      <c r="A633" s="139"/>
      <c r="B633" s="25"/>
      <c r="C633" s="25"/>
      <c r="D633" s="138"/>
      <c r="E633" s="25"/>
      <c r="F633" s="138"/>
      <c r="G633" s="26"/>
    </row>
    <row r="634" ht="22.5" customHeight="1">
      <c r="A634" s="139"/>
      <c r="B634" s="25"/>
      <c r="C634" s="25"/>
      <c r="D634" s="138"/>
      <c r="E634" s="25"/>
      <c r="F634" s="138"/>
      <c r="G634" s="26"/>
    </row>
    <row r="635" ht="22.5" customHeight="1">
      <c r="A635" s="139"/>
      <c r="B635" s="25"/>
      <c r="C635" s="25"/>
      <c r="D635" s="138"/>
      <c r="E635" s="25"/>
      <c r="F635" s="138"/>
      <c r="G635" s="26"/>
    </row>
    <row r="636" ht="22.5" customHeight="1">
      <c r="A636" s="139"/>
      <c r="B636" s="25"/>
      <c r="C636" s="25"/>
      <c r="D636" s="138"/>
      <c r="E636" s="25"/>
      <c r="F636" s="138"/>
      <c r="G636" s="26"/>
    </row>
    <row r="637" ht="22.5" customHeight="1">
      <c r="A637" s="139"/>
      <c r="B637" s="25"/>
      <c r="C637" s="25"/>
      <c r="D637" s="138"/>
      <c r="E637" s="25"/>
      <c r="F637" s="138"/>
      <c r="G637" s="26"/>
    </row>
    <row r="638" ht="22.5" customHeight="1">
      <c r="A638" s="139"/>
      <c r="B638" s="25"/>
      <c r="C638" s="25"/>
      <c r="D638" s="138"/>
      <c r="E638" s="25"/>
      <c r="F638" s="138"/>
      <c r="G638" s="26"/>
    </row>
    <row r="639" ht="22.5" customHeight="1">
      <c r="A639" s="139"/>
      <c r="B639" s="25"/>
      <c r="C639" s="25"/>
      <c r="D639" s="138"/>
      <c r="E639" s="25"/>
      <c r="F639" s="138"/>
      <c r="G639" s="26"/>
    </row>
    <row r="640" ht="22.5" customHeight="1">
      <c r="A640" s="139"/>
      <c r="B640" s="25"/>
      <c r="C640" s="25"/>
      <c r="D640" s="138"/>
      <c r="E640" s="25"/>
      <c r="F640" s="138"/>
      <c r="G640" s="26"/>
    </row>
    <row r="641" ht="22.5" customHeight="1">
      <c r="A641" s="139"/>
      <c r="B641" s="25"/>
      <c r="C641" s="25"/>
      <c r="D641" s="138"/>
      <c r="E641" s="25"/>
      <c r="F641" s="138"/>
      <c r="G641" s="26"/>
    </row>
    <row r="642" ht="22.5" customHeight="1">
      <c r="A642" s="139"/>
      <c r="B642" s="25"/>
      <c r="C642" s="25"/>
      <c r="D642" s="138"/>
      <c r="E642" s="25"/>
      <c r="F642" s="138"/>
      <c r="G642" s="26"/>
    </row>
    <row r="643" ht="22.5" customHeight="1">
      <c r="A643" s="139"/>
      <c r="B643" s="25"/>
      <c r="C643" s="25"/>
      <c r="D643" s="138"/>
      <c r="E643" s="25"/>
      <c r="F643" s="138"/>
      <c r="G643" s="26"/>
    </row>
    <row r="644" ht="22.5" customHeight="1">
      <c r="A644" s="139"/>
      <c r="B644" s="25"/>
      <c r="C644" s="25"/>
      <c r="D644" s="138"/>
      <c r="E644" s="25"/>
      <c r="F644" s="138"/>
      <c r="G644" s="26"/>
    </row>
    <row r="645" ht="22.5" customHeight="1">
      <c r="A645" s="139"/>
      <c r="B645" s="25"/>
      <c r="C645" s="25"/>
      <c r="D645" s="138"/>
      <c r="E645" s="25"/>
      <c r="F645" s="138"/>
      <c r="G645" s="26"/>
    </row>
    <row r="646" ht="22.5" customHeight="1">
      <c r="A646" s="139"/>
      <c r="B646" s="25"/>
      <c r="C646" s="25"/>
      <c r="D646" s="138"/>
      <c r="E646" s="25"/>
      <c r="F646" s="138"/>
      <c r="G646" s="26"/>
    </row>
    <row r="647" ht="22.5" customHeight="1">
      <c r="A647" s="139"/>
      <c r="B647" s="25"/>
      <c r="C647" s="25"/>
      <c r="D647" s="138"/>
      <c r="E647" s="25"/>
      <c r="F647" s="138"/>
      <c r="G647" s="26"/>
    </row>
    <row r="648" ht="22.5" customHeight="1">
      <c r="A648" s="139"/>
      <c r="B648" s="25"/>
      <c r="C648" s="25"/>
      <c r="D648" s="138"/>
      <c r="E648" s="25"/>
      <c r="F648" s="138"/>
      <c r="G648" s="26"/>
    </row>
    <row r="649" ht="22.5" customHeight="1">
      <c r="A649" s="139"/>
      <c r="B649" s="25"/>
      <c r="C649" s="25"/>
      <c r="D649" s="138"/>
      <c r="E649" s="25"/>
      <c r="F649" s="138"/>
      <c r="G649" s="26"/>
    </row>
    <row r="650" ht="22.5" customHeight="1">
      <c r="A650" s="139"/>
      <c r="B650" s="25"/>
      <c r="C650" s="25"/>
      <c r="D650" s="138"/>
      <c r="E650" s="25"/>
      <c r="F650" s="138"/>
      <c r="G650" s="26"/>
    </row>
    <row r="651" ht="22.5" customHeight="1">
      <c r="A651" s="139"/>
      <c r="B651" s="25"/>
      <c r="C651" s="25"/>
      <c r="D651" s="138"/>
      <c r="E651" s="25"/>
      <c r="F651" s="138"/>
      <c r="G651" s="26"/>
    </row>
    <row r="652" ht="22.5" customHeight="1">
      <c r="A652" s="139"/>
      <c r="B652" s="25"/>
      <c r="C652" s="25"/>
      <c r="D652" s="138"/>
      <c r="E652" s="25"/>
      <c r="F652" s="138"/>
      <c r="G652" s="26"/>
    </row>
    <row r="653" ht="22.5" customHeight="1">
      <c r="A653" s="139"/>
      <c r="B653" s="25"/>
      <c r="C653" s="25"/>
      <c r="D653" s="138"/>
      <c r="E653" s="25"/>
      <c r="F653" s="138"/>
      <c r="G653" s="26"/>
    </row>
    <row r="654" ht="22.5" customHeight="1">
      <c r="A654" s="139"/>
      <c r="B654" s="25"/>
      <c r="C654" s="25"/>
      <c r="D654" s="138"/>
      <c r="E654" s="25"/>
      <c r="F654" s="138"/>
      <c r="G654" s="26"/>
    </row>
    <row r="655" ht="22.5" customHeight="1">
      <c r="A655" s="139"/>
      <c r="B655" s="25"/>
      <c r="C655" s="25"/>
      <c r="D655" s="138"/>
      <c r="E655" s="25"/>
      <c r="F655" s="138"/>
      <c r="G655" s="26"/>
    </row>
    <row r="656" ht="22.5" customHeight="1">
      <c r="A656" s="139"/>
      <c r="B656" s="25"/>
      <c r="C656" s="25"/>
      <c r="D656" s="138"/>
      <c r="E656" s="25"/>
      <c r="F656" s="138"/>
      <c r="G656" s="26"/>
    </row>
    <row r="657" ht="22.5" customHeight="1">
      <c r="A657" s="139"/>
      <c r="B657" s="25"/>
      <c r="C657" s="25"/>
      <c r="D657" s="138"/>
      <c r="E657" s="25"/>
      <c r="F657" s="138"/>
      <c r="G657" s="26"/>
    </row>
    <row r="658" ht="22.5" customHeight="1">
      <c r="A658" s="139"/>
      <c r="B658" s="25"/>
      <c r="C658" s="25"/>
      <c r="D658" s="138"/>
      <c r="E658" s="25"/>
      <c r="F658" s="138"/>
      <c r="G658" s="26"/>
    </row>
    <row r="659" ht="22.5" customHeight="1">
      <c r="A659" s="139"/>
      <c r="B659" s="25"/>
      <c r="C659" s="25"/>
      <c r="D659" s="138"/>
      <c r="E659" s="25"/>
      <c r="F659" s="138"/>
      <c r="G659" s="26"/>
    </row>
    <row r="660" ht="22.5" customHeight="1">
      <c r="A660" s="139"/>
      <c r="B660" s="25"/>
      <c r="C660" s="25"/>
      <c r="D660" s="138"/>
      <c r="E660" s="25"/>
      <c r="F660" s="138"/>
      <c r="G660" s="26"/>
    </row>
    <row r="661" ht="22.5" customHeight="1">
      <c r="A661" s="139"/>
      <c r="B661" s="25"/>
      <c r="C661" s="25"/>
      <c r="D661" s="138"/>
      <c r="E661" s="25"/>
      <c r="F661" s="138"/>
      <c r="G661" s="26"/>
    </row>
    <row r="662" ht="22.5" customHeight="1">
      <c r="A662" s="139"/>
      <c r="B662" s="25"/>
      <c r="C662" s="25"/>
      <c r="D662" s="138"/>
      <c r="E662" s="25"/>
      <c r="F662" s="138"/>
      <c r="G662" s="26"/>
    </row>
    <row r="663" ht="22.5" customHeight="1">
      <c r="A663" s="139"/>
      <c r="B663" s="25"/>
      <c r="C663" s="25"/>
      <c r="D663" s="138"/>
      <c r="E663" s="25"/>
      <c r="F663" s="138"/>
      <c r="G663" s="26"/>
    </row>
    <row r="664" ht="22.5" customHeight="1">
      <c r="A664" s="139"/>
      <c r="B664" s="25"/>
      <c r="C664" s="25"/>
      <c r="D664" s="138"/>
      <c r="E664" s="25"/>
      <c r="F664" s="138"/>
      <c r="G664" s="26"/>
    </row>
    <row r="665" ht="22.5" customHeight="1">
      <c r="A665" s="139"/>
      <c r="B665" s="25"/>
      <c r="C665" s="25"/>
      <c r="D665" s="138"/>
      <c r="E665" s="25"/>
      <c r="F665" s="138"/>
      <c r="G665" s="26"/>
    </row>
    <row r="666" ht="22.5" customHeight="1">
      <c r="A666" s="139"/>
      <c r="B666" s="25"/>
      <c r="C666" s="25"/>
      <c r="D666" s="138"/>
      <c r="E666" s="25"/>
      <c r="F666" s="138"/>
      <c r="G666" s="26"/>
    </row>
    <row r="667" ht="22.5" customHeight="1">
      <c r="A667" s="139"/>
      <c r="B667" s="25"/>
      <c r="C667" s="25"/>
      <c r="D667" s="138"/>
      <c r="E667" s="25"/>
      <c r="F667" s="138"/>
      <c r="G667" s="26"/>
    </row>
    <row r="668" ht="22.5" customHeight="1">
      <c r="A668" s="139"/>
      <c r="B668" s="25"/>
      <c r="C668" s="25"/>
      <c r="D668" s="138"/>
      <c r="E668" s="25"/>
      <c r="F668" s="138"/>
      <c r="G668" s="26"/>
    </row>
    <row r="669" ht="22.5" customHeight="1">
      <c r="A669" s="139"/>
      <c r="B669" s="25"/>
      <c r="C669" s="25"/>
      <c r="D669" s="138"/>
      <c r="E669" s="25"/>
      <c r="F669" s="138"/>
      <c r="G669" s="26"/>
    </row>
    <row r="670" ht="22.5" customHeight="1">
      <c r="A670" s="139"/>
      <c r="B670" s="25"/>
      <c r="C670" s="25"/>
      <c r="D670" s="138"/>
      <c r="E670" s="25"/>
      <c r="F670" s="138"/>
      <c r="G670" s="26"/>
    </row>
    <row r="671" ht="22.5" customHeight="1">
      <c r="A671" s="139"/>
      <c r="B671" s="25"/>
      <c r="C671" s="25"/>
      <c r="D671" s="138"/>
      <c r="E671" s="25"/>
      <c r="F671" s="138"/>
      <c r="G671" s="26"/>
    </row>
    <row r="672" ht="22.5" customHeight="1">
      <c r="A672" s="139"/>
      <c r="B672" s="25"/>
      <c r="C672" s="25"/>
      <c r="D672" s="138"/>
      <c r="E672" s="25"/>
      <c r="F672" s="138"/>
      <c r="G672" s="26"/>
    </row>
    <row r="673" ht="22.5" customHeight="1">
      <c r="A673" s="139"/>
      <c r="B673" s="25"/>
      <c r="C673" s="25"/>
      <c r="D673" s="138"/>
      <c r="E673" s="25"/>
      <c r="F673" s="138"/>
      <c r="G673" s="26"/>
    </row>
    <row r="674" ht="22.5" customHeight="1">
      <c r="A674" s="139"/>
      <c r="B674" s="25"/>
      <c r="C674" s="25"/>
      <c r="D674" s="138"/>
      <c r="E674" s="25"/>
      <c r="F674" s="138"/>
      <c r="G674" s="26"/>
    </row>
    <row r="675" ht="22.5" customHeight="1">
      <c r="A675" s="139"/>
      <c r="B675" s="25"/>
      <c r="C675" s="25"/>
      <c r="D675" s="138"/>
      <c r="E675" s="25"/>
      <c r="F675" s="138"/>
      <c r="G675" s="26"/>
    </row>
    <row r="676" ht="22.5" customHeight="1">
      <c r="A676" s="139"/>
      <c r="B676" s="25"/>
      <c r="C676" s="25"/>
      <c r="D676" s="138"/>
      <c r="E676" s="25"/>
      <c r="F676" s="138"/>
      <c r="G676" s="26"/>
    </row>
    <row r="677" ht="22.5" customHeight="1">
      <c r="A677" s="139"/>
      <c r="B677" s="25"/>
      <c r="C677" s="25"/>
      <c r="D677" s="138"/>
      <c r="E677" s="25"/>
      <c r="F677" s="138"/>
      <c r="G677" s="26"/>
    </row>
    <row r="678" ht="22.5" customHeight="1">
      <c r="A678" s="139"/>
      <c r="B678" s="25"/>
      <c r="C678" s="25"/>
      <c r="D678" s="138"/>
      <c r="E678" s="25"/>
      <c r="F678" s="138"/>
      <c r="G678" s="26"/>
    </row>
    <row r="679" ht="22.5" customHeight="1">
      <c r="A679" s="139"/>
      <c r="B679" s="25"/>
      <c r="C679" s="25"/>
      <c r="D679" s="138"/>
      <c r="E679" s="25"/>
      <c r="F679" s="138"/>
      <c r="G679" s="26"/>
    </row>
    <row r="680" ht="22.5" customHeight="1">
      <c r="A680" s="139"/>
      <c r="B680" s="25"/>
      <c r="C680" s="25"/>
      <c r="D680" s="138"/>
      <c r="E680" s="25"/>
      <c r="F680" s="138"/>
      <c r="G680" s="26"/>
    </row>
    <row r="681" ht="22.5" customHeight="1">
      <c r="A681" s="139"/>
      <c r="B681" s="25"/>
      <c r="C681" s="25"/>
      <c r="D681" s="138"/>
      <c r="E681" s="25"/>
      <c r="F681" s="138"/>
      <c r="G681" s="26"/>
    </row>
    <row r="682" ht="22.5" customHeight="1">
      <c r="A682" s="139"/>
      <c r="B682" s="25"/>
      <c r="C682" s="25"/>
      <c r="D682" s="138"/>
      <c r="E682" s="25"/>
      <c r="F682" s="138"/>
      <c r="G682" s="26"/>
    </row>
    <row r="683" ht="22.5" customHeight="1">
      <c r="A683" s="139"/>
      <c r="B683" s="25"/>
      <c r="C683" s="25"/>
      <c r="D683" s="138"/>
      <c r="E683" s="25"/>
      <c r="F683" s="138"/>
      <c r="G683" s="26"/>
    </row>
    <row r="684" ht="22.5" customHeight="1">
      <c r="A684" s="139"/>
      <c r="B684" s="25"/>
      <c r="C684" s="25"/>
      <c r="D684" s="138"/>
      <c r="E684" s="25"/>
      <c r="F684" s="138"/>
      <c r="G684" s="26"/>
    </row>
    <row r="685" ht="22.5" customHeight="1">
      <c r="A685" s="139"/>
      <c r="B685" s="25"/>
      <c r="C685" s="25"/>
      <c r="D685" s="138"/>
      <c r="E685" s="25"/>
      <c r="F685" s="138"/>
      <c r="G685" s="26"/>
    </row>
    <row r="686" ht="22.5" customHeight="1">
      <c r="A686" s="139"/>
      <c r="B686" s="25"/>
      <c r="C686" s="25"/>
      <c r="D686" s="138"/>
      <c r="E686" s="25"/>
      <c r="F686" s="138"/>
      <c r="G686" s="26"/>
    </row>
    <row r="687" ht="22.5" customHeight="1">
      <c r="A687" s="139"/>
      <c r="B687" s="25"/>
      <c r="C687" s="25"/>
      <c r="D687" s="138"/>
      <c r="E687" s="25"/>
      <c r="F687" s="138"/>
      <c r="G687" s="26"/>
    </row>
    <row r="688" ht="22.5" customHeight="1">
      <c r="A688" s="139"/>
      <c r="B688" s="25"/>
      <c r="C688" s="25"/>
      <c r="D688" s="138"/>
      <c r="E688" s="25"/>
      <c r="F688" s="138"/>
      <c r="G688" s="26"/>
    </row>
    <row r="689" ht="22.5" customHeight="1">
      <c r="A689" s="139"/>
      <c r="B689" s="25"/>
      <c r="C689" s="25"/>
      <c r="D689" s="138"/>
      <c r="E689" s="25"/>
      <c r="F689" s="138"/>
      <c r="G689" s="26"/>
    </row>
    <row r="690" ht="22.5" customHeight="1">
      <c r="A690" s="139"/>
      <c r="B690" s="25"/>
      <c r="C690" s="25"/>
      <c r="D690" s="138"/>
      <c r="E690" s="25"/>
      <c r="F690" s="138"/>
      <c r="G690" s="26"/>
    </row>
    <row r="691" ht="22.5" customHeight="1">
      <c r="A691" s="139"/>
      <c r="B691" s="25"/>
      <c r="C691" s="25"/>
      <c r="D691" s="138"/>
      <c r="E691" s="25"/>
      <c r="F691" s="138"/>
      <c r="G691" s="26"/>
    </row>
    <row r="692" ht="22.5" customHeight="1">
      <c r="A692" s="139"/>
      <c r="B692" s="25"/>
      <c r="C692" s="25"/>
      <c r="D692" s="138"/>
      <c r="E692" s="25"/>
      <c r="F692" s="138"/>
      <c r="G692" s="26"/>
    </row>
    <row r="693" ht="22.5" customHeight="1">
      <c r="A693" s="139"/>
      <c r="B693" s="25"/>
      <c r="C693" s="25"/>
      <c r="D693" s="138"/>
      <c r="E693" s="25"/>
      <c r="F693" s="138"/>
      <c r="G693" s="26"/>
    </row>
    <row r="694" ht="22.5" customHeight="1">
      <c r="A694" s="139"/>
      <c r="B694" s="25"/>
      <c r="C694" s="25"/>
      <c r="D694" s="138"/>
      <c r="E694" s="25"/>
      <c r="F694" s="138"/>
      <c r="G694" s="26"/>
    </row>
    <row r="695" ht="22.5" customHeight="1">
      <c r="A695" s="139"/>
      <c r="B695" s="25"/>
      <c r="C695" s="25"/>
      <c r="D695" s="138"/>
      <c r="E695" s="25"/>
      <c r="F695" s="138"/>
      <c r="G695" s="26"/>
    </row>
    <row r="696" ht="22.5" customHeight="1">
      <c r="A696" s="139"/>
      <c r="B696" s="25"/>
      <c r="C696" s="25"/>
      <c r="D696" s="138"/>
      <c r="E696" s="25"/>
      <c r="F696" s="138"/>
      <c r="G696" s="26"/>
    </row>
    <row r="697" ht="22.5" customHeight="1">
      <c r="A697" s="139"/>
      <c r="B697" s="25"/>
      <c r="C697" s="25"/>
      <c r="D697" s="138"/>
      <c r="E697" s="25"/>
      <c r="F697" s="138"/>
      <c r="G697" s="26"/>
    </row>
    <row r="698" ht="22.5" customHeight="1">
      <c r="A698" s="139"/>
      <c r="B698" s="25"/>
      <c r="C698" s="25"/>
      <c r="D698" s="138"/>
      <c r="E698" s="25"/>
      <c r="F698" s="138"/>
      <c r="G698" s="26"/>
    </row>
    <row r="699" ht="22.5" customHeight="1">
      <c r="A699" s="139"/>
      <c r="B699" s="25"/>
      <c r="C699" s="25"/>
      <c r="D699" s="138"/>
      <c r="E699" s="25"/>
      <c r="F699" s="138"/>
      <c r="G699" s="26"/>
    </row>
    <row r="700" ht="22.5" customHeight="1">
      <c r="A700" s="139"/>
      <c r="B700" s="25"/>
      <c r="C700" s="25"/>
      <c r="D700" s="138"/>
      <c r="E700" s="25"/>
      <c r="F700" s="138"/>
      <c r="G700" s="26"/>
    </row>
    <row r="701" ht="22.5" customHeight="1">
      <c r="A701" s="139"/>
      <c r="B701" s="25"/>
      <c r="C701" s="25"/>
      <c r="D701" s="138"/>
      <c r="E701" s="25"/>
      <c r="F701" s="138"/>
      <c r="G701" s="26"/>
    </row>
    <row r="702" ht="22.5" customHeight="1">
      <c r="A702" s="139"/>
      <c r="B702" s="25"/>
      <c r="C702" s="25"/>
      <c r="D702" s="138"/>
      <c r="E702" s="25"/>
      <c r="F702" s="138"/>
      <c r="G702" s="26"/>
    </row>
    <row r="703" ht="22.5" customHeight="1">
      <c r="A703" s="139"/>
      <c r="B703" s="25"/>
      <c r="C703" s="25"/>
      <c r="D703" s="138"/>
      <c r="E703" s="25"/>
      <c r="F703" s="138"/>
      <c r="G703" s="26"/>
    </row>
    <row r="704" ht="22.5" customHeight="1">
      <c r="A704" s="139"/>
      <c r="B704" s="25"/>
      <c r="C704" s="25"/>
      <c r="D704" s="138"/>
      <c r="E704" s="25"/>
      <c r="F704" s="138"/>
      <c r="G704" s="26"/>
    </row>
    <row r="705" ht="22.5" customHeight="1">
      <c r="A705" s="139"/>
      <c r="B705" s="25"/>
      <c r="C705" s="25"/>
      <c r="D705" s="138"/>
      <c r="E705" s="25"/>
      <c r="F705" s="138"/>
      <c r="G705" s="26"/>
    </row>
    <row r="706" ht="22.5" customHeight="1">
      <c r="A706" s="139"/>
      <c r="B706" s="25"/>
      <c r="C706" s="25"/>
      <c r="D706" s="138"/>
      <c r="E706" s="25"/>
      <c r="F706" s="138"/>
      <c r="G706" s="26"/>
    </row>
    <row r="707" ht="22.5" customHeight="1">
      <c r="A707" s="139"/>
      <c r="B707" s="25"/>
      <c r="C707" s="25"/>
      <c r="D707" s="138"/>
      <c r="E707" s="25"/>
      <c r="F707" s="138"/>
      <c r="G707" s="26"/>
    </row>
    <row r="708" ht="22.5" customHeight="1">
      <c r="A708" s="139"/>
      <c r="B708" s="25"/>
      <c r="C708" s="25"/>
      <c r="D708" s="138"/>
      <c r="E708" s="25"/>
      <c r="F708" s="138"/>
      <c r="G708" s="26"/>
    </row>
    <row r="709" ht="22.5" customHeight="1">
      <c r="A709" s="139"/>
      <c r="B709" s="25"/>
      <c r="C709" s="25"/>
      <c r="D709" s="138"/>
      <c r="E709" s="25"/>
      <c r="F709" s="138"/>
      <c r="G709" s="26"/>
    </row>
    <row r="710" ht="22.5" customHeight="1">
      <c r="A710" s="139"/>
      <c r="B710" s="25"/>
      <c r="C710" s="25"/>
      <c r="D710" s="138"/>
      <c r="E710" s="25"/>
      <c r="F710" s="138"/>
      <c r="G710" s="26"/>
    </row>
    <row r="711" ht="22.5" customHeight="1">
      <c r="A711" s="139"/>
      <c r="B711" s="25"/>
      <c r="C711" s="25"/>
      <c r="D711" s="138"/>
      <c r="E711" s="25"/>
      <c r="F711" s="138"/>
      <c r="G711" s="26"/>
    </row>
    <row r="712" ht="22.5" customHeight="1">
      <c r="A712" s="139"/>
      <c r="B712" s="25"/>
      <c r="C712" s="25"/>
      <c r="D712" s="138"/>
      <c r="E712" s="25"/>
      <c r="F712" s="138"/>
      <c r="G712" s="26"/>
    </row>
    <row r="713" ht="22.5" customHeight="1">
      <c r="A713" s="139"/>
      <c r="B713" s="25"/>
      <c r="C713" s="25"/>
      <c r="D713" s="138"/>
      <c r="E713" s="25"/>
      <c r="F713" s="138"/>
      <c r="G713" s="26"/>
    </row>
    <row r="714" ht="22.5" customHeight="1">
      <c r="A714" s="139"/>
      <c r="B714" s="25"/>
      <c r="C714" s="25"/>
      <c r="D714" s="138"/>
      <c r="E714" s="25"/>
      <c r="F714" s="138"/>
      <c r="G714" s="26"/>
    </row>
    <row r="715" ht="22.5" customHeight="1">
      <c r="A715" s="139"/>
      <c r="B715" s="25"/>
      <c r="C715" s="25"/>
      <c r="D715" s="138"/>
      <c r="E715" s="25"/>
      <c r="F715" s="138"/>
      <c r="G715" s="26"/>
    </row>
    <row r="716" ht="22.5" customHeight="1">
      <c r="A716" s="139"/>
      <c r="B716" s="25"/>
      <c r="C716" s="25"/>
      <c r="D716" s="138"/>
      <c r="E716" s="25"/>
      <c r="F716" s="138"/>
      <c r="G716" s="26"/>
    </row>
    <row r="717" ht="22.5" customHeight="1">
      <c r="A717" s="139"/>
      <c r="B717" s="25"/>
      <c r="C717" s="25"/>
      <c r="D717" s="138"/>
      <c r="E717" s="25"/>
      <c r="F717" s="138"/>
      <c r="G717" s="26"/>
    </row>
    <row r="718" ht="22.5" customHeight="1">
      <c r="A718" s="139"/>
      <c r="B718" s="25"/>
      <c r="C718" s="25"/>
      <c r="D718" s="138"/>
      <c r="E718" s="25"/>
      <c r="F718" s="138"/>
      <c r="G718" s="26"/>
    </row>
    <row r="719" ht="22.5" customHeight="1">
      <c r="A719" s="139"/>
      <c r="B719" s="25"/>
      <c r="C719" s="25"/>
      <c r="D719" s="138"/>
      <c r="E719" s="25"/>
      <c r="F719" s="138"/>
      <c r="G719" s="26"/>
    </row>
    <row r="720" ht="22.5" customHeight="1">
      <c r="A720" s="139"/>
      <c r="B720" s="25"/>
      <c r="C720" s="25"/>
      <c r="D720" s="138"/>
      <c r="E720" s="25"/>
      <c r="F720" s="138"/>
      <c r="G720" s="26"/>
    </row>
    <row r="721" ht="22.5" customHeight="1">
      <c r="A721" s="139"/>
      <c r="B721" s="25"/>
      <c r="C721" s="25"/>
      <c r="D721" s="138"/>
      <c r="E721" s="25"/>
      <c r="F721" s="138"/>
      <c r="G721" s="26"/>
    </row>
    <row r="722" ht="22.5" customHeight="1">
      <c r="A722" s="139"/>
      <c r="B722" s="25"/>
      <c r="C722" s="25"/>
      <c r="D722" s="138"/>
      <c r="E722" s="25"/>
      <c r="F722" s="138"/>
      <c r="G722" s="26"/>
    </row>
    <row r="723" ht="22.5" customHeight="1">
      <c r="A723" s="139"/>
      <c r="B723" s="25"/>
      <c r="C723" s="25"/>
      <c r="D723" s="138"/>
      <c r="E723" s="25"/>
      <c r="F723" s="138"/>
      <c r="G723" s="26"/>
    </row>
    <row r="724" ht="22.5" customHeight="1">
      <c r="A724" s="139"/>
      <c r="B724" s="25"/>
      <c r="C724" s="25"/>
      <c r="D724" s="138"/>
      <c r="E724" s="25"/>
      <c r="F724" s="138"/>
      <c r="G724" s="26"/>
    </row>
    <row r="725" ht="22.5" customHeight="1">
      <c r="A725" s="139"/>
      <c r="B725" s="25"/>
      <c r="C725" s="25"/>
      <c r="D725" s="138"/>
      <c r="E725" s="25"/>
      <c r="F725" s="138"/>
      <c r="G725" s="26"/>
    </row>
    <row r="726" ht="22.5" customHeight="1">
      <c r="A726" s="139"/>
      <c r="B726" s="25"/>
      <c r="C726" s="25"/>
      <c r="D726" s="138"/>
      <c r="E726" s="25"/>
      <c r="F726" s="138"/>
      <c r="G726" s="26"/>
    </row>
    <row r="727" ht="22.5" customHeight="1">
      <c r="A727" s="139"/>
      <c r="B727" s="25"/>
      <c r="C727" s="25"/>
      <c r="D727" s="138"/>
      <c r="E727" s="25"/>
      <c r="F727" s="138"/>
      <c r="G727" s="26"/>
    </row>
    <row r="728" ht="22.5" customHeight="1">
      <c r="A728" s="139"/>
      <c r="B728" s="25"/>
      <c r="C728" s="25"/>
      <c r="D728" s="138"/>
      <c r="E728" s="25"/>
      <c r="F728" s="138"/>
      <c r="G728" s="26"/>
    </row>
    <row r="729" ht="22.5" customHeight="1">
      <c r="A729" s="139"/>
      <c r="B729" s="25"/>
      <c r="C729" s="25"/>
      <c r="D729" s="138"/>
      <c r="E729" s="25"/>
      <c r="F729" s="138"/>
      <c r="G729" s="26"/>
    </row>
    <row r="730" ht="22.5" customHeight="1">
      <c r="A730" s="139"/>
      <c r="B730" s="25"/>
      <c r="C730" s="25"/>
      <c r="D730" s="138"/>
      <c r="E730" s="25"/>
      <c r="F730" s="138"/>
      <c r="G730" s="26"/>
    </row>
    <row r="731" ht="22.5" customHeight="1">
      <c r="A731" s="139"/>
      <c r="B731" s="25"/>
      <c r="C731" s="25"/>
      <c r="D731" s="138"/>
      <c r="E731" s="25"/>
      <c r="F731" s="138"/>
      <c r="G731" s="26"/>
    </row>
    <row r="732" ht="22.5" customHeight="1">
      <c r="A732" s="139"/>
      <c r="B732" s="25"/>
      <c r="C732" s="25"/>
      <c r="D732" s="138"/>
      <c r="E732" s="25"/>
      <c r="F732" s="138"/>
      <c r="G732" s="26"/>
    </row>
    <row r="733" ht="22.5" customHeight="1">
      <c r="A733" s="139"/>
      <c r="B733" s="25"/>
      <c r="C733" s="25"/>
      <c r="D733" s="138"/>
      <c r="E733" s="25"/>
      <c r="F733" s="138"/>
      <c r="G733" s="26"/>
    </row>
    <row r="734" ht="22.5" customHeight="1">
      <c r="A734" s="139"/>
      <c r="B734" s="25"/>
      <c r="C734" s="25"/>
      <c r="D734" s="138"/>
      <c r="E734" s="25"/>
      <c r="F734" s="138"/>
      <c r="G734" s="26"/>
    </row>
    <row r="735" ht="22.5" customHeight="1">
      <c r="A735" s="139"/>
      <c r="B735" s="25"/>
      <c r="C735" s="25"/>
      <c r="D735" s="138"/>
      <c r="E735" s="25"/>
      <c r="F735" s="138"/>
      <c r="G735" s="26"/>
    </row>
    <row r="736" ht="22.5" customHeight="1">
      <c r="A736" s="139"/>
      <c r="B736" s="25"/>
      <c r="C736" s="25"/>
      <c r="D736" s="138"/>
      <c r="E736" s="25"/>
      <c r="F736" s="138"/>
      <c r="G736" s="26"/>
    </row>
    <row r="737" ht="22.5" customHeight="1">
      <c r="A737" s="139"/>
      <c r="B737" s="25"/>
      <c r="C737" s="25"/>
      <c r="D737" s="138"/>
      <c r="E737" s="25"/>
      <c r="F737" s="138"/>
      <c r="G737" s="26"/>
    </row>
    <row r="738" ht="22.5" customHeight="1">
      <c r="A738" s="139"/>
      <c r="B738" s="25"/>
      <c r="C738" s="25"/>
      <c r="D738" s="138"/>
      <c r="E738" s="25"/>
      <c r="F738" s="138"/>
      <c r="G738" s="26"/>
    </row>
    <row r="739" ht="22.5" customHeight="1">
      <c r="A739" s="139"/>
      <c r="B739" s="25"/>
      <c r="C739" s="25"/>
      <c r="D739" s="138"/>
      <c r="E739" s="25"/>
      <c r="F739" s="138"/>
      <c r="G739" s="26"/>
    </row>
    <row r="740" ht="22.5" customHeight="1">
      <c r="A740" s="139"/>
      <c r="B740" s="25"/>
      <c r="C740" s="25"/>
      <c r="D740" s="138"/>
      <c r="E740" s="25"/>
      <c r="F740" s="138"/>
      <c r="G740" s="26"/>
    </row>
    <row r="741" ht="22.5" customHeight="1">
      <c r="A741" s="139"/>
      <c r="B741" s="25"/>
      <c r="C741" s="25"/>
      <c r="D741" s="138"/>
      <c r="E741" s="25"/>
      <c r="F741" s="138"/>
      <c r="G741" s="26"/>
    </row>
    <row r="742" ht="22.5" customHeight="1">
      <c r="A742" s="139"/>
      <c r="B742" s="25"/>
      <c r="C742" s="25"/>
      <c r="D742" s="138"/>
      <c r="E742" s="25"/>
      <c r="F742" s="138"/>
      <c r="G742" s="26"/>
    </row>
    <row r="743" ht="22.5" customHeight="1">
      <c r="A743" s="139"/>
      <c r="B743" s="25"/>
      <c r="C743" s="25"/>
      <c r="D743" s="138"/>
      <c r="E743" s="25"/>
      <c r="F743" s="138"/>
      <c r="G743" s="26"/>
    </row>
    <row r="744" ht="22.5" customHeight="1">
      <c r="A744" s="139"/>
      <c r="B744" s="25"/>
      <c r="C744" s="25"/>
      <c r="D744" s="138"/>
      <c r="E744" s="25"/>
      <c r="F744" s="138"/>
      <c r="G744" s="26"/>
    </row>
    <row r="745" ht="22.5" customHeight="1">
      <c r="A745" s="139"/>
      <c r="B745" s="25"/>
      <c r="C745" s="25"/>
      <c r="D745" s="138"/>
      <c r="E745" s="25"/>
      <c r="F745" s="138"/>
      <c r="G745" s="26"/>
    </row>
    <row r="746" ht="22.5" customHeight="1">
      <c r="A746" s="139"/>
      <c r="B746" s="25"/>
      <c r="C746" s="25"/>
      <c r="D746" s="138"/>
      <c r="E746" s="25"/>
      <c r="F746" s="138"/>
      <c r="G746" s="26"/>
    </row>
    <row r="747" ht="22.5" customHeight="1">
      <c r="A747" s="139"/>
      <c r="B747" s="25"/>
      <c r="C747" s="25"/>
      <c r="D747" s="138"/>
      <c r="E747" s="25"/>
      <c r="F747" s="138"/>
      <c r="G747" s="26"/>
    </row>
    <row r="748" ht="22.5" customHeight="1">
      <c r="A748" s="139"/>
      <c r="B748" s="25"/>
      <c r="C748" s="25"/>
      <c r="D748" s="138"/>
      <c r="E748" s="25"/>
      <c r="F748" s="138"/>
      <c r="G748" s="26"/>
    </row>
    <row r="749" ht="22.5" customHeight="1">
      <c r="A749" s="139"/>
      <c r="B749" s="25"/>
      <c r="C749" s="25"/>
      <c r="D749" s="138"/>
      <c r="E749" s="25"/>
      <c r="F749" s="138"/>
      <c r="G749" s="26"/>
    </row>
    <row r="750" ht="22.5" customHeight="1">
      <c r="A750" s="139"/>
      <c r="B750" s="25"/>
      <c r="C750" s="25"/>
      <c r="D750" s="138"/>
      <c r="E750" s="25"/>
      <c r="F750" s="138"/>
      <c r="G750" s="26"/>
    </row>
    <row r="751" ht="22.5" customHeight="1">
      <c r="A751" s="139"/>
      <c r="B751" s="25"/>
      <c r="C751" s="25"/>
      <c r="D751" s="138"/>
      <c r="E751" s="25"/>
      <c r="F751" s="138"/>
      <c r="G751" s="26"/>
    </row>
    <row r="752" ht="22.5" customHeight="1">
      <c r="A752" s="139"/>
      <c r="B752" s="25"/>
      <c r="C752" s="25"/>
      <c r="D752" s="138"/>
      <c r="E752" s="25"/>
      <c r="F752" s="138"/>
      <c r="G752" s="26"/>
    </row>
    <row r="753" ht="22.5" customHeight="1">
      <c r="A753" s="139"/>
      <c r="B753" s="25"/>
      <c r="C753" s="25"/>
      <c r="D753" s="138"/>
      <c r="E753" s="25"/>
      <c r="F753" s="138"/>
      <c r="G753" s="26"/>
    </row>
    <row r="754" ht="22.5" customHeight="1">
      <c r="A754" s="139"/>
      <c r="B754" s="25"/>
      <c r="C754" s="25"/>
      <c r="D754" s="138"/>
      <c r="E754" s="25"/>
      <c r="F754" s="138"/>
      <c r="G754" s="26"/>
    </row>
    <row r="755" ht="22.5" customHeight="1">
      <c r="A755" s="139"/>
      <c r="B755" s="25"/>
      <c r="C755" s="25"/>
      <c r="D755" s="138"/>
      <c r="E755" s="25"/>
      <c r="F755" s="138"/>
      <c r="G755" s="26"/>
    </row>
    <row r="756" ht="22.5" customHeight="1">
      <c r="A756" s="139"/>
      <c r="B756" s="25"/>
      <c r="C756" s="25"/>
      <c r="D756" s="138"/>
      <c r="E756" s="25"/>
      <c r="F756" s="138"/>
      <c r="G756" s="26"/>
    </row>
    <row r="757" ht="22.5" customHeight="1">
      <c r="A757" s="139"/>
      <c r="B757" s="25"/>
      <c r="C757" s="25"/>
      <c r="D757" s="138"/>
      <c r="E757" s="25"/>
      <c r="F757" s="138"/>
      <c r="G757" s="26"/>
    </row>
    <row r="758" ht="22.5" customHeight="1">
      <c r="A758" s="139"/>
      <c r="B758" s="25"/>
      <c r="C758" s="25"/>
      <c r="D758" s="138"/>
      <c r="E758" s="25"/>
      <c r="F758" s="138"/>
      <c r="G758" s="26"/>
    </row>
    <row r="759" ht="22.5" customHeight="1">
      <c r="A759" s="139"/>
      <c r="B759" s="25"/>
      <c r="C759" s="25"/>
      <c r="D759" s="138"/>
      <c r="E759" s="25"/>
      <c r="F759" s="138"/>
      <c r="G759" s="26"/>
    </row>
    <row r="760" ht="22.5" customHeight="1">
      <c r="A760" s="139"/>
      <c r="B760" s="25"/>
      <c r="C760" s="25"/>
      <c r="D760" s="138"/>
      <c r="E760" s="25"/>
      <c r="F760" s="138"/>
      <c r="G760" s="26"/>
    </row>
    <row r="761" ht="22.5" customHeight="1">
      <c r="A761" s="139"/>
      <c r="B761" s="25"/>
      <c r="C761" s="25"/>
      <c r="D761" s="138"/>
      <c r="E761" s="25"/>
      <c r="F761" s="138"/>
      <c r="G761" s="26"/>
    </row>
    <row r="762" ht="22.5" customHeight="1">
      <c r="A762" s="139"/>
      <c r="B762" s="25"/>
      <c r="C762" s="25"/>
      <c r="D762" s="138"/>
      <c r="E762" s="25"/>
      <c r="F762" s="138"/>
      <c r="G762" s="26"/>
    </row>
    <row r="763" ht="22.5" customHeight="1">
      <c r="A763" s="139"/>
      <c r="B763" s="25"/>
      <c r="C763" s="25"/>
      <c r="D763" s="138"/>
      <c r="E763" s="25"/>
      <c r="F763" s="138"/>
      <c r="G763" s="26"/>
    </row>
    <row r="764" ht="22.5" customHeight="1">
      <c r="A764" s="139"/>
      <c r="B764" s="25"/>
      <c r="C764" s="25"/>
      <c r="D764" s="138"/>
      <c r="E764" s="25"/>
      <c r="F764" s="138"/>
      <c r="G764" s="26"/>
    </row>
    <row r="765" ht="22.5" customHeight="1">
      <c r="A765" s="139"/>
      <c r="B765" s="25"/>
      <c r="C765" s="25"/>
      <c r="D765" s="138"/>
      <c r="E765" s="25"/>
      <c r="F765" s="138"/>
      <c r="G765" s="26"/>
    </row>
    <row r="766" ht="22.5" customHeight="1">
      <c r="A766" s="139"/>
      <c r="B766" s="25"/>
      <c r="C766" s="25"/>
      <c r="D766" s="138"/>
      <c r="E766" s="25"/>
      <c r="F766" s="138"/>
      <c r="G766" s="26"/>
    </row>
    <row r="767" ht="22.5" customHeight="1">
      <c r="A767" s="139"/>
      <c r="B767" s="25"/>
      <c r="C767" s="25"/>
      <c r="D767" s="138"/>
      <c r="E767" s="25"/>
      <c r="F767" s="138"/>
      <c r="G767" s="26"/>
    </row>
    <row r="768" ht="22.5" customHeight="1">
      <c r="A768" s="139"/>
      <c r="B768" s="25"/>
      <c r="C768" s="25"/>
      <c r="D768" s="138"/>
      <c r="E768" s="25"/>
      <c r="F768" s="138"/>
      <c r="G768" s="26"/>
    </row>
    <row r="769" ht="22.5" customHeight="1">
      <c r="A769" s="139"/>
      <c r="B769" s="25"/>
      <c r="C769" s="25"/>
      <c r="D769" s="138"/>
      <c r="E769" s="25"/>
      <c r="F769" s="138"/>
      <c r="G769" s="26"/>
    </row>
    <row r="770" ht="22.5" customHeight="1">
      <c r="A770" s="139"/>
      <c r="B770" s="25"/>
      <c r="C770" s="25"/>
      <c r="D770" s="138"/>
      <c r="E770" s="25"/>
      <c r="F770" s="138"/>
      <c r="G770" s="26"/>
    </row>
    <row r="771" ht="22.5" customHeight="1">
      <c r="A771" s="139"/>
      <c r="B771" s="25"/>
      <c r="C771" s="25"/>
      <c r="D771" s="138"/>
      <c r="E771" s="25"/>
      <c r="F771" s="138"/>
      <c r="G771" s="26"/>
    </row>
    <row r="772" ht="22.5" customHeight="1">
      <c r="A772" s="139"/>
      <c r="B772" s="25"/>
      <c r="C772" s="25"/>
      <c r="D772" s="138"/>
      <c r="E772" s="25"/>
      <c r="F772" s="138"/>
      <c r="G772" s="26"/>
    </row>
    <row r="773" ht="22.5" customHeight="1">
      <c r="A773" s="139"/>
      <c r="B773" s="25"/>
      <c r="C773" s="25"/>
      <c r="D773" s="138"/>
      <c r="E773" s="25"/>
      <c r="F773" s="138"/>
      <c r="G773" s="26"/>
    </row>
    <row r="774" ht="22.5" customHeight="1">
      <c r="A774" s="139"/>
      <c r="B774" s="25"/>
      <c r="C774" s="25"/>
      <c r="D774" s="138"/>
      <c r="E774" s="25"/>
      <c r="F774" s="138"/>
      <c r="G774" s="26"/>
    </row>
    <row r="775" ht="22.5" customHeight="1">
      <c r="A775" s="139"/>
      <c r="B775" s="25"/>
      <c r="C775" s="25"/>
      <c r="D775" s="138"/>
      <c r="E775" s="25"/>
      <c r="F775" s="138"/>
      <c r="G775" s="26"/>
    </row>
    <row r="776" ht="22.5" customHeight="1">
      <c r="A776" s="139"/>
      <c r="B776" s="25"/>
      <c r="C776" s="25"/>
      <c r="D776" s="138"/>
      <c r="E776" s="25"/>
      <c r="F776" s="138"/>
      <c r="G776" s="26"/>
    </row>
    <row r="777" ht="22.5" customHeight="1">
      <c r="A777" s="139"/>
      <c r="B777" s="25"/>
      <c r="C777" s="25"/>
      <c r="D777" s="138"/>
      <c r="E777" s="25"/>
      <c r="F777" s="138"/>
      <c r="G777" s="26"/>
    </row>
    <row r="778" ht="22.5" customHeight="1">
      <c r="A778" s="139"/>
      <c r="B778" s="25"/>
      <c r="C778" s="25"/>
      <c r="D778" s="138"/>
      <c r="E778" s="25"/>
      <c r="F778" s="138"/>
      <c r="G778" s="26"/>
    </row>
    <row r="779" ht="22.5" customHeight="1">
      <c r="A779" s="139"/>
      <c r="B779" s="25"/>
      <c r="C779" s="25"/>
      <c r="D779" s="138"/>
      <c r="E779" s="25"/>
      <c r="F779" s="138"/>
      <c r="G779" s="26"/>
    </row>
    <row r="780" ht="22.5" customHeight="1">
      <c r="A780" s="139"/>
      <c r="B780" s="25"/>
      <c r="C780" s="25"/>
      <c r="D780" s="138"/>
      <c r="E780" s="25"/>
      <c r="F780" s="138"/>
      <c r="G780" s="26"/>
    </row>
    <row r="781" ht="22.5" customHeight="1">
      <c r="A781" s="139"/>
      <c r="B781" s="25"/>
      <c r="C781" s="25"/>
      <c r="D781" s="138"/>
      <c r="E781" s="25"/>
      <c r="F781" s="138"/>
      <c r="G781" s="26"/>
    </row>
    <row r="782" ht="22.5" customHeight="1">
      <c r="A782" s="139"/>
      <c r="B782" s="25"/>
      <c r="C782" s="25"/>
      <c r="D782" s="138"/>
      <c r="E782" s="25"/>
      <c r="F782" s="138"/>
      <c r="G782" s="26"/>
    </row>
    <row r="783" ht="22.5" customHeight="1">
      <c r="A783" s="139"/>
      <c r="B783" s="25"/>
      <c r="C783" s="25"/>
      <c r="D783" s="138"/>
      <c r="E783" s="25"/>
      <c r="F783" s="138"/>
      <c r="G783" s="26"/>
    </row>
    <row r="784" ht="22.5" customHeight="1">
      <c r="A784" s="139"/>
      <c r="B784" s="25"/>
      <c r="C784" s="25"/>
      <c r="D784" s="138"/>
      <c r="E784" s="25"/>
      <c r="F784" s="138"/>
      <c r="G784" s="26"/>
    </row>
    <row r="785" ht="22.5" customHeight="1">
      <c r="A785" s="139"/>
      <c r="B785" s="25"/>
      <c r="C785" s="25"/>
      <c r="D785" s="138"/>
      <c r="E785" s="25"/>
      <c r="F785" s="138"/>
      <c r="G785" s="26"/>
    </row>
    <row r="786" ht="22.5" customHeight="1">
      <c r="A786" s="139"/>
      <c r="B786" s="25"/>
      <c r="C786" s="25"/>
      <c r="D786" s="138"/>
      <c r="E786" s="25"/>
      <c r="F786" s="138"/>
      <c r="G786" s="26"/>
    </row>
    <row r="787" ht="22.5" customHeight="1">
      <c r="A787" s="139"/>
      <c r="B787" s="25"/>
      <c r="C787" s="25"/>
      <c r="D787" s="138"/>
      <c r="E787" s="25"/>
      <c r="F787" s="138"/>
      <c r="G787" s="26"/>
    </row>
    <row r="788" ht="22.5" customHeight="1">
      <c r="A788" s="139"/>
      <c r="B788" s="25"/>
      <c r="C788" s="25"/>
      <c r="D788" s="138"/>
      <c r="E788" s="25"/>
      <c r="F788" s="138"/>
      <c r="G788" s="26"/>
    </row>
    <row r="789" ht="22.5" customHeight="1">
      <c r="A789" s="139"/>
      <c r="B789" s="25"/>
      <c r="C789" s="25"/>
      <c r="D789" s="138"/>
      <c r="E789" s="25"/>
      <c r="F789" s="138"/>
      <c r="G789" s="26"/>
    </row>
    <row r="790" ht="22.5" customHeight="1">
      <c r="A790" s="139"/>
      <c r="B790" s="25"/>
      <c r="C790" s="25"/>
      <c r="D790" s="138"/>
      <c r="E790" s="25"/>
      <c r="F790" s="138"/>
      <c r="G790" s="26"/>
    </row>
    <row r="791" ht="22.5" customHeight="1">
      <c r="A791" s="139"/>
      <c r="B791" s="25"/>
      <c r="C791" s="25"/>
      <c r="D791" s="138"/>
      <c r="E791" s="25"/>
      <c r="F791" s="138"/>
      <c r="G791" s="26"/>
    </row>
    <row r="792" ht="22.5" customHeight="1">
      <c r="A792" s="139"/>
      <c r="B792" s="25"/>
      <c r="C792" s="25"/>
      <c r="D792" s="138"/>
      <c r="E792" s="25"/>
      <c r="F792" s="138"/>
      <c r="G792" s="26"/>
    </row>
    <row r="793" ht="22.5" customHeight="1">
      <c r="A793" s="139"/>
      <c r="B793" s="25"/>
      <c r="C793" s="25"/>
      <c r="D793" s="138"/>
      <c r="E793" s="25"/>
      <c r="F793" s="138"/>
      <c r="G793" s="26"/>
    </row>
    <row r="794" ht="22.5" customHeight="1">
      <c r="A794" s="139"/>
      <c r="B794" s="25"/>
      <c r="C794" s="25"/>
      <c r="D794" s="138"/>
      <c r="E794" s="25"/>
      <c r="F794" s="138"/>
      <c r="G794" s="26"/>
    </row>
    <row r="795" ht="22.5" customHeight="1">
      <c r="A795" s="139"/>
      <c r="B795" s="25"/>
      <c r="C795" s="25"/>
      <c r="D795" s="138"/>
      <c r="E795" s="25"/>
      <c r="F795" s="138"/>
      <c r="G795" s="26"/>
    </row>
    <row r="796" ht="22.5" customHeight="1">
      <c r="A796" s="139"/>
      <c r="B796" s="25"/>
      <c r="C796" s="25"/>
      <c r="D796" s="138"/>
      <c r="E796" s="25"/>
      <c r="F796" s="138"/>
      <c r="G796" s="26"/>
    </row>
    <row r="797" ht="22.5" customHeight="1">
      <c r="A797" s="139"/>
      <c r="B797" s="25"/>
      <c r="C797" s="25"/>
      <c r="D797" s="138"/>
      <c r="E797" s="25"/>
      <c r="F797" s="138"/>
      <c r="G797" s="26"/>
    </row>
    <row r="798" ht="22.5" customHeight="1">
      <c r="A798" s="139"/>
      <c r="B798" s="25"/>
      <c r="C798" s="25"/>
      <c r="D798" s="138"/>
      <c r="E798" s="25"/>
      <c r="F798" s="138"/>
      <c r="G798" s="26"/>
    </row>
    <row r="799" ht="22.5" customHeight="1">
      <c r="A799" s="139"/>
      <c r="B799" s="25"/>
      <c r="C799" s="25"/>
      <c r="D799" s="138"/>
      <c r="E799" s="25"/>
      <c r="F799" s="138"/>
      <c r="G799" s="26"/>
    </row>
    <row r="800" ht="22.5" customHeight="1">
      <c r="A800" s="139"/>
      <c r="B800" s="25"/>
      <c r="C800" s="25"/>
      <c r="D800" s="138"/>
      <c r="E800" s="25"/>
      <c r="F800" s="138"/>
      <c r="G800" s="26"/>
    </row>
    <row r="801" ht="22.5" customHeight="1">
      <c r="A801" s="139"/>
      <c r="B801" s="25"/>
      <c r="C801" s="25"/>
      <c r="D801" s="138"/>
      <c r="E801" s="25"/>
      <c r="F801" s="138"/>
      <c r="G801" s="26"/>
    </row>
    <row r="802" ht="22.5" customHeight="1">
      <c r="A802" s="139"/>
      <c r="B802" s="25"/>
      <c r="C802" s="25"/>
      <c r="D802" s="138"/>
      <c r="E802" s="25"/>
      <c r="F802" s="138"/>
      <c r="G802" s="26"/>
    </row>
    <row r="803" ht="22.5" customHeight="1">
      <c r="A803" s="139"/>
      <c r="B803" s="25"/>
      <c r="C803" s="25"/>
      <c r="D803" s="138"/>
      <c r="E803" s="25"/>
      <c r="F803" s="138"/>
      <c r="G803" s="26"/>
    </row>
    <row r="804" ht="22.5" customHeight="1">
      <c r="A804" s="139"/>
      <c r="B804" s="25"/>
      <c r="C804" s="25"/>
      <c r="D804" s="138"/>
      <c r="E804" s="25"/>
      <c r="F804" s="138"/>
      <c r="G804" s="26"/>
    </row>
    <row r="805" ht="22.5" customHeight="1">
      <c r="A805" s="139"/>
      <c r="B805" s="25"/>
      <c r="C805" s="25"/>
      <c r="D805" s="138"/>
      <c r="E805" s="25"/>
      <c r="F805" s="138"/>
      <c r="G805" s="26"/>
    </row>
    <row r="806" ht="22.5" customHeight="1">
      <c r="A806" s="139"/>
      <c r="B806" s="25"/>
      <c r="C806" s="25"/>
      <c r="D806" s="138"/>
      <c r="E806" s="25"/>
      <c r="F806" s="138"/>
      <c r="G806" s="26"/>
    </row>
    <row r="807" ht="22.5" customHeight="1">
      <c r="A807" s="139"/>
      <c r="B807" s="25"/>
      <c r="C807" s="25"/>
      <c r="D807" s="138"/>
      <c r="E807" s="25"/>
      <c r="F807" s="138"/>
      <c r="G807" s="26"/>
    </row>
    <row r="808" ht="22.5" customHeight="1">
      <c r="A808" s="139"/>
      <c r="B808" s="25"/>
      <c r="C808" s="25"/>
      <c r="D808" s="138"/>
      <c r="E808" s="25"/>
      <c r="F808" s="138"/>
      <c r="G808" s="26"/>
    </row>
    <row r="809" ht="22.5" customHeight="1">
      <c r="A809" s="139"/>
      <c r="B809" s="25"/>
      <c r="C809" s="25"/>
      <c r="D809" s="138"/>
      <c r="E809" s="25"/>
      <c r="F809" s="138"/>
      <c r="G809" s="26"/>
    </row>
    <row r="810" ht="22.5" customHeight="1">
      <c r="A810" s="139"/>
      <c r="B810" s="25"/>
      <c r="C810" s="25"/>
      <c r="D810" s="138"/>
      <c r="E810" s="25"/>
      <c r="F810" s="138"/>
      <c r="G810" s="26"/>
    </row>
    <row r="811" ht="22.5" customHeight="1">
      <c r="A811" s="139"/>
      <c r="B811" s="25"/>
      <c r="C811" s="25"/>
      <c r="D811" s="138"/>
      <c r="E811" s="25"/>
      <c r="F811" s="138"/>
      <c r="G811" s="26"/>
    </row>
    <row r="812" ht="22.5" customHeight="1">
      <c r="A812" s="139"/>
      <c r="B812" s="25"/>
      <c r="C812" s="25"/>
      <c r="D812" s="138"/>
      <c r="E812" s="25"/>
      <c r="F812" s="138"/>
      <c r="G812" s="26"/>
    </row>
    <row r="813" ht="22.5" customHeight="1">
      <c r="A813" s="139"/>
      <c r="B813" s="25"/>
      <c r="C813" s="25"/>
      <c r="D813" s="138"/>
      <c r="E813" s="25"/>
      <c r="F813" s="138"/>
      <c r="G813" s="26"/>
    </row>
    <row r="814" ht="22.5" customHeight="1">
      <c r="A814" s="139"/>
      <c r="B814" s="25"/>
      <c r="C814" s="25"/>
      <c r="D814" s="138"/>
      <c r="E814" s="25"/>
      <c r="F814" s="138"/>
      <c r="G814" s="26"/>
    </row>
    <row r="815" ht="22.5" customHeight="1">
      <c r="A815" s="139"/>
      <c r="B815" s="25"/>
      <c r="C815" s="25"/>
      <c r="D815" s="138"/>
      <c r="E815" s="25"/>
      <c r="F815" s="138"/>
      <c r="G815" s="26"/>
    </row>
    <row r="816" ht="22.5" customHeight="1">
      <c r="A816" s="139"/>
      <c r="B816" s="25"/>
      <c r="C816" s="25"/>
      <c r="D816" s="138"/>
      <c r="E816" s="25"/>
      <c r="F816" s="138"/>
      <c r="G816" s="26"/>
    </row>
    <row r="817" ht="22.5" customHeight="1">
      <c r="A817" s="139"/>
      <c r="B817" s="25"/>
      <c r="C817" s="25"/>
      <c r="D817" s="138"/>
      <c r="E817" s="25"/>
      <c r="F817" s="138"/>
      <c r="G817" s="26"/>
    </row>
    <row r="818" ht="22.5" customHeight="1">
      <c r="A818" s="139"/>
      <c r="B818" s="25"/>
      <c r="C818" s="25"/>
      <c r="D818" s="138"/>
      <c r="E818" s="25"/>
      <c r="F818" s="138"/>
      <c r="G818" s="26"/>
    </row>
    <row r="819" ht="22.5" customHeight="1">
      <c r="A819" s="139"/>
      <c r="B819" s="25"/>
      <c r="C819" s="25"/>
      <c r="D819" s="138"/>
      <c r="E819" s="25"/>
      <c r="F819" s="138"/>
      <c r="G819" s="26"/>
    </row>
    <row r="820" ht="22.5" customHeight="1">
      <c r="A820" s="139"/>
      <c r="B820" s="25"/>
      <c r="C820" s="25"/>
      <c r="D820" s="138"/>
      <c r="E820" s="25"/>
      <c r="F820" s="138"/>
      <c r="G820" s="26"/>
    </row>
    <row r="821" ht="22.5" customHeight="1">
      <c r="A821" s="139"/>
      <c r="B821" s="25"/>
      <c r="C821" s="25"/>
      <c r="D821" s="138"/>
      <c r="E821" s="25"/>
      <c r="F821" s="138"/>
      <c r="G821" s="26"/>
    </row>
    <row r="822" ht="22.5" customHeight="1">
      <c r="A822" s="139"/>
      <c r="B822" s="25"/>
      <c r="C822" s="25"/>
      <c r="D822" s="138"/>
      <c r="E822" s="25"/>
      <c r="F822" s="138"/>
      <c r="G822" s="26"/>
    </row>
    <row r="823" ht="22.5" customHeight="1">
      <c r="A823" s="139"/>
      <c r="B823" s="25"/>
      <c r="C823" s="25"/>
      <c r="D823" s="138"/>
      <c r="E823" s="25"/>
      <c r="F823" s="138"/>
      <c r="G823" s="26"/>
    </row>
    <row r="824" ht="22.5" customHeight="1">
      <c r="A824" s="139"/>
      <c r="B824" s="25"/>
      <c r="C824" s="25"/>
      <c r="D824" s="138"/>
      <c r="E824" s="25"/>
      <c r="F824" s="138"/>
      <c r="G824" s="26"/>
    </row>
    <row r="825" ht="22.5" customHeight="1">
      <c r="A825" s="139"/>
      <c r="B825" s="25"/>
      <c r="C825" s="25"/>
      <c r="D825" s="138"/>
      <c r="E825" s="25"/>
      <c r="F825" s="138"/>
      <c r="G825" s="26"/>
    </row>
    <row r="826" ht="22.5" customHeight="1">
      <c r="A826" s="139"/>
      <c r="B826" s="25"/>
      <c r="C826" s="25"/>
      <c r="D826" s="138"/>
      <c r="E826" s="25"/>
      <c r="F826" s="138"/>
      <c r="G826" s="26"/>
    </row>
    <row r="827" ht="22.5" customHeight="1">
      <c r="A827" s="139"/>
      <c r="B827" s="25"/>
      <c r="C827" s="25"/>
      <c r="D827" s="138"/>
      <c r="E827" s="25"/>
      <c r="F827" s="138"/>
      <c r="G827" s="26"/>
    </row>
    <row r="828" ht="22.5" customHeight="1">
      <c r="A828" s="139"/>
      <c r="B828" s="25"/>
      <c r="C828" s="25"/>
      <c r="D828" s="138"/>
      <c r="E828" s="25"/>
      <c r="F828" s="138"/>
      <c r="G828" s="26"/>
    </row>
    <row r="829" ht="22.5" customHeight="1">
      <c r="A829" s="139"/>
      <c r="B829" s="25"/>
      <c r="C829" s="25"/>
      <c r="D829" s="138"/>
      <c r="E829" s="25"/>
      <c r="F829" s="138"/>
      <c r="G829" s="26"/>
    </row>
    <row r="830" ht="22.5" customHeight="1">
      <c r="A830" s="139"/>
      <c r="B830" s="25"/>
      <c r="C830" s="25"/>
      <c r="D830" s="138"/>
      <c r="E830" s="25"/>
      <c r="F830" s="138"/>
      <c r="G830" s="26"/>
    </row>
    <row r="831" ht="22.5" customHeight="1">
      <c r="A831" s="139"/>
      <c r="B831" s="25"/>
      <c r="C831" s="25"/>
      <c r="D831" s="138"/>
      <c r="E831" s="25"/>
      <c r="F831" s="138"/>
      <c r="G831" s="26"/>
    </row>
    <row r="832" ht="22.5" customHeight="1">
      <c r="A832" s="139"/>
      <c r="B832" s="25"/>
      <c r="C832" s="25"/>
      <c r="D832" s="138"/>
      <c r="E832" s="25"/>
      <c r="F832" s="138"/>
      <c r="G832" s="26"/>
    </row>
    <row r="833" ht="22.5" customHeight="1">
      <c r="A833" s="139"/>
      <c r="B833" s="25"/>
      <c r="C833" s="25"/>
      <c r="D833" s="138"/>
      <c r="E833" s="25"/>
      <c r="F833" s="138"/>
      <c r="G833" s="26"/>
    </row>
    <row r="834" ht="22.5" customHeight="1">
      <c r="A834" s="139"/>
      <c r="B834" s="25"/>
      <c r="C834" s="25"/>
      <c r="D834" s="138"/>
      <c r="E834" s="25"/>
      <c r="F834" s="138"/>
      <c r="G834" s="26"/>
    </row>
    <row r="835" ht="22.5" customHeight="1">
      <c r="A835" s="139"/>
      <c r="B835" s="25"/>
      <c r="C835" s="25"/>
      <c r="D835" s="138"/>
      <c r="E835" s="25"/>
      <c r="F835" s="138"/>
      <c r="G835" s="26"/>
    </row>
    <row r="836" ht="22.5" customHeight="1">
      <c r="A836" s="139"/>
      <c r="B836" s="25"/>
      <c r="C836" s="25"/>
      <c r="D836" s="138"/>
      <c r="E836" s="25"/>
      <c r="F836" s="138"/>
      <c r="G836" s="26"/>
    </row>
    <row r="837" ht="22.5" customHeight="1">
      <c r="A837" s="139"/>
      <c r="B837" s="25"/>
      <c r="C837" s="25"/>
      <c r="D837" s="138"/>
      <c r="E837" s="25"/>
      <c r="F837" s="138"/>
      <c r="G837" s="26"/>
    </row>
    <row r="838" ht="22.5" customHeight="1">
      <c r="A838" s="139"/>
      <c r="B838" s="25"/>
      <c r="C838" s="25"/>
      <c r="D838" s="138"/>
      <c r="E838" s="25"/>
      <c r="F838" s="138"/>
      <c r="G838" s="26"/>
    </row>
    <row r="839" ht="22.5" customHeight="1">
      <c r="A839" s="139"/>
      <c r="B839" s="25"/>
      <c r="C839" s="25"/>
      <c r="D839" s="138"/>
      <c r="E839" s="25"/>
      <c r="F839" s="138"/>
      <c r="G839" s="26"/>
    </row>
    <row r="840" ht="22.5" customHeight="1">
      <c r="A840" s="139"/>
      <c r="B840" s="25"/>
      <c r="C840" s="25"/>
      <c r="D840" s="138"/>
      <c r="E840" s="25"/>
      <c r="F840" s="138"/>
      <c r="G840" s="26"/>
    </row>
    <row r="841" ht="22.5" customHeight="1">
      <c r="A841" s="139"/>
      <c r="B841" s="25"/>
      <c r="C841" s="25"/>
      <c r="D841" s="138"/>
      <c r="E841" s="25"/>
      <c r="F841" s="138"/>
      <c r="G841" s="26"/>
    </row>
    <row r="842" ht="22.5" customHeight="1">
      <c r="A842" s="139"/>
      <c r="B842" s="25"/>
      <c r="C842" s="25"/>
      <c r="D842" s="138"/>
      <c r="E842" s="25"/>
      <c r="F842" s="138"/>
      <c r="G842" s="26"/>
    </row>
    <row r="843" ht="22.5" customHeight="1">
      <c r="A843" s="139"/>
      <c r="B843" s="25"/>
      <c r="C843" s="25"/>
      <c r="D843" s="138"/>
      <c r="E843" s="25"/>
      <c r="F843" s="138"/>
      <c r="G843" s="26"/>
    </row>
    <row r="844" ht="22.5" customHeight="1">
      <c r="A844" s="139"/>
      <c r="B844" s="25"/>
      <c r="C844" s="25"/>
      <c r="D844" s="138"/>
      <c r="E844" s="25"/>
      <c r="F844" s="138"/>
      <c r="G844" s="26"/>
    </row>
    <row r="845" ht="22.5" customHeight="1">
      <c r="A845" s="139"/>
      <c r="B845" s="25"/>
      <c r="C845" s="25"/>
      <c r="D845" s="138"/>
      <c r="E845" s="25"/>
      <c r="F845" s="138"/>
      <c r="G845" s="26"/>
    </row>
    <row r="846" ht="22.5" customHeight="1">
      <c r="A846" s="139"/>
      <c r="B846" s="25"/>
      <c r="C846" s="25"/>
      <c r="D846" s="138"/>
      <c r="E846" s="25"/>
      <c r="F846" s="138"/>
      <c r="G846" s="26"/>
    </row>
    <row r="847" ht="22.5" customHeight="1">
      <c r="A847" s="139"/>
      <c r="B847" s="25"/>
      <c r="C847" s="25"/>
      <c r="D847" s="138"/>
      <c r="E847" s="25"/>
      <c r="F847" s="138"/>
      <c r="G847" s="26"/>
    </row>
    <row r="848" ht="22.5" customHeight="1">
      <c r="A848" s="139"/>
      <c r="B848" s="25"/>
      <c r="C848" s="25"/>
      <c r="D848" s="138"/>
      <c r="E848" s="25"/>
      <c r="F848" s="138"/>
      <c r="G848" s="26"/>
    </row>
    <row r="849" ht="22.5" customHeight="1">
      <c r="A849" s="139"/>
      <c r="B849" s="25"/>
      <c r="C849" s="25"/>
      <c r="D849" s="138"/>
      <c r="E849" s="25"/>
      <c r="F849" s="138"/>
      <c r="G849" s="26"/>
    </row>
    <row r="850" ht="22.5" customHeight="1">
      <c r="A850" s="139"/>
      <c r="B850" s="25"/>
      <c r="C850" s="25"/>
      <c r="D850" s="138"/>
      <c r="E850" s="25"/>
      <c r="F850" s="138"/>
      <c r="G850" s="26"/>
    </row>
    <row r="851" ht="22.5" customHeight="1">
      <c r="A851" s="139"/>
      <c r="B851" s="25"/>
      <c r="C851" s="25"/>
      <c r="D851" s="138"/>
      <c r="E851" s="25"/>
      <c r="F851" s="138"/>
      <c r="G851" s="26"/>
    </row>
    <row r="852" ht="22.5" customHeight="1">
      <c r="A852" s="139"/>
      <c r="B852" s="25"/>
      <c r="C852" s="25"/>
      <c r="D852" s="138"/>
      <c r="E852" s="25"/>
      <c r="F852" s="138"/>
      <c r="G852" s="26"/>
    </row>
    <row r="853" ht="22.5" customHeight="1">
      <c r="A853" s="139"/>
      <c r="B853" s="25"/>
      <c r="C853" s="25"/>
      <c r="D853" s="138"/>
      <c r="E853" s="25"/>
      <c r="F853" s="138"/>
      <c r="G853" s="26"/>
    </row>
    <row r="854" ht="22.5" customHeight="1">
      <c r="A854" s="139"/>
      <c r="B854" s="25"/>
      <c r="C854" s="25"/>
      <c r="D854" s="138"/>
      <c r="E854" s="25"/>
      <c r="F854" s="138"/>
      <c r="G854" s="26"/>
    </row>
    <row r="855" ht="22.5" customHeight="1">
      <c r="A855" s="139"/>
      <c r="B855" s="25"/>
      <c r="C855" s="25"/>
      <c r="D855" s="138"/>
      <c r="E855" s="25"/>
      <c r="F855" s="138"/>
      <c r="G855" s="26"/>
    </row>
    <row r="856" ht="22.5" customHeight="1">
      <c r="A856" s="139"/>
      <c r="B856" s="25"/>
      <c r="C856" s="25"/>
      <c r="D856" s="138"/>
      <c r="E856" s="25"/>
      <c r="F856" s="138"/>
      <c r="G856" s="26"/>
    </row>
    <row r="857" ht="22.5" customHeight="1">
      <c r="A857" s="139"/>
      <c r="B857" s="25"/>
      <c r="C857" s="25"/>
      <c r="D857" s="138"/>
      <c r="E857" s="25"/>
      <c r="F857" s="138"/>
      <c r="G857" s="26"/>
    </row>
    <row r="858" ht="22.5" customHeight="1">
      <c r="A858" s="139"/>
      <c r="B858" s="25"/>
      <c r="C858" s="25"/>
      <c r="D858" s="138"/>
      <c r="E858" s="25"/>
      <c r="F858" s="138"/>
      <c r="G858" s="26"/>
    </row>
    <row r="859" ht="22.5" customHeight="1">
      <c r="A859" s="139"/>
      <c r="B859" s="25"/>
      <c r="C859" s="25"/>
      <c r="D859" s="138"/>
      <c r="E859" s="25"/>
      <c r="F859" s="138"/>
      <c r="G859" s="26"/>
    </row>
    <row r="860" ht="22.5" customHeight="1">
      <c r="A860" s="139"/>
      <c r="B860" s="25"/>
      <c r="C860" s="25"/>
      <c r="D860" s="138"/>
      <c r="E860" s="25"/>
      <c r="F860" s="138"/>
      <c r="G860" s="26"/>
    </row>
    <row r="861" ht="22.5" customHeight="1">
      <c r="A861" s="139"/>
      <c r="B861" s="25"/>
      <c r="C861" s="25"/>
      <c r="D861" s="138"/>
      <c r="E861" s="25"/>
      <c r="F861" s="138"/>
      <c r="G861" s="26"/>
    </row>
    <row r="862" ht="22.5" customHeight="1">
      <c r="A862" s="139"/>
      <c r="B862" s="25"/>
      <c r="C862" s="25"/>
      <c r="D862" s="138"/>
      <c r="E862" s="25"/>
      <c r="F862" s="138"/>
      <c r="G862" s="26"/>
    </row>
    <row r="863" ht="22.5" customHeight="1">
      <c r="A863" s="139"/>
      <c r="B863" s="25"/>
      <c r="C863" s="25"/>
      <c r="D863" s="138"/>
      <c r="E863" s="25"/>
      <c r="F863" s="138"/>
      <c r="G863" s="26"/>
    </row>
    <row r="864" ht="22.5" customHeight="1">
      <c r="A864" s="139"/>
      <c r="B864" s="25"/>
      <c r="C864" s="25"/>
      <c r="D864" s="138"/>
      <c r="E864" s="25"/>
      <c r="F864" s="138"/>
      <c r="G864" s="26"/>
    </row>
    <row r="865" ht="22.5" customHeight="1">
      <c r="A865" s="139"/>
      <c r="B865" s="25"/>
      <c r="C865" s="25"/>
      <c r="D865" s="138"/>
      <c r="E865" s="25"/>
      <c r="F865" s="138"/>
      <c r="G865" s="26"/>
    </row>
    <row r="866" ht="22.5" customHeight="1">
      <c r="A866" s="139"/>
      <c r="B866" s="25"/>
      <c r="C866" s="25"/>
      <c r="D866" s="138"/>
      <c r="E866" s="25"/>
      <c r="F866" s="138"/>
      <c r="G866" s="26"/>
    </row>
    <row r="867" ht="22.5" customHeight="1">
      <c r="A867" s="139"/>
      <c r="B867" s="25"/>
      <c r="C867" s="25"/>
      <c r="D867" s="138"/>
      <c r="E867" s="25"/>
      <c r="F867" s="138"/>
      <c r="G867" s="26"/>
    </row>
    <row r="868" ht="22.5" customHeight="1">
      <c r="A868" s="139"/>
      <c r="B868" s="25"/>
      <c r="C868" s="25"/>
      <c r="D868" s="138"/>
      <c r="E868" s="25"/>
      <c r="F868" s="138"/>
      <c r="G868" s="26"/>
    </row>
    <row r="869" ht="22.5" customHeight="1">
      <c r="A869" s="139"/>
      <c r="B869" s="25"/>
      <c r="C869" s="25"/>
      <c r="D869" s="138"/>
      <c r="E869" s="25"/>
      <c r="F869" s="138"/>
      <c r="G869" s="26"/>
    </row>
    <row r="870" ht="22.5" customHeight="1">
      <c r="A870" s="139"/>
      <c r="B870" s="25"/>
      <c r="C870" s="25"/>
      <c r="D870" s="138"/>
      <c r="E870" s="25"/>
      <c r="F870" s="138"/>
      <c r="G870" s="26"/>
    </row>
    <row r="871" ht="22.5" customHeight="1">
      <c r="A871" s="139"/>
      <c r="B871" s="25"/>
      <c r="C871" s="25"/>
      <c r="D871" s="138"/>
      <c r="E871" s="25"/>
      <c r="F871" s="138"/>
      <c r="G871" s="26"/>
    </row>
    <row r="872" ht="22.5" customHeight="1">
      <c r="A872" s="139"/>
      <c r="B872" s="25"/>
      <c r="C872" s="25"/>
      <c r="D872" s="138"/>
      <c r="E872" s="25"/>
      <c r="F872" s="138"/>
      <c r="G872" s="26"/>
    </row>
    <row r="873" ht="22.5" customHeight="1">
      <c r="A873" s="139"/>
      <c r="B873" s="25"/>
      <c r="C873" s="25"/>
      <c r="D873" s="138"/>
      <c r="E873" s="25"/>
      <c r="F873" s="138"/>
      <c r="G873" s="26"/>
    </row>
    <row r="874" ht="22.5" customHeight="1">
      <c r="A874" s="139"/>
      <c r="B874" s="25"/>
      <c r="C874" s="25"/>
      <c r="D874" s="138"/>
      <c r="E874" s="25"/>
      <c r="F874" s="138"/>
      <c r="G874" s="26"/>
    </row>
    <row r="875" ht="22.5" customHeight="1">
      <c r="A875" s="139"/>
      <c r="B875" s="25"/>
      <c r="C875" s="25"/>
      <c r="D875" s="138"/>
      <c r="E875" s="25"/>
      <c r="F875" s="138"/>
      <c r="G875" s="26"/>
    </row>
    <row r="876" ht="22.5" customHeight="1">
      <c r="A876" s="139"/>
      <c r="B876" s="25"/>
      <c r="C876" s="25"/>
      <c r="D876" s="138"/>
      <c r="E876" s="25"/>
      <c r="F876" s="138"/>
      <c r="G876" s="26"/>
    </row>
    <row r="877" ht="22.5" customHeight="1">
      <c r="A877" s="139"/>
      <c r="B877" s="25"/>
      <c r="C877" s="25"/>
      <c r="D877" s="138"/>
      <c r="E877" s="25"/>
      <c r="F877" s="138"/>
      <c r="G877" s="26"/>
    </row>
    <row r="878" ht="22.5" customHeight="1">
      <c r="A878" s="139"/>
      <c r="B878" s="25"/>
      <c r="C878" s="25"/>
      <c r="D878" s="138"/>
      <c r="E878" s="25"/>
      <c r="F878" s="138"/>
      <c r="G878" s="26"/>
    </row>
    <row r="879" ht="22.5" customHeight="1">
      <c r="A879" s="139"/>
      <c r="B879" s="25"/>
      <c r="C879" s="25"/>
      <c r="D879" s="138"/>
      <c r="E879" s="25"/>
      <c r="F879" s="138"/>
      <c r="G879" s="26"/>
    </row>
    <row r="880" ht="22.5" customHeight="1">
      <c r="A880" s="139"/>
      <c r="B880" s="25"/>
      <c r="C880" s="25"/>
      <c r="D880" s="138"/>
      <c r="E880" s="25"/>
      <c r="F880" s="138"/>
      <c r="G880" s="26"/>
    </row>
    <row r="881" ht="22.5" customHeight="1">
      <c r="A881" s="139"/>
      <c r="B881" s="25"/>
      <c r="C881" s="25"/>
      <c r="D881" s="138"/>
      <c r="E881" s="25"/>
      <c r="F881" s="138"/>
      <c r="G881" s="26"/>
    </row>
    <row r="882" ht="22.5" customHeight="1">
      <c r="A882" s="139"/>
      <c r="B882" s="25"/>
      <c r="C882" s="25"/>
      <c r="D882" s="138"/>
      <c r="E882" s="25"/>
      <c r="F882" s="138"/>
      <c r="G882" s="26"/>
    </row>
    <row r="883" ht="22.5" customHeight="1">
      <c r="A883" s="139"/>
      <c r="B883" s="25"/>
      <c r="C883" s="25"/>
      <c r="D883" s="138"/>
      <c r="E883" s="25"/>
      <c r="F883" s="138"/>
      <c r="G883" s="26"/>
    </row>
    <row r="884" ht="22.5" customHeight="1">
      <c r="A884" s="139"/>
      <c r="B884" s="25"/>
      <c r="C884" s="25"/>
      <c r="D884" s="138"/>
      <c r="E884" s="25"/>
      <c r="F884" s="138"/>
      <c r="G884" s="26"/>
    </row>
    <row r="885" ht="22.5" customHeight="1">
      <c r="A885" s="139"/>
      <c r="B885" s="25"/>
      <c r="C885" s="25"/>
      <c r="D885" s="138"/>
      <c r="E885" s="25"/>
      <c r="F885" s="138"/>
      <c r="G885" s="26"/>
    </row>
    <row r="886" ht="22.5" customHeight="1">
      <c r="A886" s="139"/>
      <c r="B886" s="25"/>
      <c r="C886" s="25"/>
      <c r="D886" s="138"/>
      <c r="E886" s="25"/>
      <c r="F886" s="138"/>
      <c r="G886" s="26"/>
    </row>
    <row r="887" ht="22.5" customHeight="1">
      <c r="A887" s="139"/>
      <c r="B887" s="25"/>
      <c r="C887" s="25"/>
      <c r="D887" s="138"/>
      <c r="E887" s="25"/>
      <c r="F887" s="138"/>
      <c r="G887" s="26"/>
    </row>
    <row r="888" ht="22.5" customHeight="1">
      <c r="A888" s="139"/>
      <c r="B888" s="25"/>
      <c r="C888" s="25"/>
      <c r="D888" s="138"/>
      <c r="E888" s="25"/>
      <c r="F888" s="138"/>
      <c r="G888" s="26"/>
    </row>
    <row r="889" ht="22.5" customHeight="1">
      <c r="A889" s="139"/>
      <c r="B889" s="25"/>
      <c r="C889" s="25"/>
      <c r="D889" s="138"/>
      <c r="E889" s="25"/>
      <c r="F889" s="138"/>
      <c r="G889" s="26"/>
    </row>
    <row r="890" ht="22.5" customHeight="1">
      <c r="A890" s="139"/>
      <c r="B890" s="25"/>
      <c r="C890" s="25"/>
      <c r="D890" s="138"/>
      <c r="E890" s="25"/>
      <c r="F890" s="138"/>
      <c r="G890" s="26"/>
    </row>
    <row r="891" ht="22.5" customHeight="1">
      <c r="A891" s="139"/>
      <c r="B891" s="25"/>
      <c r="C891" s="25"/>
      <c r="D891" s="138"/>
      <c r="E891" s="25"/>
      <c r="F891" s="138"/>
      <c r="G891" s="26"/>
    </row>
    <row r="892" ht="22.5" customHeight="1">
      <c r="A892" s="139"/>
      <c r="B892" s="25"/>
      <c r="C892" s="25"/>
      <c r="D892" s="138"/>
      <c r="E892" s="25"/>
      <c r="F892" s="138"/>
      <c r="G892" s="26"/>
    </row>
    <row r="893" ht="22.5" customHeight="1">
      <c r="A893" s="139"/>
      <c r="B893" s="25"/>
      <c r="C893" s="25"/>
      <c r="D893" s="138"/>
      <c r="E893" s="25"/>
      <c r="F893" s="138"/>
      <c r="G893" s="26"/>
    </row>
    <row r="894" ht="22.5" customHeight="1">
      <c r="A894" s="139"/>
      <c r="B894" s="25"/>
      <c r="C894" s="25"/>
      <c r="D894" s="138"/>
      <c r="E894" s="25"/>
      <c r="F894" s="138"/>
      <c r="G894" s="26"/>
    </row>
    <row r="895" ht="22.5" customHeight="1">
      <c r="A895" s="139"/>
      <c r="B895" s="25"/>
      <c r="C895" s="25"/>
      <c r="D895" s="138"/>
      <c r="E895" s="25"/>
      <c r="F895" s="138"/>
      <c r="G895" s="26"/>
    </row>
    <row r="896" ht="22.5" customHeight="1">
      <c r="A896" s="139"/>
      <c r="B896" s="25"/>
      <c r="C896" s="25"/>
      <c r="D896" s="138"/>
      <c r="E896" s="25"/>
      <c r="F896" s="138"/>
      <c r="G896" s="26"/>
    </row>
    <row r="897" ht="22.5" customHeight="1">
      <c r="A897" s="139"/>
      <c r="B897" s="25"/>
      <c r="C897" s="25"/>
      <c r="D897" s="138"/>
      <c r="E897" s="25"/>
      <c r="F897" s="138"/>
      <c r="G897" s="26"/>
    </row>
    <row r="898" ht="22.5" customHeight="1">
      <c r="A898" s="139"/>
      <c r="B898" s="25"/>
      <c r="C898" s="25"/>
      <c r="D898" s="138"/>
      <c r="E898" s="25"/>
      <c r="F898" s="138"/>
      <c r="G898" s="26"/>
    </row>
    <row r="899" ht="22.5" customHeight="1">
      <c r="A899" s="139"/>
      <c r="B899" s="25"/>
      <c r="C899" s="25"/>
      <c r="D899" s="138"/>
      <c r="E899" s="25"/>
      <c r="F899" s="138"/>
      <c r="G899" s="26"/>
    </row>
    <row r="900" ht="22.5" customHeight="1">
      <c r="A900" s="139"/>
      <c r="B900" s="25"/>
      <c r="C900" s="25"/>
      <c r="D900" s="138"/>
      <c r="E900" s="25"/>
      <c r="F900" s="138"/>
      <c r="G900" s="26"/>
    </row>
    <row r="901" ht="22.5" customHeight="1">
      <c r="A901" s="139"/>
      <c r="B901" s="25"/>
      <c r="C901" s="25"/>
      <c r="D901" s="138"/>
      <c r="E901" s="25"/>
      <c r="F901" s="138"/>
      <c r="G901" s="26"/>
    </row>
    <row r="902" ht="22.5" customHeight="1">
      <c r="A902" s="139"/>
      <c r="B902" s="25"/>
      <c r="C902" s="25"/>
      <c r="D902" s="138"/>
      <c r="E902" s="25"/>
      <c r="F902" s="138"/>
      <c r="G902" s="26"/>
    </row>
    <row r="903" ht="22.5" customHeight="1">
      <c r="A903" s="139"/>
      <c r="B903" s="25"/>
      <c r="C903" s="25"/>
      <c r="D903" s="138"/>
      <c r="E903" s="25"/>
      <c r="F903" s="138"/>
      <c r="G903" s="26"/>
    </row>
    <row r="904" ht="22.5" customHeight="1">
      <c r="A904" s="139"/>
      <c r="B904" s="25"/>
      <c r="C904" s="25"/>
      <c r="D904" s="138"/>
      <c r="E904" s="25"/>
      <c r="F904" s="138"/>
      <c r="G904" s="26"/>
    </row>
    <row r="905" ht="22.5" customHeight="1">
      <c r="A905" s="139"/>
      <c r="B905" s="25"/>
      <c r="C905" s="25"/>
      <c r="D905" s="138"/>
      <c r="E905" s="25"/>
      <c r="F905" s="138"/>
      <c r="G905" s="26"/>
    </row>
    <row r="906" ht="22.5" customHeight="1">
      <c r="A906" s="139"/>
      <c r="B906" s="25"/>
      <c r="C906" s="25"/>
      <c r="D906" s="138"/>
      <c r="E906" s="25"/>
      <c r="F906" s="138"/>
      <c r="G906" s="26"/>
    </row>
    <row r="907" ht="22.5" customHeight="1">
      <c r="A907" s="139"/>
      <c r="B907" s="25"/>
      <c r="C907" s="25"/>
      <c r="D907" s="138"/>
      <c r="E907" s="25"/>
      <c r="F907" s="138"/>
      <c r="G907" s="26"/>
    </row>
    <row r="908" ht="22.5" customHeight="1">
      <c r="A908" s="139"/>
      <c r="B908" s="25"/>
      <c r="C908" s="25"/>
      <c r="D908" s="138"/>
      <c r="E908" s="25"/>
      <c r="F908" s="138"/>
      <c r="G908" s="26"/>
    </row>
    <row r="909" ht="22.5" customHeight="1">
      <c r="A909" s="139"/>
      <c r="B909" s="25"/>
      <c r="C909" s="25"/>
      <c r="D909" s="138"/>
      <c r="E909" s="25"/>
      <c r="F909" s="138"/>
      <c r="G909" s="26"/>
    </row>
    <row r="910" ht="22.5" customHeight="1">
      <c r="A910" s="139"/>
      <c r="B910" s="25"/>
      <c r="C910" s="25"/>
      <c r="D910" s="138"/>
      <c r="E910" s="25"/>
      <c r="F910" s="138"/>
      <c r="G910" s="26"/>
    </row>
    <row r="911" ht="22.5" customHeight="1">
      <c r="A911" s="139"/>
      <c r="B911" s="25"/>
      <c r="C911" s="25"/>
      <c r="D911" s="138"/>
      <c r="E911" s="25"/>
      <c r="F911" s="138"/>
      <c r="G911" s="26"/>
    </row>
    <row r="912" ht="22.5" customHeight="1">
      <c r="A912" s="139"/>
      <c r="B912" s="25"/>
      <c r="C912" s="25"/>
      <c r="D912" s="138"/>
      <c r="E912" s="25"/>
      <c r="F912" s="138"/>
      <c r="G912" s="26"/>
    </row>
    <row r="913" ht="22.5" customHeight="1">
      <c r="A913" s="139"/>
      <c r="B913" s="25"/>
      <c r="C913" s="25"/>
      <c r="D913" s="138"/>
      <c r="E913" s="25"/>
      <c r="F913" s="138"/>
      <c r="G913" s="26"/>
    </row>
    <row r="914" ht="22.5" customHeight="1">
      <c r="A914" s="139"/>
      <c r="B914" s="25"/>
      <c r="C914" s="25"/>
      <c r="D914" s="138"/>
      <c r="E914" s="25"/>
      <c r="F914" s="138"/>
      <c r="G914" s="26"/>
    </row>
    <row r="915" ht="22.5" customHeight="1">
      <c r="A915" s="139"/>
      <c r="B915" s="25"/>
      <c r="C915" s="25"/>
      <c r="D915" s="138"/>
      <c r="E915" s="25"/>
      <c r="F915" s="138"/>
      <c r="G915" s="26"/>
    </row>
    <row r="916" ht="22.5" customHeight="1">
      <c r="A916" s="139"/>
      <c r="B916" s="25"/>
      <c r="C916" s="25"/>
      <c r="D916" s="138"/>
      <c r="E916" s="25"/>
      <c r="F916" s="138"/>
      <c r="G916" s="26"/>
    </row>
    <row r="917" ht="22.5" customHeight="1">
      <c r="A917" s="139"/>
      <c r="B917" s="25"/>
      <c r="C917" s="25"/>
      <c r="D917" s="138"/>
      <c r="E917" s="25"/>
      <c r="F917" s="138"/>
      <c r="G917" s="26"/>
    </row>
    <row r="918" ht="22.5" customHeight="1">
      <c r="A918" s="139"/>
      <c r="B918" s="25"/>
      <c r="C918" s="25"/>
      <c r="D918" s="138"/>
      <c r="E918" s="25"/>
      <c r="F918" s="138"/>
      <c r="G918" s="26"/>
    </row>
    <row r="919" ht="22.5" customHeight="1">
      <c r="A919" s="139"/>
      <c r="B919" s="25"/>
      <c r="C919" s="25"/>
      <c r="D919" s="138"/>
      <c r="E919" s="25"/>
      <c r="F919" s="138"/>
      <c r="G919" s="26"/>
    </row>
    <row r="920" ht="22.5" customHeight="1">
      <c r="A920" s="139"/>
      <c r="B920" s="25"/>
      <c r="C920" s="25"/>
      <c r="D920" s="138"/>
      <c r="E920" s="25"/>
      <c r="F920" s="138"/>
      <c r="G920" s="26"/>
    </row>
    <row r="921" ht="22.5" customHeight="1">
      <c r="A921" s="139"/>
      <c r="B921" s="25"/>
      <c r="C921" s="25"/>
      <c r="D921" s="138"/>
      <c r="E921" s="25"/>
      <c r="F921" s="138"/>
      <c r="G921" s="26"/>
    </row>
    <row r="922" ht="22.5" customHeight="1">
      <c r="A922" s="139"/>
      <c r="B922" s="25"/>
      <c r="C922" s="25"/>
      <c r="D922" s="138"/>
      <c r="E922" s="25"/>
      <c r="F922" s="138"/>
      <c r="G922" s="26"/>
    </row>
    <row r="923" ht="22.5" customHeight="1">
      <c r="A923" s="139"/>
      <c r="B923" s="25"/>
      <c r="C923" s="25"/>
      <c r="D923" s="138"/>
      <c r="E923" s="25"/>
      <c r="F923" s="138"/>
      <c r="G923" s="26"/>
    </row>
    <row r="924" ht="22.5" customHeight="1">
      <c r="A924" s="139"/>
      <c r="B924" s="25"/>
      <c r="C924" s="25"/>
      <c r="D924" s="138"/>
      <c r="E924" s="25"/>
      <c r="F924" s="138"/>
      <c r="G924" s="26"/>
    </row>
    <row r="925" ht="22.5" customHeight="1">
      <c r="A925" s="139"/>
      <c r="B925" s="25"/>
      <c r="C925" s="25"/>
      <c r="D925" s="138"/>
      <c r="E925" s="25"/>
      <c r="F925" s="138"/>
      <c r="G925" s="26"/>
    </row>
    <row r="926" ht="22.5" customHeight="1">
      <c r="A926" s="139"/>
      <c r="B926" s="25"/>
      <c r="C926" s="25"/>
      <c r="D926" s="138"/>
      <c r="E926" s="25"/>
      <c r="F926" s="138"/>
      <c r="G926" s="26"/>
    </row>
    <row r="927" ht="22.5" customHeight="1">
      <c r="A927" s="139"/>
      <c r="B927" s="25"/>
      <c r="C927" s="25"/>
      <c r="D927" s="138"/>
      <c r="E927" s="25"/>
      <c r="F927" s="138"/>
      <c r="G927" s="26"/>
    </row>
    <row r="928" ht="22.5" customHeight="1">
      <c r="A928" s="139"/>
      <c r="B928" s="25"/>
      <c r="C928" s="25"/>
      <c r="D928" s="138"/>
      <c r="E928" s="25"/>
      <c r="F928" s="138"/>
      <c r="G928" s="26"/>
    </row>
    <row r="929" ht="22.5" customHeight="1">
      <c r="A929" s="139"/>
      <c r="B929" s="25"/>
      <c r="C929" s="25"/>
      <c r="D929" s="138"/>
      <c r="E929" s="25"/>
      <c r="F929" s="138"/>
      <c r="G929" s="26"/>
    </row>
    <row r="930" ht="22.5" customHeight="1">
      <c r="A930" s="139"/>
      <c r="B930" s="25"/>
      <c r="C930" s="25"/>
      <c r="D930" s="138"/>
      <c r="E930" s="25"/>
      <c r="F930" s="138"/>
      <c r="G930" s="26"/>
    </row>
    <row r="931" ht="22.5" customHeight="1">
      <c r="A931" s="139"/>
      <c r="B931" s="25"/>
      <c r="C931" s="25"/>
      <c r="D931" s="138"/>
      <c r="E931" s="25"/>
      <c r="F931" s="138"/>
      <c r="G931" s="26"/>
    </row>
    <row r="932" ht="22.5" customHeight="1">
      <c r="A932" s="139"/>
      <c r="B932" s="25"/>
      <c r="C932" s="25"/>
      <c r="D932" s="138"/>
      <c r="E932" s="25"/>
      <c r="F932" s="138"/>
      <c r="G932" s="26"/>
    </row>
    <row r="933" ht="22.5" customHeight="1">
      <c r="A933" s="139"/>
      <c r="B933" s="25"/>
      <c r="C933" s="25"/>
      <c r="D933" s="138"/>
      <c r="E933" s="25"/>
      <c r="F933" s="138"/>
      <c r="G933" s="26"/>
    </row>
    <row r="934" ht="22.5" customHeight="1">
      <c r="A934" s="139"/>
      <c r="B934" s="25"/>
      <c r="C934" s="25"/>
      <c r="D934" s="138"/>
      <c r="E934" s="25"/>
      <c r="F934" s="138"/>
      <c r="G934" s="26"/>
    </row>
    <row r="935" ht="22.5" customHeight="1">
      <c r="A935" s="139"/>
      <c r="B935" s="25"/>
      <c r="C935" s="25"/>
      <c r="D935" s="138"/>
      <c r="E935" s="25"/>
      <c r="F935" s="138"/>
      <c r="G935" s="26"/>
    </row>
    <row r="936" ht="22.5" customHeight="1">
      <c r="A936" s="139"/>
      <c r="B936" s="25"/>
      <c r="C936" s="25"/>
      <c r="D936" s="138"/>
      <c r="E936" s="25"/>
      <c r="F936" s="138"/>
      <c r="G936" s="26"/>
    </row>
    <row r="937" ht="22.5" customHeight="1">
      <c r="A937" s="139"/>
      <c r="B937" s="25"/>
      <c r="C937" s="25"/>
      <c r="D937" s="138"/>
      <c r="E937" s="25"/>
      <c r="F937" s="138"/>
      <c r="G937" s="26"/>
    </row>
    <row r="938" ht="22.5" customHeight="1">
      <c r="A938" s="139"/>
      <c r="B938" s="25"/>
      <c r="C938" s="25"/>
      <c r="D938" s="138"/>
      <c r="E938" s="25"/>
      <c r="F938" s="138"/>
      <c r="G938" s="26"/>
    </row>
    <row r="939" ht="22.5" customHeight="1">
      <c r="A939" s="139"/>
      <c r="B939" s="25"/>
      <c r="C939" s="25"/>
      <c r="D939" s="138"/>
      <c r="E939" s="25"/>
      <c r="F939" s="138"/>
      <c r="G939" s="26"/>
    </row>
    <row r="940" ht="22.5" customHeight="1">
      <c r="A940" s="139"/>
      <c r="B940" s="25"/>
      <c r="C940" s="25"/>
      <c r="D940" s="138"/>
      <c r="E940" s="25"/>
      <c r="F940" s="138"/>
      <c r="G940" s="26"/>
    </row>
    <row r="941" ht="22.5" customHeight="1">
      <c r="A941" s="139"/>
      <c r="B941" s="25"/>
      <c r="C941" s="25"/>
      <c r="D941" s="138"/>
      <c r="E941" s="25"/>
      <c r="F941" s="138"/>
      <c r="G941" s="26"/>
    </row>
    <row r="942" ht="22.5" customHeight="1">
      <c r="A942" s="139"/>
      <c r="B942" s="25"/>
      <c r="C942" s="25"/>
      <c r="D942" s="138"/>
      <c r="E942" s="25"/>
      <c r="F942" s="138"/>
      <c r="G942" s="26"/>
    </row>
    <row r="943" ht="22.5" customHeight="1">
      <c r="A943" s="139"/>
      <c r="B943" s="25"/>
      <c r="C943" s="25"/>
      <c r="D943" s="138"/>
      <c r="E943" s="25"/>
      <c r="F943" s="138"/>
      <c r="G943" s="26"/>
    </row>
    <row r="944" ht="22.5" customHeight="1">
      <c r="A944" s="139"/>
      <c r="B944" s="25"/>
      <c r="C944" s="25"/>
      <c r="D944" s="138"/>
      <c r="E944" s="25"/>
      <c r="F944" s="138"/>
      <c r="G944" s="26"/>
    </row>
    <row r="945" ht="22.5" customHeight="1">
      <c r="A945" s="139"/>
      <c r="B945" s="25"/>
      <c r="C945" s="25"/>
      <c r="D945" s="138"/>
      <c r="E945" s="25"/>
      <c r="F945" s="138"/>
      <c r="G945" s="26"/>
    </row>
    <row r="946" ht="22.5" customHeight="1">
      <c r="A946" s="139"/>
      <c r="B946" s="25"/>
      <c r="C946" s="25"/>
      <c r="D946" s="138"/>
      <c r="E946" s="25"/>
      <c r="F946" s="138"/>
      <c r="G946" s="26"/>
    </row>
    <row r="947" ht="22.5" customHeight="1">
      <c r="A947" s="139"/>
      <c r="B947" s="25"/>
      <c r="C947" s="25"/>
      <c r="D947" s="138"/>
      <c r="E947" s="25"/>
      <c r="F947" s="138"/>
      <c r="G947" s="26"/>
    </row>
    <row r="948" ht="22.5" customHeight="1">
      <c r="A948" s="139"/>
      <c r="B948" s="25"/>
      <c r="C948" s="25"/>
      <c r="D948" s="138"/>
      <c r="E948" s="25"/>
      <c r="F948" s="138"/>
      <c r="G948" s="26"/>
    </row>
    <row r="949" ht="22.5" customHeight="1">
      <c r="A949" s="139"/>
      <c r="B949" s="25"/>
      <c r="C949" s="25"/>
      <c r="D949" s="138"/>
      <c r="E949" s="25"/>
      <c r="F949" s="138"/>
      <c r="G949" s="26"/>
    </row>
    <row r="950" ht="22.5" customHeight="1">
      <c r="A950" s="139"/>
      <c r="B950" s="25"/>
      <c r="C950" s="25"/>
      <c r="D950" s="138"/>
      <c r="E950" s="25"/>
      <c r="F950" s="138"/>
      <c r="G950" s="26"/>
    </row>
    <row r="951" ht="22.5" customHeight="1">
      <c r="A951" s="139"/>
      <c r="B951" s="25"/>
      <c r="C951" s="25"/>
      <c r="D951" s="138"/>
      <c r="E951" s="25"/>
      <c r="F951" s="138"/>
      <c r="G951" s="26"/>
    </row>
    <row r="952" ht="22.5" customHeight="1">
      <c r="A952" s="139"/>
      <c r="B952" s="25"/>
      <c r="C952" s="25"/>
      <c r="D952" s="138"/>
      <c r="E952" s="25"/>
      <c r="F952" s="138"/>
      <c r="G952" s="26"/>
    </row>
    <row r="953" ht="22.5" customHeight="1">
      <c r="A953" s="139"/>
      <c r="B953" s="25"/>
      <c r="C953" s="25"/>
      <c r="D953" s="138"/>
      <c r="E953" s="25"/>
      <c r="F953" s="138"/>
      <c r="G953" s="26"/>
    </row>
    <row r="954" ht="22.5" customHeight="1">
      <c r="A954" s="139"/>
      <c r="B954" s="25"/>
      <c r="C954" s="25"/>
      <c r="D954" s="138"/>
      <c r="E954" s="25"/>
      <c r="F954" s="138"/>
      <c r="G954" s="26"/>
    </row>
    <row r="955" ht="22.5" customHeight="1">
      <c r="A955" s="139"/>
      <c r="B955" s="25"/>
      <c r="C955" s="25"/>
      <c r="D955" s="138"/>
      <c r="E955" s="25"/>
      <c r="F955" s="138"/>
      <c r="G955" s="26"/>
    </row>
    <row r="956" ht="22.5" customHeight="1">
      <c r="A956" s="139"/>
      <c r="B956" s="25"/>
      <c r="C956" s="25"/>
      <c r="D956" s="138"/>
      <c r="E956" s="25"/>
      <c r="F956" s="138"/>
      <c r="G956" s="26"/>
    </row>
    <row r="957" ht="22.5" customHeight="1">
      <c r="A957" s="139"/>
      <c r="B957" s="25"/>
      <c r="C957" s="25"/>
      <c r="D957" s="138"/>
      <c r="E957" s="25"/>
      <c r="F957" s="138"/>
      <c r="G957" s="26"/>
    </row>
    <row r="958" ht="22.5" customHeight="1">
      <c r="A958" s="139"/>
      <c r="B958" s="25"/>
      <c r="C958" s="25"/>
      <c r="D958" s="138"/>
      <c r="E958" s="25"/>
      <c r="F958" s="138"/>
      <c r="G958" s="26"/>
    </row>
    <row r="959" ht="22.5" customHeight="1">
      <c r="A959" s="139"/>
      <c r="B959" s="25"/>
      <c r="C959" s="25"/>
      <c r="D959" s="138"/>
      <c r="E959" s="25"/>
      <c r="F959" s="138"/>
      <c r="G959" s="26"/>
    </row>
    <row r="960" ht="22.5" customHeight="1">
      <c r="A960" s="139"/>
      <c r="B960" s="25"/>
      <c r="C960" s="25"/>
      <c r="D960" s="138"/>
      <c r="E960" s="25"/>
      <c r="F960" s="138"/>
      <c r="G960" s="26"/>
    </row>
    <row r="961" ht="22.5" customHeight="1">
      <c r="A961" s="139"/>
      <c r="B961" s="25"/>
      <c r="C961" s="25"/>
      <c r="D961" s="138"/>
      <c r="E961" s="25"/>
      <c r="F961" s="138"/>
      <c r="G961" s="26"/>
    </row>
    <row r="962" ht="22.5" customHeight="1">
      <c r="A962" s="139"/>
      <c r="B962" s="25"/>
      <c r="C962" s="25"/>
      <c r="D962" s="138"/>
      <c r="E962" s="25"/>
      <c r="F962" s="138"/>
      <c r="G962" s="26"/>
    </row>
    <row r="963" ht="22.5" customHeight="1">
      <c r="A963" s="139"/>
      <c r="B963" s="25"/>
      <c r="C963" s="25"/>
      <c r="D963" s="138"/>
      <c r="E963" s="25"/>
      <c r="F963" s="138"/>
      <c r="G963" s="26"/>
    </row>
    <row r="964" ht="22.5" customHeight="1">
      <c r="A964" s="139"/>
      <c r="B964" s="25"/>
      <c r="C964" s="25"/>
      <c r="D964" s="138"/>
      <c r="E964" s="25"/>
      <c r="F964" s="138"/>
      <c r="G964" s="26"/>
    </row>
    <row r="965" ht="22.5" customHeight="1">
      <c r="A965" s="139"/>
      <c r="B965" s="25"/>
      <c r="C965" s="25"/>
      <c r="D965" s="138"/>
      <c r="E965" s="25"/>
      <c r="F965" s="138"/>
      <c r="G965" s="26"/>
    </row>
    <row r="966" ht="22.5" customHeight="1">
      <c r="A966" s="139"/>
      <c r="B966" s="25"/>
      <c r="C966" s="25"/>
      <c r="D966" s="138"/>
      <c r="E966" s="25"/>
      <c r="F966" s="138"/>
      <c r="G966" s="26"/>
    </row>
    <row r="967" ht="22.5" customHeight="1">
      <c r="A967" s="139"/>
      <c r="B967" s="25"/>
      <c r="C967" s="25"/>
      <c r="D967" s="138"/>
      <c r="E967" s="25"/>
      <c r="F967" s="138"/>
      <c r="G967" s="26"/>
    </row>
    <row r="968" ht="22.5" customHeight="1">
      <c r="A968" s="139"/>
      <c r="B968" s="25"/>
      <c r="C968" s="25"/>
      <c r="D968" s="138"/>
      <c r="E968" s="25"/>
      <c r="F968" s="138"/>
      <c r="G968" s="26"/>
    </row>
    <row r="969" ht="22.5" customHeight="1">
      <c r="A969" s="139"/>
      <c r="B969" s="25"/>
      <c r="C969" s="25"/>
      <c r="D969" s="138"/>
      <c r="E969" s="25"/>
      <c r="F969" s="138"/>
      <c r="G969" s="26"/>
    </row>
    <row r="970" ht="22.5" customHeight="1">
      <c r="A970" s="139"/>
      <c r="B970" s="25"/>
      <c r="C970" s="25"/>
      <c r="D970" s="138"/>
      <c r="E970" s="25"/>
      <c r="F970" s="138"/>
      <c r="G970" s="26"/>
    </row>
    <row r="971" ht="22.5" customHeight="1">
      <c r="A971" s="139"/>
      <c r="B971" s="25"/>
      <c r="C971" s="25"/>
      <c r="D971" s="138"/>
      <c r="E971" s="25"/>
      <c r="F971" s="138"/>
      <c r="G971" s="26"/>
    </row>
    <row r="972" ht="22.5" customHeight="1">
      <c r="A972" s="139"/>
      <c r="B972" s="25"/>
      <c r="C972" s="25"/>
      <c r="D972" s="138"/>
      <c r="E972" s="25"/>
      <c r="F972" s="138"/>
      <c r="G972" s="26"/>
    </row>
    <row r="973" ht="22.5" customHeight="1">
      <c r="A973" s="139"/>
      <c r="B973" s="25"/>
      <c r="C973" s="25"/>
      <c r="D973" s="138"/>
      <c r="E973" s="25"/>
      <c r="F973" s="138"/>
      <c r="G973" s="26"/>
    </row>
    <row r="974" ht="22.5" customHeight="1">
      <c r="A974" s="139"/>
      <c r="B974" s="25"/>
      <c r="C974" s="25"/>
      <c r="D974" s="138"/>
      <c r="E974" s="25"/>
      <c r="F974" s="138"/>
      <c r="G974" s="26"/>
    </row>
    <row r="975" ht="22.5" customHeight="1">
      <c r="A975" s="139"/>
      <c r="B975" s="25"/>
      <c r="C975" s="25"/>
      <c r="D975" s="138"/>
      <c r="E975" s="25"/>
      <c r="F975" s="138"/>
      <c r="G975" s="26"/>
    </row>
    <row r="976" ht="22.5" customHeight="1">
      <c r="A976" s="139"/>
      <c r="B976" s="25"/>
      <c r="C976" s="25"/>
      <c r="D976" s="138"/>
      <c r="E976" s="25"/>
      <c r="F976" s="138"/>
      <c r="G976" s="26"/>
    </row>
    <row r="977" ht="22.5" customHeight="1">
      <c r="A977" s="139"/>
      <c r="B977" s="25"/>
      <c r="C977" s="25"/>
      <c r="D977" s="138"/>
      <c r="E977" s="25"/>
      <c r="F977" s="138"/>
      <c r="G977" s="26"/>
    </row>
    <row r="978" ht="22.5" customHeight="1">
      <c r="A978" s="139"/>
      <c r="B978" s="25"/>
      <c r="C978" s="25"/>
      <c r="D978" s="138"/>
      <c r="E978" s="25"/>
      <c r="F978" s="138"/>
      <c r="G978" s="26"/>
    </row>
    <row r="979" ht="22.5" customHeight="1">
      <c r="A979" s="139"/>
      <c r="B979" s="25"/>
      <c r="C979" s="25"/>
      <c r="D979" s="138"/>
      <c r="E979" s="25"/>
      <c r="F979" s="138"/>
      <c r="G979" s="26"/>
    </row>
    <row r="980" ht="22.5" customHeight="1">
      <c r="A980" s="139"/>
      <c r="B980" s="25"/>
      <c r="C980" s="25"/>
      <c r="D980" s="138"/>
      <c r="E980" s="25"/>
      <c r="F980" s="138"/>
      <c r="G980" s="26"/>
    </row>
    <row r="981" ht="22.5" customHeight="1">
      <c r="A981" s="139"/>
      <c r="B981" s="25"/>
      <c r="C981" s="25"/>
      <c r="D981" s="138"/>
      <c r="E981" s="25"/>
      <c r="F981" s="138"/>
      <c r="G981" s="26"/>
    </row>
    <row r="982" ht="22.5" customHeight="1">
      <c r="A982" s="139"/>
      <c r="B982" s="25"/>
      <c r="C982" s="25"/>
      <c r="D982" s="138"/>
      <c r="E982" s="25"/>
      <c r="F982" s="138"/>
      <c r="G982" s="26"/>
    </row>
    <row r="983" ht="22.5" customHeight="1">
      <c r="A983" s="139"/>
      <c r="B983" s="25"/>
      <c r="C983" s="25"/>
      <c r="D983" s="138"/>
      <c r="E983" s="25"/>
      <c r="F983" s="138"/>
      <c r="G983" s="26"/>
    </row>
    <row r="984" ht="22.5" customHeight="1">
      <c r="A984" s="139"/>
      <c r="B984" s="25"/>
      <c r="C984" s="25"/>
      <c r="D984" s="138"/>
      <c r="E984" s="25"/>
      <c r="F984" s="138"/>
      <c r="G984" s="26"/>
    </row>
    <row r="985" ht="22.5" customHeight="1">
      <c r="A985" s="139"/>
      <c r="B985" s="25"/>
      <c r="C985" s="25"/>
      <c r="D985" s="138"/>
      <c r="E985" s="25"/>
      <c r="F985" s="138"/>
      <c r="G985" s="26"/>
    </row>
    <row r="986" ht="22.5" customHeight="1">
      <c r="A986" s="139"/>
      <c r="B986" s="25"/>
      <c r="C986" s="25"/>
      <c r="D986" s="138"/>
      <c r="E986" s="25"/>
      <c r="F986" s="138"/>
      <c r="G986" s="26"/>
    </row>
    <row r="987" ht="22.5" customHeight="1">
      <c r="A987" s="139"/>
      <c r="B987" s="25"/>
      <c r="C987" s="25"/>
      <c r="D987" s="138"/>
      <c r="E987" s="25"/>
      <c r="F987" s="138"/>
      <c r="G987" s="26"/>
    </row>
    <row r="988" ht="22.5" customHeight="1">
      <c r="A988" s="139"/>
      <c r="B988" s="25"/>
      <c r="C988" s="25"/>
      <c r="D988" s="138"/>
      <c r="E988" s="25"/>
      <c r="F988" s="138"/>
      <c r="G988" s="26"/>
    </row>
    <row r="989" ht="22.5" customHeight="1">
      <c r="A989" s="139"/>
      <c r="B989" s="25"/>
      <c r="C989" s="25"/>
      <c r="D989" s="138"/>
      <c r="E989" s="25"/>
      <c r="F989" s="138"/>
      <c r="G989" s="26"/>
    </row>
    <row r="990" ht="22.5" customHeight="1">
      <c r="A990" s="139"/>
      <c r="B990" s="25"/>
      <c r="C990" s="25"/>
      <c r="D990" s="138"/>
      <c r="E990" s="25"/>
      <c r="F990" s="138"/>
      <c r="G990" s="26"/>
    </row>
    <row r="991" ht="22.5" customHeight="1">
      <c r="A991" s="139"/>
      <c r="B991" s="25"/>
      <c r="C991" s="25"/>
      <c r="D991" s="138"/>
      <c r="E991" s="25"/>
      <c r="F991" s="138"/>
      <c r="G991" s="26"/>
    </row>
    <row r="992" ht="22.5" customHeight="1">
      <c r="A992" s="139"/>
      <c r="B992" s="25"/>
      <c r="C992" s="25"/>
      <c r="D992" s="138"/>
      <c r="E992" s="25"/>
      <c r="F992" s="138"/>
      <c r="G992" s="26"/>
    </row>
    <row r="993" ht="22.5" customHeight="1">
      <c r="A993" s="139"/>
      <c r="B993" s="25"/>
      <c r="C993" s="25"/>
      <c r="D993" s="138"/>
      <c r="E993" s="25"/>
      <c r="F993" s="138"/>
      <c r="G993" s="26"/>
    </row>
    <row r="994" ht="22.5" customHeight="1">
      <c r="A994" s="139"/>
      <c r="B994" s="25"/>
      <c r="C994" s="25"/>
      <c r="D994" s="138"/>
      <c r="E994" s="25"/>
      <c r="F994" s="138"/>
      <c r="G994" s="26"/>
    </row>
    <row r="995" ht="22.5" customHeight="1">
      <c r="A995" s="139"/>
      <c r="B995" s="25"/>
      <c r="C995" s="25"/>
      <c r="D995" s="138"/>
      <c r="E995" s="25"/>
      <c r="F995" s="138"/>
      <c r="G995" s="26"/>
    </row>
    <row r="996" ht="22.5" customHeight="1">
      <c r="A996" s="139"/>
      <c r="B996" s="25"/>
      <c r="C996" s="25"/>
      <c r="D996" s="138"/>
      <c r="E996" s="25"/>
      <c r="F996" s="138"/>
      <c r="G996" s="26"/>
    </row>
    <row r="997" ht="22.5" customHeight="1">
      <c r="A997" s="139"/>
      <c r="B997" s="25"/>
      <c r="C997" s="25"/>
      <c r="D997" s="138"/>
      <c r="E997" s="25"/>
      <c r="F997" s="138"/>
      <c r="G997" s="26"/>
    </row>
    <row r="998" ht="22.5" customHeight="1">
      <c r="A998" s="139"/>
      <c r="B998" s="25"/>
      <c r="C998" s="25"/>
      <c r="D998" s="138"/>
      <c r="E998" s="25"/>
      <c r="F998" s="138"/>
      <c r="G998" s="26"/>
    </row>
    <row r="999" ht="22.5" customHeight="1">
      <c r="A999" s="139"/>
      <c r="B999" s="25"/>
      <c r="C999" s="25"/>
      <c r="D999" s="138"/>
      <c r="E999" s="25"/>
      <c r="F999" s="138"/>
      <c r="G999" s="26"/>
    </row>
    <row r="1000" ht="22.5" customHeight="1">
      <c r="A1000" s="139"/>
      <c r="B1000" s="25"/>
      <c r="C1000" s="25"/>
      <c r="D1000" s="138"/>
      <c r="E1000" s="25"/>
      <c r="F1000" s="138"/>
      <c r="G1000" s="26"/>
    </row>
    <row r="1001" ht="22.5" customHeight="1">
      <c r="A1001" s="139"/>
      <c r="B1001" s="25"/>
      <c r="C1001" s="25"/>
      <c r="D1001" s="138"/>
      <c r="E1001" s="25"/>
      <c r="F1001" s="138"/>
      <c r="G1001" s="26"/>
    </row>
    <row r="1002" ht="22.5" customHeight="1">
      <c r="A1002" s="139"/>
      <c r="B1002" s="25"/>
      <c r="C1002" s="25"/>
      <c r="D1002" s="138"/>
      <c r="E1002" s="25"/>
      <c r="F1002" s="138"/>
      <c r="G1002" s="26"/>
    </row>
    <row r="1003" ht="22.5" customHeight="1">
      <c r="A1003" s="139"/>
      <c r="B1003" s="25"/>
      <c r="C1003" s="25"/>
      <c r="D1003" s="138"/>
      <c r="E1003" s="25"/>
      <c r="F1003" s="138"/>
      <c r="G1003" s="26"/>
    </row>
    <row r="1004" ht="22.5" customHeight="1">
      <c r="A1004" s="139"/>
      <c r="B1004" s="25"/>
      <c r="C1004" s="25"/>
      <c r="D1004" s="138"/>
      <c r="E1004" s="25"/>
      <c r="F1004" s="138"/>
      <c r="G1004" s="26"/>
    </row>
    <row r="1005" ht="22.5" customHeight="1">
      <c r="A1005" s="139"/>
      <c r="B1005" s="25"/>
      <c r="C1005" s="25"/>
      <c r="D1005" s="138"/>
      <c r="E1005" s="25"/>
      <c r="F1005" s="138"/>
      <c r="G1005" s="26"/>
    </row>
    <row r="1006" ht="22.5" customHeight="1">
      <c r="A1006" s="139"/>
      <c r="B1006" s="25"/>
      <c r="C1006" s="25"/>
      <c r="D1006" s="138"/>
      <c r="E1006" s="25"/>
      <c r="F1006" s="138"/>
      <c r="G1006" s="26"/>
    </row>
    <row r="1007" ht="22.5" customHeight="1">
      <c r="A1007" s="139"/>
      <c r="B1007" s="25"/>
      <c r="C1007" s="25"/>
      <c r="D1007" s="138"/>
      <c r="E1007" s="25"/>
      <c r="F1007" s="138"/>
      <c r="G1007" s="26"/>
    </row>
    <row r="1008" ht="22.5" customHeight="1">
      <c r="A1008" s="139"/>
      <c r="B1008" s="25"/>
      <c r="C1008" s="25"/>
      <c r="D1008" s="138"/>
      <c r="E1008" s="25"/>
      <c r="F1008" s="138"/>
      <c r="G1008" s="26"/>
    </row>
    <row r="1009" ht="22.5" customHeight="1">
      <c r="A1009" s="139"/>
      <c r="B1009" s="25"/>
      <c r="C1009" s="25"/>
      <c r="D1009" s="138"/>
      <c r="E1009" s="25"/>
      <c r="F1009" s="138"/>
      <c r="G1009" s="26"/>
    </row>
    <row r="1010" ht="22.5" customHeight="1">
      <c r="A1010" s="139"/>
      <c r="B1010" s="25"/>
      <c r="C1010" s="25"/>
      <c r="D1010" s="138"/>
      <c r="E1010" s="25"/>
      <c r="F1010" s="138"/>
      <c r="G1010" s="26"/>
    </row>
    <row r="1011" ht="22.5" customHeight="1">
      <c r="A1011" s="139"/>
      <c r="B1011" s="25"/>
      <c r="C1011" s="25"/>
      <c r="D1011" s="138"/>
      <c r="E1011" s="25"/>
      <c r="F1011" s="138"/>
      <c r="G1011" s="26"/>
    </row>
    <row r="1012" ht="22.5" customHeight="1">
      <c r="A1012" s="139"/>
      <c r="B1012" s="25"/>
      <c r="C1012" s="25"/>
      <c r="D1012" s="138"/>
      <c r="E1012" s="25"/>
      <c r="F1012" s="138"/>
      <c r="G1012" s="26"/>
    </row>
    <row r="1013" ht="22.5" customHeight="1">
      <c r="A1013" s="139"/>
      <c r="B1013" s="25"/>
      <c r="C1013" s="25"/>
      <c r="D1013" s="138"/>
      <c r="E1013" s="25"/>
      <c r="F1013" s="138"/>
      <c r="G1013" s="26"/>
    </row>
    <row r="1014" ht="22.5" customHeight="1">
      <c r="A1014" s="139"/>
      <c r="B1014" s="25"/>
      <c r="C1014" s="25"/>
      <c r="D1014" s="138"/>
      <c r="E1014" s="25"/>
      <c r="F1014" s="138"/>
      <c r="G1014" s="26"/>
    </row>
    <row r="1015" ht="22.5" customHeight="1">
      <c r="A1015" s="139"/>
      <c r="B1015" s="25"/>
      <c r="C1015" s="25"/>
      <c r="D1015" s="138"/>
      <c r="E1015" s="25"/>
      <c r="F1015" s="138"/>
      <c r="G1015" s="26"/>
    </row>
    <row r="1016" ht="22.5" customHeight="1">
      <c r="A1016" s="139"/>
      <c r="B1016" s="25"/>
      <c r="C1016" s="25"/>
      <c r="D1016" s="138"/>
      <c r="E1016" s="25"/>
      <c r="F1016" s="138"/>
      <c r="G1016" s="26"/>
    </row>
    <row r="1017" ht="22.5" customHeight="1">
      <c r="A1017" s="139"/>
      <c r="B1017" s="25"/>
      <c r="C1017" s="25"/>
      <c r="D1017" s="138"/>
      <c r="E1017" s="25"/>
      <c r="F1017" s="138"/>
      <c r="G1017" s="26"/>
    </row>
    <row r="1018" ht="22.5" customHeight="1">
      <c r="A1018" s="139"/>
      <c r="B1018" s="25"/>
      <c r="C1018" s="25"/>
      <c r="D1018" s="138"/>
      <c r="E1018" s="25"/>
      <c r="F1018" s="138"/>
      <c r="G1018" s="26"/>
    </row>
    <row r="1019" ht="22.5" customHeight="1">
      <c r="A1019" s="139"/>
      <c r="B1019" s="25"/>
      <c r="C1019" s="25"/>
      <c r="D1019" s="138"/>
      <c r="E1019" s="25"/>
      <c r="F1019" s="138"/>
      <c r="G1019" s="26"/>
    </row>
    <row r="1020" ht="22.5" customHeight="1">
      <c r="A1020" s="139"/>
      <c r="B1020" s="25"/>
      <c r="C1020" s="25"/>
      <c r="D1020" s="138"/>
      <c r="E1020" s="25"/>
      <c r="F1020" s="138"/>
      <c r="G1020" s="26"/>
    </row>
    <row r="1021" ht="22.5" customHeight="1">
      <c r="A1021" s="139"/>
      <c r="B1021" s="25"/>
      <c r="C1021" s="25"/>
      <c r="D1021" s="138"/>
      <c r="E1021" s="25"/>
      <c r="F1021" s="138"/>
      <c r="G1021" s="26"/>
    </row>
    <row r="1022" ht="22.5" customHeight="1">
      <c r="A1022" s="139"/>
      <c r="B1022" s="25"/>
      <c r="C1022" s="25"/>
      <c r="D1022" s="138"/>
      <c r="E1022" s="25"/>
      <c r="F1022" s="138"/>
      <c r="G1022" s="26"/>
    </row>
    <row r="1023" ht="22.5" customHeight="1">
      <c r="A1023" s="139"/>
      <c r="B1023" s="25"/>
      <c r="C1023" s="25"/>
      <c r="D1023" s="138"/>
      <c r="E1023" s="25"/>
      <c r="F1023" s="138"/>
      <c r="G1023" s="26"/>
    </row>
    <row r="1024" ht="22.5" customHeight="1">
      <c r="A1024" s="139"/>
      <c r="B1024" s="25"/>
      <c r="C1024" s="25"/>
      <c r="D1024" s="138"/>
      <c r="E1024" s="25"/>
      <c r="F1024" s="138"/>
      <c r="G1024" s="26"/>
    </row>
    <row r="1025" ht="22.5" customHeight="1">
      <c r="A1025" s="139"/>
      <c r="B1025" s="25"/>
      <c r="C1025" s="25"/>
      <c r="D1025" s="138"/>
      <c r="E1025" s="25"/>
      <c r="F1025" s="138"/>
      <c r="G1025" s="26"/>
    </row>
    <row r="1026" ht="22.5" customHeight="1">
      <c r="A1026" s="139"/>
      <c r="B1026" s="25"/>
      <c r="C1026" s="25"/>
      <c r="D1026" s="138"/>
      <c r="E1026" s="25"/>
      <c r="F1026" s="138"/>
      <c r="G1026" s="26"/>
    </row>
    <row r="1027" ht="22.5" customHeight="1">
      <c r="A1027" s="139"/>
      <c r="B1027" s="25"/>
      <c r="C1027" s="25"/>
      <c r="D1027" s="138"/>
      <c r="E1027" s="25"/>
      <c r="F1027" s="138"/>
      <c r="G1027" s="26"/>
    </row>
    <row r="1028" ht="22.5" customHeight="1">
      <c r="A1028" s="139"/>
      <c r="B1028" s="25"/>
      <c r="C1028" s="25"/>
      <c r="D1028" s="138"/>
      <c r="E1028" s="25"/>
      <c r="F1028" s="138"/>
      <c r="G1028" s="26"/>
    </row>
    <row r="1029" ht="22.5" customHeight="1">
      <c r="A1029" s="139"/>
      <c r="B1029" s="25"/>
      <c r="C1029" s="25"/>
      <c r="D1029" s="138"/>
      <c r="E1029" s="25"/>
      <c r="F1029" s="138"/>
      <c r="G1029" s="26"/>
    </row>
    <row r="1030" ht="22.5" customHeight="1">
      <c r="A1030" s="139"/>
      <c r="B1030" s="25"/>
      <c r="C1030" s="25"/>
      <c r="D1030" s="138"/>
      <c r="E1030" s="25"/>
      <c r="F1030" s="138"/>
      <c r="G1030" s="26"/>
    </row>
    <row r="1031" ht="22.5" customHeight="1">
      <c r="A1031" s="139"/>
      <c r="B1031" s="25"/>
      <c r="C1031" s="25"/>
      <c r="D1031" s="138"/>
      <c r="E1031" s="25"/>
      <c r="F1031" s="138"/>
      <c r="G1031" s="26"/>
    </row>
    <row r="1032" ht="22.5" customHeight="1">
      <c r="A1032" s="139"/>
      <c r="B1032" s="25"/>
      <c r="C1032" s="25"/>
      <c r="D1032" s="138"/>
      <c r="E1032" s="25"/>
      <c r="F1032" s="138"/>
      <c r="G1032" s="26"/>
    </row>
    <row r="1033" ht="22.5" customHeight="1">
      <c r="A1033" s="139"/>
      <c r="B1033" s="25"/>
      <c r="C1033" s="25"/>
      <c r="D1033" s="138"/>
      <c r="E1033" s="25"/>
      <c r="F1033" s="138"/>
      <c r="G1033" s="26"/>
    </row>
    <row r="1034" ht="22.5" customHeight="1">
      <c r="A1034" s="139"/>
      <c r="B1034" s="25"/>
      <c r="C1034" s="25"/>
      <c r="D1034" s="138"/>
      <c r="E1034" s="25"/>
      <c r="F1034" s="138"/>
      <c r="G1034" s="26"/>
    </row>
    <row r="1035" ht="22.5" customHeight="1">
      <c r="A1035" s="139"/>
      <c r="B1035" s="25"/>
      <c r="C1035" s="25"/>
      <c r="D1035" s="138"/>
      <c r="E1035" s="25"/>
      <c r="F1035" s="138"/>
      <c r="G1035" s="26"/>
    </row>
    <row r="1036" ht="22.5" customHeight="1">
      <c r="A1036" s="139"/>
      <c r="B1036" s="25"/>
      <c r="C1036" s="25"/>
      <c r="D1036" s="138"/>
      <c r="E1036" s="25"/>
      <c r="F1036" s="138"/>
      <c r="G1036" s="26"/>
    </row>
    <row r="1037" ht="22.5" customHeight="1">
      <c r="A1037" s="139"/>
      <c r="B1037" s="25"/>
      <c r="C1037" s="25"/>
      <c r="D1037" s="138"/>
      <c r="E1037" s="25"/>
      <c r="F1037" s="138"/>
      <c r="G1037" s="26"/>
    </row>
    <row r="1038" ht="22.5" customHeight="1">
      <c r="A1038" s="139"/>
      <c r="B1038" s="25"/>
      <c r="C1038" s="25"/>
      <c r="D1038" s="138"/>
      <c r="E1038" s="25"/>
      <c r="F1038" s="138"/>
      <c r="G1038" s="26"/>
    </row>
    <row r="1039" ht="22.5" customHeight="1">
      <c r="A1039" s="139"/>
      <c r="B1039" s="25"/>
      <c r="C1039" s="25"/>
      <c r="D1039" s="138"/>
      <c r="E1039" s="25"/>
      <c r="F1039" s="138"/>
      <c r="G1039" s="26"/>
    </row>
    <row r="1040" ht="22.5" customHeight="1">
      <c r="A1040" s="139"/>
      <c r="B1040" s="25"/>
      <c r="C1040" s="25"/>
      <c r="D1040" s="138"/>
      <c r="E1040" s="25"/>
      <c r="F1040" s="138"/>
      <c r="G1040" s="26"/>
    </row>
    <row r="1041" ht="22.5" customHeight="1">
      <c r="A1041" s="139"/>
      <c r="B1041" s="25"/>
      <c r="C1041" s="25"/>
      <c r="D1041" s="138"/>
      <c r="E1041" s="25"/>
      <c r="F1041" s="138"/>
      <c r="G1041" s="26"/>
    </row>
    <row r="1042" ht="22.5" customHeight="1">
      <c r="A1042" s="139"/>
      <c r="B1042" s="25"/>
      <c r="C1042" s="25"/>
      <c r="D1042" s="138"/>
      <c r="E1042" s="25"/>
      <c r="F1042" s="138"/>
      <c r="G1042" s="26"/>
    </row>
    <row r="1043" ht="22.5" customHeight="1">
      <c r="A1043" s="139"/>
      <c r="B1043" s="25"/>
      <c r="C1043" s="25"/>
      <c r="D1043" s="138"/>
      <c r="E1043" s="25"/>
      <c r="F1043" s="138"/>
      <c r="G1043" s="26"/>
    </row>
    <row r="1044" ht="22.5" customHeight="1">
      <c r="A1044" s="139"/>
      <c r="B1044" s="25"/>
      <c r="C1044" s="25"/>
      <c r="D1044" s="138"/>
      <c r="E1044" s="25"/>
      <c r="F1044" s="138"/>
      <c r="G1044" s="26"/>
    </row>
    <row r="1045" ht="22.5" customHeight="1">
      <c r="A1045" s="139"/>
      <c r="B1045" s="25"/>
      <c r="C1045" s="25"/>
      <c r="D1045" s="138"/>
      <c r="E1045" s="25"/>
      <c r="F1045" s="138"/>
      <c r="G1045" s="26"/>
    </row>
    <row r="1046" ht="22.5" customHeight="1">
      <c r="A1046" s="139"/>
      <c r="B1046" s="25"/>
      <c r="C1046" s="25"/>
      <c r="D1046" s="138"/>
      <c r="E1046" s="25"/>
      <c r="F1046" s="138"/>
      <c r="G1046" s="26"/>
    </row>
    <row r="1047" ht="22.5" customHeight="1">
      <c r="A1047" s="139"/>
      <c r="B1047" s="25"/>
      <c r="C1047" s="25"/>
      <c r="D1047" s="138"/>
      <c r="E1047" s="25"/>
      <c r="F1047" s="138"/>
      <c r="G1047" s="26"/>
    </row>
    <row r="1048" ht="22.5" customHeight="1">
      <c r="A1048" s="139"/>
      <c r="B1048" s="25"/>
      <c r="C1048" s="25"/>
      <c r="D1048" s="138"/>
      <c r="E1048" s="25"/>
      <c r="F1048" s="138"/>
      <c r="G1048" s="26"/>
    </row>
    <row r="1049" ht="22.5" customHeight="1">
      <c r="A1049" s="139"/>
      <c r="B1049" s="25"/>
      <c r="C1049" s="25"/>
      <c r="D1049" s="138"/>
      <c r="E1049" s="25"/>
      <c r="F1049" s="138"/>
      <c r="G1049" s="26"/>
    </row>
    <row r="1050" ht="22.5" customHeight="1">
      <c r="A1050" s="139"/>
      <c r="B1050" s="25"/>
      <c r="C1050" s="25"/>
      <c r="D1050" s="138"/>
      <c r="E1050" s="25"/>
      <c r="F1050" s="138"/>
      <c r="G1050" s="26"/>
    </row>
    <row r="1051" ht="22.5" customHeight="1">
      <c r="A1051" s="139"/>
      <c r="B1051" s="25"/>
      <c r="C1051" s="25"/>
      <c r="D1051" s="138"/>
      <c r="E1051" s="25"/>
      <c r="F1051" s="138"/>
      <c r="G1051" s="26"/>
    </row>
    <row r="1052" ht="22.5" customHeight="1">
      <c r="A1052" s="139"/>
      <c r="B1052" s="25"/>
      <c r="C1052" s="25"/>
      <c r="D1052" s="138"/>
      <c r="E1052" s="25"/>
      <c r="F1052" s="138"/>
      <c r="G1052" s="26"/>
    </row>
    <row r="1053" ht="22.5" customHeight="1">
      <c r="A1053" s="139"/>
      <c r="B1053" s="25"/>
      <c r="C1053" s="25"/>
      <c r="D1053" s="138"/>
      <c r="E1053" s="25"/>
      <c r="F1053" s="138"/>
      <c r="G1053" s="26"/>
    </row>
    <row r="1054" ht="22.5" customHeight="1">
      <c r="A1054" s="139"/>
      <c r="B1054" s="25"/>
      <c r="C1054" s="25"/>
      <c r="D1054" s="138"/>
      <c r="E1054" s="25"/>
      <c r="F1054" s="138"/>
      <c r="G1054" s="26"/>
    </row>
    <row r="1055" ht="22.5" customHeight="1">
      <c r="A1055" s="139"/>
      <c r="B1055" s="25"/>
      <c r="C1055" s="25"/>
      <c r="D1055" s="138"/>
      <c r="E1055" s="25"/>
      <c r="F1055" s="138"/>
      <c r="G1055" s="26"/>
    </row>
    <row r="1056" ht="22.5" customHeight="1">
      <c r="A1056" s="139"/>
      <c r="B1056" s="25"/>
      <c r="C1056" s="25"/>
      <c r="D1056" s="138"/>
      <c r="E1056" s="25"/>
      <c r="F1056" s="138"/>
      <c r="G1056" s="26"/>
    </row>
    <row r="1057" ht="22.5" customHeight="1">
      <c r="A1057" s="139"/>
      <c r="B1057" s="25"/>
      <c r="C1057" s="25"/>
      <c r="D1057" s="138"/>
      <c r="E1057" s="25"/>
      <c r="F1057" s="138"/>
      <c r="G1057" s="26"/>
    </row>
    <row r="1058" ht="22.5" customHeight="1">
      <c r="A1058" s="139"/>
      <c r="B1058" s="25"/>
      <c r="C1058" s="25"/>
      <c r="D1058" s="138"/>
      <c r="E1058" s="25"/>
      <c r="F1058" s="138"/>
      <c r="G1058" s="26"/>
    </row>
    <row r="1059" ht="22.5" customHeight="1">
      <c r="A1059" s="139"/>
      <c r="B1059" s="25"/>
      <c r="C1059" s="25"/>
      <c r="D1059" s="138"/>
      <c r="E1059" s="25"/>
      <c r="F1059" s="138"/>
      <c r="G1059" s="26"/>
    </row>
    <row r="1060" ht="22.5" customHeight="1">
      <c r="A1060" s="139"/>
      <c r="B1060" s="25"/>
      <c r="C1060" s="25"/>
      <c r="D1060" s="138"/>
      <c r="E1060" s="25"/>
      <c r="F1060" s="138"/>
      <c r="G1060" s="26"/>
    </row>
    <row r="1061" ht="22.5" customHeight="1">
      <c r="A1061" s="139"/>
      <c r="B1061" s="25"/>
      <c r="C1061" s="25"/>
      <c r="D1061" s="138"/>
      <c r="E1061" s="25"/>
      <c r="F1061" s="138"/>
      <c r="G1061" s="26"/>
    </row>
    <row r="1062" ht="22.5" customHeight="1">
      <c r="A1062" s="139"/>
      <c r="B1062" s="25"/>
      <c r="C1062" s="25"/>
      <c r="D1062" s="138"/>
      <c r="E1062" s="25"/>
      <c r="F1062" s="138"/>
      <c r="G1062" s="26"/>
    </row>
    <row r="1063" ht="22.5" customHeight="1">
      <c r="A1063" s="139"/>
      <c r="B1063" s="25"/>
      <c r="C1063" s="25"/>
      <c r="D1063" s="138"/>
      <c r="E1063" s="25"/>
      <c r="F1063" s="138"/>
      <c r="G1063" s="26"/>
    </row>
    <row r="1064" ht="22.5" customHeight="1">
      <c r="A1064" s="139"/>
      <c r="B1064" s="25"/>
      <c r="C1064" s="25"/>
      <c r="D1064" s="138"/>
      <c r="E1064" s="25"/>
      <c r="F1064" s="138"/>
      <c r="G1064" s="26"/>
    </row>
    <row r="1065" ht="22.5" customHeight="1">
      <c r="A1065" s="139"/>
      <c r="B1065" s="25"/>
      <c r="C1065" s="25"/>
      <c r="D1065" s="138"/>
      <c r="E1065" s="25"/>
      <c r="F1065" s="138"/>
      <c r="G1065" s="26"/>
    </row>
    <row r="1066" ht="22.5" customHeight="1">
      <c r="A1066" s="139"/>
      <c r="B1066" s="25"/>
      <c r="C1066" s="25"/>
      <c r="D1066" s="138"/>
      <c r="E1066" s="25"/>
      <c r="F1066" s="138"/>
      <c r="G1066" s="26"/>
    </row>
    <row r="1067" ht="22.5" customHeight="1">
      <c r="A1067" s="139"/>
      <c r="B1067" s="25"/>
      <c r="C1067" s="25"/>
      <c r="D1067" s="138"/>
      <c r="E1067" s="25"/>
      <c r="F1067" s="138"/>
      <c r="G1067" s="26"/>
    </row>
    <row r="1068" ht="22.5" customHeight="1">
      <c r="A1068" s="139"/>
      <c r="B1068" s="25"/>
      <c r="C1068" s="25"/>
      <c r="D1068" s="138"/>
      <c r="E1068" s="25"/>
      <c r="F1068" s="138"/>
      <c r="G1068" s="26"/>
    </row>
    <row r="1069" ht="22.5" customHeight="1">
      <c r="A1069" s="139"/>
      <c r="B1069" s="25"/>
      <c r="C1069" s="25"/>
      <c r="D1069" s="138"/>
      <c r="E1069" s="25"/>
      <c r="F1069" s="138"/>
      <c r="G1069" s="26"/>
    </row>
    <row r="1070" ht="22.5" customHeight="1">
      <c r="A1070" s="139"/>
      <c r="B1070" s="25"/>
      <c r="C1070" s="25"/>
      <c r="D1070" s="138"/>
      <c r="E1070" s="25"/>
      <c r="F1070" s="138"/>
      <c r="G1070" s="26"/>
    </row>
    <row r="1071" ht="22.5" customHeight="1">
      <c r="A1071" s="139"/>
      <c r="B1071" s="25"/>
      <c r="C1071" s="25"/>
      <c r="D1071" s="138"/>
      <c r="E1071" s="25"/>
      <c r="F1071" s="138"/>
      <c r="G1071" s="26"/>
    </row>
    <row r="1072" ht="22.5" customHeight="1">
      <c r="A1072" s="139"/>
      <c r="B1072" s="25"/>
      <c r="C1072" s="25"/>
      <c r="D1072" s="138"/>
      <c r="E1072" s="25"/>
      <c r="F1072" s="138"/>
      <c r="G1072" s="26"/>
    </row>
    <row r="1073" ht="22.5" customHeight="1">
      <c r="A1073" s="139"/>
      <c r="B1073" s="25"/>
      <c r="C1073" s="25"/>
      <c r="D1073" s="138"/>
      <c r="E1073" s="25"/>
      <c r="F1073" s="138"/>
      <c r="G1073" s="26"/>
    </row>
    <row r="1074" ht="22.5" customHeight="1">
      <c r="A1074" s="139"/>
      <c r="B1074" s="25"/>
      <c r="C1074" s="25"/>
      <c r="D1074" s="138"/>
      <c r="E1074" s="25"/>
      <c r="F1074" s="138"/>
      <c r="G1074" s="26"/>
    </row>
    <row r="1075" ht="22.5" customHeight="1">
      <c r="A1075" s="139"/>
      <c r="B1075" s="25"/>
      <c r="C1075" s="25"/>
      <c r="D1075" s="138"/>
      <c r="E1075" s="25"/>
      <c r="F1075" s="138"/>
      <c r="G1075" s="26"/>
    </row>
    <row r="1076" ht="22.5" customHeight="1">
      <c r="A1076" s="139"/>
      <c r="B1076" s="25"/>
      <c r="C1076" s="25"/>
      <c r="D1076" s="138"/>
      <c r="E1076" s="25"/>
      <c r="F1076" s="138"/>
      <c r="G1076" s="26"/>
    </row>
    <row r="1077" ht="22.5" customHeight="1">
      <c r="A1077" s="139"/>
      <c r="B1077" s="25"/>
      <c r="C1077" s="25"/>
      <c r="D1077" s="138"/>
      <c r="E1077" s="25"/>
      <c r="F1077" s="138"/>
      <c r="G1077" s="26"/>
    </row>
    <row r="1078" ht="22.5" customHeight="1">
      <c r="A1078" s="139"/>
      <c r="B1078" s="25"/>
      <c r="C1078" s="25"/>
      <c r="D1078" s="138"/>
      <c r="E1078" s="25"/>
      <c r="F1078" s="138"/>
      <c r="G1078" s="26"/>
    </row>
    <row r="1079" ht="22.5" customHeight="1">
      <c r="A1079" s="139"/>
      <c r="B1079" s="25"/>
      <c r="C1079" s="25"/>
      <c r="D1079" s="138"/>
      <c r="E1079" s="25"/>
      <c r="F1079" s="138"/>
      <c r="G1079" s="26"/>
    </row>
    <row r="1080" ht="22.5" customHeight="1">
      <c r="A1080" s="139"/>
      <c r="B1080" s="25"/>
      <c r="C1080" s="25"/>
      <c r="D1080" s="138"/>
      <c r="E1080" s="25"/>
      <c r="F1080" s="138"/>
      <c r="G1080" s="26"/>
    </row>
    <row r="1081" ht="22.5" customHeight="1">
      <c r="A1081" s="139"/>
      <c r="B1081" s="25"/>
      <c r="C1081" s="25"/>
      <c r="D1081" s="138"/>
      <c r="E1081" s="25"/>
      <c r="F1081" s="138"/>
      <c r="G1081" s="26"/>
    </row>
    <row r="1082" ht="22.5" customHeight="1">
      <c r="A1082" s="139"/>
      <c r="B1082" s="25"/>
      <c r="C1082" s="25"/>
      <c r="D1082" s="138"/>
      <c r="E1082" s="25"/>
      <c r="F1082" s="138"/>
      <c r="G1082" s="26"/>
    </row>
    <row r="1083" ht="22.5" customHeight="1">
      <c r="A1083" s="139"/>
      <c r="B1083" s="25"/>
      <c r="C1083" s="25"/>
      <c r="D1083" s="138"/>
      <c r="E1083" s="25"/>
      <c r="F1083" s="138"/>
      <c r="G1083" s="26"/>
    </row>
    <row r="1084" ht="22.5" customHeight="1">
      <c r="A1084" s="139"/>
      <c r="B1084" s="25"/>
      <c r="C1084" s="25"/>
      <c r="D1084" s="138"/>
      <c r="E1084" s="25"/>
      <c r="F1084" s="138"/>
      <c r="G1084" s="26"/>
    </row>
    <row r="1085" ht="22.5" customHeight="1">
      <c r="A1085" s="139"/>
      <c r="B1085" s="25"/>
      <c r="C1085" s="25"/>
      <c r="D1085" s="138"/>
      <c r="E1085" s="25"/>
      <c r="F1085" s="138"/>
      <c r="G1085" s="26"/>
    </row>
    <row r="1086" ht="22.5" customHeight="1">
      <c r="A1086" s="139"/>
      <c r="B1086" s="25"/>
      <c r="C1086" s="25"/>
      <c r="D1086" s="138"/>
      <c r="E1086" s="25"/>
      <c r="F1086" s="138"/>
      <c r="G1086" s="26"/>
    </row>
    <row r="1087" ht="22.5" customHeight="1">
      <c r="A1087" s="139"/>
      <c r="B1087" s="25"/>
      <c r="C1087" s="25"/>
      <c r="D1087" s="138"/>
      <c r="E1087" s="25"/>
      <c r="F1087" s="138"/>
      <c r="G1087" s="26"/>
    </row>
    <row r="1088" ht="22.5" customHeight="1">
      <c r="A1088" s="139"/>
      <c r="B1088" s="25"/>
      <c r="C1088" s="25"/>
      <c r="D1088" s="138"/>
      <c r="E1088" s="25"/>
      <c r="F1088" s="138"/>
      <c r="G1088" s="26"/>
    </row>
  </sheetData>
  <dataValidations>
    <dataValidation type="custom" allowBlank="1" showDropDown="1" sqref="A2:A1088">
      <formula1>OR(NOT(ISERROR(DATEVALUE(A2))), AND(ISNUMBER(A2), LEFT(CELL("format", A2))="D"))</formula1>
    </dataValidation>
    <dataValidation allowBlank="1" showDropDown="1" sqref="G2:G1088"/>
  </dataValidations>
  <hyperlinks>
    <hyperlink r:id="rId1" ref="F3"/>
    <hyperlink r:id="rId2" ref="F4"/>
    <hyperlink r:id="rId3" ref="F5"/>
    <hyperlink r:id="rId4" ref="F6"/>
    <hyperlink r:id="rId5" ref="F7"/>
    <hyperlink r:id="rId6" ref="F8"/>
    <hyperlink r:id="rId7" ref="F9"/>
    <hyperlink r:id="rId8" ref="F10"/>
    <hyperlink r:id="rId9" ref="F11"/>
    <hyperlink r:id="rId10" ref="F12"/>
    <hyperlink r:id="rId11" location="heading=h.lb93uzsllnww" ref="F13"/>
    <hyperlink r:id="rId12" ref="F14"/>
    <hyperlink r:id="rId13" ref="F15"/>
    <hyperlink r:id="rId14" ref="F16"/>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8"/>
    <hyperlink r:id="rId35" ref="F39"/>
    <hyperlink r:id="rId36" ref="F40"/>
    <hyperlink r:id="rId37" ref="F41"/>
    <hyperlink r:id="rId38" ref="F42"/>
    <hyperlink r:id="rId39" ref="F43"/>
    <hyperlink r:id="rId40" ref="F44"/>
    <hyperlink r:id="rId41" ref="F45"/>
    <hyperlink r:id="rId42" ref="F46"/>
    <hyperlink r:id="rId43" ref="F47"/>
    <hyperlink r:id="rId44" ref="F48"/>
    <hyperlink r:id="rId45" ref="F49"/>
    <hyperlink r:id="rId46" ref="F50"/>
    <hyperlink r:id="rId47" ref="F51"/>
    <hyperlink r:id="rId48" ref="F52"/>
    <hyperlink r:id="rId49" ref="F53"/>
    <hyperlink r:id="rId50" ref="F54"/>
    <hyperlink r:id="rId51" ref="F56"/>
    <hyperlink r:id="rId52" ref="F57"/>
    <hyperlink r:id="rId53" ref="F58"/>
    <hyperlink r:id="rId54" ref="F59"/>
    <hyperlink r:id="rId55" ref="F60"/>
    <hyperlink r:id="rId56" ref="F61"/>
    <hyperlink r:id="rId57" ref="F62"/>
    <hyperlink r:id="rId58" ref="F63"/>
    <hyperlink r:id="rId59" ref="F64"/>
    <hyperlink r:id="rId60" ref="F65"/>
    <hyperlink r:id="rId61" ref="F66"/>
    <hyperlink r:id="rId62" ref="F67"/>
    <hyperlink r:id="rId63" ref="F68"/>
    <hyperlink r:id="rId64" ref="F69"/>
    <hyperlink r:id="rId65" ref="F70"/>
    <hyperlink r:id="rId66" ref="F71"/>
    <hyperlink r:id="rId67" ref="F72"/>
    <hyperlink r:id="rId68" ref="F73"/>
    <hyperlink r:id="rId69" ref="F74"/>
    <hyperlink r:id="rId70" ref="F75"/>
    <hyperlink r:id="rId71" ref="F76"/>
    <hyperlink r:id="rId72" ref="F77"/>
    <hyperlink r:id="rId73" ref="F78"/>
    <hyperlink r:id="rId74" ref="F79"/>
    <hyperlink r:id="rId75" ref="F80"/>
    <hyperlink r:id="rId76" ref="F82"/>
    <hyperlink r:id="rId77" ref="F83"/>
    <hyperlink r:id="rId78" ref="F85"/>
    <hyperlink r:id="rId79" ref="F86"/>
    <hyperlink r:id="rId80" ref="F87"/>
    <hyperlink r:id="rId81" ref="F88"/>
    <hyperlink r:id="rId82" ref="F89"/>
  </hyperlinks>
  <drawing r:id="rId83"/>
  <tableParts count="1">
    <tablePart r:id="rId8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0.75"/>
    <col customWidth="1" min="3" max="3" width="6.0"/>
    <col customWidth="1" min="4" max="4" width="72.75"/>
    <col customWidth="1" min="5" max="5" width="22.88"/>
    <col customWidth="1" min="6" max="6" width="11.0"/>
    <col customWidth="1" min="7" max="7" width="32.63"/>
  </cols>
  <sheetData>
    <row r="1" ht="66.0" customHeight="1">
      <c r="A1" s="3" t="s">
        <v>1433</v>
      </c>
      <c r="B1" s="27" t="s">
        <v>1747</v>
      </c>
      <c r="C1" s="3" t="s">
        <v>584</v>
      </c>
      <c r="D1" s="27" t="s">
        <v>32</v>
      </c>
      <c r="E1" s="27" t="s">
        <v>33</v>
      </c>
      <c r="F1" s="27" t="s">
        <v>34</v>
      </c>
      <c r="G1" s="3" t="s">
        <v>8</v>
      </c>
      <c r="H1" s="200"/>
      <c r="I1" s="157" t="s">
        <v>1288</v>
      </c>
      <c r="J1" s="200"/>
      <c r="K1" s="200"/>
      <c r="L1" s="200"/>
      <c r="M1" s="200"/>
      <c r="N1" s="200"/>
      <c r="O1" s="200"/>
      <c r="P1" s="200"/>
      <c r="Q1" s="200"/>
      <c r="R1" s="200"/>
      <c r="S1" s="200"/>
      <c r="T1" s="200"/>
      <c r="U1" s="200"/>
      <c r="V1" s="200"/>
      <c r="W1" s="200"/>
      <c r="X1" s="200"/>
      <c r="Y1" s="200"/>
      <c r="Z1" s="200"/>
    </row>
    <row r="2" ht="131.25" customHeight="1">
      <c r="A2" s="141">
        <v>45856.0</v>
      </c>
      <c r="B2" s="142">
        <v>8.0</v>
      </c>
      <c r="C2" s="68"/>
      <c r="D2" s="30" t="s">
        <v>2086</v>
      </c>
      <c r="E2" s="68" t="s">
        <v>39</v>
      </c>
      <c r="F2" s="29"/>
      <c r="G2" s="31"/>
      <c r="H2" s="200"/>
      <c r="I2" s="200"/>
      <c r="J2" s="200"/>
      <c r="K2" s="200"/>
      <c r="L2" s="200"/>
      <c r="M2" s="200"/>
      <c r="N2" s="200"/>
      <c r="O2" s="200"/>
      <c r="P2" s="200"/>
      <c r="Q2" s="200"/>
      <c r="R2" s="200"/>
      <c r="S2" s="200"/>
      <c r="T2" s="200"/>
      <c r="U2" s="200"/>
      <c r="V2" s="200"/>
      <c r="W2" s="200"/>
      <c r="X2" s="200"/>
      <c r="Y2" s="200"/>
      <c r="Z2" s="200"/>
    </row>
    <row r="3" ht="61.5" customHeight="1">
      <c r="A3" s="141">
        <v>45859.0</v>
      </c>
      <c r="B3" s="142">
        <f>8 + 1</f>
        <v>9</v>
      </c>
      <c r="C3" s="68"/>
      <c r="D3" s="30" t="s">
        <v>2087</v>
      </c>
      <c r="E3" s="29" t="s">
        <v>2088</v>
      </c>
      <c r="F3" s="29"/>
      <c r="G3" s="31"/>
      <c r="H3" s="200"/>
      <c r="I3" s="200"/>
      <c r="J3" s="200"/>
      <c r="K3" s="200"/>
      <c r="L3" s="200"/>
      <c r="M3" s="200"/>
      <c r="N3" s="200"/>
      <c r="O3" s="200"/>
      <c r="P3" s="200"/>
      <c r="Q3" s="200"/>
      <c r="R3" s="200"/>
      <c r="S3" s="200"/>
      <c r="T3" s="200"/>
      <c r="U3" s="200"/>
      <c r="V3" s="200"/>
      <c r="W3" s="200"/>
      <c r="X3" s="200"/>
      <c r="Y3" s="200"/>
      <c r="Z3" s="200"/>
    </row>
    <row r="4" ht="22.5" customHeight="1">
      <c r="A4" s="141">
        <v>45860.0</v>
      </c>
      <c r="B4" s="142">
        <v>8.0</v>
      </c>
      <c r="C4" s="68"/>
      <c r="D4" s="30" t="s">
        <v>2089</v>
      </c>
      <c r="E4" s="29" t="s">
        <v>39</v>
      </c>
      <c r="F4" s="29"/>
      <c r="G4" s="31"/>
      <c r="H4" s="200"/>
      <c r="I4" s="200"/>
      <c r="J4" s="200"/>
      <c r="K4" s="200"/>
      <c r="L4" s="200"/>
      <c r="M4" s="200"/>
      <c r="N4" s="200"/>
      <c r="O4" s="200"/>
      <c r="P4" s="200"/>
      <c r="Q4" s="200"/>
      <c r="R4" s="200"/>
      <c r="S4" s="200"/>
      <c r="T4" s="200"/>
      <c r="U4" s="200"/>
      <c r="V4" s="200"/>
      <c r="W4" s="200"/>
      <c r="X4" s="200"/>
      <c r="Y4" s="200"/>
      <c r="Z4" s="200"/>
    </row>
    <row r="5" ht="30.0" customHeight="1">
      <c r="A5" s="141">
        <v>45861.0</v>
      </c>
      <c r="B5" s="142">
        <v>8.0</v>
      </c>
      <c r="C5" s="68"/>
      <c r="D5" s="30" t="s">
        <v>2090</v>
      </c>
      <c r="E5" s="29" t="s">
        <v>39</v>
      </c>
      <c r="F5" s="29"/>
      <c r="G5" s="31"/>
      <c r="H5" s="200"/>
      <c r="I5" s="200"/>
      <c r="J5" s="200"/>
      <c r="K5" s="200"/>
      <c r="L5" s="200"/>
      <c r="M5" s="200"/>
      <c r="N5" s="200"/>
      <c r="O5" s="200"/>
      <c r="P5" s="200"/>
      <c r="Q5" s="200"/>
      <c r="R5" s="200"/>
      <c r="S5" s="200"/>
      <c r="T5" s="200"/>
      <c r="U5" s="200"/>
      <c r="V5" s="200"/>
      <c r="W5" s="200"/>
      <c r="X5" s="200"/>
      <c r="Y5" s="200"/>
      <c r="Z5" s="200"/>
    </row>
    <row r="6" ht="22.5" customHeight="1">
      <c r="A6" s="141">
        <v>45862.0</v>
      </c>
      <c r="B6" s="148">
        <v>8.0</v>
      </c>
      <c r="C6" s="68"/>
      <c r="D6" s="260" t="s">
        <v>2091</v>
      </c>
      <c r="E6" s="29" t="s">
        <v>39</v>
      </c>
      <c r="F6" s="29"/>
      <c r="G6" s="36"/>
      <c r="H6" s="200"/>
      <c r="I6" s="157" t="s">
        <v>2092</v>
      </c>
      <c r="J6" s="200"/>
      <c r="K6" s="200"/>
      <c r="L6" s="200"/>
      <c r="M6" s="200"/>
      <c r="N6" s="200"/>
      <c r="O6" s="200"/>
      <c r="P6" s="200"/>
      <c r="Q6" s="200"/>
      <c r="R6" s="200"/>
      <c r="S6" s="200"/>
      <c r="T6" s="200"/>
      <c r="U6" s="200"/>
      <c r="V6" s="200"/>
      <c r="W6" s="200"/>
      <c r="X6" s="200"/>
      <c r="Y6" s="200"/>
      <c r="Z6" s="200"/>
    </row>
    <row r="7" ht="22.5" customHeight="1">
      <c r="A7" s="141">
        <v>45863.0</v>
      </c>
      <c r="B7" s="148">
        <v>8.0</v>
      </c>
      <c r="C7" s="68"/>
      <c r="D7" s="260" t="s">
        <v>2093</v>
      </c>
      <c r="E7" s="29" t="s">
        <v>39</v>
      </c>
      <c r="F7" s="29"/>
      <c r="G7" s="36"/>
      <c r="H7" s="200"/>
      <c r="I7" s="200"/>
      <c r="J7" s="200"/>
      <c r="K7" s="200"/>
      <c r="L7" s="200"/>
      <c r="M7" s="200"/>
      <c r="N7" s="200"/>
      <c r="O7" s="200"/>
      <c r="P7" s="200"/>
      <c r="Q7" s="200"/>
      <c r="R7" s="200"/>
      <c r="S7" s="200"/>
      <c r="T7" s="200"/>
      <c r="U7" s="200"/>
      <c r="V7" s="200"/>
      <c r="W7" s="200"/>
      <c r="X7" s="200"/>
      <c r="Y7" s="200"/>
      <c r="Z7" s="200"/>
    </row>
    <row r="8" ht="51.0" customHeight="1">
      <c r="A8" s="141">
        <v>45866.0</v>
      </c>
      <c r="B8" s="148">
        <v>8.0</v>
      </c>
      <c r="C8" s="68"/>
      <c r="D8" s="260" t="s">
        <v>2094</v>
      </c>
      <c r="E8" s="29" t="s">
        <v>39</v>
      </c>
      <c r="F8" s="29"/>
      <c r="G8" s="36"/>
      <c r="H8" s="200"/>
      <c r="I8" s="200"/>
      <c r="J8" s="200"/>
      <c r="K8" s="200"/>
      <c r="L8" s="200"/>
      <c r="M8" s="200"/>
      <c r="N8" s="200"/>
      <c r="O8" s="200"/>
      <c r="P8" s="200"/>
      <c r="Q8" s="200"/>
      <c r="R8" s="200"/>
      <c r="S8" s="200"/>
      <c r="T8" s="200"/>
      <c r="U8" s="200"/>
      <c r="V8" s="200"/>
      <c r="W8" s="200"/>
      <c r="X8" s="200"/>
      <c r="Y8" s="200"/>
      <c r="Z8" s="200"/>
    </row>
    <row r="9" ht="22.5" customHeight="1">
      <c r="A9" s="141">
        <v>45867.0</v>
      </c>
      <c r="B9" s="148">
        <v>8.0</v>
      </c>
      <c r="C9" s="68"/>
      <c r="D9" s="261" t="s">
        <v>2095</v>
      </c>
      <c r="E9" s="29" t="s">
        <v>2088</v>
      </c>
      <c r="F9" s="29"/>
      <c r="G9" s="36"/>
      <c r="H9" s="200"/>
      <c r="I9" s="200"/>
      <c r="J9" s="200"/>
      <c r="K9" s="200"/>
      <c r="L9" s="200"/>
      <c r="M9" s="200"/>
      <c r="N9" s="200"/>
      <c r="O9" s="200"/>
      <c r="P9" s="200"/>
      <c r="Q9" s="200"/>
      <c r="R9" s="200"/>
      <c r="S9" s="200"/>
      <c r="T9" s="200"/>
      <c r="U9" s="200"/>
      <c r="V9" s="200"/>
      <c r="W9" s="200"/>
      <c r="X9" s="200"/>
      <c r="Y9" s="200"/>
      <c r="Z9" s="200"/>
    </row>
    <row r="10" ht="30.0" customHeight="1">
      <c r="A10" s="141">
        <v>45868.0</v>
      </c>
      <c r="B10" s="148">
        <v>8.0</v>
      </c>
      <c r="C10" s="68"/>
      <c r="D10" s="261" t="s">
        <v>2096</v>
      </c>
      <c r="E10" s="29" t="s">
        <v>39</v>
      </c>
      <c r="F10" s="29"/>
      <c r="G10" s="36"/>
      <c r="H10" s="200"/>
      <c r="I10" s="200"/>
      <c r="J10" s="200"/>
      <c r="K10" s="200"/>
      <c r="L10" s="200"/>
      <c r="M10" s="200"/>
      <c r="N10" s="200"/>
      <c r="O10" s="200"/>
      <c r="P10" s="200"/>
      <c r="Q10" s="200"/>
      <c r="R10" s="200"/>
      <c r="S10" s="200"/>
      <c r="T10" s="200"/>
      <c r="U10" s="200"/>
      <c r="V10" s="200"/>
      <c r="W10" s="200"/>
      <c r="X10" s="200"/>
      <c r="Y10" s="200"/>
      <c r="Z10" s="200"/>
    </row>
    <row r="11" ht="22.5" customHeight="1">
      <c r="A11" s="141">
        <v>45869.0</v>
      </c>
      <c r="B11" s="148">
        <v>8.0</v>
      </c>
      <c r="C11" s="72"/>
      <c r="D11" s="261" t="s">
        <v>2097</v>
      </c>
      <c r="E11" s="29" t="s">
        <v>39</v>
      </c>
      <c r="F11" s="29"/>
      <c r="G11" s="31"/>
      <c r="H11" s="200"/>
      <c r="I11" s="200"/>
      <c r="J11" s="200"/>
      <c r="K11" s="200"/>
      <c r="L11" s="200"/>
      <c r="M11" s="200"/>
      <c r="N11" s="200"/>
      <c r="O11" s="200"/>
      <c r="P11" s="200"/>
      <c r="Q11" s="200"/>
      <c r="R11" s="200"/>
      <c r="S11" s="200"/>
      <c r="T11" s="200"/>
      <c r="U11" s="200"/>
      <c r="V11" s="200"/>
      <c r="W11" s="200"/>
      <c r="X11" s="200"/>
      <c r="Y11" s="200"/>
      <c r="Z11" s="200"/>
    </row>
    <row r="12" ht="22.5" customHeight="1">
      <c r="A12" s="141">
        <v>45870.0</v>
      </c>
      <c r="B12" s="148">
        <v>8.0</v>
      </c>
      <c r="C12" s="72"/>
      <c r="D12" s="261" t="s">
        <v>2098</v>
      </c>
      <c r="E12" s="29" t="s">
        <v>39</v>
      </c>
      <c r="F12" s="29"/>
      <c r="G12" s="31"/>
      <c r="H12" s="200"/>
      <c r="I12" s="200"/>
      <c r="J12" s="200"/>
      <c r="K12" s="200"/>
      <c r="L12" s="200"/>
      <c r="M12" s="200"/>
      <c r="N12" s="200"/>
      <c r="O12" s="200"/>
      <c r="P12" s="200"/>
      <c r="Q12" s="200"/>
      <c r="R12" s="200"/>
      <c r="S12" s="200"/>
      <c r="T12" s="200"/>
      <c r="U12" s="200"/>
      <c r="V12" s="200"/>
      <c r="W12" s="200"/>
      <c r="X12" s="200"/>
      <c r="Y12" s="200"/>
      <c r="Z12" s="200"/>
    </row>
    <row r="13" ht="30.0" customHeight="1">
      <c r="A13" s="141">
        <v>45873.0</v>
      </c>
      <c r="B13" s="148">
        <v>8.0</v>
      </c>
      <c r="C13" s="72"/>
      <c r="D13" s="261" t="s">
        <v>2099</v>
      </c>
      <c r="E13" s="29" t="s">
        <v>39</v>
      </c>
      <c r="F13" s="29"/>
      <c r="G13" s="31"/>
      <c r="H13" s="200"/>
      <c r="I13" s="200"/>
      <c r="J13" s="200"/>
      <c r="K13" s="200"/>
      <c r="L13" s="200"/>
      <c r="M13" s="200"/>
      <c r="N13" s="200"/>
      <c r="O13" s="200"/>
      <c r="P13" s="200"/>
      <c r="Q13" s="200"/>
      <c r="R13" s="200"/>
      <c r="S13" s="200"/>
      <c r="T13" s="200"/>
      <c r="U13" s="200"/>
      <c r="V13" s="200"/>
      <c r="W13" s="200"/>
      <c r="X13" s="200"/>
      <c r="Y13" s="200"/>
      <c r="Z13" s="200"/>
    </row>
    <row r="14" ht="22.5" customHeight="1">
      <c r="A14" s="141">
        <v>45874.0</v>
      </c>
      <c r="B14" s="148">
        <v>8.0</v>
      </c>
      <c r="C14" s="72"/>
      <c r="D14" s="74" t="s">
        <v>2100</v>
      </c>
      <c r="E14" s="29" t="s">
        <v>39</v>
      </c>
      <c r="F14" s="29"/>
      <c r="G14" s="31"/>
      <c r="H14" s="200"/>
      <c r="I14" s="200"/>
      <c r="J14" s="200"/>
      <c r="K14" s="200"/>
      <c r="L14" s="200"/>
      <c r="M14" s="200"/>
      <c r="N14" s="200"/>
      <c r="O14" s="200"/>
      <c r="P14" s="200"/>
      <c r="Q14" s="200"/>
      <c r="R14" s="200"/>
      <c r="S14" s="200"/>
      <c r="T14" s="200"/>
      <c r="U14" s="200"/>
      <c r="V14" s="200"/>
      <c r="W14" s="200"/>
      <c r="X14" s="200"/>
      <c r="Y14" s="200"/>
      <c r="Z14" s="200"/>
    </row>
    <row r="15" ht="22.5" customHeight="1">
      <c r="A15" s="141">
        <v>45875.0</v>
      </c>
      <c r="B15" s="148">
        <v>8.0</v>
      </c>
      <c r="C15" s="72"/>
      <c r="D15" s="74" t="s">
        <v>2101</v>
      </c>
      <c r="E15" s="29" t="s">
        <v>39</v>
      </c>
      <c r="F15" s="29"/>
      <c r="G15" s="31"/>
      <c r="H15" s="200"/>
      <c r="I15" s="200"/>
      <c r="J15" s="200"/>
      <c r="K15" s="200"/>
      <c r="L15" s="200"/>
      <c r="M15" s="200"/>
      <c r="N15" s="200"/>
      <c r="O15" s="200"/>
      <c r="P15" s="200"/>
      <c r="Q15" s="200"/>
      <c r="R15" s="200"/>
      <c r="S15" s="200"/>
      <c r="T15" s="200"/>
      <c r="U15" s="200"/>
      <c r="V15" s="200"/>
      <c r="W15" s="200"/>
      <c r="X15" s="200"/>
      <c r="Y15" s="200"/>
      <c r="Z15" s="200"/>
    </row>
    <row r="16" ht="22.5" customHeight="1">
      <c r="A16" s="141">
        <v>45876.0</v>
      </c>
      <c r="B16" s="148">
        <v>8.0</v>
      </c>
      <c r="C16" s="47"/>
      <c r="D16" s="74" t="s">
        <v>2102</v>
      </c>
      <c r="E16" s="29" t="s">
        <v>39</v>
      </c>
      <c r="F16" s="47"/>
      <c r="G16" s="36"/>
      <c r="H16" s="200"/>
      <c r="I16" s="200"/>
      <c r="J16" s="200"/>
      <c r="K16" s="200"/>
      <c r="L16" s="200"/>
      <c r="M16" s="200"/>
      <c r="N16" s="200"/>
      <c r="O16" s="200"/>
      <c r="P16" s="200"/>
      <c r="Q16" s="200"/>
      <c r="R16" s="200"/>
      <c r="S16" s="200"/>
      <c r="T16" s="200"/>
      <c r="U16" s="200"/>
      <c r="V16" s="200"/>
      <c r="W16" s="200"/>
      <c r="X16" s="200"/>
      <c r="Y16" s="200"/>
      <c r="Z16" s="200"/>
    </row>
    <row r="17" ht="22.5" customHeight="1">
      <c r="A17" s="141">
        <v>45877.0</v>
      </c>
      <c r="B17" s="148">
        <v>8.0</v>
      </c>
      <c r="C17" s="47"/>
      <c r="D17" s="74" t="s">
        <v>2103</v>
      </c>
      <c r="E17" s="29" t="s">
        <v>39</v>
      </c>
      <c r="F17" s="47"/>
      <c r="G17" s="36"/>
      <c r="H17" s="200"/>
      <c r="I17" s="200"/>
      <c r="J17" s="200"/>
      <c r="K17" s="200"/>
      <c r="L17" s="200"/>
      <c r="M17" s="200"/>
      <c r="N17" s="200"/>
      <c r="O17" s="200"/>
      <c r="P17" s="200"/>
      <c r="Q17" s="200"/>
      <c r="R17" s="200"/>
      <c r="S17" s="200"/>
      <c r="T17" s="200"/>
      <c r="U17" s="200"/>
      <c r="V17" s="200"/>
      <c r="W17" s="200"/>
      <c r="X17" s="200"/>
      <c r="Y17" s="200"/>
      <c r="Z17" s="200"/>
    </row>
    <row r="18" ht="22.5" customHeight="1">
      <c r="A18" s="141">
        <v>45880.0</v>
      </c>
      <c r="B18" s="148">
        <v>8.0</v>
      </c>
      <c r="C18" s="49"/>
      <c r="D18" s="74" t="s">
        <v>2104</v>
      </c>
      <c r="E18" s="29" t="s">
        <v>2088</v>
      </c>
      <c r="F18" s="47"/>
      <c r="G18" s="36"/>
      <c r="H18" s="200"/>
      <c r="I18" s="200"/>
      <c r="J18" s="200"/>
      <c r="K18" s="200"/>
      <c r="L18" s="200"/>
      <c r="M18" s="200"/>
      <c r="N18" s="200"/>
      <c r="O18" s="200"/>
      <c r="P18" s="200"/>
      <c r="Q18" s="200"/>
      <c r="R18" s="200"/>
      <c r="S18" s="200"/>
      <c r="T18" s="200"/>
      <c r="U18" s="200"/>
      <c r="V18" s="200"/>
      <c r="W18" s="200"/>
      <c r="X18" s="200"/>
      <c r="Y18" s="200"/>
      <c r="Z18" s="200"/>
    </row>
    <row r="19" ht="22.5" customHeight="1">
      <c r="A19" s="141">
        <v>45881.0</v>
      </c>
      <c r="B19" s="148">
        <v>8.0</v>
      </c>
      <c r="C19" s="49"/>
      <c r="D19" s="74" t="s">
        <v>2105</v>
      </c>
      <c r="E19" s="29" t="s">
        <v>39</v>
      </c>
      <c r="F19" s="47"/>
      <c r="G19" s="36"/>
      <c r="H19" s="200"/>
      <c r="I19" s="200"/>
      <c r="J19" s="200"/>
      <c r="K19" s="200"/>
      <c r="L19" s="200"/>
      <c r="M19" s="200"/>
      <c r="N19" s="200"/>
      <c r="O19" s="200"/>
      <c r="P19" s="200"/>
      <c r="Q19" s="200"/>
      <c r="R19" s="200"/>
      <c r="S19" s="200"/>
      <c r="T19" s="200"/>
      <c r="U19" s="200"/>
      <c r="V19" s="200"/>
      <c r="W19" s="200"/>
      <c r="X19" s="200"/>
      <c r="Y19" s="200"/>
      <c r="Z19" s="200"/>
    </row>
    <row r="20" ht="22.5" customHeight="1">
      <c r="A20" s="141">
        <v>45882.0</v>
      </c>
      <c r="B20" s="148">
        <v>8.0</v>
      </c>
      <c r="C20" s="49"/>
      <c r="D20" s="74" t="s">
        <v>2106</v>
      </c>
      <c r="E20" s="29" t="s">
        <v>39</v>
      </c>
      <c r="F20" s="47"/>
      <c r="G20" s="36"/>
      <c r="H20" s="200"/>
      <c r="I20" s="200"/>
      <c r="J20" s="200"/>
      <c r="K20" s="200"/>
      <c r="L20" s="200"/>
      <c r="M20" s="200"/>
      <c r="N20" s="200"/>
      <c r="O20" s="200"/>
      <c r="P20" s="200"/>
      <c r="Q20" s="200"/>
      <c r="R20" s="200"/>
      <c r="S20" s="200"/>
      <c r="T20" s="200"/>
      <c r="U20" s="200"/>
      <c r="V20" s="200"/>
      <c r="W20" s="200"/>
      <c r="X20" s="200"/>
      <c r="Y20" s="200"/>
      <c r="Z20" s="200"/>
    </row>
    <row r="21" ht="22.5" customHeight="1">
      <c r="A21" s="141">
        <v>45883.0</v>
      </c>
      <c r="B21" s="148">
        <v>8.0</v>
      </c>
      <c r="C21" s="49"/>
      <c r="D21" s="74" t="s">
        <v>2107</v>
      </c>
      <c r="E21" s="29" t="s">
        <v>39</v>
      </c>
      <c r="F21" s="47"/>
      <c r="G21" s="36"/>
      <c r="H21" s="200"/>
      <c r="I21" s="200"/>
      <c r="J21" s="200"/>
      <c r="K21" s="200"/>
      <c r="L21" s="200"/>
      <c r="M21" s="200"/>
      <c r="N21" s="200"/>
      <c r="O21" s="200"/>
      <c r="P21" s="200"/>
      <c r="Q21" s="200"/>
      <c r="R21" s="200"/>
      <c r="S21" s="200"/>
      <c r="T21" s="200"/>
      <c r="U21" s="200"/>
      <c r="V21" s="200"/>
      <c r="W21" s="200"/>
      <c r="X21" s="200"/>
      <c r="Y21" s="200"/>
      <c r="Z21" s="200"/>
    </row>
    <row r="22" ht="22.5" customHeight="1">
      <c r="A22" s="141">
        <v>45884.0</v>
      </c>
      <c r="B22" s="148">
        <v>8.0</v>
      </c>
      <c r="C22" s="49"/>
      <c r="D22" s="49" t="s">
        <v>2108</v>
      </c>
      <c r="E22" s="49" t="s">
        <v>39</v>
      </c>
      <c r="F22" s="37"/>
      <c r="G22" s="36"/>
      <c r="H22" s="200"/>
      <c r="I22" s="200"/>
      <c r="J22" s="200"/>
      <c r="K22" s="200"/>
      <c r="L22" s="200"/>
      <c r="M22" s="200"/>
      <c r="N22" s="200"/>
      <c r="O22" s="200"/>
      <c r="P22" s="200"/>
      <c r="Q22" s="200"/>
      <c r="R22" s="200"/>
      <c r="S22" s="200"/>
      <c r="T22" s="200"/>
      <c r="U22" s="200"/>
      <c r="V22" s="200"/>
      <c r="W22" s="200"/>
      <c r="X22" s="200"/>
      <c r="Y22" s="200"/>
      <c r="Z22" s="200"/>
    </row>
    <row r="23" ht="22.5" customHeight="1">
      <c r="A23" s="141">
        <v>45887.0</v>
      </c>
      <c r="B23" s="148">
        <v>8.0</v>
      </c>
      <c r="C23" s="49"/>
      <c r="D23" s="55" t="s">
        <v>2109</v>
      </c>
      <c r="E23" s="49" t="s">
        <v>39</v>
      </c>
      <c r="F23" s="51"/>
      <c r="G23" s="53"/>
      <c r="H23" s="200"/>
      <c r="I23" s="200"/>
      <c r="J23" s="200"/>
      <c r="K23" s="200"/>
      <c r="L23" s="200"/>
      <c r="M23" s="200"/>
      <c r="N23" s="200"/>
      <c r="O23" s="200"/>
      <c r="P23" s="200"/>
      <c r="Q23" s="200"/>
      <c r="R23" s="200"/>
      <c r="S23" s="200"/>
      <c r="T23" s="200"/>
      <c r="U23" s="200"/>
      <c r="V23" s="200"/>
      <c r="W23" s="200"/>
      <c r="X23" s="200"/>
      <c r="Y23" s="200"/>
      <c r="Z23" s="200"/>
    </row>
    <row r="24" ht="22.5" customHeight="1">
      <c r="A24" s="141">
        <v>45888.0</v>
      </c>
      <c r="B24" s="148">
        <v>8.0</v>
      </c>
      <c r="C24" s="49"/>
      <c r="D24" s="55" t="s">
        <v>2110</v>
      </c>
      <c r="E24" s="51"/>
      <c r="F24" s="51"/>
      <c r="G24" s="53"/>
      <c r="H24" s="200"/>
      <c r="I24" s="200"/>
      <c r="J24" s="200"/>
      <c r="K24" s="200"/>
      <c r="L24" s="200"/>
      <c r="M24" s="200"/>
      <c r="N24" s="200"/>
      <c r="O24" s="200"/>
      <c r="P24" s="200"/>
      <c r="Q24" s="200"/>
      <c r="R24" s="200"/>
      <c r="S24" s="200"/>
      <c r="T24" s="200"/>
      <c r="U24" s="200"/>
      <c r="V24" s="200"/>
      <c r="W24" s="200"/>
      <c r="X24" s="200"/>
      <c r="Y24" s="200"/>
      <c r="Z24" s="200"/>
    </row>
    <row r="25" ht="22.5" customHeight="1">
      <c r="A25" s="141">
        <v>45889.0</v>
      </c>
      <c r="B25" s="148">
        <v>8.0</v>
      </c>
      <c r="C25" s="49"/>
      <c r="D25" s="60" t="s">
        <v>2111</v>
      </c>
      <c r="E25" s="49" t="s">
        <v>2112</v>
      </c>
      <c r="F25" s="51"/>
      <c r="G25" s="53"/>
      <c r="H25" s="200"/>
      <c r="I25" s="200"/>
      <c r="J25" s="200"/>
      <c r="K25" s="200"/>
      <c r="L25" s="200"/>
      <c r="M25" s="200"/>
      <c r="N25" s="200"/>
      <c r="O25" s="200"/>
      <c r="P25" s="200"/>
      <c r="Q25" s="200"/>
      <c r="R25" s="200"/>
      <c r="S25" s="200"/>
      <c r="T25" s="200"/>
      <c r="U25" s="200"/>
      <c r="V25" s="200"/>
      <c r="W25" s="200"/>
      <c r="X25" s="200"/>
      <c r="Y25" s="200"/>
      <c r="Z25" s="200"/>
    </row>
    <row r="26" ht="22.5" customHeight="1">
      <c r="A26" s="141">
        <v>45890.0</v>
      </c>
      <c r="B26" s="148">
        <v>8.0</v>
      </c>
      <c r="C26" s="49"/>
      <c r="D26" s="60" t="s">
        <v>2113</v>
      </c>
      <c r="E26" s="49" t="s">
        <v>39</v>
      </c>
      <c r="F26" s="51"/>
      <c r="G26" s="53"/>
      <c r="H26" s="200"/>
      <c r="I26" s="200"/>
      <c r="J26" s="200"/>
      <c r="K26" s="200"/>
      <c r="L26" s="200"/>
      <c r="M26" s="200"/>
      <c r="N26" s="200"/>
      <c r="O26" s="200"/>
      <c r="P26" s="200"/>
      <c r="Q26" s="200"/>
      <c r="R26" s="200"/>
      <c r="S26" s="200"/>
      <c r="T26" s="200"/>
      <c r="U26" s="200"/>
      <c r="V26" s="200"/>
      <c r="W26" s="200"/>
      <c r="X26" s="200"/>
      <c r="Y26" s="200"/>
      <c r="Z26" s="200"/>
    </row>
    <row r="27" ht="22.5" customHeight="1">
      <c r="A27" s="141">
        <v>45891.0</v>
      </c>
      <c r="B27" s="58">
        <v>8.0</v>
      </c>
      <c r="C27" s="49"/>
      <c r="D27" s="60" t="s">
        <v>2114</v>
      </c>
      <c r="E27" s="49" t="s">
        <v>39</v>
      </c>
      <c r="F27" s="51"/>
      <c r="G27" s="53"/>
      <c r="H27" s="200"/>
      <c r="I27" s="200"/>
      <c r="J27" s="200"/>
      <c r="K27" s="200"/>
      <c r="L27" s="200"/>
      <c r="M27" s="200"/>
      <c r="N27" s="200"/>
      <c r="O27" s="200"/>
      <c r="P27" s="200"/>
      <c r="Q27" s="200"/>
      <c r="R27" s="200"/>
      <c r="S27" s="200"/>
      <c r="T27" s="200"/>
      <c r="U27" s="200"/>
      <c r="V27" s="200"/>
      <c r="W27" s="200"/>
      <c r="X27" s="200"/>
      <c r="Y27" s="200"/>
      <c r="Z27" s="200"/>
    </row>
    <row r="28" ht="22.5" customHeight="1">
      <c r="A28" s="141">
        <v>45894.0</v>
      </c>
      <c r="B28" s="58">
        <v>8.0</v>
      </c>
      <c r="C28" s="49"/>
      <c r="D28" s="55" t="s">
        <v>2110</v>
      </c>
      <c r="E28" s="51"/>
      <c r="F28" s="51"/>
      <c r="G28" s="53"/>
      <c r="H28" s="200"/>
      <c r="I28" s="200"/>
      <c r="J28" s="200"/>
      <c r="K28" s="200"/>
      <c r="L28" s="200"/>
      <c r="M28" s="200"/>
      <c r="N28" s="200"/>
      <c r="O28" s="200"/>
      <c r="P28" s="200"/>
      <c r="Q28" s="200"/>
      <c r="R28" s="200"/>
      <c r="S28" s="200"/>
      <c r="T28" s="200"/>
      <c r="U28" s="200"/>
      <c r="V28" s="200"/>
      <c r="W28" s="200"/>
      <c r="X28" s="200"/>
      <c r="Y28" s="200"/>
      <c r="Z28" s="200"/>
    </row>
    <row r="29" ht="22.5" customHeight="1">
      <c r="A29" s="141">
        <v>45895.0</v>
      </c>
      <c r="B29" s="58">
        <v>8.0</v>
      </c>
      <c r="C29" s="49"/>
      <c r="D29" s="60" t="s">
        <v>2115</v>
      </c>
      <c r="E29" s="49" t="s">
        <v>39</v>
      </c>
      <c r="F29" s="51"/>
      <c r="G29" s="53"/>
      <c r="H29" s="200"/>
      <c r="I29" s="200"/>
      <c r="J29" s="200"/>
      <c r="K29" s="200"/>
      <c r="L29" s="200"/>
      <c r="M29" s="200"/>
      <c r="N29" s="200"/>
      <c r="O29" s="200"/>
      <c r="P29" s="200"/>
      <c r="Q29" s="200"/>
      <c r="R29" s="200"/>
      <c r="S29" s="200"/>
      <c r="T29" s="200"/>
      <c r="U29" s="200"/>
      <c r="V29" s="200"/>
      <c r="W29" s="200"/>
      <c r="X29" s="200"/>
      <c r="Y29" s="200"/>
      <c r="Z29" s="200"/>
    </row>
    <row r="30" ht="22.5" customHeight="1">
      <c r="A30" s="141">
        <v>45896.0</v>
      </c>
      <c r="B30" s="58">
        <v>8.0</v>
      </c>
      <c r="C30" s="49"/>
      <c r="D30" s="60" t="s">
        <v>2116</v>
      </c>
      <c r="E30" s="49" t="s">
        <v>39</v>
      </c>
      <c r="F30" s="51"/>
      <c r="G30" s="53"/>
      <c r="H30" s="200"/>
      <c r="I30" s="200"/>
      <c r="J30" s="200"/>
      <c r="K30" s="200"/>
      <c r="L30" s="200"/>
      <c r="M30" s="200"/>
      <c r="N30" s="200"/>
      <c r="O30" s="200"/>
      <c r="P30" s="200"/>
      <c r="Q30" s="200"/>
      <c r="R30" s="200"/>
      <c r="S30" s="200"/>
      <c r="T30" s="200"/>
      <c r="U30" s="200"/>
      <c r="V30" s="200"/>
      <c r="W30" s="200"/>
      <c r="X30" s="200"/>
      <c r="Y30" s="200"/>
      <c r="Z30" s="200"/>
    </row>
    <row r="31" ht="22.5" customHeight="1">
      <c r="A31" s="141">
        <v>45897.0</v>
      </c>
      <c r="B31" s="58">
        <v>8.0</v>
      </c>
      <c r="C31" s="49"/>
      <c r="D31" s="60" t="s">
        <v>2117</v>
      </c>
      <c r="E31" s="49" t="s">
        <v>2118</v>
      </c>
      <c r="F31" s="51"/>
      <c r="G31" s="53"/>
      <c r="H31" s="200"/>
      <c r="I31" s="200"/>
      <c r="J31" s="200"/>
      <c r="K31" s="200"/>
      <c r="L31" s="200"/>
      <c r="M31" s="200"/>
      <c r="N31" s="200"/>
      <c r="O31" s="200"/>
      <c r="P31" s="200"/>
      <c r="Q31" s="200"/>
      <c r="R31" s="200"/>
      <c r="S31" s="200"/>
      <c r="T31" s="200"/>
      <c r="U31" s="200"/>
      <c r="V31" s="200"/>
      <c r="W31" s="200"/>
      <c r="X31" s="200"/>
      <c r="Y31" s="200"/>
      <c r="Z31" s="200"/>
    </row>
    <row r="32" ht="48.0" customHeight="1">
      <c r="A32" s="141">
        <v>45898.0</v>
      </c>
      <c r="B32" s="58">
        <v>8.0</v>
      </c>
      <c r="C32" s="49"/>
      <c r="D32" s="60" t="s">
        <v>2119</v>
      </c>
      <c r="E32" s="49" t="s">
        <v>2112</v>
      </c>
      <c r="F32" s="51"/>
      <c r="G32" s="53"/>
      <c r="H32" s="200"/>
      <c r="I32" s="200"/>
      <c r="J32" s="200"/>
      <c r="K32" s="200"/>
      <c r="L32" s="200"/>
      <c r="M32" s="200"/>
      <c r="N32" s="200"/>
      <c r="O32" s="200"/>
      <c r="P32" s="200"/>
      <c r="Q32" s="200"/>
      <c r="R32" s="200"/>
      <c r="S32" s="200"/>
      <c r="T32" s="200"/>
      <c r="U32" s="200"/>
      <c r="V32" s="200"/>
      <c r="W32" s="200"/>
      <c r="X32" s="200"/>
      <c r="Y32" s="200"/>
      <c r="Z32" s="200"/>
    </row>
    <row r="33" ht="86.25" customHeight="1">
      <c r="A33" s="141">
        <v>45901.0</v>
      </c>
      <c r="B33" s="58">
        <v>8.0</v>
      </c>
      <c r="C33" s="49"/>
      <c r="D33" s="60" t="s">
        <v>2120</v>
      </c>
      <c r="E33" s="49" t="s">
        <v>39</v>
      </c>
      <c r="F33" s="51"/>
      <c r="G33" s="53"/>
      <c r="H33" s="200"/>
      <c r="I33" s="200"/>
      <c r="J33" s="200"/>
      <c r="K33" s="200"/>
      <c r="L33" s="200"/>
      <c r="M33" s="200"/>
      <c r="N33" s="200"/>
      <c r="O33" s="200"/>
      <c r="P33" s="200"/>
      <c r="Q33" s="200"/>
      <c r="R33" s="200"/>
      <c r="S33" s="200"/>
      <c r="T33" s="200"/>
      <c r="U33" s="200"/>
      <c r="V33" s="200"/>
      <c r="W33" s="200"/>
      <c r="X33" s="200"/>
      <c r="Y33" s="200"/>
      <c r="Z33" s="200"/>
    </row>
    <row r="34" ht="74.25" customHeight="1">
      <c r="A34" s="141">
        <v>45902.0</v>
      </c>
      <c r="B34" s="58">
        <v>8.0</v>
      </c>
      <c r="C34" s="51"/>
      <c r="D34" s="60" t="s">
        <v>2121</v>
      </c>
      <c r="E34" s="49" t="s">
        <v>39</v>
      </c>
      <c r="F34" s="51"/>
      <c r="G34" s="53"/>
      <c r="H34" s="200"/>
      <c r="I34" s="200"/>
      <c r="J34" s="200"/>
      <c r="K34" s="200"/>
      <c r="L34" s="200"/>
      <c r="M34" s="200"/>
      <c r="N34" s="200"/>
      <c r="O34" s="200"/>
      <c r="P34" s="200"/>
      <c r="Q34" s="200"/>
      <c r="R34" s="200"/>
      <c r="S34" s="200"/>
      <c r="T34" s="200"/>
      <c r="U34" s="200"/>
      <c r="V34" s="200"/>
      <c r="W34" s="200"/>
      <c r="X34" s="200"/>
      <c r="Y34" s="200"/>
      <c r="Z34" s="200"/>
    </row>
    <row r="35" ht="22.5" customHeight="1">
      <c r="A35" s="141">
        <v>45903.0</v>
      </c>
      <c r="B35" s="58">
        <v>8.0</v>
      </c>
      <c r="C35" s="51"/>
      <c r="D35" s="55" t="s">
        <v>2122</v>
      </c>
      <c r="E35" s="49" t="s">
        <v>2112</v>
      </c>
      <c r="F35" s="51"/>
      <c r="G35" s="53"/>
      <c r="H35" s="200"/>
      <c r="I35" s="200"/>
      <c r="J35" s="200"/>
      <c r="K35" s="200"/>
      <c r="L35" s="200"/>
      <c r="M35" s="200"/>
      <c r="N35" s="200"/>
      <c r="O35" s="200"/>
      <c r="P35" s="200"/>
      <c r="Q35" s="200"/>
      <c r="R35" s="200"/>
      <c r="S35" s="200"/>
      <c r="T35" s="200"/>
      <c r="U35" s="200"/>
      <c r="V35" s="200"/>
      <c r="W35" s="200"/>
      <c r="X35" s="200"/>
      <c r="Y35" s="200"/>
      <c r="Z35" s="200"/>
    </row>
    <row r="36" ht="22.5" customHeight="1">
      <c r="A36" s="141">
        <v>45904.0</v>
      </c>
      <c r="B36" s="58">
        <v>8.0</v>
      </c>
      <c r="C36" s="51"/>
      <c r="D36" s="60" t="s">
        <v>2123</v>
      </c>
      <c r="E36" s="49" t="s">
        <v>39</v>
      </c>
      <c r="F36" s="51"/>
      <c r="G36" s="53"/>
      <c r="H36" s="200"/>
      <c r="I36" s="200"/>
      <c r="J36" s="200"/>
      <c r="K36" s="200"/>
      <c r="L36" s="200"/>
      <c r="M36" s="200"/>
      <c r="N36" s="200"/>
      <c r="O36" s="200"/>
      <c r="P36" s="200"/>
      <c r="Q36" s="200"/>
      <c r="R36" s="200"/>
      <c r="S36" s="200"/>
      <c r="T36" s="200"/>
      <c r="U36" s="200"/>
      <c r="V36" s="200"/>
      <c r="W36" s="200"/>
      <c r="X36" s="200"/>
      <c r="Y36" s="200"/>
      <c r="Z36" s="200"/>
    </row>
    <row r="37" ht="22.5" customHeight="1">
      <c r="A37" s="141">
        <v>45905.0</v>
      </c>
      <c r="B37" s="58">
        <v>8.0</v>
      </c>
      <c r="C37" s="51"/>
      <c r="D37" s="55" t="s">
        <v>2124</v>
      </c>
      <c r="E37" s="51"/>
      <c r="F37" s="51"/>
      <c r="G37" s="53"/>
      <c r="H37" s="200"/>
      <c r="I37" s="200"/>
      <c r="J37" s="200"/>
      <c r="K37" s="200"/>
      <c r="L37" s="200"/>
      <c r="M37" s="200"/>
      <c r="N37" s="200"/>
      <c r="O37" s="200"/>
      <c r="P37" s="200"/>
      <c r="Q37" s="200"/>
      <c r="R37" s="200"/>
      <c r="S37" s="200"/>
      <c r="T37" s="200"/>
      <c r="U37" s="200"/>
      <c r="V37" s="200"/>
      <c r="W37" s="200"/>
      <c r="X37" s="200"/>
      <c r="Y37" s="200"/>
      <c r="Z37" s="200"/>
    </row>
    <row r="38" ht="22.5" customHeight="1">
      <c r="A38" s="141">
        <v>45908.0</v>
      </c>
      <c r="B38" s="58">
        <v>8.0</v>
      </c>
      <c r="C38" s="51"/>
      <c r="D38" s="60" t="s">
        <v>2125</v>
      </c>
      <c r="E38" s="49" t="s">
        <v>2112</v>
      </c>
      <c r="F38" s="51"/>
      <c r="G38" s="53"/>
      <c r="H38" s="200"/>
      <c r="I38" s="200"/>
      <c r="J38" s="200"/>
      <c r="K38" s="200"/>
      <c r="L38" s="200"/>
      <c r="M38" s="200"/>
      <c r="N38" s="200"/>
      <c r="O38" s="200"/>
      <c r="P38" s="200"/>
      <c r="Q38" s="200"/>
      <c r="R38" s="200"/>
      <c r="S38" s="200"/>
      <c r="T38" s="200"/>
      <c r="U38" s="200"/>
      <c r="V38" s="200"/>
      <c r="W38" s="200"/>
      <c r="X38" s="200"/>
      <c r="Y38" s="200"/>
      <c r="Z38" s="200"/>
    </row>
    <row r="39" ht="22.5" customHeight="1">
      <c r="A39" s="141">
        <v>45909.0</v>
      </c>
      <c r="B39" s="58">
        <v>8.0</v>
      </c>
      <c r="C39" s="51"/>
      <c r="D39" s="60" t="s">
        <v>2126</v>
      </c>
      <c r="E39" s="49" t="s">
        <v>2112</v>
      </c>
      <c r="F39" s="51"/>
      <c r="G39" s="53"/>
      <c r="H39" s="200"/>
      <c r="I39" s="200"/>
      <c r="J39" s="200"/>
      <c r="K39" s="200"/>
      <c r="L39" s="200"/>
      <c r="M39" s="200"/>
      <c r="N39" s="200"/>
      <c r="O39" s="200"/>
      <c r="P39" s="200"/>
      <c r="Q39" s="200"/>
      <c r="R39" s="200"/>
      <c r="S39" s="200"/>
      <c r="T39" s="200"/>
      <c r="U39" s="200"/>
      <c r="V39" s="200"/>
      <c r="W39" s="200"/>
      <c r="X39" s="200"/>
      <c r="Y39" s="200"/>
      <c r="Z39" s="200"/>
    </row>
    <row r="40" ht="22.5" customHeight="1">
      <c r="A40" s="141">
        <v>45910.0</v>
      </c>
      <c r="B40" s="58">
        <v>8.0</v>
      </c>
      <c r="C40" s="51"/>
      <c r="D40" s="60" t="s">
        <v>2127</v>
      </c>
      <c r="E40" s="49" t="s">
        <v>2112</v>
      </c>
      <c r="F40" s="51"/>
      <c r="G40" s="53"/>
      <c r="H40" s="200"/>
      <c r="I40" s="200"/>
      <c r="J40" s="200"/>
      <c r="K40" s="200"/>
      <c r="L40" s="200"/>
      <c r="M40" s="200"/>
      <c r="N40" s="200"/>
      <c r="O40" s="200"/>
      <c r="P40" s="200"/>
      <c r="Q40" s="200"/>
      <c r="R40" s="200"/>
      <c r="S40" s="200"/>
      <c r="T40" s="200"/>
      <c r="U40" s="200"/>
      <c r="V40" s="200"/>
      <c r="W40" s="200"/>
      <c r="X40" s="200"/>
      <c r="Y40" s="200"/>
      <c r="Z40" s="200"/>
    </row>
    <row r="41" ht="22.5" customHeight="1">
      <c r="A41" s="144">
        <v>45911.0</v>
      </c>
      <c r="B41" s="58">
        <v>8.0</v>
      </c>
      <c r="C41" s="51"/>
      <c r="D41" s="60" t="s">
        <v>2128</v>
      </c>
      <c r="E41" s="49" t="s">
        <v>2112</v>
      </c>
      <c r="F41" s="51"/>
      <c r="G41" s="53"/>
      <c r="H41" s="200"/>
      <c r="I41" s="200"/>
      <c r="J41" s="200"/>
      <c r="K41" s="200"/>
      <c r="L41" s="200"/>
      <c r="M41" s="200"/>
      <c r="N41" s="200"/>
      <c r="O41" s="200"/>
      <c r="P41" s="200"/>
      <c r="Q41" s="200"/>
      <c r="R41" s="200"/>
      <c r="S41" s="200"/>
      <c r="T41" s="200"/>
      <c r="U41" s="200"/>
      <c r="V41" s="200"/>
      <c r="W41" s="200"/>
      <c r="X41" s="200"/>
      <c r="Y41" s="200"/>
      <c r="Z41" s="200"/>
    </row>
    <row r="42" ht="22.5" customHeight="1">
      <c r="A42" s="144">
        <v>45912.0</v>
      </c>
      <c r="B42" s="58">
        <v>8.0</v>
      </c>
      <c r="C42" s="51"/>
      <c r="D42" s="60" t="s">
        <v>2129</v>
      </c>
      <c r="E42" s="49" t="s">
        <v>2112</v>
      </c>
      <c r="F42" s="51"/>
      <c r="G42" s="53"/>
      <c r="H42" s="200"/>
      <c r="I42" s="200"/>
      <c r="J42" s="200"/>
      <c r="K42" s="200"/>
      <c r="L42" s="200"/>
      <c r="M42" s="200"/>
      <c r="N42" s="200"/>
      <c r="O42" s="200"/>
      <c r="P42" s="200"/>
      <c r="Q42" s="200"/>
      <c r="R42" s="200"/>
      <c r="S42" s="200"/>
      <c r="T42" s="200"/>
      <c r="U42" s="200"/>
      <c r="V42" s="200"/>
      <c r="W42" s="200"/>
      <c r="X42" s="200"/>
      <c r="Y42" s="200"/>
      <c r="Z42" s="200"/>
    </row>
    <row r="43" ht="62.25" customHeight="1">
      <c r="A43" s="144">
        <v>45915.0</v>
      </c>
      <c r="B43" s="58">
        <v>8.0</v>
      </c>
      <c r="C43" s="51"/>
      <c r="D43" s="60" t="s">
        <v>2130</v>
      </c>
      <c r="E43" s="49" t="s">
        <v>1663</v>
      </c>
      <c r="F43" s="51"/>
      <c r="G43" s="53"/>
      <c r="H43" s="200"/>
      <c r="I43" s="200"/>
      <c r="J43" s="200"/>
      <c r="K43" s="200"/>
      <c r="L43" s="200"/>
      <c r="M43" s="200"/>
      <c r="N43" s="200"/>
      <c r="O43" s="200"/>
      <c r="P43" s="200"/>
      <c r="Q43" s="200"/>
      <c r="R43" s="200"/>
      <c r="S43" s="200"/>
      <c r="T43" s="200"/>
      <c r="U43" s="200"/>
      <c r="V43" s="200"/>
      <c r="W43" s="200"/>
      <c r="X43" s="200"/>
      <c r="Y43" s="200"/>
      <c r="Z43" s="200"/>
    </row>
    <row r="44" ht="22.5" customHeight="1">
      <c r="A44" s="144">
        <v>45916.0</v>
      </c>
      <c r="B44" s="58">
        <v>8.0</v>
      </c>
      <c r="C44" s="51"/>
      <c r="D44" s="60" t="s">
        <v>2131</v>
      </c>
      <c r="E44" s="49" t="s">
        <v>2112</v>
      </c>
      <c r="F44" s="51"/>
      <c r="G44" s="53"/>
      <c r="H44" s="200"/>
      <c r="I44" s="200"/>
      <c r="J44" s="200"/>
      <c r="K44" s="200"/>
      <c r="L44" s="200"/>
      <c r="M44" s="200"/>
      <c r="N44" s="200"/>
      <c r="O44" s="200"/>
      <c r="P44" s="200"/>
      <c r="Q44" s="200"/>
      <c r="R44" s="200"/>
      <c r="S44" s="200"/>
      <c r="T44" s="200"/>
      <c r="U44" s="200"/>
      <c r="V44" s="200"/>
      <c r="W44" s="200"/>
      <c r="X44" s="200"/>
      <c r="Y44" s="200"/>
      <c r="Z44" s="200"/>
    </row>
    <row r="45" ht="22.5" customHeight="1">
      <c r="A45" s="144">
        <v>45917.0</v>
      </c>
      <c r="B45" s="58">
        <v>8.0</v>
      </c>
      <c r="C45" s="51"/>
      <c r="D45" s="60" t="s">
        <v>2132</v>
      </c>
      <c r="E45" s="49" t="s">
        <v>1663</v>
      </c>
      <c r="F45" s="51"/>
      <c r="G45" s="53"/>
      <c r="H45" s="200"/>
      <c r="I45" s="200"/>
      <c r="J45" s="200"/>
      <c r="K45" s="200"/>
      <c r="L45" s="200"/>
      <c r="M45" s="200"/>
      <c r="N45" s="200"/>
      <c r="O45" s="200"/>
      <c r="P45" s="200"/>
      <c r="Q45" s="200"/>
      <c r="R45" s="200"/>
      <c r="S45" s="200"/>
      <c r="T45" s="200"/>
      <c r="U45" s="200"/>
      <c r="V45" s="200"/>
      <c r="W45" s="200"/>
      <c r="X45" s="200"/>
      <c r="Y45" s="200"/>
      <c r="Z45" s="200"/>
    </row>
    <row r="46" ht="22.5" customHeight="1">
      <c r="A46" s="144">
        <v>45918.0</v>
      </c>
      <c r="B46" s="58">
        <v>8.0</v>
      </c>
      <c r="C46" s="51"/>
      <c r="D46" s="60" t="s">
        <v>2133</v>
      </c>
      <c r="E46" s="49" t="s">
        <v>2112</v>
      </c>
      <c r="F46" s="51"/>
      <c r="G46" s="53"/>
      <c r="H46" s="200"/>
      <c r="I46" s="200"/>
      <c r="J46" s="200"/>
      <c r="K46" s="200"/>
      <c r="L46" s="200"/>
      <c r="M46" s="200"/>
      <c r="N46" s="200"/>
      <c r="O46" s="200"/>
      <c r="P46" s="200"/>
      <c r="Q46" s="200"/>
      <c r="R46" s="200"/>
      <c r="S46" s="200"/>
      <c r="T46" s="200"/>
      <c r="U46" s="200"/>
      <c r="V46" s="200"/>
      <c r="W46" s="200"/>
      <c r="X46" s="200"/>
      <c r="Y46" s="200"/>
      <c r="Z46" s="200"/>
    </row>
    <row r="47" ht="22.5" customHeight="1">
      <c r="A47" s="144">
        <v>45919.0</v>
      </c>
      <c r="B47" s="58">
        <v>8.0</v>
      </c>
      <c r="C47" s="51"/>
      <c r="D47" s="60" t="s">
        <v>2134</v>
      </c>
      <c r="E47" s="49" t="s">
        <v>1663</v>
      </c>
      <c r="F47" s="51"/>
      <c r="G47" s="53"/>
      <c r="H47" s="200"/>
      <c r="I47" s="200"/>
      <c r="J47" s="200"/>
      <c r="K47" s="200"/>
      <c r="L47" s="200"/>
      <c r="M47" s="200"/>
      <c r="N47" s="200"/>
      <c r="O47" s="200"/>
      <c r="P47" s="200"/>
      <c r="Q47" s="200"/>
      <c r="R47" s="200"/>
      <c r="S47" s="200"/>
      <c r="T47" s="200"/>
      <c r="U47" s="200"/>
      <c r="V47" s="200"/>
      <c r="W47" s="200"/>
      <c r="X47" s="200"/>
      <c r="Y47" s="200"/>
      <c r="Z47" s="200"/>
    </row>
    <row r="48" ht="22.5" customHeight="1">
      <c r="A48" s="144">
        <v>45922.0</v>
      </c>
      <c r="B48" s="58">
        <v>8.0</v>
      </c>
      <c r="C48" s="51"/>
      <c r="D48" s="60" t="s">
        <v>2135</v>
      </c>
      <c r="E48" s="49" t="s">
        <v>1663</v>
      </c>
      <c r="F48" s="51"/>
      <c r="G48" s="53"/>
      <c r="H48" s="200"/>
      <c r="I48" s="200"/>
      <c r="J48" s="200"/>
      <c r="K48" s="200"/>
      <c r="L48" s="200"/>
      <c r="M48" s="200"/>
      <c r="N48" s="200"/>
      <c r="O48" s="200"/>
      <c r="P48" s="200"/>
      <c r="Q48" s="200"/>
      <c r="R48" s="200"/>
      <c r="S48" s="200"/>
      <c r="T48" s="200"/>
      <c r="U48" s="200"/>
      <c r="V48" s="200"/>
      <c r="W48" s="200"/>
      <c r="X48" s="200"/>
      <c r="Y48" s="200"/>
      <c r="Z48" s="200"/>
    </row>
    <row r="49" ht="22.5" customHeight="1">
      <c r="A49" s="144">
        <v>45923.0</v>
      </c>
      <c r="B49" s="58">
        <v>8.0</v>
      </c>
      <c r="C49" s="51"/>
      <c r="D49" s="60" t="s">
        <v>2136</v>
      </c>
      <c r="E49" s="49" t="s">
        <v>1663</v>
      </c>
      <c r="F49" s="51"/>
      <c r="G49" s="53"/>
      <c r="H49" s="200"/>
      <c r="I49" s="200"/>
      <c r="J49" s="200"/>
      <c r="K49" s="200"/>
      <c r="L49" s="200"/>
      <c r="M49" s="200"/>
      <c r="N49" s="200"/>
      <c r="O49" s="200"/>
      <c r="P49" s="200"/>
      <c r="Q49" s="200"/>
      <c r="R49" s="200"/>
      <c r="S49" s="200"/>
      <c r="T49" s="200"/>
      <c r="U49" s="200"/>
      <c r="V49" s="200"/>
      <c r="W49" s="200"/>
      <c r="X49" s="200"/>
      <c r="Y49" s="200"/>
      <c r="Z49" s="200"/>
    </row>
    <row r="50" ht="22.5" customHeight="1">
      <c r="A50" s="144">
        <v>45924.0</v>
      </c>
      <c r="B50" s="58">
        <v>8.0</v>
      </c>
      <c r="C50" s="51"/>
      <c r="D50" s="60" t="s">
        <v>2137</v>
      </c>
      <c r="E50" s="49" t="s">
        <v>2112</v>
      </c>
      <c r="F50" s="51"/>
      <c r="G50" s="53"/>
      <c r="H50" s="200"/>
      <c r="I50" s="200"/>
      <c r="J50" s="200"/>
      <c r="K50" s="200"/>
      <c r="L50" s="200"/>
      <c r="M50" s="200"/>
      <c r="N50" s="200"/>
      <c r="O50" s="200"/>
      <c r="P50" s="200"/>
      <c r="Q50" s="200"/>
      <c r="R50" s="200"/>
      <c r="S50" s="200"/>
      <c r="T50" s="200"/>
      <c r="U50" s="200"/>
      <c r="V50" s="200"/>
      <c r="W50" s="200"/>
      <c r="X50" s="200"/>
      <c r="Y50" s="200"/>
      <c r="Z50" s="200"/>
    </row>
    <row r="51" ht="22.5" customHeight="1">
      <c r="A51" s="144">
        <v>45925.0</v>
      </c>
      <c r="B51" s="58">
        <v>8.0</v>
      </c>
      <c r="C51" s="51"/>
      <c r="D51" s="60" t="s">
        <v>2138</v>
      </c>
      <c r="E51" s="49" t="s">
        <v>2112</v>
      </c>
      <c r="F51" s="51"/>
      <c r="G51" s="53"/>
      <c r="H51" s="200"/>
      <c r="I51" s="200"/>
      <c r="J51" s="200"/>
      <c r="K51" s="200"/>
      <c r="L51" s="200"/>
      <c r="M51" s="200"/>
      <c r="N51" s="200"/>
      <c r="O51" s="200"/>
      <c r="P51" s="200"/>
      <c r="Q51" s="200"/>
      <c r="R51" s="200"/>
      <c r="S51" s="200"/>
      <c r="T51" s="200"/>
      <c r="U51" s="200"/>
      <c r="V51" s="200"/>
      <c r="W51" s="200"/>
      <c r="X51" s="200"/>
      <c r="Y51" s="200"/>
      <c r="Z51" s="200"/>
    </row>
    <row r="52" ht="22.5" customHeight="1">
      <c r="A52" s="144">
        <v>45926.0</v>
      </c>
      <c r="B52" s="58">
        <v>8.0</v>
      </c>
      <c r="C52" s="51"/>
      <c r="D52" s="55" t="s">
        <v>2110</v>
      </c>
      <c r="E52" s="51"/>
      <c r="F52" s="51"/>
      <c r="G52" s="53"/>
      <c r="H52" s="200"/>
      <c r="I52" s="200"/>
      <c r="J52" s="200"/>
      <c r="K52" s="200"/>
      <c r="L52" s="200"/>
      <c r="M52" s="200"/>
      <c r="N52" s="200"/>
      <c r="O52" s="200"/>
      <c r="P52" s="200"/>
      <c r="Q52" s="200"/>
      <c r="R52" s="200"/>
      <c r="S52" s="200"/>
      <c r="T52" s="200"/>
      <c r="U52" s="200"/>
      <c r="V52" s="200"/>
      <c r="W52" s="200"/>
      <c r="X52" s="200"/>
      <c r="Y52" s="200"/>
      <c r="Z52" s="200"/>
    </row>
    <row r="53" ht="22.5" customHeight="1">
      <c r="A53" s="144">
        <v>45929.0</v>
      </c>
      <c r="B53" s="58">
        <v>8.0</v>
      </c>
      <c r="C53" s="51"/>
      <c r="D53" s="60" t="s">
        <v>2139</v>
      </c>
      <c r="E53" s="49" t="s">
        <v>2112</v>
      </c>
      <c r="F53" s="51"/>
      <c r="G53" s="53"/>
      <c r="H53" s="200"/>
      <c r="I53" s="200"/>
      <c r="J53" s="200"/>
      <c r="K53" s="200"/>
      <c r="L53" s="200"/>
      <c r="M53" s="200"/>
      <c r="N53" s="200"/>
      <c r="O53" s="200"/>
      <c r="P53" s="200"/>
      <c r="Q53" s="200"/>
      <c r="R53" s="200"/>
      <c r="S53" s="200"/>
      <c r="T53" s="200"/>
      <c r="U53" s="200"/>
      <c r="V53" s="200"/>
      <c r="W53" s="200"/>
      <c r="X53" s="200"/>
      <c r="Y53" s="200"/>
      <c r="Z53" s="200"/>
    </row>
    <row r="54" ht="22.5" customHeight="1">
      <c r="A54" s="144">
        <v>45930.0</v>
      </c>
      <c r="B54" s="58">
        <v>8.0</v>
      </c>
      <c r="C54" s="51"/>
      <c r="D54" s="60" t="s">
        <v>2140</v>
      </c>
      <c r="E54" s="49" t="s">
        <v>1663</v>
      </c>
      <c r="F54" s="51"/>
      <c r="G54" s="53"/>
      <c r="H54" s="200"/>
      <c r="I54" s="200"/>
      <c r="J54" s="200"/>
      <c r="K54" s="200"/>
      <c r="L54" s="200"/>
      <c r="M54" s="200"/>
      <c r="N54" s="200"/>
      <c r="O54" s="200"/>
      <c r="P54" s="200"/>
      <c r="Q54" s="200"/>
      <c r="R54" s="200"/>
      <c r="S54" s="200"/>
      <c r="T54" s="200"/>
      <c r="U54" s="200"/>
      <c r="V54" s="200"/>
      <c r="W54" s="200"/>
      <c r="X54" s="200"/>
      <c r="Y54" s="200"/>
      <c r="Z54" s="200"/>
    </row>
    <row r="55" ht="42.0" customHeight="1">
      <c r="A55" s="144">
        <v>45931.0</v>
      </c>
      <c r="B55" s="58">
        <v>8.0</v>
      </c>
      <c r="C55" s="51"/>
      <c r="D55" s="60" t="s">
        <v>2141</v>
      </c>
      <c r="E55" s="49" t="s">
        <v>1663</v>
      </c>
      <c r="F55" s="51"/>
      <c r="G55" s="53"/>
      <c r="H55" s="200"/>
      <c r="I55" s="200"/>
      <c r="J55" s="200"/>
      <c r="K55" s="200"/>
      <c r="L55" s="200"/>
      <c r="M55" s="200"/>
      <c r="N55" s="200"/>
      <c r="O55" s="200"/>
      <c r="P55" s="200"/>
      <c r="Q55" s="200"/>
      <c r="R55" s="200"/>
      <c r="S55" s="200"/>
      <c r="T55" s="200"/>
      <c r="U55" s="200"/>
      <c r="V55" s="200"/>
      <c r="W55" s="200"/>
      <c r="X55" s="200"/>
      <c r="Y55" s="200"/>
      <c r="Z55" s="200"/>
    </row>
    <row r="56" ht="50.25" customHeight="1">
      <c r="A56" s="144">
        <v>45932.0</v>
      </c>
      <c r="B56" s="58">
        <v>8.0</v>
      </c>
      <c r="C56" s="51"/>
      <c r="D56" s="60" t="s">
        <v>2142</v>
      </c>
      <c r="E56" s="49" t="s">
        <v>1663</v>
      </c>
      <c r="F56" s="51"/>
      <c r="G56" s="53"/>
      <c r="H56" s="200"/>
      <c r="I56" s="200"/>
      <c r="J56" s="200"/>
      <c r="K56" s="200"/>
      <c r="L56" s="200"/>
      <c r="M56" s="200"/>
      <c r="N56" s="200"/>
      <c r="O56" s="200"/>
      <c r="P56" s="200"/>
      <c r="Q56" s="200"/>
      <c r="R56" s="200"/>
      <c r="S56" s="200"/>
      <c r="T56" s="200"/>
      <c r="U56" s="200"/>
      <c r="V56" s="200"/>
      <c r="W56" s="200"/>
      <c r="X56" s="200"/>
      <c r="Y56" s="200"/>
      <c r="Z56" s="200"/>
    </row>
    <row r="57" ht="22.5" customHeight="1">
      <c r="A57" s="144">
        <v>45933.0</v>
      </c>
      <c r="B57" s="58">
        <v>8.0</v>
      </c>
      <c r="C57" s="51"/>
      <c r="D57" s="60" t="s">
        <v>2143</v>
      </c>
      <c r="E57" s="49" t="s">
        <v>1663</v>
      </c>
      <c r="F57" s="51"/>
      <c r="G57" s="53"/>
      <c r="H57" s="200"/>
      <c r="I57" s="200"/>
      <c r="J57" s="200"/>
      <c r="K57" s="200"/>
      <c r="L57" s="200"/>
      <c r="M57" s="200"/>
      <c r="N57" s="200"/>
      <c r="O57" s="200"/>
      <c r="P57" s="200"/>
      <c r="Q57" s="200"/>
      <c r="R57" s="200"/>
      <c r="S57" s="200"/>
      <c r="T57" s="200"/>
      <c r="U57" s="200"/>
      <c r="V57" s="200"/>
      <c r="W57" s="200"/>
      <c r="X57" s="200"/>
      <c r="Y57" s="200"/>
      <c r="Z57" s="200"/>
    </row>
    <row r="58" ht="22.5" customHeight="1">
      <c r="A58" s="144">
        <v>45936.0</v>
      </c>
      <c r="B58" s="58">
        <v>8.0</v>
      </c>
      <c r="C58" s="51"/>
      <c r="D58" s="60" t="s">
        <v>2144</v>
      </c>
      <c r="E58" s="49" t="s">
        <v>1663</v>
      </c>
      <c r="F58" s="51"/>
      <c r="G58" s="53"/>
      <c r="H58" s="200"/>
      <c r="I58" s="200"/>
      <c r="J58" s="200"/>
      <c r="K58" s="200"/>
      <c r="L58" s="200"/>
      <c r="M58" s="200"/>
      <c r="N58" s="200"/>
      <c r="O58" s="200"/>
      <c r="P58" s="200"/>
      <c r="Q58" s="200"/>
      <c r="R58" s="200"/>
      <c r="S58" s="200"/>
      <c r="T58" s="200"/>
      <c r="U58" s="200"/>
      <c r="V58" s="200"/>
      <c r="W58" s="200"/>
      <c r="X58" s="200"/>
      <c r="Y58" s="200"/>
      <c r="Z58" s="200"/>
    </row>
    <row r="59" ht="22.5" customHeight="1">
      <c r="A59" s="144">
        <v>45937.0</v>
      </c>
      <c r="B59" s="58">
        <v>8.0</v>
      </c>
      <c r="C59" s="51"/>
      <c r="D59" s="60" t="s">
        <v>2145</v>
      </c>
      <c r="E59" s="49" t="s">
        <v>1663</v>
      </c>
      <c r="F59" s="51"/>
      <c r="G59" s="53"/>
      <c r="H59" s="200"/>
      <c r="I59" s="200"/>
      <c r="J59" s="200"/>
      <c r="K59" s="200"/>
      <c r="L59" s="200"/>
      <c r="M59" s="200"/>
      <c r="N59" s="200"/>
      <c r="O59" s="200"/>
      <c r="P59" s="200"/>
      <c r="Q59" s="200"/>
      <c r="R59" s="200"/>
      <c r="S59" s="200"/>
      <c r="T59" s="200"/>
      <c r="U59" s="200"/>
      <c r="V59" s="200"/>
      <c r="W59" s="200"/>
      <c r="X59" s="200"/>
      <c r="Y59" s="200"/>
      <c r="Z59" s="200"/>
    </row>
    <row r="60" ht="22.5" customHeight="1">
      <c r="A60" s="144">
        <v>45938.0</v>
      </c>
      <c r="B60" s="58">
        <v>8.0</v>
      </c>
      <c r="C60" s="51"/>
      <c r="D60" s="60" t="s">
        <v>2146</v>
      </c>
      <c r="E60" s="49" t="s">
        <v>1663</v>
      </c>
      <c r="F60" s="51"/>
      <c r="G60" s="53"/>
      <c r="H60" s="200"/>
      <c r="I60" s="200"/>
      <c r="J60" s="200"/>
      <c r="K60" s="200"/>
      <c r="L60" s="200"/>
      <c r="M60" s="200"/>
      <c r="N60" s="200"/>
      <c r="O60" s="200"/>
      <c r="P60" s="200"/>
      <c r="Q60" s="200"/>
      <c r="R60" s="200"/>
      <c r="S60" s="200"/>
      <c r="T60" s="200"/>
      <c r="U60" s="200"/>
      <c r="V60" s="200"/>
      <c r="W60" s="200"/>
      <c r="X60" s="200"/>
      <c r="Y60" s="200"/>
      <c r="Z60" s="200"/>
    </row>
    <row r="61" ht="22.5" customHeight="1">
      <c r="A61" s="144">
        <v>45939.0</v>
      </c>
      <c r="B61" s="58">
        <v>8.0</v>
      </c>
      <c r="C61" s="51"/>
      <c r="D61" s="60" t="s">
        <v>2147</v>
      </c>
      <c r="E61" s="49" t="s">
        <v>1663</v>
      </c>
      <c r="F61" s="51"/>
      <c r="G61" s="53"/>
      <c r="H61" s="200"/>
      <c r="I61" s="200"/>
      <c r="J61" s="200"/>
      <c r="K61" s="200"/>
      <c r="L61" s="200"/>
      <c r="M61" s="200"/>
      <c r="N61" s="200"/>
      <c r="O61" s="200"/>
      <c r="P61" s="200"/>
      <c r="Q61" s="200"/>
      <c r="R61" s="200"/>
      <c r="S61" s="200"/>
      <c r="T61" s="200"/>
      <c r="U61" s="200"/>
      <c r="V61" s="200"/>
      <c r="W61" s="200"/>
      <c r="X61" s="200"/>
      <c r="Y61" s="200"/>
      <c r="Z61" s="200"/>
    </row>
    <row r="62" ht="22.5" customHeight="1">
      <c r="A62" s="144">
        <v>45939.0</v>
      </c>
      <c r="B62" s="58">
        <v>8.0</v>
      </c>
      <c r="C62" s="51"/>
      <c r="D62" s="60" t="s">
        <v>2148</v>
      </c>
      <c r="E62" s="49" t="s">
        <v>1663</v>
      </c>
      <c r="F62" s="51"/>
      <c r="G62" s="53"/>
      <c r="H62" s="200"/>
      <c r="I62" s="200"/>
      <c r="J62" s="200"/>
      <c r="K62" s="200"/>
      <c r="L62" s="200"/>
      <c r="M62" s="200"/>
      <c r="N62" s="200"/>
      <c r="O62" s="200"/>
      <c r="P62" s="200"/>
      <c r="Q62" s="200"/>
      <c r="R62" s="200"/>
      <c r="S62" s="200"/>
      <c r="T62" s="200"/>
      <c r="U62" s="200"/>
      <c r="V62" s="200"/>
      <c r="W62" s="200"/>
      <c r="X62" s="200"/>
      <c r="Y62" s="200"/>
      <c r="Z62" s="200"/>
    </row>
    <row r="63" ht="22.5" customHeight="1">
      <c r="A63" s="144">
        <v>45943.0</v>
      </c>
      <c r="B63" s="58">
        <v>8.0</v>
      </c>
      <c r="C63" s="51"/>
      <c r="D63" s="60" t="s">
        <v>2149</v>
      </c>
      <c r="E63" s="49" t="s">
        <v>1663</v>
      </c>
      <c r="F63" s="51"/>
      <c r="G63" s="53"/>
      <c r="H63" s="200"/>
      <c r="I63" s="200"/>
      <c r="J63" s="200"/>
      <c r="K63" s="200"/>
      <c r="L63" s="200"/>
      <c r="M63" s="200"/>
      <c r="N63" s="200"/>
      <c r="O63" s="200"/>
      <c r="P63" s="200"/>
      <c r="Q63" s="200"/>
      <c r="R63" s="200"/>
      <c r="S63" s="200"/>
      <c r="T63" s="200"/>
      <c r="U63" s="200"/>
      <c r="V63" s="200"/>
      <c r="W63" s="200"/>
      <c r="X63" s="200"/>
      <c r="Y63" s="200"/>
      <c r="Z63" s="200"/>
    </row>
    <row r="64" ht="22.5" customHeight="1">
      <c r="A64" s="144">
        <v>45944.0</v>
      </c>
      <c r="B64" s="58">
        <v>8.0</v>
      </c>
      <c r="C64" s="51"/>
      <c r="D64" s="60" t="s">
        <v>2150</v>
      </c>
      <c r="E64" s="49" t="s">
        <v>1663</v>
      </c>
      <c r="F64" s="51"/>
      <c r="G64" s="53"/>
      <c r="H64" s="200"/>
      <c r="I64" s="200"/>
      <c r="J64" s="200"/>
      <c r="K64" s="200"/>
      <c r="L64" s="200"/>
      <c r="M64" s="200"/>
      <c r="N64" s="200"/>
      <c r="O64" s="200"/>
      <c r="P64" s="200"/>
      <c r="Q64" s="200"/>
      <c r="R64" s="200"/>
      <c r="S64" s="200"/>
      <c r="T64" s="200"/>
      <c r="U64" s="200"/>
      <c r="V64" s="200"/>
      <c r="W64" s="200"/>
      <c r="X64" s="200"/>
      <c r="Y64" s="200"/>
      <c r="Z64" s="200"/>
    </row>
    <row r="65" ht="22.5" customHeight="1">
      <c r="A65" s="262">
        <v>45945.0</v>
      </c>
      <c r="B65" s="263">
        <v>8.0</v>
      </c>
      <c r="C65" s="166"/>
      <c r="D65" s="264" t="s">
        <v>2151</v>
      </c>
      <c r="E65" s="265" t="s">
        <v>1663</v>
      </c>
      <c r="F65" s="51"/>
      <c r="G65" s="53"/>
      <c r="H65" s="200"/>
      <c r="I65" s="200"/>
      <c r="J65" s="200"/>
      <c r="K65" s="200"/>
      <c r="L65" s="200"/>
      <c r="M65" s="200"/>
      <c r="N65" s="200"/>
      <c r="O65" s="200"/>
      <c r="P65" s="200"/>
      <c r="Q65" s="200"/>
      <c r="R65" s="200"/>
      <c r="S65" s="200"/>
      <c r="T65" s="200"/>
      <c r="U65" s="200"/>
      <c r="V65" s="200"/>
      <c r="W65" s="200"/>
      <c r="X65" s="200"/>
      <c r="Y65" s="200"/>
      <c r="Z65" s="200"/>
    </row>
    <row r="66" ht="22.5" customHeight="1">
      <c r="A66" s="262">
        <v>45946.0</v>
      </c>
      <c r="B66" s="263">
        <v>8.0</v>
      </c>
      <c r="C66" s="166"/>
      <c r="D66" s="264" t="s">
        <v>2152</v>
      </c>
      <c r="E66" s="265" t="s">
        <v>1663</v>
      </c>
      <c r="F66" s="51"/>
      <c r="G66" s="53"/>
      <c r="H66" s="200"/>
      <c r="I66" s="200"/>
      <c r="J66" s="200"/>
      <c r="K66" s="200"/>
      <c r="L66" s="200"/>
      <c r="M66" s="200"/>
      <c r="N66" s="200"/>
      <c r="O66" s="200"/>
      <c r="P66" s="200"/>
      <c r="Q66" s="200"/>
      <c r="R66" s="200"/>
      <c r="S66" s="200"/>
      <c r="T66" s="200"/>
      <c r="U66" s="200"/>
      <c r="V66" s="200"/>
      <c r="W66" s="200"/>
      <c r="X66" s="200"/>
      <c r="Y66" s="200"/>
      <c r="Z66" s="200"/>
    </row>
    <row r="67" ht="22.5" customHeight="1">
      <c r="A67" s="262">
        <v>45947.0</v>
      </c>
      <c r="B67" s="263">
        <v>8.0</v>
      </c>
      <c r="C67" s="166"/>
      <c r="D67" s="264" t="s">
        <v>2153</v>
      </c>
      <c r="E67" s="265" t="s">
        <v>1663</v>
      </c>
      <c r="F67" s="51"/>
      <c r="G67" s="53"/>
      <c r="H67" s="200"/>
      <c r="I67" s="200"/>
      <c r="J67" s="200"/>
      <c r="K67" s="200"/>
      <c r="L67" s="200"/>
      <c r="M67" s="200"/>
      <c r="N67" s="200"/>
      <c r="O67" s="200"/>
      <c r="P67" s="200"/>
      <c r="Q67" s="200"/>
      <c r="R67" s="200"/>
      <c r="S67" s="200"/>
      <c r="T67" s="200"/>
      <c r="U67" s="200"/>
      <c r="V67" s="200"/>
      <c r="W67" s="200"/>
      <c r="X67" s="200"/>
      <c r="Y67" s="200"/>
      <c r="Z67" s="200"/>
    </row>
    <row r="68" ht="22.5" customHeight="1">
      <c r="A68" s="262">
        <v>45950.0</v>
      </c>
      <c r="B68" s="58">
        <v>8.0</v>
      </c>
      <c r="C68" s="51"/>
      <c r="D68" s="264" t="s">
        <v>2154</v>
      </c>
      <c r="E68" s="265" t="s">
        <v>1663</v>
      </c>
      <c r="F68" s="51"/>
      <c r="G68" s="53"/>
      <c r="H68" s="200"/>
      <c r="I68" s="200"/>
      <c r="J68" s="200"/>
      <c r="K68" s="200"/>
      <c r="L68" s="200"/>
      <c r="M68" s="200"/>
      <c r="N68" s="200"/>
      <c r="O68" s="200"/>
      <c r="P68" s="200"/>
      <c r="Q68" s="200"/>
      <c r="R68" s="200"/>
      <c r="S68" s="200"/>
      <c r="T68" s="200"/>
      <c r="U68" s="200"/>
      <c r="V68" s="200"/>
      <c r="W68" s="200"/>
      <c r="X68" s="200"/>
      <c r="Y68" s="200"/>
      <c r="Z68" s="200"/>
    </row>
    <row r="69" ht="22.5" customHeight="1">
      <c r="A69" s="262">
        <v>45951.0</v>
      </c>
      <c r="B69" s="58">
        <v>8.0</v>
      </c>
      <c r="C69" s="51"/>
      <c r="D69" s="264" t="s">
        <v>2155</v>
      </c>
      <c r="E69" s="265" t="s">
        <v>1663</v>
      </c>
      <c r="F69" s="51"/>
      <c r="G69" s="53"/>
      <c r="H69" s="200"/>
      <c r="I69" s="200"/>
      <c r="J69" s="200"/>
      <c r="K69" s="200"/>
      <c r="L69" s="200"/>
      <c r="M69" s="200"/>
      <c r="N69" s="200"/>
      <c r="O69" s="200"/>
      <c r="P69" s="200"/>
      <c r="Q69" s="200"/>
      <c r="R69" s="200"/>
      <c r="S69" s="200"/>
      <c r="T69" s="200"/>
      <c r="U69" s="200"/>
      <c r="V69" s="200"/>
      <c r="W69" s="200"/>
      <c r="X69" s="200"/>
      <c r="Y69" s="200"/>
      <c r="Z69" s="200"/>
    </row>
    <row r="70" ht="22.5" customHeight="1">
      <c r="A70" s="262">
        <v>45952.0</v>
      </c>
      <c r="B70" s="58">
        <v>8.0</v>
      </c>
      <c r="C70" s="51"/>
      <c r="D70" s="264" t="s">
        <v>2156</v>
      </c>
      <c r="E70" s="265" t="s">
        <v>1663</v>
      </c>
      <c r="F70" s="51"/>
      <c r="G70" s="53"/>
      <c r="H70" s="200"/>
      <c r="I70" s="200"/>
      <c r="J70" s="200"/>
      <c r="K70" s="200"/>
      <c r="L70" s="200"/>
      <c r="M70" s="200"/>
      <c r="N70" s="200"/>
      <c r="O70" s="200"/>
      <c r="P70" s="200"/>
      <c r="Q70" s="200"/>
      <c r="R70" s="200"/>
      <c r="S70" s="200"/>
      <c r="T70" s="200"/>
      <c r="U70" s="200"/>
      <c r="V70" s="200"/>
      <c r="W70" s="200"/>
      <c r="X70" s="200"/>
      <c r="Y70" s="200"/>
      <c r="Z70" s="200"/>
    </row>
    <row r="71" ht="22.5" customHeight="1">
      <c r="A71" s="262">
        <v>45953.0</v>
      </c>
      <c r="B71" s="263">
        <v>8.0</v>
      </c>
      <c r="C71" s="266"/>
      <c r="D71" s="267" t="s">
        <v>2157</v>
      </c>
      <c r="E71" s="268" t="s">
        <v>1663</v>
      </c>
      <c r="F71" s="51"/>
      <c r="G71" s="53"/>
      <c r="H71" s="200"/>
      <c r="I71" s="200"/>
      <c r="J71" s="200"/>
      <c r="K71" s="200"/>
      <c r="L71" s="200"/>
      <c r="M71" s="200"/>
      <c r="N71" s="200"/>
      <c r="O71" s="200"/>
      <c r="P71" s="200"/>
      <c r="Q71" s="200"/>
      <c r="R71" s="200"/>
      <c r="S71" s="200"/>
      <c r="T71" s="200"/>
      <c r="U71" s="200"/>
      <c r="V71" s="200"/>
      <c r="W71" s="200"/>
      <c r="X71" s="200"/>
      <c r="Y71" s="200"/>
      <c r="Z71" s="200"/>
    </row>
    <row r="72" ht="22.5" customHeight="1">
      <c r="A72" s="262">
        <v>45954.0</v>
      </c>
      <c r="B72" s="263">
        <v>8.0</v>
      </c>
      <c r="C72" s="266"/>
      <c r="D72" s="267" t="s">
        <v>2158</v>
      </c>
      <c r="E72" s="49" t="s">
        <v>2112</v>
      </c>
      <c r="F72" s="51"/>
      <c r="G72" s="53"/>
      <c r="H72" s="200"/>
      <c r="I72" s="200"/>
      <c r="J72" s="200"/>
      <c r="K72" s="200"/>
      <c r="L72" s="200"/>
      <c r="M72" s="200"/>
      <c r="N72" s="200"/>
      <c r="O72" s="200"/>
      <c r="P72" s="200"/>
      <c r="Q72" s="200"/>
      <c r="R72" s="200"/>
      <c r="S72" s="200"/>
      <c r="T72" s="200"/>
      <c r="U72" s="200"/>
      <c r="V72" s="200"/>
      <c r="W72" s="200"/>
      <c r="X72" s="200"/>
      <c r="Y72" s="200"/>
      <c r="Z72" s="200"/>
    </row>
    <row r="73" ht="22.5" customHeight="1">
      <c r="A73" s="262">
        <v>45957.0</v>
      </c>
      <c r="B73" s="263">
        <v>8.0</v>
      </c>
      <c r="C73" s="266"/>
      <c r="D73" s="267" t="s">
        <v>2159</v>
      </c>
      <c r="E73" s="268" t="s">
        <v>1663</v>
      </c>
      <c r="F73" s="51"/>
      <c r="G73" s="53"/>
      <c r="H73" s="200"/>
      <c r="I73" s="200"/>
      <c r="J73" s="200"/>
      <c r="K73" s="200"/>
      <c r="L73" s="200"/>
      <c r="M73" s="200"/>
      <c r="N73" s="200"/>
      <c r="O73" s="200"/>
      <c r="P73" s="200"/>
      <c r="Q73" s="200"/>
      <c r="R73" s="200"/>
      <c r="S73" s="200"/>
      <c r="T73" s="200"/>
      <c r="U73" s="200"/>
      <c r="V73" s="200"/>
      <c r="W73" s="200"/>
      <c r="X73" s="200"/>
      <c r="Y73" s="200"/>
      <c r="Z73" s="200"/>
    </row>
    <row r="74" ht="22.5" customHeight="1">
      <c r="A74" s="262">
        <v>45958.0</v>
      </c>
      <c r="B74" s="263">
        <v>8.0</v>
      </c>
      <c r="C74" s="266"/>
      <c r="D74" s="267" t="s">
        <v>2160</v>
      </c>
      <c r="E74" s="49" t="s">
        <v>2118</v>
      </c>
      <c r="F74" s="51"/>
      <c r="G74" s="53"/>
      <c r="H74" s="200"/>
      <c r="I74" s="200"/>
      <c r="J74" s="200"/>
      <c r="K74" s="200"/>
      <c r="L74" s="200"/>
      <c r="M74" s="200"/>
      <c r="N74" s="200"/>
      <c r="O74" s="200"/>
      <c r="P74" s="200"/>
      <c r="Q74" s="200"/>
      <c r="R74" s="200"/>
      <c r="S74" s="200"/>
      <c r="T74" s="200"/>
      <c r="U74" s="200"/>
      <c r="V74" s="200"/>
      <c r="W74" s="200"/>
      <c r="X74" s="200"/>
      <c r="Y74" s="200"/>
      <c r="Z74" s="200"/>
    </row>
    <row r="75" ht="22.5" customHeight="1">
      <c r="A75" s="262">
        <v>45959.0</v>
      </c>
      <c r="B75" s="263">
        <v>8.0</v>
      </c>
      <c r="C75" s="266"/>
      <c r="D75" s="267" t="s">
        <v>2161</v>
      </c>
      <c r="E75" s="49" t="s">
        <v>2118</v>
      </c>
      <c r="F75" s="51"/>
      <c r="G75" s="53"/>
      <c r="H75" s="200"/>
      <c r="I75" s="200"/>
      <c r="J75" s="200"/>
      <c r="K75" s="200"/>
      <c r="L75" s="200"/>
      <c r="M75" s="200"/>
      <c r="N75" s="200"/>
      <c r="O75" s="200"/>
      <c r="P75" s="200"/>
      <c r="Q75" s="200"/>
      <c r="R75" s="200"/>
      <c r="S75" s="200"/>
      <c r="T75" s="200"/>
      <c r="U75" s="200"/>
      <c r="V75" s="200"/>
      <c r="W75" s="200"/>
      <c r="X75" s="200"/>
      <c r="Y75" s="200"/>
      <c r="Z75" s="200"/>
    </row>
    <row r="76" ht="22.5" customHeight="1">
      <c r="A76" s="262">
        <v>45960.0</v>
      </c>
      <c r="B76" s="263">
        <v>8.0</v>
      </c>
      <c r="C76" s="266"/>
      <c r="D76" s="267" t="s">
        <v>2162</v>
      </c>
      <c r="E76" s="268" t="s">
        <v>1663</v>
      </c>
      <c r="F76" s="51"/>
      <c r="G76" s="53"/>
      <c r="H76" s="200"/>
      <c r="I76" s="200"/>
      <c r="J76" s="200"/>
      <c r="K76" s="200"/>
      <c r="L76" s="200"/>
      <c r="M76" s="200"/>
      <c r="N76" s="200"/>
      <c r="O76" s="200"/>
      <c r="P76" s="200"/>
      <c r="Q76" s="200"/>
      <c r="R76" s="200"/>
      <c r="S76" s="200"/>
      <c r="T76" s="200"/>
      <c r="U76" s="200"/>
      <c r="V76" s="200"/>
      <c r="W76" s="200"/>
      <c r="X76" s="200"/>
      <c r="Y76" s="200"/>
      <c r="Z76" s="200"/>
    </row>
    <row r="77" ht="32.25" customHeight="1">
      <c r="A77" s="262">
        <v>45961.0</v>
      </c>
      <c r="B77" s="263">
        <v>8.0</v>
      </c>
      <c r="C77" s="266"/>
      <c r="D77" s="267" t="s">
        <v>2163</v>
      </c>
      <c r="E77" s="49" t="s">
        <v>2118</v>
      </c>
      <c r="F77" s="51"/>
      <c r="G77" s="53"/>
      <c r="H77" s="200"/>
      <c r="I77" s="200"/>
      <c r="J77" s="200"/>
      <c r="K77" s="200"/>
      <c r="L77" s="200"/>
      <c r="M77" s="200"/>
      <c r="N77" s="200"/>
      <c r="O77" s="200"/>
      <c r="P77" s="200"/>
      <c r="Q77" s="200"/>
      <c r="R77" s="200"/>
      <c r="S77" s="200"/>
      <c r="T77" s="200"/>
      <c r="U77" s="200"/>
      <c r="V77" s="200"/>
      <c r="W77" s="200"/>
      <c r="X77" s="200"/>
      <c r="Y77" s="200"/>
      <c r="Z77" s="200"/>
    </row>
    <row r="78" ht="22.5" customHeight="1">
      <c r="A78" s="262">
        <v>45964.0</v>
      </c>
      <c r="B78" s="263">
        <v>8.0</v>
      </c>
      <c r="C78" s="266"/>
      <c r="D78" s="267" t="s">
        <v>2164</v>
      </c>
      <c r="E78" s="49" t="s">
        <v>2165</v>
      </c>
      <c r="F78" s="51"/>
      <c r="G78" s="53"/>
      <c r="H78" s="200"/>
      <c r="I78" s="200"/>
      <c r="J78" s="200"/>
      <c r="K78" s="200"/>
      <c r="L78" s="200"/>
      <c r="M78" s="200"/>
      <c r="N78" s="200"/>
      <c r="O78" s="200"/>
      <c r="P78" s="200"/>
      <c r="Q78" s="200"/>
      <c r="R78" s="200"/>
      <c r="S78" s="200"/>
      <c r="T78" s="200"/>
      <c r="U78" s="200"/>
      <c r="V78" s="200"/>
      <c r="W78" s="200"/>
      <c r="X78" s="200"/>
      <c r="Y78" s="200"/>
      <c r="Z78" s="200"/>
    </row>
    <row r="79" ht="22.5" customHeight="1">
      <c r="A79" s="269" t="s">
        <v>2166</v>
      </c>
      <c r="B79" s="270"/>
      <c r="C79" s="271"/>
      <c r="D79" s="272" t="s">
        <v>2167</v>
      </c>
      <c r="E79" s="271"/>
      <c r="F79" s="271"/>
      <c r="G79" s="273"/>
      <c r="H79" s="200"/>
      <c r="I79" s="200"/>
      <c r="J79" s="200"/>
      <c r="K79" s="200"/>
      <c r="L79" s="200"/>
      <c r="M79" s="200"/>
      <c r="N79" s="200"/>
      <c r="O79" s="200"/>
      <c r="P79" s="200"/>
      <c r="Q79" s="200"/>
      <c r="R79" s="200"/>
      <c r="S79" s="200"/>
      <c r="T79" s="200"/>
      <c r="U79" s="200"/>
      <c r="V79" s="200"/>
      <c r="W79" s="200"/>
      <c r="X79" s="200"/>
      <c r="Y79" s="200"/>
      <c r="Z79" s="200"/>
    </row>
    <row r="80" ht="22.5" customHeight="1">
      <c r="A80" s="262">
        <v>45979.0</v>
      </c>
      <c r="B80" s="274">
        <v>8.0</v>
      </c>
      <c r="C80" s="138"/>
      <c r="D80" s="275" t="s">
        <v>2168</v>
      </c>
      <c r="E80" s="49" t="s">
        <v>2118</v>
      </c>
      <c r="F80" s="138"/>
      <c r="G80" s="119"/>
      <c r="H80" s="200"/>
      <c r="I80" s="200"/>
      <c r="J80" s="200"/>
      <c r="K80" s="200"/>
      <c r="L80" s="200"/>
      <c r="M80" s="200"/>
      <c r="N80" s="200"/>
      <c r="O80" s="200"/>
      <c r="P80" s="200"/>
      <c r="Q80" s="200"/>
      <c r="R80" s="200"/>
      <c r="S80" s="200"/>
      <c r="T80" s="200"/>
      <c r="U80" s="200"/>
      <c r="V80" s="200"/>
      <c r="W80" s="200"/>
      <c r="X80" s="200"/>
      <c r="Y80" s="200"/>
      <c r="Z80" s="200"/>
    </row>
    <row r="81" ht="69.0" customHeight="1">
      <c r="A81" s="262">
        <v>45980.0</v>
      </c>
      <c r="B81" s="274">
        <v>8.0</v>
      </c>
      <c r="C81" s="138"/>
      <c r="D81" s="275" t="s">
        <v>2169</v>
      </c>
      <c r="E81" s="49" t="s">
        <v>2118</v>
      </c>
      <c r="F81" s="138"/>
      <c r="G81" s="119"/>
      <c r="H81" s="200"/>
      <c r="I81" s="200"/>
      <c r="J81" s="200"/>
      <c r="K81" s="200"/>
      <c r="L81" s="200"/>
      <c r="M81" s="200"/>
      <c r="N81" s="200"/>
      <c r="O81" s="200"/>
      <c r="P81" s="200"/>
      <c r="Q81" s="200"/>
      <c r="R81" s="200"/>
      <c r="S81" s="200"/>
      <c r="T81" s="200"/>
      <c r="U81" s="200"/>
      <c r="V81" s="200"/>
      <c r="W81" s="200"/>
      <c r="X81" s="200"/>
      <c r="Y81" s="200"/>
      <c r="Z81" s="200"/>
    </row>
    <row r="82" ht="22.5" customHeight="1">
      <c r="A82" s="262">
        <v>45981.0</v>
      </c>
      <c r="B82" s="274">
        <v>8.0</v>
      </c>
      <c r="C82" s="138"/>
      <c r="D82" s="275" t="s">
        <v>2170</v>
      </c>
      <c r="E82" s="49" t="s">
        <v>39</v>
      </c>
      <c r="F82" s="138"/>
      <c r="G82" s="119"/>
      <c r="H82" s="200"/>
      <c r="I82" s="200"/>
      <c r="J82" s="200"/>
      <c r="K82" s="200"/>
      <c r="L82" s="200"/>
      <c r="M82" s="200"/>
      <c r="N82" s="200"/>
      <c r="O82" s="200"/>
      <c r="P82" s="200"/>
      <c r="Q82" s="200"/>
      <c r="R82" s="200"/>
      <c r="S82" s="200"/>
      <c r="T82" s="200"/>
      <c r="U82" s="200"/>
      <c r="V82" s="200"/>
      <c r="W82" s="200"/>
      <c r="X82" s="200"/>
      <c r="Y82" s="200"/>
      <c r="Z82" s="200"/>
    </row>
    <row r="83" ht="22.5" customHeight="1">
      <c r="A83" s="262">
        <v>45982.0</v>
      </c>
      <c r="B83" s="274">
        <v>8.0</v>
      </c>
      <c r="C83" s="138"/>
      <c r="D83" s="275" t="s">
        <v>2171</v>
      </c>
      <c r="E83" s="49" t="s">
        <v>2118</v>
      </c>
      <c r="F83" s="138"/>
      <c r="G83" s="119"/>
      <c r="H83" s="200"/>
      <c r="I83" s="200"/>
      <c r="J83" s="200"/>
      <c r="K83" s="200"/>
      <c r="L83" s="200"/>
      <c r="M83" s="200"/>
      <c r="N83" s="200"/>
      <c r="O83" s="200"/>
      <c r="P83" s="200"/>
      <c r="Q83" s="200"/>
      <c r="R83" s="200"/>
      <c r="S83" s="200"/>
      <c r="T83" s="200"/>
      <c r="U83" s="200"/>
      <c r="V83" s="200"/>
      <c r="W83" s="200"/>
      <c r="X83" s="200"/>
      <c r="Y83" s="200"/>
      <c r="Z83" s="200"/>
    </row>
    <row r="84" ht="22.5" customHeight="1">
      <c r="A84" s="262">
        <v>45985.0</v>
      </c>
      <c r="B84" s="274">
        <v>8.0</v>
      </c>
      <c r="C84" s="138"/>
      <c r="D84" s="275" t="s">
        <v>2172</v>
      </c>
      <c r="E84" s="49" t="s">
        <v>39</v>
      </c>
      <c r="F84" s="138"/>
      <c r="G84" s="119"/>
      <c r="H84" s="200"/>
      <c r="I84" s="200"/>
      <c r="J84" s="200"/>
      <c r="K84" s="200"/>
      <c r="L84" s="200"/>
      <c r="M84" s="200"/>
      <c r="N84" s="200"/>
      <c r="O84" s="200"/>
      <c r="P84" s="200"/>
      <c r="Q84" s="200"/>
      <c r="R84" s="200"/>
      <c r="S84" s="200"/>
      <c r="T84" s="200"/>
      <c r="U84" s="200"/>
      <c r="V84" s="200"/>
      <c r="W84" s="200"/>
      <c r="X84" s="200"/>
      <c r="Y84" s="200"/>
      <c r="Z84" s="200"/>
    </row>
    <row r="85" ht="22.5" customHeight="1">
      <c r="A85" s="262">
        <v>45986.0</v>
      </c>
      <c r="B85" s="274">
        <v>8.0</v>
      </c>
      <c r="C85" s="138"/>
      <c r="D85" s="275" t="s">
        <v>2173</v>
      </c>
      <c r="E85" s="49" t="s">
        <v>39</v>
      </c>
      <c r="F85" s="138"/>
      <c r="G85" s="119"/>
      <c r="H85" s="200"/>
      <c r="I85" s="200"/>
      <c r="J85" s="200"/>
      <c r="K85" s="200"/>
      <c r="L85" s="200"/>
      <c r="M85" s="200"/>
      <c r="N85" s="200"/>
      <c r="O85" s="200"/>
      <c r="P85" s="200"/>
      <c r="Q85" s="200"/>
      <c r="R85" s="200"/>
      <c r="S85" s="200"/>
      <c r="T85" s="200"/>
      <c r="U85" s="200"/>
      <c r="V85" s="200"/>
      <c r="W85" s="200"/>
      <c r="X85" s="200"/>
      <c r="Y85" s="200"/>
      <c r="Z85" s="200"/>
    </row>
    <row r="86" ht="22.5" customHeight="1">
      <c r="A86" s="262">
        <v>45987.0</v>
      </c>
      <c r="B86" s="274">
        <v>8.0</v>
      </c>
      <c r="C86" s="138"/>
      <c r="D86" s="275" t="s">
        <v>2174</v>
      </c>
      <c r="E86" s="49" t="s">
        <v>2118</v>
      </c>
      <c r="F86" s="138"/>
      <c r="G86" s="119"/>
      <c r="H86" s="200"/>
      <c r="I86" s="200"/>
      <c r="J86" s="200"/>
      <c r="K86" s="200"/>
      <c r="L86" s="200"/>
      <c r="M86" s="200"/>
      <c r="N86" s="200"/>
      <c r="O86" s="200"/>
      <c r="P86" s="200"/>
      <c r="Q86" s="200"/>
      <c r="R86" s="200"/>
      <c r="S86" s="200"/>
      <c r="T86" s="200"/>
      <c r="U86" s="200"/>
      <c r="V86" s="200"/>
      <c r="W86" s="200"/>
      <c r="X86" s="200"/>
      <c r="Y86" s="200"/>
      <c r="Z86" s="200"/>
    </row>
    <row r="87" ht="22.5" customHeight="1">
      <c r="A87" s="262">
        <v>45988.0</v>
      </c>
      <c r="B87" s="274">
        <v>8.0</v>
      </c>
      <c r="C87" s="138"/>
      <c r="D87" s="275" t="s">
        <v>2175</v>
      </c>
      <c r="E87" s="49" t="s">
        <v>39</v>
      </c>
      <c r="F87" s="138"/>
      <c r="G87" s="119"/>
      <c r="H87" s="200"/>
      <c r="I87" s="200"/>
      <c r="J87" s="200"/>
      <c r="K87" s="200"/>
      <c r="L87" s="200"/>
      <c r="M87" s="200"/>
      <c r="N87" s="200"/>
      <c r="O87" s="200"/>
      <c r="P87" s="200"/>
      <c r="Q87" s="200"/>
      <c r="R87" s="200"/>
      <c r="S87" s="200"/>
      <c r="T87" s="200"/>
      <c r="U87" s="200"/>
      <c r="V87" s="200"/>
      <c r="W87" s="200"/>
      <c r="X87" s="200"/>
      <c r="Y87" s="200"/>
      <c r="Z87" s="200"/>
    </row>
    <row r="88" ht="22.5" customHeight="1">
      <c r="A88" s="262">
        <v>45989.0</v>
      </c>
      <c r="B88" s="274">
        <v>8.0</v>
      </c>
      <c r="C88" s="138"/>
      <c r="D88" s="275" t="s">
        <v>2176</v>
      </c>
      <c r="E88" s="49" t="s">
        <v>39</v>
      </c>
      <c r="F88" s="138"/>
      <c r="G88" s="119"/>
      <c r="H88" s="200"/>
      <c r="I88" s="200"/>
      <c r="J88" s="200"/>
      <c r="K88" s="200"/>
      <c r="L88" s="200"/>
      <c r="M88" s="200"/>
      <c r="N88" s="200"/>
      <c r="O88" s="200"/>
      <c r="P88" s="200"/>
      <c r="Q88" s="200"/>
      <c r="R88" s="200"/>
      <c r="S88" s="200"/>
      <c r="T88" s="200"/>
      <c r="U88" s="200"/>
      <c r="V88" s="200"/>
      <c r="W88" s="200"/>
      <c r="X88" s="200"/>
      <c r="Y88" s="200"/>
      <c r="Z88" s="200"/>
    </row>
    <row r="89" ht="22.5" customHeight="1">
      <c r="A89" s="262">
        <v>45992.0</v>
      </c>
      <c r="B89" s="274">
        <v>8.0</v>
      </c>
      <c r="C89" s="138"/>
      <c r="D89" s="275" t="s">
        <v>2177</v>
      </c>
      <c r="E89" s="49" t="s">
        <v>2118</v>
      </c>
      <c r="F89" s="138"/>
      <c r="G89" s="119"/>
      <c r="H89" s="200"/>
      <c r="I89" s="200"/>
      <c r="J89" s="200"/>
      <c r="K89" s="200"/>
      <c r="L89" s="200"/>
      <c r="M89" s="200"/>
      <c r="N89" s="200"/>
      <c r="O89" s="200"/>
      <c r="P89" s="200"/>
      <c r="Q89" s="200"/>
      <c r="R89" s="200"/>
      <c r="S89" s="200"/>
      <c r="T89" s="200"/>
      <c r="U89" s="200"/>
      <c r="V89" s="200"/>
      <c r="W89" s="200"/>
      <c r="X89" s="200"/>
      <c r="Y89" s="200"/>
      <c r="Z89" s="200"/>
    </row>
    <row r="90" ht="22.5" customHeight="1">
      <c r="A90" s="262">
        <v>45993.0</v>
      </c>
      <c r="B90" s="274">
        <v>8.0</v>
      </c>
      <c r="C90" s="138"/>
      <c r="D90" s="275" t="s">
        <v>2178</v>
      </c>
      <c r="E90" s="49" t="s">
        <v>36</v>
      </c>
      <c r="F90" s="138"/>
      <c r="G90" s="119"/>
      <c r="H90" s="200"/>
      <c r="I90" s="200"/>
      <c r="J90" s="200"/>
      <c r="K90" s="200"/>
      <c r="L90" s="200"/>
      <c r="M90" s="200"/>
      <c r="N90" s="200"/>
      <c r="O90" s="200"/>
      <c r="P90" s="200"/>
      <c r="Q90" s="200"/>
      <c r="R90" s="200"/>
      <c r="S90" s="200"/>
      <c r="T90" s="200"/>
      <c r="U90" s="200"/>
      <c r="V90" s="200"/>
      <c r="W90" s="200"/>
      <c r="X90" s="200"/>
      <c r="Y90" s="200"/>
      <c r="Z90" s="200"/>
    </row>
    <row r="91" ht="22.5" customHeight="1">
      <c r="A91" s="262">
        <v>45994.0</v>
      </c>
      <c r="B91" s="274">
        <v>8.0</v>
      </c>
      <c r="C91" s="138"/>
      <c r="D91" s="275" t="s">
        <v>2179</v>
      </c>
      <c r="E91" s="49" t="s">
        <v>39</v>
      </c>
      <c r="F91" s="138"/>
      <c r="G91" s="119"/>
      <c r="H91" s="200"/>
      <c r="I91" s="200"/>
      <c r="J91" s="200"/>
      <c r="K91" s="200"/>
      <c r="L91" s="200"/>
      <c r="M91" s="200"/>
      <c r="N91" s="200"/>
      <c r="O91" s="200"/>
      <c r="P91" s="200"/>
      <c r="Q91" s="200"/>
      <c r="R91" s="200"/>
      <c r="S91" s="200"/>
      <c r="T91" s="200"/>
      <c r="U91" s="200"/>
      <c r="V91" s="200"/>
      <c r="W91" s="200"/>
      <c r="X91" s="200"/>
      <c r="Y91" s="200"/>
      <c r="Z91" s="200"/>
    </row>
    <row r="92" ht="22.5" customHeight="1">
      <c r="A92" s="262">
        <v>45995.0</v>
      </c>
      <c r="B92" s="274">
        <v>8.0</v>
      </c>
      <c r="C92" s="138"/>
      <c r="D92" s="275" t="s">
        <v>2180</v>
      </c>
      <c r="E92" s="49" t="s">
        <v>39</v>
      </c>
      <c r="F92" s="138"/>
      <c r="G92" s="119"/>
      <c r="H92" s="200"/>
      <c r="I92" s="200"/>
      <c r="J92" s="200"/>
      <c r="K92" s="200"/>
      <c r="L92" s="200"/>
      <c r="M92" s="200"/>
      <c r="N92" s="200"/>
      <c r="O92" s="200"/>
      <c r="P92" s="200"/>
      <c r="Q92" s="200"/>
      <c r="R92" s="200"/>
      <c r="S92" s="200"/>
      <c r="T92" s="200"/>
      <c r="U92" s="200"/>
      <c r="V92" s="200"/>
      <c r="W92" s="200"/>
      <c r="X92" s="200"/>
      <c r="Y92" s="200"/>
      <c r="Z92" s="200"/>
    </row>
    <row r="93" ht="22.5" customHeight="1">
      <c r="A93" s="262">
        <v>45996.0</v>
      </c>
      <c r="B93" s="274">
        <v>8.0</v>
      </c>
      <c r="C93" s="138"/>
      <c r="D93" s="275" t="s">
        <v>2181</v>
      </c>
      <c r="E93" s="49" t="s">
        <v>39</v>
      </c>
      <c r="F93" s="138"/>
      <c r="G93" s="119"/>
      <c r="H93" s="200"/>
      <c r="I93" s="200"/>
      <c r="J93" s="200"/>
      <c r="K93" s="200"/>
      <c r="L93" s="200"/>
      <c r="M93" s="200"/>
      <c r="N93" s="200"/>
      <c r="O93" s="200"/>
      <c r="P93" s="200"/>
      <c r="Q93" s="200"/>
      <c r="R93" s="200"/>
      <c r="S93" s="200"/>
      <c r="T93" s="200"/>
      <c r="U93" s="200"/>
      <c r="V93" s="200"/>
      <c r="W93" s="200"/>
      <c r="X93" s="200"/>
      <c r="Y93" s="200"/>
      <c r="Z93" s="200"/>
    </row>
    <row r="94" ht="22.5" customHeight="1">
      <c r="A94" s="262">
        <v>45999.0</v>
      </c>
      <c r="B94" s="274">
        <v>8.0</v>
      </c>
      <c r="C94" s="138"/>
      <c r="D94" s="275" t="s">
        <v>2182</v>
      </c>
      <c r="E94" s="49" t="s">
        <v>39</v>
      </c>
      <c r="F94" s="138"/>
      <c r="G94" s="119"/>
      <c r="H94" s="200"/>
      <c r="I94" s="200"/>
      <c r="J94" s="200"/>
      <c r="K94" s="200"/>
      <c r="L94" s="200"/>
      <c r="M94" s="200"/>
      <c r="N94" s="200"/>
      <c r="O94" s="200"/>
      <c r="P94" s="200"/>
      <c r="Q94" s="200"/>
      <c r="R94" s="200"/>
      <c r="S94" s="200"/>
      <c r="T94" s="200"/>
      <c r="U94" s="200"/>
      <c r="V94" s="200"/>
      <c r="W94" s="200"/>
      <c r="X94" s="200"/>
      <c r="Y94" s="200"/>
      <c r="Z94" s="200"/>
    </row>
    <row r="95" ht="22.5" customHeight="1">
      <c r="A95" s="262">
        <v>46000.0</v>
      </c>
      <c r="B95" s="274">
        <v>8.0</v>
      </c>
      <c r="C95" s="138"/>
      <c r="D95" s="275" t="s">
        <v>2183</v>
      </c>
      <c r="E95" s="49" t="s">
        <v>39</v>
      </c>
      <c r="F95" s="138"/>
      <c r="G95" s="119"/>
      <c r="H95" s="200"/>
      <c r="I95" s="200"/>
      <c r="J95" s="200"/>
      <c r="K95" s="200"/>
      <c r="L95" s="200"/>
      <c r="M95" s="200"/>
      <c r="N95" s="200"/>
      <c r="O95" s="200"/>
      <c r="P95" s="200"/>
      <c r="Q95" s="200"/>
      <c r="R95" s="200"/>
      <c r="S95" s="200"/>
      <c r="T95" s="200"/>
      <c r="U95" s="200"/>
      <c r="V95" s="200"/>
      <c r="W95" s="200"/>
      <c r="X95" s="200"/>
      <c r="Y95" s="200"/>
      <c r="Z95" s="200"/>
    </row>
    <row r="96" ht="22.5" customHeight="1">
      <c r="A96" s="262">
        <v>46001.0</v>
      </c>
      <c r="B96" s="274">
        <v>8.0</v>
      </c>
      <c r="C96" s="138"/>
      <c r="D96" s="275" t="s">
        <v>2184</v>
      </c>
      <c r="E96" s="49" t="s">
        <v>39</v>
      </c>
      <c r="F96" s="138"/>
      <c r="G96" s="119"/>
      <c r="H96" s="200"/>
      <c r="I96" s="200"/>
      <c r="J96" s="200"/>
      <c r="K96" s="200"/>
      <c r="L96" s="200"/>
      <c r="M96" s="200"/>
      <c r="N96" s="200"/>
      <c r="O96" s="200"/>
      <c r="P96" s="200"/>
      <c r="Q96" s="200"/>
      <c r="R96" s="200"/>
      <c r="S96" s="200"/>
      <c r="T96" s="200"/>
      <c r="U96" s="200"/>
      <c r="V96" s="200"/>
      <c r="W96" s="200"/>
      <c r="X96" s="200"/>
      <c r="Y96" s="200"/>
      <c r="Z96" s="200"/>
    </row>
    <row r="97" ht="22.5" customHeight="1">
      <c r="A97" s="262">
        <v>46002.0</v>
      </c>
      <c r="B97" s="274">
        <v>8.0</v>
      </c>
      <c r="C97" s="138"/>
      <c r="D97" s="275" t="s">
        <v>2185</v>
      </c>
      <c r="E97" s="49" t="s">
        <v>39</v>
      </c>
      <c r="F97" s="138"/>
      <c r="G97" s="119"/>
      <c r="H97" s="200"/>
      <c r="I97" s="200"/>
      <c r="J97" s="200"/>
      <c r="K97" s="200"/>
      <c r="L97" s="200"/>
      <c r="M97" s="200"/>
      <c r="N97" s="200"/>
      <c r="O97" s="200"/>
      <c r="P97" s="200"/>
      <c r="Q97" s="200"/>
      <c r="R97" s="200"/>
      <c r="S97" s="200"/>
      <c r="T97" s="200"/>
      <c r="U97" s="200"/>
      <c r="V97" s="200"/>
      <c r="W97" s="200"/>
      <c r="X97" s="200"/>
      <c r="Y97" s="200"/>
      <c r="Z97" s="200"/>
    </row>
    <row r="98" ht="22.5" customHeight="1">
      <c r="A98" s="262">
        <v>46003.0</v>
      </c>
      <c r="B98" s="274">
        <v>8.0</v>
      </c>
      <c r="C98" s="138"/>
      <c r="D98" s="275" t="s">
        <v>2186</v>
      </c>
      <c r="E98" s="49" t="s">
        <v>2118</v>
      </c>
      <c r="F98" s="138"/>
      <c r="G98" s="119"/>
      <c r="H98" s="200"/>
      <c r="I98" s="200"/>
      <c r="J98" s="200"/>
      <c r="K98" s="200"/>
      <c r="L98" s="200"/>
      <c r="M98" s="200"/>
      <c r="N98" s="200"/>
      <c r="O98" s="200"/>
      <c r="P98" s="200"/>
      <c r="Q98" s="200"/>
      <c r="R98" s="200"/>
      <c r="S98" s="200"/>
      <c r="T98" s="200"/>
      <c r="U98" s="200"/>
      <c r="V98" s="200"/>
      <c r="W98" s="200"/>
      <c r="X98" s="200"/>
      <c r="Y98" s="200"/>
      <c r="Z98" s="200"/>
    </row>
    <row r="99" ht="22.5" customHeight="1">
      <c r="A99" s="262">
        <v>46006.0</v>
      </c>
      <c r="B99" s="274">
        <v>8.0</v>
      </c>
      <c r="C99" s="138"/>
      <c r="D99" s="275" t="s">
        <v>2187</v>
      </c>
      <c r="E99" s="49" t="s">
        <v>2112</v>
      </c>
      <c r="F99" s="138"/>
      <c r="G99" s="119"/>
      <c r="H99" s="200"/>
      <c r="I99" s="200"/>
      <c r="J99" s="200"/>
      <c r="K99" s="200"/>
      <c r="L99" s="200"/>
      <c r="M99" s="200"/>
      <c r="N99" s="200"/>
      <c r="O99" s="200"/>
      <c r="P99" s="200"/>
      <c r="Q99" s="200"/>
      <c r="R99" s="200"/>
      <c r="S99" s="200"/>
      <c r="T99" s="200"/>
      <c r="U99" s="200"/>
      <c r="V99" s="200"/>
      <c r="W99" s="200"/>
      <c r="X99" s="200"/>
      <c r="Y99" s="200"/>
      <c r="Z99" s="200"/>
    </row>
    <row r="100" ht="22.5" customHeight="1">
      <c r="A100" s="262">
        <v>46007.0</v>
      </c>
      <c r="B100" s="274">
        <v>8.0</v>
      </c>
      <c r="C100" s="138"/>
      <c r="D100" s="275" t="s">
        <v>2188</v>
      </c>
      <c r="E100" s="49" t="s">
        <v>39</v>
      </c>
      <c r="F100" s="138"/>
      <c r="G100" s="119"/>
      <c r="H100" s="200"/>
      <c r="I100" s="200"/>
      <c r="J100" s="200"/>
      <c r="K100" s="200"/>
      <c r="L100" s="200"/>
      <c r="M100" s="200"/>
      <c r="N100" s="200"/>
      <c r="O100" s="200"/>
      <c r="P100" s="200"/>
      <c r="Q100" s="200"/>
      <c r="R100" s="200"/>
      <c r="S100" s="200"/>
      <c r="T100" s="200"/>
      <c r="U100" s="200"/>
      <c r="V100" s="200"/>
      <c r="W100" s="200"/>
      <c r="X100" s="200"/>
      <c r="Y100" s="200"/>
      <c r="Z100" s="200"/>
    </row>
    <row r="101" ht="22.5" customHeight="1">
      <c r="A101" s="262">
        <v>46008.0</v>
      </c>
      <c r="B101" s="274">
        <v>8.0</v>
      </c>
      <c r="C101" s="138"/>
      <c r="D101" s="275" t="s">
        <v>2189</v>
      </c>
      <c r="E101" s="49" t="s">
        <v>39</v>
      </c>
      <c r="F101" s="138"/>
      <c r="G101" s="119"/>
      <c r="H101" s="200"/>
      <c r="I101" s="200"/>
      <c r="J101" s="200"/>
      <c r="K101" s="200"/>
      <c r="L101" s="200"/>
      <c r="M101" s="200"/>
      <c r="N101" s="200"/>
      <c r="O101" s="200"/>
      <c r="P101" s="200"/>
      <c r="Q101" s="200"/>
      <c r="R101" s="200"/>
      <c r="S101" s="200"/>
      <c r="T101" s="200"/>
      <c r="U101" s="200"/>
      <c r="V101" s="200"/>
      <c r="W101" s="200"/>
      <c r="X101" s="200"/>
      <c r="Y101" s="200"/>
      <c r="Z101" s="200"/>
    </row>
    <row r="102" ht="22.5" customHeight="1">
      <c r="A102" s="262">
        <v>46009.0</v>
      </c>
      <c r="B102" s="274">
        <v>8.0</v>
      </c>
      <c r="C102" s="138"/>
      <c r="D102" s="275" t="s">
        <v>2190</v>
      </c>
      <c r="E102" s="49" t="s">
        <v>39</v>
      </c>
      <c r="F102" s="138"/>
      <c r="G102" s="119"/>
      <c r="H102" s="200"/>
      <c r="I102" s="200"/>
      <c r="J102" s="200"/>
      <c r="K102" s="200"/>
      <c r="L102" s="200"/>
      <c r="M102" s="200"/>
      <c r="N102" s="200"/>
      <c r="O102" s="200"/>
      <c r="P102" s="200"/>
      <c r="Q102" s="200"/>
      <c r="R102" s="200"/>
      <c r="S102" s="200"/>
      <c r="T102" s="200"/>
      <c r="U102" s="200"/>
      <c r="V102" s="200"/>
      <c r="W102" s="200"/>
      <c r="X102" s="200"/>
      <c r="Y102" s="200"/>
      <c r="Z102" s="200"/>
    </row>
    <row r="103" ht="22.5" customHeight="1">
      <c r="A103" s="262">
        <v>46010.0</v>
      </c>
      <c r="B103" s="274">
        <v>8.0</v>
      </c>
      <c r="C103" s="138"/>
      <c r="D103" s="275" t="s">
        <v>2191</v>
      </c>
      <c r="E103" s="49" t="s">
        <v>2112</v>
      </c>
      <c r="F103" s="138"/>
      <c r="G103" s="119"/>
      <c r="H103" s="200"/>
      <c r="I103" s="200"/>
      <c r="J103" s="200"/>
      <c r="K103" s="200"/>
      <c r="L103" s="200"/>
      <c r="M103" s="200"/>
      <c r="N103" s="200"/>
      <c r="O103" s="200"/>
      <c r="P103" s="200"/>
      <c r="Q103" s="200"/>
      <c r="R103" s="200"/>
      <c r="S103" s="200"/>
      <c r="T103" s="200"/>
      <c r="U103" s="200"/>
      <c r="V103" s="200"/>
      <c r="W103" s="200"/>
      <c r="X103" s="200"/>
      <c r="Y103" s="200"/>
      <c r="Z103" s="200"/>
    </row>
    <row r="104" ht="22.5" customHeight="1">
      <c r="A104" s="262">
        <v>46013.0</v>
      </c>
      <c r="B104" s="274">
        <v>8.0</v>
      </c>
      <c r="C104" s="138"/>
      <c r="D104" s="276" t="s">
        <v>2192</v>
      </c>
      <c r="E104" s="49"/>
      <c r="F104" s="138"/>
      <c r="G104" s="119"/>
      <c r="H104" s="200"/>
      <c r="I104" s="200"/>
      <c r="J104" s="200"/>
      <c r="K104" s="200"/>
      <c r="L104" s="200"/>
      <c r="M104" s="200"/>
      <c r="N104" s="200"/>
      <c r="O104" s="200"/>
      <c r="P104" s="200"/>
      <c r="Q104" s="200"/>
      <c r="R104" s="200"/>
      <c r="S104" s="200"/>
      <c r="T104" s="200"/>
      <c r="U104" s="200"/>
      <c r="V104" s="200"/>
      <c r="W104" s="200"/>
      <c r="X104" s="200"/>
      <c r="Y104" s="200"/>
      <c r="Z104" s="200"/>
    </row>
    <row r="105" ht="22.5" customHeight="1">
      <c r="A105" s="262">
        <v>46014.0</v>
      </c>
      <c r="B105" s="274">
        <v>8.0</v>
      </c>
      <c r="C105" s="138"/>
      <c r="D105" s="276" t="s">
        <v>2192</v>
      </c>
      <c r="E105" s="49"/>
      <c r="F105" s="138"/>
      <c r="G105" s="119"/>
      <c r="H105" s="200"/>
      <c r="I105" s="200"/>
      <c r="J105" s="200"/>
      <c r="K105" s="200"/>
      <c r="L105" s="200"/>
      <c r="M105" s="200"/>
      <c r="N105" s="200"/>
      <c r="O105" s="200"/>
      <c r="P105" s="200"/>
      <c r="Q105" s="200"/>
      <c r="R105" s="200"/>
      <c r="S105" s="200"/>
      <c r="T105" s="200"/>
      <c r="U105" s="200"/>
      <c r="V105" s="200"/>
      <c r="W105" s="200"/>
      <c r="X105" s="200"/>
      <c r="Y105" s="200"/>
      <c r="Z105" s="200"/>
    </row>
    <row r="106" ht="22.5" customHeight="1">
      <c r="A106" s="262">
        <v>46015.0</v>
      </c>
      <c r="B106" s="274">
        <v>8.0</v>
      </c>
      <c r="C106" s="138"/>
      <c r="D106" s="276" t="s">
        <v>2192</v>
      </c>
      <c r="E106" s="49"/>
      <c r="F106" s="138"/>
      <c r="G106" s="119"/>
      <c r="H106" s="200"/>
      <c r="I106" s="200"/>
      <c r="J106" s="200"/>
      <c r="K106" s="200"/>
      <c r="L106" s="200"/>
      <c r="M106" s="200"/>
      <c r="N106" s="200"/>
      <c r="O106" s="200"/>
      <c r="P106" s="200"/>
      <c r="Q106" s="200"/>
      <c r="R106" s="200"/>
      <c r="S106" s="200"/>
      <c r="T106" s="200"/>
      <c r="U106" s="200"/>
      <c r="V106" s="200"/>
      <c r="W106" s="200"/>
      <c r="X106" s="200"/>
      <c r="Y106" s="200"/>
      <c r="Z106" s="200"/>
    </row>
    <row r="107" ht="22.5" customHeight="1">
      <c r="A107" s="262">
        <v>46017.0</v>
      </c>
      <c r="B107" s="274">
        <v>8.0</v>
      </c>
      <c r="C107" s="138"/>
      <c r="D107" s="276" t="s">
        <v>2192</v>
      </c>
      <c r="E107" s="49"/>
      <c r="F107" s="138"/>
      <c r="G107" s="119"/>
      <c r="H107" s="200"/>
      <c r="I107" s="200"/>
      <c r="J107" s="200"/>
      <c r="K107" s="200"/>
      <c r="L107" s="200"/>
      <c r="M107" s="200"/>
      <c r="N107" s="200"/>
      <c r="O107" s="200"/>
      <c r="P107" s="200"/>
      <c r="Q107" s="200"/>
      <c r="R107" s="200"/>
      <c r="S107" s="200"/>
      <c r="T107" s="200"/>
      <c r="U107" s="200"/>
      <c r="V107" s="200"/>
      <c r="W107" s="200"/>
      <c r="X107" s="200"/>
      <c r="Y107" s="200"/>
      <c r="Z107" s="200"/>
    </row>
    <row r="108" ht="22.5" customHeight="1">
      <c r="A108" s="262">
        <v>46020.0</v>
      </c>
      <c r="B108" s="274">
        <v>8.0</v>
      </c>
      <c r="C108" s="138"/>
      <c r="D108" s="275" t="s">
        <v>2193</v>
      </c>
      <c r="E108" s="49" t="s">
        <v>39</v>
      </c>
      <c r="F108" s="138"/>
      <c r="G108" s="119"/>
      <c r="H108" s="200"/>
      <c r="I108" s="200"/>
      <c r="J108" s="200"/>
      <c r="K108" s="200"/>
      <c r="L108" s="200"/>
      <c r="M108" s="200"/>
      <c r="N108" s="200"/>
      <c r="O108" s="200"/>
      <c r="P108" s="200"/>
      <c r="Q108" s="200"/>
      <c r="R108" s="200"/>
      <c r="S108" s="200"/>
      <c r="T108" s="200"/>
      <c r="U108" s="200"/>
      <c r="V108" s="200"/>
      <c r="W108" s="200"/>
      <c r="X108" s="200"/>
      <c r="Y108" s="200"/>
      <c r="Z108" s="200"/>
    </row>
    <row r="109" ht="22.5" customHeight="1">
      <c r="A109" s="262">
        <v>46021.0</v>
      </c>
      <c r="B109" s="274">
        <v>8.0</v>
      </c>
      <c r="C109" s="138"/>
      <c r="D109" s="275" t="s">
        <v>2194</v>
      </c>
      <c r="E109" s="49" t="s">
        <v>39</v>
      </c>
      <c r="F109" s="138"/>
      <c r="G109" s="119"/>
      <c r="H109" s="200"/>
      <c r="I109" s="200"/>
      <c r="J109" s="200"/>
      <c r="K109" s="200"/>
      <c r="L109" s="200"/>
      <c r="M109" s="200"/>
      <c r="N109" s="200"/>
      <c r="O109" s="200"/>
      <c r="P109" s="200"/>
      <c r="Q109" s="200"/>
      <c r="R109" s="200"/>
      <c r="S109" s="200"/>
      <c r="T109" s="200"/>
      <c r="U109" s="200"/>
      <c r="V109" s="200"/>
      <c r="W109" s="200"/>
      <c r="X109" s="200"/>
      <c r="Y109" s="200"/>
      <c r="Z109" s="200"/>
    </row>
    <row r="110" ht="22.5" customHeight="1">
      <c r="A110" s="262">
        <v>46022.0</v>
      </c>
      <c r="B110" s="274">
        <v>8.0</v>
      </c>
      <c r="C110" s="138"/>
      <c r="D110" s="275" t="s">
        <v>2195</v>
      </c>
      <c r="E110" s="49" t="s">
        <v>39</v>
      </c>
      <c r="F110" s="138"/>
      <c r="G110" s="119"/>
      <c r="H110" s="200"/>
      <c r="I110" s="200"/>
      <c r="J110" s="200"/>
      <c r="K110" s="200"/>
      <c r="L110" s="200"/>
      <c r="M110" s="200"/>
      <c r="N110" s="200"/>
      <c r="O110" s="200"/>
      <c r="P110" s="200"/>
      <c r="Q110" s="200"/>
      <c r="R110" s="200"/>
      <c r="S110" s="200"/>
      <c r="T110" s="200"/>
      <c r="U110" s="200"/>
      <c r="V110" s="200"/>
      <c r="W110" s="200"/>
      <c r="X110" s="200"/>
      <c r="Y110" s="200"/>
      <c r="Z110" s="200"/>
    </row>
    <row r="111" ht="22.5" customHeight="1">
      <c r="A111" s="262">
        <v>46024.0</v>
      </c>
      <c r="B111" s="274">
        <v>8.0</v>
      </c>
      <c r="C111" s="138"/>
      <c r="D111" s="275" t="s">
        <v>2196</v>
      </c>
      <c r="E111" s="49" t="s">
        <v>2112</v>
      </c>
      <c r="F111" s="138"/>
      <c r="G111" s="119"/>
      <c r="H111" s="200"/>
      <c r="I111" s="200"/>
      <c r="J111" s="200"/>
      <c r="K111" s="200"/>
      <c r="L111" s="200"/>
      <c r="M111" s="200"/>
      <c r="N111" s="200"/>
      <c r="O111" s="200"/>
      <c r="P111" s="200"/>
      <c r="Q111" s="200"/>
      <c r="R111" s="200"/>
      <c r="S111" s="200"/>
      <c r="T111" s="200"/>
      <c r="U111" s="200"/>
      <c r="V111" s="200"/>
      <c r="W111" s="200"/>
      <c r="X111" s="200"/>
      <c r="Y111" s="200"/>
      <c r="Z111" s="200"/>
    </row>
    <row r="112" ht="22.5" customHeight="1">
      <c r="A112" s="262">
        <v>46027.0</v>
      </c>
      <c r="B112" s="274">
        <v>8.0</v>
      </c>
      <c r="C112" s="138"/>
      <c r="D112" s="276" t="s">
        <v>2197</v>
      </c>
      <c r="E112" s="49" t="s">
        <v>2112</v>
      </c>
      <c r="F112" s="138"/>
      <c r="G112" s="119"/>
      <c r="H112" s="200"/>
      <c r="I112" s="200"/>
      <c r="J112" s="200"/>
      <c r="K112" s="200"/>
      <c r="L112" s="200"/>
      <c r="M112" s="200"/>
      <c r="N112" s="200"/>
      <c r="O112" s="200"/>
      <c r="P112" s="200"/>
      <c r="Q112" s="200"/>
      <c r="R112" s="200"/>
      <c r="S112" s="200"/>
      <c r="T112" s="200"/>
      <c r="U112" s="200"/>
      <c r="V112" s="200"/>
      <c r="W112" s="200"/>
      <c r="X112" s="200"/>
      <c r="Y112" s="200"/>
      <c r="Z112" s="200"/>
    </row>
    <row r="113" ht="22.5" customHeight="1">
      <c r="A113" s="262">
        <v>46028.0</v>
      </c>
      <c r="B113" s="274">
        <v>8.0</v>
      </c>
      <c r="C113" s="138"/>
      <c r="D113" s="275" t="s">
        <v>2198</v>
      </c>
      <c r="E113" s="49"/>
      <c r="F113" s="138"/>
      <c r="G113" s="119"/>
      <c r="H113" s="200"/>
      <c r="I113" s="200"/>
      <c r="J113" s="200"/>
      <c r="K113" s="200"/>
      <c r="L113" s="200"/>
      <c r="M113" s="200"/>
      <c r="N113" s="200"/>
      <c r="O113" s="200"/>
      <c r="P113" s="200"/>
      <c r="Q113" s="200"/>
      <c r="R113" s="200"/>
      <c r="S113" s="200"/>
      <c r="T113" s="200"/>
      <c r="U113" s="200"/>
      <c r="V113" s="200"/>
      <c r="W113" s="200"/>
      <c r="X113" s="200"/>
      <c r="Y113" s="200"/>
      <c r="Z113" s="200"/>
    </row>
    <row r="114" ht="22.5" customHeight="1">
      <c r="A114" s="145"/>
      <c r="B114" s="154"/>
      <c r="C114" s="138"/>
      <c r="D114" s="138"/>
      <c r="E114" s="138"/>
      <c r="F114" s="138"/>
      <c r="G114" s="119"/>
      <c r="H114" s="200"/>
      <c r="I114" s="200"/>
      <c r="J114" s="200"/>
      <c r="K114" s="200"/>
      <c r="L114" s="200"/>
      <c r="M114" s="200"/>
      <c r="N114" s="200"/>
      <c r="O114" s="200"/>
      <c r="P114" s="200"/>
      <c r="Q114" s="200"/>
      <c r="R114" s="200"/>
      <c r="S114" s="200"/>
      <c r="T114" s="200"/>
      <c r="U114" s="200"/>
      <c r="V114" s="200"/>
      <c r="W114" s="200"/>
      <c r="X114" s="200"/>
      <c r="Y114" s="200"/>
      <c r="Z114" s="200"/>
    </row>
    <row r="115" ht="22.5" customHeight="1">
      <c r="A115" s="145"/>
      <c r="B115" s="154"/>
      <c r="C115" s="138"/>
      <c r="D115" s="138"/>
      <c r="E115" s="138"/>
      <c r="F115" s="138"/>
      <c r="G115" s="119"/>
      <c r="H115" s="200"/>
      <c r="I115" s="200"/>
      <c r="J115" s="200"/>
      <c r="K115" s="200"/>
      <c r="L115" s="200"/>
      <c r="M115" s="200"/>
      <c r="N115" s="200"/>
      <c r="O115" s="200"/>
      <c r="P115" s="200"/>
      <c r="Q115" s="200"/>
      <c r="R115" s="200"/>
      <c r="S115" s="200"/>
      <c r="T115" s="200"/>
      <c r="U115" s="200"/>
      <c r="V115" s="200"/>
      <c r="W115" s="200"/>
      <c r="X115" s="200"/>
      <c r="Y115" s="200"/>
      <c r="Z115" s="200"/>
    </row>
    <row r="116" ht="22.5" customHeight="1">
      <c r="A116" s="145"/>
      <c r="B116" s="154"/>
      <c r="C116" s="138"/>
      <c r="D116" s="138"/>
      <c r="E116" s="138"/>
      <c r="F116" s="138"/>
      <c r="G116" s="119"/>
      <c r="H116" s="200"/>
      <c r="I116" s="200"/>
      <c r="J116" s="200"/>
      <c r="K116" s="200"/>
      <c r="L116" s="200"/>
      <c r="M116" s="200"/>
      <c r="N116" s="200"/>
      <c r="O116" s="200"/>
      <c r="P116" s="200"/>
      <c r="Q116" s="200"/>
      <c r="R116" s="200"/>
      <c r="S116" s="200"/>
      <c r="T116" s="200"/>
      <c r="U116" s="200"/>
      <c r="V116" s="200"/>
      <c r="W116" s="200"/>
      <c r="X116" s="200"/>
      <c r="Y116" s="200"/>
      <c r="Z116" s="200"/>
    </row>
    <row r="117" ht="22.5" customHeight="1">
      <c r="A117" s="145"/>
      <c r="B117" s="154"/>
      <c r="C117" s="138"/>
      <c r="D117" s="138"/>
      <c r="E117" s="138"/>
      <c r="F117" s="138"/>
      <c r="G117" s="119"/>
      <c r="H117" s="200"/>
      <c r="I117" s="200"/>
      <c r="J117" s="200"/>
      <c r="K117" s="200"/>
      <c r="L117" s="200"/>
      <c r="M117" s="200"/>
      <c r="N117" s="200"/>
      <c r="O117" s="200"/>
      <c r="P117" s="200"/>
      <c r="Q117" s="200"/>
      <c r="R117" s="200"/>
      <c r="S117" s="200"/>
      <c r="T117" s="200"/>
      <c r="U117" s="200"/>
      <c r="V117" s="200"/>
      <c r="W117" s="200"/>
      <c r="X117" s="200"/>
      <c r="Y117" s="200"/>
      <c r="Z117" s="200"/>
    </row>
    <row r="118" ht="22.5" customHeight="1">
      <c r="A118" s="145"/>
      <c r="B118" s="154"/>
      <c r="C118" s="138"/>
      <c r="D118" s="138"/>
      <c r="E118" s="138"/>
      <c r="F118" s="138"/>
      <c r="G118" s="119"/>
      <c r="H118" s="200"/>
      <c r="I118" s="200"/>
      <c r="J118" s="200"/>
      <c r="K118" s="200"/>
      <c r="L118" s="200"/>
      <c r="M118" s="200"/>
      <c r="N118" s="200"/>
      <c r="O118" s="200"/>
      <c r="P118" s="200"/>
      <c r="Q118" s="200"/>
      <c r="R118" s="200"/>
      <c r="S118" s="200"/>
      <c r="T118" s="200"/>
      <c r="U118" s="200"/>
      <c r="V118" s="200"/>
      <c r="W118" s="200"/>
      <c r="X118" s="200"/>
      <c r="Y118" s="200"/>
      <c r="Z118" s="200"/>
    </row>
    <row r="119" ht="22.5" customHeight="1">
      <c r="A119" s="145"/>
      <c r="B119" s="154"/>
      <c r="C119" s="138"/>
      <c r="D119" s="138"/>
      <c r="E119" s="138"/>
      <c r="F119" s="138"/>
      <c r="G119" s="119"/>
      <c r="H119" s="200"/>
      <c r="I119" s="200"/>
      <c r="J119" s="200"/>
      <c r="K119" s="200"/>
      <c r="L119" s="200"/>
      <c r="M119" s="200"/>
      <c r="N119" s="200"/>
      <c r="O119" s="200"/>
      <c r="P119" s="200"/>
      <c r="Q119" s="200"/>
      <c r="R119" s="200"/>
      <c r="S119" s="200"/>
      <c r="T119" s="200"/>
      <c r="U119" s="200"/>
      <c r="V119" s="200"/>
      <c r="W119" s="200"/>
      <c r="X119" s="200"/>
      <c r="Y119" s="200"/>
      <c r="Z119" s="200"/>
    </row>
    <row r="120" ht="22.5" customHeight="1">
      <c r="A120" s="145"/>
      <c r="B120" s="154"/>
      <c r="C120" s="138"/>
      <c r="D120" s="138"/>
      <c r="E120" s="138"/>
      <c r="F120" s="138"/>
      <c r="G120" s="119"/>
      <c r="H120" s="200"/>
      <c r="I120" s="200"/>
      <c r="J120" s="200"/>
      <c r="K120" s="200"/>
      <c r="L120" s="200"/>
      <c r="M120" s="200"/>
      <c r="N120" s="200"/>
      <c r="O120" s="200"/>
      <c r="P120" s="200"/>
      <c r="Q120" s="200"/>
      <c r="R120" s="200"/>
      <c r="S120" s="200"/>
      <c r="T120" s="200"/>
      <c r="U120" s="200"/>
      <c r="V120" s="200"/>
      <c r="W120" s="200"/>
      <c r="X120" s="200"/>
      <c r="Y120" s="200"/>
      <c r="Z120" s="200"/>
    </row>
    <row r="121" ht="22.5" customHeight="1">
      <c r="A121" s="145"/>
      <c r="B121" s="154"/>
      <c r="C121" s="138"/>
      <c r="D121" s="138"/>
      <c r="E121" s="138"/>
      <c r="F121" s="138"/>
      <c r="G121" s="119"/>
      <c r="H121" s="200"/>
      <c r="I121" s="200"/>
      <c r="J121" s="200"/>
      <c r="K121" s="200"/>
      <c r="L121" s="200"/>
      <c r="M121" s="200"/>
      <c r="N121" s="200"/>
      <c r="O121" s="200"/>
      <c r="P121" s="200"/>
      <c r="Q121" s="200"/>
      <c r="R121" s="200"/>
      <c r="S121" s="200"/>
      <c r="T121" s="200"/>
      <c r="U121" s="200"/>
      <c r="V121" s="200"/>
      <c r="W121" s="200"/>
      <c r="X121" s="200"/>
      <c r="Y121" s="200"/>
      <c r="Z121" s="200"/>
    </row>
    <row r="122" ht="22.5" customHeight="1">
      <c r="A122" s="145"/>
      <c r="B122" s="154"/>
      <c r="C122" s="138"/>
      <c r="D122" s="138"/>
      <c r="E122" s="138"/>
      <c r="F122" s="138"/>
      <c r="G122" s="119"/>
      <c r="H122" s="200"/>
      <c r="I122" s="200"/>
      <c r="J122" s="200"/>
      <c r="K122" s="200"/>
      <c r="L122" s="200"/>
      <c r="M122" s="200"/>
      <c r="N122" s="200"/>
      <c r="O122" s="200"/>
      <c r="P122" s="200"/>
      <c r="Q122" s="200"/>
      <c r="R122" s="200"/>
      <c r="S122" s="200"/>
      <c r="T122" s="200"/>
      <c r="U122" s="200"/>
      <c r="V122" s="200"/>
      <c r="W122" s="200"/>
      <c r="X122" s="200"/>
      <c r="Y122" s="200"/>
      <c r="Z122" s="200"/>
    </row>
    <row r="123" ht="22.5" customHeight="1">
      <c r="A123" s="145"/>
      <c r="B123" s="154"/>
      <c r="C123" s="138"/>
      <c r="D123" s="138"/>
      <c r="E123" s="138"/>
      <c r="F123" s="138"/>
      <c r="G123" s="119"/>
      <c r="H123" s="200"/>
      <c r="I123" s="200"/>
      <c r="J123" s="200"/>
      <c r="K123" s="200"/>
      <c r="L123" s="200"/>
      <c r="M123" s="200"/>
      <c r="N123" s="200"/>
      <c r="O123" s="200"/>
      <c r="P123" s="200"/>
      <c r="Q123" s="200"/>
      <c r="R123" s="200"/>
      <c r="S123" s="200"/>
      <c r="T123" s="200"/>
      <c r="U123" s="200"/>
      <c r="V123" s="200"/>
      <c r="W123" s="200"/>
      <c r="X123" s="200"/>
      <c r="Y123" s="200"/>
      <c r="Z123" s="200"/>
    </row>
    <row r="124" ht="22.5" customHeight="1">
      <c r="A124" s="145"/>
      <c r="B124" s="154"/>
      <c r="C124" s="138"/>
      <c r="D124" s="138"/>
      <c r="E124" s="138"/>
      <c r="F124" s="138"/>
      <c r="G124" s="119"/>
      <c r="H124" s="200"/>
      <c r="I124" s="200"/>
      <c r="J124" s="200"/>
      <c r="K124" s="200"/>
      <c r="L124" s="200"/>
      <c r="M124" s="200"/>
      <c r="N124" s="200"/>
      <c r="O124" s="200"/>
      <c r="P124" s="200"/>
      <c r="Q124" s="200"/>
      <c r="R124" s="200"/>
      <c r="S124" s="200"/>
      <c r="T124" s="200"/>
      <c r="U124" s="200"/>
      <c r="V124" s="200"/>
      <c r="W124" s="200"/>
      <c r="X124" s="200"/>
      <c r="Y124" s="200"/>
      <c r="Z124" s="200"/>
    </row>
    <row r="125" ht="22.5" customHeight="1">
      <c r="A125" s="145"/>
      <c r="B125" s="154"/>
      <c r="C125" s="138"/>
      <c r="D125" s="138"/>
      <c r="E125" s="138"/>
      <c r="F125" s="138"/>
      <c r="G125" s="119"/>
      <c r="H125" s="200"/>
      <c r="I125" s="200"/>
      <c r="J125" s="200"/>
      <c r="K125" s="200"/>
      <c r="L125" s="200"/>
      <c r="M125" s="200"/>
      <c r="N125" s="200"/>
      <c r="O125" s="200"/>
      <c r="P125" s="200"/>
      <c r="Q125" s="200"/>
      <c r="R125" s="200"/>
      <c r="S125" s="200"/>
      <c r="T125" s="200"/>
      <c r="U125" s="200"/>
      <c r="V125" s="200"/>
      <c r="W125" s="200"/>
      <c r="X125" s="200"/>
      <c r="Y125" s="200"/>
      <c r="Z125" s="200"/>
    </row>
    <row r="126" ht="22.5" customHeight="1">
      <c r="A126" s="145"/>
      <c r="B126" s="154"/>
      <c r="C126" s="138"/>
      <c r="D126" s="138"/>
      <c r="E126" s="138"/>
      <c r="F126" s="138"/>
      <c r="G126" s="119"/>
      <c r="H126" s="200"/>
      <c r="I126" s="200"/>
      <c r="J126" s="200"/>
      <c r="K126" s="200"/>
      <c r="L126" s="200"/>
      <c r="M126" s="200"/>
      <c r="N126" s="200"/>
      <c r="O126" s="200"/>
      <c r="P126" s="200"/>
      <c r="Q126" s="200"/>
      <c r="R126" s="200"/>
      <c r="S126" s="200"/>
      <c r="T126" s="200"/>
      <c r="U126" s="200"/>
      <c r="V126" s="200"/>
      <c r="W126" s="200"/>
      <c r="X126" s="200"/>
      <c r="Y126" s="200"/>
      <c r="Z126" s="200"/>
    </row>
    <row r="127" ht="22.5" customHeight="1">
      <c r="A127" s="145"/>
      <c r="B127" s="154"/>
      <c r="C127" s="138"/>
      <c r="D127" s="138"/>
      <c r="E127" s="138"/>
      <c r="F127" s="138"/>
      <c r="G127" s="119"/>
      <c r="H127" s="200"/>
      <c r="I127" s="200"/>
      <c r="J127" s="200"/>
      <c r="K127" s="200"/>
      <c r="L127" s="200"/>
      <c r="M127" s="200"/>
      <c r="N127" s="200"/>
      <c r="O127" s="200"/>
      <c r="P127" s="200"/>
      <c r="Q127" s="200"/>
      <c r="R127" s="200"/>
      <c r="S127" s="200"/>
      <c r="T127" s="200"/>
      <c r="U127" s="200"/>
      <c r="V127" s="200"/>
      <c r="W127" s="200"/>
      <c r="X127" s="200"/>
      <c r="Y127" s="200"/>
      <c r="Z127" s="200"/>
    </row>
    <row r="128" ht="22.5" customHeight="1">
      <c r="A128" s="145"/>
      <c r="B128" s="154"/>
      <c r="C128" s="138"/>
      <c r="D128" s="138"/>
      <c r="E128" s="138"/>
      <c r="F128" s="138"/>
      <c r="G128" s="119"/>
      <c r="H128" s="200"/>
      <c r="I128" s="200"/>
      <c r="J128" s="200"/>
      <c r="K128" s="200"/>
      <c r="L128" s="200"/>
      <c r="M128" s="200"/>
      <c r="N128" s="200"/>
      <c r="O128" s="200"/>
      <c r="P128" s="200"/>
      <c r="Q128" s="200"/>
      <c r="R128" s="200"/>
      <c r="S128" s="200"/>
      <c r="T128" s="200"/>
      <c r="U128" s="200"/>
      <c r="V128" s="200"/>
      <c r="W128" s="200"/>
      <c r="X128" s="200"/>
      <c r="Y128" s="200"/>
      <c r="Z128" s="200"/>
    </row>
    <row r="129" ht="22.5" customHeight="1">
      <c r="A129" s="145"/>
      <c r="B129" s="154"/>
      <c r="C129" s="138"/>
      <c r="D129" s="138"/>
      <c r="E129" s="138"/>
      <c r="F129" s="138"/>
      <c r="G129" s="119"/>
      <c r="H129" s="200"/>
      <c r="I129" s="200"/>
      <c r="J129" s="200"/>
      <c r="K129" s="200"/>
      <c r="L129" s="200"/>
      <c r="M129" s="200"/>
      <c r="N129" s="200"/>
      <c r="O129" s="200"/>
      <c r="P129" s="200"/>
      <c r="Q129" s="200"/>
      <c r="R129" s="200"/>
      <c r="S129" s="200"/>
      <c r="T129" s="200"/>
      <c r="U129" s="200"/>
      <c r="V129" s="200"/>
      <c r="W129" s="200"/>
      <c r="X129" s="200"/>
      <c r="Y129" s="200"/>
      <c r="Z129" s="200"/>
    </row>
    <row r="130" ht="22.5" customHeight="1">
      <c r="A130" s="145"/>
      <c r="B130" s="154"/>
      <c r="C130" s="138"/>
      <c r="D130" s="138"/>
      <c r="E130" s="138"/>
      <c r="F130" s="138"/>
      <c r="G130" s="119"/>
      <c r="H130" s="200"/>
      <c r="I130" s="200"/>
      <c r="J130" s="200"/>
      <c r="K130" s="200"/>
      <c r="L130" s="200"/>
      <c r="M130" s="200"/>
      <c r="N130" s="200"/>
      <c r="O130" s="200"/>
      <c r="P130" s="200"/>
      <c r="Q130" s="200"/>
      <c r="R130" s="200"/>
      <c r="S130" s="200"/>
      <c r="T130" s="200"/>
      <c r="U130" s="200"/>
      <c r="V130" s="200"/>
      <c r="W130" s="200"/>
      <c r="X130" s="200"/>
      <c r="Y130" s="200"/>
      <c r="Z130" s="200"/>
    </row>
    <row r="131" ht="22.5" customHeight="1">
      <c r="A131" s="145"/>
      <c r="B131" s="154"/>
      <c r="C131" s="138"/>
      <c r="D131" s="138"/>
      <c r="E131" s="138"/>
      <c r="F131" s="138"/>
      <c r="G131" s="119"/>
      <c r="H131" s="200"/>
      <c r="I131" s="200"/>
      <c r="J131" s="200"/>
      <c r="K131" s="200"/>
      <c r="L131" s="200"/>
      <c r="M131" s="200"/>
      <c r="N131" s="200"/>
      <c r="O131" s="200"/>
      <c r="P131" s="200"/>
      <c r="Q131" s="200"/>
      <c r="R131" s="200"/>
      <c r="S131" s="200"/>
      <c r="T131" s="200"/>
      <c r="U131" s="200"/>
      <c r="V131" s="200"/>
      <c r="W131" s="200"/>
      <c r="X131" s="200"/>
      <c r="Y131" s="200"/>
      <c r="Z131" s="200"/>
    </row>
    <row r="132" ht="22.5" customHeight="1">
      <c r="A132" s="145"/>
      <c r="B132" s="154"/>
      <c r="C132" s="138"/>
      <c r="D132" s="138"/>
      <c r="E132" s="138"/>
      <c r="F132" s="138"/>
      <c r="G132" s="119"/>
      <c r="H132" s="200"/>
      <c r="I132" s="200"/>
      <c r="J132" s="200"/>
      <c r="K132" s="200"/>
      <c r="L132" s="200"/>
      <c r="M132" s="200"/>
      <c r="N132" s="200"/>
      <c r="O132" s="200"/>
      <c r="P132" s="200"/>
      <c r="Q132" s="200"/>
      <c r="R132" s="200"/>
      <c r="S132" s="200"/>
      <c r="T132" s="200"/>
      <c r="U132" s="200"/>
      <c r="V132" s="200"/>
      <c r="W132" s="200"/>
      <c r="X132" s="200"/>
      <c r="Y132" s="200"/>
      <c r="Z132" s="200"/>
    </row>
    <row r="133" ht="22.5" customHeight="1">
      <c r="A133" s="145"/>
      <c r="B133" s="154"/>
      <c r="C133" s="138"/>
      <c r="D133" s="138"/>
      <c r="E133" s="138"/>
      <c r="F133" s="138"/>
      <c r="G133" s="119"/>
      <c r="H133" s="200"/>
      <c r="I133" s="200"/>
      <c r="J133" s="200"/>
      <c r="K133" s="200"/>
      <c r="L133" s="200"/>
      <c r="M133" s="200"/>
      <c r="N133" s="200"/>
      <c r="O133" s="200"/>
      <c r="P133" s="200"/>
      <c r="Q133" s="200"/>
      <c r="R133" s="200"/>
      <c r="S133" s="200"/>
      <c r="T133" s="200"/>
      <c r="U133" s="200"/>
      <c r="V133" s="200"/>
      <c r="W133" s="200"/>
      <c r="X133" s="200"/>
      <c r="Y133" s="200"/>
      <c r="Z133" s="200"/>
    </row>
    <row r="134" ht="22.5" customHeight="1">
      <c r="A134" s="145"/>
      <c r="B134" s="154"/>
      <c r="C134" s="138"/>
      <c r="D134" s="138"/>
      <c r="E134" s="138"/>
      <c r="F134" s="138"/>
      <c r="G134" s="119"/>
      <c r="H134" s="200"/>
      <c r="I134" s="200"/>
      <c r="J134" s="200"/>
      <c r="K134" s="200"/>
      <c r="L134" s="200"/>
      <c r="M134" s="200"/>
      <c r="N134" s="200"/>
      <c r="O134" s="200"/>
      <c r="P134" s="200"/>
      <c r="Q134" s="200"/>
      <c r="R134" s="200"/>
      <c r="S134" s="200"/>
      <c r="T134" s="200"/>
      <c r="U134" s="200"/>
      <c r="V134" s="200"/>
      <c r="W134" s="200"/>
      <c r="X134" s="200"/>
      <c r="Y134" s="200"/>
      <c r="Z134" s="200"/>
    </row>
    <row r="135" ht="22.5" customHeight="1">
      <c r="A135" s="145"/>
      <c r="B135" s="154"/>
      <c r="C135" s="138"/>
      <c r="D135" s="138"/>
      <c r="E135" s="138"/>
      <c r="F135" s="138"/>
      <c r="G135" s="119"/>
      <c r="H135" s="200"/>
      <c r="I135" s="200"/>
      <c r="J135" s="200"/>
      <c r="K135" s="200"/>
      <c r="L135" s="200"/>
      <c r="M135" s="200"/>
      <c r="N135" s="200"/>
      <c r="O135" s="200"/>
      <c r="P135" s="200"/>
      <c r="Q135" s="200"/>
      <c r="R135" s="200"/>
      <c r="S135" s="200"/>
      <c r="T135" s="200"/>
      <c r="U135" s="200"/>
      <c r="V135" s="200"/>
      <c r="W135" s="200"/>
      <c r="X135" s="200"/>
      <c r="Y135" s="200"/>
      <c r="Z135" s="200"/>
    </row>
    <row r="136" ht="22.5" customHeight="1">
      <c r="A136" s="145"/>
      <c r="B136" s="154"/>
      <c r="C136" s="138"/>
      <c r="D136" s="138"/>
      <c r="E136" s="138"/>
      <c r="F136" s="138"/>
      <c r="G136" s="119"/>
      <c r="H136" s="200"/>
      <c r="I136" s="200"/>
      <c r="J136" s="200"/>
      <c r="K136" s="200"/>
      <c r="L136" s="200"/>
      <c r="M136" s="200"/>
      <c r="N136" s="200"/>
      <c r="O136" s="200"/>
      <c r="P136" s="200"/>
      <c r="Q136" s="200"/>
      <c r="R136" s="200"/>
      <c r="S136" s="200"/>
      <c r="T136" s="200"/>
      <c r="U136" s="200"/>
      <c r="V136" s="200"/>
      <c r="W136" s="200"/>
      <c r="X136" s="200"/>
      <c r="Y136" s="200"/>
      <c r="Z136" s="200"/>
    </row>
    <row r="137" ht="22.5" customHeight="1">
      <c r="A137" s="145"/>
      <c r="B137" s="154"/>
      <c r="C137" s="138"/>
      <c r="D137" s="138"/>
      <c r="E137" s="138"/>
      <c r="F137" s="138"/>
      <c r="G137" s="119"/>
      <c r="H137" s="200"/>
      <c r="I137" s="200"/>
      <c r="J137" s="200"/>
      <c r="K137" s="200"/>
      <c r="L137" s="200"/>
      <c r="M137" s="200"/>
      <c r="N137" s="200"/>
      <c r="O137" s="200"/>
      <c r="P137" s="200"/>
      <c r="Q137" s="200"/>
      <c r="R137" s="200"/>
      <c r="S137" s="200"/>
      <c r="T137" s="200"/>
      <c r="U137" s="200"/>
      <c r="V137" s="200"/>
      <c r="W137" s="200"/>
      <c r="X137" s="200"/>
      <c r="Y137" s="200"/>
      <c r="Z137" s="200"/>
    </row>
    <row r="138" ht="22.5" customHeight="1">
      <c r="A138" s="145"/>
      <c r="B138" s="154"/>
      <c r="C138" s="138"/>
      <c r="D138" s="138"/>
      <c r="E138" s="138"/>
      <c r="F138" s="138"/>
      <c r="G138" s="119"/>
      <c r="H138" s="200"/>
      <c r="I138" s="200"/>
      <c r="J138" s="200"/>
      <c r="K138" s="200"/>
      <c r="L138" s="200"/>
      <c r="M138" s="200"/>
      <c r="N138" s="200"/>
      <c r="O138" s="200"/>
      <c r="P138" s="200"/>
      <c r="Q138" s="200"/>
      <c r="R138" s="200"/>
      <c r="S138" s="200"/>
      <c r="T138" s="200"/>
      <c r="U138" s="200"/>
      <c r="V138" s="200"/>
      <c r="W138" s="200"/>
      <c r="X138" s="200"/>
      <c r="Y138" s="200"/>
      <c r="Z138" s="200"/>
    </row>
    <row r="139" ht="22.5" customHeight="1">
      <c r="A139" s="145"/>
      <c r="B139" s="154"/>
      <c r="C139" s="138"/>
      <c r="D139" s="138"/>
      <c r="E139" s="138"/>
      <c r="F139" s="138"/>
      <c r="G139" s="119"/>
      <c r="H139" s="200"/>
      <c r="I139" s="200"/>
      <c r="J139" s="200"/>
      <c r="K139" s="200"/>
      <c r="L139" s="200"/>
      <c r="M139" s="200"/>
      <c r="N139" s="200"/>
      <c r="O139" s="200"/>
      <c r="P139" s="200"/>
      <c r="Q139" s="200"/>
      <c r="R139" s="200"/>
      <c r="S139" s="200"/>
      <c r="T139" s="200"/>
      <c r="U139" s="200"/>
      <c r="V139" s="200"/>
      <c r="W139" s="200"/>
      <c r="X139" s="200"/>
      <c r="Y139" s="200"/>
      <c r="Z139" s="200"/>
    </row>
    <row r="140" ht="22.5" customHeight="1">
      <c r="A140" s="145"/>
      <c r="B140" s="154"/>
      <c r="C140" s="138"/>
      <c r="D140" s="138"/>
      <c r="E140" s="138"/>
      <c r="F140" s="138"/>
      <c r="G140" s="119"/>
      <c r="H140" s="200"/>
      <c r="I140" s="200"/>
      <c r="J140" s="200"/>
      <c r="K140" s="200"/>
      <c r="L140" s="200"/>
      <c r="M140" s="200"/>
      <c r="N140" s="200"/>
      <c r="O140" s="200"/>
      <c r="P140" s="200"/>
      <c r="Q140" s="200"/>
      <c r="R140" s="200"/>
      <c r="S140" s="200"/>
      <c r="T140" s="200"/>
      <c r="U140" s="200"/>
      <c r="V140" s="200"/>
      <c r="W140" s="200"/>
      <c r="X140" s="200"/>
      <c r="Y140" s="200"/>
      <c r="Z140" s="200"/>
    </row>
    <row r="141" ht="22.5" customHeight="1">
      <c r="A141" s="145"/>
      <c r="B141" s="154"/>
      <c r="C141" s="138"/>
      <c r="D141" s="138"/>
      <c r="E141" s="138"/>
      <c r="F141" s="138"/>
      <c r="G141" s="119"/>
      <c r="H141" s="200"/>
      <c r="I141" s="200"/>
      <c r="J141" s="200"/>
      <c r="K141" s="200"/>
      <c r="L141" s="200"/>
      <c r="M141" s="200"/>
      <c r="N141" s="200"/>
      <c r="O141" s="200"/>
      <c r="P141" s="200"/>
      <c r="Q141" s="200"/>
      <c r="R141" s="200"/>
      <c r="S141" s="200"/>
      <c r="T141" s="200"/>
      <c r="U141" s="200"/>
      <c r="V141" s="200"/>
      <c r="W141" s="200"/>
      <c r="X141" s="200"/>
      <c r="Y141" s="200"/>
      <c r="Z141" s="200"/>
    </row>
    <row r="142" ht="22.5" customHeight="1">
      <c r="A142" s="145"/>
      <c r="B142" s="154"/>
      <c r="C142" s="138"/>
      <c r="D142" s="138"/>
      <c r="E142" s="138"/>
      <c r="F142" s="138"/>
      <c r="G142" s="119"/>
      <c r="H142" s="200"/>
      <c r="I142" s="200"/>
      <c r="J142" s="200"/>
      <c r="K142" s="200"/>
      <c r="L142" s="200"/>
      <c r="M142" s="200"/>
      <c r="N142" s="200"/>
      <c r="O142" s="200"/>
      <c r="P142" s="200"/>
      <c r="Q142" s="200"/>
      <c r="R142" s="200"/>
      <c r="S142" s="200"/>
      <c r="T142" s="200"/>
      <c r="U142" s="200"/>
      <c r="V142" s="200"/>
      <c r="W142" s="200"/>
      <c r="X142" s="200"/>
      <c r="Y142" s="200"/>
      <c r="Z142" s="200"/>
    </row>
    <row r="143" ht="22.5" customHeight="1">
      <c r="A143" s="145"/>
      <c r="B143" s="154"/>
      <c r="C143" s="138"/>
      <c r="D143" s="138"/>
      <c r="E143" s="138"/>
      <c r="F143" s="138"/>
      <c r="G143" s="119"/>
      <c r="H143" s="200"/>
      <c r="I143" s="200"/>
      <c r="J143" s="200"/>
      <c r="K143" s="200"/>
      <c r="L143" s="200"/>
      <c r="M143" s="200"/>
      <c r="N143" s="200"/>
      <c r="O143" s="200"/>
      <c r="P143" s="200"/>
      <c r="Q143" s="200"/>
      <c r="R143" s="200"/>
      <c r="S143" s="200"/>
      <c r="T143" s="200"/>
      <c r="U143" s="200"/>
      <c r="V143" s="200"/>
      <c r="W143" s="200"/>
      <c r="X143" s="200"/>
      <c r="Y143" s="200"/>
      <c r="Z143" s="200"/>
    </row>
    <row r="144" ht="22.5" customHeight="1">
      <c r="A144" s="145"/>
      <c r="B144" s="154"/>
      <c r="C144" s="138"/>
      <c r="D144" s="138"/>
      <c r="E144" s="138"/>
      <c r="F144" s="138"/>
      <c r="G144" s="119"/>
      <c r="H144" s="200"/>
      <c r="I144" s="200"/>
      <c r="J144" s="200"/>
      <c r="K144" s="200"/>
      <c r="L144" s="200"/>
      <c r="M144" s="200"/>
      <c r="N144" s="200"/>
      <c r="O144" s="200"/>
      <c r="P144" s="200"/>
      <c r="Q144" s="200"/>
      <c r="R144" s="200"/>
      <c r="S144" s="200"/>
      <c r="T144" s="200"/>
      <c r="U144" s="200"/>
      <c r="V144" s="200"/>
      <c r="W144" s="200"/>
      <c r="X144" s="200"/>
      <c r="Y144" s="200"/>
      <c r="Z144" s="200"/>
    </row>
    <row r="145" ht="22.5" customHeight="1">
      <c r="A145" s="145"/>
      <c r="B145" s="154"/>
      <c r="C145" s="138"/>
      <c r="D145" s="138"/>
      <c r="E145" s="138"/>
      <c r="F145" s="138"/>
      <c r="G145" s="119"/>
      <c r="H145" s="200"/>
      <c r="I145" s="200"/>
      <c r="J145" s="200"/>
      <c r="K145" s="200"/>
      <c r="L145" s="200"/>
      <c r="M145" s="200"/>
      <c r="N145" s="200"/>
      <c r="O145" s="200"/>
      <c r="P145" s="200"/>
      <c r="Q145" s="200"/>
      <c r="R145" s="200"/>
      <c r="S145" s="200"/>
      <c r="T145" s="200"/>
      <c r="U145" s="200"/>
      <c r="V145" s="200"/>
      <c r="W145" s="200"/>
      <c r="X145" s="200"/>
      <c r="Y145" s="200"/>
      <c r="Z145" s="200"/>
    </row>
    <row r="146" ht="22.5" customHeight="1">
      <c r="A146" s="145"/>
      <c r="B146" s="154"/>
      <c r="C146" s="138"/>
      <c r="D146" s="138"/>
      <c r="E146" s="138"/>
      <c r="F146" s="138"/>
      <c r="G146" s="119"/>
      <c r="H146" s="200"/>
      <c r="I146" s="200"/>
      <c r="J146" s="200"/>
      <c r="K146" s="200"/>
      <c r="L146" s="200"/>
      <c r="M146" s="200"/>
      <c r="N146" s="200"/>
      <c r="O146" s="200"/>
      <c r="P146" s="200"/>
      <c r="Q146" s="200"/>
      <c r="R146" s="200"/>
      <c r="S146" s="200"/>
      <c r="T146" s="200"/>
      <c r="U146" s="200"/>
      <c r="V146" s="200"/>
      <c r="W146" s="200"/>
      <c r="X146" s="200"/>
      <c r="Y146" s="200"/>
      <c r="Z146" s="200"/>
    </row>
    <row r="147" ht="22.5" customHeight="1">
      <c r="A147" s="145"/>
      <c r="B147" s="154"/>
      <c r="C147" s="138"/>
      <c r="D147" s="138"/>
      <c r="E147" s="138"/>
      <c r="F147" s="138"/>
      <c r="G147" s="119"/>
      <c r="H147" s="200"/>
      <c r="I147" s="200"/>
      <c r="J147" s="200"/>
      <c r="K147" s="200"/>
      <c r="L147" s="200"/>
      <c r="M147" s="200"/>
      <c r="N147" s="200"/>
      <c r="O147" s="200"/>
      <c r="P147" s="200"/>
      <c r="Q147" s="200"/>
      <c r="R147" s="200"/>
      <c r="S147" s="200"/>
      <c r="T147" s="200"/>
      <c r="U147" s="200"/>
      <c r="V147" s="200"/>
      <c r="W147" s="200"/>
      <c r="X147" s="200"/>
      <c r="Y147" s="200"/>
      <c r="Z147" s="200"/>
    </row>
    <row r="148" ht="22.5" customHeight="1">
      <c r="A148" s="145"/>
      <c r="B148" s="154"/>
      <c r="C148" s="138"/>
      <c r="D148" s="138"/>
      <c r="E148" s="138"/>
      <c r="F148" s="138"/>
      <c r="G148" s="119"/>
      <c r="H148" s="200"/>
      <c r="I148" s="200"/>
      <c r="J148" s="200"/>
      <c r="K148" s="200"/>
      <c r="L148" s="200"/>
      <c r="M148" s="200"/>
      <c r="N148" s="200"/>
      <c r="O148" s="200"/>
      <c r="P148" s="200"/>
      <c r="Q148" s="200"/>
      <c r="R148" s="200"/>
      <c r="S148" s="200"/>
      <c r="T148" s="200"/>
      <c r="U148" s="200"/>
      <c r="V148" s="200"/>
      <c r="W148" s="200"/>
      <c r="X148" s="200"/>
      <c r="Y148" s="200"/>
      <c r="Z148" s="200"/>
    </row>
    <row r="149" ht="22.5" customHeight="1">
      <c r="A149" s="145"/>
      <c r="B149" s="154"/>
      <c r="C149" s="138"/>
      <c r="D149" s="138"/>
      <c r="E149" s="138"/>
      <c r="F149" s="138"/>
      <c r="G149" s="119"/>
      <c r="H149" s="200"/>
      <c r="I149" s="200"/>
      <c r="J149" s="200"/>
      <c r="K149" s="200"/>
      <c r="L149" s="200"/>
      <c r="M149" s="200"/>
      <c r="N149" s="200"/>
      <c r="O149" s="200"/>
      <c r="P149" s="200"/>
      <c r="Q149" s="200"/>
      <c r="R149" s="200"/>
      <c r="S149" s="200"/>
      <c r="T149" s="200"/>
      <c r="U149" s="200"/>
      <c r="V149" s="200"/>
      <c r="W149" s="200"/>
      <c r="X149" s="200"/>
      <c r="Y149" s="200"/>
      <c r="Z149" s="200"/>
    </row>
    <row r="150" ht="22.5" customHeight="1">
      <c r="A150" s="145"/>
      <c r="B150" s="154"/>
      <c r="C150" s="138"/>
      <c r="D150" s="138"/>
      <c r="E150" s="138"/>
      <c r="F150" s="138"/>
      <c r="G150" s="119"/>
      <c r="H150" s="200"/>
      <c r="I150" s="200"/>
      <c r="J150" s="200"/>
      <c r="K150" s="200"/>
      <c r="L150" s="200"/>
      <c r="M150" s="200"/>
      <c r="N150" s="200"/>
      <c r="O150" s="200"/>
      <c r="P150" s="200"/>
      <c r="Q150" s="200"/>
      <c r="R150" s="200"/>
      <c r="S150" s="200"/>
      <c r="T150" s="200"/>
      <c r="U150" s="200"/>
      <c r="V150" s="200"/>
      <c r="W150" s="200"/>
      <c r="X150" s="200"/>
      <c r="Y150" s="200"/>
      <c r="Z150" s="200"/>
    </row>
    <row r="151" ht="22.5" customHeight="1">
      <c r="A151" s="145"/>
      <c r="B151" s="154"/>
      <c r="C151" s="138"/>
      <c r="D151" s="138"/>
      <c r="E151" s="138"/>
      <c r="F151" s="138"/>
      <c r="G151" s="119"/>
      <c r="H151" s="200"/>
      <c r="I151" s="200"/>
      <c r="J151" s="200"/>
      <c r="K151" s="200"/>
      <c r="L151" s="200"/>
      <c r="M151" s="200"/>
      <c r="N151" s="200"/>
      <c r="O151" s="200"/>
      <c r="P151" s="200"/>
      <c r="Q151" s="200"/>
      <c r="R151" s="200"/>
      <c r="S151" s="200"/>
      <c r="T151" s="200"/>
      <c r="U151" s="200"/>
      <c r="V151" s="200"/>
      <c r="W151" s="200"/>
      <c r="X151" s="200"/>
      <c r="Y151" s="200"/>
      <c r="Z151" s="200"/>
    </row>
    <row r="152" ht="22.5" customHeight="1">
      <c r="A152" s="145"/>
      <c r="B152" s="154"/>
      <c r="C152" s="138"/>
      <c r="D152" s="138"/>
      <c r="E152" s="138"/>
      <c r="F152" s="138"/>
      <c r="G152" s="119"/>
      <c r="H152" s="200"/>
      <c r="I152" s="200"/>
      <c r="J152" s="200"/>
      <c r="K152" s="200"/>
      <c r="L152" s="200"/>
      <c r="M152" s="200"/>
      <c r="N152" s="200"/>
      <c r="O152" s="200"/>
      <c r="P152" s="200"/>
      <c r="Q152" s="200"/>
      <c r="R152" s="200"/>
      <c r="S152" s="200"/>
      <c r="T152" s="200"/>
      <c r="U152" s="200"/>
      <c r="V152" s="200"/>
      <c r="W152" s="200"/>
      <c r="X152" s="200"/>
      <c r="Y152" s="200"/>
      <c r="Z152" s="200"/>
    </row>
    <row r="153" ht="22.5" customHeight="1">
      <c r="A153" s="145"/>
      <c r="B153" s="154"/>
      <c r="C153" s="138"/>
      <c r="D153" s="138"/>
      <c r="E153" s="138"/>
      <c r="F153" s="138"/>
      <c r="G153" s="119"/>
      <c r="H153" s="200"/>
      <c r="I153" s="200"/>
      <c r="J153" s="200"/>
      <c r="K153" s="200"/>
      <c r="L153" s="200"/>
      <c r="M153" s="200"/>
      <c r="N153" s="200"/>
      <c r="O153" s="200"/>
      <c r="P153" s="200"/>
      <c r="Q153" s="200"/>
      <c r="R153" s="200"/>
      <c r="S153" s="200"/>
      <c r="T153" s="200"/>
      <c r="U153" s="200"/>
      <c r="V153" s="200"/>
      <c r="W153" s="200"/>
      <c r="X153" s="200"/>
      <c r="Y153" s="200"/>
      <c r="Z153" s="200"/>
    </row>
    <row r="154" ht="22.5" customHeight="1">
      <c r="A154" s="145"/>
      <c r="B154" s="154"/>
      <c r="C154" s="138"/>
      <c r="D154" s="138"/>
      <c r="E154" s="138"/>
      <c r="F154" s="138"/>
      <c r="G154" s="119"/>
      <c r="H154" s="200"/>
      <c r="I154" s="200"/>
      <c r="J154" s="200"/>
      <c r="K154" s="200"/>
      <c r="L154" s="200"/>
      <c r="M154" s="200"/>
      <c r="N154" s="200"/>
      <c r="O154" s="200"/>
      <c r="P154" s="200"/>
      <c r="Q154" s="200"/>
      <c r="R154" s="200"/>
      <c r="S154" s="200"/>
      <c r="T154" s="200"/>
      <c r="U154" s="200"/>
      <c r="V154" s="200"/>
      <c r="W154" s="200"/>
      <c r="X154" s="200"/>
      <c r="Y154" s="200"/>
      <c r="Z154" s="200"/>
    </row>
    <row r="155" ht="22.5" customHeight="1">
      <c r="A155" s="145"/>
      <c r="B155" s="154"/>
      <c r="C155" s="138"/>
      <c r="D155" s="138"/>
      <c r="E155" s="138"/>
      <c r="F155" s="138"/>
      <c r="G155" s="119"/>
      <c r="H155" s="200"/>
      <c r="I155" s="200"/>
      <c r="J155" s="200"/>
      <c r="K155" s="200"/>
      <c r="L155" s="200"/>
      <c r="M155" s="200"/>
      <c r="N155" s="200"/>
      <c r="O155" s="200"/>
      <c r="P155" s="200"/>
      <c r="Q155" s="200"/>
      <c r="R155" s="200"/>
      <c r="S155" s="200"/>
      <c r="T155" s="200"/>
      <c r="U155" s="200"/>
      <c r="V155" s="200"/>
      <c r="W155" s="200"/>
      <c r="X155" s="200"/>
      <c r="Y155" s="200"/>
      <c r="Z155" s="200"/>
    </row>
    <row r="156" ht="22.5" customHeight="1">
      <c r="A156" s="145"/>
      <c r="B156" s="154"/>
      <c r="C156" s="138"/>
      <c r="D156" s="138"/>
      <c r="E156" s="138"/>
      <c r="F156" s="138"/>
      <c r="G156" s="119"/>
      <c r="H156" s="200"/>
      <c r="I156" s="200"/>
      <c r="J156" s="200"/>
      <c r="K156" s="200"/>
      <c r="L156" s="200"/>
      <c r="M156" s="200"/>
      <c r="N156" s="200"/>
      <c r="O156" s="200"/>
      <c r="P156" s="200"/>
      <c r="Q156" s="200"/>
      <c r="R156" s="200"/>
      <c r="S156" s="200"/>
      <c r="T156" s="200"/>
      <c r="U156" s="200"/>
      <c r="V156" s="200"/>
      <c r="W156" s="200"/>
      <c r="X156" s="200"/>
      <c r="Y156" s="200"/>
      <c r="Z156" s="200"/>
    </row>
    <row r="157" ht="22.5" customHeight="1">
      <c r="A157" s="145"/>
      <c r="B157" s="154"/>
      <c r="C157" s="138"/>
      <c r="D157" s="138"/>
      <c r="E157" s="138"/>
      <c r="F157" s="138"/>
      <c r="G157" s="119"/>
      <c r="H157" s="200"/>
      <c r="I157" s="200"/>
      <c r="J157" s="200"/>
      <c r="K157" s="200"/>
      <c r="L157" s="200"/>
      <c r="M157" s="200"/>
      <c r="N157" s="200"/>
      <c r="O157" s="200"/>
      <c r="P157" s="200"/>
      <c r="Q157" s="200"/>
      <c r="R157" s="200"/>
      <c r="S157" s="200"/>
      <c r="T157" s="200"/>
      <c r="U157" s="200"/>
      <c r="V157" s="200"/>
      <c r="W157" s="200"/>
      <c r="X157" s="200"/>
      <c r="Y157" s="200"/>
      <c r="Z157" s="200"/>
    </row>
    <row r="158" ht="22.5" customHeight="1">
      <c r="A158" s="145"/>
      <c r="B158" s="154"/>
      <c r="C158" s="138"/>
      <c r="D158" s="138"/>
      <c r="E158" s="138"/>
      <c r="F158" s="138"/>
      <c r="G158" s="119"/>
      <c r="H158" s="200"/>
      <c r="I158" s="200"/>
      <c r="J158" s="200"/>
      <c r="K158" s="200"/>
      <c r="L158" s="200"/>
      <c r="M158" s="200"/>
      <c r="N158" s="200"/>
      <c r="O158" s="200"/>
      <c r="P158" s="200"/>
      <c r="Q158" s="200"/>
      <c r="R158" s="200"/>
      <c r="S158" s="200"/>
      <c r="T158" s="200"/>
      <c r="U158" s="200"/>
      <c r="V158" s="200"/>
      <c r="W158" s="200"/>
      <c r="X158" s="200"/>
      <c r="Y158" s="200"/>
      <c r="Z158" s="200"/>
    </row>
    <row r="159" ht="22.5" customHeight="1">
      <c r="A159" s="145"/>
      <c r="B159" s="154"/>
      <c r="C159" s="138"/>
      <c r="D159" s="138"/>
      <c r="E159" s="138"/>
      <c r="F159" s="138"/>
      <c r="G159" s="119"/>
      <c r="H159" s="200"/>
      <c r="I159" s="200"/>
      <c r="J159" s="200"/>
      <c r="K159" s="200"/>
      <c r="L159" s="200"/>
      <c r="M159" s="200"/>
      <c r="N159" s="200"/>
      <c r="O159" s="200"/>
      <c r="P159" s="200"/>
      <c r="Q159" s="200"/>
      <c r="R159" s="200"/>
      <c r="S159" s="200"/>
      <c r="T159" s="200"/>
      <c r="U159" s="200"/>
      <c r="V159" s="200"/>
      <c r="W159" s="200"/>
      <c r="X159" s="200"/>
      <c r="Y159" s="200"/>
      <c r="Z159" s="200"/>
    </row>
    <row r="160" ht="22.5" customHeight="1">
      <c r="A160" s="145"/>
      <c r="B160" s="154"/>
      <c r="C160" s="138"/>
      <c r="D160" s="138"/>
      <c r="E160" s="138"/>
      <c r="F160" s="138"/>
      <c r="G160" s="119"/>
      <c r="H160" s="200"/>
      <c r="I160" s="200"/>
      <c r="J160" s="200"/>
      <c r="K160" s="200"/>
      <c r="L160" s="200"/>
      <c r="M160" s="200"/>
      <c r="N160" s="200"/>
      <c r="O160" s="200"/>
      <c r="P160" s="200"/>
      <c r="Q160" s="200"/>
      <c r="R160" s="200"/>
      <c r="S160" s="200"/>
      <c r="T160" s="200"/>
      <c r="U160" s="200"/>
      <c r="V160" s="200"/>
      <c r="W160" s="200"/>
      <c r="X160" s="200"/>
      <c r="Y160" s="200"/>
      <c r="Z160" s="200"/>
    </row>
    <row r="161" ht="22.5" customHeight="1">
      <c r="A161" s="145"/>
      <c r="B161" s="154"/>
      <c r="C161" s="138"/>
      <c r="D161" s="138"/>
      <c r="E161" s="138"/>
      <c r="F161" s="138"/>
      <c r="G161" s="119"/>
      <c r="H161" s="200"/>
      <c r="I161" s="200"/>
      <c r="J161" s="200"/>
      <c r="K161" s="200"/>
      <c r="L161" s="200"/>
      <c r="M161" s="200"/>
      <c r="N161" s="200"/>
      <c r="O161" s="200"/>
      <c r="P161" s="200"/>
      <c r="Q161" s="200"/>
      <c r="R161" s="200"/>
      <c r="S161" s="200"/>
      <c r="T161" s="200"/>
      <c r="U161" s="200"/>
      <c r="V161" s="200"/>
      <c r="W161" s="200"/>
      <c r="X161" s="200"/>
      <c r="Y161" s="200"/>
      <c r="Z161" s="200"/>
    </row>
    <row r="162" ht="22.5" customHeight="1">
      <c r="A162" s="145"/>
      <c r="B162" s="154"/>
      <c r="C162" s="138"/>
      <c r="D162" s="138"/>
      <c r="E162" s="138"/>
      <c r="F162" s="138"/>
      <c r="G162" s="119"/>
      <c r="H162" s="200"/>
      <c r="I162" s="200"/>
      <c r="J162" s="200"/>
      <c r="K162" s="200"/>
      <c r="L162" s="200"/>
      <c r="M162" s="200"/>
      <c r="N162" s="200"/>
      <c r="O162" s="200"/>
      <c r="P162" s="200"/>
      <c r="Q162" s="200"/>
      <c r="R162" s="200"/>
      <c r="S162" s="200"/>
      <c r="T162" s="200"/>
      <c r="U162" s="200"/>
      <c r="V162" s="200"/>
      <c r="W162" s="200"/>
      <c r="X162" s="200"/>
      <c r="Y162" s="200"/>
      <c r="Z162" s="200"/>
    </row>
    <row r="163" ht="22.5" customHeight="1">
      <c r="A163" s="145"/>
      <c r="B163" s="154"/>
      <c r="C163" s="138"/>
      <c r="D163" s="138"/>
      <c r="E163" s="138"/>
      <c r="F163" s="138"/>
      <c r="G163" s="119"/>
      <c r="H163" s="200"/>
      <c r="I163" s="200"/>
      <c r="J163" s="200"/>
      <c r="K163" s="200"/>
      <c r="L163" s="200"/>
      <c r="M163" s="200"/>
      <c r="N163" s="200"/>
      <c r="O163" s="200"/>
      <c r="P163" s="200"/>
      <c r="Q163" s="200"/>
      <c r="R163" s="200"/>
      <c r="S163" s="200"/>
      <c r="T163" s="200"/>
      <c r="U163" s="200"/>
      <c r="V163" s="200"/>
      <c r="W163" s="200"/>
      <c r="X163" s="200"/>
      <c r="Y163" s="200"/>
      <c r="Z163" s="200"/>
    </row>
    <row r="164" ht="22.5" customHeight="1">
      <c r="A164" s="145"/>
      <c r="B164" s="154"/>
      <c r="C164" s="138"/>
      <c r="D164" s="138"/>
      <c r="E164" s="138"/>
      <c r="F164" s="138"/>
      <c r="G164" s="119"/>
      <c r="H164" s="200"/>
      <c r="I164" s="200"/>
      <c r="J164" s="200"/>
      <c r="K164" s="200"/>
      <c r="L164" s="200"/>
      <c r="M164" s="200"/>
      <c r="N164" s="200"/>
      <c r="O164" s="200"/>
      <c r="P164" s="200"/>
      <c r="Q164" s="200"/>
      <c r="R164" s="200"/>
      <c r="S164" s="200"/>
      <c r="T164" s="200"/>
      <c r="U164" s="200"/>
      <c r="V164" s="200"/>
      <c r="W164" s="200"/>
      <c r="X164" s="200"/>
      <c r="Y164" s="200"/>
      <c r="Z164" s="200"/>
    </row>
    <row r="165" ht="22.5" customHeight="1">
      <c r="A165" s="145"/>
      <c r="B165" s="154"/>
      <c r="C165" s="138"/>
      <c r="D165" s="138"/>
      <c r="E165" s="138"/>
      <c r="F165" s="138"/>
      <c r="G165" s="119"/>
      <c r="H165" s="200"/>
      <c r="I165" s="200"/>
      <c r="J165" s="200"/>
      <c r="K165" s="200"/>
      <c r="L165" s="200"/>
      <c r="M165" s="200"/>
      <c r="N165" s="200"/>
      <c r="O165" s="200"/>
      <c r="P165" s="200"/>
      <c r="Q165" s="200"/>
      <c r="R165" s="200"/>
      <c r="S165" s="200"/>
      <c r="T165" s="200"/>
      <c r="U165" s="200"/>
      <c r="V165" s="200"/>
      <c r="W165" s="200"/>
      <c r="X165" s="200"/>
      <c r="Y165" s="200"/>
      <c r="Z165" s="200"/>
    </row>
    <row r="166" ht="22.5" customHeight="1">
      <c r="A166" s="145"/>
      <c r="B166" s="154"/>
      <c r="C166" s="138"/>
      <c r="D166" s="138"/>
      <c r="E166" s="138"/>
      <c r="F166" s="138"/>
      <c r="G166" s="119"/>
      <c r="H166" s="200"/>
      <c r="I166" s="200"/>
      <c r="J166" s="200"/>
      <c r="K166" s="200"/>
      <c r="L166" s="200"/>
      <c r="M166" s="200"/>
      <c r="N166" s="200"/>
      <c r="O166" s="200"/>
      <c r="P166" s="200"/>
      <c r="Q166" s="200"/>
      <c r="R166" s="200"/>
      <c r="S166" s="200"/>
      <c r="T166" s="200"/>
      <c r="U166" s="200"/>
      <c r="V166" s="200"/>
      <c r="W166" s="200"/>
      <c r="X166" s="200"/>
      <c r="Y166" s="200"/>
      <c r="Z166" s="200"/>
    </row>
    <row r="167" ht="22.5" customHeight="1">
      <c r="A167" s="145"/>
      <c r="B167" s="154"/>
      <c r="C167" s="138"/>
      <c r="D167" s="138"/>
      <c r="E167" s="138"/>
      <c r="F167" s="138"/>
      <c r="G167" s="119"/>
      <c r="H167" s="200"/>
      <c r="I167" s="200"/>
      <c r="J167" s="200"/>
      <c r="K167" s="200"/>
      <c r="L167" s="200"/>
      <c r="M167" s="200"/>
      <c r="N167" s="200"/>
      <c r="O167" s="200"/>
      <c r="P167" s="200"/>
      <c r="Q167" s="200"/>
      <c r="R167" s="200"/>
      <c r="S167" s="200"/>
      <c r="T167" s="200"/>
      <c r="U167" s="200"/>
      <c r="V167" s="200"/>
      <c r="W167" s="200"/>
      <c r="X167" s="200"/>
      <c r="Y167" s="200"/>
      <c r="Z167" s="200"/>
    </row>
    <row r="168" ht="22.5" customHeight="1">
      <c r="A168" s="145"/>
      <c r="B168" s="154"/>
      <c r="C168" s="138"/>
      <c r="D168" s="138"/>
      <c r="E168" s="138"/>
      <c r="F168" s="138"/>
      <c r="G168" s="119"/>
      <c r="H168" s="200"/>
      <c r="I168" s="200"/>
      <c r="J168" s="200"/>
      <c r="K168" s="200"/>
      <c r="L168" s="200"/>
      <c r="M168" s="200"/>
      <c r="N168" s="200"/>
      <c r="O168" s="200"/>
      <c r="P168" s="200"/>
      <c r="Q168" s="200"/>
      <c r="R168" s="200"/>
      <c r="S168" s="200"/>
      <c r="T168" s="200"/>
      <c r="U168" s="200"/>
      <c r="V168" s="200"/>
      <c r="W168" s="200"/>
      <c r="X168" s="200"/>
      <c r="Y168" s="200"/>
      <c r="Z168" s="200"/>
    </row>
    <row r="169" ht="22.5" customHeight="1">
      <c r="A169" s="145"/>
      <c r="B169" s="154"/>
      <c r="C169" s="138"/>
      <c r="D169" s="138"/>
      <c r="E169" s="138"/>
      <c r="F169" s="138"/>
      <c r="G169" s="119"/>
      <c r="H169" s="200"/>
      <c r="I169" s="200"/>
      <c r="J169" s="200"/>
      <c r="K169" s="200"/>
      <c r="L169" s="200"/>
      <c r="M169" s="200"/>
      <c r="N169" s="200"/>
      <c r="O169" s="200"/>
      <c r="P169" s="200"/>
      <c r="Q169" s="200"/>
      <c r="R169" s="200"/>
      <c r="S169" s="200"/>
      <c r="T169" s="200"/>
      <c r="U169" s="200"/>
      <c r="V169" s="200"/>
      <c r="W169" s="200"/>
      <c r="X169" s="200"/>
      <c r="Y169" s="200"/>
      <c r="Z169" s="200"/>
    </row>
    <row r="170" ht="22.5" customHeight="1">
      <c r="A170" s="145"/>
      <c r="B170" s="154"/>
      <c r="C170" s="138"/>
      <c r="D170" s="138"/>
      <c r="E170" s="138"/>
      <c r="F170" s="138"/>
      <c r="G170" s="119"/>
      <c r="H170" s="200"/>
      <c r="I170" s="200"/>
      <c r="J170" s="200"/>
      <c r="K170" s="200"/>
      <c r="L170" s="200"/>
      <c r="M170" s="200"/>
      <c r="N170" s="200"/>
      <c r="O170" s="200"/>
      <c r="P170" s="200"/>
      <c r="Q170" s="200"/>
      <c r="R170" s="200"/>
      <c r="S170" s="200"/>
      <c r="T170" s="200"/>
      <c r="U170" s="200"/>
      <c r="V170" s="200"/>
      <c r="W170" s="200"/>
      <c r="X170" s="200"/>
      <c r="Y170" s="200"/>
      <c r="Z170" s="200"/>
    </row>
    <row r="171" ht="22.5" customHeight="1">
      <c r="A171" s="145"/>
      <c r="B171" s="154"/>
      <c r="C171" s="138"/>
      <c r="D171" s="138"/>
      <c r="E171" s="138"/>
      <c r="F171" s="138"/>
      <c r="G171" s="119"/>
      <c r="H171" s="200"/>
      <c r="I171" s="200"/>
      <c r="J171" s="200"/>
      <c r="K171" s="200"/>
      <c r="L171" s="200"/>
      <c r="M171" s="200"/>
      <c r="N171" s="200"/>
      <c r="O171" s="200"/>
      <c r="P171" s="200"/>
      <c r="Q171" s="200"/>
      <c r="R171" s="200"/>
      <c r="S171" s="200"/>
      <c r="T171" s="200"/>
      <c r="U171" s="200"/>
      <c r="V171" s="200"/>
      <c r="W171" s="200"/>
      <c r="X171" s="200"/>
      <c r="Y171" s="200"/>
      <c r="Z171" s="200"/>
    </row>
    <row r="172" ht="22.5" customHeight="1">
      <c r="A172" s="145"/>
      <c r="B172" s="154"/>
      <c r="C172" s="138"/>
      <c r="D172" s="138"/>
      <c r="E172" s="138"/>
      <c r="F172" s="138"/>
      <c r="G172" s="119"/>
      <c r="H172" s="200"/>
      <c r="I172" s="200"/>
      <c r="J172" s="200"/>
      <c r="K172" s="200"/>
      <c r="L172" s="200"/>
      <c r="M172" s="200"/>
      <c r="N172" s="200"/>
      <c r="O172" s="200"/>
      <c r="P172" s="200"/>
      <c r="Q172" s="200"/>
      <c r="R172" s="200"/>
      <c r="S172" s="200"/>
      <c r="T172" s="200"/>
      <c r="U172" s="200"/>
      <c r="V172" s="200"/>
      <c r="W172" s="200"/>
      <c r="X172" s="200"/>
      <c r="Y172" s="200"/>
      <c r="Z172" s="200"/>
    </row>
    <row r="173" ht="22.5" customHeight="1">
      <c r="A173" s="145"/>
      <c r="B173" s="154"/>
      <c r="C173" s="138"/>
      <c r="D173" s="138"/>
      <c r="E173" s="138"/>
      <c r="F173" s="138"/>
      <c r="G173" s="119"/>
      <c r="H173" s="200"/>
      <c r="I173" s="200"/>
      <c r="J173" s="200"/>
      <c r="K173" s="200"/>
      <c r="L173" s="200"/>
      <c r="M173" s="200"/>
      <c r="N173" s="200"/>
      <c r="O173" s="200"/>
      <c r="P173" s="200"/>
      <c r="Q173" s="200"/>
      <c r="R173" s="200"/>
      <c r="S173" s="200"/>
      <c r="T173" s="200"/>
      <c r="U173" s="200"/>
      <c r="V173" s="200"/>
      <c r="W173" s="200"/>
      <c r="X173" s="200"/>
      <c r="Y173" s="200"/>
      <c r="Z173" s="200"/>
    </row>
    <row r="174" ht="22.5" customHeight="1">
      <c r="A174" s="145"/>
      <c r="B174" s="154"/>
      <c r="C174" s="138"/>
      <c r="D174" s="138"/>
      <c r="E174" s="138"/>
      <c r="F174" s="138"/>
      <c r="G174" s="119"/>
      <c r="H174" s="200"/>
      <c r="I174" s="200"/>
      <c r="J174" s="200"/>
      <c r="K174" s="200"/>
      <c r="L174" s="200"/>
      <c r="M174" s="200"/>
      <c r="N174" s="200"/>
      <c r="O174" s="200"/>
      <c r="P174" s="200"/>
      <c r="Q174" s="200"/>
      <c r="R174" s="200"/>
      <c r="S174" s="200"/>
      <c r="T174" s="200"/>
      <c r="U174" s="200"/>
      <c r="V174" s="200"/>
      <c r="W174" s="200"/>
      <c r="X174" s="200"/>
      <c r="Y174" s="200"/>
      <c r="Z174" s="200"/>
    </row>
    <row r="175" ht="22.5" customHeight="1">
      <c r="A175" s="145"/>
      <c r="B175" s="154"/>
      <c r="C175" s="138"/>
      <c r="D175" s="138"/>
      <c r="E175" s="138"/>
      <c r="F175" s="138"/>
      <c r="G175" s="119"/>
      <c r="H175" s="200"/>
      <c r="I175" s="200"/>
      <c r="J175" s="200"/>
      <c r="K175" s="200"/>
      <c r="L175" s="200"/>
      <c r="M175" s="200"/>
      <c r="N175" s="200"/>
      <c r="O175" s="200"/>
      <c r="P175" s="200"/>
      <c r="Q175" s="200"/>
      <c r="R175" s="200"/>
      <c r="S175" s="200"/>
      <c r="T175" s="200"/>
      <c r="U175" s="200"/>
      <c r="V175" s="200"/>
      <c r="W175" s="200"/>
      <c r="X175" s="200"/>
      <c r="Y175" s="200"/>
      <c r="Z175" s="200"/>
    </row>
    <row r="176" ht="22.5" customHeight="1">
      <c r="A176" s="145"/>
      <c r="B176" s="154"/>
      <c r="C176" s="138"/>
      <c r="D176" s="138"/>
      <c r="E176" s="138"/>
      <c r="F176" s="138"/>
      <c r="G176" s="119"/>
      <c r="H176" s="200"/>
      <c r="I176" s="200"/>
      <c r="J176" s="200"/>
      <c r="K176" s="200"/>
      <c r="L176" s="200"/>
      <c r="M176" s="200"/>
      <c r="N176" s="200"/>
      <c r="O176" s="200"/>
      <c r="P176" s="200"/>
      <c r="Q176" s="200"/>
      <c r="R176" s="200"/>
      <c r="S176" s="200"/>
      <c r="T176" s="200"/>
      <c r="U176" s="200"/>
      <c r="V176" s="200"/>
      <c r="W176" s="200"/>
      <c r="X176" s="200"/>
      <c r="Y176" s="200"/>
      <c r="Z176" s="200"/>
    </row>
    <row r="177" ht="22.5" customHeight="1">
      <c r="A177" s="145"/>
      <c r="B177" s="154"/>
      <c r="C177" s="138"/>
      <c r="D177" s="138"/>
      <c r="E177" s="138"/>
      <c r="F177" s="138"/>
      <c r="G177" s="119"/>
      <c r="H177" s="200"/>
      <c r="I177" s="200"/>
      <c r="J177" s="200"/>
      <c r="K177" s="200"/>
      <c r="L177" s="200"/>
      <c r="M177" s="200"/>
      <c r="N177" s="200"/>
      <c r="O177" s="200"/>
      <c r="P177" s="200"/>
      <c r="Q177" s="200"/>
      <c r="R177" s="200"/>
      <c r="S177" s="200"/>
      <c r="T177" s="200"/>
      <c r="U177" s="200"/>
      <c r="V177" s="200"/>
      <c r="W177" s="200"/>
      <c r="X177" s="200"/>
      <c r="Y177" s="200"/>
      <c r="Z177" s="200"/>
    </row>
    <row r="178" ht="22.5" customHeight="1">
      <c r="A178" s="145"/>
      <c r="B178" s="154"/>
      <c r="C178" s="138"/>
      <c r="D178" s="138"/>
      <c r="E178" s="138"/>
      <c r="F178" s="138"/>
      <c r="G178" s="119"/>
      <c r="H178" s="200"/>
      <c r="I178" s="200"/>
      <c r="J178" s="200"/>
      <c r="K178" s="200"/>
      <c r="L178" s="200"/>
      <c r="M178" s="200"/>
      <c r="N178" s="200"/>
      <c r="O178" s="200"/>
      <c r="P178" s="200"/>
      <c r="Q178" s="200"/>
      <c r="R178" s="200"/>
      <c r="S178" s="200"/>
      <c r="T178" s="200"/>
      <c r="U178" s="200"/>
      <c r="V178" s="200"/>
      <c r="W178" s="200"/>
      <c r="X178" s="200"/>
      <c r="Y178" s="200"/>
      <c r="Z178" s="200"/>
    </row>
    <row r="179" ht="22.5" customHeight="1">
      <c r="A179" s="145"/>
      <c r="B179" s="154"/>
      <c r="C179" s="138"/>
      <c r="D179" s="138"/>
      <c r="E179" s="138"/>
      <c r="F179" s="138"/>
      <c r="G179" s="119"/>
      <c r="H179" s="200"/>
      <c r="I179" s="200"/>
      <c r="J179" s="200"/>
      <c r="K179" s="200"/>
      <c r="L179" s="200"/>
      <c r="M179" s="200"/>
      <c r="N179" s="200"/>
      <c r="O179" s="200"/>
      <c r="P179" s="200"/>
      <c r="Q179" s="200"/>
      <c r="R179" s="200"/>
      <c r="S179" s="200"/>
      <c r="T179" s="200"/>
      <c r="U179" s="200"/>
      <c r="V179" s="200"/>
      <c r="W179" s="200"/>
      <c r="X179" s="200"/>
      <c r="Y179" s="200"/>
      <c r="Z179" s="200"/>
    </row>
    <row r="180" ht="22.5" customHeight="1">
      <c r="A180" s="145"/>
      <c r="B180" s="154"/>
      <c r="C180" s="138"/>
      <c r="D180" s="138"/>
      <c r="E180" s="138"/>
      <c r="F180" s="138"/>
      <c r="G180" s="119"/>
      <c r="H180" s="200"/>
      <c r="I180" s="200"/>
      <c r="J180" s="200"/>
      <c r="K180" s="200"/>
      <c r="L180" s="200"/>
      <c r="M180" s="200"/>
      <c r="N180" s="200"/>
      <c r="O180" s="200"/>
      <c r="P180" s="200"/>
      <c r="Q180" s="200"/>
      <c r="R180" s="200"/>
      <c r="S180" s="200"/>
      <c r="T180" s="200"/>
      <c r="U180" s="200"/>
      <c r="V180" s="200"/>
      <c r="W180" s="200"/>
      <c r="X180" s="200"/>
      <c r="Y180" s="200"/>
      <c r="Z180" s="200"/>
    </row>
    <row r="181" ht="22.5" customHeight="1">
      <c r="A181" s="145"/>
      <c r="B181" s="154"/>
      <c r="C181" s="138"/>
      <c r="D181" s="138"/>
      <c r="E181" s="138"/>
      <c r="F181" s="138"/>
      <c r="G181" s="119"/>
      <c r="H181" s="200"/>
      <c r="I181" s="200"/>
      <c r="J181" s="200"/>
      <c r="K181" s="200"/>
      <c r="L181" s="200"/>
      <c r="M181" s="200"/>
      <c r="N181" s="200"/>
      <c r="O181" s="200"/>
      <c r="P181" s="200"/>
      <c r="Q181" s="200"/>
      <c r="R181" s="200"/>
      <c r="S181" s="200"/>
      <c r="T181" s="200"/>
      <c r="U181" s="200"/>
      <c r="V181" s="200"/>
      <c r="W181" s="200"/>
      <c r="X181" s="200"/>
      <c r="Y181" s="200"/>
      <c r="Z181" s="200"/>
    </row>
    <row r="182" ht="22.5" customHeight="1">
      <c r="A182" s="145"/>
      <c r="B182" s="154"/>
      <c r="C182" s="138"/>
      <c r="D182" s="138"/>
      <c r="E182" s="138"/>
      <c r="F182" s="138"/>
      <c r="G182" s="119"/>
      <c r="H182" s="200"/>
      <c r="I182" s="200"/>
      <c r="J182" s="200"/>
      <c r="K182" s="200"/>
      <c r="L182" s="200"/>
      <c r="M182" s="200"/>
      <c r="N182" s="200"/>
      <c r="O182" s="200"/>
      <c r="P182" s="200"/>
      <c r="Q182" s="200"/>
      <c r="R182" s="200"/>
      <c r="S182" s="200"/>
      <c r="T182" s="200"/>
      <c r="U182" s="200"/>
      <c r="V182" s="200"/>
      <c r="W182" s="200"/>
      <c r="X182" s="200"/>
      <c r="Y182" s="200"/>
      <c r="Z182" s="200"/>
    </row>
    <row r="183" ht="22.5" customHeight="1">
      <c r="A183" s="145"/>
      <c r="B183" s="154"/>
      <c r="C183" s="138"/>
      <c r="D183" s="138"/>
      <c r="E183" s="138"/>
      <c r="F183" s="138"/>
      <c r="G183" s="119"/>
      <c r="H183" s="200"/>
      <c r="I183" s="200"/>
      <c r="J183" s="200"/>
      <c r="K183" s="200"/>
      <c r="L183" s="200"/>
      <c r="M183" s="200"/>
      <c r="N183" s="200"/>
      <c r="O183" s="200"/>
      <c r="P183" s="200"/>
      <c r="Q183" s="200"/>
      <c r="R183" s="200"/>
      <c r="S183" s="200"/>
      <c r="T183" s="200"/>
      <c r="U183" s="200"/>
      <c r="V183" s="200"/>
      <c r="W183" s="200"/>
      <c r="X183" s="200"/>
      <c r="Y183" s="200"/>
      <c r="Z183" s="200"/>
    </row>
    <row r="184" ht="22.5" customHeight="1">
      <c r="A184" s="145"/>
      <c r="B184" s="154"/>
      <c r="C184" s="138"/>
      <c r="D184" s="138"/>
      <c r="E184" s="138"/>
      <c r="F184" s="138"/>
      <c r="G184" s="119"/>
      <c r="H184" s="200"/>
      <c r="I184" s="200"/>
      <c r="J184" s="200"/>
      <c r="K184" s="200"/>
      <c r="L184" s="200"/>
      <c r="M184" s="200"/>
      <c r="N184" s="200"/>
      <c r="O184" s="200"/>
      <c r="P184" s="200"/>
      <c r="Q184" s="200"/>
      <c r="R184" s="200"/>
      <c r="S184" s="200"/>
      <c r="T184" s="200"/>
      <c r="U184" s="200"/>
      <c r="V184" s="200"/>
      <c r="W184" s="200"/>
      <c r="X184" s="200"/>
      <c r="Y184" s="200"/>
      <c r="Z184" s="200"/>
    </row>
    <row r="185" ht="22.5" customHeight="1">
      <c r="A185" s="145"/>
      <c r="B185" s="154"/>
      <c r="C185" s="138"/>
      <c r="D185" s="138"/>
      <c r="E185" s="138"/>
      <c r="F185" s="138"/>
      <c r="G185" s="119"/>
      <c r="H185" s="200"/>
      <c r="I185" s="200"/>
      <c r="J185" s="200"/>
      <c r="K185" s="200"/>
      <c r="L185" s="200"/>
      <c r="M185" s="200"/>
      <c r="N185" s="200"/>
      <c r="O185" s="200"/>
      <c r="P185" s="200"/>
      <c r="Q185" s="200"/>
      <c r="R185" s="200"/>
      <c r="S185" s="200"/>
      <c r="T185" s="200"/>
      <c r="U185" s="200"/>
      <c r="V185" s="200"/>
      <c r="W185" s="200"/>
      <c r="X185" s="200"/>
      <c r="Y185" s="200"/>
      <c r="Z185" s="200"/>
    </row>
    <row r="186" ht="22.5" customHeight="1">
      <c r="A186" s="145"/>
      <c r="B186" s="154"/>
      <c r="C186" s="138"/>
      <c r="D186" s="138"/>
      <c r="E186" s="138"/>
      <c r="F186" s="138"/>
      <c r="G186" s="119"/>
      <c r="H186" s="200"/>
      <c r="I186" s="200"/>
      <c r="J186" s="200"/>
      <c r="K186" s="200"/>
      <c r="L186" s="200"/>
      <c r="M186" s="200"/>
      <c r="N186" s="200"/>
      <c r="O186" s="200"/>
      <c r="P186" s="200"/>
      <c r="Q186" s="200"/>
      <c r="R186" s="200"/>
      <c r="S186" s="200"/>
      <c r="T186" s="200"/>
      <c r="U186" s="200"/>
      <c r="V186" s="200"/>
      <c r="W186" s="200"/>
      <c r="X186" s="200"/>
      <c r="Y186" s="200"/>
      <c r="Z186" s="200"/>
    </row>
    <row r="187" ht="22.5" customHeight="1">
      <c r="A187" s="145"/>
      <c r="B187" s="154"/>
      <c r="C187" s="138"/>
      <c r="D187" s="138"/>
      <c r="E187" s="138"/>
      <c r="F187" s="138"/>
      <c r="G187" s="119"/>
      <c r="H187" s="200"/>
      <c r="I187" s="200"/>
      <c r="J187" s="200"/>
      <c r="K187" s="200"/>
      <c r="L187" s="200"/>
      <c r="M187" s="200"/>
      <c r="N187" s="200"/>
      <c r="O187" s="200"/>
      <c r="P187" s="200"/>
      <c r="Q187" s="200"/>
      <c r="R187" s="200"/>
      <c r="S187" s="200"/>
      <c r="T187" s="200"/>
      <c r="U187" s="200"/>
      <c r="V187" s="200"/>
      <c r="W187" s="200"/>
      <c r="X187" s="200"/>
      <c r="Y187" s="200"/>
      <c r="Z187" s="200"/>
    </row>
    <row r="188" ht="22.5" customHeight="1">
      <c r="A188" s="145"/>
      <c r="B188" s="154"/>
      <c r="C188" s="138"/>
      <c r="D188" s="138"/>
      <c r="E188" s="138"/>
      <c r="F188" s="138"/>
      <c r="G188" s="119"/>
      <c r="H188" s="200"/>
      <c r="I188" s="200"/>
      <c r="J188" s="200"/>
      <c r="K188" s="200"/>
      <c r="L188" s="200"/>
      <c r="M188" s="200"/>
      <c r="N188" s="200"/>
      <c r="O188" s="200"/>
      <c r="P188" s="200"/>
      <c r="Q188" s="200"/>
      <c r="R188" s="200"/>
      <c r="S188" s="200"/>
      <c r="T188" s="200"/>
      <c r="U188" s="200"/>
      <c r="V188" s="200"/>
      <c r="W188" s="200"/>
      <c r="X188" s="200"/>
      <c r="Y188" s="200"/>
      <c r="Z188" s="200"/>
    </row>
    <row r="189" ht="22.5" customHeight="1">
      <c r="A189" s="145"/>
      <c r="B189" s="154"/>
      <c r="C189" s="138"/>
      <c r="D189" s="138"/>
      <c r="E189" s="138"/>
      <c r="F189" s="138"/>
      <c r="G189" s="119"/>
      <c r="H189" s="200"/>
      <c r="I189" s="200"/>
      <c r="J189" s="200"/>
      <c r="K189" s="200"/>
      <c r="L189" s="200"/>
      <c r="M189" s="200"/>
      <c r="N189" s="200"/>
      <c r="O189" s="200"/>
      <c r="P189" s="200"/>
      <c r="Q189" s="200"/>
      <c r="R189" s="200"/>
      <c r="S189" s="200"/>
      <c r="T189" s="200"/>
      <c r="U189" s="200"/>
      <c r="V189" s="200"/>
      <c r="W189" s="200"/>
      <c r="X189" s="200"/>
      <c r="Y189" s="200"/>
      <c r="Z189" s="200"/>
    </row>
    <row r="190" ht="22.5" customHeight="1">
      <c r="A190" s="145"/>
      <c r="B190" s="154"/>
      <c r="C190" s="138"/>
      <c r="D190" s="138"/>
      <c r="E190" s="138"/>
      <c r="F190" s="138"/>
      <c r="G190" s="119"/>
      <c r="H190" s="200"/>
      <c r="I190" s="200"/>
      <c r="J190" s="200"/>
      <c r="K190" s="200"/>
      <c r="L190" s="200"/>
      <c r="M190" s="200"/>
      <c r="N190" s="200"/>
      <c r="O190" s="200"/>
      <c r="P190" s="200"/>
      <c r="Q190" s="200"/>
      <c r="R190" s="200"/>
      <c r="S190" s="200"/>
      <c r="T190" s="200"/>
      <c r="U190" s="200"/>
      <c r="V190" s="200"/>
      <c r="W190" s="200"/>
      <c r="X190" s="200"/>
      <c r="Y190" s="200"/>
      <c r="Z190" s="200"/>
    </row>
    <row r="191" ht="22.5" customHeight="1">
      <c r="A191" s="145"/>
      <c r="B191" s="154"/>
      <c r="C191" s="138"/>
      <c r="D191" s="138"/>
      <c r="E191" s="138"/>
      <c r="F191" s="138"/>
      <c r="G191" s="119"/>
      <c r="H191" s="200"/>
      <c r="I191" s="200"/>
      <c r="J191" s="200"/>
      <c r="K191" s="200"/>
      <c r="L191" s="200"/>
      <c r="M191" s="200"/>
      <c r="N191" s="200"/>
      <c r="O191" s="200"/>
      <c r="P191" s="200"/>
      <c r="Q191" s="200"/>
      <c r="R191" s="200"/>
      <c r="S191" s="200"/>
      <c r="T191" s="200"/>
      <c r="U191" s="200"/>
      <c r="V191" s="200"/>
      <c r="W191" s="200"/>
      <c r="X191" s="200"/>
      <c r="Y191" s="200"/>
      <c r="Z191" s="200"/>
    </row>
    <row r="192" ht="22.5" customHeight="1">
      <c r="A192" s="145"/>
      <c r="B192" s="154"/>
      <c r="C192" s="138"/>
      <c r="D192" s="138"/>
      <c r="E192" s="138"/>
      <c r="F192" s="138"/>
      <c r="G192" s="119"/>
      <c r="H192" s="200"/>
      <c r="I192" s="200"/>
      <c r="J192" s="200"/>
      <c r="K192" s="200"/>
      <c r="L192" s="200"/>
      <c r="M192" s="200"/>
      <c r="N192" s="200"/>
      <c r="O192" s="200"/>
      <c r="P192" s="200"/>
      <c r="Q192" s="200"/>
      <c r="R192" s="200"/>
      <c r="S192" s="200"/>
      <c r="T192" s="200"/>
      <c r="U192" s="200"/>
      <c r="V192" s="200"/>
      <c r="W192" s="200"/>
      <c r="X192" s="200"/>
      <c r="Y192" s="200"/>
      <c r="Z192" s="200"/>
    </row>
    <row r="193" ht="22.5" customHeight="1">
      <c r="A193" s="145"/>
      <c r="B193" s="154"/>
      <c r="C193" s="138"/>
      <c r="D193" s="138"/>
      <c r="E193" s="138"/>
      <c r="F193" s="138"/>
      <c r="G193" s="119"/>
      <c r="H193" s="200"/>
      <c r="I193" s="200"/>
      <c r="J193" s="200"/>
      <c r="K193" s="200"/>
      <c r="L193" s="200"/>
      <c r="M193" s="200"/>
      <c r="N193" s="200"/>
      <c r="O193" s="200"/>
      <c r="P193" s="200"/>
      <c r="Q193" s="200"/>
      <c r="R193" s="200"/>
      <c r="S193" s="200"/>
      <c r="T193" s="200"/>
      <c r="U193" s="200"/>
      <c r="V193" s="200"/>
      <c r="W193" s="200"/>
      <c r="X193" s="200"/>
      <c r="Y193" s="200"/>
      <c r="Z193" s="200"/>
    </row>
    <row r="194" ht="22.5" customHeight="1">
      <c r="A194" s="145"/>
      <c r="B194" s="154"/>
      <c r="C194" s="138"/>
      <c r="D194" s="138"/>
      <c r="E194" s="138"/>
      <c r="F194" s="138"/>
      <c r="G194" s="119"/>
      <c r="H194" s="200"/>
      <c r="I194" s="200"/>
      <c r="J194" s="200"/>
      <c r="K194" s="200"/>
      <c r="L194" s="200"/>
      <c r="M194" s="200"/>
      <c r="N194" s="200"/>
      <c r="O194" s="200"/>
      <c r="P194" s="200"/>
      <c r="Q194" s="200"/>
      <c r="R194" s="200"/>
      <c r="S194" s="200"/>
      <c r="T194" s="200"/>
      <c r="U194" s="200"/>
      <c r="V194" s="200"/>
      <c r="W194" s="200"/>
      <c r="X194" s="200"/>
      <c r="Y194" s="200"/>
      <c r="Z194" s="200"/>
    </row>
    <row r="195" ht="22.5" customHeight="1">
      <c r="A195" s="145"/>
      <c r="B195" s="154"/>
      <c r="C195" s="138"/>
      <c r="D195" s="138"/>
      <c r="E195" s="138"/>
      <c r="F195" s="138"/>
      <c r="G195" s="119"/>
      <c r="H195" s="200"/>
      <c r="I195" s="200"/>
      <c r="J195" s="200"/>
      <c r="K195" s="200"/>
      <c r="L195" s="200"/>
      <c r="M195" s="200"/>
      <c r="N195" s="200"/>
      <c r="O195" s="200"/>
      <c r="P195" s="200"/>
      <c r="Q195" s="200"/>
      <c r="R195" s="200"/>
      <c r="S195" s="200"/>
      <c r="T195" s="200"/>
      <c r="U195" s="200"/>
      <c r="V195" s="200"/>
      <c r="W195" s="200"/>
      <c r="X195" s="200"/>
      <c r="Y195" s="200"/>
      <c r="Z195" s="200"/>
    </row>
    <row r="196" ht="22.5" customHeight="1">
      <c r="A196" s="145"/>
      <c r="B196" s="154"/>
      <c r="C196" s="138"/>
      <c r="D196" s="138"/>
      <c r="E196" s="138"/>
      <c r="F196" s="138"/>
      <c r="G196" s="119"/>
      <c r="H196" s="200"/>
      <c r="I196" s="200"/>
      <c r="J196" s="200"/>
      <c r="K196" s="200"/>
      <c r="L196" s="200"/>
      <c r="M196" s="200"/>
      <c r="N196" s="200"/>
      <c r="O196" s="200"/>
      <c r="P196" s="200"/>
      <c r="Q196" s="200"/>
      <c r="R196" s="200"/>
      <c r="S196" s="200"/>
      <c r="T196" s="200"/>
      <c r="U196" s="200"/>
      <c r="V196" s="200"/>
      <c r="W196" s="200"/>
      <c r="X196" s="200"/>
      <c r="Y196" s="200"/>
      <c r="Z196" s="200"/>
    </row>
    <row r="197" ht="22.5" customHeight="1">
      <c r="A197" s="145"/>
      <c r="B197" s="154"/>
      <c r="C197" s="138"/>
      <c r="D197" s="138"/>
      <c r="E197" s="138"/>
      <c r="F197" s="138"/>
      <c r="G197" s="119"/>
      <c r="H197" s="200"/>
      <c r="I197" s="200"/>
      <c r="J197" s="200"/>
      <c r="K197" s="200"/>
      <c r="L197" s="200"/>
      <c r="M197" s="200"/>
      <c r="N197" s="200"/>
      <c r="O197" s="200"/>
      <c r="P197" s="200"/>
      <c r="Q197" s="200"/>
      <c r="R197" s="200"/>
      <c r="S197" s="200"/>
      <c r="T197" s="200"/>
      <c r="U197" s="200"/>
      <c r="V197" s="200"/>
      <c r="W197" s="200"/>
      <c r="X197" s="200"/>
      <c r="Y197" s="200"/>
      <c r="Z197" s="200"/>
    </row>
    <row r="198" ht="22.5" customHeight="1">
      <c r="A198" s="145"/>
      <c r="B198" s="154"/>
      <c r="C198" s="138"/>
      <c r="D198" s="138"/>
      <c r="E198" s="138"/>
      <c r="F198" s="138"/>
      <c r="G198" s="119"/>
      <c r="H198" s="200"/>
      <c r="I198" s="200"/>
      <c r="J198" s="200"/>
      <c r="K198" s="200"/>
      <c r="L198" s="200"/>
      <c r="M198" s="200"/>
      <c r="N198" s="200"/>
      <c r="O198" s="200"/>
      <c r="P198" s="200"/>
      <c r="Q198" s="200"/>
      <c r="R198" s="200"/>
      <c r="S198" s="200"/>
      <c r="T198" s="200"/>
      <c r="U198" s="200"/>
      <c r="V198" s="200"/>
      <c r="W198" s="200"/>
      <c r="X198" s="200"/>
      <c r="Y198" s="200"/>
      <c r="Z198" s="200"/>
    </row>
    <row r="199" ht="22.5" customHeight="1">
      <c r="A199" s="145"/>
      <c r="B199" s="154"/>
      <c r="C199" s="138"/>
      <c r="D199" s="138"/>
      <c r="E199" s="138"/>
      <c r="F199" s="138"/>
      <c r="G199" s="119"/>
      <c r="H199" s="200"/>
      <c r="I199" s="200"/>
      <c r="J199" s="200"/>
      <c r="K199" s="200"/>
      <c r="L199" s="200"/>
      <c r="M199" s="200"/>
      <c r="N199" s="200"/>
      <c r="O199" s="200"/>
      <c r="P199" s="200"/>
      <c r="Q199" s="200"/>
      <c r="R199" s="200"/>
      <c r="S199" s="200"/>
      <c r="T199" s="200"/>
      <c r="U199" s="200"/>
      <c r="V199" s="200"/>
      <c r="W199" s="200"/>
      <c r="X199" s="200"/>
      <c r="Y199" s="200"/>
      <c r="Z199" s="200"/>
    </row>
    <row r="200" ht="22.5" customHeight="1">
      <c r="A200" s="145"/>
      <c r="B200" s="154"/>
      <c r="C200" s="138"/>
      <c r="D200" s="138"/>
      <c r="E200" s="138"/>
      <c r="F200" s="138"/>
      <c r="G200" s="119"/>
      <c r="H200" s="200"/>
      <c r="I200" s="200"/>
      <c r="J200" s="200"/>
      <c r="K200" s="200"/>
      <c r="L200" s="200"/>
      <c r="M200" s="200"/>
      <c r="N200" s="200"/>
      <c r="O200" s="200"/>
      <c r="P200" s="200"/>
      <c r="Q200" s="200"/>
      <c r="R200" s="200"/>
      <c r="S200" s="200"/>
      <c r="T200" s="200"/>
      <c r="U200" s="200"/>
      <c r="V200" s="200"/>
      <c r="W200" s="200"/>
      <c r="X200" s="200"/>
      <c r="Y200" s="200"/>
      <c r="Z200" s="200"/>
    </row>
    <row r="201" ht="22.5" customHeight="1">
      <c r="A201" s="145"/>
      <c r="B201" s="154"/>
      <c r="C201" s="138"/>
      <c r="D201" s="138"/>
      <c r="E201" s="138"/>
      <c r="F201" s="138"/>
      <c r="G201" s="119"/>
      <c r="H201" s="200"/>
      <c r="I201" s="200"/>
      <c r="J201" s="200"/>
      <c r="K201" s="200"/>
      <c r="L201" s="200"/>
      <c r="M201" s="200"/>
      <c r="N201" s="200"/>
      <c r="O201" s="200"/>
      <c r="P201" s="200"/>
      <c r="Q201" s="200"/>
      <c r="R201" s="200"/>
      <c r="S201" s="200"/>
      <c r="T201" s="200"/>
      <c r="U201" s="200"/>
      <c r="V201" s="200"/>
      <c r="W201" s="200"/>
      <c r="X201" s="200"/>
      <c r="Y201" s="200"/>
      <c r="Z201" s="200"/>
    </row>
    <row r="202" ht="22.5" customHeight="1">
      <c r="A202" s="145"/>
      <c r="B202" s="154"/>
      <c r="C202" s="138"/>
      <c r="D202" s="138"/>
      <c r="E202" s="138"/>
      <c r="F202" s="138"/>
      <c r="G202" s="119"/>
      <c r="H202" s="200"/>
      <c r="I202" s="200"/>
      <c r="J202" s="200"/>
      <c r="K202" s="200"/>
      <c r="L202" s="200"/>
      <c r="M202" s="200"/>
      <c r="N202" s="200"/>
      <c r="O202" s="200"/>
      <c r="P202" s="200"/>
      <c r="Q202" s="200"/>
      <c r="R202" s="200"/>
      <c r="S202" s="200"/>
      <c r="T202" s="200"/>
      <c r="U202" s="200"/>
      <c r="V202" s="200"/>
      <c r="W202" s="200"/>
      <c r="X202" s="200"/>
      <c r="Y202" s="200"/>
      <c r="Z202" s="200"/>
    </row>
    <row r="203" ht="22.5" customHeight="1">
      <c r="A203" s="145"/>
      <c r="B203" s="154"/>
      <c r="C203" s="138"/>
      <c r="D203" s="138"/>
      <c r="E203" s="138"/>
      <c r="F203" s="138"/>
      <c r="G203" s="119"/>
      <c r="H203" s="200"/>
      <c r="I203" s="200"/>
      <c r="J203" s="200"/>
      <c r="K203" s="200"/>
      <c r="L203" s="200"/>
      <c r="M203" s="200"/>
      <c r="N203" s="200"/>
      <c r="O203" s="200"/>
      <c r="P203" s="200"/>
      <c r="Q203" s="200"/>
      <c r="R203" s="200"/>
      <c r="S203" s="200"/>
      <c r="T203" s="200"/>
      <c r="U203" s="200"/>
      <c r="V203" s="200"/>
      <c r="W203" s="200"/>
      <c r="X203" s="200"/>
      <c r="Y203" s="200"/>
      <c r="Z203" s="200"/>
    </row>
    <row r="204" ht="22.5" customHeight="1">
      <c r="A204" s="145"/>
      <c r="B204" s="154"/>
      <c r="C204" s="138"/>
      <c r="D204" s="138"/>
      <c r="E204" s="138"/>
      <c r="F204" s="138"/>
      <c r="G204" s="119"/>
      <c r="H204" s="200"/>
      <c r="I204" s="200"/>
      <c r="J204" s="200"/>
      <c r="K204" s="200"/>
      <c r="L204" s="200"/>
      <c r="M204" s="200"/>
      <c r="N204" s="200"/>
      <c r="O204" s="200"/>
      <c r="P204" s="200"/>
      <c r="Q204" s="200"/>
      <c r="R204" s="200"/>
      <c r="S204" s="200"/>
      <c r="T204" s="200"/>
      <c r="U204" s="200"/>
      <c r="V204" s="200"/>
      <c r="W204" s="200"/>
      <c r="X204" s="200"/>
      <c r="Y204" s="200"/>
      <c r="Z204" s="200"/>
    </row>
    <row r="205" ht="22.5" customHeight="1">
      <c r="A205" s="145"/>
      <c r="B205" s="154"/>
      <c r="C205" s="138"/>
      <c r="D205" s="138"/>
      <c r="E205" s="138"/>
      <c r="F205" s="138"/>
      <c r="G205" s="119"/>
      <c r="H205" s="200"/>
      <c r="I205" s="200"/>
      <c r="J205" s="200"/>
      <c r="K205" s="200"/>
      <c r="L205" s="200"/>
      <c r="M205" s="200"/>
      <c r="N205" s="200"/>
      <c r="O205" s="200"/>
      <c r="P205" s="200"/>
      <c r="Q205" s="200"/>
      <c r="R205" s="200"/>
      <c r="S205" s="200"/>
      <c r="T205" s="200"/>
      <c r="U205" s="200"/>
      <c r="V205" s="200"/>
      <c r="W205" s="200"/>
      <c r="X205" s="200"/>
      <c r="Y205" s="200"/>
      <c r="Z205" s="200"/>
    </row>
    <row r="206" ht="22.5" customHeight="1">
      <c r="A206" s="145"/>
      <c r="B206" s="154"/>
      <c r="C206" s="138"/>
      <c r="D206" s="138"/>
      <c r="E206" s="138"/>
      <c r="F206" s="138"/>
      <c r="G206" s="119"/>
      <c r="H206" s="200"/>
      <c r="I206" s="200"/>
      <c r="J206" s="200"/>
      <c r="K206" s="200"/>
      <c r="L206" s="200"/>
      <c r="M206" s="200"/>
      <c r="N206" s="200"/>
      <c r="O206" s="200"/>
      <c r="P206" s="200"/>
      <c r="Q206" s="200"/>
      <c r="R206" s="200"/>
      <c r="S206" s="200"/>
      <c r="T206" s="200"/>
      <c r="U206" s="200"/>
      <c r="V206" s="200"/>
      <c r="W206" s="200"/>
      <c r="X206" s="200"/>
      <c r="Y206" s="200"/>
      <c r="Z206" s="200"/>
    </row>
    <row r="207" ht="22.5" customHeight="1">
      <c r="A207" s="145"/>
      <c r="B207" s="154"/>
      <c r="C207" s="138"/>
      <c r="D207" s="138"/>
      <c r="E207" s="138"/>
      <c r="F207" s="138"/>
      <c r="G207" s="119"/>
      <c r="H207" s="200"/>
      <c r="I207" s="200"/>
      <c r="J207" s="200"/>
      <c r="K207" s="200"/>
      <c r="L207" s="200"/>
      <c r="M207" s="200"/>
      <c r="N207" s="200"/>
      <c r="O207" s="200"/>
      <c r="P207" s="200"/>
      <c r="Q207" s="200"/>
      <c r="R207" s="200"/>
      <c r="S207" s="200"/>
      <c r="T207" s="200"/>
      <c r="U207" s="200"/>
      <c r="V207" s="200"/>
      <c r="W207" s="200"/>
      <c r="X207" s="200"/>
      <c r="Y207" s="200"/>
      <c r="Z207" s="200"/>
    </row>
    <row r="208" ht="22.5" customHeight="1">
      <c r="A208" s="145"/>
      <c r="B208" s="154"/>
      <c r="C208" s="138"/>
      <c r="D208" s="138"/>
      <c r="E208" s="138"/>
      <c r="F208" s="138"/>
      <c r="G208" s="119"/>
      <c r="H208" s="200"/>
      <c r="I208" s="200"/>
      <c r="J208" s="200"/>
      <c r="K208" s="200"/>
      <c r="L208" s="200"/>
      <c r="M208" s="200"/>
      <c r="N208" s="200"/>
      <c r="O208" s="200"/>
      <c r="P208" s="200"/>
      <c r="Q208" s="200"/>
      <c r="R208" s="200"/>
      <c r="S208" s="200"/>
      <c r="T208" s="200"/>
      <c r="U208" s="200"/>
      <c r="V208" s="200"/>
      <c r="W208" s="200"/>
      <c r="X208" s="200"/>
      <c r="Y208" s="200"/>
      <c r="Z208" s="200"/>
    </row>
    <row r="209" ht="22.5" customHeight="1">
      <c r="A209" s="145"/>
      <c r="B209" s="154"/>
      <c r="C209" s="138"/>
      <c r="D209" s="138"/>
      <c r="E209" s="138"/>
      <c r="F209" s="138"/>
      <c r="G209" s="119"/>
      <c r="H209" s="200"/>
      <c r="I209" s="200"/>
      <c r="J209" s="200"/>
      <c r="K209" s="200"/>
      <c r="L209" s="200"/>
      <c r="M209" s="200"/>
      <c r="N209" s="200"/>
      <c r="O209" s="200"/>
      <c r="P209" s="200"/>
      <c r="Q209" s="200"/>
      <c r="R209" s="200"/>
      <c r="S209" s="200"/>
      <c r="T209" s="200"/>
      <c r="U209" s="200"/>
      <c r="V209" s="200"/>
      <c r="W209" s="200"/>
      <c r="X209" s="200"/>
      <c r="Y209" s="200"/>
      <c r="Z209" s="200"/>
    </row>
    <row r="210" ht="22.5" customHeight="1">
      <c r="A210" s="145"/>
      <c r="B210" s="154"/>
      <c r="C210" s="138"/>
      <c r="D210" s="138"/>
      <c r="E210" s="138"/>
      <c r="F210" s="138"/>
      <c r="G210" s="119"/>
      <c r="H210" s="200"/>
      <c r="I210" s="200"/>
      <c r="J210" s="200"/>
      <c r="K210" s="200"/>
      <c r="L210" s="200"/>
      <c r="M210" s="200"/>
      <c r="N210" s="200"/>
      <c r="O210" s="200"/>
      <c r="P210" s="200"/>
      <c r="Q210" s="200"/>
      <c r="R210" s="200"/>
      <c r="S210" s="200"/>
      <c r="T210" s="200"/>
      <c r="U210" s="200"/>
      <c r="V210" s="200"/>
      <c r="W210" s="200"/>
      <c r="X210" s="200"/>
      <c r="Y210" s="200"/>
      <c r="Z210" s="200"/>
    </row>
    <row r="211" ht="22.5" customHeight="1">
      <c r="A211" s="145"/>
      <c r="B211" s="154"/>
      <c r="C211" s="138"/>
      <c r="D211" s="138"/>
      <c r="E211" s="138"/>
      <c r="F211" s="138"/>
      <c r="G211" s="119"/>
      <c r="H211" s="200"/>
      <c r="I211" s="200"/>
      <c r="J211" s="200"/>
      <c r="K211" s="200"/>
      <c r="L211" s="200"/>
      <c r="M211" s="200"/>
      <c r="N211" s="200"/>
      <c r="O211" s="200"/>
      <c r="P211" s="200"/>
      <c r="Q211" s="200"/>
      <c r="R211" s="200"/>
      <c r="S211" s="200"/>
      <c r="T211" s="200"/>
      <c r="U211" s="200"/>
      <c r="V211" s="200"/>
      <c r="W211" s="200"/>
      <c r="X211" s="200"/>
      <c r="Y211" s="200"/>
      <c r="Z211" s="200"/>
    </row>
    <row r="212" ht="22.5" customHeight="1">
      <c r="A212" s="145"/>
      <c r="B212" s="154"/>
      <c r="C212" s="138"/>
      <c r="D212" s="138"/>
      <c r="E212" s="138"/>
      <c r="F212" s="138"/>
      <c r="G212" s="119"/>
      <c r="H212" s="200"/>
      <c r="I212" s="200"/>
      <c r="J212" s="200"/>
      <c r="K212" s="200"/>
      <c r="L212" s="200"/>
      <c r="M212" s="200"/>
      <c r="N212" s="200"/>
      <c r="O212" s="200"/>
      <c r="P212" s="200"/>
      <c r="Q212" s="200"/>
      <c r="R212" s="200"/>
      <c r="S212" s="200"/>
      <c r="T212" s="200"/>
      <c r="U212" s="200"/>
      <c r="V212" s="200"/>
      <c r="W212" s="200"/>
      <c r="X212" s="200"/>
      <c r="Y212" s="200"/>
      <c r="Z212" s="200"/>
    </row>
    <row r="213" ht="22.5" customHeight="1">
      <c r="A213" s="145"/>
      <c r="B213" s="154"/>
      <c r="C213" s="138"/>
      <c r="D213" s="138"/>
      <c r="E213" s="138"/>
      <c r="F213" s="138"/>
      <c r="G213" s="119"/>
      <c r="H213" s="200"/>
      <c r="I213" s="200"/>
      <c r="J213" s="200"/>
      <c r="K213" s="200"/>
      <c r="L213" s="200"/>
      <c r="M213" s="200"/>
      <c r="N213" s="200"/>
      <c r="O213" s="200"/>
      <c r="P213" s="200"/>
      <c r="Q213" s="200"/>
      <c r="R213" s="200"/>
      <c r="S213" s="200"/>
      <c r="T213" s="200"/>
      <c r="U213" s="200"/>
      <c r="V213" s="200"/>
      <c r="W213" s="200"/>
      <c r="X213" s="200"/>
      <c r="Y213" s="200"/>
      <c r="Z213" s="200"/>
    </row>
    <row r="214" ht="22.5" customHeight="1">
      <c r="A214" s="145"/>
      <c r="B214" s="154"/>
      <c r="C214" s="138"/>
      <c r="D214" s="138"/>
      <c r="E214" s="138"/>
      <c r="F214" s="138"/>
      <c r="G214" s="119"/>
      <c r="H214" s="200"/>
      <c r="I214" s="200"/>
      <c r="J214" s="200"/>
      <c r="K214" s="200"/>
      <c r="L214" s="200"/>
      <c r="M214" s="200"/>
      <c r="N214" s="200"/>
      <c r="O214" s="200"/>
      <c r="P214" s="200"/>
      <c r="Q214" s="200"/>
      <c r="R214" s="200"/>
      <c r="S214" s="200"/>
      <c r="T214" s="200"/>
      <c r="U214" s="200"/>
      <c r="V214" s="200"/>
      <c r="W214" s="200"/>
      <c r="X214" s="200"/>
      <c r="Y214" s="200"/>
      <c r="Z214" s="200"/>
    </row>
    <row r="215" ht="22.5" customHeight="1">
      <c r="A215" s="145"/>
      <c r="B215" s="154"/>
      <c r="C215" s="138"/>
      <c r="D215" s="138"/>
      <c r="E215" s="138"/>
      <c r="F215" s="138"/>
      <c r="G215" s="119"/>
      <c r="H215" s="200"/>
      <c r="I215" s="200"/>
      <c r="J215" s="200"/>
      <c r="K215" s="200"/>
      <c r="L215" s="200"/>
      <c r="M215" s="200"/>
      <c r="N215" s="200"/>
      <c r="O215" s="200"/>
      <c r="P215" s="200"/>
      <c r="Q215" s="200"/>
      <c r="R215" s="200"/>
      <c r="S215" s="200"/>
      <c r="T215" s="200"/>
      <c r="U215" s="200"/>
      <c r="V215" s="200"/>
      <c r="W215" s="200"/>
      <c r="X215" s="200"/>
      <c r="Y215" s="200"/>
      <c r="Z215" s="200"/>
    </row>
    <row r="216" ht="22.5" customHeight="1">
      <c r="A216" s="145"/>
      <c r="B216" s="154"/>
      <c r="C216" s="138"/>
      <c r="D216" s="138"/>
      <c r="E216" s="138"/>
      <c r="F216" s="138"/>
      <c r="G216" s="119"/>
      <c r="H216" s="200"/>
      <c r="I216" s="200"/>
      <c r="J216" s="200"/>
      <c r="K216" s="200"/>
      <c r="L216" s="200"/>
      <c r="M216" s="200"/>
      <c r="N216" s="200"/>
      <c r="O216" s="200"/>
      <c r="P216" s="200"/>
      <c r="Q216" s="200"/>
      <c r="R216" s="200"/>
      <c r="S216" s="200"/>
      <c r="T216" s="200"/>
      <c r="U216" s="200"/>
      <c r="V216" s="200"/>
      <c r="W216" s="200"/>
      <c r="X216" s="200"/>
      <c r="Y216" s="200"/>
      <c r="Z216" s="200"/>
    </row>
    <row r="217" ht="22.5" customHeight="1">
      <c r="A217" s="145"/>
      <c r="B217" s="154"/>
      <c r="C217" s="138"/>
      <c r="D217" s="138"/>
      <c r="E217" s="138"/>
      <c r="F217" s="138"/>
      <c r="G217" s="119"/>
      <c r="H217" s="200"/>
      <c r="I217" s="200"/>
      <c r="J217" s="200"/>
      <c r="K217" s="200"/>
      <c r="L217" s="200"/>
      <c r="M217" s="200"/>
      <c r="N217" s="200"/>
      <c r="O217" s="200"/>
      <c r="P217" s="200"/>
      <c r="Q217" s="200"/>
      <c r="R217" s="200"/>
      <c r="S217" s="200"/>
      <c r="T217" s="200"/>
      <c r="U217" s="200"/>
      <c r="V217" s="200"/>
      <c r="W217" s="200"/>
      <c r="X217" s="200"/>
      <c r="Y217" s="200"/>
      <c r="Z217" s="200"/>
    </row>
    <row r="218" ht="22.5" customHeight="1">
      <c r="A218" s="145"/>
      <c r="B218" s="154"/>
      <c r="C218" s="138"/>
      <c r="D218" s="138"/>
      <c r="E218" s="138"/>
      <c r="F218" s="138"/>
      <c r="G218" s="119"/>
      <c r="H218" s="200"/>
      <c r="I218" s="200"/>
      <c r="J218" s="200"/>
      <c r="K218" s="200"/>
      <c r="L218" s="200"/>
      <c r="M218" s="200"/>
      <c r="N218" s="200"/>
      <c r="O218" s="200"/>
      <c r="P218" s="200"/>
      <c r="Q218" s="200"/>
      <c r="R218" s="200"/>
      <c r="S218" s="200"/>
      <c r="T218" s="200"/>
      <c r="U218" s="200"/>
      <c r="V218" s="200"/>
      <c r="W218" s="200"/>
      <c r="X218" s="200"/>
      <c r="Y218" s="200"/>
      <c r="Z218" s="200"/>
    </row>
    <row r="219" ht="22.5" customHeight="1">
      <c r="A219" s="145"/>
      <c r="B219" s="154"/>
      <c r="C219" s="138"/>
      <c r="D219" s="138"/>
      <c r="E219" s="138"/>
      <c r="F219" s="138"/>
      <c r="G219" s="119"/>
      <c r="H219" s="200"/>
      <c r="I219" s="200"/>
      <c r="J219" s="200"/>
      <c r="K219" s="200"/>
      <c r="L219" s="200"/>
      <c r="M219" s="200"/>
      <c r="N219" s="200"/>
      <c r="O219" s="200"/>
      <c r="P219" s="200"/>
      <c r="Q219" s="200"/>
      <c r="R219" s="200"/>
      <c r="S219" s="200"/>
      <c r="T219" s="200"/>
      <c r="U219" s="200"/>
      <c r="V219" s="200"/>
      <c r="W219" s="200"/>
      <c r="X219" s="200"/>
      <c r="Y219" s="200"/>
      <c r="Z219" s="200"/>
    </row>
    <row r="220" ht="22.5" customHeight="1">
      <c r="A220" s="145"/>
      <c r="B220" s="154"/>
      <c r="C220" s="138"/>
      <c r="D220" s="138"/>
      <c r="E220" s="138"/>
      <c r="F220" s="138"/>
      <c r="G220" s="119"/>
      <c r="H220" s="200"/>
      <c r="I220" s="200"/>
      <c r="J220" s="200"/>
      <c r="K220" s="200"/>
      <c r="L220" s="200"/>
      <c r="M220" s="200"/>
      <c r="N220" s="200"/>
      <c r="O220" s="200"/>
      <c r="P220" s="200"/>
      <c r="Q220" s="200"/>
      <c r="R220" s="200"/>
      <c r="S220" s="200"/>
      <c r="T220" s="200"/>
      <c r="U220" s="200"/>
      <c r="V220" s="200"/>
      <c r="W220" s="200"/>
      <c r="X220" s="200"/>
      <c r="Y220" s="200"/>
      <c r="Z220" s="200"/>
    </row>
    <row r="221" ht="22.5" customHeight="1">
      <c r="A221" s="145"/>
      <c r="B221" s="154"/>
      <c r="C221" s="138"/>
      <c r="D221" s="138"/>
      <c r="E221" s="138"/>
      <c r="F221" s="138"/>
      <c r="G221" s="119"/>
      <c r="H221" s="200"/>
      <c r="I221" s="200"/>
      <c r="J221" s="200"/>
      <c r="K221" s="200"/>
      <c r="L221" s="200"/>
      <c r="M221" s="200"/>
      <c r="N221" s="200"/>
      <c r="O221" s="200"/>
      <c r="P221" s="200"/>
      <c r="Q221" s="200"/>
      <c r="R221" s="200"/>
      <c r="S221" s="200"/>
      <c r="T221" s="200"/>
      <c r="U221" s="200"/>
      <c r="V221" s="200"/>
      <c r="W221" s="200"/>
      <c r="X221" s="200"/>
      <c r="Y221" s="200"/>
      <c r="Z221" s="200"/>
    </row>
    <row r="222" ht="22.5" customHeight="1">
      <c r="A222" s="145"/>
      <c r="B222" s="154"/>
      <c r="C222" s="138"/>
      <c r="D222" s="138"/>
      <c r="E222" s="138"/>
      <c r="F222" s="138"/>
      <c r="G222" s="119"/>
      <c r="H222" s="200"/>
      <c r="I222" s="200"/>
      <c r="J222" s="200"/>
      <c r="K222" s="200"/>
      <c r="L222" s="200"/>
      <c r="M222" s="200"/>
      <c r="N222" s="200"/>
      <c r="O222" s="200"/>
      <c r="P222" s="200"/>
      <c r="Q222" s="200"/>
      <c r="R222" s="200"/>
      <c r="S222" s="200"/>
      <c r="T222" s="200"/>
      <c r="U222" s="200"/>
      <c r="V222" s="200"/>
      <c r="W222" s="200"/>
      <c r="X222" s="200"/>
      <c r="Y222" s="200"/>
      <c r="Z222" s="200"/>
    </row>
    <row r="223" ht="22.5" customHeight="1">
      <c r="A223" s="145"/>
      <c r="B223" s="154"/>
      <c r="C223" s="138"/>
      <c r="D223" s="138"/>
      <c r="E223" s="138"/>
      <c r="F223" s="138"/>
      <c r="G223" s="119"/>
      <c r="H223" s="200"/>
      <c r="I223" s="200"/>
      <c r="J223" s="200"/>
      <c r="K223" s="200"/>
      <c r="L223" s="200"/>
      <c r="M223" s="200"/>
      <c r="N223" s="200"/>
      <c r="O223" s="200"/>
      <c r="P223" s="200"/>
      <c r="Q223" s="200"/>
      <c r="R223" s="200"/>
      <c r="S223" s="200"/>
      <c r="T223" s="200"/>
      <c r="U223" s="200"/>
      <c r="V223" s="200"/>
      <c r="W223" s="200"/>
      <c r="X223" s="200"/>
      <c r="Y223" s="200"/>
      <c r="Z223" s="200"/>
    </row>
    <row r="224" ht="22.5" customHeight="1">
      <c r="A224" s="145"/>
      <c r="B224" s="154"/>
      <c r="C224" s="138"/>
      <c r="D224" s="138"/>
      <c r="E224" s="138"/>
      <c r="F224" s="138"/>
      <c r="G224" s="119"/>
      <c r="H224" s="200"/>
      <c r="I224" s="200"/>
      <c r="J224" s="200"/>
      <c r="K224" s="200"/>
      <c r="L224" s="200"/>
      <c r="M224" s="200"/>
      <c r="N224" s="200"/>
      <c r="O224" s="200"/>
      <c r="P224" s="200"/>
      <c r="Q224" s="200"/>
      <c r="R224" s="200"/>
      <c r="S224" s="200"/>
      <c r="T224" s="200"/>
      <c r="U224" s="200"/>
      <c r="V224" s="200"/>
      <c r="W224" s="200"/>
      <c r="X224" s="200"/>
      <c r="Y224" s="200"/>
      <c r="Z224" s="200"/>
    </row>
    <row r="225" ht="22.5" customHeight="1">
      <c r="A225" s="145"/>
      <c r="B225" s="154"/>
      <c r="C225" s="138"/>
      <c r="D225" s="138"/>
      <c r="E225" s="138"/>
      <c r="F225" s="138"/>
      <c r="G225" s="119"/>
      <c r="H225" s="200"/>
      <c r="I225" s="200"/>
      <c r="J225" s="200"/>
      <c r="K225" s="200"/>
      <c r="L225" s="200"/>
      <c r="M225" s="200"/>
      <c r="N225" s="200"/>
      <c r="O225" s="200"/>
      <c r="P225" s="200"/>
      <c r="Q225" s="200"/>
      <c r="R225" s="200"/>
      <c r="S225" s="200"/>
      <c r="T225" s="200"/>
      <c r="U225" s="200"/>
      <c r="V225" s="200"/>
      <c r="W225" s="200"/>
      <c r="X225" s="200"/>
      <c r="Y225" s="200"/>
      <c r="Z225" s="200"/>
    </row>
    <row r="226" ht="22.5" customHeight="1">
      <c r="A226" s="145"/>
      <c r="B226" s="154"/>
      <c r="C226" s="138"/>
      <c r="D226" s="138"/>
      <c r="E226" s="138"/>
      <c r="F226" s="138"/>
      <c r="G226" s="119"/>
      <c r="H226" s="200"/>
      <c r="I226" s="200"/>
      <c r="J226" s="200"/>
      <c r="K226" s="200"/>
      <c r="L226" s="200"/>
      <c r="M226" s="200"/>
      <c r="N226" s="200"/>
      <c r="O226" s="200"/>
      <c r="P226" s="200"/>
      <c r="Q226" s="200"/>
      <c r="R226" s="200"/>
      <c r="S226" s="200"/>
      <c r="T226" s="200"/>
      <c r="U226" s="200"/>
      <c r="V226" s="200"/>
      <c r="W226" s="200"/>
      <c r="X226" s="200"/>
      <c r="Y226" s="200"/>
      <c r="Z226" s="200"/>
    </row>
    <row r="227" ht="22.5" customHeight="1">
      <c r="A227" s="145"/>
      <c r="B227" s="154"/>
      <c r="C227" s="138"/>
      <c r="D227" s="138"/>
      <c r="E227" s="138"/>
      <c r="F227" s="138"/>
      <c r="G227" s="119"/>
      <c r="H227" s="200"/>
      <c r="I227" s="200"/>
      <c r="J227" s="200"/>
      <c r="K227" s="200"/>
      <c r="L227" s="200"/>
      <c r="M227" s="200"/>
      <c r="N227" s="200"/>
      <c r="O227" s="200"/>
      <c r="P227" s="200"/>
      <c r="Q227" s="200"/>
      <c r="R227" s="200"/>
      <c r="S227" s="200"/>
      <c r="T227" s="200"/>
      <c r="U227" s="200"/>
      <c r="V227" s="200"/>
      <c r="W227" s="200"/>
      <c r="X227" s="200"/>
      <c r="Y227" s="200"/>
      <c r="Z227" s="200"/>
    </row>
    <row r="228" ht="22.5" customHeight="1">
      <c r="A228" s="145"/>
      <c r="B228" s="154"/>
      <c r="C228" s="138"/>
      <c r="D228" s="138"/>
      <c r="E228" s="138"/>
      <c r="F228" s="138"/>
      <c r="G228" s="119"/>
      <c r="H228" s="200"/>
      <c r="I228" s="200"/>
      <c r="J228" s="200"/>
      <c r="K228" s="200"/>
      <c r="L228" s="200"/>
      <c r="M228" s="200"/>
      <c r="N228" s="200"/>
      <c r="O228" s="200"/>
      <c r="P228" s="200"/>
      <c r="Q228" s="200"/>
      <c r="R228" s="200"/>
      <c r="S228" s="200"/>
      <c r="T228" s="200"/>
      <c r="U228" s="200"/>
      <c r="V228" s="200"/>
      <c r="W228" s="200"/>
      <c r="X228" s="200"/>
      <c r="Y228" s="200"/>
      <c r="Z228" s="200"/>
    </row>
    <row r="229" ht="22.5" customHeight="1">
      <c r="A229" s="145"/>
      <c r="B229" s="154"/>
      <c r="C229" s="138"/>
      <c r="D229" s="138"/>
      <c r="E229" s="138"/>
      <c r="F229" s="138"/>
      <c r="G229" s="119"/>
      <c r="H229" s="200"/>
      <c r="I229" s="200"/>
      <c r="J229" s="200"/>
      <c r="K229" s="200"/>
      <c r="L229" s="200"/>
      <c r="M229" s="200"/>
      <c r="N229" s="200"/>
      <c r="O229" s="200"/>
      <c r="P229" s="200"/>
      <c r="Q229" s="200"/>
      <c r="R229" s="200"/>
      <c r="S229" s="200"/>
      <c r="T229" s="200"/>
      <c r="U229" s="200"/>
      <c r="V229" s="200"/>
      <c r="W229" s="200"/>
      <c r="X229" s="200"/>
      <c r="Y229" s="200"/>
      <c r="Z229" s="200"/>
    </row>
    <row r="230" ht="22.5" customHeight="1">
      <c r="A230" s="145"/>
      <c r="B230" s="154"/>
      <c r="C230" s="138"/>
      <c r="D230" s="138"/>
      <c r="E230" s="138"/>
      <c r="F230" s="138"/>
      <c r="G230" s="119"/>
      <c r="H230" s="200"/>
      <c r="I230" s="200"/>
      <c r="J230" s="200"/>
      <c r="K230" s="200"/>
      <c r="L230" s="200"/>
      <c r="M230" s="200"/>
      <c r="N230" s="200"/>
      <c r="O230" s="200"/>
      <c r="P230" s="200"/>
      <c r="Q230" s="200"/>
      <c r="R230" s="200"/>
      <c r="S230" s="200"/>
      <c r="T230" s="200"/>
      <c r="U230" s="200"/>
      <c r="V230" s="200"/>
      <c r="W230" s="200"/>
      <c r="X230" s="200"/>
      <c r="Y230" s="200"/>
      <c r="Z230" s="200"/>
    </row>
    <row r="231" ht="22.5" customHeight="1">
      <c r="A231" s="145"/>
      <c r="B231" s="154"/>
      <c r="C231" s="138"/>
      <c r="D231" s="138"/>
      <c r="E231" s="138"/>
      <c r="F231" s="138"/>
      <c r="G231" s="119"/>
      <c r="H231" s="200"/>
      <c r="I231" s="200"/>
      <c r="J231" s="200"/>
      <c r="K231" s="200"/>
      <c r="L231" s="200"/>
      <c r="M231" s="200"/>
      <c r="N231" s="200"/>
      <c r="O231" s="200"/>
      <c r="P231" s="200"/>
      <c r="Q231" s="200"/>
      <c r="R231" s="200"/>
      <c r="S231" s="200"/>
      <c r="T231" s="200"/>
      <c r="U231" s="200"/>
      <c r="V231" s="200"/>
      <c r="W231" s="200"/>
      <c r="X231" s="200"/>
      <c r="Y231" s="200"/>
      <c r="Z231" s="200"/>
    </row>
    <row r="232" ht="22.5" customHeight="1">
      <c r="A232" s="145"/>
      <c r="B232" s="154"/>
      <c r="C232" s="138"/>
      <c r="D232" s="138"/>
      <c r="E232" s="138"/>
      <c r="F232" s="138"/>
      <c r="G232" s="119"/>
      <c r="H232" s="200"/>
      <c r="I232" s="200"/>
      <c r="J232" s="200"/>
      <c r="K232" s="200"/>
      <c r="L232" s="200"/>
      <c r="M232" s="200"/>
      <c r="N232" s="200"/>
      <c r="O232" s="200"/>
      <c r="P232" s="200"/>
      <c r="Q232" s="200"/>
      <c r="R232" s="200"/>
      <c r="S232" s="200"/>
      <c r="T232" s="200"/>
      <c r="U232" s="200"/>
      <c r="V232" s="200"/>
      <c r="W232" s="200"/>
      <c r="X232" s="200"/>
      <c r="Y232" s="200"/>
      <c r="Z232" s="200"/>
    </row>
    <row r="233" ht="22.5" customHeight="1">
      <c r="A233" s="145"/>
      <c r="B233" s="154"/>
      <c r="C233" s="138"/>
      <c r="D233" s="138"/>
      <c r="E233" s="138"/>
      <c r="F233" s="138"/>
      <c r="G233" s="119"/>
      <c r="H233" s="200"/>
      <c r="I233" s="200"/>
      <c r="J233" s="200"/>
      <c r="K233" s="200"/>
      <c r="L233" s="200"/>
      <c r="M233" s="200"/>
      <c r="N233" s="200"/>
      <c r="O233" s="200"/>
      <c r="P233" s="200"/>
      <c r="Q233" s="200"/>
      <c r="R233" s="200"/>
      <c r="S233" s="200"/>
      <c r="T233" s="200"/>
      <c r="U233" s="200"/>
      <c r="V233" s="200"/>
      <c r="W233" s="200"/>
      <c r="X233" s="200"/>
      <c r="Y233" s="200"/>
      <c r="Z233" s="200"/>
    </row>
    <row r="234" ht="22.5" customHeight="1">
      <c r="A234" s="145"/>
      <c r="B234" s="154"/>
      <c r="C234" s="138"/>
      <c r="D234" s="138"/>
      <c r="E234" s="138"/>
      <c r="F234" s="138"/>
      <c r="G234" s="119"/>
      <c r="H234" s="200"/>
      <c r="I234" s="200"/>
      <c r="J234" s="200"/>
      <c r="K234" s="200"/>
      <c r="L234" s="200"/>
      <c r="M234" s="200"/>
      <c r="N234" s="200"/>
      <c r="O234" s="200"/>
      <c r="P234" s="200"/>
      <c r="Q234" s="200"/>
      <c r="R234" s="200"/>
      <c r="S234" s="200"/>
      <c r="T234" s="200"/>
      <c r="U234" s="200"/>
      <c r="V234" s="200"/>
      <c r="W234" s="200"/>
      <c r="X234" s="200"/>
      <c r="Y234" s="200"/>
      <c r="Z234" s="200"/>
    </row>
    <row r="235" ht="22.5" customHeight="1">
      <c r="A235" s="145"/>
      <c r="B235" s="154"/>
      <c r="C235" s="138"/>
      <c r="D235" s="138"/>
      <c r="E235" s="138"/>
      <c r="F235" s="138"/>
      <c r="G235" s="119"/>
      <c r="H235" s="200"/>
      <c r="I235" s="200"/>
      <c r="J235" s="200"/>
      <c r="K235" s="200"/>
      <c r="L235" s="200"/>
      <c r="M235" s="200"/>
      <c r="N235" s="200"/>
      <c r="O235" s="200"/>
      <c r="P235" s="200"/>
      <c r="Q235" s="200"/>
      <c r="R235" s="200"/>
      <c r="S235" s="200"/>
      <c r="T235" s="200"/>
      <c r="U235" s="200"/>
      <c r="V235" s="200"/>
      <c r="W235" s="200"/>
      <c r="X235" s="200"/>
      <c r="Y235" s="200"/>
      <c r="Z235" s="200"/>
    </row>
    <row r="236" ht="22.5" customHeight="1">
      <c r="A236" s="145"/>
      <c r="B236" s="154"/>
      <c r="C236" s="138"/>
      <c r="D236" s="138"/>
      <c r="E236" s="138"/>
      <c r="F236" s="138"/>
      <c r="G236" s="119"/>
      <c r="H236" s="200"/>
      <c r="I236" s="200"/>
      <c r="J236" s="200"/>
      <c r="K236" s="200"/>
      <c r="L236" s="200"/>
      <c r="M236" s="200"/>
      <c r="N236" s="200"/>
      <c r="O236" s="200"/>
      <c r="P236" s="200"/>
      <c r="Q236" s="200"/>
      <c r="R236" s="200"/>
      <c r="S236" s="200"/>
      <c r="T236" s="200"/>
      <c r="U236" s="200"/>
      <c r="V236" s="200"/>
      <c r="W236" s="200"/>
      <c r="X236" s="200"/>
      <c r="Y236" s="200"/>
      <c r="Z236" s="200"/>
    </row>
    <row r="237" ht="22.5" customHeight="1">
      <c r="A237" s="145"/>
      <c r="B237" s="154"/>
      <c r="C237" s="138"/>
      <c r="D237" s="138"/>
      <c r="E237" s="138"/>
      <c r="F237" s="138"/>
      <c r="G237" s="119"/>
      <c r="H237" s="200"/>
      <c r="I237" s="200"/>
      <c r="J237" s="200"/>
      <c r="K237" s="200"/>
      <c r="L237" s="200"/>
      <c r="M237" s="200"/>
      <c r="N237" s="200"/>
      <c r="O237" s="200"/>
      <c r="P237" s="200"/>
      <c r="Q237" s="200"/>
      <c r="R237" s="200"/>
      <c r="S237" s="200"/>
      <c r="T237" s="200"/>
      <c r="U237" s="200"/>
      <c r="V237" s="200"/>
      <c r="W237" s="200"/>
      <c r="X237" s="200"/>
      <c r="Y237" s="200"/>
      <c r="Z237" s="200"/>
    </row>
    <row r="238" ht="22.5" customHeight="1">
      <c r="A238" s="145"/>
      <c r="B238" s="154"/>
      <c r="C238" s="138"/>
      <c r="D238" s="138"/>
      <c r="E238" s="138"/>
      <c r="F238" s="138"/>
      <c r="G238" s="119"/>
      <c r="H238" s="200"/>
      <c r="I238" s="200"/>
      <c r="J238" s="200"/>
      <c r="K238" s="200"/>
      <c r="L238" s="200"/>
      <c r="M238" s="200"/>
      <c r="N238" s="200"/>
      <c r="O238" s="200"/>
      <c r="P238" s="200"/>
      <c r="Q238" s="200"/>
      <c r="R238" s="200"/>
      <c r="S238" s="200"/>
      <c r="T238" s="200"/>
      <c r="U238" s="200"/>
      <c r="V238" s="200"/>
      <c r="W238" s="200"/>
      <c r="X238" s="200"/>
      <c r="Y238" s="200"/>
      <c r="Z238" s="200"/>
    </row>
    <row r="239" ht="22.5" customHeight="1">
      <c r="A239" s="145"/>
      <c r="B239" s="154"/>
      <c r="C239" s="138"/>
      <c r="D239" s="138"/>
      <c r="E239" s="138"/>
      <c r="F239" s="138"/>
      <c r="G239" s="119"/>
      <c r="H239" s="200"/>
      <c r="I239" s="200"/>
      <c r="J239" s="200"/>
      <c r="K239" s="200"/>
      <c r="L239" s="200"/>
      <c r="M239" s="200"/>
      <c r="N239" s="200"/>
      <c r="O239" s="200"/>
      <c r="P239" s="200"/>
      <c r="Q239" s="200"/>
      <c r="R239" s="200"/>
      <c r="S239" s="200"/>
      <c r="T239" s="200"/>
      <c r="U239" s="200"/>
      <c r="V239" s="200"/>
      <c r="W239" s="200"/>
      <c r="X239" s="200"/>
      <c r="Y239" s="200"/>
      <c r="Z239" s="200"/>
    </row>
    <row r="240" ht="22.5" customHeight="1">
      <c r="A240" s="145"/>
      <c r="B240" s="154"/>
      <c r="C240" s="138"/>
      <c r="D240" s="138"/>
      <c r="E240" s="138"/>
      <c r="F240" s="138"/>
      <c r="G240" s="119"/>
      <c r="H240" s="200"/>
      <c r="I240" s="200"/>
      <c r="J240" s="200"/>
      <c r="K240" s="200"/>
      <c r="L240" s="200"/>
      <c r="M240" s="200"/>
      <c r="N240" s="200"/>
      <c r="O240" s="200"/>
      <c r="P240" s="200"/>
      <c r="Q240" s="200"/>
      <c r="R240" s="200"/>
      <c r="S240" s="200"/>
      <c r="T240" s="200"/>
      <c r="U240" s="200"/>
      <c r="V240" s="200"/>
      <c r="W240" s="200"/>
      <c r="X240" s="200"/>
      <c r="Y240" s="200"/>
      <c r="Z240" s="200"/>
    </row>
    <row r="241" ht="22.5" customHeight="1">
      <c r="A241" s="145"/>
      <c r="B241" s="154"/>
      <c r="C241" s="138"/>
      <c r="D241" s="138"/>
      <c r="E241" s="138"/>
      <c r="F241" s="138"/>
      <c r="G241" s="119"/>
      <c r="H241" s="200"/>
      <c r="I241" s="200"/>
      <c r="J241" s="200"/>
      <c r="K241" s="200"/>
      <c r="L241" s="200"/>
      <c r="M241" s="200"/>
      <c r="N241" s="200"/>
      <c r="O241" s="200"/>
      <c r="P241" s="200"/>
      <c r="Q241" s="200"/>
      <c r="R241" s="200"/>
      <c r="S241" s="200"/>
      <c r="T241" s="200"/>
      <c r="U241" s="200"/>
      <c r="V241" s="200"/>
      <c r="W241" s="200"/>
      <c r="X241" s="200"/>
      <c r="Y241" s="200"/>
      <c r="Z241" s="200"/>
    </row>
    <row r="242" ht="22.5" customHeight="1">
      <c r="A242" s="145"/>
      <c r="B242" s="154"/>
      <c r="C242" s="138"/>
      <c r="D242" s="138"/>
      <c r="E242" s="138"/>
      <c r="F242" s="138"/>
      <c r="G242" s="119"/>
      <c r="H242" s="200"/>
      <c r="I242" s="200"/>
      <c r="J242" s="200"/>
      <c r="K242" s="200"/>
      <c r="L242" s="200"/>
      <c r="M242" s="200"/>
      <c r="N242" s="200"/>
      <c r="O242" s="200"/>
      <c r="P242" s="200"/>
      <c r="Q242" s="200"/>
      <c r="R242" s="200"/>
      <c r="S242" s="200"/>
      <c r="T242" s="200"/>
      <c r="U242" s="200"/>
      <c r="V242" s="200"/>
      <c r="W242" s="200"/>
      <c r="X242" s="200"/>
      <c r="Y242" s="200"/>
      <c r="Z242" s="200"/>
    </row>
    <row r="243" ht="22.5" customHeight="1">
      <c r="A243" s="145"/>
      <c r="B243" s="154"/>
      <c r="C243" s="138"/>
      <c r="D243" s="138"/>
      <c r="E243" s="138"/>
      <c r="F243" s="138"/>
      <c r="G243" s="119"/>
      <c r="H243" s="200"/>
      <c r="I243" s="200"/>
      <c r="J243" s="200"/>
      <c r="K243" s="200"/>
      <c r="L243" s="200"/>
      <c r="M243" s="200"/>
      <c r="N243" s="200"/>
      <c r="O243" s="200"/>
      <c r="P243" s="200"/>
      <c r="Q243" s="200"/>
      <c r="R243" s="200"/>
      <c r="S243" s="200"/>
      <c r="T243" s="200"/>
      <c r="U243" s="200"/>
      <c r="V243" s="200"/>
      <c r="W243" s="200"/>
      <c r="X243" s="200"/>
      <c r="Y243" s="200"/>
      <c r="Z243" s="200"/>
    </row>
    <row r="244" ht="22.5" customHeight="1">
      <c r="A244" s="145"/>
      <c r="B244" s="154"/>
      <c r="C244" s="138"/>
      <c r="D244" s="138"/>
      <c r="E244" s="138"/>
      <c r="F244" s="138"/>
      <c r="G244" s="119"/>
      <c r="H244" s="200"/>
      <c r="I244" s="200"/>
      <c r="J244" s="200"/>
      <c r="K244" s="200"/>
      <c r="L244" s="200"/>
      <c r="M244" s="200"/>
      <c r="N244" s="200"/>
      <c r="O244" s="200"/>
      <c r="P244" s="200"/>
      <c r="Q244" s="200"/>
      <c r="R244" s="200"/>
      <c r="S244" s="200"/>
      <c r="T244" s="200"/>
      <c r="U244" s="200"/>
      <c r="V244" s="200"/>
      <c r="W244" s="200"/>
      <c r="X244" s="200"/>
      <c r="Y244" s="200"/>
      <c r="Z244" s="200"/>
    </row>
    <row r="245" ht="22.5" customHeight="1">
      <c r="A245" s="145"/>
      <c r="B245" s="154"/>
      <c r="C245" s="138"/>
      <c r="D245" s="138"/>
      <c r="E245" s="138"/>
      <c r="F245" s="138"/>
      <c r="G245" s="119"/>
      <c r="H245" s="200"/>
      <c r="I245" s="200"/>
      <c r="J245" s="200"/>
      <c r="K245" s="200"/>
      <c r="L245" s="200"/>
      <c r="M245" s="200"/>
      <c r="N245" s="200"/>
      <c r="O245" s="200"/>
      <c r="P245" s="200"/>
      <c r="Q245" s="200"/>
      <c r="R245" s="200"/>
      <c r="S245" s="200"/>
      <c r="T245" s="200"/>
      <c r="U245" s="200"/>
      <c r="V245" s="200"/>
      <c r="W245" s="200"/>
      <c r="X245" s="200"/>
      <c r="Y245" s="200"/>
      <c r="Z245" s="200"/>
    </row>
    <row r="246" ht="22.5" customHeight="1">
      <c r="A246" s="145"/>
      <c r="B246" s="154"/>
      <c r="C246" s="138"/>
      <c r="D246" s="138"/>
      <c r="E246" s="138"/>
      <c r="F246" s="138"/>
      <c r="G246" s="119"/>
      <c r="H246" s="200"/>
      <c r="I246" s="200"/>
      <c r="J246" s="200"/>
      <c r="K246" s="200"/>
      <c r="L246" s="200"/>
      <c r="M246" s="200"/>
      <c r="N246" s="200"/>
      <c r="O246" s="200"/>
      <c r="P246" s="200"/>
      <c r="Q246" s="200"/>
      <c r="R246" s="200"/>
      <c r="S246" s="200"/>
      <c r="T246" s="200"/>
      <c r="U246" s="200"/>
      <c r="V246" s="200"/>
      <c r="W246" s="200"/>
      <c r="X246" s="200"/>
      <c r="Y246" s="200"/>
      <c r="Z246" s="200"/>
    </row>
    <row r="247" ht="22.5" customHeight="1">
      <c r="A247" s="145"/>
      <c r="B247" s="154"/>
      <c r="C247" s="138"/>
      <c r="D247" s="138"/>
      <c r="E247" s="138"/>
      <c r="F247" s="138"/>
      <c r="G247" s="119"/>
      <c r="H247" s="200"/>
      <c r="I247" s="200"/>
      <c r="J247" s="200"/>
      <c r="K247" s="200"/>
      <c r="L247" s="200"/>
      <c r="M247" s="200"/>
      <c r="N247" s="200"/>
      <c r="O247" s="200"/>
      <c r="P247" s="200"/>
      <c r="Q247" s="200"/>
      <c r="R247" s="200"/>
      <c r="S247" s="200"/>
      <c r="T247" s="200"/>
      <c r="U247" s="200"/>
      <c r="V247" s="200"/>
      <c r="W247" s="200"/>
      <c r="X247" s="200"/>
      <c r="Y247" s="200"/>
      <c r="Z247" s="200"/>
    </row>
    <row r="248" ht="22.5" customHeight="1">
      <c r="A248" s="145"/>
      <c r="B248" s="154"/>
      <c r="C248" s="138"/>
      <c r="D248" s="138"/>
      <c r="E248" s="138"/>
      <c r="F248" s="138"/>
      <c r="G248" s="119"/>
      <c r="H248" s="200"/>
      <c r="I248" s="200"/>
      <c r="J248" s="200"/>
      <c r="K248" s="200"/>
      <c r="L248" s="200"/>
      <c r="M248" s="200"/>
      <c r="N248" s="200"/>
      <c r="O248" s="200"/>
      <c r="P248" s="200"/>
      <c r="Q248" s="200"/>
      <c r="R248" s="200"/>
      <c r="S248" s="200"/>
      <c r="T248" s="200"/>
      <c r="U248" s="200"/>
      <c r="V248" s="200"/>
      <c r="W248" s="200"/>
      <c r="X248" s="200"/>
      <c r="Y248" s="200"/>
      <c r="Z248" s="200"/>
    </row>
    <row r="249" ht="22.5" customHeight="1">
      <c r="A249" s="145"/>
      <c r="B249" s="154"/>
      <c r="C249" s="138"/>
      <c r="D249" s="138"/>
      <c r="E249" s="138"/>
      <c r="F249" s="138"/>
      <c r="G249" s="119"/>
      <c r="H249" s="200"/>
      <c r="I249" s="200"/>
      <c r="J249" s="200"/>
      <c r="K249" s="200"/>
      <c r="L249" s="200"/>
      <c r="M249" s="200"/>
      <c r="N249" s="200"/>
      <c r="O249" s="200"/>
      <c r="P249" s="200"/>
      <c r="Q249" s="200"/>
      <c r="R249" s="200"/>
      <c r="S249" s="200"/>
      <c r="T249" s="200"/>
      <c r="U249" s="200"/>
      <c r="V249" s="200"/>
      <c r="W249" s="200"/>
      <c r="X249" s="200"/>
      <c r="Y249" s="200"/>
      <c r="Z249" s="200"/>
    </row>
    <row r="250" ht="22.5" customHeight="1">
      <c r="A250" s="145"/>
      <c r="B250" s="154"/>
      <c r="C250" s="138"/>
      <c r="D250" s="138"/>
      <c r="E250" s="138"/>
      <c r="F250" s="138"/>
      <c r="G250" s="119"/>
      <c r="H250" s="200"/>
      <c r="I250" s="200"/>
      <c r="J250" s="200"/>
      <c r="K250" s="200"/>
      <c r="L250" s="200"/>
      <c r="M250" s="200"/>
      <c r="N250" s="200"/>
      <c r="O250" s="200"/>
      <c r="P250" s="200"/>
      <c r="Q250" s="200"/>
      <c r="R250" s="200"/>
      <c r="S250" s="200"/>
      <c r="T250" s="200"/>
      <c r="U250" s="200"/>
      <c r="V250" s="200"/>
      <c r="W250" s="200"/>
      <c r="X250" s="200"/>
      <c r="Y250" s="200"/>
      <c r="Z250" s="200"/>
    </row>
    <row r="251" ht="22.5" customHeight="1">
      <c r="A251" s="145"/>
      <c r="B251" s="154"/>
      <c r="C251" s="138"/>
      <c r="D251" s="138"/>
      <c r="E251" s="138"/>
      <c r="F251" s="138"/>
      <c r="G251" s="119"/>
      <c r="H251" s="200"/>
      <c r="I251" s="200"/>
      <c r="J251" s="200"/>
      <c r="K251" s="200"/>
      <c r="L251" s="200"/>
      <c r="M251" s="200"/>
      <c r="N251" s="200"/>
      <c r="O251" s="200"/>
      <c r="P251" s="200"/>
      <c r="Q251" s="200"/>
      <c r="R251" s="200"/>
      <c r="S251" s="200"/>
      <c r="T251" s="200"/>
      <c r="U251" s="200"/>
      <c r="V251" s="200"/>
      <c r="W251" s="200"/>
      <c r="X251" s="200"/>
      <c r="Y251" s="200"/>
      <c r="Z251" s="200"/>
    </row>
    <row r="252" ht="22.5" customHeight="1">
      <c r="A252" s="145"/>
      <c r="B252" s="154"/>
      <c r="C252" s="138"/>
      <c r="D252" s="138"/>
      <c r="E252" s="138"/>
      <c r="F252" s="138"/>
      <c r="G252" s="119"/>
      <c r="H252" s="200"/>
      <c r="I252" s="200"/>
      <c r="J252" s="200"/>
      <c r="K252" s="200"/>
      <c r="L252" s="200"/>
      <c r="M252" s="200"/>
      <c r="N252" s="200"/>
      <c r="O252" s="200"/>
      <c r="P252" s="200"/>
      <c r="Q252" s="200"/>
      <c r="R252" s="200"/>
      <c r="S252" s="200"/>
      <c r="T252" s="200"/>
      <c r="U252" s="200"/>
      <c r="V252" s="200"/>
      <c r="W252" s="200"/>
      <c r="X252" s="200"/>
      <c r="Y252" s="200"/>
      <c r="Z252" s="200"/>
    </row>
    <row r="253" ht="22.5" customHeight="1">
      <c r="A253" s="145"/>
      <c r="B253" s="154"/>
      <c r="C253" s="138"/>
      <c r="D253" s="138"/>
      <c r="E253" s="138"/>
      <c r="F253" s="138"/>
      <c r="G253" s="119"/>
      <c r="H253" s="200"/>
      <c r="I253" s="200"/>
      <c r="J253" s="200"/>
      <c r="K253" s="200"/>
      <c r="L253" s="200"/>
      <c r="M253" s="200"/>
      <c r="N253" s="200"/>
      <c r="O253" s="200"/>
      <c r="P253" s="200"/>
      <c r="Q253" s="200"/>
      <c r="R253" s="200"/>
      <c r="S253" s="200"/>
      <c r="T253" s="200"/>
      <c r="U253" s="200"/>
      <c r="V253" s="200"/>
      <c r="W253" s="200"/>
      <c r="X253" s="200"/>
      <c r="Y253" s="200"/>
      <c r="Z253" s="200"/>
    </row>
    <row r="254" ht="22.5" customHeight="1">
      <c r="A254" s="145"/>
      <c r="B254" s="154"/>
      <c r="C254" s="138"/>
      <c r="D254" s="138"/>
      <c r="E254" s="138"/>
      <c r="F254" s="138"/>
      <c r="G254" s="119"/>
      <c r="H254" s="200"/>
      <c r="I254" s="200"/>
      <c r="J254" s="200"/>
      <c r="K254" s="200"/>
      <c r="L254" s="200"/>
      <c r="M254" s="200"/>
      <c r="N254" s="200"/>
      <c r="O254" s="200"/>
      <c r="P254" s="200"/>
      <c r="Q254" s="200"/>
      <c r="R254" s="200"/>
      <c r="S254" s="200"/>
      <c r="T254" s="200"/>
      <c r="U254" s="200"/>
      <c r="V254" s="200"/>
      <c r="W254" s="200"/>
      <c r="X254" s="200"/>
      <c r="Y254" s="200"/>
      <c r="Z254" s="200"/>
    </row>
    <row r="255" ht="22.5" customHeight="1">
      <c r="A255" s="145"/>
      <c r="B255" s="154"/>
      <c r="C255" s="138"/>
      <c r="D255" s="138"/>
      <c r="E255" s="138"/>
      <c r="F255" s="138"/>
      <c r="G255" s="119"/>
      <c r="H255" s="200"/>
      <c r="I255" s="200"/>
      <c r="J255" s="200"/>
      <c r="K255" s="200"/>
      <c r="L255" s="200"/>
      <c r="M255" s="200"/>
      <c r="N255" s="200"/>
      <c r="O255" s="200"/>
      <c r="P255" s="200"/>
      <c r="Q255" s="200"/>
      <c r="R255" s="200"/>
      <c r="S255" s="200"/>
      <c r="T255" s="200"/>
      <c r="U255" s="200"/>
      <c r="V255" s="200"/>
      <c r="W255" s="200"/>
      <c r="X255" s="200"/>
      <c r="Y255" s="200"/>
      <c r="Z255" s="200"/>
    </row>
    <row r="256" ht="22.5" customHeight="1">
      <c r="A256" s="145"/>
      <c r="B256" s="154"/>
      <c r="C256" s="138"/>
      <c r="D256" s="138"/>
      <c r="E256" s="138"/>
      <c r="F256" s="138"/>
      <c r="G256" s="119"/>
      <c r="H256" s="200"/>
      <c r="I256" s="200"/>
      <c r="J256" s="200"/>
      <c r="K256" s="200"/>
      <c r="L256" s="200"/>
      <c r="M256" s="200"/>
      <c r="N256" s="200"/>
      <c r="O256" s="200"/>
      <c r="P256" s="200"/>
      <c r="Q256" s="200"/>
      <c r="R256" s="200"/>
      <c r="S256" s="200"/>
      <c r="T256" s="200"/>
      <c r="U256" s="200"/>
      <c r="V256" s="200"/>
      <c r="W256" s="200"/>
      <c r="X256" s="200"/>
      <c r="Y256" s="200"/>
      <c r="Z256" s="200"/>
    </row>
    <row r="257" ht="22.5" customHeight="1">
      <c r="A257" s="145"/>
      <c r="B257" s="154"/>
      <c r="C257" s="138"/>
      <c r="D257" s="138"/>
      <c r="E257" s="138"/>
      <c r="F257" s="138"/>
      <c r="G257" s="119"/>
      <c r="H257" s="200"/>
      <c r="I257" s="200"/>
      <c r="J257" s="200"/>
      <c r="K257" s="200"/>
      <c r="L257" s="200"/>
      <c r="M257" s="200"/>
      <c r="N257" s="200"/>
      <c r="O257" s="200"/>
      <c r="P257" s="200"/>
      <c r="Q257" s="200"/>
      <c r="R257" s="200"/>
      <c r="S257" s="200"/>
      <c r="T257" s="200"/>
      <c r="U257" s="200"/>
      <c r="V257" s="200"/>
      <c r="W257" s="200"/>
      <c r="X257" s="200"/>
      <c r="Y257" s="200"/>
      <c r="Z257" s="200"/>
    </row>
    <row r="258" ht="22.5" customHeight="1">
      <c r="A258" s="145"/>
      <c r="B258" s="154"/>
      <c r="C258" s="138"/>
      <c r="D258" s="138"/>
      <c r="E258" s="138"/>
      <c r="F258" s="138"/>
      <c r="G258" s="119"/>
      <c r="H258" s="200"/>
      <c r="I258" s="200"/>
      <c r="J258" s="200"/>
      <c r="K258" s="200"/>
      <c r="L258" s="200"/>
      <c r="M258" s="200"/>
      <c r="N258" s="200"/>
      <c r="O258" s="200"/>
      <c r="P258" s="200"/>
      <c r="Q258" s="200"/>
      <c r="R258" s="200"/>
      <c r="S258" s="200"/>
      <c r="T258" s="200"/>
      <c r="U258" s="200"/>
      <c r="V258" s="200"/>
      <c r="W258" s="200"/>
      <c r="X258" s="200"/>
      <c r="Y258" s="200"/>
      <c r="Z258" s="200"/>
    </row>
    <row r="259" ht="22.5" customHeight="1">
      <c r="A259" s="145"/>
      <c r="B259" s="154"/>
      <c r="C259" s="138"/>
      <c r="D259" s="138"/>
      <c r="E259" s="138"/>
      <c r="F259" s="138"/>
      <c r="G259" s="119"/>
      <c r="H259" s="200"/>
      <c r="I259" s="200"/>
      <c r="J259" s="200"/>
      <c r="K259" s="200"/>
      <c r="L259" s="200"/>
      <c r="M259" s="200"/>
      <c r="N259" s="200"/>
      <c r="O259" s="200"/>
      <c r="P259" s="200"/>
      <c r="Q259" s="200"/>
      <c r="R259" s="200"/>
      <c r="S259" s="200"/>
      <c r="T259" s="200"/>
      <c r="U259" s="200"/>
      <c r="V259" s="200"/>
      <c r="W259" s="200"/>
      <c r="X259" s="200"/>
      <c r="Y259" s="200"/>
      <c r="Z259" s="200"/>
    </row>
    <row r="260" ht="22.5" customHeight="1">
      <c r="A260" s="145"/>
      <c r="B260" s="154"/>
      <c r="C260" s="138"/>
      <c r="D260" s="138"/>
      <c r="E260" s="138"/>
      <c r="F260" s="138"/>
      <c r="G260" s="119"/>
      <c r="H260" s="200"/>
      <c r="I260" s="200"/>
      <c r="J260" s="200"/>
      <c r="K260" s="200"/>
      <c r="L260" s="200"/>
      <c r="M260" s="200"/>
      <c r="N260" s="200"/>
      <c r="O260" s="200"/>
      <c r="P260" s="200"/>
      <c r="Q260" s="200"/>
      <c r="R260" s="200"/>
      <c r="S260" s="200"/>
      <c r="T260" s="200"/>
      <c r="U260" s="200"/>
      <c r="V260" s="200"/>
      <c r="W260" s="200"/>
      <c r="X260" s="200"/>
      <c r="Y260" s="200"/>
      <c r="Z260" s="200"/>
    </row>
    <row r="261" ht="22.5" customHeight="1">
      <c r="A261" s="145"/>
      <c r="B261" s="154"/>
      <c r="C261" s="138"/>
      <c r="D261" s="138"/>
      <c r="E261" s="138"/>
      <c r="F261" s="138"/>
      <c r="G261" s="119"/>
      <c r="H261" s="200"/>
      <c r="I261" s="200"/>
      <c r="J261" s="200"/>
      <c r="K261" s="200"/>
      <c r="L261" s="200"/>
      <c r="M261" s="200"/>
      <c r="N261" s="200"/>
      <c r="O261" s="200"/>
      <c r="P261" s="200"/>
      <c r="Q261" s="200"/>
      <c r="R261" s="200"/>
      <c r="S261" s="200"/>
      <c r="T261" s="200"/>
      <c r="U261" s="200"/>
      <c r="V261" s="200"/>
      <c r="W261" s="200"/>
      <c r="X261" s="200"/>
      <c r="Y261" s="200"/>
      <c r="Z261" s="200"/>
    </row>
    <row r="262" ht="22.5" customHeight="1">
      <c r="A262" s="145"/>
      <c r="B262" s="154"/>
      <c r="C262" s="138"/>
      <c r="D262" s="138"/>
      <c r="E262" s="138"/>
      <c r="F262" s="138"/>
      <c r="G262" s="119"/>
      <c r="H262" s="200"/>
      <c r="I262" s="200"/>
      <c r="J262" s="200"/>
      <c r="K262" s="200"/>
      <c r="L262" s="200"/>
      <c r="M262" s="200"/>
      <c r="N262" s="200"/>
      <c r="O262" s="200"/>
      <c r="P262" s="200"/>
      <c r="Q262" s="200"/>
      <c r="R262" s="200"/>
      <c r="S262" s="200"/>
      <c r="T262" s="200"/>
      <c r="U262" s="200"/>
      <c r="V262" s="200"/>
      <c r="W262" s="200"/>
      <c r="X262" s="200"/>
      <c r="Y262" s="200"/>
      <c r="Z262" s="200"/>
    </row>
    <row r="263" ht="22.5" customHeight="1">
      <c r="A263" s="145"/>
      <c r="B263" s="154"/>
      <c r="C263" s="138"/>
      <c r="D263" s="138"/>
      <c r="E263" s="138"/>
      <c r="F263" s="138"/>
      <c r="G263" s="119"/>
      <c r="H263" s="200"/>
      <c r="I263" s="200"/>
      <c r="J263" s="200"/>
      <c r="K263" s="200"/>
      <c r="L263" s="200"/>
      <c r="M263" s="200"/>
      <c r="N263" s="200"/>
      <c r="O263" s="200"/>
      <c r="P263" s="200"/>
      <c r="Q263" s="200"/>
      <c r="R263" s="200"/>
      <c r="S263" s="200"/>
      <c r="T263" s="200"/>
      <c r="U263" s="200"/>
      <c r="V263" s="200"/>
      <c r="W263" s="200"/>
      <c r="X263" s="200"/>
      <c r="Y263" s="200"/>
      <c r="Z263" s="200"/>
    </row>
    <row r="264" ht="22.5" customHeight="1">
      <c r="A264" s="145"/>
      <c r="B264" s="154"/>
      <c r="C264" s="138"/>
      <c r="D264" s="138"/>
      <c r="E264" s="138"/>
      <c r="F264" s="138"/>
      <c r="G264" s="119"/>
      <c r="H264" s="200"/>
      <c r="I264" s="200"/>
      <c r="J264" s="200"/>
      <c r="K264" s="200"/>
      <c r="L264" s="200"/>
      <c r="M264" s="200"/>
      <c r="N264" s="200"/>
      <c r="O264" s="200"/>
      <c r="P264" s="200"/>
      <c r="Q264" s="200"/>
      <c r="R264" s="200"/>
      <c r="S264" s="200"/>
      <c r="T264" s="200"/>
      <c r="U264" s="200"/>
      <c r="V264" s="200"/>
      <c r="W264" s="200"/>
      <c r="X264" s="200"/>
      <c r="Y264" s="200"/>
      <c r="Z264" s="200"/>
    </row>
    <row r="265" ht="22.5" customHeight="1">
      <c r="A265" s="145"/>
      <c r="B265" s="154"/>
      <c r="C265" s="138"/>
      <c r="D265" s="138"/>
      <c r="E265" s="138"/>
      <c r="F265" s="138"/>
      <c r="G265" s="119"/>
      <c r="H265" s="200"/>
      <c r="I265" s="200"/>
      <c r="J265" s="200"/>
      <c r="K265" s="200"/>
      <c r="L265" s="200"/>
      <c r="M265" s="200"/>
      <c r="N265" s="200"/>
      <c r="O265" s="200"/>
      <c r="P265" s="200"/>
      <c r="Q265" s="200"/>
      <c r="R265" s="200"/>
      <c r="S265" s="200"/>
      <c r="T265" s="200"/>
      <c r="U265" s="200"/>
      <c r="V265" s="200"/>
      <c r="W265" s="200"/>
      <c r="X265" s="200"/>
      <c r="Y265" s="200"/>
      <c r="Z265" s="200"/>
    </row>
    <row r="266" ht="22.5" customHeight="1">
      <c r="A266" s="145"/>
      <c r="B266" s="154"/>
      <c r="C266" s="138"/>
      <c r="D266" s="138"/>
      <c r="E266" s="138"/>
      <c r="F266" s="138"/>
      <c r="G266" s="119"/>
      <c r="H266" s="200"/>
      <c r="I266" s="200"/>
      <c r="J266" s="200"/>
      <c r="K266" s="200"/>
      <c r="L266" s="200"/>
      <c r="M266" s="200"/>
      <c r="N266" s="200"/>
      <c r="O266" s="200"/>
      <c r="P266" s="200"/>
      <c r="Q266" s="200"/>
      <c r="R266" s="200"/>
      <c r="S266" s="200"/>
      <c r="T266" s="200"/>
      <c r="U266" s="200"/>
      <c r="V266" s="200"/>
      <c r="W266" s="200"/>
      <c r="X266" s="200"/>
      <c r="Y266" s="200"/>
      <c r="Z266" s="200"/>
    </row>
    <row r="267" ht="22.5" customHeight="1">
      <c r="A267" s="145"/>
      <c r="B267" s="154"/>
      <c r="C267" s="138"/>
      <c r="D267" s="138"/>
      <c r="E267" s="138"/>
      <c r="F267" s="138"/>
      <c r="G267" s="119"/>
      <c r="H267" s="200"/>
      <c r="I267" s="200"/>
      <c r="J267" s="200"/>
      <c r="K267" s="200"/>
      <c r="L267" s="200"/>
      <c r="M267" s="200"/>
      <c r="N267" s="200"/>
      <c r="O267" s="200"/>
      <c r="P267" s="200"/>
      <c r="Q267" s="200"/>
      <c r="R267" s="200"/>
      <c r="S267" s="200"/>
      <c r="T267" s="200"/>
      <c r="U267" s="200"/>
      <c r="V267" s="200"/>
      <c r="W267" s="200"/>
      <c r="X267" s="200"/>
      <c r="Y267" s="200"/>
      <c r="Z267" s="200"/>
    </row>
    <row r="268" ht="22.5" customHeight="1">
      <c r="A268" s="145"/>
      <c r="B268" s="154"/>
      <c r="C268" s="138"/>
      <c r="D268" s="138"/>
      <c r="E268" s="138"/>
      <c r="F268" s="138"/>
      <c r="G268" s="119"/>
      <c r="H268" s="200"/>
      <c r="I268" s="200"/>
      <c r="J268" s="200"/>
      <c r="K268" s="200"/>
      <c r="L268" s="200"/>
      <c r="M268" s="200"/>
      <c r="N268" s="200"/>
      <c r="O268" s="200"/>
      <c r="P268" s="200"/>
      <c r="Q268" s="200"/>
      <c r="R268" s="200"/>
      <c r="S268" s="200"/>
      <c r="T268" s="200"/>
      <c r="U268" s="200"/>
      <c r="V268" s="200"/>
      <c r="W268" s="200"/>
      <c r="X268" s="200"/>
      <c r="Y268" s="200"/>
      <c r="Z268" s="200"/>
    </row>
    <row r="269" ht="22.5" customHeight="1">
      <c r="A269" s="145"/>
      <c r="B269" s="154"/>
      <c r="C269" s="138"/>
      <c r="D269" s="138"/>
      <c r="E269" s="138"/>
      <c r="F269" s="138"/>
      <c r="G269" s="119"/>
      <c r="H269" s="200"/>
      <c r="I269" s="200"/>
      <c r="J269" s="200"/>
      <c r="K269" s="200"/>
      <c r="L269" s="200"/>
      <c r="M269" s="200"/>
      <c r="N269" s="200"/>
      <c r="O269" s="200"/>
      <c r="P269" s="200"/>
      <c r="Q269" s="200"/>
      <c r="R269" s="200"/>
      <c r="S269" s="200"/>
      <c r="T269" s="200"/>
      <c r="U269" s="200"/>
      <c r="V269" s="200"/>
      <c r="W269" s="200"/>
      <c r="X269" s="200"/>
      <c r="Y269" s="200"/>
      <c r="Z269" s="200"/>
    </row>
    <row r="270" ht="22.5" customHeight="1">
      <c r="A270" s="145"/>
      <c r="B270" s="154"/>
      <c r="C270" s="138"/>
      <c r="D270" s="138"/>
      <c r="E270" s="138"/>
      <c r="F270" s="138"/>
      <c r="G270" s="119"/>
      <c r="H270" s="200"/>
      <c r="I270" s="200"/>
      <c r="J270" s="200"/>
      <c r="K270" s="200"/>
      <c r="L270" s="200"/>
      <c r="M270" s="200"/>
      <c r="N270" s="200"/>
      <c r="O270" s="200"/>
      <c r="P270" s="200"/>
      <c r="Q270" s="200"/>
      <c r="R270" s="200"/>
      <c r="S270" s="200"/>
      <c r="T270" s="200"/>
      <c r="U270" s="200"/>
      <c r="V270" s="200"/>
      <c r="W270" s="200"/>
      <c r="X270" s="200"/>
      <c r="Y270" s="200"/>
      <c r="Z270" s="200"/>
    </row>
    <row r="271" ht="22.5" customHeight="1">
      <c r="A271" s="145"/>
      <c r="B271" s="154"/>
      <c r="C271" s="138"/>
      <c r="D271" s="138"/>
      <c r="E271" s="138"/>
      <c r="F271" s="138"/>
      <c r="G271" s="119"/>
      <c r="H271" s="200"/>
      <c r="I271" s="200"/>
      <c r="J271" s="200"/>
      <c r="K271" s="200"/>
      <c r="L271" s="200"/>
      <c r="M271" s="200"/>
      <c r="N271" s="200"/>
      <c r="O271" s="200"/>
      <c r="P271" s="200"/>
      <c r="Q271" s="200"/>
      <c r="R271" s="200"/>
      <c r="S271" s="200"/>
      <c r="T271" s="200"/>
      <c r="U271" s="200"/>
      <c r="V271" s="200"/>
      <c r="W271" s="200"/>
      <c r="X271" s="200"/>
      <c r="Y271" s="200"/>
      <c r="Z271" s="200"/>
    </row>
    <row r="272" ht="22.5" customHeight="1">
      <c r="A272" s="145"/>
      <c r="B272" s="154"/>
      <c r="C272" s="138"/>
      <c r="D272" s="138"/>
      <c r="E272" s="138"/>
      <c r="F272" s="138"/>
      <c r="G272" s="119"/>
      <c r="H272" s="200"/>
      <c r="I272" s="200"/>
      <c r="J272" s="200"/>
      <c r="K272" s="200"/>
      <c r="L272" s="200"/>
      <c r="M272" s="200"/>
      <c r="N272" s="200"/>
      <c r="O272" s="200"/>
      <c r="P272" s="200"/>
      <c r="Q272" s="200"/>
      <c r="R272" s="200"/>
      <c r="S272" s="200"/>
      <c r="T272" s="200"/>
      <c r="U272" s="200"/>
      <c r="V272" s="200"/>
      <c r="W272" s="200"/>
      <c r="X272" s="200"/>
      <c r="Y272" s="200"/>
      <c r="Z272" s="200"/>
    </row>
    <row r="273" ht="22.5" customHeight="1">
      <c r="A273" s="145"/>
      <c r="B273" s="154"/>
      <c r="C273" s="138"/>
      <c r="D273" s="138"/>
      <c r="E273" s="138"/>
      <c r="F273" s="138"/>
      <c r="G273" s="119"/>
      <c r="H273" s="200"/>
      <c r="I273" s="200"/>
      <c r="J273" s="200"/>
      <c r="K273" s="200"/>
      <c r="L273" s="200"/>
      <c r="M273" s="200"/>
      <c r="N273" s="200"/>
      <c r="O273" s="200"/>
      <c r="P273" s="200"/>
      <c r="Q273" s="200"/>
      <c r="R273" s="200"/>
      <c r="S273" s="200"/>
      <c r="T273" s="200"/>
      <c r="U273" s="200"/>
      <c r="V273" s="200"/>
      <c r="W273" s="200"/>
      <c r="X273" s="200"/>
      <c r="Y273" s="200"/>
      <c r="Z273" s="200"/>
    </row>
    <row r="274" ht="22.5" customHeight="1">
      <c r="A274" s="145"/>
      <c r="B274" s="154"/>
      <c r="C274" s="138"/>
      <c r="D274" s="138"/>
      <c r="E274" s="138"/>
      <c r="F274" s="138"/>
      <c r="G274" s="119"/>
      <c r="H274" s="200"/>
      <c r="I274" s="200"/>
      <c r="J274" s="200"/>
      <c r="K274" s="200"/>
      <c r="L274" s="200"/>
      <c r="M274" s="200"/>
      <c r="N274" s="200"/>
      <c r="O274" s="200"/>
      <c r="P274" s="200"/>
      <c r="Q274" s="200"/>
      <c r="R274" s="200"/>
      <c r="S274" s="200"/>
      <c r="T274" s="200"/>
      <c r="U274" s="200"/>
      <c r="V274" s="200"/>
      <c r="W274" s="200"/>
      <c r="X274" s="200"/>
      <c r="Y274" s="200"/>
      <c r="Z274" s="200"/>
    </row>
    <row r="275" ht="22.5" customHeight="1">
      <c r="A275" s="145"/>
      <c r="B275" s="154"/>
      <c r="C275" s="138"/>
      <c r="D275" s="138"/>
      <c r="E275" s="138"/>
      <c r="F275" s="138"/>
      <c r="G275" s="119"/>
      <c r="H275" s="200"/>
      <c r="I275" s="200"/>
      <c r="J275" s="200"/>
      <c r="K275" s="200"/>
      <c r="L275" s="200"/>
      <c r="M275" s="200"/>
      <c r="N275" s="200"/>
      <c r="O275" s="200"/>
      <c r="P275" s="200"/>
      <c r="Q275" s="200"/>
      <c r="R275" s="200"/>
      <c r="S275" s="200"/>
      <c r="T275" s="200"/>
      <c r="U275" s="200"/>
      <c r="V275" s="200"/>
      <c r="W275" s="200"/>
      <c r="X275" s="200"/>
      <c r="Y275" s="200"/>
      <c r="Z275" s="200"/>
    </row>
    <row r="276" ht="22.5" customHeight="1">
      <c r="A276" s="145"/>
      <c r="B276" s="154"/>
      <c r="C276" s="138"/>
      <c r="D276" s="138"/>
      <c r="E276" s="138"/>
      <c r="F276" s="138"/>
      <c r="G276" s="119"/>
      <c r="H276" s="200"/>
      <c r="I276" s="200"/>
      <c r="J276" s="200"/>
      <c r="K276" s="200"/>
      <c r="L276" s="200"/>
      <c r="M276" s="200"/>
      <c r="N276" s="200"/>
      <c r="O276" s="200"/>
      <c r="P276" s="200"/>
      <c r="Q276" s="200"/>
      <c r="R276" s="200"/>
      <c r="S276" s="200"/>
      <c r="T276" s="200"/>
      <c r="U276" s="200"/>
      <c r="V276" s="200"/>
      <c r="W276" s="200"/>
      <c r="X276" s="200"/>
      <c r="Y276" s="200"/>
      <c r="Z276" s="200"/>
    </row>
    <row r="277" ht="22.5" customHeight="1">
      <c r="A277" s="145"/>
      <c r="B277" s="154"/>
      <c r="C277" s="138"/>
      <c r="D277" s="138"/>
      <c r="E277" s="138"/>
      <c r="F277" s="138"/>
      <c r="G277" s="119"/>
      <c r="H277" s="200"/>
      <c r="I277" s="200"/>
      <c r="J277" s="200"/>
      <c r="K277" s="200"/>
      <c r="L277" s="200"/>
      <c r="M277" s="200"/>
      <c r="N277" s="200"/>
      <c r="O277" s="200"/>
      <c r="P277" s="200"/>
      <c r="Q277" s="200"/>
      <c r="R277" s="200"/>
      <c r="S277" s="200"/>
      <c r="T277" s="200"/>
      <c r="U277" s="200"/>
      <c r="V277" s="200"/>
      <c r="W277" s="200"/>
      <c r="X277" s="200"/>
      <c r="Y277" s="200"/>
      <c r="Z277" s="200"/>
    </row>
    <row r="278" ht="22.5" customHeight="1">
      <c r="A278" s="145"/>
      <c r="B278" s="154"/>
      <c r="C278" s="138"/>
      <c r="D278" s="138"/>
      <c r="E278" s="138"/>
      <c r="F278" s="138"/>
      <c r="G278" s="119"/>
      <c r="H278" s="200"/>
      <c r="I278" s="200"/>
      <c r="J278" s="200"/>
      <c r="K278" s="200"/>
      <c r="L278" s="200"/>
      <c r="M278" s="200"/>
      <c r="N278" s="200"/>
      <c r="O278" s="200"/>
      <c r="P278" s="200"/>
      <c r="Q278" s="200"/>
      <c r="R278" s="200"/>
      <c r="S278" s="200"/>
      <c r="T278" s="200"/>
      <c r="U278" s="200"/>
      <c r="V278" s="200"/>
      <c r="W278" s="200"/>
      <c r="X278" s="200"/>
      <c r="Y278" s="200"/>
      <c r="Z278" s="200"/>
    </row>
    <row r="279" ht="22.5" customHeight="1">
      <c r="A279" s="145"/>
      <c r="B279" s="154"/>
      <c r="C279" s="138"/>
      <c r="D279" s="138"/>
      <c r="E279" s="138"/>
      <c r="F279" s="138"/>
      <c r="G279" s="119"/>
      <c r="H279" s="200"/>
      <c r="I279" s="200"/>
      <c r="J279" s="200"/>
      <c r="K279" s="200"/>
      <c r="L279" s="200"/>
      <c r="M279" s="200"/>
      <c r="N279" s="200"/>
      <c r="O279" s="200"/>
      <c r="P279" s="200"/>
      <c r="Q279" s="200"/>
      <c r="R279" s="200"/>
      <c r="S279" s="200"/>
      <c r="T279" s="200"/>
      <c r="U279" s="200"/>
      <c r="V279" s="200"/>
      <c r="W279" s="200"/>
      <c r="X279" s="200"/>
      <c r="Y279" s="200"/>
      <c r="Z279" s="200"/>
    </row>
    <row r="280" ht="22.5" customHeight="1">
      <c r="A280" s="145"/>
      <c r="B280" s="154"/>
      <c r="C280" s="138"/>
      <c r="D280" s="138"/>
      <c r="E280" s="138"/>
      <c r="F280" s="138"/>
      <c r="G280" s="119"/>
      <c r="H280" s="200"/>
      <c r="I280" s="200"/>
      <c r="J280" s="200"/>
      <c r="K280" s="200"/>
      <c r="L280" s="200"/>
      <c r="M280" s="200"/>
      <c r="N280" s="200"/>
      <c r="O280" s="200"/>
      <c r="P280" s="200"/>
      <c r="Q280" s="200"/>
      <c r="R280" s="200"/>
      <c r="S280" s="200"/>
      <c r="T280" s="200"/>
      <c r="U280" s="200"/>
      <c r="V280" s="200"/>
      <c r="W280" s="200"/>
      <c r="X280" s="200"/>
      <c r="Y280" s="200"/>
      <c r="Z280" s="200"/>
    </row>
    <row r="281" ht="22.5" customHeight="1">
      <c r="A281" s="145"/>
      <c r="B281" s="154"/>
      <c r="C281" s="138"/>
      <c r="D281" s="138"/>
      <c r="E281" s="138"/>
      <c r="F281" s="138"/>
      <c r="G281" s="119"/>
      <c r="H281" s="200"/>
      <c r="I281" s="200"/>
      <c r="J281" s="200"/>
      <c r="K281" s="200"/>
      <c r="L281" s="200"/>
      <c r="M281" s="200"/>
      <c r="N281" s="200"/>
      <c r="O281" s="200"/>
      <c r="P281" s="200"/>
      <c r="Q281" s="200"/>
      <c r="R281" s="200"/>
      <c r="S281" s="200"/>
      <c r="T281" s="200"/>
      <c r="U281" s="200"/>
      <c r="V281" s="200"/>
      <c r="W281" s="200"/>
      <c r="X281" s="200"/>
      <c r="Y281" s="200"/>
      <c r="Z281" s="200"/>
    </row>
    <row r="282" ht="22.5" customHeight="1">
      <c r="A282" s="145"/>
      <c r="B282" s="154"/>
      <c r="C282" s="138"/>
      <c r="D282" s="138"/>
      <c r="E282" s="138"/>
      <c r="F282" s="138"/>
      <c r="G282" s="119"/>
      <c r="H282" s="200"/>
      <c r="I282" s="200"/>
      <c r="J282" s="200"/>
      <c r="K282" s="200"/>
      <c r="L282" s="200"/>
      <c r="M282" s="200"/>
      <c r="N282" s="200"/>
      <c r="O282" s="200"/>
      <c r="P282" s="200"/>
      <c r="Q282" s="200"/>
      <c r="R282" s="200"/>
      <c r="S282" s="200"/>
      <c r="T282" s="200"/>
      <c r="U282" s="200"/>
      <c r="V282" s="200"/>
      <c r="W282" s="200"/>
      <c r="X282" s="200"/>
      <c r="Y282" s="200"/>
      <c r="Z282" s="200"/>
    </row>
    <row r="283" ht="22.5" customHeight="1">
      <c r="A283" s="145"/>
      <c r="B283" s="154"/>
      <c r="C283" s="138"/>
      <c r="D283" s="138"/>
      <c r="E283" s="138"/>
      <c r="F283" s="138"/>
      <c r="G283" s="119"/>
      <c r="H283" s="200"/>
      <c r="I283" s="200"/>
      <c r="J283" s="200"/>
      <c r="K283" s="200"/>
      <c r="L283" s="200"/>
      <c r="M283" s="200"/>
      <c r="N283" s="200"/>
      <c r="O283" s="200"/>
      <c r="P283" s="200"/>
      <c r="Q283" s="200"/>
      <c r="R283" s="200"/>
      <c r="S283" s="200"/>
      <c r="T283" s="200"/>
      <c r="U283" s="200"/>
      <c r="V283" s="200"/>
      <c r="W283" s="200"/>
      <c r="X283" s="200"/>
      <c r="Y283" s="200"/>
      <c r="Z283" s="200"/>
    </row>
    <row r="284" ht="22.5" customHeight="1">
      <c r="A284" s="145"/>
      <c r="B284" s="154"/>
      <c r="C284" s="138"/>
      <c r="D284" s="138"/>
      <c r="E284" s="138"/>
      <c r="F284" s="138"/>
      <c r="G284" s="119"/>
      <c r="H284" s="200"/>
      <c r="I284" s="200"/>
      <c r="J284" s="200"/>
      <c r="K284" s="200"/>
      <c r="L284" s="200"/>
      <c r="M284" s="200"/>
      <c r="N284" s="200"/>
      <c r="O284" s="200"/>
      <c r="P284" s="200"/>
      <c r="Q284" s="200"/>
      <c r="R284" s="200"/>
      <c r="S284" s="200"/>
      <c r="T284" s="200"/>
      <c r="U284" s="200"/>
      <c r="V284" s="200"/>
      <c r="W284" s="200"/>
      <c r="X284" s="200"/>
      <c r="Y284" s="200"/>
      <c r="Z284" s="200"/>
    </row>
    <row r="285" ht="22.5" customHeight="1">
      <c r="A285" s="145"/>
      <c r="B285" s="154"/>
      <c r="C285" s="138"/>
      <c r="D285" s="138"/>
      <c r="E285" s="138"/>
      <c r="F285" s="138"/>
      <c r="G285" s="119"/>
      <c r="H285" s="200"/>
      <c r="I285" s="200"/>
      <c r="J285" s="200"/>
      <c r="K285" s="200"/>
      <c r="L285" s="200"/>
      <c r="M285" s="200"/>
      <c r="N285" s="200"/>
      <c r="O285" s="200"/>
      <c r="P285" s="200"/>
      <c r="Q285" s="200"/>
      <c r="R285" s="200"/>
      <c r="S285" s="200"/>
      <c r="T285" s="200"/>
      <c r="U285" s="200"/>
      <c r="V285" s="200"/>
      <c r="W285" s="200"/>
      <c r="X285" s="200"/>
      <c r="Y285" s="200"/>
      <c r="Z285" s="200"/>
    </row>
    <row r="286" ht="22.5" customHeight="1">
      <c r="A286" s="145"/>
      <c r="B286" s="154"/>
      <c r="C286" s="138"/>
      <c r="D286" s="138"/>
      <c r="E286" s="138"/>
      <c r="F286" s="138"/>
      <c r="G286" s="119"/>
      <c r="H286" s="200"/>
      <c r="I286" s="200"/>
      <c r="J286" s="200"/>
      <c r="K286" s="200"/>
      <c r="L286" s="200"/>
      <c r="M286" s="200"/>
      <c r="N286" s="200"/>
      <c r="O286" s="200"/>
      <c r="P286" s="200"/>
      <c r="Q286" s="200"/>
      <c r="R286" s="200"/>
      <c r="S286" s="200"/>
      <c r="T286" s="200"/>
      <c r="U286" s="200"/>
      <c r="V286" s="200"/>
      <c r="W286" s="200"/>
      <c r="X286" s="200"/>
      <c r="Y286" s="200"/>
      <c r="Z286" s="200"/>
    </row>
    <row r="287" ht="22.5" customHeight="1">
      <c r="A287" s="145"/>
      <c r="B287" s="154"/>
      <c r="C287" s="138"/>
      <c r="D287" s="138"/>
      <c r="E287" s="138"/>
      <c r="F287" s="138"/>
      <c r="G287" s="119"/>
      <c r="H287" s="200"/>
      <c r="I287" s="200"/>
      <c r="J287" s="200"/>
      <c r="K287" s="200"/>
      <c r="L287" s="200"/>
      <c r="M287" s="200"/>
      <c r="N287" s="200"/>
      <c r="O287" s="200"/>
      <c r="P287" s="200"/>
      <c r="Q287" s="200"/>
      <c r="R287" s="200"/>
      <c r="S287" s="200"/>
      <c r="T287" s="200"/>
      <c r="U287" s="200"/>
      <c r="V287" s="200"/>
      <c r="W287" s="200"/>
      <c r="X287" s="200"/>
      <c r="Y287" s="200"/>
      <c r="Z287" s="200"/>
    </row>
    <row r="288" ht="22.5" customHeight="1">
      <c r="A288" s="145"/>
      <c r="B288" s="154"/>
      <c r="C288" s="138"/>
      <c r="D288" s="138"/>
      <c r="E288" s="138"/>
      <c r="F288" s="138"/>
      <c r="G288" s="119"/>
      <c r="H288" s="200"/>
      <c r="I288" s="200"/>
      <c r="J288" s="200"/>
      <c r="K288" s="200"/>
      <c r="L288" s="200"/>
      <c r="M288" s="200"/>
      <c r="N288" s="200"/>
      <c r="O288" s="200"/>
      <c r="P288" s="200"/>
      <c r="Q288" s="200"/>
      <c r="R288" s="200"/>
      <c r="S288" s="200"/>
      <c r="T288" s="200"/>
      <c r="U288" s="200"/>
      <c r="V288" s="200"/>
      <c r="W288" s="200"/>
      <c r="X288" s="200"/>
      <c r="Y288" s="200"/>
      <c r="Z288" s="200"/>
    </row>
    <row r="289" ht="22.5" customHeight="1">
      <c r="A289" s="145"/>
      <c r="B289" s="154"/>
      <c r="C289" s="138"/>
      <c r="D289" s="138"/>
      <c r="E289" s="138"/>
      <c r="F289" s="138"/>
      <c r="G289" s="119"/>
      <c r="H289" s="200"/>
      <c r="I289" s="200"/>
      <c r="J289" s="200"/>
      <c r="K289" s="200"/>
      <c r="L289" s="200"/>
      <c r="M289" s="200"/>
      <c r="N289" s="200"/>
      <c r="O289" s="200"/>
      <c r="P289" s="200"/>
      <c r="Q289" s="200"/>
      <c r="R289" s="200"/>
      <c r="S289" s="200"/>
      <c r="T289" s="200"/>
      <c r="U289" s="200"/>
      <c r="V289" s="200"/>
      <c r="W289" s="200"/>
      <c r="X289" s="200"/>
      <c r="Y289" s="200"/>
      <c r="Z289" s="200"/>
    </row>
    <row r="290" ht="22.5" customHeight="1">
      <c r="A290" s="145"/>
      <c r="B290" s="154"/>
      <c r="C290" s="138"/>
      <c r="D290" s="138"/>
      <c r="E290" s="138"/>
      <c r="F290" s="138"/>
      <c r="G290" s="119"/>
      <c r="H290" s="200"/>
      <c r="I290" s="200"/>
      <c r="J290" s="200"/>
      <c r="K290" s="200"/>
      <c r="L290" s="200"/>
      <c r="M290" s="200"/>
      <c r="N290" s="200"/>
      <c r="O290" s="200"/>
      <c r="P290" s="200"/>
      <c r="Q290" s="200"/>
      <c r="R290" s="200"/>
      <c r="S290" s="200"/>
      <c r="T290" s="200"/>
      <c r="U290" s="200"/>
      <c r="V290" s="200"/>
      <c r="W290" s="200"/>
      <c r="X290" s="200"/>
      <c r="Y290" s="200"/>
      <c r="Z290" s="200"/>
    </row>
    <row r="291" ht="22.5" customHeight="1">
      <c r="A291" s="145"/>
      <c r="B291" s="154"/>
      <c r="C291" s="138"/>
      <c r="D291" s="138"/>
      <c r="E291" s="138"/>
      <c r="F291" s="138"/>
      <c r="G291" s="119"/>
      <c r="H291" s="200"/>
      <c r="I291" s="200"/>
      <c r="J291" s="200"/>
      <c r="K291" s="200"/>
      <c r="L291" s="200"/>
      <c r="M291" s="200"/>
      <c r="N291" s="200"/>
      <c r="O291" s="200"/>
      <c r="P291" s="200"/>
      <c r="Q291" s="200"/>
      <c r="R291" s="200"/>
      <c r="S291" s="200"/>
      <c r="T291" s="200"/>
      <c r="U291" s="200"/>
      <c r="V291" s="200"/>
      <c r="W291" s="200"/>
      <c r="X291" s="200"/>
      <c r="Y291" s="200"/>
      <c r="Z291" s="200"/>
    </row>
    <row r="292" ht="22.5" customHeight="1">
      <c r="A292" s="145"/>
      <c r="B292" s="154"/>
      <c r="C292" s="138"/>
      <c r="D292" s="138"/>
      <c r="E292" s="138"/>
      <c r="F292" s="138"/>
      <c r="G292" s="119"/>
      <c r="H292" s="200"/>
      <c r="I292" s="200"/>
      <c r="J292" s="200"/>
      <c r="K292" s="200"/>
      <c r="L292" s="200"/>
      <c r="M292" s="200"/>
      <c r="N292" s="200"/>
      <c r="O292" s="200"/>
      <c r="P292" s="200"/>
      <c r="Q292" s="200"/>
      <c r="R292" s="200"/>
      <c r="S292" s="200"/>
      <c r="T292" s="200"/>
      <c r="U292" s="200"/>
      <c r="V292" s="200"/>
      <c r="W292" s="200"/>
      <c r="X292" s="200"/>
      <c r="Y292" s="200"/>
      <c r="Z292" s="200"/>
    </row>
    <row r="293" ht="22.5" customHeight="1">
      <c r="A293" s="145"/>
      <c r="B293" s="154"/>
      <c r="C293" s="138"/>
      <c r="D293" s="138"/>
      <c r="E293" s="138"/>
      <c r="F293" s="138"/>
      <c r="G293" s="119"/>
      <c r="H293" s="200"/>
      <c r="I293" s="200"/>
      <c r="J293" s="200"/>
      <c r="K293" s="200"/>
      <c r="L293" s="200"/>
      <c r="M293" s="200"/>
      <c r="N293" s="200"/>
      <c r="O293" s="200"/>
      <c r="P293" s="200"/>
      <c r="Q293" s="200"/>
      <c r="R293" s="200"/>
      <c r="S293" s="200"/>
      <c r="T293" s="200"/>
      <c r="U293" s="200"/>
      <c r="V293" s="200"/>
      <c r="W293" s="200"/>
      <c r="X293" s="200"/>
      <c r="Y293" s="200"/>
      <c r="Z293" s="200"/>
    </row>
    <row r="294" ht="22.5" customHeight="1">
      <c r="A294" s="145"/>
      <c r="B294" s="154"/>
      <c r="C294" s="138"/>
      <c r="D294" s="138"/>
      <c r="E294" s="138"/>
      <c r="F294" s="138"/>
      <c r="G294" s="119"/>
      <c r="H294" s="200"/>
      <c r="I294" s="200"/>
      <c r="J294" s="200"/>
      <c r="K294" s="200"/>
      <c r="L294" s="200"/>
      <c r="M294" s="200"/>
      <c r="N294" s="200"/>
      <c r="O294" s="200"/>
      <c r="P294" s="200"/>
      <c r="Q294" s="200"/>
      <c r="R294" s="200"/>
      <c r="S294" s="200"/>
      <c r="T294" s="200"/>
      <c r="U294" s="200"/>
      <c r="V294" s="200"/>
      <c r="W294" s="200"/>
      <c r="X294" s="200"/>
      <c r="Y294" s="200"/>
      <c r="Z294" s="200"/>
    </row>
    <row r="295" ht="22.5" customHeight="1">
      <c r="A295" s="145"/>
      <c r="B295" s="154"/>
      <c r="C295" s="138"/>
      <c r="D295" s="138"/>
      <c r="E295" s="138"/>
      <c r="F295" s="138"/>
      <c r="G295" s="119"/>
      <c r="H295" s="200"/>
      <c r="I295" s="200"/>
      <c r="J295" s="200"/>
      <c r="K295" s="200"/>
      <c r="L295" s="200"/>
      <c r="M295" s="200"/>
      <c r="N295" s="200"/>
      <c r="O295" s="200"/>
      <c r="P295" s="200"/>
      <c r="Q295" s="200"/>
      <c r="R295" s="200"/>
      <c r="S295" s="200"/>
      <c r="T295" s="200"/>
      <c r="U295" s="200"/>
      <c r="V295" s="200"/>
      <c r="W295" s="200"/>
      <c r="X295" s="200"/>
      <c r="Y295" s="200"/>
      <c r="Z295" s="200"/>
    </row>
    <row r="296" ht="22.5" customHeight="1">
      <c r="A296" s="145"/>
      <c r="B296" s="154"/>
      <c r="C296" s="138"/>
      <c r="D296" s="138"/>
      <c r="E296" s="138"/>
      <c r="F296" s="138"/>
      <c r="G296" s="119"/>
      <c r="H296" s="200"/>
      <c r="I296" s="200"/>
      <c r="J296" s="200"/>
      <c r="K296" s="200"/>
      <c r="L296" s="200"/>
      <c r="M296" s="200"/>
      <c r="N296" s="200"/>
      <c r="O296" s="200"/>
      <c r="P296" s="200"/>
      <c r="Q296" s="200"/>
      <c r="R296" s="200"/>
      <c r="S296" s="200"/>
      <c r="T296" s="200"/>
      <c r="U296" s="200"/>
      <c r="V296" s="200"/>
      <c r="W296" s="200"/>
      <c r="X296" s="200"/>
      <c r="Y296" s="200"/>
      <c r="Z296" s="200"/>
    </row>
    <row r="297" ht="22.5" customHeight="1">
      <c r="A297" s="145"/>
      <c r="B297" s="154"/>
      <c r="C297" s="138"/>
      <c r="D297" s="138"/>
      <c r="E297" s="138"/>
      <c r="F297" s="138"/>
      <c r="G297" s="119"/>
      <c r="H297" s="200"/>
      <c r="I297" s="200"/>
      <c r="J297" s="200"/>
      <c r="K297" s="200"/>
      <c r="L297" s="200"/>
      <c r="M297" s="200"/>
      <c r="N297" s="200"/>
      <c r="O297" s="200"/>
      <c r="P297" s="200"/>
      <c r="Q297" s="200"/>
      <c r="R297" s="200"/>
      <c r="S297" s="200"/>
      <c r="T297" s="200"/>
      <c r="U297" s="200"/>
      <c r="V297" s="200"/>
      <c r="W297" s="200"/>
      <c r="X297" s="200"/>
      <c r="Y297" s="200"/>
      <c r="Z297" s="200"/>
    </row>
    <row r="298" ht="22.5" customHeight="1">
      <c r="A298" s="145"/>
      <c r="B298" s="154"/>
      <c r="C298" s="138"/>
      <c r="D298" s="138"/>
      <c r="E298" s="138"/>
      <c r="F298" s="138"/>
      <c r="G298" s="119"/>
      <c r="H298" s="200"/>
      <c r="I298" s="200"/>
      <c r="J298" s="200"/>
      <c r="K298" s="200"/>
      <c r="L298" s="200"/>
      <c r="M298" s="200"/>
      <c r="N298" s="200"/>
      <c r="O298" s="200"/>
      <c r="P298" s="200"/>
      <c r="Q298" s="200"/>
      <c r="R298" s="200"/>
      <c r="S298" s="200"/>
      <c r="T298" s="200"/>
      <c r="U298" s="200"/>
      <c r="V298" s="200"/>
      <c r="W298" s="200"/>
      <c r="X298" s="200"/>
      <c r="Y298" s="200"/>
      <c r="Z298" s="200"/>
    </row>
    <row r="299" ht="22.5" customHeight="1">
      <c r="A299" s="145"/>
      <c r="B299" s="154"/>
      <c r="C299" s="138"/>
      <c r="D299" s="138"/>
      <c r="E299" s="138"/>
      <c r="F299" s="138"/>
      <c r="G299" s="119"/>
      <c r="H299" s="200"/>
      <c r="I299" s="200"/>
      <c r="J299" s="200"/>
      <c r="K299" s="200"/>
      <c r="L299" s="200"/>
      <c r="M299" s="200"/>
      <c r="N299" s="200"/>
      <c r="O299" s="200"/>
      <c r="P299" s="200"/>
      <c r="Q299" s="200"/>
      <c r="R299" s="200"/>
      <c r="S299" s="200"/>
      <c r="T299" s="200"/>
      <c r="U299" s="200"/>
      <c r="V299" s="200"/>
      <c r="W299" s="200"/>
      <c r="X299" s="200"/>
      <c r="Y299" s="200"/>
      <c r="Z299" s="200"/>
    </row>
    <row r="300" ht="22.5" customHeight="1">
      <c r="A300" s="145"/>
      <c r="B300" s="154"/>
      <c r="C300" s="138"/>
      <c r="D300" s="138"/>
      <c r="E300" s="138"/>
      <c r="F300" s="138"/>
      <c r="G300" s="119"/>
      <c r="H300" s="200"/>
      <c r="I300" s="200"/>
      <c r="J300" s="200"/>
      <c r="K300" s="200"/>
      <c r="L300" s="200"/>
      <c r="M300" s="200"/>
      <c r="N300" s="200"/>
      <c r="O300" s="200"/>
      <c r="P300" s="200"/>
      <c r="Q300" s="200"/>
      <c r="R300" s="200"/>
      <c r="S300" s="200"/>
      <c r="T300" s="200"/>
      <c r="U300" s="200"/>
      <c r="V300" s="200"/>
      <c r="W300" s="200"/>
      <c r="X300" s="200"/>
      <c r="Y300" s="200"/>
      <c r="Z300" s="200"/>
    </row>
    <row r="301" ht="22.5" customHeight="1">
      <c r="A301" s="145"/>
      <c r="B301" s="154"/>
      <c r="C301" s="138"/>
      <c r="D301" s="138"/>
      <c r="E301" s="138"/>
      <c r="F301" s="138"/>
      <c r="G301" s="119"/>
      <c r="H301" s="200"/>
      <c r="I301" s="200"/>
      <c r="J301" s="200"/>
      <c r="K301" s="200"/>
      <c r="L301" s="200"/>
      <c r="M301" s="200"/>
      <c r="N301" s="200"/>
      <c r="O301" s="200"/>
      <c r="P301" s="200"/>
      <c r="Q301" s="200"/>
      <c r="R301" s="200"/>
      <c r="S301" s="200"/>
      <c r="T301" s="200"/>
      <c r="U301" s="200"/>
      <c r="V301" s="200"/>
      <c r="W301" s="200"/>
      <c r="X301" s="200"/>
      <c r="Y301" s="200"/>
      <c r="Z301" s="200"/>
    </row>
    <row r="302" ht="22.5" customHeight="1">
      <c r="A302" s="145"/>
      <c r="B302" s="154"/>
      <c r="C302" s="138"/>
      <c r="D302" s="138"/>
      <c r="E302" s="138"/>
      <c r="F302" s="138"/>
      <c r="G302" s="119"/>
      <c r="H302" s="200"/>
      <c r="I302" s="200"/>
      <c r="J302" s="200"/>
      <c r="K302" s="200"/>
      <c r="L302" s="200"/>
      <c r="M302" s="200"/>
      <c r="N302" s="200"/>
      <c r="O302" s="200"/>
      <c r="P302" s="200"/>
      <c r="Q302" s="200"/>
      <c r="R302" s="200"/>
      <c r="S302" s="200"/>
      <c r="T302" s="200"/>
      <c r="U302" s="200"/>
      <c r="V302" s="200"/>
      <c r="W302" s="200"/>
      <c r="X302" s="200"/>
      <c r="Y302" s="200"/>
      <c r="Z302" s="200"/>
    </row>
    <row r="303" ht="22.5" customHeight="1">
      <c r="A303" s="145"/>
      <c r="B303" s="154"/>
      <c r="C303" s="138"/>
      <c r="D303" s="138"/>
      <c r="E303" s="138"/>
      <c r="F303" s="138"/>
      <c r="G303" s="119"/>
      <c r="H303" s="200"/>
      <c r="I303" s="200"/>
      <c r="J303" s="200"/>
      <c r="K303" s="200"/>
      <c r="L303" s="200"/>
      <c r="M303" s="200"/>
      <c r="N303" s="200"/>
      <c r="O303" s="200"/>
      <c r="P303" s="200"/>
      <c r="Q303" s="200"/>
      <c r="R303" s="200"/>
      <c r="S303" s="200"/>
      <c r="T303" s="200"/>
      <c r="U303" s="200"/>
      <c r="V303" s="200"/>
      <c r="W303" s="200"/>
      <c r="X303" s="200"/>
      <c r="Y303" s="200"/>
      <c r="Z303" s="200"/>
    </row>
    <row r="304" ht="22.5" customHeight="1">
      <c r="A304" s="145"/>
      <c r="B304" s="154"/>
      <c r="C304" s="138"/>
      <c r="D304" s="138"/>
      <c r="E304" s="138"/>
      <c r="F304" s="138"/>
      <c r="G304" s="119"/>
      <c r="H304" s="200"/>
      <c r="I304" s="200"/>
      <c r="J304" s="200"/>
      <c r="K304" s="200"/>
      <c r="L304" s="200"/>
      <c r="M304" s="200"/>
      <c r="N304" s="200"/>
      <c r="O304" s="200"/>
      <c r="P304" s="200"/>
      <c r="Q304" s="200"/>
      <c r="R304" s="200"/>
      <c r="S304" s="200"/>
      <c r="T304" s="200"/>
      <c r="U304" s="200"/>
      <c r="V304" s="200"/>
      <c r="W304" s="200"/>
      <c r="X304" s="200"/>
      <c r="Y304" s="200"/>
      <c r="Z304" s="200"/>
    </row>
    <row r="305" ht="22.5" customHeight="1">
      <c r="A305" s="145"/>
      <c r="B305" s="154"/>
      <c r="C305" s="138"/>
      <c r="D305" s="138"/>
      <c r="E305" s="138"/>
      <c r="F305" s="138"/>
      <c r="G305" s="119"/>
      <c r="H305" s="200"/>
      <c r="I305" s="200"/>
      <c r="J305" s="200"/>
      <c r="K305" s="200"/>
      <c r="L305" s="200"/>
      <c r="M305" s="200"/>
      <c r="N305" s="200"/>
      <c r="O305" s="200"/>
      <c r="P305" s="200"/>
      <c r="Q305" s="200"/>
      <c r="R305" s="200"/>
      <c r="S305" s="200"/>
      <c r="T305" s="200"/>
      <c r="U305" s="200"/>
      <c r="V305" s="200"/>
      <c r="W305" s="200"/>
      <c r="X305" s="200"/>
      <c r="Y305" s="200"/>
      <c r="Z305" s="200"/>
    </row>
    <row r="306" ht="22.5" customHeight="1">
      <c r="A306" s="145"/>
      <c r="B306" s="154"/>
      <c r="C306" s="138"/>
      <c r="D306" s="138"/>
      <c r="E306" s="138"/>
      <c r="F306" s="138"/>
      <c r="G306" s="119"/>
      <c r="H306" s="200"/>
      <c r="I306" s="200"/>
      <c r="J306" s="200"/>
      <c r="K306" s="200"/>
      <c r="L306" s="200"/>
      <c r="M306" s="200"/>
      <c r="N306" s="200"/>
      <c r="O306" s="200"/>
      <c r="P306" s="200"/>
      <c r="Q306" s="200"/>
      <c r="R306" s="200"/>
      <c r="S306" s="200"/>
      <c r="T306" s="200"/>
      <c r="U306" s="200"/>
      <c r="V306" s="200"/>
      <c r="W306" s="200"/>
      <c r="X306" s="200"/>
      <c r="Y306" s="200"/>
      <c r="Z306" s="200"/>
    </row>
    <row r="307" ht="22.5" customHeight="1">
      <c r="A307" s="145"/>
      <c r="B307" s="154"/>
      <c r="C307" s="138"/>
      <c r="D307" s="138"/>
      <c r="E307" s="138"/>
      <c r="F307" s="138"/>
      <c r="G307" s="119"/>
      <c r="H307" s="200"/>
      <c r="I307" s="200"/>
      <c r="J307" s="200"/>
      <c r="K307" s="200"/>
      <c r="L307" s="200"/>
      <c r="M307" s="200"/>
      <c r="N307" s="200"/>
      <c r="O307" s="200"/>
      <c r="P307" s="200"/>
      <c r="Q307" s="200"/>
      <c r="R307" s="200"/>
      <c r="S307" s="200"/>
      <c r="T307" s="200"/>
      <c r="U307" s="200"/>
      <c r="V307" s="200"/>
      <c r="W307" s="200"/>
      <c r="X307" s="200"/>
      <c r="Y307" s="200"/>
      <c r="Z307" s="200"/>
    </row>
    <row r="308" ht="22.5" customHeight="1">
      <c r="A308" s="145"/>
      <c r="B308" s="154"/>
      <c r="C308" s="138"/>
      <c r="D308" s="138"/>
      <c r="E308" s="138"/>
      <c r="F308" s="138"/>
      <c r="G308" s="119"/>
      <c r="H308" s="200"/>
      <c r="I308" s="200"/>
      <c r="J308" s="200"/>
      <c r="K308" s="200"/>
      <c r="L308" s="200"/>
      <c r="M308" s="200"/>
      <c r="N308" s="200"/>
      <c r="O308" s="200"/>
      <c r="P308" s="200"/>
      <c r="Q308" s="200"/>
      <c r="R308" s="200"/>
      <c r="S308" s="200"/>
      <c r="T308" s="200"/>
      <c r="U308" s="200"/>
      <c r="V308" s="200"/>
      <c r="W308" s="200"/>
      <c r="X308" s="200"/>
      <c r="Y308" s="200"/>
      <c r="Z308" s="200"/>
    </row>
    <row r="309" ht="22.5" customHeight="1">
      <c r="A309" s="145"/>
      <c r="B309" s="154"/>
      <c r="C309" s="138"/>
      <c r="D309" s="138"/>
      <c r="E309" s="138"/>
      <c r="F309" s="138"/>
      <c r="G309" s="119"/>
      <c r="H309" s="200"/>
      <c r="I309" s="200"/>
      <c r="J309" s="200"/>
      <c r="K309" s="200"/>
      <c r="L309" s="200"/>
      <c r="M309" s="200"/>
      <c r="N309" s="200"/>
      <c r="O309" s="200"/>
      <c r="P309" s="200"/>
      <c r="Q309" s="200"/>
      <c r="R309" s="200"/>
      <c r="S309" s="200"/>
      <c r="T309" s="200"/>
      <c r="U309" s="200"/>
      <c r="V309" s="200"/>
      <c r="W309" s="200"/>
      <c r="X309" s="200"/>
      <c r="Y309" s="200"/>
      <c r="Z309" s="200"/>
    </row>
    <row r="310" ht="22.5" customHeight="1">
      <c r="A310" s="145"/>
      <c r="B310" s="154"/>
      <c r="C310" s="138"/>
      <c r="D310" s="138"/>
      <c r="E310" s="138"/>
      <c r="F310" s="138"/>
      <c r="G310" s="119"/>
      <c r="H310" s="200"/>
      <c r="I310" s="200"/>
      <c r="J310" s="200"/>
      <c r="K310" s="200"/>
      <c r="L310" s="200"/>
      <c r="M310" s="200"/>
      <c r="N310" s="200"/>
      <c r="O310" s="200"/>
      <c r="P310" s="200"/>
      <c r="Q310" s="200"/>
      <c r="R310" s="200"/>
      <c r="S310" s="200"/>
      <c r="T310" s="200"/>
      <c r="U310" s="200"/>
      <c r="V310" s="200"/>
      <c r="W310" s="200"/>
      <c r="X310" s="200"/>
      <c r="Y310" s="200"/>
      <c r="Z310" s="200"/>
    </row>
    <row r="311" ht="22.5" customHeight="1">
      <c r="A311" s="145"/>
      <c r="B311" s="154"/>
      <c r="C311" s="138"/>
      <c r="D311" s="138"/>
      <c r="E311" s="138"/>
      <c r="F311" s="138"/>
      <c r="G311" s="119"/>
      <c r="H311" s="200"/>
      <c r="I311" s="200"/>
      <c r="J311" s="200"/>
      <c r="K311" s="200"/>
      <c r="L311" s="200"/>
      <c r="M311" s="200"/>
      <c r="N311" s="200"/>
      <c r="O311" s="200"/>
      <c r="P311" s="200"/>
      <c r="Q311" s="200"/>
      <c r="R311" s="200"/>
      <c r="S311" s="200"/>
      <c r="T311" s="200"/>
      <c r="U311" s="200"/>
      <c r="V311" s="200"/>
      <c r="W311" s="200"/>
      <c r="X311" s="200"/>
      <c r="Y311" s="200"/>
      <c r="Z311" s="200"/>
    </row>
    <row r="312" ht="22.5" customHeight="1">
      <c r="A312" s="145"/>
      <c r="B312" s="154"/>
      <c r="C312" s="138"/>
      <c r="D312" s="138"/>
      <c r="E312" s="138"/>
      <c r="F312" s="138"/>
      <c r="G312" s="119"/>
      <c r="H312" s="200"/>
      <c r="I312" s="200"/>
      <c r="J312" s="200"/>
      <c r="K312" s="200"/>
      <c r="L312" s="200"/>
      <c r="M312" s="200"/>
      <c r="N312" s="200"/>
      <c r="O312" s="200"/>
      <c r="P312" s="200"/>
      <c r="Q312" s="200"/>
      <c r="R312" s="200"/>
      <c r="S312" s="200"/>
      <c r="T312" s="200"/>
      <c r="U312" s="200"/>
      <c r="V312" s="200"/>
      <c r="W312" s="200"/>
      <c r="X312" s="200"/>
      <c r="Y312" s="200"/>
      <c r="Z312" s="200"/>
    </row>
    <row r="313" ht="22.5" customHeight="1">
      <c r="A313" s="145"/>
      <c r="B313" s="154"/>
      <c r="C313" s="138"/>
      <c r="D313" s="138"/>
      <c r="E313" s="138"/>
      <c r="F313" s="138"/>
      <c r="G313" s="119"/>
      <c r="H313" s="200"/>
      <c r="I313" s="200"/>
      <c r="J313" s="200"/>
      <c r="K313" s="200"/>
      <c r="L313" s="200"/>
      <c r="M313" s="200"/>
      <c r="N313" s="200"/>
      <c r="O313" s="200"/>
      <c r="P313" s="200"/>
      <c r="Q313" s="200"/>
      <c r="R313" s="200"/>
      <c r="S313" s="200"/>
      <c r="T313" s="200"/>
      <c r="U313" s="200"/>
      <c r="V313" s="200"/>
      <c r="W313" s="200"/>
      <c r="X313" s="200"/>
      <c r="Y313" s="200"/>
      <c r="Z313" s="200"/>
    </row>
    <row r="314" ht="22.5" customHeight="1">
      <c r="A314" s="145"/>
      <c r="B314" s="154"/>
      <c r="C314" s="138"/>
      <c r="D314" s="138"/>
      <c r="E314" s="138"/>
      <c r="F314" s="138"/>
      <c r="G314" s="119"/>
      <c r="H314" s="200"/>
      <c r="I314" s="200"/>
      <c r="J314" s="200"/>
      <c r="K314" s="200"/>
      <c r="L314" s="200"/>
      <c r="M314" s="200"/>
      <c r="N314" s="200"/>
      <c r="O314" s="200"/>
      <c r="P314" s="200"/>
      <c r="Q314" s="200"/>
      <c r="R314" s="200"/>
      <c r="S314" s="200"/>
      <c r="T314" s="200"/>
      <c r="U314" s="200"/>
      <c r="V314" s="200"/>
      <c r="W314" s="200"/>
      <c r="X314" s="200"/>
      <c r="Y314" s="200"/>
      <c r="Z314" s="200"/>
    </row>
    <row r="315" ht="22.5" customHeight="1">
      <c r="A315" s="145"/>
      <c r="B315" s="154"/>
      <c r="C315" s="138"/>
      <c r="D315" s="138"/>
      <c r="E315" s="138"/>
      <c r="F315" s="138"/>
      <c r="G315" s="119"/>
      <c r="H315" s="200"/>
      <c r="I315" s="200"/>
      <c r="J315" s="200"/>
      <c r="K315" s="200"/>
      <c r="L315" s="200"/>
      <c r="M315" s="200"/>
      <c r="N315" s="200"/>
      <c r="O315" s="200"/>
      <c r="P315" s="200"/>
      <c r="Q315" s="200"/>
      <c r="R315" s="200"/>
      <c r="S315" s="200"/>
      <c r="T315" s="200"/>
      <c r="U315" s="200"/>
      <c r="V315" s="200"/>
      <c r="W315" s="200"/>
      <c r="X315" s="200"/>
      <c r="Y315" s="200"/>
      <c r="Z315" s="200"/>
    </row>
    <row r="316" ht="22.5" customHeight="1">
      <c r="A316" s="145"/>
      <c r="B316" s="154"/>
      <c r="C316" s="138"/>
      <c r="D316" s="138"/>
      <c r="E316" s="138"/>
      <c r="F316" s="138"/>
      <c r="G316" s="119"/>
      <c r="H316" s="200"/>
      <c r="I316" s="200"/>
      <c r="J316" s="200"/>
      <c r="K316" s="200"/>
      <c r="L316" s="200"/>
      <c r="M316" s="200"/>
      <c r="N316" s="200"/>
      <c r="O316" s="200"/>
      <c r="P316" s="200"/>
      <c r="Q316" s="200"/>
      <c r="R316" s="200"/>
      <c r="S316" s="200"/>
      <c r="T316" s="200"/>
      <c r="U316" s="200"/>
      <c r="V316" s="200"/>
      <c r="W316" s="200"/>
      <c r="X316" s="200"/>
      <c r="Y316" s="200"/>
      <c r="Z316" s="200"/>
    </row>
    <row r="317" ht="22.5" customHeight="1">
      <c r="A317" s="145"/>
      <c r="B317" s="154"/>
      <c r="C317" s="138"/>
      <c r="D317" s="138"/>
      <c r="E317" s="138"/>
      <c r="F317" s="138"/>
      <c r="G317" s="119"/>
      <c r="H317" s="200"/>
      <c r="I317" s="200"/>
      <c r="J317" s="200"/>
      <c r="K317" s="200"/>
      <c r="L317" s="200"/>
      <c r="M317" s="200"/>
      <c r="N317" s="200"/>
      <c r="O317" s="200"/>
      <c r="P317" s="200"/>
      <c r="Q317" s="200"/>
      <c r="R317" s="200"/>
      <c r="S317" s="200"/>
      <c r="T317" s="200"/>
      <c r="U317" s="200"/>
      <c r="V317" s="200"/>
      <c r="W317" s="200"/>
      <c r="X317" s="200"/>
      <c r="Y317" s="200"/>
      <c r="Z317" s="200"/>
    </row>
    <row r="318" ht="22.5" customHeight="1">
      <c r="A318" s="145"/>
      <c r="B318" s="154"/>
      <c r="C318" s="138"/>
      <c r="D318" s="138"/>
      <c r="E318" s="138"/>
      <c r="F318" s="138"/>
      <c r="G318" s="119"/>
      <c r="H318" s="200"/>
      <c r="I318" s="200"/>
      <c r="J318" s="200"/>
      <c r="K318" s="200"/>
      <c r="L318" s="200"/>
      <c r="M318" s="200"/>
      <c r="N318" s="200"/>
      <c r="O318" s="200"/>
      <c r="P318" s="200"/>
      <c r="Q318" s="200"/>
      <c r="R318" s="200"/>
      <c r="S318" s="200"/>
      <c r="T318" s="200"/>
      <c r="U318" s="200"/>
      <c r="V318" s="200"/>
      <c r="W318" s="200"/>
      <c r="X318" s="200"/>
      <c r="Y318" s="200"/>
      <c r="Z318" s="200"/>
    </row>
    <row r="319" ht="22.5" customHeight="1">
      <c r="A319" s="145"/>
      <c r="B319" s="154"/>
      <c r="C319" s="138"/>
      <c r="D319" s="138"/>
      <c r="E319" s="138"/>
      <c r="F319" s="138"/>
      <c r="G319" s="119"/>
      <c r="H319" s="200"/>
      <c r="I319" s="200"/>
      <c r="J319" s="200"/>
      <c r="K319" s="200"/>
      <c r="L319" s="200"/>
      <c r="M319" s="200"/>
      <c r="N319" s="200"/>
      <c r="O319" s="200"/>
      <c r="P319" s="200"/>
      <c r="Q319" s="200"/>
      <c r="R319" s="200"/>
      <c r="S319" s="200"/>
      <c r="T319" s="200"/>
      <c r="U319" s="200"/>
      <c r="V319" s="200"/>
      <c r="W319" s="200"/>
      <c r="X319" s="200"/>
      <c r="Y319" s="200"/>
      <c r="Z319" s="200"/>
    </row>
    <row r="320" ht="22.5" customHeight="1">
      <c r="A320" s="145"/>
      <c r="B320" s="154"/>
      <c r="C320" s="138"/>
      <c r="D320" s="138"/>
      <c r="E320" s="138"/>
      <c r="F320" s="138"/>
      <c r="G320" s="119"/>
      <c r="H320" s="200"/>
      <c r="I320" s="200"/>
      <c r="J320" s="200"/>
      <c r="K320" s="200"/>
      <c r="L320" s="200"/>
      <c r="M320" s="200"/>
      <c r="N320" s="200"/>
      <c r="O320" s="200"/>
      <c r="P320" s="200"/>
      <c r="Q320" s="200"/>
      <c r="R320" s="200"/>
      <c r="S320" s="200"/>
      <c r="T320" s="200"/>
      <c r="U320" s="200"/>
      <c r="V320" s="200"/>
      <c r="W320" s="200"/>
      <c r="X320" s="200"/>
      <c r="Y320" s="200"/>
      <c r="Z320" s="200"/>
    </row>
    <row r="321" ht="22.5" customHeight="1">
      <c r="A321" s="145"/>
      <c r="B321" s="154"/>
      <c r="C321" s="138"/>
      <c r="D321" s="138"/>
      <c r="E321" s="138"/>
      <c r="F321" s="138"/>
      <c r="G321" s="119"/>
      <c r="H321" s="200"/>
      <c r="I321" s="200"/>
      <c r="J321" s="200"/>
      <c r="K321" s="200"/>
      <c r="L321" s="200"/>
      <c r="M321" s="200"/>
      <c r="N321" s="200"/>
      <c r="O321" s="200"/>
      <c r="P321" s="200"/>
      <c r="Q321" s="200"/>
      <c r="R321" s="200"/>
      <c r="S321" s="200"/>
      <c r="T321" s="200"/>
      <c r="U321" s="200"/>
      <c r="V321" s="200"/>
      <c r="W321" s="200"/>
      <c r="X321" s="200"/>
      <c r="Y321" s="200"/>
      <c r="Z321" s="200"/>
    </row>
    <row r="322" ht="22.5" customHeight="1">
      <c r="A322" s="145"/>
      <c r="B322" s="154"/>
      <c r="C322" s="138"/>
      <c r="D322" s="138"/>
      <c r="E322" s="138"/>
      <c r="F322" s="138"/>
      <c r="G322" s="119"/>
      <c r="H322" s="200"/>
      <c r="I322" s="200"/>
      <c r="J322" s="200"/>
      <c r="K322" s="200"/>
      <c r="L322" s="200"/>
      <c r="M322" s="200"/>
      <c r="N322" s="200"/>
      <c r="O322" s="200"/>
      <c r="P322" s="200"/>
      <c r="Q322" s="200"/>
      <c r="R322" s="200"/>
      <c r="S322" s="200"/>
      <c r="T322" s="200"/>
      <c r="U322" s="200"/>
      <c r="V322" s="200"/>
      <c r="W322" s="200"/>
      <c r="X322" s="200"/>
      <c r="Y322" s="200"/>
      <c r="Z322" s="200"/>
    </row>
    <row r="323" ht="22.5" customHeight="1">
      <c r="A323" s="145"/>
      <c r="B323" s="154"/>
      <c r="C323" s="138"/>
      <c r="D323" s="138"/>
      <c r="E323" s="138"/>
      <c r="F323" s="138"/>
      <c r="G323" s="119"/>
      <c r="H323" s="200"/>
      <c r="I323" s="200"/>
      <c r="J323" s="200"/>
      <c r="K323" s="200"/>
      <c r="L323" s="200"/>
      <c r="M323" s="200"/>
      <c r="N323" s="200"/>
      <c r="O323" s="200"/>
      <c r="P323" s="200"/>
      <c r="Q323" s="200"/>
      <c r="R323" s="200"/>
      <c r="S323" s="200"/>
      <c r="T323" s="200"/>
      <c r="U323" s="200"/>
      <c r="V323" s="200"/>
      <c r="W323" s="200"/>
      <c r="X323" s="200"/>
      <c r="Y323" s="200"/>
      <c r="Z323" s="200"/>
    </row>
    <row r="324" ht="22.5" customHeight="1">
      <c r="A324" s="145"/>
      <c r="B324" s="154"/>
      <c r="C324" s="138"/>
      <c r="D324" s="138"/>
      <c r="E324" s="138"/>
      <c r="F324" s="138"/>
      <c r="G324" s="119"/>
      <c r="H324" s="200"/>
      <c r="I324" s="200"/>
      <c r="J324" s="200"/>
      <c r="K324" s="200"/>
      <c r="L324" s="200"/>
      <c r="M324" s="200"/>
      <c r="N324" s="200"/>
      <c r="O324" s="200"/>
      <c r="P324" s="200"/>
      <c r="Q324" s="200"/>
      <c r="R324" s="200"/>
      <c r="S324" s="200"/>
      <c r="T324" s="200"/>
      <c r="U324" s="200"/>
      <c r="V324" s="200"/>
      <c r="W324" s="200"/>
      <c r="X324" s="200"/>
      <c r="Y324" s="200"/>
      <c r="Z324" s="200"/>
    </row>
    <row r="325" ht="22.5" customHeight="1">
      <c r="A325" s="145"/>
      <c r="B325" s="154"/>
      <c r="C325" s="138"/>
      <c r="D325" s="138"/>
      <c r="E325" s="138"/>
      <c r="F325" s="138"/>
      <c r="G325" s="119"/>
      <c r="H325" s="200"/>
      <c r="I325" s="200"/>
      <c r="J325" s="200"/>
      <c r="K325" s="200"/>
      <c r="L325" s="200"/>
      <c r="M325" s="200"/>
      <c r="N325" s="200"/>
      <c r="O325" s="200"/>
      <c r="P325" s="200"/>
      <c r="Q325" s="200"/>
      <c r="R325" s="200"/>
      <c r="S325" s="200"/>
      <c r="T325" s="200"/>
      <c r="U325" s="200"/>
      <c r="V325" s="200"/>
      <c r="W325" s="200"/>
      <c r="X325" s="200"/>
      <c r="Y325" s="200"/>
      <c r="Z325" s="200"/>
    </row>
    <row r="326" ht="22.5" customHeight="1">
      <c r="A326" s="145"/>
      <c r="B326" s="154"/>
      <c r="C326" s="138"/>
      <c r="D326" s="138"/>
      <c r="E326" s="138"/>
      <c r="F326" s="138"/>
      <c r="G326" s="119"/>
      <c r="H326" s="200"/>
      <c r="I326" s="200"/>
      <c r="J326" s="200"/>
      <c r="K326" s="200"/>
      <c r="L326" s="200"/>
      <c r="M326" s="200"/>
      <c r="N326" s="200"/>
      <c r="O326" s="200"/>
      <c r="P326" s="200"/>
      <c r="Q326" s="200"/>
      <c r="R326" s="200"/>
      <c r="S326" s="200"/>
      <c r="T326" s="200"/>
      <c r="U326" s="200"/>
      <c r="V326" s="200"/>
      <c r="W326" s="200"/>
      <c r="X326" s="200"/>
      <c r="Y326" s="200"/>
      <c r="Z326" s="200"/>
    </row>
    <row r="327" ht="22.5" customHeight="1">
      <c r="A327" s="145"/>
      <c r="B327" s="154"/>
      <c r="C327" s="138"/>
      <c r="D327" s="138"/>
      <c r="E327" s="138"/>
      <c r="F327" s="138"/>
      <c r="G327" s="119"/>
      <c r="H327" s="200"/>
      <c r="I327" s="200"/>
      <c r="J327" s="200"/>
      <c r="K327" s="200"/>
      <c r="L327" s="200"/>
      <c r="M327" s="200"/>
      <c r="N327" s="200"/>
      <c r="O327" s="200"/>
      <c r="P327" s="200"/>
      <c r="Q327" s="200"/>
      <c r="R327" s="200"/>
      <c r="S327" s="200"/>
      <c r="T327" s="200"/>
      <c r="U327" s="200"/>
      <c r="V327" s="200"/>
      <c r="W327" s="200"/>
      <c r="X327" s="200"/>
      <c r="Y327" s="200"/>
      <c r="Z327" s="200"/>
    </row>
    <row r="328" ht="22.5" customHeight="1">
      <c r="A328" s="145"/>
      <c r="B328" s="154"/>
      <c r="C328" s="138"/>
      <c r="D328" s="138"/>
      <c r="E328" s="138"/>
      <c r="F328" s="138"/>
      <c r="G328" s="119"/>
      <c r="H328" s="200"/>
      <c r="I328" s="200"/>
      <c r="J328" s="200"/>
      <c r="K328" s="200"/>
      <c r="L328" s="200"/>
      <c r="M328" s="200"/>
      <c r="N328" s="200"/>
      <c r="O328" s="200"/>
      <c r="P328" s="200"/>
      <c r="Q328" s="200"/>
      <c r="R328" s="200"/>
      <c r="S328" s="200"/>
      <c r="T328" s="200"/>
      <c r="U328" s="200"/>
      <c r="V328" s="200"/>
      <c r="W328" s="200"/>
      <c r="X328" s="200"/>
      <c r="Y328" s="200"/>
      <c r="Z328" s="200"/>
    </row>
    <row r="329" ht="22.5" customHeight="1">
      <c r="A329" s="145"/>
      <c r="B329" s="154"/>
      <c r="C329" s="138"/>
      <c r="D329" s="138"/>
      <c r="E329" s="138"/>
      <c r="F329" s="138"/>
      <c r="G329" s="119"/>
      <c r="H329" s="200"/>
      <c r="I329" s="200"/>
      <c r="J329" s="200"/>
      <c r="K329" s="200"/>
      <c r="L329" s="200"/>
      <c r="M329" s="200"/>
      <c r="N329" s="200"/>
      <c r="O329" s="200"/>
      <c r="P329" s="200"/>
      <c r="Q329" s="200"/>
      <c r="R329" s="200"/>
      <c r="S329" s="200"/>
      <c r="T329" s="200"/>
      <c r="U329" s="200"/>
      <c r="V329" s="200"/>
      <c r="W329" s="200"/>
      <c r="X329" s="200"/>
      <c r="Y329" s="200"/>
      <c r="Z329" s="200"/>
    </row>
    <row r="330" ht="22.5" customHeight="1">
      <c r="A330" s="145"/>
      <c r="B330" s="154"/>
      <c r="C330" s="138"/>
      <c r="D330" s="138"/>
      <c r="E330" s="138"/>
      <c r="F330" s="138"/>
      <c r="G330" s="119"/>
      <c r="H330" s="200"/>
      <c r="I330" s="200"/>
      <c r="J330" s="200"/>
      <c r="K330" s="200"/>
      <c r="L330" s="200"/>
      <c r="M330" s="200"/>
      <c r="N330" s="200"/>
      <c r="O330" s="200"/>
      <c r="P330" s="200"/>
      <c r="Q330" s="200"/>
      <c r="R330" s="200"/>
      <c r="S330" s="200"/>
      <c r="T330" s="200"/>
      <c r="U330" s="200"/>
      <c r="V330" s="200"/>
      <c r="W330" s="200"/>
      <c r="X330" s="200"/>
      <c r="Y330" s="200"/>
      <c r="Z330" s="200"/>
    </row>
    <row r="331" ht="22.5" customHeight="1">
      <c r="A331" s="145"/>
      <c r="B331" s="154"/>
      <c r="C331" s="138"/>
      <c r="D331" s="138"/>
      <c r="E331" s="138"/>
      <c r="F331" s="138"/>
      <c r="G331" s="119"/>
      <c r="H331" s="200"/>
      <c r="I331" s="200"/>
      <c r="J331" s="200"/>
      <c r="K331" s="200"/>
      <c r="L331" s="200"/>
      <c r="M331" s="200"/>
      <c r="N331" s="200"/>
      <c r="O331" s="200"/>
      <c r="P331" s="200"/>
      <c r="Q331" s="200"/>
      <c r="R331" s="200"/>
      <c r="S331" s="200"/>
      <c r="T331" s="200"/>
      <c r="U331" s="200"/>
      <c r="V331" s="200"/>
      <c r="W331" s="200"/>
      <c r="X331" s="200"/>
      <c r="Y331" s="200"/>
      <c r="Z331" s="200"/>
    </row>
    <row r="332" ht="22.5" customHeight="1">
      <c r="A332" s="145"/>
      <c r="B332" s="154"/>
      <c r="C332" s="138"/>
      <c r="D332" s="138"/>
      <c r="E332" s="138"/>
      <c r="F332" s="138"/>
      <c r="G332" s="119"/>
      <c r="H332" s="200"/>
      <c r="I332" s="200"/>
      <c r="J332" s="200"/>
      <c r="K332" s="200"/>
      <c r="L332" s="200"/>
      <c r="M332" s="200"/>
      <c r="N332" s="200"/>
      <c r="O332" s="200"/>
      <c r="P332" s="200"/>
      <c r="Q332" s="200"/>
      <c r="R332" s="200"/>
      <c r="S332" s="200"/>
      <c r="T332" s="200"/>
      <c r="U332" s="200"/>
      <c r="V332" s="200"/>
      <c r="W332" s="200"/>
      <c r="X332" s="200"/>
      <c r="Y332" s="200"/>
      <c r="Z332" s="200"/>
    </row>
    <row r="333" ht="22.5" customHeight="1">
      <c r="A333" s="145"/>
      <c r="B333" s="154"/>
      <c r="C333" s="138"/>
      <c r="D333" s="138"/>
      <c r="E333" s="138"/>
      <c r="F333" s="138"/>
      <c r="G333" s="119"/>
      <c r="H333" s="200"/>
      <c r="I333" s="200"/>
      <c r="J333" s="200"/>
      <c r="K333" s="200"/>
      <c r="L333" s="200"/>
      <c r="M333" s="200"/>
      <c r="N333" s="200"/>
      <c r="O333" s="200"/>
      <c r="P333" s="200"/>
      <c r="Q333" s="200"/>
      <c r="R333" s="200"/>
      <c r="S333" s="200"/>
      <c r="T333" s="200"/>
      <c r="U333" s="200"/>
      <c r="V333" s="200"/>
      <c r="W333" s="200"/>
      <c r="X333" s="200"/>
      <c r="Y333" s="200"/>
      <c r="Z333" s="200"/>
    </row>
    <row r="334" ht="22.5" customHeight="1">
      <c r="A334" s="145"/>
      <c r="B334" s="154"/>
      <c r="C334" s="138"/>
      <c r="D334" s="138"/>
      <c r="E334" s="138"/>
      <c r="F334" s="138"/>
      <c r="G334" s="119"/>
      <c r="H334" s="200"/>
      <c r="I334" s="200"/>
      <c r="J334" s="200"/>
      <c r="K334" s="200"/>
      <c r="L334" s="200"/>
      <c r="M334" s="200"/>
      <c r="N334" s="200"/>
      <c r="O334" s="200"/>
      <c r="P334" s="200"/>
      <c r="Q334" s="200"/>
      <c r="R334" s="200"/>
      <c r="S334" s="200"/>
      <c r="T334" s="200"/>
      <c r="U334" s="200"/>
      <c r="V334" s="200"/>
      <c r="W334" s="200"/>
      <c r="X334" s="200"/>
      <c r="Y334" s="200"/>
      <c r="Z334" s="200"/>
    </row>
    <row r="335" ht="22.5" customHeight="1">
      <c r="A335" s="145"/>
      <c r="B335" s="154"/>
      <c r="C335" s="138"/>
      <c r="D335" s="138"/>
      <c r="E335" s="138"/>
      <c r="F335" s="138"/>
      <c r="G335" s="119"/>
      <c r="H335" s="200"/>
      <c r="I335" s="200"/>
      <c r="J335" s="200"/>
      <c r="K335" s="200"/>
      <c r="L335" s="200"/>
      <c r="M335" s="200"/>
      <c r="N335" s="200"/>
      <c r="O335" s="200"/>
      <c r="P335" s="200"/>
      <c r="Q335" s="200"/>
      <c r="R335" s="200"/>
      <c r="S335" s="200"/>
      <c r="T335" s="200"/>
      <c r="U335" s="200"/>
      <c r="V335" s="200"/>
      <c r="W335" s="200"/>
      <c r="X335" s="200"/>
      <c r="Y335" s="200"/>
      <c r="Z335" s="200"/>
    </row>
    <row r="336" ht="22.5" customHeight="1">
      <c r="A336" s="145"/>
      <c r="B336" s="154"/>
      <c r="C336" s="138"/>
      <c r="D336" s="138"/>
      <c r="E336" s="138"/>
      <c r="F336" s="138"/>
      <c r="G336" s="119"/>
      <c r="H336" s="200"/>
      <c r="I336" s="200"/>
      <c r="J336" s="200"/>
      <c r="K336" s="200"/>
      <c r="L336" s="200"/>
      <c r="M336" s="200"/>
      <c r="N336" s="200"/>
      <c r="O336" s="200"/>
      <c r="P336" s="200"/>
      <c r="Q336" s="200"/>
      <c r="R336" s="200"/>
      <c r="S336" s="200"/>
      <c r="T336" s="200"/>
      <c r="U336" s="200"/>
      <c r="V336" s="200"/>
      <c r="W336" s="200"/>
      <c r="X336" s="200"/>
      <c r="Y336" s="200"/>
      <c r="Z336" s="200"/>
    </row>
    <row r="337" ht="22.5" customHeight="1">
      <c r="A337" s="145"/>
      <c r="B337" s="154"/>
      <c r="C337" s="138"/>
      <c r="D337" s="138"/>
      <c r="E337" s="138"/>
      <c r="F337" s="138"/>
      <c r="G337" s="119"/>
      <c r="H337" s="200"/>
      <c r="I337" s="200"/>
      <c r="J337" s="200"/>
      <c r="K337" s="200"/>
      <c r="L337" s="200"/>
      <c r="M337" s="200"/>
      <c r="N337" s="200"/>
      <c r="O337" s="200"/>
      <c r="P337" s="200"/>
      <c r="Q337" s="200"/>
      <c r="R337" s="200"/>
      <c r="S337" s="200"/>
      <c r="T337" s="200"/>
      <c r="U337" s="200"/>
      <c r="V337" s="200"/>
      <c r="W337" s="200"/>
      <c r="X337" s="200"/>
      <c r="Y337" s="200"/>
      <c r="Z337" s="200"/>
    </row>
    <row r="338" ht="22.5" customHeight="1">
      <c r="A338" s="145"/>
      <c r="B338" s="154"/>
      <c r="C338" s="138"/>
      <c r="D338" s="138"/>
      <c r="E338" s="138"/>
      <c r="F338" s="138"/>
      <c r="G338" s="119"/>
      <c r="H338" s="200"/>
      <c r="I338" s="200"/>
      <c r="J338" s="200"/>
      <c r="K338" s="200"/>
      <c r="L338" s="200"/>
      <c r="M338" s="200"/>
      <c r="N338" s="200"/>
      <c r="O338" s="200"/>
      <c r="P338" s="200"/>
      <c r="Q338" s="200"/>
      <c r="R338" s="200"/>
      <c r="S338" s="200"/>
      <c r="T338" s="200"/>
      <c r="U338" s="200"/>
      <c r="V338" s="200"/>
      <c r="W338" s="200"/>
      <c r="X338" s="200"/>
      <c r="Y338" s="200"/>
      <c r="Z338" s="200"/>
    </row>
    <row r="339" ht="22.5" customHeight="1">
      <c r="A339" s="145"/>
      <c r="B339" s="154"/>
      <c r="C339" s="138"/>
      <c r="D339" s="138"/>
      <c r="E339" s="138"/>
      <c r="F339" s="138"/>
      <c r="G339" s="119"/>
      <c r="H339" s="200"/>
      <c r="I339" s="200"/>
      <c r="J339" s="200"/>
      <c r="K339" s="200"/>
      <c r="L339" s="200"/>
      <c r="M339" s="200"/>
      <c r="N339" s="200"/>
      <c r="O339" s="200"/>
      <c r="P339" s="200"/>
      <c r="Q339" s="200"/>
      <c r="R339" s="200"/>
      <c r="S339" s="200"/>
      <c r="T339" s="200"/>
      <c r="U339" s="200"/>
      <c r="V339" s="200"/>
      <c r="W339" s="200"/>
      <c r="X339" s="200"/>
      <c r="Y339" s="200"/>
      <c r="Z339" s="200"/>
    </row>
    <row r="340" ht="22.5" customHeight="1">
      <c r="A340" s="145"/>
      <c r="B340" s="154"/>
      <c r="C340" s="138"/>
      <c r="D340" s="138"/>
      <c r="E340" s="138"/>
      <c r="F340" s="138"/>
      <c r="G340" s="119"/>
      <c r="H340" s="200"/>
      <c r="I340" s="200"/>
      <c r="J340" s="200"/>
      <c r="K340" s="200"/>
      <c r="L340" s="200"/>
      <c r="M340" s="200"/>
      <c r="N340" s="200"/>
      <c r="O340" s="200"/>
      <c r="P340" s="200"/>
      <c r="Q340" s="200"/>
      <c r="R340" s="200"/>
      <c r="S340" s="200"/>
      <c r="T340" s="200"/>
      <c r="U340" s="200"/>
      <c r="V340" s="200"/>
      <c r="W340" s="200"/>
      <c r="X340" s="200"/>
      <c r="Y340" s="200"/>
      <c r="Z340" s="200"/>
    </row>
    <row r="341" ht="22.5" customHeight="1">
      <c r="A341" s="145"/>
      <c r="B341" s="154"/>
      <c r="C341" s="138"/>
      <c r="D341" s="138"/>
      <c r="E341" s="138"/>
      <c r="F341" s="138"/>
      <c r="G341" s="119"/>
      <c r="H341" s="200"/>
      <c r="I341" s="200"/>
      <c r="J341" s="200"/>
      <c r="K341" s="200"/>
      <c r="L341" s="200"/>
      <c r="M341" s="200"/>
      <c r="N341" s="200"/>
      <c r="O341" s="200"/>
      <c r="P341" s="200"/>
      <c r="Q341" s="200"/>
      <c r="R341" s="200"/>
      <c r="S341" s="200"/>
      <c r="T341" s="200"/>
      <c r="U341" s="200"/>
      <c r="V341" s="200"/>
      <c r="W341" s="200"/>
      <c r="X341" s="200"/>
      <c r="Y341" s="200"/>
      <c r="Z341" s="200"/>
    </row>
    <row r="342" ht="22.5" customHeight="1">
      <c r="A342" s="145"/>
      <c r="B342" s="154"/>
      <c r="C342" s="138"/>
      <c r="D342" s="138"/>
      <c r="E342" s="138"/>
      <c r="F342" s="138"/>
      <c r="G342" s="119"/>
      <c r="H342" s="200"/>
      <c r="I342" s="200"/>
      <c r="J342" s="200"/>
      <c r="K342" s="200"/>
      <c r="L342" s="200"/>
      <c r="M342" s="200"/>
      <c r="N342" s="200"/>
      <c r="O342" s="200"/>
      <c r="P342" s="200"/>
      <c r="Q342" s="200"/>
      <c r="R342" s="200"/>
      <c r="S342" s="200"/>
      <c r="T342" s="200"/>
      <c r="U342" s="200"/>
      <c r="V342" s="200"/>
      <c r="W342" s="200"/>
      <c r="X342" s="200"/>
      <c r="Y342" s="200"/>
      <c r="Z342" s="200"/>
    </row>
    <row r="343" ht="22.5" customHeight="1">
      <c r="A343" s="145"/>
      <c r="B343" s="154"/>
      <c r="C343" s="138"/>
      <c r="D343" s="138"/>
      <c r="E343" s="138"/>
      <c r="F343" s="138"/>
      <c r="G343" s="119"/>
      <c r="H343" s="200"/>
      <c r="I343" s="200"/>
      <c r="J343" s="200"/>
      <c r="K343" s="200"/>
      <c r="L343" s="200"/>
      <c r="M343" s="200"/>
      <c r="N343" s="200"/>
      <c r="O343" s="200"/>
      <c r="P343" s="200"/>
      <c r="Q343" s="200"/>
      <c r="R343" s="200"/>
      <c r="S343" s="200"/>
      <c r="T343" s="200"/>
      <c r="U343" s="200"/>
      <c r="V343" s="200"/>
      <c r="W343" s="200"/>
      <c r="X343" s="200"/>
      <c r="Y343" s="200"/>
      <c r="Z343" s="200"/>
    </row>
    <row r="344" ht="22.5" customHeight="1">
      <c r="A344" s="145"/>
      <c r="B344" s="154"/>
      <c r="C344" s="138"/>
      <c r="D344" s="138"/>
      <c r="E344" s="138"/>
      <c r="F344" s="138"/>
      <c r="G344" s="119"/>
      <c r="H344" s="200"/>
      <c r="I344" s="200"/>
      <c r="J344" s="200"/>
      <c r="K344" s="200"/>
      <c r="L344" s="200"/>
      <c r="M344" s="200"/>
      <c r="N344" s="200"/>
      <c r="O344" s="200"/>
      <c r="P344" s="200"/>
      <c r="Q344" s="200"/>
      <c r="R344" s="200"/>
      <c r="S344" s="200"/>
      <c r="T344" s="200"/>
      <c r="U344" s="200"/>
      <c r="V344" s="200"/>
      <c r="W344" s="200"/>
      <c r="X344" s="200"/>
      <c r="Y344" s="200"/>
      <c r="Z344" s="200"/>
    </row>
    <row r="345" ht="22.5" customHeight="1">
      <c r="A345" s="145"/>
      <c r="B345" s="154"/>
      <c r="C345" s="138"/>
      <c r="D345" s="138"/>
      <c r="E345" s="138"/>
      <c r="F345" s="138"/>
      <c r="G345" s="119"/>
      <c r="H345" s="200"/>
      <c r="I345" s="200"/>
      <c r="J345" s="200"/>
      <c r="K345" s="200"/>
      <c r="L345" s="200"/>
      <c r="M345" s="200"/>
      <c r="N345" s="200"/>
      <c r="O345" s="200"/>
      <c r="P345" s="200"/>
      <c r="Q345" s="200"/>
      <c r="R345" s="200"/>
      <c r="S345" s="200"/>
      <c r="T345" s="200"/>
      <c r="U345" s="200"/>
      <c r="V345" s="200"/>
      <c r="W345" s="200"/>
      <c r="X345" s="200"/>
      <c r="Y345" s="200"/>
      <c r="Z345" s="200"/>
    </row>
    <row r="346" ht="22.5" customHeight="1">
      <c r="A346" s="145"/>
      <c r="B346" s="154"/>
      <c r="C346" s="138"/>
      <c r="D346" s="138"/>
      <c r="E346" s="138"/>
      <c r="F346" s="138"/>
      <c r="G346" s="119"/>
      <c r="H346" s="200"/>
      <c r="I346" s="200"/>
      <c r="J346" s="200"/>
      <c r="K346" s="200"/>
      <c r="L346" s="200"/>
      <c r="M346" s="200"/>
      <c r="N346" s="200"/>
      <c r="O346" s="200"/>
      <c r="P346" s="200"/>
      <c r="Q346" s="200"/>
      <c r="R346" s="200"/>
      <c r="S346" s="200"/>
      <c r="T346" s="200"/>
      <c r="U346" s="200"/>
      <c r="V346" s="200"/>
      <c r="W346" s="200"/>
      <c r="X346" s="200"/>
      <c r="Y346" s="200"/>
      <c r="Z346" s="200"/>
    </row>
    <row r="347" ht="22.5" customHeight="1">
      <c r="A347" s="145"/>
      <c r="B347" s="154"/>
      <c r="C347" s="138"/>
      <c r="D347" s="138"/>
      <c r="E347" s="138"/>
      <c r="F347" s="138"/>
      <c r="G347" s="119"/>
      <c r="H347" s="200"/>
      <c r="I347" s="200"/>
      <c r="J347" s="200"/>
      <c r="K347" s="200"/>
      <c r="L347" s="200"/>
      <c r="M347" s="200"/>
      <c r="N347" s="200"/>
      <c r="O347" s="200"/>
      <c r="P347" s="200"/>
      <c r="Q347" s="200"/>
      <c r="R347" s="200"/>
      <c r="S347" s="200"/>
      <c r="T347" s="200"/>
      <c r="U347" s="200"/>
      <c r="V347" s="200"/>
      <c r="W347" s="200"/>
      <c r="X347" s="200"/>
      <c r="Y347" s="200"/>
      <c r="Z347" s="200"/>
    </row>
    <row r="348" ht="22.5" customHeight="1">
      <c r="A348" s="145"/>
      <c r="B348" s="154"/>
      <c r="C348" s="138"/>
      <c r="D348" s="138"/>
      <c r="E348" s="138"/>
      <c r="F348" s="138"/>
      <c r="G348" s="119"/>
      <c r="H348" s="200"/>
      <c r="I348" s="200"/>
      <c r="J348" s="200"/>
      <c r="K348" s="200"/>
      <c r="L348" s="200"/>
      <c r="M348" s="200"/>
      <c r="N348" s="200"/>
      <c r="O348" s="200"/>
      <c r="P348" s="200"/>
      <c r="Q348" s="200"/>
      <c r="R348" s="200"/>
      <c r="S348" s="200"/>
      <c r="T348" s="200"/>
      <c r="U348" s="200"/>
      <c r="V348" s="200"/>
      <c r="W348" s="200"/>
      <c r="X348" s="200"/>
      <c r="Y348" s="200"/>
      <c r="Z348" s="200"/>
    </row>
    <row r="349" ht="22.5" customHeight="1">
      <c r="A349" s="145"/>
      <c r="B349" s="154"/>
      <c r="C349" s="138"/>
      <c r="D349" s="138"/>
      <c r="E349" s="138"/>
      <c r="F349" s="138"/>
      <c r="G349" s="119"/>
      <c r="H349" s="200"/>
      <c r="I349" s="200"/>
      <c r="J349" s="200"/>
      <c r="K349" s="200"/>
      <c r="L349" s="200"/>
      <c r="M349" s="200"/>
      <c r="N349" s="200"/>
      <c r="O349" s="200"/>
      <c r="P349" s="200"/>
      <c r="Q349" s="200"/>
      <c r="R349" s="200"/>
      <c r="S349" s="200"/>
      <c r="T349" s="200"/>
      <c r="U349" s="200"/>
      <c r="V349" s="200"/>
      <c r="W349" s="200"/>
      <c r="X349" s="200"/>
      <c r="Y349" s="200"/>
      <c r="Z349" s="200"/>
    </row>
    <row r="350" ht="22.5" customHeight="1">
      <c r="A350" s="145"/>
      <c r="B350" s="154"/>
      <c r="C350" s="138"/>
      <c r="D350" s="138"/>
      <c r="E350" s="138"/>
      <c r="F350" s="138"/>
      <c r="G350" s="119"/>
      <c r="H350" s="200"/>
      <c r="I350" s="200"/>
      <c r="J350" s="200"/>
      <c r="K350" s="200"/>
      <c r="L350" s="200"/>
      <c r="M350" s="200"/>
      <c r="N350" s="200"/>
      <c r="O350" s="200"/>
      <c r="P350" s="200"/>
      <c r="Q350" s="200"/>
      <c r="R350" s="200"/>
      <c r="S350" s="200"/>
      <c r="T350" s="200"/>
      <c r="U350" s="200"/>
      <c r="V350" s="200"/>
      <c r="W350" s="200"/>
      <c r="X350" s="200"/>
      <c r="Y350" s="200"/>
      <c r="Z350" s="200"/>
    </row>
    <row r="351" ht="22.5" customHeight="1">
      <c r="A351" s="145"/>
      <c r="B351" s="154"/>
      <c r="C351" s="138"/>
      <c r="D351" s="138"/>
      <c r="E351" s="138"/>
      <c r="F351" s="138"/>
      <c r="G351" s="119"/>
      <c r="H351" s="200"/>
      <c r="I351" s="200"/>
      <c r="J351" s="200"/>
      <c r="K351" s="200"/>
      <c r="L351" s="200"/>
      <c r="M351" s="200"/>
      <c r="N351" s="200"/>
      <c r="O351" s="200"/>
      <c r="P351" s="200"/>
      <c r="Q351" s="200"/>
      <c r="R351" s="200"/>
      <c r="S351" s="200"/>
      <c r="T351" s="200"/>
      <c r="U351" s="200"/>
      <c r="V351" s="200"/>
      <c r="W351" s="200"/>
      <c r="X351" s="200"/>
      <c r="Y351" s="200"/>
      <c r="Z351" s="200"/>
    </row>
    <row r="352" ht="22.5" customHeight="1">
      <c r="A352" s="145"/>
      <c r="B352" s="154"/>
      <c r="C352" s="138"/>
      <c r="D352" s="138"/>
      <c r="E352" s="138"/>
      <c r="F352" s="138"/>
      <c r="G352" s="119"/>
      <c r="H352" s="200"/>
      <c r="I352" s="200"/>
      <c r="J352" s="200"/>
      <c r="K352" s="200"/>
      <c r="L352" s="200"/>
      <c r="M352" s="200"/>
      <c r="N352" s="200"/>
      <c r="O352" s="200"/>
      <c r="P352" s="200"/>
      <c r="Q352" s="200"/>
      <c r="R352" s="200"/>
      <c r="S352" s="200"/>
      <c r="T352" s="200"/>
      <c r="U352" s="200"/>
      <c r="V352" s="200"/>
      <c r="W352" s="200"/>
      <c r="X352" s="200"/>
      <c r="Y352" s="200"/>
      <c r="Z352" s="200"/>
    </row>
    <row r="353" ht="22.5" customHeight="1">
      <c r="A353" s="145"/>
      <c r="B353" s="154"/>
      <c r="C353" s="138"/>
      <c r="D353" s="138"/>
      <c r="E353" s="138"/>
      <c r="F353" s="138"/>
      <c r="G353" s="119"/>
      <c r="H353" s="200"/>
      <c r="I353" s="200"/>
      <c r="J353" s="200"/>
      <c r="K353" s="200"/>
      <c r="L353" s="200"/>
      <c r="M353" s="200"/>
      <c r="N353" s="200"/>
      <c r="O353" s="200"/>
      <c r="P353" s="200"/>
      <c r="Q353" s="200"/>
      <c r="R353" s="200"/>
      <c r="S353" s="200"/>
      <c r="T353" s="200"/>
      <c r="U353" s="200"/>
      <c r="V353" s="200"/>
      <c r="W353" s="200"/>
      <c r="X353" s="200"/>
      <c r="Y353" s="200"/>
      <c r="Z353" s="200"/>
    </row>
    <row r="354" ht="22.5" customHeight="1">
      <c r="A354" s="145"/>
      <c r="B354" s="154"/>
      <c r="C354" s="138"/>
      <c r="D354" s="138"/>
      <c r="E354" s="138"/>
      <c r="F354" s="138"/>
      <c r="G354" s="119"/>
      <c r="H354" s="200"/>
      <c r="I354" s="200"/>
      <c r="J354" s="200"/>
      <c r="K354" s="200"/>
      <c r="L354" s="200"/>
      <c r="M354" s="200"/>
      <c r="N354" s="200"/>
      <c r="O354" s="200"/>
      <c r="P354" s="200"/>
      <c r="Q354" s="200"/>
      <c r="R354" s="200"/>
      <c r="S354" s="200"/>
      <c r="T354" s="200"/>
      <c r="U354" s="200"/>
      <c r="V354" s="200"/>
      <c r="W354" s="200"/>
      <c r="X354" s="200"/>
      <c r="Y354" s="200"/>
      <c r="Z354" s="200"/>
    </row>
    <row r="355" ht="22.5" customHeight="1">
      <c r="A355" s="145"/>
      <c r="B355" s="154"/>
      <c r="C355" s="138"/>
      <c r="D355" s="138"/>
      <c r="E355" s="138"/>
      <c r="F355" s="138"/>
      <c r="G355" s="119"/>
      <c r="H355" s="200"/>
      <c r="I355" s="200"/>
      <c r="J355" s="200"/>
      <c r="K355" s="200"/>
      <c r="L355" s="200"/>
      <c r="M355" s="200"/>
      <c r="N355" s="200"/>
      <c r="O355" s="200"/>
      <c r="P355" s="200"/>
      <c r="Q355" s="200"/>
      <c r="R355" s="200"/>
      <c r="S355" s="200"/>
      <c r="T355" s="200"/>
      <c r="U355" s="200"/>
      <c r="V355" s="200"/>
      <c r="W355" s="200"/>
      <c r="X355" s="200"/>
      <c r="Y355" s="200"/>
      <c r="Z355" s="200"/>
    </row>
    <row r="356" ht="22.5" customHeight="1">
      <c r="A356" s="145"/>
      <c r="B356" s="154"/>
      <c r="C356" s="138"/>
      <c r="D356" s="138"/>
      <c r="E356" s="138"/>
      <c r="F356" s="138"/>
      <c r="G356" s="119"/>
      <c r="H356" s="200"/>
      <c r="I356" s="200"/>
      <c r="J356" s="200"/>
      <c r="K356" s="200"/>
      <c r="L356" s="200"/>
      <c r="M356" s="200"/>
      <c r="N356" s="200"/>
      <c r="O356" s="200"/>
      <c r="P356" s="200"/>
      <c r="Q356" s="200"/>
      <c r="R356" s="200"/>
      <c r="S356" s="200"/>
      <c r="T356" s="200"/>
      <c r="U356" s="200"/>
      <c r="V356" s="200"/>
      <c r="W356" s="200"/>
      <c r="X356" s="200"/>
      <c r="Y356" s="200"/>
      <c r="Z356" s="200"/>
    </row>
    <row r="357" ht="22.5" customHeight="1">
      <c r="A357" s="145"/>
      <c r="B357" s="154"/>
      <c r="C357" s="138"/>
      <c r="D357" s="138"/>
      <c r="E357" s="138"/>
      <c r="F357" s="138"/>
      <c r="G357" s="119"/>
      <c r="H357" s="200"/>
      <c r="I357" s="200"/>
      <c r="J357" s="200"/>
      <c r="K357" s="200"/>
      <c r="L357" s="200"/>
      <c r="M357" s="200"/>
      <c r="N357" s="200"/>
      <c r="O357" s="200"/>
      <c r="P357" s="200"/>
      <c r="Q357" s="200"/>
      <c r="R357" s="200"/>
      <c r="S357" s="200"/>
      <c r="T357" s="200"/>
      <c r="U357" s="200"/>
      <c r="V357" s="200"/>
      <c r="W357" s="200"/>
      <c r="X357" s="200"/>
      <c r="Y357" s="200"/>
      <c r="Z357" s="200"/>
    </row>
    <row r="358" ht="22.5" customHeight="1">
      <c r="A358" s="145"/>
      <c r="B358" s="154"/>
      <c r="C358" s="138"/>
      <c r="D358" s="138"/>
      <c r="E358" s="138"/>
      <c r="F358" s="138"/>
      <c r="G358" s="119"/>
      <c r="H358" s="200"/>
      <c r="I358" s="200"/>
      <c r="J358" s="200"/>
      <c r="K358" s="200"/>
      <c r="L358" s="200"/>
      <c r="M358" s="200"/>
      <c r="N358" s="200"/>
      <c r="O358" s="200"/>
      <c r="P358" s="200"/>
      <c r="Q358" s="200"/>
      <c r="R358" s="200"/>
      <c r="S358" s="200"/>
      <c r="T358" s="200"/>
      <c r="U358" s="200"/>
      <c r="V358" s="200"/>
      <c r="W358" s="200"/>
      <c r="X358" s="200"/>
      <c r="Y358" s="200"/>
      <c r="Z358" s="200"/>
    </row>
    <row r="359" ht="22.5" customHeight="1">
      <c r="A359" s="145"/>
      <c r="B359" s="154"/>
      <c r="C359" s="138"/>
      <c r="D359" s="138"/>
      <c r="E359" s="138"/>
      <c r="F359" s="138"/>
      <c r="G359" s="119"/>
      <c r="H359" s="200"/>
      <c r="I359" s="200"/>
      <c r="J359" s="200"/>
      <c r="K359" s="200"/>
      <c r="L359" s="200"/>
      <c r="M359" s="200"/>
      <c r="N359" s="200"/>
      <c r="O359" s="200"/>
      <c r="P359" s="200"/>
      <c r="Q359" s="200"/>
      <c r="R359" s="200"/>
      <c r="S359" s="200"/>
      <c r="T359" s="200"/>
      <c r="U359" s="200"/>
      <c r="V359" s="200"/>
      <c r="W359" s="200"/>
      <c r="X359" s="200"/>
      <c r="Y359" s="200"/>
      <c r="Z359" s="200"/>
    </row>
    <row r="360" ht="22.5" customHeight="1">
      <c r="A360" s="145"/>
      <c r="B360" s="154"/>
      <c r="C360" s="138"/>
      <c r="D360" s="138"/>
      <c r="E360" s="138"/>
      <c r="F360" s="138"/>
      <c r="G360" s="119"/>
      <c r="H360" s="200"/>
      <c r="I360" s="200"/>
      <c r="J360" s="200"/>
      <c r="K360" s="200"/>
      <c r="L360" s="200"/>
      <c r="M360" s="200"/>
      <c r="N360" s="200"/>
      <c r="O360" s="200"/>
      <c r="P360" s="200"/>
      <c r="Q360" s="200"/>
      <c r="R360" s="200"/>
      <c r="S360" s="200"/>
      <c r="T360" s="200"/>
      <c r="U360" s="200"/>
      <c r="V360" s="200"/>
      <c r="W360" s="200"/>
      <c r="X360" s="200"/>
      <c r="Y360" s="200"/>
      <c r="Z360" s="200"/>
    </row>
    <row r="361" ht="22.5" customHeight="1">
      <c r="A361" s="145"/>
      <c r="B361" s="154"/>
      <c r="C361" s="138"/>
      <c r="D361" s="138"/>
      <c r="E361" s="138"/>
      <c r="F361" s="138"/>
      <c r="G361" s="119"/>
      <c r="H361" s="200"/>
      <c r="I361" s="200"/>
      <c r="J361" s="200"/>
      <c r="K361" s="200"/>
      <c r="L361" s="200"/>
      <c r="M361" s="200"/>
      <c r="N361" s="200"/>
      <c r="O361" s="200"/>
      <c r="P361" s="200"/>
      <c r="Q361" s="200"/>
      <c r="R361" s="200"/>
      <c r="S361" s="200"/>
      <c r="T361" s="200"/>
      <c r="U361" s="200"/>
      <c r="V361" s="200"/>
      <c r="W361" s="200"/>
      <c r="X361" s="200"/>
      <c r="Y361" s="200"/>
      <c r="Z361" s="200"/>
    </row>
    <row r="362" ht="22.5" customHeight="1">
      <c r="A362" s="145"/>
      <c r="B362" s="154"/>
      <c r="C362" s="138"/>
      <c r="D362" s="138"/>
      <c r="E362" s="138"/>
      <c r="F362" s="138"/>
      <c r="G362" s="119"/>
      <c r="H362" s="200"/>
      <c r="I362" s="200"/>
      <c r="J362" s="200"/>
      <c r="K362" s="200"/>
      <c r="L362" s="200"/>
      <c r="M362" s="200"/>
      <c r="N362" s="200"/>
      <c r="O362" s="200"/>
      <c r="P362" s="200"/>
      <c r="Q362" s="200"/>
      <c r="R362" s="200"/>
      <c r="S362" s="200"/>
      <c r="T362" s="200"/>
      <c r="U362" s="200"/>
      <c r="V362" s="200"/>
      <c r="W362" s="200"/>
      <c r="X362" s="200"/>
      <c r="Y362" s="200"/>
      <c r="Z362" s="200"/>
    </row>
    <row r="363" ht="22.5" customHeight="1">
      <c r="A363" s="145"/>
      <c r="B363" s="154"/>
      <c r="C363" s="138"/>
      <c r="D363" s="138"/>
      <c r="E363" s="138"/>
      <c r="F363" s="138"/>
      <c r="G363" s="119"/>
      <c r="H363" s="200"/>
      <c r="I363" s="200"/>
      <c r="J363" s="200"/>
      <c r="K363" s="200"/>
      <c r="L363" s="200"/>
      <c r="M363" s="200"/>
      <c r="N363" s="200"/>
      <c r="O363" s="200"/>
      <c r="P363" s="200"/>
      <c r="Q363" s="200"/>
      <c r="R363" s="200"/>
      <c r="S363" s="200"/>
      <c r="T363" s="200"/>
      <c r="U363" s="200"/>
      <c r="V363" s="200"/>
      <c r="W363" s="200"/>
      <c r="X363" s="200"/>
      <c r="Y363" s="200"/>
      <c r="Z363" s="200"/>
    </row>
    <row r="364" ht="22.5" customHeight="1">
      <c r="A364" s="145"/>
      <c r="B364" s="154"/>
      <c r="C364" s="138"/>
      <c r="D364" s="138"/>
      <c r="E364" s="138"/>
      <c r="F364" s="138"/>
      <c r="G364" s="119"/>
      <c r="H364" s="200"/>
      <c r="I364" s="200"/>
      <c r="J364" s="200"/>
      <c r="K364" s="200"/>
      <c r="L364" s="200"/>
      <c r="M364" s="200"/>
      <c r="N364" s="200"/>
      <c r="O364" s="200"/>
      <c r="P364" s="200"/>
      <c r="Q364" s="200"/>
      <c r="R364" s="200"/>
      <c r="S364" s="200"/>
      <c r="T364" s="200"/>
      <c r="U364" s="200"/>
      <c r="V364" s="200"/>
      <c r="W364" s="200"/>
      <c r="X364" s="200"/>
      <c r="Y364" s="200"/>
      <c r="Z364" s="200"/>
    </row>
    <row r="365" ht="22.5" customHeight="1">
      <c r="A365" s="145"/>
      <c r="B365" s="154"/>
      <c r="C365" s="138"/>
      <c r="D365" s="138"/>
      <c r="E365" s="138"/>
      <c r="F365" s="138"/>
      <c r="G365" s="119"/>
      <c r="H365" s="200"/>
      <c r="I365" s="200"/>
      <c r="J365" s="200"/>
      <c r="K365" s="200"/>
      <c r="L365" s="200"/>
      <c r="M365" s="200"/>
      <c r="N365" s="200"/>
      <c r="O365" s="200"/>
      <c r="P365" s="200"/>
      <c r="Q365" s="200"/>
      <c r="R365" s="200"/>
      <c r="S365" s="200"/>
      <c r="T365" s="200"/>
      <c r="U365" s="200"/>
      <c r="V365" s="200"/>
      <c r="W365" s="200"/>
      <c r="X365" s="200"/>
      <c r="Y365" s="200"/>
      <c r="Z365" s="200"/>
    </row>
    <row r="366" ht="22.5" customHeight="1">
      <c r="A366" s="145"/>
      <c r="B366" s="154"/>
      <c r="C366" s="138"/>
      <c r="D366" s="138"/>
      <c r="E366" s="138"/>
      <c r="F366" s="138"/>
      <c r="G366" s="119"/>
      <c r="H366" s="200"/>
      <c r="I366" s="200"/>
      <c r="J366" s="200"/>
      <c r="K366" s="200"/>
      <c r="L366" s="200"/>
      <c r="M366" s="200"/>
      <c r="N366" s="200"/>
      <c r="O366" s="200"/>
      <c r="P366" s="200"/>
      <c r="Q366" s="200"/>
      <c r="R366" s="200"/>
      <c r="S366" s="200"/>
      <c r="T366" s="200"/>
      <c r="U366" s="200"/>
      <c r="V366" s="200"/>
      <c r="W366" s="200"/>
      <c r="X366" s="200"/>
      <c r="Y366" s="200"/>
      <c r="Z366" s="200"/>
    </row>
    <row r="367" ht="22.5" customHeight="1">
      <c r="A367" s="145"/>
      <c r="B367" s="154"/>
      <c r="C367" s="138"/>
      <c r="D367" s="138"/>
      <c r="E367" s="138"/>
      <c r="F367" s="138"/>
      <c r="G367" s="119"/>
      <c r="H367" s="200"/>
      <c r="I367" s="200"/>
      <c r="J367" s="200"/>
      <c r="K367" s="200"/>
      <c r="L367" s="200"/>
      <c r="M367" s="200"/>
      <c r="N367" s="200"/>
      <c r="O367" s="200"/>
      <c r="P367" s="200"/>
      <c r="Q367" s="200"/>
      <c r="R367" s="200"/>
      <c r="S367" s="200"/>
      <c r="T367" s="200"/>
      <c r="U367" s="200"/>
      <c r="V367" s="200"/>
      <c r="W367" s="200"/>
      <c r="X367" s="200"/>
      <c r="Y367" s="200"/>
      <c r="Z367" s="200"/>
    </row>
    <row r="368" ht="22.5" customHeight="1">
      <c r="A368" s="145"/>
      <c r="B368" s="154"/>
      <c r="C368" s="138"/>
      <c r="D368" s="138"/>
      <c r="E368" s="138"/>
      <c r="F368" s="138"/>
      <c r="G368" s="119"/>
      <c r="H368" s="200"/>
      <c r="I368" s="200"/>
      <c r="J368" s="200"/>
      <c r="K368" s="200"/>
      <c r="L368" s="200"/>
      <c r="M368" s="200"/>
      <c r="N368" s="200"/>
      <c r="O368" s="200"/>
      <c r="P368" s="200"/>
      <c r="Q368" s="200"/>
      <c r="R368" s="200"/>
      <c r="S368" s="200"/>
      <c r="T368" s="200"/>
      <c r="U368" s="200"/>
      <c r="V368" s="200"/>
      <c r="W368" s="200"/>
      <c r="X368" s="200"/>
      <c r="Y368" s="200"/>
      <c r="Z368" s="200"/>
    </row>
    <row r="369" ht="22.5" customHeight="1">
      <c r="A369" s="145"/>
      <c r="B369" s="154"/>
      <c r="C369" s="138"/>
      <c r="D369" s="138"/>
      <c r="E369" s="138"/>
      <c r="F369" s="138"/>
      <c r="G369" s="119"/>
      <c r="H369" s="200"/>
      <c r="I369" s="200"/>
      <c r="J369" s="200"/>
      <c r="K369" s="200"/>
      <c r="L369" s="200"/>
      <c r="M369" s="200"/>
      <c r="N369" s="200"/>
      <c r="O369" s="200"/>
      <c r="P369" s="200"/>
      <c r="Q369" s="200"/>
      <c r="R369" s="200"/>
      <c r="S369" s="200"/>
      <c r="T369" s="200"/>
      <c r="U369" s="200"/>
      <c r="V369" s="200"/>
      <c r="W369" s="200"/>
      <c r="X369" s="200"/>
      <c r="Y369" s="200"/>
      <c r="Z369" s="200"/>
    </row>
    <row r="370" ht="22.5" customHeight="1">
      <c r="A370" s="145"/>
      <c r="B370" s="154"/>
      <c r="C370" s="138"/>
      <c r="D370" s="138"/>
      <c r="E370" s="138"/>
      <c r="F370" s="138"/>
      <c r="G370" s="119"/>
      <c r="H370" s="200"/>
      <c r="I370" s="200"/>
      <c r="J370" s="200"/>
      <c r="K370" s="200"/>
      <c r="L370" s="200"/>
      <c r="M370" s="200"/>
      <c r="N370" s="200"/>
      <c r="O370" s="200"/>
      <c r="P370" s="200"/>
      <c r="Q370" s="200"/>
      <c r="R370" s="200"/>
      <c r="S370" s="200"/>
      <c r="T370" s="200"/>
      <c r="U370" s="200"/>
      <c r="V370" s="200"/>
      <c r="W370" s="200"/>
      <c r="X370" s="200"/>
      <c r="Y370" s="200"/>
      <c r="Z370" s="200"/>
    </row>
    <row r="371" ht="22.5" customHeight="1">
      <c r="A371" s="145"/>
      <c r="B371" s="154"/>
      <c r="C371" s="138"/>
      <c r="D371" s="138"/>
      <c r="E371" s="138"/>
      <c r="F371" s="138"/>
      <c r="G371" s="119"/>
      <c r="H371" s="200"/>
      <c r="I371" s="200"/>
      <c r="J371" s="200"/>
      <c r="K371" s="200"/>
      <c r="L371" s="200"/>
      <c r="M371" s="200"/>
      <c r="N371" s="200"/>
      <c r="O371" s="200"/>
      <c r="P371" s="200"/>
      <c r="Q371" s="200"/>
      <c r="R371" s="200"/>
      <c r="S371" s="200"/>
      <c r="T371" s="200"/>
      <c r="U371" s="200"/>
      <c r="V371" s="200"/>
      <c r="W371" s="200"/>
      <c r="X371" s="200"/>
      <c r="Y371" s="200"/>
      <c r="Z371" s="200"/>
    </row>
    <row r="372" ht="22.5" customHeight="1">
      <c r="A372" s="145"/>
      <c r="B372" s="154"/>
      <c r="C372" s="138"/>
      <c r="D372" s="138"/>
      <c r="E372" s="138"/>
      <c r="F372" s="138"/>
      <c r="G372" s="119"/>
      <c r="H372" s="200"/>
      <c r="I372" s="200"/>
      <c r="J372" s="200"/>
      <c r="K372" s="200"/>
      <c r="L372" s="200"/>
      <c r="M372" s="200"/>
      <c r="N372" s="200"/>
      <c r="O372" s="200"/>
      <c r="P372" s="200"/>
      <c r="Q372" s="200"/>
      <c r="R372" s="200"/>
      <c r="S372" s="200"/>
      <c r="T372" s="200"/>
      <c r="U372" s="200"/>
      <c r="V372" s="200"/>
      <c r="W372" s="200"/>
      <c r="X372" s="200"/>
      <c r="Y372" s="200"/>
      <c r="Z372" s="200"/>
    </row>
    <row r="373" ht="22.5" customHeight="1">
      <c r="A373" s="145"/>
      <c r="B373" s="154"/>
      <c r="C373" s="138"/>
      <c r="D373" s="138"/>
      <c r="E373" s="138"/>
      <c r="F373" s="138"/>
      <c r="G373" s="119"/>
      <c r="H373" s="200"/>
      <c r="I373" s="200"/>
      <c r="J373" s="200"/>
      <c r="K373" s="200"/>
      <c r="L373" s="200"/>
      <c r="M373" s="200"/>
      <c r="N373" s="200"/>
      <c r="O373" s="200"/>
      <c r="P373" s="200"/>
      <c r="Q373" s="200"/>
      <c r="R373" s="200"/>
      <c r="S373" s="200"/>
      <c r="T373" s="200"/>
      <c r="U373" s="200"/>
      <c r="V373" s="200"/>
      <c r="W373" s="200"/>
      <c r="X373" s="200"/>
      <c r="Y373" s="200"/>
      <c r="Z373" s="200"/>
    </row>
    <row r="374" ht="22.5" customHeight="1">
      <c r="A374" s="145"/>
      <c r="B374" s="154"/>
      <c r="C374" s="138"/>
      <c r="D374" s="138"/>
      <c r="E374" s="138"/>
      <c r="F374" s="138"/>
      <c r="G374" s="119"/>
      <c r="H374" s="200"/>
      <c r="I374" s="200"/>
      <c r="J374" s="200"/>
      <c r="K374" s="200"/>
      <c r="L374" s="200"/>
      <c r="M374" s="200"/>
      <c r="N374" s="200"/>
      <c r="O374" s="200"/>
      <c r="P374" s="200"/>
      <c r="Q374" s="200"/>
      <c r="R374" s="200"/>
      <c r="S374" s="200"/>
      <c r="T374" s="200"/>
      <c r="U374" s="200"/>
      <c r="V374" s="200"/>
      <c r="W374" s="200"/>
      <c r="X374" s="200"/>
      <c r="Y374" s="200"/>
      <c r="Z374" s="200"/>
    </row>
    <row r="375" ht="22.5" customHeight="1">
      <c r="A375" s="145"/>
      <c r="B375" s="154"/>
      <c r="C375" s="138"/>
      <c r="D375" s="138"/>
      <c r="E375" s="138"/>
      <c r="F375" s="138"/>
      <c r="G375" s="119"/>
      <c r="H375" s="200"/>
      <c r="I375" s="200"/>
      <c r="J375" s="200"/>
      <c r="K375" s="200"/>
      <c r="L375" s="200"/>
      <c r="M375" s="200"/>
      <c r="N375" s="200"/>
      <c r="O375" s="200"/>
      <c r="P375" s="200"/>
      <c r="Q375" s="200"/>
      <c r="R375" s="200"/>
      <c r="S375" s="200"/>
      <c r="T375" s="200"/>
      <c r="U375" s="200"/>
      <c r="V375" s="200"/>
      <c r="W375" s="200"/>
      <c r="X375" s="200"/>
      <c r="Y375" s="200"/>
      <c r="Z375" s="200"/>
    </row>
    <row r="376" ht="22.5" customHeight="1">
      <c r="A376" s="145"/>
      <c r="B376" s="154"/>
      <c r="C376" s="138"/>
      <c r="D376" s="138"/>
      <c r="E376" s="138"/>
      <c r="F376" s="138"/>
      <c r="G376" s="119"/>
      <c r="H376" s="200"/>
      <c r="I376" s="200"/>
      <c r="J376" s="200"/>
      <c r="K376" s="200"/>
      <c r="L376" s="200"/>
      <c r="M376" s="200"/>
      <c r="N376" s="200"/>
      <c r="O376" s="200"/>
      <c r="P376" s="200"/>
      <c r="Q376" s="200"/>
      <c r="R376" s="200"/>
      <c r="S376" s="200"/>
      <c r="T376" s="200"/>
      <c r="U376" s="200"/>
      <c r="V376" s="200"/>
      <c r="W376" s="200"/>
      <c r="X376" s="200"/>
      <c r="Y376" s="200"/>
      <c r="Z376" s="200"/>
    </row>
    <row r="377" ht="22.5" customHeight="1">
      <c r="A377" s="145"/>
      <c r="B377" s="154"/>
      <c r="C377" s="138"/>
      <c r="D377" s="138"/>
      <c r="E377" s="138"/>
      <c r="F377" s="138"/>
      <c r="G377" s="119"/>
      <c r="H377" s="200"/>
      <c r="I377" s="200"/>
      <c r="J377" s="200"/>
      <c r="K377" s="200"/>
      <c r="L377" s="200"/>
      <c r="M377" s="200"/>
      <c r="N377" s="200"/>
      <c r="O377" s="200"/>
      <c r="P377" s="200"/>
      <c r="Q377" s="200"/>
      <c r="R377" s="200"/>
      <c r="S377" s="200"/>
      <c r="T377" s="200"/>
      <c r="U377" s="200"/>
      <c r="V377" s="200"/>
      <c r="W377" s="200"/>
      <c r="X377" s="200"/>
      <c r="Y377" s="200"/>
      <c r="Z377" s="200"/>
    </row>
    <row r="378" ht="22.5" customHeight="1">
      <c r="A378" s="145"/>
      <c r="B378" s="154"/>
      <c r="C378" s="138"/>
      <c r="D378" s="138"/>
      <c r="E378" s="138"/>
      <c r="F378" s="138"/>
      <c r="G378" s="119"/>
      <c r="H378" s="200"/>
      <c r="I378" s="200"/>
      <c r="J378" s="200"/>
      <c r="K378" s="200"/>
      <c r="L378" s="200"/>
      <c r="M378" s="200"/>
      <c r="N378" s="200"/>
      <c r="O378" s="200"/>
      <c r="P378" s="200"/>
      <c r="Q378" s="200"/>
      <c r="R378" s="200"/>
      <c r="S378" s="200"/>
      <c r="T378" s="200"/>
      <c r="U378" s="200"/>
      <c r="V378" s="200"/>
      <c r="W378" s="200"/>
      <c r="X378" s="200"/>
      <c r="Y378" s="200"/>
      <c r="Z378" s="200"/>
    </row>
    <row r="379" ht="22.5" customHeight="1">
      <c r="A379" s="145"/>
      <c r="B379" s="154"/>
      <c r="C379" s="138"/>
      <c r="D379" s="138"/>
      <c r="E379" s="138"/>
      <c r="F379" s="138"/>
      <c r="G379" s="119"/>
      <c r="H379" s="200"/>
      <c r="I379" s="200"/>
      <c r="J379" s="200"/>
      <c r="K379" s="200"/>
      <c r="L379" s="200"/>
      <c r="M379" s="200"/>
      <c r="N379" s="200"/>
      <c r="O379" s="200"/>
      <c r="P379" s="200"/>
      <c r="Q379" s="200"/>
      <c r="R379" s="200"/>
      <c r="S379" s="200"/>
      <c r="T379" s="200"/>
      <c r="U379" s="200"/>
      <c r="V379" s="200"/>
      <c r="W379" s="200"/>
      <c r="X379" s="200"/>
      <c r="Y379" s="200"/>
      <c r="Z379" s="200"/>
    </row>
    <row r="380" ht="22.5" customHeight="1">
      <c r="A380" s="145"/>
      <c r="B380" s="154"/>
      <c r="C380" s="138"/>
      <c r="D380" s="138"/>
      <c r="E380" s="138"/>
      <c r="F380" s="138"/>
      <c r="G380" s="119"/>
      <c r="H380" s="200"/>
      <c r="I380" s="200"/>
      <c r="J380" s="200"/>
      <c r="K380" s="200"/>
      <c r="L380" s="200"/>
      <c r="M380" s="200"/>
      <c r="N380" s="200"/>
      <c r="O380" s="200"/>
      <c r="P380" s="200"/>
      <c r="Q380" s="200"/>
      <c r="R380" s="200"/>
      <c r="S380" s="200"/>
      <c r="T380" s="200"/>
      <c r="U380" s="200"/>
      <c r="V380" s="200"/>
      <c r="W380" s="200"/>
      <c r="X380" s="200"/>
      <c r="Y380" s="200"/>
      <c r="Z380" s="200"/>
    </row>
    <row r="381" ht="22.5" customHeight="1">
      <c r="A381" s="145"/>
      <c r="B381" s="154"/>
      <c r="C381" s="138"/>
      <c r="D381" s="138"/>
      <c r="E381" s="138"/>
      <c r="F381" s="138"/>
      <c r="G381" s="119"/>
      <c r="H381" s="200"/>
      <c r="I381" s="200"/>
      <c r="J381" s="200"/>
      <c r="K381" s="200"/>
      <c r="L381" s="200"/>
      <c r="M381" s="200"/>
      <c r="N381" s="200"/>
      <c r="O381" s="200"/>
      <c r="P381" s="200"/>
      <c r="Q381" s="200"/>
      <c r="R381" s="200"/>
      <c r="S381" s="200"/>
      <c r="T381" s="200"/>
      <c r="U381" s="200"/>
      <c r="V381" s="200"/>
      <c r="W381" s="200"/>
      <c r="X381" s="200"/>
      <c r="Y381" s="200"/>
      <c r="Z381" s="200"/>
    </row>
    <row r="382" ht="22.5" customHeight="1">
      <c r="A382" s="145"/>
      <c r="B382" s="154"/>
      <c r="C382" s="138"/>
      <c r="D382" s="138"/>
      <c r="E382" s="138"/>
      <c r="F382" s="138"/>
      <c r="G382" s="119"/>
      <c r="H382" s="200"/>
      <c r="I382" s="200"/>
      <c r="J382" s="200"/>
      <c r="K382" s="200"/>
      <c r="L382" s="200"/>
      <c r="M382" s="200"/>
      <c r="N382" s="200"/>
      <c r="O382" s="200"/>
      <c r="P382" s="200"/>
      <c r="Q382" s="200"/>
      <c r="R382" s="200"/>
      <c r="S382" s="200"/>
      <c r="T382" s="200"/>
      <c r="U382" s="200"/>
      <c r="V382" s="200"/>
      <c r="W382" s="200"/>
      <c r="X382" s="200"/>
      <c r="Y382" s="200"/>
      <c r="Z382" s="200"/>
    </row>
    <row r="383" ht="22.5" customHeight="1">
      <c r="A383" s="145"/>
      <c r="B383" s="154"/>
      <c r="C383" s="138"/>
      <c r="D383" s="138"/>
      <c r="E383" s="138"/>
      <c r="F383" s="138"/>
      <c r="G383" s="119"/>
      <c r="H383" s="200"/>
      <c r="I383" s="200"/>
      <c r="J383" s="200"/>
      <c r="K383" s="200"/>
      <c r="L383" s="200"/>
      <c r="M383" s="200"/>
      <c r="N383" s="200"/>
      <c r="O383" s="200"/>
      <c r="P383" s="200"/>
      <c r="Q383" s="200"/>
      <c r="R383" s="200"/>
      <c r="S383" s="200"/>
      <c r="T383" s="200"/>
      <c r="U383" s="200"/>
      <c r="V383" s="200"/>
      <c r="W383" s="200"/>
      <c r="X383" s="200"/>
      <c r="Y383" s="200"/>
      <c r="Z383" s="200"/>
    </row>
    <row r="384" ht="22.5" customHeight="1">
      <c r="A384" s="145"/>
      <c r="B384" s="154"/>
      <c r="C384" s="138"/>
      <c r="D384" s="138"/>
      <c r="E384" s="138"/>
      <c r="F384" s="138"/>
      <c r="G384" s="119"/>
      <c r="H384" s="200"/>
      <c r="I384" s="200"/>
      <c r="J384" s="200"/>
      <c r="K384" s="200"/>
      <c r="L384" s="200"/>
      <c r="M384" s="200"/>
      <c r="N384" s="200"/>
      <c r="O384" s="200"/>
      <c r="P384" s="200"/>
      <c r="Q384" s="200"/>
      <c r="R384" s="200"/>
      <c r="S384" s="200"/>
      <c r="T384" s="200"/>
      <c r="U384" s="200"/>
      <c r="V384" s="200"/>
      <c r="W384" s="200"/>
      <c r="X384" s="200"/>
      <c r="Y384" s="200"/>
      <c r="Z384" s="200"/>
    </row>
    <row r="385" ht="22.5" customHeight="1">
      <c r="A385" s="145"/>
      <c r="B385" s="154"/>
      <c r="C385" s="138"/>
      <c r="D385" s="138"/>
      <c r="E385" s="138"/>
      <c r="F385" s="138"/>
      <c r="G385" s="119"/>
      <c r="H385" s="200"/>
      <c r="I385" s="200"/>
      <c r="J385" s="200"/>
      <c r="K385" s="200"/>
      <c r="L385" s="200"/>
      <c r="M385" s="200"/>
      <c r="N385" s="200"/>
      <c r="O385" s="200"/>
      <c r="P385" s="200"/>
      <c r="Q385" s="200"/>
      <c r="R385" s="200"/>
      <c r="S385" s="200"/>
      <c r="T385" s="200"/>
      <c r="U385" s="200"/>
      <c r="V385" s="200"/>
      <c r="W385" s="200"/>
      <c r="X385" s="200"/>
      <c r="Y385" s="200"/>
      <c r="Z385" s="200"/>
    </row>
    <row r="386" ht="22.5" customHeight="1">
      <c r="A386" s="145"/>
      <c r="B386" s="154"/>
      <c r="C386" s="138"/>
      <c r="D386" s="138"/>
      <c r="E386" s="138"/>
      <c r="F386" s="138"/>
      <c r="G386" s="119"/>
      <c r="H386" s="200"/>
      <c r="I386" s="200"/>
      <c r="J386" s="200"/>
      <c r="K386" s="200"/>
      <c r="L386" s="200"/>
      <c r="M386" s="200"/>
      <c r="N386" s="200"/>
      <c r="O386" s="200"/>
      <c r="P386" s="200"/>
      <c r="Q386" s="200"/>
      <c r="R386" s="200"/>
      <c r="S386" s="200"/>
      <c r="T386" s="200"/>
      <c r="U386" s="200"/>
      <c r="V386" s="200"/>
      <c r="W386" s="200"/>
      <c r="X386" s="200"/>
      <c r="Y386" s="200"/>
      <c r="Z386" s="200"/>
    </row>
    <row r="387" ht="22.5" customHeight="1">
      <c r="A387" s="145"/>
      <c r="B387" s="154"/>
      <c r="C387" s="138"/>
      <c r="D387" s="138"/>
      <c r="E387" s="138"/>
      <c r="F387" s="138"/>
      <c r="G387" s="119"/>
      <c r="H387" s="200"/>
      <c r="I387" s="200"/>
      <c r="J387" s="200"/>
      <c r="K387" s="200"/>
      <c r="L387" s="200"/>
      <c r="M387" s="200"/>
      <c r="N387" s="200"/>
      <c r="O387" s="200"/>
      <c r="P387" s="200"/>
      <c r="Q387" s="200"/>
      <c r="R387" s="200"/>
      <c r="S387" s="200"/>
      <c r="T387" s="200"/>
      <c r="U387" s="200"/>
      <c r="V387" s="200"/>
      <c r="W387" s="200"/>
      <c r="X387" s="200"/>
      <c r="Y387" s="200"/>
      <c r="Z387" s="200"/>
    </row>
    <row r="388" ht="22.5" customHeight="1">
      <c r="A388" s="145"/>
      <c r="B388" s="154"/>
      <c r="C388" s="138"/>
      <c r="D388" s="138"/>
      <c r="E388" s="138"/>
      <c r="F388" s="138"/>
      <c r="G388" s="119"/>
      <c r="H388" s="200"/>
      <c r="I388" s="200"/>
      <c r="J388" s="200"/>
      <c r="K388" s="200"/>
      <c r="L388" s="200"/>
      <c r="M388" s="200"/>
      <c r="N388" s="200"/>
      <c r="O388" s="200"/>
      <c r="P388" s="200"/>
      <c r="Q388" s="200"/>
      <c r="R388" s="200"/>
      <c r="S388" s="200"/>
      <c r="T388" s="200"/>
      <c r="U388" s="200"/>
      <c r="V388" s="200"/>
      <c r="W388" s="200"/>
      <c r="X388" s="200"/>
      <c r="Y388" s="200"/>
      <c r="Z388" s="200"/>
    </row>
    <row r="389" ht="22.5" customHeight="1">
      <c r="A389" s="145"/>
      <c r="B389" s="154"/>
      <c r="C389" s="138"/>
      <c r="D389" s="138"/>
      <c r="E389" s="138"/>
      <c r="F389" s="138"/>
      <c r="G389" s="119"/>
      <c r="H389" s="200"/>
      <c r="I389" s="200"/>
      <c r="J389" s="200"/>
      <c r="K389" s="200"/>
      <c r="L389" s="200"/>
      <c r="M389" s="200"/>
      <c r="N389" s="200"/>
      <c r="O389" s="200"/>
      <c r="P389" s="200"/>
      <c r="Q389" s="200"/>
      <c r="R389" s="200"/>
      <c r="S389" s="200"/>
      <c r="T389" s="200"/>
      <c r="U389" s="200"/>
      <c r="V389" s="200"/>
      <c r="W389" s="200"/>
      <c r="X389" s="200"/>
      <c r="Y389" s="200"/>
      <c r="Z389" s="200"/>
    </row>
    <row r="390" ht="22.5" customHeight="1">
      <c r="A390" s="145"/>
      <c r="B390" s="154"/>
      <c r="C390" s="138"/>
      <c r="D390" s="138"/>
      <c r="E390" s="138"/>
      <c r="F390" s="138"/>
      <c r="G390" s="119"/>
      <c r="H390" s="200"/>
      <c r="I390" s="200"/>
      <c r="J390" s="200"/>
      <c r="K390" s="200"/>
      <c r="L390" s="200"/>
      <c r="M390" s="200"/>
      <c r="N390" s="200"/>
      <c r="O390" s="200"/>
      <c r="P390" s="200"/>
      <c r="Q390" s="200"/>
      <c r="R390" s="200"/>
      <c r="S390" s="200"/>
      <c r="T390" s="200"/>
      <c r="U390" s="200"/>
      <c r="V390" s="200"/>
      <c r="W390" s="200"/>
      <c r="X390" s="200"/>
      <c r="Y390" s="200"/>
      <c r="Z390" s="200"/>
    </row>
    <row r="391" ht="22.5" customHeight="1">
      <c r="A391" s="145"/>
      <c r="B391" s="154"/>
      <c r="C391" s="138"/>
      <c r="D391" s="138"/>
      <c r="E391" s="138"/>
      <c r="F391" s="138"/>
      <c r="G391" s="119"/>
      <c r="H391" s="200"/>
      <c r="I391" s="200"/>
      <c r="J391" s="200"/>
      <c r="K391" s="200"/>
      <c r="L391" s="200"/>
      <c r="M391" s="200"/>
      <c r="N391" s="200"/>
      <c r="O391" s="200"/>
      <c r="P391" s="200"/>
      <c r="Q391" s="200"/>
      <c r="R391" s="200"/>
      <c r="S391" s="200"/>
      <c r="T391" s="200"/>
      <c r="U391" s="200"/>
      <c r="V391" s="200"/>
      <c r="W391" s="200"/>
      <c r="X391" s="200"/>
      <c r="Y391" s="200"/>
      <c r="Z391" s="200"/>
    </row>
    <row r="392" ht="22.5" customHeight="1">
      <c r="A392" s="145"/>
      <c r="B392" s="154"/>
      <c r="C392" s="138"/>
      <c r="D392" s="138"/>
      <c r="E392" s="138"/>
      <c r="F392" s="138"/>
      <c r="G392" s="119"/>
      <c r="H392" s="200"/>
      <c r="I392" s="200"/>
      <c r="J392" s="200"/>
      <c r="K392" s="200"/>
      <c r="L392" s="200"/>
      <c r="M392" s="200"/>
      <c r="N392" s="200"/>
      <c r="O392" s="200"/>
      <c r="P392" s="200"/>
      <c r="Q392" s="200"/>
      <c r="R392" s="200"/>
      <c r="S392" s="200"/>
      <c r="T392" s="200"/>
      <c r="U392" s="200"/>
      <c r="V392" s="200"/>
      <c r="W392" s="200"/>
      <c r="X392" s="200"/>
      <c r="Y392" s="200"/>
      <c r="Z392" s="200"/>
    </row>
    <row r="393" ht="22.5" customHeight="1">
      <c r="A393" s="145"/>
      <c r="B393" s="154"/>
      <c r="C393" s="138"/>
      <c r="D393" s="138"/>
      <c r="E393" s="138"/>
      <c r="F393" s="138"/>
      <c r="G393" s="119"/>
      <c r="H393" s="200"/>
      <c r="I393" s="200"/>
      <c r="J393" s="200"/>
      <c r="K393" s="200"/>
      <c r="L393" s="200"/>
      <c r="M393" s="200"/>
      <c r="N393" s="200"/>
      <c r="O393" s="200"/>
      <c r="P393" s="200"/>
      <c r="Q393" s="200"/>
      <c r="R393" s="200"/>
      <c r="S393" s="200"/>
      <c r="T393" s="200"/>
      <c r="U393" s="200"/>
      <c r="V393" s="200"/>
      <c r="W393" s="200"/>
      <c r="X393" s="200"/>
      <c r="Y393" s="200"/>
      <c r="Z393" s="200"/>
    </row>
    <row r="394" ht="22.5" customHeight="1">
      <c r="A394" s="145"/>
      <c r="B394" s="154"/>
      <c r="C394" s="138"/>
      <c r="D394" s="138"/>
      <c r="E394" s="138"/>
      <c r="F394" s="138"/>
      <c r="G394" s="119"/>
      <c r="H394" s="200"/>
      <c r="I394" s="200"/>
      <c r="J394" s="200"/>
      <c r="K394" s="200"/>
      <c r="L394" s="200"/>
      <c r="M394" s="200"/>
      <c r="N394" s="200"/>
      <c r="O394" s="200"/>
      <c r="P394" s="200"/>
      <c r="Q394" s="200"/>
      <c r="R394" s="200"/>
      <c r="S394" s="200"/>
      <c r="T394" s="200"/>
      <c r="U394" s="200"/>
      <c r="V394" s="200"/>
      <c r="W394" s="200"/>
      <c r="X394" s="200"/>
      <c r="Y394" s="200"/>
      <c r="Z394" s="200"/>
    </row>
    <row r="395" ht="22.5" customHeight="1">
      <c r="A395" s="145"/>
      <c r="B395" s="154"/>
      <c r="C395" s="138"/>
      <c r="D395" s="138"/>
      <c r="E395" s="138"/>
      <c r="F395" s="138"/>
      <c r="G395" s="119"/>
      <c r="H395" s="200"/>
      <c r="I395" s="200"/>
      <c r="J395" s="200"/>
      <c r="K395" s="200"/>
      <c r="L395" s="200"/>
      <c r="M395" s="200"/>
      <c r="N395" s="200"/>
      <c r="O395" s="200"/>
      <c r="P395" s="200"/>
      <c r="Q395" s="200"/>
      <c r="R395" s="200"/>
      <c r="S395" s="200"/>
      <c r="T395" s="200"/>
      <c r="U395" s="200"/>
      <c r="V395" s="200"/>
      <c r="W395" s="200"/>
      <c r="X395" s="200"/>
      <c r="Y395" s="200"/>
      <c r="Z395" s="200"/>
    </row>
    <row r="396" ht="22.5" customHeight="1">
      <c r="A396" s="145"/>
      <c r="B396" s="154"/>
      <c r="C396" s="138"/>
      <c r="D396" s="138"/>
      <c r="E396" s="138"/>
      <c r="F396" s="138"/>
      <c r="G396" s="119"/>
      <c r="H396" s="200"/>
      <c r="I396" s="200"/>
      <c r="J396" s="200"/>
      <c r="K396" s="200"/>
      <c r="L396" s="200"/>
      <c r="M396" s="200"/>
      <c r="N396" s="200"/>
      <c r="O396" s="200"/>
      <c r="P396" s="200"/>
      <c r="Q396" s="200"/>
      <c r="R396" s="200"/>
      <c r="S396" s="200"/>
      <c r="T396" s="200"/>
      <c r="U396" s="200"/>
      <c r="V396" s="200"/>
      <c r="W396" s="200"/>
      <c r="X396" s="200"/>
      <c r="Y396" s="200"/>
      <c r="Z396" s="200"/>
    </row>
    <row r="397" ht="22.5" customHeight="1">
      <c r="A397" s="145"/>
      <c r="B397" s="154"/>
      <c r="C397" s="138"/>
      <c r="D397" s="138"/>
      <c r="E397" s="138"/>
      <c r="F397" s="138"/>
      <c r="G397" s="119"/>
      <c r="H397" s="200"/>
      <c r="I397" s="200"/>
      <c r="J397" s="200"/>
      <c r="K397" s="200"/>
      <c r="L397" s="200"/>
      <c r="M397" s="200"/>
      <c r="N397" s="200"/>
      <c r="O397" s="200"/>
      <c r="P397" s="200"/>
      <c r="Q397" s="200"/>
      <c r="R397" s="200"/>
      <c r="S397" s="200"/>
      <c r="T397" s="200"/>
      <c r="U397" s="200"/>
      <c r="V397" s="200"/>
      <c r="W397" s="200"/>
      <c r="X397" s="200"/>
      <c r="Y397" s="200"/>
      <c r="Z397" s="200"/>
    </row>
    <row r="398" ht="22.5" customHeight="1">
      <c r="A398" s="145"/>
      <c r="B398" s="154"/>
      <c r="C398" s="138"/>
      <c r="D398" s="138"/>
      <c r="E398" s="138"/>
      <c r="F398" s="138"/>
      <c r="G398" s="119"/>
      <c r="H398" s="200"/>
      <c r="I398" s="200"/>
      <c r="J398" s="200"/>
      <c r="K398" s="200"/>
      <c r="L398" s="200"/>
      <c r="M398" s="200"/>
      <c r="N398" s="200"/>
      <c r="O398" s="200"/>
      <c r="P398" s="200"/>
      <c r="Q398" s="200"/>
      <c r="R398" s="200"/>
      <c r="S398" s="200"/>
      <c r="T398" s="200"/>
      <c r="U398" s="200"/>
      <c r="V398" s="200"/>
      <c r="W398" s="200"/>
      <c r="X398" s="200"/>
      <c r="Y398" s="200"/>
      <c r="Z398" s="200"/>
    </row>
    <row r="399" ht="22.5" customHeight="1">
      <c r="A399" s="145"/>
      <c r="B399" s="154"/>
      <c r="C399" s="138"/>
      <c r="D399" s="138"/>
      <c r="E399" s="138"/>
      <c r="F399" s="138"/>
      <c r="G399" s="119"/>
      <c r="H399" s="200"/>
      <c r="I399" s="200"/>
      <c r="J399" s="200"/>
      <c r="K399" s="200"/>
      <c r="L399" s="200"/>
      <c r="M399" s="200"/>
      <c r="N399" s="200"/>
      <c r="O399" s="200"/>
      <c r="P399" s="200"/>
      <c r="Q399" s="200"/>
      <c r="R399" s="200"/>
      <c r="S399" s="200"/>
      <c r="T399" s="200"/>
      <c r="U399" s="200"/>
      <c r="V399" s="200"/>
      <c r="W399" s="200"/>
      <c r="X399" s="200"/>
      <c r="Y399" s="200"/>
      <c r="Z399" s="200"/>
    </row>
    <row r="400" ht="22.5" customHeight="1">
      <c r="A400" s="145"/>
      <c r="B400" s="154"/>
      <c r="C400" s="138"/>
      <c r="D400" s="138"/>
      <c r="E400" s="138"/>
      <c r="F400" s="138"/>
      <c r="G400" s="119"/>
      <c r="H400" s="200"/>
      <c r="I400" s="200"/>
      <c r="J400" s="200"/>
      <c r="K400" s="200"/>
      <c r="L400" s="200"/>
      <c r="M400" s="200"/>
      <c r="N400" s="200"/>
      <c r="O400" s="200"/>
      <c r="P400" s="200"/>
      <c r="Q400" s="200"/>
      <c r="R400" s="200"/>
      <c r="S400" s="200"/>
      <c r="T400" s="200"/>
      <c r="U400" s="200"/>
      <c r="V400" s="200"/>
      <c r="W400" s="200"/>
      <c r="X400" s="200"/>
      <c r="Y400" s="200"/>
      <c r="Z400" s="200"/>
    </row>
    <row r="401" ht="22.5" customHeight="1">
      <c r="A401" s="145"/>
      <c r="B401" s="154"/>
      <c r="C401" s="138"/>
      <c r="D401" s="138"/>
      <c r="E401" s="138"/>
      <c r="F401" s="138"/>
      <c r="G401" s="119"/>
      <c r="H401" s="200"/>
      <c r="I401" s="200"/>
      <c r="J401" s="200"/>
      <c r="K401" s="200"/>
      <c r="L401" s="200"/>
      <c r="M401" s="200"/>
      <c r="N401" s="200"/>
      <c r="O401" s="200"/>
      <c r="P401" s="200"/>
      <c r="Q401" s="200"/>
      <c r="R401" s="200"/>
      <c r="S401" s="200"/>
      <c r="T401" s="200"/>
      <c r="U401" s="200"/>
      <c r="V401" s="200"/>
      <c r="W401" s="200"/>
      <c r="X401" s="200"/>
      <c r="Y401" s="200"/>
      <c r="Z401" s="200"/>
    </row>
    <row r="402" ht="22.5" customHeight="1">
      <c r="A402" s="145"/>
      <c r="B402" s="154"/>
      <c r="C402" s="138"/>
      <c r="D402" s="138"/>
      <c r="E402" s="138"/>
      <c r="F402" s="138"/>
      <c r="G402" s="119"/>
      <c r="H402" s="200"/>
      <c r="I402" s="200"/>
      <c r="J402" s="200"/>
      <c r="K402" s="200"/>
      <c r="L402" s="200"/>
      <c r="M402" s="200"/>
      <c r="N402" s="200"/>
      <c r="O402" s="200"/>
      <c r="P402" s="200"/>
      <c r="Q402" s="200"/>
      <c r="R402" s="200"/>
      <c r="S402" s="200"/>
      <c r="T402" s="200"/>
      <c r="U402" s="200"/>
      <c r="V402" s="200"/>
      <c r="W402" s="200"/>
      <c r="X402" s="200"/>
      <c r="Y402" s="200"/>
      <c r="Z402" s="200"/>
    </row>
    <row r="403" ht="22.5" customHeight="1">
      <c r="A403" s="145"/>
      <c r="B403" s="154"/>
      <c r="C403" s="138"/>
      <c r="D403" s="138"/>
      <c r="E403" s="138"/>
      <c r="F403" s="138"/>
      <c r="G403" s="119"/>
      <c r="H403" s="200"/>
      <c r="I403" s="200"/>
      <c r="J403" s="200"/>
      <c r="K403" s="200"/>
      <c r="L403" s="200"/>
      <c r="M403" s="200"/>
      <c r="N403" s="200"/>
      <c r="O403" s="200"/>
      <c r="P403" s="200"/>
      <c r="Q403" s="200"/>
      <c r="R403" s="200"/>
      <c r="S403" s="200"/>
      <c r="T403" s="200"/>
      <c r="U403" s="200"/>
      <c r="V403" s="200"/>
      <c r="W403" s="200"/>
      <c r="X403" s="200"/>
      <c r="Y403" s="200"/>
      <c r="Z403" s="200"/>
    </row>
    <row r="404" ht="22.5" customHeight="1">
      <c r="A404" s="145"/>
      <c r="B404" s="154"/>
      <c r="C404" s="138"/>
      <c r="D404" s="138"/>
      <c r="E404" s="138"/>
      <c r="F404" s="138"/>
      <c r="G404" s="119"/>
      <c r="H404" s="200"/>
      <c r="I404" s="200"/>
      <c r="J404" s="200"/>
      <c r="K404" s="200"/>
      <c r="L404" s="200"/>
      <c r="M404" s="200"/>
      <c r="N404" s="200"/>
      <c r="O404" s="200"/>
      <c r="P404" s="200"/>
      <c r="Q404" s="200"/>
      <c r="R404" s="200"/>
      <c r="S404" s="200"/>
      <c r="T404" s="200"/>
      <c r="U404" s="200"/>
      <c r="V404" s="200"/>
      <c r="W404" s="200"/>
      <c r="X404" s="200"/>
      <c r="Y404" s="200"/>
      <c r="Z404" s="200"/>
    </row>
    <row r="405" ht="22.5" customHeight="1">
      <c r="A405" s="145"/>
      <c r="B405" s="154"/>
      <c r="C405" s="138"/>
      <c r="D405" s="138"/>
      <c r="E405" s="138"/>
      <c r="F405" s="138"/>
      <c r="G405" s="119"/>
      <c r="H405" s="200"/>
      <c r="I405" s="200"/>
      <c r="J405" s="200"/>
      <c r="K405" s="200"/>
      <c r="L405" s="200"/>
      <c r="M405" s="200"/>
      <c r="N405" s="200"/>
      <c r="O405" s="200"/>
      <c r="P405" s="200"/>
      <c r="Q405" s="200"/>
      <c r="R405" s="200"/>
      <c r="S405" s="200"/>
      <c r="T405" s="200"/>
      <c r="U405" s="200"/>
      <c r="V405" s="200"/>
      <c r="W405" s="200"/>
      <c r="X405" s="200"/>
      <c r="Y405" s="200"/>
      <c r="Z405" s="200"/>
    </row>
    <row r="406" ht="22.5" customHeight="1">
      <c r="A406" s="145"/>
      <c r="B406" s="154"/>
      <c r="C406" s="138"/>
      <c r="D406" s="138"/>
      <c r="E406" s="138"/>
      <c r="F406" s="138"/>
      <c r="G406" s="119"/>
      <c r="H406" s="200"/>
      <c r="I406" s="200"/>
      <c r="J406" s="200"/>
      <c r="K406" s="200"/>
      <c r="L406" s="200"/>
      <c r="M406" s="200"/>
      <c r="N406" s="200"/>
      <c r="O406" s="200"/>
      <c r="P406" s="200"/>
      <c r="Q406" s="200"/>
      <c r="R406" s="200"/>
      <c r="S406" s="200"/>
      <c r="T406" s="200"/>
      <c r="U406" s="200"/>
      <c r="V406" s="200"/>
      <c r="W406" s="200"/>
      <c r="X406" s="200"/>
      <c r="Y406" s="200"/>
      <c r="Z406" s="200"/>
    </row>
    <row r="407" ht="22.5" customHeight="1">
      <c r="A407" s="145"/>
      <c r="B407" s="154"/>
      <c r="C407" s="138"/>
      <c r="D407" s="138"/>
      <c r="E407" s="138"/>
      <c r="F407" s="138"/>
      <c r="G407" s="119"/>
      <c r="H407" s="200"/>
      <c r="I407" s="200"/>
      <c r="J407" s="200"/>
      <c r="K407" s="200"/>
      <c r="L407" s="200"/>
      <c r="M407" s="200"/>
      <c r="N407" s="200"/>
      <c r="O407" s="200"/>
      <c r="P407" s="200"/>
      <c r="Q407" s="200"/>
      <c r="R407" s="200"/>
      <c r="S407" s="200"/>
      <c r="T407" s="200"/>
      <c r="U407" s="200"/>
      <c r="V407" s="200"/>
      <c r="W407" s="200"/>
      <c r="X407" s="200"/>
      <c r="Y407" s="200"/>
      <c r="Z407" s="200"/>
    </row>
    <row r="408" ht="22.5" customHeight="1">
      <c r="A408" s="145"/>
      <c r="B408" s="154"/>
      <c r="C408" s="138"/>
      <c r="D408" s="138"/>
      <c r="E408" s="138"/>
      <c r="F408" s="138"/>
      <c r="G408" s="119"/>
      <c r="H408" s="200"/>
      <c r="I408" s="200"/>
      <c r="J408" s="200"/>
      <c r="K408" s="200"/>
      <c r="L408" s="200"/>
      <c r="M408" s="200"/>
      <c r="N408" s="200"/>
      <c r="O408" s="200"/>
      <c r="P408" s="200"/>
      <c r="Q408" s="200"/>
      <c r="R408" s="200"/>
      <c r="S408" s="200"/>
      <c r="T408" s="200"/>
      <c r="U408" s="200"/>
      <c r="V408" s="200"/>
      <c r="W408" s="200"/>
      <c r="X408" s="200"/>
      <c r="Y408" s="200"/>
      <c r="Z408" s="200"/>
    </row>
    <row r="409" ht="22.5" customHeight="1">
      <c r="A409" s="145"/>
      <c r="B409" s="154"/>
      <c r="C409" s="138"/>
      <c r="D409" s="138"/>
      <c r="E409" s="138"/>
      <c r="F409" s="138"/>
      <c r="G409" s="119"/>
      <c r="H409" s="200"/>
      <c r="I409" s="200"/>
      <c r="J409" s="200"/>
      <c r="K409" s="200"/>
      <c r="L409" s="200"/>
      <c r="M409" s="200"/>
      <c r="N409" s="200"/>
      <c r="O409" s="200"/>
      <c r="P409" s="200"/>
      <c r="Q409" s="200"/>
      <c r="R409" s="200"/>
      <c r="S409" s="200"/>
      <c r="T409" s="200"/>
      <c r="U409" s="200"/>
      <c r="V409" s="200"/>
      <c r="W409" s="200"/>
      <c r="X409" s="200"/>
      <c r="Y409" s="200"/>
      <c r="Z409" s="200"/>
    </row>
    <row r="410" ht="22.5" customHeight="1">
      <c r="A410" s="145"/>
      <c r="B410" s="154"/>
      <c r="C410" s="138"/>
      <c r="D410" s="138"/>
      <c r="E410" s="138"/>
      <c r="F410" s="138"/>
      <c r="G410" s="119"/>
      <c r="H410" s="200"/>
      <c r="I410" s="200"/>
      <c r="J410" s="200"/>
      <c r="K410" s="200"/>
      <c r="L410" s="200"/>
      <c r="M410" s="200"/>
      <c r="N410" s="200"/>
      <c r="O410" s="200"/>
      <c r="P410" s="200"/>
      <c r="Q410" s="200"/>
      <c r="R410" s="200"/>
      <c r="S410" s="200"/>
      <c r="T410" s="200"/>
      <c r="U410" s="200"/>
      <c r="V410" s="200"/>
      <c r="W410" s="200"/>
      <c r="X410" s="200"/>
      <c r="Y410" s="200"/>
      <c r="Z410" s="200"/>
    </row>
    <row r="411" ht="22.5" customHeight="1">
      <c r="A411" s="145"/>
      <c r="B411" s="154"/>
      <c r="C411" s="138"/>
      <c r="D411" s="138"/>
      <c r="E411" s="138"/>
      <c r="F411" s="138"/>
      <c r="G411" s="119"/>
      <c r="H411" s="200"/>
      <c r="I411" s="200"/>
      <c r="J411" s="200"/>
      <c r="K411" s="200"/>
      <c r="L411" s="200"/>
      <c r="M411" s="200"/>
      <c r="N411" s="200"/>
      <c r="O411" s="200"/>
      <c r="P411" s="200"/>
      <c r="Q411" s="200"/>
      <c r="R411" s="200"/>
      <c r="S411" s="200"/>
      <c r="T411" s="200"/>
      <c r="U411" s="200"/>
      <c r="V411" s="200"/>
      <c r="W411" s="200"/>
      <c r="X411" s="200"/>
      <c r="Y411" s="200"/>
      <c r="Z411" s="200"/>
    </row>
    <row r="412" ht="22.5" customHeight="1">
      <c r="A412" s="145"/>
      <c r="B412" s="154"/>
      <c r="C412" s="138"/>
      <c r="D412" s="138"/>
      <c r="E412" s="138"/>
      <c r="F412" s="138"/>
      <c r="G412" s="119"/>
      <c r="H412" s="200"/>
      <c r="I412" s="200"/>
      <c r="J412" s="200"/>
      <c r="K412" s="200"/>
      <c r="L412" s="200"/>
      <c r="M412" s="200"/>
      <c r="N412" s="200"/>
      <c r="O412" s="200"/>
      <c r="P412" s="200"/>
      <c r="Q412" s="200"/>
      <c r="R412" s="200"/>
      <c r="S412" s="200"/>
      <c r="T412" s="200"/>
      <c r="U412" s="200"/>
      <c r="V412" s="200"/>
      <c r="W412" s="200"/>
      <c r="X412" s="200"/>
      <c r="Y412" s="200"/>
      <c r="Z412" s="200"/>
    </row>
    <row r="413" ht="22.5" customHeight="1">
      <c r="A413" s="145"/>
      <c r="B413" s="154"/>
      <c r="C413" s="138"/>
      <c r="D413" s="138"/>
      <c r="E413" s="138"/>
      <c r="F413" s="138"/>
      <c r="G413" s="119"/>
      <c r="H413" s="200"/>
      <c r="I413" s="200"/>
      <c r="J413" s="200"/>
      <c r="K413" s="200"/>
      <c r="L413" s="200"/>
      <c r="M413" s="200"/>
      <c r="N413" s="200"/>
      <c r="O413" s="200"/>
      <c r="P413" s="200"/>
      <c r="Q413" s="200"/>
      <c r="R413" s="200"/>
      <c r="S413" s="200"/>
      <c r="T413" s="200"/>
      <c r="U413" s="200"/>
      <c r="V413" s="200"/>
      <c r="W413" s="200"/>
      <c r="X413" s="200"/>
      <c r="Y413" s="200"/>
      <c r="Z413" s="200"/>
    </row>
    <row r="414" ht="22.5" customHeight="1">
      <c r="A414" s="145"/>
      <c r="B414" s="154"/>
      <c r="C414" s="138"/>
      <c r="D414" s="138"/>
      <c r="E414" s="138"/>
      <c r="F414" s="138"/>
      <c r="G414" s="119"/>
      <c r="H414" s="200"/>
      <c r="I414" s="200"/>
      <c r="J414" s="200"/>
      <c r="K414" s="200"/>
      <c r="L414" s="200"/>
      <c r="M414" s="200"/>
      <c r="N414" s="200"/>
      <c r="O414" s="200"/>
      <c r="P414" s="200"/>
      <c r="Q414" s="200"/>
      <c r="R414" s="200"/>
      <c r="S414" s="200"/>
      <c r="T414" s="200"/>
      <c r="U414" s="200"/>
      <c r="V414" s="200"/>
      <c r="W414" s="200"/>
      <c r="X414" s="200"/>
      <c r="Y414" s="200"/>
      <c r="Z414" s="200"/>
    </row>
    <row r="415" ht="22.5" customHeight="1">
      <c r="A415" s="145"/>
      <c r="B415" s="154"/>
      <c r="C415" s="138"/>
      <c r="D415" s="138"/>
      <c r="E415" s="138"/>
      <c r="F415" s="138"/>
      <c r="G415" s="119"/>
      <c r="H415" s="200"/>
      <c r="I415" s="200"/>
      <c r="J415" s="200"/>
      <c r="K415" s="200"/>
      <c r="L415" s="200"/>
      <c r="M415" s="200"/>
      <c r="N415" s="200"/>
      <c r="O415" s="200"/>
      <c r="P415" s="200"/>
      <c r="Q415" s="200"/>
      <c r="R415" s="200"/>
      <c r="S415" s="200"/>
      <c r="T415" s="200"/>
      <c r="U415" s="200"/>
      <c r="V415" s="200"/>
      <c r="W415" s="200"/>
      <c r="X415" s="200"/>
      <c r="Y415" s="200"/>
      <c r="Z415" s="200"/>
    </row>
    <row r="416" ht="22.5" customHeight="1">
      <c r="A416" s="145"/>
      <c r="B416" s="154"/>
      <c r="C416" s="138"/>
      <c r="D416" s="138"/>
      <c r="E416" s="138"/>
      <c r="F416" s="138"/>
      <c r="G416" s="119"/>
      <c r="H416" s="200"/>
      <c r="I416" s="200"/>
      <c r="J416" s="200"/>
      <c r="K416" s="200"/>
      <c r="L416" s="200"/>
      <c r="M416" s="200"/>
      <c r="N416" s="200"/>
      <c r="O416" s="200"/>
      <c r="P416" s="200"/>
      <c r="Q416" s="200"/>
      <c r="R416" s="200"/>
      <c r="S416" s="200"/>
      <c r="T416" s="200"/>
      <c r="U416" s="200"/>
      <c r="V416" s="200"/>
      <c r="W416" s="200"/>
      <c r="X416" s="200"/>
      <c r="Y416" s="200"/>
      <c r="Z416" s="200"/>
    </row>
    <row r="417" ht="22.5" customHeight="1">
      <c r="A417" s="145"/>
      <c r="B417" s="154"/>
      <c r="C417" s="138"/>
      <c r="D417" s="138"/>
      <c r="E417" s="138"/>
      <c r="F417" s="138"/>
      <c r="G417" s="119"/>
      <c r="H417" s="200"/>
      <c r="I417" s="200"/>
      <c r="J417" s="200"/>
      <c r="K417" s="200"/>
      <c r="L417" s="200"/>
      <c r="M417" s="200"/>
      <c r="N417" s="200"/>
      <c r="O417" s="200"/>
      <c r="P417" s="200"/>
      <c r="Q417" s="200"/>
      <c r="R417" s="200"/>
      <c r="S417" s="200"/>
      <c r="T417" s="200"/>
      <c r="U417" s="200"/>
      <c r="V417" s="200"/>
      <c r="W417" s="200"/>
      <c r="X417" s="200"/>
      <c r="Y417" s="200"/>
      <c r="Z417" s="200"/>
    </row>
    <row r="418" ht="22.5" customHeight="1">
      <c r="A418" s="145"/>
      <c r="B418" s="154"/>
      <c r="C418" s="138"/>
      <c r="D418" s="138"/>
      <c r="E418" s="138"/>
      <c r="F418" s="138"/>
      <c r="G418" s="119"/>
      <c r="H418" s="200"/>
      <c r="I418" s="200"/>
      <c r="J418" s="200"/>
      <c r="K418" s="200"/>
      <c r="L418" s="200"/>
      <c r="M418" s="200"/>
      <c r="N418" s="200"/>
      <c r="O418" s="200"/>
      <c r="P418" s="200"/>
      <c r="Q418" s="200"/>
      <c r="R418" s="200"/>
      <c r="S418" s="200"/>
      <c r="T418" s="200"/>
      <c r="U418" s="200"/>
      <c r="V418" s="200"/>
      <c r="W418" s="200"/>
      <c r="X418" s="200"/>
      <c r="Y418" s="200"/>
      <c r="Z418" s="200"/>
    </row>
    <row r="419" ht="22.5" customHeight="1">
      <c r="A419" s="145"/>
      <c r="B419" s="154"/>
      <c r="C419" s="138"/>
      <c r="D419" s="138"/>
      <c r="E419" s="138"/>
      <c r="F419" s="138"/>
      <c r="G419" s="119"/>
      <c r="H419" s="200"/>
      <c r="I419" s="200"/>
      <c r="J419" s="200"/>
      <c r="K419" s="200"/>
      <c r="L419" s="200"/>
      <c r="M419" s="200"/>
      <c r="N419" s="200"/>
      <c r="O419" s="200"/>
      <c r="P419" s="200"/>
      <c r="Q419" s="200"/>
      <c r="R419" s="200"/>
      <c r="S419" s="200"/>
      <c r="T419" s="200"/>
      <c r="U419" s="200"/>
      <c r="V419" s="200"/>
      <c r="W419" s="200"/>
      <c r="X419" s="200"/>
      <c r="Y419" s="200"/>
      <c r="Z419" s="200"/>
    </row>
    <row r="420" ht="22.5" customHeight="1">
      <c r="A420" s="145"/>
      <c r="B420" s="154"/>
      <c r="C420" s="138"/>
      <c r="D420" s="138"/>
      <c r="E420" s="138"/>
      <c r="F420" s="138"/>
      <c r="G420" s="119"/>
      <c r="H420" s="200"/>
      <c r="I420" s="200"/>
      <c r="J420" s="200"/>
      <c r="K420" s="200"/>
      <c r="L420" s="200"/>
      <c r="M420" s="200"/>
      <c r="N420" s="200"/>
      <c r="O420" s="200"/>
      <c r="P420" s="200"/>
      <c r="Q420" s="200"/>
      <c r="R420" s="200"/>
      <c r="S420" s="200"/>
      <c r="T420" s="200"/>
      <c r="U420" s="200"/>
      <c r="V420" s="200"/>
      <c r="W420" s="200"/>
      <c r="X420" s="200"/>
      <c r="Y420" s="200"/>
      <c r="Z420" s="200"/>
    </row>
    <row r="421" ht="22.5" customHeight="1">
      <c r="A421" s="145"/>
      <c r="B421" s="154"/>
      <c r="C421" s="138"/>
      <c r="D421" s="138"/>
      <c r="E421" s="138"/>
      <c r="F421" s="138"/>
      <c r="G421" s="119"/>
      <c r="H421" s="200"/>
      <c r="I421" s="200"/>
      <c r="J421" s="200"/>
      <c r="K421" s="200"/>
      <c r="L421" s="200"/>
      <c r="M421" s="200"/>
      <c r="N421" s="200"/>
      <c r="O421" s="200"/>
      <c r="P421" s="200"/>
      <c r="Q421" s="200"/>
      <c r="R421" s="200"/>
      <c r="S421" s="200"/>
      <c r="T421" s="200"/>
      <c r="U421" s="200"/>
      <c r="V421" s="200"/>
      <c r="W421" s="200"/>
      <c r="X421" s="200"/>
      <c r="Y421" s="200"/>
      <c r="Z421" s="200"/>
    </row>
    <row r="422" ht="22.5" customHeight="1">
      <c r="A422" s="145"/>
      <c r="B422" s="154"/>
      <c r="C422" s="138"/>
      <c r="D422" s="138"/>
      <c r="E422" s="138"/>
      <c r="F422" s="138"/>
      <c r="G422" s="119"/>
      <c r="H422" s="200"/>
      <c r="I422" s="200"/>
      <c r="J422" s="200"/>
      <c r="K422" s="200"/>
      <c r="L422" s="200"/>
      <c r="M422" s="200"/>
      <c r="N422" s="200"/>
      <c r="O422" s="200"/>
      <c r="P422" s="200"/>
      <c r="Q422" s="200"/>
      <c r="R422" s="200"/>
      <c r="S422" s="200"/>
      <c r="T422" s="200"/>
      <c r="U422" s="200"/>
      <c r="V422" s="200"/>
      <c r="W422" s="200"/>
      <c r="X422" s="200"/>
      <c r="Y422" s="200"/>
      <c r="Z422" s="200"/>
    </row>
    <row r="423" ht="22.5" customHeight="1">
      <c r="A423" s="145"/>
      <c r="B423" s="154"/>
      <c r="C423" s="138"/>
      <c r="D423" s="138"/>
      <c r="E423" s="138"/>
      <c r="F423" s="138"/>
      <c r="G423" s="119"/>
      <c r="H423" s="200"/>
      <c r="I423" s="200"/>
      <c r="J423" s="200"/>
      <c r="K423" s="200"/>
      <c r="L423" s="200"/>
      <c r="M423" s="200"/>
      <c r="N423" s="200"/>
      <c r="O423" s="200"/>
      <c r="P423" s="200"/>
      <c r="Q423" s="200"/>
      <c r="R423" s="200"/>
      <c r="S423" s="200"/>
      <c r="T423" s="200"/>
      <c r="U423" s="200"/>
      <c r="V423" s="200"/>
      <c r="W423" s="200"/>
      <c r="X423" s="200"/>
      <c r="Y423" s="200"/>
      <c r="Z423" s="200"/>
    </row>
    <row r="424" ht="22.5" customHeight="1">
      <c r="A424" s="145"/>
      <c r="B424" s="154"/>
      <c r="C424" s="138"/>
      <c r="D424" s="138"/>
      <c r="E424" s="138"/>
      <c r="F424" s="138"/>
      <c r="G424" s="119"/>
      <c r="H424" s="200"/>
      <c r="I424" s="200"/>
      <c r="J424" s="200"/>
      <c r="K424" s="200"/>
      <c r="L424" s="200"/>
      <c r="M424" s="200"/>
      <c r="N424" s="200"/>
      <c r="O424" s="200"/>
      <c r="P424" s="200"/>
      <c r="Q424" s="200"/>
      <c r="R424" s="200"/>
      <c r="S424" s="200"/>
      <c r="T424" s="200"/>
      <c r="U424" s="200"/>
      <c r="V424" s="200"/>
      <c r="W424" s="200"/>
      <c r="X424" s="200"/>
      <c r="Y424" s="200"/>
      <c r="Z424" s="200"/>
    </row>
    <row r="425" ht="22.5" customHeight="1">
      <c r="A425" s="145"/>
      <c r="B425" s="154"/>
      <c r="C425" s="138"/>
      <c r="D425" s="138"/>
      <c r="E425" s="138"/>
      <c r="F425" s="138"/>
      <c r="G425" s="119"/>
      <c r="H425" s="200"/>
      <c r="I425" s="200"/>
      <c r="J425" s="200"/>
      <c r="K425" s="200"/>
      <c r="L425" s="200"/>
      <c r="M425" s="200"/>
      <c r="N425" s="200"/>
      <c r="O425" s="200"/>
      <c r="P425" s="200"/>
      <c r="Q425" s="200"/>
      <c r="R425" s="200"/>
      <c r="S425" s="200"/>
      <c r="T425" s="200"/>
      <c r="U425" s="200"/>
      <c r="V425" s="200"/>
      <c r="W425" s="200"/>
      <c r="X425" s="200"/>
      <c r="Y425" s="200"/>
      <c r="Z425" s="200"/>
    </row>
    <row r="426" ht="22.5" customHeight="1">
      <c r="A426" s="145"/>
      <c r="B426" s="154"/>
      <c r="C426" s="138"/>
      <c r="D426" s="138"/>
      <c r="E426" s="138"/>
      <c r="F426" s="138"/>
      <c r="G426" s="119"/>
      <c r="H426" s="200"/>
      <c r="I426" s="200"/>
      <c r="J426" s="200"/>
      <c r="K426" s="200"/>
      <c r="L426" s="200"/>
      <c r="M426" s="200"/>
      <c r="N426" s="200"/>
      <c r="O426" s="200"/>
      <c r="P426" s="200"/>
      <c r="Q426" s="200"/>
      <c r="R426" s="200"/>
      <c r="S426" s="200"/>
      <c r="T426" s="200"/>
      <c r="U426" s="200"/>
      <c r="V426" s="200"/>
      <c r="W426" s="200"/>
      <c r="X426" s="200"/>
      <c r="Y426" s="200"/>
      <c r="Z426" s="200"/>
    </row>
    <row r="427" ht="22.5" customHeight="1">
      <c r="A427" s="145"/>
      <c r="B427" s="154"/>
      <c r="C427" s="138"/>
      <c r="D427" s="138"/>
      <c r="E427" s="138"/>
      <c r="F427" s="138"/>
      <c r="G427" s="119"/>
      <c r="H427" s="200"/>
      <c r="I427" s="200"/>
      <c r="J427" s="200"/>
      <c r="K427" s="200"/>
      <c r="L427" s="200"/>
      <c r="M427" s="200"/>
      <c r="N427" s="200"/>
      <c r="O427" s="200"/>
      <c r="P427" s="200"/>
      <c r="Q427" s="200"/>
      <c r="R427" s="200"/>
      <c r="S427" s="200"/>
      <c r="T427" s="200"/>
      <c r="U427" s="200"/>
      <c r="V427" s="200"/>
      <c r="W427" s="200"/>
      <c r="X427" s="200"/>
      <c r="Y427" s="200"/>
      <c r="Z427" s="200"/>
    </row>
    <row r="428" ht="22.5" customHeight="1">
      <c r="A428" s="145"/>
      <c r="B428" s="154"/>
      <c r="C428" s="138"/>
      <c r="D428" s="138"/>
      <c r="E428" s="138"/>
      <c r="F428" s="138"/>
      <c r="G428" s="119"/>
      <c r="H428" s="200"/>
      <c r="I428" s="200"/>
      <c r="J428" s="200"/>
      <c r="K428" s="200"/>
      <c r="L428" s="200"/>
      <c r="M428" s="200"/>
      <c r="N428" s="200"/>
      <c r="O428" s="200"/>
      <c r="P428" s="200"/>
      <c r="Q428" s="200"/>
      <c r="R428" s="200"/>
      <c r="S428" s="200"/>
      <c r="T428" s="200"/>
      <c r="U428" s="200"/>
      <c r="V428" s="200"/>
      <c r="W428" s="200"/>
      <c r="X428" s="200"/>
      <c r="Y428" s="200"/>
      <c r="Z428" s="200"/>
    </row>
    <row r="429" ht="22.5" customHeight="1">
      <c r="A429" s="145"/>
      <c r="B429" s="154"/>
      <c r="C429" s="138"/>
      <c r="D429" s="138"/>
      <c r="E429" s="138"/>
      <c r="F429" s="138"/>
      <c r="G429" s="119"/>
      <c r="H429" s="200"/>
      <c r="I429" s="200"/>
      <c r="J429" s="200"/>
      <c r="K429" s="200"/>
      <c r="L429" s="200"/>
      <c r="M429" s="200"/>
      <c r="N429" s="200"/>
      <c r="O429" s="200"/>
      <c r="P429" s="200"/>
      <c r="Q429" s="200"/>
      <c r="R429" s="200"/>
      <c r="S429" s="200"/>
      <c r="T429" s="200"/>
      <c r="U429" s="200"/>
      <c r="V429" s="200"/>
      <c r="W429" s="200"/>
      <c r="X429" s="200"/>
      <c r="Y429" s="200"/>
      <c r="Z429" s="200"/>
    </row>
    <row r="430" ht="22.5" customHeight="1">
      <c r="A430" s="145"/>
      <c r="B430" s="154"/>
      <c r="C430" s="138"/>
      <c r="D430" s="138"/>
      <c r="E430" s="138"/>
      <c r="F430" s="138"/>
      <c r="G430" s="119"/>
      <c r="H430" s="200"/>
      <c r="I430" s="200"/>
      <c r="J430" s="200"/>
      <c r="K430" s="200"/>
      <c r="L430" s="200"/>
      <c r="M430" s="200"/>
      <c r="N430" s="200"/>
      <c r="O430" s="200"/>
      <c r="P430" s="200"/>
      <c r="Q430" s="200"/>
      <c r="R430" s="200"/>
      <c r="S430" s="200"/>
      <c r="T430" s="200"/>
      <c r="U430" s="200"/>
      <c r="V430" s="200"/>
      <c r="W430" s="200"/>
      <c r="X430" s="200"/>
      <c r="Y430" s="200"/>
      <c r="Z430" s="200"/>
    </row>
    <row r="431" ht="22.5" customHeight="1">
      <c r="A431" s="145"/>
      <c r="B431" s="154"/>
      <c r="C431" s="138"/>
      <c r="D431" s="138"/>
      <c r="E431" s="138"/>
      <c r="F431" s="138"/>
      <c r="G431" s="119"/>
      <c r="H431" s="200"/>
      <c r="I431" s="200"/>
      <c r="J431" s="200"/>
      <c r="K431" s="200"/>
      <c r="L431" s="200"/>
      <c r="M431" s="200"/>
      <c r="N431" s="200"/>
      <c r="O431" s="200"/>
      <c r="P431" s="200"/>
      <c r="Q431" s="200"/>
      <c r="R431" s="200"/>
      <c r="S431" s="200"/>
      <c r="T431" s="200"/>
      <c r="U431" s="200"/>
      <c r="V431" s="200"/>
      <c r="W431" s="200"/>
      <c r="X431" s="200"/>
      <c r="Y431" s="200"/>
      <c r="Z431" s="200"/>
    </row>
    <row r="432" ht="22.5" customHeight="1">
      <c r="A432" s="145"/>
      <c r="B432" s="154"/>
      <c r="C432" s="138"/>
      <c r="D432" s="138"/>
      <c r="E432" s="138"/>
      <c r="F432" s="138"/>
      <c r="G432" s="119"/>
      <c r="H432" s="200"/>
      <c r="I432" s="200"/>
      <c r="J432" s="200"/>
      <c r="K432" s="200"/>
      <c r="L432" s="200"/>
      <c r="M432" s="200"/>
      <c r="N432" s="200"/>
      <c r="O432" s="200"/>
      <c r="P432" s="200"/>
      <c r="Q432" s="200"/>
      <c r="R432" s="200"/>
      <c r="S432" s="200"/>
      <c r="T432" s="200"/>
      <c r="U432" s="200"/>
      <c r="V432" s="200"/>
      <c r="W432" s="200"/>
      <c r="X432" s="200"/>
      <c r="Y432" s="200"/>
      <c r="Z432" s="200"/>
    </row>
    <row r="433" ht="22.5" customHeight="1">
      <c r="A433" s="145"/>
      <c r="B433" s="154"/>
      <c r="C433" s="138"/>
      <c r="D433" s="138"/>
      <c r="E433" s="138"/>
      <c r="F433" s="138"/>
      <c r="G433" s="119"/>
      <c r="H433" s="200"/>
      <c r="I433" s="200"/>
      <c r="J433" s="200"/>
      <c r="K433" s="200"/>
      <c r="L433" s="200"/>
      <c r="M433" s="200"/>
      <c r="N433" s="200"/>
      <c r="O433" s="200"/>
      <c r="P433" s="200"/>
      <c r="Q433" s="200"/>
      <c r="R433" s="200"/>
      <c r="S433" s="200"/>
      <c r="T433" s="200"/>
      <c r="U433" s="200"/>
      <c r="V433" s="200"/>
      <c r="W433" s="200"/>
      <c r="X433" s="200"/>
      <c r="Y433" s="200"/>
      <c r="Z433" s="200"/>
    </row>
    <row r="434" ht="22.5" customHeight="1">
      <c r="A434" s="145"/>
      <c r="B434" s="154"/>
      <c r="C434" s="138"/>
      <c r="D434" s="138"/>
      <c r="E434" s="138"/>
      <c r="F434" s="138"/>
      <c r="G434" s="119"/>
      <c r="H434" s="200"/>
      <c r="I434" s="200"/>
      <c r="J434" s="200"/>
      <c r="K434" s="200"/>
      <c r="L434" s="200"/>
      <c r="M434" s="200"/>
      <c r="N434" s="200"/>
      <c r="O434" s="200"/>
      <c r="P434" s="200"/>
      <c r="Q434" s="200"/>
      <c r="R434" s="200"/>
      <c r="S434" s="200"/>
      <c r="T434" s="200"/>
      <c r="U434" s="200"/>
      <c r="V434" s="200"/>
      <c r="W434" s="200"/>
      <c r="X434" s="200"/>
      <c r="Y434" s="200"/>
      <c r="Z434" s="200"/>
    </row>
    <row r="435" ht="22.5" customHeight="1">
      <c r="A435" s="145"/>
      <c r="B435" s="154"/>
      <c r="C435" s="138"/>
      <c r="D435" s="138"/>
      <c r="E435" s="138"/>
      <c r="F435" s="138"/>
      <c r="G435" s="119"/>
      <c r="H435" s="200"/>
      <c r="I435" s="200"/>
      <c r="J435" s="200"/>
      <c r="K435" s="200"/>
      <c r="L435" s="200"/>
      <c r="M435" s="200"/>
      <c r="N435" s="200"/>
      <c r="O435" s="200"/>
      <c r="P435" s="200"/>
      <c r="Q435" s="200"/>
      <c r="R435" s="200"/>
      <c r="S435" s="200"/>
      <c r="T435" s="200"/>
      <c r="U435" s="200"/>
      <c r="V435" s="200"/>
      <c r="W435" s="200"/>
      <c r="X435" s="200"/>
      <c r="Y435" s="200"/>
      <c r="Z435" s="200"/>
    </row>
    <row r="436" ht="22.5" customHeight="1">
      <c r="A436" s="145"/>
      <c r="B436" s="154"/>
      <c r="C436" s="138"/>
      <c r="D436" s="138"/>
      <c r="E436" s="138"/>
      <c r="F436" s="138"/>
      <c r="G436" s="119"/>
      <c r="H436" s="200"/>
      <c r="I436" s="200"/>
      <c r="J436" s="200"/>
      <c r="K436" s="200"/>
      <c r="L436" s="200"/>
      <c r="M436" s="200"/>
      <c r="N436" s="200"/>
      <c r="O436" s="200"/>
      <c r="P436" s="200"/>
      <c r="Q436" s="200"/>
      <c r="R436" s="200"/>
      <c r="S436" s="200"/>
      <c r="T436" s="200"/>
      <c r="U436" s="200"/>
      <c r="V436" s="200"/>
      <c r="W436" s="200"/>
      <c r="X436" s="200"/>
      <c r="Y436" s="200"/>
      <c r="Z436" s="200"/>
    </row>
    <row r="437" ht="22.5" customHeight="1">
      <c r="A437" s="145"/>
      <c r="B437" s="154"/>
      <c r="C437" s="138"/>
      <c r="D437" s="138"/>
      <c r="E437" s="138"/>
      <c r="F437" s="138"/>
      <c r="G437" s="119"/>
      <c r="H437" s="200"/>
      <c r="I437" s="200"/>
      <c r="J437" s="200"/>
      <c r="K437" s="200"/>
      <c r="L437" s="200"/>
      <c r="M437" s="200"/>
      <c r="N437" s="200"/>
      <c r="O437" s="200"/>
      <c r="P437" s="200"/>
      <c r="Q437" s="200"/>
      <c r="R437" s="200"/>
      <c r="S437" s="200"/>
      <c r="T437" s="200"/>
      <c r="U437" s="200"/>
      <c r="V437" s="200"/>
      <c r="W437" s="200"/>
      <c r="X437" s="200"/>
      <c r="Y437" s="200"/>
      <c r="Z437" s="200"/>
    </row>
    <row r="438" ht="22.5" customHeight="1">
      <c r="A438" s="145"/>
      <c r="B438" s="154"/>
      <c r="C438" s="138"/>
      <c r="D438" s="138"/>
      <c r="E438" s="138"/>
      <c r="F438" s="138"/>
      <c r="G438" s="119"/>
      <c r="H438" s="200"/>
      <c r="I438" s="200"/>
      <c r="J438" s="200"/>
      <c r="K438" s="200"/>
      <c r="L438" s="200"/>
      <c r="M438" s="200"/>
      <c r="N438" s="200"/>
      <c r="O438" s="200"/>
      <c r="P438" s="200"/>
      <c r="Q438" s="200"/>
      <c r="R438" s="200"/>
      <c r="S438" s="200"/>
      <c r="T438" s="200"/>
      <c r="U438" s="200"/>
      <c r="V438" s="200"/>
      <c r="W438" s="200"/>
      <c r="X438" s="200"/>
      <c r="Y438" s="200"/>
      <c r="Z438" s="200"/>
    </row>
    <row r="439" ht="22.5" customHeight="1">
      <c r="A439" s="145"/>
      <c r="B439" s="154"/>
      <c r="C439" s="138"/>
      <c r="D439" s="138"/>
      <c r="E439" s="138"/>
      <c r="F439" s="138"/>
      <c r="G439" s="119"/>
      <c r="H439" s="200"/>
      <c r="I439" s="200"/>
      <c r="J439" s="200"/>
      <c r="K439" s="200"/>
      <c r="L439" s="200"/>
      <c r="M439" s="200"/>
      <c r="N439" s="200"/>
      <c r="O439" s="200"/>
      <c r="P439" s="200"/>
      <c r="Q439" s="200"/>
      <c r="R439" s="200"/>
      <c r="S439" s="200"/>
      <c r="T439" s="200"/>
      <c r="U439" s="200"/>
      <c r="V439" s="200"/>
      <c r="W439" s="200"/>
      <c r="X439" s="200"/>
      <c r="Y439" s="200"/>
      <c r="Z439" s="200"/>
    </row>
    <row r="440" ht="22.5" customHeight="1">
      <c r="A440" s="145"/>
      <c r="B440" s="154"/>
      <c r="C440" s="138"/>
      <c r="D440" s="138"/>
      <c r="E440" s="138"/>
      <c r="F440" s="138"/>
      <c r="G440" s="119"/>
      <c r="H440" s="200"/>
      <c r="I440" s="200"/>
      <c r="J440" s="200"/>
      <c r="K440" s="200"/>
      <c r="L440" s="200"/>
      <c r="M440" s="200"/>
      <c r="N440" s="200"/>
      <c r="O440" s="200"/>
      <c r="P440" s="200"/>
      <c r="Q440" s="200"/>
      <c r="R440" s="200"/>
      <c r="S440" s="200"/>
      <c r="T440" s="200"/>
      <c r="U440" s="200"/>
      <c r="V440" s="200"/>
      <c r="W440" s="200"/>
      <c r="X440" s="200"/>
      <c r="Y440" s="200"/>
      <c r="Z440" s="200"/>
    </row>
    <row r="441" ht="22.5" customHeight="1">
      <c r="A441" s="145"/>
      <c r="B441" s="154"/>
      <c r="C441" s="138"/>
      <c r="D441" s="138"/>
      <c r="E441" s="138"/>
      <c r="F441" s="138"/>
      <c r="G441" s="119"/>
      <c r="H441" s="200"/>
      <c r="I441" s="200"/>
      <c r="J441" s="200"/>
      <c r="K441" s="200"/>
      <c r="L441" s="200"/>
      <c r="M441" s="200"/>
      <c r="N441" s="200"/>
      <c r="O441" s="200"/>
      <c r="P441" s="200"/>
      <c r="Q441" s="200"/>
      <c r="R441" s="200"/>
      <c r="S441" s="200"/>
      <c r="T441" s="200"/>
      <c r="U441" s="200"/>
      <c r="V441" s="200"/>
      <c r="W441" s="200"/>
      <c r="X441" s="200"/>
      <c r="Y441" s="200"/>
      <c r="Z441" s="200"/>
    </row>
    <row r="442" ht="22.5" customHeight="1">
      <c r="A442" s="145"/>
      <c r="B442" s="154"/>
      <c r="C442" s="138"/>
      <c r="D442" s="138"/>
      <c r="E442" s="138"/>
      <c r="F442" s="138"/>
      <c r="G442" s="119"/>
      <c r="H442" s="200"/>
      <c r="I442" s="200"/>
      <c r="J442" s="200"/>
      <c r="K442" s="200"/>
      <c r="L442" s="200"/>
      <c r="M442" s="200"/>
      <c r="N442" s="200"/>
      <c r="O442" s="200"/>
      <c r="P442" s="200"/>
      <c r="Q442" s="200"/>
      <c r="R442" s="200"/>
      <c r="S442" s="200"/>
      <c r="T442" s="200"/>
      <c r="U442" s="200"/>
      <c r="V442" s="200"/>
      <c r="W442" s="200"/>
      <c r="X442" s="200"/>
      <c r="Y442" s="200"/>
      <c r="Z442" s="200"/>
    </row>
    <row r="443" ht="22.5" customHeight="1">
      <c r="A443" s="145"/>
      <c r="B443" s="154"/>
      <c r="C443" s="138"/>
      <c r="D443" s="138"/>
      <c r="E443" s="138"/>
      <c r="F443" s="138"/>
      <c r="G443" s="119"/>
      <c r="H443" s="200"/>
      <c r="I443" s="200"/>
      <c r="J443" s="200"/>
      <c r="K443" s="200"/>
      <c r="L443" s="200"/>
      <c r="M443" s="200"/>
      <c r="N443" s="200"/>
      <c r="O443" s="200"/>
      <c r="P443" s="200"/>
      <c r="Q443" s="200"/>
      <c r="R443" s="200"/>
      <c r="S443" s="200"/>
      <c r="T443" s="200"/>
      <c r="U443" s="200"/>
      <c r="V443" s="200"/>
      <c r="W443" s="200"/>
      <c r="X443" s="200"/>
      <c r="Y443" s="200"/>
      <c r="Z443" s="200"/>
    </row>
    <row r="444" ht="22.5" customHeight="1">
      <c r="A444" s="145"/>
      <c r="B444" s="154"/>
      <c r="C444" s="138"/>
      <c r="D444" s="138"/>
      <c r="E444" s="138"/>
      <c r="F444" s="138"/>
      <c r="G444" s="119"/>
      <c r="H444" s="200"/>
      <c r="I444" s="200"/>
      <c r="J444" s="200"/>
      <c r="K444" s="200"/>
      <c r="L444" s="200"/>
      <c r="M444" s="200"/>
      <c r="N444" s="200"/>
      <c r="O444" s="200"/>
      <c r="P444" s="200"/>
      <c r="Q444" s="200"/>
      <c r="R444" s="200"/>
      <c r="S444" s="200"/>
      <c r="T444" s="200"/>
      <c r="U444" s="200"/>
      <c r="V444" s="200"/>
      <c r="W444" s="200"/>
      <c r="X444" s="200"/>
      <c r="Y444" s="200"/>
      <c r="Z444" s="200"/>
    </row>
    <row r="445" ht="22.5" customHeight="1">
      <c r="A445" s="145"/>
      <c r="B445" s="154"/>
      <c r="C445" s="138"/>
      <c r="D445" s="138"/>
      <c r="E445" s="138"/>
      <c r="F445" s="138"/>
      <c r="G445" s="119"/>
      <c r="H445" s="200"/>
      <c r="I445" s="200"/>
      <c r="J445" s="200"/>
      <c r="K445" s="200"/>
      <c r="L445" s="200"/>
      <c r="M445" s="200"/>
      <c r="N445" s="200"/>
      <c r="O445" s="200"/>
      <c r="P445" s="200"/>
      <c r="Q445" s="200"/>
      <c r="R445" s="200"/>
      <c r="S445" s="200"/>
      <c r="T445" s="200"/>
      <c r="U445" s="200"/>
      <c r="V445" s="200"/>
      <c r="W445" s="200"/>
      <c r="X445" s="200"/>
      <c r="Y445" s="200"/>
      <c r="Z445" s="200"/>
    </row>
    <row r="446" ht="22.5" customHeight="1">
      <c r="A446" s="145"/>
      <c r="B446" s="154"/>
      <c r="C446" s="138"/>
      <c r="D446" s="138"/>
      <c r="E446" s="138"/>
      <c r="F446" s="138"/>
      <c r="G446" s="119"/>
      <c r="H446" s="200"/>
      <c r="I446" s="200"/>
      <c r="J446" s="200"/>
      <c r="K446" s="200"/>
      <c r="L446" s="200"/>
      <c r="M446" s="200"/>
      <c r="N446" s="200"/>
      <c r="O446" s="200"/>
      <c r="P446" s="200"/>
      <c r="Q446" s="200"/>
      <c r="R446" s="200"/>
      <c r="S446" s="200"/>
      <c r="T446" s="200"/>
      <c r="U446" s="200"/>
      <c r="V446" s="200"/>
      <c r="W446" s="200"/>
      <c r="X446" s="200"/>
      <c r="Y446" s="200"/>
      <c r="Z446" s="200"/>
    </row>
    <row r="447" ht="22.5" customHeight="1">
      <c r="A447" s="145"/>
      <c r="B447" s="154"/>
      <c r="C447" s="138"/>
      <c r="D447" s="138"/>
      <c r="E447" s="138"/>
      <c r="F447" s="138"/>
      <c r="G447" s="119"/>
      <c r="H447" s="200"/>
      <c r="I447" s="200"/>
      <c r="J447" s="200"/>
      <c r="K447" s="200"/>
      <c r="L447" s="200"/>
      <c r="M447" s="200"/>
      <c r="N447" s="200"/>
      <c r="O447" s="200"/>
      <c r="P447" s="200"/>
      <c r="Q447" s="200"/>
      <c r="R447" s="200"/>
      <c r="S447" s="200"/>
      <c r="T447" s="200"/>
      <c r="U447" s="200"/>
      <c r="V447" s="200"/>
      <c r="W447" s="200"/>
      <c r="X447" s="200"/>
      <c r="Y447" s="200"/>
      <c r="Z447" s="200"/>
    </row>
    <row r="448" ht="22.5" customHeight="1">
      <c r="A448" s="145"/>
      <c r="B448" s="154"/>
      <c r="C448" s="138"/>
      <c r="D448" s="138"/>
      <c r="E448" s="138"/>
      <c r="F448" s="138"/>
      <c r="G448" s="119"/>
      <c r="H448" s="200"/>
      <c r="I448" s="200"/>
      <c r="J448" s="200"/>
      <c r="K448" s="200"/>
      <c r="L448" s="200"/>
      <c r="M448" s="200"/>
      <c r="N448" s="200"/>
      <c r="O448" s="200"/>
      <c r="P448" s="200"/>
      <c r="Q448" s="200"/>
      <c r="R448" s="200"/>
      <c r="S448" s="200"/>
      <c r="T448" s="200"/>
      <c r="U448" s="200"/>
      <c r="V448" s="200"/>
      <c r="W448" s="200"/>
      <c r="X448" s="200"/>
      <c r="Y448" s="200"/>
      <c r="Z448" s="200"/>
    </row>
    <row r="449" ht="22.5" customHeight="1">
      <c r="A449" s="145"/>
      <c r="B449" s="154"/>
      <c r="C449" s="138"/>
      <c r="D449" s="138"/>
      <c r="E449" s="138"/>
      <c r="F449" s="138"/>
      <c r="G449" s="119"/>
      <c r="H449" s="200"/>
      <c r="I449" s="200"/>
      <c r="J449" s="200"/>
      <c r="K449" s="200"/>
      <c r="L449" s="200"/>
      <c r="M449" s="200"/>
      <c r="N449" s="200"/>
      <c r="O449" s="200"/>
      <c r="P449" s="200"/>
      <c r="Q449" s="200"/>
      <c r="R449" s="200"/>
      <c r="S449" s="200"/>
      <c r="T449" s="200"/>
      <c r="U449" s="200"/>
      <c r="V449" s="200"/>
      <c r="W449" s="200"/>
      <c r="X449" s="200"/>
      <c r="Y449" s="200"/>
      <c r="Z449" s="200"/>
    </row>
    <row r="450" ht="22.5" customHeight="1">
      <c r="A450" s="145"/>
      <c r="B450" s="154"/>
      <c r="C450" s="138"/>
      <c r="D450" s="138"/>
      <c r="E450" s="138"/>
      <c r="F450" s="138"/>
      <c r="G450" s="119"/>
      <c r="H450" s="200"/>
      <c r="I450" s="200"/>
      <c r="J450" s="200"/>
      <c r="K450" s="200"/>
      <c r="L450" s="200"/>
      <c r="M450" s="200"/>
      <c r="N450" s="200"/>
      <c r="O450" s="200"/>
      <c r="P450" s="200"/>
      <c r="Q450" s="200"/>
      <c r="R450" s="200"/>
      <c r="S450" s="200"/>
      <c r="T450" s="200"/>
      <c r="U450" s="200"/>
      <c r="V450" s="200"/>
      <c r="W450" s="200"/>
      <c r="X450" s="200"/>
      <c r="Y450" s="200"/>
      <c r="Z450" s="200"/>
    </row>
    <row r="451" ht="22.5" customHeight="1">
      <c r="A451" s="145"/>
      <c r="B451" s="154"/>
      <c r="C451" s="138"/>
      <c r="D451" s="138"/>
      <c r="E451" s="138"/>
      <c r="F451" s="138"/>
      <c r="G451" s="119"/>
      <c r="H451" s="200"/>
      <c r="I451" s="200"/>
      <c r="J451" s="200"/>
      <c r="K451" s="200"/>
      <c r="L451" s="200"/>
      <c r="M451" s="200"/>
      <c r="N451" s="200"/>
      <c r="O451" s="200"/>
      <c r="P451" s="200"/>
      <c r="Q451" s="200"/>
      <c r="R451" s="200"/>
      <c r="S451" s="200"/>
      <c r="T451" s="200"/>
      <c r="U451" s="200"/>
      <c r="V451" s="200"/>
      <c r="W451" s="200"/>
      <c r="X451" s="200"/>
      <c r="Y451" s="200"/>
      <c r="Z451" s="200"/>
    </row>
    <row r="452" ht="22.5" customHeight="1">
      <c r="A452" s="145"/>
      <c r="B452" s="154"/>
      <c r="C452" s="138"/>
      <c r="D452" s="138"/>
      <c r="E452" s="138"/>
      <c r="F452" s="138"/>
      <c r="G452" s="119"/>
      <c r="H452" s="200"/>
      <c r="I452" s="200"/>
      <c r="J452" s="200"/>
      <c r="K452" s="200"/>
      <c r="L452" s="200"/>
      <c r="M452" s="200"/>
      <c r="N452" s="200"/>
      <c r="O452" s="200"/>
      <c r="P452" s="200"/>
      <c r="Q452" s="200"/>
      <c r="R452" s="200"/>
      <c r="S452" s="200"/>
      <c r="T452" s="200"/>
      <c r="U452" s="200"/>
      <c r="V452" s="200"/>
      <c r="W452" s="200"/>
      <c r="X452" s="200"/>
      <c r="Y452" s="200"/>
      <c r="Z452" s="200"/>
    </row>
    <row r="453" ht="22.5" customHeight="1">
      <c r="A453" s="145"/>
      <c r="B453" s="154"/>
      <c r="C453" s="138"/>
      <c r="D453" s="138"/>
      <c r="E453" s="138"/>
      <c r="F453" s="138"/>
      <c r="G453" s="119"/>
      <c r="H453" s="200"/>
      <c r="I453" s="200"/>
      <c r="J453" s="200"/>
      <c r="K453" s="200"/>
      <c r="L453" s="200"/>
      <c r="M453" s="200"/>
      <c r="N453" s="200"/>
      <c r="O453" s="200"/>
      <c r="P453" s="200"/>
      <c r="Q453" s="200"/>
      <c r="R453" s="200"/>
      <c r="S453" s="200"/>
      <c r="T453" s="200"/>
      <c r="U453" s="200"/>
      <c r="V453" s="200"/>
      <c r="W453" s="200"/>
      <c r="X453" s="200"/>
      <c r="Y453" s="200"/>
      <c r="Z453" s="200"/>
    </row>
    <row r="454" ht="22.5" customHeight="1">
      <c r="A454" s="145"/>
      <c r="B454" s="154"/>
      <c r="C454" s="138"/>
      <c r="D454" s="138"/>
      <c r="E454" s="138"/>
      <c r="F454" s="138"/>
      <c r="G454" s="119"/>
      <c r="H454" s="200"/>
      <c r="I454" s="200"/>
      <c r="J454" s="200"/>
      <c r="K454" s="200"/>
      <c r="L454" s="200"/>
      <c r="M454" s="200"/>
      <c r="N454" s="200"/>
      <c r="O454" s="200"/>
      <c r="P454" s="200"/>
      <c r="Q454" s="200"/>
      <c r="R454" s="200"/>
      <c r="S454" s="200"/>
      <c r="T454" s="200"/>
      <c r="U454" s="200"/>
      <c r="V454" s="200"/>
      <c r="W454" s="200"/>
      <c r="X454" s="200"/>
      <c r="Y454" s="200"/>
      <c r="Z454" s="200"/>
    </row>
    <row r="455" ht="22.5" customHeight="1">
      <c r="A455" s="145"/>
      <c r="B455" s="154"/>
      <c r="C455" s="138"/>
      <c r="D455" s="138"/>
      <c r="E455" s="138"/>
      <c r="F455" s="138"/>
      <c r="G455" s="119"/>
      <c r="H455" s="200"/>
      <c r="I455" s="200"/>
      <c r="J455" s="200"/>
      <c r="K455" s="200"/>
      <c r="L455" s="200"/>
      <c r="M455" s="200"/>
      <c r="N455" s="200"/>
      <c r="O455" s="200"/>
      <c r="P455" s="200"/>
      <c r="Q455" s="200"/>
      <c r="R455" s="200"/>
      <c r="S455" s="200"/>
      <c r="T455" s="200"/>
      <c r="U455" s="200"/>
      <c r="V455" s="200"/>
      <c r="W455" s="200"/>
      <c r="X455" s="200"/>
      <c r="Y455" s="200"/>
      <c r="Z455" s="200"/>
    </row>
    <row r="456" ht="22.5" customHeight="1">
      <c r="A456" s="145"/>
      <c r="B456" s="154"/>
      <c r="C456" s="138"/>
      <c r="D456" s="138"/>
      <c r="E456" s="138"/>
      <c r="F456" s="138"/>
      <c r="G456" s="119"/>
      <c r="H456" s="200"/>
      <c r="I456" s="200"/>
      <c r="J456" s="200"/>
      <c r="K456" s="200"/>
      <c r="L456" s="200"/>
      <c r="M456" s="200"/>
      <c r="N456" s="200"/>
      <c r="O456" s="200"/>
      <c r="P456" s="200"/>
      <c r="Q456" s="200"/>
      <c r="R456" s="200"/>
      <c r="S456" s="200"/>
      <c r="T456" s="200"/>
      <c r="U456" s="200"/>
      <c r="V456" s="200"/>
      <c r="W456" s="200"/>
      <c r="X456" s="200"/>
      <c r="Y456" s="200"/>
      <c r="Z456" s="200"/>
    </row>
    <row r="457" ht="22.5" customHeight="1">
      <c r="A457" s="145"/>
      <c r="B457" s="154"/>
      <c r="C457" s="138"/>
      <c r="D457" s="138"/>
      <c r="E457" s="138"/>
      <c r="F457" s="138"/>
      <c r="G457" s="119"/>
      <c r="H457" s="200"/>
      <c r="I457" s="200"/>
      <c r="J457" s="200"/>
      <c r="K457" s="200"/>
      <c r="L457" s="200"/>
      <c r="M457" s="200"/>
      <c r="N457" s="200"/>
      <c r="O457" s="200"/>
      <c r="P457" s="200"/>
      <c r="Q457" s="200"/>
      <c r="R457" s="200"/>
      <c r="S457" s="200"/>
      <c r="T457" s="200"/>
      <c r="U457" s="200"/>
      <c r="V457" s="200"/>
      <c r="W457" s="200"/>
      <c r="X457" s="200"/>
      <c r="Y457" s="200"/>
      <c r="Z457" s="200"/>
    </row>
    <row r="458" ht="22.5" customHeight="1">
      <c r="A458" s="145"/>
      <c r="B458" s="154"/>
      <c r="C458" s="138"/>
      <c r="D458" s="138"/>
      <c r="E458" s="138"/>
      <c r="F458" s="138"/>
      <c r="G458" s="119"/>
      <c r="H458" s="200"/>
      <c r="I458" s="200"/>
      <c r="J458" s="200"/>
      <c r="K458" s="200"/>
      <c r="L458" s="200"/>
      <c r="M458" s="200"/>
      <c r="N458" s="200"/>
      <c r="O458" s="200"/>
      <c r="P458" s="200"/>
      <c r="Q458" s="200"/>
      <c r="R458" s="200"/>
      <c r="S458" s="200"/>
      <c r="T458" s="200"/>
      <c r="U458" s="200"/>
      <c r="V458" s="200"/>
      <c r="W458" s="200"/>
      <c r="X458" s="200"/>
      <c r="Y458" s="200"/>
      <c r="Z458" s="200"/>
    </row>
    <row r="459" ht="22.5" customHeight="1">
      <c r="A459" s="145"/>
      <c r="B459" s="154"/>
      <c r="C459" s="138"/>
      <c r="D459" s="138"/>
      <c r="E459" s="138"/>
      <c r="F459" s="138"/>
      <c r="G459" s="119"/>
      <c r="H459" s="200"/>
      <c r="I459" s="200"/>
      <c r="J459" s="200"/>
      <c r="K459" s="200"/>
      <c r="L459" s="200"/>
      <c r="M459" s="200"/>
      <c r="N459" s="200"/>
      <c r="O459" s="200"/>
      <c r="P459" s="200"/>
      <c r="Q459" s="200"/>
      <c r="R459" s="200"/>
      <c r="S459" s="200"/>
      <c r="T459" s="200"/>
      <c r="U459" s="200"/>
      <c r="V459" s="200"/>
      <c r="W459" s="200"/>
      <c r="X459" s="200"/>
      <c r="Y459" s="200"/>
      <c r="Z459" s="200"/>
    </row>
    <row r="460" ht="22.5" customHeight="1">
      <c r="A460" s="145"/>
      <c r="B460" s="154"/>
      <c r="C460" s="138"/>
      <c r="D460" s="138"/>
      <c r="E460" s="138"/>
      <c r="F460" s="138"/>
      <c r="G460" s="119"/>
      <c r="H460" s="200"/>
      <c r="I460" s="200"/>
      <c r="J460" s="200"/>
      <c r="K460" s="200"/>
      <c r="L460" s="200"/>
      <c r="M460" s="200"/>
      <c r="N460" s="200"/>
      <c r="O460" s="200"/>
      <c r="P460" s="200"/>
      <c r="Q460" s="200"/>
      <c r="R460" s="200"/>
      <c r="S460" s="200"/>
      <c r="T460" s="200"/>
      <c r="U460" s="200"/>
      <c r="V460" s="200"/>
      <c r="W460" s="200"/>
      <c r="X460" s="200"/>
      <c r="Y460" s="200"/>
      <c r="Z460" s="200"/>
    </row>
    <row r="461" ht="22.5" customHeight="1">
      <c r="A461" s="145"/>
      <c r="B461" s="154"/>
      <c r="C461" s="138"/>
      <c r="D461" s="138"/>
      <c r="E461" s="138"/>
      <c r="F461" s="138"/>
      <c r="G461" s="119"/>
      <c r="H461" s="200"/>
      <c r="I461" s="200"/>
      <c r="J461" s="200"/>
      <c r="K461" s="200"/>
      <c r="L461" s="200"/>
      <c r="M461" s="200"/>
      <c r="N461" s="200"/>
      <c r="O461" s="200"/>
      <c r="P461" s="200"/>
      <c r="Q461" s="200"/>
      <c r="R461" s="200"/>
      <c r="S461" s="200"/>
      <c r="T461" s="200"/>
      <c r="U461" s="200"/>
      <c r="V461" s="200"/>
      <c r="W461" s="200"/>
      <c r="X461" s="200"/>
      <c r="Y461" s="200"/>
      <c r="Z461" s="200"/>
    </row>
    <row r="462" ht="22.5" customHeight="1">
      <c r="A462" s="145"/>
      <c r="B462" s="154"/>
      <c r="C462" s="138"/>
      <c r="D462" s="138"/>
      <c r="E462" s="138"/>
      <c r="F462" s="138"/>
      <c r="G462" s="119"/>
      <c r="H462" s="200"/>
      <c r="I462" s="200"/>
      <c r="J462" s="200"/>
      <c r="K462" s="200"/>
      <c r="L462" s="200"/>
      <c r="M462" s="200"/>
      <c r="N462" s="200"/>
      <c r="O462" s="200"/>
      <c r="P462" s="200"/>
      <c r="Q462" s="200"/>
      <c r="R462" s="200"/>
      <c r="S462" s="200"/>
      <c r="T462" s="200"/>
      <c r="U462" s="200"/>
      <c r="V462" s="200"/>
      <c r="W462" s="200"/>
      <c r="X462" s="200"/>
      <c r="Y462" s="200"/>
      <c r="Z462" s="200"/>
    </row>
    <row r="463" ht="22.5" customHeight="1">
      <c r="A463" s="145"/>
      <c r="B463" s="154"/>
      <c r="C463" s="138"/>
      <c r="D463" s="138"/>
      <c r="E463" s="138"/>
      <c r="F463" s="138"/>
      <c r="G463" s="119"/>
      <c r="H463" s="200"/>
      <c r="I463" s="200"/>
      <c r="J463" s="200"/>
      <c r="K463" s="200"/>
      <c r="L463" s="200"/>
      <c r="M463" s="200"/>
      <c r="N463" s="200"/>
      <c r="O463" s="200"/>
      <c r="P463" s="200"/>
      <c r="Q463" s="200"/>
      <c r="R463" s="200"/>
      <c r="S463" s="200"/>
      <c r="T463" s="200"/>
      <c r="U463" s="200"/>
      <c r="V463" s="200"/>
      <c r="W463" s="200"/>
      <c r="X463" s="200"/>
      <c r="Y463" s="200"/>
      <c r="Z463" s="200"/>
    </row>
    <row r="464" ht="22.5" customHeight="1">
      <c r="A464" s="145"/>
      <c r="B464" s="154"/>
      <c r="C464" s="138"/>
      <c r="D464" s="138"/>
      <c r="E464" s="138"/>
      <c r="F464" s="138"/>
      <c r="G464" s="119"/>
      <c r="H464" s="200"/>
      <c r="I464" s="200"/>
      <c r="J464" s="200"/>
      <c r="K464" s="200"/>
      <c r="L464" s="200"/>
      <c r="M464" s="200"/>
      <c r="N464" s="200"/>
      <c r="O464" s="200"/>
      <c r="P464" s="200"/>
      <c r="Q464" s="200"/>
      <c r="R464" s="200"/>
      <c r="S464" s="200"/>
      <c r="T464" s="200"/>
      <c r="U464" s="200"/>
      <c r="V464" s="200"/>
      <c r="W464" s="200"/>
      <c r="X464" s="200"/>
      <c r="Y464" s="200"/>
      <c r="Z464" s="200"/>
    </row>
    <row r="465" ht="22.5" customHeight="1">
      <c r="A465" s="145"/>
      <c r="B465" s="154"/>
      <c r="C465" s="138"/>
      <c r="D465" s="138"/>
      <c r="E465" s="138"/>
      <c r="F465" s="138"/>
      <c r="G465" s="119"/>
      <c r="H465" s="200"/>
      <c r="I465" s="200"/>
      <c r="J465" s="200"/>
      <c r="K465" s="200"/>
      <c r="L465" s="200"/>
      <c r="M465" s="200"/>
      <c r="N465" s="200"/>
      <c r="O465" s="200"/>
      <c r="P465" s="200"/>
      <c r="Q465" s="200"/>
      <c r="R465" s="200"/>
      <c r="S465" s="200"/>
      <c r="T465" s="200"/>
      <c r="U465" s="200"/>
      <c r="V465" s="200"/>
      <c r="W465" s="200"/>
      <c r="X465" s="200"/>
      <c r="Y465" s="200"/>
      <c r="Z465" s="200"/>
    </row>
    <row r="466" ht="22.5" customHeight="1">
      <c r="A466" s="145"/>
      <c r="B466" s="154"/>
      <c r="C466" s="138"/>
      <c r="D466" s="138"/>
      <c r="E466" s="138"/>
      <c r="F466" s="138"/>
      <c r="G466" s="119"/>
      <c r="H466" s="200"/>
      <c r="I466" s="200"/>
      <c r="J466" s="200"/>
      <c r="K466" s="200"/>
      <c r="L466" s="200"/>
      <c r="M466" s="200"/>
      <c r="N466" s="200"/>
      <c r="O466" s="200"/>
      <c r="P466" s="200"/>
      <c r="Q466" s="200"/>
      <c r="R466" s="200"/>
      <c r="S466" s="200"/>
      <c r="T466" s="200"/>
      <c r="U466" s="200"/>
      <c r="V466" s="200"/>
      <c r="W466" s="200"/>
      <c r="X466" s="200"/>
      <c r="Y466" s="200"/>
      <c r="Z466" s="200"/>
    </row>
    <row r="467" ht="22.5" customHeight="1">
      <c r="A467" s="145"/>
      <c r="B467" s="154"/>
      <c r="C467" s="138"/>
      <c r="D467" s="138"/>
      <c r="E467" s="138"/>
      <c r="F467" s="138"/>
      <c r="G467" s="119"/>
      <c r="H467" s="200"/>
      <c r="I467" s="200"/>
      <c r="J467" s="200"/>
      <c r="K467" s="200"/>
      <c r="L467" s="200"/>
      <c r="M467" s="200"/>
      <c r="N467" s="200"/>
      <c r="O467" s="200"/>
      <c r="P467" s="200"/>
      <c r="Q467" s="200"/>
      <c r="R467" s="200"/>
      <c r="S467" s="200"/>
      <c r="T467" s="200"/>
      <c r="U467" s="200"/>
      <c r="V467" s="200"/>
      <c r="W467" s="200"/>
      <c r="X467" s="200"/>
      <c r="Y467" s="200"/>
      <c r="Z467" s="200"/>
    </row>
    <row r="468" ht="22.5" customHeight="1">
      <c r="A468" s="145"/>
      <c r="B468" s="154"/>
      <c r="C468" s="138"/>
      <c r="D468" s="138"/>
      <c r="E468" s="138"/>
      <c r="F468" s="138"/>
      <c r="G468" s="119"/>
      <c r="H468" s="200"/>
      <c r="I468" s="200"/>
      <c r="J468" s="200"/>
      <c r="K468" s="200"/>
      <c r="L468" s="200"/>
      <c r="M468" s="200"/>
      <c r="N468" s="200"/>
      <c r="O468" s="200"/>
      <c r="P468" s="200"/>
      <c r="Q468" s="200"/>
      <c r="R468" s="200"/>
      <c r="S468" s="200"/>
      <c r="T468" s="200"/>
      <c r="U468" s="200"/>
      <c r="V468" s="200"/>
      <c r="W468" s="200"/>
      <c r="X468" s="200"/>
      <c r="Y468" s="200"/>
      <c r="Z468" s="200"/>
    </row>
    <row r="469" ht="22.5" customHeight="1">
      <c r="A469" s="145"/>
      <c r="B469" s="154"/>
      <c r="C469" s="138"/>
      <c r="D469" s="138"/>
      <c r="E469" s="138"/>
      <c r="F469" s="138"/>
      <c r="G469" s="119"/>
      <c r="H469" s="200"/>
      <c r="I469" s="200"/>
      <c r="J469" s="200"/>
      <c r="K469" s="200"/>
      <c r="L469" s="200"/>
      <c r="M469" s="200"/>
      <c r="N469" s="200"/>
      <c r="O469" s="200"/>
      <c r="P469" s="200"/>
      <c r="Q469" s="200"/>
      <c r="R469" s="200"/>
      <c r="S469" s="200"/>
      <c r="T469" s="200"/>
      <c r="U469" s="200"/>
      <c r="V469" s="200"/>
      <c r="W469" s="200"/>
      <c r="X469" s="200"/>
      <c r="Y469" s="200"/>
      <c r="Z469" s="200"/>
    </row>
    <row r="470" ht="22.5" customHeight="1">
      <c r="A470" s="145"/>
      <c r="B470" s="154"/>
      <c r="C470" s="138"/>
      <c r="D470" s="138"/>
      <c r="E470" s="138"/>
      <c r="F470" s="138"/>
      <c r="G470" s="119"/>
      <c r="H470" s="200"/>
      <c r="I470" s="200"/>
      <c r="J470" s="200"/>
      <c r="K470" s="200"/>
      <c r="L470" s="200"/>
      <c r="M470" s="200"/>
      <c r="N470" s="200"/>
      <c r="O470" s="200"/>
      <c r="P470" s="200"/>
      <c r="Q470" s="200"/>
      <c r="R470" s="200"/>
      <c r="S470" s="200"/>
      <c r="T470" s="200"/>
      <c r="U470" s="200"/>
      <c r="V470" s="200"/>
      <c r="W470" s="200"/>
      <c r="X470" s="200"/>
      <c r="Y470" s="200"/>
      <c r="Z470" s="200"/>
    </row>
    <row r="471" ht="22.5" customHeight="1">
      <c r="A471" s="145"/>
      <c r="B471" s="154"/>
      <c r="C471" s="138"/>
      <c r="D471" s="138"/>
      <c r="E471" s="138"/>
      <c r="F471" s="138"/>
      <c r="G471" s="119"/>
      <c r="H471" s="200"/>
      <c r="I471" s="200"/>
      <c r="J471" s="200"/>
      <c r="K471" s="200"/>
      <c r="L471" s="200"/>
      <c r="M471" s="200"/>
      <c r="N471" s="200"/>
      <c r="O471" s="200"/>
      <c r="P471" s="200"/>
      <c r="Q471" s="200"/>
      <c r="R471" s="200"/>
      <c r="S471" s="200"/>
      <c r="T471" s="200"/>
      <c r="U471" s="200"/>
      <c r="V471" s="200"/>
      <c r="W471" s="200"/>
      <c r="X471" s="200"/>
      <c r="Y471" s="200"/>
      <c r="Z471" s="200"/>
    </row>
    <row r="472" ht="22.5" customHeight="1">
      <c r="A472" s="145"/>
      <c r="B472" s="154"/>
      <c r="C472" s="138"/>
      <c r="D472" s="138"/>
      <c r="E472" s="138"/>
      <c r="F472" s="138"/>
      <c r="G472" s="119"/>
      <c r="H472" s="200"/>
      <c r="I472" s="200"/>
      <c r="J472" s="200"/>
      <c r="K472" s="200"/>
      <c r="L472" s="200"/>
      <c r="M472" s="200"/>
      <c r="N472" s="200"/>
      <c r="O472" s="200"/>
      <c r="P472" s="200"/>
      <c r="Q472" s="200"/>
      <c r="R472" s="200"/>
      <c r="S472" s="200"/>
      <c r="T472" s="200"/>
      <c r="U472" s="200"/>
      <c r="V472" s="200"/>
      <c r="W472" s="200"/>
      <c r="X472" s="200"/>
      <c r="Y472" s="200"/>
      <c r="Z472" s="200"/>
    </row>
    <row r="473" ht="22.5" customHeight="1">
      <c r="A473" s="145"/>
      <c r="B473" s="154"/>
      <c r="C473" s="138"/>
      <c r="D473" s="138"/>
      <c r="E473" s="138"/>
      <c r="F473" s="138"/>
      <c r="G473" s="119"/>
      <c r="H473" s="200"/>
      <c r="I473" s="200"/>
      <c r="J473" s="200"/>
      <c r="K473" s="200"/>
      <c r="L473" s="200"/>
      <c r="M473" s="200"/>
      <c r="N473" s="200"/>
      <c r="O473" s="200"/>
      <c r="P473" s="200"/>
      <c r="Q473" s="200"/>
      <c r="R473" s="200"/>
      <c r="S473" s="200"/>
      <c r="T473" s="200"/>
      <c r="U473" s="200"/>
      <c r="V473" s="200"/>
      <c r="W473" s="200"/>
      <c r="X473" s="200"/>
      <c r="Y473" s="200"/>
      <c r="Z473" s="200"/>
    </row>
    <row r="474" ht="22.5" customHeight="1">
      <c r="A474" s="145"/>
      <c r="B474" s="154"/>
      <c r="C474" s="138"/>
      <c r="D474" s="138"/>
      <c r="E474" s="138"/>
      <c r="F474" s="138"/>
      <c r="G474" s="119"/>
      <c r="H474" s="200"/>
      <c r="I474" s="200"/>
      <c r="J474" s="200"/>
      <c r="K474" s="200"/>
      <c r="L474" s="200"/>
      <c r="M474" s="200"/>
      <c r="N474" s="200"/>
      <c r="O474" s="200"/>
      <c r="P474" s="200"/>
      <c r="Q474" s="200"/>
      <c r="R474" s="200"/>
      <c r="S474" s="200"/>
      <c r="T474" s="200"/>
      <c r="U474" s="200"/>
      <c r="V474" s="200"/>
      <c r="W474" s="200"/>
      <c r="X474" s="200"/>
      <c r="Y474" s="200"/>
      <c r="Z474" s="200"/>
    </row>
    <row r="475" ht="22.5" customHeight="1">
      <c r="A475" s="145"/>
      <c r="B475" s="154"/>
      <c r="C475" s="138"/>
      <c r="D475" s="138"/>
      <c r="E475" s="138"/>
      <c r="F475" s="138"/>
      <c r="G475" s="119"/>
      <c r="H475" s="200"/>
      <c r="I475" s="200"/>
      <c r="J475" s="200"/>
      <c r="K475" s="200"/>
      <c r="L475" s="200"/>
      <c r="M475" s="200"/>
      <c r="N475" s="200"/>
      <c r="O475" s="200"/>
      <c r="P475" s="200"/>
      <c r="Q475" s="200"/>
      <c r="R475" s="200"/>
      <c r="S475" s="200"/>
      <c r="T475" s="200"/>
      <c r="U475" s="200"/>
      <c r="V475" s="200"/>
      <c r="W475" s="200"/>
      <c r="X475" s="200"/>
      <c r="Y475" s="200"/>
      <c r="Z475" s="200"/>
    </row>
    <row r="476" ht="22.5" customHeight="1">
      <c r="A476" s="145"/>
      <c r="B476" s="154"/>
      <c r="C476" s="138"/>
      <c r="D476" s="138"/>
      <c r="E476" s="138"/>
      <c r="F476" s="138"/>
      <c r="G476" s="119"/>
      <c r="H476" s="200"/>
      <c r="I476" s="200"/>
      <c r="J476" s="200"/>
      <c r="K476" s="200"/>
      <c r="L476" s="200"/>
      <c r="M476" s="200"/>
      <c r="N476" s="200"/>
      <c r="O476" s="200"/>
      <c r="P476" s="200"/>
      <c r="Q476" s="200"/>
      <c r="R476" s="200"/>
      <c r="S476" s="200"/>
      <c r="T476" s="200"/>
      <c r="U476" s="200"/>
      <c r="V476" s="200"/>
      <c r="W476" s="200"/>
      <c r="X476" s="200"/>
      <c r="Y476" s="200"/>
      <c r="Z476" s="200"/>
    </row>
    <row r="477" ht="22.5" customHeight="1">
      <c r="A477" s="145"/>
      <c r="B477" s="154"/>
      <c r="C477" s="138"/>
      <c r="D477" s="138"/>
      <c r="E477" s="138"/>
      <c r="F477" s="138"/>
      <c r="G477" s="119"/>
      <c r="H477" s="200"/>
      <c r="I477" s="200"/>
      <c r="J477" s="200"/>
      <c r="K477" s="200"/>
      <c r="L477" s="200"/>
      <c r="M477" s="200"/>
      <c r="N477" s="200"/>
      <c r="O477" s="200"/>
      <c r="P477" s="200"/>
      <c r="Q477" s="200"/>
      <c r="R477" s="200"/>
      <c r="S477" s="200"/>
      <c r="T477" s="200"/>
      <c r="U477" s="200"/>
      <c r="V477" s="200"/>
      <c r="W477" s="200"/>
      <c r="X477" s="200"/>
      <c r="Y477" s="200"/>
      <c r="Z477" s="200"/>
    </row>
    <row r="478" ht="22.5" customHeight="1">
      <c r="A478" s="145"/>
      <c r="B478" s="154"/>
      <c r="C478" s="138"/>
      <c r="D478" s="138"/>
      <c r="E478" s="138"/>
      <c r="F478" s="138"/>
      <c r="G478" s="119"/>
      <c r="H478" s="200"/>
      <c r="I478" s="200"/>
      <c r="J478" s="200"/>
      <c r="K478" s="200"/>
      <c r="L478" s="200"/>
      <c r="M478" s="200"/>
      <c r="N478" s="200"/>
      <c r="O478" s="200"/>
      <c r="P478" s="200"/>
      <c r="Q478" s="200"/>
      <c r="R478" s="200"/>
      <c r="S478" s="200"/>
      <c r="T478" s="200"/>
      <c r="U478" s="200"/>
      <c r="V478" s="200"/>
      <c r="W478" s="200"/>
      <c r="X478" s="200"/>
      <c r="Y478" s="200"/>
      <c r="Z478" s="200"/>
    </row>
    <row r="479" ht="22.5" customHeight="1">
      <c r="A479" s="145"/>
      <c r="B479" s="154"/>
      <c r="C479" s="138"/>
      <c r="D479" s="138"/>
      <c r="E479" s="138"/>
      <c r="F479" s="138"/>
      <c r="G479" s="119"/>
      <c r="H479" s="200"/>
      <c r="I479" s="200"/>
      <c r="J479" s="200"/>
      <c r="K479" s="200"/>
      <c r="L479" s="200"/>
      <c r="M479" s="200"/>
      <c r="N479" s="200"/>
      <c r="O479" s="200"/>
      <c r="P479" s="200"/>
      <c r="Q479" s="200"/>
      <c r="R479" s="200"/>
      <c r="S479" s="200"/>
      <c r="T479" s="200"/>
      <c r="U479" s="200"/>
      <c r="V479" s="200"/>
      <c r="W479" s="200"/>
      <c r="X479" s="200"/>
      <c r="Y479" s="200"/>
      <c r="Z479" s="200"/>
    </row>
    <row r="480" ht="22.5" customHeight="1">
      <c r="A480" s="145"/>
      <c r="B480" s="154"/>
      <c r="C480" s="138"/>
      <c r="D480" s="138"/>
      <c r="E480" s="138"/>
      <c r="F480" s="138"/>
      <c r="G480" s="119"/>
      <c r="H480" s="200"/>
      <c r="I480" s="200"/>
      <c r="J480" s="200"/>
      <c r="K480" s="200"/>
      <c r="L480" s="200"/>
      <c r="M480" s="200"/>
      <c r="N480" s="200"/>
      <c r="O480" s="200"/>
      <c r="P480" s="200"/>
      <c r="Q480" s="200"/>
      <c r="R480" s="200"/>
      <c r="S480" s="200"/>
      <c r="T480" s="200"/>
      <c r="U480" s="200"/>
      <c r="V480" s="200"/>
      <c r="W480" s="200"/>
      <c r="X480" s="200"/>
      <c r="Y480" s="200"/>
      <c r="Z480" s="200"/>
    </row>
    <row r="481" ht="22.5" customHeight="1">
      <c r="A481" s="145"/>
      <c r="B481" s="154"/>
      <c r="C481" s="138"/>
      <c r="D481" s="138"/>
      <c r="E481" s="138"/>
      <c r="F481" s="138"/>
      <c r="G481" s="119"/>
      <c r="H481" s="200"/>
      <c r="I481" s="200"/>
      <c r="J481" s="200"/>
      <c r="K481" s="200"/>
      <c r="L481" s="200"/>
      <c r="M481" s="200"/>
      <c r="N481" s="200"/>
      <c r="O481" s="200"/>
      <c r="P481" s="200"/>
      <c r="Q481" s="200"/>
      <c r="R481" s="200"/>
      <c r="S481" s="200"/>
      <c r="T481" s="200"/>
      <c r="U481" s="200"/>
      <c r="V481" s="200"/>
      <c r="W481" s="200"/>
      <c r="X481" s="200"/>
      <c r="Y481" s="200"/>
      <c r="Z481" s="200"/>
    </row>
    <row r="482" ht="22.5" customHeight="1">
      <c r="A482" s="145"/>
      <c r="B482" s="154"/>
      <c r="C482" s="138"/>
      <c r="D482" s="138"/>
      <c r="E482" s="138"/>
      <c r="F482" s="138"/>
      <c r="G482" s="119"/>
      <c r="H482" s="200"/>
      <c r="I482" s="200"/>
      <c r="J482" s="200"/>
      <c r="K482" s="200"/>
      <c r="L482" s="200"/>
      <c r="M482" s="200"/>
      <c r="N482" s="200"/>
      <c r="O482" s="200"/>
      <c r="P482" s="200"/>
      <c r="Q482" s="200"/>
      <c r="R482" s="200"/>
      <c r="S482" s="200"/>
      <c r="T482" s="200"/>
      <c r="U482" s="200"/>
      <c r="V482" s="200"/>
      <c r="W482" s="200"/>
      <c r="X482" s="200"/>
      <c r="Y482" s="200"/>
      <c r="Z482" s="200"/>
    </row>
    <row r="483" ht="22.5" customHeight="1">
      <c r="A483" s="145"/>
      <c r="B483" s="154"/>
      <c r="C483" s="138"/>
      <c r="D483" s="138"/>
      <c r="E483" s="138"/>
      <c r="F483" s="138"/>
      <c r="G483" s="119"/>
      <c r="H483" s="200"/>
      <c r="I483" s="200"/>
      <c r="J483" s="200"/>
      <c r="K483" s="200"/>
      <c r="L483" s="200"/>
      <c r="M483" s="200"/>
      <c r="N483" s="200"/>
      <c r="O483" s="200"/>
      <c r="P483" s="200"/>
      <c r="Q483" s="200"/>
      <c r="R483" s="200"/>
      <c r="S483" s="200"/>
      <c r="T483" s="200"/>
      <c r="U483" s="200"/>
      <c r="V483" s="200"/>
      <c r="W483" s="200"/>
      <c r="X483" s="200"/>
      <c r="Y483" s="200"/>
      <c r="Z483" s="200"/>
    </row>
    <row r="484" ht="22.5" customHeight="1">
      <c r="A484" s="145"/>
      <c r="B484" s="154"/>
      <c r="C484" s="138"/>
      <c r="D484" s="138"/>
      <c r="E484" s="138"/>
      <c r="F484" s="138"/>
      <c r="G484" s="119"/>
      <c r="H484" s="200"/>
      <c r="I484" s="200"/>
      <c r="J484" s="200"/>
      <c r="K484" s="200"/>
      <c r="L484" s="200"/>
      <c r="M484" s="200"/>
      <c r="N484" s="200"/>
      <c r="O484" s="200"/>
      <c r="P484" s="200"/>
      <c r="Q484" s="200"/>
      <c r="R484" s="200"/>
      <c r="S484" s="200"/>
      <c r="T484" s="200"/>
      <c r="U484" s="200"/>
      <c r="V484" s="200"/>
      <c r="W484" s="200"/>
      <c r="X484" s="200"/>
      <c r="Y484" s="200"/>
      <c r="Z484" s="200"/>
    </row>
    <row r="485" ht="22.5" customHeight="1">
      <c r="A485" s="145"/>
      <c r="B485" s="154"/>
      <c r="C485" s="138"/>
      <c r="D485" s="138"/>
      <c r="E485" s="138"/>
      <c r="F485" s="138"/>
      <c r="G485" s="119"/>
      <c r="H485" s="200"/>
      <c r="I485" s="200"/>
      <c r="J485" s="200"/>
      <c r="K485" s="200"/>
      <c r="L485" s="200"/>
      <c r="M485" s="200"/>
      <c r="N485" s="200"/>
      <c r="O485" s="200"/>
      <c r="P485" s="200"/>
      <c r="Q485" s="200"/>
      <c r="R485" s="200"/>
      <c r="S485" s="200"/>
      <c r="T485" s="200"/>
      <c r="U485" s="200"/>
      <c r="V485" s="200"/>
      <c r="W485" s="200"/>
      <c r="X485" s="200"/>
      <c r="Y485" s="200"/>
      <c r="Z485" s="200"/>
    </row>
    <row r="486" ht="22.5" customHeight="1">
      <c r="A486" s="145"/>
      <c r="B486" s="154"/>
      <c r="C486" s="138"/>
      <c r="D486" s="138"/>
      <c r="E486" s="138"/>
      <c r="F486" s="138"/>
      <c r="G486" s="119"/>
      <c r="H486" s="200"/>
      <c r="I486" s="200"/>
      <c r="J486" s="200"/>
      <c r="K486" s="200"/>
      <c r="L486" s="200"/>
      <c r="M486" s="200"/>
      <c r="N486" s="200"/>
      <c r="O486" s="200"/>
      <c r="P486" s="200"/>
      <c r="Q486" s="200"/>
      <c r="R486" s="200"/>
      <c r="S486" s="200"/>
      <c r="T486" s="200"/>
      <c r="U486" s="200"/>
      <c r="V486" s="200"/>
      <c r="W486" s="200"/>
      <c r="X486" s="200"/>
      <c r="Y486" s="200"/>
      <c r="Z486" s="200"/>
    </row>
    <row r="487" ht="22.5" customHeight="1">
      <c r="A487" s="145"/>
      <c r="B487" s="154"/>
      <c r="C487" s="138"/>
      <c r="D487" s="138"/>
      <c r="E487" s="138"/>
      <c r="F487" s="138"/>
      <c r="G487" s="119"/>
      <c r="H487" s="200"/>
      <c r="I487" s="200"/>
      <c r="J487" s="200"/>
      <c r="K487" s="200"/>
      <c r="L487" s="200"/>
      <c r="M487" s="200"/>
      <c r="N487" s="200"/>
      <c r="O487" s="200"/>
      <c r="P487" s="200"/>
      <c r="Q487" s="200"/>
      <c r="R487" s="200"/>
      <c r="S487" s="200"/>
      <c r="T487" s="200"/>
      <c r="U487" s="200"/>
      <c r="V487" s="200"/>
      <c r="W487" s="200"/>
      <c r="X487" s="200"/>
      <c r="Y487" s="200"/>
      <c r="Z487" s="200"/>
    </row>
    <row r="488" ht="22.5" customHeight="1">
      <c r="A488" s="145"/>
      <c r="B488" s="154"/>
      <c r="C488" s="138"/>
      <c r="D488" s="138"/>
      <c r="E488" s="138"/>
      <c r="F488" s="138"/>
      <c r="G488" s="119"/>
      <c r="H488" s="200"/>
      <c r="I488" s="200"/>
      <c r="J488" s="200"/>
      <c r="K488" s="200"/>
      <c r="L488" s="200"/>
      <c r="M488" s="200"/>
      <c r="N488" s="200"/>
      <c r="O488" s="200"/>
      <c r="P488" s="200"/>
      <c r="Q488" s="200"/>
      <c r="R488" s="200"/>
      <c r="S488" s="200"/>
      <c r="T488" s="200"/>
      <c r="U488" s="200"/>
      <c r="V488" s="200"/>
      <c r="W488" s="200"/>
      <c r="X488" s="200"/>
      <c r="Y488" s="200"/>
      <c r="Z488" s="200"/>
    </row>
    <row r="489" ht="22.5" customHeight="1">
      <c r="A489" s="145"/>
      <c r="B489" s="154"/>
      <c r="C489" s="138"/>
      <c r="D489" s="138"/>
      <c r="E489" s="138"/>
      <c r="F489" s="138"/>
      <c r="G489" s="119"/>
      <c r="H489" s="200"/>
      <c r="I489" s="200"/>
      <c r="J489" s="200"/>
      <c r="K489" s="200"/>
      <c r="L489" s="200"/>
      <c r="M489" s="200"/>
      <c r="N489" s="200"/>
      <c r="O489" s="200"/>
      <c r="P489" s="200"/>
      <c r="Q489" s="200"/>
      <c r="R489" s="200"/>
      <c r="S489" s="200"/>
      <c r="T489" s="200"/>
      <c r="U489" s="200"/>
      <c r="V489" s="200"/>
      <c r="W489" s="200"/>
      <c r="X489" s="200"/>
      <c r="Y489" s="200"/>
      <c r="Z489" s="200"/>
    </row>
    <row r="490" ht="22.5" customHeight="1">
      <c r="A490" s="145"/>
      <c r="B490" s="154"/>
      <c r="C490" s="138"/>
      <c r="D490" s="138"/>
      <c r="E490" s="138"/>
      <c r="F490" s="138"/>
      <c r="G490" s="119"/>
      <c r="H490" s="200"/>
      <c r="I490" s="200"/>
      <c r="J490" s="200"/>
      <c r="K490" s="200"/>
      <c r="L490" s="200"/>
      <c r="M490" s="200"/>
      <c r="N490" s="200"/>
      <c r="O490" s="200"/>
      <c r="P490" s="200"/>
      <c r="Q490" s="200"/>
      <c r="R490" s="200"/>
      <c r="S490" s="200"/>
      <c r="T490" s="200"/>
      <c r="U490" s="200"/>
      <c r="V490" s="200"/>
      <c r="W490" s="200"/>
      <c r="X490" s="200"/>
      <c r="Y490" s="200"/>
      <c r="Z490" s="200"/>
    </row>
    <row r="491" ht="22.5" customHeight="1">
      <c r="A491" s="145"/>
      <c r="B491" s="154"/>
      <c r="C491" s="138"/>
      <c r="D491" s="138"/>
      <c r="E491" s="138"/>
      <c r="F491" s="138"/>
      <c r="G491" s="119"/>
      <c r="H491" s="200"/>
      <c r="I491" s="200"/>
      <c r="J491" s="200"/>
      <c r="K491" s="200"/>
      <c r="L491" s="200"/>
      <c r="M491" s="200"/>
      <c r="N491" s="200"/>
      <c r="O491" s="200"/>
      <c r="P491" s="200"/>
      <c r="Q491" s="200"/>
      <c r="R491" s="200"/>
      <c r="S491" s="200"/>
      <c r="T491" s="200"/>
      <c r="U491" s="200"/>
      <c r="V491" s="200"/>
      <c r="W491" s="200"/>
      <c r="X491" s="200"/>
      <c r="Y491" s="200"/>
      <c r="Z491" s="200"/>
    </row>
    <row r="492" ht="22.5" customHeight="1">
      <c r="A492" s="145"/>
      <c r="B492" s="154"/>
      <c r="C492" s="138"/>
      <c r="D492" s="138"/>
      <c r="E492" s="138"/>
      <c r="F492" s="138"/>
      <c r="G492" s="119"/>
      <c r="H492" s="200"/>
      <c r="I492" s="200"/>
      <c r="J492" s="200"/>
      <c r="K492" s="200"/>
      <c r="L492" s="200"/>
      <c r="M492" s="200"/>
      <c r="N492" s="200"/>
      <c r="O492" s="200"/>
      <c r="P492" s="200"/>
      <c r="Q492" s="200"/>
      <c r="R492" s="200"/>
      <c r="S492" s="200"/>
      <c r="T492" s="200"/>
      <c r="U492" s="200"/>
      <c r="V492" s="200"/>
      <c r="W492" s="200"/>
      <c r="X492" s="200"/>
      <c r="Y492" s="200"/>
      <c r="Z492" s="200"/>
    </row>
    <row r="493" ht="22.5" customHeight="1">
      <c r="A493" s="145"/>
      <c r="B493" s="154"/>
      <c r="C493" s="138"/>
      <c r="D493" s="138"/>
      <c r="E493" s="138"/>
      <c r="F493" s="138"/>
      <c r="G493" s="119"/>
      <c r="H493" s="200"/>
      <c r="I493" s="200"/>
      <c r="J493" s="200"/>
      <c r="K493" s="200"/>
      <c r="L493" s="200"/>
      <c r="M493" s="200"/>
      <c r="N493" s="200"/>
      <c r="O493" s="200"/>
      <c r="P493" s="200"/>
      <c r="Q493" s="200"/>
      <c r="R493" s="200"/>
      <c r="S493" s="200"/>
      <c r="T493" s="200"/>
      <c r="U493" s="200"/>
      <c r="V493" s="200"/>
      <c r="W493" s="200"/>
      <c r="X493" s="200"/>
      <c r="Y493" s="200"/>
      <c r="Z493" s="200"/>
    </row>
    <row r="494" ht="22.5" customHeight="1">
      <c r="A494" s="145"/>
      <c r="B494" s="154"/>
      <c r="C494" s="138"/>
      <c r="D494" s="138"/>
      <c r="E494" s="138"/>
      <c r="F494" s="138"/>
      <c r="G494" s="119"/>
      <c r="H494" s="200"/>
      <c r="I494" s="200"/>
      <c r="J494" s="200"/>
      <c r="K494" s="200"/>
      <c r="L494" s="200"/>
      <c r="M494" s="200"/>
      <c r="N494" s="200"/>
      <c r="O494" s="200"/>
      <c r="P494" s="200"/>
      <c r="Q494" s="200"/>
      <c r="R494" s="200"/>
      <c r="S494" s="200"/>
      <c r="T494" s="200"/>
      <c r="U494" s="200"/>
      <c r="V494" s="200"/>
      <c r="W494" s="200"/>
      <c r="X494" s="200"/>
      <c r="Y494" s="200"/>
      <c r="Z494" s="200"/>
    </row>
    <row r="495" ht="22.5" customHeight="1">
      <c r="A495" s="145"/>
      <c r="B495" s="154"/>
      <c r="C495" s="138"/>
      <c r="D495" s="138"/>
      <c r="E495" s="138"/>
      <c r="F495" s="138"/>
      <c r="G495" s="119"/>
      <c r="H495" s="200"/>
      <c r="I495" s="200"/>
      <c r="J495" s="200"/>
      <c r="K495" s="200"/>
      <c r="L495" s="200"/>
      <c r="M495" s="200"/>
      <c r="N495" s="200"/>
      <c r="O495" s="200"/>
      <c r="P495" s="200"/>
      <c r="Q495" s="200"/>
      <c r="R495" s="200"/>
      <c r="S495" s="200"/>
      <c r="T495" s="200"/>
      <c r="U495" s="200"/>
      <c r="V495" s="200"/>
      <c r="W495" s="200"/>
      <c r="X495" s="200"/>
      <c r="Y495" s="200"/>
      <c r="Z495" s="200"/>
    </row>
    <row r="496" ht="22.5" customHeight="1">
      <c r="A496" s="145"/>
      <c r="B496" s="154"/>
      <c r="C496" s="138"/>
      <c r="D496" s="138"/>
      <c r="E496" s="138"/>
      <c r="F496" s="138"/>
      <c r="G496" s="119"/>
      <c r="H496" s="200"/>
      <c r="I496" s="200"/>
      <c r="J496" s="200"/>
      <c r="K496" s="200"/>
      <c r="L496" s="200"/>
      <c r="M496" s="200"/>
      <c r="N496" s="200"/>
      <c r="O496" s="200"/>
      <c r="P496" s="200"/>
      <c r="Q496" s="200"/>
      <c r="R496" s="200"/>
      <c r="S496" s="200"/>
      <c r="T496" s="200"/>
      <c r="U496" s="200"/>
      <c r="V496" s="200"/>
      <c r="W496" s="200"/>
      <c r="X496" s="200"/>
      <c r="Y496" s="200"/>
      <c r="Z496" s="200"/>
    </row>
    <row r="497" ht="22.5" customHeight="1">
      <c r="A497" s="145"/>
      <c r="B497" s="154"/>
      <c r="C497" s="138"/>
      <c r="D497" s="138"/>
      <c r="E497" s="138"/>
      <c r="F497" s="138"/>
      <c r="G497" s="119"/>
      <c r="H497" s="200"/>
      <c r="I497" s="200"/>
      <c r="J497" s="200"/>
      <c r="K497" s="200"/>
      <c r="L497" s="200"/>
      <c r="M497" s="200"/>
      <c r="N497" s="200"/>
      <c r="O497" s="200"/>
      <c r="P497" s="200"/>
      <c r="Q497" s="200"/>
      <c r="R497" s="200"/>
      <c r="S497" s="200"/>
      <c r="T497" s="200"/>
      <c r="U497" s="200"/>
      <c r="V497" s="200"/>
      <c r="W497" s="200"/>
      <c r="X497" s="200"/>
      <c r="Y497" s="200"/>
      <c r="Z497" s="200"/>
    </row>
    <row r="498" ht="22.5" customHeight="1">
      <c r="A498" s="145"/>
      <c r="B498" s="154"/>
      <c r="C498" s="138"/>
      <c r="D498" s="138"/>
      <c r="E498" s="138"/>
      <c r="F498" s="138"/>
      <c r="G498" s="119"/>
      <c r="H498" s="200"/>
      <c r="I498" s="200"/>
      <c r="J498" s="200"/>
      <c r="K498" s="200"/>
      <c r="L498" s="200"/>
      <c r="M498" s="200"/>
      <c r="N498" s="200"/>
      <c r="O498" s="200"/>
      <c r="P498" s="200"/>
      <c r="Q498" s="200"/>
      <c r="R498" s="200"/>
      <c r="S498" s="200"/>
      <c r="T498" s="200"/>
      <c r="U498" s="200"/>
      <c r="V498" s="200"/>
      <c r="W498" s="200"/>
      <c r="X498" s="200"/>
      <c r="Y498" s="200"/>
      <c r="Z498" s="200"/>
    </row>
    <row r="499" ht="22.5" customHeight="1">
      <c r="A499" s="145"/>
      <c r="B499" s="154"/>
      <c r="C499" s="138"/>
      <c r="D499" s="138"/>
      <c r="E499" s="138"/>
      <c r="F499" s="138"/>
      <c r="G499" s="119"/>
      <c r="H499" s="200"/>
      <c r="I499" s="200"/>
      <c r="J499" s="200"/>
      <c r="K499" s="200"/>
      <c r="L499" s="200"/>
      <c r="M499" s="200"/>
      <c r="N499" s="200"/>
      <c r="O499" s="200"/>
      <c r="P499" s="200"/>
      <c r="Q499" s="200"/>
      <c r="R499" s="200"/>
      <c r="S499" s="200"/>
      <c r="T499" s="200"/>
      <c r="U499" s="200"/>
      <c r="V499" s="200"/>
      <c r="W499" s="200"/>
      <c r="X499" s="200"/>
      <c r="Y499" s="200"/>
      <c r="Z499" s="200"/>
    </row>
    <row r="500" ht="22.5" customHeight="1">
      <c r="A500" s="145"/>
      <c r="B500" s="154"/>
      <c r="C500" s="138"/>
      <c r="D500" s="138"/>
      <c r="E500" s="138"/>
      <c r="F500" s="138"/>
      <c r="G500" s="119"/>
      <c r="H500" s="200"/>
      <c r="I500" s="200"/>
      <c r="J500" s="200"/>
      <c r="K500" s="200"/>
      <c r="L500" s="200"/>
      <c r="M500" s="200"/>
      <c r="N500" s="200"/>
      <c r="O500" s="200"/>
      <c r="P500" s="200"/>
      <c r="Q500" s="200"/>
      <c r="R500" s="200"/>
      <c r="S500" s="200"/>
      <c r="T500" s="200"/>
      <c r="U500" s="200"/>
      <c r="V500" s="200"/>
      <c r="W500" s="200"/>
      <c r="X500" s="200"/>
      <c r="Y500" s="200"/>
      <c r="Z500" s="200"/>
    </row>
    <row r="501" ht="22.5" customHeight="1">
      <c r="A501" s="145"/>
      <c r="B501" s="154"/>
      <c r="C501" s="138"/>
      <c r="D501" s="138"/>
      <c r="E501" s="138"/>
      <c r="F501" s="138"/>
      <c r="G501" s="119"/>
      <c r="H501" s="200"/>
      <c r="I501" s="200"/>
      <c r="J501" s="200"/>
      <c r="K501" s="200"/>
      <c r="L501" s="200"/>
      <c r="M501" s="200"/>
      <c r="N501" s="200"/>
      <c r="O501" s="200"/>
      <c r="P501" s="200"/>
      <c r="Q501" s="200"/>
      <c r="R501" s="200"/>
      <c r="S501" s="200"/>
      <c r="T501" s="200"/>
      <c r="U501" s="200"/>
      <c r="V501" s="200"/>
      <c r="W501" s="200"/>
      <c r="X501" s="200"/>
      <c r="Y501" s="200"/>
      <c r="Z501" s="200"/>
    </row>
    <row r="502" ht="22.5" customHeight="1">
      <c r="A502" s="145"/>
      <c r="B502" s="154"/>
      <c r="C502" s="138"/>
      <c r="D502" s="138"/>
      <c r="E502" s="138"/>
      <c r="F502" s="138"/>
      <c r="G502" s="119"/>
      <c r="H502" s="200"/>
      <c r="I502" s="200"/>
      <c r="J502" s="200"/>
      <c r="K502" s="200"/>
      <c r="L502" s="200"/>
      <c r="M502" s="200"/>
      <c r="N502" s="200"/>
      <c r="O502" s="200"/>
      <c r="P502" s="200"/>
      <c r="Q502" s="200"/>
      <c r="R502" s="200"/>
      <c r="S502" s="200"/>
      <c r="T502" s="200"/>
      <c r="U502" s="200"/>
      <c r="V502" s="200"/>
      <c r="W502" s="200"/>
      <c r="X502" s="200"/>
      <c r="Y502" s="200"/>
      <c r="Z502" s="200"/>
    </row>
    <row r="503" ht="22.5" customHeight="1">
      <c r="A503" s="145"/>
      <c r="B503" s="154"/>
      <c r="C503" s="138"/>
      <c r="D503" s="138"/>
      <c r="E503" s="138"/>
      <c r="F503" s="138"/>
      <c r="G503" s="119"/>
      <c r="H503" s="200"/>
      <c r="I503" s="200"/>
      <c r="J503" s="200"/>
      <c r="K503" s="200"/>
      <c r="L503" s="200"/>
      <c r="M503" s="200"/>
      <c r="N503" s="200"/>
      <c r="O503" s="200"/>
      <c r="P503" s="200"/>
      <c r="Q503" s="200"/>
      <c r="R503" s="200"/>
      <c r="S503" s="200"/>
      <c r="T503" s="200"/>
      <c r="U503" s="200"/>
      <c r="V503" s="200"/>
      <c r="W503" s="200"/>
      <c r="X503" s="200"/>
      <c r="Y503" s="200"/>
      <c r="Z503" s="200"/>
    </row>
    <row r="504" ht="22.5" customHeight="1">
      <c r="A504" s="145"/>
      <c r="B504" s="154"/>
      <c r="C504" s="138"/>
      <c r="D504" s="138"/>
      <c r="E504" s="138"/>
      <c r="F504" s="138"/>
      <c r="G504" s="119"/>
      <c r="H504" s="200"/>
      <c r="I504" s="200"/>
      <c r="J504" s="200"/>
      <c r="K504" s="200"/>
      <c r="L504" s="200"/>
      <c r="M504" s="200"/>
      <c r="N504" s="200"/>
      <c r="O504" s="200"/>
      <c r="P504" s="200"/>
      <c r="Q504" s="200"/>
      <c r="R504" s="200"/>
      <c r="S504" s="200"/>
      <c r="T504" s="200"/>
      <c r="U504" s="200"/>
      <c r="V504" s="200"/>
      <c r="W504" s="200"/>
      <c r="X504" s="200"/>
      <c r="Y504" s="200"/>
      <c r="Z504" s="200"/>
    </row>
    <row r="505" ht="22.5" customHeight="1">
      <c r="A505" s="145"/>
      <c r="B505" s="154"/>
      <c r="C505" s="138"/>
      <c r="D505" s="138"/>
      <c r="E505" s="138"/>
      <c r="F505" s="138"/>
      <c r="G505" s="119"/>
      <c r="H505" s="200"/>
      <c r="I505" s="200"/>
      <c r="J505" s="200"/>
      <c r="K505" s="200"/>
      <c r="L505" s="200"/>
      <c r="M505" s="200"/>
      <c r="N505" s="200"/>
      <c r="O505" s="200"/>
      <c r="P505" s="200"/>
      <c r="Q505" s="200"/>
      <c r="R505" s="200"/>
      <c r="S505" s="200"/>
      <c r="T505" s="200"/>
      <c r="U505" s="200"/>
      <c r="V505" s="200"/>
      <c r="W505" s="200"/>
      <c r="X505" s="200"/>
      <c r="Y505" s="200"/>
      <c r="Z505" s="200"/>
    </row>
    <row r="506" ht="22.5" customHeight="1">
      <c r="A506" s="145"/>
      <c r="B506" s="154"/>
      <c r="C506" s="138"/>
      <c r="D506" s="138"/>
      <c r="E506" s="138"/>
      <c r="F506" s="138"/>
      <c r="G506" s="119"/>
      <c r="H506" s="200"/>
      <c r="I506" s="200"/>
      <c r="J506" s="200"/>
      <c r="K506" s="200"/>
      <c r="L506" s="200"/>
      <c r="M506" s="200"/>
      <c r="N506" s="200"/>
      <c r="O506" s="200"/>
      <c r="P506" s="200"/>
      <c r="Q506" s="200"/>
      <c r="R506" s="200"/>
      <c r="S506" s="200"/>
      <c r="T506" s="200"/>
      <c r="U506" s="200"/>
      <c r="V506" s="200"/>
      <c r="W506" s="200"/>
      <c r="X506" s="200"/>
      <c r="Y506" s="200"/>
      <c r="Z506" s="200"/>
    </row>
    <row r="507" ht="22.5" customHeight="1">
      <c r="A507" s="145"/>
      <c r="B507" s="154"/>
      <c r="C507" s="138"/>
      <c r="D507" s="138"/>
      <c r="E507" s="138"/>
      <c r="F507" s="138"/>
      <c r="G507" s="119"/>
      <c r="H507" s="200"/>
      <c r="I507" s="200"/>
      <c r="J507" s="200"/>
      <c r="K507" s="200"/>
      <c r="L507" s="200"/>
      <c r="M507" s="200"/>
      <c r="N507" s="200"/>
      <c r="O507" s="200"/>
      <c r="P507" s="200"/>
      <c r="Q507" s="200"/>
      <c r="R507" s="200"/>
      <c r="S507" s="200"/>
      <c r="T507" s="200"/>
      <c r="U507" s="200"/>
      <c r="V507" s="200"/>
      <c r="W507" s="200"/>
      <c r="X507" s="200"/>
      <c r="Y507" s="200"/>
      <c r="Z507" s="200"/>
    </row>
    <row r="508" ht="22.5" customHeight="1">
      <c r="A508" s="145"/>
      <c r="B508" s="154"/>
      <c r="C508" s="138"/>
      <c r="D508" s="138"/>
      <c r="E508" s="138"/>
      <c r="F508" s="138"/>
      <c r="G508" s="119"/>
      <c r="H508" s="200"/>
      <c r="I508" s="200"/>
      <c r="J508" s="200"/>
      <c r="K508" s="200"/>
      <c r="L508" s="200"/>
      <c r="M508" s="200"/>
      <c r="N508" s="200"/>
      <c r="O508" s="200"/>
      <c r="P508" s="200"/>
      <c r="Q508" s="200"/>
      <c r="R508" s="200"/>
      <c r="S508" s="200"/>
      <c r="T508" s="200"/>
      <c r="U508" s="200"/>
      <c r="V508" s="200"/>
      <c r="W508" s="200"/>
      <c r="X508" s="200"/>
      <c r="Y508" s="200"/>
      <c r="Z508" s="200"/>
    </row>
    <row r="509" ht="22.5" customHeight="1">
      <c r="A509" s="145"/>
      <c r="B509" s="154"/>
      <c r="C509" s="138"/>
      <c r="D509" s="138"/>
      <c r="E509" s="138"/>
      <c r="F509" s="138"/>
      <c r="G509" s="119"/>
      <c r="H509" s="200"/>
      <c r="I509" s="200"/>
      <c r="J509" s="200"/>
      <c r="K509" s="200"/>
      <c r="L509" s="200"/>
      <c r="M509" s="200"/>
      <c r="N509" s="200"/>
      <c r="O509" s="200"/>
      <c r="P509" s="200"/>
      <c r="Q509" s="200"/>
      <c r="R509" s="200"/>
      <c r="S509" s="200"/>
      <c r="T509" s="200"/>
      <c r="U509" s="200"/>
      <c r="V509" s="200"/>
      <c r="W509" s="200"/>
      <c r="X509" s="200"/>
      <c r="Y509" s="200"/>
      <c r="Z509" s="200"/>
    </row>
    <row r="510" ht="22.5" customHeight="1">
      <c r="A510" s="145"/>
      <c r="B510" s="154"/>
      <c r="C510" s="138"/>
      <c r="D510" s="138"/>
      <c r="E510" s="138"/>
      <c r="F510" s="138"/>
      <c r="G510" s="119"/>
      <c r="H510" s="200"/>
      <c r="I510" s="200"/>
      <c r="J510" s="200"/>
      <c r="K510" s="200"/>
      <c r="L510" s="200"/>
      <c r="M510" s="200"/>
      <c r="N510" s="200"/>
      <c r="O510" s="200"/>
      <c r="P510" s="200"/>
      <c r="Q510" s="200"/>
      <c r="R510" s="200"/>
      <c r="S510" s="200"/>
      <c r="T510" s="200"/>
      <c r="U510" s="200"/>
      <c r="V510" s="200"/>
      <c r="W510" s="200"/>
      <c r="X510" s="200"/>
      <c r="Y510" s="200"/>
      <c r="Z510" s="200"/>
    </row>
    <row r="511" ht="22.5" customHeight="1">
      <c r="A511" s="145"/>
      <c r="B511" s="154"/>
      <c r="C511" s="138"/>
      <c r="D511" s="138"/>
      <c r="E511" s="138"/>
      <c r="F511" s="138"/>
      <c r="G511" s="119"/>
      <c r="H511" s="200"/>
      <c r="I511" s="200"/>
      <c r="J511" s="200"/>
      <c r="K511" s="200"/>
      <c r="L511" s="200"/>
      <c r="M511" s="200"/>
      <c r="N511" s="200"/>
      <c r="O511" s="200"/>
      <c r="P511" s="200"/>
      <c r="Q511" s="200"/>
      <c r="R511" s="200"/>
      <c r="S511" s="200"/>
      <c r="T511" s="200"/>
      <c r="U511" s="200"/>
      <c r="V511" s="200"/>
      <c r="W511" s="200"/>
      <c r="X511" s="200"/>
      <c r="Y511" s="200"/>
      <c r="Z511" s="200"/>
    </row>
    <row r="512" ht="22.5" customHeight="1">
      <c r="A512" s="145"/>
      <c r="B512" s="154"/>
      <c r="C512" s="138"/>
      <c r="D512" s="138"/>
      <c r="E512" s="138"/>
      <c r="F512" s="138"/>
      <c r="G512" s="119"/>
      <c r="H512" s="200"/>
      <c r="I512" s="200"/>
      <c r="J512" s="200"/>
      <c r="K512" s="200"/>
      <c r="L512" s="200"/>
      <c r="M512" s="200"/>
      <c r="N512" s="200"/>
      <c r="O512" s="200"/>
      <c r="P512" s="200"/>
      <c r="Q512" s="200"/>
      <c r="R512" s="200"/>
      <c r="S512" s="200"/>
      <c r="T512" s="200"/>
      <c r="U512" s="200"/>
      <c r="V512" s="200"/>
      <c r="W512" s="200"/>
      <c r="X512" s="200"/>
      <c r="Y512" s="200"/>
      <c r="Z512" s="200"/>
    </row>
    <row r="513" ht="22.5" customHeight="1">
      <c r="A513" s="145"/>
      <c r="B513" s="154"/>
      <c r="C513" s="138"/>
      <c r="D513" s="138"/>
      <c r="E513" s="138"/>
      <c r="F513" s="138"/>
      <c r="G513" s="119"/>
      <c r="H513" s="200"/>
      <c r="I513" s="200"/>
      <c r="J513" s="200"/>
      <c r="K513" s="200"/>
      <c r="L513" s="200"/>
      <c r="M513" s="200"/>
      <c r="N513" s="200"/>
      <c r="O513" s="200"/>
      <c r="P513" s="200"/>
      <c r="Q513" s="200"/>
      <c r="R513" s="200"/>
      <c r="S513" s="200"/>
      <c r="T513" s="200"/>
      <c r="U513" s="200"/>
      <c r="V513" s="200"/>
      <c r="W513" s="200"/>
      <c r="X513" s="200"/>
      <c r="Y513" s="200"/>
      <c r="Z513" s="200"/>
    </row>
    <row r="514" ht="22.5" customHeight="1">
      <c r="A514" s="145"/>
      <c r="B514" s="154"/>
      <c r="C514" s="138"/>
      <c r="D514" s="138"/>
      <c r="E514" s="138"/>
      <c r="F514" s="138"/>
      <c r="G514" s="119"/>
      <c r="H514" s="200"/>
      <c r="I514" s="200"/>
      <c r="J514" s="200"/>
      <c r="K514" s="200"/>
      <c r="L514" s="200"/>
      <c r="M514" s="200"/>
      <c r="N514" s="200"/>
      <c r="O514" s="200"/>
      <c r="P514" s="200"/>
      <c r="Q514" s="200"/>
      <c r="R514" s="200"/>
      <c r="S514" s="200"/>
      <c r="T514" s="200"/>
      <c r="U514" s="200"/>
      <c r="V514" s="200"/>
      <c r="W514" s="200"/>
      <c r="X514" s="200"/>
      <c r="Y514" s="200"/>
      <c r="Z514" s="200"/>
    </row>
    <row r="515" ht="22.5" customHeight="1">
      <c r="A515" s="145"/>
      <c r="B515" s="154"/>
      <c r="C515" s="138"/>
      <c r="D515" s="138"/>
      <c r="E515" s="138"/>
      <c r="F515" s="138"/>
      <c r="G515" s="119"/>
      <c r="H515" s="200"/>
      <c r="I515" s="200"/>
      <c r="J515" s="200"/>
      <c r="K515" s="200"/>
      <c r="L515" s="200"/>
      <c r="M515" s="200"/>
      <c r="N515" s="200"/>
      <c r="O515" s="200"/>
      <c r="P515" s="200"/>
      <c r="Q515" s="200"/>
      <c r="R515" s="200"/>
      <c r="S515" s="200"/>
      <c r="T515" s="200"/>
      <c r="U515" s="200"/>
      <c r="V515" s="200"/>
      <c r="W515" s="200"/>
      <c r="X515" s="200"/>
      <c r="Y515" s="200"/>
      <c r="Z515" s="200"/>
    </row>
    <row r="516" ht="22.5" customHeight="1">
      <c r="A516" s="145"/>
      <c r="B516" s="154"/>
      <c r="C516" s="138"/>
      <c r="D516" s="138"/>
      <c r="E516" s="138"/>
      <c r="F516" s="138"/>
      <c r="G516" s="119"/>
      <c r="H516" s="200"/>
      <c r="I516" s="200"/>
      <c r="J516" s="200"/>
      <c r="K516" s="200"/>
      <c r="L516" s="200"/>
      <c r="M516" s="200"/>
      <c r="N516" s="200"/>
      <c r="O516" s="200"/>
      <c r="P516" s="200"/>
      <c r="Q516" s="200"/>
      <c r="R516" s="200"/>
      <c r="S516" s="200"/>
      <c r="T516" s="200"/>
      <c r="U516" s="200"/>
      <c r="V516" s="200"/>
      <c r="W516" s="200"/>
      <c r="X516" s="200"/>
      <c r="Y516" s="200"/>
      <c r="Z516" s="200"/>
    </row>
    <row r="517" ht="22.5" customHeight="1">
      <c r="A517" s="145"/>
      <c r="B517" s="154"/>
      <c r="C517" s="138"/>
      <c r="D517" s="138"/>
      <c r="E517" s="138"/>
      <c r="F517" s="138"/>
      <c r="G517" s="119"/>
      <c r="H517" s="200"/>
      <c r="I517" s="200"/>
      <c r="J517" s="200"/>
      <c r="K517" s="200"/>
      <c r="L517" s="200"/>
      <c r="M517" s="200"/>
      <c r="N517" s="200"/>
      <c r="O517" s="200"/>
      <c r="P517" s="200"/>
      <c r="Q517" s="200"/>
      <c r="R517" s="200"/>
      <c r="S517" s="200"/>
      <c r="T517" s="200"/>
      <c r="U517" s="200"/>
      <c r="V517" s="200"/>
      <c r="W517" s="200"/>
      <c r="X517" s="200"/>
      <c r="Y517" s="200"/>
      <c r="Z517" s="200"/>
    </row>
    <row r="518" ht="22.5" customHeight="1">
      <c r="A518" s="145"/>
      <c r="B518" s="154"/>
      <c r="C518" s="138"/>
      <c r="D518" s="138"/>
      <c r="E518" s="138"/>
      <c r="F518" s="138"/>
      <c r="G518" s="119"/>
      <c r="H518" s="200"/>
      <c r="I518" s="200"/>
      <c r="J518" s="200"/>
      <c r="K518" s="200"/>
      <c r="L518" s="200"/>
      <c r="M518" s="200"/>
      <c r="N518" s="200"/>
      <c r="O518" s="200"/>
      <c r="P518" s="200"/>
      <c r="Q518" s="200"/>
      <c r="R518" s="200"/>
      <c r="S518" s="200"/>
      <c r="T518" s="200"/>
      <c r="U518" s="200"/>
      <c r="V518" s="200"/>
      <c r="W518" s="200"/>
      <c r="X518" s="200"/>
      <c r="Y518" s="200"/>
      <c r="Z518" s="200"/>
    </row>
    <row r="519" ht="22.5" customHeight="1">
      <c r="A519" s="145"/>
      <c r="B519" s="154"/>
      <c r="C519" s="138"/>
      <c r="D519" s="138"/>
      <c r="E519" s="138"/>
      <c r="F519" s="138"/>
      <c r="G519" s="119"/>
      <c r="H519" s="200"/>
      <c r="I519" s="200"/>
      <c r="J519" s="200"/>
      <c r="K519" s="200"/>
      <c r="L519" s="200"/>
      <c r="M519" s="200"/>
      <c r="N519" s="200"/>
      <c r="O519" s="200"/>
      <c r="P519" s="200"/>
      <c r="Q519" s="200"/>
      <c r="R519" s="200"/>
      <c r="S519" s="200"/>
      <c r="T519" s="200"/>
      <c r="U519" s="200"/>
      <c r="V519" s="200"/>
      <c r="W519" s="200"/>
      <c r="X519" s="200"/>
      <c r="Y519" s="200"/>
      <c r="Z519" s="200"/>
    </row>
    <row r="520" ht="22.5" customHeight="1">
      <c r="A520" s="145"/>
      <c r="B520" s="154"/>
      <c r="C520" s="138"/>
      <c r="D520" s="138"/>
      <c r="E520" s="138"/>
      <c r="F520" s="138"/>
      <c r="G520" s="119"/>
      <c r="H520" s="200"/>
      <c r="I520" s="200"/>
      <c r="J520" s="200"/>
      <c r="K520" s="200"/>
      <c r="L520" s="200"/>
      <c r="M520" s="200"/>
      <c r="N520" s="200"/>
      <c r="O520" s="200"/>
      <c r="P520" s="200"/>
      <c r="Q520" s="200"/>
      <c r="R520" s="200"/>
      <c r="S520" s="200"/>
      <c r="T520" s="200"/>
      <c r="U520" s="200"/>
      <c r="V520" s="200"/>
      <c r="W520" s="200"/>
      <c r="X520" s="200"/>
      <c r="Y520" s="200"/>
      <c r="Z520" s="200"/>
    </row>
    <row r="521" ht="22.5" customHeight="1">
      <c r="A521" s="145"/>
      <c r="B521" s="154"/>
      <c r="C521" s="138"/>
      <c r="D521" s="138"/>
      <c r="E521" s="138"/>
      <c r="F521" s="138"/>
      <c r="G521" s="119"/>
      <c r="H521" s="200"/>
      <c r="I521" s="200"/>
      <c r="J521" s="200"/>
      <c r="K521" s="200"/>
      <c r="L521" s="200"/>
      <c r="M521" s="200"/>
      <c r="N521" s="200"/>
      <c r="O521" s="200"/>
      <c r="P521" s="200"/>
      <c r="Q521" s="200"/>
      <c r="R521" s="200"/>
      <c r="S521" s="200"/>
      <c r="T521" s="200"/>
      <c r="U521" s="200"/>
      <c r="V521" s="200"/>
      <c r="W521" s="200"/>
      <c r="X521" s="200"/>
      <c r="Y521" s="200"/>
      <c r="Z521" s="200"/>
    </row>
    <row r="522" ht="22.5" customHeight="1">
      <c r="A522" s="145"/>
      <c r="B522" s="154"/>
      <c r="C522" s="138"/>
      <c r="D522" s="138"/>
      <c r="E522" s="138"/>
      <c r="F522" s="138"/>
      <c r="G522" s="119"/>
      <c r="H522" s="200"/>
      <c r="I522" s="200"/>
      <c r="J522" s="200"/>
      <c r="K522" s="200"/>
      <c r="L522" s="200"/>
      <c r="M522" s="200"/>
      <c r="N522" s="200"/>
      <c r="O522" s="200"/>
      <c r="P522" s="200"/>
      <c r="Q522" s="200"/>
      <c r="R522" s="200"/>
      <c r="S522" s="200"/>
      <c r="T522" s="200"/>
      <c r="U522" s="200"/>
      <c r="V522" s="200"/>
      <c r="W522" s="200"/>
      <c r="X522" s="200"/>
      <c r="Y522" s="200"/>
      <c r="Z522" s="200"/>
    </row>
    <row r="523" ht="22.5" customHeight="1">
      <c r="A523" s="145"/>
      <c r="B523" s="154"/>
      <c r="C523" s="138"/>
      <c r="D523" s="138"/>
      <c r="E523" s="138"/>
      <c r="F523" s="138"/>
      <c r="G523" s="119"/>
      <c r="H523" s="200"/>
      <c r="I523" s="200"/>
      <c r="J523" s="200"/>
      <c r="K523" s="200"/>
      <c r="L523" s="200"/>
      <c r="M523" s="200"/>
      <c r="N523" s="200"/>
      <c r="O523" s="200"/>
      <c r="P523" s="200"/>
      <c r="Q523" s="200"/>
      <c r="R523" s="200"/>
      <c r="S523" s="200"/>
      <c r="T523" s="200"/>
      <c r="U523" s="200"/>
      <c r="V523" s="200"/>
      <c r="W523" s="200"/>
      <c r="X523" s="200"/>
      <c r="Y523" s="200"/>
      <c r="Z523" s="200"/>
    </row>
    <row r="524" ht="22.5" customHeight="1">
      <c r="A524" s="145"/>
      <c r="B524" s="154"/>
      <c r="C524" s="138"/>
      <c r="D524" s="138"/>
      <c r="E524" s="138"/>
      <c r="F524" s="138"/>
      <c r="G524" s="119"/>
      <c r="H524" s="200"/>
      <c r="I524" s="200"/>
      <c r="J524" s="200"/>
      <c r="K524" s="200"/>
      <c r="L524" s="200"/>
      <c r="M524" s="200"/>
      <c r="N524" s="200"/>
      <c r="O524" s="200"/>
      <c r="P524" s="200"/>
      <c r="Q524" s="200"/>
      <c r="R524" s="200"/>
      <c r="S524" s="200"/>
      <c r="T524" s="200"/>
      <c r="U524" s="200"/>
      <c r="V524" s="200"/>
      <c r="W524" s="200"/>
      <c r="X524" s="200"/>
      <c r="Y524" s="200"/>
      <c r="Z524" s="200"/>
    </row>
    <row r="525" ht="22.5" customHeight="1">
      <c r="A525" s="145"/>
      <c r="B525" s="154"/>
      <c r="C525" s="138"/>
      <c r="D525" s="138"/>
      <c r="E525" s="138"/>
      <c r="F525" s="138"/>
      <c r="G525" s="119"/>
      <c r="H525" s="200"/>
      <c r="I525" s="200"/>
      <c r="J525" s="200"/>
      <c r="K525" s="200"/>
      <c r="L525" s="200"/>
      <c r="M525" s="200"/>
      <c r="N525" s="200"/>
      <c r="O525" s="200"/>
      <c r="P525" s="200"/>
      <c r="Q525" s="200"/>
      <c r="R525" s="200"/>
      <c r="S525" s="200"/>
      <c r="T525" s="200"/>
      <c r="U525" s="200"/>
      <c r="V525" s="200"/>
      <c r="W525" s="200"/>
      <c r="X525" s="200"/>
      <c r="Y525" s="200"/>
      <c r="Z525" s="200"/>
    </row>
    <row r="526" ht="22.5" customHeight="1">
      <c r="A526" s="145"/>
      <c r="B526" s="154"/>
      <c r="C526" s="138"/>
      <c r="D526" s="138"/>
      <c r="E526" s="138"/>
      <c r="F526" s="138"/>
      <c r="G526" s="119"/>
      <c r="H526" s="200"/>
      <c r="I526" s="200"/>
      <c r="J526" s="200"/>
      <c r="K526" s="200"/>
      <c r="L526" s="200"/>
      <c r="M526" s="200"/>
      <c r="N526" s="200"/>
      <c r="O526" s="200"/>
      <c r="P526" s="200"/>
      <c r="Q526" s="200"/>
      <c r="R526" s="200"/>
      <c r="S526" s="200"/>
      <c r="T526" s="200"/>
      <c r="U526" s="200"/>
      <c r="V526" s="200"/>
      <c r="W526" s="200"/>
      <c r="X526" s="200"/>
      <c r="Y526" s="200"/>
      <c r="Z526" s="200"/>
    </row>
    <row r="527" ht="22.5" customHeight="1">
      <c r="A527" s="145"/>
      <c r="B527" s="154"/>
      <c r="C527" s="138"/>
      <c r="D527" s="138"/>
      <c r="E527" s="138"/>
      <c r="F527" s="138"/>
      <c r="G527" s="119"/>
      <c r="H527" s="200"/>
      <c r="I527" s="200"/>
      <c r="J527" s="200"/>
      <c r="K527" s="200"/>
      <c r="L527" s="200"/>
      <c r="M527" s="200"/>
      <c r="N527" s="200"/>
      <c r="O527" s="200"/>
      <c r="P527" s="200"/>
      <c r="Q527" s="200"/>
      <c r="R527" s="200"/>
      <c r="S527" s="200"/>
      <c r="T527" s="200"/>
      <c r="U527" s="200"/>
      <c r="V527" s="200"/>
      <c r="W527" s="200"/>
      <c r="X527" s="200"/>
      <c r="Y527" s="200"/>
      <c r="Z527" s="200"/>
    </row>
    <row r="528" ht="22.5" customHeight="1">
      <c r="A528" s="145"/>
      <c r="B528" s="154"/>
      <c r="C528" s="138"/>
      <c r="D528" s="138"/>
      <c r="E528" s="138"/>
      <c r="F528" s="138"/>
      <c r="G528" s="119"/>
      <c r="H528" s="200"/>
      <c r="I528" s="200"/>
      <c r="J528" s="200"/>
      <c r="K528" s="200"/>
      <c r="L528" s="200"/>
      <c r="M528" s="200"/>
      <c r="N528" s="200"/>
      <c r="O528" s="200"/>
      <c r="P528" s="200"/>
      <c r="Q528" s="200"/>
      <c r="R528" s="200"/>
      <c r="S528" s="200"/>
      <c r="T528" s="200"/>
      <c r="U528" s="200"/>
      <c r="V528" s="200"/>
      <c r="W528" s="200"/>
      <c r="X528" s="200"/>
      <c r="Y528" s="200"/>
      <c r="Z528" s="200"/>
    </row>
    <row r="529" ht="22.5" customHeight="1">
      <c r="A529" s="145"/>
      <c r="B529" s="154"/>
      <c r="C529" s="138"/>
      <c r="D529" s="138"/>
      <c r="E529" s="138"/>
      <c r="F529" s="138"/>
      <c r="G529" s="119"/>
      <c r="H529" s="200"/>
      <c r="I529" s="200"/>
      <c r="J529" s="200"/>
      <c r="K529" s="200"/>
      <c r="L529" s="200"/>
      <c r="M529" s="200"/>
      <c r="N529" s="200"/>
      <c r="O529" s="200"/>
      <c r="P529" s="200"/>
      <c r="Q529" s="200"/>
      <c r="R529" s="200"/>
      <c r="S529" s="200"/>
      <c r="T529" s="200"/>
      <c r="U529" s="200"/>
      <c r="V529" s="200"/>
      <c r="W529" s="200"/>
      <c r="X529" s="200"/>
      <c r="Y529" s="200"/>
      <c r="Z529" s="200"/>
    </row>
    <row r="530" ht="22.5" customHeight="1">
      <c r="A530" s="145"/>
      <c r="B530" s="154"/>
      <c r="C530" s="138"/>
      <c r="D530" s="138"/>
      <c r="E530" s="138"/>
      <c r="F530" s="138"/>
      <c r="G530" s="119"/>
      <c r="H530" s="200"/>
      <c r="I530" s="200"/>
      <c r="J530" s="200"/>
      <c r="K530" s="200"/>
      <c r="L530" s="200"/>
      <c r="M530" s="200"/>
      <c r="N530" s="200"/>
      <c r="O530" s="200"/>
      <c r="P530" s="200"/>
      <c r="Q530" s="200"/>
      <c r="R530" s="200"/>
      <c r="S530" s="200"/>
      <c r="T530" s="200"/>
      <c r="U530" s="200"/>
      <c r="V530" s="200"/>
      <c r="W530" s="200"/>
      <c r="X530" s="200"/>
      <c r="Y530" s="200"/>
      <c r="Z530" s="200"/>
    </row>
    <row r="531" ht="22.5" customHeight="1">
      <c r="A531" s="145"/>
      <c r="B531" s="154"/>
      <c r="C531" s="138"/>
      <c r="D531" s="138"/>
      <c r="E531" s="138"/>
      <c r="F531" s="138"/>
      <c r="G531" s="119"/>
      <c r="H531" s="200"/>
      <c r="I531" s="200"/>
      <c r="J531" s="200"/>
      <c r="K531" s="200"/>
      <c r="L531" s="200"/>
      <c r="M531" s="200"/>
      <c r="N531" s="200"/>
      <c r="O531" s="200"/>
      <c r="P531" s="200"/>
      <c r="Q531" s="200"/>
      <c r="R531" s="200"/>
      <c r="S531" s="200"/>
      <c r="T531" s="200"/>
      <c r="U531" s="200"/>
      <c r="V531" s="200"/>
      <c r="W531" s="200"/>
      <c r="X531" s="200"/>
      <c r="Y531" s="200"/>
      <c r="Z531" s="200"/>
    </row>
    <row r="532" ht="22.5" customHeight="1">
      <c r="A532" s="145"/>
      <c r="B532" s="154"/>
      <c r="C532" s="138"/>
      <c r="D532" s="138"/>
      <c r="E532" s="138"/>
      <c r="F532" s="138"/>
      <c r="G532" s="119"/>
      <c r="H532" s="200"/>
      <c r="I532" s="200"/>
      <c r="J532" s="200"/>
      <c r="K532" s="200"/>
      <c r="L532" s="200"/>
      <c r="M532" s="200"/>
      <c r="N532" s="200"/>
      <c r="O532" s="200"/>
      <c r="P532" s="200"/>
      <c r="Q532" s="200"/>
      <c r="R532" s="200"/>
      <c r="S532" s="200"/>
      <c r="T532" s="200"/>
      <c r="U532" s="200"/>
      <c r="V532" s="200"/>
      <c r="W532" s="200"/>
      <c r="X532" s="200"/>
      <c r="Y532" s="200"/>
      <c r="Z532" s="200"/>
    </row>
    <row r="533" ht="22.5" customHeight="1">
      <c r="A533" s="145"/>
      <c r="B533" s="154"/>
      <c r="C533" s="138"/>
      <c r="D533" s="138"/>
      <c r="E533" s="138"/>
      <c r="F533" s="138"/>
      <c r="G533" s="119"/>
      <c r="H533" s="200"/>
      <c r="I533" s="200"/>
      <c r="J533" s="200"/>
      <c r="K533" s="200"/>
      <c r="L533" s="200"/>
      <c r="M533" s="200"/>
      <c r="N533" s="200"/>
      <c r="O533" s="200"/>
      <c r="P533" s="200"/>
      <c r="Q533" s="200"/>
      <c r="R533" s="200"/>
      <c r="S533" s="200"/>
      <c r="T533" s="200"/>
      <c r="U533" s="200"/>
      <c r="V533" s="200"/>
      <c r="W533" s="200"/>
      <c r="X533" s="200"/>
      <c r="Y533" s="200"/>
      <c r="Z533" s="200"/>
    </row>
    <row r="534" ht="22.5" customHeight="1">
      <c r="A534" s="145"/>
      <c r="B534" s="154"/>
      <c r="C534" s="138"/>
      <c r="D534" s="138"/>
      <c r="E534" s="138"/>
      <c r="F534" s="138"/>
      <c r="G534" s="119"/>
      <c r="H534" s="200"/>
      <c r="I534" s="200"/>
      <c r="J534" s="200"/>
      <c r="K534" s="200"/>
      <c r="L534" s="200"/>
      <c r="M534" s="200"/>
      <c r="N534" s="200"/>
      <c r="O534" s="200"/>
      <c r="P534" s="200"/>
      <c r="Q534" s="200"/>
      <c r="R534" s="200"/>
      <c r="S534" s="200"/>
      <c r="T534" s="200"/>
      <c r="U534" s="200"/>
      <c r="V534" s="200"/>
      <c r="W534" s="200"/>
      <c r="X534" s="200"/>
      <c r="Y534" s="200"/>
      <c r="Z534" s="200"/>
    </row>
    <row r="535" ht="22.5" customHeight="1">
      <c r="A535" s="145"/>
      <c r="B535" s="154"/>
      <c r="C535" s="138"/>
      <c r="D535" s="138"/>
      <c r="E535" s="138"/>
      <c r="F535" s="138"/>
      <c r="G535" s="119"/>
      <c r="H535" s="200"/>
      <c r="I535" s="200"/>
      <c r="J535" s="200"/>
      <c r="K535" s="200"/>
      <c r="L535" s="200"/>
      <c r="M535" s="200"/>
      <c r="N535" s="200"/>
      <c r="O535" s="200"/>
      <c r="P535" s="200"/>
      <c r="Q535" s="200"/>
      <c r="R535" s="200"/>
      <c r="S535" s="200"/>
      <c r="T535" s="200"/>
      <c r="U535" s="200"/>
      <c r="V535" s="200"/>
      <c r="W535" s="200"/>
      <c r="X535" s="200"/>
      <c r="Y535" s="200"/>
      <c r="Z535" s="200"/>
    </row>
    <row r="536" ht="22.5" customHeight="1">
      <c r="A536" s="145"/>
      <c r="B536" s="154"/>
      <c r="C536" s="138"/>
      <c r="D536" s="138"/>
      <c r="E536" s="138"/>
      <c r="F536" s="138"/>
      <c r="G536" s="119"/>
      <c r="H536" s="200"/>
      <c r="I536" s="200"/>
      <c r="J536" s="200"/>
      <c r="K536" s="200"/>
      <c r="L536" s="200"/>
      <c r="M536" s="200"/>
      <c r="N536" s="200"/>
      <c r="O536" s="200"/>
      <c r="P536" s="200"/>
      <c r="Q536" s="200"/>
      <c r="R536" s="200"/>
      <c r="S536" s="200"/>
      <c r="T536" s="200"/>
      <c r="U536" s="200"/>
      <c r="V536" s="200"/>
      <c r="W536" s="200"/>
      <c r="X536" s="200"/>
      <c r="Y536" s="200"/>
      <c r="Z536" s="200"/>
    </row>
    <row r="537" ht="22.5" customHeight="1">
      <c r="A537" s="145"/>
      <c r="B537" s="154"/>
      <c r="C537" s="138"/>
      <c r="D537" s="138"/>
      <c r="E537" s="138"/>
      <c r="F537" s="138"/>
      <c r="G537" s="119"/>
      <c r="H537" s="200"/>
      <c r="I537" s="200"/>
      <c r="J537" s="200"/>
      <c r="K537" s="200"/>
      <c r="L537" s="200"/>
      <c r="M537" s="200"/>
      <c r="N537" s="200"/>
      <c r="O537" s="200"/>
      <c r="P537" s="200"/>
      <c r="Q537" s="200"/>
      <c r="R537" s="200"/>
      <c r="S537" s="200"/>
      <c r="T537" s="200"/>
      <c r="U537" s="200"/>
      <c r="V537" s="200"/>
      <c r="W537" s="200"/>
      <c r="X537" s="200"/>
      <c r="Y537" s="200"/>
      <c r="Z537" s="200"/>
    </row>
    <row r="538" ht="22.5" customHeight="1">
      <c r="A538" s="145"/>
      <c r="B538" s="154"/>
      <c r="C538" s="138"/>
      <c r="D538" s="138"/>
      <c r="E538" s="138"/>
      <c r="F538" s="138"/>
      <c r="G538" s="119"/>
      <c r="H538" s="200"/>
      <c r="I538" s="200"/>
      <c r="J538" s="200"/>
      <c r="K538" s="200"/>
      <c r="L538" s="200"/>
      <c r="M538" s="200"/>
      <c r="N538" s="200"/>
      <c r="O538" s="200"/>
      <c r="P538" s="200"/>
      <c r="Q538" s="200"/>
      <c r="R538" s="200"/>
      <c r="S538" s="200"/>
      <c r="T538" s="200"/>
      <c r="U538" s="200"/>
      <c r="V538" s="200"/>
      <c r="W538" s="200"/>
      <c r="X538" s="200"/>
      <c r="Y538" s="200"/>
      <c r="Z538" s="200"/>
    </row>
    <row r="539" ht="22.5" customHeight="1">
      <c r="A539" s="145"/>
      <c r="B539" s="154"/>
      <c r="C539" s="138"/>
      <c r="D539" s="138"/>
      <c r="E539" s="138"/>
      <c r="F539" s="138"/>
      <c r="G539" s="119"/>
      <c r="H539" s="200"/>
      <c r="I539" s="200"/>
      <c r="J539" s="200"/>
      <c r="K539" s="200"/>
      <c r="L539" s="200"/>
      <c r="M539" s="200"/>
      <c r="N539" s="200"/>
      <c r="O539" s="200"/>
      <c r="P539" s="200"/>
      <c r="Q539" s="200"/>
      <c r="R539" s="200"/>
      <c r="S539" s="200"/>
      <c r="T539" s="200"/>
      <c r="U539" s="200"/>
      <c r="V539" s="200"/>
      <c r="W539" s="200"/>
      <c r="X539" s="200"/>
      <c r="Y539" s="200"/>
      <c r="Z539" s="200"/>
    </row>
    <row r="540" ht="22.5" customHeight="1">
      <c r="A540" s="145"/>
      <c r="B540" s="154"/>
      <c r="C540" s="138"/>
      <c r="D540" s="138"/>
      <c r="E540" s="138"/>
      <c r="F540" s="138"/>
      <c r="G540" s="119"/>
      <c r="H540" s="200"/>
      <c r="I540" s="200"/>
      <c r="J540" s="200"/>
      <c r="K540" s="200"/>
      <c r="L540" s="200"/>
      <c r="M540" s="200"/>
      <c r="N540" s="200"/>
      <c r="O540" s="200"/>
      <c r="P540" s="200"/>
      <c r="Q540" s="200"/>
      <c r="R540" s="200"/>
      <c r="S540" s="200"/>
      <c r="T540" s="200"/>
      <c r="U540" s="200"/>
      <c r="V540" s="200"/>
      <c r="W540" s="200"/>
      <c r="X540" s="200"/>
      <c r="Y540" s="200"/>
      <c r="Z540" s="200"/>
    </row>
    <row r="541" ht="22.5" customHeight="1">
      <c r="A541" s="145"/>
      <c r="B541" s="154"/>
      <c r="C541" s="138"/>
      <c r="D541" s="138"/>
      <c r="E541" s="138"/>
      <c r="F541" s="138"/>
      <c r="G541" s="119"/>
      <c r="H541" s="200"/>
      <c r="I541" s="200"/>
      <c r="J541" s="200"/>
      <c r="K541" s="200"/>
      <c r="L541" s="200"/>
      <c r="M541" s="200"/>
      <c r="N541" s="200"/>
      <c r="O541" s="200"/>
      <c r="P541" s="200"/>
      <c r="Q541" s="200"/>
      <c r="R541" s="200"/>
      <c r="S541" s="200"/>
      <c r="T541" s="200"/>
      <c r="U541" s="200"/>
      <c r="V541" s="200"/>
      <c r="W541" s="200"/>
      <c r="X541" s="200"/>
      <c r="Y541" s="200"/>
      <c r="Z541" s="200"/>
    </row>
    <row r="542" ht="22.5" customHeight="1">
      <c r="A542" s="145"/>
      <c r="B542" s="154"/>
      <c r="C542" s="138"/>
      <c r="D542" s="138"/>
      <c r="E542" s="138"/>
      <c r="F542" s="138"/>
      <c r="G542" s="119"/>
      <c r="H542" s="200"/>
      <c r="I542" s="200"/>
      <c r="J542" s="200"/>
      <c r="K542" s="200"/>
      <c r="L542" s="200"/>
      <c r="M542" s="200"/>
      <c r="N542" s="200"/>
      <c r="O542" s="200"/>
      <c r="P542" s="200"/>
      <c r="Q542" s="200"/>
      <c r="R542" s="200"/>
      <c r="S542" s="200"/>
      <c r="T542" s="200"/>
      <c r="U542" s="200"/>
      <c r="V542" s="200"/>
      <c r="W542" s="200"/>
      <c r="X542" s="200"/>
      <c r="Y542" s="200"/>
      <c r="Z542" s="200"/>
    </row>
    <row r="543" ht="22.5" customHeight="1">
      <c r="A543" s="145"/>
      <c r="B543" s="154"/>
      <c r="C543" s="138"/>
      <c r="D543" s="138"/>
      <c r="E543" s="138"/>
      <c r="F543" s="138"/>
      <c r="G543" s="119"/>
      <c r="H543" s="200"/>
      <c r="I543" s="200"/>
      <c r="J543" s="200"/>
      <c r="K543" s="200"/>
      <c r="L543" s="200"/>
      <c r="M543" s="200"/>
      <c r="N543" s="200"/>
      <c r="O543" s="200"/>
      <c r="P543" s="200"/>
      <c r="Q543" s="200"/>
      <c r="R543" s="200"/>
      <c r="S543" s="200"/>
      <c r="T543" s="200"/>
      <c r="U543" s="200"/>
      <c r="V543" s="200"/>
      <c r="W543" s="200"/>
      <c r="X543" s="200"/>
      <c r="Y543" s="200"/>
      <c r="Z543" s="200"/>
    </row>
    <row r="544" ht="22.5" customHeight="1">
      <c r="A544" s="145"/>
      <c r="B544" s="154"/>
      <c r="C544" s="138"/>
      <c r="D544" s="138"/>
      <c r="E544" s="138"/>
      <c r="F544" s="138"/>
      <c r="G544" s="119"/>
      <c r="H544" s="200"/>
      <c r="I544" s="200"/>
      <c r="J544" s="200"/>
      <c r="K544" s="200"/>
      <c r="L544" s="200"/>
      <c r="M544" s="200"/>
      <c r="N544" s="200"/>
      <c r="O544" s="200"/>
      <c r="P544" s="200"/>
      <c r="Q544" s="200"/>
      <c r="R544" s="200"/>
      <c r="S544" s="200"/>
      <c r="T544" s="200"/>
      <c r="U544" s="200"/>
      <c r="V544" s="200"/>
      <c r="W544" s="200"/>
      <c r="X544" s="200"/>
      <c r="Y544" s="200"/>
      <c r="Z544" s="200"/>
    </row>
    <row r="545" ht="22.5" customHeight="1">
      <c r="A545" s="145"/>
      <c r="B545" s="154"/>
      <c r="C545" s="138"/>
      <c r="D545" s="138"/>
      <c r="E545" s="138"/>
      <c r="F545" s="138"/>
      <c r="G545" s="119"/>
      <c r="H545" s="200"/>
      <c r="I545" s="200"/>
      <c r="J545" s="200"/>
      <c r="K545" s="200"/>
      <c r="L545" s="200"/>
      <c r="M545" s="200"/>
      <c r="N545" s="200"/>
      <c r="O545" s="200"/>
      <c r="P545" s="200"/>
      <c r="Q545" s="200"/>
      <c r="R545" s="200"/>
      <c r="S545" s="200"/>
      <c r="T545" s="200"/>
      <c r="U545" s="200"/>
      <c r="V545" s="200"/>
      <c r="W545" s="200"/>
      <c r="X545" s="200"/>
      <c r="Y545" s="200"/>
      <c r="Z545" s="200"/>
    </row>
    <row r="546" ht="22.5" customHeight="1">
      <c r="A546" s="145"/>
      <c r="B546" s="154"/>
      <c r="C546" s="138"/>
      <c r="D546" s="138"/>
      <c r="E546" s="138"/>
      <c r="F546" s="138"/>
      <c r="G546" s="119"/>
      <c r="H546" s="200"/>
      <c r="I546" s="200"/>
      <c r="J546" s="200"/>
      <c r="K546" s="200"/>
      <c r="L546" s="200"/>
      <c r="M546" s="200"/>
      <c r="N546" s="200"/>
      <c r="O546" s="200"/>
      <c r="P546" s="200"/>
      <c r="Q546" s="200"/>
      <c r="R546" s="200"/>
      <c r="S546" s="200"/>
      <c r="T546" s="200"/>
      <c r="U546" s="200"/>
      <c r="V546" s="200"/>
      <c r="W546" s="200"/>
      <c r="X546" s="200"/>
      <c r="Y546" s="200"/>
      <c r="Z546" s="200"/>
    </row>
    <row r="547" ht="22.5" customHeight="1">
      <c r="A547" s="145"/>
      <c r="B547" s="154"/>
      <c r="C547" s="138"/>
      <c r="D547" s="138"/>
      <c r="E547" s="138"/>
      <c r="F547" s="138"/>
      <c r="G547" s="119"/>
      <c r="H547" s="200"/>
      <c r="I547" s="200"/>
      <c r="J547" s="200"/>
      <c r="K547" s="200"/>
      <c r="L547" s="200"/>
      <c r="M547" s="200"/>
      <c r="N547" s="200"/>
      <c r="O547" s="200"/>
      <c r="P547" s="200"/>
      <c r="Q547" s="200"/>
      <c r="R547" s="200"/>
      <c r="S547" s="200"/>
      <c r="T547" s="200"/>
      <c r="U547" s="200"/>
      <c r="V547" s="200"/>
      <c r="W547" s="200"/>
      <c r="X547" s="200"/>
      <c r="Y547" s="200"/>
      <c r="Z547" s="200"/>
    </row>
    <row r="548" ht="22.5" customHeight="1">
      <c r="A548" s="145"/>
      <c r="B548" s="154"/>
      <c r="C548" s="138"/>
      <c r="D548" s="138"/>
      <c r="E548" s="138"/>
      <c r="F548" s="138"/>
      <c r="G548" s="119"/>
      <c r="H548" s="200"/>
      <c r="I548" s="200"/>
      <c r="J548" s="200"/>
      <c r="K548" s="200"/>
      <c r="L548" s="200"/>
      <c r="M548" s="200"/>
      <c r="N548" s="200"/>
      <c r="O548" s="200"/>
      <c r="P548" s="200"/>
      <c r="Q548" s="200"/>
      <c r="R548" s="200"/>
      <c r="S548" s="200"/>
      <c r="T548" s="200"/>
      <c r="U548" s="200"/>
      <c r="V548" s="200"/>
      <c r="W548" s="200"/>
      <c r="X548" s="200"/>
      <c r="Y548" s="200"/>
      <c r="Z548" s="200"/>
    </row>
    <row r="549" ht="22.5" customHeight="1">
      <c r="A549" s="145"/>
      <c r="B549" s="154"/>
      <c r="C549" s="138"/>
      <c r="D549" s="138"/>
      <c r="E549" s="138"/>
      <c r="F549" s="138"/>
      <c r="G549" s="119"/>
      <c r="H549" s="200"/>
      <c r="I549" s="200"/>
      <c r="J549" s="200"/>
      <c r="K549" s="200"/>
      <c r="L549" s="200"/>
      <c r="M549" s="200"/>
      <c r="N549" s="200"/>
      <c r="O549" s="200"/>
      <c r="P549" s="200"/>
      <c r="Q549" s="200"/>
      <c r="R549" s="200"/>
      <c r="S549" s="200"/>
      <c r="T549" s="200"/>
      <c r="U549" s="200"/>
      <c r="V549" s="200"/>
      <c r="W549" s="200"/>
      <c r="X549" s="200"/>
      <c r="Y549" s="200"/>
      <c r="Z549" s="200"/>
    </row>
    <row r="550" ht="22.5" customHeight="1">
      <c r="A550" s="145"/>
      <c r="B550" s="154"/>
      <c r="C550" s="138"/>
      <c r="D550" s="138"/>
      <c r="E550" s="138"/>
      <c r="F550" s="138"/>
      <c r="G550" s="119"/>
      <c r="H550" s="200"/>
      <c r="I550" s="200"/>
      <c r="J550" s="200"/>
      <c r="K550" s="200"/>
      <c r="L550" s="200"/>
      <c r="M550" s="200"/>
      <c r="N550" s="200"/>
      <c r="O550" s="200"/>
      <c r="P550" s="200"/>
      <c r="Q550" s="200"/>
      <c r="R550" s="200"/>
      <c r="S550" s="200"/>
      <c r="T550" s="200"/>
      <c r="U550" s="200"/>
      <c r="V550" s="200"/>
      <c r="W550" s="200"/>
      <c r="X550" s="200"/>
      <c r="Y550" s="200"/>
      <c r="Z550" s="200"/>
    </row>
    <row r="551" ht="22.5" customHeight="1">
      <c r="A551" s="145"/>
      <c r="B551" s="154"/>
      <c r="C551" s="138"/>
      <c r="D551" s="138"/>
      <c r="E551" s="138"/>
      <c r="F551" s="138"/>
      <c r="G551" s="119"/>
      <c r="H551" s="200"/>
      <c r="I551" s="200"/>
      <c r="J551" s="200"/>
      <c r="K551" s="200"/>
      <c r="L551" s="200"/>
      <c r="M551" s="200"/>
      <c r="N551" s="200"/>
      <c r="O551" s="200"/>
      <c r="P551" s="200"/>
      <c r="Q551" s="200"/>
      <c r="R551" s="200"/>
      <c r="S551" s="200"/>
      <c r="T551" s="200"/>
      <c r="U551" s="200"/>
      <c r="V551" s="200"/>
      <c r="W551" s="200"/>
      <c r="X551" s="200"/>
      <c r="Y551" s="200"/>
      <c r="Z551" s="200"/>
    </row>
    <row r="552" ht="22.5" customHeight="1">
      <c r="A552" s="145"/>
      <c r="B552" s="154"/>
      <c r="C552" s="138"/>
      <c r="D552" s="138"/>
      <c r="E552" s="138"/>
      <c r="F552" s="138"/>
      <c r="G552" s="119"/>
      <c r="H552" s="200"/>
      <c r="I552" s="200"/>
      <c r="J552" s="200"/>
      <c r="K552" s="200"/>
      <c r="L552" s="200"/>
      <c r="M552" s="200"/>
      <c r="N552" s="200"/>
      <c r="O552" s="200"/>
      <c r="P552" s="200"/>
      <c r="Q552" s="200"/>
      <c r="R552" s="200"/>
      <c r="S552" s="200"/>
      <c r="T552" s="200"/>
      <c r="U552" s="200"/>
      <c r="V552" s="200"/>
      <c r="W552" s="200"/>
      <c r="X552" s="200"/>
      <c r="Y552" s="200"/>
      <c r="Z552" s="200"/>
    </row>
    <row r="553" ht="22.5" customHeight="1">
      <c r="A553" s="145"/>
      <c r="B553" s="154"/>
      <c r="C553" s="138"/>
      <c r="D553" s="138"/>
      <c r="E553" s="138"/>
      <c r="F553" s="138"/>
      <c r="G553" s="119"/>
      <c r="H553" s="200"/>
      <c r="I553" s="200"/>
      <c r="J553" s="200"/>
      <c r="K553" s="200"/>
      <c r="L553" s="200"/>
      <c r="M553" s="200"/>
      <c r="N553" s="200"/>
      <c r="O553" s="200"/>
      <c r="P553" s="200"/>
      <c r="Q553" s="200"/>
      <c r="R553" s="200"/>
      <c r="S553" s="200"/>
      <c r="T553" s="200"/>
      <c r="U553" s="200"/>
      <c r="V553" s="200"/>
      <c r="W553" s="200"/>
      <c r="X553" s="200"/>
      <c r="Y553" s="200"/>
      <c r="Z553" s="200"/>
    </row>
    <row r="554" ht="22.5" customHeight="1">
      <c r="A554" s="145"/>
      <c r="B554" s="154"/>
      <c r="C554" s="138"/>
      <c r="D554" s="138"/>
      <c r="E554" s="138"/>
      <c r="F554" s="138"/>
      <c r="G554" s="119"/>
      <c r="H554" s="200"/>
      <c r="I554" s="200"/>
      <c r="J554" s="200"/>
      <c r="K554" s="200"/>
      <c r="L554" s="200"/>
      <c r="M554" s="200"/>
      <c r="N554" s="200"/>
      <c r="O554" s="200"/>
      <c r="P554" s="200"/>
      <c r="Q554" s="200"/>
      <c r="R554" s="200"/>
      <c r="S554" s="200"/>
      <c r="T554" s="200"/>
      <c r="U554" s="200"/>
      <c r="V554" s="200"/>
      <c r="W554" s="200"/>
      <c r="X554" s="200"/>
      <c r="Y554" s="200"/>
      <c r="Z554" s="200"/>
    </row>
    <row r="555" ht="22.5" customHeight="1">
      <c r="A555" s="145"/>
      <c r="B555" s="154"/>
      <c r="C555" s="138"/>
      <c r="D555" s="138"/>
      <c r="E555" s="138"/>
      <c r="F555" s="138"/>
      <c r="G555" s="119"/>
      <c r="H555" s="200"/>
      <c r="I555" s="200"/>
      <c r="J555" s="200"/>
      <c r="K555" s="200"/>
      <c r="L555" s="200"/>
      <c r="M555" s="200"/>
      <c r="N555" s="200"/>
      <c r="O555" s="200"/>
      <c r="P555" s="200"/>
      <c r="Q555" s="200"/>
      <c r="R555" s="200"/>
      <c r="S555" s="200"/>
      <c r="T555" s="200"/>
      <c r="U555" s="200"/>
      <c r="V555" s="200"/>
      <c r="W555" s="200"/>
      <c r="X555" s="200"/>
      <c r="Y555" s="200"/>
      <c r="Z555" s="200"/>
    </row>
    <row r="556" ht="22.5" customHeight="1">
      <c r="A556" s="145"/>
      <c r="B556" s="154"/>
      <c r="C556" s="138"/>
      <c r="D556" s="138"/>
      <c r="E556" s="138"/>
      <c r="F556" s="138"/>
      <c r="G556" s="119"/>
      <c r="H556" s="200"/>
      <c r="I556" s="200"/>
      <c r="J556" s="200"/>
      <c r="K556" s="200"/>
      <c r="L556" s="200"/>
      <c r="M556" s="200"/>
      <c r="N556" s="200"/>
      <c r="O556" s="200"/>
      <c r="P556" s="200"/>
      <c r="Q556" s="200"/>
      <c r="R556" s="200"/>
      <c r="S556" s="200"/>
      <c r="T556" s="200"/>
      <c r="U556" s="200"/>
      <c r="V556" s="200"/>
      <c r="W556" s="200"/>
      <c r="X556" s="200"/>
      <c r="Y556" s="200"/>
      <c r="Z556" s="200"/>
    </row>
    <row r="557" ht="22.5" customHeight="1">
      <c r="A557" s="145"/>
      <c r="B557" s="154"/>
      <c r="C557" s="138"/>
      <c r="D557" s="138"/>
      <c r="E557" s="138"/>
      <c r="F557" s="138"/>
      <c r="G557" s="119"/>
      <c r="H557" s="200"/>
      <c r="I557" s="200"/>
      <c r="J557" s="200"/>
      <c r="K557" s="200"/>
      <c r="L557" s="200"/>
      <c r="M557" s="200"/>
      <c r="N557" s="200"/>
      <c r="O557" s="200"/>
      <c r="P557" s="200"/>
      <c r="Q557" s="200"/>
      <c r="R557" s="200"/>
      <c r="S557" s="200"/>
      <c r="T557" s="200"/>
      <c r="U557" s="200"/>
      <c r="V557" s="200"/>
      <c r="W557" s="200"/>
      <c r="X557" s="200"/>
      <c r="Y557" s="200"/>
      <c r="Z557" s="200"/>
    </row>
    <row r="558" ht="22.5" customHeight="1">
      <c r="A558" s="145"/>
      <c r="B558" s="154"/>
      <c r="C558" s="138"/>
      <c r="D558" s="138"/>
      <c r="E558" s="138"/>
      <c r="F558" s="138"/>
      <c r="G558" s="119"/>
      <c r="H558" s="200"/>
      <c r="I558" s="200"/>
      <c r="J558" s="200"/>
      <c r="K558" s="200"/>
      <c r="L558" s="200"/>
      <c r="M558" s="200"/>
      <c r="N558" s="200"/>
      <c r="O558" s="200"/>
      <c r="P558" s="200"/>
      <c r="Q558" s="200"/>
      <c r="R558" s="200"/>
      <c r="S558" s="200"/>
      <c r="T558" s="200"/>
      <c r="U558" s="200"/>
      <c r="V558" s="200"/>
      <c r="W558" s="200"/>
      <c r="X558" s="200"/>
      <c r="Y558" s="200"/>
      <c r="Z558" s="200"/>
    </row>
    <row r="559" ht="22.5" customHeight="1">
      <c r="A559" s="145"/>
      <c r="B559" s="154"/>
      <c r="C559" s="138"/>
      <c r="D559" s="138"/>
      <c r="E559" s="138"/>
      <c r="F559" s="138"/>
      <c r="G559" s="119"/>
      <c r="H559" s="200"/>
      <c r="I559" s="200"/>
      <c r="J559" s="200"/>
      <c r="K559" s="200"/>
      <c r="L559" s="200"/>
      <c r="M559" s="200"/>
      <c r="N559" s="200"/>
      <c r="O559" s="200"/>
      <c r="P559" s="200"/>
      <c r="Q559" s="200"/>
      <c r="R559" s="200"/>
      <c r="S559" s="200"/>
      <c r="T559" s="200"/>
      <c r="U559" s="200"/>
      <c r="V559" s="200"/>
      <c r="W559" s="200"/>
      <c r="X559" s="200"/>
      <c r="Y559" s="200"/>
      <c r="Z559" s="200"/>
    </row>
    <row r="560" ht="22.5" customHeight="1">
      <c r="A560" s="145"/>
      <c r="B560" s="154"/>
      <c r="C560" s="138"/>
      <c r="D560" s="138"/>
      <c r="E560" s="138"/>
      <c r="F560" s="138"/>
      <c r="G560" s="119"/>
      <c r="H560" s="200"/>
      <c r="I560" s="200"/>
      <c r="J560" s="200"/>
      <c r="K560" s="200"/>
      <c r="L560" s="200"/>
      <c r="M560" s="200"/>
      <c r="N560" s="200"/>
      <c r="O560" s="200"/>
      <c r="P560" s="200"/>
      <c r="Q560" s="200"/>
      <c r="R560" s="200"/>
      <c r="S560" s="200"/>
      <c r="T560" s="200"/>
      <c r="U560" s="200"/>
      <c r="V560" s="200"/>
      <c r="W560" s="200"/>
      <c r="X560" s="200"/>
      <c r="Y560" s="200"/>
      <c r="Z560" s="200"/>
    </row>
    <row r="561" ht="22.5" customHeight="1">
      <c r="A561" s="145"/>
      <c r="B561" s="154"/>
      <c r="C561" s="138"/>
      <c r="D561" s="138"/>
      <c r="E561" s="138"/>
      <c r="F561" s="138"/>
      <c r="G561" s="119"/>
      <c r="H561" s="200"/>
      <c r="I561" s="200"/>
      <c r="J561" s="200"/>
      <c r="K561" s="200"/>
      <c r="L561" s="200"/>
      <c r="M561" s="200"/>
      <c r="N561" s="200"/>
      <c r="O561" s="200"/>
      <c r="P561" s="200"/>
      <c r="Q561" s="200"/>
      <c r="R561" s="200"/>
      <c r="S561" s="200"/>
      <c r="T561" s="200"/>
      <c r="U561" s="200"/>
      <c r="V561" s="200"/>
      <c r="W561" s="200"/>
      <c r="X561" s="200"/>
      <c r="Y561" s="200"/>
      <c r="Z561" s="200"/>
    </row>
    <row r="562" ht="22.5" customHeight="1">
      <c r="A562" s="145"/>
      <c r="B562" s="154"/>
      <c r="C562" s="138"/>
      <c r="D562" s="138"/>
      <c r="E562" s="138"/>
      <c r="F562" s="138"/>
      <c r="G562" s="119"/>
      <c r="H562" s="200"/>
      <c r="I562" s="200"/>
      <c r="J562" s="200"/>
      <c r="K562" s="200"/>
      <c r="L562" s="200"/>
      <c r="M562" s="200"/>
      <c r="N562" s="200"/>
      <c r="O562" s="200"/>
      <c r="P562" s="200"/>
      <c r="Q562" s="200"/>
      <c r="R562" s="200"/>
      <c r="S562" s="200"/>
      <c r="T562" s="200"/>
      <c r="U562" s="200"/>
      <c r="V562" s="200"/>
      <c r="W562" s="200"/>
      <c r="X562" s="200"/>
      <c r="Y562" s="200"/>
      <c r="Z562" s="200"/>
    </row>
    <row r="563" ht="22.5" customHeight="1">
      <c r="A563" s="145"/>
      <c r="B563" s="154"/>
      <c r="C563" s="138"/>
      <c r="D563" s="138"/>
      <c r="E563" s="138"/>
      <c r="F563" s="138"/>
      <c r="G563" s="119"/>
      <c r="H563" s="200"/>
      <c r="I563" s="200"/>
      <c r="J563" s="200"/>
      <c r="K563" s="200"/>
      <c r="L563" s="200"/>
      <c r="M563" s="200"/>
      <c r="N563" s="200"/>
      <c r="O563" s="200"/>
      <c r="P563" s="200"/>
      <c r="Q563" s="200"/>
      <c r="R563" s="200"/>
      <c r="S563" s="200"/>
      <c r="T563" s="200"/>
      <c r="U563" s="200"/>
      <c r="V563" s="200"/>
      <c r="W563" s="200"/>
      <c r="X563" s="200"/>
      <c r="Y563" s="200"/>
      <c r="Z563" s="200"/>
    </row>
    <row r="564" ht="22.5" customHeight="1">
      <c r="A564" s="145"/>
      <c r="B564" s="154"/>
      <c r="C564" s="138"/>
      <c r="D564" s="138"/>
      <c r="E564" s="138"/>
      <c r="F564" s="138"/>
      <c r="G564" s="119"/>
      <c r="H564" s="200"/>
      <c r="I564" s="200"/>
      <c r="J564" s="200"/>
      <c r="K564" s="200"/>
      <c r="L564" s="200"/>
      <c r="M564" s="200"/>
      <c r="N564" s="200"/>
      <c r="O564" s="200"/>
      <c r="P564" s="200"/>
      <c r="Q564" s="200"/>
      <c r="R564" s="200"/>
      <c r="S564" s="200"/>
      <c r="T564" s="200"/>
      <c r="U564" s="200"/>
      <c r="V564" s="200"/>
      <c r="W564" s="200"/>
      <c r="X564" s="200"/>
      <c r="Y564" s="200"/>
      <c r="Z564" s="200"/>
    </row>
    <row r="565" ht="22.5" customHeight="1">
      <c r="A565" s="145"/>
      <c r="B565" s="154"/>
      <c r="C565" s="138"/>
      <c r="D565" s="138"/>
      <c r="E565" s="138"/>
      <c r="F565" s="138"/>
      <c r="G565" s="119"/>
      <c r="H565" s="200"/>
      <c r="I565" s="200"/>
      <c r="J565" s="200"/>
      <c r="K565" s="200"/>
      <c r="L565" s="200"/>
      <c r="M565" s="200"/>
      <c r="N565" s="200"/>
      <c r="O565" s="200"/>
      <c r="P565" s="200"/>
      <c r="Q565" s="200"/>
      <c r="R565" s="200"/>
      <c r="S565" s="200"/>
      <c r="T565" s="200"/>
      <c r="U565" s="200"/>
      <c r="V565" s="200"/>
      <c r="W565" s="200"/>
      <c r="X565" s="200"/>
      <c r="Y565" s="200"/>
      <c r="Z565" s="200"/>
    </row>
    <row r="566" ht="22.5" customHeight="1">
      <c r="A566" s="145"/>
      <c r="B566" s="154"/>
      <c r="C566" s="138"/>
      <c r="D566" s="138"/>
      <c r="E566" s="138"/>
      <c r="F566" s="138"/>
      <c r="G566" s="119"/>
      <c r="H566" s="200"/>
      <c r="I566" s="200"/>
      <c r="J566" s="200"/>
      <c r="K566" s="200"/>
      <c r="L566" s="200"/>
      <c r="M566" s="200"/>
      <c r="N566" s="200"/>
      <c r="O566" s="200"/>
      <c r="P566" s="200"/>
      <c r="Q566" s="200"/>
      <c r="R566" s="200"/>
      <c r="S566" s="200"/>
      <c r="T566" s="200"/>
      <c r="U566" s="200"/>
      <c r="V566" s="200"/>
      <c r="W566" s="200"/>
      <c r="X566" s="200"/>
      <c r="Y566" s="200"/>
      <c r="Z566" s="200"/>
    </row>
    <row r="567" ht="22.5" customHeight="1">
      <c r="A567" s="145"/>
      <c r="B567" s="154"/>
      <c r="C567" s="138"/>
      <c r="D567" s="138"/>
      <c r="E567" s="138"/>
      <c r="F567" s="138"/>
      <c r="G567" s="119"/>
      <c r="H567" s="200"/>
      <c r="I567" s="200"/>
      <c r="J567" s="200"/>
      <c r="K567" s="200"/>
      <c r="L567" s="200"/>
      <c r="M567" s="200"/>
      <c r="N567" s="200"/>
      <c r="O567" s="200"/>
      <c r="P567" s="200"/>
      <c r="Q567" s="200"/>
      <c r="R567" s="200"/>
      <c r="S567" s="200"/>
      <c r="T567" s="200"/>
      <c r="U567" s="200"/>
      <c r="V567" s="200"/>
      <c r="W567" s="200"/>
      <c r="X567" s="200"/>
      <c r="Y567" s="200"/>
      <c r="Z567" s="200"/>
    </row>
    <row r="568" ht="22.5" customHeight="1">
      <c r="A568" s="145"/>
      <c r="B568" s="154"/>
      <c r="C568" s="138"/>
      <c r="D568" s="138"/>
      <c r="E568" s="138"/>
      <c r="F568" s="138"/>
      <c r="G568" s="119"/>
      <c r="H568" s="200"/>
      <c r="I568" s="200"/>
      <c r="J568" s="200"/>
      <c r="K568" s="200"/>
      <c r="L568" s="200"/>
      <c r="M568" s="200"/>
      <c r="N568" s="200"/>
      <c r="O568" s="200"/>
      <c r="P568" s="200"/>
      <c r="Q568" s="200"/>
      <c r="R568" s="200"/>
      <c r="S568" s="200"/>
      <c r="T568" s="200"/>
      <c r="U568" s="200"/>
      <c r="V568" s="200"/>
      <c r="W568" s="200"/>
      <c r="X568" s="200"/>
      <c r="Y568" s="200"/>
      <c r="Z568" s="200"/>
    </row>
    <row r="569" ht="22.5" customHeight="1">
      <c r="A569" s="145"/>
      <c r="B569" s="154"/>
      <c r="C569" s="138"/>
      <c r="D569" s="138"/>
      <c r="E569" s="138"/>
      <c r="F569" s="138"/>
      <c r="G569" s="119"/>
      <c r="H569" s="200"/>
      <c r="I569" s="200"/>
      <c r="J569" s="200"/>
      <c r="K569" s="200"/>
      <c r="L569" s="200"/>
      <c r="M569" s="200"/>
      <c r="N569" s="200"/>
      <c r="O569" s="200"/>
      <c r="P569" s="200"/>
      <c r="Q569" s="200"/>
      <c r="R569" s="200"/>
      <c r="S569" s="200"/>
      <c r="T569" s="200"/>
      <c r="U569" s="200"/>
      <c r="V569" s="200"/>
      <c r="W569" s="200"/>
      <c r="X569" s="200"/>
      <c r="Y569" s="200"/>
      <c r="Z569" s="200"/>
    </row>
    <row r="570" ht="22.5" customHeight="1">
      <c r="A570" s="145"/>
      <c r="B570" s="154"/>
      <c r="C570" s="138"/>
      <c r="D570" s="138"/>
      <c r="E570" s="138"/>
      <c r="F570" s="138"/>
      <c r="G570" s="119"/>
      <c r="H570" s="200"/>
      <c r="I570" s="200"/>
      <c r="J570" s="200"/>
      <c r="K570" s="200"/>
      <c r="L570" s="200"/>
      <c r="M570" s="200"/>
      <c r="N570" s="200"/>
      <c r="O570" s="200"/>
      <c r="P570" s="200"/>
      <c r="Q570" s="200"/>
      <c r="R570" s="200"/>
      <c r="S570" s="200"/>
      <c r="T570" s="200"/>
      <c r="U570" s="200"/>
      <c r="V570" s="200"/>
      <c r="W570" s="200"/>
      <c r="X570" s="200"/>
      <c r="Y570" s="200"/>
      <c r="Z570" s="200"/>
    </row>
    <row r="571" ht="22.5" customHeight="1">
      <c r="A571" s="145"/>
      <c r="B571" s="154"/>
      <c r="C571" s="138"/>
      <c r="D571" s="138"/>
      <c r="E571" s="138"/>
      <c r="F571" s="138"/>
      <c r="G571" s="119"/>
      <c r="H571" s="200"/>
      <c r="I571" s="200"/>
      <c r="J571" s="200"/>
      <c r="K571" s="200"/>
      <c r="L571" s="200"/>
      <c r="M571" s="200"/>
      <c r="N571" s="200"/>
      <c r="O571" s="200"/>
      <c r="P571" s="200"/>
      <c r="Q571" s="200"/>
      <c r="R571" s="200"/>
      <c r="S571" s="200"/>
      <c r="T571" s="200"/>
      <c r="U571" s="200"/>
      <c r="V571" s="200"/>
      <c r="W571" s="200"/>
      <c r="X571" s="200"/>
      <c r="Y571" s="200"/>
      <c r="Z571" s="200"/>
    </row>
    <row r="572" ht="22.5" customHeight="1">
      <c r="A572" s="145"/>
      <c r="B572" s="154"/>
      <c r="C572" s="138"/>
      <c r="D572" s="138"/>
      <c r="E572" s="138"/>
      <c r="F572" s="138"/>
      <c r="G572" s="119"/>
      <c r="H572" s="200"/>
      <c r="I572" s="200"/>
      <c r="J572" s="200"/>
      <c r="K572" s="200"/>
      <c r="L572" s="200"/>
      <c r="M572" s="200"/>
      <c r="N572" s="200"/>
      <c r="O572" s="200"/>
      <c r="P572" s="200"/>
      <c r="Q572" s="200"/>
      <c r="R572" s="200"/>
      <c r="S572" s="200"/>
      <c r="T572" s="200"/>
      <c r="U572" s="200"/>
      <c r="V572" s="200"/>
      <c r="W572" s="200"/>
      <c r="X572" s="200"/>
      <c r="Y572" s="200"/>
      <c r="Z572" s="200"/>
    </row>
    <row r="573" ht="22.5" customHeight="1">
      <c r="A573" s="145"/>
      <c r="B573" s="154"/>
      <c r="C573" s="138"/>
      <c r="D573" s="138"/>
      <c r="E573" s="138"/>
      <c r="F573" s="138"/>
      <c r="G573" s="119"/>
      <c r="H573" s="200"/>
      <c r="I573" s="200"/>
      <c r="J573" s="200"/>
      <c r="K573" s="200"/>
      <c r="L573" s="200"/>
      <c r="M573" s="200"/>
      <c r="N573" s="200"/>
      <c r="O573" s="200"/>
      <c r="P573" s="200"/>
      <c r="Q573" s="200"/>
      <c r="R573" s="200"/>
      <c r="S573" s="200"/>
      <c r="T573" s="200"/>
      <c r="U573" s="200"/>
      <c r="V573" s="200"/>
      <c r="W573" s="200"/>
      <c r="X573" s="200"/>
      <c r="Y573" s="200"/>
      <c r="Z573" s="200"/>
    </row>
    <row r="574" ht="22.5" customHeight="1">
      <c r="A574" s="145"/>
      <c r="B574" s="154"/>
      <c r="C574" s="138"/>
      <c r="D574" s="138"/>
      <c r="E574" s="138"/>
      <c r="F574" s="138"/>
      <c r="G574" s="119"/>
      <c r="H574" s="200"/>
      <c r="I574" s="200"/>
      <c r="J574" s="200"/>
      <c r="K574" s="200"/>
      <c r="L574" s="200"/>
      <c r="M574" s="200"/>
      <c r="N574" s="200"/>
      <c r="O574" s="200"/>
      <c r="P574" s="200"/>
      <c r="Q574" s="200"/>
      <c r="R574" s="200"/>
      <c r="S574" s="200"/>
      <c r="T574" s="200"/>
      <c r="U574" s="200"/>
      <c r="V574" s="200"/>
      <c r="W574" s="200"/>
      <c r="X574" s="200"/>
      <c r="Y574" s="200"/>
      <c r="Z574" s="200"/>
    </row>
    <row r="575" ht="22.5" customHeight="1">
      <c r="A575" s="145"/>
      <c r="B575" s="154"/>
      <c r="C575" s="138"/>
      <c r="D575" s="138"/>
      <c r="E575" s="138"/>
      <c r="F575" s="138"/>
      <c r="G575" s="119"/>
      <c r="H575" s="200"/>
      <c r="I575" s="200"/>
      <c r="J575" s="200"/>
      <c r="K575" s="200"/>
      <c r="L575" s="200"/>
      <c r="M575" s="200"/>
      <c r="N575" s="200"/>
      <c r="O575" s="200"/>
      <c r="P575" s="200"/>
      <c r="Q575" s="200"/>
      <c r="R575" s="200"/>
      <c r="S575" s="200"/>
      <c r="T575" s="200"/>
      <c r="U575" s="200"/>
      <c r="V575" s="200"/>
      <c r="W575" s="200"/>
      <c r="X575" s="200"/>
      <c r="Y575" s="200"/>
      <c r="Z575" s="200"/>
    </row>
    <row r="576" ht="22.5" customHeight="1">
      <c r="A576" s="145"/>
      <c r="B576" s="154"/>
      <c r="C576" s="138"/>
      <c r="D576" s="138"/>
      <c r="E576" s="138"/>
      <c r="F576" s="138"/>
      <c r="G576" s="119"/>
      <c r="H576" s="200"/>
      <c r="I576" s="200"/>
      <c r="J576" s="200"/>
      <c r="K576" s="200"/>
      <c r="L576" s="200"/>
      <c r="M576" s="200"/>
      <c r="N576" s="200"/>
      <c r="O576" s="200"/>
      <c r="P576" s="200"/>
      <c r="Q576" s="200"/>
      <c r="R576" s="200"/>
      <c r="S576" s="200"/>
      <c r="T576" s="200"/>
      <c r="U576" s="200"/>
      <c r="V576" s="200"/>
      <c r="W576" s="200"/>
      <c r="X576" s="200"/>
      <c r="Y576" s="200"/>
      <c r="Z576" s="200"/>
    </row>
    <row r="577" ht="22.5" customHeight="1">
      <c r="A577" s="145"/>
      <c r="B577" s="154"/>
      <c r="C577" s="138"/>
      <c r="D577" s="138"/>
      <c r="E577" s="138"/>
      <c r="F577" s="138"/>
      <c r="G577" s="119"/>
      <c r="H577" s="200"/>
      <c r="I577" s="200"/>
      <c r="J577" s="200"/>
      <c r="K577" s="200"/>
      <c r="L577" s="200"/>
      <c r="M577" s="200"/>
      <c r="N577" s="200"/>
      <c r="O577" s="200"/>
      <c r="P577" s="200"/>
      <c r="Q577" s="200"/>
      <c r="R577" s="200"/>
      <c r="S577" s="200"/>
      <c r="T577" s="200"/>
      <c r="U577" s="200"/>
      <c r="V577" s="200"/>
      <c r="W577" s="200"/>
      <c r="X577" s="200"/>
      <c r="Y577" s="200"/>
      <c r="Z577" s="200"/>
    </row>
    <row r="578" ht="22.5" customHeight="1">
      <c r="A578" s="145"/>
      <c r="B578" s="154"/>
      <c r="C578" s="138"/>
      <c r="D578" s="138"/>
      <c r="E578" s="138"/>
      <c r="F578" s="138"/>
      <c r="G578" s="119"/>
      <c r="H578" s="200"/>
      <c r="I578" s="200"/>
      <c r="J578" s="200"/>
      <c r="K578" s="200"/>
      <c r="L578" s="200"/>
      <c r="M578" s="200"/>
      <c r="N578" s="200"/>
      <c r="O578" s="200"/>
      <c r="P578" s="200"/>
      <c r="Q578" s="200"/>
      <c r="R578" s="200"/>
      <c r="S578" s="200"/>
      <c r="T578" s="200"/>
      <c r="U578" s="200"/>
      <c r="V578" s="200"/>
      <c r="W578" s="200"/>
      <c r="X578" s="200"/>
      <c r="Y578" s="200"/>
      <c r="Z578" s="200"/>
    </row>
    <row r="579" ht="22.5" customHeight="1">
      <c r="A579" s="145"/>
      <c r="B579" s="154"/>
      <c r="C579" s="138"/>
      <c r="D579" s="138"/>
      <c r="E579" s="138"/>
      <c r="F579" s="138"/>
      <c r="G579" s="119"/>
      <c r="H579" s="200"/>
      <c r="I579" s="200"/>
      <c r="J579" s="200"/>
      <c r="K579" s="200"/>
      <c r="L579" s="200"/>
      <c r="M579" s="200"/>
      <c r="N579" s="200"/>
      <c r="O579" s="200"/>
      <c r="P579" s="200"/>
      <c r="Q579" s="200"/>
      <c r="R579" s="200"/>
      <c r="S579" s="200"/>
      <c r="T579" s="200"/>
      <c r="U579" s="200"/>
      <c r="V579" s="200"/>
      <c r="W579" s="200"/>
      <c r="X579" s="200"/>
      <c r="Y579" s="200"/>
      <c r="Z579" s="200"/>
    </row>
    <row r="580" ht="22.5" customHeight="1">
      <c r="A580" s="145"/>
      <c r="B580" s="154"/>
      <c r="C580" s="138"/>
      <c r="D580" s="138"/>
      <c r="E580" s="138"/>
      <c r="F580" s="138"/>
      <c r="G580" s="119"/>
      <c r="H580" s="200"/>
      <c r="I580" s="200"/>
      <c r="J580" s="200"/>
      <c r="K580" s="200"/>
      <c r="L580" s="200"/>
      <c r="M580" s="200"/>
      <c r="N580" s="200"/>
      <c r="O580" s="200"/>
      <c r="P580" s="200"/>
      <c r="Q580" s="200"/>
      <c r="R580" s="200"/>
      <c r="S580" s="200"/>
      <c r="T580" s="200"/>
      <c r="U580" s="200"/>
      <c r="V580" s="200"/>
      <c r="W580" s="200"/>
      <c r="X580" s="200"/>
      <c r="Y580" s="200"/>
      <c r="Z580" s="200"/>
    </row>
    <row r="581" ht="22.5" customHeight="1">
      <c r="A581" s="145"/>
      <c r="B581" s="154"/>
      <c r="C581" s="138"/>
      <c r="D581" s="138"/>
      <c r="E581" s="138"/>
      <c r="F581" s="138"/>
      <c r="G581" s="119"/>
      <c r="H581" s="200"/>
      <c r="I581" s="200"/>
      <c r="J581" s="200"/>
      <c r="K581" s="200"/>
      <c r="L581" s="200"/>
      <c r="M581" s="200"/>
      <c r="N581" s="200"/>
      <c r="O581" s="200"/>
      <c r="P581" s="200"/>
      <c r="Q581" s="200"/>
      <c r="R581" s="200"/>
      <c r="S581" s="200"/>
      <c r="T581" s="200"/>
      <c r="U581" s="200"/>
      <c r="V581" s="200"/>
      <c r="W581" s="200"/>
      <c r="X581" s="200"/>
      <c r="Y581" s="200"/>
      <c r="Z581" s="200"/>
    </row>
    <row r="582" ht="22.5" customHeight="1">
      <c r="A582" s="145"/>
      <c r="B582" s="154"/>
      <c r="C582" s="138"/>
      <c r="D582" s="138"/>
      <c r="E582" s="138"/>
      <c r="F582" s="138"/>
      <c r="G582" s="119"/>
      <c r="H582" s="200"/>
      <c r="I582" s="200"/>
      <c r="J582" s="200"/>
      <c r="K582" s="200"/>
      <c r="L582" s="200"/>
      <c r="M582" s="200"/>
      <c r="N582" s="200"/>
      <c r="O582" s="200"/>
      <c r="P582" s="200"/>
      <c r="Q582" s="200"/>
      <c r="R582" s="200"/>
      <c r="S582" s="200"/>
      <c r="T582" s="200"/>
      <c r="U582" s="200"/>
      <c r="V582" s="200"/>
      <c r="W582" s="200"/>
      <c r="X582" s="200"/>
      <c r="Y582" s="200"/>
      <c r="Z582" s="200"/>
    </row>
    <row r="583" ht="22.5" customHeight="1">
      <c r="A583" s="145"/>
      <c r="B583" s="154"/>
      <c r="C583" s="138"/>
      <c r="D583" s="138"/>
      <c r="E583" s="138"/>
      <c r="F583" s="138"/>
      <c r="G583" s="119"/>
      <c r="H583" s="200"/>
      <c r="I583" s="200"/>
      <c r="J583" s="200"/>
      <c r="K583" s="200"/>
      <c r="L583" s="200"/>
      <c r="M583" s="200"/>
      <c r="N583" s="200"/>
      <c r="O583" s="200"/>
      <c r="P583" s="200"/>
      <c r="Q583" s="200"/>
      <c r="R583" s="200"/>
      <c r="S583" s="200"/>
      <c r="T583" s="200"/>
      <c r="U583" s="200"/>
      <c r="V583" s="200"/>
      <c r="W583" s="200"/>
      <c r="X583" s="200"/>
      <c r="Y583" s="200"/>
      <c r="Z583" s="200"/>
    </row>
    <row r="584" ht="22.5" customHeight="1">
      <c r="A584" s="145"/>
      <c r="B584" s="154"/>
      <c r="C584" s="138"/>
      <c r="D584" s="138"/>
      <c r="E584" s="138"/>
      <c r="F584" s="138"/>
      <c r="G584" s="119"/>
      <c r="H584" s="200"/>
      <c r="I584" s="200"/>
      <c r="J584" s="200"/>
      <c r="K584" s="200"/>
      <c r="L584" s="200"/>
      <c r="M584" s="200"/>
      <c r="N584" s="200"/>
      <c r="O584" s="200"/>
      <c r="P584" s="200"/>
      <c r="Q584" s="200"/>
      <c r="R584" s="200"/>
      <c r="S584" s="200"/>
      <c r="T584" s="200"/>
      <c r="U584" s="200"/>
      <c r="V584" s="200"/>
      <c r="W584" s="200"/>
      <c r="X584" s="200"/>
      <c r="Y584" s="200"/>
      <c r="Z584" s="200"/>
    </row>
    <row r="585" ht="22.5" customHeight="1">
      <c r="A585" s="145"/>
      <c r="B585" s="154"/>
      <c r="C585" s="138"/>
      <c r="D585" s="138"/>
      <c r="E585" s="138"/>
      <c r="F585" s="138"/>
      <c r="G585" s="119"/>
      <c r="H585" s="200"/>
      <c r="I585" s="200"/>
      <c r="J585" s="200"/>
      <c r="K585" s="200"/>
      <c r="L585" s="200"/>
      <c r="M585" s="200"/>
      <c r="N585" s="200"/>
      <c r="O585" s="200"/>
      <c r="P585" s="200"/>
      <c r="Q585" s="200"/>
      <c r="R585" s="200"/>
      <c r="S585" s="200"/>
      <c r="T585" s="200"/>
      <c r="U585" s="200"/>
      <c r="V585" s="200"/>
      <c r="W585" s="200"/>
      <c r="X585" s="200"/>
      <c r="Y585" s="200"/>
      <c r="Z585" s="200"/>
    </row>
    <row r="586" ht="22.5" customHeight="1">
      <c r="A586" s="145"/>
      <c r="B586" s="154"/>
      <c r="C586" s="138"/>
      <c r="D586" s="138"/>
      <c r="E586" s="138"/>
      <c r="F586" s="138"/>
      <c r="G586" s="119"/>
      <c r="H586" s="200"/>
      <c r="I586" s="200"/>
      <c r="J586" s="200"/>
      <c r="K586" s="200"/>
      <c r="L586" s="200"/>
      <c r="M586" s="200"/>
      <c r="N586" s="200"/>
      <c r="O586" s="200"/>
      <c r="P586" s="200"/>
      <c r="Q586" s="200"/>
      <c r="R586" s="200"/>
      <c r="S586" s="200"/>
      <c r="T586" s="200"/>
      <c r="U586" s="200"/>
      <c r="V586" s="200"/>
      <c r="W586" s="200"/>
      <c r="X586" s="200"/>
      <c r="Y586" s="200"/>
      <c r="Z586" s="200"/>
    </row>
    <row r="587" ht="22.5" customHeight="1">
      <c r="A587" s="145"/>
      <c r="B587" s="154"/>
      <c r="C587" s="138"/>
      <c r="D587" s="138"/>
      <c r="E587" s="138"/>
      <c r="F587" s="138"/>
      <c r="G587" s="119"/>
      <c r="H587" s="200"/>
      <c r="I587" s="200"/>
      <c r="J587" s="200"/>
      <c r="K587" s="200"/>
      <c r="L587" s="200"/>
      <c r="M587" s="200"/>
      <c r="N587" s="200"/>
      <c r="O587" s="200"/>
      <c r="P587" s="200"/>
      <c r="Q587" s="200"/>
      <c r="R587" s="200"/>
      <c r="S587" s="200"/>
      <c r="T587" s="200"/>
      <c r="U587" s="200"/>
      <c r="V587" s="200"/>
      <c r="W587" s="200"/>
      <c r="X587" s="200"/>
      <c r="Y587" s="200"/>
      <c r="Z587" s="200"/>
    </row>
    <row r="588" ht="22.5" customHeight="1">
      <c r="A588" s="145"/>
      <c r="B588" s="154"/>
      <c r="C588" s="138"/>
      <c r="D588" s="138"/>
      <c r="E588" s="138"/>
      <c r="F588" s="138"/>
      <c r="G588" s="119"/>
      <c r="H588" s="200"/>
      <c r="I588" s="200"/>
      <c r="J588" s="200"/>
      <c r="K588" s="200"/>
      <c r="L588" s="200"/>
      <c r="M588" s="200"/>
      <c r="N588" s="200"/>
      <c r="O588" s="200"/>
      <c r="P588" s="200"/>
      <c r="Q588" s="200"/>
      <c r="R588" s="200"/>
      <c r="S588" s="200"/>
      <c r="T588" s="200"/>
      <c r="U588" s="200"/>
      <c r="V588" s="200"/>
      <c r="W588" s="200"/>
      <c r="X588" s="200"/>
      <c r="Y588" s="200"/>
      <c r="Z588" s="200"/>
    </row>
    <row r="589" ht="22.5" customHeight="1">
      <c r="A589" s="145"/>
      <c r="B589" s="154"/>
      <c r="C589" s="138"/>
      <c r="D589" s="138"/>
      <c r="E589" s="138"/>
      <c r="F589" s="138"/>
      <c r="G589" s="119"/>
      <c r="H589" s="200"/>
      <c r="I589" s="200"/>
      <c r="J589" s="200"/>
      <c r="K589" s="200"/>
      <c r="L589" s="200"/>
      <c r="M589" s="200"/>
      <c r="N589" s="200"/>
      <c r="O589" s="200"/>
      <c r="P589" s="200"/>
      <c r="Q589" s="200"/>
      <c r="R589" s="200"/>
      <c r="S589" s="200"/>
      <c r="T589" s="200"/>
      <c r="U589" s="200"/>
      <c r="V589" s="200"/>
      <c r="W589" s="200"/>
      <c r="X589" s="200"/>
      <c r="Y589" s="200"/>
      <c r="Z589" s="200"/>
    </row>
    <row r="590" ht="22.5" customHeight="1">
      <c r="A590" s="145"/>
      <c r="B590" s="154"/>
      <c r="C590" s="138"/>
      <c r="D590" s="138"/>
      <c r="E590" s="138"/>
      <c r="F590" s="138"/>
      <c r="G590" s="119"/>
      <c r="H590" s="200"/>
      <c r="I590" s="200"/>
      <c r="J590" s="200"/>
      <c r="K590" s="200"/>
      <c r="L590" s="200"/>
      <c r="M590" s="200"/>
      <c r="N590" s="200"/>
      <c r="O590" s="200"/>
      <c r="P590" s="200"/>
      <c r="Q590" s="200"/>
      <c r="R590" s="200"/>
      <c r="S590" s="200"/>
      <c r="T590" s="200"/>
      <c r="U590" s="200"/>
      <c r="V590" s="200"/>
      <c r="W590" s="200"/>
      <c r="X590" s="200"/>
      <c r="Y590" s="200"/>
      <c r="Z590" s="200"/>
    </row>
    <row r="591" ht="22.5" customHeight="1">
      <c r="A591" s="145"/>
      <c r="B591" s="154"/>
      <c r="C591" s="138"/>
      <c r="D591" s="138"/>
      <c r="E591" s="138"/>
      <c r="F591" s="138"/>
      <c r="G591" s="119"/>
      <c r="H591" s="200"/>
      <c r="I591" s="200"/>
      <c r="J591" s="200"/>
      <c r="K591" s="200"/>
      <c r="L591" s="200"/>
      <c r="M591" s="200"/>
      <c r="N591" s="200"/>
      <c r="O591" s="200"/>
      <c r="P591" s="200"/>
      <c r="Q591" s="200"/>
      <c r="R591" s="200"/>
      <c r="S591" s="200"/>
      <c r="T591" s="200"/>
      <c r="U591" s="200"/>
      <c r="V591" s="200"/>
      <c r="W591" s="200"/>
      <c r="X591" s="200"/>
      <c r="Y591" s="200"/>
      <c r="Z591" s="200"/>
    </row>
    <row r="592" ht="22.5" customHeight="1">
      <c r="A592" s="145"/>
      <c r="B592" s="154"/>
      <c r="C592" s="138"/>
      <c r="D592" s="138"/>
      <c r="E592" s="138"/>
      <c r="F592" s="138"/>
      <c r="G592" s="119"/>
      <c r="H592" s="200"/>
      <c r="I592" s="200"/>
      <c r="J592" s="200"/>
      <c r="K592" s="200"/>
      <c r="L592" s="200"/>
      <c r="M592" s="200"/>
      <c r="N592" s="200"/>
      <c r="O592" s="200"/>
      <c r="P592" s="200"/>
      <c r="Q592" s="200"/>
      <c r="R592" s="200"/>
      <c r="S592" s="200"/>
      <c r="T592" s="200"/>
      <c r="U592" s="200"/>
      <c r="V592" s="200"/>
      <c r="W592" s="200"/>
      <c r="X592" s="200"/>
      <c r="Y592" s="200"/>
      <c r="Z592" s="200"/>
    </row>
    <row r="593" ht="22.5" customHeight="1">
      <c r="A593" s="145"/>
      <c r="B593" s="154"/>
      <c r="C593" s="138"/>
      <c r="D593" s="138"/>
      <c r="E593" s="138"/>
      <c r="F593" s="138"/>
      <c r="G593" s="119"/>
      <c r="H593" s="200"/>
      <c r="I593" s="200"/>
      <c r="J593" s="200"/>
      <c r="K593" s="200"/>
      <c r="L593" s="200"/>
      <c r="M593" s="200"/>
      <c r="N593" s="200"/>
      <c r="O593" s="200"/>
      <c r="P593" s="200"/>
      <c r="Q593" s="200"/>
      <c r="R593" s="200"/>
      <c r="S593" s="200"/>
      <c r="T593" s="200"/>
      <c r="U593" s="200"/>
      <c r="V593" s="200"/>
      <c r="W593" s="200"/>
      <c r="X593" s="200"/>
      <c r="Y593" s="200"/>
      <c r="Z593" s="200"/>
    </row>
    <row r="594" ht="22.5" customHeight="1">
      <c r="A594" s="145"/>
      <c r="B594" s="154"/>
      <c r="C594" s="138"/>
      <c r="D594" s="138"/>
      <c r="E594" s="138"/>
      <c r="F594" s="138"/>
      <c r="G594" s="119"/>
      <c r="H594" s="200"/>
      <c r="I594" s="200"/>
      <c r="J594" s="200"/>
      <c r="K594" s="200"/>
      <c r="L594" s="200"/>
      <c r="M594" s="200"/>
      <c r="N594" s="200"/>
      <c r="O594" s="200"/>
      <c r="P594" s="200"/>
      <c r="Q594" s="200"/>
      <c r="R594" s="200"/>
      <c r="S594" s="200"/>
      <c r="T594" s="200"/>
      <c r="U594" s="200"/>
      <c r="V594" s="200"/>
      <c r="W594" s="200"/>
      <c r="X594" s="200"/>
      <c r="Y594" s="200"/>
      <c r="Z594" s="200"/>
    </row>
    <row r="595" ht="22.5" customHeight="1">
      <c r="A595" s="145"/>
      <c r="B595" s="154"/>
      <c r="C595" s="138"/>
      <c r="D595" s="138"/>
      <c r="E595" s="138"/>
      <c r="F595" s="138"/>
      <c r="G595" s="119"/>
      <c r="H595" s="200"/>
      <c r="I595" s="200"/>
      <c r="J595" s="200"/>
      <c r="K595" s="200"/>
      <c r="L595" s="200"/>
      <c r="M595" s="200"/>
      <c r="N595" s="200"/>
      <c r="O595" s="200"/>
      <c r="P595" s="200"/>
      <c r="Q595" s="200"/>
      <c r="R595" s="200"/>
      <c r="S595" s="200"/>
      <c r="T595" s="200"/>
      <c r="U595" s="200"/>
      <c r="V595" s="200"/>
      <c r="W595" s="200"/>
      <c r="X595" s="200"/>
      <c r="Y595" s="200"/>
      <c r="Z595" s="200"/>
    </row>
    <row r="596" ht="22.5" customHeight="1">
      <c r="A596" s="145"/>
      <c r="B596" s="154"/>
      <c r="C596" s="138"/>
      <c r="D596" s="138"/>
      <c r="E596" s="138"/>
      <c r="F596" s="138"/>
      <c r="G596" s="119"/>
      <c r="H596" s="200"/>
      <c r="I596" s="200"/>
      <c r="J596" s="200"/>
      <c r="K596" s="200"/>
      <c r="L596" s="200"/>
      <c r="M596" s="200"/>
      <c r="N596" s="200"/>
      <c r="O596" s="200"/>
      <c r="P596" s="200"/>
      <c r="Q596" s="200"/>
      <c r="R596" s="200"/>
      <c r="S596" s="200"/>
      <c r="T596" s="200"/>
      <c r="U596" s="200"/>
      <c r="V596" s="200"/>
      <c r="W596" s="200"/>
      <c r="X596" s="200"/>
      <c r="Y596" s="200"/>
      <c r="Z596" s="200"/>
    </row>
    <row r="597" ht="22.5" customHeight="1">
      <c r="A597" s="145"/>
      <c r="B597" s="154"/>
      <c r="C597" s="138"/>
      <c r="D597" s="138"/>
      <c r="E597" s="138"/>
      <c r="F597" s="138"/>
      <c r="G597" s="119"/>
      <c r="H597" s="200"/>
      <c r="I597" s="200"/>
      <c r="J597" s="200"/>
      <c r="K597" s="200"/>
      <c r="L597" s="200"/>
      <c r="M597" s="200"/>
      <c r="N597" s="200"/>
      <c r="O597" s="200"/>
      <c r="P597" s="200"/>
      <c r="Q597" s="200"/>
      <c r="R597" s="200"/>
      <c r="S597" s="200"/>
      <c r="T597" s="200"/>
      <c r="U597" s="200"/>
      <c r="V597" s="200"/>
      <c r="W597" s="200"/>
      <c r="X597" s="200"/>
      <c r="Y597" s="200"/>
      <c r="Z597" s="200"/>
    </row>
    <row r="598" ht="22.5" customHeight="1">
      <c r="A598" s="145"/>
      <c r="B598" s="154"/>
      <c r="C598" s="138"/>
      <c r="D598" s="138"/>
      <c r="E598" s="138"/>
      <c r="F598" s="138"/>
      <c r="G598" s="119"/>
      <c r="H598" s="200"/>
      <c r="I598" s="200"/>
      <c r="J598" s="200"/>
      <c r="K598" s="200"/>
      <c r="L598" s="200"/>
      <c r="M598" s="200"/>
      <c r="N598" s="200"/>
      <c r="O598" s="200"/>
      <c r="P598" s="200"/>
      <c r="Q598" s="200"/>
      <c r="R598" s="200"/>
      <c r="S598" s="200"/>
      <c r="T598" s="200"/>
      <c r="U598" s="200"/>
      <c r="V598" s="200"/>
      <c r="W598" s="200"/>
      <c r="X598" s="200"/>
      <c r="Y598" s="200"/>
      <c r="Z598" s="200"/>
    </row>
    <row r="599" ht="22.5" customHeight="1">
      <c r="A599" s="145"/>
      <c r="B599" s="154"/>
      <c r="C599" s="138"/>
      <c r="D599" s="138"/>
      <c r="E599" s="138"/>
      <c r="F599" s="138"/>
      <c r="G599" s="119"/>
      <c r="H599" s="200"/>
      <c r="I599" s="200"/>
      <c r="J599" s="200"/>
      <c r="K599" s="200"/>
      <c r="L599" s="200"/>
      <c r="M599" s="200"/>
      <c r="N599" s="200"/>
      <c r="O599" s="200"/>
      <c r="P599" s="200"/>
      <c r="Q599" s="200"/>
      <c r="R599" s="200"/>
      <c r="S599" s="200"/>
      <c r="T599" s="200"/>
      <c r="U599" s="200"/>
      <c r="V599" s="200"/>
      <c r="W599" s="200"/>
      <c r="X599" s="200"/>
      <c r="Y599" s="200"/>
      <c r="Z599" s="200"/>
    </row>
    <row r="600" ht="22.5" customHeight="1">
      <c r="A600" s="145"/>
      <c r="B600" s="154"/>
      <c r="C600" s="138"/>
      <c r="D600" s="138"/>
      <c r="E600" s="138"/>
      <c r="F600" s="138"/>
      <c r="G600" s="119"/>
      <c r="H600" s="200"/>
      <c r="I600" s="200"/>
      <c r="J600" s="200"/>
      <c r="K600" s="200"/>
      <c r="L600" s="200"/>
      <c r="M600" s="200"/>
      <c r="N600" s="200"/>
      <c r="O600" s="200"/>
      <c r="P600" s="200"/>
      <c r="Q600" s="200"/>
      <c r="R600" s="200"/>
      <c r="S600" s="200"/>
      <c r="T600" s="200"/>
      <c r="U600" s="200"/>
      <c r="V600" s="200"/>
      <c r="W600" s="200"/>
      <c r="X600" s="200"/>
      <c r="Y600" s="200"/>
      <c r="Z600" s="200"/>
    </row>
    <row r="601" ht="22.5" customHeight="1">
      <c r="A601" s="145"/>
      <c r="B601" s="154"/>
      <c r="C601" s="138"/>
      <c r="D601" s="138"/>
      <c r="E601" s="138"/>
      <c r="F601" s="138"/>
      <c r="G601" s="119"/>
      <c r="H601" s="200"/>
      <c r="I601" s="200"/>
      <c r="J601" s="200"/>
      <c r="K601" s="200"/>
      <c r="L601" s="200"/>
      <c r="M601" s="200"/>
      <c r="N601" s="200"/>
      <c r="O601" s="200"/>
      <c r="P601" s="200"/>
      <c r="Q601" s="200"/>
      <c r="R601" s="200"/>
      <c r="S601" s="200"/>
      <c r="T601" s="200"/>
      <c r="U601" s="200"/>
      <c r="V601" s="200"/>
      <c r="W601" s="200"/>
      <c r="X601" s="200"/>
      <c r="Y601" s="200"/>
      <c r="Z601" s="200"/>
    </row>
    <row r="602" ht="22.5" customHeight="1">
      <c r="A602" s="145"/>
      <c r="B602" s="154"/>
      <c r="C602" s="138"/>
      <c r="D602" s="138"/>
      <c r="E602" s="138"/>
      <c r="F602" s="138"/>
      <c r="G602" s="119"/>
      <c r="H602" s="200"/>
      <c r="I602" s="200"/>
      <c r="J602" s="200"/>
      <c r="K602" s="200"/>
      <c r="L602" s="200"/>
      <c r="M602" s="200"/>
      <c r="N602" s="200"/>
      <c r="O602" s="200"/>
      <c r="P602" s="200"/>
      <c r="Q602" s="200"/>
      <c r="R602" s="200"/>
      <c r="S602" s="200"/>
      <c r="T602" s="200"/>
      <c r="U602" s="200"/>
      <c r="V602" s="200"/>
      <c r="W602" s="200"/>
      <c r="X602" s="200"/>
      <c r="Y602" s="200"/>
      <c r="Z602" s="200"/>
    </row>
    <row r="603" ht="22.5" customHeight="1">
      <c r="A603" s="145"/>
      <c r="B603" s="154"/>
      <c r="C603" s="138"/>
      <c r="D603" s="138"/>
      <c r="E603" s="138"/>
      <c r="F603" s="138"/>
      <c r="G603" s="119"/>
      <c r="H603" s="200"/>
      <c r="I603" s="200"/>
      <c r="J603" s="200"/>
      <c r="K603" s="200"/>
      <c r="L603" s="200"/>
      <c r="M603" s="200"/>
      <c r="N603" s="200"/>
      <c r="O603" s="200"/>
      <c r="P603" s="200"/>
      <c r="Q603" s="200"/>
      <c r="R603" s="200"/>
      <c r="S603" s="200"/>
      <c r="T603" s="200"/>
      <c r="U603" s="200"/>
      <c r="V603" s="200"/>
      <c r="W603" s="200"/>
      <c r="X603" s="200"/>
      <c r="Y603" s="200"/>
      <c r="Z603" s="200"/>
    </row>
    <row r="604" ht="22.5" customHeight="1">
      <c r="A604" s="145"/>
      <c r="B604" s="154"/>
      <c r="C604" s="138"/>
      <c r="D604" s="138"/>
      <c r="E604" s="138"/>
      <c r="F604" s="138"/>
      <c r="G604" s="119"/>
      <c r="H604" s="200"/>
      <c r="I604" s="200"/>
      <c r="J604" s="200"/>
      <c r="K604" s="200"/>
      <c r="L604" s="200"/>
      <c r="M604" s="200"/>
      <c r="N604" s="200"/>
      <c r="O604" s="200"/>
      <c r="P604" s="200"/>
      <c r="Q604" s="200"/>
      <c r="R604" s="200"/>
      <c r="S604" s="200"/>
      <c r="T604" s="200"/>
      <c r="U604" s="200"/>
      <c r="V604" s="200"/>
      <c r="W604" s="200"/>
      <c r="X604" s="200"/>
      <c r="Y604" s="200"/>
      <c r="Z604" s="200"/>
    </row>
    <row r="605" ht="22.5" customHeight="1">
      <c r="A605" s="145"/>
      <c r="B605" s="154"/>
      <c r="C605" s="138"/>
      <c r="D605" s="138"/>
      <c r="E605" s="138"/>
      <c r="F605" s="138"/>
      <c r="G605" s="119"/>
      <c r="H605" s="200"/>
      <c r="I605" s="200"/>
      <c r="J605" s="200"/>
      <c r="K605" s="200"/>
      <c r="L605" s="200"/>
      <c r="M605" s="200"/>
      <c r="N605" s="200"/>
      <c r="O605" s="200"/>
      <c r="P605" s="200"/>
      <c r="Q605" s="200"/>
      <c r="R605" s="200"/>
      <c r="S605" s="200"/>
      <c r="T605" s="200"/>
      <c r="U605" s="200"/>
      <c r="V605" s="200"/>
      <c r="W605" s="200"/>
      <c r="X605" s="200"/>
      <c r="Y605" s="200"/>
      <c r="Z605" s="200"/>
    </row>
    <row r="606" ht="22.5" customHeight="1">
      <c r="A606" s="145"/>
      <c r="B606" s="154"/>
      <c r="C606" s="138"/>
      <c r="D606" s="138"/>
      <c r="E606" s="138"/>
      <c r="F606" s="138"/>
      <c r="G606" s="119"/>
      <c r="H606" s="200"/>
      <c r="I606" s="200"/>
      <c r="J606" s="200"/>
      <c r="K606" s="200"/>
      <c r="L606" s="200"/>
      <c r="M606" s="200"/>
      <c r="N606" s="200"/>
      <c r="O606" s="200"/>
      <c r="P606" s="200"/>
      <c r="Q606" s="200"/>
      <c r="R606" s="200"/>
      <c r="S606" s="200"/>
      <c r="T606" s="200"/>
      <c r="U606" s="200"/>
      <c r="V606" s="200"/>
      <c r="W606" s="200"/>
      <c r="X606" s="200"/>
      <c r="Y606" s="200"/>
      <c r="Z606" s="200"/>
    </row>
    <row r="607" ht="22.5" customHeight="1">
      <c r="A607" s="145"/>
      <c r="B607" s="154"/>
      <c r="C607" s="138"/>
      <c r="D607" s="138"/>
      <c r="E607" s="138"/>
      <c r="F607" s="138"/>
      <c r="G607" s="119"/>
      <c r="H607" s="200"/>
      <c r="I607" s="200"/>
      <c r="J607" s="200"/>
      <c r="K607" s="200"/>
      <c r="L607" s="200"/>
      <c r="M607" s="200"/>
      <c r="N607" s="200"/>
      <c r="O607" s="200"/>
      <c r="P607" s="200"/>
      <c r="Q607" s="200"/>
      <c r="R607" s="200"/>
      <c r="S607" s="200"/>
      <c r="T607" s="200"/>
      <c r="U607" s="200"/>
      <c r="V607" s="200"/>
      <c r="W607" s="200"/>
      <c r="X607" s="200"/>
      <c r="Y607" s="200"/>
      <c r="Z607" s="200"/>
    </row>
    <row r="608" ht="22.5" customHeight="1">
      <c r="A608" s="145"/>
      <c r="B608" s="154"/>
      <c r="C608" s="138"/>
      <c r="D608" s="138"/>
      <c r="E608" s="138"/>
      <c r="F608" s="138"/>
      <c r="G608" s="119"/>
      <c r="H608" s="200"/>
      <c r="I608" s="200"/>
      <c r="J608" s="200"/>
      <c r="K608" s="200"/>
      <c r="L608" s="200"/>
      <c r="M608" s="200"/>
      <c r="N608" s="200"/>
      <c r="O608" s="200"/>
      <c r="P608" s="200"/>
      <c r="Q608" s="200"/>
      <c r="R608" s="200"/>
      <c r="S608" s="200"/>
      <c r="T608" s="200"/>
      <c r="U608" s="200"/>
      <c r="V608" s="200"/>
      <c r="W608" s="200"/>
      <c r="X608" s="200"/>
      <c r="Y608" s="200"/>
      <c r="Z608" s="200"/>
    </row>
    <row r="609" ht="22.5" customHeight="1">
      <c r="A609" s="145"/>
      <c r="B609" s="154"/>
      <c r="C609" s="138"/>
      <c r="D609" s="138"/>
      <c r="E609" s="138"/>
      <c r="F609" s="138"/>
      <c r="G609" s="119"/>
      <c r="H609" s="200"/>
      <c r="I609" s="200"/>
      <c r="J609" s="200"/>
      <c r="K609" s="200"/>
      <c r="L609" s="200"/>
      <c r="M609" s="200"/>
      <c r="N609" s="200"/>
      <c r="O609" s="200"/>
      <c r="P609" s="200"/>
      <c r="Q609" s="200"/>
      <c r="R609" s="200"/>
      <c r="S609" s="200"/>
      <c r="T609" s="200"/>
      <c r="U609" s="200"/>
      <c r="V609" s="200"/>
      <c r="W609" s="200"/>
      <c r="X609" s="200"/>
      <c r="Y609" s="200"/>
      <c r="Z609" s="200"/>
    </row>
    <row r="610" ht="22.5" customHeight="1">
      <c r="A610" s="145"/>
      <c r="B610" s="154"/>
      <c r="C610" s="138"/>
      <c r="D610" s="138"/>
      <c r="E610" s="138"/>
      <c r="F610" s="138"/>
      <c r="G610" s="119"/>
      <c r="H610" s="200"/>
      <c r="I610" s="200"/>
      <c r="J610" s="200"/>
      <c r="K610" s="200"/>
      <c r="L610" s="200"/>
      <c r="M610" s="200"/>
      <c r="N610" s="200"/>
      <c r="O610" s="200"/>
      <c r="P610" s="200"/>
      <c r="Q610" s="200"/>
      <c r="R610" s="200"/>
      <c r="S610" s="200"/>
      <c r="T610" s="200"/>
      <c r="U610" s="200"/>
      <c r="V610" s="200"/>
      <c r="W610" s="200"/>
      <c r="X610" s="200"/>
      <c r="Y610" s="200"/>
      <c r="Z610" s="200"/>
    </row>
    <row r="611" ht="22.5" customHeight="1">
      <c r="A611" s="145"/>
      <c r="B611" s="154"/>
      <c r="C611" s="138"/>
      <c r="D611" s="138"/>
      <c r="E611" s="138"/>
      <c r="F611" s="138"/>
      <c r="G611" s="119"/>
      <c r="H611" s="200"/>
      <c r="I611" s="200"/>
      <c r="J611" s="200"/>
      <c r="K611" s="200"/>
      <c r="L611" s="200"/>
      <c r="M611" s="200"/>
      <c r="N611" s="200"/>
      <c r="O611" s="200"/>
      <c r="P611" s="200"/>
      <c r="Q611" s="200"/>
      <c r="R611" s="200"/>
      <c r="S611" s="200"/>
      <c r="T611" s="200"/>
      <c r="U611" s="200"/>
      <c r="V611" s="200"/>
      <c r="W611" s="200"/>
      <c r="X611" s="200"/>
      <c r="Y611" s="200"/>
      <c r="Z611" s="200"/>
    </row>
    <row r="612" ht="22.5" customHeight="1">
      <c r="A612" s="145"/>
      <c r="B612" s="154"/>
      <c r="C612" s="138"/>
      <c r="D612" s="138"/>
      <c r="E612" s="138"/>
      <c r="F612" s="138"/>
      <c r="G612" s="119"/>
      <c r="H612" s="200"/>
      <c r="I612" s="200"/>
      <c r="J612" s="200"/>
      <c r="K612" s="200"/>
      <c r="L612" s="200"/>
      <c r="M612" s="200"/>
      <c r="N612" s="200"/>
      <c r="O612" s="200"/>
      <c r="P612" s="200"/>
      <c r="Q612" s="200"/>
      <c r="R612" s="200"/>
      <c r="S612" s="200"/>
      <c r="T612" s="200"/>
      <c r="U612" s="200"/>
      <c r="V612" s="200"/>
      <c r="W612" s="200"/>
      <c r="X612" s="200"/>
      <c r="Y612" s="200"/>
      <c r="Z612" s="200"/>
    </row>
    <row r="613" ht="22.5" customHeight="1">
      <c r="A613" s="145"/>
      <c r="B613" s="154"/>
      <c r="C613" s="138"/>
      <c r="D613" s="138"/>
      <c r="E613" s="138"/>
      <c r="F613" s="138"/>
      <c r="G613" s="119"/>
      <c r="H613" s="200"/>
      <c r="I613" s="200"/>
      <c r="J613" s="200"/>
      <c r="K613" s="200"/>
      <c r="L613" s="200"/>
      <c r="M613" s="200"/>
      <c r="N613" s="200"/>
      <c r="O613" s="200"/>
      <c r="P613" s="200"/>
      <c r="Q613" s="200"/>
      <c r="R613" s="200"/>
      <c r="S613" s="200"/>
      <c r="T613" s="200"/>
      <c r="U613" s="200"/>
      <c r="V613" s="200"/>
      <c r="W613" s="200"/>
      <c r="X613" s="200"/>
      <c r="Y613" s="200"/>
      <c r="Z613" s="200"/>
    </row>
    <row r="614" ht="22.5" customHeight="1">
      <c r="A614" s="145"/>
      <c r="B614" s="154"/>
      <c r="C614" s="138"/>
      <c r="D614" s="138"/>
      <c r="E614" s="138"/>
      <c r="F614" s="138"/>
      <c r="G614" s="119"/>
      <c r="H614" s="200"/>
      <c r="I614" s="200"/>
      <c r="J614" s="200"/>
      <c r="K614" s="200"/>
      <c r="L614" s="200"/>
      <c r="M614" s="200"/>
      <c r="N614" s="200"/>
      <c r="O614" s="200"/>
      <c r="P614" s="200"/>
      <c r="Q614" s="200"/>
      <c r="R614" s="200"/>
      <c r="S614" s="200"/>
      <c r="T614" s="200"/>
      <c r="U614" s="200"/>
      <c r="V614" s="200"/>
      <c r="W614" s="200"/>
      <c r="X614" s="200"/>
      <c r="Y614" s="200"/>
      <c r="Z614" s="200"/>
    </row>
    <row r="615" ht="22.5" customHeight="1">
      <c r="A615" s="145"/>
      <c r="B615" s="154"/>
      <c r="C615" s="138"/>
      <c r="D615" s="138"/>
      <c r="E615" s="138"/>
      <c r="F615" s="138"/>
      <c r="G615" s="119"/>
      <c r="H615" s="200"/>
      <c r="I615" s="200"/>
      <c r="J615" s="200"/>
      <c r="K615" s="200"/>
      <c r="L615" s="200"/>
      <c r="M615" s="200"/>
      <c r="N615" s="200"/>
      <c r="O615" s="200"/>
      <c r="P615" s="200"/>
      <c r="Q615" s="200"/>
      <c r="R615" s="200"/>
      <c r="S615" s="200"/>
      <c r="T615" s="200"/>
      <c r="U615" s="200"/>
      <c r="V615" s="200"/>
      <c r="W615" s="200"/>
      <c r="X615" s="200"/>
      <c r="Y615" s="200"/>
      <c r="Z615" s="200"/>
    </row>
    <row r="616" ht="22.5" customHeight="1">
      <c r="A616" s="145"/>
      <c r="B616" s="154"/>
      <c r="C616" s="138"/>
      <c r="D616" s="138"/>
      <c r="E616" s="138"/>
      <c r="F616" s="138"/>
      <c r="G616" s="119"/>
      <c r="H616" s="200"/>
      <c r="I616" s="200"/>
      <c r="J616" s="200"/>
      <c r="K616" s="200"/>
      <c r="L616" s="200"/>
      <c r="M616" s="200"/>
      <c r="N616" s="200"/>
      <c r="O616" s="200"/>
      <c r="P616" s="200"/>
      <c r="Q616" s="200"/>
      <c r="R616" s="200"/>
      <c r="S616" s="200"/>
      <c r="T616" s="200"/>
      <c r="U616" s="200"/>
      <c r="V616" s="200"/>
      <c r="W616" s="200"/>
      <c r="X616" s="200"/>
      <c r="Y616" s="200"/>
      <c r="Z616" s="200"/>
    </row>
    <row r="617" ht="22.5" customHeight="1">
      <c r="A617" s="145"/>
      <c r="B617" s="154"/>
      <c r="C617" s="138"/>
      <c r="D617" s="138"/>
      <c r="E617" s="138"/>
      <c r="F617" s="138"/>
      <c r="G617" s="119"/>
      <c r="H617" s="200"/>
      <c r="I617" s="200"/>
      <c r="J617" s="200"/>
      <c r="K617" s="200"/>
      <c r="L617" s="200"/>
      <c r="M617" s="200"/>
      <c r="N617" s="200"/>
      <c r="O617" s="200"/>
      <c r="P617" s="200"/>
      <c r="Q617" s="200"/>
      <c r="R617" s="200"/>
      <c r="S617" s="200"/>
      <c r="T617" s="200"/>
      <c r="U617" s="200"/>
      <c r="V617" s="200"/>
      <c r="W617" s="200"/>
      <c r="X617" s="200"/>
      <c r="Y617" s="200"/>
      <c r="Z617" s="200"/>
    </row>
    <row r="618" ht="22.5" customHeight="1">
      <c r="A618" s="145"/>
      <c r="B618" s="154"/>
      <c r="C618" s="138"/>
      <c r="D618" s="138"/>
      <c r="E618" s="138"/>
      <c r="F618" s="138"/>
      <c r="G618" s="119"/>
      <c r="H618" s="200"/>
      <c r="I618" s="200"/>
      <c r="J618" s="200"/>
      <c r="K618" s="200"/>
      <c r="L618" s="200"/>
      <c r="M618" s="200"/>
      <c r="N618" s="200"/>
      <c r="O618" s="200"/>
      <c r="P618" s="200"/>
      <c r="Q618" s="200"/>
      <c r="R618" s="200"/>
      <c r="S618" s="200"/>
      <c r="T618" s="200"/>
      <c r="U618" s="200"/>
      <c r="V618" s="200"/>
      <c r="W618" s="200"/>
      <c r="X618" s="200"/>
      <c r="Y618" s="200"/>
      <c r="Z618" s="200"/>
    </row>
    <row r="619" ht="22.5" customHeight="1">
      <c r="A619" s="145"/>
      <c r="B619" s="154"/>
      <c r="C619" s="138"/>
      <c r="D619" s="138"/>
      <c r="E619" s="138"/>
      <c r="F619" s="138"/>
      <c r="G619" s="119"/>
      <c r="H619" s="200"/>
      <c r="I619" s="200"/>
      <c r="J619" s="200"/>
      <c r="K619" s="200"/>
      <c r="L619" s="200"/>
      <c r="M619" s="200"/>
      <c r="N619" s="200"/>
      <c r="O619" s="200"/>
      <c r="P619" s="200"/>
      <c r="Q619" s="200"/>
      <c r="R619" s="200"/>
      <c r="S619" s="200"/>
      <c r="T619" s="200"/>
      <c r="U619" s="200"/>
      <c r="V619" s="200"/>
      <c r="W619" s="200"/>
      <c r="X619" s="200"/>
      <c r="Y619" s="200"/>
      <c r="Z619" s="200"/>
    </row>
    <row r="620" ht="22.5" customHeight="1">
      <c r="A620" s="145"/>
      <c r="B620" s="154"/>
      <c r="C620" s="138"/>
      <c r="D620" s="138"/>
      <c r="E620" s="138"/>
      <c r="F620" s="138"/>
      <c r="G620" s="119"/>
      <c r="H620" s="200"/>
      <c r="I620" s="200"/>
      <c r="J620" s="200"/>
      <c r="K620" s="200"/>
      <c r="L620" s="200"/>
      <c r="M620" s="200"/>
      <c r="N620" s="200"/>
      <c r="O620" s="200"/>
      <c r="P620" s="200"/>
      <c r="Q620" s="200"/>
      <c r="R620" s="200"/>
      <c r="S620" s="200"/>
      <c r="T620" s="200"/>
      <c r="U620" s="200"/>
      <c r="V620" s="200"/>
      <c r="W620" s="200"/>
      <c r="X620" s="200"/>
      <c r="Y620" s="200"/>
      <c r="Z620" s="200"/>
    </row>
    <row r="621" ht="22.5" customHeight="1">
      <c r="A621" s="145"/>
      <c r="B621" s="154"/>
      <c r="C621" s="138"/>
      <c r="D621" s="138"/>
      <c r="E621" s="138"/>
      <c r="F621" s="138"/>
      <c r="G621" s="119"/>
      <c r="H621" s="200"/>
      <c r="I621" s="200"/>
      <c r="J621" s="200"/>
      <c r="K621" s="200"/>
      <c r="L621" s="200"/>
      <c r="M621" s="200"/>
      <c r="N621" s="200"/>
      <c r="O621" s="200"/>
      <c r="P621" s="200"/>
      <c r="Q621" s="200"/>
      <c r="R621" s="200"/>
      <c r="S621" s="200"/>
      <c r="T621" s="200"/>
      <c r="U621" s="200"/>
      <c r="V621" s="200"/>
      <c r="W621" s="200"/>
      <c r="X621" s="200"/>
      <c r="Y621" s="200"/>
      <c r="Z621" s="200"/>
    </row>
    <row r="622" ht="22.5" customHeight="1">
      <c r="A622" s="145"/>
      <c r="B622" s="154"/>
      <c r="C622" s="138"/>
      <c r="D622" s="138"/>
      <c r="E622" s="138"/>
      <c r="F622" s="138"/>
      <c r="G622" s="119"/>
      <c r="H622" s="200"/>
      <c r="I622" s="200"/>
      <c r="J622" s="200"/>
      <c r="K622" s="200"/>
      <c r="L622" s="200"/>
      <c r="M622" s="200"/>
      <c r="N622" s="200"/>
      <c r="O622" s="200"/>
      <c r="P622" s="200"/>
      <c r="Q622" s="200"/>
      <c r="R622" s="200"/>
      <c r="S622" s="200"/>
      <c r="T622" s="200"/>
      <c r="U622" s="200"/>
      <c r="V622" s="200"/>
      <c r="W622" s="200"/>
      <c r="X622" s="200"/>
      <c r="Y622" s="200"/>
      <c r="Z622" s="200"/>
    </row>
    <row r="623" ht="22.5" customHeight="1">
      <c r="A623" s="145"/>
      <c r="B623" s="154"/>
      <c r="C623" s="138"/>
      <c r="D623" s="138"/>
      <c r="E623" s="138"/>
      <c r="F623" s="138"/>
      <c r="G623" s="119"/>
      <c r="H623" s="200"/>
      <c r="I623" s="200"/>
      <c r="J623" s="200"/>
      <c r="K623" s="200"/>
      <c r="L623" s="200"/>
      <c r="M623" s="200"/>
      <c r="N623" s="200"/>
      <c r="O623" s="200"/>
      <c r="P623" s="200"/>
      <c r="Q623" s="200"/>
      <c r="R623" s="200"/>
      <c r="S623" s="200"/>
      <c r="T623" s="200"/>
      <c r="U623" s="200"/>
      <c r="V623" s="200"/>
      <c r="W623" s="200"/>
      <c r="X623" s="200"/>
      <c r="Y623" s="200"/>
      <c r="Z623" s="200"/>
    </row>
    <row r="624" ht="22.5" customHeight="1">
      <c r="A624" s="145"/>
      <c r="B624" s="154"/>
      <c r="C624" s="138"/>
      <c r="D624" s="138"/>
      <c r="E624" s="138"/>
      <c r="F624" s="138"/>
      <c r="G624" s="119"/>
      <c r="H624" s="200"/>
      <c r="I624" s="200"/>
      <c r="J624" s="200"/>
      <c r="K624" s="200"/>
      <c r="L624" s="200"/>
      <c r="M624" s="200"/>
      <c r="N624" s="200"/>
      <c r="O624" s="200"/>
      <c r="P624" s="200"/>
      <c r="Q624" s="200"/>
      <c r="R624" s="200"/>
      <c r="S624" s="200"/>
      <c r="T624" s="200"/>
      <c r="U624" s="200"/>
      <c r="V624" s="200"/>
      <c r="W624" s="200"/>
      <c r="X624" s="200"/>
      <c r="Y624" s="200"/>
      <c r="Z624" s="200"/>
    </row>
    <row r="625" ht="22.5" customHeight="1">
      <c r="A625" s="145"/>
      <c r="B625" s="154"/>
      <c r="C625" s="138"/>
      <c r="D625" s="138"/>
      <c r="E625" s="138"/>
      <c r="F625" s="138"/>
      <c r="G625" s="119"/>
      <c r="H625" s="200"/>
      <c r="I625" s="200"/>
      <c r="J625" s="200"/>
      <c r="K625" s="200"/>
      <c r="L625" s="200"/>
      <c r="M625" s="200"/>
      <c r="N625" s="200"/>
      <c r="O625" s="200"/>
      <c r="P625" s="200"/>
      <c r="Q625" s="200"/>
      <c r="R625" s="200"/>
      <c r="S625" s="200"/>
      <c r="T625" s="200"/>
      <c r="U625" s="200"/>
      <c r="V625" s="200"/>
      <c r="W625" s="200"/>
      <c r="X625" s="200"/>
      <c r="Y625" s="200"/>
      <c r="Z625" s="200"/>
    </row>
    <row r="626" ht="22.5" customHeight="1">
      <c r="A626" s="145"/>
      <c r="B626" s="154"/>
      <c r="C626" s="138"/>
      <c r="D626" s="138"/>
      <c r="E626" s="138"/>
      <c r="F626" s="138"/>
      <c r="G626" s="119"/>
      <c r="H626" s="200"/>
      <c r="I626" s="200"/>
      <c r="J626" s="200"/>
      <c r="K626" s="200"/>
      <c r="L626" s="200"/>
      <c r="M626" s="200"/>
      <c r="N626" s="200"/>
      <c r="O626" s="200"/>
      <c r="P626" s="200"/>
      <c r="Q626" s="200"/>
      <c r="R626" s="200"/>
      <c r="S626" s="200"/>
      <c r="T626" s="200"/>
      <c r="U626" s="200"/>
      <c r="V626" s="200"/>
      <c r="W626" s="200"/>
      <c r="X626" s="200"/>
      <c r="Y626" s="200"/>
      <c r="Z626" s="200"/>
    </row>
    <row r="627" ht="22.5" customHeight="1">
      <c r="A627" s="145"/>
      <c r="B627" s="154"/>
      <c r="C627" s="138"/>
      <c r="D627" s="138"/>
      <c r="E627" s="138"/>
      <c r="F627" s="138"/>
      <c r="G627" s="119"/>
      <c r="H627" s="200"/>
      <c r="I627" s="200"/>
      <c r="J627" s="200"/>
      <c r="K627" s="200"/>
      <c r="L627" s="200"/>
      <c r="M627" s="200"/>
      <c r="N627" s="200"/>
      <c r="O627" s="200"/>
      <c r="P627" s="200"/>
      <c r="Q627" s="200"/>
      <c r="R627" s="200"/>
      <c r="S627" s="200"/>
      <c r="T627" s="200"/>
      <c r="U627" s="200"/>
      <c r="V627" s="200"/>
      <c r="W627" s="200"/>
      <c r="X627" s="200"/>
      <c r="Y627" s="200"/>
      <c r="Z627" s="200"/>
    </row>
    <row r="628" ht="22.5" customHeight="1">
      <c r="A628" s="145"/>
      <c r="B628" s="154"/>
      <c r="C628" s="138"/>
      <c r="D628" s="138"/>
      <c r="E628" s="138"/>
      <c r="F628" s="138"/>
      <c r="G628" s="119"/>
      <c r="H628" s="200"/>
      <c r="I628" s="200"/>
      <c r="J628" s="200"/>
      <c r="K628" s="200"/>
      <c r="L628" s="200"/>
      <c r="M628" s="200"/>
      <c r="N628" s="200"/>
      <c r="O628" s="200"/>
      <c r="P628" s="200"/>
      <c r="Q628" s="200"/>
      <c r="R628" s="200"/>
      <c r="S628" s="200"/>
      <c r="T628" s="200"/>
      <c r="U628" s="200"/>
      <c r="V628" s="200"/>
      <c r="W628" s="200"/>
      <c r="X628" s="200"/>
      <c r="Y628" s="200"/>
      <c r="Z628" s="200"/>
    </row>
    <row r="629" ht="22.5" customHeight="1">
      <c r="A629" s="145"/>
      <c r="B629" s="154"/>
      <c r="C629" s="138"/>
      <c r="D629" s="138"/>
      <c r="E629" s="138"/>
      <c r="F629" s="138"/>
      <c r="G629" s="119"/>
      <c r="H629" s="200"/>
      <c r="I629" s="200"/>
      <c r="J629" s="200"/>
      <c r="K629" s="200"/>
      <c r="L629" s="200"/>
      <c r="M629" s="200"/>
      <c r="N629" s="200"/>
      <c r="O629" s="200"/>
      <c r="P629" s="200"/>
      <c r="Q629" s="200"/>
      <c r="R629" s="200"/>
      <c r="S629" s="200"/>
      <c r="T629" s="200"/>
      <c r="U629" s="200"/>
      <c r="V629" s="200"/>
      <c r="W629" s="200"/>
      <c r="X629" s="200"/>
      <c r="Y629" s="200"/>
      <c r="Z629" s="200"/>
    </row>
    <row r="630" ht="22.5" customHeight="1">
      <c r="A630" s="145"/>
      <c r="B630" s="154"/>
      <c r="C630" s="138"/>
      <c r="D630" s="138"/>
      <c r="E630" s="138"/>
      <c r="F630" s="138"/>
      <c r="G630" s="119"/>
      <c r="H630" s="200"/>
      <c r="I630" s="200"/>
      <c r="J630" s="200"/>
      <c r="K630" s="200"/>
      <c r="L630" s="200"/>
      <c r="M630" s="200"/>
      <c r="N630" s="200"/>
      <c r="O630" s="200"/>
      <c r="P630" s="200"/>
      <c r="Q630" s="200"/>
      <c r="R630" s="200"/>
      <c r="S630" s="200"/>
      <c r="T630" s="200"/>
      <c r="U630" s="200"/>
      <c r="V630" s="200"/>
      <c r="W630" s="200"/>
      <c r="X630" s="200"/>
      <c r="Y630" s="200"/>
      <c r="Z630" s="200"/>
    </row>
    <row r="631" ht="22.5" customHeight="1">
      <c r="A631" s="145"/>
      <c r="B631" s="154"/>
      <c r="C631" s="138"/>
      <c r="D631" s="138"/>
      <c r="E631" s="138"/>
      <c r="F631" s="138"/>
      <c r="G631" s="119"/>
      <c r="H631" s="200"/>
      <c r="I631" s="200"/>
      <c r="J631" s="200"/>
      <c r="K631" s="200"/>
      <c r="L631" s="200"/>
      <c r="M631" s="200"/>
      <c r="N631" s="200"/>
      <c r="O631" s="200"/>
      <c r="P631" s="200"/>
      <c r="Q631" s="200"/>
      <c r="R631" s="200"/>
      <c r="S631" s="200"/>
      <c r="T631" s="200"/>
      <c r="U631" s="200"/>
      <c r="V631" s="200"/>
      <c r="W631" s="200"/>
      <c r="X631" s="200"/>
      <c r="Y631" s="200"/>
      <c r="Z631" s="200"/>
    </row>
    <row r="632" ht="22.5" customHeight="1">
      <c r="A632" s="145"/>
      <c r="B632" s="154"/>
      <c r="C632" s="138"/>
      <c r="D632" s="138"/>
      <c r="E632" s="138"/>
      <c r="F632" s="138"/>
      <c r="G632" s="119"/>
      <c r="H632" s="200"/>
      <c r="I632" s="200"/>
      <c r="J632" s="200"/>
      <c r="K632" s="200"/>
      <c r="L632" s="200"/>
      <c r="M632" s="200"/>
      <c r="N632" s="200"/>
      <c r="O632" s="200"/>
      <c r="P632" s="200"/>
      <c r="Q632" s="200"/>
      <c r="R632" s="200"/>
      <c r="S632" s="200"/>
      <c r="T632" s="200"/>
      <c r="U632" s="200"/>
      <c r="V632" s="200"/>
      <c r="W632" s="200"/>
      <c r="X632" s="200"/>
      <c r="Y632" s="200"/>
      <c r="Z632" s="200"/>
    </row>
    <row r="633" ht="22.5" customHeight="1">
      <c r="A633" s="145"/>
      <c r="B633" s="154"/>
      <c r="C633" s="138"/>
      <c r="D633" s="138"/>
      <c r="E633" s="138"/>
      <c r="F633" s="138"/>
      <c r="G633" s="119"/>
      <c r="H633" s="200"/>
      <c r="I633" s="200"/>
      <c r="J633" s="200"/>
      <c r="K633" s="200"/>
      <c r="L633" s="200"/>
      <c r="M633" s="200"/>
      <c r="N633" s="200"/>
      <c r="O633" s="200"/>
      <c r="P633" s="200"/>
      <c r="Q633" s="200"/>
      <c r="R633" s="200"/>
      <c r="S633" s="200"/>
      <c r="T633" s="200"/>
      <c r="U633" s="200"/>
      <c r="V633" s="200"/>
      <c r="W633" s="200"/>
      <c r="X633" s="200"/>
      <c r="Y633" s="200"/>
      <c r="Z633" s="200"/>
    </row>
    <row r="634" ht="22.5" customHeight="1">
      <c r="A634" s="145"/>
      <c r="B634" s="154"/>
      <c r="C634" s="138"/>
      <c r="D634" s="138"/>
      <c r="E634" s="138"/>
      <c r="F634" s="138"/>
      <c r="G634" s="119"/>
      <c r="H634" s="200"/>
      <c r="I634" s="200"/>
      <c r="J634" s="200"/>
      <c r="K634" s="200"/>
      <c r="L634" s="200"/>
      <c r="M634" s="200"/>
      <c r="N634" s="200"/>
      <c r="O634" s="200"/>
      <c r="P634" s="200"/>
      <c r="Q634" s="200"/>
      <c r="R634" s="200"/>
      <c r="S634" s="200"/>
      <c r="T634" s="200"/>
      <c r="U634" s="200"/>
      <c r="V634" s="200"/>
      <c r="W634" s="200"/>
      <c r="X634" s="200"/>
      <c r="Y634" s="200"/>
      <c r="Z634" s="200"/>
    </row>
    <row r="635" ht="22.5" customHeight="1">
      <c r="A635" s="145"/>
      <c r="B635" s="154"/>
      <c r="C635" s="138"/>
      <c r="D635" s="138"/>
      <c r="E635" s="138"/>
      <c r="F635" s="138"/>
      <c r="G635" s="119"/>
      <c r="H635" s="200"/>
      <c r="I635" s="200"/>
      <c r="J635" s="200"/>
      <c r="K635" s="200"/>
      <c r="L635" s="200"/>
      <c r="M635" s="200"/>
      <c r="N635" s="200"/>
      <c r="O635" s="200"/>
      <c r="P635" s="200"/>
      <c r="Q635" s="200"/>
      <c r="R635" s="200"/>
      <c r="S635" s="200"/>
      <c r="T635" s="200"/>
      <c r="U635" s="200"/>
      <c r="V635" s="200"/>
      <c r="W635" s="200"/>
      <c r="X635" s="200"/>
      <c r="Y635" s="200"/>
      <c r="Z635" s="200"/>
    </row>
    <row r="636" ht="22.5" customHeight="1">
      <c r="A636" s="145"/>
      <c r="B636" s="154"/>
      <c r="C636" s="138"/>
      <c r="D636" s="138"/>
      <c r="E636" s="138"/>
      <c r="F636" s="138"/>
      <c r="G636" s="119"/>
      <c r="H636" s="200"/>
      <c r="I636" s="200"/>
      <c r="J636" s="200"/>
      <c r="K636" s="200"/>
      <c r="L636" s="200"/>
      <c r="M636" s="200"/>
      <c r="N636" s="200"/>
      <c r="O636" s="200"/>
      <c r="P636" s="200"/>
      <c r="Q636" s="200"/>
      <c r="R636" s="200"/>
      <c r="S636" s="200"/>
      <c r="T636" s="200"/>
      <c r="U636" s="200"/>
      <c r="V636" s="200"/>
      <c r="W636" s="200"/>
      <c r="X636" s="200"/>
      <c r="Y636" s="200"/>
      <c r="Z636" s="200"/>
    </row>
    <row r="637" ht="22.5" customHeight="1">
      <c r="A637" s="145"/>
      <c r="B637" s="154"/>
      <c r="C637" s="138"/>
      <c r="D637" s="138"/>
      <c r="E637" s="138"/>
      <c r="F637" s="138"/>
      <c r="G637" s="119"/>
      <c r="H637" s="200"/>
      <c r="I637" s="200"/>
      <c r="J637" s="200"/>
      <c r="K637" s="200"/>
      <c r="L637" s="200"/>
      <c r="M637" s="200"/>
      <c r="N637" s="200"/>
      <c r="O637" s="200"/>
      <c r="P637" s="200"/>
      <c r="Q637" s="200"/>
      <c r="R637" s="200"/>
      <c r="S637" s="200"/>
      <c r="T637" s="200"/>
      <c r="U637" s="200"/>
      <c r="V637" s="200"/>
      <c r="W637" s="200"/>
      <c r="X637" s="200"/>
      <c r="Y637" s="200"/>
      <c r="Z637" s="200"/>
    </row>
    <row r="638" ht="22.5" customHeight="1">
      <c r="A638" s="145"/>
      <c r="B638" s="154"/>
      <c r="C638" s="138"/>
      <c r="D638" s="138"/>
      <c r="E638" s="138"/>
      <c r="F638" s="138"/>
      <c r="G638" s="119"/>
      <c r="H638" s="200"/>
      <c r="I638" s="200"/>
      <c r="J638" s="200"/>
      <c r="K638" s="200"/>
      <c r="L638" s="200"/>
      <c r="M638" s="200"/>
      <c r="N638" s="200"/>
      <c r="O638" s="200"/>
      <c r="P638" s="200"/>
      <c r="Q638" s="200"/>
      <c r="R638" s="200"/>
      <c r="S638" s="200"/>
      <c r="T638" s="200"/>
      <c r="U638" s="200"/>
      <c r="V638" s="200"/>
      <c r="W638" s="200"/>
      <c r="X638" s="200"/>
      <c r="Y638" s="200"/>
      <c r="Z638" s="200"/>
    </row>
    <row r="639" ht="22.5" customHeight="1">
      <c r="A639" s="145"/>
      <c r="B639" s="154"/>
      <c r="C639" s="138"/>
      <c r="D639" s="138"/>
      <c r="E639" s="138"/>
      <c r="F639" s="138"/>
      <c r="G639" s="119"/>
      <c r="H639" s="200"/>
      <c r="I639" s="200"/>
      <c r="J639" s="200"/>
      <c r="K639" s="200"/>
      <c r="L639" s="200"/>
      <c r="M639" s="200"/>
      <c r="N639" s="200"/>
      <c r="O639" s="200"/>
      <c r="P639" s="200"/>
      <c r="Q639" s="200"/>
      <c r="R639" s="200"/>
      <c r="S639" s="200"/>
      <c r="T639" s="200"/>
      <c r="U639" s="200"/>
      <c r="V639" s="200"/>
      <c r="W639" s="200"/>
      <c r="X639" s="200"/>
      <c r="Y639" s="200"/>
      <c r="Z639" s="200"/>
    </row>
    <row r="640" ht="22.5" customHeight="1">
      <c r="A640" s="145"/>
      <c r="B640" s="154"/>
      <c r="C640" s="138"/>
      <c r="D640" s="138"/>
      <c r="E640" s="138"/>
      <c r="F640" s="138"/>
      <c r="G640" s="119"/>
      <c r="H640" s="200"/>
      <c r="I640" s="200"/>
      <c r="J640" s="200"/>
      <c r="K640" s="200"/>
      <c r="L640" s="200"/>
      <c r="M640" s="200"/>
      <c r="N640" s="200"/>
      <c r="O640" s="200"/>
      <c r="P640" s="200"/>
      <c r="Q640" s="200"/>
      <c r="R640" s="200"/>
      <c r="S640" s="200"/>
      <c r="T640" s="200"/>
      <c r="U640" s="200"/>
      <c r="V640" s="200"/>
      <c r="W640" s="200"/>
      <c r="X640" s="200"/>
      <c r="Y640" s="200"/>
      <c r="Z640" s="200"/>
    </row>
    <row r="641" ht="22.5" customHeight="1">
      <c r="A641" s="145"/>
      <c r="B641" s="154"/>
      <c r="C641" s="138"/>
      <c r="D641" s="138"/>
      <c r="E641" s="138"/>
      <c r="F641" s="138"/>
      <c r="G641" s="119"/>
      <c r="H641" s="200"/>
      <c r="I641" s="200"/>
      <c r="J641" s="200"/>
      <c r="K641" s="200"/>
      <c r="L641" s="200"/>
      <c r="M641" s="200"/>
      <c r="N641" s="200"/>
      <c r="O641" s="200"/>
      <c r="P641" s="200"/>
      <c r="Q641" s="200"/>
      <c r="R641" s="200"/>
      <c r="S641" s="200"/>
      <c r="T641" s="200"/>
      <c r="U641" s="200"/>
      <c r="V641" s="200"/>
      <c r="W641" s="200"/>
      <c r="X641" s="200"/>
      <c r="Y641" s="200"/>
      <c r="Z641" s="200"/>
    </row>
    <row r="642" ht="22.5" customHeight="1">
      <c r="A642" s="145"/>
      <c r="B642" s="154"/>
      <c r="C642" s="138"/>
      <c r="D642" s="138"/>
      <c r="E642" s="138"/>
      <c r="F642" s="138"/>
      <c r="G642" s="119"/>
      <c r="H642" s="200"/>
      <c r="I642" s="200"/>
      <c r="J642" s="200"/>
      <c r="K642" s="200"/>
      <c r="L642" s="200"/>
      <c r="M642" s="200"/>
      <c r="N642" s="200"/>
      <c r="O642" s="200"/>
      <c r="P642" s="200"/>
      <c r="Q642" s="200"/>
      <c r="R642" s="200"/>
      <c r="S642" s="200"/>
      <c r="T642" s="200"/>
      <c r="U642" s="200"/>
      <c r="V642" s="200"/>
      <c r="W642" s="200"/>
      <c r="X642" s="200"/>
      <c r="Y642" s="200"/>
      <c r="Z642" s="200"/>
    </row>
    <row r="643" ht="22.5" customHeight="1">
      <c r="A643" s="145"/>
      <c r="B643" s="154"/>
      <c r="C643" s="138"/>
      <c r="D643" s="138"/>
      <c r="E643" s="138"/>
      <c r="F643" s="138"/>
      <c r="G643" s="119"/>
      <c r="H643" s="200"/>
      <c r="I643" s="200"/>
      <c r="J643" s="200"/>
      <c r="K643" s="200"/>
      <c r="L643" s="200"/>
      <c r="M643" s="200"/>
      <c r="N643" s="200"/>
      <c r="O643" s="200"/>
      <c r="P643" s="200"/>
      <c r="Q643" s="200"/>
      <c r="R643" s="200"/>
      <c r="S643" s="200"/>
      <c r="T643" s="200"/>
      <c r="U643" s="200"/>
      <c r="V643" s="200"/>
      <c r="W643" s="200"/>
      <c r="X643" s="200"/>
      <c r="Y643" s="200"/>
      <c r="Z643" s="200"/>
    </row>
    <row r="644" ht="22.5" customHeight="1">
      <c r="A644" s="145"/>
      <c r="B644" s="154"/>
      <c r="C644" s="138"/>
      <c r="D644" s="138"/>
      <c r="E644" s="138"/>
      <c r="F644" s="138"/>
      <c r="G644" s="119"/>
      <c r="H644" s="200"/>
      <c r="I644" s="200"/>
      <c r="J644" s="200"/>
      <c r="K644" s="200"/>
      <c r="L644" s="200"/>
      <c r="M644" s="200"/>
      <c r="N644" s="200"/>
      <c r="O644" s="200"/>
      <c r="P644" s="200"/>
      <c r="Q644" s="200"/>
      <c r="R644" s="200"/>
      <c r="S644" s="200"/>
      <c r="T644" s="200"/>
      <c r="U644" s="200"/>
      <c r="V644" s="200"/>
      <c r="W644" s="200"/>
      <c r="X644" s="200"/>
      <c r="Y644" s="200"/>
      <c r="Z644" s="200"/>
    </row>
    <row r="645" ht="22.5" customHeight="1">
      <c r="A645" s="145"/>
      <c r="B645" s="154"/>
      <c r="C645" s="138"/>
      <c r="D645" s="138"/>
      <c r="E645" s="138"/>
      <c r="F645" s="138"/>
      <c r="G645" s="119"/>
      <c r="H645" s="200"/>
      <c r="I645" s="200"/>
      <c r="J645" s="200"/>
      <c r="K645" s="200"/>
      <c r="L645" s="200"/>
      <c r="M645" s="200"/>
      <c r="N645" s="200"/>
      <c r="O645" s="200"/>
      <c r="P645" s="200"/>
      <c r="Q645" s="200"/>
      <c r="R645" s="200"/>
      <c r="S645" s="200"/>
      <c r="T645" s="200"/>
      <c r="U645" s="200"/>
      <c r="V645" s="200"/>
      <c r="W645" s="200"/>
      <c r="X645" s="200"/>
      <c r="Y645" s="200"/>
      <c r="Z645" s="200"/>
    </row>
    <row r="646" ht="22.5" customHeight="1">
      <c r="A646" s="145"/>
      <c r="B646" s="154"/>
      <c r="C646" s="138"/>
      <c r="D646" s="138"/>
      <c r="E646" s="138"/>
      <c r="F646" s="138"/>
      <c r="G646" s="119"/>
      <c r="H646" s="200"/>
      <c r="I646" s="200"/>
      <c r="J646" s="200"/>
      <c r="K646" s="200"/>
      <c r="L646" s="200"/>
      <c r="M646" s="200"/>
      <c r="N646" s="200"/>
      <c r="O646" s="200"/>
      <c r="P646" s="200"/>
      <c r="Q646" s="200"/>
      <c r="R646" s="200"/>
      <c r="S646" s="200"/>
      <c r="T646" s="200"/>
      <c r="U646" s="200"/>
      <c r="V646" s="200"/>
      <c r="W646" s="200"/>
      <c r="X646" s="200"/>
      <c r="Y646" s="200"/>
      <c r="Z646" s="200"/>
    </row>
    <row r="647" ht="22.5" customHeight="1">
      <c r="A647" s="145"/>
      <c r="B647" s="154"/>
      <c r="C647" s="138"/>
      <c r="D647" s="138"/>
      <c r="E647" s="138"/>
      <c r="F647" s="138"/>
      <c r="G647" s="119"/>
      <c r="H647" s="200"/>
      <c r="I647" s="200"/>
      <c r="J647" s="200"/>
      <c r="K647" s="200"/>
      <c r="L647" s="200"/>
      <c r="M647" s="200"/>
      <c r="N647" s="200"/>
      <c r="O647" s="200"/>
      <c r="P647" s="200"/>
      <c r="Q647" s="200"/>
      <c r="R647" s="200"/>
      <c r="S647" s="200"/>
      <c r="T647" s="200"/>
      <c r="U647" s="200"/>
      <c r="V647" s="200"/>
      <c r="W647" s="200"/>
      <c r="X647" s="200"/>
      <c r="Y647" s="200"/>
      <c r="Z647" s="200"/>
    </row>
    <row r="648" ht="22.5" customHeight="1">
      <c r="A648" s="145"/>
      <c r="B648" s="154"/>
      <c r="C648" s="138"/>
      <c r="D648" s="138"/>
      <c r="E648" s="138"/>
      <c r="F648" s="138"/>
      <c r="G648" s="119"/>
      <c r="H648" s="200"/>
      <c r="I648" s="200"/>
      <c r="J648" s="200"/>
      <c r="K648" s="200"/>
      <c r="L648" s="200"/>
      <c r="M648" s="200"/>
      <c r="N648" s="200"/>
      <c r="O648" s="200"/>
      <c r="P648" s="200"/>
      <c r="Q648" s="200"/>
      <c r="R648" s="200"/>
      <c r="S648" s="200"/>
      <c r="T648" s="200"/>
      <c r="U648" s="200"/>
      <c r="V648" s="200"/>
      <c r="W648" s="200"/>
      <c r="X648" s="200"/>
      <c r="Y648" s="200"/>
      <c r="Z648" s="200"/>
    </row>
    <row r="649" ht="22.5" customHeight="1">
      <c r="A649" s="145"/>
      <c r="B649" s="154"/>
      <c r="C649" s="138"/>
      <c r="D649" s="138"/>
      <c r="E649" s="138"/>
      <c r="F649" s="138"/>
      <c r="G649" s="119"/>
      <c r="H649" s="200"/>
      <c r="I649" s="200"/>
      <c r="J649" s="200"/>
      <c r="K649" s="200"/>
      <c r="L649" s="200"/>
      <c r="M649" s="200"/>
      <c r="N649" s="200"/>
      <c r="O649" s="200"/>
      <c r="P649" s="200"/>
      <c r="Q649" s="200"/>
      <c r="R649" s="200"/>
      <c r="S649" s="200"/>
      <c r="T649" s="200"/>
      <c r="U649" s="200"/>
      <c r="V649" s="200"/>
      <c r="W649" s="200"/>
      <c r="X649" s="200"/>
      <c r="Y649" s="200"/>
      <c r="Z649" s="200"/>
    </row>
    <row r="650" ht="22.5" customHeight="1">
      <c r="A650" s="145"/>
      <c r="B650" s="154"/>
      <c r="C650" s="138"/>
      <c r="D650" s="138"/>
      <c r="E650" s="138"/>
      <c r="F650" s="138"/>
      <c r="G650" s="119"/>
      <c r="H650" s="200"/>
      <c r="I650" s="200"/>
      <c r="J650" s="200"/>
      <c r="K650" s="200"/>
      <c r="L650" s="200"/>
      <c r="M650" s="200"/>
      <c r="N650" s="200"/>
      <c r="O650" s="200"/>
      <c r="P650" s="200"/>
      <c r="Q650" s="200"/>
      <c r="R650" s="200"/>
      <c r="S650" s="200"/>
      <c r="T650" s="200"/>
      <c r="U650" s="200"/>
      <c r="V650" s="200"/>
      <c r="W650" s="200"/>
      <c r="X650" s="200"/>
      <c r="Y650" s="200"/>
      <c r="Z650" s="200"/>
    </row>
    <row r="651" ht="22.5" customHeight="1">
      <c r="A651" s="145"/>
      <c r="B651" s="154"/>
      <c r="C651" s="138"/>
      <c r="D651" s="138"/>
      <c r="E651" s="138"/>
      <c r="F651" s="138"/>
      <c r="G651" s="119"/>
      <c r="H651" s="200"/>
      <c r="I651" s="200"/>
      <c r="J651" s="200"/>
      <c r="K651" s="200"/>
      <c r="L651" s="200"/>
      <c r="M651" s="200"/>
      <c r="N651" s="200"/>
      <c r="O651" s="200"/>
      <c r="P651" s="200"/>
      <c r="Q651" s="200"/>
      <c r="R651" s="200"/>
      <c r="S651" s="200"/>
      <c r="T651" s="200"/>
      <c r="U651" s="200"/>
      <c r="V651" s="200"/>
      <c r="W651" s="200"/>
      <c r="X651" s="200"/>
      <c r="Y651" s="200"/>
      <c r="Z651" s="200"/>
    </row>
    <row r="652" ht="22.5" customHeight="1">
      <c r="A652" s="145"/>
      <c r="B652" s="154"/>
      <c r="C652" s="138"/>
      <c r="D652" s="138"/>
      <c r="E652" s="138"/>
      <c r="F652" s="138"/>
      <c r="G652" s="119"/>
      <c r="H652" s="200"/>
      <c r="I652" s="200"/>
      <c r="J652" s="200"/>
      <c r="K652" s="200"/>
      <c r="L652" s="200"/>
      <c r="M652" s="200"/>
      <c r="N652" s="200"/>
      <c r="O652" s="200"/>
      <c r="P652" s="200"/>
      <c r="Q652" s="200"/>
      <c r="R652" s="200"/>
      <c r="S652" s="200"/>
      <c r="T652" s="200"/>
      <c r="U652" s="200"/>
      <c r="V652" s="200"/>
      <c r="W652" s="200"/>
      <c r="X652" s="200"/>
      <c r="Y652" s="200"/>
      <c r="Z652" s="200"/>
    </row>
    <row r="653" ht="22.5" customHeight="1">
      <c r="A653" s="145"/>
      <c r="B653" s="154"/>
      <c r="C653" s="138"/>
      <c r="D653" s="138"/>
      <c r="E653" s="138"/>
      <c r="F653" s="138"/>
      <c r="G653" s="119"/>
      <c r="H653" s="200"/>
      <c r="I653" s="200"/>
      <c r="J653" s="200"/>
      <c r="K653" s="200"/>
      <c r="L653" s="200"/>
      <c r="M653" s="200"/>
      <c r="N653" s="200"/>
      <c r="O653" s="200"/>
      <c r="P653" s="200"/>
      <c r="Q653" s="200"/>
      <c r="R653" s="200"/>
      <c r="S653" s="200"/>
      <c r="T653" s="200"/>
      <c r="U653" s="200"/>
      <c r="V653" s="200"/>
      <c r="W653" s="200"/>
      <c r="X653" s="200"/>
      <c r="Y653" s="200"/>
      <c r="Z653" s="200"/>
    </row>
    <row r="654" ht="22.5" customHeight="1">
      <c r="A654" s="145"/>
      <c r="B654" s="154"/>
      <c r="C654" s="138"/>
      <c r="D654" s="138"/>
      <c r="E654" s="138"/>
      <c r="F654" s="138"/>
      <c r="G654" s="119"/>
      <c r="H654" s="200"/>
      <c r="I654" s="200"/>
      <c r="J654" s="200"/>
      <c r="K654" s="200"/>
      <c r="L654" s="200"/>
      <c r="M654" s="200"/>
      <c r="N654" s="200"/>
      <c r="O654" s="200"/>
      <c r="P654" s="200"/>
      <c r="Q654" s="200"/>
      <c r="R654" s="200"/>
      <c r="S654" s="200"/>
      <c r="T654" s="200"/>
      <c r="U654" s="200"/>
      <c r="V654" s="200"/>
      <c r="W654" s="200"/>
      <c r="X654" s="200"/>
      <c r="Y654" s="200"/>
      <c r="Z654" s="200"/>
    </row>
    <row r="655" ht="22.5" customHeight="1">
      <c r="A655" s="145"/>
      <c r="B655" s="154"/>
      <c r="C655" s="138"/>
      <c r="D655" s="138"/>
      <c r="E655" s="138"/>
      <c r="F655" s="138"/>
      <c r="G655" s="119"/>
      <c r="H655" s="200"/>
      <c r="I655" s="200"/>
      <c r="J655" s="200"/>
      <c r="K655" s="200"/>
      <c r="L655" s="200"/>
      <c r="M655" s="200"/>
      <c r="N655" s="200"/>
      <c r="O655" s="200"/>
      <c r="P655" s="200"/>
      <c r="Q655" s="200"/>
      <c r="R655" s="200"/>
      <c r="S655" s="200"/>
      <c r="T655" s="200"/>
      <c r="U655" s="200"/>
      <c r="V655" s="200"/>
      <c r="W655" s="200"/>
      <c r="X655" s="200"/>
      <c r="Y655" s="200"/>
      <c r="Z655" s="200"/>
    </row>
    <row r="656" ht="22.5" customHeight="1">
      <c r="A656" s="145"/>
      <c r="B656" s="154"/>
      <c r="C656" s="138"/>
      <c r="D656" s="138"/>
      <c r="E656" s="138"/>
      <c r="F656" s="138"/>
      <c r="G656" s="119"/>
      <c r="H656" s="200"/>
      <c r="I656" s="200"/>
      <c r="J656" s="200"/>
      <c r="K656" s="200"/>
      <c r="L656" s="200"/>
      <c r="M656" s="200"/>
      <c r="N656" s="200"/>
      <c r="O656" s="200"/>
      <c r="P656" s="200"/>
      <c r="Q656" s="200"/>
      <c r="R656" s="200"/>
      <c r="S656" s="200"/>
      <c r="T656" s="200"/>
      <c r="U656" s="200"/>
      <c r="V656" s="200"/>
      <c r="W656" s="200"/>
      <c r="X656" s="200"/>
      <c r="Y656" s="200"/>
      <c r="Z656" s="200"/>
    </row>
    <row r="657" ht="22.5" customHeight="1">
      <c r="A657" s="145"/>
      <c r="B657" s="154"/>
      <c r="C657" s="138"/>
      <c r="D657" s="138"/>
      <c r="E657" s="138"/>
      <c r="F657" s="138"/>
      <c r="G657" s="119"/>
      <c r="H657" s="200"/>
      <c r="I657" s="200"/>
      <c r="J657" s="200"/>
      <c r="K657" s="200"/>
      <c r="L657" s="200"/>
      <c r="M657" s="200"/>
      <c r="N657" s="200"/>
      <c r="O657" s="200"/>
      <c r="P657" s="200"/>
      <c r="Q657" s="200"/>
      <c r="R657" s="200"/>
      <c r="S657" s="200"/>
      <c r="T657" s="200"/>
      <c r="U657" s="200"/>
      <c r="V657" s="200"/>
      <c r="W657" s="200"/>
      <c r="X657" s="200"/>
      <c r="Y657" s="200"/>
      <c r="Z657" s="200"/>
    </row>
    <row r="658" ht="22.5" customHeight="1">
      <c r="A658" s="145"/>
      <c r="B658" s="154"/>
      <c r="C658" s="138"/>
      <c r="D658" s="138"/>
      <c r="E658" s="138"/>
      <c r="F658" s="138"/>
      <c r="G658" s="119"/>
      <c r="H658" s="200"/>
      <c r="I658" s="200"/>
      <c r="J658" s="200"/>
      <c r="K658" s="200"/>
      <c r="L658" s="200"/>
      <c r="M658" s="200"/>
      <c r="N658" s="200"/>
      <c r="O658" s="200"/>
      <c r="P658" s="200"/>
      <c r="Q658" s="200"/>
      <c r="R658" s="200"/>
      <c r="S658" s="200"/>
      <c r="T658" s="200"/>
      <c r="U658" s="200"/>
      <c r="V658" s="200"/>
      <c r="W658" s="200"/>
      <c r="X658" s="200"/>
      <c r="Y658" s="200"/>
      <c r="Z658" s="200"/>
    </row>
    <row r="659" ht="22.5" customHeight="1">
      <c r="A659" s="145"/>
      <c r="B659" s="154"/>
      <c r="C659" s="138"/>
      <c r="D659" s="138"/>
      <c r="E659" s="138"/>
      <c r="F659" s="138"/>
      <c r="G659" s="119"/>
      <c r="H659" s="200"/>
      <c r="I659" s="200"/>
      <c r="J659" s="200"/>
      <c r="K659" s="200"/>
      <c r="L659" s="200"/>
      <c r="M659" s="200"/>
      <c r="N659" s="200"/>
      <c r="O659" s="200"/>
      <c r="P659" s="200"/>
      <c r="Q659" s="200"/>
      <c r="R659" s="200"/>
      <c r="S659" s="200"/>
      <c r="T659" s="200"/>
      <c r="U659" s="200"/>
      <c r="V659" s="200"/>
      <c r="W659" s="200"/>
      <c r="X659" s="200"/>
      <c r="Y659" s="200"/>
      <c r="Z659" s="200"/>
    </row>
    <row r="660" ht="22.5" customHeight="1">
      <c r="A660" s="145"/>
      <c r="B660" s="154"/>
      <c r="C660" s="138"/>
      <c r="D660" s="138"/>
      <c r="E660" s="138"/>
      <c r="F660" s="138"/>
      <c r="G660" s="119"/>
      <c r="H660" s="200"/>
      <c r="I660" s="200"/>
      <c r="J660" s="200"/>
      <c r="K660" s="200"/>
      <c r="L660" s="200"/>
      <c r="M660" s="200"/>
      <c r="N660" s="200"/>
      <c r="O660" s="200"/>
      <c r="P660" s="200"/>
      <c r="Q660" s="200"/>
      <c r="R660" s="200"/>
      <c r="S660" s="200"/>
      <c r="T660" s="200"/>
      <c r="U660" s="200"/>
      <c r="V660" s="200"/>
      <c r="W660" s="200"/>
      <c r="X660" s="200"/>
      <c r="Y660" s="200"/>
      <c r="Z660" s="200"/>
    </row>
    <row r="661" ht="22.5" customHeight="1">
      <c r="A661" s="145"/>
      <c r="B661" s="154"/>
      <c r="C661" s="138"/>
      <c r="D661" s="138"/>
      <c r="E661" s="138"/>
      <c r="F661" s="138"/>
      <c r="G661" s="119"/>
      <c r="H661" s="200"/>
      <c r="I661" s="200"/>
      <c r="J661" s="200"/>
      <c r="K661" s="200"/>
      <c r="L661" s="200"/>
      <c r="M661" s="200"/>
      <c r="N661" s="200"/>
      <c r="O661" s="200"/>
      <c r="P661" s="200"/>
      <c r="Q661" s="200"/>
      <c r="R661" s="200"/>
      <c r="S661" s="200"/>
      <c r="T661" s="200"/>
      <c r="U661" s="200"/>
      <c r="V661" s="200"/>
      <c r="W661" s="200"/>
      <c r="X661" s="200"/>
      <c r="Y661" s="200"/>
      <c r="Z661" s="200"/>
    </row>
    <row r="662" ht="22.5" customHeight="1">
      <c r="A662" s="145"/>
      <c r="B662" s="154"/>
      <c r="C662" s="138"/>
      <c r="D662" s="138"/>
      <c r="E662" s="138"/>
      <c r="F662" s="138"/>
      <c r="G662" s="119"/>
      <c r="H662" s="200"/>
      <c r="I662" s="200"/>
      <c r="J662" s="200"/>
      <c r="K662" s="200"/>
      <c r="L662" s="200"/>
      <c r="M662" s="200"/>
      <c r="N662" s="200"/>
      <c r="O662" s="200"/>
      <c r="P662" s="200"/>
      <c r="Q662" s="200"/>
      <c r="R662" s="200"/>
      <c r="S662" s="200"/>
      <c r="T662" s="200"/>
      <c r="U662" s="200"/>
      <c r="V662" s="200"/>
      <c r="W662" s="200"/>
      <c r="X662" s="200"/>
      <c r="Y662" s="200"/>
      <c r="Z662" s="200"/>
    </row>
    <row r="663" ht="22.5" customHeight="1">
      <c r="A663" s="145"/>
      <c r="B663" s="154"/>
      <c r="C663" s="138"/>
      <c r="D663" s="138"/>
      <c r="E663" s="138"/>
      <c r="F663" s="138"/>
      <c r="G663" s="119"/>
      <c r="H663" s="200"/>
      <c r="I663" s="200"/>
      <c r="J663" s="200"/>
      <c r="K663" s="200"/>
      <c r="L663" s="200"/>
      <c r="M663" s="200"/>
      <c r="N663" s="200"/>
      <c r="O663" s="200"/>
      <c r="P663" s="200"/>
      <c r="Q663" s="200"/>
      <c r="R663" s="200"/>
      <c r="S663" s="200"/>
      <c r="T663" s="200"/>
      <c r="U663" s="200"/>
      <c r="V663" s="200"/>
      <c r="W663" s="200"/>
      <c r="X663" s="200"/>
      <c r="Y663" s="200"/>
      <c r="Z663" s="200"/>
    </row>
    <row r="664" ht="22.5" customHeight="1">
      <c r="A664" s="145"/>
      <c r="B664" s="154"/>
      <c r="C664" s="138"/>
      <c r="D664" s="138"/>
      <c r="E664" s="138"/>
      <c r="F664" s="138"/>
      <c r="G664" s="119"/>
      <c r="H664" s="200"/>
      <c r="I664" s="200"/>
      <c r="J664" s="200"/>
      <c r="K664" s="200"/>
      <c r="L664" s="200"/>
      <c r="M664" s="200"/>
      <c r="N664" s="200"/>
      <c r="O664" s="200"/>
      <c r="P664" s="200"/>
      <c r="Q664" s="200"/>
      <c r="R664" s="200"/>
      <c r="S664" s="200"/>
      <c r="T664" s="200"/>
      <c r="U664" s="200"/>
      <c r="V664" s="200"/>
      <c r="W664" s="200"/>
      <c r="X664" s="200"/>
      <c r="Y664" s="200"/>
      <c r="Z664" s="200"/>
    </row>
    <row r="665" ht="22.5" customHeight="1">
      <c r="A665" s="145"/>
      <c r="B665" s="154"/>
      <c r="C665" s="138"/>
      <c r="D665" s="138"/>
      <c r="E665" s="138"/>
      <c r="F665" s="138"/>
      <c r="G665" s="119"/>
      <c r="H665" s="200"/>
      <c r="I665" s="200"/>
      <c r="J665" s="200"/>
      <c r="K665" s="200"/>
      <c r="L665" s="200"/>
      <c r="M665" s="200"/>
      <c r="N665" s="200"/>
      <c r="O665" s="200"/>
      <c r="P665" s="200"/>
      <c r="Q665" s="200"/>
      <c r="R665" s="200"/>
      <c r="S665" s="200"/>
      <c r="T665" s="200"/>
      <c r="U665" s="200"/>
      <c r="V665" s="200"/>
      <c r="W665" s="200"/>
      <c r="X665" s="200"/>
      <c r="Y665" s="200"/>
      <c r="Z665" s="200"/>
    </row>
    <row r="666" ht="22.5" customHeight="1">
      <c r="A666" s="145"/>
      <c r="B666" s="154"/>
      <c r="C666" s="138"/>
      <c r="D666" s="138"/>
      <c r="E666" s="138"/>
      <c r="F666" s="138"/>
      <c r="G666" s="119"/>
      <c r="H666" s="200"/>
      <c r="I666" s="200"/>
      <c r="J666" s="200"/>
      <c r="K666" s="200"/>
      <c r="L666" s="200"/>
      <c r="M666" s="200"/>
      <c r="N666" s="200"/>
      <c r="O666" s="200"/>
      <c r="P666" s="200"/>
      <c r="Q666" s="200"/>
      <c r="R666" s="200"/>
      <c r="S666" s="200"/>
      <c r="T666" s="200"/>
      <c r="U666" s="200"/>
      <c r="V666" s="200"/>
      <c r="W666" s="200"/>
      <c r="X666" s="200"/>
      <c r="Y666" s="200"/>
      <c r="Z666" s="200"/>
    </row>
    <row r="667" ht="22.5" customHeight="1">
      <c r="A667" s="145"/>
      <c r="B667" s="154"/>
      <c r="C667" s="138"/>
      <c r="D667" s="138"/>
      <c r="E667" s="138"/>
      <c r="F667" s="138"/>
      <c r="G667" s="119"/>
      <c r="H667" s="200"/>
      <c r="I667" s="200"/>
      <c r="J667" s="200"/>
      <c r="K667" s="200"/>
      <c r="L667" s="200"/>
      <c r="M667" s="200"/>
      <c r="N667" s="200"/>
      <c r="O667" s="200"/>
      <c r="P667" s="200"/>
      <c r="Q667" s="200"/>
      <c r="R667" s="200"/>
      <c r="S667" s="200"/>
      <c r="T667" s="200"/>
      <c r="U667" s="200"/>
      <c r="V667" s="200"/>
      <c r="W667" s="200"/>
      <c r="X667" s="200"/>
      <c r="Y667" s="200"/>
      <c r="Z667" s="200"/>
    </row>
    <row r="668" ht="22.5" customHeight="1">
      <c r="A668" s="145"/>
      <c r="B668" s="154"/>
      <c r="C668" s="138"/>
      <c r="D668" s="138"/>
      <c r="E668" s="138"/>
      <c r="F668" s="138"/>
      <c r="G668" s="119"/>
      <c r="H668" s="200"/>
      <c r="I668" s="200"/>
      <c r="J668" s="200"/>
      <c r="K668" s="200"/>
      <c r="L668" s="200"/>
      <c r="M668" s="200"/>
      <c r="N668" s="200"/>
      <c r="O668" s="200"/>
      <c r="P668" s="200"/>
      <c r="Q668" s="200"/>
      <c r="R668" s="200"/>
      <c r="S668" s="200"/>
      <c r="T668" s="200"/>
      <c r="U668" s="200"/>
      <c r="V668" s="200"/>
      <c r="W668" s="200"/>
      <c r="X668" s="200"/>
      <c r="Y668" s="200"/>
      <c r="Z668" s="200"/>
    </row>
    <row r="669" ht="22.5" customHeight="1">
      <c r="A669" s="145"/>
      <c r="B669" s="154"/>
      <c r="C669" s="138"/>
      <c r="D669" s="138"/>
      <c r="E669" s="138"/>
      <c r="F669" s="138"/>
      <c r="G669" s="119"/>
      <c r="H669" s="200"/>
      <c r="I669" s="200"/>
      <c r="J669" s="200"/>
      <c r="K669" s="200"/>
      <c r="L669" s="200"/>
      <c r="M669" s="200"/>
      <c r="N669" s="200"/>
      <c r="O669" s="200"/>
      <c r="P669" s="200"/>
      <c r="Q669" s="200"/>
      <c r="R669" s="200"/>
      <c r="S669" s="200"/>
      <c r="T669" s="200"/>
      <c r="U669" s="200"/>
      <c r="V669" s="200"/>
      <c r="W669" s="200"/>
      <c r="X669" s="200"/>
      <c r="Y669" s="200"/>
      <c r="Z669" s="200"/>
    </row>
    <row r="670" ht="22.5" customHeight="1">
      <c r="A670" s="145"/>
      <c r="B670" s="154"/>
      <c r="C670" s="138"/>
      <c r="D670" s="138"/>
      <c r="E670" s="138"/>
      <c r="F670" s="138"/>
      <c r="G670" s="119"/>
      <c r="H670" s="200"/>
      <c r="I670" s="200"/>
      <c r="J670" s="200"/>
      <c r="K670" s="200"/>
      <c r="L670" s="200"/>
      <c r="M670" s="200"/>
      <c r="N670" s="200"/>
      <c r="O670" s="200"/>
      <c r="P670" s="200"/>
      <c r="Q670" s="200"/>
      <c r="R670" s="200"/>
      <c r="S670" s="200"/>
      <c r="T670" s="200"/>
      <c r="U670" s="200"/>
      <c r="V670" s="200"/>
      <c r="W670" s="200"/>
      <c r="X670" s="200"/>
      <c r="Y670" s="200"/>
      <c r="Z670" s="200"/>
    </row>
    <row r="671" ht="22.5" customHeight="1">
      <c r="A671" s="145"/>
      <c r="B671" s="154"/>
      <c r="C671" s="138"/>
      <c r="D671" s="138"/>
      <c r="E671" s="138"/>
      <c r="F671" s="138"/>
      <c r="G671" s="119"/>
      <c r="H671" s="200"/>
      <c r="I671" s="200"/>
      <c r="J671" s="200"/>
      <c r="K671" s="200"/>
      <c r="L671" s="200"/>
      <c r="M671" s="200"/>
      <c r="N671" s="200"/>
      <c r="O671" s="200"/>
      <c r="P671" s="200"/>
      <c r="Q671" s="200"/>
      <c r="R671" s="200"/>
      <c r="S671" s="200"/>
      <c r="T671" s="200"/>
      <c r="U671" s="200"/>
      <c r="V671" s="200"/>
      <c r="W671" s="200"/>
      <c r="X671" s="200"/>
      <c r="Y671" s="200"/>
      <c r="Z671" s="200"/>
    </row>
    <row r="672" ht="22.5" customHeight="1">
      <c r="A672" s="145"/>
      <c r="B672" s="154"/>
      <c r="C672" s="138"/>
      <c r="D672" s="138"/>
      <c r="E672" s="138"/>
      <c r="F672" s="138"/>
      <c r="G672" s="119"/>
      <c r="H672" s="200"/>
      <c r="I672" s="200"/>
      <c r="J672" s="200"/>
      <c r="K672" s="200"/>
      <c r="L672" s="200"/>
      <c r="M672" s="200"/>
      <c r="N672" s="200"/>
      <c r="O672" s="200"/>
      <c r="P672" s="200"/>
      <c r="Q672" s="200"/>
      <c r="R672" s="200"/>
      <c r="S672" s="200"/>
      <c r="T672" s="200"/>
      <c r="U672" s="200"/>
      <c r="V672" s="200"/>
      <c r="W672" s="200"/>
      <c r="X672" s="200"/>
      <c r="Y672" s="200"/>
      <c r="Z672" s="200"/>
    </row>
    <row r="673" ht="22.5" customHeight="1">
      <c r="A673" s="145"/>
      <c r="B673" s="154"/>
      <c r="C673" s="138"/>
      <c r="D673" s="138"/>
      <c r="E673" s="138"/>
      <c r="F673" s="138"/>
      <c r="G673" s="119"/>
      <c r="H673" s="200"/>
      <c r="I673" s="200"/>
      <c r="J673" s="200"/>
      <c r="K673" s="200"/>
      <c r="L673" s="200"/>
      <c r="M673" s="200"/>
      <c r="N673" s="200"/>
      <c r="O673" s="200"/>
      <c r="P673" s="200"/>
      <c r="Q673" s="200"/>
      <c r="R673" s="200"/>
      <c r="S673" s="200"/>
      <c r="T673" s="200"/>
      <c r="U673" s="200"/>
      <c r="V673" s="200"/>
      <c r="W673" s="200"/>
      <c r="X673" s="200"/>
      <c r="Y673" s="200"/>
      <c r="Z673" s="200"/>
    </row>
    <row r="674" ht="22.5" customHeight="1">
      <c r="A674" s="145"/>
      <c r="B674" s="154"/>
      <c r="C674" s="138"/>
      <c r="D674" s="138"/>
      <c r="E674" s="138"/>
      <c r="F674" s="138"/>
      <c r="G674" s="119"/>
      <c r="H674" s="200"/>
      <c r="I674" s="200"/>
      <c r="J674" s="200"/>
      <c r="K674" s="200"/>
      <c r="L674" s="200"/>
      <c r="M674" s="200"/>
      <c r="N674" s="200"/>
      <c r="O674" s="200"/>
      <c r="P674" s="200"/>
      <c r="Q674" s="200"/>
      <c r="R674" s="200"/>
      <c r="S674" s="200"/>
      <c r="T674" s="200"/>
      <c r="U674" s="200"/>
      <c r="V674" s="200"/>
      <c r="W674" s="200"/>
      <c r="X674" s="200"/>
      <c r="Y674" s="200"/>
      <c r="Z674" s="200"/>
    </row>
    <row r="675" ht="22.5" customHeight="1">
      <c r="A675" s="145"/>
      <c r="B675" s="154"/>
      <c r="C675" s="138"/>
      <c r="D675" s="138"/>
      <c r="E675" s="138"/>
      <c r="F675" s="138"/>
      <c r="G675" s="119"/>
      <c r="H675" s="200"/>
      <c r="I675" s="200"/>
      <c r="J675" s="200"/>
      <c r="K675" s="200"/>
      <c r="L675" s="200"/>
      <c r="M675" s="200"/>
      <c r="N675" s="200"/>
      <c r="O675" s="200"/>
      <c r="P675" s="200"/>
      <c r="Q675" s="200"/>
      <c r="R675" s="200"/>
      <c r="S675" s="200"/>
      <c r="T675" s="200"/>
      <c r="U675" s="200"/>
      <c r="V675" s="200"/>
      <c r="W675" s="200"/>
      <c r="X675" s="200"/>
      <c r="Y675" s="200"/>
      <c r="Z675" s="200"/>
    </row>
    <row r="676" ht="22.5" customHeight="1">
      <c r="A676" s="145"/>
      <c r="B676" s="154"/>
      <c r="C676" s="138"/>
      <c r="D676" s="138"/>
      <c r="E676" s="138"/>
      <c r="F676" s="138"/>
      <c r="G676" s="119"/>
      <c r="H676" s="200"/>
      <c r="I676" s="200"/>
      <c r="J676" s="200"/>
      <c r="K676" s="200"/>
      <c r="L676" s="200"/>
      <c r="M676" s="200"/>
      <c r="N676" s="200"/>
      <c r="O676" s="200"/>
      <c r="P676" s="200"/>
      <c r="Q676" s="200"/>
      <c r="R676" s="200"/>
      <c r="S676" s="200"/>
      <c r="T676" s="200"/>
      <c r="U676" s="200"/>
      <c r="V676" s="200"/>
      <c r="W676" s="200"/>
      <c r="X676" s="200"/>
      <c r="Y676" s="200"/>
      <c r="Z676" s="200"/>
    </row>
    <row r="677" ht="22.5" customHeight="1">
      <c r="A677" s="145"/>
      <c r="B677" s="154"/>
      <c r="C677" s="138"/>
      <c r="D677" s="138"/>
      <c r="E677" s="138"/>
      <c r="F677" s="138"/>
      <c r="G677" s="119"/>
      <c r="H677" s="200"/>
      <c r="I677" s="200"/>
      <c r="J677" s="200"/>
      <c r="K677" s="200"/>
      <c r="L677" s="200"/>
      <c r="M677" s="200"/>
      <c r="N677" s="200"/>
      <c r="O677" s="200"/>
      <c r="P677" s="200"/>
      <c r="Q677" s="200"/>
      <c r="R677" s="200"/>
      <c r="S677" s="200"/>
      <c r="T677" s="200"/>
      <c r="U677" s="200"/>
      <c r="V677" s="200"/>
      <c r="W677" s="200"/>
      <c r="X677" s="200"/>
      <c r="Y677" s="200"/>
      <c r="Z677" s="200"/>
    </row>
    <row r="678" ht="22.5" customHeight="1">
      <c r="A678" s="145"/>
      <c r="B678" s="154"/>
      <c r="C678" s="138"/>
      <c r="D678" s="138"/>
      <c r="E678" s="138"/>
      <c r="F678" s="138"/>
      <c r="G678" s="119"/>
      <c r="H678" s="200"/>
      <c r="I678" s="200"/>
      <c r="J678" s="200"/>
      <c r="K678" s="200"/>
      <c r="L678" s="200"/>
      <c r="M678" s="200"/>
      <c r="N678" s="200"/>
      <c r="O678" s="200"/>
      <c r="P678" s="200"/>
      <c r="Q678" s="200"/>
      <c r="R678" s="200"/>
      <c r="S678" s="200"/>
      <c r="T678" s="200"/>
      <c r="U678" s="200"/>
      <c r="V678" s="200"/>
      <c r="W678" s="200"/>
      <c r="X678" s="200"/>
      <c r="Y678" s="200"/>
      <c r="Z678" s="200"/>
    </row>
    <row r="679" ht="22.5" customHeight="1">
      <c r="A679" s="145"/>
      <c r="B679" s="154"/>
      <c r="C679" s="138"/>
      <c r="D679" s="138"/>
      <c r="E679" s="138"/>
      <c r="F679" s="138"/>
      <c r="G679" s="119"/>
      <c r="H679" s="200"/>
      <c r="I679" s="200"/>
      <c r="J679" s="200"/>
      <c r="K679" s="200"/>
      <c r="L679" s="200"/>
      <c r="M679" s="200"/>
      <c r="N679" s="200"/>
      <c r="O679" s="200"/>
      <c r="P679" s="200"/>
      <c r="Q679" s="200"/>
      <c r="R679" s="200"/>
      <c r="S679" s="200"/>
      <c r="T679" s="200"/>
      <c r="U679" s="200"/>
      <c r="V679" s="200"/>
      <c r="W679" s="200"/>
      <c r="X679" s="200"/>
      <c r="Y679" s="200"/>
      <c r="Z679" s="200"/>
    </row>
    <row r="680" ht="22.5" customHeight="1">
      <c r="A680" s="145"/>
      <c r="B680" s="154"/>
      <c r="C680" s="138"/>
      <c r="D680" s="138"/>
      <c r="E680" s="138"/>
      <c r="F680" s="138"/>
      <c r="G680" s="119"/>
      <c r="H680" s="200"/>
      <c r="I680" s="200"/>
      <c r="J680" s="200"/>
      <c r="K680" s="200"/>
      <c r="L680" s="200"/>
      <c r="M680" s="200"/>
      <c r="N680" s="200"/>
      <c r="O680" s="200"/>
      <c r="P680" s="200"/>
      <c r="Q680" s="200"/>
      <c r="R680" s="200"/>
      <c r="S680" s="200"/>
      <c r="T680" s="200"/>
      <c r="U680" s="200"/>
      <c r="V680" s="200"/>
      <c r="W680" s="200"/>
      <c r="X680" s="200"/>
      <c r="Y680" s="200"/>
      <c r="Z680" s="200"/>
    </row>
    <row r="681" ht="22.5" customHeight="1">
      <c r="A681" s="145"/>
      <c r="B681" s="154"/>
      <c r="C681" s="138"/>
      <c r="D681" s="138"/>
      <c r="E681" s="138"/>
      <c r="F681" s="138"/>
      <c r="G681" s="119"/>
      <c r="H681" s="200"/>
      <c r="I681" s="200"/>
      <c r="J681" s="200"/>
      <c r="K681" s="200"/>
      <c r="L681" s="200"/>
      <c r="M681" s="200"/>
      <c r="N681" s="200"/>
      <c r="O681" s="200"/>
      <c r="P681" s="200"/>
      <c r="Q681" s="200"/>
      <c r="R681" s="200"/>
      <c r="S681" s="200"/>
      <c r="T681" s="200"/>
      <c r="U681" s="200"/>
      <c r="V681" s="200"/>
      <c r="W681" s="200"/>
      <c r="X681" s="200"/>
      <c r="Y681" s="200"/>
      <c r="Z681" s="200"/>
    </row>
    <row r="682" ht="22.5" customHeight="1">
      <c r="A682" s="145"/>
      <c r="B682" s="154"/>
      <c r="C682" s="138"/>
      <c r="D682" s="138"/>
      <c r="E682" s="138"/>
      <c r="F682" s="138"/>
      <c r="G682" s="119"/>
      <c r="H682" s="200"/>
      <c r="I682" s="200"/>
      <c r="J682" s="200"/>
      <c r="K682" s="200"/>
      <c r="L682" s="200"/>
      <c r="M682" s="200"/>
      <c r="N682" s="200"/>
      <c r="O682" s="200"/>
      <c r="P682" s="200"/>
      <c r="Q682" s="200"/>
      <c r="R682" s="200"/>
      <c r="S682" s="200"/>
      <c r="T682" s="200"/>
      <c r="U682" s="200"/>
      <c r="V682" s="200"/>
      <c r="W682" s="200"/>
      <c r="X682" s="200"/>
      <c r="Y682" s="200"/>
      <c r="Z682" s="200"/>
    </row>
    <row r="683" ht="22.5" customHeight="1">
      <c r="A683" s="145"/>
      <c r="B683" s="154"/>
      <c r="C683" s="138"/>
      <c r="D683" s="138"/>
      <c r="E683" s="138"/>
      <c r="F683" s="138"/>
      <c r="G683" s="119"/>
      <c r="H683" s="200"/>
      <c r="I683" s="200"/>
      <c r="J683" s="200"/>
      <c r="K683" s="200"/>
      <c r="L683" s="200"/>
      <c r="M683" s="200"/>
      <c r="N683" s="200"/>
      <c r="O683" s="200"/>
      <c r="P683" s="200"/>
      <c r="Q683" s="200"/>
      <c r="R683" s="200"/>
      <c r="S683" s="200"/>
      <c r="T683" s="200"/>
      <c r="U683" s="200"/>
      <c r="V683" s="200"/>
      <c r="W683" s="200"/>
      <c r="X683" s="200"/>
      <c r="Y683" s="200"/>
      <c r="Z683" s="200"/>
    </row>
    <row r="684" ht="22.5" customHeight="1">
      <c r="A684" s="145"/>
      <c r="B684" s="154"/>
      <c r="C684" s="138"/>
      <c r="D684" s="138"/>
      <c r="E684" s="138"/>
      <c r="F684" s="138"/>
      <c r="G684" s="119"/>
      <c r="H684" s="200"/>
      <c r="I684" s="200"/>
      <c r="J684" s="200"/>
      <c r="K684" s="200"/>
      <c r="L684" s="200"/>
      <c r="M684" s="200"/>
      <c r="N684" s="200"/>
      <c r="O684" s="200"/>
      <c r="P684" s="200"/>
      <c r="Q684" s="200"/>
      <c r="R684" s="200"/>
      <c r="S684" s="200"/>
      <c r="T684" s="200"/>
      <c r="U684" s="200"/>
      <c r="V684" s="200"/>
      <c r="W684" s="200"/>
      <c r="X684" s="200"/>
      <c r="Y684" s="200"/>
      <c r="Z684" s="200"/>
    </row>
    <row r="685" ht="22.5" customHeight="1">
      <c r="A685" s="145"/>
      <c r="B685" s="154"/>
      <c r="C685" s="138"/>
      <c r="D685" s="138"/>
      <c r="E685" s="138"/>
      <c r="F685" s="138"/>
      <c r="G685" s="119"/>
      <c r="H685" s="200"/>
      <c r="I685" s="200"/>
      <c r="J685" s="200"/>
      <c r="K685" s="200"/>
      <c r="L685" s="200"/>
      <c r="M685" s="200"/>
      <c r="N685" s="200"/>
      <c r="O685" s="200"/>
      <c r="P685" s="200"/>
      <c r="Q685" s="200"/>
      <c r="R685" s="200"/>
      <c r="S685" s="200"/>
      <c r="T685" s="200"/>
      <c r="U685" s="200"/>
      <c r="V685" s="200"/>
      <c r="W685" s="200"/>
      <c r="X685" s="200"/>
      <c r="Y685" s="200"/>
      <c r="Z685" s="200"/>
    </row>
    <row r="686" ht="22.5" customHeight="1">
      <c r="A686" s="145"/>
      <c r="B686" s="154"/>
      <c r="C686" s="138"/>
      <c r="D686" s="138"/>
      <c r="E686" s="138"/>
      <c r="F686" s="138"/>
      <c r="G686" s="119"/>
      <c r="H686" s="200"/>
      <c r="I686" s="200"/>
      <c r="J686" s="200"/>
      <c r="K686" s="200"/>
      <c r="L686" s="200"/>
      <c r="M686" s="200"/>
      <c r="N686" s="200"/>
      <c r="O686" s="200"/>
      <c r="P686" s="200"/>
      <c r="Q686" s="200"/>
      <c r="R686" s="200"/>
      <c r="S686" s="200"/>
      <c r="T686" s="200"/>
      <c r="U686" s="200"/>
      <c r="V686" s="200"/>
      <c r="W686" s="200"/>
      <c r="X686" s="200"/>
      <c r="Y686" s="200"/>
      <c r="Z686" s="200"/>
    </row>
    <row r="687" ht="22.5" customHeight="1">
      <c r="A687" s="145"/>
      <c r="B687" s="154"/>
      <c r="C687" s="138"/>
      <c r="D687" s="138"/>
      <c r="E687" s="138"/>
      <c r="F687" s="138"/>
      <c r="G687" s="119"/>
      <c r="H687" s="200"/>
      <c r="I687" s="200"/>
      <c r="J687" s="200"/>
      <c r="K687" s="200"/>
      <c r="L687" s="200"/>
      <c r="M687" s="200"/>
      <c r="N687" s="200"/>
      <c r="O687" s="200"/>
      <c r="P687" s="200"/>
      <c r="Q687" s="200"/>
      <c r="R687" s="200"/>
      <c r="S687" s="200"/>
      <c r="T687" s="200"/>
      <c r="U687" s="200"/>
      <c r="V687" s="200"/>
      <c r="W687" s="200"/>
      <c r="X687" s="200"/>
      <c r="Y687" s="200"/>
      <c r="Z687" s="200"/>
    </row>
    <row r="688" ht="22.5" customHeight="1">
      <c r="A688" s="145"/>
      <c r="B688" s="154"/>
      <c r="C688" s="138"/>
      <c r="D688" s="138"/>
      <c r="E688" s="138"/>
      <c r="F688" s="138"/>
      <c r="G688" s="119"/>
      <c r="H688" s="200"/>
      <c r="I688" s="200"/>
      <c r="J688" s="200"/>
      <c r="K688" s="200"/>
      <c r="L688" s="200"/>
      <c r="M688" s="200"/>
      <c r="N688" s="200"/>
      <c r="O688" s="200"/>
      <c r="P688" s="200"/>
      <c r="Q688" s="200"/>
      <c r="R688" s="200"/>
      <c r="S688" s="200"/>
      <c r="T688" s="200"/>
      <c r="U688" s="200"/>
      <c r="V688" s="200"/>
      <c r="W688" s="200"/>
      <c r="X688" s="200"/>
      <c r="Y688" s="200"/>
      <c r="Z688" s="200"/>
    </row>
    <row r="689" ht="22.5" customHeight="1">
      <c r="A689" s="145"/>
      <c r="B689" s="154"/>
      <c r="C689" s="138"/>
      <c r="D689" s="138"/>
      <c r="E689" s="138"/>
      <c r="F689" s="138"/>
      <c r="G689" s="119"/>
      <c r="H689" s="200"/>
      <c r="I689" s="200"/>
      <c r="J689" s="200"/>
      <c r="K689" s="200"/>
      <c r="L689" s="200"/>
      <c r="M689" s="200"/>
      <c r="N689" s="200"/>
      <c r="O689" s="200"/>
      <c r="P689" s="200"/>
      <c r="Q689" s="200"/>
      <c r="R689" s="200"/>
      <c r="S689" s="200"/>
      <c r="T689" s="200"/>
      <c r="U689" s="200"/>
      <c r="V689" s="200"/>
      <c r="W689" s="200"/>
      <c r="X689" s="200"/>
      <c r="Y689" s="200"/>
      <c r="Z689" s="200"/>
    </row>
    <row r="690" ht="22.5" customHeight="1">
      <c r="A690" s="145"/>
      <c r="B690" s="154"/>
      <c r="C690" s="138"/>
      <c r="D690" s="138"/>
      <c r="E690" s="138"/>
      <c r="F690" s="138"/>
      <c r="G690" s="119"/>
      <c r="H690" s="200"/>
      <c r="I690" s="200"/>
      <c r="J690" s="200"/>
      <c r="K690" s="200"/>
      <c r="L690" s="200"/>
      <c r="M690" s="200"/>
      <c r="N690" s="200"/>
      <c r="O690" s="200"/>
      <c r="P690" s="200"/>
      <c r="Q690" s="200"/>
      <c r="R690" s="200"/>
      <c r="S690" s="200"/>
      <c r="T690" s="200"/>
      <c r="U690" s="200"/>
      <c r="V690" s="200"/>
      <c r="W690" s="200"/>
      <c r="X690" s="200"/>
      <c r="Y690" s="200"/>
      <c r="Z690" s="200"/>
    </row>
    <row r="691" ht="22.5" customHeight="1">
      <c r="A691" s="145"/>
      <c r="B691" s="154"/>
      <c r="C691" s="138"/>
      <c r="D691" s="138"/>
      <c r="E691" s="138"/>
      <c r="F691" s="138"/>
      <c r="G691" s="119"/>
      <c r="H691" s="200"/>
      <c r="I691" s="200"/>
      <c r="J691" s="200"/>
      <c r="K691" s="200"/>
      <c r="L691" s="200"/>
      <c r="M691" s="200"/>
      <c r="N691" s="200"/>
      <c r="O691" s="200"/>
      <c r="P691" s="200"/>
      <c r="Q691" s="200"/>
      <c r="R691" s="200"/>
      <c r="S691" s="200"/>
      <c r="T691" s="200"/>
      <c r="U691" s="200"/>
      <c r="V691" s="200"/>
      <c r="W691" s="200"/>
      <c r="X691" s="200"/>
      <c r="Y691" s="200"/>
      <c r="Z691" s="200"/>
    </row>
    <row r="692" ht="22.5" customHeight="1">
      <c r="A692" s="145"/>
      <c r="B692" s="154"/>
      <c r="C692" s="138"/>
      <c r="D692" s="138"/>
      <c r="E692" s="138"/>
      <c r="F692" s="138"/>
      <c r="G692" s="119"/>
      <c r="H692" s="200"/>
      <c r="I692" s="200"/>
      <c r="J692" s="200"/>
      <c r="K692" s="200"/>
      <c r="L692" s="200"/>
      <c r="M692" s="200"/>
      <c r="N692" s="200"/>
      <c r="O692" s="200"/>
      <c r="P692" s="200"/>
      <c r="Q692" s="200"/>
      <c r="R692" s="200"/>
      <c r="S692" s="200"/>
      <c r="T692" s="200"/>
      <c r="U692" s="200"/>
      <c r="V692" s="200"/>
      <c r="W692" s="200"/>
      <c r="X692" s="200"/>
      <c r="Y692" s="200"/>
      <c r="Z692" s="200"/>
    </row>
    <row r="693" ht="22.5" customHeight="1">
      <c r="A693" s="145"/>
      <c r="B693" s="154"/>
      <c r="C693" s="138"/>
      <c r="D693" s="138"/>
      <c r="E693" s="138"/>
      <c r="F693" s="138"/>
      <c r="G693" s="119"/>
      <c r="H693" s="200"/>
      <c r="I693" s="200"/>
      <c r="J693" s="200"/>
      <c r="K693" s="200"/>
      <c r="L693" s="200"/>
      <c r="M693" s="200"/>
      <c r="N693" s="200"/>
      <c r="O693" s="200"/>
      <c r="P693" s="200"/>
      <c r="Q693" s="200"/>
      <c r="R693" s="200"/>
      <c r="S693" s="200"/>
      <c r="T693" s="200"/>
      <c r="U693" s="200"/>
      <c r="V693" s="200"/>
      <c r="W693" s="200"/>
      <c r="X693" s="200"/>
      <c r="Y693" s="200"/>
      <c r="Z693" s="200"/>
    </row>
    <row r="694" ht="22.5" customHeight="1">
      <c r="A694" s="145"/>
      <c r="B694" s="154"/>
      <c r="C694" s="138"/>
      <c r="D694" s="138"/>
      <c r="E694" s="138"/>
      <c r="F694" s="138"/>
      <c r="G694" s="119"/>
      <c r="H694" s="200"/>
      <c r="I694" s="200"/>
      <c r="J694" s="200"/>
      <c r="K694" s="200"/>
      <c r="L694" s="200"/>
      <c r="M694" s="200"/>
      <c r="N694" s="200"/>
      <c r="O694" s="200"/>
      <c r="P694" s="200"/>
      <c r="Q694" s="200"/>
      <c r="R694" s="200"/>
      <c r="S694" s="200"/>
      <c r="T694" s="200"/>
      <c r="U694" s="200"/>
      <c r="V694" s="200"/>
      <c r="W694" s="200"/>
      <c r="X694" s="200"/>
      <c r="Y694" s="200"/>
      <c r="Z694" s="200"/>
    </row>
    <row r="695" ht="22.5" customHeight="1">
      <c r="A695" s="145"/>
      <c r="B695" s="154"/>
      <c r="C695" s="138"/>
      <c r="D695" s="138"/>
      <c r="E695" s="138"/>
      <c r="F695" s="138"/>
      <c r="G695" s="119"/>
      <c r="H695" s="200"/>
      <c r="I695" s="200"/>
      <c r="J695" s="200"/>
      <c r="K695" s="200"/>
      <c r="L695" s="200"/>
      <c r="M695" s="200"/>
      <c r="N695" s="200"/>
      <c r="O695" s="200"/>
      <c r="P695" s="200"/>
      <c r="Q695" s="200"/>
      <c r="R695" s="200"/>
      <c r="S695" s="200"/>
      <c r="T695" s="200"/>
      <c r="U695" s="200"/>
      <c r="V695" s="200"/>
      <c r="W695" s="200"/>
      <c r="X695" s="200"/>
      <c r="Y695" s="200"/>
      <c r="Z695" s="200"/>
    </row>
    <row r="696" ht="22.5" customHeight="1">
      <c r="A696" s="145"/>
      <c r="B696" s="154"/>
      <c r="C696" s="138"/>
      <c r="D696" s="138"/>
      <c r="E696" s="138"/>
      <c r="F696" s="138"/>
      <c r="G696" s="119"/>
      <c r="H696" s="200"/>
      <c r="I696" s="200"/>
      <c r="J696" s="200"/>
      <c r="K696" s="200"/>
      <c r="L696" s="200"/>
      <c r="M696" s="200"/>
      <c r="N696" s="200"/>
      <c r="O696" s="200"/>
      <c r="P696" s="200"/>
      <c r="Q696" s="200"/>
      <c r="R696" s="200"/>
      <c r="S696" s="200"/>
      <c r="T696" s="200"/>
      <c r="U696" s="200"/>
      <c r="V696" s="200"/>
      <c r="W696" s="200"/>
      <c r="X696" s="200"/>
      <c r="Y696" s="200"/>
      <c r="Z696" s="200"/>
    </row>
    <row r="697" ht="22.5" customHeight="1">
      <c r="A697" s="145"/>
      <c r="B697" s="154"/>
      <c r="C697" s="138"/>
      <c r="D697" s="138"/>
      <c r="E697" s="138"/>
      <c r="F697" s="138"/>
      <c r="G697" s="119"/>
      <c r="H697" s="200"/>
      <c r="I697" s="200"/>
      <c r="J697" s="200"/>
      <c r="K697" s="200"/>
      <c r="L697" s="200"/>
      <c r="M697" s="200"/>
      <c r="N697" s="200"/>
      <c r="O697" s="200"/>
      <c r="P697" s="200"/>
      <c r="Q697" s="200"/>
      <c r="R697" s="200"/>
      <c r="S697" s="200"/>
      <c r="T697" s="200"/>
      <c r="U697" s="200"/>
      <c r="V697" s="200"/>
      <c r="W697" s="200"/>
      <c r="X697" s="200"/>
      <c r="Y697" s="200"/>
      <c r="Z697" s="200"/>
    </row>
    <row r="698" ht="22.5" customHeight="1">
      <c r="A698" s="145"/>
      <c r="B698" s="154"/>
      <c r="C698" s="138"/>
      <c r="D698" s="138"/>
      <c r="E698" s="138"/>
      <c r="F698" s="138"/>
      <c r="G698" s="119"/>
      <c r="H698" s="200"/>
      <c r="I698" s="200"/>
      <c r="J698" s="200"/>
      <c r="K698" s="200"/>
      <c r="L698" s="200"/>
      <c r="M698" s="200"/>
      <c r="N698" s="200"/>
      <c r="O698" s="200"/>
      <c r="P698" s="200"/>
      <c r="Q698" s="200"/>
      <c r="R698" s="200"/>
      <c r="S698" s="200"/>
      <c r="T698" s="200"/>
      <c r="U698" s="200"/>
      <c r="V698" s="200"/>
      <c r="W698" s="200"/>
      <c r="X698" s="200"/>
      <c r="Y698" s="200"/>
      <c r="Z698" s="200"/>
    </row>
    <row r="699" ht="22.5" customHeight="1">
      <c r="A699" s="145"/>
      <c r="B699" s="154"/>
      <c r="C699" s="138"/>
      <c r="D699" s="138"/>
      <c r="E699" s="138"/>
      <c r="F699" s="138"/>
      <c r="G699" s="119"/>
      <c r="H699" s="200"/>
      <c r="I699" s="200"/>
      <c r="J699" s="200"/>
      <c r="K699" s="200"/>
      <c r="L699" s="200"/>
      <c r="M699" s="200"/>
      <c r="N699" s="200"/>
      <c r="O699" s="200"/>
      <c r="P699" s="200"/>
      <c r="Q699" s="200"/>
      <c r="R699" s="200"/>
      <c r="S699" s="200"/>
      <c r="T699" s="200"/>
      <c r="U699" s="200"/>
      <c r="V699" s="200"/>
      <c r="W699" s="200"/>
      <c r="X699" s="200"/>
      <c r="Y699" s="200"/>
      <c r="Z699" s="200"/>
    </row>
    <row r="700" ht="22.5" customHeight="1">
      <c r="A700" s="145"/>
      <c r="B700" s="154"/>
      <c r="C700" s="138"/>
      <c r="D700" s="138"/>
      <c r="E700" s="138"/>
      <c r="F700" s="138"/>
      <c r="G700" s="119"/>
      <c r="H700" s="200"/>
      <c r="I700" s="200"/>
      <c r="J700" s="200"/>
      <c r="K700" s="200"/>
      <c r="L700" s="200"/>
      <c r="M700" s="200"/>
      <c r="N700" s="200"/>
      <c r="O700" s="200"/>
      <c r="P700" s="200"/>
      <c r="Q700" s="200"/>
      <c r="R700" s="200"/>
      <c r="S700" s="200"/>
      <c r="T700" s="200"/>
      <c r="U700" s="200"/>
      <c r="V700" s="200"/>
      <c r="W700" s="200"/>
      <c r="X700" s="200"/>
      <c r="Y700" s="200"/>
      <c r="Z700" s="200"/>
    </row>
    <row r="701" ht="22.5" customHeight="1">
      <c r="A701" s="145"/>
      <c r="B701" s="154"/>
      <c r="C701" s="138"/>
      <c r="D701" s="138"/>
      <c r="E701" s="138"/>
      <c r="F701" s="138"/>
      <c r="G701" s="119"/>
      <c r="H701" s="200"/>
      <c r="I701" s="200"/>
      <c r="J701" s="200"/>
      <c r="K701" s="200"/>
      <c r="L701" s="200"/>
      <c r="M701" s="200"/>
      <c r="N701" s="200"/>
      <c r="O701" s="200"/>
      <c r="P701" s="200"/>
      <c r="Q701" s="200"/>
      <c r="R701" s="200"/>
      <c r="S701" s="200"/>
      <c r="T701" s="200"/>
      <c r="U701" s="200"/>
      <c r="V701" s="200"/>
      <c r="W701" s="200"/>
      <c r="X701" s="200"/>
      <c r="Y701" s="200"/>
      <c r="Z701" s="200"/>
    </row>
    <row r="702" ht="22.5" customHeight="1">
      <c r="A702" s="145"/>
      <c r="B702" s="154"/>
      <c r="C702" s="138"/>
      <c r="D702" s="138"/>
      <c r="E702" s="138"/>
      <c r="F702" s="138"/>
      <c r="G702" s="119"/>
      <c r="H702" s="200"/>
      <c r="I702" s="200"/>
      <c r="J702" s="200"/>
      <c r="K702" s="200"/>
      <c r="L702" s="200"/>
      <c r="M702" s="200"/>
      <c r="N702" s="200"/>
      <c r="O702" s="200"/>
      <c r="P702" s="200"/>
      <c r="Q702" s="200"/>
      <c r="R702" s="200"/>
      <c r="S702" s="200"/>
      <c r="T702" s="200"/>
      <c r="U702" s="200"/>
      <c r="V702" s="200"/>
      <c r="W702" s="200"/>
      <c r="X702" s="200"/>
      <c r="Y702" s="200"/>
      <c r="Z702" s="200"/>
    </row>
    <row r="703" ht="22.5" customHeight="1">
      <c r="A703" s="145"/>
      <c r="B703" s="154"/>
      <c r="C703" s="138"/>
      <c r="D703" s="138"/>
      <c r="E703" s="138"/>
      <c r="F703" s="138"/>
      <c r="G703" s="119"/>
      <c r="H703" s="200"/>
      <c r="I703" s="200"/>
      <c r="J703" s="200"/>
      <c r="K703" s="200"/>
      <c r="L703" s="200"/>
      <c r="M703" s="200"/>
      <c r="N703" s="200"/>
      <c r="O703" s="200"/>
      <c r="P703" s="200"/>
      <c r="Q703" s="200"/>
      <c r="R703" s="200"/>
      <c r="S703" s="200"/>
      <c r="T703" s="200"/>
      <c r="U703" s="200"/>
      <c r="V703" s="200"/>
      <c r="W703" s="200"/>
      <c r="X703" s="200"/>
      <c r="Y703" s="200"/>
      <c r="Z703" s="200"/>
    </row>
    <row r="704" ht="22.5" customHeight="1">
      <c r="A704" s="145"/>
      <c r="B704" s="154"/>
      <c r="C704" s="138"/>
      <c r="D704" s="138"/>
      <c r="E704" s="138"/>
      <c r="F704" s="138"/>
      <c r="G704" s="119"/>
      <c r="H704" s="200"/>
      <c r="I704" s="200"/>
      <c r="J704" s="200"/>
      <c r="K704" s="200"/>
      <c r="L704" s="200"/>
      <c r="M704" s="200"/>
      <c r="N704" s="200"/>
      <c r="O704" s="200"/>
      <c r="P704" s="200"/>
      <c r="Q704" s="200"/>
      <c r="R704" s="200"/>
      <c r="S704" s="200"/>
      <c r="T704" s="200"/>
      <c r="U704" s="200"/>
      <c r="V704" s="200"/>
      <c r="W704" s="200"/>
      <c r="X704" s="200"/>
      <c r="Y704" s="200"/>
      <c r="Z704" s="200"/>
    </row>
    <row r="705" ht="22.5" customHeight="1">
      <c r="A705" s="145"/>
      <c r="B705" s="154"/>
      <c r="C705" s="138"/>
      <c r="D705" s="138"/>
      <c r="E705" s="138"/>
      <c r="F705" s="138"/>
      <c r="G705" s="119"/>
      <c r="H705" s="200"/>
      <c r="I705" s="200"/>
      <c r="J705" s="200"/>
      <c r="K705" s="200"/>
      <c r="L705" s="200"/>
      <c r="M705" s="200"/>
      <c r="N705" s="200"/>
      <c r="O705" s="200"/>
      <c r="P705" s="200"/>
      <c r="Q705" s="200"/>
      <c r="R705" s="200"/>
      <c r="S705" s="200"/>
      <c r="T705" s="200"/>
      <c r="U705" s="200"/>
      <c r="V705" s="200"/>
      <c r="W705" s="200"/>
      <c r="X705" s="200"/>
      <c r="Y705" s="200"/>
      <c r="Z705" s="200"/>
    </row>
    <row r="706" ht="22.5" customHeight="1">
      <c r="A706" s="145"/>
      <c r="B706" s="154"/>
      <c r="C706" s="138"/>
      <c r="D706" s="138"/>
      <c r="E706" s="138"/>
      <c r="F706" s="138"/>
      <c r="G706" s="119"/>
      <c r="H706" s="200"/>
      <c r="I706" s="200"/>
      <c r="J706" s="200"/>
      <c r="K706" s="200"/>
      <c r="L706" s="200"/>
      <c r="M706" s="200"/>
      <c r="N706" s="200"/>
      <c r="O706" s="200"/>
      <c r="P706" s="200"/>
      <c r="Q706" s="200"/>
      <c r="R706" s="200"/>
      <c r="S706" s="200"/>
      <c r="T706" s="200"/>
      <c r="U706" s="200"/>
      <c r="V706" s="200"/>
      <c r="W706" s="200"/>
      <c r="X706" s="200"/>
      <c r="Y706" s="200"/>
      <c r="Z706" s="200"/>
    </row>
    <row r="707" ht="22.5" customHeight="1">
      <c r="A707" s="145"/>
      <c r="B707" s="154"/>
      <c r="C707" s="138"/>
      <c r="D707" s="138"/>
      <c r="E707" s="138"/>
      <c r="F707" s="138"/>
      <c r="G707" s="119"/>
      <c r="H707" s="200"/>
      <c r="I707" s="200"/>
      <c r="J707" s="200"/>
      <c r="K707" s="200"/>
      <c r="L707" s="200"/>
      <c r="M707" s="200"/>
      <c r="N707" s="200"/>
      <c r="O707" s="200"/>
      <c r="P707" s="200"/>
      <c r="Q707" s="200"/>
      <c r="R707" s="200"/>
      <c r="S707" s="200"/>
      <c r="T707" s="200"/>
      <c r="U707" s="200"/>
      <c r="V707" s="200"/>
      <c r="W707" s="200"/>
      <c r="X707" s="200"/>
      <c r="Y707" s="200"/>
      <c r="Z707" s="200"/>
    </row>
    <row r="708" ht="22.5" customHeight="1">
      <c r="A708" s="145"/>
      <c r="B708" s="154"/>
      <c r="C708" s="138"/>
      <c r="D708" s="138"/>
      <c r="E708" s="138"/>
      <c r="F708" s="138"/>
      <c r="G708" s="119"/>
      <c r="H708" s="200"/>
      <c r="I708" s="200"/>
      <c r="J708" s="200"/>
      <c r="K708" s="200"/>
      <c r="L708" s="200"/>
      <c r="M708" s="200"/>
      <c r="N708" s="200"/>
      <c r="O708" s="200"/>
      <c r="P708" s="200"/>
      <c r="Q708" s="200"/>
      <c r="R708" s="200"/>
      <c r="S708" s="200"/>
      <c r="T708" s="200"/>
      <c r="U708" s="200"/>
      <c r="V708" s="200"/>
      <c r="W708" s="200"/>
      <c r="X708" s="200"/>
      <c r="Y708" s="200"/>
      <c r="Z708" s="200"/>
    </row>
    <row r="709" ht="22.5" customHeight="1">
      <c r="A709" s="145"/>
      <c r="B709" s="154"/>
      <c r="C709" s="138"/>
      <c r="D709" s="138"/>
      <c r="E709" s="138"/>
      <c r="F709" s="138"/>
      <c r="G709" s="119"/>
      <c r="H709" s="200"/>
      <c r="I709" s="200"/>
      <c r="J709" s="200"/>
      <c r="K709" s="200"/>
      <c r="L709" s="200"/>
      <c r="M709" s="200"/>
      <c r="N709" s="200"/>
      <c r="O709" s="200"/>
      <c r="P709" s="200"/>
      <c r="Q709" s="200"/>
      <c r="R709" s="200"/>
      <c r="S709" s="200"/>
      <c r="T709" s="200"/>
      <c r="U709" s="200"/>
      <c r="V709" s="200"/>
      <c r="W709" s="200"/>
      <c r="X709" s="200"/>
      <c r="Y709" s="200"/>
      <c r="Z709" s="200"/>
    </row>
    <row r="710" ht="22.5" customHeight="1">
      <c r="A710" s="145"/>
      <c r="B710" s="154"/>
      <c r="C710" s="138"/>
      <c r="D710" s="138"/>
      <c r="E710" s="138"/>
      <c r="F710" s="138"/>
      <c r="G710" s="119"/>
      <c r="H710" s="200"/>
      <c r="I710" s="200"/>
      <c r="J710" s="200"/>
      <c r="K710" s="200"/>
      <c r="L710" s="200"/>
      <c r="M710" s="200"/>
      <c r="N710" s="200"/>
      <c r="O710" s="200"/>
      <c r="P710" s="200"/>
      <c r="Q710" s="200"/>
      <c r="R710" s="200"/>
      <c r="S710" s="200"/>
      <c r="T710" s="200"/>
      <c r="U710" s="200"/>
      <c r="V710" s="200"/>
      <c r="W710" s="200"/>
      <c r="X710" s="200"/>
      <c r="Y710" s="200"/>
      <c r="Z710" s="200"/>
    </row>
    <row r="711" ht="22.5" customHeight="1">
      <c r="A711" s="145"/>
      <c r="B711" s="154"/>
      <c r="C711" s="138"/>
      <c r="D711" s="138"/>
      <c r="E711" s="138"/>
      <c r="F711" s="138"/>
      <c r="G711" s="119"/>
      <c r="H711" s="200"/>
      <c r="I711" s="200"/>
      <c r="J711" s="200"/>
      <c r="K711" s="200"/>
      <c r="L711" s="200"/>
      <c r="M711" s="200"/>
      <c r="N711" s="200"/>
      <c r="O711" s="200"/>
      <c r="P711" s="200"/>
      <c r="Q711" s="200"/>
      <c r="R711" s="200"/>
      <c r="S711" s="200"/>
      <c r="T711" s="200"/>
      <c r="U711" s="200"/>
      <c r="V711" s="200"/>
      <c r="W711" s="200"/>
      <c r="X711" s="200"/>
      <c r="Y711" s="200"/>
      <c r="Z711" s="200"/>
    </row>
    <row r="712" ht="22.5" customHeight="1">
      <c r="A712" s="145"/>
      <c r="B712" s="154"/>
      <c r="C712" s="138"/>
      <c r="D712" s="138"/>
      <c r="E712" s="138"/>
      <c r="F712" s="138"/>
      <c r="G712" s="119"/>
      <c r="H712" s="200"/>
      <c r="I712" s="200"/>
      <c r="J712" s="200"/>
      <c r="K712" s="200"/>
      <c r="L712" s="200"/>
      <c r="M712" s="200"/>
      <c r="N712" s="200"/>
      <c r="O712" s="200"/>
      <c r="P712" s="200"/>
      <c r="Q712" s="200"/>
      <c r="R712" s="200"/>
      <c r="S712" s="200"/>
      <c r="T712" s="200"/>
      <c r="U712" s="200"/>
      <c r="V712" s="200"/>
      <c r="W712" s="200"/>
      <c r="X712" s="200"/>
      <c r="Y712" s="200"/>
      <c r="Z712" s="200"/>
    </row>
    <row r="713" ht="22.5" customHeight="1">
      <c r="A713" s="145"/>
      <c r="B713" s="154"/>
      <c r="C713" s="138"/>
      <c r="D713" s="138"/>
      <c r="E713" s="138"/>
      <c r="F713" s="138"/>
      <c r="G713" s="119"/>
      <c r="H713" s="200"/>
      <c r="I713" s="200"/>
      <c r="J713" s="200"/>
      <c r="K713" s="200"/>
      <c r="L713" s="200"/>
      <c r="M713" s="200"/>
      <c r="N713" s="200"/>
      <c r="O713" s="200"/>
      <c r="P713" s="200"/>
      <c r="Q713" s="200"/>
      <c r="R713" s="200"/>
      <c r="S713" s="200"/>
      <c r="T713" s="200"/>
      <c r="U713" s="200"/>
      <c r="V713" s="200"/>
      <c r="W713" s="200"/>
      <c r="X713" s="200"/>
      <c r="Y713" s="200"/>
      <c r="Z713" s="200"/>
    </row>
    <row r="714" ht="22.5" customHeight="1">
      <c r="A714" s="145"/>
      <c r="B714" s="154"/>
      <c r="C714" s="138"/>
      <c r="D714" s="138"/>
      <c r="E714" s="138"/>
      <c r="F714" s="138"/>
      <c r="G714" s="119"/>
      <c r="H714" s="200"/>
      <c r="I714" s="200"/>
      <c r="J714" s="200"/>
      <c r="K714" s="200"/>
      <c r="L714" s="200"/>
      <c r="M714" s="200"/>
      <c r="N714" s="200"/>
      <c r="O714" s="200"/>
      <c r="P714" s="200"/>
      <c r="Q714" s="200"/>
      <c r="R714" s="200"/>
      <c r="S714" s="200"/>
      <c r="T714" s="200"/>
      <c r="U714" s="200"/>
      <c r="V714" s="200"/>
      <c r="W714" s="200"/>
      <c r="X714" s="200"/>
      <c r="Y714" s="200"/>
      <c r="Z714" s="200"/>
    </row>
    <row r="715" ht="22.5" customHeight="1">
      <c r="A715" s="145"/>
      <c r="B715" s="154"/>
      <c r="C715" s="138"/>
      <c r="D715" s="138"/>
      <c r="E715" s="138"/>
      <c r="F715" s="138"/>
      <c r="G715" s="119"/>
      <c r="H715" s="200"/>
      <c r="I715" s="200"/>
      <c r="J715" s="200"/>
      <c r="K715" s="200"/>
      <c r="L715" s="200"/>
      <c r="M715" s="200"/>
      <c r="N715" s="200"/>
      <c r="O715" s="200"/>
      <c r="P715" s="200"/>
      <c r="Q715" s="200"/>
      <c r="R715" s="200"/>
      <c r="S715" s="200"/>
      <c r="T715" s="200"/>
      <c r="U715" s="200"/>
      <c r="V715" s="200"/>
      <c r="W715" s="200"/>
      <c r="X715" s="200"/>
      <c r="Y715" s="200"/>
      <c r="Z715" s="200"/>
    </row>
    <row r="716" ht="22.5" customHeight="1">
      <c r="A716" s="145"/>
      <c r="B716" s="154"/>
      <c r="C716" s="138"/>
      <c r="D716" s="138"/>
      <c r="E716" s="138"/>
      <c r="F716" s="138"/>
      <c r="G716" s="119"/>
      <c r="H716" s="200"/>
      <c r="I716" s="200"/>
      <c r="J716" s="200"/>
      <c r="K716" s="200"/>
      <c r="L716" s="200"/>
      <c r="M716" s="200"/>
      <c r="N716" s="200"/>
      <c r="O716" s="200"/>
      <c r="P716" s="200"/>
      <c r="Q716" s="200"/>
      <c r="R716" s="200"/>
      <c r="S716" s="200"/>
      <c r="T716" s="200"/>
      <c r="U716" s="200"/>
      <c r="V716" s="200"/>
      <c r="W716" s="200"/>
      <c r="X716" s="200"/>
      <c r="Y716" s="200"/>
      <c r="Z716" s="200"/>
    </row>
    <row r="717" ht="22.5" customHeight="1">
      <c r="A717" s="145"/>
      <c r="B717" s="154"/>
      <c r="C717" s="138"/>
      <c r="D717" s="138"/>
      <c r="E717" s="138"/>
      <c r="F717" s="138"/>
      <c r="G717" s="119"/>
      <c r="H717" s="200"/>
      <c r="I717" s="200"/>
      <c r="J717" s="200"/>
      <c r="K717" s="200"/>
      <c r="L717" s="200"/>
      <c r="M717" s="200"/>
      <c r="N717" s="200"/>
      <c r="O717" s="200"/>
      <c r="P717" s="200"/>
      <c r="Q717" s="200"/>
      <c r="R717" s="200"/>
      <c r="S717" s="200"/>
      <c r="T717" s="200"/>
      <c r="U717" s="200"/>
      <c r="V717" s="200"/>
      <c r="W717" s="200"/>
      <c r="X717" s="200"/>
      <c r="Y717" s="200"/>
      <c r="Z717" s="200"/>
    </row>
    <row r="718" ht="22.5" customHeight="1">
      <c r="A718" s="145"/>
      <c r="B718" s="154"/>
      <c r="C718" s="138"/>
      <c r="D718" s="138"/>
      <c r="E718" s="138"/>
      <c r="F718" s="138"/>
      <c r="G718" s="119"/>
      <c r="H718" s="200"/>
      <c r="I718" s="200"/>
      <c r="J718" s="200"/>
      <c r="K718" s="200"/>
      <c r="L718" s="200"/>
      <c r="M718" s="200"/>
      <c r="N718" s="200"/>
      <c r="O718" s="200"/>
      <c r="P718" s="200"/>
      <c r="Q718" s="200"/>
      <c r="R718" s="200"/>
      <c r="S718" s="200"/>
      <c r="T718" s="200"/>
      <c r="U718" s="200"/>
      <c r="V718" s="200"/>
      <c r="W718" s="200"/>
      <c r="X718" s="200"/>
      <c r="Y718" s="200"/>
      <c r="Z718" s="200"/>
    </row>
    <row r="719" ht="22.5" customHeight="1">
      <c r="A719" s="145"/>
      <c r="B719" s="154"/>
      <c r="C719" s="138"/>
      <c r="D719" s="138"/>
      <c r="E719" s="138"/>
      <c r="F719" s="138"/>
      <c r="G719" s="119"/>
      <c r="H719" s="200"/>
      <c r="I719" s="200"/>
      <c r="J719" s="200"/>
      <c r="K719" s="200"/>
      <c r="L719" s="200"/>
      <c r="M719" s="200"/>
      <c r="N719" s="200"/>
      <c r="O719" s="200"/>
      <c r="P719" s="200"/>
      <c r="Q719" s="200"/>
      <c r="R719" s="200"/>
      <c r="S719" s="200"/>
      <c r="T719" s="200"/>
      <c r="U719" s="200"/>
      <c r="V719" s="200"/>
      <c r="W719" s="200"/>
      <c r="X719" s="200"/>
      <c r="Y719" s="200"/>
      <c r="Z719" s="200"/>
    </row>
    <row r="720" ht="22.5" customHeight="1">
      <c r="A720" s="145"/>
      <c r="B720" s="154"/>
      <c r="C720" s="138"/>
      <c r="D720" s="138"/>
      <c r="E720" s="138"/>
      <c r="F720" s="138"/>
      <c r="G720" s="119"/>
      <c r="H720" s="200"/>
      <c r="I720" s="200"/>
      <c r="J720" s="200"/>
      <c r="K720" s="200"/>
      <c r="L720" s="200"/>
      <c r="M720" s="200"/>
      <c r="N720" s="200"/>
      <c r="O720" s="200"/>
      <c r="P720" s="200"/>
      <c r="Q720" s="200"/>
      <c r="R720" s="200"/>
      <c r="S720" s="200"/>
      <c r="T720" s="200"/>
      <c r="U720" s="200"/>
      <c r="V720" s="200"/>
      <c r="W720" s="200"/>
      <c r="X720" s="200"/>
      <c r="Y720" s="200"/>
      <c r="Z720" s="200"/>
    </row>
    <row r="721" ht="22.5" customHeight="1">
      <c r="A721" s="145"/>
      <c r="B721" s="154"/>
      <c r="C721" s="138"/>
      <c r="D721" s="138"/>
      <c r="E721" s="138"/>
      <c r="F721" s="138"/>
      <c r="G721" s="119"/>
      <c r="H721" s="200"/>
      <c r="I721" s="200"/>
      <c r="J721" s="200"/>
      <c r="K721" s="200"/>
      <c r="L721" s="200"/>
      <c r="M721" s="200"/>
      <c r="N721" s="200"/>
      <c r="O721" s="200"/>
      <c r="P721" s="200"/>
      <c r="Q721" s="200"/>
      <c r="R721" s="200"/>
      <c r="S721" s="200"/>
      <c r="T721" s="200"/>
      <c r="U721" s="200"/>
      <c r="V721" s="200"/>
      <c r="W721" s="200"/>
      <c r="X721" s="200"/>
      <c r="Y721" s="200"/>
      <c r="Z721" s="200"/>
    </row>
    <row r="722" ht="22.5" customHeight="1">
      <c r="A722" s="145"/>
      <c r="B722" s="154"/>
      <c r="C722" s="138"/>
      <c r="D722" s="138"/>
      <c r="E722" s="138"/>
      <c r="F722" s="138"/>
      <c r="G722" s="119"/>
      <c r="H722" s="200"/>
      <c r="I722" s="200"/>
      <c r="J722" s="200"/>
      <c r="K722" s="200"/>
      <c r="L722" s="200"/>
      <c r="M722" s="200"/>
      <c r="N722" s="200"/>
      <c r="O722" s="200"/>
      <c r="P722" s="200"/>
      <c r="Q722" s="200"/>
      <c r="R722" s="200"/>
      <c r="S722" s="200"/>
      <c r="T722" s="200"/>
      <c r="U722" s="200"/>
      <c r="V722" s="200"/>
      <c r="W722" s="200"/>
      <c r="X722" s="200"/>
      <c r="Y722" s="200"/>
      <c r="Z722" s="200"/>
    </row>
    <row r="723" ht="22.5" customHeight="1">
      <c r="A723" s="145"/>
      <c r="B723" s="154"/>
      <c r="C723" s="138"/>
      <c r="D723" s="138"/>
      <c r="E723" s="138"/>
      <c r="F723" s="138"/>
      <c r="G723" s="119"/>
      <c r="H723" s="200"/>
      <c r="I723" s="200"/>
      <c r="J723" s="200"/>
      <c r="K723" s="200"/>
      <c r="L723" s="200"/>
      <c r="M723" s="200"/>
      <c r="N723" s="200"/>
      <c r="O723" s="200"/>
      <c r="P723" s="200"/>
      <c r="Q723" s="200"/>
      <c r="R723" s="200"/>
      <c r="S723" s="200"/>
      <c r="T723" s="200"/>
      <c r="U723" s="200"/>
      <c r="V723" s="200"/>
      <c r="W723" s="200"/>
      <c r="X723" s="200"/>
      <c r="Y723" s="200"/>
      <c r="Z723" s="200"/>
    </row>
    <row r="724" ht="22.5" customHeight="1">
      <c r="A724" s="145"/>
      <c r="B724" s="154"/>
      <c r="C724" s="138"/>
      <c r="D724" s="138"/>
      <c r="E724" s="138"/>
      <c r="F724" s="138"/>
      <c r="G724" s="119"/>
      <c r="H724" s="200"/>
      <c r="I724" s="200"/>
      <c r="J724" s="200"/>
      <c r="K724" s="200"/>
      <c r="L724" s="200"/>
      <c r="M724" s="200"/>
      <c r="N724" s="200"/>
      <c r="O724" s="200"/>
      <c r="P724" s="200"/>
      <c r="Q724" s="200"/>
      <c r="R724" s="200"/>
      <c r="S724" s="200"/>
      <c r="T724" s="200"/>
      <c r="U724" s="200"/>
      <c r="V724" s="200"/>
      <c r="W724" s="200"/>
      <c r="X724" s="200"/>
      <c r="Y724" s="200"/>
      <c r="Z724" s="200"/>
    </row>
    <row r="725" ht="22.5" customHeight="1">
      <c r="A725" s="145"/>
      <c r="B725" s="154"/>
      <c r="C725" s="138"/>
      <c r="D725" s="138"/>
      <c r="E725" s="138"/>
      <c r="F725" s="138"/>
      <c r="G725" s="119"/>
      <c r="H725" s="200"/>
      <c r="I725" s="200"/>
      <c r="J725" s="200"/>
      <c r="K725" s="200"/>
      <c r="L725" s="200"/>
      <c r="M725" s="200"/>
      <c r="N725" s="200"/>
      <c r="O725" s="200"/>
      <c r="P725" s="200"/>
      <c r="Q725" s="200"/>
      <c r="R725" s="200"/>
      <c r="S725" s="200"/>
      <c r="T725" s="200"/>
      <c r="U725" s="200"/>
      <c r="V725" s="200"/>
      <c r="W725" s="200"/>
      <c r="X725" s="200"/>
      <c r="Y725" s="200"/>
      <c r="Z725" s="200"/>
    </row>
    <row r="726" ht="22.5" customHeight="1">
      <c r="A726" s="145"/>
      <c r="B726" s="154"/>
      <c r="C726" s="138"/>
      <c r="D726" s="138"/>
      <c r="E726" s="138"/>
      <c r="F726" s="138"/>
      <c r="G726" s="119"/>
      <c r="H726" s="200"/>
      <c r="I726" s="200"/>
      <c r="J726" s="200"/>
      <c r="K726" s="200"/>
      <c r="L726" s="200"/>
      <c r="M726" s="200"/>
      <c r="N726" s="200"/>
      <c r="O726" s="200"/>
      <c r="P726" s="200"/>
      <c r="Q726" s="200"/>
      <c r="R726" s="200"/>
      <c r="S726" s="200"/>
      <c r="T726" s="200"/>
      <c r="U726" s="200"/>
      <c r="V726" s="200"/>
      <c r="W726" s="200"/>
      <c r="X726" s="200"/>
      <c r="Y726" s="200"/>
      <c r="Z726" s="200"/>
    </row>
    <row r="727" ht="22.5" customHeight="1">
      <c r="A727" s="145"/>
      <c r="B727" s="154"/>
      <c r="C727" s="138"/>
      <c r="D727" s="138"/>
      <c r="E727" s="138"/>
      <c r="F727" s="138"/>
      <c r="G727" s="119"/>
      <c r="H727" s="200"/>
      <c r="I727" s="200"/>
      <c r="J727" s="200"/>
      <c r="K727" s="200"/>
      <c r="L727" s="200"/>
      <c r="M727" s="200"/>
      <c r="N727" s="200"/>
      <c r="O727" s="200"/>
      <c r="P727" s="200"/>
      <c r="Q727" s="200"/>
      <c r="R727" s="200"/>
      <c r="S727" s="200"/>
      <c r="T727" s="200"/>
      <c r="U727" s="200"/>
      <c r="V727" s="200"/>
      <c r="W727" s="200"/>
      <c r="X727" s="200"/>
      <c r="Y727" s="200"/>
      <c r="Z727" s="200"/>
    </row>
    <row r="728" ht="22.5" customHeight="1">
      <c r="A728" s="145"/>
      <c r="B728" s="154"/>
      <c r="C728" s="138"/>
      <c r="D728" s="138"/>
      <c r="E728" s="138"/>
      <c r="F728" s="138"/>
      <c r="G728" s="119"/>
      <c r="H728" s="200"/>
      <c r="I728" s="200"/>
      <c r="J728" s="200"/>
      <c r="K728" s="200"/>
      <c r="L728" s="200"/>
      <c r="M728" s="200"/>
      <c r="N728" s="200"/>
      <c r="O728" s="200"/>
      <c r="P728" s="200"/>
      <c r="Q728" s="200"/>
      <c r="R728" s="200"/>
      <c r="S728" s="200"/>
      <c r="T728" s="200"/>
      <c r="U728" s="200"/>
      <c r="V728" s="200"/>
      <c r="W728" s="200"/>
      <c r="X728" s="200"/>
      <c r="Y728" s="200"/>
      <c r="Z728" s="200"/>
    </row>
    <row r="729" ht="22.5" customHeight="1">
      <c r="A729" s="145"/>
      <c r="B729" s="154"/>
      <c r="C729" s="138"/>
      <c r="D729" s="138"/>
      <c r="E729" s="138"/>
      <c r="F729" s="138"/>
      <c r="G729" s="119"/>
      <c r="H729" s="200"/>
      <c r="I729" s="200"/>
      <c r="J729" s="200"/>
      <c r="K729" s="200"/>
      <c r="L729" s="200"/>
      <c r="M729" s="200"/>
      <c r="N729" s="200"/>
      <c r="O729" s="200"/>
      <c r="P729" s="200"/>
      <c r="Q729" s="200"/>
      <c r="R729" s="200"/>
      <c r="S729" s="200"/>
      <c r="T729" s="200"/>
      <c r="U729" s="200"/>
      <c r="V729" s="200"/>
      <c r="W729" s="200"/>
      <c r="X729" s="200"/>
      <c r="Y729" s="200"/>
      <c r="Z729" s="200"/>
    </row>
    <row r="730" ht="22.5" customHeight="1">
      <c r="A730" s="145"/>
      <c r="B730" s="154"/>
      <c r="C730" s="138"/>
      <c r="D730" s="138"/>
      <c r="E730" s="138"/>
      <c r="F730" s="138"/>
      <c r="G730" s="119"/>
      <c r="H730" s="200"/>
      <c r="I730" s="200"/>
      <c r="J730" s="200"/>
      <c r="K730" s="200"/>
      <c r="L730" s="200"/>
      <c r="M730" s="200"/>
      <c r="N730" s="200"/>
      <c r="O730" s="200"/>
      <c r="P730" s="200"/>
      <c r="Q730" s="200"/>
      <c r="R730" s="200"/>
      <c r="S730" s="200"/>
      <c r="T730" s="200"/>
      <c r="U730" s="200"/>
      <c r="V730" s="200"/>
      <c r="W730" s="200"/>
      <c r="X730" s="200"/>
      <c r="Y730" s="200"/>
      <c r="Z730" s="200"/>
    </row>
    <row r="731" ht="22.5" customHeight="1">
      <c r="A731" s="145"/>
      <c r="B731" s="154"/>
      <c r="C731" s="138"/>
      <c r="D731" s="138"/>
      <c r="E731" s="138"/>
      <c r="F731" s="138"/>
      <c r="G731" s="119"/>
      <c r="H731" s="200"/>
      <c r="I731" s="200"/>
      <c r="J731" s="200"/>
      <c r="K731" s="200"/>
      <c r="L731" s="200"/>
      <c r="M731" s="200"/>
      <c r="N731" s="200"/>
      <c r="O731" s="200"/>
      <c r="P731" s="200"/>
      <c r="Q731" s="200"/>
      <c r="R731" s="200"/>
      <c r="S731" s="200"/>
      <c r="T731" s="200"/>
      <c r="U731" s="200"/>
      <c r="V731" s="200"/>
      <c r="W731" s="200"/>
      <c r="X731" s="200"/>
      <c r="Y731" s="200"/>
      <c r="Z731" s="200"/>
    </row>
    <row r="732" ht="22.5" customHeight="1">
      <c r="A732" s="145"/>
      <c r="B732" s="154"/>
      <c r="C732" s="138"/>
      <c r="D732" s="138"/>
      <c r="E732" s="138"/>
      <c r="F732" s="138"/>
      <c r="G732" s="119"/>
      <c r="H732" s="200"/>
      <c r="I732" s="200"/>
      <c r="J732" s="200"/>
      <c r="K732" s="200"/>
      <c r="L732" s="200"/>
      <c r="M732" s="200"/>
      <c r="N732" s="200"/>
      <c r="O732" s="200"/>
      <c r="P732" s="200"/>
      <c r="Q732" s="200"/>
      <c r="R732" s="200"/>
      <c r="S732" s="200"/>
      <c r="T732" s="200"/>
      <c r="U732" s="200"/>
      <c r="V732" s="200"/>
      <c r="W732" s="200"/>
      <c r="X732" s="200"/>
      <c r="Y732" s="200"/>
      <c r="Z732" s="200"/>
    </row>
    <row r="733" ht="22.5" customHeight="1">
      <c r="A733" s="145"/>
      <c r="B733" s="154"/>
      <c r="C733" s="138"/>
      <c r="D733" s="138"/>
      <c r="E733" s="138"/>
      <c r="F733" s="138"/>
      <c r="G733" s="119"/>
      <c r="H733" s="200"/>
      <c r="I733" s="200"/>
      <c r="J733" s="200"/>
      <c r="K733" s="200"/>
      <c r="L733" s="200"/>
      <c r="M733" s="200"/>
      <c r="N733" s="200"/>
      <c r="O733" s="200"/>
      <c r="P733" s="200"/>
      <c r="Q733" s="200"/>
      <c r="R733" s="200"/>
      <c r="S733" s="200"/>
      <c r="T733" s="200"/>
      <c r="U733" s="200"/>
      <c r="V733" s="200"/>
      <c r="W733" s="200"/>
      <c r="X733" s="200"/>
      <c r="Y733" s="200"/>
      <c r="Z733" s="200"/>
    </row>
    <row r="734" ht="22.5" customHeight="1">
      <c r="A734" s="145"/>
      <c r="B734" s="154"/>
      <c r="C734" s="138"/>
      <c r="D734" s="138"/>
      <c r="E734" s="138"/>
      <c r="F734" s="138"/>
      <c r="G734" s="119"/>
      <c r="H734" s="200"/>
      <c r="I734" s="200"/>
      <c r="J734" s="200"/>
      <c r="K734" s="200"/>
      <c r="L734" s="200"/>
      <c r="M734" s="200"/>
      <c r="N734" s="200"/>
      <c r="O734" s="200"/>
      <c r="P734" s="200"/>
      <c r="Q734" s="200"/>
      <c r="R734" s="200"/>
      <c r="S734" s="200"/>
      <c r="T734" s="200"/>
      <c r="U734" s="200"/>
      <c r="V734" s="200"/>
      <c r="W734" s="200"/>
      <c r="X734" s="200"/>
      <c r="Y734" s="200"/>
      <c r="Z734" s="200"/>
    </row>
    <row r="735" ht="22.5" customHeight="1">
      <c r="A735" s="145"/>
      <c r="B735" s="154"/>
      <c r="C735" s="138"/>
      <c r="D735" s="138"/>
      <c r="E735" s="138"/>
      <c r="F735" s="138"/>
      <c r="G735" s="119"/>
      <c r="H735" s="200"/>
      <c r="I735" s="200"/>
      <c r="J735" s="200"/>
      <c r="K735" s="200"/>
      <c r="L735" s="200"/>
      <c r="M735" s="200"/>
      <c r="N735" s="200"/>
      <c r="O735" s="200"/>
      <c r="P735" s="200"/>
      <c r="Q735" s="200"/>
      <c r="R735" s="200"/>
      <c r="S735" s="200"/>
      <c r="T735" s="200"/>
      <c r="U735" s="200"/>
      <c r="V735" s="200"/>
      <c r="W735" s="200"/>
      <c r="X735" s="200"/>
      <c r="Y735" s="200"/>
      <c r="Z735" s="200"/>
    </row>
    <row r="736" ht="22.5" customHeight="1">
      <c r="A736" s="145"/>
      <c r="B736" s="154"/>
      <c r="C736" s="138"/>
      <c r="D736" s="138"/>
      <c r="E736" s="138"/>
      <c r="F736" s="138"/>
      <c r="G736" s="119"/>
      <c r="H736" s="200"/>
      <c r="I736" s="200"/>
      <c r="J736" s="200"/>
      <c r="K736" s="200"/>
      <c r="L736" s="200"/>
      <c r="M736" s="200"/>
      <c r="N736" s="200"/>
      <c r="O736" s="200"/>
      <c r="P736" s="200"/>
      <c r="Q736" s="200"/>
      <c r="R736" s="200"/>
      <c r="S736" s="200"/>
      <c r="T736" s="200"/>
      <c r="U736" s="200"/>
      <c r="V736" s="200"/>
      <c r="W736" s="200"/>
      <c r="X736" s="200"/>
      <c r="Y736" s="200"/>
      <c r="Z736" s="200"/>
    </row>
    <row r="737" ht="22.5" customHeight="1">
      <c r="A737" s="145"/>
      <c r="B737" s="154"/>
      <c r="C737" s="138"/>
      <c r="D737" s="138"/>
      <c r="E737" s="138"/>
      <c r="F737" s="138"/>
      <c r="G737" s="119"/>
      <c r="H737" s="200"/>
      <c r="I737" s="200"/>
      <c r="J737" s="200"/>
      <c r="K737" s="200"/>
      <c r="L737" s="200"/>
      <c r="M737" s="200"/>
      <c r="N737" s="200"/>
      <c r="O737" s="200"/>
      <c r="P737" s="200"/>
      <c r="Q737" s="200"/>
      <c r="R737" s="200"/>
      <c r="S737" s="200"/>
      <c r="T737" s="200"/>
      <c r="U737" s="200"/>
      <c r="V737" s="200"/>
      <c r="W737" s="200"/>
      <c r="X737" s="200"/>
      <c r="Y737" s="200"/>
      <c r="Z737" s="200"/>
    </row>
    <row r="738" ht="22.5" customHeight="1">
      <c r="A738" s="145"/>
      <c r="B738" s="154"/>
      <c r="C738" s="138"/>
      <c r="D738" s="138"/>
      <c r="E738" s="138"/>
      <c r="F738" s="138"/>
      <c r="G738" s="119"/>
      <c r="H738" s="200"/>
      <c r="I738" s="200"/>
      <c r="J738" s="200"/>
      <c r="K738" s="200"/>
      <c r="L738" s="200"/>
      <c r="M738" s="200"/>
      <c r="N738" s="200"/>
      <c r="O738" s="200"/>
      <c r="P738" s="200"/>
      <c r="Q738" s="200"/>
      <c r="R738" s="200"/>
      <c r="S738" s="200"/>
      <c r="T738" s="200"/>
      <c r="U738" s="200"/>
      <c r="V738" s="200"/>
      <c r="W738" s="200"/>
      <c r="X738" s="200"/>
      <c r="Y738" s="200"/>
      <c r="Z738" s="200"/>
    </row>
    <row r="739" ht="22.5" customHeight="1">
      <c r="A739" s="145"/>
      <c r="B739" s="154"/>
      <c r="C739" s="138"/>
      <c r="D739" s="138"/>
      <c r="E739" s="138"/>
      <c r="F739" s="138"/>
      <c r="G739" s="119"/>
      <c r="H739" s="200"/>
      <c r="I739" s="200"/>
      <c r="J739" s="200"/>
      <c r="K739" s="200"/>
      <c r="L739" s="200"/>
      <c r="M739" s="200"/>
      <c r="N739" s="200"/>
      <c r="O739" s="200"/>
      <c r="P739" s="200"/>
      <c r="Q739" s="200"/>
      <c r="R739" s="200"/>
      <c r="S739" s="200"/>
      <c r="T739" s="200"/>
      <c r="U739" s="200"/>
      <c r="V739" s="200"/>
      <c r="W739" s="200"/>
      <c r="X739" s="200"/>
      <c r="Y739" s="200"/>
      <c r="Z739" s="200"/>
    </row>
    <row r="740" ht="22.5" customHeight="1">
      <c r="A740" s="145"/>
      <c r="B740" s="154"/>
      <c r="C740" s="138"/>
      <c r="D740" s="138"/>
      <c r="E740" s="138"/>
      <c r="F740" s="138"/>
      <c r="G740" s="119"/>
      <c r="H740" s="200"/>
      <c r="I740" s="200"/>
      <c r="J740" s="200"/>
      <c r="K740" s="200"/>
      <c r="L740" s="200"/>
      <c r="M740" s="200"/>
      <c r="N740" s="200"/>
      <c r="O740" s="200"/>
      <c r="P740" s="200"/>
      <c r="Q740" s="200"/>
      <c r="R740" s="200"/>
      <c r="S740" s="200"/>
      <c r="T740" s="200"/>
      <c r="U740" s="200"/>
      <c r="V740" s="200"/>
      <c r="W740" s="200"/>
      <c r="X740" s="200"/>
      <c r="Y740" s="200"/>
      <c r="Z740" s="200"/>
    </row>
    <row r="741" ht="22.5" customHeight="1">
      <c r="A741" s="145"/>
      <c r="B741" s="154"/>
      <c r="C741" s="138"/>
      <c r="D741" s="138"/>
      <c r="E741" s="138"/>
      <c r="F741" s="138"/>
      <c r="G741" s="119"/>
      <c r="H741" s="200"/>
      <c r="I741" s="200"/>
      <c r="J741" s="200"/>
      <c r="K741" s="200"/>
      <c r="L741" s="200"/>
      <c r="M741" s="200"/>
      <c r="N741" s="200"/>
      <c r="O741" s="200"/>
      <c r="P741" s="200"/>
      <c r="Q741" s="200"/>
      <c r="R741" s="200"/>
      <c r="S741" s="200"/>
      <c r="T741" s="200"/>
      <c r="U741" s="200"/>
      <c r="V741" s="200"/>
      <c r="W741" s="200"/>
      <c r="X741" s="200"/>
      <c r="Y741" s="200"/>
      <c r="Z741" s="200"/>
    </row>
    <row r="742" ht="22.5" customHeight="1">
      <c r="A742" s="145"/>
      <c r="B742" s="154"/>
      <c r="C742" s="138"/>
      <c r="D742" s="138"/>
      <c r="E742" s="138"/>
      <c r="F742" s="138"/>
      <c r="G742" s="119"/>
      <c r="H742" s="200"/>
      <c r="I742" s="200"/>
      <c r="J742" s="200"/>
      <c r="K742" s="200"/>
      <c r="L742" s="200"/>
      <c r="M742" s="200"/>
      <c r="N742" s="200"/>
      <c r="O742" s="200"/>
      <c r="P742" s="200"/>
      <c r="Q742" s="200"/>
      <c r="R742" s="200"/>
      <c r="S742" s="200"/>
      <c r="T742" s="200"/>
      <c r="U742" s="200"/>
      <c r="V742" s="200"/>
      <c r="W742" s="200"/>
      <c r="X742" s="200"/>
      <c r="Y742" s="200"/>
      <c r="Z742" s="200"/>
    </row>
    <row r="743" ht="22.5" customHeight="1">
      <c r="A743" s="145"/>
      <c r="B743" s="154"/>
      <c r="C743" s="138"/>
      <c r="D743" s="138"/>
      <c r="E743" s="138"/>
      <c r="F743" s="138"/>
      <c r="G743" s="119"/>
      <c r="H743" s="200"/>
      <c r="I743" s="200"/>
      <c r="J743" s="200"/>
      <c r="K743" s="200"/>
      <c r="L743" s="200"/>
      <c r="M743" s="200"/>
      <c r="N743" s="200"/>
      <c r="O743" s="200"/>
      <c r="P743" s="200"/>
      <c r="Q743" s="200"/>
      <c r="R743" s="200"/>
      <c r="S743" s="200"/>
      <c r="T743" s="200"/>
      <c r="U743" s="200"/>
      <c r="V743" s="200"/>
      <c r="W743" s="200"/>
      <c r="X743" s="200"/>
      <c r="Y743" s="200"/>
      <c r="Z743" s="200"/>
    </row>
    <row r="744" ht="22.5" customHeight="1">
      <c r="A744" s="145"/>
      <c r="B744" s="154"/>
      <c r="C744" s="138"/>
      <c r="D744" s="138"/>
      <c r="E744" s="138"/>
      <c r="F744" s="138"/>
      <c r="G744" s="119"/>
      <c r="H744" s="200"/>
      <c r="I744" s="200"/>
      <c r="J744" s="200"/>
      <c r="K744" s="200"/>
      <c r="L744" s="200"/>
      <c r="M744" s="200"/>
      <c r="N744" s="200"/>
      <c r="O744" s="200"/>
      <c r="P744" s="200"/>
      <c r="Q744" s="200"/>
      <c r="R744" s="200"/>
      <c r="S744" s="200"/>
      <c r="T744" s="200"/>
      <c r="U744" s="200"/>
      <c r="V744" s="200"/>
      <c r="W744" s="200"/>
      <c r="X744" s="200"/>
      <c r="Y744" s="200"/>
      <c r="Z744" s="200"/>
    </row>
    <row r="745" ht="22.5" customHeight="1">
      <c r="A745" s="145"/>
      <c r="B745" s="154"/>
      <c r="C745" s="138"/>
      <c r="D745" s="138"/>
      <c r="E745" s="138"/>
      <c r="F745" s="138"/>
      <c r="G745" s="119"/>
      <c r="H745" s="200"/>
      <c r="I745" s="200"/>
      <c r="J745" s="200"/>
      <c r="K745" s="200"/>
      <c r="L745" s="200"/>
      <c r="M745" s="200"/>
      <c r="N745" s="200"/>
      <c r="O745" s="200"/>
      <c r="P745" s="200"/>
      <c r="Q745" s="200"/>
      <c r="R745" s="200"/>
      <c r="S745" s="200"/>
      <c r="T745" s="200"/>
      <c r="U745" s="200"/>
      <c r="V745" s="200"/>
      <c r="W745" s="200"/>
      <c r="X745" s="200"/>
      <c r="Y745" s="200"/>
      <c r="Z745" s="200"/>
    </row>
    <row r="746" ht="22.5" customHeight="1">
      <c r="A746" s="145"/>
      <c r="B746" s="154"/>
      <c r="C746" s="138"/>
      <c r="D746" s="138"/>
      <c r="E746" s="138"/>
      <c r="F746" s="138"/>
      <c r="G746" s="119"/>
      <c r="H746" s="200"/>
      <c r="I746" s="200"/>
      <c r="J746" s="200"/>
      <c r="K746" s="200"/>
      <c r="L746" s="200"/>
      <c r="M746" s="200"/>
      <c r="N746" s="200"/>
      <c r="O746" s="200"/>
      <c r="P746" s="200"/>
      <c r="Q746" s="200"/>
      <c r="R746" s="200"/>
      <c r="S746" s="200"/>
      <c r="T746" s="200"/>
      <c r="U746" s="200"/>
      <c r="V746" s="200"/>
      <c r="W746" s="200"/>
      <c r="X746" s="200"/>
      <c r="Y746" s="200"/>
      <c r="Z746" s="200"/>
    </row>
    <row r="747" ht="22.5" customHeight="1">
      <c r="A747" s="145"/>
      <c r="B747" s="154"/>
      <c r="C747" s="138"/>
      <c r="D747" s="138"/>
      <c r="E747" s="138"/>
      <c r="F747" s="138"/>
      <c r="G747" s="119"/>
      <c r="H747" s="200"/>
      <c r="I747" s="200"/>
      <c r="J747" s="200"/>
      <c r="K747" s="200"/>
      <c r="L747" s="200"/>
      <c r="M747" s="200"/>
      <c r="N747" s="200"/>
      <c r="O747" s="200"/>
      <c r="P747" s="200"/>
      <c r="Q747" s="200"/>
      <c r="R747" s="200"/>
      <c r="S747" s="200"/>
      <c r="T747" s="200"/>
      <c r="U747" s="200"/>
      <c r="V747" s="200"/>
      <c r="W747" s="200"/>
      <c r="X747" s="200"/>
      <c r="Y747" s="200"/>
      <c r="Z747" s="200"/>
    </row>
    <row r="748" ht="22.5" customHeight="1">
      <c r="A748" s="145"/>
      <c r="B748" s="154"/>
      <c r="C748" s="138"/>
      <c r="D748" s="138"/>
      <c r="E748" s="138"/>
      <c r="F748" s="138"/>
      <c r="G748" s="119"/>
      <c r="H748" s="200"/>
      <c r="I748" s="200"/>
      <c r="J748" s="200"/>
      <c r="K748" s="200"/>
      <c r="L748" s="200"/>
      <c r="M748" s="200"/>
      <c r="N748" s="200"/>
      <c r="O748" s="200"/>
      <c r="P748" s="200"/>
      <c r="Q748" s="200"/>
      <c r="R748" s="200"/>
      <c r="S748" s="200"/>
      <c r="T748" s="200"/>
      <c r="U748" s="200"/>
      <c r="V748" s="200"/>
      <c r="W748" s="200"/>
      <c r="X748" s="200"/>
      <c r="Y748" s="200"/>
      <c r="Z748" s="200"/>
    </row>
    <row r="749" ht="22.5" customHeight="1">
      <c r="A749" s="145"/>
      <c r="B749" s="154"/>
      <c r="C749" s="138"/>
      <c r="D749" s="138"/>
      <c r="E749" s="138"/>
      <c r="F749" s="138"/>
      <c r="G749" s="119"/>
      <c r="H749" s="200"/>
      <c r="I749" s="200"/>
      <c r="J749" s="200"/>
      <c r="K749" s="200"/>
      <c r="L749" s="200"/>
      <c r="M749" s="200"/>
      <c r="N749" s="200"/>
      <c r="O749" s="200"/>
      <c r="P749" s="200"/>
      <c r="Q749" s="200"/>
      <c r="R749" s="200"/>
      <c r="S749" s="200"/>
      <c r="T749" s="200"/>
      <c r="U749" s="200"/>
      <c r="V749" s="200"/>
      <c r="W749" s="200"/>
      <c r="X749" s="200"/>
      <c r="Y749" s="200"/>
      <c r="Z749" s="200"/>
    </row>
    <row r="750" ht="22.5" customHeight="1">
      <c r="A750" s="145"/>
      <c r="B750" s="154"/>
      <c r="C750" s="138"/>
      <c r="D750" s="138"/>
      <c r="E750" s="138"/>
      <c r="F750" s="138"/>
      <c r="G750" s="119"/>
      <c r="H750" s="200"/>
      <c r="I750" s="200"/>
      <c r="J750" s="200"/>
      <c r="K750" s="200"/>
      <c r="L750" s="200"/>
      <c r="M750" s="200"/>
      <c r="N750" s="200"/>
      <c r="O750" s="200"/>
      <c r="P750" s="200"/>
      <c r="Q750" s="200"/>
      <c r="R750" s="200"/>
      <c r="S750" s="200"/>
      <c r="T750" s="200"/>
      <c r="U750" s="200"/>
      <c r="V750" s="200"/>
      <c r="W750" s="200"/>
      <c r="X750" s="200"/>
      <c r="Y750" s="200"/>
      <c r="Z750" s="200"/>
    </row>
    <row r="751" ht="22.5" customHeight="1">
      <c r="A751" s="145"/>
      <c r="B751" s="154"/>
      <c r="C751" s="138"/>
      <c r="D751" s="138"/>
      <c r="E751" s="138"/>
      <c r="F751" s="138"/>
      <c r="G751" s="119"/>
      <c r="H751" s="200"/>
      <c r="I751" s="200"/>
      <c r="J751" s="200"/>
      <c r="K751" s="200"/>
      <c r="L751" s="200"/>
      <c r="M751" s="200"/>
      <c r="N751" s="200"/>
      <c r="O751" s="200"/>
      <c r="P751" s="200"/>
      <c r="Q751" s="200"/>
      <c r="R751" s="200"/>
      <c r="S751" s="200"/>
      <c r="T751" s="200"/>
      <c r="U751" s="200"/>
      <c r="V751" s="200"/>
      <c r="W751" s="200"/>
      <c r="X751" s="200"/>
      <c r="Y751" s="200"/>
      <c r="Z751" s="200"/>
    </row>
    <row r="752" ht="22.5" customHeight="1">
      <c r="A752" s="145"/>
      <c r="B752" s="154"/>
      <c r="C752" s="138"/>
      <c r="D752" s="138"/>
      <c r="E752" s="138"/>
      <c r="F752" s="138"/>
      <c r="G752" s="119"/>
      <c r="H752" s="200"/>
      <c r="I752" s="200"/>
      <c r="J752" s="200"/>
      <c r="K752" s="200"/>
      <c r="L752" s="200"/>
      <c r="M752" s="200"/>
      <c r="N752" s="200"/>
      <c r="O752" s="200"/>
      <c r="P752" s="200"/>
      <c r="Q752" s="200"/>
      <c r="R752" s="200"/>
      <c r="S752" s="200"/>
      <c r="T752" s="200"/>
      <c r="U752" s="200"/>
      <c r="V752" s="200"/>
      <c r="W752" s="200"/>
      <c r="X752" s="200"/>
      <c r="Y752" s="200"/>
      <c r="Z752" s="200"/>
    </row>
    <row r="753" ht="22.5" customHeight="1">
      <c r="A753" s="145"/>
      <c r="B753" s="154"/>
      <c r="C753" s="138"/>
      <c r="D753" s="138"/>
      <c r="E753" s="138"/>
      <c r="F753" s="138"/>
      <c r="G753" s="119"/>
      <c r="H753" s="200"/>
      <c r="I753" s="200"/>
      <c r="J753" s="200"/>
      <c r="K753" s="200"/>
      <c r="L753" s="200"/>
      <c r="M753" s="200"/>
      <c r="N753" s="200"/>
      <c r="O753" s="200"/>
      <c r="P753" s="200"/>
      <c r="Q753" s="200"/>
      <c r="R753" s="200"/>
      <c r="S753" s="200"/>
      <c r="T753" s="200"/>
      <c r="U753" s="200"/>
      <c r="V753" s="200"/>
      <c r="W753" s="200"/>
      <c r="X753" s="200"/>
      <c r="Y753" s="200"/>
      <c r="Z753" s="200"/>
    </row>
    <row r="754" ht="22.5" customHeight="1">
      <c r="A754" s="145"/>
      <c r="B754" s="154"/>
      <c r="C754" s="138"/>
      <c r="D754" s="138"/>
      <c r="E754" s="138"/>
      <c r="F754" s="138"/>
      <c r="G754" s="119"/>
      <c r="H754" s="200"/>
      <c r="I754" s="200"/>
      <c r="J754" s="200"/>
      <c r="K754" s="200"/>
      <c r="L754" s="200"/>
      <c r="M754" s="200"/>
      <c r="N754" s="200"/>
      <c r="O754" s="200"/>
      <c r="P754" s="200"/>
      <c r="Q754" s="200"/>
      <c r="R754" s="200"/>
      <c r="S754" s="200"/>
      <c r="T754" s="200"/>
      <c r="U754" s="200"/>
      <c r="V754" s="200"/>
      <c r="W754" s="200"/>
      <c r="X754" s="200"/>
      <c r="Y754" s="200"/>
      <c r="Z754" s="200"/>
    </row>
    <row r="755" ht="22.5" customHeight="1">
      <c r="A755" s="145"/>
      <c r="B755" s="154"/>
      <c r="C755" s="138"/>
      <c r="D755" s="138"/>
      <c r="E755" s="138"/>
      <c r="F755" s="138"/>
      <c r="G755" s="119"/>
      <c r="H755" s="200"/>
      <c r="I755" s="200"/>
      <c r="J755" s="200"/>
      <c r="K755" s="200"/>
      <c r="L755" s="200"/>
      <c r="M755" s="200"/>
      <c r="N755" s="200"/>
      <c r="O755" s="200"/>
      <c r="P755" s="200"/>
      <c r="Q755" s="200"/>
      <c r="R755" s="200"/>
      <c r="S755" s="200"/>
      <c r="T755" s="200"/>
      <c r="U755" s="200"/>
      <c r="V755" s="200"/>
      <c r="W755" s="200"/>
      <c r="X755" s="200"/>
      <c r="Y755" s="200"/>
      <c r="Z755" s="200"/>
    </row>
    <row r="756" ht="22.5" customHeight="1">
      <c r="A756" s="145"/>
      <c r="B756" s="154"/>
      <c r="C756" s="138"/>
      <c r="D756" s="138"/>
      <c r="E756" s="138"/>
      <c r="F756" s="138"/>
      <c r="G756" s="119"/>
      <c r="H756" s="200"/>
      <c r="I756" s="200"/>
      <c r="J756" s="200"/>
      <c r="K756" s="200"/>
      <c r="L756" s="200"/>
      <c r="M756" s="200"/>
      <c r="N756" s="200"/>
      <c r="O756" s="200"/>
      <c r="P756" s="200"/>
      <c r="Q756" s="200"/>
      <c r="R756" s="200"/>
      <c r="S756" s="200"/>
      <c r="T756" s="200"/>
      <c r="U756" s="200"/>
      <c r="V756" s="200"/>
      <c r="W756" s="200"/>
      <c r="X756" s="200"/>
      <c r="Y756" s="200"/>
      <c r="Z756" s="200"/>
    </row>
    <row r="757" ht="22.5" customHeight="1">
      <c r="A757" s="145"/>
      <c r="B757" s="154"/>
      <c r="C757" s="138"/>
      <c r="D757" s="138"/>
      <c r="E757" s="138"/>
      <c r="F757" s="138"/>
      <c r="G757" s="119"/>
      <c r="H757" s="200"/>
      <c r="I757" s="200"/>
      <c r="J757" s="200"/>
      <c r="K757" s="200"/>
      <c r="L757" s="200"/>
      <c r="M757" s="200"/>
      <c r="N757" s="200"/>
      <c r="O757" s="200"/>
      <c r="P757" s="200"/>
      <c r="Q757" s="200"/>
      <c r="R757" s="200"/>
      <c r="S757" s="200"/>
      <c r="T757" s="200"/>
      <c r="U757" s="200"/>
      <c r="V757" s="200"/>
      <c r="W757" s="200"/>
      <c r="X757" s="200"/>
      <c r="Y757" s="200"/>
      <c r="Z757" s="200"/>
    </row>
    <row r="758" ht="22.5" customHeight="1">
      <c r="A758" s="145"/>
      <c r="B758" s="154"/>
      <c r="C758" s="138"/>
      <c r="D758" s="138"/>
      <c r="E758" s="138"/>
      <c r="F758" s="138"/>
      <c r="G758" s="119"/>
      <c r="H758" s="200"/>
      <c r="I758" s="200"/>
      <c r="J758" s="200"/>
      <c r="K758" s="200"/>
      <c r="L758" s="200"/>
      <c r="M758" s="200"/>
      <c r="N758" s="200"/>
      <c r="O758" s="200"/>
      <c r="P758" s="200"/>
      <c r="Q758" s="200"/>
      <c r="R758" s="200"/>
      <c r="S758" s="200"/>
      <c r="T758" s="200"/>
      <c r="U758" s="200"/>
      <c r="V758" s="200"/>
      <c r="W758" s="200"/>
      <c r="X758" s="200"/>
      <c r="Y758" s="200"/>
      <c r="Z758" s="200"/>
    </row>
    <row r="759" ht="22.5" customHeight="1">
      <c r="A759" s="145"/>
      <c r="B759" s="154"/>
      <c r="C759" s="138"/>
      <c r="D759" s="138"/>
      <c r="E759" s="138"/>
      <c r="F759" s="138"/>
      <c r="G759" s="119"/>
      <c r="H759" s="200"/>
      <c r="I759" s="200"/>
      <c r="J759" s="200"/>
      <c r="K759" s="200"/>
      <c r="L759" s="200"/>
      <c r="M759" s="200"/>
      <c r="N759" s="200"/>
      <c r="O759" s="200"/>
      <c r="P759" s="200"/>
      <c r="Q759" s="200"/>
      <c r="R759" s="200"/>
      <c r="S759" s="200"/>
      <c r="T759" s="200"/>
      <c r="U759" s="200"/>
      <c r="V759" s="200"/>
      <c r="W759" s="200"/>
      <c r="X759" s="200"/>
      <c r="Y759" s="200"/>
      <c r="Z759" s="200"/>
    </row>
    <row r="760" ht="22.5" customHeight="1">
      <c r="A760" s="145"/>
      <c r="B760" s="154"/>
      <c r="C760" s="138"/>
      <c r="D760" s="138"/>
      <c r="E760" s="138"/>
      <c r="F760" s="138"/>
      <c r="G760" s="119"/>
      <c r="H760" s="200"/>
      <c r="I760" s="200"/>
      <c r="J760" s="200"/>
      <c r="K760" s="200"/>
      <c r="L760" s="200"/>
      <c r="M760" s="200"/>
      <c r="N760" s="200"/>
      <c r="O760" s="200"/>
      <c r="P760" s="200"/>
      <c r="Q760" s="200"/>
      <c r="R760" s="200"/>
      <c r="S760" s="200"/>
      <c r="T760" s="200"/>
      <c r="U760" s="200"/>
      <c r="V760" s="200"/>
      <c r="W760" s="200"/>
      <c r="X760" s="200"/>
      <c r="Y760" s="200"/>
      <c r="Z760" s="200"/>
    </row>
    <row r="761" ht="22.5" customHeight="1">
      <c r="A761" s="145"/>
      <c r="B761" s="154"/>
      <c r="C761" s="138"/>
      <c r="D761" s="138"/>
      <c r="E761" s="138"/>
      <c r="F761" s="138"/>
      <c r="G761" s="119"/>
      <c r="H761" s="200"/>
      <c r="I761" s="200"/>
      <c r="J761" s="200"/>
      <c r="K761" s="200"/>
      <c r="L761" s="200"/>
      <c r="M761" s="200"/>
      <c r="N761" s="200"/>
      <c r="O761" s="200"/>
      <c r="P761" s="200"/>
      <c r="Q761" s="200"/>
      <c r="R761" s="200"/>
      <c r="S761" s="200"/>
      <c r="T761" s="200"/>
      <c r="U761" s="200"/>
      <c r="V761" s="200"/>
      <c r="W761" s="200"/>
      <c r="X761" s="200"/>
      <c r="Y761" s="200"/>
      <c r="Z761" s="200"/>
    </row>
    <row r="762" ht="22.5" customHeight="1">
      <c r="A762" s="145"/>
      <c r="B762" s="154"/>
      <c r="C762" s="138"/>
      <c r="D762" s="138"/>
      <c r="E762" s="138"/>
      <c r="F762" s="138"/>
      <c r="G762" s="119"/>
      <c r="H762" s="200"/>
      <c r="I762" s="200"/>
      <c r="J762" s="200"/>
      <c r="K762" s="200"/>
      <c r="L762" s="200"/>
      <c r="M762" s="200"/>
      <c r="N762" s="200"/>
      <c r="O762" s="200"/>
      <c r="P762" s="200"/>
      <c r="Q762" s="200"/>
      <c r="R762" s="200"/>
      <c r="S762" s="200"/>
      <c r="T762" s="200"/>
      <c r="U762" s="200"/>
      <c r="V762" s="200"/>
      <c r="W762" s="200"/>
      <c r="X762" s="200"/>
      <c r="Y762" s="200"/>
      <c r="Z762" s="200"/>
    </row>
    <row r="763" ht="22.5" customHeight="1">
      <c r="A763" s="145"/>
      <c r="B763" s="154"/>
      <c r="C763" s="138"/>
      <c r="D763" s="138"/>
      <c r="E763" s="138"/>
      <c r="F763" s="138"/>
      <c r="G763" s="119"/>
      <c r="H763" s="200"/>
      <c r="I763" s="200"/>
      <c r="J763" s="200"/>
      <c r="K763" s="200"/>
      <c r="L763" s="200"/>
      <c r="M763" s="200"/>
      <c r="N763" s="200"/>
      <c r="O763" s="200"/>
      <c r="P763" s="200"/>
      <c r="Q763" s="200"/>
      <c r="R763" s="200"/>
      <c r="S763" s="200"/>
      <c r="T763" s="200"/>
      <c r="U763" s="200"/>
      <c r="V763" s="200"/>
      <c r="W763" s="200"/>
      <c r="X763" s="200"/>
      <c r="Y763" s="200"/>
      <c r="Z763" s="200"/>
    </row>
    <row r="764" ht="22.5" customHeight="1">
      <c r="A764" s="145"/>
      <c r="B764" s="154"/>
      <c r="C764" s="138"/>
      <c r="D764" s="138"/>
      <c r="E764" s="138"/>
      <c r="F764" s="138"/>
      <c r="G764" s="119"/>
      <c r="H764" s="200"/>
      <c r="I764" s="200"/>
      <c r="J764" s="200"/>
      <c r="K764" s="200"/>
      <c r="L764" s="200"/>
      <c r="M764" s="200"/>
      <c r="N764" s="200"/>
      <c r="O764" s="200"/>
      <c r="P764" s="200"/>
      <c r="Q764" s="200"/>
      <c r="R764" s="200"/>
      <c r="S764" s="200"/>
      <c r="T764" s="200"/>
      <c r="U764" s="200"/>
      <c r="V764" s="200"/>
      <c r="W764" s="200"/>
      <c r="X764" s="200"/>
      <c r="Y764" s="200"/>
      <c r="Z764" s="200"/>
    </row>
    <row r="765" ht="22.5" customHeight="1">
      <c r="A765" s="145"/>
      <c r="B765" s="154"/>
      <c r="C765" s="138"/>
      <c r="D765" s="138"/>
      <c r="E765" s="138"/>
      <c r="F765" s="138"/>
      <c r="G765" s="119"/>
      <c r="H765" s="200"/>
      <c r="I765" s="200"/>
      <c r="J765" s="200"/>
      <c r="K765" s="200"/>
      <c r="L765" s="200"/>
      <c r="M765" s="200"/>
      <c r="N765" s="200"/>
      <c r="O765" s="200"/>
      <c r="P765" s="200"/>
      <c r="Q765" s="200"/>
      <c r="R765" s="200"/>
      <c r="S765" s="200"/>
      <c r="T765" s="200"/>
      <c r="U765" s="200"/>
      <c r="V765" s="200"/>
      <c r="W765" s="200"/>
      <c r="X765" s="200"/>
      <c r="Y765" s="200"/>
      <c r="Z765" s="200"/>
    </row>
    <row r="766" ht="22.5" customHeight="1">
      <c r="A766" s="145"/>
      <c r="B766" s="154"/>
      <c r="C766" s="138"/>
      <c r="D766" s="138"/>
      <c r="E766" s="138"/>
      <c r="F766" s="138"/>
      <c r="G766" s="119"/>
      <c r="H766" s="200"/>
      <c r="I766" s="200"/>
      <c r="J766" s="200"/>
      <c r="K766" s="200"/>
      <c r="L766" s="200"/>
      <c r="M766" s="200"/>
      <c r="N766" s="200"/>
      <c r="O766" s="200"/>
      <c r="P766" s="200"/>
      <c r="Q766" s="200"/>
      <c r="R766" s="200"/>
      <c r="S766" s="200"/>
      <c r="T766" s="200"/>
      <c r="U766" s="200"/>
      <c r="V766" s="200"/>
      <c r="W766" s="200"/>
      <c r="X766" s="200"/>
      <c r="Y766" s="200"/>
      <c r="Z766" s="200"/>
    </row>
    <row r="767" ht="22.5" customHeight="1">
      <c r="A767" s="145"/>
      <c r="B767" s="154"/>
      <c r="C767" s="138"/>
      <c r="D767" s="138"/>
      <c r="E767" s="138"/>
      <c r="F767" s="138"/>
      <c r="G767" s="119"/>
      <c r="H767" s="200"/>
      <c r="I767" s="200"/>
      <c r="J767" s="200"/>
      <c r="K767" s="200"/>
      <c r="L767" s="200"/>
      <c r="M767" s="200"/>
      <c r="N767" s="200"/>
      <c r="O767" s="200"/>
      <c r="P767" s="200"/>
      <c r="Q767" s="200"/>
      <c r="R767" s="200"/>
      <c r="S767" s="200"/>
      <c r="T767" s="200"/>
      <c r="U767" s="200"/>
      <c r="V767" s="200"/>
      <c r="W767" s="200"/>
      <c r="X767" s="200"/>
      <c r="Y767" s="200"/>
      <c r="Z767" s="200"/>
    </row>
    <row r="768" ht="22.5" customHeight="1">
      <c r="A768" s="145"/>
      <c r="B768" s="154"/>
      <c r="C768" s="138"/>
      <c r="D768" s="138"/>
      <c r="E768" s="138"/>
      <c r="F768" s="138"/>
      <c r="G768" s="119"/>
      <c r="H768" s="200"/>
      <c r="I768" s="200"/>
      <c r="J768" s="200"/>
      <c r="K768" s="200"/>
      <c r="L768" s="200"/>
      <c r="M768" s="200"/>
      <c r="N768" s="200"/>
      <c r="O768" s="200"/>
      <c r="P768" s="200"/>
      <c r="Q768" s="200"/>
      <c r="R768" s="200"/>
      <c r="S768" s="200"/>
      <c r="T768" s="200"/>
      <c r="U768" s="200"/>
      <c r="V768" s="200"/>
      <c r="W768" s="200"/>
      <c r="X768" s="200"/>
      <c r="Y768" s="200"/>
      <c r="Z768" s="200"/>
    </row>
    <row r="769" ht="22.5" customHeight="1">
      <c r="A769" s="145"/>
      <c r="B769" s="154"/>
      <c r="C769" s="138"/>
      <c r="D769" s="138"/>
      <c r="E769" s="138"/>
      <c r="F769" s="138"/>
      <c r="G769" s="119"/>
      <c r="H769" s="200"/>
      <c r="I769" s="200"/>
      <c r="J769" s="200"/>
      <c r="K769" s="200"/>
      <c r="L769" s="200"/>
      <c r="M769" s="200"/>
      <c r="N769" s="200"/>
      <c r="O769" s="200"/>
      <c r="P769" s="200"/>
      <c r="Q769" s="200"/>
      <c r="R769" s="200"/>
      <c r="S769" s="200"/>
      <c r="T769" s="200"/>
      <c r="U769" s="200"/>
      <c r="V769" s="200"/>
      <c r="W769" s="200"/>
      <c r="X769" s="200"/>
      <c r="Y769" s="200"/>
      <c r="Z769" s="200"/>
    </row>
    <row r="770" ht="22.5" customHeight="1">
      <c r="A770" s="145"/>
      <c r="B770" s="154"/>
      <c r="C770" s="138"/>
      <c r="D770" s="138"/>
      <c r="E770" s="138"/>
      <c r="F770" s="138"/>
      <c r="G770" s="119"/>
      <c r="H770" s="200"/>
      <c r="I770" s="200"/>
      <c r="J770" s="200"/>
      <c r="K770" s="200"/>
      <c r="L770" s="200"/>
      <c r="M770" s="200"/>
      <c r="N770" s="200"/>
      <c r="O770" s="200"/>
      <c r="P770" s="200"/>
      <c r="Q770" s="200"/>
      <c r="R770" s="200"/>
      <c r="S770" s="200"/>
      <c r="T770" s="200"/>
      <c r="U770" s="200"/>
      <c r="V770" s="200"/>
      <c r="W770" s="200"/>
      <c r="X770" s="200"/>
      <c r="Y770" s="200"/>
      <c r="Z770" s="200"/>
    </row>
    <row r="771" ht="22.5" customHeight="1">
      <c r="A771" s="145"/>
      <c r="B771" s="154"/>
      <c r="C771" s="138"/>
      <c r="D771" s="138"/>
      <c r="E771" s="138"/>
      <c r="F771" s="138"/>
      <c r="G771" s="119"/>
      <c r="H771" s="200"/>
      <c r="I771" s="200"/>
      <c r="J771" s="200"/>
      <c r="K771" s="200"/>
      <c r="L771" s="200"/>
      <c r="M771" s="200"/>
      <c r="N771" s="200"/>
      <c r="O771" s="200"/>
      <c r="P771" s="200"/>
      <c r="Q771" s="200"/>
      <c r="R771" s="200"/>
      <c r="S771" s="200"/>
      <c r="T771" s="200"/>
      <c r="U771" s="200"/>
      <c r="V771" s="200"/>
      <c r="W771" s="200"/>
      <c r="X771" s="200"/>
      <c r="Y771" s="200"/>
      <c r="Z771" s="200"/>
    </row>
    <row r="772" ht="22.5" customHeight="1">
      <c r="A772" s="145"/>
      <c r="B772" s="154"/>
      <c r="C772" s="138"/>
      <c r="D772" s="138"/>
      <c r="E772" s="138"/>
      <c r="F772" s="138"/>
      <c r="G772" s="119"/>
      <c r="H772" s="200"/>
      <c r="I772" s="200"/>
      <c r="J772" s="200"/>
      <c r="K772" s="200"/>
      <c r="L772" s="200"/>
      <c r="M772" s="200"/>
      <c r="N772" s="200"/>
      <c r="O772" s="200"/>
      <c r="P772" s="200"/>
      <c r="Q772" s="200"/>
      <c r="R772" s="200"/>
      <c r="S772" s="200"/>
      <c r="T772" s="200"/>
      <c r="U772" s="200"/>
      <c r="V772" s="200"/>
      <c r="W772" s="200"/>
      <c r="X772" s="200"/>
      <c r="Y772" s="200"/>
      <c r="Z772" s="200"/>
    </row>
    <row r="773" ht="22.5" customHeight="1">
      <c r="A773" s="145"/>
      <c r="B773" s="154"/>
      <c r="C773" s="138"/>
      <c r="D773" s="138"/>
      <c r="E773" s="138"/>
      <c r="F773" s="138"/>
      <c r="G773" s="119"/>
      <c r="H773" s="200"/>
      <c r="I773" s="200"/>
      <c r="J773" s="200"/>
      <c r="K773" s="200"/>
      <c r="L773" s="200"/>
      <c r="M773" s="200"/>
      <c r="N773" s="200"/>
      <c r="O773" s="200"/>
      <c r="P773" s="200"/>
      <c r="Q773" s="200"/>
      <c r="R773" s="200"/>
      <c r="S773" s="200"/>
      <c r="T773" s="200"/>
      <c r="U773" s="200"/>
      <c r="V773" s="200"/>
      <c r="W773" s="200"/>
      <c r="X773" s="200"/>
      <c r="Y773" s="200"/>
      <c r="Z773" s="200"/>
    </row>
    <row r="774" ht="22.5" customHeight="1">
      <c r="A774" s="145"/>
      <c r="B774" s="154"/>
      <c r="C774" s="138"/>
      <c r="D774" s="138"/>
      <c r="E774" s="138"/>
      <c r="F774" s="138"/>
      <c r="G774" s="119"/>
      <c r="H774" s="200"/>
      <c r="I774" s="200"/>
      <c r="J774" s="200"/>
      <c r="K774" s="200"/>
      <c r="L774" s="200"/>
      <c r="M774" s="200"/>
      <c r="N774" s="200"/>
      <c r="O774" s="200"/>
      <c r="P774" s="200"/>
      <c r="Q774" s="200"/>
      <c r="R774" s="200"/>
      <c r="S774" s="200"/>
      <c r="T774" s="200"/>
      <c r="U774" s="200"/>
      <c r="V774" s="200"/>
      <c r="W774" s="200"/>
      <c r="X774" s="200"/>
      <c r="Y774" s="200"/>
      <c r="Z774" s="200"/>
    </row>
    <row r="775" ht="22.5" customHeight="1">
      <c r="A775" s="145"/>
      <c r="B775" s="154"/>
      <c r="C775" s="138"/>
      <c r="D775" s="138"/>
      <c r="E775" s="138"/>
      <c r="F775" s="138"/>
      <c r="G775" s="119"/>
      <c r="H775" s="200"/>
      <c r="I775" s="200"/>
      <c r="J775" s="200"/>
      <c r="K775" s="200"/>
      <c r="L775" s="200"/>
      <c r="M775" s="200"/>
      <c r="N775" s="200"/>
      <c r="O775" s="200"/>
      <c r="P775" s="200"/>
      <c r="Q775" s="200"/>
      <c r="R775" s="200"/>
      <c r="S775" s="200"/>
      <c r="T775" s="200"/>
      <c r="U775" s="200"/>
      <c r="V775" s="200"/>
      <c r="W775" s="200"/>
      <c r="X775" s="200"/>
      <c r="Y775" s="200"/>
      <c r="Z775" s="200"/>
    </row>
    <row r="776" ht="22.5" customHeight="1">
      <c r="A776" s="145"/>
      <c r="B776" s="154"/>
      <c r="C776" s="138"/>
      <c r="D776" s="138"/>
      <c r="E776" s="138"/>
      <c r="F776" s="138"/>
      <c r="G776" s="119"/>
      <c r="H776" s="200"/>
      <c r="I776" s="200"/>
      <c r="J776" s="200"/>
      <c r="K776" s="200"/>
      <c r="L776" s="200"/>
      <c r="M776" s="200"/>
      <c r="N776" s="200"/>
      <c r="O776" s="200"/>
      <c r="P776" s="200"/>
      <c r="Q776" s="200"/>
      <c r="R776" s="200"/>
      <c r="S776" s="200"/>
      <c r="T776" s="200"/>
      <c r="U776" s="200"/>
      <c r="V776" s="200"/>
      <c r="W776" s="200"/>
      <c r="X776" s="200"/>
      <c r="Y776" s="200"/>
      <c r="Z776" s="200"/>
    </row>
    <row r="777" ht="22.5" customHeight="1">
      <c r="A777" s="145"/>
      <c r="B777" s="154"/>
      <c r="C777" s="138"/>
      <c r="D777" s="138"/>
      <c r="E777" s="138"/>
      <c r="F777" s="138"/>
      <c r="G777" s="119"/>
      <c r="H777" s="200"/>
      <c r="I777" s="200"/>
      <c r="J777" s="200"/>
      <c r="K777" s="200"/>
      <c r="L777" s="200"/>
      <c r="M777" s="200"/>
      <c r="N777" s="200"/>
      <c r="O777" s="200"/>
      <c r="P777" s="200"/>
      <c r="Q777" s="200"/>
      <c r="R777" s="200"/>
      <c r="S777" s="200"/>
      <c r="T777" s="200"/>
      <c r="U777" s="200"/>
      <c r="V777" s="200"/>
      <c r="W777" s="200"/>
      <c r="X777" s="200"/>
      <c r="Y777" s="200"/>
      <c r="Z777" s="200"/>
    </row>
    <row r="778" ht="22.5" customHeight="1">
      <c r="A778" s="145"/>
      <c r="B778" s="154"/>
      <c r="C778" s="138"/>
      <c r="D778" s="138"/>
      <c r="E778" s="138"/>
      <c r="F778" s="138"/>
      <c r="G778" s="119"/>
      <c r="H778" s="200"/>
      <c r="I778" s="200"/>
      <c r="J778" s="200"/>
      <c r="K778" s="200"/>
      <c r="L778" s="200"/>
      <c r="M778" s="200"/>
      <c r="N778" s="200"/>
      <c r="O778" s="200"/>
      <c r="P778" s="200"/>
      <c r="Q778" s="200"/>
      <c r="R778" s="200"/>
      <c r="S778" s="200"/>
      <c r="T778" s="200"/>
      <c r="U778" s="200"/>
      <c r="V778" s="200"/>
      <c r="W778" s="200"/>
      <c r="X778" s="200"/>
      <c r="Y778" s="200"/>
      <c r="Z778" s="200"/>
    </row>
    <row r="779" ht="22.5" customHeight="1">
      <c r="A779" s="145"/>
      <c r="B779" s="154"/>
      <c r="C779" s="138"/>
      <c r="D779" s="138"/>
      <c r="E779" s="138"/>
      <c r="F779" s="138"/>
      <c r="G779" s="119"/>
      <c r="H779" s="200"/>
      <c r="I779" s="200"/>
      <c r="J779" s="200"/>
      <c r="K779" s="200"/>
      <c r="L779" s="200"/>
      <c r="M779" s="200"/>
      <c r="N779" s="200"/>
      <c r="O779" s="200"/>
      <c r="P779" s="200"/>
      <c r="Q779" s="200"/>
      <c r="R779" s="200"/>
      <c r="S779" s="200"/>
      <c r="T779" s="200"/>
      <c r="U779" s="200"/>
      <c r="V779" s="200"/>
      <c r="W779" s="200"/>
      <c r="X779" s="200"/>
      <c r="Y779" s="200"/>
      <c r="Z779" s="200"/>
    </row>
    <row r="780" ht="22.5" customHeight="1">
      <c r="A780" s="145"/>
      <c r="B780" s="154"/>
      <c r="C780" s="138"/>
      <c r="D780" s="138"/>
      <c r="E780" s="138"/>
      <c r="F780" s="138"/>
      <c r="G780" s="119"/>
      <c r="H780" s="200"/>
      <c r="I780" s="200"/>
      <c r="J780" s="200"/>
      <c r="K780" s="200"/>
      <c r="L780" s="200"/>
      <c r="M780" s="200"/>
      <c r="N780" s="200"/>
      <c r="O780" s="200"/>
      <c r="P780" s="200"/>
      <c r="Q780" s="200"/>
      <c r="R780" s="200"/>
      <c r="S780" s="200"/>
      <c r="T780" s="200"/>
      <c r="U780" s="200"/>
      <c r="V780" s="200"/>
      <c r="W780" s="200"/>
      <c r="X780" s="200"/>
      <c r="Y780" s="200"/>
      <c r="Z780" s="200"/>
    </row>
    <row r="781" ht="22.5" customHeight="1">
      <c r="A781" s="145"/>
      <c r="B781" s="154"/>
      <c r="C781" s="138"/>
      <c r="D781" s="138"/>
      <c r="E781" s="138"/>
      <c r="F781" s="138"/>
      <c r="G781" s="119"/>
      <c r="H781" s="200"/>
      <c r="I781" s="200"/>
      <c r="J781" s="200"/>
      <c r="K781" s="200"/>
      <c r="L781" s="200"/>
      <c r="M781" s="200"/>
      <c r="N781" s="200"/>
      <c r="O781" s="200"/>
      <c r="P781" s="200"/>
      <c r="Q781" s="200"/>
      <c r="R781" s="200"/>
      <c r="S781" s="200"/>
      <c r="T781" s="200"/>
      <c r="U781" s="200"/>
      <c r="V781" s="200"/>
      <c r="W781" s="200"/>
      <c r="X781" s="200"/>
      <c r="Y781" s="200"/>
      <c r="Z781" s="200"/>
    </row>
    <row r="782" ht="22.5" customHeight="1">
      <c r="A782" s="145"/>
      <c r="B782" s="154"/>
      <c r="C782" s="138"/>
      <c r="D782" s="138"/>
      <c r="E782" s="138"/>
      <c r="F782" s="138"/>
      <c r="G782" s="119"/>
      <c r="H782" s="200"/>
      <c r="I782" s="200"/>
      <c r="J782" s="200"/>
      <c r="K782" s="200"/>
      <c r="L782" s="200"/>
      <c r="M782" s="200"/>
      <c r="N782" s="200"/>
      <c r="O782" s="200"/>
      <c r="P782" s="200"/>
      <c r="Q782" s="200"/>
      <c r="R782" s="200"/>
      <c r="S782" s="200"/>
      <c r="T782" s="200"/>
      <c r="U782" s="200"/>
      <c r="V782" s="200"/>
      <c r="W782" s="200"/>
      <c r="X782" s="200"/>
      <c r="Y782" s="200"/>
      <c r="Z782" s="200"/>
    </row>
    <row r="783" ht="22.5" customHeight="1">
      <c r="A783" s="145"/>
      <c r="B783" s="154"/>
      <c r="C783" s="138"/>
      <c r="D783" s="138"/>
      <c r="E783" s="138"/>
      <c r="F783" s="138"/>
      <c r="G783" s="119"/>
      <c r="H783" s="200"/>
      <c r="I783" s="200"/>
      <c r="J783" s="200"/>
      <c r="K783" s="200"/>
      <c r="L783" s="200"/>
      <c r="M783" s="200"/>
      <c r="N783" s="200"/>
      <c r="O783" s="200"/>
      <c r="P783" s="200"/>
      <c r="Q783" s="200"/>
      <c r="R783" s="200"/>
      <c r="S783" s="200"/>
      <c r="T783" s="200"/>
      <c r="U783" s="200"/>
      <c r="V783" s="200"/>
      <c r="W783" s="200"/>
      <c r="X783" s="200"/>
      <c r="Y783" s="200"/>
      <c r="Z783" s="200"/>
    </row>
    <row r="784" ht="22.5" customHeight="1">
      <c r="A784" s="145"/>
      <c r="B784" s="154"/>
      <c r="C784" s="138"/>
      <c r="D784" s="138"/>
      <c r="E784" s="138"/>
      <c r="F784" s="138"/>
      <c r="G784" s="119"/>
      <c r="H784" s="200"/>
      <c r="I784" s="200"/>
      <c r="J784" s="200"/>
      <c r="K784" s="200"/>
      <c r="L784" s="200"/>
      <c r="M784" s="200"/>
      <c r="N784" s="200"/>
      <c r="O784" s="200"/>
      <c r="P784" s="200"/>
      <c r="Q784" s="200"/>
      <c r="R784" s="200"/>
      <c r="S784" s="200"/>
      <c r="T784" s="200"/>
      <c r="U784" s="200"/>
      <c r="V784" s="200"/>
      <c r="W784" s="200"/>
      <c r="X784" s="200"/>
      <c r="Y784" s="200"/>
      <c r="Z784" s="200"/>
    </row>
    <row r="785" ht="22.5" customHeight="1">
      <c r="A785" s="145"/>
      <c r="B785" s="154"/>
      <c r="C785" s="138"/>
      <c r="D785" s="138"/>
      <c r="E785" s="138"/>
      <c r="F785" s="138"/>
      <c r="G785" s="119"/>
      <c r="H785" s="200"/>
      <c r="I785" s="200"/>
      <c r="J785" s="200"/>
      <c r="K785" s="200"/>
      <c r="L785" s="200"/>
      <c r="M785" s="200"/>
      <c r="N785" s="200"/>
      <c r="O785" s="200"/>
      <c r="P785" s="200"/>
      <c r="Q785" s="200"/>
      <c r="R785" s="200"/>
      <c r="S785" s="200"/>
      <c r="T785" s="200"/>
      <c r="U785" s="200"/>
      <c r="V785" s="200"/>
      <c r="W785" s="200"/>
      <c r="X785" s="200"/>
      <c r="Y785" s="200"/>
      <c r="Z785" s="200"/>
    </row>
    <row r="786" ht="22.5" customHeight="1">
      <c r="A786" s="145"/>
      <c r="B786" s="154"/>
      <c r="C786" s="138"/>
      <c r="D786" s="138"/>
      <c r="E786" s="138"/>
      <c r="F786" s="138"/>
      <c r="G786" s="119"/>
      <c r="H786" s="200"/>
      <c r="I786" s="200"/>
      <c r="J786" s="200"/>
      <c r="K786" s="200"/>
      <c r="L786" s="200"/>
      <c r="M786" s="200"/>
      <c r="N786" s="200"/>
      <c r="O786" s="200"/>
      <c r="P786" s="200"/>
      <c r="Q786" s="200"/>
      <c r="R786" s="200"/>
      <c r="S786" s="200"/>
      <c r="T786" s="200"/>
      <c r="U786" s="200"/>
      <c r="V786" s="200"/>
      <c r="W786" s="200"/>
      <c r="X786" s="200"/>
      <c r="Y786" s="200"/>
      <c r="Z786" s="200"/>
    </row>
    <row r="787" ht="22.5" customHeight="1">
      <c r="A787" s="145"/>
      <c r="B787" s="154"/>
      <c r="C787" s="138"/>
      <c r="D787" s="138"/>
      <c r="E787" s="138"/>
      <c r="F787" s="138"/>
      <c r="G787" s="119"/>
      <c r="H787" s="200"/>
      <c r="I787" s="200"/>
      <c r="J787" s="200"/>
      <c r="K787" s="200"/>
      <c r="L787" s="200"/>
      <c r="M787" s="200"/>
      <c r="N787" s="200"/>
      <c r="O787" s="200"/>
      <c r="P787" s="200"/>
      <c r="Q787" s="200"/>
      <c r="R787" s="200"/>
      <c r="S787" s="200"/>
      <c r="T787" s="200"/>
      <c r="U787" s="200"/>
      <c r="V787" s="200"/>
      <c r="W787" s="200"/>
      <c r="X787" s="200"/>
      <c r="Y787" s="200"/>
      <c r="Z787" s="200"/>
    </row>
    <row r="788" ht="22.5" customHeight="1">
      <c r="A788" s="145"/>
      <c r="B788" s="154"/>
      <c r="C788" s="138"/>
      <c r="D788" s="138"/>
      <c r="E788" s="138"/>
      <c r="F788" s="138"/>
      <c r="G788" s="119"/>
      <c r="H788" s="200"/>
      <c r="I788" s="200"/>
      <c r="J788" s="200"/>
      <c r="K788" s="200"/>
      <c r="L788" s="200"/>
      <c r="M788" s="200"/>
      <c r="N788" s="200"/>
      <c r="O788" s="200"/>
      <c r="P788" s="200"/>
      <c r="Q788" s="200"/>
      <c r="R788" s="200"/>
      <c r="S788" s="200"/>
      <c r="T788" s="200"/>
      <c r="U788" s="200"/>
      <c r="V788" s="200"/>
      <c r="W788" s="200"/>
      <c r="X788" s="200"/>
      <c r="Y788" s="200"/>
      <c r="Z788" s="200"/>
    </row>
    <row r="789" ht="22.5" customHeight="1">
      <c r="A789" s="145"/>
      <c r="B789" s="154"/>
      <c r="C789" s="138"/>
      <c r="D789" s="138"/>
      <c r="E789" s="138"/>
      <c r="F789" s="138"/>
      <c r="G789" s="119"/>
      <c r="H789" s="200"/>
      <c r="I789" s="200"/>
      <c r="J789" s="200"/>
      <c r="K789" s="200"/>
      <c r="L789" s="200"/>
      <c r="M789" s="200"/>
      <c r="N789" s="200"/>
      <c r="O789" s="200"/>
      <c r="P789" s="200"/>
      <c r="Q789" s="200"/>
      <c r="R789" s="200"/>
      <c r="S789" s="200"/>
      <c r="T789" s="200"/>
      <c r="U789" s="200"/>
      <c r="V789" s="200"/>
      <c r="W789" s="200"/>
      <c r="X789" s="200"/>
      <c r="Y789" s="200"/>
      <c r="Z789" s="200"/>
    </row>
    <row r="790" ht="22.5" customHeight="1">
      <c r="A790" s="145"/>
      <c r="B790" s="154"/>
      <c r="C790" s="138"/>
      <c r="D790" s="138"/>
      <c r="E790" s="138"/>
      <c r="F790" s="138"/>
      <c r="G790" s="119"/>
      <c r="H790" s="200"/>
      <c r="I790" s="200"/>
      <c r="J790" s="200"/>
      <c r="K790" s="200"/>
      <c r="L790" s="200"/>
      <c r="M790" s="200"/>
      <c r="N790" s="200"/>
      <c r="O790" s="200"/>
      <c r="P790" s="200"/>
      <c r="Q790" s="200"/>
      <c r="R790" s="200"/>
      <c r="S790" s="200"/>
      <c r="T790" s="200"/>
      <c r="U790" s="200"/>
      <c r="V790" s="200"/>
      <c r="W790" s="200"/>
      <c r="X790" s="200"/>
      <c r="Y790" s="200"/>
      <c r="Z790" s="200"/>
    </row>
    <row r="791" ht="22.5" customHeight="1">
      <c r="A791" s="145"/>
      <c r="B791" s="154"/>
      <c r="C791" s="138"/>
      <c r="D791" s="138"/>
      <c r="E791" s="138"/>
      <c r="F791" s="138"/>
      <c r="G791" s="119"/>
      <c r="H791" s="200"/>
      <c r="I791" s="200"/>
      <c r="J791" s="200"/>
      <c r="K791" s="200"/>
      <c r="L791" s="200"/>
      <c r="M791" s="200"/>
      <c r="N791" s="200"/>
      <c r="O791" s="200"/>
      <c r="P791" s="200"/>
      <c r="Q791" s="200"/>
      <c r="R791" s="200"/>
      <c r="S791" s="200"/>
      <c r="T791" s="200"/>
      <c r="U791" s="200"/>
      <c r="V791" s="200"/>
      <c r="W791" s="200"/>
      <c r="X791" s="200"/>
      <c r="Y791" s="200"/>
      <c r="Z791" s="200"/>
    </row>
    <row r="792" ht="22.5" customHeight="1">
      <c r="A792" s="145"/>
      <c r="B792" s="154"/>
      <c r="C792" s="138"/>
      <c r="D792" s="138"/>
      <c r="E792" s="138"/>
      <c r="F792" s="138"/>
      <c r="G792" s="119"/>
      <c r="H792" s="200"/>
      <c r="I792" s="200"/>
      <c r="J792" s="200"/>
      <c r="K792" s="200"/>
      <c r="L792" s="200"/>
      <c r="M792" s="200"/>
      <c r="N792" s="200"/>
      <c r="O792" s="200"/>
      <c r="P792" s="200"/>
      <c r="Q792" s="200"/>
      <c r="R792" s="200"/>
      <c r="S792" s="200"/>
      <c r="T792" s="200"/>
      <c r="U792" s="200"/>
      <c r="V792" s="200"/>
      <c r="W792" s="200"/>
      <c r="X792" s="200"/>
      <c r="Y792" s="200"/>
      <c r="Z792" s="200"/>
    </row>
    <row r="793" ht="22.5" customHeight="1">
      <c r="A793" s="145"/>
      <c r="B793" s="154"/>
      <c r="C793" s="138"/>
      <c r="D793" s="138"/>
      <c r="E793" s="138"/>
      <c r="F793" s="138"/>
      <c r="G793" s="119"/>
      <c r="H793" s="200"/>
      <c r="I793" s="200"/>
      <c r="J793" s="200"/>
      <c r="K793" s="200"/>
      <c r="L793" s="200"/>
      <c r="M793" s="200"/>
      <c r="N793" s="200"/>
      <c r="O793" s="200"/>
      <c r="P793" s="200"/>
      <c r="Q793" s="200"/>
      <c r="R793" s="200"/>
      <c r="S793" s="200"/>
      <c r="T793" s="200"/>
      <c r="U793" s="200"/>
      <c r="V793" s="200"/>
      <c r="W793" s="200"/>
      <c r="X793" s="200"/>
      <c r="Y793" s="200"/>
      <c r="Z793" s="200"/>
    </row>
    <row r="794" ht="22.5" customHeight="1">
      <c r="A794" s="145"/>
      <c r="B794" s="154"/>
      <c r="C794" s="138"/>
      <c r="D794" s="138"/>
      <c r="E794" s="138"/>
      <c r="F794" s="138"/>
      <c r="G794" s="119"/>
      <c r="H794" s="200"/>
      <c r="I794" s="200"/>
      <c r="J794" s="200"/>
      <c r="K794" s="200"/>
      <c r="L794" s="200"/>
      <c r="M794" s="200"/>
      <c r="N794" s="200"/>
      <c r="O794" s="200"/>
      <c r="P794" s="200"/>
      <c r="Q794" s="200"/>
      <c r="R794" s="200"/>
      <c r="S794" s="200"/>
      <c r="T794" s="200"/>
      <c r="U794" s="200"/>
      <c r="V794" s="200"/>
      <c r="W794" s="200"/>
      <c r="X794" s="200"/>
      <c r="Y794" s="200"/>
      <c r="Z794" s="200"/>
    </row>
    <row r="795" ht="22.5" customHeight="1">
      <c r="A795" s="145"/>
      <c r="B795" s="154"/>
      <c r="C795" s="138"/>
      <c r="D795" s="138"/>
      <c r="E795" s="138"/>
      <c r="F795" s="138"/>
      <c r="G795" s="119"/>
      <c r="H795" s="200"/>
      <c r="I795" s="200"/>
      <c r="J795" s="200"/>
      <c r="K795" s="200"/>
      <c r="L795" s="200"/>
      <c r="M795" s="200"/>
      <c r="N795" s="200"/>
      <c r="O795" s="200"/>
      <c r="P795" s="200"/>
      <c r="Q795" s="200"/>
      <c r="R795" s="200"/>
      <c r="S795" s="200"/>
      <c r="T795" s="200"/>
      <c r="U795" s="200"/>
      <c r="V795" s="200"/>
      <c r="W795" s="200"/>
      <c r="X795" s="200"/>
      <c r="Y795" s="200"/>
      <c r="Z795" s="200"/>
    </row>
    <row r="796" ht="22.5" customHeight="1">
      <c r="A796" s="145"/>
      <c r="B796" s="154"/>
      <c r="C796" s="138"/>
      <c r="D796" s="138"/>
      <c r="E796" s="138"/>
      <c r="F796" s="138"/>
      <c r="G796" s="119"/>
      <c r="H796" s="200"/>
      <c r="I796" s="200"/>
      <c r="J796" s="200"/>
      <c r="K796" s="200"/>
      <c r="L796" s="200"/>
      <c r="M796" s="200"/>
      <c r="N796" s="200"/>
      <c r="O796" s="200"/>
      <c r="P796" s="200"/>
      <c r="Q796" s="200"/>
      <c r="R796" s="200"/>
      <c r="S796" s="200"/>
      <c r="T796" s="200"/>
      <c r="U796" s="200"/>
      <c r="V796" s="200"/>
      <c r="W796" s="200"/>
      <c r="X796" s="200"/>
      <c r="Y796" s="200"/>
      <c r="Z796" s="200"/>
    </row>
    <row r="797" ht="22.5" customHeight="1">
      <c r="A797" s="145"/>
      <c r="B797" s="154"/>
      <c r="C797" s="138"/>
      <c r="D797" s="138"/>
      <c r="E797" s="138"/>
      <c r="F797" s="138"/>
      <c r="G797" s="119"/>
      <c r="H797" s="200"/>
      <c r="I797" s="200"/>
      <c r="J797" s="200"/>
      <c r="K797" s="200"/>
      <c r="L797" s="200"/>
      <c r="M797" s="200"/>
      <c r="N797" s="200"/>
      <c r="O797" s="200"/>
      <c r="P797" s="200"/>
      <c r="Q797" s="200"/>
      <c r="R797" s="200"/>
      <c r="S797" s="200"/>
      <c r="T797" s="200"/>
      <c r="U797" s="200"/>
      <c r="V797" s="200"/>
      <c r="W797" s="200"/>
      <c r="X797" s="200"/>
      <c r="Y797" s="200"/>
      <c r="Z797" s="200"/>
    </row>
    <row r="798" ht="22.5" customHeight="1">
      <c r="A798" s="145"/>
      <c r="B798" s="154"/>
      <c r="C798" s="138"/>
      <c r="D798" s="138"/>
      <c r="E798" s="138"/>
      <c r="F798" s="138"/>
      <c r="G798" s="119"/>
      <c r="H798" s="200"/>
      <c r="I798" s="200"/>
      <c r="J798" s="200"/>
      <c r="K798" s="200"/>
      <c r="L798" s="200"/>
      <c r="M798" s="200"/>
      <c r="N798" s="200"/>
      <c r="O798" s="200"/>
      <c r="P798" s="200"/>
      <c r="Q798" s="200"/>
      <c r="R798" s="200"/>
      <c r="S798" s="200"/>
      <c r="T798" s="200"/>
      <c r="U798" s="200"/>
      <c r="V798" s="200"/>
      <c r="W798" s="200"/>
      <c r="X798" s="200"/>
      <c r="Y798" s="200"/>
      <c r="Z798" s="200"/>
    </row>
    <row r="799" ht="22.5" customHeight="1">
      <c r="A799" s="145"/>
      <c r="B799" s="154"/>
      <c r="C799" s="138"/>
      <c r="D799" s="138"/>
      <c r="E799" s="138"/>
      <c r="F799" s="138"/>
      <c r="G799" s="119"/>
      <c r="H799" s="200"/>
      <c r="I799" s="200"/>
      <c r="J799" s="200"/>
      <c r="K799" s="200"/>
      <c r="L799" s="200"/>
      <c r="M799" s="200"/>
      <c r="N799" s="200"/>
      <c r="O799" s="200"/>
      <c r="P799" s="200"/>
      <c r="Q799" s="200"/>
      <c r="R799" s="200"/>
      <c r="S799" s="200"/>
      <c r="T799" s="200"/>
      <c r="U799" s="200"/>
      <c r="V799" s="200"/>
      <c r="W799" s="200"/>
      <c r="X799" s="200"/>
      <c r="Y799" s="200"/>
      <c r="Z799" s="200"/>
    </row>
    <row r="800" ht="22.5" customHeight="1">
      <c r="A800" s="145"/>
      <c r="B800" s="154"/>
      <c r="C800" s="138"/>
      <c r="D800" s="138"/>
      <c r="E800" s="138"/>
      <c r="F800" s="138"/>
      <c r="G800" s="119"/>
      <c r="H800" s="200"/>
      <c r="I800" s="200"/>
      <c r="J800" s="200"/>
      <c r="K800" s="200"/>
      <c r="L800" s="200"/>
      <c r="M800" s="200"/>
      <c r="N800" s="200"/>
      <c r="O800" s="200"/>
      <c r="P800" s="200"/>
      <c r="Q800" s="200"/>
      <c r="R800" s="200"/>
      <c r="S800" s="200"/>
      <c r="T800" s="200"/>
      <c r="U800" s="200"/>
      <c r="V800" s="200"/>
      <c r="W800" s="200"/>
      <c r="X800" s="200"/>
      <c r="Y800" s="200"/>
      <c r="Z800" s="200"/>
    </row>
    <row r="801" ht="22.5" customHeight="1">
      <c r="A801" s="145"/>
      <c r="B801" s="154"/>
      <c r="C801" s="138"/>
      <c r="D801" s="138"/>
      <c r="E801" s="138"/>
      <c r="F801" s="138"/>
      <c r="G801" s="119"/>
      <c r="H801" s="200"/>
      <c r="I801" s="200"/>
      <c r="J801" s="200"/>
      <c r="K801" s="200"/>
      <c r="L801" s="200"/>
      <c r="M801" s="200"/>
      <c r="N801" s="200"/>
      <c r="O801" s="200"/>
      <c r="P801" s="200"/>
      <c r="Q801" s="200"/>
      <c r="R801" s="200"/>
      <c r="S801" s="200"/>
      <c r="T801" s="200"/>
      <c r="U801" s="200"/>
      <c r="V801" s="200"/>
      <c r="W801" s="200"/>
      <c r="X801" s="200"/>
      <c r="Y801" s="200"/>
      <c r="Z801" s="200"/>
    </row>
    <row r="802" ht="22.5" customHeight="1">
      <c r="A802" s="145"/>
      <c r="B802" s="154"/>
      <c r="C802" s="138"/>
      <c r="D802" s="138"/>
      <c r="E802" s="138"/>
      <c r="F802" s="138"/>
      <c r="G802" s="119"/>
      <c r="H802" s="200"/>
      <c r="I802" s="200"/>
      <c r="J802" s="200"/>
      <c r="K802" s="200"/>
      <c r="L802" s="200"/>
      <c r="M802" s="200"/>
      <c r="N802" s="200"/>
      <c r="O802" s="200"/>
      <c r="P802" s="200"/>
      <c r="Q802" s="200"/>
      <c r="R802" s="200"/>
      <c r="S802" s="200"/>
      <c r="T802" s="200"/>
      <c r="U802" s="200"/>
      <c r="V802" s="200"/>
      <c r="W802" s="200"/>
      <c r="X802" s="200"/>
      <c r="Y802" s="200"/>
      <c r="Z802" s="200"/>
    </row>
    <row r="803" ht="22.5" customHeight="1">
      <c r="A803" s="145"/>
      <c r="B803" s="154"/>
      <c r="C803" s="138"/>
      <c r="D803" s="138"/>
      <c r="E803" s="138"/>
      <c r="F803" s="138"/>
      <c r="G803" s="119"/>
      <c r="H803" s="200"/>
      <c r="I803" s="200"/>
      <c r="J803" s="200"/>
      <c r="K803" s="200"/>
      <c r="L803" s="200"/>
      <c r="M803" s="200"/>
      <c r="N803" s="200"/>
      <c r="O803" s="200"/>
      <c r="P803" s="200"/>
      <c r="Q803" s="200"/>
      <c r="R803" s="200"/>
      <c r="S803" s="200"/>
      <c r="T803" s="200"/>
      <c r="U803" s="200"/>
      <c r="V803" s="200"/>
      <c r="W803" s="200"/>
      <c r="X803" s="200"/>
      <c r="Y803" s="200"/>
      <c r="Z803" s="200"/>
    </row>
    <row r="804" ht="22.5" customHeight="1">
      <c r="A804" s="145"/>
      <c r="B804" s="154"/>
      <c r="C804" s="138"/>
      <c r="D804" s="138"/>
      <c r="E804" s="138"/>
      <c r="F804" s="138"/>
      <c r="G804" s="119"/>
      <c r="H804" s="200"/>
      <c r="I804" s="200"/>
      <c r="J804" s="200"/>
      <c r="K804" s="200"/>
      <c r="L804" s="200"/>
      <c r="M804" s="200"/>
      <c r="N804" s="200"/>
      <c r="O804" s="200"/>
      <c r="P804" s="200"/>
      <c r="Q804" s="200"/>
      <c r="R804" s="200"/>
      <c r="S804" s="200"/>
      <c r="T804" s="200"/>
      <c r="U804" s="200"/>
      <c r="V804" s="200"/>
      <c r="W804" s="200"/>
      <c r="X804" s="200"/>
      <c r="Y804" s="200"/>
      <c r="Z804" s="200"/>
    </row>
    <row r="805" ht="22.5" customHeight="1">
      <c r="A805" s="145"/>
      <c r="B805" s="154"/>
      <c r="C805" s="138"/>
      <c r="D805" s="138"/>
      <c r="E805" s="138"/>
      <c r="F805" s="138"/>
      <c r="G805" s="119"/>
      <c r="H805" s="200"/>
      <c r="I805" s="200"/>
      <c r="J805" s="200"/>
      <c r="K805" s="200"/>
      <c r="L805" s="200"/>
      <c r="M805" s="200"/>
      <c r="N805" s="200"/>
      <c r="O805" s="200"/>
      <c r="P805" s="200"/>
      <c r="Q805" s="200"/>
      <c r="R805" s="200"/>
      <c r="S805" s="200"/>
      <c r="T805" s="200"/>
      <c r="U805" s="200"/>
      <c r="V805" s="200"/>
      <c r="W805" s="200"/>
      <c r="X805" s="200"/>
      <c r="Y805" s="200"/>
      <c r="Z805" s="200"/>
    </row>
    <row r="806" ht="22.5" customHeight="1">
      <c r="A806" s="145"/>
      <c r="B806" s="154"/>
      <c r="C806" s="138"/>
      <c r="D806" s="138"/>
      <c r="E806" s="138"/>
      <c r="F806" s="138"/>
      <c r="G806" s="119"/>
      <c r="H806" s="200"/>
      <c r="I806" s="200"/>
      <c r="J806" s="200"/>
      <c r="K806" s="200"/>
      <c r="L806" s="200"/>
      <c r="M806" s="200"/>
      <c r="N806" s="200"/>
      <c r="O806" s="200"/>
      <c r="P806" s="200"/>
      <c r="Q806" s="200"/>
      <c r="R806" s="200"/>
      <c r="S806" s="200"/>
      <c r="T806" s="200"/>
      <c r="U806" s="200"/>
      <c r="V806" s="200"/>
      <c r="W806" s="200"/>
      <c r="X806" s="200"/>
      <c r="Y806" s="200"/>
      <c r="Z806" s="200"/>
    </row>
    <row r="807" ht="22.5" customHeight="1">
      <c r="A807" s="145"/>
      <c r="B807" s="154"/>
      <c r="C807" s="138"/>
      <c r="D807" s="138"/>
      <c r="E807" s="138"/>
      <c r="F807" s="138"/>
      <c r="G807" s="119"/>
      <c r="H807" s="200"/>
      <c r="I807" s="200"/>
      <c r="J807" s="200"/>
      <c r="K807" s="200"/>
      <c r="L807" s="200"/>
      <c r="M807" s="200"/>
      <c r="N807" s="200"/>
      <c r="O807" s="200"/>
      <c r="P807" s="200"/>
      <c r="Q807" s="200"/>
      <c r="R807" s="200"/>
      <c r="S807" s="200"/>
      <c r="T807" s="200"/>
      <c r="U807" s="200"/>
      <c r="V807" s="200"/>
      <c r="W807" s="200"/>
      <c r="X807" s="200"/>
      <c r="Y807" s="200"/>
      <c r="Z807" s="200"/>
    </row>
    <row r="808" ht="22.5" customHeight="1">
      <c r="A808" s="145"/>
      <c r="B808" s="154"/>
      <c r="C808" s="138"/>
      <c r="D808" s="138"/>
      <c r="E808" s="138"/>
      <c r="F808" s="138"/>
      <c r="G808" s="119"/>
      <c r="H808" s="200"/>
      <c r="I808" s="200"/>
      <c r="J808" s="200"/>
      <c r="K808" s="200"/>
      <c r="L808" s="200"/>
      <c r="M808" s="200"/>
      <c r="N808" s="200"/>
      <c r="O808" s="200"/>
      <c r="P808" s="200"/>
      <c r="Q808" s="200"/>
      <c r="R808" s="200"/>
      <c r="S808" s="200"/>
      <c r="T808" s="200"/>
      <c r="U808" s="200"/>
      <c r="V808" s="200"/>
      <c r="W808" s="200"/>
      <c r="X808" s="200"/>
      <c r="Y808" s="200"/>
      <c r="Z808" s="200"/>
    </row>
    <row r="809" ht="22.5" customHeight="1">
      <c r="A809" s="145"/>
      <c r="B809" s="154"/>
      <c r="C809" s="138"/>
      <c r="D809" s="138"/>
      <c r="E809" s="138"/>
      <c r="F809" s="138"/>
      <c r="G809" s="119"/>
      <c r="H809" s="200"/>
      <c r="I809" s="200"/>
      <c r="J809" s="200"/>
      <c r="K809" s="200"/>
      <c r="L809" s="200"/>
      <c r="M809" s="200"/>
      <c r="N809" s="200"/>
      <c r="O809" s="200"/>
      <c r="P809" s="200"/>
      <c r="Q809" s="200"/>
      <c r="R809" s="200"/>
      <c r="S809" s="200"/>
      <c r="T809" s="200"/>
      <c r="U809" s="200"/>
      <c r="V809" s="200"/>
      <c r="W809" s="200"/>
      <c r="X809" s="200"/>
      <c r="Y809" s="200"/>
      <c r="Z809" s="200"/>
    </row>
    <row r="810" ht="22.5" customHeight="1">
      <c r="A810" s="145"/>
      <c r="B810" s="154"/>
      <c r="C810" s="138"/>
      <c r="D810" s="138"/>
      <c r="E810" s="138"/>
      <c r="F810" s="138"/>
      <c r="G810" s="119"/>
      <c r="H810" s="200"/>
      <c r="I810" s="200"/>
      <c r="J810" s="200"/>
      <c r="K810" s="200"/>
      <c r="L810" s="200"/>
      <c r="M810" s="200"/>
      <c r="N810" s="200"/>
      <c r="O810" s="200"/>
      <c r="P810" s="200"/>
      <c r="Q810" s="200"/>
      <c r="R810" s="200"/>
      <c r="S810" s="200"/>
      <c r="T810" s="200"/>
      <c r="U810" s="200"/>
      <c r="V810" s="200"/>
      <c r="W810" s="200"/>
      <c r="X810" s="200"/>
      <c r="Y810" s="200"/>
      <c r="Z810" s="200"/>
    </row>
    <row r="811" ht="22.5" customHeight="1">
      <c r="A811" s="145"/>
      <c r="B811" s="154"/>
      <c r="C811" s="138"/>
      <c r="D811" s="138"/>
      <c r="E811" s="138"/>
      <c r="F811" s="138"/>
      <c r="G811" s="119"/>
      <c r="H811" s="200"/>
      <c r="I811" s="200"/>
      <c r="J811" s="200"/>
      <c r="K811" s="200"/>
      <c r="L811" s="200"/>
      <c r="M811" s="200"/>
      <c r="N811" s="200"/>
      <c r="O811" s="200"/>
      <c r="P811" s="200"/>
      <c r="Q811" s="200"/>
      <c r="R811" s="200"/>
      <c r="S811" s="200"/>
      <c r="T811" s="200"/>
      <c r="U811" s="200"/>
      <c r="V811" s="200"/>
      <c r="W811" s="200"/>
      <c r="X811" s="200"/>
      <c r="Y811" s="200"/>
      <c r="Z811" s="200"/>
    </row>
    <row r="812" ht="22.5" customHeight="1">
      <c r="A812" s="145"/>
      <c r="B812" s="154"/>
      <c r="C812" s="138"/>
      <c r="D812" s="138"/>
      <c r="E812" s="138"/>
      <c r="F812" s="138"/>
      <c r="G812" s="119"/>
      <c r="H812" s="200"/>
      <c r="I812" s="200"/>
      <c r="J812" s="200"/>
      <c r="K812" s="200"/>
      <c r="L812" s="200"/>
      <c r="M812" s="200"/>
      <c r="N812" s="200"/>
      <c r="O812" s="200"/>
      <c r="P812" s="200"/>
      <c r="Q812" s="200"/>
      <c r="R812" s="200"/>
      <c r="S812" s="200"/>
      <c r="T812" s="200"/>
      <c r="U812" s="200"/>
      <c r="V812" s="200"/>
      <c r="W812" s="200"/>
      <c r="X812" s="200"/>
      <c r="Y812" s="200"/>
      <c r="Z812" s="200"/>
    </row>
    <row r="813" ht="22.5" customHeight="1">
      <c r="A813" s="145"/>
      <c r="B813" s="154"/>
      <c r="C813" s="138"/>
      <c r="D813" s="138"/>
      <c r="E813" s="138"/>
      <c r="F813" s="138"/>
      <c r="G813" s="119"/>
      <c r="H813" s="200"/>
      <c r="I813" s="200"/>
      <c r="J813" s="200"/>
      <c r="K813" s="200"/>
      <c r="L813" s="200"/>
      <c r="M813" s="200"/>
      <c r="N813" s="200"/>
      <c r="O813" s="200"/>
      <c r="P813" s="200"/>
      <c r="Q813" s="200"/>
      <c r="R813" s="200"/>
      <c r="S813" s="200"/>
      <c r="T813" s="200"/>
      <c r="U813" s="200"/>
      <c r="V813" s="200"/>
      <c r="W813" s="200"/>
      <c r="X813" s="200"/>
      <c r="Y813" s="200"/>
      <c r="Z813" s="200"/>
    </row>
    <row r="814" ht="22.5" customHeight="1">
      <c r="A814" s="145"/>
      <c r="B814" s="154"/>
      <c r="C814" s="138"/>
      <c r="D814" s="138"/>
      <c r="E814" s="138"/>
      <c r="F814" s="138"/>
      <c r="G814" s="119"/>
      <c r="H814" s="200"/>
      <c r="I814" s="200"/>
      <c r="J814" s="200"/>
      <c r="K814" s="200"/>
      <c r="L814" s="200"/>
      <c r="M814" s="200"/>
      <c r="N814" s="200"/>
      <c r="O814" s="200"/>
      <c r="P814" s="200"/>
      <c r="Q814" s="200"/>
      <c r="R814" s="200"/>
      <c r="S814" s="200"/>
      <c r="T814" s="200"/>
      <c r="U814" s="200"/>
      <c r="V814" s="200"/>
      <c r="W814" s="200"/>
      <c r="X814" s="200"/>
      <c r="Y814" s="200"/>
      <c r="Z814" s="200"/>
    </row>
    <row r="815" ht="22.5" customHeight="1">
      <c r="A815" s="145"/>
      <c r="B815" s="154"/>
      <c r="C815" s="138"/>
      <c r="D815" s="138"/>
      <c r="E815" s="138"/>
      <c r="F815" s="138"/>
      <c r="G815" s="119"/>
      <c r="H815" s="200"/>
      <c r="I815" s="200"/>
      <c r="J815" s="200"/>
      <c r="K815" s="200"/>
      <c r="L815" s="200"/>
      <c r="M815" s="200"/>
      <c r="N815" s="200"/>
      <c r="O815" s="200"/>
      <c r="P815" s="200"/>
      <c r="Q815" s="200"/>
      <c r="R815" s="200"/>
      <c r="S815" s="200"/>
      <c r="T815" s="200"/>
      <c r="U815" s="200"/>
      <c r="V815" s="200"/>
      <c r="W815" s="200"/>
      <c r="X815" s="200"/>
      <c r="Y815" s="200"/>
      <c r="Z815" s="200"/>
    </row>
    <row r="816" ht="22.5" customHeight="1">
      <c r="A816" s="145"/>
      <c r="B816" s="154"/>
      <c r="C816" s="138"/>
      <c r="D816" s="138"/>
      <c r="E816" s="138"/>
      <c r="F816" s="138"/>
      <c r="G816" s="119"/>
      <c r="H816" s="200"/>
      <c r="I816" s="200"/>
      <c r="J816" s="200"/>
      <c r="K816" s="200"/>
      <c r="L816" s="200"/>
      <c r="M816" s="200"/>
      <c r="N816" s="200"/>
      <c r="O816" s="200"/>
      <c r="P816" s="200"/>
      <c r="Q816" s="200"/>
      <c r="R816" s="200"/>
      <c r="S816" s="200"/>
      <c r="T816" s="200"/>
      <c r="U816" s="200"/>
      <c r="V816" s="200"/>
      <c r="W816" s="200"/>
      <c r="X816" s="200"/>
      <c r="Y816" s="200"/>
      <c r="Z816" s="200"/>
    </row>
    <row r="817" ht="22.5" customHeight="1">
      <c r="A817" s="145"/>
      <c r="B817" s="154"/>
      <c r="C817" s="138"/>
      <c r="D817" s="138"/>
      <c r="E817" s="138"/>
      <c r="F817" s="138"/>
      <c r="G817" s="119"/>
      <c r="H817" s="200"/>
      <c r="I817" s="200"/>
      <c r="J817" s="200"/>
      <c r="K817" s="200"/>
      <c r="L817" s="200"/>
      <c r="M817" s="200"/>
      <c r="N817" s="200"/>
      <c r="O817" s="200"/>
      <c r="P817" s="200"/>
      <c r="Q817" s="200"/>
      <c r="R817" s="200"/>
      <c r="S817" s="200"/>
      <c r="T817" s="200"/>
      <c r="U817" s="200"/>
      <c r="V817" s="200"/>
      <c r="W817" s="200"/>
      <c r="X817" s="200"/>
      <c r="Y817" s="200"/>
      <c r="Z817" s="200"/>
    </row>
    <row r="818" ht="22.5" customHeight="1">
      <c r="A818" s="145"/>
      <c r="B818" s="154"/>
      <c r="C818" s="138"/>
      <c r="D818" s="138"/>
      <c r="E818" s="138"/>
      <c r="F818" s="138"/>
      <c r="G818" s="119"/>
      <c r="H818" s="200"/>
      <c r="I818" s="200"/>
      <c r="J818" s="200"/>
      <c r="K818" s="200"/>
      <c r="L818" s="200"/>
      <c r="M818" s="200"/>
      <c r="N818" s="200"/>
      <c r="O818" s="200"/>
      <c r="P818" s="200"/>
      <c r="Q818" s="200"/>
      <c r="R818" s="200"/>
      <c r="S818" s="200"/>
      <c r="T818" s="200"/>
      <c r="U818" s="200"/>
      <c r="V818" s="200"/>
      <c r="W818" s="200"/>
      <c r="X818" s="200"/>
      <c r="Y818" s="200"/>
      <c r="Z818" s="200"/>
    </row>
    <row r="819" ht="22.5" customHeight="1">
      <c r="A819" s="145"/>
      <c r="B819" s="154"/>
      <c r="C819" s="138"/>
      <c r="D819" s="138"/>
      <c r="E819" s="138"/>
      <c r="F819" s="138"/>
      <c r="G819" s="119"/>
      <c r="H819" s="200"/>
      <c r="I819" s="200"/>
      <c r="J819" s="200"/>
      <c r="K819" s="200"/>
      <c r="L819" s="200"/>
      <c r="M819" s="200"/>
      <c r="N819" s="200"/>
      <c r="O819" s="200"/>
      <c r="P819" s="200"/>
      <c r="Q819" s="200"/>
      <c r="R819" s="200"/>
      <c r="S819" s="200"/>
      <c r="T819" s="200"/>
      <c r="U819" s="200"/>
      <c r="V819" s="200"/>
      <c r="W819" s="200"/>
      <c r="X819" s="200"/>
      <c r="Y819" s="200"/>
      <c r="Z819" s="200"/>
    </row>
    <row r="820" ht="22.5" customHeight="1">
      <c r="A820" s="145"/>
      <c r="B820" s="154"/>
      <c r="C820" s="138"/>
      <c r="D820" s="138"/>
      <c r="E820" s="138"/>
      <c r="F820" s="138"/>
      <c r="G820" s="119"/>
      <c r="H820" s="200"/>
      <c r="I820" s="200"/>
      <c r="J820" s="200"/>
      <c r="K820" s="200"/>
      <c r="L820" s="200"/>
      <c r="M820" s="200"/>
      <c r="N820" s="200"/>
      <c r="O820" s="200"/>
      <c r="P820" s="200"/>
      <c r="Q820" s="200"/>
      <c r="R820" s="200"/>
      <c r="S820" s="200"/>
      <c r="T820" s="200"/>
      <c r="U820" s="200"/>
      <c r="V820" s="200"/>
      <c r="W820" s="200"/>
      <c r="X820" s="200"/>
      <c r="Y820" s="200"/>
      <c r="Z820" s="200"/>
    </row>
    <row r="821" ht="22.5" customHeight="1">
      <c r="A821" s="145"/>
      <c r="B821" s="154"/>
      <c r="C821" s="138"/>
      <c r="D821" s="138"/>
      <c r="E821" s="138"/>
      <c r="F821" s="138"/>
      <c r="G821" s="119"/>
      <c r="H821" s="200"/>
      <c r="I821" s="200"/>
      <c r="J821" s="200"/>
      <c r="K821" s="200"/>
      <c r="L821" s="200"/>
      <c r="M821" s="200"/>
      <c r="N821" s="200"/>
      <c r="O821" s="200"/>
      <c r="P821" s="200"/>
      <c r="Q821" s="200"/>
      <c r="R821" s="200"/>
      <c r="S821" s="200"/>
      <c r="T821" s="200"/>
      <c r="U821" s="200"/>
      <c r="V821" s="200"/>
      <c r="W821" s="200"/>
      <c r="X821" s="200"/>
      <c r="Y821" s="200"/>
      <c r="Z821" s="200"/>
    </row>
    <row r="822" ht="22.5" customHeight="1">
      <c r="A822" s="145"/>
      <c r="B822" s="154"/>
      <c r="C822" s="138"/>
      <c r="D822" s="138"/>
      <c r="E822" s="138"/>
      <c r="F822" s="138"/>
      <c r="G822" s="119"/>
      <c r="H822" s="200"/>
      <c r="I822" s="200"/>
      <c r="J822" s="200"/>
      <c r="K822" s="200"/>
      <c r="L822" s="200"/>
      <c r="M822" s="200"/>
      <c r="N822" s="200"/>
      <c r="O822" s="200"/>
      <c r="P822" s="200"/>
      <c r="Q822" s="200"/>
      <c r="R822" s="200"/>
      <c r="S822" s="200"/>
      <c r="T822" s="200"/>
      <c r="U822" s="200"/>
      <c r="V822" s="200"/>
      <c r="W822" s="200"/>
      <c r="X822" s="200"/>
      <c r="Y822" s="200"/>
      <c r="Z822" s="200"/>
    </row>
    <row r="823" ht="22.5" customHeight="1">
      <c r="A823" s="145"/>
      <c r="B823" s="154"/>
      <c r="C823" s="138"/>
      <c r="D823" s="138"/>
      <c r="E823" s="138"/>
      <c r="F823" s="138"/>
      <c r="G823" s="119"/>
      <c r="H823" s="200"/>
      <c r="I823" s="200"/>
      <c r="J823" s="200"/>
      <c r="K823" s="200"/>
      <c r="L823" s="200"/>
      <c r="M823" s="200"/>
      <c r="N823" s="200"/>
      <c r="O823" s="200"/>
      <c r="P823" s="200"/>
      <c r="Q823" s="200"/>
      <c r="R823" s="200"/>
      <c r="S823" s="200"/>
      <c r="T823" s="200"/>
      <c r="U823" s="200"/>
      <c r="V823" s="200"/>
      <c r="W823" s="200"/>
      <c r="X823" s="200"/>
      <c r="Y823" s="200"/>
      <c r="Z823" s="200"/>
    </row>
    <row r="824" ht="22.5" customHeight="1">
      <c r="A824" s="145"/>
      <c r="B824" s="154"/>
      <c r="C824" s="138"/>
      <c r="D824" s="138"/>
      <c r="E824" s="138"/>
      <c r="F824" s="138"/>
      <c r="G824" s="119"/>
      <c r="H824" s="200"/>
      <c r="I824" s="200"/>
      <c r="J824" s="200"/>
      <c r="K824" s="200"/>
      <c r="L824" s="200"/>
      <c r="M824" s="200"/>
      <c r="N824" s="200"/>
      <c r="O824" s="200"/>
      <c r="P824" s="200"/>
      <c r="Q824" s="200"/>
      <c r="R824" s="200"/>
      <c r="S824" s="200"/>
      <c r="T824" s="200"/>
      <c r="U824" s="200"/>
      <c r="V824" s="200"/>
      <c r="W824" s="200"/>
      <c r="X824" s="200"/>
      <c r="Y824" s="200"/>
      <c r="Z824" s="200"/>
    </row>
    <row r="825" ht="22.5" customHeight="1">
      <c r="A825" s="145"/>
      <c r="B825" s="154"/>
      <c r="C825" s="138"/>
      <c r="D825" s="138"/>
      <c r="E825" s="138"/>
      <c r="F825" s="138"/>
      <c r="G825" s="119"/>
      <c r="H825" s="200"/>
      <c r="I825" s="200"/>
      <c r="J825" s="200"/>
      <c r="K825" s="200"/>
      <c r="L825" s="200"/>
      <c r="M825" s="200"/>
      <c r="N825" s="200"/>
      <c r="O825" s="200"/>
      <c r="P825" s="200"/>
      <c r="Q825" s="200"/>
      <c r="R825" s="200"/>
      <c r="S825" s="200"/>
      <c r="T825" s="200"/>
      <c r="U825" s="200"/>
      <c r="V825" s="200"/>
      <c r="W825" s="200"/>
      <c r="X825" s="200"/>
      <c r="Y825" s="200"/>
      <c r="Z825" s="200"/>
    </row>
    <row r="826" ht="22.5" customHeight="1">
      <c r="A826" s="145"/>
      <c r="B826" s="154"/>
      <c r="C826" s="138"/>
      <c r="D826" s="138"/>
      <c r="E826" s="138"/>
      <c r="F826" s="138"/>
      <c r="G826" s="119"/>
      <c r="H826" s="200"/>
      <c r="I826" s="200"/>
      <c r="J826" s="200"/>
      <c r="K826" s="200"/>
      <c r="L826" s="200"/>
      <c r="M826" s="200"/>
      <c r="N826" s="200"/>
      <c r="O826" s="200"/>
      <c r="P826" s="200"/>
      <c r="Q826" s="200"/>
      <c r="R826" s="200"/>
      <c r="S826" s="200"/>
      <c r="T826" s="200"/>
      <c r="U826" s="200"/>
      <c r="V826" s="200"/>
      <c r="W826" s="200"/>
      <c r="X826" s="200"/>
      <c r="Y826" s="200"/>
      <c r="Z826" s="200"/>
    </row>
    <row r="827" ht="22.5" customHeight="1">
      <c r="A827" s="145"/>
      <c r="B827" s="154"/>
      <c r="C827" s="138"/>
      <c r="D827" s="138"/>
      <c r="E827" s="138"/>
      <c r="F827" s="138"/>
      <c r="G827" s="119"/>
      <c r="H827" s="200"/>
      <c r="I827" s="200"/>
      <c r="J827" s="200"/>
      <c r="K827" s="200"/>
      <c r="L827" s="200"/>
      <c r="M827" s="200"/>
      <c r="N827" s="200"/>
      <c r="O827" s="200"/>
      <c r="P827" s="200"/>
      <c r="Q827" s="200"/>
      <c r="R827" s="200"/>
      <c r="S827" s="200"/>
      <c r="T827" s="200"/>
      <c r="U827" s="200"/>
      <c r="V827" s="200"/>
      <c r="W827" s="200"/>
      <c r="X827" s="200"/>
      <c r="Y827" s="200"/>
      <c r="Z827" s="200"/>
    </row>
    <row r="828" ht="22.5" customHeight="1">
      <c r="A828" s="145"/>
      <c r="B828" s="154"/>
      <c r="C828" s="138"/>
      <c r="D828" s="138"/>
      <c r="E828" s="138"/>
      <c r="F828" s="138"/>
      <c r="G828" s="119"/>
      <c r="H828" s="200"/>
      <c r="I828" s="200"/>
      <c r="J828" s="200"/>
      <c r="K828" s="200"/>
      <c r="L828" s="200"/>
      <c r="M828" s="200"/>
      <c r="N828" s="200"/>
      <c r="O828" s="200"/>
      <c r="P828" s="200"/>
      <c r="Q828" s="200"/>
      <c r="R828" s="200"/>
      <c r="S828" s="200"/>
      <c r="T828" s="200"/>
      <c r="U828" s="200"/>
      <c r="V828" s="200"/>
      <c r="W828" s="200"/>
      <c r="X828" s="200"/>
      <c r="Y828" s="200"/>
      <c r="Z828" s="200"/>
    </row>
    <row r="829" ht="22.5" customHeight="1">
      <c r="A829" s="145"/>
      <c r="B829" s="154"/>
      <c r="C829" s="138"/>
      <c r="D829" s="138"/>
      <c r="E829" s="138"/>
      <c r="F829" s="138"/>
      <c r="G829" s="119"/>
      <c r="H829" s="200"/>
      <c r="I829" s="200"/>
      <c r="J829" s="200"/>
      <c r="K829" s="200"/>
      <c r="L829" s="200"/>
      <c r="M829" s="200"/>
      <c r="N829" s="200"/>
      <c r="O829" s="200"/>
      <c r="P829" s="200"/>
      <c r="Q829" s="200"/>
      <c r="R829" s="200"/>
      <c r="S829" s="200"/>
      <c r="T829" s="200"/>
      <c r="U829" s="200"/>
      <c r="V829" s="200"/>
      <c r="W829" s="200"/>
      <c r="X829" s="200"/>
      <c r="Y829" s="200"/>
      <c r="Z829" s="200"/>
    </row>
    <row r="830" ht="22.5" customHeight="1">
      <c r="A830" s="145"/>
      <c r="B830" s="154"/>
      <c r="C830" s="138"/>
      <c r="D830" s="138"/>
      <c r="E830" s="138"/>
      <c r="F830" s="138"/>
      <c r="G830" s="119"/>
      <c r="H830" s="200"/>
      <c r="I830" s="200"/>
      <c r="J830" s="200"/>
      <c r="K830" s="200"/>
      <c r="L830" s="200"/>
      <c r="M830" s="200"/>
      <c r="N830" s="200"/>
      <c r="O830" s="200"/>
      <c r="P830" s="200"/>
      <c r="Q830" s="200"/>
      <c r="R830" s="200"/>
      <c r="S830" s="200"/>
      <c r="T830" s="200"/>
      <c r="U830" s="200"/>
      <c r="V830" s="200"/>
      <c r="W830" s="200"/>
      <c r="X830" s="200"/>
      <c r="Y830" s="200"/>
      <c r="Z830" s="200"/>
    </row>
    <row r="831" ht="22.5" customHeight="1">
      <c r="A831" s="145"/>
      <c r="B831" s="154"/>
      <c r="C831" s="138"/>
      <c r="D831" s="138"/>
      <c r="E831" s="138"/>
      <c r="F831" s="138"/>
      <c r="G831" s="119"/>
      <c r="H831" s="200"/>
      <c r="I831" s="200"/>
      <c r="J831" s="200"/>
      <c r="K831" s="200"/>
      <c r="L831" s="200"/>
      <c r="M831" s="200"/>
      <c r="N831" s="200"/>
      <c r="O831" s="200"/>
      <c r="P831" s="200"/>
      <c r="Q831" s="200"/>
      <c r="R831" s="200"/>
      <c r="S831" s="200"/>
      <c r="T831" s="200"/>
      <c r="U831" s="200"/>
      <c r="V831" s="200"/>
      <c r="W831" s="200"/>
      <c r="X831" s="200"/>
      <c r="Y831" s="200"/>
      <c r="Z831" s="200"/>
    </row>
    <row r="832" ht="22.5" customHeight="1">
      <c r="A832" s="145"/>
      <c r="B832" s="154"/>
      <c r="C832" s="138"/>
      <c r="D832" s="138"/>
      <c r="E832" s="138"/>
      <c r="F832" s="138"/>
      <c r="G832" s="119"/>
      <c r="H832" s="200"/>
      <c r="I832" s="200"/>
      <c r="J832" s="200"/>
      <c r="K832" s="200"/>
      <c r="L832" s="200"/>
      <c r="M832" s="200"/>
      <c r="N832" s="200"/>
      <c r="O832" s="200"/>
      <c r="P832" s="200"/>
      <c r="Q832" s="200"/>
      <c r="R832" s="200"/>
      <c r="S832" s="200"/>
      <c r="T832" s="200"/>
      <c r="U832" s="200"/>
      <c r="V832" s="200"/>
      <c r="W832" s="200"/>
      <c r="X832" s="200"/>
      <c r="Y832" s="200"/>
      <c r="Z832" s="200"/>
    </row>
    <row r="833" ht="22.5" customHeight="1">
      <c r="A833" s="145"/>
      <c r="B833" s="154"/>
      <c r="C833" s="138"/>
      <c r="D833" s="138"/>
      <c r="E833" s="138"/>
      <c r="F833" s="138"/>
      <c r="G833" s="119"/>
      <c r="H833" s="200"/>
      <c r="I833" s="200"/>
      <c r="J833" s="200"/>
      <c r="K833" s="200"/>
      <c r="L833" s="200"/>
      <c r="M833" s="200"/>
      <c r="N833" s="200"/>
      <c r="O833" s="200"/>
      <c r="P833" s="200"/>
      <c r="Q833" s="200"/>
      <c r="R833" s="200"/>
      <c r="S833" s="200"/>
      <c r="T833" s="200"/>
      <c r="U833" s="200"/>
      <c r="V833" s="200"/>
      <c r="W833" s="200"/>
      <c r="X833" s="200"/>
      <c r="Y833" s="200"/>
      <c r="Z833" s="200"/>
    </row>
    <row r="834" ht="22.5" customHeight="1">
      <c r="A834" s="145"/>
      <c r="B834" s="154"/>
      <c r="C834" s="138"/>
      <c r="D834" s="138"/>
      <c r="E834" s="138"/>
      <c r="F834" s="138"/>
      <c r="G834" s="119"/>
      <c r="H834" s="200"/>
      <c r="I834" s="200"/>
      <c r="J834" s="200"/>
      <c r="K834" s="200"/>
      <c r="L834" s="200"/>
      <c r="M834" s="200"/>
      <c r="N834" s="200"/>
      <c r="O834" s="200"/>
      <c r="P834" s="200"/>
      <c r="Q834" s="200"/>
      <c r="R834" s="200"/>
      <c r="S834" s="200"/>
      <c r="T834" s="200"/>
      <c r="U834" s="200"/>
      <c r="V834" s="200"/>
      <c r="W834" s="200"/>
      <c r="X834" s="200"/>
      <c r="Y834" s="200"/>
      <c r="Z834" s="200"/>
    </row>
    <row r="835" ht="22.5" customHeight="1">
      <c r="A835" s="145"/>
      <c r="B835" s="154"/>
      <c r="C835" s="138"/>
      <c r="D835" s="138"/>
      <c r="E835" s="138"/>
      <c r="F835" s="138"/>
      <c r="G835" s="119"/>
      <c r="H835" s="200"/>
      <c r="I835" s="200"/>
      <c r="J835" s="200"/>
      <c r="K835" s="200"/>
      <c r="L835" s="200"/>
      <c r="M835" s="200"/>
      <c r="N835" s="200"/>
      <c r="O835" s="200"/>
      <c r="P835" s="200"/>
      <c r="Q835" s="200"/>
      <c r="R835" s="200"/>
      <c r="S835" s="200"/>
      <c r="T835" s="200"/>
      <c r="U835" s="200"/>
      <c r="V835" s="200"/>
      <c r="W835" s="200"/>
      <c r="X835" s="200"/>
      <c r="Y835" s="200"/>
      <c r="Z835" s="200"/>
    </row>
    <row r="836" ht="22.5" customHeight="1">
      <c r="A836" s="145"/>
      <c r="B836" s="154"/>
      <c r="C836" s="138"/>
      <c r="D836" s="138"/>
      <c r="E836" s="138"/>
      <c r="F836" s="138"/>
      <c r="G836" s="119"/>
      <c r="H836" s="200"/>
      <c r="I836" s="200"/>
      <c r="J836" s="200"/>
      <c r="K836" s="200"/>
      <c r="L836" s="200"/>
      <c r="M836" s="200"/>
      <c r="N836" s="200"/>
      <c r="O836" s="200"/>
      <c r="P836" s="200"/>
      <c r="Q836" s="200"/>
      <c r="R836" s="200"/>
      <c r="S836" s="200"/>
      <c r="T836" s="200"/>
      <c r="U836" s="200"/>
      <c r="V836" s="200"/>
      <c r="W836" s="200"/>
      <c r="X836" s="200"/>
      <c r="Y836" s="200"/>
      <c r="Z836" s="200"/>
    </row>
    <row r="837" ht="22.5" customHeight="1">
      <c r="A837" s="145"/>
      <c r="B837" s="154"/>
      <c r="C837" s="138"/>
      <c r="D837" s="138"/>
      <c r="E837" s="138"/>
      <c r="F837" s="138"/>
      <c r="G837" s="119"/>
      <c r="H837" s="200"/>
      <c r="I837" s="200"/>
      <c r="J837" s="200"/>
      <c r="K837" s="200"/>
      <c r="L837" s="200"/>
      <c r="M837" s="200"/>
      <c r="N837" s="200"/>
      <c r="O837" s="200"/>
      <c r="P837" s="200"/>
      <c r="Q837" s="200"/>
      <c r="R837" s="200"/>
      <c r="S837" s="200"/>
      <c r="T837" s="200"/>
      <c r="U837" s="200"/>
      <c r="V837" s="200"/>
      <c r="W837" s="200"/>
      <c r="X837" s="200"/>
      <c r="Y837" s="200"/>
      <c r="Z837" s="200"/>
    </row>
    <row r="838" ht="22.5" customHeight="1">
      <c r="A838" s="145"/>
      <c r="B838" s="154"/>
      <c r="C838" s="138"/>
      <c r="D838" s="138"/>
      <c r="E838" s="138"/>
      <c r="F838" s="138"/>
      <c r="G838" s="119"/>
      <c r="H838" s="200"/>
      <c r="I838" s="200"/>
      <c r="J838" s="200"/>
      <c r="K838" s="200"/>
      <c r="L838" s="200"/>
      <c r="M838" s="200"/>
      <c r="N838" s="200"/>
      <c r="O838" s="200"/>
      <c r="P838" s="200"/>
      <c r="Q838" s="200"/>
      <c r="R838" s="200"/>
      <c r="S838" s="200"/>
      <c r="T838" s="200"/>
      <c r="U838" s="200"/>
      <c r="V838" s="200"/>
      <c r="W838" s="200"/>
      <c r="X838" s="200"/>
      <c r="Y838" s="200"/>
      <c r="Z838" s="200"/>
    </row>
    <row r="839" ht="22.5" customHeight="1">
      <c r="A839" s="145"/>
      <c r="B839" s="154"/>
      <c r="C839" s="138"/>
      <c r="D839" s="138"/>
      <c r="E839" s="138"/>
      <c r="F839" s="138"/>
      <c r="G839" s="119"/>
      <c r="H839" s="200"/>
      <c r="I839" s="200"/>
      <c r="J839" s="200"/>
      <c r="K839" s="200"/>
      <c r="L839" s="200"/>
      <c r="M839" s="200"/>
      <c r="N839" s="200"/>
      <c r="O839" s="200"/>
      <c r="P839" s="200"/>
      <c r="Q839" s="200"/>
      <c r="R839" s="200"/>
      <c r="S839" s="200"/>
      <c r="T839" s="200"/>
      <c r="U839" s="200"/>
      <c r="V839" s="200"/>
      <c r="W839" s="200"/>
      <c r="X839" s="200"/>
      <c r="Y839" s="200"/>
      <c r="Z839" s="200"/>
    </row>
    <row r="840" ht="22.5" customHeight="1">
      <c r="A840" s="145"/>
      <c r="B840" s="154"/>
      <c r="C840" s="138"/>
      <c r="D840" s="138"/>
      <c r="E840" s="138"/>
      <c r="F840" s="138"/>
      <c r="G840" s="119"/>
      <c r="H840" s="200"/>
      <c r="I840" s="200"/>
      <c r="J840" s="200"/>
      <c r="K840" s="200"/>
      <c r="L840" s="200"/>
      <c r="M840" s="200"/>
      <c r="N840" s="200"/>
      <c r="O840" s="200"/>
      <c r="P840" s="200"/>
      <c r="Q840" s="200"/>
      <c r="R840" s="200"/>
      <c r="S840" s="200"/>
      <c r="T840" s="200"/>
      <c r="U840" s="200"/>
      <c r="V840" s="200"/>
      <c r="W840" s="200"/>
      <c r="X840" s="200"/>
      <c r="Y840" s="200"/>
      <c r="Z840" s="200"/>
    </row>
    <row r="841" ht="22.5" customHeight="1">
      <c r="A841" s="145"/>
      <c r="B841" s="154"/>
      <c r="C841" s="138"/>
      <c r="D841" s="138"/>
      <c r="E841" s="138"/>
      <c r="F841" s="138"/>
      <c r="G841" s="119"/>
      <c r="H841" s="200"/>
      <c r="I841" s="200"/>
      <c r="J841" s="200"/>
      <c r="K841" s="200"/>
      <c r="L841" s="200"/>
      <c r="M841" s="200"/>
      <c r="N841" s="200"/>
      <c r="O841" s="200"/>
      <c r="P841" s="200"/>
      <c r="Q841" s="200"/>
      <c r="R841" s="200"/>
      <c r="S841" s="200"/>
      <c r="T841" s="200"/>
      <c r="U841" s="200"/>
      <c r="V841" s="200"/>
      <c r="W841" s="200"/>
      <c r="X841" s="200"/>
      <c r="Y841" s="200"/>
      <c r="Z841" s="200"/>
    </row>
    <row r="842" ht="22.5" customHeight="1">
      <c r="A842" s="145"/>
      <c r="B842" s="154"/>
      <c r="C842" s="138"/>
      <c r="D842" s="138"/>
      <c r="E842" s="138"/>
      <c r="F842" s="138"/>
      <c r="G842" s="119"/>
      <c r="H842" s="200"/>
      <c r="I842" s="200"/>
      <c r="J842" s="200"/>
      <c r="K842" s="200"/>
      <c r="L842" s="200"/>
      <c r="M842" s="200"/>
      <c r="N842" s="200"/>
      <c r="O842" s="200"/>
      <c r="P842" s="200"/>
      <c r="Q842" s="200"/>
      <c r="R842" s="200"/>
      <c r="S842" s="200"/>
      <c r="T842" s="200"/>
      <c r="U842" s="200"/>
      <c r="V842" s="200"/>
      <c r="W842" s="200"/>
      <c r="X842" s="200"/>
      <c r="Y842" s="200"/>
      <c r="Z842" s="200"/>
    </row>
    <row r="843" ht="22.5" customHeight="1">
      <c r="A843" s="145"/>
      <c r="B843" s="154"/>
      <c r="C843" s="138"/>
      <c r="D843" s="138"/>
      <c r="E843" s="138"/>
      <c r="F843" s="138"/>
      <c r="G843" s="119"/>
      <c r="H843" s="200"/>
      <c r="I843" s="200"/>
      <c r="J843" s="200"/>
      <c r="K843" s="200"/>
      <c r="L843" s="200"/>
      <c r="M843" s="200"/>
      <c r="N843" s="200"/>
      <c r="O843" s="200"/>
      <c r="P843" s="200"/>
      <c r="Q843" s="200"/>
      <c r="R843" s="200"/>
      <c r="S843" s="200"/>
      <c r="T843" s="200"/>
      <c r="U843" s="200"/>
      <c r="V843" s="200"/>
      <c r="W843" s="200"/>
      <c r="X843" s="200"/>
      <c r="Y843" s="200"/>
      <c r="Z843" s="200"/>
    </row>
    <row r="844" ht="22.5" customHeight="1">
      <c r="A844" s="145"/>
      <c r="B844" s="154"/>
      <c r="C844" s="138"/>
      <c r="D844" s="138"/>
      <c r="E844" s="138"/>
      <c r="F844" s="138"/>
      <c r="G844" s="119"/>
      <c r="H844" s="200"/>
      <c r="I844" s="200"/>
      <c r="J844" s="200"/>
      <c r="K844" s="200"/>
      <c r="L844" s="200"/>
      <c r="M844" s="200"/>
      <c r="N844" s="200"/>
      <c r="O844" s="200"/>
      <c r="P844" s="200"/>
      <c r="Q844" s="200"/>
      <c r="R844" s="200"/>
      <c r="S844" s="200"/>
      <c r="T844" s="200"/>
      <c r="U844" s="200"/>
      <c r="V844" s="200"/>
      <c r="W844" s="200"/>
      <c r="X844" s="200"/>
      <c r="Y844" s="200"/>
      <c r="Z844" s="200"/>
    </row>
    <row r="845" ht="22.5" customHeight="1">
      <c r="A845" s="145"/>
      <c r="B845" s="154"/>
      <c r="C845" s="138"/>
      <c r="D845" s="138"/>
      <c r="E845" s="138"/>
      <c r="F845" s="138"/>
      <c r="G845" s="119"/>
      <c r="H845" s="200"/>
      <c r="I845" s="200"/>
      <c r="J845" s="200"/>
      <c r="K845" s="200"/>
      <c r="L845" s="200"/>
      <c r="M845" s="200"/>
      <c r="N845" s="200"/>
      <c r="O845" s="200"/>
      <c r="P845" s="200"/>
      <c r="Q845" s="200"/>
      <c r="R845" s="200"/>
      <c r="S845" s="200"/>
      <c r="T845" s="200"/>
      <c r="U845" s="200"/>
      <c r="V845" s="200"/>
      <c r="W845" s="200"/>
      <c r="X845" s="200"/>
      <c r="Y845" s="200"/>
      <c r="Z845" s="200"/>
    </row>
    <row r="846" ht="22.5" customHeight="1">
      <c r="A846" s="145"/>
      <c r="B846" s="154"/>
      <c r="C846" s="138"/>
      <c r="D846" s="138"/>
      <c r="E846" s="138"/>
      <c r="F846" s="138"/>
      <c r="G846" s="119"/>
      <c r="H846" s="200"/>
      <c r="I846" s="200"/>
      <c r="J846" s="200"/>
      <c r="K846" s="200"/>
      <c r="L846" s="200"/>
      <c r="M846" s="200"/>
      <c r="N846" s="200"/>
      <c r="O846" s="200"/>
      <c r="P846" s="200"/>
      <c r="Q846" s="200"/>
      <c r="R846" s="200"/>
      <c r="S846" s="200"/>
      <c r="T846" s="200"/>
      <c r="U846" s="200"/>
      <c r="V846" s="200"/>
      <c r="W846" s="200"/>
      <c r="X846" s="200"/>
      <c r="Y846" s="200"/>
      <c r="Z846" s="200"/>
    </row>
    <row r="847" ht="22.5" customHeight="1">
      <c r="A847" s="145"/>
      <c r="B847" s="154"/>
      <c r="C847" s="138"/>
      <c r="D847" s="138"/>
      <c r="E847" s="138"/>
      <c r="F847" s="138"/>
      <c r="G847" s="119"/>
      <c r="H847" s="200"/>
      <c r="I847" s="200"/>
      <c r="J847" s="200"/>
      <c r="K847" s="200"/>
      <c r="L847" s="200"/>
      <c r="M847" s="200"/>
      <c r="N847" s="200"/>
      <c r="O847" s="200"/>
      <c r="P847" s="200"/>
      <c r="Q847" s="200"/>
      <c r="R847" s="200"/>
      <c r="S847" s="200"/>
      <c r="T847" s="200"/>
      <c r="U847" s="200"/>
      <c r="V847" s="200"/>
      <c r="W847" s="200"/>
      <c r="X847" s="200"/>
      <c r="Y847" s="200"/>
      <c r="Z847" s="200"/>
    </row>
    <row r="848" ht="22.5" customHeight="1">
      <c r="A848" s="145"/>
      <c r="B848" s="154"/>
      <c r="C848" s="138"/>
      <c r="D848" s="138"/>
      <c r="E848" s="138"/>
      <c r="F848" s="138"/>
      <c r="G848" s="119"/>
      <c r="H848" s="200"/>
      <c r="I848" s="200"/>
      <c r="J848" s="200"/>
      <c r="K848" s="200"/>
      <c r="L848" s="200"/>
      <c r="M848" s="200"/>
      <c r="N848" s="200"/>
      <c r="O848" s="200"/>
      <c r="P848" s="200"/>
      <c r="Q848" s="200"/>
      <c r="R848" s="200"/>
      <c r="S848" s="200"/>
      <c r="T848" s="200"/>
      <c r="U848" s="200"/>
      <c r="V848" s="200"/>
      <c r="W848" s="200"/>
      <c r="X848" s="200"/>
      <c r="Y848" s="200"/>
      <c r="Z848" s="200"/>
    </row>
    <row r="849" ht="22.5" customHeight="1">
      <c r="A849" s="145"/>
      <c r="B849" s="154"/>
      <c r="C849" s="138"/>
      <c r="D849" s="138"/>
      <c r="E849" s="138"/>
      <c r="F849" s="138"/>
      <c r="G849" s="119"/>
      <c r="H849" s="200"/>
      <c r="I849" s="200"/>
      <c r="J849" s="200"/>
      <c r="K849" s="200"/>
      <c r="L849" s="200"/>
      <c r="M849" s="200"/>
      <c r="N849" s="200"/>
      <c r="O849" s="200"/>
      <c r="P849" s="200"/>
      <c r="Q849" s="200"/>
      <c r="R849" s="200"/>
      <c r="S849" s="200"/>
      <c r="T849" s="200"/>
      <c r="U849" s="200"/>
      <c r="V849" s="200"/>
      <c r="W849" s="200"/>
      <c r="X849" s="200"/>
      <c r="Y849" s="200"/>
      <c r="Z849" s="200"/>
    </row>
    <row r="850" ht="22.5" customHeight="1">
      <c r="A850" s="145"/>
      <c r="B850" s="154"/>
      <c r="C850" s="138"/>
      <c r="D850" s="138"/>
      <c r="E850" s="138"/>
      <c r="F850" s="138"/>
      <c r="G850" s="119"/>
      <c r="H850" s="200"/>
      <c r="I850" s="200"/>
      <c r="J850" s="200"/>
      <c r="K850" s="200"/>
      <c r="L850" s="200"/>
      <c r="M850" s="200"/>
      <c r="N850" s="200"/>
      <c r="O850" s="200"/>
      <c r="P850" s="200"/>
      <c r="Q850" s="200"/>
      <c r="R850" s="200"/>
      <c r="S850" s="200"/>
      <c r="T850" s="200"/>
      <c r="U850" s="200"/>
      <c r="V850" s="200"/>
      <c r="W850" s="200"/>
      <c r="X850" s="200"/>
      <c r="Y850" s="200"/>
      <c r="Z850" s="200"/>
    </row>
    <row r="851" ht="22.5" customHeight="1">
      <c r="A851" s="145"/>
      <c r="B851" s="154"/>
      <c r="C851" s="138"/>
      <c r="D851" s="138"/>
      <c r="E851" s="138"/>
      <c r="F851" s="138"/>
      <c r="G851" s="119"/>
      <c r="H851" s="200"/>
      <c r="I851" s="200"/>
      <c r="J851" s="200"/>
      <c r="K851" s="200"/>
      <c r="L851" s="200"/>
      <c r="M851" s="200"/>
      <c r="N851" s="200"/>
      <c r="O851" s="200"/>
      <c r="P851" s="200"/>
      <c r="Q851" s="200"/>
      <c r="R851" s="200"/>
      <c r="S851" s="200"/>
      <c r="T851" s="200"/>
      <c r="U851" s="200"/>
      <c r="V851" s="200"/>
      <c r="W851" s="200"/>
      <c r="X851" s="200"/>
      <c r="Y851" s="200"/>
      <c r="Z851" s="200"/>
    </row>
    <row r="852" ht="22.5" customHeight="1">
      <c r="A852" s="145"/>
      <c r="B852" s="154"/>
      <c r="C852" s="138"/>
      <c r="D852" s="138"/>
      <c r="E852" s="138"/>
      <c r="F852" s="138"/>
      <c r="G852" s="119"/>
      <c r="H852" s="200"/>
      <c r="I852" s="200"/>
      <c r="J852" s="200"/>
      <c r="K852" s="200"/>
      <c r="L852" s="200"/>
      <c r="M852" s="200"/>
      <c r="N852" s="200"/>
      <c r="O852" s="200"/>
      <c r="P852" s="200"/>
      <c r="Q852" s="200"/>
      <c r="R852" s="200"/>
      <c r="S852" s="200"/>
      <c r="T852" s="200"/>
      <c r="U852" s="200"/>
      <c r="V852" s="200"/>
      <c r="W852" s="200"/>
      <c r="X852" s="200"/>
      <c r="Y852" s="200"/>
      <c r="Z852" s="200"/>
    </row>
    <row r="853" ht="22.5" customHeight="1">
      <c r="A853" s="145"/>
      <c r="B853" s="154"/>
      <c r="C853" s="138"/>
      <c r="D853" s="138"/>
      <c r="E853" s="138"/>
      <c r="F853" s="138"/>
      <c r="G853" s="119"/>
      <c r="H853" s="200"/>
      <c r="I853" s="200"/>
      <c r="J853" s="200"/>
      <c r="K853" s="200"/>
      <c r="L853" s="200"/>
      <c r="M853" s="200"/>
      <c r="N853" s="200"/>
      <c r="O853" s="200"/>
      <c r="P853" s="200"/>
      <c r="Q853" s="200"/>
      <c r="R853" s="200"/>
      <c r="S853" s="200"/>
      <c r="T853" s="200"/>
      <c r="U853" s="200"/>
      <c r="V853" s="200"/>
      <c r="W853" s="200"/>
      <c r="X853" s="200"/>
      <c r="Y853" s="200"/>
      <c r="Z853" s="200"/>
    </row>
    <row r="854" ht="22.5" customHeight="1">
      <c r="A854" s="145"/>
      <c r="B854" s="154"/>
      <c r="C854" s="138"/>
      <c r="D854" s="138"/>
      <c r="E854" s="138"/>
      <c r="F854" s="138"/>
      <c r="G854" s="119"/>
      <c r="H854" s="200"/>
      <c r="I854" s="200"/>
      <c r="J854" s="200"/>
      <c r="K854" s="200"/>
      <c r="L854" s="200"/>
      <c r="M854" s="200"/>
      <c r="N854" s="200"/>
      <c r="O854" s="200"/>
      <c r="P854" s="200"/>
      <c r="Q854" s="200"/>
      <c r="R854" s="200"/>
      <c r="S854" s="200"/>
      <c r="T854" s="200"/>
      <c r="U854" s="200"/>
      <c r="V854" s="200"/>
      <c r="W854" s="200"/>
      <c r="X854" s="200"/>
      <c r="Y854" s="200"/>
      <c r="Z854" s="200"/>
    </row>
    <row r="855" ht="22.5" customHeight="1">
      <c r="A855" s="145"/>
      <c r="B855" s="154"/>
      <c r="C855" s="138"/>
      <c r="D855" s="138"/>
      <c r="E855" s="138"/>
      <c r="F855" s="138"/>
      <c r="G855" s="119"/>
      <c r="H855" s="200"/>
      <c r="I855" s="200"/>
      <c r="J855" s="200"/>
      <c r="K855" s="200"/>
      <c r="L855" s="200"/>
      <c r="M855" s="200"/>
      <c r="N855" s="200"/>
      <c r="O855" s="200"/>
      <c r="P855" s="200"/>
      <c r="Q855" s="200"/>
      <c r="R855" s="200"/>
      <c r="S855" s="200"/>
      <c r="T855" s="200"/>
      <c r="U855" s="200"/>
      <c r="V855" s="200"/>
      <c r="W855" s="200"/>
      <c r="X855" s="200"/>
      <c r="Y855" s="200"/>
      <c r="Z855" s="200"/>
    </row>
    <row r="856" ht="22.5" customHeight="1">
      <c r="A856" s="145"/>
      <c r="B856" s="154"/>
      <c r="C856" s="138"/>
      <c r="D856" s="138"/>
      <c r="E856" s="138"/>
      <c r="F856" s="138"/>
      <c r="G856" s="119"/>
      <c r="H856" s="200"/>
      <c r="I856" s="200"/>
      <c r="J856" s="200"/>
      <c r="K856" s="200"/>
      <c r="L856" s="200"/>
      <c r="M856" s="200"/>
      <c r="N856" s="200"/>
      <c r="O856" s="200"/>
      <c r="P856" s="200"/>
      <c r="Q856" s="200"/>
      <c r="R856" s="200"/>
      <c r="S856" s="200"/>
      <c r="T856" s="200"/>
      <c r="U856" s="200"/>
      <c r="V856" s="200"/>
      <c r="W856" s="200"/>
      <c r="X856" s="200"/>
      <c r="Y856" s="200"/>
      <c r="Z856" s="200"/>
    </row>
    <row r="857" ht="22.5" customHeight="1">
      <c r="A857" s="145"/>
      <c r="B857" s="154"/>
      <c r="C857" s="138"/>
      <c r="D857" s="138"/>
      <c r="E857" s="138"/>
      <c r="F857" s="138"/>
      <c r="G857" s="119"/>
      <c r="H857" s="200"/>
      <c r="I857" s="200"/>
      <c r="J857" s="200"/>
      <c r="K857" s="200"/>
      <c r="L857" s="200"/>
      <c r="M857" s="200"/>
      <c r="N857" s="200"/>
      <c r="O857" s="200"/>
      <c r="P857" s="200"/>
      <c r="Q857" s="200"/>
      <c r="R857" s="200"/>
      <c r="S857" s="200"/>
      <c r="T857" s="200"/>
      <c r="U857" s="200"/>
      <c r="V857" s="200"/>
      <c r="W857" s="200"/>
      <c r="X857" s="200"/>
      <c r="Y857" s="200"/>
      <c r="Z857" s="200"/>
    </row>
    <row r="858" ht="22.5" customHeight="1">
      <c r="A858" s="145"/>
      <c r="B858" s="154"/>
      <c r="C858" s="138"/>
      <c r="D858" s="138"/>
      <c r="E858" s="138"/>
      <c r="F858" s="138"/>
      <c r="G858" s="119"/>
      <c r="H858" s="200"/>
      <c r="I858" s="200"/>
      <c r="J858" s="200"/>
      <c r="K858" s="200"/>
      <c r="L858" s="200"/>
      <c r="M858" s="200"/>
      <c r="N858" s="200"/>
      <c r="O858" s="200"/>
      <c r="P858" s="200"/>
      <c r="Q858" s="200"/>
      <c r="R858" s="200"/>
      <c r="S858" s="200"/>
      <c r="T858" s="200"/>
      <c r="U858" s="200"/>
      <c r="V858" s="200"/>
      <c r="W858" s="200"/>
      <c r="X858" s="200"/>
      <c r="Y858" s="200"/>
      <c r="Z858" s="200"/>
    </row>
    <row r="859" ht="22.5" customHeight="1">
      <c r="A859" s="145"/>
      <c r="B859" s="154"/>
      <c r="C859" s="138"/>
      <c r="D859" s="138"/>
      <c r="E859" s="138"/>
      <c r="F859" s="138"/>
      <c r="G859" s="119"/>
      <c r="H859" s="200"/>
      <c r="I859" s="200"/>
      <c r="J859" s="200"/>
      <c r="K859" s="200"/>
      <c r="L859" s="200"/>
      <c r="M859" s="200"/>
      <c r="N859" s="200"/>
      <c r="O859" s="200"/>
      <c r="P859" s="200"/>
      <c r="Q859" s="200"/>
      <c r="R859" s="200"/>
      <c r="S859" s="200"/>
      <c r="T859" s="200"/>
      <c r="U859" s="200"/>
      <c r="V859" s="200"/>
      <c r="W859" s="200"/>
      <c r="X859" s="200"/>
      <c r="Y859" s="200"/>
      <c r="Z859" s="200"/>
    </row>
    <row r="860" ht="22.5" customHeight="1">
      <c r="A860" s="145"/>
      <c r="B860" s="154"/>
      <c r="C860" s="138"/>
      <c r="D860" s="138"/>
      <c r="E860" s="138"/>
      <c r="F860" s="138"/>
      <c r="G860" s="119"/>
      <c r="H860" s="200"/>
      <c r="I860" s="200"/>
      <c r="J860" s="200"/>
      <c r="K860" s="200"/>
      <c r="L860" s="200"/>
      <c r="M860" s="200"/>
      <c r="N860" s="200"/>
      <c r="O860" s="200"/>
      <c r="P860" s="200"/>
      <c r="Q860" s="200"/>
      <c r="R860" s="200"/>
      <c r="S860" s="200"/>
      <c r="T860" s="200"/>
      <c r="U860" s="200"/>
      <c r="V860" s="200"/>
      <c r="W860" s="200"/>
      <c r="X860" s="200"/>
      <c r="Y860" s="200"/>
      <c r="Z860" s="200"/>
    </row>
    <row r="861" ht="22.5" customHeight="1">
      <c r="A861" s="145"/>
      <c r="B861" s="154"/>
      <c r="C861" s="138"/>
      <c r="D861" s="138"/>
      <c r="E861" s="138"/>
      <c r="F861" s="138"/>
      <c r="G861" s="119"/>
      <c r="H861" s="200"/>
      <c r="I861" s="200"/>
      <c r="J861" s="200"/>
      <c r="K861" s="200"/>
      <c r="L861" s="200"/>
      <c r="M861" s="200"/>
      <c r="N861" s="200"/>
      <c r="O861" s="200"/>
      <c r="P861" s="200"/>
      <c r="Q861" s="200"/>
      <c r="R861" s="200"/>
      <c r="S861" s="200"/>
      <c r="T861" s="200"/>
      <c r="U861" s="200"/>
      <c r="V861" s="200"/>
      <c r="W861" s="200"/>
      <c r="X861" s="200"/>
      <c r="Y861" s="200"/>
      <c r="Z861" s="200"/>
    </row>
    <row r="862" ht="22.5" customHeight="1">
      <c r="A862" s="145"/>
      <c r="B862" s="154"/>
      <c r="C862" s="138"/>
      <c r="D862" s="138"/>
      <c r="E862" s="138"/>
      <c r="F862" s="138"/>
      <c r="G862" s="119"/>
      <c r="H862" s="200"/>
      <c r="I862" s="200"/>
      <c r="J862" s="200"/>
      <c r="K862" s="200"/>
      <c r="L862" s="200"/>
      <c r="M862" s="200"/>
      <c r="N862" s="200"/>
      <c r="O862" s="200"/>
      <c r="P862" s="200"/>
      <c r="Q862" s="200"/>
      <c r="R862" s="200"/>
      <c r="S862" s="200"/>
      <c r="T862" s="200"/>
      <c r="U862" s="200"/>
      <c r="V862" s="200"/>
      <c r="W862" s="200"/>
      <c r="X862" s="200"/>
      <c r="Y862" s="200"/>
      <c r="Z862" s="200"/>
    </row>
    <row r="863" ht="22.5" customHeight="1">
      <c r="A863" s="145"/>
      <c r="B863" s="154"/>
      <c r="C863" s="138"/>
      <c r="D863" s="138"/>
      <c r="E863" s="138"/>
      <c r="F863" s="138"/>
      <c r="G863" s="119"/>
      <c r="H863" s="200"/>
      <c r="I863" s="200"/>
      <c r="J863" s="200"/>
      <c r="K863" s="200"/>
      <c r="L863" s="200"/>
      <c r="M863" s="200"/>
      <c r="N863" s="200"/>
      <c r="O863" s="200"/>
      <c r="P863" s="200"/>
      <c r="Q863" s="200"/>
      <c r="R863" s="200"/>
      <c r="S863" s="200"/>
      <c r="T863" s="200"/>
      <c r="U863" s="200"/>
      <c r="V863" s="200"/>
      <c r="W863" s="200"/>
      <c r="X863" s="200"/>
      <c r="Y863" s="200"/>
      <c r="Z863" s="200"/>
    </row>
    <row r="864" ht="22.5" customHeight="1">
      <c r="A864" s="145"/>
      <c r="B864" s="154"/>
      <c r="C864" s="138"/>
      <c r="D864" s="138"/>
      <c r="E864" s="138"/>
      <c r="F864" s="138"/>
      <c r="G864" s="119"/>
      <c r="H864" s="200"/>
      <c r="I864" s="200"/>
      <c r="J864" s="200"/>
      <c r="K864" s="200"/>
      <c r="L864" s="200"/>
      <c r="M864" s="200"/>
      <c r="N864" s="200"/>
      <c r="O864" s="200"/>
      <c r="P864" s="200"/>
      <c r="Q864" s="200"/>
      <c r="R864" s="200"/>
      <c r="S864" s="200"/>
      <c r="T864" s="200"/>
      <c r="U864" s="200"/>
      <c r="V864" s="200"/>
      <c r="W864" s="200"/>
      <c r="X864" s="200"/>
      <c r="Y864" s="200"/>
      <c r="Z864" s="200"/>
    </row>
    <row r="865" ht="22.5" customHeight="1">
      <c r="A865" s="145"/>
      <c r="B865" s="154"/>
      <c r="C865" s="138"/>
      <c r="D865" s="138"/>
      <c r="E865" s="138"/>
      <c r="F865" s="138"/>
      <c r="G865" s="119"/>
      <c r="H865" s="200"/>
      <c r="I865" s="200"/>
      <c r="J865" s="200"/>
      <c r="K865" s="200"/>
      <c r="L865" s="200"/>
      <c r="M865" s="200"/>
      <c r="N865" s="200"/>
      <c r="O865" s="200"/>
      <c r="P865" s="200"/>
      <c r="Q865" s="200"/>
      <c r="R865" s="200"/>
      <c r="S865" s="200"/>
      <c r="T865" s="200"/>
      <c r="U865" s="200"/>
      <c r="V865" s="200"/>
      <c r="W865" s="200"/>
      <c r="X865" s="200"/>
      <c r="Y865" s="200"/>
      <c r="Z865" s="200"/>
    </row>
    <row r="866" ht="22.5" customHeight="1">
      <c r="A866" s="145"/>
      <c r="B866" s="154"/>
      <c r="C866" s="138"/>
      <c r="D866" s="138"/>
      <c r="E866" s="138"/>
      <c r="F866" s="138"/>
      <c r="G866" s="119"/>
      <c r="H866" s="200"/>
      <c r="I866" s="200"/>
      <c r="J866" s="200"/>
      <c r="K866" s="200"/>
      <c r="L866" s="200"/>
      <c r="M866" s="200"/>
      <c r="N866" s="200"/>
      <c r="O866" s="200"/>
      <c r="P866" s="200"/>
      <c r="Q866" s="200"/>
      <c r="R866" s="200"/>
      <c r="S866" s="200"/>
      <c r="T866" s="200"/>
      <c r="U866" s="200"/>
      <c r="V866" s="200"/>
      <c r="W866" s="200"/>
      <c r="X866" s="200"/>
      <c r="Y866" s="200"/>
      <c r="Z866" s="200"/>
    </row>
    <row r="867" ht="22.5" customHeight="1">
      <c r="A867" s="145"/>
      <c r="B867" s="154"/>
      <c r="C867" s="138"/>
      <c r="D867" s="138"/>
      <c r="E867" s="138"/>
      <c r="F867" s="138"/>
      <c r="G867" s="119"/>
      <c r="H867" s="200"/>
      <c r="I867" s="200"/>
      <c r="J867" s="200"/>
      <c r="K867" s="200"/>
      <c r="L867" s="200"/>
      <c r="M867" s="200"/>
      <c r="N867" s="200"/>
      <c r="O867" s="200"/>
      <c r="P867" s="200"/>
      <c r="Q867" s="200"/>
      <c r="R867" s="200"/>
      <c r="S867" s="200"/>
      <c r="T867" s="200"/>
      <c r="U867" s="200"/>
      <c r="V867" s="200"/>
      <c r="W867" s="200"/>
      <c r="X867" s="200"/>
      <c r="Y867" s="200"/>
      <c r="Z867" s="200"/>
    </row>
    <row r="868" ht="22.5" customHeight="1">
      <c r="A868" s="145"/>
      <c r="B868" s="154"/>
      <c r="C868" s="138"/>
      <c r="D868" s="138"/>
      <c r="E868" s="138"/>
      <c r="F868" s="138"/>
      <c r="G868" s="119"/>
      <c r="H868" s="200"/>
      <c r="I868" s="200"/>
      <c r="J868" s="200"/>
      <c r="K868" s="200"/>
      <c r="L868" s="200"/>
      <c r="M868" s="200"/>
      <c r="N868" s="200"/>
      <c r="O868" s="200"/>
      <c r="P868" s="200"/>
      <c r="Q868" s="200"/>
      <c r="R868" s="200"/>
      <c r="S868" s="200"/>
      <c r="T868" s="200"/>
      <c r="U868" s="200"/>
      <c r="V868" s="200"/>
      <c r="W868" s="200"/>
      <c r="X868" s="200"/>
      <c r="Y868" s="200"/>
      <c r="Z868" s="200"/>
    </row>
    <row r="869" ht="22.5" customHeight="1">
      <c r="A869" s="145"/>
      <c r="B869" s="154"/>
      <c r="C869" s="138"/>
      <c r="D869" s="138"/>
      <c r="E869" s="138"/>
      <c r="F869" s="138"/>
      <c r="G869" s="119"/>
      <c r="H869" s="200"/>
      <c r="I869" s="200"/>
      <c r="J869" s="200"/>
      <c r="K869" s="200"/>
      <c r="L869" s="200"/>
      <c r="M869" s="200"/>
      <c r="N869" s="200"/>
      <c r="O869" s="200"/>
      <c r="P869" s="200"/>
      <c r="Q869" s="200"/>
      <c r="R869" s="200"/>
      <c r="S869" s="200"/>
      <c r="T869" s="200"/>
      <c r="U869" s="200"/>
      <c r="V869" s="200"/>
      <c r="W869" s="200"/>
      <c r="X869" s="200"/>
      <c r="Y869" s="200"/>
      <c r="Z869" s="200"/>
    </row>
    <row r="870" ht="22.5" customHeight="1">
      <c r="A870" s="145"/>
      <c r="B870" s="154"/>
      <c r="C870" s="138"/>
      <c r="D870" s="138"/>
      <c r="E870" s="138"/>
      <c r="F870" s="138"/>
      <c r="G870" s="119"/>
      <c r="H870" s="200"/>
      <c r="I870" s="200"/>
      <c r="J870" s="200"/>
      <c r="K870" s="200"/>
      <c r="L870" s="200"/>
      <c r="M870" s="200"/>
      <c r="N870" s="200"/>
      <c r="O870" s="200"/>
      <c r="P870" s="200"/>
      <c r="Q870" s="200"/>
      <c r="R870" s="200"/>
      <c r="S870" s="200"/>
      <c r="T870" s="200"/>
      <c r="U870" s="200"/>
      <c r="V870" s="200"/>
      <c r="W870" s="200"/>
      <c r="X870" s="200"/>
      <c r="Y870" s="200"/>
      <c r="Z870" s="200"/>
    </row>
    <row r="871" ht="22.5" customHeight="1">
      <c r="A871" s="145"/>
      <c r="B871" s="154"/>
      <c r="C871" s="138"/>
      <c r="D871" s="138"/>
      <c r="E871" s="138"/>
      <c r="F871" s="138"/>
      <c r="G871" s="119"/>
      <c r="H871" s="200"/>
      <c r="I871" s="200"/>
      <c r="J871" s="200"/>
      <c r="K871" s="200"/>
      <c r="L871" s="200"/>
      <c r="M871" s="200"/>
      <c r="N871" s="200"/>
      <c r="O871" s="200"/>
      <c r="P871" s="200"/>
      <c r="Q871" s="200"/>
      <c r="R871" s="200"/>
      <c r="S871" s="200"/>
      <c r="T871" s="200"/>
      <c r="U871" s="200"/>
      <c r="V871" s="200"/>
      <c r="W871" s="200"/>
      <c r="X871" s="200"/>
      <c r="Y871" s="200"/>
      <c r="Z871" s="200"/>
    </row>
    <row r="872" ht="22.5" customHeight="1">
      <c r="A872" s="145"/>
      <c r="B872" s="154"/>
      <c r="C872" s="138"/>
      <c r="D872" s="138"/>
      <c r="E872" s="138"/>
      <c r="F872" s="138"/>
      <c r="G872" s="119"/>
      <c r="H872" s="200"/>
      <c r="I872" s="200"/>
      <c r="J872" s="200"/>
      <c r="K872" s="200"/>
      <c r="L872" s="200"/>
      <c r="M872" s="200"/>
      <c r="N872" s="200"/>
      <c r="O872" s="200"/>
      <c r="P872" s="200"/>
      <c r="Q872" s="200"/>
      <c r="R872" s="200"/>
      <c r="S872" s="200"/>
      <c r="T872" s="200"/>
      <c r="U872" s="200"/>
      <c r="V872" s="200"/>
      <c r="W872" s="200"/>
      <c r="X872" s="200"/>
      <c r="Y872" s="200"/>
      <c r="Z872" s="200"/>
    </row>
    <row r="873" ht="22.5" customHeight="1">
      <c r="A873" s="145"/>
      <c r="B873" s="154"/>
      <c r="C873" s="138"/>
      <c r="D873" s="138"/>
      <c r="E873" s="138"/>
      <c r="F873" s="138"/>
      <c r="G873" s="119"/>
      <c r="H873" s="200"/>
      <c r="I873" s="200"/>
      <c r="J873" s="200"/>
      <c r="K873" s="200"/>
      <c r="L873" s="200"/>
      <c r="M873" s="200"/>
      <c r="N873" s="200"/>
      <c r="O873" s="200"/>
      <c r="P873" s="200"/>
      <c r="Q873" s="200"/>
      <c r="R873" s="200"/>
      <c r="S873" s="200"/>
      <c r="T873" s="200"/>
      <c r="U873" s="200"/>
      <c r="V873" s="200"/>
      <c r="W873" s="200"/>
      <c r="X873" s="200"/>
      <c r="Y873" s="200"/>
      <c r="Z873" s="200"/>
    </row>
    <row r="874" ht="22.5" customHeight="1">
      <c r="A874" s="145"/>
      <c r="B874" s="154"/>
      <c r="C874" s="138"/>
      <c r="D874" s="138"/>
      <c r="E874" s="138"/>
      <c r="F874" s="138"/>
      <c r="G874" s="119"/>
      <c r="H874" s="200"/>
      <c r="I874" s="200"/>
      <c r="J874" s="200"/>
      <c r="K874" s="200"/>
      <c r="L874" s="200"/>
      <c r="M874" s="200"/>
      <c r="N874" s="200"/>
      <c r="O874" s="200"/>
      <c r="P874" s="200"/>
      <c r="Q874" s="200"/>
      <c r="R874" s="200"/>
      <c r="S874" s="200"/>
      <c r="T874" s="200"/>
      <c r="U874" s="200"/>
      <c r="V874" s="200"/>
      <c r="W874" s="200"/>
      <c r="X874" s="200"/>
      <c r="Y874" s="200"/>
      <c r="Z874" s="200"/>
    </row>
    <row r="875" ht="22.5" customHeight="1">
      <c r="A875" s="145"/>
      <c r="B875" s="154"/>
      <c r="C875" s="138"/>
      <c r="D875" s="138"/>
      <c r="E875" s="138"/>
      <c r="F875" s="138"/>
      <c r="G875" s="119"/>
      <c r="H875" s="200"/>
      <c r="I875" s="200"/>
      <c r="J875" s="200"/>
      <c r="K875" s="200"/>
      <c r="L875" s="200"/>
      <c r="M875" s="200"/>
      <c r="N875" s="200"/>
      <c r="O875" s="200"/>
      <c r="P875" s="200"/>
      <c r="Q875" s="200"/>
      <c r="R875" s="200"/>
      <c r="S875" s="200"/>
      <c r="T875" s="200"/>
      <c r="U875" s="200"/>
      <c r="V875" s="200"/>
      <c r="W875" s="200"/>
      <c r="X875" s="200"/>
      <c r="Y875" s="200"/>
      <c r="Z875" s="200"/>
    </row>
    <row r="876" ht="22.5" customHeight="1">
      <c r="A876" s="145"/>
      <c r="B876" s="154"/>
      <c r="C876" s="138"/>
      <c r="D876" s="138"/>
      <c r="E876" s="138"/>
      <c r="F876" s="138"/>
      <c r="G876" s="119"/>
      <c r="H876" s="200"/>
      <c r="I876" s="200"/>
      <c r="J876" s="200"/>
      <c r="K876" s="200"/>
      <c r="L876" s="200"/>
      <c r="M876" s="200"/>
      <c r="N876" s="200"/>
      <c r="O876" s="200"/>
      <c r="P876" s="200"/>
      <c r="Q876" s="200"/>
      <c r="R876" s="200"/>
      <c r="S876" s="200"/>
      <c r="T876" s="200"/>
      <c r="U876" s="200"/>
      <c r="V876" s="200"/>
      <c r="W876" s="200"/>
      <c r="X876" s="200"/>
      <c r="Y876" s="200"/>
      <c r="Z876" s="200"/>
    </row>
    <row r="877" ht="22.5" customHeight="1">
      <c r="A877" s="145"/>
      <c r="B877" s="154"/>
      <c r="C877" s="138"/>
      <c r="D877" s="138"/>
      <c r="E877" s="138"/>
      <c r="F877" s="138"/>
      <c r="G877" s="119"/>
      <c r="H877" s="200"/>
      <c r="I877" s="200"/>
      <c r="J877" s="200"/>
      <c r="K877" s="200"/>
      <c r="L877" s="200"/>
      <c r="M877" s="200"/>
      <c r="N877" s="200"/>
      <c r="O877" s="200"/>
      <c r="P877" s="200"/>
      <c r="Q877" s="200"/>
      <c r="R877" s="200"/>
      <c r="S877" s="200"/>
      <c r="T877" s="200"/>
      <c r="U877" s="200"/>
      <c r="V877" s="200"/>
      <c r="W877" s="200"/>
      <c r="X877" s="200"/>
      <c r="Y877" s="200"/>
      <c r="Z877" s="200"/>
    </row>
    <row r="878" ht="22.5" customHeight="1">
      <c r="A878" s="145"/>
      <c r="B878" s="154"/>
      <c r="C878" s="138"/>
      <c r="D878" s="138"/>
      <c r="E878" s="138"/>
      <c r="F878" s="138"/>
      <c r="G878" s="119"/>
      <c r="H878" s="200"/>
      <c r="I878" s="200"/>
      <c r="J878" s="200"/>
      <c r="K878" s="200"/>
      <c r="L878" s="200"/>
      <c r="M878" s="200"/>
      <c r="N878" s="200"/>
      <c r="O878" s="200"/>
      <c r="P878" s="200"/>
      <c r="Q878" s="200"/>
      <c r="R878" s="200"/>
      <c r="S878" s="200"/>
      <c r="T878" s="200"/>
      <c r="U878" s="200"/>
      <c r="V878" s="200"/>
      <c r="W878" s="200"/>
      <c r="X878" s="200"/>
      <c r="Y878" s="200"/>
      <c r="Z878" s="200"/>
    </row>
    <row r="879" ht="22.5" customHeight="1">
      <c r="A879" s="145"/>
      <c r="B879" s="154"/>
      <c r="C879" s="138"/>
      <c r="D879" s="138"/>
      <c r="E879" s="138"/>
      <c r="F879" s="138"/>
      <c r="G879" s="119"/>
      <c r="H879" s="200"/>
      <c r="I879" s="200"/>
      <c r="J879" s="200"/>
      <c r="K879" s="200"/>
      <c r="L879" s="200"/>
      <c r="M879" s="200"/>
      <c r="N879" s="200"/>
      <c r="O879" s="200"/>
      <c r="P879" s="200"/>
      <c r="Q879" s="200"/>
      <c r="R879" s="200"/>
      <c r="S879" s="200"/>
      <c r="T879" s="200"/>
      <c r="U879" s="200"/>
      <c r="V879" s="200"/>
      <c r="W879" s="200"/>
      <c r="X879" s="200"/>
      <c r="Y879" s="200"/>
      <c r="Z879" s="200"/>
    </row>
    <row r="880" ht="22.5" customHeight="1">
      <c r="A880" s="145"/>
      <c r="B880" s="154"/>
      <c r="C880" s="138"/>
      <c r="D880" s="138"/>
      <c r="E880" s="138"/>
      <c r="F880" s="138"/>
      <c r="G880" s="119"/>
      <c r="H880" s="200"/>
      <c r="I880" s="200"/>
      <c r="J880" s="200"/>
      <c r="K880" s="200"/>
      <c r="L880" s="200"/>
      <c r="M880" s="200"/>
      <c r="N880" s="200"/>
      <c r="O880" s="200"/>
      <c r="P880" s="200"/>
      <c r="Q880" s="200"/>
      <c r="R880" s="200"/>
      <c r="S880" s="200"/>
      <c r="T880" s="200"/>
      <c r="U880" s="200"/>
      <c r="V880" s="200"/>
      <c r="W880" s="200"/>
      <c r="X880" s="200"/>
      <c r="Y880" s="200"/>
      <c r="Z880" s="200"/>
    </row>
    <row r="881" ht="22.5" customHeight="1">
      <c r="A881" s="145"/>
      <c r="B881" s="154"/>
      <c r="C881" s="138"/>
      <c r="D881" s="138"/>
      <c r="E881" s="138"/>
      <c r="F881" s="138"/>
      <c r="G881" s="119"/>
      <c r="H881" s="200"/>
      <c r="I881" s="200"/>
      <c r="J881" s="200"/>
      <c r="K881" s="200"/>
      <c r="L881" s="200"/>
      <c r="M881" s="200"/>
      <c r="N881" s="200"/>
      <c r="O881" s="200"/>
      <c r="P881" s="200"/>
      <c r="Q881" s="200"/>
      <c r="R881" s="200"/>
      <c r="S881" s="200"/>
      <c r="T881" s="200"/>
      <c r="U881" s="200"/>
      <c r="V881" s="200"/>
      <c r="W881" s="200"/>
      <c r="X881" s="200"/>
      <c r="Y881" s="200"/>
      <c r="Z881" s="200"/>
    </row>
    <row r="882" ht="22.5" customHeight="1">
      <c r="A882" s="145"/>
      <c r="B882" s="154"/>
      <c r="C882" s="138"/>
      <c r="D882" s="138"/>
      <c r="E882" s="138"/>
      <c r="F882" s="138"/>
      <c r="G882" s="119"/>
      <c r="H882" s="200"/>
      <c r="I882" s="200"/>
      <c r="J882" s="200"/>
      <c r="K882" s="200"/>
      <c r="L882" s="200"/>
      <c r="M882" s="200"/>
      <c r="N882" s="200"/>
      <c r="O882" s="200"/>
      <c r="P882" s="200"/>
      <c r="Q882" s="200"/>
      <c r="R882" s="200"/>
      <c r="S882" s="200"/>
      <c r="T882" s="200"/>
      <c r="U882" s="200"/>
      <c r="V882" s="200"/>
      <c r="W882" s="200"/>
      <c r="X882" s="200"/>
      <c r="Y882" s="200"/>
      <c r="Z882" s="200"/>
    </row>
    <row r="883" ht="22.5" customHeight="1">
      <c r="A883" s="145"/>
      <c r="B883" s="154"/>
      <c r="C883" s="138"/>
      <c r="D883" s="138"/>
      <c r="E883" s="138"/>
      <c r="F883" s="138"/>
      <c r="G883" s="119"/>
      <c r="H883" s="200"/>
      <c r="I883" s="200"/>
      <c r="J883" s="200"/>
      <c r="K883" s="200"/>
      <c r="L883" s="200"/>
      <c r="M883" s="200"/>
      <c r="N883" s="200"/>
      <c r="O883" s="200"/>
      <c r="P883" s="200"/>
      <c r="Q883" s="200"/>
      <c r="R883" s="200"/>
      <c r="S883" s="200"/>
      <c r="T883" s="200"/>
      <c r="U883" s="200"/>
      <c r="V883" s="200"/>
      <c r="W883" s="200"/>
      <c r="X883" s="200"/>
      <c r="Y883" s="200"/>
      <c r="Z883" s="200"/>
    </row>
    <row r="884" ht="22.5" customHeight="1">
      <c r="A884" s="145"/>
      <c r="B884" s="154"/>
      <c r="C884" s="138"/>
      <c r="D884" s="138"/>
      <c r="E884" s="138"/>
      <c r="F884" s="138"/>
      <c r="G884" s="119"/>
      <c r="H884" s="200"/>
      <c r="I884" s="200"/>
      <c r="J884" s="200"/>
      <c r="K884" s="200"/>
      <c r="L884" s="200"/>
      <c r="M884" s="200"/>
      <c r="N884" s="200"/>
      <c r="O884" s="200"/>
      <c r="P884" s="200"/>
      <c r="Q884" s="200"/>
      <c r="R884" s="200"/>
      <c r="S884" s="200"/>
      <c r="T884" s="200"/>
      <c r="U884" s="200"/>
      <c r="V884" s="200"/>
      <c r="W884" s="200"/>
      <c r="X884" s="200"/>
      <c r="Y884" s="200"/>
      <c r="Z884" s="200"/>
    </row>
    <row r="885" ht="22.5" customHeight="1">
      <c r="A885" s="145"/>
      <c r="B885" s="154"/>
      <c r="C885" s="138"/>
      <c r="D885" s="138"/>
      <c r="E885" s="138"/>
      <c r="F885" s="138"/>
      <c r="G885" s="119"/>
      <c r="H885" s="200"/>
      <c r="I885" s="200"/>
      <c r="J885" s="200"/>
      <c r="K885" s="200"/>
      <c r="L885" s="200"/>
      <c r="M885" s="200"/>
      <c r="N885" s="200"/>
      <c r="O885" s="200"/>
      <c r="P885" s="200"/>
      <c r="Q885" s="200"/>
      <c r="R885" s="200"/>
      <c r="S885" s="200"/>
      <c r="T885" s="200"/>
      <c r="U885" s="200"/>
      <c r="V885" s="200"/>
      <c r="W885" s="200"/>
      <c r="X885" s="200"/>
      <c r="Y885" s="200"/>
      <c r="Z885" s="200"/>
    </row>
    <row r="886" ht="22.5" customHeight="1">
      <c r="A886" s="145"/>
      <c r="B886" s="154"/>
      <c r="C886" s="138"/>
      <c r="D886" s="138"/>
      <c r="E886" s="138"/>
      <c r="F886" s="138"/>
      <c r="G886" s="119"/>
      <c r="H886" s="200"/>
      <c r="I886" s="200"/>
      <c r="J886" s="200"/>
      <c r="K886" s="200"/>
      <c r="L886" s="200"/>
      <c r="M886" s="200"/>
      <c r="N886" s="200"/>
      <c r="O886" s="200"/>
      <c r="P886" s="200"/>
      <c r="Q886" s="200"/>
      <c r="R886" s="200"/>
      <c r="S886" s="200"/>
      <c r="T886" s="200"/>
      <c r="U886" s="200"/>
      <c r="V886" s="200"/>
      <c r="W886" s="200"/>
      <c r="X886" s="200"/>
      <c r="Y886" s="200"/>
      <c r="Z886" s="200"/>
    </row>
    <row r="887" ht="22.5" customHeight="1">
      <c r="A887" s="145"/>
      <c r="B887" s="154"/>
      <c r="C887" s="138"/>
      <c r="D887" s="138"/>
      <c r="E887" s="138"/>
      <c r="F887" s="138"/>
      <c r="G887" s="119"/>
      <c r="H887" s="200"/>
      <c r="I887" s="200"/>
      <c r="J887" s="200"/>
      <c r="K887" s="200"/>
      <c r="L887" s="200"/>
      <c r="M887" s="200"/>
      <c r="N887" s="200"/>
      <c r="O887" s="200"/>
      <c r="P887" s="200"/>
      <c r="Q887" s="200"/>
      <c r="R887" s="200"/>
      <c r="S887" s="200"/>
      <c r="T887" s="200"/>
      <c r="U887" s="200"/>
      <c r="V887" s="200"/>
      <c r="W887" s="200"/>
      <c r="X887" s="200"/>
      <c r="Y887" s="200"/>
      <c r="Z887" s="200"/>
    </row>
    <row r="888" ht="22.5" customHeight="1">
      <c r="A888" s="145"/>
      <c r="B888" s="154"/>
      <c r="C888" s="138"/>
      <c r="D888" s="138"/>
      <c r="E888" s="138"/>
      <c r="F888" s="138"/>
      <c r="G888" s="119"/>
      <c r="H888" s="200"/>
      <c r="I888" s="200"/>
      <c r="J888" s="200"/>
      <c r="K888" s="200"/>
      <c r="L888" s="200"/>
      <c r="M888" s="200"/>
      <c r="N888" s="200"/>
      <c r="O888" s="200"/>
      <c r="P888" s="200"/>
      <c r="Q888" s="200"/>
      <c r="R888" s="200"/>
      <c r="S888" s="200"/>
      <c r="T888" s="200"/>
      <c r="U888" s="200"/>
      <c r="V888" s="200"/>
      <c r="W888" s="200"/>
      <c r="X888" s="200"/>
      <c r="Y888" s="200"/>
      <c r="Z888" s="200"/>
    </row>
    <row r="889" ht="22.5" customHeight="1">
      <c r="A889" s="145"/>
      <c r="B889" s="154"/>
      <c r="C889" s="138"/>
      <c r="D889" s="138"/>
      <c r="E889" s="138"/>
      <c r="F889" s="138"/>
      <c r="G889" s="119"/>
      <c r="H889" s="200"/>
      <c r="I889" s="200"/>
      <c r="J889" s="200"/>
      <c r="K889" s="200"/>
      <c r="L889" s="200"/>
      <c r="M889" s="200"/>
      <c r="N889" s="200"/>
      <c r="O889" s="200"/>
      <c r="P889" s="200"/>
      <c r="Q889" s="200"/>
      <c r="R889" s="200"/>
      <c r="S889" s="200"/>
      <c r="T889" s="200"/>
      <c r="U889" s="200"/>
      <c r="V889" s="200"/>
      <c r="W889" s="200"/>
      <c r="X889" s="200"/>
      <c r="Y889" s="200"/>
      <c r="Z889" s="200"/>
    </row>
    <row r="890" ht="22.5" customHeight="1">
      <c r="A890" s="145"/>
      <c r="B890" s="154"/>
      <c r="C890" s="138"/>
      <c r="D890" s="138"/>
      <c r="E890" s="138"/>
      <c r="F890" s="138"/>
      <c r="G890" s="119"/>
      <c r="H890" s="200"/>
      <c r="I890" s="200"/>
      <c r="J890" s="200"/>
      <c r="K890" s="200"/>
      <c r="L890" s="200"/>
      <c r="M890" s="200"/>
      <c r="N890" s="200"/>
      <c r="O890" s="200"/>
      <c r="P890" s="200"/>
      <c r="Q890" s="200"/>
      <c r="R890" s="200"/>
      <c r="S890" s="200"/>
      <c r="T890" s="200"/>
      <c r="U890" s="200"/>
      <c r="V890" s="200"/>
      <c r="W890" s="200"/>
      <c r="X890" s="200"/>
      <c r="Y890" s="200"/>
      <c r="Z890" s="200"/>
    </row>
    <row r="891" ht="22.5" customHeight="1">
      <c r="A891" s="145"/>
      <c r="B891" s="154"/>
      <c r="C891" s="138"/>
      <c r="D891" s="138"/>
      <c r="E891" s="138"/>
      <c r="F891" s="138"/>
      <c r="G891" s="119"/>
      <c r="H891" s="200"/>
      <c r="I891" s="200"/>
      <c r="J891" s="200"/>
      <c r="K891" s="200"/>
      <c r="L891" s="200"/>
      <c r="M891" s="200"/>
      <c r="N891" s="200"/>
      <c r="O891" s="200"/>
      <c r="P891" s="200"/>
      <c r="Q891" s="200"/>
      <c r="R891" s="200"/>
      <c r="S891" s="200"/>
      <c r="T891" s="200"/>
      <c r="U891" s="200"/>
      <c r="V891" s="200"/>
      <c r="W891" s="200"/>
      <c r="X891" s="200"/>
      <c r="Y891" s="200"/>
      <c r="Z891" s="200"/>
    </row>
    <row r="892" ht="22.5" customHeight="1">
      <c r="A892" s="145"/>
      <c r="B892" s="154"/>
      <c r="C892" s="138"/>
      <c r="D892" s="138"/>
      <c r="E892" s="138"/>
      <c r="F892" s="138"/>
      <c r="G892" s="119"/>
      <c r="H892" s="200"/>
      <c r="I892" s="200"/>
      <c r="J892" s="200"/>
      <c r="K892" s="200"/>
      <c r="L892" s="200"/>
      <c r="M892" s="200"/>
      <c r="N892" s="200"/>
      <c r="O892" s="200"/>
      <c r="P892" s="200"/>
      <c r="Q892" s="200"/>
      <c r="R892" s="200"/>
      <c r="S892" s="200"/>
      <c r="T892" s="200"/>
      <c r="U892" s="200"/>
      <c r="V892" s="200"/>
      <c r="W892" s="200"/>
      <c r="X892" s="200"/>
      <c r="Y892" s="200"/>
      <c r="Z892" s="200"/>
    </row>
    <row r="893" ht="22.5" customHeight="1">
      <c r="A893" s="145"/>
      <c r="B893" s="154"/>
      <c r="C893" s="138"/>
      <c r="D893" s="138"/>
      <c r="E893" s="138"/>
      <c r="F893" s="138"/>
      <c r="G893" s="119"/>
      <c r="H893" s="200"/>
      <c r="I893" s="200"/>
      <c r="J893" s="200"/>
      <c r="K893" s="200"/>
      <c r="L893" s="200"/>
      <c r="M893" s="200"/>
      <c r="N893" s="200"/>
      <c r="O893" s="200"/>
      <c r="P893" s="200"/>
      <c r="Q893" s="200"/>
      <c r="R893" s="200"/>
      <c r="S893" s="200"/>
      <c r="T893" s="200"/>
      <c r="U893" s="200"/>
      <c r="V893" s="200"/>
      <c r="W893" s="200"/>
      <c r="X893" s="200"/>
      <c r="Y893" s="200"/>
      <c r="Z893" s="200"/>
    </row>
    <row r="894" ht="22.5" customHeight="1">
      <c r="A894" s="145"/>
      <c r="B894" s="154"/>
      <c r="C894" s="138"/>
      <c r="D894" s="138"/>
      <c r="E894" s="138"/>
      <c r="F894" s="138"/>
      <c r="G894" s="119"/>
      <c r="H894" s="200"/>
      <c r="I894" s="200"/>
      <c r="J894" s="200"/>
      <c r="K894" s="200"/>
      <c r="L894" s="200"/>
      <c r="M894" s="200"/>
      <c r="N894" s="200"/>
      <c r="O894" s="200"/>
      <c r="P894" s="200"/>
      <c r="Q894" s="200"/>
      <c r="R894" s="200"/>
      <c r="S894" s="200"/>
      <c r="T894" s="200"/>
      <c r="U894" s="200"/>
      <c r="V894" s="200"/>
      <c r="W894" s="200"/>
      <c r="X894" s="200"/>
      <c r="Y894" s="200"/>
      <c r="Z894" s="200"/>
    </row>
    <row r="895" ht="22.5" customHeight="1">
      <c r="A895" s="145"/>
      <c r="B895" s="154"/>
      <c r="C895" s="138"/>
      <c r="D895" s="138"/>
      <c r="E895" s="138"/>
      <c r="F895" s="138"/>
      <c r="G895" s="119"/>
      <c r="H895" s="200"/>
      <c r="I895" s="200"/>
      <c r="J895" s="200"/>
      <c r="K895" s="200"/>
      <c r="L895" s="200"/>
      <c r="M895" s="200"/>
      <c r="N895" s="200"/>
      <c r="O895" s="200"/>
      <c r="P895" s="200"/>
      <c r="Q895" s="200"/>
      <c r="R895" s="200"/>
      <c r="S895" s="200"/>
      <c r="T895" s="200"/>
      <c r="U895" s="200"/>
      <c r="V895" s="200"/>
      <c r="W895" s="200"/>
      <c r="X895" s="200"/>
      <c r="Y895" s="200"/>
      <c r="Z895" s="200"/>
    </row>
    <row r="896" ht="22.5" customHeight="1">
      <c r="A896" s="145"/>
      <c r="B896" s="154"/>
      <c r="C896" s="138"/>
      <c r="D896" s="138"/>
      <c r="E896" s="138"/>
      <c r="F896" s="138"/>
      <c r="G896" s="119"/>
      <c r="H896" s="200"/>
      <c r="I896" s="200"/>
      <c r="J896" s="200"/>
      <c r="K896" s="200"/>
      <c r="L896" s="200"/>
      <c r="M896" s="200"/>
      <c r="N896" s="200"/>
      <c r="O896" s="200"/>
      <c r="P896" s="200"/>
      <c r="Q896" s="200"/>
      <c r="R896" s="200"/>
      <c r="S896" s="200"/>
      <c r="T896" s="200"/>
      <c r="U896" s="200"/>
      <c r="V896" s="200"/>
      <c r="W896" s="200"/>
      <c r="X896" s="200"/>
      <c r="Y896" s="200"/>
      <c r="Z896" s="200"/>
    </row>
    <row r="897" ht="22.5" customHeight="1">
      <c r="A897" s="145"/>
      <c r="B897" s="154"/>
      <c r="C897" s="138"/>
      <c r="D897" s="138"/>
      <c r="E897" s="138"/>
      <c r="F897" s="138"/>
      <c r="G897" s="119"/>
      <c r="H897" s="200"/>
      <c r="I897" s="200"/>
      <c r="J897" s="200"/>
      <c r="K897" s="200"/>
      <c r="L897" s="200"/>
      <c r="M897" s="200"/>
      <c r="N897" s="200"/>
      <c r="O897" s="200"/>
      <c r="P897" s="200"/>
      <c r="Q897" s="200"/>
      <c r="R897" s="200"/>
      <c r="S897" s="200"/>
      <c r="T897" s="200"/>
      <c r="U897" s="200"/>
      <c r="V897" s="200"/>
      <c r="W897" s="200"/>
      <c r="X897" s="200"/>
      <c r="Y897" s="200"/>
      <c r="Z897" s="200"/>
    </row>
    <row r="898" ht="22.5" customHeight="1">
      <c r="A898" s="145"/>
      <c r="B898" s="154"/>
      <c r="C898" s="138"/>
      <c r="D898" s="138"/>
      <c r="E898" s="138"/>
      <c r="F898" s="138"/>
      <c r="G898" s="119"/>
      <c r="H898" s="200"/>
      <c r="I898" s="200"/>
      <c r="J898" s="200"/>
      <c r="K898" s="200"/>
      <c r="L898" s="200"/>
      <c r="M898" s="200"/>
      <c r="N898" s="200"/>
      <c r="O898" s="200"/>
      <c r="P898" s="200"/>
      <c r="Q898" s="200"/>
      <c r="R898" s="200"/>
      <c r="S898" s="200"/>
      <c r="T898" s="200"/>
      <c r="U898" s="200"/>
      <c r="V898" s="200"/>
      <c r="W898" s="200"/>
      <c r="X898" s="200"/>
      <c r="Y898" s="200"/>
      <c r="Z898" s="200"/>
    </row>
    <row r="899" ht="22.5" customHeight="1">
      <c r="A899" s="145"/>
      <c r="B899" s="154"/>
      <c r="C899" s="138"/>
      <c r="D899" s="138"/>
      <c r="E899" s="138"/>
      <c r="F899" s="138"/>
      <c r="G899" s="119"/>
      <c r="H899" s="200"/>
      <c r="I899" s="200"/>
      <c r="J899" s="200"/>
      <c r="K899" s="200"/>
      <c r="L899" s="200"/>
      <c r="M899" s="200"/>
      <c r="N899" s="200"/>
      <c r="O899" s="200"/>
      <c r="P899" s="200"/>
      <c r="Q899" s="200"/>
      <c r="R899" s="200"/>
      <c r="S899" s="200"/>
      <c r="T899" s="200"/>
      <c r="U899" s="200"/>
      <c r="V899" s="200"/>
      <c r="W899" s="200"/>
      <c r="X899" s="200"/>
      <c r="Y899" s="200"/>
      <c r="Z899" s="200"/>
    </row>
    <row r="900" ht="22.5" customHeight="1">
      <c r="A900" s="145"/>
      <c r="B900" s="154"/>
      <c r="C900" s="138"/>
      <c r="D900" s="138"/>
      <c r="E900" s="138"/>
      <c r="F900" s="138"/>
      <c r="G900" s="119"/>
      <c r="H900" s="200"/>
      <c r="I900" s="200"/>
      <c r="J900" s="200"/>
      <c r="K900" s="200"/>
      <c r="L900" s="200"/>
      <c r="M900" s="200"/>
      <c r="N900" s="200"/>
      <c r="O900" s="200"/>
      <c r="P900" s="200"/>
      <c r="Q900" s="200"/>
      <c r="R900" s="200"/>
      <c r="S900" s="200"/>
      <c r="T900" s="200"/>
      <c r="U900" s="200"/>
      <c r="V900" s="200"/>
      <c r="W900" s="200"/>
      <c r="X900" s="200"/>
      <c r="Y900" s="200"/>
      <c r="Z900" s="200"/>
    </row>
    <row r="901" ht="22.5" customHeight="1">
      <c r="A901" s="145"/>
      <c r="B901" s="154"/>
      <c r="C901" s="138"/>
      <c r="D901" s="138"/>
      <c r="E901" s="138"/>
      <c r="F901" s="138"/>
      <c r="G901" s="119"/>
      <c r="H901" s="200"/>
      <c r="I901" s="200"/>
      <c r="J901" s="200"/>
      <c r="K901" s="200"/>
      <c r="L901" s="200"/>
      <c r="M901" s="200"/>
      <c r="N901" s="200"/>
      <c r="O901" s="200"/>
      <c r="P901" s="200"/>
      <c r="Q901" s="200"/>
      <c r="R901" s="200"/>
      <c r="S901" s="200"/>
      <c r="T901" s="200"/>
      <c r="U901" s="200"/>
      <c r="V901" s="200"/>
      <c r="W901" s="200"/>
      <c r="X901" s="200"/>
      <c r="Y901" s="200"/>
      <c r="Z901" s="200"/>
    </row>
    <row r="902" ht="22.5" customHeight="1">
      <c r="A902" s="145"/>
      <c r="B902" s="154"/>
      <c r="C902" s="138"/>
      <c r="D902" s="138"/>
      <c r="E902" s="138"/>
      <c r="F902" s="138"/>
      <c r="G902" s="119"/>
      <c r="H902" s="200"/>
      <c r="I902" s="200"/>
      <c r="J902" s="200"/>
      <c r="K902" s="200"/>
      <c r="L902" s="200"/>
      <c r="M902" s="200"/>
      <c r="N902" s="200"/>
      <c r="O902" s="200"/>
      <c r="P902" s="200"/>
      <c r="Q902" s="200"/>
      <c r="R902" s="200"/>
      <c r="S902" s="200"/>
      <c r="T902" s="200"/>
      <c r="U902" s="200"/>
      <c r="V902" s="200"/>
      <c r="W902" s="200"/>
      <c r="X902" s="200"/>
      <c r="Y902" s="200"/>
      <c r="Z902" s="200"/>
    </row>
    <row r="903" ht="22.5" customHeight="1">
      <c r="A903" s="145"/>
      <c r="B903" s="154"/>
      <c r="C903" s="138"/>
      <c r="D903" s="138"/>
      <c r="E903" s="138"/>
      <c r="F903" s="138"/>
      <c r="G903" s="119"/>
      <c r="H903" s="200"/>
      <c r="I903" s="200"/>
      <c r="J903" s="200"/>
      <c r="K903" s="200"/>
      <c r="L903" s="200"/>
      <c r="M903" s="200"/>
      <c r="N903" s="200"/>
      <c r="O903" s="200"/>
      <c r="P903" s="200"/>
      <c r="Q903" s="200"/>
      <c r="R903" s="200"/>
      <c r="S903" s="200"/>
      <c r="T903" s="200"/>
      <c r="U903" s="200"/>
      <c r="V903" s="200"/>
      <c r="W903" s="200"/>
      <c r="X903" s="200"/>
      <c r="Y903" s="200"/>
      <c r="Z903" s="200"/>
    </row>
    <row r="904" ht="22.5" customHeight="1">
      <c r="A904" s="145"/>
      <c r="B904" s="154"/>
      <c r="C904" s="138"/>
      <c r="D904" s="138"/>
      <c r="E904" s="138"/>
      <c r="F904" s="138"/>
      <c r="G904" s="119"/>
      <c r="H904" s="200"/>
      <c r="I904" s="200"/>
      <c r="J904" s="200"/>
      <c r="K904" s="200"/>
      <c r="L904" s="200"/>
      <c r="M904" s="200"/>
      <c r="N904" s="200"/>
      <c r="O904" s="200"/>
      <c r="P904" s="200"/>
      <c r="Q904" s="200"/>
      <c r="R904" s="200"/>
      <c r="S904" s="200"/>
      <c r="T904" s="200"/>
      <c r="U904" s="200"/>
      <c r="V904" s="200"/>
      <c r="W904" s="200"/>
      <c r="X904" s="200"/>
      <c r="Y904" s="200"/>
      <c r="Z904" s="200"/>
    </row>
    <row r="905" ht="22.5" customHeight="1">
      <c r="A905" s="145"/>
      <c r="B905" s="154"/>
      <c r="C905" s="138"/>
      <c r="D905" s="138"/>
      <c r="E905" s="138"/>
      <c r="F905" s="138"/>
      <c r="G905" s="119"/>
      <c r="H905" s="200"/>
      <c r="I905" s="200"/>
      <c r="J905" s="200"/>
      <c r="K905" s="200"/>
      <c r="L905" s="200"/>
      <c r="M905" s="200"/>
      <c r="N905" s="200"/>
      <c r="O905" s="200"/>
      <c r="P905" s="200"/>
      <c r="Q905" s="200"/>
      <c r="R905" s="200"/>
      <c r="S905" s="200"/>
      <c r="T905" s="200"/>
      <c r="U905" s="200"/>
      <c r="V905" s="200"/>
      <c r="W905" s="200"/>
      <c r="X905" s="200"/>
      <c r="Y905" s="200"/>
      <c r="Z905" s="200"/>
    </row>
    <row r="906" ht="22.5" customHeight="1">
      <c r="A906" s="145"/>
      <c r="B906" s="154"/>
      <c r="C906" s="138"/>
      <c r="D906" s="138"/>
      <c r="E906" s="138"/>
      <c r="F906" s="138"/>
      <c r="G906" s="119"/>
      <c r="H906" s="200"/>
      <c r="I906" s="200"/>
      <c r="J906" s="200"/>
      <c r="K906" s="200"/>
      <c r="L906" s="200"/>
      <c r="M906" s="200"/>
      <c r="N906" s="200"/>
      <c r="O906" s="200"/>
      <c r="P906" s="200"/>
      <c r="Q906" s="200"/>
      <c r="R906" s="200"/>
      <c r="S906" s="200"/>
      <c r="T906" s="200"/>
      <c r="U906" s="200"/>
      <c r="V906" s="200"/>
      <c r="W906" s="200"/>
      <c r="X906" s="200"/>
      <c r="Y906" s="200"/>
      <c r="Z906" s="200"/>
    </row>
    <row r="907" ht="22.5" customHeight="1">
      <c r="A907" s="145"/>
      <c r="B907" s="154"/>
      <c r="C907" s="138"/>
      <c r="D907" s="138"/>
      <c r="E907" s="138"/>
      <c r="F907" s="138"/>
      <c r="G907" s="119"/>
      <c r="H907" s="200"/>
      <c r="I907" s="200"/>
      <c r="J907" s="200"/>
      <c r="K907" s="200"/>
      <c r="L907" s="200"/>
      <c r="M907" s="200"/>
      <c r="N907" s="200"/>
      <c r="O907" s="200"/>
      <c r="P907" s="200"/>
      <c r="Q907" s="200"/>
      <c r="R907" s="200"/>
      <c r="S907" s="200"/>
      <c r="T907" s="200"/>
      <c r="U907" s="200"/>
      <c r="V907" s="200"/>
      <c r="W907" s="200"/>
      <c r="X907" s="200"/>
      <c r="Y907" s="200"/>
      <c r="Z907" s="200"/>
    </row>
    <row r="908" ht="22.5" customHeight="1">
      <c r="A908" s="145"/>
      <c r="B908" s="154"/>
      <c r="C908" s="138"/>
      <c r="D908" s="138"/>
      <c r="E908" s="138"/>
      <c r="F908" s="138"/>
      <c r="G908" s="119"/>
      <c r="H908" s="200"/>
      <c r="I908" s="200"/>
      <c r="J908" s="200"/>
      <c r="K908" s="200"/>
      <c r="L908" s="200"/>
      <c r="M908" s="200"/>
      <c r="N908" s="200"/>
      <c r="O908" s="200"/>
      <c r="P908" s="200"/>
      <c r="Q908" s="200"/>
      <c r="R908" s="200"/>
      <c r="S908" s="200"/>
      <c r="T908" s="200"/>
      <c r="U908" s="200"/>
      <c r="V908" s="200"/>
      <c r="W908" s="200"/>
      <c r="X908" s="200"/>
      <c r="Y908" s="200"/>
      <c r="Z908" s="200"/>
    </row>
    <row r="909" ht="22.5" customHeight="1">
      <c r="A909" s="145"/>
      <c r="B909" s="154"/>
      <c r="C909" s="138"/>
      <c r="D909" s="138"/>
      <c r="E909" s="138"/>
      <c r="F909" s="138"/>
      <c r="G909" s="119"/>
      <c r="H909" s="200"/>
      <c r="I909" s="200"/>
      <c r="J909" s="200"/>
      <c r="K909" s="200"/>
      <c r="L909" s="200"/>
      <c r="M909" s="200"/>
      <c r="N909" s="200"/>
      <c r="O909" s="200"/>
      <c r="P909" s="200"/>
      <c r="Q909" s="200"/>
      <c r="R909" s="200"/>
      <c r="S909" s="200"/>
      <c r="T909" s="200"/>
      <c r="U909" s="200"/>
      <c r="V909" s="200"/>
      <c r="W909" s="200"/>
      <c r="X909" s="200"/>
      <c r="Y909" s="200"/>
      <c r="Z909" s="200"/>
    </row>
    <row r="910" ht="22.5" customHeight="1">
      <c r="A910" s="145"/>
      <c r="B910" s="154"/>
      <c r="C910" s="138"/>
      <c r="D910" s="138"/>
      <c r="E910" s="138"/>
      <c r="F910" s="138"/>
      <c r="G910" s="119"/>
      <c r="H910" s="200"/>
      <c r="I910" s="200"/>
      <c r="J910" s="200"/>
      <c r="K910" s="200"/>
      <c r="L910" s="200"/>
      <c r="M910" s="200"/>
      <c r="N910" s="200"/>
      <c r="O910" s="200"/>
      <c r="P910" s="200"/>
      <c r="Q910" s="200"/>
      <c r="R910" s="200"/>
      <c r="S910" s="200"/>
      <c r="T910" s="200"/>
      <c r="U910" s="200"/>
      <c r="V910" s="200"/>
      <c r="W910" s="200"/>
      <c r="X910" s="200"/>
      <c r="Y910" s="200"/>
      <c r="Z910" s="200"/>
    </row>
    <row r="911" ht="22.5" customHeight="1">
      <c r="A911" s="145"/>
      <c r="B911" s="154"/>
      <c r="C911" s="138"/>
      <c r="D911" s="138"/>
      <c r="E911" s="138"/>
      <c r="F911" s="138"/>
      <c r="G911" s="119"/>
      <c r="H911" s="200"/>
      <c r="I911" s="200"/>
      <c r="J911" s="200"/>
      <c r="K911" s="200"/>
      <c r="L911" s="200"/>
      <c r="M911" s="200"/>
      <c r="N911" s="200"/>
      <c r="O911" s="200"/>
      <c r="P911" s="200"/>
      <c r="Q911" s="200"/>
      <c r="R911" s="200"/>
      <c r="S911" s="200"/>
      <c r="T911" s="200"/>
      <c r="U911" s="200"/>
      <c r="V911" s="200"/>
      <c r="W911" s="200"/>
      <c r="X911" s="200"/>
      <c r="Y911" s="200"/>
      <c r="Z911" s="200"/>
    </row>
    <row r="912" ht="22.5" customHeight="1">
      <c r="A912" s="145"/>
      <c r="B912" s="154"/>
      <c r="C912" s="138"/>
      <c r="D912" s="138"/>
      <c r="E912" s="138"/>
      <c r="F912" s="138"/>
      <c r="G912" s="119"/>
      <c r="H912" s="200"/>
      <c r="I912" s="200"/>
      <c r="J912" s="200"/>
      <c r="K912" s="200"/>
      <c r="L912" s="200"/>
      <c r="M912" s="200"/>
      <c r="N912" s="200"/>
      <c r="O912" s="200"/>
      <c r="P912" s="200"/>
      <c r="Q912" s="200"/>
      <c r="R912" s="200"/>
      <c r="S912" s="200"/>
      <c r="T912" s="200"/>
      <c r="U912" s="200"/>
      <c r="V912" s="200"/>
      <c r="W912" s="200"/>
      <c r="X912" s="200"/>
      <c r="Y912" s="200"/>
      <c r="Z912" s="200"/>
    </row>
    <row r="913" ht="22.5" customHeight="1">
      <c r="A913" s="145"/>
      <c r="B913" s="154"/>
      <c r="C913" s="138"/>
      <c r="D913" s="138"/>
      <c r="E913" s="138"/>
      <c r="F913" s="138"/>
      <c r="G913" s="119"/>
      <c r="H913" s="200"/>
      <c r="I913" s="200"/>
      <c r="J913" s="200"/>
      <c r="K913" s="200"/>
      <c r="L913" s="200"/>
      <c r="M913" s="200"/>
      <c r="N913" s="200"/>
      <c r="O913" s="200"/>
      <c r="P913" s="200"/>
      <c r="Q913" s="200"/>
      <c r="R913" s="200"/>
      <c r="S913" s="200"/>
      <c r="T913" s="200"/>
      <c r="U913" s="200"/>
      <c r="V913" s="200"/>
      <c r="W913" s="200"/>
      <c r="X913" s="200"/>
      <c r="Y913" s="200"/>
      <c r="Z913" s="200"/>
    </row>
    <row r="914" ht="22.5" customHeight="1">
      <c r="A914" s="145"/>
      <c r="B914" s="154"/>
      <c r="C914" s="138"/>
      <c r="D914" s="138"/>
      <c r="E914" s="138"/>
      <c r="F914" s="138"/>
      <c r="G914" s="119"/>
      <c r="H914" s="200"/>
      <c r="I914" s="200"/>
      <c r="J914" s="200"/>
      <c r="K914" s="200"/>
      <c r="L914" s="200"/>
      <c r="M914" s="200"/>
      <c r="N914" s="200"/>
      <c r="O914" s="200"/>
      <c r="P914" s="200"/>
      <c r="Q914" s="200"/>
      <c r="R914" s="200"/>
      <c r="S914" s="200"/>
      <c r="T914" s="200"/>
      <c r="U914" s="200"/>
      <c r="V914" s="200"/>
      <c r="W914" s="200"/>
      <c r="X914" s="200"/>
      <c r="Y914" s="200"/>
      <c r="Z914" s="200"/>
    </row>
    <row r="915" ht="22.5" customHeight="1">
      <c r="A915" s="145"/>
      <c r="B915" s="154"/>
      <c r="C915" s="138"/>
      <c r="D915" s="138"/>
      <c r="E915" s="138"/>
      <c r="F915" s="138"/>
      <c r="G915" s="119"/>
      <c r="H915" s="200"/>
      <c r="I915" s="200"/>
      <c r="J915" s="200"/>
      <c r="K915" s="200"/>
      <c r="L915" s="200"/>
      <c r="M915" s="200"/>
      <c r="N915" s="200"/>
      <c r="O915" s="200"/>
      <c r="P915" s="200"/>
      <c r="Q915" s="200"/>
      <c r="R915" s="200"/>
      <c r="S915" s="200"/>
      <c r="T915" s="200"/>
      <c r="U915" s="200"/>
      <c r="V915" s="200"/>
      <c r="W915" s="200"/>
      <c r="X915" s="200"/>
      <c r="Y915" s="200"/>
      <c r="Z915" s="200"/>
    </row>
    <row r="916" ht="22.5" customHeight="1">
      <c r="A916" s="145"/>
      <c r="B916" s="154"/>
      <c r="C916" s="138"/>
      <c r="D916" s="138"/>
      <c r="E916" s="138"/>
      <c r="F916" s="138"/>
      <c r="G916" s="119"/>
      <c r="H916" s="200"/>
      <c r="I916" s="200"/>
      <c r="J916" s="200"/>
      <c r="K916" s="200"/>
      <c r="L916" s="200"/>
      <c r="M916" s="200"/>
      <c r="N916" s="200"/>
      <c r="O916" s="200"/>
      <c r="P916" s="200"/>
      <c r="Q916" s="200"/>
      <c r="R916" s="200"/>
      <c r="S916" s="200"/>
      <c r="T916" s="200"/>
      <c r="U916" s="200"/>
      <c r="V916" s="200"/>
      <c r="W916" s="200"/>
      <c r="X916" s="200"/>
      <c r="Y916" s="200"/>
      <c r="Z916" s="200"/>
    </row>
    <row r="917" ht="22.5" customHeight="1">
      <c r="A917" s="145"/>
      <c r="B917" s="154"/>
      <c r="C917" s="138"/>
      <c r="D917" s="138"/>
      <c r="E917" s="138"/>
      <c r="F917" s="138"/>
      <c r="G917" s="119"/>
      <c r="H917" s="200"/>
      <c r="I917" s="200"/>
      <c r="J917" s="200"/>
      <c r="K917" s="200"/>
      <c r="L917" s="200"/>
      <c r="M917" s="200"/>
      <c r="N917" s="200"/>
      <c r="O917" s="200"/>
      <c r="P917" s="200"/>
      <c r="Q917" s="200"/>
      <c r="R917" s="200"/>
      <c r="S917" s="200"/>
      <c r="T917" s="200"/>
      <c r="U917" s="200"/>
      <c r="V917" s="200"/>
      <c r="W917" s="200"/>
      <c r="X917" s="200"/>
      <c r="Y917" s="200"/>
      <c r="Z917" s="200"/>
    </row>
    <row r="918" ht="22.5" customHeight="1">
      <c r="A918" s="145"/>
      <c r="B918" s="154"/>
      <c r="C918" s="138"/>
      <c r="D918" s="138"/>
      <c r="E918" s="138"/>
      <c r="F918" s="138"/>
      <c r="G918" s="119"/>
      <c r="H918" s="200"/>
      <c r="I918" s="200"/>
      <c r="J918" s="200"/>
      <c r="K918" s="200"/>
      <c r="L918" s="200"/>
      <c r="M918" s="200"/>
      <c r="N918" s="200"/>
      <c r="O918" s="200"/>
      <c r="P918" s="200"/>
      <c r="Q918" s="200"/>
      <c r="R918" s="200"/>
      <c r="S918" s="200"/>
      <c r="T918" s="200"/>
      <c r="U918" s="200"/>
      <c r="V918" s="200"/>
      <c r="W918" s="200"/>
      <c r="X918" s="200"/>
      <c r="Y918" s="200"/>
      <c r="Z918" s="200"/>
    </row>
    <row r="919" ht="22.5" customHeight="1">
      <c r="A919" s="145"/>
      <c r="B919" s="154"/>
      <c r="C919" s="138"/>
      <c r="D919" s="138"/>
      <c r="E919" s="138"/>
      <c r="F919" s="138"/>
      <c r="G919" s="119"/>
      <c r="H919" s="200"/>
      <c r="I919" s="200"/>
      <c r="J919" s="200"/>
      <c r="K919" s="200"/>
      <c r="L919" s="200"/>
      <c r="M919" s="200"/>
      <c r="N919" s="200"/>
      <c r="O919" s="200"/>
      <c r="P919" s="200"/>
      <c r="Q919" s="200"/>
      <c r="R919" s="200"/>
      <c r="S919" s="200"/>
      <c r="T919" s="200"/>
      <c r="U919" s="200"/>
      <c r="V919" s="200"/>
      <c r="W919" s="200"/>
      <c r="X919" s="200"/>
      <c r="Y919" s="200"/>
      <c r="Z919" s="200"/>
    </row>
    <row r="920" ht="22.5" customHeight="1">
      <c r="A920" s="145"/>
      <c r="B920" s="154"/>
      <c r="C920" s="138"/>
      <c r="D920" s="138"/>
      <c r="E920" s="138"/>
      <c r="F920" s="138"/>
      <c r="G920" s="119"/>
      <c r="H920" s="200"/>
      <c r="I920" s="200"/>
      <c r="J920" s="200"/>
      <c r="K920" s="200"/>
      <c r="L920" s="200"/>
      <c r="M920" s="200"/>
      <c r="N920" s="200"/>
      <c r="O920" s="200"/>
      <c r="P920" s="200"/>
      <c r="Q920" s="200"/>
      <c r="R920" s="200"/>
      <c r="S920" s="200"/>
      <c r="T920" s="200"/>
      <c r="U920" s="200"/>
      <c r="V920" s="200"/>
      <c r="W920" s="200"/>
      <c r="X920" s="200"/>
      <c r="Y920" s="200"/>
      <c r="Z920" s="200"/>
    </row>
    <row r="921" ht="22.5" customHeight="1">
      <c r="A921" s="145"/>
      <c r="B921" s="154"/>
      <c r="C921" s="138"/>
      <c r="D921" s="138"/>
      <c r="E921" s="138"/>
      <c r="F921" s="138"/>
      <c r="G921" s="119"/>
      <c r="H921" s="200"/>
      <c r="I921" s="200"/>
      <c r="J921" s="200"/>
      <c r="K921" s="200"/>
      <c r="L921" s="200"/>
      <c r="M921" s="200"/>
      <c r="N921" s="200"/>
      <c r="O921" s="200"/>
      <c r="P921" s="200"/>
      <c r="Q921" s="200"/>
      <c r="R921" s="200"/>
      <c r="S921" s="200"/>
      <c r="T921" s="200"/>
      <c r="U921" s="200"/>
      <c r="V921" s="200"/>
      <c r="W921" s="200"/>
      <c r="X921" s="200"/>
      <c r="Y921" s="200"/>
      <c r="Z921" s="200"/>
    </row>
    <row r="922" ht="22.5" customHeight="1">
      <c r="A922" s="145"/>
      <c r="B922" s="154"/>
      <c r="C922" s="138"/>
      <c r="D922" s="138"/>
      <c r="E922" s="138"/>
      <c r="F922" s="138"/>
      <c r="G922" s="119"/>
      <c r="H922" s="200"/>
      <c r="I922" s="200"/>
      <c r="J922" s="200"/>
      <c r="K922" s="200"/>
      <c r="L922" s="200"/>
      <c r="M922" s="200"/>
      <c r="N922" s="200"/>
      <c r="O922" s="200"/>
      <c r="P922" s="200"/>
      <c r="Q922" s="200"/>
      <c r="R922" s="200"/>
      <c r="S922" s="200"/>
      <c r="T922" s="200"/>
      <c r="U922" s="200"/>
      <c r="V922" s="200"/>
      <c r="W922" s="200"/>
      <c r="X922" s="200"/>
      <c r="Y922" s="200"/>
      <c r="Z922" s="200"/>
    </row>
    <row r="923" ht="22.5" customHeight="1">
      <c r="A923" s="145"/>
      <c r="B923" s="154"/>
      <c r="C923" s="138"/>
      <c r="D923" s="138"/>
      <c r="E923" s="138"/>
      <c r="F923" s="138"/>
      <c r="G923" s="119"/>
      <c r="H923" s="200"/>
      <c r="I923" s="200"/>
      <c r="J923" s="200"/>
      <c r="K923" s="200"/>
      <c r="L923" s="200"/>
      <c r="M923" s="200"/>
      <c r="N923" s="200"/>
      <c r="O923" s="200"/>
      <c r="P923" s="200"/>
      <c r="Q923" s="200"/>
      <c r="R923" s="200"/>
      <c r="S923" s="200"/>
      <c r="T923" s="200"/>
      <c r="U923" s="200"/>
      <c r="V923" s="200"/>
      <c r="W923" s="200"/>
      <c r="X923" s="200"/>
      <c r="Y923" s="200"/>
      <c r="Z923" s="200"/>
    </row>
    <row r="924" ht="22.5" customHeight="1">
      <c r="A924" s="145"/>
      <c r="B924" s="154"/>
      <c r="C924" s="138"/>
      <c r="D924" s="138"/>
      <c r="E924" s="138"/>
      <c r="F924" s="138"/>
      <c r="G924" s="119"/>
      <c r="H924" s="200"/>
      <c r="I924" s="200"/>
      <c r="J924" s="200"/>
      <c r="K924" s="200"/>
      <c r="L924" s="200"/>
      <c r="M924" s="200"/>
      <c r="N924" s="200"/>
      <c r="O924" s="200"/>
      <c r="P924" s="200"/>
      <c r="Q924" s="200"/>
      <c r="R924" s="200"/>
      <c r="S924" s="200"/>
      <c r="T924" s="200"/>
      <c r="U924" s="200"/>
      <c r="V924" s="200"/>
      <c r="W924" s="200"/>
      <c r="X924" s="200"/>
      <c r="Y924" s="200"/>
      <c r="Z924" s="200"/>
    </row>
    <row r="925" ht="22.5" customHeight="1">
      <c r="A925" s="145"/>
      <c r="B925" s="154"/>
      <c r="C925" s="138"/>
      <c r="D925" s="138"/>
      <c r="E925" s="138"/>
      <c r="F925" s="138"/>
      <c r="G925" s="119"/>
      <c r="H925" s="200"/>
      <c r="I925" s="200"/>
      <c r="J925" s="200"/>
      <c r="K925" s="200"/>
      <c r="L925" s="200"/>
      <c r="M925" s="200"/>
      <c r="N925" s="200"/>
      <c r="O925" s="200"/>
      <c r="P925" s="200"/>
      <c r="Q925" s="200"/>
      <c r="R925" s="200"/>
      <c r="S925" s="200"/>
      <c r="T925" s="200"/>
      <c r="U925" s="200"/>
      <c r="V925" s="200"/>
      <c r="W925" s="200"/>
      <c r="X925" s="200"/>
      <c r="Y925" s="200"/>
      <c r="Z925" s="200"/>
    </row>
    <row r="926" ht="22.5" customHeight="1">
      <c r="A926" s="145"/>
      <c r="B926" s="154"/>
      <c r="C926" s="138"/>
      <c r="D926" s="138"/>
      <c r="E926" s="138"/>
      <c r="F926" s="138"/>
      <c r="G926" s="119"/>
      <c r="H926" s="200"/>
      <c r="I926" s="200"/>
      <c r="J926" s="200"/>
      <c r="K926" s="200"/>
      <c r="L926" s="200"/>
      <c r="M926" s="200"/>
      <c r="N926" s="200"/>
      <c r="O926" s="200"/>
      <c r="P926" s="200"/>
      <c r="Q926" s="200"/>
      <c r="R926" s="200"/>
      <c r="S926" s="200"/>
      <c r="T926" s="200"/>
      <c r="U926" s="200"/>
      <c r="V926" s="200"/>
      <c r="W926" s="200"/>
      <c r="X926" s="200"/>
      <c r="Y926" s="200"/>
      <c r="Z926" s="200"/>
    </row>
    <row r="927" ht="22.5" customHeight="1">
      <c r="A927" s="145"/>
      <c r="B927" s="154"/>
      <c r="C927" s="138"/>
      <c r="D927" s="138"/>
      <c r="E927" s="138"/>
      <c r="F927" s="138"/>
      <c r="G927" s="119"/>
      <c r="H927" s="200"/>
      <c r="I927" s="200"/>
      <c r="J927" s="200"/>
      <c r="K927" s="200"/>
      <c r="L927" s="200"/>
      <c r="M927" s="200"/>
      <c r="N927" s="200"/>
      <c r="O927" s="200"/>
      <c r="P927" s="200"/>
      <c r="Q927" s="200"/>
      <c r="R927" s="200"/>
      <c r="S927" s="200"/>
      <c r="T927" s="200"/>
      <c r="U927" s="200"/>
      <c r="V927" s="200"/>
      <c r="W927" s="200"/>
      <c r="X927" s="200"/>
      <c r="Y927" s="200"/>
      <c r="Z927" s="200"/>
    </row>
    <row r="928" ht="22.5" customHeight="1">
      <c r="A928" s="145"/>
      <c r="B928" s="154"/>
      <c r="C928" s="138"/>
      <c r="D928" s="138"/>
      <c r="E928" s="138"/>
      <c r="F928" s="138"/>
      <c r="G928" s="119"/>
      <c r="H928" s="200"/>
      <c r="I928" s="200"/>
      <c r="J928" s="200"/>
      <c r="K928" s="200"/>
      <c r="L928" s="200"/>
      <c r="M928" s="200"/>
      <c r="N928" s="200"/>
      <c r="O928" s="200"/>
      <c r="P928" s="200"/>
      <c r="Q928" s="200"/>
      <c r="R928" s="200"/>
      <c r="S928" s="200"/>
      <c r="T928" s="200"/>
      <c r="U928" s="200"/>
      <c r="V928" s="200"/>
      <c r="W928" s="200"/>
      <c r="X928" s="200"/>
      <c r="Y928" s="200"/>
      <c r="Z928" s="200"/>
    </row>
    <row r="929" ht="22.5" customHeight="1">
      <c r="A929" s="145"/>
      <c r="B929" s="154"/>
      <c r="C929" s="138"/>
      <c r="D929" s="138"/>
      <c r="E929" s="138"/>
      <c r="F929" s="138"/>
      <c r="G929" s="119"/>
      <c r="H929" s="200"/>
      <c r="I929" s="200"/>
      <c r="J929" s="200"/>
      <c r="K929" s="200"/>
      <c r="L929" s="200"/>
      <c r="M929" s="200"/>
      <c r="N929" s="200"/>
      <c r="O929" s="200"/>
      <c r="P929" s="200"/>
      <c r="Q929" s="200"/>
      <c r="R929" s="200"/>
      <c r="S929" s="200"/>
      <c r="T929" s="200"/>
      <c r="U929" s="200"/>
      <c r="V929" s="200"/>
      <c r="W929" s="200"/>
      <c r="X929" s="200"/>
      <c r="Y929" s="200"/>
      <c r="Z929" s="200"/>
    </row>
    <row r="930" ht="22.5" customHeight="1">
      <c r="A930" s="145"/>
      <c r="B930" s="154"/>
      <c r="C930" s="138"/>
      <c r="D930" s="138"/>
      <c r="E930" s="138"/>
      <c r="F930" s="138"/>
      <c r="G930" s="119"/>
      <c r="H930" s="200"/>
      <c r="I930" s="200"/>
      <c r="J930" s="200"/>
      <c r="K930" s="200"/>
      <c r="L930" s="200"/>
      <c r="M930" s="200"/>
      <c r="N930" s="200"/>
      <c r="O930" s="200"/>
      <c r="P930" s="200"/>
      <c r="Q930" s="200"/>
      <c r="R930" s="200"/>
      <c r="S930" s="200"/>
      <c r="T930" s="200"/>
      <c r="U930" s="200"/>
      <c r="V930" s="200"/>
      <c r="W930" s="200"/>
      <c r="X930" s="200"/>
      <c r="Y930" s="200"/>
      <c r="Z930" s="200"/>
    </row>
    <row r="931" ht="22.5" customHeight="1">
      <c r="A931" s="145"/>
      <c r="B931" s="154"/>
      <c r="C931" s="138"/>
      <c r="D931" s="138"/>
      <c r="E931" s="138"/>
      <c r="F931" s="138"/>
      <c r="G931" s="119"/>
      <c r="H931" s="200"/>
      <c r="I931" s="200"/>
      <c r="J931" s="200"/>
      <c r="K931" s="200"/>
      <c r="L931" s="200"/>
      <c r="M931" s="200"/>
      <c r="N931" s="200"/>
      <c r="O931" s="200"/>
      <c r="P931" s="200"/>
      <c r="Q931" s="200"/>
      <c r="R931" s="200"/>
      <c r="S931" s="200"/>
      <c r="T931" s="200"/>
      <c r="U931" s="200"/>
      <c r="V931" s="200"/>
      <c r="W931" s="200"/>
      <c r="X931" s="200"/>
      <c r="Y931" s="200"/>
      <c r="Z931" s="200"/>
    </row>
    <row r="932" ht="22.5" customHeight="1">
      <c r="A932" s="145"/>
      <c r="B932" s="154"/>
      <c r="C932" s="138"/>
      <c r="D932" s="138"/>
      <c r="E932" s="138"/>
      <c r="F932" s="138"/>
      <c r="G932" s="119"/>
      <c r="H932" s="200"/>
      <c r="I932" s="200"/>
      <c r="J932" s="200"/>
      <c r="K932" s="200"/>
      <c r="L932" s="200"/>
      <c r="M932" s="200"/>
      <c r="N932" s="200"/>
      <c r="O932" s="200"/>
      <c r="P932" s="200"/>
      <c r="Q932" s="200"/>
      <c r="R932" s="200"/>
      <c r="S932" s="200"/>
      <c r="T932" s="200"/>
      <c r="U932" s="200"/>
      <c r="V932" s="200"/>
      <c r="W932" s="200"/>
      <c r="X932" s="200"/>
      <c r="Y932" s="200"/>
      <c r="Z932" s="200"/>
    </row>
    <row r="933" ht="22.5" customHeight="1">
      <c r="A933" s="145"/>
      <c r="B933" s="154"/>
      <c r="C933" s="138"/>
      <c r="D933" s="138"/>
      <c r="E933" s="138"/>
      <c r="F933" s="138"/>
      <c r="G933" s="119"/>
      <c r="H933" s="200"/>
      <c r="I933" s="200"/>
      <c r="J933" s="200"/>
      <c r="K933" s="200"/>
      <c r="L933" s="200"/>
      <c r="M933" s="200"/>
      <c r="N933" s="200"/>
      <c r="O933" s="200"/>
      <c r="P933" s="200"/>
      <c r="Q933" s="200"/>
      <c r="R933" s="200"/>
      <c r="S933" s="200"/>
      <c r="T933" s="200"/>
      <c r="U933" s="200"/>
      <c r="V933" s="200"/>
      <c r="W933" s="200"/>
      <c r="X933" s="200"/>
      <c r="Y933" s="200"/>
      <c r="Z933" s="200"/>
    </row>
    <row r="934" ht="22.5" customHeight="1">
      <c r="A934" s="145"/>
      <c r="B934" s="154"/>
      <c r="C934" s="138"/>
      <c r="D934" s="138"/>
      <c r="E934" s="138"/>
      <c r="F934" s="138"/>
      <c r="G934" s="119"/>
      <c r="H934" s="200"/>
      <c r="I934" s="200"/>
      <c r="J934" s="200"/>
      <c r="K934" s="200"/>
      <c r="L934" s="200"/>
      <c r="M934" s="200"/>
      <c r="N934" s="200"/>
      <c r="O934" s="200"/>
      <c r="P934" s="200"/>
      <c r="Q934" s="200"/>
      <c r="R934" s="200"/>
      <c r="S934" s="200"/>
      <c r="T934" s="200"/>
      <c r="U934" s="200"/>
      <c r="V934" s="200"/>
      <c r="W934" s="200"/>
      <c r="X934" s="200"/>
      <c r="Y934" s="200"/>
      <c r="Z934" s="200"/>
    </row>
    <row r="935" ht="22.5" customHeight="1">
      <c r="A935" s="145"/>
      <c r="B935" s="154"/>
      <c r="C935" s="138"/>
      <c r="D935" s="138"/>
      <c r="E935" s="138"/>
      <c r="F935" s="138"/>
      <c r="G935" s="119"/>
      <c r="H935" s="200"/>
      <c r="I935" s="200"/>
      <c r="J935" s="200"/>
      <c r="K935" s="200"/>
      <c r="L935" s="200"/>
      <c r="M935" s="200"/>
      <c r="N935" s="200"/>
      <c r="O935" s="200"/>
      <c r="P935" s="200"/>
      <c r="Q935" s="200"/>
      <c r="R935" s="200"/>
      <c r="S935" s="200"/>
      <c r="T935" s="200"/>
      <c r="U935" s="200"/>
      <c r="V935" s="200"/>
      <c r="W935" s="200"/>
      <c r="X935" s="200"/>
      <c r="Y935" s="200"/>
      <c r="Z935" s="200"/>
    </row>
    <row r="936" ht="22.5" customHeight="1">
      <c r="A936" s="145"/>
      <c r="B936" s="154"/>
      <c r="C936" s="138"/>
      <c r="D936" s="138"/>
      <c r="E936" s="138"/>
      <c r="F936" s="138"/>
      <c r="G936" s="119"/>
      <c r="H936" s="200"/>
      <c r="I936" s="200"/>
      <c r="J936" s="200"/>
      <c r="K936" s="200"/>
      <c r="L936" s="200"/>
      <c r="M936" s="200"/>
      <c r="N936" s="200"/>
      <c r="O936" s="200"/>
      <c r="P936" s="200"/>
      <c r="Q936" s="200"/>
      <c r="R936" s="200"/>
      <c r="S936" s="200"/>
      <c r="T936" s="200"/>
      <c r="U936" s="200"/>
      <c r="V936" s="200"/>
      <c r="W936" s="200"/>
      <c r="X936" s="200"/>
      <c r="Y936" s="200"/>
      <c r="Z936" s="200"/>
    </row>
    <row r="937" ht="22.5" customHeight="1">
      <c r="A937" s="145"/>
      <c r="B937" s="154"/>
      <c r="C937" s="138"/>
      <c r="D937" s="138"/>
      <c r="E937" s="138"/>
      <c r="F937" s="138"/>
      <c r="G937" s="119"/>
      <c r="H937" s="200"/>
      <c r="I937" s="200"/>
      <c r="J937" s="200"/>
      <c r="K937" s="200"/>
      <c r="L937" s="200"/>
      <c r="M937" s="200"/>
      <c r="N937" s="200"/>
      <c r="O937" s="200"/>
      <c r="P937" s="200"/>
      <c r="Q937" s="200"/>
      <c r="R937" s="200"/>
      <c r="S937" s="200"/>
      <c r="T937" s="200"/>
      <c r="U937" s="200"/>
      <c r="V937" s="200"/>
      <c r="W937" s="200"/>
      <c r="X937" s="200"/>
      <c r="Y937" s="200"/>
      <c r="Z937" s="200"/>
    </row>
    <row r="938" ht="22.5" customHeight="1">
      <c r="A938" s="145"/>
      <c r="B938" s="154"/>
      <c r="C938" s="138"/>
      <c r="D938" s="138"/>
      <c r="E938" s="138"/>
      <c r="F938" s="138"/>
      <c r="G938" s="119"/>
      <c r="H938" s="200"/>
      <c r="I938" s="200"/>
      <c r="J938" s="200"/>
      <c r="K938" s="200"/>
      <c r="L938" s="200"/>
      <c r="M938" s="200"/>
      <c r="N938" s="200"/>
      <c r="O938" s="200"/>
      <c r="P938" s="200"/>
      <c r="Q938" s="200"/>
      <c r="R938" s="200"/>
      <c r="S938" s="200"/>
      <c r="T938" s="200"/>
      <c r="U938" s="200"/>
      <c r="V938" s="200"/>
      <c r="W938" s="200"/>
      <c r="X938" s="200"/>
      <c r="Y938" s="200"/>
      <c r="Z938" s="200"/>
    </row>
    <row r="939" ht="22.5" customHeight="1">
      <c r="A939" s="145"/>
      <c r="B939" s="154"/>
      <c r="C939" s="138"/>
      <c r="D939" s="138"/>
      <c r="E939" s="138"/>
      <c r="F939" s="138"/>
      <c r="G939" s="119"/>
      <c r="H939" s="200"/>
      <c r="I939" s="200"/>
      <c r="J939" s="200"/>
      <c r="K939" s="200"/>
      <c r="L939" s="200"/>
      <c r="M939" s="200"/>
      <c r="N939" s="200"/>
      <c r="O939" s="200"/>
      <c r="P939" s="200"/>
      <c r="Q939" s="200"/>
      <c r="R939" s="200"/>
      <c r="S939" s="200"/>
      <c r="T939" s="200"/>
      <c r="U939" s="200"/>
      <c r="V939" s="200"/>
      <c r="W939" s="200"/>
      <c r="X939" s="200"/>
      <c r="Y939" s="200"/>
      <c r="Z939" s="200"/>
    </row>
    <row r="940" ht="22.5" customHeight="1">
      <c r="A940" s="145"/>
      <c r="B940" s="154"/>
      <c r="C940" s="138"/>
      <c r="D940" s="138"/>
      <c r="E940" s="138"/>
      <c r="F940" s="138"/>
      <c r="G940" s="119"/>
      <c r="H940" s="200"/>
      <c r="I940" s="200"/>
      <c r="J940" s="200"/>
      <c r="K940" s="200"/>
      <c r="L940" s="200"/>
      <c r="M940" s="200"/>
      <c r="N940" s="200"/>
      <c r="O940" s="200"/>
      <c r="P940" s="200"/>
      <c r="Q940" s="200"/>
      <c r="R940" s="200"/>
      <c r="S940" s="200"/>
      <c r="T940" s="200"/>
      <c r="U940" s="200"/>
      <c r="V940" s="200"/>
      <c r="W940" s="200"/>
      <c r="X940" s="200"/>
      <c r="Y940" s="200"/>
      <c r="Z940" s="200"/>
    </row>
    <row r="941" ht="22.5" customHeight="1">
      <c r="A941" s="145"/>
      <c r="B941" s="154"/>
      <c r="C941" s="138"/>
      <c r="D941" s="138"/>
      <c r="E941" s="138"/>
      <c r="F941" s="138"/>
      <c r="G941" s="119"/>
      <c r="H941" s="200"/>
      <c r="I941" s="200"/>
      <c r="J941" s="200"/>
      <c r="K941" s="200"/>
      <c r="L941" s="200"/>
      <c r="M941" s="200"/>
      <c r="N941" s="200"/>
      <c r="O941" s="200"/>
      <c r="P941" s="200"/>
      <c r="Q941" s="200"/>
      <c r="R941" s="200"/>
      <c r="S941" s="200"/>
      <c r="T941" s="200"/>
      <c r="U941" s="200"/>
      <c r="V941" s="200"/>
      <c r="W941" s="200"/>
      <c r="X941" s="200"/>
      <c r="Y941" s="200"/>
      <c r="Z941" s="200"/>
    </row>
    <row r="942" ht="22.5" customHeight="1">
      <c r="A942" s="145"/>
      <c r="B942" s="154"/>
      <c r="C942" s="138"/>
      <c r="D942" s="138"/>
      <c r="E942" s="138"/>
      <c r="F942" s="138"/>
      <c r="G942" s="119"/>
      <c r="H942" s="200"/>
      <c r="I942" s="200"/>
      <c r="J942" s="200"/>
      <c r="K942" s="200"/>
      <c r="L942" s="200"/>
      <c r="M942" s="200"/>
      <c r="N942" s="200"/>
      <c r="O942" s="200"/>
      <c r="P942" s="200"/>
      <c r="Q942" s="200"/>
      <c r="R942" s="200"/>
      <c r="S942" s="200"/>
      <c r="T942" s="200"/>
      <c r="U942" s="200"/>
      <c r="V942" s="200"/>
      <c r="W942" s="200"/>
      <c r="X942" s="200"/>
      <c r="Y942" s="200"/>
      <c r="Z942" s="200"/>
    </row>
    <row r="943" ht="22.5" customHeight="1">
      <c r="A943" s="145"/>
      <c r="B943" s="154"/>
      <c r="C943" s="138"/>
      <c r="D943" s="138"/>
      <c r="E943" s="138"/>
      <c r="F943" s="138"/>
      <c r="G943" s="119"/>
      <c r="H943" s="200"/>
      <c r="I943" s="200"/>
      <c r="J943" s="200"/>
      <c r="K943" s="200"/>
      <c r="L943" s="200"/>
      <c r="M943" s="200"/>
      <c r="N943" s="200"/>
      <c r="O943" s="200"/>
      <c r="P943" s="200"/>
      <c r="Q943" s="200"/>
      <c r="R943" s="200"/>
      <c r="S943" s="200"/>
      <c r="T943" s="200"/>
      <c r="U943" s="200"/>
      <c r="V943" s="200"/>
      <c r="W943" s="200"/>
      <c r="X943" s="200"/>
      <c r="Y943" s="200"/>
      <c r="Z943" s="200"/>
    </row>
    <row r="944" ht="22.5" customHeight="1">
      <c r="A944" s="145"/>
      <c r="B944" s="154"/>
      <c r="C944" s="138"/>
      <c r="D944" s="138"/>
      <c r="E944" s="138"/>
      <c r="F944" s="138"/>
      <c r="G944" s="119"/>
      <c r="H944" s="200"/>
      <c r="I944" s="200"/>
      <c r="J944" s="200"/>
      <c r="K944" s="200"/>
      <c r="L944" s="200"/>
      <c r="M944" s="200"/>
      <c r="N944" s="200"/>
      <c r="O944" s="200"/>
      <c r="P944" s="200"/>
      <c r="Q944" s="200"/>
      <c r="R944" s="200"/>
      <c r="S944" s="200"/>
      <c r="T944" s="200"/>
      <c r="U944" s="200"/>
      <c r="V944" s="200"/>
      <c r="W944" s="200"/>
      <c r="X944" s="200"/>
      <c r="Y944" s="200"/>
      <c r="Z944" s="200"/>
    </row>
    <row r="945" ht="22.5" customHeight="1">
      <c r="A945" s="145"/>
      <c r="B945" s="154"/>
      <c r="C945" s="138"/>
      <c r="D945" s="138"/>
      <c r="E945" s="138"/>
      <c r="F945" s="138"/>
      <c r="G945" s="119"/>
      <c r="H945" s="200"/>
      <c r="I945" s="200"/>
      <c r="J945" s="200"/>
      <c r="K945" s="200"/>
      <c r="L945" s="200"/>
      <c r="M945" s="200"/>
      <c r="N945" s="200"/>
      <c r="O945" s="200"/>
      <c r="P945" s="200"/>
      <c r="Q945" s="200"/>
      <c r="R945" s="200"/>
      <c r="S945" s="200"/>
      <c r="T945" s="200"/>
      <c r="U945" s="200"/>
      <c r="V945" s="200"/>
      <c r="W945" s="200"/>
      <c r="X945" s="200"/>
      <c r="Y945" s="200"/>
      <c r="Z945" s="200"/>
    </row>
    <row r="946" ht="22.5" customHeight="1">
      <c r="A946" s="145"/>
      <c r="B946" s="154"/>
      <c r="C946" s="138"/>
      <c r="D946" s="138"/>
      <c r="E946" s="138"/>
      <c r="F946" s="138"/>
      <c r="G946" s="119"/>
      <c r="H946" s="200"/>
      <c r="I946" s="200"/>
      <c r="J946" s="200"/>
      <c r="K946" s="200"/>
      <c r="L946" s="200"/>
      <c r="M946" s="200"/>
      <c r="N946" s="200"/>
      <c r="O946" s="200"/>
      <c r="P946" s="200"/>
      <c r="Q946" s="200"/>
      <c r="R946" s="200"/>
      <c r="S946" s="200"/>
      <c r="T946" s="200"/>
      <c r="U946" s="200"/>
      <c r="V946" s="200"/>
      <c r="W946" s="200"/>
      <c r="X946" s="200"/>
      <c r="Y946" s="200"/>
      <c r="Z946" s="200"/>
    </row>
    <row r="947" ht="22.5" customHeight="1">
      <c r="A947" s="145"/>
      <c r="B947" s="154"/>
      <c r="C947" s="138"/>
      <c r="D947" s="138"/>
      <c r="E947" s="138"/>
      <c r="F947" s="138"/>
      <c r="G947" s="119"/>
      <c r="H947" s="200"/>
      <c r="I947" s="200"/>
      <c r="J947" s="200"/>
      <c r="K947" s="200"/>
      <c r="L947" s="200"/>
      <c r="M947" s="200"/>
      <c r="N947" s="200"/>
      <c r="O947" s="200"/>
      <c r="P947" s="200"/>
      <c r="Q947" s="200"/>
      <c r="R947" s="200"/>
      <c r="S947" s="200"/>
      <c r="T947" s="200"/>
      <c r="U947" s="200"/>
      <c r="V947" s="200"/>
      <c r="W947" s="200"/>
      <c r="X947" s="200"/>
      <c r="Y947" s="200"/>
      <c r="Z947" s="200"/>
    </row>
    <row r="948" ht="22.5" customHeight="1">
      <c r="A948" s="145"/>
      <c r="B948" s="154"/>
      <c r="C948" s="138"/>
      <c r="D948" s="138"/>
      <c r="E948" s="138"/>
      <c r="F948" s="138"/>
      <c r="G948" s="119"/>
      <c r="H948" s="200"/>
      <c r="I948" s="200"/>
      <c r="J948" s="200"/>
      <c r="K948" s="200"/>
      <c r="L948" s="200"/>
      <c r="M948" s="200"/>
      <c r="N948" s="200"/>
      <c r="O948" s="200"/>
      <c r="P948" s="200"/>
      <c r="Q948" s="200"/>
      <c r="R948" s="200"/>
      <c r="S948" s="200"/>
      <c r="T948" s="200"/>
      <c r="U948" s="200"/>
      <c r="V948" s="200"/>
      <c r="W948" s="200"/>
      <c r="X948" s="200"/>
      <c r="Y948" s="200"/>
      <c r="Z948" s="200"/>
    </row>
    <row r="949" ht="22.5" customHeight="1">
      <c r="A949" s="145"/>
      <c r="B949" s="154"/>
      <c r="C949" s="138"/>
      <c r="D949" s="138"/>
      <c r="E949" s="138"/>
      <c r="F949" s="138"/>
      <c r="G949" s="119"/>
      <c r="H949" s="200"/>
      <c r="I949" s="200"/>
      <c r="J949" s="200"/>
      <c r="K949" s="200"/>
      <c r="L949" s="200"/>
      <c r="M949" s="200"/>
      <c r="N949" s="200"/>
      <c r="O949" s="200"/>
      <c r="P949" s="200"/>
      <c r="Q949" s="200"/>
      <c r="R949" s="200"/>
      <c r="S949" s="200"/>
      <c r="T949" s="200"/>
      <c r="U949" s="200"/>
      <c r="V949" s="200"/>
      <c r="W949" s="200"/>
      <c r="X949" s="200"/>
      <c r="Y949" s="200"/>
      <c r="Z949" s="200"/>
    </row>
    <row r="950" ht="22.5" customHeight="1">
      <c r="A950" s="145"/>
      <c r="B950" s="154"/>
      <c r="C950" s="138"/>
      <c r="D950" s="138"/>
      <c r="E950" s="138"/>
      <c r="F950" s="138"/>
      <c r="G950" s="119"/>
      <c r="H950" s="200"/>
      <c r="I950" s="200"/>
      <c r="J950" s="200"/>
      <c r="K950" s="200"/>
      <c r="L950" s="200"/>
      <c r="M950" s="200"/>
      <c r="N950" s="200"/>
      <c r="O950" s="200"/>
      <c r="P950" s="200"/>
      <c r="Q950" s="200"/>
      <c r="R950" s="200"/>
      <c r="S950" s="200"/>
      <c r="T950" s="200"/>
      <c r="U950" s="200"/>
      <c r="V950" s="200"/>
      <c r="W950" s="200"/>
      <c r="X950" s="200"/>
      <c r="Y950" s="200"/>
      <c r="Z950" s="200"/>
    </row>
    <row r="951" ht="22.5" customHeight="1">
      <c r="A951" s="145"/>
      <c r="B951" s="154"/>
      <c r="C951" s="138"/>
      <c r="D951" s="138"/>
      <c r="E951" s="138"/>
      <c r="F951" s="138"/>
      <c r="G951" s="119"/>
      <c r="H951" s="200"/>
      <c r="I951" s="200"/>
      <c r="J951" s="200"/>
      <c r="K951" s="200"/>
      <c r="L951" s="200"/>
      <c r="M951" s="200"/>
      <c r="N951" s="200"/>
      <c r="O951" s="200"/>
      <c r="P951" s="200"/>
      <c r="Q951" s="200"/>
      <c r="R951" s="200"/>
      <c r="S951" s="200"/>
      <c r="T951" s="200"/>
      <c r="U951" s="200"/>
      <c r="V951" s="200"/>
      <c r="W951" s="200"/>
      <c r="X951" s="200"/>
      <c r="Y951" s="200"/>
      <c r="Z951" s="200"/>
    </row>
    <row r="952" ht="22.5" customHeight="1">
      <c r="A952" s="145"/>
      <c r="B952" s="154"/>
      <c r="C952" s="138"/>
      <c r="D952" s="138"/>
      <c r="E952" s="138"/>
      <c r="F952" s="138"/>
      <c r="G952" s="119"/>
      <c r="H952" s="200"/>
      <c r="I952" s="200"/>
      <c r="J952" s="200"/>
      <c r="K952" s="200"/>
      <c r="L952" s="200"/>
      <c r="M952" s="200"/>
      <c r="N952" s="200"/>
      <c r="O952" s="200"/>
      <c r="P952" s="200"/>
      <c r="Q952" s="200"/>
      <c r="R952" s="200"/>
      <c r="S952" s="200"/>
      <c r="T952" s="200"/>
      <c r="U952" s="200"/>
      <c r="V952" s="200"/>
      <c r="W952" s="200"/>
      <c r="X952" s="200"/>
      <c r="Y952" s="200"/>
      <c r="Z952" s="200"/>
    </row>
    <row r="953" ht="22.5" customHeight="1">
      <c r="A953" s="145"/>
      <c r="B953" s="154"/>
      <c r="C953" s="138"/>
      <c r="D953" s="138"/>
      <c r="E953" s="138"/>
      <c r="F953" s="138"/>
      <c r="G953" s="119"/>
      <c r="H953" s="200"/>
      <c r="I953" s="200"/>
      <c r="J953" s="200"/>
      <c r="K953" s="200"/>
      <c r="L953" s="200"/>
      <c r="M953" s="200"/>
      <c r="N953" s="200"/>
      <c r="O953" s="200"/>
      <c r="P953" s="200"/>
      <c r="Q953" s="200"/>
      <c r="R953" s="200"/>
      <c r="S953" s="200"/>
      <c r="T953" s="200"/>
      <c r="U953" s="200"/>
      <c r="V953" s="200"/>
      <c r="W953" s="200"/>
      <c r="X953" s="200"/>
      <c r="Y953" s="200"/>
      <c r="Z953" s="200"/>
    </row>
    <row r="954" ht="22.5" customHeight="1">
      <c r="A954" s="145"/>
      <c r="B954" s="154"/>
      <c r="C954" s="138"/>
      <c r="D954" s="138"/>
      <c r="E954" s="138"/>
      <c r="F954" s="138"/>
      <c r="G954" s="119"/>
      <c r="H954" s="200"/>
      <c r="I954" s="200"/>
      <c r="J954" s="200"/>
      <c r="K954" s="200"/>
      <c r="L954" s="200"/>
      <c r="M954" s="200"/>
      <c r="N954" s="200"/>
      <c r="O954" s="200"/>
      <c r="P954" s="200"/>
      <c r="Q954" s="200"/>
      <c r="R954" s="200"/>
      <c r="S954" s="200"/>
      <c r="T954" s="200"/>
      <c r="U954" s="200"/>
      <c r="V954" s="200"/>
      <c r="W954" s="200"/>
      <c r="X954" s="200"/>
      <c r="Y954" s="200"/>
      <c r="Z954" s="200"/>
    </row>
    <row r="955" ht="22.5" customHeight="1">
      <c r="A955" s="145"/>
      <c r="B955" s="154"/>
      <c r="C955" s="138"/>
      <c r="D955" s="138"/>
      <c r="E955" s="138"/>
      <c r="F955" s="138"/>
      <c r="G955" s="119"/>
      <c r="H955" s="200"/>
      <c r="I955" s="200"/>
      <c r="J955" s="200"/>
      <c r="K955" s="200"/>
      <c r="L955" s="200"/>
      <c r="M955" s="200"/>
      <c r="N955" s="200"/>
      <c r="O955" s="200"/>
      <c r="P955" s="200"/>
      <c r="Q955" s="200"/>
      <c r="R955" s="200"/>
      <c r="S955" s="200"/>
      <c r="T955" s="200"/>
      <c r="U955" s="200"/>
      <c r="V955" s="200"/>
      <c r="W955" s="200"/>
      <c r="X955" s="200"/>
      <c r="Y955" s="200"/>
      <c r="Z955" s="200"/>
    </row>
    <row r="956" ht="22.5" customHeight="1">
      <c r="A956" s="145"/>
      <c r="B956" s="154"/>
      <c r="C956" s="138"/>
      <c r="D956" s="138"/>
      <c r="E956" s="138"/>
      <c r="F956" s="138"/>
      <c r="G956" s="119"/>
      <c r="H956" s="200"/>
      <c r="I956" s="200"/>
      <c r="J956" s="200"/>
      <c r="K956" s="200"/>
      <c r="L956" s="200"/>
      <c r="M956" s="200"/>
      <c r="N956" s="200"/>
      <c r="O956" s="200"/>
      <c r="P956" s="200"/>
      <c r="Q956" s="200"/>
      <c r="R956" s="200"/>
      <c r="S956" s="200"/>
      <c r="T956" s="200"/>
      <c r="U956" s="200"/>
      <c r="V956" s="200"/>
      <c r="W956" s="200"/>
      <c r="X956" s="200"/>
      <c r="Y956" s="200"/>
      <c r="Z956" s="200"/>
    </row>
    <row r="957" ht="22.5" customHeight="1">
      <c r="A957" s="145"/>
      <c r="B957" s="154"/>
      <c r="C957" s="138"/>
      <c r="D957" s="138"/>
      <c r="E957" s="138"/>
      <c r="F957" s="138"/>
      <c r="G957" s="119"/>
      <c r="H957" s="200"/>
      <c r="I957" s="200"/>
      <c r="J957" s="200"/>
      <c r="K957" s="200"/>
      <c r="L957" s="200"/>
      <c r="M957" s="200"/>
      <c r="N957" s="200"/>
      <c r="O957" s="200"/>
      <c r="P957" s="200"/>
      <c r="Q957" s="200"/>
      <c r="R957" s="200"/>
      <c r="S957" s="200"/>
      <c r="T957" s="200"/>
      <c r="U957" s="200"/>
      <c r="V957" s="200"/>
      <c r="W957" s="200"/>
      <c r="X957" s="200"/>
      <c r="Y957" s="200"/>
      <c r="Z957" s="200"/>
    </row>
    <row r="958" ht="22.5" customHeight="1">
      <c r="A958" s="145"/>
      <c r="B958" s="154"/>
      <c r="C958" s="138"/>
      <c r="D958" s="138"/>
      <c r="E958" s="138"/>
      <c r="F958" s="138"/>
      <c r="G958" s="119"/>
      <c r="H958" s="200"/>
      <c r="I958" s="200"/>
      <c r="J958" s="200"/>
      <c r="K958" s="200"/>
      <c r="L958" s="200"/>
      <c r="M958" s="200"/>
      <c r="N958" s="200"/>
      <c r="O958" s="200"/>
      <c r="P958" s="200"/>
      <c r="Q958" s="200"/>
      <c r="R958" s="200"/>
      <c r="S958" s="200"/>
      <c r="T958" s="200"/>
      <c r="U958" s="200"/>
      <c r="V958" s="200"/>
      <c r="W958" s="200"/>
      <c r="X958" s="200"/>
      <c r="Y958" s="200"/>
      <c r="Z958" s="200"/>
    </row>
    <row r="959" ht="22.5" customHeight="1">
      <c r="A959" s="145"/>
      <c r="B959" s="154"/>
      <c r="C959" s="138"/>
      <c r="D959" s="138"/>
      <c r="E959" s="138"/>
      <c r="F959" s="138"/>
      <c r="G959" s="119"/>
      <c r="H959" s="200"/>
      <c r="I959" s="200"/>
      <c r="J959" s="200"/>
      <c r="K959" s="200"/>
      <c r="L959" s="200"/>
      <c r="M959" s="200"/>
      <c r="N959" s="200"/>
      <c r="O959" s="200"/>
      <c r="P959" s="200"/>
      <c r="Q959" s="200"/>
      <c r="R959" s="200"/>
      <c r="S959" s="200"/>
      <c r="T959" s="200"/>
      <c r="U959" s="200"/>
      <c r="V959" s="200"/>
      <c r="W959" s="200"/>
      <c r="X959" s="200"/>
      <c r="Y959" s="200"/>
      <c r="Z959" s="200"/>
    </row>
    <row r="960" ht="22.5" customHeight="1">
      <c r="A960" s="145"/>
      <c r="B960" s="154"/>
      <c r="C960" s="138"/>
      <c r="D960" s="138"/>
      <c r="E960" s="138"/>
      <c r="F960" s="138"/>
      <c r="G960" s="119"/>
      <c r="H960" s="200"/>
      <c r="I960" s="200"/>
      <c r="J960" s="200"/>
      <c r="K960" s="200"/>
      <c r="L960" s="200"/>
      <c r="M960" s="200"/>
      <c r="N960" s="200"/>
      <c r="O960" s="200"/>
      <c r="P960" s="200"/>
      <c r="Q960" s="200"/>
      <c r="R960" s="200"/>
      <c r="S960" s="200"/>
      <c r="T960" s="200"/>
      <c r="U960" s="200"/>
      <c r="V960" s="200"/>
      <c r="W960" s="200"/>
      <c r="X960" s="200"/>
      <c r="Y960" s="200"/>
      <c r="Z960" s="200"/>
    </row>
    <row r="961" ht="22.5" customHeight="1">
      <c r="A961" s="145"/>
      <c r="B961" s="154"/>
      <c r="C961" s="138"/>
      <c r="D961" s="138"/>
      <c r="E961" s="138"/>
      <c r="F961" s="138"/>
      <c r="G961" s="119"/>
      <c r="H961" s="200"/>
      <c r="I961" s="200"/>
      <c r="J961" s="200"/>
      <c r="K961" s="200"/>
      <c r="L961" s="200"/>
      <c r="M961" s="200"/>
      <c r="N961" s="200"/>
      <c r="O961" s="200"/>
      <c r="P961" s="200"/>
      <c r="Q961" s="200"/>
      <c r="R961" s="200"/>
      <c r="S961" s="200"/>
      <c r="T961" s="200"/>
      <c r="U961" s="200"/>
      <c r="V961" s="200"/>
      <c r="W961" s="200"/>
      <c r="X961" s="200"/>
      <c r="Y961" s="200"/>
      <c r="Z961" s="200"/>
    </row>
    <row r="962" ht="22.5" customHeight="1">
      <c r="A962" s="145"/>
      <c r="B962" s="154"/>
      <c r="C962" s="138"/>
      <c r="D962" s="138"/>
      <c r="E962" s="138"/>
      <c r="F962" s="138"/>
      <c r="G962" s="119"/>
      <c r="H962" s="200"/>
      <c r="I962" s="200"/>
      <c r="J962" s="200"/>
      <c r="K962" s="200"/>
      <c r="L962" s="200"/>
      <c r="M962" s="200"/>
      <c r="N962" s="200"/>
      <c r="O962" s="200"/>
      <c r="P962" s="200"/>
      <c r="Q962" s="200"/>
      <c r="R962" s="200"/>
      <c r="S962" s="200"/>
      <c r="T962" s="200"/>
      <c r="U962" s="200"/>
      <c r="V962" s="200"/>
      <c r="W962" s="200"/>
      <c r="X962" s="200"/>
      <c r="Y962" s="200"/>
      <c r="Z962" s="200"/>
    </row>
    <row r="963" ht="22.5" customHeight="1">
      <c r="A963" s="145"/>
      <c r="B963" s="154"/>
      <c r="C963" s="138"/>
      <c r="D963" s="138"/>
      <c r="E963" s="138"/>
      <c r="F963" s="138"/>
      <c r="G963" s="119"/>
      <c r="H963" s="200"/>
      <c r="I963" s="200"/>
      <c r="J963" s="200"/>
      <c r="K963" s="200"/>
      <c r="L963" s="200"/>
      <c r="M963" s="200"/>
      <c r="N963" s="200"/>
      <c r="O963" s="200"/>
      <c r="P963" s="200"/>
      <c r="Q963" s="200"/>
      <c r="R963" s="200"/>
      <c r="S963" s="200"/>
      <c r="T963" s="200"/>
      <c r="U963" s="200"/>
      <c r="V963" s="200"/>
      <c r="W963" s="200"/>
      <c r="X963" s="200"/>
      <c r="Y963" s="200"/>
      <c r="Z963" s="200"/>
    </row>
    <row r="964" ht="22.5" customHeight="1">
      <c r="A964" s="145"/>
      <c r="B964" s="154"/>
      <c r="C964" s="138"/>
      <c r="D964" s="138"/>
      <c r="E964" s="138"/>
      <c r="F964" s="138"/>
      <c r="G964" s="119"/>
      <c r="H964" s="200"/>
      <c r="I964" s="200"/>
      <c r="J964" s="200"/>
      <c r="K964" s="200"/>
      <c r="L964" s="200"/>
      <c r="M964" s="200"/>
      <c r="N964" s="200"/>
      <c r="O964" s="200"/>
      <c r="P964" s="200"/>
      <c r="Q964" s="200"/>
      <c r="R964" s="200"/>
      <c r="S964" s="200"/>
      <c r="T964" s="200"/>
      <c r="U964" s="200"/>
      <c r="V964" s="200"/>
      <c r="W964" s="200"/>
      <c r="X964" s="200"/>
      <c r="Y964" s="200"/>
      <c r="Z964" s="200"/>
    </row>
    <row r="965" ht="22.5" customHeight="1">
      <c r="A965" s="145"/>
      <c r="B965" s="154"/>
      <c r="C965" s="138"/>
      <c r="D965" s="138"/>
      <c r="E965" s="138"/>
      <c r="F965" s="138"/>
      <c r="G965" s="119"/>
      <c r="H965" s="200"/>
      <c r="I965" s="200"/>
      <c r="J965" s="200"/>
      <c r="K965" s="200"/>
      <c r="L965" s="200"/>
      <c r="M965" s="200"/>
      <c r="N965" s="200"/>
      <c r="O965" s="200"/>
      <c r="P965" s="200"/>
      <c r="Q965" s="200"/>
      <c r="R965" s="200"/>
      <c r="S965" s="200"/>
      <c r="T965" s="200"/>
      <c r="U965" s="200"/>
      <c r="V965" s="200"/>
      <c r="W965" s="200"/>
      <c r="X965" s="200"/>
      <c r="Y965" s="200"/>
      <c r="Z965" s="200"/>
    </row>
    <row r="966" ht="22.5" customHeight="1">
      <c r="A966" s="145"/>
      <c r="B966" s="154"/>
      <c r="C966" s="138"/>
      <c r="D966" s="138"/>
      <c r="E966" s="138"/>
      <c r="F966" s="138"/>
      <c r="G966" s="119"/>
      <c r="H966" s="200"/>
      <c r="I966" s="200"/>
      <c r="J966" s="200"/>
      <c r="K966" s="200"/>
      <c r="L966" s="200"/>
      <c r="M966" s="200"/>
      <c r="N966" s="200"/>
      <c r="O966" s="200"/>
      <c r="P966" s="200"/>
      <c r="Q966" s="200"/>
      <c r="R966" s="200"/>
      <c r="S966" s="200"/>
      <c r="T966" s="200"/>
      <c r="U966" s="200"/>
      <c r="V966" s="200"/>
      <c r="W966" s="200"/>
      <c r="X966" s="200"/>
      <c r="Y966" s="200"/>
      <c r="Z966" s="200"/>
    </row>
    <row r="967" ht="22.5" customHeight="1">
      <c r="A967" s="145"/>
      <c r="B967" s="154"/>
      <c r="C967" s="138"/>
      <c r="D967" s="138"/>
      <c r="E967" s="138"/>
      <c r="F967" s="138"/>
      <c r="G967" s="119"/>
      <c r="H967" s="200"/>
      <c r="I967" s="200"/>
      <c r="J967" s="200"/>
      <c r="K967" s="200"/>
      <c r="L967" s="200"/>
      <c r="M967" s="200"/>
      <c r="N967" s="200"/>
      <c r="O967" s="200"/>
      <c r="P967" s="200"/>
      <c r="Q967" s="200"/>
      <c r="R967" s="200"/>
      <c r="S967" s="200"/>
      <c r="T967" s="200"/>
      <c r="U967" s="200"/>
      <c r="V967" s="200"/>
      <c r="W967" s="200"/>
      <c r="X967" s="200"/>
      <c r="Y967" s="200"/>
      <c r="Z967" s="200"/>
    </row>
    <row r="968" ht="22.5" customHeight="1">
      <c r="A968" s="145"/>
      <c r="B968" s="154"/>
      <c r="C968" s="138"/>
      <c r="D968" s="138"/>
      <c r="E968" s="138"/>
      <c r="F968" s="138"/>
      <c r="G968" s="119"/>
      <c r="H968" s="200"/>
      <c r="I968" s="200"/>
      <c r="J968" s="200"/>
      <c r="K968" s="200"/>
      <c r="L968" s="200"/>
      <c r="M968" s="200"/>
      <c r="N968" s="200"/>
      <c r="O968" s="200"/>
      <c r="P968" s="200"/>
      <c r="Q968" s="200"/>
      <c r="R968" s="200"/>
      <c r="S968" s="200"/>
      <c r="T968" s="200"/>
      <c r="U968" s="200"/>
      <c r="V968" s="200"/>
      <c r="W968" s="200"/>
      <c r="X968" s="200"/>
      <c r="Y968" s="200"/>
      <c r="Z968" s="200"/>
    </row>
    <row r="969" ht="22.5" customHeight="1">
      <c r="A969" s="145"/>
      <c r="B969" s="154"/>
      <c r="C969" s="138"/>
      <c r="D969" s="138"/>
      <c r="E969" s="138"/>
      <c r="F969" s="138"/>
      <c r="G969" s="119"/>
      <c r="H969" s="200"/>
      <c r="I969" s="200"/>
      <c r="J969" s="200"/>
      <c r="K969" s="200"/>
      <c r="L969" s="200"/>
      <c r="M969" s="200"/>
      <c r="N969" s="200"/>
      <c r="O969" s="200"/>
      <c r="P969" s="200"/>
      <c r="Q969" s="200"/>
      <c r="R969" s="200"/>
      <c r="S969" s="200"/>
      <c r="T969" s="200"/>
      <c r="U969" s="200"/>
      <c r="V969" s="200"/>
      <c r="W969" s="200"/>
      <c r="X969" s="200"/>
      <c r="Y969" s="200"/>
      <c r="Z969" s="200"/>
    </row>
    <row r="970" ht="22.5" customHeight="1">
      <c r="A970" s="145"/>
      <c r="B970" s="154"/>
      <c r="C970" s="138"/>
      <c r="D970" s="138"/>
      <c r="E970" s="138"/>
      <c r="F970" s="138"/>
      <c r="G970" s="119"/>
      <c r="H970" s="200"/>
      <c r="I970" s="200"/>
      <c r="J970" s="200"/>
      <c r="K970" s="200"/>
      <c r="L970" s="200"/>
      <c r="M970" s="200"/>
      <c r="N970" s="200"/>
      <c r="O970" s="200"/>
      <c r="P970" s="200"/>
      <c r="Q970" s="200"/>
      <c r="R970" s="200"/>
      <c r="S970" s="200"/>
      <c r="T970" s="200"/>
      <c r="U970" s="200"/>
      <c r="V970" s="200"/>
      <c r="W970" s="200"/>
      <c r="X970" s="200"/>
      <c r="Y970" s="200"/>
      <c r="Z970" s="200"/>
    </row>
    <row r="971" ht="22.5" customHeight="1">
      <c r="A971" s="145"/>
      <c r="B971" s="154"/>
      <c r="C971" s="138"/>
      <c r="D971" s="138"/>
      <c r="E971" s="138"/>
      <c r="F971" s="138"/>
      <c r="G971" s="119"/>
      <c r="H971" s="200"/>
      <c r="I971" s="200"/>
      <c r="J971" s="200"/>
      <c r="K971" s="200"/>
      <c r="L971" s="200"/>
      <c r="M971" s="200"/>
      <c r="N971" s="200"/>
      <c r="O971" s="200"/>
      <c r="P971" s="200"/>
      <c r="Q971" s="200"/>
      <c r="R971" s="200"/>
      <c r="S971" s="200"/>
      <c r="T971" s="200"/>
      <c r="U971" s="200"/>
      <c r="V971" s="200"/>
      <c r="W971" s="200"/>
      <c r="X971" s="200"/>
      <c r="Y971" s="200"/>
      <c r="Z971" s="200"/>
    </row>
    <row r="972" ht="22.5" customHeight="1">
      <c r="A972" s="145"/>
      <c r="B972" s="154"/>
      <c r="C972" s="138"/>
      <c r="D972" s="138"/>
      <c r="E972" s="138"/>
      <c r="F972" s="138"/>
      <c r="G972" s="119"/>
      <c r="H972" s="200"/>
      <c r="I972" s="200"/>
      <c r="J972" s="200"/>
      <c r="K972" s="200"/>
      <c r="L972" s="200"/>
      <c r="M972" s="200"/>
      <c r="N972" s="200"/>
      <c r="O972" s="200"/>
      <c r="P972" s="200"/>
      <c r="Q972" s="200"/>
      <c r="R972" s="200"/>
      <c r="S972" s="200"/>
      <c r="T972" s="200"/>
      <c r="U972" s="200"/>
      <c r="V972" s="200"/>
      <c r="W972" s="200"/>
      <c r="X972" s="200"/>
      <c r="Y972" s="200"/>
      <c r="Z972" s="200"/>
    </row>
    <row r="973" ht="22.5" customHeight="1">
      <c r="A973" s="145"/>
      <c r="B973" s="154"/>
      <c r="C973" s="138"/>
      <c r="D973" s="138"/>
      <c r="E973" s="138"/>
      <c r="F973" s="138"/>
      <c r="G973" s="119"/>
      <c r="H973" s="200"/>
      <c r="I973" s="200"/>
      <c r="J973" s="200"/>
      <c r="K973" s="200"/>
      <c r="L973" s="200"/>
      <c r="M973" s="200"/>
      <c r="N973" s="200"/>
      <c r="O973" s="200"/>
      <c r="P973" s="200"/>
      <c r="Q973" s="200"/>
      <c r="R973" s="200"/>
      <c r="S973" s="200"/>
      <c r="T973" s="200"/>
      <c r="U973" s="200"/>
      <c r="V973" s="200"/>
      <c r="W973" s="200"/>
      <c r="X973" s="200"/>
      <c r="Y973" s="200"/>
      <c r="Z973" s="200"/>
    </row>
    <row r="974" ht="22.5" customHeight="1">
      <c r="A974" s="145"/>
      <c r="B974" s="154"/>
      <c r="C974" s="138"/>
      <c r="D974" s="138"/>
      <c r="E974" s="138"/>
      <c r="F974" s="138"/>
      <c r="G974" s="119"/>
      <c r="H974" s="200"/>
      <c r="I974" s="200"/>
      <c r="J974" s="200"/>
      <c r="K974" s="200"/>
      <c r="L974" s="200"/>
      <c r="M974" s="200"/>
      <c r="N974" s="200"/>
      <c r="O974" s="200"/>
      <c r="P974" s="200"/>
      <c r="Q974" s="200"/>
      <c r="R974" s="200"/>
      <c r="S974" s="200"/>
      <c r="T974" s="200"/>
      <c r="U974" s="200"/>
      <c r="V974" s="200"/>
      <c r="W974" s="200"/>
      <c r="X974" s="200"/>
      <c r="Y974" s="200"/>
      <c r="Z974" s="200"/>
    </row>
    <row r="975" ht="22.5" customHeight="1">
      <c r="A975" s="145"/>
      <c r="B975" s="154"/>
      <c r="C975" s="138"/>
      <c r="D975" s="138"/>
      <c r="E975" s="138"/>
      <c r="F975" s="138"/>
      <c r="G975" s="119"/>
      <c r="H975" s="200"/>
      <c r="I975" s="200"/>
      <c r="J975" s="200"/>
      <c r="K975" s="200"/>
      <c r="L975" s="200"/>
      <c r="M975" s="200"/>
      <c r="N975" s="200"/>
      <c r="O975" s="200"/>
      <c r="P975" s="200"/>
      <c r="Q975" s="200"/>
      <c r="R975" s="200"/>
      <c r="S975" s="200"/>
      <c r="T975" s="200"/>
      <c r="U975" s="200"/>
      <c r="V975" s="200"/>
      <c r="W975" s="200"/>
      <c r="X975" s="200"/>
      <c r="Y975" s="200"/>
      <c r="Z975" s="200"/>
    </row>
    <row r="976" ht="22.5" customHeight="1">
      <c r="A976" s="145"/>
      <c r="B976" s="154"/>
      <c r="C976" s="138"/>
      <c r="D976" s="138"/>
      <c r="E976" s="138"/>
      <c r="F976" s="138"/>
      <c r="G976" s="119"/>
      <c r="H976" s="200"/>
      <c r="I976" s="200"/>
      <c r="J976" s="200"/>
      <c r="K976" s="200"/>
      <c r="L976" s="200"/>
      <c r="M976" s="200"/>
      <c r="N976" s="200"/>
      <c r="O976" s="200"/>
      <c r="P976" s="200"/>
      <c r="Q976" s="200"/>
      <c r="R976" s="200"/>
      <c r="S976" s="200"/>
      <c r="T976" s="200"/>
      <c r="U976" s="200"/>
      <c r="V976" s="200"/>
      <c r="W976" s="200"/>
      <c r="X976" s="200"/>
      <c r="Y976" s="200"/>
      <c r="Z976" s="200"/>
    </row>
    <row r="977" ht="22.5" customHeight="1">
      <c r="A977" s="145"/>
      <c r="B977" s="154"/>
      <c r="C977" s="138"/>
      <c r="D977" s="138"/>
      <c r="E977" s="138"/>
      <c r="F977" s="138"/>
      <c r="G977" s="119"/>
      <c r="H977" s="200"/>
      <c r="I977" s="200"/>
      <c r="J977" s="200"/>
      <c r="K977" s="200"/>
      <c r="L977" s="200"/>
      <c r="M977" s="200"/>
      <c r="N977" s="200"/>
      <c r="O977" s="200"/>
      <c r="P977" s="200"/>
      <c r="Q977" s="200"/>
      <c r="R977" s="200"/>
      <c r="S977" s="200"/>
      <c r="T977" s="200"/>
      <c r="U977" s="200"/>
      <c r="V977" s="200"/>
      <c r="W977" s="200"/>
      <c r="X977" s="200"/>
      <c r="Y977" s="200"/>
      <c r="Z977" s="200"/>
    </row>
    <row r="978" ht="22.5" customHeight="1">
      <c r="A978" s="145"/>
      <c r="B978" s="154"/>
      <c r="C978" s="138"/>
      <c r="D978" s="138"/>
      <c r="E978" s="138"/>
      <c r="F978" s="138"/>
      <c r="G978" s="119"/>
      <c r="H978" s="200"/>
      <c r="I978" s="200"/>
      <c r="J978" s="200"/>
      <c r="K978" s="200"/>
      <c r="L978" s="200"/>
      <c r="M978" s="200"/>
      <c r="N978" s="200"/>
      <c r="O978" s="200"/>
      <c r="P978" s="200"/>
      <c r="Q978" s="200"/>
      <c r="R978" s="200"/>
      <c r="S978" s="200"/>
      <c r="T978" s="200"/>
      <c r="U978" s="200"/>
      <c r="V978" s="200"/>
      <c r="W978" s="200"/>
      <c r="X978" s="200"/>
      <c r="Y978" s="200"/>
      <c r="Z978" s="200"/>
    </row>
    <row r="979" ht="22.5" customHeight="1">
      <c r="A979" s="145"/>
      <c r="B979" s="154"/>
      <c r="C979" s="138"/>
      <c r="D979" s="138"/>
      <c r="E979" s="138"/>
      <c r="F979" s="138"/>
      <c r="G979" s="119"/>
      <c r="H979" s="200"/>
      <c r="I979" s="200"/>
      <c r="J979" s="200"/>
      <c r="K979" s="200"/>
      <c r="L979" s="200"/>
      <c r="M979" s="200"/>
      <c r="N979" s="200"/>
      <c r="O979" s="200"/>
      <c r="P979" s="200"/>
      <c r="Q979" s="200"/>
      <c r="R979" s="200"/>
      <c r="S979" s="200"/>
      <c r="T979" s="200"/>
      <c r="U979" s="200"/>
      <c r="V979" s="200"/>
      <c r="W979" s="200"/>
      <c r="X979" s="200"/>
      <c r="Y979" s="200"/>
      <c r="Z979" s="200"/>
    </row>
    <row r="980" ht="22.5" customHeight="1">
      <c r="A980" s="145"/>
      <c r="B980" s="154"/>
      <c r="C980" s="138"/>
      <c r="D980" s="138"/>
      <c r="E980" s="138"/>
      <c r="F980" s="138"/>
      <c r="G980" s="119"/>
      <c r="H980" s="200"/>
      <c r="I980" s="200"/>
      <c r="J980" s="200"/>
      <c r="K980" s="200"/>
      <c r="L980" s="200"/>
      <c r="M980" s="200"/>
      <c r="N980" s="200"/>
      <c r="O980" s="200"/>
      <c r="P980" s="200"/>
      <c r="Q980" s="200"/>
      <c r="R980" s="200"/>
      <c r="S980" s="200"/>
      <c r="T980" s="200"/>
      <c r="U980" s="200"/>
      <c r="V980" s="200"/>
      <c r="W980" s="200"/>
      <c r="X980" s="200"/>
      <c r="Y980" s="200"/>
      <c r="Z980" s="200"/>
    </row>
    <row r="981" ht="22.5" customHeight="1">
      <c r="A981" s="145"/>
      <c r="B981" s="154"/>
      <c r="C981" s="138"/>
      <c r="D981" s="138"/>
      <c r="E981" s="138"/>
      <c r="F981" s="138"/>
      <c r="G981" s="119"/>
      <c r="H981" s="200"/>
      <c r="I981" s="200"/>
      <c r="J981" s="200"/>
      <c r="K981" s="200"/>
      <c r="L981" s="200"/>
      <c r="M981" s="200"/>
      <c r="N981" s="200"/>
      <c r="O981" s="200"/>
      <c r="P981" s="200"/>
      <c r="Q981" s="200"/>
      <c r="R981" s="200"/>
      <c r="S981" s="200"/>
      <c r="T981" s="200"/>
      <c r="U981" s="200"/>
      <c r="V981" s="200"/>
      <c r="W981" s="200"/>
      <c r="X981" s="200"/>
      <c r="Y981" s="200"/>
      <c r="Z981" s="200"/>
    </row>
    <row r="982" ht="22.5" customHeight="1">
      <c r="A982" s="145"/>
      <c r="B982" s="154"/>
      <c r="C982" s="138"/>
      <c r="D982" s="138"/>
      <c r="E982" s="138"/>
      <c r="F982" s="138"/>
      <c r="G982" s="119"/>
      <c r="H982" s="200"/>
      <c r="I982" s="200"/>
      <c r="J982" s="200"/>
      <c r="K982" s="200"/>
      <c r="L982" s="200"/>
      <c r="M982" s="200"/>
      <c r="N982" s="200"/>
      <c r="O982" s="200"/>
      <c r="P982" s="200"/>
      <c r="Q982" s="200"/>
      <c r="R982" s="200"/>
      <c r="S982" s="200"/>
      <c r="T982" s="200"/>
      <c r="U982" s="200"/>
      <c r="V982" s="200"/>
      <c r="W982" s="200"/>
      <c r="X982" s="200"/>
      <c r="Y982" s="200"/>
      <c r="Z982" s="200"/>
    </row>
    <row r="983" ht="22.5" customHeight="1">
      <c r="A983" s="145"/>
      <c r="B983" s="154"/>
      <c r="C983" s="138"/>
      <c r="D983" s="138"/>
      <c r="E983" s="138"/>
      <c r="F983" s="138"/>
      <c r="G983" s="119"/>
      <c r="H983" s="200"/>
      <c r="I983" s="200"/>
      <c r="J983" s="200"/>
      <c r="K983" s="200"/>
      <c r="L983" s="200"/>
      <c r="M983" s="200"/>
      <c r="N983" s="200"/>
      <c r="O983" s="200"/>
      <c r="P983" s="200"/>
      <c r="Q983" s="200"/>
      <c r="R983" s="200"/>
      <c r="S983" s="200"/>
      <c r="T983" s="200"/>
      <c r="U983" s="200"/>
      <c r="V983" s="200"/>
      <c r="W983" s="200"/>
      <c r="X983" s="200"/>
      <c r="Y983" s="200"/>
      <c r="Z983" s="200"/>
    </row>
    <row r="984" ht="22.5" customHeight="1">
      <c r="A984" s="145"/>
      <c r="B984" s="154"/>
      <c r="C984" s="138"/>
      <c r="D984" s="138"/>
      <c r="E984" s="138"/>
      <c r="F984" s="138"/>
      <c r="G984" s="119"/>
      <c r="H984" s="200"/>
      <c r="I984" s="200"/>
      <c r="J984" s="200"/>
      <c r="K984" s="200"/>
      <c r="L984" s="200"/>
      <c r="M984" s="200"/>
      <c r="N984" s="200"/>
      <c r="O984" s="200"/>
      <c r="P984" s="200"/>
      <c r="Q984" s="200"/>
      <c r="R984" s="200"/>
      <c r="S984" s="200"/>
      <c r="T984" s="200"/>
      <c r="U984" s="200"/>
      <c r="V984" s="200"/>
      <c r="W984" s="200"/>
      <c r="X984" s="200"/>
      <c r="Y984" s="200"/>
      <c r="Z984" s="200"/>
    </row>
    <row r="985" ht="22.5" customHeight="1">
      <c r="A985" s="145"/>
      <c r="B985" s="154"/>
      <c r="C985" s="138"/>
      <c r="D985" s="138"/>
      <c r="E985" s="138"/>
      <c r="F985" s="138"/>
      <c r="G985" s="119"/>
      <c r="H985" s="200"/>
      <c r="I985" s="200"/>
      <c r="J985" s="200"/>
      <c r="K985" s="200"/>
      <c r="L985" s="200"/>
      <c r="M985" s="200"/>
      <c r="N985" s="200"/>
      <c r="O985" s="200"/>
      <c r="P985" s="200"/>
      <c r="Q985" s="200"/>
      <c r="R985" s="200"/>
      <c r="S985" s="200"/>
      <c r="T985" s="200"/>
      <c r="U985" s="200"/>
      <c r="V985" s="200"/>
      <c r="W985" s="200"/>
      <c r="X985" s="200"/>
      <c r="Y985" s="200"/>
      <c r="Z985" s="200"/>
    </row>
    <row r="986" ht="22.5" customHeight="1">
      <c r="A986" s="145"/>
      <c r="B986" s="154"/>
      <c r="C986" s="138"/>
      <c r="D986" s="138"/>
      <c r="E986" s="138"/>
      <c r="F986" s="138"/>
      <c r="G986" s="119"/>
      <c r="H986" s="200"/>
      <c r="I986" s="200"/>
      <c r="J986" s="200"/>
      <c r="K986" s="200"/>
      <c r="L986" s="200"/>
      <c r="M986" s="200"/>
      <c r="N986" s="200"/>
      <c r="O986" s="200"/>
      <c r="P986" s="200"/>
      <c r="Q986" s="200"/>
      <c r="R986" s="200"/>
      <c r="S986" s="200"/>
      <c r="T986" s="200"/>
      <c r="U986" s="200"/>
      <c r="V986" s="200"/>
      <c r="W986" s="200"/>
      <c r="X986" s="200"/>
      <c r="Y986" s="200"/>
      <c r="Z986" s="200"/>
    </row>
    <row r="987" ht="22.5" customHeight="1">
      <c r="A987" s="145"/>
      <c r="B987" s="154"/>
      <c r="C987" s="138"/>
      <c r="D987" s="138"/>
      <c r="E987" s="138"/>
      <c r="F987" s="138"/>
      <c r="G987" s="119"/>
      <c r="H987" s="200"/>
      <c r="I987" s="200"/>
      <c r="J987" s="200"/>
      <c r="K987" s="200"/>
      <c r="L987" s="200"/>
      <c r="M987" s="200"/>
      <c r="N987" s="200"/>
      <c r="O987" s="200"/>
      <c r="P987" s="200"/>
      <c r="Q987" s="200"/>
      <c r="R987" s="200"/>
      <c r="S987" s="200"/>
      <c r="T987" s="200"/>
      <c r="U987" s="200"/>
      <c r="V987" s="200"/>
      <c r="W987" s="200"/>
      <c r="X987" s="200"/>
      <c r="Y987" s="200"/>
      <c r="Z987" s="200"/>
    </row>
    <row r="988" ht="22.5" customHeight="1">
      <c r="A988" s="145"/>
      <c r="B988" s="154"/>
      <c r="C988" s="138"/>
      <c r="D988" s="138"/>
      <c r="E988" s="138"/>
      <c r="F988" s="138"/>
      <c r="G988" s="119"/>
      <c r="H988" s="200"/>
      <c r="I988" s="200"/>
      <c r="J988" s="200"/>
      <c r="K988" s="200"/>
      <c r="L988" s="200"/>
      <c r="M988" s="200"/>
      <c r="N988" s="200"/>
      <c r="O988" s="200"/>
      <c r="P988" s="200"/>
      <c r="Q988" s="200"/>
      <c r="R988" s="200"/>
      <c r="S988" s="200"/>
      <c r="T988" s="200"/>
      <c r="U988" s="200"/>
      <c r="V988" s="200"/>
      <c r="W988" s="200"/>
      <c r="X988" s="200"/>
      <c r="Y988" s="200"/>
      <c r="Z988" s="200"/>
    </row>
    <row r="989" ht="22.5" customHeight="1">
      <c r="A989" s="145"/>
      <c r="B989" s="154"/>
      <c r="C989" s="138"/>
      <c r="D989" s="138"/>
      <c r="E989" s="138"/>
      <c r="F989" s="138"/>
      <c r="G989" s="119"/>
      <c r="H989" s="200"/>
      <c r="I989" s="200"/>
      <c r="J989" s="200"/>
      <c r="K989" s="200"/>
      <c r="L989" s="200"/>
      <c r="M989" s="200"/>
      <c r="N989" s="200"/>
      <c r="O989" s="200"/>
      <c r="P989" s="200"/>
      <c r="Q989" s="200"/>
      <c r="R989" s="200"/>
      <c r="S989" s="200"/>
      <c r="T989" s="200"/>
      <c r="U989" s="200"/>
      <c r="V989" s="200"/>
      <c r="W989" s="200"/>
      <c r="X989" s="200"/>
      <c r="Y989" s="200"/>
      <c r="Z989" s="200"/>
    </row>
    <row r="990" ht="22.5" customHeight="1">
      <c r="A990" s="145"/>
      <c r="B990" s="154"/>
      <c r="C990" s="138"/>
      <c r="D990" s="138"/>
      <c r="E990" s="138"/>
      <c r="F990" s="138"/>
      <c r="G990" s="119"/>
      <c r="H990" s="200"/>
      <c r="I990" s="200"/>
      <c r="J990" s="200"/>
      <c r="K990" s="200"/>
      <c r="L990" s="200"/>
      <c r="M990" s="200"/>
      <c r="N990" s="200"/>
      <c r="O990" s="200"/>
      <c r="P990" s="200"/>
      <c r="Q990" s="200"/>
      <c r="R990" s="200"/>
      <c r="S990" s="200"/>
      <c r="T990" s="200"/>
      <c r="U990" s="200"/>
      <c r="V990" s="200"/>
      <c r="W990" s="200"/>
      <c r="X990" s="200"/>
      <c r="Y990" s="200"/>
      <c r="Z990" s="200"/>
    </row>
    <row r="991" ht="22.5" customHeight="1">
      <c r="A991" s="145"/>
      <c r="B991" s="154"/>
      <c r="C991" s="138"/>
      <c r="D991" s="138"/>
      <c r="E991" s="138"/>
      <c r="F991" s="138"/>
      <c r="G991" s="119"/>
      <c r="H991" s="200"/>
      <c r="I991" s="200"/>
      <c r="J991" s="200"/>
      <c r="K991" s="200"/>
      <c r="L991" s="200"/>
      <c r="M991" s="200"/>
      <c r="N991" s="200"/>
      <c r="O991" s="200"/>
      <c r="P991" s="200"/>
      <c r="Q991" s="200"/>
      <c r="R991" s="200"/>
      <c r="S991" s="200"/>
      <c r="T991" s="200"/>
      <c r="U991" s="200"/>
      <c r="V991" s="200"/>
      <c r="W991" s="200"/>
      <c r="X991" s="200"/>
      <c r="Y991" s="200"/>
      <c r="Z991" s="200"/>
    </row>
    <row r="992" ht="22.5" customHeight="1">
      <c r="A992" s="145"/>
      <c r="B992" s="154"/>
      <c r="C992" s="138"/>
      <c r="D992" s="138"/>
      <c r="E992" s="138"/>
      <c r="F992" s="138"/>
      <c r="G992" s="119"/>
      <c r="H992" s="200"/>
      <c r="I992" s="200"/>
      <c r="J992" s="200"/>
      <c r="K992" s="200"/>
      <c r="L992" s="200"/>
      <c r="M992" s="200"/>
      <c r="N992" s="200"/>
      <c r="O992" s="200"/>
      <c r="P992" s="200"/>
      <c r="Q992" s="200"/>
      <c r="R992" s="200"/>
      <c r="S992" s="200"/>
      <c r="T992" s="200"/>
      <c r="U992" s="200"/>
      <c r="V992" s="200"/>
      <c r="W992" s="200"/>
      <c r="X992" s="200"/>
      <c r="Y992" s="200"/>
      <c r="Z992" s="200"/>
    </row>
    <row r="993" ht="22.5" customHeight="1">
      <c r="A993" s="145"/>
      <c r="B993" s="154"/>
      <c r="C993" s="138"/>
      <c r="D993" s="138"/>
      <c r="E993" s="138"/>
      <c r="F993" s="138"/>
      <c r="G993" s="119"/>
      <c r="H993" s="200"/>
      <c r="I993" s="200"/>
      <c r="J993" s="200"/>
      <c r="K993" s="200"/>
      <c r="L993" s="200"/>
      <c r="M993" s="200"/>
      <c r="N993" s="200"/>
      <c r="O993" s="200"/>
      <c r="P993" s="200"/>
      <c r="Q993" s="200"/>
      <c r="R993" s="200"/>
      <c r="S993" s="200"/>
      <c r="T993" s="200"/>
      <c r="U993" s="200"/>
      <c r="V993" s="200"/>
      <c r="W993" s="200"/>
      <c r="X993" s="200"/>
      <c r="Y993" s="200"/>
      <c r="Z993" s="200"/>
    </row>
    <row r="994" ht="22.5" customHeight="1">
      <c r="A994" s="145"/>
      <c r="B994" s="154"/>
      <c r="C994" s="138"/>
      <c r="D994" s="138"/>
      <c r="E994" s="138"/>
      <c r="F994" s="138"/>
      <c r="G994" s="119"/>
      <c r="H994" s="200"/>
      <c r="I994" s="200"/>
      <c r="J994" s="200"/>
      <c r="K994" s="200"/>
      <c r="L994" s="200"/>
      <c r="M994" s="200"/>
      <c r="N994" s="200"/>
      <c r="O994" s="200"/>
      <c r="P994" s="200"/>
      <c r="Q994" s="200"/>
      <c r="R994" s="200"/>
      <c r="S994" s="200"/>
      <c r="T994" s="200"/>
      <c r="U994" s="200"/>
      <c r="V994" s="200"/>
      <c r="W994" s="200"/>
      <c r="X994" s="200"/>
      <c r="Y994" s="200"/>
      <c r="Z994" s="200"/>
    </row>
    <row r="995" ht="22.5" customHeight="1">
      <c r="A995" s="145"/>
      <c r="B995" s="154"/>
      <c r="C995" s="138"/>
      <c r="D995" s="138"/>
      <c r="E995" s="138"/>
      <c r="F995" s="138"/>
      <c r="G995" s="119"/>
      <c r="H995" s="200"/>
      <c r="I995" s="200"/>
      <c r="J995" s="200"/>
      <c r="K995" s="200"/>
      <c r="L995" s="200"/>
      <c r="M995" s="200"/>
      <c r="N995" s="200"/>
      <c r="O995" s="200"/>
      <c r="P995" s="200"/>
      <c r="Q995" s="200"/>
      <c r="R995" s="200"/>
      <c r="S995" s="200"/>
      <c r="T995" s="200"/>
      <c r="U995" s="200"/>
      <c r="V995" s="200"/>
      <c r="W995" s="200"/>
      <c r="X995" s="200"/>
      <c r="Y995" s="200"/>
      <c r="Z995" s="200"/>
    </row>
    <row r="996" ht="22.5" customHeight="1">
      <c r="A996" s="145"/>
      <c r="B996" s="154"/>
      <c r="C996" s="138"/>
      <c r="D996" s="138"/>
      <c r="E996" s="138"/>
      <c r="F996" s="138"/>
      <c r="G996" s="119"/>
      <c r="H996" s="200"/>
      <c r="I996" s="200"/>
      <c r="J996" s="200"/>
      <c r="K996" s="200"/>
      <c r="L996" s="200"/>
      <c r="M996" s="200"/>
      <c r="N996" s="200"/>
      <c r="O996" s="200"/>
      <c r="P996" s="200"/>
      <c r="Q996" s="200"/>
      <c r="R996" s="200"/>
      <c r="S996" s="200"/>
      <c r="T996" s="200"/>
      <c r="U996" s="200"/>
      <c r="V996" s="200"/>
      <c r="W996" s="200"/>
      <c r="X996" s="200"/>
      <c r="Y996" s="200"/>
      <c r="Z996" s="200"/>
    </row>
    <row r="997" ht="22.5" customHeight="1">
      <c r="A997" s="145"/>
      <c r="B997" s="154"/>
      <c r="C997" s="138"/>
      <c r="D997" s="138"/>
      <c r="E997" s="138"/>
      <c r="F997" s="138"/>
      <c r="G997" s="119"/>
      <c r="H997" s="200"/>
      <c r="I997" s="200"/>
      <c r="J997" s="200"/>
      <c r="K997" s="200"/>
      <c r="L997" s="200"/>
      <c r="M997" s="200"/>
      <c r="N997" s="200"/>
      <c r="O997" s="200"/>
      <c r="P997" s="200"/>
      <c r="Q997" s="200"/>
      <c r="R997" s="200"/>
      <c r="S997" s="200"/>
      <c r="T997" s="200"/>
      <c r="U997" s="200"/>
      <c r="V997" s="200"/>
      <c r="W997" s="200"/>
      <c r="X997" s="200"/>
      <c r="Y997" s="200"/>
      <c r="Z997" s="200"/>
    </row>
    <row r="998" ht="22.5" customHeight="1">
      <c r="A998" s="145"/>
      <c r="B998" s="154"/>
      <c r="C998" s="138"/>
      <c r="D998" s="138"/>
      <c r="E998" s="138"/>
      <c r="F998" s="138"/>
      <c r="G998" s="119"/>
      <c r="H998" s="200"/>
      <c r="I998" s="200"/>
      <c r="J998" s="200"/>
      <c r="K998" s="200"/>
      <c r="L998" s="200"/>
      <c r="M998" s="200"/>
      <c r="N998" s="200"/>
      <c r="O998" s="200"/>
      <c r="P998" s="200"/>
      <c r="Q998" s="200"/>
      <c r="R998" s="200"/>
      <c r="S998" s="200"/>
      <c r="T998" s="200"/>
      <c r="U998" s="200"/>
      <c r="V998" s="200"/>
      <c r="W998" s="200"/>
      <c r="X998" s="200"/>
      <c r="Y998" s="200"/>
      <c r="Z998" s="200"/>
    </row>
    <row r="999" ht="22.5" customHeight="1">
      <c r="A999" s="145"/>
      <c r="B999" s="154"/>
      <c r="C999" s="138"/>
      <c r="D999" s="138"/>
      <c r="E999" s="138"/>
      <c r="F999" s="138"/>
      <c r="G999" s="119"/>
      <c r="H999" s="200"/>
      <c r="I999" s="200"/>
      <c r="J999" s="200"/>
      <c r="K999" s="200"/>
      <c r="L999" s="200"/>
      <c r="M999" s="200"/>
      <c r="N999" s="200"/>
      <c r="O999" s="200"/>
      <c r="P999" s="200"/>
      <c r="Q999" s="200"/>
      <c r="R999" s="200"/>
      <c r="S999" s="200"/>
      <c r="T999" s="200"/>
      <c r="U999" s="200"/>
      <c r="V999" s="200"/>
      <c r="W999" s="200"/>
      <c r="X999" s="200"/>
      <c r="Y999" s="200"/>
      <c r="Z999" s="200"/>
    </row>
    <row r="1000" ht="22.5" customHeight="1">
      <c r="A1000" s="145"/>
      <c r="B1000" s="154"/>
      <c r="C1000" s="138"/>
      <c r="D1000" s="138"/>
      <c r="E1000" s="138"/>
      <c r="F1000" s="138"/>
      <c r="G1000" s="119"/>
      <c r="H1000" s="200"/>
      <c r="I1000" s="200"/>
      <c r="J1000" s="200"/>
      <c r="K1000" s="200"/>
      <c r="L1000" s="200"/>
      <c r="M1000" s="200"/>
      <c r="N1000" s="200"/>
      <c r="O1000" s="200"/>
      <c r="P1000" s="200"/>
      <c r="Q1000" s="200"/>
      <c r="R1000" s="200"/>
      <c r="S1000" s="200"/>
      <c r="T1000" s="200"/>
      <c r="U1000" s="200"/>
      <c r="V1000" s="200"/>
      <c r="W1000" s="200"/>
      <c r="X1000" s="200"/>
      <c r="Y1000" s="200"/>
      <c r="Z1000" s="200"/>
    </row>
    <row r="1001" ht="22.5" customHeight="1">
      <c r="A1001" s="145"/>
      <c r="B1001" s="154"/>
      <c r="C1001" s="138"/>
      <c r="D1001" s="138"/>
      <c r="E1001" s="138"/>
      <c r="F1001" s="138"/>
      <c r="G1001" s="119"/>
      <c r="H1001" s="200"/>
      <c r="I1001" s="200"/>
      <c r="J1001" s="200"/>
      <c r="K1001" s="200"/>
      <c r="L1001" s="200"/>
      <c r="M1001" s="200"/>
      <c r="N1001" s="200"/>
      <c r="O1001" s="200"/>
      <c r="P1001" s="200"/>
      <c r="Q1001" s="200"/>
      <c r="R1001" s="200"/>
      <c r="S1001" s="200"/>
      <c r="T1001" s="200"/>
      <c r="U1001" s="200"/>
      <c r="V1001" s="200"/>
      <c r="W1001" s="200"/>
      <c r="X1001" s="200"/>
      <c r="Y1001" s="200"/>
      <c r="Z1001" s="200"/>
    </row>
    <row r="1002" ht="22.5" customHeight="1">
      <c r="A1002" s="145"/>
      <c r="B1002" s="154"/>
      <c r="C1002" s="138"/>
      <c r="D1002" s="138"/>
      <c r="E1002" s="138"/>
      <c r="F1002" s="138"/>
      <c r="G1002" s="119"/>
      <c r="H1002" s="200"/>
      <c r="I1002" s="200"/>
      <c r="J1002" s="200"/>
      <c r="K1002" s="200"/>
      <c r="L1002" s="200"/>
      <c r="M1002" s="200"/>
      <c r="N1002" s="200"/>
      <c r="O1002" s="200"/>
      <c r="P1002" s="200"/>
      <c r="Q1002" s="200"/>
      <c r="R1002" s="200"/>
      <c r="S1002" s="200"/>
      <c r="T1002" s="200"/>
      <c r="U1002" s="200"/>
      <c r="V1002" s="200"/>
      <c r="W1002" s="200"/>
      <c r="X1002" s="200"/>
      <c r="Y1002" s="200"/>
      <c r="Z1002" s="200"/>
    </row>
    <row r="1003" ht="22.5" customHeight="1">
      <c r="A1003" s="145"/>
      <c r="B1003" s="154"/>
      <c r="C1003" s="138"/>
      <c r="D1003" s="138"/>
      <c r="E1003" s="138"/>
      <c r="F1003" s="138"/>
      <c r="G1003" s="119"/>
      <c r="H1003" s="200"/>
      <c r="I1003" s="200"/>
      <c r="J1003" s="200"/>
      <c r="K1003" s="200"/>
      <c r="L1003" s="200"/>
      <c r="M1003" s="200"/>
      <c r="N1003" s="200"/>
      <c r="O1003" s="200"/>
      <c r="P1003" s="200"/>
      <c r="Q1003" s="200"/>
      <c r="R1003" s="200"/>
      <c r="S1003" s="200"/>
      <c r="T1003" s="200"/>
      <c r="U1003" s="200"/>
      <c r="V1003" s="200"/>
      <c r="W1003" s="200"/>
      <c r="X1003" s="200"/>
      <c r="Y1003" s="200"/>
      <c r="Z1003" s="200"/>
    </row>
    <row r="1004" ht="22.5" customHeight="1">
      <c r="A1004" s="145"/>
      <c r="B1004" s="154"/>
      <c r="C1004" s="138"/>
      <c r="D1004" s="138"/>
      <c r="E1004" s="138"/>
      <c r="F1004" s="138"/>
      <c r="G1004" s="119"/>
      <c r="H1004" s="200"/>
      <c r="I1004" s="200"/>
      <c r="J1004" s="200"/>
      <c r="K1004" s="200"/>
      <c r="L1004" s="200"/>
      <c r="M1004" s="200"/>
      <c r="N1004" s="200"/>
      <c r="O1004" s="200"/>
      <c r="P1004" s="200"/>
      <c r="Q1004" s="200"/>
      <c r="R1004" s="200"/>
      <c r="S1004" s="200"/>
      <c r="T1004" s="200"/>
      <c r="U1004" s="200"/>
      <c r="V1004" s="200"/>
      <c r="W1004" s="200"/>
      <c r="X1004" s="200"/>
      <c r="Y1004" s="200"/>
      <c r="Z1004" s="200"/>
    </row>
    <row r="1005" ht="22.5" customHeight="1">
      <c r="A1005" s="145"/>
      <c r="B1005" s="154"/>
      <c r="C1005" s="138"/>
      <c r="D1005" s="138"/>
      <c r="E1005" s="138"/>
      <c r="F1005" s="138"/>
      <c r="G1005" s="119"/>
      <c r="H1005" s="200"/>
      <c r="I1005" s="200"/>
      <c r="J1005" s="200"/>
      <c r="K1005" s="200"/>
      <c r="L1005" s="200"/>
      <c r="M1005" s="200"/>
      <c r="N1005" s="200"/>
      <c r="O1005" s="200"/>
      <c r="P1005" s="200"/>
      <c r="Q1005" s="200"/>
      <c r="R1005" s="200"/>
      <c r="S1005" s="200"/>
      <c r="T1005" s="200"/>
      <c r="U1005" s="200"/>
      <c r="V1005" s="200"/>
      <c r="W1005" s="200"/>
      <c r="X1005" s="200"/>
      <c r="Y1005" s="200"/>
      <c r="Z1005" s="200"/>
    </row>
    <row r="1006" ht="22.5" customHeight="1">
      <c r="A1006" s="145"/>
      <c r="B1006" s="154"/>
      <c r="C1006" s="138"/>
      <c r="D1006" s="138"/>
      <c r="E1006" s="138"/>
      <c r="F1006" s="138"/>
      <c r="G1006" s="119"/>
      <c r="H1006" s="200"/>
      <c r="I1006" s="200"/>
      <c r="J1006" s="200"/>
      <c r="K1006" s="200"/>
      <c r="L1006" s="200"/>
      <c r="M1006" s="200"/>
      <c r="N1006" s="200"/>
      <c r="O1006" s="200"/>
      <c r="P1006" s="200"/>
      <c r="Q1006" s="200"/>
      <c r="R1006" s="200"/>
      <c r="S1006" s="200"/>
      <c r="T1006" s="200"/>
      <c r="U1006" s="200"/>
      <c r="V1006" s="200"/>
      <c r="W1006" s="200"/>
      <c r="X1006" s="200"/>
      <c r="Y1006" s="200"/>
      <c r="Z1006" s="200"/>
    </row>
    <row r="1007" ht="22.5" customHeight="1">
      <c r="A1007" s="145"/>
      <c r="B1007" s="154"/>
      <c r="C1007" s="138"/>
      <c r="D1007" s="138"/>
      <c r="E1007" s="138"/>
      <c r="F1007" s="138"/>
      <c r="G1007" s="119"/>
      <c r="H1007" s="200"/>
      <c r="I1007" s="200"/>
      <c r="J1007" s="200"/>
      <c r="K1007" s="200"/>
      <c r="L1007" s="200"/>
      <c r="M1007" s="200"/>
      <c r="N1007" s="200"/>
      <c r="O1007" s="200"/>
      <c r="P1007" s="200"/>
      <c r="Q1007" s="200"/>
      <c r="R1007" s="200"/>
      <c r="S1007" s="200"/>
      <c r="T1007" s="200"/>
      <c r="U1007" s="200"/>
      <c r="V1007" s="200"/>
      <c r="W1007" s="200"/>
      <c r="X1007" s="200"/>
      <c r="Y1007" s="200"/>
      <c r="Z1007" s="200"/>
    </row>
    <row r="1008" ht="22.5" customHeight="1">
      <c r="A1008" s="145"/>
      <c r="B1008" s="154"/>
      <c r="C1008" s="138"/>
      <c r="D1008" s="138"/>
      <c r="E1008" s="138"/>
      <c r="F1008" s="138"/>
      <c r="G1008" s="119"/>
      <c r="H1008" s="200"/>
      <c r="I1008" s="200"/>
      <c r="J1008" s="200"/>
      <c r="K1008" s="200"/>
      <c r="L1008" s="200"/>
      <c r="M1008" s="200"/>
      <c r="N1008" s="200"/>
      <c r="O1008" s="200"/>
      <c r="P1008" s="200"/>
      <c r="Q1008" s="200"/>
      <c r="R1008" s="200"/>
      <c r="S1008" s="200"/>
      <c r="T1008" s="200"/>
      <c r="U1008" s="200"/>
      <c r="V1008" s="200"/>
      <c r="W1008" s="200"/>
      <c r="X1008" s="200"/>
      <c r="Y1008" s="200"/>
      <c r="Z1008" s="200"/>
    </row>
    <row r="1009" ht="22.5" customHeight="1">
      <c r="A1009" s="145"/>
      <c r="B1009" s="154"/>
      <c r="C1009" s="138"/>
      <c r="D1009" s="138"/>
      <c r="E1009" s="138"/>
      <c r="F1009" s="138"/>
      <c r="G1009" s="119"/>
      <c r="H1009" s="200"/>
      <c r="I1009" s="200"/>
      <c r="J1009" s="200"/>
      <c r="K1009" s="200"/>
      <c r="L1009" s="200"/>
      <c r="M1009" s="200"/>
      <c r="N1009" s="200"/>
      <c r="O1009" s="200"/>
      <c r="P1009" s="200"/>
      <c r="Q1009" s="200"/>
      <c r="R1009" s="200"/>
      <c r="S1009" s="200"/>
      <c r="T1009" s="200"/>
      <c r="U1009" s="200"/>
      <c r="V1009" s="200"/>
      <c r="W1009" s="200"/>
      <c r="X1009" s="200"/>
      <c r="Y1009" s="200"/>
      <c r="Z1009" s="200"/>
    </row>
    <row r="1010" ht="22.5" customHeight="1">
      <c r="A1010" s="145"/>
      <c r="B1010" s="154"/>
      <c r="C1010" s="138"/>
      <c r="D1010" s="138"/>
      <c r="E1010" s="138"/>
      <c r="F1010" s="138"/>
      <c r="G1010" s="119"/>
      <c r="H1010" s="200"/>
      <c r="I1010" s="200"/>
      <c r="J1010" s="200"/>
      <c r="K1010" s="200"/>
      <c r="L1010" s="200"/>
      <c r="M1010" s="200"/>
      <c r="N1010" s="200"/>
      <c r="O1010" s="200"/>
      <c r="P1010" s="200"/>
      <c r="Q1010" s="200"/>
      <c r="R1010" s="200"/>
      <c r="S1010" s="200"/>
      <c r="T1010" s="200"/>
      <c r="U1010" s="200"/>
      <c r="V1010" s="200"/>
      <c r="W1010" s="200"/>
      <c r="X1010" s="200"/>
      <c r="Y1010" s="200"/>
      <c r="Z1010" s="200"/>
    </row>
    <row r="1011" ht="22.5" customHeight="1">
      <c r="A1011" s="145"/>
      <c r="B1011" s="154"/>
      <c r="C1011" s="138"/>
      <c r="D1011" s="138"/>
      <c r="E1011" s="138"/>
      <c r="F1011" s="138"/>
      <c r="G1011" s="119"/>
      <c r="H1011" s="200"/>
      <c r="I1011" s="200"/>
      <c r="J1011" s="200"/>
      <c r="K1011" s="200"/>
      <c r="L1011" s="200"/>
      <c r="M1011" s="200"/>
      <c r="N1011" s="200"/>
      <c r="O1011" s="200"/>
      <c r="P1011" s="200"/>
      <c r="Q1011" s="200"/>
      <c r="R1011" s="200"/>
      <c r="S1011" s="200"/>
      <c r="T1011" s="200"/>
      <c r="U1011" s="200"/>
      <c r="V1011" s="200"/>
      <c r="W1011" s="200"/>
      <c r="X1011" s="200"/>
      <c r="Y1011" s="200"/>
      <c r="Z1011" s="200"/>
    </row>
    <row r="1012" ht="22.5" customHeight="1">
      <c r="A1012" s="145"/>
      <c r="B1012" s="154"/>
      <c r="C1012" s="138"/>
      <c r="D1012" s="138"/>
      <c r="E1012" s="138"/>
      <c r="F1012" s="138"/>
      <c r="G1012" s="119"/>
      <c r="H1012" s="200"/>
      <c r="I1012" s="200"/>
      <c r="J1012" s="200"/>
      <c r="K1012" s="200"/>
      <c r="L1012" s="200"/>
      <c r="M1012" s="200"/>
      <c r="N1012" s="200"/>
      <c r="O1012" s="200"/>
      <c r="P1012" s="200"/>
      <c r="Q1012" s="200"/>
      <c r="R1012" s="200"/>
      <c r="S1012" s="200"/>
      <c r="T1012" s="200"/>
      <c r="U1012" s="200"/>
      <c r="V1012" s="200"/>
      <c r="W1012" s="200"/>
      <c r="X1012" s="200"/>
      <c r="Y1012" s="200"/>
      <c r="Z1012" s="200"/>
    </row>
    <row r="1013" ht="22.5" customHeight="1">
      <c r="A1013" s="145"/>
      <c r="B1013" s="154"/>
      <c r="C1013" s="138"/>
      <c r="D1013" s="138"/>
      <c r="E1013" s="138"/>
      <c r="F1013" s="138"/>
      <c r="G1013" s="119"/>
      <c r="H1013" s="200"/>
      <c r="I1013" s="200"/>
      <c r="J1013" s="200"/>
      <c r="K1013" s="200"/>
      <c r="L1013" s="200"/>
      <c r="M1013" s="200"/>
      <c r="N1013" s="200"/>
      <c r="O1013" s="200"/>
      <c r="P1013" s="200"/>
      <c r="Q1013" s="200"/>
      <c r="R1013" s="200"/>
      <c r="S1013" s="200"/>
      <c r="T1013" s="200"/>
      <c r="U1013" s="200"/>
      <c r="V1013" s="200"/>
      <c r="W1013" s="200"/>
      <c r="X1013" s="200"/>
      <c r="Y1013" s="200"/>
      <c r="Z1013" s="200"/>
    </row>
    <row r="1014" ht="22.5" customHeight="1">
      <c r="A1014" s="145"/>
      <c r="B1014" s="154"/>
      <c r="C1014" s="138"/>
      <c r="D1014" s="138"/>
      <c r="E1014" s="138"/>
      <c r="F1014" s="138"/>
      <c r="G1014" s="119"/>
      <c r="H1014" s="200"/>
      <c r="I1014" s="200"/>
      <c r="J1014" s="200"/>
      <c r="K1014" s="200"/>
      <c r="L1014" s="200"/>
      <c r="M1014" s="200"/>
      <c r="N1014" s="200"/>
      <c r="O1014" s="200"/>
      <c r="P1014" s="200"/>
      <c r="Q1014" s="200"/>
      <c r="R1014" s="200"/>
      <c r="S1014" s="200"/>
      <c r="T1014" s="200"/>
      <c r="U1014" s="200"/>
      <c r="V1014" s="200"/>
      <c r="W1014" s="200"/>
      <c r="X1014" s="200"/>
      <c r="Y1014" s="200"/>
      <c r="Z1014" s="200"/>
    </row>
    <row r="1015" ht="22.5" customHeight="1">
      <c r="A1015" s="145"/>
      <c r="B1015" s="154"/>
      <c r="C1015" s="138"/>
      <c r="D1015" s="138"/>
      <c r="E1015" s="138"/>
      <c r="F1015" s="138"/>
      <c r="G1015" s="119"/>
      <c r="H1015" s="200"/>
      <c r="I1015" s="200"/>
      <c r="J1015" s="200"/>
      <c r="K1015" s="200"/>
      <c r="L1015" s="200"/>
      <c r="M1015" s="200"/>
      <c r="N1015" s="200"/>
      <c r="O1015" s="200"/>
      <c r="P1015" s="200"/>
      <c r="Q1015" s="200"/>
      <c r="R1015" s="200"/>
      <c r="S1015" s="200"/>
      <c r="T1015" s="200"/>
      <c r="U1015" s="200"/>
      <c r="V1015" s="200"/>
      <c r="W1015" s="200"/>
      <c r="X1015" s="200"/>
      <c r="Y1015" s="200"/>
      <c r="Z1015" s="200"/>
    </row>
    <row r="1016" ht="22.5" customHeight="1">
      <c r="A1016" s="145"/>
      <c r="B1016" s="154"/>
      <c r="C1016" s="138"/>
      <c r="D1016" s="138"/>
      <c r="E1016" s="138"/>
      <c r="F1016" s="138"/>
      <c r="G1016" s="119"/>
      <c r="H1016" s="200"/>
      <c r="I1016" s="200"/>
      <c r="J1016" s="200"/>
      <c r="K1016" s="200"/>
      <c r="L1016" s="200"/>
      <c r="M1016" s="200"/>
      <c r="N1016" s="200"/>
      <c r="O1016" s="200"/>
      <c r="P1016" s="200"/>
      <c r="Q1016" s="200"/>
      <c r="R1016" s="200"/>
      <c r="S1016" s="200"/>
      <c r="T1016" s="200"/>
      <c r="U1016" s="200"/>
      <c r="V1016" s="200"/>
      <c r="W1016" s="200"/>
      <c r="X1016" s="200"/>
      <c r="Y1016" s="200"/>
      <c r="Z1016" s="200"/>
    </row>
    <row r="1017" ht="22.5" customHeight="1">
      <c r="A1017" s="145"/>
      <c r="B1017" s="154"/>
      <c r="C1017" s="138"/>
      <c r="D1017" s="138"/>
      <c r="E1017" s="138"/>
      <c r="F1017" s="138"/>
      <c r="G1017" s="119"/>
      <c r="H1017" s="200"/>
      <c r="I1017" s="200"/>
      <c r="J1017" s="200"/>
      <c r="K1017" s="200"/>
      <c r="L1017" s="200"/>
      <c r="M1017" s="200"/>
      <c r="N1017" s="200"/>
      <c r="O1017" s="200"/>
      <c r="P1017" s="200"/>
      <c r="Q1017" s="200"/>
      <c r="R1017" s="200"/>
      <c r="S1017" s="200"/>
      <c r="T1017" s="200"/>
      <c r="U1017" s="200"/>
      <c r="V1017" s="200"/>
      <c r="W1017" s="200"/>
      <c r="X1017" s="200"/>
      <c r="Y1017" s="200"/>
      <c r="Z1017" s="200"/>
    </row>
    <row r="1018" ht="22.5" customHeight="1">
      <c r="A1018" s="145"/>
      <c r="B1018" s="154"/>
      <c r="C1018" s="138"/>
      <c r="D1018" s="138"/>
      <c r="E1018" s="138"/>
      <c r="F1018" s="138"/>
      <c r="G1018" s="119"/>
      <c r="H1018" s="200"/>
      <c r="I1018" s="200"/>
      <c r="J1018" s="200"/>
      <c r="K1018" s="200"/>
      <c r="L1018" s="200"/>
      <c r="M1018" s="200"/>
      <c r="N1018" s="200"/>
      <c r="O1018" s="200"/>
      <c r="P1018" s="200"/>
      <c r="Q1018" s="200"/>
      <c r="R1018" s="200"/>
      <c r="S1018" s="200"/>
      <c r="T1018" s="200"/>
      <c r="U1018" s="200"/>
      <c r="V1018" s="200"/>
      <c r="W1018" s="200"/>
      <c r="X1018" s="200"/>
      <c r="Y1018" s="200"/>
      <c r="Z1018" s="200"/>
    </row>
    <row r="1019" ht="22.5" customHeight="1">
      <c r="A1019" s="145"/>
      <c r="B1019" s="154"/>
      <c r="C1019" s="138"/>
      <c r="D1019" s="138"/>
      <c r="E1019" s="138"/>
      <c r="F1019" s="138"/>
      <c r="G1019" s="119"/>
      <c r="H1019" s="200"/>
      <c r="I1019" s="200"/>
      <c r="J1019" s="200"/>
      <c r="K1019" s="200"/>
      <c r="L1019" s="200"/>
      <c r="M1019" s="200"/>
      <c r="N1019" s="200"/>
      <c r="O1019" s="200"/>
      <c r="P1019" s="200"/>
      <c r="Q1019" s="200"/>
      <c r="R1019" s="200"/>
      <c r="S1019" s="200"/>
      <c r="T1019" s="200"/>
      <c r="U1019" s="200"/>
      <c r="V1019" s="200"/>
      <c r="W1019" s="200"/>
      <c r="X1019" s="200"/>
      <c r="Y1019" s="200"/>
      <c r="Z1019" s="200"/>
    </row>
    <row r="1020" ht="22.5" customHeight="1">
      <c r="A1020" s="145"/>
      <c r="B1020" s="154"/>
      <c r="C1020" s="138"/>
      <c r="D1020" s="138"/>
      <c r="E1020" s="138"/>
      <c r="F1020" s="138"/>
      <c r="G1020" s="119"/>
      <c r="H1020" s="200"/>
      <c r="I1020" s="200"/>
      <c r="J1020" s="200"/>
      <c r="K1020" s="200"/>
      <c r="L1020" s="200"/>
      <c r="M1020" s="200"/>
      <c r="N1020" s="200"/>
      <c r="O1020" s="200"/>
      <c r="P1020" s="200"/>
      <c r="Q1020" s="200"/>
      <c r="R1020" s="200"/>
      <c r="S1020" s="200"/>
      <c r="T1020" s="200"/>
      <c r="U1020" s="200"/>
      <c r="V1020" s="200"/>
      <c r="W1020" s="200"/>
      <c r="X1020" s="200"/>
      <c r="Y1020" s="200"/>
      <c r="Z1020" s="200"/>
    </row>
    <row r="1021" ht="22.5" customHeight="1">
      <c r="A1021" s="145"/>
      <c r="B1021" s="154"/>
      <c r="C1021" s="138"/>
      <c r="D1021" s="138"/>
      <c r="E1021" s="138"/>
      <c r="F1021" s="138"/>
      <c r="G1021" s="119"/>
      <c r="H1021" s="200"/>
      <c r="I1021" s="200"/>
      <c r="J1021" s="200"/>
      <c r="K1021" s="200"/>
      <c r="L1021" s="200"/>
      <c r="M1021" s="200"/>
      <c r="N1021" s="200"/>
      <c r="O1021" s="200"/>
      <c r="P1021" s="200"/>
      <c r="Q1021" s="200"/>
      <c r="R1021" s="200"/>
      <c r="S1021" s="200"/>
      <c r="T1021" s="200"/>
      <c r="U1021" s="200"/>
      <c r="V1021" s="200"/>
      <c r="W1021" s="200"/>
      <c r="X1021" s="200"/>
      <c r="Y1021" s="200"/>
      <c r="Z1021" s="200"/>
    </row>
    <row r="1022" ht="22.5" customHeight="1">
      <c r="A1022" s="145"/>
      <c r="B1022" s="154"/>
      <c r="C1022" s="138"/>
      <c r="D1022" s="138"/>
      <c r="E1022" s="138"/>
      <c r="F1022" s="138"/>
      <c r="G1022" s="119"/>
      <c r="H1022" s="200"/>
      <c r="I1022" s="200"/>
      <c r="J1022" s="200"/>
      <c r="K1022" s="200"/>
      <c r="L1022" s="200"/>
      <c r="M1022" s="200"/>
      <c r="N1022" s="200"/>
      <c r="O1022" s="200"/>
      <c r="P1022" s="200"/>
      <c r="Q1022" s="200"/>
      <c r="R1022" s="200"/>
      <c r="S1022" s="200"/>
      <c r="T1022" s="200"/>
      <c r="U1022" s="200"/>
      <c r="V1022" s="200"/>
      <c r="W1022" s="200"/>
      <c r="X1022" s="200"/>
      <c r="Y1022" s="200"/>
      <c r="Z1022" s="200"/>
    </row>
    <row r="1023" ht="22.5" customHeight="1">
      <c r="A1023" s="145"/>
      <c r="B1023" s="154"/>
      <c r="C1023" s="138"/>
      <c r="D1023" s="138"/>
      <c r="E1023" s="138"/>
      <c r="F1023" s="138"/>
      <c r="G1023" s="119"/>
      <c r="H1023" s="200"/>
      <c r="I1023" s="200"/>
      <c r="J1023" s="200"/>
      <c r="K1023" s="200"/>
      <c r="L1023" s="200"/>
      <c r="M1023" s="200"/>
      <c r="N1023" s="200"/>
      <c r="O1023" s="200"/>
      <c r="P1023" s="200"/>
      <c r="Q1023" s="200"/>
      <c r="R1023" s="200"/>
      <c r="S1023" s="200"/>
      <c r="T1023" s="200"/>
      <c r="U1023" s="200"/>
      <c r="V1023" s="200"/>
      <c r="W1023" s="200"/>
      <c r="X1023" s="200"/>
      <c r="Y1023" s="200"/>
      <c r="Z1023" s="200"/>
    </row>
    <row r="1024" ht="22.5" customHeight="1">
      <c r="A1024" s="145"/>
      <c r="B1024" s="154"/>
      <c r="C1024" s="138"/>
      <c r="D1024" s="138"/>
      <c r="E1024" s="138"/>
      <c r="F1024" s="138"/>
      <c r="G1024" s="119"/>
      <c r="H1024" s="200"/>
      <c r="I1024" s="200"/>
      <c r="J1024" s="200"/>
      <c r="K1024" s="200"/>
      <c r="L1024" s="200"/>
      <c r="M1024" s="200"/>
      <c r="N1024" s="200"/>
      <c r="O1024" s="200"/>
      <c r="P1024" s="200"/>
      <c r="Q1024" s="200"/>
      <c r="R1024" s="200"/>
      <c r="S1024" s="200"/>
      <c r="T1024" s="200"/>
      <c r="U1024" s="200"/>
      <c r="V1024" s="200"/>
      <c r="W1024" s="200"/>
      <c r="X1024" s="200"/>
      <c r="Y1024" s="200"/>
      <c r="Z1024" s="200"/>
    </row>
    <row r="1025" ht="22.5" customHeight="1">
      <c r="A1025" s="145"/>
      <c r="B1025" s="154"/>
      <c r="C1025" s="138"/>
      <c r="D1025" s="138"/>
      <c r="E1025" s="138"/>
      <c r="F1025" s="138"/>
      <c r="G1025" s="119"/>
      <c r="H1025" s="200"/>
      <c r="I1025" s="200"/>
      <c r="J1025" s="200"/>
      <c r="K1025" s="200"/>
      <c r="L1025" s="200"/>
      <c r="M1025" s="200"/>
      <c r="N1025" s="200"/>
      <c r="O1025" s="200"/>
      <c r="P1025" s="200"/>
      <c r="Q1025" s="200"/>
      <c r="R1025" s="200"/>
      <c r="S1025" s="200"/>
      <c r="T1025" s="200"/>
      <c r="U1025" s="200"/>
      <c r="V1025" s="200"/>
      <c r="W1025" s="200"/>
      <c r="X1025" s="200"/>
      <c r="Y1025" s="200"/>
      <c r="Z1025" s="200"/>
    </row>
    <row r="1026" ht="22.5" customHeight="1">
      <c r="A1026" s="145"/>
      <c r="B1026" s="154"/>
      <c r="C1026" s="138"/>
      <c r="D1026" s="138"/>
      <c r="E1026" s="138"/>
      <c r="F1026" s="138"/>
      <c r="G1026" s="119"/>
      <c r="H1026" s="200"/>
      <c r="I1026" s="200"/>
      <c r="J1026" s="200"/>
      <c r="K1026" s="200"/>
      <c r="L1026" s="200"/>
      <c r="M1026" s="200"/>
      <c r="N1026" s="200"/>
      <c r="O1026" s="200"/>
      <c r="P1026" s="200"/>
      <c r="Q1026" s="200"/>
      <c r="R1026" s="200"/>
      <c r="S1026" s="200"/>
      <c r="T1026" s="200"/>
      <c r="U1026" s="200"/>
      <c r="V1026" s="200"/>
      <c r="W1026" s="200"/>
      <c r="X1026" s="200"/>
      <c r="Y1026" s="200"/>
      <c r="Z1026" s="200"/>
    </row>
    <row r="1027" ht="22.5" customHeight="1">
      <c r="A1027" s="145"/>
      <c r="B1027" s="154"/>
      <c r="C1027" s="138"/>
      <c r="D1027" s="138"/>
      <c r="E1027" s="138"/>
      <c r="F1027" s="138"/>
      <c r="G1027" s="119"/>
      <c r="H1027" s="200"/>
      <c r="I1027" s="200"/>
      <c r="J1027" s="200"/>
      <c r="K1027" s="200"/>
      <c r="L1027" s="200"/>
      <c r="M1027" s="200"/>
      <c r="N1027" s="200"/>
      <c r="O1027" s="200"/>
      <c r="P1027" s="200"/>
      <c r="Q1027" s="200"/>
      <c r="R1027" s="200"/>
      <c r="S1027" s="200"/>
      <c r="T1027" s="200"/>
      <c r="U1027" s="200"/>
      <c r="V1027" s="200"/>
      <c r="W1027" s="200"/>
      <c r="X1027" s="200"/>
      <c r="Y1027" s="200"/>
      <c r="Z1027" s="200"/>
    </row>
    <row r="1028" ht="22.5" customHeight="1">
      <c r="A1028" s="145"/>
      <c r="B1028" s="154"/>
      <c r="C1028" s="138"/>
      <c r="D1028" s="138"/>
      <c r="E1028" s="138"/>
      <c r="F1028" s="138"/>
      <c r="G1028" s="119"/>
      <c r="H1028" s="200"/>
      <c r="I1028" s="200"/>
      <c r="J1028" s="200"/>
      <c r="K1028" s="200"/>
      <c r="L1028" s="200"/>
      <c r="M1028" s="200"/>
      <c r="N1028" s="200"/>
      <c r="O1028" s="200"/>
      <c r="P1028" s="200"/>
      <c r="Q1028" s="200"/>
      <c r="R1028" s="200"/>
      <c r="S1028" s="200"/>
      <c r="T1028" s="200"/>
      <c r="U1028" s="200"/>
      <c r="V1028" s="200"/>
      <c r="W1028" s="200"/>
      <c r="X1028" s="200"/>
      <c r="Y1028" s="200"/>
      <c r="Z1028" s="200"/>
    </row>
    <row r="1029" ht="22.5" customHeight="1">
      <c r="A1029" s="145"/>
      <c r="B1029" s="154"/>
      <c r="C1029" s="138"/>
      <c r="D1029" s="138"/>
      <c r="E1029" s="138"/>
      <c r="F1029" s="138"/>
      <c r="G1029" s="119"/>
      <c r="H1029" s="200"/>
      <c r="I1029" s="200"/>
      <c r="J1029" s="200"/>
      <c r="K1029" s="200"/>
      <c r="L1029" s="200"/>
      <c r="M1029" s="200"/>
      <c r="N1029" s="200"/>
      <c r="O1029" s="200"/>
      <c r="P1029" s="200"/>
      <c r="Q1029" s="200"/>
      <c r="R1029" s="200"/>
      <c r="S1029" s="200"/>
      <c r="T1029" s="200"/>
      <c r="U1029" s="200"/>
      <c r="V1029" s="200"/>
      <c r="W1029" s="200"/>
      <c r="X1029" s="200"/>
      <c r="Y1029" s="200"/>
      <c r="Z1029" s="200"/>
    </row>
    <row r="1030" ht="22.5" customHeight="1">
      <c r="A1030" s="145"/>
      <c r="B1030" s="154"/>
      <c r="C1030" s="138"/>
      <c r="D1030" s="138"/>
      <c r="E1030" s="138"/>
      <c r="F1030" s="138"/>
      <c r="G1030" s="119"/>
      <c r="H1030" s="200"/>
      <c r="I1030" s="200"/>
      <c r="J1030" s="200"/>
      <c r="K1030" s="200"/>
      <c r="L1030" s="200"/>
      <c r="M1030" s="200"/>
      <c r="N1030" s="200"/>
      <c r="O1030" s="200"/>
      <c r="P1030" s="200"/>
      <c r="Q1030" s="200"/>
      <c r="R1030" s="200"/>
      <c r="S1030" s="200"/>
      <c r="T1030" s="200"/>
      <c r="U1030" s="200"/>
      <c r="V1030" s="200"/>
      <c r="W1030" s="200"/>
      <c r="X1030" s="200"/>
      <c r="Y1030" s="200"/>
      <c r="Z1030" s="200"/>
    </row>
    <row r="1031" ht="22.5" customHeight="1">
      <c r="A1031" s="145"/>
      <c r="B1031" s="154"/>
      <c r="C1031" s="138"/>
      <c r="D1031" s="138"/>
      <c r="E1031" s="138"/>
      <c r="F1031" s="138"/>
      <c r="G1031" s="119"/>
      <c r="H1031" s="200"/>
      <c r="I1031" s="200"/>
      <c r="J1031" s="200"/>
      <c r="K1031" s="200"/>
      <c r="L1031" s="200"/>
      <c r="M1031" s="200"/>
      <c r="N1031" s="200"/>
      <c r="O1031" s="200"/>
      <c r="P1031" s="200"/>
      <c r="Q1031" s="200"/>
      <c r="R1031" s="200"/>
      <c r="S1031" s="200"/>
      <c r="T1031" s="200"/>
      <c r="U1031" s="200"/>
      <c r="V1031" s="200"/>
      <c r="W1031" s="200"/>
      <c r="X1031" s="200"/>
      <c r="Y1031" s="200"/>
      <c r="Z1031" s="200"/>
    </row>
    <row r="1032" ht="22.5" customHeight="1">
      <c r="A1032" s="145"/>
      <c r="B1032" s="154"/>
      <c r="C1032" s="138"/>
      <c r="D1032" s="138"/>
      <c r="E1032" s="138"/>
      <c r="F1032" s="138"/>
      <c r="G1032" s="119"/>
      <c r="H1032" s="200"/>
      <c r="I1032" s="200"/>
      <c r="J1032" s="200"/>
      <c r="K1032" s="200"/>
      <c r="L1032" s="200"/>
      <c r="M1032" s="200"/>
      <c r="N1032" s="200"/>
      <c r="O1032" s="200"/>
      <c r="P1032" s="200"/>
      <c r="Q1032" s="200"/>
      <c r="R1032" s="200"/>
      <c r="S1032" s="200"/>
      <c r="T1032" s="200"/>
      <c r="U1032" s="200"/>
      <c r="V1032" s="200"/>
      <c r="W1032" s="200"/>
      <c r="X1032" s="200"/>
      <c r="Y1032" s="200"/>
      <c r="Z1032" s="200"/>
    </row>
    <row r="1033" ht="22.5" customHeight="1">
      <c r="A1033" s="145"/>
      <c r="B1033" s="154"/>
      <c r="C1033" s="138"/>
      <c r="D1033" s="138"/>
      <c r="E1033" s="138"/>
      <c r="F1033" s="138"/>
      <c r="G1033" s="119"/>
      <c r="H1033" s="200"/>
      <c r="I1033" s="200"/>
      <c r="J1033" s="200"/>
      <c r="K1033" s="200"/>
      <c r="L1033" s="200"/>
      <c r="M1033" s="200"/>
      <c r="N1033" s="200"/>
      <c r="O1033" s="200"/>
      <c r="P1033" s="200"/>
      <c r="Q1033" s="200"/>
      <c r="R1033" s="200"/>
      <c r="S1033" s="200"/>
      <c r="T1033" s="200"/>
      <c r="U1033" s="200"/>
      <c r="V1033" s="200"/>
      <c r="W1033" s="200"/>
      <c r="X1033" s="200"/>
      <c r="Y1033" s="200"/>
      <c r="Z1033" s="200"/>
    </row>
    <row r="1034" ht="22.5" customHeight="1">
      <c r="A1034" s="145"/>
      <c r="B1034" s="154"/>
      <c r="C1034" s="138"/>
      <c r="D1034" s="138"/>
      <c r="E1034" s="138"/>
      <c r="F1034" s="138"/>
      <c r="G1034" s="119"/>
      <c r="H1034" s="200"/>
      <c r="I1034" s="200"/>
      <c r="J1034" s="200"/>
      <c r="K1034" s="200"/>
      <c r="L1034" s="200"/>
      <c r="M1034" s="200"/>
      <c r="N1034" s="200"/>
      <c r="O1034" s="200"/>
      <c r="P1034" s="200"/>
      <c r="Q1034" s="200"/>
      <c r="R1034" s="200"/>
      <c r="S1034" s="200"/>
      <c r="T1034" s="200"/>
      <c r="U1034" s="200"/>
      <c r="V1034" s="200"/>
      <c r="W1034" s="200"/>
      <c r="X1034" s="200"/>
      <c r="Y1034" s="200"/>
      <c r="Z1034" s="200"/>
    </row>
    <row r="1035" ht="22.5" customHeight="1">
      <c r="A1035" s="145"/>
      <c r="B1035" s="154"/>
      <c r="C1035" s="138"/>
      <c r="D1035" s="138"/>
      <c r="E1035" s="138"/>
      <c r="F1035" s="138"/>
      <c r="G1035" s="119"/>
      <c r="H1035" s="200"/>
      <c r="I1035" s="200"/>
      <c r="J1035" s="200"/>
      <c r="K1035" s="200"/>
      <c r="L1035" s="200"/>
      <c r="M1035" s="200"/>
      <c r="N1035" s="200"/>
      <c r="O1035" s="200"/>
      <c r="P1035" s="200"/>
      <c r="Q1035" s="200"/>
      <c r="R1035" s="200"/>
      <c r="S1035" s="200"/>
      <c r="T1035" s="200"/>
      <c r="U1035" s="200"/>
      <c r="V1035" s="200"/>
      <c r="W1035" s="200"/>
      <c r="X1035" s="200"/>
      <c r="Y1035" s="200"/>
      <c r="Z1035" s="200"/>
    </row>
    <row r="1036" ht="22.5" customHeight="1">
      <c r="A1036" s="145"/>
      <c r="B1036" s="154"/>
      <c r="C1036" s="138"/>
      <c r="D1036" s="138"/>
      <c r="E1036" s="138"/>
      <c r="F1036" s="138"/>
      <c r="G1036" s="119"/>
      <c r="H1036" s="200"/>
      <c r="I1036" s="200"/>
      <c r="J1036" s="200"/>
      <c r="K1036" s="200"/>
      <c r="L1036" s="200"/>
      <c r="M1036" s="200"/>
      <c r="N1036" s="200"/>
      <c r="O1036" s="200"/>
      <c r="P1036" s="200"/>
      <c r="Q1036" s="200"/>
      <c r="R1036" s="200"/>
      <c r="S1036" s="200"/>
      <c r="T1036" s="200"/>
      <c r="U1036" s="200"/>
      <c r="V1036" s="200"/>
      <c r="W1036" s="200"/>
      <c r="X1036" s="200"/>
      <c r="Y1036" s="200"/>
      <c r="Z1036" s="200"/>
    </row>
    <row r="1037" ht="22.5" customHeight="1">
      <c r="A1037" s="145"/>
      <c r="B1037" s="154"/>
      <c r="C1037" s="138"/>
      <c r="D1037" s="138"/>
      <c r="E1037" s="138"/>
      <c r="F1037" s="138"/>
      <c r="G1037" s="119"/>
      <c r="H1037" s="200"/>
      <c r="I1037" s="200"/>
      <c r="J1037" s="200"/>
      <c r="K1037" s="200"/>
      <c r="L1037" s="200"/>
      <c r="M1037" s="200"/>
      <c r="N1037" s="200"/>
      <c r="O1037" s="200"/>
      <c r="P1037" s="200"/>
      <c r="Q1037" s="200"/>
      <c r="R1037" s="200"/>
      <c r="S1037" s="200"/>
      <c r="T1037" s="200"/>
      <c r="U1037" s="200"/>
      <c r="V1037" s="200"/>
      <c r="W1037" s="200"/>
      <c r="X1037" s="200"/>
      <c r="Y1037" s="200"/>
      <c r="Z1037" s="200"/>
    </row>
    <row r="1038" ht="22.5" customHeight="1">
      <c r="A1038" s="145"/>
      <c r="B1038" s="154"/>
      <c r="C1038" s="138"/>
      <c r="D1038" s="138"/>
      <c r="E1038" s="138"/>
      <c r="F1038" s="138"/>
      <c r="G1038" s="119"/>
      <c r="H1038" s="200"/>
      <c r="I1038" s="200"/>
      <c r="J1038" s="200"/>
      <c r="K1038" s="200"/>
      <c r="L1038" s="200"/>
      <c r="M1038" s="200"/>
      <c r="N1038" s="200"/>
      <c r="O1038" s="200"/>
      <c r="P1038" s="200"/>
      <c r="Q1038" s="200"/>
      <c r="R1038" s="200"/>
      <c r="S1038" s="200"/>
      <c r="T1038" s="200"/>
      <c r="U1038" s="200"/>
      <c r="V1038" s="200"/>
      <c r="W1038" s="200"/>
      <c r="X1038" s="200"/>
      <c r="Y1038" s="200"/>
      <c r="Z1038" s="200"/>
    </row>
    <row r="1039" ht="22.5" customHeight="1">
      <c r="A1039" s="145"/>
      <c r="B1039" s="154"/>
      <c r="C1039" s="138"/>
      <c r="D1039" s="138"/>
      <c r="E1039" s="138"/>
      <c r="F1039" s="138"/>
      <c r="G1039" s="119"/>
      <c r="H1039" s="200"/>
      <c r="I1039" s="200"/>
      <c r="J1039" s="200"/>
      <c r="K1039" s="200"/>
      <c r="L1039" s="200"/>
      <c r="M1039" s="200"/>
      <c r="N1039" s="200"/>
      <c r="O1039" s="200"/>
      <c r="P1039" s="200"/>
      <c r="Q1039" s="200"/>
      <c r="R1039" s="200"/>
      <c r="S1039" s="200"/>
      <c r="T1039" s="200"/>
      <c r="U1039" s="200"/>
      <c r="V1039" s="200"/>
      <c r="W1039" s="200"/>
      <c r="X1039" s="200"/>
      <c r="Y1039" s="200"/>
      <c r="Z1039" s="200"/>
    </row>
    <row r="1040" ht="22.5" customHeight="1">
      <c r="A1040" s="145"/>
      <c r="B1040" s="154"/>
      <c r="C1040" s="138"/>
      <c r="D1040" s="138"/>
      <c r="E1040" s="138"/>
      <c r="F1040" s="138"/>
      <c r="G1040" s="119"/>
      <c r="H1040" s="200"/>
      <c r="I1040" s="200"/>
      <c r="J1040" s="200"/>
      <c r="K1040" s="200"/>
      <c r="L1040" s="200"/>
      <c r="M1040" s="200"/>
      <c r="N1040" s="200"/>
      <c r="O1040" s="200"/>
      <c r="P1040" s="200"/>
      <c r="Q1040" s="200"/>
      <c r="R1040" s="200"/>
      <c r="S1040" s="200"/>
      <c r="T1040" s="200"/>
      <c r="U1040" s="200"/>
      <c r="V1040" s="200"/>
      <c r="W1040" s="200"/>
      <c r="X1040" s="200"/>
      <c r="Y1040" s="200"/>
      <c r="Z1040" s="200"/>
    </row>
    <row r="1041" ht="22.5" customHeight="1">
      <c r="A1041" s="145"/>
      <c r="B1041" s="154"/>
      <c r="C1041" s="138"/>
      <c r="D1041" s="138"/>
      <c r="E1041" s="138"/>
      <c r="F1041" s="138"/>
      <c r="G1041" s="119"/>
      <c r="H1041" s="200"/>
      <c r="I1041" s="200"/>
      <c r="J1041" s="200"/>
      <c r="K1041" s="200"/>
      <c r="L1041" s="200"/>
      <c r="M1041" s="200"/>
      <c r="N1041" s="200"/>
      <c r="O1041" s="200"/>
      <c r="P1041" s="200"/>
      <c r="Q1041" s="200"/>
      <c r="R1041" s="200"/>
      <c r="S1041" s="200"/>
      <c r="T1041" s="200"/>
      <c r="U1041" s="200"/>
      <c r="V1041" s="200"/>
      <c r="W1041" s="200"/>
      <c r="X1041" s="200"/>
      <c r="Y1041" s="200"/>
      <c r="Z1041" s="200"/>
    </row>
    <row r="1042" ht="22.5" customHeight="1">
      <c r="A1042" s="145"/>
      <c r="B1042" s="154"/>
      <c r="C1042" s="138"/>
      <c r="D1042" s="138"/>
      <c r="E1042" s="138"/>
      <c r="F1042" s="138"/>
      <c r="G1042" s="119"/>
      <c r="H1042" s="200"/>
      <c r="I1042" s="200"/>
      <c r="J1042" s="200"/>
      <c r="K1042" s="200"/>
      <c r="L1042" s="200"/>
      <c r="M1042" s="200"/>
      <c r="N1042" s="200"/>
      <c r="O1042" s="200"/>
      <c r="P1042" s="200"/>
      <c r="Q1042" s="200"/>
      <c r="R1042" s="200"/>
      <c r="S1042" s="200"/>
      <c r="T1042" s="200"/>
      <c r="U1042" s="200"/>
      <c r="V1042" s="200"/>
      <c r="W1042" s="200"/>
      <c r="X1042" s="200"/>
      <c r="Y1042" s="200"/>
      <c r="Z1042" s="200"/>
    </row>
    <row r="1043" ht="22.5" customHeight="1">
      <c r="A1043" s="145"/>
      <c r="B1043" s="154"/>
      <c r="C1043" s="138"/>
      <c r="D1043" s="138"/>
      <c r="E1043" s="138"/>
      <c r="F1043" s="138"/>
      <c r="G1043" s="119"/>
      <c r="H1043" s="200"/>
      <c r="I1043" s="200"/>
      <c r="J1043" s="200"/>
      <c r="K1043" s="200"/>
      <c r="L1043" s="200"/>
      <c r="M1043" s="200"/>
      <c r="N1043" s="200"/>
      <c r="O1043" s="200"/>
      <c r="P1043" s="200"/>
      <c r="Q1043" s="200"/>
      <c r="R1043" s="200"/>
      <c r="S1043" s="200"/>
      <c r="T1043" s="200"/>
      <c r="U1043" s="200"/>
      <c r="V1043" s="200"/>
      <c r="W1043" s="200"/>
      <c r="X1043" s="200"/>
      <c r="Y1043" s="200"/>
      <c r="Z1043" s="200"/>
    </row>
    <row r="1044" ht="22.5" customHeight="1">
      <c r="A1044" s="145"/>
      <c r="B1044" s="154"/>
      <c r="C1044" s="138"/>
      <c r="D1044" s="138"/>
      <c r="E1044" s="138"/>
      <c r="F1044" s="138"/>
      <c r="G1044" s="119"/>
      <c r="H1044" s="200"/>
      <c r="I1044" s="200"/>
      <c r="J1044" s="200"/>
      <c r="K1044" s="200"/>
      <c r="L1044" s="200"/>
      <c r="M1044" s="200"/>
      <c r="N1044" s="200"/>
      <c r="O1044" s="200"/>
      <c r="P1044" s="200"/>
      <c r="Q1044" s="200"/>
      <c r="R1044" s="200"/>
      <c r="S1044" s="200"/>
      <c r="T1044" s="200"/>
      <c r="U1044" s="200"/>
      <c r="V1044" s="200"/>
      <c r="W1044" s="200"/>
      <c r="X1044" s="200"/>
      <c r="Y1044" s="200"/>
      <c r="Z1044" s="200"/>
    </row>
    <row r="1045" ht="22.5" customHeight="1">
      <c r="A1045" s="145"/>
      <c r="B1045" s="154"/>
      <c r="C1045" s="138"/>
      <c r="D1045" s="138"/>
      <c r="E1045" s="138"/>
      <c r="F1045" s="138"/>
      <c r="G1045" s="119"/>
      <c r="H1045" s="200"/>
      <c r="I1045" s="200"/>
      <c r="J1045" s="200"/>
      <c r="K1045" s="200"/>
      <c r="L1045" s="200"/>
      <c r="M1045" s="200"/>
      <c r="N1045" s="200"/>
      <c r="O1045" s="200"/>
      <c r="P1045" s="200"/>
      <c r="Q1045" s="200"/>
      <c r="R1045" s="200"/>
      <c r="S1045" s="200"/>
      <c r="T1045" s="200"/>
      <c r="U1045" s="200"/>
      <c r="V1045" s="200"/>
      <c r="W1045" s="200"/>
      <c r="X1045" s="200"/>
      <c r="Y1045" s="200"/>
      <c r="Z1045" s="200"/>
    </row>
    <row r="1046" ht="22.5" customHeight="1">
      <c r="A1046" s="145"/>
      <c r="B1046" s="154"/>
      <c r="C1046" s="138"/>
      <c r="D1046" s="138"/>
      <c r="E1046" s="138"/>
      <c r="F1046" s="138"/>
      <c r="G1046" s="119"/>
      <c r="H1046" s="200"/>
      <c r="I1046" s="200"/>
      <c r="J1046" s="200"/>
      <c r="K1046" s="200"/>
      <c r="L1046" s="200"/>
      <c r="M1046" s="200"/>
      <c r="N1046" s="200"/>
      <c r="O1046" s="200"/>
      <c r="P1046" s="200"/>
      <c r="Q1046" s="200"/>
      <c r="R1046" s="200"/>
      <c r="S1046" s="200"/>
      <c r="T1046" s="200"/>
      <c r="U1046" s="200"/>
      <c r="V1046" s="200"/>
      <c r="W1046" s="200"/>
      <c r="X1046" s="200"/>
      <c r="Y1046" s="200"/>
      <c r="Z1046" s="200"/>
    </row>
    <row r="1047" ht="22.5" customHeight="1">
      <c r="A1047" s="145"/>
      <c r="B1047" s="154"/>
      <c r="C1047" s="138"/>
      <c r="D1047" s="138"/>
      <c r="E1047" s="138"/>
      <c r="F1047" s="138"/>
      <c r="G1047" s="119"/>
      <c r="H1047" s="200"/>
      <c r="I1047" s="200"/>
      <c r="J1047" s="200"/>
      <c r="K1047" s="200"/>
      <c r="L1047" s="200"/>
      <c r="M1047" s="200"/>
      <c r="N1047" s="200"/>
      <c r="O1047" s="200"/>
      <c r="P1047" s="200"/>
      <c r="Q1047" s="200"/>
      <c r="R1047" s="200"/>
      <c r="S1047" s="200"/>
      <c r="T1047" s="200"/>
      <c r="U1047" s="200"/>
      <c r="V1047" s="200"/>
      <c r="W1047" s="200"/>
      <c r="X1047" s="200"/>
      <c r="Y1047" s="200"/>
      <c r="Z1047" s="200"/>
    </row>
    <row r="1048" ht="22.5" customHeight="1">
      <c r="A1048" s="145"/>
      <c r="B1048" s="154"/>
      <c r="C1048" s="138"/>
      <c r="D1048" s="138"/>
      <c r="E1048" s="138"/>
      <c r="F1048" s="138"/>
      <c r="G1048" s="119"/>
      <c r="H1048" s="200"/>
      <c r="I1048" s="200"/>
      <c r="J1048" s="200"/>
      <c r="K1048" s="200"/>
      <c r="L1048" s="200"/>
      <c r="M1048" s="200"/>
      <c r="N1048" s="200"/>
      <c r="O1048" s="200"/>
      <c r="P1048" s="200"/>
      <c r="Q1048" s="200"/>
      <c r="R1048" s="200"/>
      <c r="S1048" s="200"/>
      <c r="T1048" s="200"/>
      <c r="U1048" s="200"/>
      <c r="V1048" s="200"/>
      <c r="W1048" s="200"/>
      <c r="X1048" s="200"/>
      <c r="Y1048" s="200"/>
      <c r="Z1048" s="200"/>
    </row>
    <row r="1049" ht="22.5" customHeight="1">
      <c r="A1049" s="145"/>
      <c r="B1049" s="154"/>
      <c r="C1049" s="138"/>
      <c r="D1049" s="138"/>
      <c r="E1049" s="138"/>
      <c r="F1049" s="138"/>
      <c r="G1049" s="119"/>
      <c r="H1049" s="200"/>
      <c r="I1049" s="200"/>
      <c r="J1049" s="200"/>
      <c r="K1049" s="200"/>
      <c r="L1049" s="200"/>
      <c r="M1049" s="200"/>
      <c r="N1049" s="200"/>
      <c r="O1049" s="200"/>
      <c r="P1049" s="200"/>
      <c r="Q1049" s="200"/>
      <c r="R1049" s="200"/>
      <c r="S1049" s="200"/>
      <c r="T1049" s="200"/>
      <c r="U1049" s="200"/>
      <c r="V1049" s="200"/>
      <c r="W1049" s="200"/>
      <c r="X1049" s="200"/>
      <c r="Y1049" s="200"/>
      <c r="Z1049" s="200"/>
    </row>
    <row r="1050" ht="22.5" customHeight="1">
      <c r="A1050" s="145"/>
      <c r="B1050" s="154"/>
      <c r="C1050" s="138"/>
      <c r="D1050" s="138"/>
      <c r="E1050" s="138"/>
      <c r="F1050" s="138"/>
      <c r="G1050" s="119"/>
      <c r="H1050" s="200"/>
      <c r="I1050" s="200"/>
      <c r="J1050" s="200"/>
      <c r="K1050" s="200"/>
      <c r="L1050" s="200"/>
      <c r="M1050" s="200"/>
      <c r="N1050" s="200"/>
      <c r="O1050" s="200"/>
      <c r="P1050" s="200"/>
      <c r="Q1050" s="200"/>
      <c r="R1050" s="200"/>
      <c r="S1050" s="200"/>
      <c r="T1050" s="200"/>
      <c r="U1050" s="200"/>
      <c r="V1050" s="200"/>
      <c r="W1050" s="200"/>
      <c r="X1050" s="200"/>
      <c r="Y1050" s="200"/>
      <c r="Z1050" s="200"/>
    </row>
    <row r="1051" ht="22.5" customHeight="1">
      <c r="A1051" s="145"/>
      <c r="B1051" s="154"/>
      <c r="C1051" s="138"/>
      <c r="D1051" s="138"/>
      <c r="E1051" s="138"/>
      <c r="F1051" s="138"/>
      <c r="G1051" s="119"/>
      <c r="H1051" s="200"/>
      <c r="I1051" s="200"/>
      <c r="J1051" s="200"/>
      <c r="K1051" s="200"/>
      <c r="L1051" s="200"/>
      <c r="M1051" s="200"/>
      <c r="N1051" s="200"/>
      <c r="O1051" s="200"/>
      <c r="P1051" s="200"/>
      <c r="Q1051" s="200"/>
      <c r="R1051" s="200"/>
      <c r="S1051" s="200"/>
      <c r="T1051" s="200"/>
      <c r="U1051" s="200"/>
      <c r="V1051" s="200"/>
      <c r="W1051" s="200"/>
      <c r="X1051" s="200"/>
      <c r="Y1051" s="200"/>
      <c r="Z1051" s="200"/>
    </row>
    <row r="1052" ht="22.5" customHeight="1">
      <c r="A1052" s="145"/>
      <c r="B1052" s="154"/>
      <c r="C1052" s="138"/>
      <c r="D1052" s="138"/>
      <c r="E1052" s="138"/>
      <c r="F1052" s="138"/>
      <c r="G1052" s="119"/>
      <c r="H1052" s="200"/>
      <c r="I1052" s="200"/>
      <c r="J1052" s="200"/>
      <c r="K1052" s="200"/>
      <c r="L1052" s="200"/>
      <c r="M1052" s="200"/>
      <c r="N1052" s="200"/>
      <c r="O1052" s="200"/>
      <c r="P1052" s="200"/>
      <c r="Q1052" s="200"/>
      <c r="R1052" s="200"/>
      <c r="S1052" s="200"/>
      <c r="T1052" s="200"/>
      <c r="U1052" s="200"/>
      <c r="V1052" s="200"/>
      <c r="W1052" s="200"/>
      <c r="X1052" s="200"/>
      <c r="Y1052" s="200"/>
      <c r="Z1052" s="200"/>
    </row>
    <row r="1053" ht="22.5" customHeight="1">
      <c r="A1053" s="145"/>
      <c r="B1053" s="154"/>
      <c r="C1053" s="138"/>
      <c r="D1053" s="138"/>
      <c r="E1053" s="138"/>
      <c r="F1053" s="138"/>
      <c r="G1053" s="119"/>
      <c r="H1053" s="200"/>
      <c r="I1053" s="200"/>
      <c r="J1053" s="200"/>
      <c r="K1053" s="200"/>
      <c r="L1053" s="200"/>
      <c r="M1053" s="200"/>
      <c r="N1053" s="200"/>
      <c r="O1053" s="200"/>
      <c r="P1053" s="200"/>
      <c r="Q1053" s="200"/>
      <c r="R1053" s="200"/>
      <c r="S1053" s="200"/>
      <c r="T1053" s="200"/>
      <c r="U1053" s="200"/>
      <c r="V1053" s="200"/>
      <c r="W1053" s="200"/>
      <c r="X1053" s="200"/>
      <c r="Y1053" s="200"/>
      <c r="Z1053" s="200"/>
    </row>
    <row r="1054" ht="22.5" customHeight="1">
      <c r="A1054" s="145"/>
      <c r="B1054" s="154"/>
      <c r="C1054" s="138"/>
      <c r="D1054" s="138"/>
      <c r="E1054" s="138"/>
      <c r="F1054" s="138"/>
      <c r="G1054" s="119"/>
      <c r="H1054" s="200"/>
      <c r="I1054" s="200"/>
      <c r="J1054" s="200"/>
      <c r="K1054" s="200"/>
      <c r="L1054" s="200"/>
      <c r="M1054" s="200"/>
      <c r="N1054" s="200"/>
      <c r="O1054" s="200"/>
      <c r="P1054" s="200"/>
      <c r="Q1054" s="200"/>
      <c r="R1054" s="200"/>
      <c r="S1054" s="200"/>
      <c r="T1054" s="200"/>
      <c r="U1054" s="200"/>
      <c r="V1054" s="200"/>
      <c r="W1054" s="200"/>
      <c r="X1054" s="200"/>
      <c r="Y1054" s="200"/>
      <c r="Z1054" s="200"/>
    </row>
    <row r="1055" ht="22.5" customHeight="1">
      <c r="A1055" s="145"/>
      <c r="B1055" s="154"/>
      <c r="C1055" s="138"/>
      <c r="D1055" s="138"/>
      <c r="E1055" s="138"/>
      <c r="F1055" s="138"/>
      <c r="G1055" s="119"/>
      <c r="H1055" s="200"/>
      <c r="I1055" s="200"/>
      <c r="J1055" s="200"/>
      <c r="K1055" s="200"/>
      <c r="L1055" s="200"/>
      <c r="M1055" s="200"/>
      <c r="N1055" s="200"/>
      <c r="O1055" s="200"/>
      <c r="P1055" s="200"/>
      <c r="Q1055" s="200"/>
      <c r="R1055" s="200"/>
      <c r="S1055" s="200"/>
      <c r="T1055" s="200"/>
      <c r="U1055" s="200"/>
      <c r="V1055" s="200"/>
      <c r="W1055" s="200"/>
      <c r="X1055" s="200"/>
      <c r="Y1055" s="200"/>
      <c r="Z1055" s="200"/>
    </row>
    <row r="1056" ht="22.5" customHeight="1">
      <c r="A1056" s="145"/>
      <c r="B1056" s="154"/>
      <c r="C1056" s="138"/>
      <c r="D1056" s="138"/>
      <c r="E1056" s="138"/>
      <c r="F1056" s="138"/>
      <c r="G1056" s="119"/>
      <c r="H1056" s="200"/>
      <c r="I1056" s="200"/>
      <c r="J1056" s="200"/>
      <c r="K1056" s="200"/>
      <c r="L1056" s="200"/>
      <c r="M1056" s="200"/>
      <c r="N1056" s="200"/>
      <c r="O1056" s="200"/>
      <c r="P1056" s="200"/>
      <c r="Q1056" s="200"/>
      <c r="R1056" s="200"/>
      <c r="S1056" s="200"/>
      <c r="T1056" s="200"/>
      <c r="U1056" s="200"/>
      <c r="V1056" s="200"/>
      <c r="W1056" s="200"/>
      <c r="X1056" s="200"/>
      <c r="Y1056" s="200"/>
      <c r="Z1056" s="200"/>
    </row>
    <row r="1057" ht="22.5" customHeight="1">
      <c r="A1057" s="145"/>
      <c r="B1057" s="154"/>
      <c r="C1057" s="138"/>
      <c r="D1057" s="138"/>
      <c r="E1057" s="138"/>
      <c r="F1057" s="138"/>
      <c r="G1057" s="119"/>
      <c r="H1057" s="200"/>
      <c r="I1057" s="200"/>
      <c r="J1057" s="200"/>
      <c r="K1057" s="200"/>
      <c r="L1057" s="200"/>
      <c r="M1057" s="200"/>
      <c r="N1057" s="200"/>
      <c r="O1057" s="200"/>
      <c r="P1057" s="200"/>
      <c r="Q1057" s="200"/>
      <c r="R1057" s="200"/>
      <c r="S1057" s="200"/>
      <c r="T1057" s="200"/>
      <c r="U1057" s="200"/>
      <c r="V1057" s="200"/>
      <c r="W1057" s="200"/>
      <c r="X1057" s="200"/>
      <c r="Y1057" s="200"/>
      <c r="Z1057" s="200"/>
    </row>
    <row r="1058" ht="22.5" customHeight="1">
      <c r="A1058" s="145"/>
      <c r="B1058" s="154"/>
      <c r="C1058" s="138"/>
      <c r="D1058" s="138"/>
      <c r="E1058" s="138"/>
      <c r="F1058" s="138"/>
      <c r="G1058" s="119"/>
      <c r="H1058" s="200"/>
      <c r="I1058" s="200"/>
      <c r="J1058" s="200"/>
      <c r="K1058" s="200"/>
      <c r="L1058" s="200"/>
      <c r="M1058" s="200"/>
      <c r="N1058" s="200"/>
      <c r="O1058" s="200"/>
      <c r="P1058" s="200"/>
      <c r="Q1058" s="200"/>
      <c r="R1058" s="200"/>
      <c r="S1058" s="200"/>
      <c r="T1058" s="200"/>
      <c r="U1058" s="200"/>
      <c r="V1058" s="200"/>
      <c r="W1058" s="200"/>
      <c r="X1058" s="200"/>
      <c r="Y1058" s="200"/>
      <c r="Z1058" s="200"/>
    </row>
    <row r="1059" ht="22.5" customHeight="1">
      <c r="A1059" s="145"/>
      <c r="B1059" s="154"/>
      <c r="C1059" s="138"/>
      <c r="D1059" s="138"/>
      <c r="E1059" s="138"/>
      <c r="F1059" s="138"/>
      <c r="G1059" s="119"/>
      <c r="H1059" s="200"/>
      <c r="I1059" s="200"/>
      <c r="J1059" s="200"/>
      <c r="K1059" s="200"/>
      <c r="L1059" s="200"/>
      <c r="M1059" s="200"/>
      <c r="N1059" s="200"/>
      <c r="O1059" s="200"/>
      <c r="P1059" s="200"/>
      <c r="Q1059" s="200"/>
      <c r="R1059" s="200"/>
      <c r="S1059" s="200"/>
      <c r="T1059" s="200"/>
      <c r="U1059" s="200"/>
      <c r="V1059" s="200"/>
      <c r="W1059" s="200"/>
      <c r="X1059" s="200"/>
      <c r="Y1059" s="200"/>
      <c r="Z1059" s="200"/>
    </row>
    <row r="1060" ht="22.5" customHeight="1">
      <c r="A1060" s="145"/>
      <c r="B1060" s="154"/>
      <c r="C1060" s="138"/>
      <c r="D1060" s="138"/>
      <c r="E1060" s="138"/>
      <c r="F1060" s="138"/>
      <c r="G1060" s="119"/>
      <c r="H1060" s="200"/>
      <c r="I1060" s="200"/>
      <c r="J1060" s="200"/>
      <c r="K1060" s="200"/>
      <c r="L1060" s="200"/>
      <c r="M1060" s="200"/>
      <c r="N1060" s="200"/>
      <c r="O1060" s="200"/>
      <c r="P1060" s="200"/>
      <c r="Q1060" s="200"/>
      <c r="R1060" s="200"/>
      <c r="S1060" s="200"/>
      <c r="T1060" s="200"/>
      <c r="U1060" s="200"/>
      <c r="V1060" s="200"/>
      <c r="W1060" s="200"/>
      <c r="X1060" s="200"/>
      <c r="Y1060" s="200"/>
      <c r="Z1060" s="200"/>
    </row>
    <row r="1061" ht="22.5" customHeight="1">
      <c r="A1061" s="145"/>
      <c r="B1061" s="154"/>
      <c r="C1061" s="138"/>
      <c r="D1061" s="138"/>
      <c r="E1061" s="138"/>
      <c r="F1061" s="138"/>
      <c r="G1061" s="119"/>
      <c r="H1061" s="200"/>
      <c r="I1061" s="200"/>
      <c r="J1061" s="200"/>
      <c r="K1061" s="200"/>
      <c r="L1061" s="200"/>
      <c r="M1061" s="200"/>
      <c r="N1061" s="200"/>
      <c r="O1061" s="200"/>
      <c r="P1061" s="200"/>
      <c r="Q1061" s="200"/>
      <c r="R1061" s="200"/>
      <c r="S1061" s="200"/>
      <c r="T1061" s="200"/>
      <c r="U1061" s="200"/>
      <c r="V1061" s="200"/>
      <c r="W1061" s="200"/>
      <c r="X1061" s="200"/>
      <c r="Y1061" s="200"/>
      <c r="Z1061" s="200"/>
    </row>
    <row r="1062" ht="22.5" customHeight="1">
      <c r="A1062" s="145"/>
      <c r="B1062" s="154"/>
      <c r="C1062" s="138"/>
      <c r="D1062" s="138"/>
      <c r="E1062" s="138"/>
      <c r="F1062" s="138"/>
      <c r="G1062" s="119"/>
      <c r="H1062" s="200"/>
      <c r="I1062" s="200"/>
      <c r="J1062" s="200"/>
      <c r="K1062" s="200"/>
      <c r="L1062" s="200"/>
      <c r="M1062" s="200"/>
      <c r="N1062" s="200"/>
      <c r="O1062" s="200"/>
      <c r="P1062" s="200"/>
      <c r="Q1062" s="200"/>
      <c r="R1062" s="200"/>
      <c r="S1062" s="200"/>
      <c r="T1062" s="200"/>
      <c r="U1062" s="200"/>
      <c r="V1062" s="200"/>
      <c r="W1062" s="200"/>
      <c r="X1062" s="200"/>
      <c r="Y1062" s="200"/>
      <c r="Z1062" s="200"/>
    </row>
    <row r="1063" ht="22.5" customHeight="1">
      <c r="A1063" s="145"/>
      <c r="B1063" s="154"/>
      <c r="C1063" s="138"/>
      <c r="D1063" s="138"/>
      <c r="E1063" s="138"/>
      <c r="F1063" s="138"/>
      <c r="G1063" s="119"/>
      <c r="H1063" s="200"/>
      <c r="I1063" s="200"/>
      <c r="J1063" s="200"/>
      <c r="K1063" s="200"/>
      <c r="L1063" s="200"/>
      <c r="M1063" s="200"/>
      <c r="N1063" s="200"/>
      <c r="O1063" s="200"/>
      <c r="P1063" s="200"/>
      <c r="Q1063" s="200"/>
      <c r="R1063" s="200"/>
      <c r="S1063" s="200"/>
      <c r="T1063" s="200"/>
      <c r="U1063" s="200"/>
      <c r="V1063" s="200"/>
      <c r="W1063" s="200"/>
      <c r="X1063" s="200"/>
      <c r="Y1063" s="200"/>
      <c r="Z1063" s="200"/>
    </row>
    <row r="1064" ht="22.5" customHeight="1">
      <c r="A1064" s="145"/>
      <c r="B1064" s="154"/>
      <c r="C1064" s="138"/>
      <c r="D1064" s="138"/>
      <c r="E1064" s="138"/>
      <c r="F1064" s="138"/>
      <c r="G1064" s="119"/>
      <c r="H1064" s="200"/>
      <c r="I1064" s="200"/>
      <c r="J1064" s="200"/>
      <c r="K1064" s="200"/>
      <c r="L1064" s="200"/>
      <c r="M1064" s="200"/>
      <c r="N1064" s="200"/>
      <c r="O1064" s="200"/>
      <c r="P1064" s="200"/>
      <c r="Q1064" s="200"/>
      <c r="R1064" s="200"/>
      <c r="S1064" s="200"/>
      <c r="T1064" s="200"/>
      <c r="U1064" s="200"/>
      <c r="V1064" s="200"/>
      <c r="W1064" s="200"/>
      <c r="X1064" s="200"/>
      <c r="Y1064" s="200"/>
      <c r="Z1064" s="200"/>
    </row>
    <row r="1065" ht="22.5" customHeight="1">
      <c r="A1065" s="145"/>
      <c r="B1065" s="154"/>
      <c r="C1065" s="138"/>
      <c r="D1065" s="138"/>
      <c r="E1065" s="138"/>
      <c r="F1065" s="138"/>
      <c r="G1065" s="119"/>
      <c r="H1065" s="200"/>
      <c r="I1065" s="200"/>
      <c r="J1065" s="200"/>
      <c r="K1065" s="200"/>
      <c r="L1065" s="200"/>
      <c r="M1065" s="200"/>
      <c r="N1065" s="200"/>
      <c r="O1065" s="200"/>
      <c r="P1065" s="200"/>
      <c r="Q1065" s="200"/>
      <c r="R1065" s="200"/>
      <c r="S1065" s="200"/>
      <c r="T1065" s="200"/>
      <c r="U1065" s="200"/>
      <c r="V1065" s="200"/>
      <c r="W1065" s="200"/>
      <c r="X1065" s="200"/>
      <c r="Y1065" s="200"/>
      <c r="Z1065" s="200"/>
    </row>
    <row r="1066" ht="22.5" customHeight="1">
      <c r="A1066" s="145"/>
      <c r="B1066" s="154"/>
      <c r="C1066" s="138"/>
      <c r="D1066" s="138"/>
      <c r="E1066" s="138"/>
      <c r="F1066" s="138"/>
      <c r="G1066" s="119"/>
      <c r="H1066" s="200"/>
      <c r="I1066" s="200"/>
      <c r="J1066" s="200"/>
      <c r="K1066" s="200"/>
      <c r="L1066" s="200"/>
      <c r="M1066" s="200"/>
      <c r="N1066" s="200"/>
      <c r="O1066" s="200"/>
      <c r="P1066" s="200"/>
      <c r="Q1066" s="200"/>
      <c r="R1066" s="200"/>
      <c r="S1066" s="200"/>
      <c r="T1066" s="200"/>
      <c r="U1066" s="200"/>
      <c r="V1066" s="200"/>
      <c r="W1066" s="200"/>
      <c r="X1066" s="200"/>
      <c r="Y1066" s="200"/>
      <c r="Z1066" s="200"/>
    </row>
    <row r="1067" ht="22.5" customHeight="1">
      <c r="A1067" s="145"/>
      <c r="B1067" s="154"/>
      <c r="C1067" s="138"/>
      <c r="D1067" s="138"/>
      <c r="E1067" s="138"/>
      <c r="F1067" s="138"/>
      <c r="G1067" s="119"/>
      <c r="H1067" s="200"/>
      <c r="I1067" s="200"/>
      <c r="J1067" s="200"/>
      <c r="K1067" s="200"/>
      <c r="L1067" s="200"/>
      <c r="M1067" s="200"/>
      <c r="N1067" s="200"/>
      <c r="O1067" s="200"/>
      <c r="P1067" s="200"/>
      <c r="Q1067" s="200"/>
      <c r="R1067" s="200"/>
      <c r="S1067" s="200"/>
      <c r="T1067" s="200"/>
      <c r="U1067" s="200"/>
      <c r="V1067" s="200"/>
      <c r="W1067" s="200"/>
      <c r="X1067" s="200"/>
      <c r="Y1067" s="200"/>
      <c r="Z1067" s="200"/>
    </row>
    <row r="1068" ht="22.5" customHeight="1">
      <c r="A1068" s="145"/>
      <c r="B1068" s="154"/>
      <c r="C1068" s="138"/>
      <c r="D1068" s="138"/>
      <c r="E1068" s="138"/>
      <c r="F1068" s="138"/>
      <c r="G1068" s="119"/>
      <c r="H1068" s="200"/>
      <c r="I1068" s="200"/>
      <c r="J1068" s="200"/>
      <c r="K1068" s="200"/>
      <c r="L1068" s="200"/>
      <c r="M1068" s="200"/>
      <c r="N1068" s="200"/>
      <c r="O1068" s="200"/>
      <c r="P1068" s="200"/>
      <c r="Q1068" s="200"/>
      <c r="R1068" s="200"/>
      <c r="S1068" s="200"/>
      <c r="T1068" s="200"/>
      <c r="U1068" s="200"/>
      <c r="V1068" s="200"/>
      <c r="W1068" s="200"/>
      <c r="X1068" s="200"/>
      <c r="Y1068" s="200"/>
      <c r="Z1068" s="200"/>
    </row>
    <row r="1069" ht="22.5" customHeight="1">
      <c r="A1069" s="145"/>
      <c r="B1069" s="154"/>
      <c r="C1069" s="138"/>
      <c r="D1069" s="138"/>
      <c r="E1069" s="138"/>
      <c r="F1069" s="138"/>
      <c r="G1069" s="119"/>
      <c r="H1069" s="200"/>
      <c r="I1069" s="200"/>
      <c r="J1069" s="200"/>
      <c r="K1069" s="200"/>
      <c r="L1069" s="200"/>
      <c r="M1069" s="200"/>
      <c r="N1069" s="200"/>
      <c r="O1069" s="200"/>
      <c r="P1069" s="200"/>
      <c r="Q1069" s="200"/>
      <c r="R1069" s="200"/>
      <c r="S1069" s="200"/>
      <c r="T1069" s="200"/>
      <c r="U1069" s="200"/>
      <c r="V1069" s="200"/>
      <c r="W1069" s="200"/>
      <c r="X1069" s="200"/>
      <c r="Y1069" s="200"/>
      <c r="Z1069" s="200"/>
    </row>
    <row r="1070" ht="22.5" customHeight="1">
      <c r="A1070" s="145"/>
      <c r="B1070" s="154"/>
      <c r="C1070" s="138"/>
      <c r="D1070" s="138"/>
      <c r="E1070" s="138"/>
      <c r="F1070" s="138"/>
      <c r="G1070" s="119"/>
      <c r="H1070" s="200"/>
      <c r="I1070" s="200"/>
      <c r="J1070" s="200"/>
      <c r="K1070" s="200"/>
      <c r="L1070" s="200"/>
      <c r="M1070" s="200"/>
      <c r="N1070" s="200"/>
      <c r="O1070" s="200"/>
      <c r="P1070" s="200"/>
      <c r="Q1070" s="200"/>
      <c r="R1070" s="200"/>
      <c r="S1070" s="200"/>
      <c r="T1070" s="200"/>
      <c r="U1070" s="200"/>
      <c r="V1070" s="200"/>
      <c r="W1070" s="200"/>
      <c r="X1070" s="200"/>
      <c r="Y1070" s="200"/>
      <c r="Z1070" s="200"/>
    </row>
    <row r="1071" ht="22.5" customHeight="1">
      <c r="A1071" s="145"/>
      <c r="B1071" s="154"/>
      <c r="C1071" s="138"/>
      <c r="D1071" s="138"/>
      <c r="E1071" s="138"/>
      <c r="F1071" s="138"/>
      <c r="G1071" s="119"/>
      <c r="H1071" s="200"/>
      <c r="I1071" s="200"/>
      <c r="J1071" s="200"/>
      <c r="K1071" s="200"/>
      <c r="L1071" s="200"/>
      <c r="M1071" s="200"/>
      <c r="N1071" s="200"/>
      <c r="O1071" s="200"/>
      <c r="P1071" s="200"/>
      <c r="Q1071" s="200"/>
      <c r="R1071" s="200"/>
      <c r="S1071" s="200"/>
      <c r="T1071" s="200"/>
      <c r="U1071" s="200"/>
      <c r="V1071" s="200"/>
      <c r="W1071" s="200"/>
      <c r="X1071" s="200"/>
      <c r="Y1071" s="200"/>
      <c r="Z1071" s="200"/>
    </row>
    <row r="1072" ht="22.5" customHeight="1">
      <c r="A1072" s="145"/>
      <c r="B1072" s="154"/>
      <c r="C1072" s="138"/>
      <c r="D1072" s="138"/>
      <c r="E1072" s="138"/>
      <c r="F1072" s="138"/>
      <c r="G1072" s="119"/>
      <c r="H1072" s="200"/>
      <c r="I1072" s="200"/>
      <c r="J1072" s="200"/>
      <c r="K1072" s="200"/>
      <c r="L1072" s="200"/>
      <c r="M1072" s="200"/>
      <c r="N1072" s="200"/>
      <c r="O1072" s="200"/>
      <c r="P1072" s="200"/>
      <c r="Q1072" s="200"/>
      <c r="R1072" s="200"/>
      <c r="S1072" s="200"/>
      <c r="T1072" s="200"/>
      <c r="U1072" s="200"/>
      <c r="V1072" s="200"/>
      <c r="W1072" s="200"/>
      <c r="X1072" s="200"/>
      <c r="Y1072" s="200"/>
      <c r="Z1072" s="200"/>
    </row>
    <row r="1073" ht="22.5" customHeight="1">
      <c r="A1073" s="145"/>
      <c r="B1073" s="154"/>
      <c r="C1073" s="138"/>
      <c r="D1073" s="138"/>
      <c r="E1073" s="138"/>
      <c r="F1073" s="138"/>
      <c r="G1073" s="119"/>
      <c r="H1073" s="200"/>
      <c r="I1073" s="200"/>
      <c r="J1073" s="200"/>
      <c r="K1073" s="200"/>
      <c r="L1073" s="200"/>
      <c r="M1073" s="200"/>
      <c r="N1073" s="200"/>
      <c r="O1073" s="200"/>
      <c r="P1073" s="200"/>
      <c r="Q1073" s="200"/>
      <c r="R1073" s="200"/>
      <c r="S1073" s="200"/>
      <c r="T1073" s="200"/>
      <c r="U1073" s="200"/>
      <c r="V1073" s="200"/>
      <c r="W1073" s="200"/>
      <c r="X1073" s="200"/>
      <c r="Y1073" s="200"/>
      <c r="Z1073" s="200"/>
    </row>
    <row r="1074" ht="22.5" customHeight="1">
      <c r="A1074" s="145"/>
      <c r="B1074" s="154"/>
      <c r="C1074" s="138"/>
      <c r="D1074" s="138"/>
      <c r="E1074" s="138"/>
      <c r="F1074" s="138"/>
      <c r="G1074" s="119"/>
      <c r="H1074" s="200"/>
      <c r="I1074" s="200"/>
      <c r="J1074" s="200"/>
      <c r="K1074" s="200"/>
      <c r="L1074" s="200"/>
      <c r="M1074" s="200"/>
      <c r="N1074" s="200"/>
      <c r="O1074" s="200"/>
      <c r="P1074" s="200"/>
      <c r="Q1074" s="200"/>
      <c r="R1074" s="200"/>
      <c r="S1074" s="200"/>
      <c r="T1074" s="200"/>
      <c r="U1074" s="200"/>
      <c r="V1074" s="200"/>
      <c r="W1074" s="200"/>
      <c r="X1074" s="200"/>
      <c r="Y1074" s="200"/>
      <c r="Z1074" s="200"/>
    </row>
    <row r="1075" ht="22.5" customHeight="1">
      <c r="A1075" s="145"/>
      <c r="B1075" s="154"/>
      <c r="C1075" s="138"/>
      <c r="D1075" s="138"/>
      <c r="E1075" s="138"/>
      <c r="F1075" s="138"/>
      <c r="G1075" s="119"/>
      <c r="H1075" s="200"/>
      <c r="I1075" s="200"/>
      <c r="J1075" s="200"/>
      <c r="K1075" s="200"/>
      <c r="L1075" s="200"/>
      <c r="M1075" s="200"/>
      <c r="N1075" s="200"/>
      <c r="O1075" s="200"/>
      <c r="P1075" s="200"/>
      <c r="Q1075" s="200"/>
      <c r="R1075" s="200"/>
      <c r="S1075" s="200"/>
      <c r="T1075" s="200"/>
      <c r="U1075" s="200"/>
      <c r="V1075" s="200"/>
      <c r="W1075" s="200"/>
      <c r="X1075" s="200"/>
      <c r="Y1075" s="200"/>
      <c r="Z1075" s="200"/>
    </row>
    <row r="1076" ht="22.5" customHeight="1">
      <c r="A1076" s="145"/>
      <c r="B1076" s="154"/>
      <c r="C1076" s="138"/>
      <c r="D1076" s="138"/>
      <c r="E1076" s="138"/>
      <c r="F1076" s="138"/>
      <c r="G1076" s="119"/>
      <c r="H1076" s="200"/>
      <c r="I1076" s="200"/>
      <c r="J1076" s="200"/>
      <c r="K1076" s="200"/>
      <c r="L1076" s="200"/>
      <c r="M1076" s="200"/>
      <c r="N1076" s="200"/>
      <c r="O1076" s="200"/>
      <c r="P1076" s="200"/>
      <c r="Q1076" s="200"/>
      <c r="R1076" s="200"/>
      <c r="S1076" s="200"/>
      <c r="T1076" s="200"/>
      <c r="U1076" s="200"/>
      <c r="V1076" s="200"/>
      <c r="W1076" s="200"/>
      <c r="X1076" s="200"/>
      <c r="Y1076" s="200"/>
      <c r="Z1076" s="200"/>
    </row>
    <row r="1077" ht="22.5" customHeight="1">
      <c r="A1077" s="145"/>
      <c r="B1077" s="154"/>
      <c r="C1077" s="138"/>
      <c r="D1077" s="138"/>
      <c r="E1077" s="138"/>
      <c r="F1077" s="138"/>
      <c r="G1077" s="119"/>
      <c r="H1077" s="200"/>
      <c r="I1077" s="200"/>
      <c r="J1077" s="200"/>
      <c r="K1077" s="200"/>
      <c r="L1077" s="200"/>
      <c r="M1077" s="200"/>
      <c r="N1077" s="200"/>
      <c r="O1077" s="200"/>
      <c r="P1077" s="200"/>
      <c r="Q1077" s="200"/>
      <c r="R1077" s="200"/>
      <c r="S1077" s="200"/>
      <c r="T1077" s="200"/>
      <c r="U1077" s="200"/>
      <c r="V1077" s="200"/>
      <c r="W1077" s="200"/>
      <c r="X1077" s="200"/>
      <c r="Y1077" s="200"/>
      <c r="Z1077" s="200"/>
    </row>
    <row r="1078" ht="22.5" customHeight="1">
      <c r="A1078" s="145"/>
      <c r="B1078" s="154"/>
      <c r="C1078" s="138"/>
      <c r="D1078" s="138"/>
      <c r="E1078" s="138"/>
      <c r="F1078" s="138"/>
      <c r="G1078" s="119"/>
      <c r="H1078" s="200"/>
      <c r="I1078" s="200"/>
      <c r="J1078" s="200"/>
      <c r="K1078" s="200"/>
      <c r="L1078" s="200"/>
      <c r="M1078" s="200"/>
      <c r="N1078" s="200"/>
      <c r="O1078" s="200"/>
      <c r="P1078" s="200"/>
      <c r="Q1078" s="200"/>
      <c r="R1078" s="200"/>
      <c r="S1078" s="200"/>
      <c r="T1078" s="200"/>
      <c r="U1078" s="200"/>
      <c r="V1078" s="200"/>
      <c r="W1078" s="200"/>
      <c r="X1078" s="200"/>
      <c r="Y1078" s="200"/>
      <c r="Z1078" s="200"/>
    </row>
    <row r="1079" ht="22.5" customHeight="1">
      <c r="A1079" s="145"/>
      <c r="B1079" s="154"/>
      <c r="C1079" s="138"/>
      <c r="D1079" s="138"/>
      <c r="E1079" s="138"/>
      <c r="F1079" s="138"/>
      <c r="G1079" s="119"/>
      <c r="H1079" s="200"/>
      <c r="I1079" s="200"/>
      <c r="J1079" s="200"/>
      <c r="K1079" s="200"/>
      <c r="L1079" s="200"/>
      <c r="M1079" s="200"/>
      <c r="N1079" s="200"/>
      <c r="O1079" s="200"/>
      <c r="P1079" s="200"/>
      <c r="Q1079" s="200"/>
      <c r="R1079" s="200"/>
      <c r="S1079" s="200"/>
      <c r="T1079" s="200"/>
      <c r="U1079" s="200"/>
      <c r="V1079" s="200"/>
      <c r="W1079" s="200"/>
      <c r="X1079" s="200"/>
      <c r="Y1079" s="200"/>
      <c r="Z1079" s="200"/>
    </row>
    <row r="1080" ht="22.5" customHeight="1">
      <c r="A1080" s="145"/>
      <c r="B1080" s="154"/>
      <c r="C1080" s="138"/>
      <c r="D1080" s="138"/>
      <c r="E1080" s="138"/>
      <c r="F1080" s="138"/>
      <c r="G1080" s="119"/>
      <c r="H1080" s="200"/>
      <c r="I1080" s="200"/>
      <c r="J1080" s="200"/>
      <c r="K1080" s="200"/>
      <c r="L1080" s="200"/>
      <c r="M1080" s="200"/>
      <c r="N1080" s="200"/>
      <c r="O1080" s="200"/>
      <c r="P1080" s="200"/>
      <c r="Q1080" s="200"/>
      <c r="R1080" s="200"/>
      <c r="S1080" s="200"/>
      <c r="T1080" s="200"/>
      <c r="U1080" s="200"/>
      <c r="V1080" s="200"/>
      <c r="W1080" s="200"/>
      <c r="X1080" s="200"/>
      <c r="Y1080" s="200"/>
      <c r="Z1080" s="200"/>
    </row>
  </sheetData>
  <dataValidations>
    <dataValidation type="custom" allowBlank="1" showDropDown="1" sqref="A2:A1080">
      <formula1>OR(NOT(ISERROR(DATEVALUE(A2))), AND(ISNUMBER(A2), LEFT(CELL("format", A2))="D"))</formula1>
    </dataValidation>
    <dataValidation allowBlank="1" showDropDown="1" sqref="G2:G1080"/>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5"/>
    <hyperlink r:id="rId22" ref="D26"/>
    <hyperlink r:id="rId23" ref="D27"/>
    <hyperlink r:id="rId24" ref="D29"/>
    <hyperlink r:id="rId25" ref="D30"/>
    <hyperlink r:id="rId26" ref="D31"/>
    <hyperlink r:id="rId27" ref="D32"/>
    <hyperlink r:id="rId28" ref="D33"/>
    <hyperlink r:id="rId29" ref="D34"/>
    <hyperlink r:id="rId30" ref="D36"/>
    <hyperlink r:id="rId31" ref="D38"/>
    <hyperlink r:id="rId32" ref="D39"/>
    <hyperlink r:id="rId33" ref="D40"/>
    <hyperlink r:id="rId34" ref="D41"/>
    <hyperlink r:id="rId35" ref="D42"/>
    <hyperlink r:id="rId36" ref="D43"/>
    <hyperlink r:id="rId37" ref="D44"/>
    <hyperlink r:id="rId38" ref="D45"/>
    <hyperlink r:id="rId39" ref="D46"/>
    <hyperlink r:id="rId40" ref="D47"/>
    <hyperlink r:id="rId41" ref="D48"/>
    <hyperlink r:id="rId42" ref="D49"/>
    <hyperlink r:id="rId43" ref="D50"/>
    <hyperlink r:id="rId44" ref="D51"/>
    <hyperlink r:id="rId45" ref="D53"/>
    <hyperlink r:id="rId46" ref="D54"/>
    <hyperlink r:id="rId47" ref="D55"/>
    <hyperlink r:id="rId48" ref="D56"/>
    <hyperlink r:id="rId49" ref="D57"/>
    <hyperlink r:id="rId50" ref="D58"/>
    <hyperlink r:id="rId51" ref="D59"/>
    <hyperlink r:id="rId52" ref="D60"/>
    <hyperlink r:id="rId53" ref="D61"/>
    <hyperlink r:id="rId54" ref="D62"/>
    <hyperlink r:id="rId55" ref="D63"/>
    <hyperlink r:id="rId56" ref="D64"/>
    <hyperlink r:id="rId57" ref="D65"/>
    <hyperlink r:id="rId58" ref="D66"/>
    <hyperlink r:id="rId59" ref="D67"/>
    <hyperlink r:id="rId60" ref="D68"/>
    <hyperlink r:id="rId61" ref="D69"/>
    <hyperlink r:id="rId62" ref="D70"/>
    <hyperlink r:id="rId63" ref="D71"/>
    <hyperlink r:id="rId64" ref="D72"/>
    <hyperlink r:id="rId65" ref="D73"/>
    <hyperlink r:id="rId66" ref="D74"/>
    <hyperlink r:id="rId67" ref="D75"/>
    <hyperlink r:id="rId68" ref="D76"/>
    <hyperlink r:id="rId69" ref="D77"/>
    <hyperlink r:id="rId70" ref="D78"/>
    <hyperlink r:id="rId71" ref="D80"/>
    <hyperlink r:id="rId72" ref="D81"/>
    <hyperlink r:id="rId73" ref="D82"/>
    <hyperlink r:id="rId74" ref="D83"/>
    <hyperlink r:id="rId75" ref="D84"/>
    <hyperlink r:id="rId76" ref="D85"/>
    <hyperlink r:id="rId77" ref="D86"/>
    <hyperlink r:id="rId78" ref="D87"/>
    <hyperlink r:id="rId79" ref="D88"/>
    <hyperlink r:id="rId80" ref="D89"/>
    <hyperlink r:id="rId81" ref="D90"/>
    <hyperlink r:id="rId82" ref="D91"/>
    <hyperlink r:id="rId83" ref="D92"/>
    <hyperlink r:id="rId84" ref="D93"/>
    <hyperlink r:id="rId85" ref="D94"/>
    <hyperlink r:id="rId86" ref="D95"/>
    <hyperlink r:id="rId87" ref="D96"/>
    <hyperlink r:id="rId88" ref="D97"/>
    <hyperlink r:id="rId89" ref="D98"/>
    <hyperlink r:id="rId90" ref="D99"/>
    <hyperlink r:id="rId91" ref="D100"/>
    <hyperlink r:id="rId92" ref="D101"/>
    <hyperlink r:id="rId93" ref="D102"/>
    <hyperlink r:id="rId94" ref="D103"/>
    <hyperlink r:id="rId95" ref="D108"/>
    <hyperlink r:id="rId96" ref="D109"/>
    <hyperlink r:id="rId97" ref="D110"/>
    <hyperlink r:id="rId98" ref="D111"/>
    <hyperlink r:id="rId99" location="slide=id.g3b282cd95db_0_0" ref="D113"/>
  </hyperlinks>
  <drawing r:id="rId100"/>
  <tableParts count="1">
    <tablePart r:id="rId102"/>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3.5"/>
    <col customWidth="1" min="3" max="3" width="11.0"/>
    <col customWidth="1" min="4" max="4" width="58.13"/>
    <col customWidth="1" min="5" max="5" width="14.5"/>
    <col customWidth="1" min="6" max="6" width="38.13"/>
    <col customWidth="1" min="7" max="7" width="32.63"/>
  </cols>
  <sheetData>
    <row r="1" ht="66.0" customHeight="1">
      <c r="A1" s="3" t="s">
        <v>1433</v>
      </c>
      <c r="B1" s="27" t="s">
        <v>124</v>
      </c>
      <c r="C1" s="3" t="s">
        <v>584</v>
      </c>
      <c r="D1" s="27" t="s">
        <v>32</v>
      </c>
      <c r="E1" s="27" t="s">
        <v>33</v>
      </c>
      <c r="F1" s="27" t="s">
        <v>34</v>
      </c>
      <c r="G1" s="3" t="s">
        <v>8</v>
      </c>
      <c r="I1" s="140" t="s">
        <v>2199</v>
      </c>
    </row>
    <row r="2" ht="22.5" customHeight="1">
      <c r="A2" s="5">
        <v>45856.0</v>
      </c>
      <c r="B2" s="28">
        <v>8.0</v>
      </c>
      <c r="C2" s="6"/>
      <c r="D2" s="277" t="s">
        <v>2200</v>
      </c>
      <c r="E2" s="68" t="s">
        <v>39</v>
      </c>
      <c r="F2" s="147" t="s">
        <v>2201</v>
      </c>
      <c r="G2" s="31"/>
    </row>
    <row r="3" ht="22.5" customHeight="1">
      <c r="A3" s="5">
        <v>45859.0</v>
      </c>
      <c r="B3" s="28">
        <v>8.0</v>
      </c>
      <c r="C3" s="6"/>
      <c r="D3" s="277" t="s">
        <v>2202</v>
      </c>
      <c r="E3" s="68" t="s">
        <v>39</v>
      </c>
      <c r="F3" s="147" t="s">
        <v>2201</v>
      </c>
      <c r="G3" s="31"/>
    </row>
    <row r="4" ht="22.5" customHeight="1">
      <c r="A4" s="5">
        <v>45860.0</v>
      </c>
      <c r="B4" s="28">
        <v>8.0</v>
      </c>
      <c r="C4" s="6"/>
      <c r="D4" s="277" t="s">
        <v>2203</v>
      </c>
      <c r="E4" s="29" t="s">
        <v>36</v>
      </c>
      <c r="F4" s="147" t="s">
        <v>2201</v>
      </c>
      <c r="G4" s="31"/>
    </row>
    <row r="5" ht="22.5" customHeight="1">
      <c r="A5" s="5">
        <v>45861.0</v>
      </c>
      <c r="B5" s="28">
        <v>8.0</v>
      </c>
      <c r="C5" s="6"/>
      <c r="D5" s="277" t="s">
        <v>2204</v>
      </c>
      <c r="E5" s="29" t="s">
        <v>36</v>
      </c>
      <c r="F5" s="147" t="s">
        <v>2201</v>
      </c>
      <c r="G5" s="31"/>
    </row>
    <row r="6" ht="61.5" customHeight="1">
      <c r="A6" s="131">
        <v>45862.0</v>
      </c>
      <c r="B6" s="192"/>
      <c r="C6" s="133"/>
      <c r="D6" s="190" t="s">
        <v>86</v>
      </c>
      <c r="E6" s="190"/>
      <c r="F6" s="190"/>
      <c r="G6" s="278" t="s">
        <v>2205</v>
      </c>
    </row>
    <row r="7" ht="22.5" customHeight="1">
      <c r="A7" s="5">
        <v>45863.0</v>
      </c>
      <c r="B7" s="33">
        <v>8.0</v>
      </c>
      <c r="C7" s="6"/>
      <c r="D7" s="72" t="s">
        <v>2206</v>
      </c>
      <c r="E7" s="72" t="s">
        <v>2207</v>
      </c>
      <c r="F7" s="30" t="s">
        <v>2208</v>
      </c>
      <c r="G7" s="36"/>
    </row>
    <row r="8" ht="22.5" customHeight="1">
      <c r="A8" s="5">
        <v>45866.0</v>
      </c>
      <c r="B8" s="11">
        <v>8.0</v>
      </c>
      <c r="C8" s="6"/>
      <c r="D8" s="72" t="s">
        <v>2209</v>
      </c>
      <c r="E8" s="68" t="s">
        <v>39</v>
      </c>
      <c r="F8" s="29"/>
      <c r="G8" s="36"/>
    </row>
    <row r="9" ht="22.5" customHeight="1">
      <c r="A9" s="5">
        <v>45867.0</v>
      </c>
      <c r="B9" s="11">
        <v>8.0</v>
      </c>
      <c r="C9" s="6"/>
      <c r="D9" s="72" t="s">
        <v>2210</v>
      </c>
      <c r="E9" s="29" t="s">
        <v>36</v>
      </c>
      <c r="F9" s="147" t="s">
        <v>2211</v>
      </c>
      <c r="G9" s="36"/>
    </row>
    <row r="10" ht="22.5" customHeight="1">
      <c r="A10" s="5">
        <v>45868.0</v>
      </c>
      <c r="B10" s="11">
        <v>8.0</v>
      </c>
      <c r="C10" s="6"/>
      <c r="D10" s="72" t="s">
        <v>2212</v>
      </c>
      <c r="E10" s="29" t="s">
        <v>36</v>
      </c>
      <c r="F10" s="29"/>
      <c r="G10" s="36"/>
    </row>
    <row r="11" ht="22.5" customHeight="1">
      <c r="A11" s="5">
        <v>45869.0</v>
      </c>
      <c r="B11" s="11">
        <v>8.0</v>
      </c>
      <c r="C11" s="12"/>
      <c r="D11" s="72" t="s">
        <v>2213</v>
      </c>
      <c r="E11" s="68" t="s">
        <v>39</v>
      </c>
      <c r="F11" s="29"/>
      <c r="G11" s="31"/>
    </row>
    <row r="12" ht="22.5" customHeight="1">
      <c r="A12" s="5">
        <v>45870.0</v>
      </c>
      <c r="B12" s="11">
        <v>8.0</v>
      </c>
      <c r="C12" s="12"/>
      <c r="D12" s="49" t="s">
        <v>2214</v>
      </c>
      <c r="E12" s="68" t="s">
        <v>39</v>
      </c>
      <c r="F12" s="29"/>
      <c r="G12" s="31"/>
    </row>
    <row r="13" ht="48.0" customHeight="1">
      <c r="A13" s="5">
        <v>45873.0</v>
      </c>
      <c r="B13" s="11">
        <v>8.0</v>
      </c>
      <c r="C13" s="12"/>
      <c r="D13" s="279" t="s">
        <v>2215</v>
      </c>
      <c r="E13" s="29" t="s">
        <v>36</v>
      </c>
      <c r="F13" s="147" t="s">
        <v>2211</v>
      </c>
      <c r="G13" s="31"/>
    </row>
    <row r="14" ht="22.5" customHeight="1">
      <c r="A14" s="5">
        <v>45874.0</v>
      </c>
      <c r="B14" s="11">
        <v>8.0</v>
      </c>
      <c r="C14" s="12"/>
      <c r="D14" s="49" t="s">
        <v>2216</v>
      </c>
      <c r="E14" s="68" t="s">
        <v>39</v>
      </c>
      <c r="F14" s="147" t="s">
        <v>2217</v>
      </c>
      <c r="G14" s="31"/>
    </row>
    <row r="15" ht="22.5" customHeight="1">
      <c r="A15" s="5">
        <v>45875.0</v>
      </c>
      <c r="B15" s="11">
        <v>8.0</v>
      </c>
      <c r="C15" s="12"/>
      <c r="D15" s="49" t="s">
        <v>2216</v>
      </c>
      <c r="E15" s="68" t="s">
        <v>39</v>
      </c>
      <c r="F15" s="147" t="s">
        <v>2217</v>
      </c>
      <c r="G15" s="31"/>
    </row>
    <row r="16" ht="22.5" customHeight="1">
      <c r="A16" s="5">
        <v>45876.0</v>
      </c>
      <c r="B16" s="11">
        <v>8.0</v>
      </c>
      <c r="C16" s="45"/>
      <c r="D16" s="49" t="s">
        <v>2218</v>
      </c>
      <c r="E16" s="68" t="s">
        <v>39</v>
      </c>
      <c r="F16" s="205" t="s">
        <v>2217</v>
      </c>
      <c r="G16" s="36"/>
    </row>
    <row r="17" ht="22.5" customHeight="1">
      <c r="A17" s="5">
        <v>45877.0</v>
      </c>
      <c r="B17" s="11">
        <v>8.0</v>
      </c>
      <c r="C17" s="45"/>
      <c r="D17" s="49" t="s">
        <v>2218</v>
      </c>
      <c r="E17" s="29" t="s">
        <v>36</v>
      </c>
      <c r="F17" s="205" t="s">
        <v>2217</v>
      </c>
      <c r="G17" s="36"/>
    </row>
    <row r="18" ht="22.5" customHeight="1">
      <c r="A18" s="5">
        <v>45880.0</v>
      </c>
      <c r="B18" s="11">
        <v>8.0</v>
      </c>
      <c r="C18" s="11"/>
      <c r="D18" s="49" t="s">
        <v>2219</v>
      </c>
      <c r="E18" s="68" t="s">
        <v>39</v>
      </c>
      <c r="F18" s="205" t="s">
        <v>2220</v>
      </c>
      <c r="G18" s="36"/>
    </row>
    <row r="19" ht="22.5" customHeight="1">
      <c r="A19" s="5">
        <v>45881.0</v>
      </c>
      <c r="B19" s="11">
        <v>8.0</v>
      </c>
      <c r="C19" s="11"/>
      <c r="D19" s="49" t="s">
        <v>2219</v>
      </c>
      <c r="E19" s="29" t="s">
        <v>36</v>
      </c>
      <c r="F19" s="205" t="s">
        <v>2220</v>
      </c>
      <c r="G19" s="36"/>
    </row>
    <row r="20" ht="22.5" customHeight="1">
      <c r="A20" s="5">
        <v>45882.0</v>
      </c>
      <c r="B20" s="11">
        <v>8.0</v>
      </c>
      <c r="C20" s="11"/>
      <c r="D20" s="49" t="s">
        <v>2221</v>
      </c>
      <c r="E20" s="68" t="s">
        <v>39</v>
      </c>
      <c r="F20" s="205" t="s">
        <v>2220</v>
      </c>
      <c r="G20" s="36"/>
    </row>
    <row r="21" ht="22.5" customHeight="1">
      <c r="A21" s="5">
        <v>45883.0</v>
      </c>
      <c r="B21" s="11">
        <v>8.0</v>
      </c>
      <c r="C21" s="11"/>
      <c r="D21" s="49" t="s">
        <v>2222</v>
      </c>
      <c r="E21" s="68" t="s">
        <v>39</v>
      </c>
      <c r="F21" s="47"/>
      <c r="G21" s="36"/>
    </row>
    <row r="22" ht="22.5" customHeight="1">
      <c r="A22" s="5">
        <v>45884.0</v>
      </c>
      <c r="B22" s="11">
        <v>8.0</v>
      </c>
      <c r="C22" s="11"/>
      <c r="D22" s="49" t="s">
        <v>2223</v>
      </c>
      <c r="E22" s="68" t="s">
        <v>39</v>
      </c>
      <c r="F22" s="205" t="s">
        <v>2217</v>
      </c>
      <c r="G22" s="36"/>
    </row>
    <row r="23" ht="22.5" customHeight="1">
      <c r="A23" s="5">
        <v>45887.0</v>
      </c>
      <c r="B23" s="11">
        <v>8.0</v>
      </c>
      <c r="C23" s="11"/>
      <c r="D23" s="55" t="s">
        <v>2224</v>
      </c>
      <c r="E23" s="68" t="s">
        <v>39</v>
      </c>
      <c r="F23" s="205" t="s">
        <v>2217</v>
      </c>
      <c r="G23" s="53"/>
    </row>
    <row r="24" ht="22.5" customHeight="1">
      <c r="A24" s="5">
        <v>45888.0</v>
      </c>
      <c r="B24" s="11">
        <v>8.0</v>
      </c>
      <c r="C24" s="11"/>
      <c r="D24" s="55" t="s">
        <v>2224</v>
      </c>
      <c r="E24" s="68" t="s">
        <v>39</v>
      </c>
      <c r="F24" s="205" t="s">
        <v>2217</v>
      </c>
      <c r="G24" s="53"/>
    </row>
    <row r="25" ht="22.5" customHeight="1">
      <c r="A25" s="5">
        <v>45889.0</v>
      </c>
      <c r="B25" s="11">
        <v>8.0</v>
      </c>
      <c r="C25" s="11"/>
      <c r="D25" s="55" t="s">
        <v>2224</v>
      </c>
      <c r="E25" s="68" t="s">
        <v>39</v>
      </c>
      <c r="F25" s="205" t="s">
        <v>2217</v>
      </c>
      <c r="G25" s="53"/>
    </row>
    <row r="26" ht="22.5" customHeight="1">
      <c r="A26" s="5">
        <v>45890.0</v>
      </c>
      <c r="B26" s="11">
        <v>8.0</v>
      </c>
      <c r="C26" s="11"/>
      <c r="D26" s="55" t="s">
        <v>2224</v>
      </c>
      <c r="E26" s="68" t="s">
        <v>39</v>
      </c>
      <c r="F26" s="205" t="s">
        <v>2217</v>
      </c>
      <c r="G26" s="53"/>
    </row>
    <row r="27" ht="22.5" customHeight="1">
      <c r="A27" s="5">
        <v>45891.0</v>
      </c>
      <c r="B27" s="11">
        <v>8.0</v>
      </c>
      <c r="C27" s="11"/>
      <c r="D27" s="55" t="s">
        <v>2224</v>
      </c>
      <c r="E27" s="68" t="s">
        <v>39</v>
      </c>
      <c r="F27" s="205" t="s">
        <v>2217</v>
      </c>
      <c r="G27" s="53"/>
    </row>
    <row r="28" ht="22.5" customHeight="1">
      <c r="A28" s="5">
        <v>45894.0</v>
      </c>
      <c r="B28" s="11">
        <v>8.0</v>
      </c>
      <c r="C28" s="11"/>
      <c r="D28" s="55" t="s">
        <v>2225</v>
      </c>
      <c r="E28" s="68" t="s">
        <v>2226</v>
      </c>
      <c r="F28" s="280" t="s">
        <v>2227</v>
      </c>
      <c r="G28" s="53"/>
    </row>
    <row r="29" ht="22.5" customHeight="1">
      <c r="A29" s="5">
        <v>45895.0</v>
      </c>
      <c r="B29" s="11">
        <v>8.0</v>
      </c>
      <c r="C29" s="11"/>
      <c r="D29" s="55" t="s">
        <v>2228</v>
      </c>
      <c r="E29" s="68" t="s">
        <v>39</v>
      </c>
      <c r="F29" s="143" t="s">
        <v>2229</v>
      </c>
      <c r="G29" s="53"/>
    </row>
    <row r="30" ht="22.5" customHeight="1">
      <c r="A30" s="5">
        <v>45896.0</v>
      </c>
      <c r="B30" s="11">
        <v>8.0</v>
      </c>
      <c r="C30" s="11"/>
      <c r="D30" s="55" t="s">
        <v>2228</v>
      </c>
      <c r="E30" s="68" t="s">
        <v>39</v>
      </c>
      <c r="F30" s="143" t="s">
        <v>2229</v>
      </c>
      <c r="G30" s="53"/>
    </row>
    <row r="31" ht="22.5" customHeight="1">
      <c r="A31" s="5">
        <v>45897.0</v>
      </c>
      <c r="B31" s="11">
        <v>8.0</v>
      </c>
      <c r="C31" s="11"/>
      <c r="D31" s="55" t="s">
        <v>2228</v>
      </c>
      <c r="E31" s="68" t="s">
        <v>39</v>
      </c>
      <c r="F31" s="143" t="s">
        <v>2229</v>
      </c>
      <c r="G31" s="53"/>
    </row>
    <row r="32" ht="22.5" customHeight="1">
      <c r="A32" s="5">
        <v>45898.0</v>
      </c>
      <c r="B32" s="11">
        <v>8.0</v>
      </c>
      <c r="C32" s="11"/>
      <c r="D32" s="55" t="s">
        <v>2230</v>
      </c>
      <c r="E32" s="68" t="s">
        <v>36</v>
      </c>
      <c r="F32" s="143" t="s">
        <v>2229</v>
      </c>
      <c r="G32" s="53"/>
    </row>
    <row r="33" ht="22.5" customHeight="1">
      <c r="A33" s="5">
        <v>45901.0</v>
      </c>
      <c r="B33" s="11">
        <v>8.0</v>
      </c>
      <c r="C33" s="11"/>
      <c r="D33" s="55" t="s">
        <v>2231</v>
      </c>
      <c r="E33" s="68" t="s">
        <v>39</v>
      </c>
      <c r="F33" s="143" t="s">
        <v>2232</v>
      </c>
      <c r="G33" s="53"/>
    </row>
    <row r="34" ht="22.5" customHeight="1">
      <c r="A34" s="5">
        <v>45902.0</v>
      </c>
      <c r="B34" s="11">
        <v>8.0</v>
      </c>
      <c r="C34" s="22"/>
      <c r="D34" s="55" t="s">
        <v>2231</v>
      </c>
      <c r="E34" s="68" t="s">
        <v>36</v>
      </c>
      <c r="F34" s="143" t="s">
        <v>2232</v>
      </c>
      <c r="G34" s="53"/>
    </row>
    <row r="35" ht="22.5" customHeight="1">
      <c r="A35" s="5">
        <v>45903.0</v>
      </c>
      <c r="B35" s="11">
        <v>8.0</v>
      </c>
      <c r="C35" s="22"/>
      <c r="D35" s="55" t="s">
        <v>2233</v>
      </c>
      <c r="E35" s="68" t="s">
        <v>39</v>
      </c>
      <c r="F35" s="143" t="s">
        <v>2234</v>
      </c>
      <c r="G35" s="53"/>
    </row>
    <row r="36" ht="22.5" customHeight="1">
      <c r="A36" s="5">
        <v>45904.0</v>
      </c>
      <c r="B36" s="11">
        <v>8.0</v>
      </c>
      <c r="C36" s="22"/>
      <c r="D36" s="55" t="s">
        <v>2233</v>
      </c>
      <c r="E36" s="68" t="s">
        <v>36</v>
      </c>
      <c r="F36" s="143" t="s">
        <v>2234</v>
      </c>
      <c r="G36" s="53"/>
    </row>
    <row r="37" ht="22.5" customHeight="1">
      <c r="A37" s="5">
        <v>45905.0</v>
      </c>
      <c r="B37" s="11">
        <v>8.0</v>
      </c>
      <c r="C37" s="22"/>
      <c r="D37" s="55" t="s">
        <v>19</v>
      </c>
      <c r="E37" s="51"/>
      <c r="F37" s="51"/>
      <c r="G37" s="53"/>
    </row>
    <row r="38" ht="22.5" customHeight="1">
      <c r="A38" s="5">
        <v>45908.0</v>
      </c>
      <c r="B38" s="64">
        <v>8.0</v>
      </c>
      <c r="C38" s="22"/>
      <c r="D38" s="55" t="s">
        <v>2235</v>
      </c>
      <c r="E38" s="68" t="s">
        <v>39</v>
      </c>
      <c r="F38" s="143" t="s">
        <v>2236</v>
      </c>
      <c r="G38" s="53"/>
    </row>
    <row r="39" ht="22.5" customHeight="1">
      <c r="A39" s="5">
        <v>45909.0</v>
      </c>
      <c r="B39" s="22">
        <f t="shared" ref="B39:B43" si="1">4+4</f>
        <v>8</v>
      </c>
      <c r="C39" s="22"/>
      <c r="D39" s="55" t="s">
        <v>2235</v>
      </c>
      <c r="E39" s="68" t="s">
        <v>39</v>
      </c>
      <c r="F39" s="143" t="s">
        <v>2236</v>
      </c>
      <c r="G39" s="53"/>
    </row>
    <row r="40" ht="22.5" customHeight="1">
      <c r="A40" s="5">
        <v>45910.0</v>
      </c>
      <c r="B40" s="22">
        <f t="shared" si="1"/>
        <v>8</v>
      </c>
      <c r="C40" s="22"/>
      <c r="D40" s="55" t="s">
        <v>2235</v>
      </c>
      <c r="E40" s="68" t="s">
        <v>39</v>
      </c>
      <c r="F40" s="143" t="s">
        <v>2236</v>
      </c>
      <c r="G40" s="53"/>
    </row>
    <row r="41" ht="22.5" customHeight="1">
      <c r="A41" s="5">
        <v>45911.0</v>
      </c>
      <c r="B41" s="22">
        <f t="shared" si="1"/>
        <v>8</v>
      </c>
      <c r="C41" s="22"/>
      <c r="D41" s="55" t="s">
        <v>2235</v>
      </c>
      <c r="E41" s="68" t="s">
        <v>39</v>
      </c>
      <c r="F41" s="143" t="s">
        <v>2236</v>
      </c>
      <c r="G41" s="53"/>
    </row>
    <row r="42" ht="22.5" customHeight="1">
      <c r="A42" s="5">
        <v>45912.0</v>
      </c>
      <c r="B42" s="22">
        <f t="shared" si="1"/>
        <v>8</v>
      </c>
      <c r="C42" s="22"/>
      <c r="D42" s="55" t="s">
        <v>2235</v>
      </c>
      <c r="E42" s="68" t="s">
        <v>39</v>
      </c>
      <c r="F42" s="143" t="s">
        <v>2236</v>
      </c>
      <c r="G42" s="53"/>
    </row>
    <row r="43" ht="22.5" customHeight="1">
      <c r="A43" s="5">
        <v>45915.0</v>
      </c>
      <c r="B43" s="22">
        <f t="shared" si="1"/>
        <v>8</v>
      </c>
      <c r="C43" s="22"/>
      <c r="D43" s="55" t="s">
        <v>2235</v>
      </c>
      <c r="E43" s="68" t="s">
        <v>39</v>
      </c>
      <c r="F43" s="143" t="s">
        <v>2236</v>
      </c>
      <c r="G43" s="53"/>
    </row>
    <row r="44" ht="22.5" customHeight="1">
      <c r="A44" s="5">
        <v>45916.0</v>
      </c>
      <c r="B44" s="22">
        <f>4+4+4</f>
        <v>12</v>
      </c>
      <c r="C44" s="22"/>
      <c r="D44" s="55" t="s">
        <v>2235</v>
      </c>
      <c r="E44" s="68" t="s">
        <v>39</v>
      </c>
      <c r="F44" s="143" t="s">
        <v>2236</v>
      </c>
      <c r="G44" s="79" t="s">
        <v>2237</v>
      </c>
    </row>
    <row r="45" ht="22.5" customHeight="1">
      <c r="A45" s="5">
        <v>45917.0</v>
      </c>
      <c r="B45" s="22">
        <f>4+4+3</f>
        <v>11</v>
      </c>
      <c r="C45" s="22"/>
      <c r="D45" s="55" t="s">
        <v>2235</v>
      </c>
      <c r="E45" s="68" t="s">
        <v>36</v>
      </c>
      <c r="F45" s="51"/>
      <c r="G45" s="79" t="s">
        <v>2237</v>
      </c>
    </row>
    <row r="46" ht="22.5" customHeight="1">
      <c r="A46" s="5">
        <v>45918.0</v>
      </c>
      <c r="B46" s="22"/>
      <c r="C46" s="22"/>
      <c r="D46" s="55" t="s">
        <v>2238</v>
      </c>
      <c r="E46" s="51"/>
      <c r="F46" s="51"/>
      <c r="G46" s="53"/>
    </row>
    <row r="47" ht="22.5" customHeight="1">
      <c r="A47" s="5">
        <v>45919.0</v>
      </c>
      <c r="B47" s="22"/>
      <c r="C47" s="22"/>
      <c r="D47" s="55" t="s">
        <v>2239</v>
      </c>
      <c r="E47" s="51"/>
      <c r="F47" s="51"/>
      <c r="G47" s="53"/>
    </row>
    <row r="48" ht="22.5" customHeight="1">
      <c r="A48" s="5">
        <v>45920.0</v>
      </c>
      <c r="B48" s="22"/>
      <c r="C48" s="22"/>
      <c r="D48" s="55" t="s">
        <v>2239</v>
      </c>
      <c r="E48" s="51"/>
      <c r="F48" s="51"/>
      <c r="G48" s="53"/>
    </row>
    <row r="49" ht="22.5" customHeight="1">
      <c r="A49" s="5">
        <v>45921.0</v>
      </c>
      <c r="B49" s="22"/>
      <c r="C49" s="22"/>
      <c r="D49" s="55" t="s">
        <v>2239</v>
      </c>
      <c r="E49" s="51"/>
      <c r="F49" s="51"/>
      <c r="G49" s="53"/>
    </row>
    <row r="50" ht="22.5" customHeight="1">
      <c r="A50" s="5">
        <v>45922.0</v>
      </c>
      <c r="B50" s="22"/>
      <c r="C50" s="22"/>
      <c r="D50" s="55" t="s">
        <v>2239</v>
      </c>
      <c r="E50" s="51"/>
      <c r="F50" s="51"/>
      <c r="G50" s="53"/>
    </row>
    <row r="51" ht="22.5" customHeight="1">
      <c r="A51" s="5">
        <v>45923.0</v>
      </c>
      <c r="B51" s="22"/>
      <c r="C51" s="22"/>
      <c r="D51" s="55" t="s">
        <v>2239</v>
      </c>
      <c r="E51" s="51"/>
      <c r="F51" s="51"/>
      <c r="G51" s="53"/>
    </row>
    <row r="52" ht="22.5" customHeight="1">
      <c r="A52" s="5">
        <v>45924.0</v>
      </c>
      <c r="B52" s="22"/>
      <c r="C52" s="22"/>
      <c r="D52" s="55" t="s">
        <v>2239</v>
      </c>
      <c r="E52" s="51"/>
      <c r="F52" s="51"/>
      <c r="G52" s="53"/>
    </row>
    <row r="53" ht="22.5" customHeight="1">
      <c r="A53" s="5">
        <v>45925.0</v>
      </c>
      <c r="B53" s="22"/>
      <c r="C53" s="22"/>
      <c r="D53" s="55" t="s">
        <v>2239</v>
      </c>
      <c r="E53" s="51"/>
      <c r="F53" s="51"/>
      <c r="G53" s="53"/>
    </row>
    <row r="54" ht="22.5" customHeight="1">
      <c r="A54" s="5">
        <v>45926.0</v>
      </c>
      <c r="B54" s="22"/>
      <c r="C54" s="22"/>
      <c r="D54" s="55" t="s">
        <v>2239</v>
      </c>
      <c r="E54" s="51"/>
      <c r="F54" s="51"/>
      <c r="G54" s="53"/>
    </row>
    <row r="55" ht="22.5" customHeight="1">
      <c r="A55" s="5">
        <v>45927.0</v>
      </c>
      <c r="B55" s="22"/>
      <c r="C55" s="22"/>
      <c r="D55" s="55" t="s">
        <v>2239</v>
      </c>
      <c r="E55" s="51"/>
      <c r="F55" s="51"/>
      <c r="G55" s="53"/>
    </row>
    <row r="56" ht="22.5" customHeight="1">
      <c r="A56" s="5">
        <v>45928.0</v>
      </c>
      <c r="B56" s="22"/>
      <c r="C56" s="22"/>
      <c r="D56" s="55" t="s">
        <v>2239</v>
      </c>
      <c r="E56" s="51"/>
      <c r="F56" s="51"/>
      <c r="G56" s="53"/>
    </row>
    <row r="57" ht="22.5" customHeight="1">
      <c r="A57" s="5">
        <v>45929.0</v>
      </c>
      <c r="B57" s="22"/>
      <c r="C57" s="22"/>
      <c r="D57" s="55" t="s">
        <v>2239</v>
      </c>
      <c r="E57" s="51"/>
      <c r="F57" s="51"/>
      <c r="G57" s="53"/>
    </row>
    <row r="58" ht="22.5" customHeight="1">
      <c r="A58" s="5">
        <v>45930.0</v>
      </c>
      <c r="B58" s="22"/>
      <c r="C58" s="22"/>
      <c r="D58" s="55" t="s">
        <v>2239</v>
      </c>
      <c r="E58" s="51"/>
      <c r="F58" s="51"/>
      <c r="G58" s="53"/>
    </row>
    <row r="59" ht="22.5" customHeight="1">
      <c r="A59" s="5">
        <v>45931.0</v>
      </c>
      <c r="B59" s="22"/>
      <c r="C59" s="22"/>
      <c r="D59" s="51"/>
      <c r="E59" s="51"/>
      <c r="F59" s="51"/>
      <c r="G59" s="53"/>
    </row>
    <row r="60" ht="22.5" customHeight="1">
      <c r="A60" s="21"/>
      <c r="B60" s="22"/>
      <c r="C60" s="22"/>
      <c r="D60" s="51"/>
      <c r="E60" s="51"/>
      <c r="F60" s="51"/>
      <c r="G60" s="53"/>
    </row>
    <row r="61" ht="22.5" customHeight="1">
      <c r="A61" s="21"/>
      <c r="B61" s="22"/>
      <c r="C61" s="22"/>
      <c r="D61" s="51"/>
      <c r="E61" s="51"/>
      <c r="F61" s="51"/>
      <c r="G61" s="53"/>
    </row>
    <row r="62" ht="22.5" customHeight="1">
      <c r="A62" s="21"/>
      <c r="B62" s="22"/>
      <c r="C62" s="22"/>
      <c r="D62" s="51"/>
      <c r="E62" s="51"/>
      <c r="F62" s="51"/>
      <c r="G62" s="53"/>
    </row>
    <row r="63" ht="22.5" customHeight="1">
      <c r="A63" s="21"/>
      <c r="B63" s="22"/>
      <c r="C63" s="22"/>
      <c r="D63" s="51"/>
      <c r="E63" s="51"/>
      <c r="F63" s="51"/>
      <c r="G63" s="53"/>
    </row>
    <row r="64" ht="22.5" customHeight="1">
      <c r="A64" s="21"/>
      <c r="B64" s="22"/>
      <c r="C64" s="22"/>
      <c r="D64" s="51"/>
      <c r="E64" s="51"/>
      <c r="F64" s="51"/>
      <c r="G64" s="53"/>
    </row>
    <row r="65" ht="22.5" customHeight="1">
      <c r="A65" s="21"/>
      <c r="B65" s="22"/>
      <c r="C65" s="22"/>
      <c r="D65" s="51"/>
      <c r="E65" s="51"/>
      <c r="F65" s="51"/>
      <c r="G65" s="53"/>
    </row>
    <row r="66" ht="22.5" customHeight="1">
      <c r="A66" s="21"/>
      <c r="B66" s="22"/>
      <c r="C66" s="22"/>
      <c r="D66" s="51"/>
      <c r="E66" s="51"/>
      <c r="F66" s="51"/>
      <c r="G66" s="53"/>
    </row>
    <row r="67" ht="22.5" customHeight="1">
      <c r="A67" s="21"/>
      <c r="B67" s="22"/>
      <c r="C67" s="22"/>
      <c r="D67" s="51"/>
      <c r="E67" s="51"/>
      <c r="F67" s="51"/>
      <c r="G67" s="53"/>
    </row>
    <row r="68" ht="22.5" customHeight="1">
      <c r="A68" s="21"/>
      <c r="B68" s="22"/>
      <c r="C68" s="22"/>
      <c r="D68" s="51"/>
      <c r="E68" s="51"/>
      <c r="F68" s="51"/>
      <c r="G68" s="53"/>
    </row>
    <row r="69" ht="22.5" customHeight="1">
      <c r="A69" s="21"/>
      <c r="B69" s="22"/>
      <c r="C69" s="22"/>
      <c r="D69" s="51"/>
      <c r="E69" s="51"/>
      <c r="F69" s="51"/>
      <c r="G69" s="53"/>
    </row>
    <row r="70" ht="22.5" customHeight="1">
      <c r="A70" s="21"/>
      <c r="B70" s="22"/>
      <c r="C70" s="22"/>
      <c r="D70" s="51"/>
      <c r="E70" s="51"/>
      <c r="F70" s="51"/>
      <c r="G70" s="53"/>
    </row>
    <row r="71" ht="22.5" customHeight="1">
      <c r="A71" s="21"/>
      <c r="B71" s="22"/>
      <c r="C71" s="22"/>
      <c r="D71" s="51"/>
      <c r="E71" s="51"/>
      <c r="F71" s="51"/>
      <c r="G71" s="53"/>
    </row>
    <row r="72" ht="22.5" customHeight="1">
      <c r="A72" s="21"/>
      <c r="B72" s="22"/>
      <c r="C72" s="22"/>
      <c r="D72" s="51"/>
      <c r="E72" s="51"/>
      <c r="F72" s="51"/>
      <c r="G72" s="53"/>
    </row>
    <row r="73" ht="22.5" customHeight="1">
      <c r="A73" s="21"/>
      <c r="B73" s="22"/>
      <c r="C73" s="22"/>
      <c r="D73" s="51"/>
      <c r="E73" s="51"/>
      <c r="F73" s="51"/>
      <c r="G73" s="53"/>
    </row>
    <row r="74" ht="22.5" customHeight="1">
      <c r="A74" s="21"/>
      <c r="B74" s="22"/>
      <c r="C74" s="22"/>
      <c r="D74" s="51"/>
      <c r="E74" s="51"/>
      <c r="F74" s="51"/>
      <c r="G74" s="53"/>
    </row>
    <row r="75" ht="22.5" customHeight="1">
      <c r="A75" s="21"/>
      <c r="B75" s="22"/>
      <c r="C75" s="22"/>
      <c r="D75" s="51"/>
      <c r="E75" s="51"/>
      <c r="F75" s="51"/>
      <c r="G75" s="53"/>
    </row>
    <row r="76" ht="22.5" customHeight="1">
      <c r="A76" s="21"/>
      <c r="B76" s="22"/>
      <c r="C76" s="22"/>
      <c r="D76" s="51"/>
      <c r="E76" s="51"/>
      <c r="F76" s="51"/>
      <c r="G76" s="53"/>
    </row>
    <row r="77" ht="22.5" customHeight="1">
      <c r="A77" s="21"/>
      <c r="B77" s="22"/>
      <c r="C77" s="22"/>
      <c r="D77" s="51"/>
      <c r="E77" s="51"/>
      <c r="F77" s="51"/>
      <c r="G77" s="53"/>
    </row>
    <row r="78" ht="22.5" customHeight="1">
      <c r="A78" s="21"/>
      <c r="B78" s="22"/>
      <c r="C78" s="22"/>
      <c r="D78" s="51"/>
      <c r="E78" s="51"/>
      <c r="F78" s="51"/>
      <c r="G78" s="53"/>
    </row>
    <row r="79" ht="22.5" customHeight="1">
      <c r="A79" s="21"/>
      <c r="B79" s="22"/>
      <c r="C79" s="22"/>
      <c r="D79" s="51"/>
      <c r="E79" s="51"/>
      <c r="F79" s="51"/>
      <c r="G79" s="53"/>
    </row>
    <row r="80" ht="22.5" customHeight="1">
      <c r="A80" s="21"/>
      <c r="B80" s="22"/>
      <c r="C80" s="22"/>
      <c r="D80" s="51"/>
      <c r="E80" s="51"/>
      <c r="F80" s="51"/>
      <c r="G80" s="53"/>
    </row>
    <row r="81" ht="22.5" customHeight="1">
      <c r="A81" s="21"/>
      <c r="B81" s="22"/>
      <c r="C81" s="22"/>
      <c r="D81" s="51"/>
      <c r="E81" s="51"/>
      <c r="F81" s="51"/>
      <c r="G81" s="53"/>
    </row>
    <row r="82" ht="22.5" customHeight="1">
      <c r="A82" s="21"/>
      <c r="B82" s="22"/>
      <c r="C82" s="22"/>
      <c r="D82" s="51"/>
      <c r="E82" s="51"/>
      <c r="F82" s="51"/>
      <c r="G82" s="53"/>
    </row>
    <row r="83" ht="22.5" customHeight="1">
      <c r="A83" s="21"/>
      <c r="B83" s="22"/>
      <c r="C83" s="22"/>
      <c r="D83" s="51"/>
      <c r="E83" s="51"/>
      <c r="F83" s="51"/>
      <c r="G83" s="53"/>
    </row>
    <row r="84" ht="22.5" customHeight="1">
      <c r="A84" s="21"/>
      <c r="B84" s="22"/>
      <c r="C84" s="22"/>
      <c r="D84" s="51"/>
      <c r="E84" s="51"/>
      <c r="F84" s="51"/>
      <c r="G84" s="53"/>
    </row>
    <row r="85" ht="22.5" customHeight="1">
      <c r="A85" s="21"/>
      <c r="B85" s="22"/>
      <c r="C85" s="22"/>
      <c r="D85" s="51"/>
      <c r="E85" s="51"/>
      <c r="F85" s="51"/>
      <c r="G85" s="53"/>
    </row>
    <row r="86" ht="22.5" customHeight="1">
      <c r="A86" s="21"/>
      <c r="B86" s="22"/>
      <c r="C86" s="22"/>
      <c r="D86" s="51"/>
      <c r="E86" s="51"/>
      <c r="F86" s="51"/>
      <c r="G86" s="53"/>
    </row>
    <row r="87" ht="22.5" customHeight="1">
      <c r="A87" s="21"/>
      <c r="B87" s="22"/>
      <c r="C87" s="22"/>
      <c r="D87" s="51"/>
      <c r="E87" s="51"/>
      <c r="F87" s="51"/>
      <c r="G87" s="53"/>
    </row>
    <row r="88" ht="22.5" customHeight="1">
      <c r="A88" s="21"/>
      <c r="B88" s="22"/>
      <c r="C88" s="22"/>
      <c r="D88" s="51"/>
      <c r="E88" s="51"/>
      <c r="F88" s="51"/>
      <c r="G88" s="53"/>
    </row>
    <row r="89" ht="22.5" customHeight="1">
      <c r="A89" s="21"/>
      <c r="B89" s="22"/>
      <c r="C89" s="22"/>
      <c r="D89" s="51"/>
      <c r="E89" s="51"/>
      <c r="F89" s="51"/>
      <c r="G89" s="53"/>
    </row>
    <row r="90" ht="22.5" customHeight="1">
      <c r="A90" s="21"/>
      <c r="B90" s="22"/>
      <c r="C90" s="22"/>
      <c r="D90" s="51"/>
      <c r="E90" s="51"/>
      <c r="F90" s="51"/>
      <c r="G90" s="53"/>
    </row>
    <row r="91" ht="22.5" customHeight="1">
      <c r="A91" s="21"/>
      <c r="B91" s="22"/>
      <c r="C91" s="22"/>
      <c r="D91" s="51"/>
      <c r="E91" s="51"/>
      <c r="F91" s="51"/>
      <c r="G91" s="53"/>
    </row>
    <row r="92" ht="22.5" customHeight="1">
      <c r="A92" s="21"/>
      <c r="B92" s="22"/>
      <c r="C92" s="22"/>
      <c r="D92" s="51"/>
      <c r="E92" s="51"/>
      <c r="F92" s="51"/>
      <c r="G92" s="53"/>
    </row>
    <row r="93" ht="22.5" customHeight="1">
      <c r="A93" s="21"/>
      <c r="B93" s="22"/>
      <c r="C93" s="22"/>
      <c r="D93" s="51"/>
      <c r="E93" s="51"/>
      <c r="F93" s="51"/>
      <c r="G93" s="53"/>
    </row>
    <row r="94" ht="22.5" customHeight="1">
      <c r="A94" s="21"/>
      <c r="B94" s="22"/>
      <c r="C94" s="22"/>
      <c r="D94" s="51"/>
      <c r="E94" s="51"/>
      <c r="F94" s="51"/>
      <c r="G94" s="53"/>
    </row>
    <row r="95" ht="22.5" customHeight="1">
      <c r="A95" s="21"/>
      <c r="B95" s="22"/>
      <c r="C95" s="22"/>
      <c r="D95" s="51"/>
      <c r="E95" s="51"/>
      <c r="F95" s="51"/>
      <c r="G95" s="53"/>
    </row>
    <row r="96" ht="22.5" customHeight="1">
      <c r="A96" s="21"/>
      <c r="B96" s="22"/>
      <c r="C96" s="22"/>
      <c r="D96" s="51"/>
      <c r="E96" s="51"/>
      <c r="F96" s="51"/>
      <c r="G96" s="53"/>
    </row>
    <row r="97" ht="22.5" customHeight="1">
      <c r="A97" s="21"/>
      <c r="B97" s="22"/>
      <c r="C97" s="22"/>
      <c r="D97" s="51"/>
      <c r="E97" s="51"/>
      <c r="F97" s="51"/>
      <c r="G97" s="53"/>
    </row>
    <row r="98" ht="22.5" customHeight="1">
      <c r="A98" s="21"/>
      <c r="B98" s="22"/>
      <c r="C98" s="22"/>
      <c r="D98" s="51"/>
      <c r="E98" s="51"/>
      <c r="F98" s="51"/>
      <c r="G98" s="53"/>
    </row>
    <row r="99" ht="22.5" customHeight="1">
      <c r="A99" s="21"/>
      <c r="B99" s="22"/>
      <c r="C99" s="22"/>
      <c r="D99" s="51"/>
      <c r="E99" s="51"/>
      <c r="F99" s="51"/>
      <c r="G99" s="53"/>
    </row>
    <row r="100" ht="22.5" customHeight="1">
      <c r="A100" s="21"/>
      <c r="B100" s="22"/>
      <c r="C100" s="22"/>
      <c r="D100" s="51"/>
      <c r="E100" s="51"/>
      <c r="F100" s="51"/>
      <c r="G100" s="53"/>
    </row>
    <row r="101" ht="22.5" customHeight="1">
      <c r="A101" s="21"/>
      <c r="B101" s="22"/>
      <c r="C101" s="22"/>
      <c r="D101" s="51"/>
      <c r="E101" s="51"/>
      <c r="F101" s="51"/>
      <c r="G101" s="53"/>
    </row>
    <row r="102" ht="22.5" customHeight="1">
      <c r="A102" s="21"/>
      <c r="B102" s="22"/>
      <c r="C102" s="22"/>
      <c r="D102" s="51"/>
      <c r="E102" s="51"/>
      <c r="F102" s="51"/>
      <c r="G102" s="53"/>
    </row>
    <row r="103" ht="22.5" customHeight="1">
      <c r="A103" s="21"/>
      <c r="B103" s="22"/>
      <c r="C103" s="22"/>
      <c r="D103" s="51"/>
      <c r="E103" s="51"/>
      <c r="F103" s="51"/>
      <c r="G103" s="53"/>
    </row>
    <row r="104" ht="22.5" customHeight="1">
      <c r="A104" s="21"/>
      <c r="B104" s="22"/>
      <c r="C104" s="22"/>
      <c r="D104" s="51"/>
      <c r="E104" s="51"/>
      <c r="F104" s="51"/>
      <c r="G104" s="53"/>
    </row>
    <row r="105" ht="22.5" customHeight="1">
      <c r="A105" s="24"/>
      <c r="B105" s="25"/>
      <c r="C105" s="25"/>
      <c r="D105" s="138"/>
      <c r="E105" s="138"/>
      <c r="F105" s="138"/>
      <c r="G105" s="119"/>
    </row>
    <row r="106" ht="22.5" customHeight="1">
      <c r="A106" s="24"/>
      <c r="B106" s="25"/>
      <c r="C106" s="25"/>
      <c r="D106" s="138"/>
      <c r="E106" s="138"/>
      <c r="F106" s="138"/>
      <c r="G106" s="119"/>
    </row>
    <row r="107" ht="22.5" customHeight="1">
      <c r="A107" s="24"/>
      <c r="B107" s="25"/>
      <c r="C107" s="25"/>
      <c r="D107" s="138"/>
      <c r="E107" s="138"/>
      <c r="F107" s="138"/>
      <c r="G107" s="119"/>
    </row>
    <row r="108" ht="22.5" customHeight="1">
      <c r="A108" s="24"/>
      <c r="B108" s="25"/>
      <c r="C108" s="25"/>
      <c r="D108" s="138"/>
      <c r="E108" s="138"/>
      <c r="F108" s="138"/>
      <c r="G108" s="119"/>
    </row>
    <row r="109" ht="22.5" customHeight="1">
      <c r="A109" s="24"/>
      <c r="B109" s="25"/>
      <c r="C109" s="25"/>
      <c r="D109" s="138"/>
      <c r="E109" s="138"/>
      <c r="F109" s="138"/>
      <c r="G109" s="119"/>
    </row>
    <row r="110" ht="22.5" customHeight="1">
      <c r="A110" s="24"/>
      <c r="B110" s="25"/>
      <c r="C110" s="25"/>
      <c r="D110" s="138"/>
      <c r="E110" s="138"/>
      <c r="F110" s="138"/>
      <c r="G110" s="119"/>
    </row>
    <row r="111" ht="22.5" customHeight="1">
      <c r="A111" s="24"/>
      <c r="B111" s="25"/>
      <c r="C111" s="25"/>
      <c r="D111" s="138"/>
      <c r="E111" s="138"/>
      <c r="F111" s="138"/>
      <c r="G111" s="119"/>
    </row>
    <row r="112" ht="22.5" customHeight="1">
      <c r="A112" s="24"/>
      <c r="B112" s="25"/>
      <c r="C112" s="25"/>
      <c r="D112" s="138"/>
      <c r="E112" s="138"/>
      <c r="F112" s="138"/>
      <c r="G112" s="119"/>
    </row>
    <row r="113" ht="22.5" customHeight="1">
      <c r="A113" s="24"/>
      <c r="B113" s="25"/>
      <c r="C113" s="25"/>
      <c r="D113" s="138"/>
      <c r="E113" s="138"/>
      <c r="F113" s="138"/>
      <c r="G113" s="119"/>
    </row>
    <row r="114" ht="22.5" customHeight="1">
      <c r="A114" s="24"/>
      <c r="B114" s="25"/>
      <c r="C114" s="25"/>
      <c r="D114" s="138"/>
      <c r="E114" s="138"/>
      <c r="F114" s="138"/>
      <c r="G114" s="119"/>
    </row>
    <row r="115" ht="22.5" customHeight="1">
      <c r="A115" s="24"/>
      <c r="B115" s="25"/>
      <c r="C115" s="25"/>
      <c r="D115" s="138"/>
      <c r="E115" s="138"/>
      <c r="F115" s="138"/>
      <c r="G115" s="119"/>
    </row>
    <row r="116" ht="22.5" customHeight="1">
      <c r="A116" s="24"/>
      <c r="B116" s="25"/>
      <c r="C116" s="25"/>
      <c r="D116" s="138"/>
      <c r="E116" s="138"/>
      <c r="F116" s="138"/>
      <c r="G116" s="119"/>
    </row>
    <row r="117" ht="22.5" customHeight="1">
      <c r="A117" s="24"/>
      <c r="B117" s="25"/>
      <c r="C117" s="25"/>
      <c r="D117" s="138"/>
      <c r="E117" s="138"/>
      <c r="F117" s="138"/>
      <c r="G117" s="119"/>
    </row>
    <row r="118" ht="22.5" customHeight="1">
      <c r="A118" s="24"/>
      <c r="B118" s="25"/>
      <c r="C118" s="25"/>
      <c r="D118" s="138"/>
      <c r="E118" s="138"/>
      <c r="F118" s="138"/>
      <c r="G118" s="119"/>
    </row>
    <row r="119" ht="22.5" customHeight="1">
      <c r="A119" s="24"/>
      <c r="B119" s="25"/>
      <c r="C119" s="25"/>
      <c r="D119" s="138"/>
      <c r="E119" s="138"/>
      <c r="F119" s="138"/>
      <c r="G119" s="119"/>
    </row>
    <row r="120" ht="22.5" customHeight="1">
      <c r="A120" s="24"/>
      <c r="B120" s="25"/>
      <c r="C120" s="25"/>
      <c r="D120" s="138"/>
      <c r="E120" s="138"/>
      <c r="F120" s="138"/>
      <c r="G120" s="119"/>
    </row>
    <row r="121" ht="22.5" customHeight="1">
      <c r="A121" s="24"/>
      <c r="B121" s="25"/>
      <c r="C121" s="25"/>
      <c r="D121" s="138"/>
      <c r="E121" s="138"/>
      <c r="F121" s="138"/>
      <c r="G121" s="119"/>
    </row>
    <row r="122" ht="22.5" customHeight="1">
      <c r="A122" s="24"/>
      <c r="B122" s="25"/>
      <c r="C122" s="25"/>
      <c r="D122" s="138"/>
      <c r="E122" s="138"/>
      <c r="F122" s="138"/>
      <c r="G122" s="119"/>
    </row>
    <row r="123" ht="22.5" customHeight="1">
      <c r="A123" s="24"/>
      <c r="B123" s="25"/>
      <c r="C123" s="25"/>
      <c r="D123" s="138"/>
      <c r="E123" s="138"/>
      <c r="F123" s="138"/>
      <c r="G123" s="119"/>
    </row>
    <row r="124" ht="22.5" customHeight="1">
      <c r="A124" s="24"/>
      <c r="B124" s="25"/>
      <c r="C124" s="25"/>
      <c r="D124" s="138"/>
      <c r="E124" s="138"/>
      <c r="F124" s="138"/>
      <c r="G124" s="119"/>
    </row>
    <row r="125" ht="22.5" customHeight="1">
      <c r="A125" s="24"/>
      <c r="B125" s="25"/>
      <c r="C125" s="25"/>
      <c r="D125" s="138"/>
      <c r="E125" s="138"/>
      <c r="F125" s="138"/>
      <c r="G125" s="119"/>
    </row>
    <row r="126" ht="22.5" customHeight="1">
      <c r="A126" s="24"/>
      <c r="B126" s="25"/>
      <c r="C126" s="25"/>
      <c r="D126" s="138"/>
      <c r="E126" s="138"/>
      <c r="F126" s="138"/>
      <c r="G126" s="119"/>
    </row>
    <row r="127" ht="22.5" customHeight="1">
      <c r="A127" s="24"/>
      <c r="B127" s="25"/>
      <c r="C127" s="25"/>
      <c r="D127" s="138"/>
      <c r="E127" s="138"/>
      <c r="F127" s="138"/>
      <c r="G127" s="119"/>
    </row>
    <row r="128" ht="22.5" customHeight="1">
      <c r="A128" s="24"/>
      <c r="B128" s="25"/>
      <c r="C128" s="25"/>
      <c r="D128" s="138"/>
      <c r="E128" s="138"/>
      <c r="F128" s="138"/>
      <c r="G128" s="119"/>
    </row>
    <row r="129" ht="22.5" customHeight="1">
      <c r="A129" s="24"/>
      <c r="B129" s="25"/>
      <c r="C129" s="25"/>
      <c r="D129" s="138"/>
      <c r="E129" s="138"/>
      <c r="F129" s="138"/>
      <c r="G129" s="119"/>
    </row>
    <row r="130" ht="22.5" customHeight="1">
      <c r="A130" s="24"/>
      <c r="B130" s="25"/>
      <c r="C130" s="25"/>
      <c r="D130" s="138"/>
      <c r="E130" s="138"/>
      <c r="F130" s="138"/>
      <c r="G130" s="119"/>
    </row>
    <row r="131" ht="22.5" customHeight="1">
      <c r="A131" s="24"/>
      <c r="B131" s="25"/>
      <c r="C131" s="25"/>
      <c r="D131" s="138"/>
      <c r="E131" s="138"/>
      <c r="F131" s="138"/>
      <c r="G131" s="119"/>
    </row>
    <row r="132" ht="22.5" customHeight="1">
      <c r="A132" s="24"/>
      <c r="B132" s="25"/>
      <c r="C132" s="25"/>
      <c r="D132" s="138"/>
      <c r="E132" s="138"/>
      <c r="F132" s="138"/>
      <c r="G132" s="119"/>
    </row>
    <row r="133" ht="22.5" customHeight="1">
      <c r="A133" s="24"/>
      <c r="B133" s="25"/>
      <c r="C133" s="25"/>
      <c r="D133" s="138"/>
      <c r="E133" s="138"/>
      <c r="F133" s="138"/>
      <c r="G133" s="119"/>
    </row>
    <row r="134" ht="22.5" customHeight="1">
      <c r="A134" s="24"/>
      <c r="B134" s="25"/>
      <c r="C134" s="25"/>
      <c r="D134" s="138"/>
      <c r="E134" s="138"/>
      <c r="F134" s="138"/>
      <c r="G134" s="119"/>
    </row>
    <row r="135" ht="22.5" customHeight="1">
      <c r="A135" s="24"/>
      <c r="B135" s="25"/>
      <c r="C135" s="25"/>
      <c r="D135" s="138"/>
      <c r="E135" s="138"/>
      <c r="F135" s="138"/>
      <c r="G135" s="119"/>
    </row>
    <row r="136" ht="22.5" customHeight="1">
      <c r="A136" s="24"/>
      <c r="B136" s="25"/>
      <c r="C136" s="25"/>
      <c r="D136" s="138"/>
      <c r="E136" s="138"/>
      <c r="F136" s="138"/>
      <c r="G136" s="119"/>
    </row>
    <row r="137" ht="22.5" customHeight="1">
      <c r="A137" s="24"/>
      <c r="B137" s="25"/>
      <c r="C137" s="25"/>
      <c r="D137" s="138"/>
      <c r="E137" s="138"/>
      <c r="F137" s="138"/>
      <c r="G137" s="119"/>
    </row>
    <row r="138" ht="22.5" customHeight="1">
      <c r="A138" s="24"/>
      <c r="B138" s="25"/>
      <c r="C138" s="25"/>
      <c r="D138" s="138"/>
      <c r="E138" s="138"/>
      <c r="F138" s="138"/>
      <c r="G138" s="119"/>
    </row>
    <row r="139" ht="22.5" customHeight="1">
      <c r="A139" s="24"/>
      <c r="B139" s="25"/>
      <c r="C139" s="25"/>
      <c r="D139" s="138"/>
      <c r="E139" s="138"/>
      <c r="F139" s="138"/>
      <c r="G139" s="119"/>
    </row>
    <row r="140" ht="22.5" customHeight="1">
      <c r="A140" s="24"/>
      <c r="B140" s="25"/>
      <c r="C140" s="25"/>
      <c r="D140" s="138"/>
      <c r="E140" s="138"/>
      <c r="F140" s="138"/>
      <c r="G140" s="119"/>
    </row>
    <row r="141" ht="22.5" customHeight="1">
      <c r="A141" s="24"/>
      <c r="B141" s="25"/>
      <c r="C141" s="25"/>
      <c r="D141" s="138"/>
      <c r="E141" s="138"/>
      <c r="F141" s="138"/>
      <c r="G141" s="119"/>
    </row>
    <row r="142" ht="22.5" customHeight="1">
      <c r="A142" s="24"/>
      <c r="B142" s="25"/>
      <c r="C142" s="25"/>
      <c r="D142" s="138"/>
      <c r="E142" s="138"/>
      <c r="F142" s="138"/>
      <c r="G142" s="119"/>
    </row>
    <row r="143" ht="22.5" customHeight="1">
      <c r="A143" s="24"/>
      <c r="B143" s="25"/>
      <c r="C143" s="25"/>
      <c r="D143" s="138"/>
      <c r="E143" s="138"/>
      <c r="F143" s="138"/>
      <c r="G143" s="119"/>
    </row>
    <row r="144" ht="22.5" customHeight="1">
      <c r="A144" s="24"/>
      <c r="B144" s="25"/>
      <c r="C144" s="25"/>
      <c r="D144" s="138"/>
      <c r="E144" s="138"/>
      <c r="F144" s="138"/>
      <c r="G144" s="119"/>
    </row>
    <row r="145" ht="22.5" customHeight="1">
      <c r="A145" s="24"/>
      <c r="B145" s="25"/>
      <c r="C145" s="25"/>
      <c r="D145" s="138"/>
      <c r="E145" s="138"/>
      <c r="F145" s="138"/>
      <c r="G145" s="119"/>
    </row>
    <row r="146" ht="22.5" customHeight="1">
      <c r="A146" s="24"/>
      <c r="B146" s="25"/>
      <c r="C146" s="25"/>
      <c r="D146" s="138"/>
      <c r="E146" s="138"/>
      <c r="F146" s="138"/>
      <c r="G146" s="119"/>
    </row>
    <row r="147" ht="22.5" customHeight="1">
      <c r="A147" s="24"/>
      <c r="B147" s="25"/>
      <c r="C147" s="25"/>
      <c r="D147" s="138"/>
      <c r="E147" s="138"/>
      <c r="F147" s="138"/>
      <c r="G147" s="119"/>
    </row>
    <row r="148" ht="22.5" customHeight="1">
      <c r="A148" s="24"/>
      <c r="B148" s="25"/>
      <c r="C148" s="25"/>
      <c r="D148" s="138"/>
      <c r="E148" s="138"/>
      <c r="F148" s="138"/>
      <c r="G148" s="119"/>
    </row>
    <row r="149" ht="22.5" customHeight="1">
      <c r="A149" s="24"/>
      <c r="B149" s="25"/>
      <c r="C149" s="25"/>
      <c r="D149" s="138"/>
      <c r="E149" s="138"/>
      <c r="F149" s="138"/>
      <c r="G149" s="119"/>
    </row>
    <row r="150" ht="22.5" customHeight="1">
      <c r="A150" s="24"/>
      <c r="B150" s="25"/>
      <c r="C150" s="25"/>
      <c r="D150" s="138"/>
      <c r="E150" s="138"/>
      <c r="F150" s="138"/>
      <c r="G150" s="119"/>
    </row>
    <row r="151" ht="22.5" customHeight="1">
      <c r="A151" s="24"/>
      <c r="B151" s="25"/>
      <c r="C151" s="25"/>
      <c r="D151" s="138"/>
      <c r="E151" s="138"/>
      <c r="F151" s="138"/>
      <c r="G151" s="119"/>
    </row>
    <row r="152" ht="22.5" customHeight="1">
      <c r="A152" s="24"/>
      <c r="B152" s="25"/>
      <c r="C152" s="25"/>
      <c r="D152" s="138"/>
      <c r="E152" s="138"/>
      <c r="F152" s="138"/>
      <c r="G152" s="119"/>
    </row>
    <row r="153" ht="22.5" customHeight="1">
      <c r="A153" s="24"/>
      <c r="B153" s="25"/>
      <c r="C153" s="25"/>
      <c r="D153" s="138"/>
      <c r="E153" s="138"/>
      <c r="F153" s="138"/>
      <c r="G153" s="119"/>
    </row>
    <row r="154" ht="22.5" customHeight="1">
      <c r="A154" s="24"/>
      <c r="B154" s="25"/>
      <c r="C154" s="25"/>
      <c r="D154" s="138"/>
      <c r="E154" s="138"/>
      <c r="F154" s="138"/>
      <c r="G154" s="119"/>
    </row>
    <row r="155" ht="22.5" customHeight="1">
      <c r="A155" s="24"/>
      <c r="B155" s="25"/>
      <c r="C155" s="25"/>
      <c r="D155" s="138"/>
      <c r="E155" s="138"/>
      <c r="F155" s="138"/>
      <c r="G155" s="119"/>
    </row>
    <row r="156" ht="22.5" customHeight="1">
      <c r="A156" s="24"/>
      <c r="B156" s="25"/>
      <c r="C156" s="25"/>
      <c r="D156" s="138"/>
      <c r="E156" s="138"/>
      <c r="F156" s="138"/>
      <c r="G156" s="119"/>
    </row>
    <row r="157" ht="22.5" customHeight="1">
      <c r="A157" s="24"/>
      <c r="B157" s="25"/>
      <c r="C157" s="25"/>
      <c r="D157" s="138"/>
      <c r="E157" s="138"/>
      <c r="F157" s="138"/>
      <c r="G157" s="119"/>
    </row>
    <row r="158" ht="22.5" customHeight="1">
      <c r="A158" s="24"/>
      <c r="B158" s="25"/>
      <c r="C158" s="25"/>
      <c r="D158" s="138"/>
      <c r="E158" s="138"/>
      <c r="F158" s="138"/>
      <c r="G158" s="119"/>
    </row>
    <row r="159" ht="22.5" customHeight="1">
      <c r="A159" s="24"/>
      <c r="B159" s="25"/>
      <c r="C159" s="25"/>
      <c r="D159" s="138"/>
      <c r="E159" s="138"/>
      <c r="F159" s="138"/>
      <c r="G159" s="119"/>
    </row>
    <row r="160" ht="22.5" customHeight="1">
      <c r="A160" s="24"/>
      <c r="B160" s="25"/>
      <c r="C160" s="25"/>
      <c r="D160" s="138"/>
      <c r="E160" s="138"/>
      <c r="F160" s="138"/>
      <c r="G160" s="119"/>
    </row>
    <row r="161" ht="22.5" customHeight="1">
      <c r="A161" s="24"/>
      <c r="B161" s="25"/>
      <c r="C161" s="25"/>
      <c r="D161" s="138"/>
      <c r="E161" s="138"/>
      <c r="F161" s="138"/>
      <c r="G161" s="119"/>
    </row>
    <row r="162" ht="22.5" customHeight="1">
      <c r="A162" s="24"/>
      <c r="B162" s="25"/>
      <c r="C162" s="25"/>
      <c r="D162" s="138"/>
      <c r="E162" s="138"/>
      <c r="F162" s="138"/>
      <c r="G162" s="119"/>
    </row>
    <row r="163" ht="22.5" customHeight="1">
      <c r="A163" s="24"/>
      <c r="B163" s="25"/>
      <c r="C163" s="25"/>
      <c r="D163" s="138"/>
      <c r="E163" s="138"/>
      <c r="F163" s="138"/>
      <c r="G163" s="119"/>
    </row>
    <row r="164" ht="22.5" customHeight="1">
      <c r="A164" s="24"/>
      <c r="B164" s="25"/>
      <c r="C164" s="25"/>
      <c r="D164" s="138"/>
      <c r="E164" s="138"/>
      <c r="F164" s="138"/>
      <c r="G164" s="119"/>
    </row>
    <row r="165" ht="22.5" customHeight="1">
      <c r="A165" s="24"/>
      <c r="B165" s="25"/>
      <c r="C165" s="25"/>
      <c r="D165" s="138"/>
      <c r="E165" s="138"/>
      <c r="F165" s="138"/>
      <c r="G165" s="119"/>
    </row>
    <row r="166" ht="22.5" customHeight="1">
      <c r="A166" s="24"/>
      <c r="B166" s="25"/>
      <c r="C166" s="25"/>
      <c r="D166" s="138"/>
      <c r="E166" s="138"/>
      <c r="F166" s="138"/>
      <c r="G166" s="119"/>
    </row>
    <row r="167" ht="22.5" customHeight="1">
      <c r="A167" s="24"/>
      <c r="B167" s="25"/>
      <c r="C167" s="25"/>
      <c r="D167" s="138"/>
      <c r="E167" s="138"/>
      <c r="F167" s="138"/>
      <c r="G167" s="119"/>
    </row>
    <row r="168" ht="22.5" customHeight="1">
      <c r="A168" s="24"/>
      <c r="B168" s="25"/>
      <c r="C168" s="25"/>
      <c r="D168" s="138"/>
      <c r="E168" s="138"/>
      <c r="F168" s="138"/>
      <c r="G168" s="119"/>
    </row>
    <row r="169" ht="22.5" customHeight="1">
      <c r="A169" s="24"/>
      <c r="B169" s="25"/>
      <c r="C169" s="25"/>
      <c r="D169" s="138"/>
      <c r="E169" s="138"/>
      <c r="F169" s="138"/>
      <c r="G169" s="119"/>
    </row>
    <row r="170" ht="22.5" customHeight="1">
      <c r="A170" s="24"/>
      <c r="B170" s="25"/>
      <c r="C170" s="25"/>
      <c r="D170" s="138"/>
      <c r="E170" s="138"/>
      <c r="F170" s="138"/>
      <c r="G170" s="119"/>
    </row>
    <row r="171" ht="22.5" customHeight="1">
      <c r="A171" s="24"/>
      <c r="B171" s="25"/>
      <c r="C171" s="25"/>
      <c r="D171" s="138"/>
      <c r="E171" s="138"/>
      <c r="F171" s="138"/>
      <c r="G171" s="119"/>
    </row>
    <row r="172" ht="22.5" customHeight="1">
      <c r="A172" s="24"/>
      <c r="B172" s="25"/>
      <c r="C172" s="25"/>
      <c r="D172" s="138"/>
      <c r="E172" s="138"/>
      <c r="F172" s="138"/>
      <c r="G172" s="119"/>
    </row>
    <row r="173" ht="22.5" customHeight="1">
      <c r="A173" s="24"/>
      <c r="B173" s="25"/>
      <c r="C173" s="25"/>
      <c r="D173" s="138"/>
      <c r="E173" s="138"/>
      <c r="F173" s="138"/>
      <c r="G173" s="119"/>
    </row>
    <row r="174" ht="22.5" customHeight="1">
      <c r="A174" s="24"/>
      <c r="B174" s="25"/>
      <c r="C174" s="25"/>
      <c r="D174" s="138"/>
      <c r="E174" s="138"/>
      <c r="F174" s="138"/>
      <c r="G174" s="119"/>
    </row>
    <row r="175" ht="22.5" customHeight="1">
      <c r="A175" s="24"/>
      <c r="B175" s="25"/>
      <c r="C175" s="25"/>
      <c r="D175" s="138"/>
      <c r="E175" s="138"/>
      <c r="F175" s="138"/>
      <c r="G175" s="119"/>
    </row>
    <row r="176" ht="22.5" customHeight="1">
      <c r="A176" s="24"/>
      <c r="B176" s="25"/>
      <c r="C176" s="25"/>
      <c r="D176" s="138"/>
      <c r="E176" s="138"/>
      <c r="F176" s="138"/>
      <c r="G176" s="119"/>
    </row>
    <row r="177" ht="22.5" customHeight="1">
      <c r="A177" s="24"/>
      <c r="B177" s="25"/>
      <c r="C177" s="25"/>
      <c r="D177" s="138"/>
      <c r="E177" s="138"/>
      <c r="F177" s="138"/>
      <c r="G177" s="119"/>
    </row>
    <row r="178" ht="22.5" customHeight="1">
      <c r="A178" s="24"/>
      <c r="B178" s="25"/>
      <c r="C178" s="25"/>
      <c r="D178" s="138"/>
      <c r="E178" s="138"/>
      <c r="F178" s="138"/>
      <c r="G178" s="119"/>
    </row>
    <row r="179" ht="22.5" customHeight="1">
      <c r="A179" s="24"/>
      <c r="B179" s="25"/>
      <c r="C179" s="25"/>
      <c r="D179" s="138"/>
      <c r="E179" s="138"/>
      <c r="F179" s="138"/>
      <c r="G179" s="119"/>
    </row>
    <row r="180" ht="22.5" customHeight="1">
      <c r="A180" s="24"/>
      <c r="B180" s="25"/>
      <c r="C180" s="25"/>
      <c r="D180" s="138"/>
      <c r="E180" s="138"/>
      <c r="F180" s="138"/>
      <c r="G180" s="119"/>
    </row>
    <row r="181" ht="22.5" customHeight="1">
      <c r="A181" s="24"/>
      <c r="B181" s="25"/>
      <c r="C181" s="25"/>
      <c r="D181" s="138"/>
      <c r="E181" s="138"/>
      <c r="F181" s="138"/>
      <c r="G181" s="119"/>
    </row>
    <row r="182" ht="22.5" customHeight="1">
      <c r="A182" s="24"/>
      <c r="B182" s="25"/>
      <c r="C182" s="25"/>
      <c r="D182" s="138"/>
      <c r="E182" s="138"/>
      <c r="F182" s="138"/>
      <c r="G182" s="119"/>
    </row>
    <row r="183" ht="22.5" customHeight="1">
      <c r="A183" s="24"/>
      <c r="B183" s="25"/>
      <c r="C183" s="25"/>
      <c r="D183" s="138"/>
      <c r="E183" s="138"/>
      <c r="F183" s="138"/>
      <c r="G183" s="119"/>
    </row>
    <row r="184" ht="22.5" customHeight="1">
      <c r="A184" s="24"/>
      <c r="B184" s="25"/>
      <c r="C184" s="25"/>
      <c r="D184" s="138"/>
      <c r="E184" s="138"/>
      <c r="F184" s="138"/>
      <c r="G184" s="119"/>
    </row>
    <row r="185" ht="22.5" customHeight="1">
      <c r="A185" s="24"/>
      <c r="B185" s="25"/>
      <c r="C185" s="25"/>
      <c r="D185" s="138"/>
      <c r="E185" s="138"/>
      <c r="F185" s="138"/>
      <c r="G185" s="119"/>
    </row>
    <row r="186" ht="22.5" customHeight="1">
      <c r="A186" s="24"/>
      <c r="B186" s="25"/>
      <c r="C186" s="25"/>
      <c r="D186" s="138"/>
      <c r="E186" s="138"/>
      <c r="F186" s="138"/>
      <c r="G186" s="119"/>
    </row>
    <row r="187" ht="22.5" customHeight="1">
      <c r="A187" s="24"/>
      <c r="B187" s="25"/>
      <c r="C187" s="25"/>
      <c r="D187" s="138"/>
      <c r="E187" s="138"/>
      <c r="F187" s="138"/>
      <c r="G187" s="119"/>
    </row>
    <row r="188" ht="22.5" customHeight="1">
      <c r="A188" s="24"/>
      <c r="B188" s="25"/>
      <c r="C188" s="25"/>
      <c r="D188" s="138"/>
      <c r="E188" s="138"/>
      <c r="F188" s="138"/>
      <c r="G188" s="119"/>
    </row>
    <row r="189" ht="22.5" customHeight="1">
      <c r="A189" s="24"/>
      <c r="B189" s="25"/>
      <c r="C189" s="25"/>
      <c r="D189" s="138"/>
      <c r="E189" s="138"/>
      <c r="F189" s="138"/>
      <c r="G189" s="119"/>
    </row>
    <row r="190" ht="22.5" customHeight="1">
      <c r="A190" s="24"/>
      <c r="B190" s="25"/>
      <c r="C190" s="25"/>
      <c r="D190" s="138"/>
      <c r="E190" s="138"/>
      <c r="F190" s="138"/>
      <c r="G190" s="119"/>
    </row>
    <row r="191" ht="22.5" customHeight="1">
      <c r="A191" s="24"/>
      <c r="B191" s="25"/>
      <c r="C191" s="25"/>
      <c r="D191" s="138"/>
      <c r="E191" s="138"/>
      <c r="F191" s="138"/>
      <c r="G191" s="119"/>
    </row>
    <row r="192" ht="22.5" customHeight="1">
      <c r="A192" s="24"/>
      <c r="B192" s="25"/>
      <c r="C192" s="25"/>
      <c r="D192" s="138"/>
      <c r="E192" s="138"/>
      <c r="F192" s="138"/>
      <c r="G192" s="119"/>
    </row>
    <row r="193" ht="22.5" customHeight="1">
      <c r="A193" s="24"/>
      <c r="B193" s="25"/>
      <c r="C193" s="25"/>
      <c r="D193" s="138"/>
      <c r="E193" s="138"/>
      <c r="F193" s="138"/>
      <c r="G193" s="119"/>
    </row>
    <row r="194" ht="22.5" customHeight="1">
      <c r="A194" s="24"/>
      <c r="B194" s="25"/>
      <c r="C194" s="25"/>
      <c r="D194" s="138"/>
      <c r="E194" s="138"/>
      <c r="F194" s="138"/>
      <c r="G194" s="119"/>
    </row>
    <row r="195" ht="22.5" customHeight="1">
      <c r="A195" s="24"/>
      <c r="B195" s="25"/>
      <c r="C195" s="25"/>
      <c r="D195" s="138"/>
      <c r="E195" s="138"/>
      <c r="F195" s="138"/>
      <c r="G195" s="119"/>
    </row>
    <row r="196" ht="22.5" customHeight="1">
      <c r="A196" s="24"/>
      <c r="B196" s="25"/>
      <c r="C196" s="25"/>
      <c r="D196" s="138"/>
      <c r="E196" s="138"/>
      <c r="F196" s="138"/>
      <c r="G196" s="119"/>
    </row>
    <row r="197" ht="22.5" customHeight="1">
      <c r="A197" s="24"/>
      <c r="B197" s="25"/>
      <c r="C197" s="25"/>
      <c r="D197" s="138"/>
      <c r="E197" s="138"/>
      <c r="F197" s="138"/>
      <c r="G197" s="119"/>
    </row>
    <row r="198" ht="22.5" customHeight="1">
      <c r="A198" s="24"/>
      <c r="B198" s="25"/>
      <c r="C198" s="25"/>
      <c r="D198" s="138"/>
      <c r="E198" s="138"/>
      <c r="F198" s="138"/>
      <c r="G198" s="119"/>
    </row>
    <row r="199" ht="22.5" customHeight="1">
      <c r="A199" s="24"/>
      <c r="B199" s="25"/>
      <c r="C199" s="25"/>
      <c r="D199" s="138"/>
      <c r="E199" s="138"/>
      <c r="F199" s="138"/>
      <c r="G199" s="119"/>
    </row>
    <row r="200" ht="22.5" customHeight="1">
      <c r="A200" s="24"/>
      <c r="B200" s="25"/>
      <c r="C200" s="25"/>
      <c r="D200" s="138"/>
      <c r="E200" s="138"/>
      <c r="F200" s="138"/>
      <c r="G200" s="119"/>
    </row>
    <row r="201" ht="22.5" customHeight="1">
      <c r="A201" s="24"/>
      <c r="B201" s="25"/>
      <c r="C201" s="25"/>
      <c r="D201" s="138"/>
      <c r="E201" s="138"/>
      <c r="F201" s="138"/>
      <c r="G201" s="119"/>
    </row>
    <row r="202" ht="22.5" customHeight="1">
      <c r="A202" s="24"/>
      <c r="B202" s="25"/>
      <c r="C202" s="25"/>
      <c r="D202" s="138"/>
      <c r="E202" s="138"/>
      <c r="F202" s="138"/>
      <c r="G202" s="119"/>
    </row>
    <row r="203" ht="22.5" customHeight="1">
      <c r="A203" s="24"/>
      <c r="B203" s="25"/>
      <c r="C203" s="25"/>
      <c r="D203" s="138"/>
      <c r="E203" s="138"/>
      <c r="F203" s="138"/>
      <c r="G203" s="119"/>
    </row>
    <row r="204" ht="22.5" customHeight="1">
      <c r="A204" s="24"/>
      <c r="B204" s="25"/>
      <c r="C204" s="25"/>
      <c r="D204" s="138"/>
      <c r="E204" s="138"/>
      <c r="F204" s="138"/>
      <c r="G204" s="119"/>
    </row>
    <row r="205" ht="22.5" customHeight="1">
      <c r="A205" s="24"/>
      <c r="B205" s="25"/>
      <c r="C205" s="25"/>
      <c r="D205" s="138"/>
      <c r="E205" s="138"/>
      <c r="F205" s="138"/>
      <c r="G205" s="119"/>
    </row>
    <row r="206" ht="22.5" customHeight="1">
      <c r="A206" s="24"/>
      <c r="B206" s="25"/>
      <c r="C206" s="25"/>
      <c r="D206" s="138"/>
      <c r="E206" s="138"/>
      <c r="F206" s="138"/>
      <c r="G206" s="119"/>
    </row>
    <row r="207" ht="22.5" customHeight="1">
      <c r="A207" s="24"/>
      <c r="B207" s="25"/>
      <c r="C207" s="25"/>
      <c r="D207" s="138"/>
      <c r="E207" s="138"/>
      <c r="F207" s="138"/>
      <c r="G207" s="119"/>
    </row>
    <row r="208" ht="22.5" customHeight="1">
      <c r="A208" s="24"/>
      <c r="B208" s="25"/>
      <c r="C208" s="25"/>
      <c r="D208" s="138"/>
      <c r="E208" s="138"/>
      <c r="F208" s="138"/>
      <c r="G208" s="119"/>
    </row>
    <row r="209" ht="22.5" customHeight="1">
      <c r="A209" s="24"/>
      <c r="B209" s="25"/>
      <c r="C209" s="25"/>
      <c r="D209" s="138"/>
      <c r="E209" s="138"/>
      <c r="F209" s="138"/>
      <c r="G209" s="119"/>
    </row>
    <row r="210" ht="22.5" customHeight="1">
      <c r="A210" s="24"/>
      <c r="B210" s="25"/>
      <c r="C210" s="25"/>
      <c r="D210" s="138"/>
      <c r="E210" s="138"/>
      <c r="F210" s="138"/>
      <c r="G210" s="119"/>
    </row>
    <row r="211" ht="22.5" customHeight="1">
      <c r="A211" s="24"/>
      <c r="B211" s="25"/>
      <c r="C211" s="25"/>
      <c r="D211" s="138"/>
      <c r="E211" s="138"/>
      <c r="F211" s="138"/>
      <c r="G211" s="119"/>
    </row>
    <row r="212" ht="22.5" customHeight="1">
      <c r="A212" s="24"/>
      <c r="B212" s="25"/>
      <c r="C212" s="25"/>
      <c r="D212" s="138"/>
      <c r="E212" s="138"/>
      <c r="F212" s="138"/>
      <c r="G212" s="119"/>
    </row>
    <row r="213" ht="22.5" customHeight="1">
      <c r="A213" s="24"/>
      <c r="B213" s="25"/>
      <c r="C213" s="25"/>
      <c r="D213" s="138"/>
      <c r="E213" s="138"/>
      <c r="F213" s="138"/>
      <c r="G213" s="119"/>
    </row>
    <row r="214" ht="22.5" customHeight="1">
      <c r="A214" s="24"/>
      <c r="B214" s="25"/>
      <c r="C214" s="25"/>
      <c r="D214" s="138"/>
      <c r="E214" s="138"/>
      <c r="F214" s="138"/>
      <c r="G214" s="119"/>
    </row>
    <row r="215" ht="22.5" customHeight="1">
      <c r="A215" s="24"/>
      <c r="B215" s="25"/>
      <c r="C215" s="25"/>
      <c r="D215" s="138"/>
      <c r="E215" s="138"/>
      <c r="F215" s="138"/>
      <c r="G215" s="119"/>
    </row>
    <row r="216" ht="22.5" customHeight="1">
      <c r="A216" s="24"/>
      <c r="B216" s="25"/>
      <c r="C216" s="25"/>
      <c r="D216" s="138"/>
      <c r="E216" s="138"/>
      <c r="F216" s="138"/>
      <c r="G216" s="119"/>
    </row>
    <row r="217" ht="22.5" customHeight="1">
      <c r="A217" s="24"/>
      <c r="B217" s="25"/>
      <c r="C217" s="25"/>
      <c r="D217" s="138"/>
      <c r="E217" s="138"/>
      <c r="F217" s="138"/>
      <c r="G217" s="119"/>
    </row>
    <row r="218" ht="22.5" customHeight="1">
      <c r="A218" s="24"/>
      <c r="B218" s="25"/>
      <c r="C218" s="25"/>
      <c r="D218" s="138"/>
      <c r="E218" s="138"/>
      <c r="F218" s="138"/>
      <c r="G218" s="119"/>
    </row>
    <row r="219" ht="22.5" customHeight="1">
      <c r="A219" s="24"/>
      <c r="B219" s="25"/>
      <c r="C219" s="25"/>
      <c r="D219" s="138"/>
      <c r="E219" s="138"/>
      <c r="F219" s="138"/>
      <c r="G219" s="119"/>
    </row>
    <row r="220" ht="22.5" customHeight="1">
      <c r="A220" s="24"/>
      <c r="B220" s="25"/>
      <c r="C220" s="25"/>
      <c r="D220" s="138"/>
      <c r="E220" s="138"/>
      <c r="F220" s="138"/>
      <c r="G220" s="119"/>
    </row>
    <row r="221" ht="22.5" customHeight="1">
      <c r="A221" s="24"/>
      <c r="B221" s="25"/>
      <c r="C221" s="25"/>
      <c r="D221" s="138"/>
      <c r="E221" s="138"/>
      <c r="F221" s="138"/>
      <c r="G221" s="119"/>
    </row>
    <row r="222" ht="22.5" customHeight="1">
      <c r="A222" s="24"/>
      <c r="B222" s="25"/>
      <c r="C222" s="25"/>
      <c r="D222" s="138"/>
      <c r="E222" s="138"/>
      <c r="F222" s="138"/>
      <c r="G222" s="119"/>
    </row>
    <row r="223" ht="22.5" customHeight="1">
      <c r="A223" s="24"/>
      <c r="B223" s="25"/>
      <c r="C223" s="25"/>
      <c r="D223" s="138"/>
      <c r="E223" s="138"/>
      <c r="F223" s="138"/>
      <c r="G223" s="119"/>
    </row>
    <row r="224" ht="22.5" customHeight="1">
      <c r="A224" s="24"/>
      <c r="B224" s="25"/>
      <c r="C224" s="25"/>
      <c r="D224" s="138"/>
      <c r="E224" s="138"/>
      <c r="F224" s="138"/>
      <c r="G224" s="119"/>
    </row>
    <row r="225" ht="22.5" customHeight="1">
      <c r="A225" s="24"/>
      <c r="B225" s="25"/>
      <c r="C225" s="25"/>
      <c r="D225" s="138"/>
      <c r="E225" s="138"/>
      <c r="F225" s="138"/>
      <c r="G225" s="119"/>
    </row>
    <row r="226" ht="22.5" customHeight="1">
      <c r="A226" s="24"/>
      <c r="B226" s="25"/>
      <c r="C226" s="25"/>
      <c r="D226" s="138"/>
      <c r="E226" s="138"/>
      <c r="F226" s="138"/>
      <c r="G226" s="119"/>
    </row>
    <row r="227" ht="22.5" customHeight="1">
      <c r="A227" s="24"/>
      <c r="B227" s="25"/>
      <c r="C227" s="25"/>
      <c r="D227" s="138"/>
      <c r="E227" s="138"/>
      <c r="F227" s="138"/>
      <c r="G227" s="119"/>
    </row>
    <row r="228" ht="22.5" customHeight="1">
      <c r="A228" s="24"/>
      <c r="B228" s="25"/>
      <c r="C228" s="25"/>
      <c r="D228" s="138"/>
      <c r="E228" s="138"/>
      <c r="F228" s="138"/>
      <c r="G228" s="119"/>
    </row>
    <row r="229" ht="22.5" customHeight="1">
      <c r="A229" s="24"/>
      <c r="B229" s="25"/>
      <c r="C229" s="25"/>
      <c r="D229" s="138"/>
      <c r="E229" s="138"/>
      <c r="F229" s="138"/>
      <c r="G229" s="119"/>
    </row>
    <row r="230" ht="22.5" customHeight="1">
      <c r="A230" s="24"/>
      <c r="B230" s="25"/>
      <c r="C230" s="25"/>
      <c r="D230" s="138"/>
      <c r="E230" s="138"/>
      <c r="F230" s="138"/>
      <c r="G230" s="119"/>
    </row>
    <row r="231" ht="22.5" customHeight="1">
      <c r="A231" s="24"/>
      <c r="B231" s="25"/>
      <c r="C231" s="25"/>
      <c r="D231" s="138"/>
      <c r="E231" s="138"/>
      <c r="F231" s="138"/>
      <c r="G231" s="119"/>
    </row>
    <row r="232" ht="22.5" customHeight="1">
      <c r="A232" s="24"/>
      <c r="B232" s="25"/>
      <c r="C232" s="25"/>
      <c r="D232" s="138"/>
      <c r="E232" s="138"/>
      <c r="F232" s="138"/>
      <c r="G232" s="119"/>
    </row>
    <row r="233" ht="22.5" customHeight="1">
      <c r="A233" s="24"/>
      <c r="B233" s="25"/>
      <c r="C233" s="25"/>
      <c r="D233" s="138"/>
      <c r="E233" s="138"/>
      <c r="F233" s="138"/>
      <c r="G233" s="119"/>
    </row>
    <row r="234" ht="22.5" customHeight="1">
      <c r="A234" s="24"/>
      <c r="B234" s="25"/>
      <c r="C234" s="25"/>
      <c r="D234" s="138"/>
      <c r="E234" s="138"/>
      <c r="F234" s="138"/>
      <c r="G234" s="119"/>
    </row>
    <row r="235" ht="22.5" customHeight="1">
      <c r="A235" s="24"/>
      <c r="B235" s="25"/>
      <c r="C235" s="25"/>
      <c r="D235" s="138"/>
      <c r="E235" s="138"/>
      <c r="F235" s="138"/>
      <c r="G235" s="119"/>
    </row>
    <row r="236" ht="22.5" customHeight="1">
      <c r="A236" s="24"/>
      <c r="B236" s="25"/>
      <c r="C236" s="25"/>
      <c r="D236" s="138"/>
      <c r="E236" s="138"/>
      <c r="F236" s="138"/>
      <c r="G236" s="119"/>
    </row>
    <row r="237" ht="22.5" customHeight="1">
      <c r="A237" s="24"/>
      <c r="B237" s="25"/>
      <c r="C237" s="25"/>
      <c r="D237" s="138"/>
      <c r="E237" s="138"/>
      <c r="F237" s="138"/>
      <c r="G237" s="119"/>
    </row>
    <row r="238" ht="22.5" customHeight="1">
      <c r="A238" s="24"/>
      <c r="B238" s="25"/>
      <c r="C238" s="25"/>
      <c r="D238" s="138"/>
      <c r="E238" s="138"/>
      <c r="F238" s="138"/>
      <c r="G238" s="119"/>
    </row>
    <row r="239" ht="22.5" customHeight="1">
      <c r="A239" s="24"/>
      <c r="B239" s="25"/>
      <c r="C239" s="25"/>
      <c r="D239" s="138"/>
      <c r="E239" s="138"/>
      <c r="F239" s="138"/>
      <c r="G239" s="119"/>
    </row>
    <row r="240" ht="22.5" customHeight="1">
      <c r="A240" s="24"/>
      <c r="B240" s="25"/>
      <c r="C240" s="25"/>
      <c r="D240" s="138"/>
      <c r="E240" s="138"/>
      <c r="F240" s="138"/>
      <c r="G240" s="119"/>
    </row>
    <row r="241" ht="22.5" customHeight="1">
      <c r="A241" s="24"/>
      <c r="B241" s="25"/>
      <c r="C241" s="25"/>
      <c r="D241" s="138"/>
      <c r="E241" s="138"/>
      <c r="F241" s="138"/>
      <c r="G241" s="119"/>
    </row>
    <row r="242" ht="22.5" customHeight="1">
      <c r="A242" s="24"/>
      <c r="B242" s="25"/>
      <c r="C242" s="25"/>
      <c r="D242" s="138"/>
      <c r="E242" s="138"/>
      <c r="F242" s="138"/>
      <c r="G242" s="119"/>
    </row>
    <row r="243" ht="22.5" customHeight="1">
      <c r="A243" s="24"/>
      <c r="B243" s="25"/>
      <c r="C243" s="25"/>
      <c r="D243" s="138"/>
      <c r="E243" s="138"/>
      <c r="F243" s="138"/>
      <c r="G243" s="119"/>
    </row>
    <row r="244" ht="22.5" customHeight="1">
      <c r="A244" s="24"/>
      <c r="B244" s="25"/>
      <c r="C244" s="25"/>
      <c r="D244" s="138"/>
      <c r="E244" s="138"/>
      <c r="F244" s="138"/>
      <c r="G244" s="119"/>
    </row>
    <row r="245" ht="22.5" customHeight="1">
      <c r="A245" s="24"/>
      <c r="B245" s="25"/>
      <c r="C245" s="25"/>
      <c r="D245" s="138"/>
      <c r="E245" s="138"/>
      <c r="F245" s="138"/>
      <c r="G245" s="119"/>
    </row>
    <row r="246" ht="22.5" customHeight="1">
      <c r="A246" s="24"/>
      <c r="B246" s="25"/>
      <c r="C246" s="25"/>
      <c r="D246" s="138"/>
      <c r="E246" s="138"/>
      <c r="F246" s="138"/>
      <c r="G246" s="119"/>
    </row>
    <row r="247" ht="22.5" customHeight="1">
      <c r="A247" s="24"/>
      <c r="B247" s="25"/>
      <c r="C247" s="25"/>
      <c r="D247" s="138"/>
      <c r="E247" s="138"/>
      <c r="F247" s="138"/>
      <c r="G247" s="119"/>
    </row>
    <row r="248" ht="22.5" customHeight="1">
      <c r="A248" s="24"/>
      <c r="B248" s="25"/>
      <c r="C248" s="25"/>
      <c r="D248" s="138"/>
      <c r="E248" s="138"/>
      <c r="F248" s="138"/>
      <c r="G248" s="119"/>
    </row>
    <row r="249" ht="22.5" customHeight="1">
      <c r="A249" s="24"/>
      <c r="B249" s="25"/>
      <c r="C249" s="25"/>
      <c r="D249" s="138"/>
      <c r="E249" s="138"/>
      <c r="F249" s="138"/>
      <c r="G249" s="119"/>
    </row>
    <row r="250" ht="22.5" customHeight="1">
      <c r="A250" s="24"/>
      <c r="B250" s="25"/>
      <c r="C250" s="25"/>
      <c r="D250" s="138"/>
      <c r="E250" s="138"/>
      <c r="F250" s="138"/>
      <c r="G250" s="119"/>
    </row>
    <row r="251" ht="22.5" customHeight="1">
      <c r="A251" s="24"/>
      <c r="B251" s="25"/>
      <c r="C251" s="25"/>
      <c r="D251" s="138"/>
      <c r="E251" s="138"/>
      <c r="F251" s="138"/>
      <c r="G251" s="119"/>
    </row>
    <row r="252" ht="22.5" customHeight="1">
      <c r="A252" s="24"/>
      <c r="B252" s="25"/>
      <c r="C252" s="25"/>
      <c r="D252" s="138"/>
      <c r="E252" s="138"/>
      <c r="F252" s="138"/>
      <c r="G252" s="119"/>
    </row>
    <row r="253" ht="22.5" customHeight="1">
      <c r="A253" s="24"/>
      <c r="B253" s="25"/>
      <c r="C253" s="25"/>
      <c r="D253" s="138"/>
      <c r="E253" s="138"/>
      <c r="F253" s="138"/>
      <c r="G253" s="119"/>
    </row>
    <row r="254" ht="22.5" customHeight="1">
      <c r="A254" s="24"/>
      <c r="B254" s="25"/>
      <c r="C254" s="25"/>
      <c r="D254" s="138"/>
      <c r="E254" s="138"/>
      <c r="F254" s="138"/>
      <c r="G254" s="119"/>
    </row>
    <row r="255" ht="22.5" customHeight="1">
      <c r="A255" s="24"/>
      <c r="B255" s="25"/>
      <c r="C255" s="25"/>
      <c r="D255" s="138"/>
      <c r="E255" s="138"/>
      <c r="F255" s="138"/>
      <c r="G255" s="119"/>
    </row>
    <row r="256" ht="22.5" customHeight="1">
      <c r="A256" s="24"/>
      <c r="B256" s="25"/>
      <c r="C256" s="25"/>
      <c r="D256" s="138"/>
      <c r="E256" s="138"/>
      <c r="F256" s="138"/>
      <c r="G256" s="119"/>
    </row>
    <row r="257" ht="22.5" customHeight="1">
      <c r="A257" s="24"/>
      <c r="B257" s="25"/>
      <c r="C257" s="25"/>
      <c r="D257" s="138"/>
      <c r="E257" s="138"/>
      <c r="F257" s="138"/>
      <c r="G257" s="119"/>
    </row>
    <row r="258" ht="22.5" customHeight="1">
      <c r="A258" s="24"/>
      <c r="B258" s="25"/>
      <c r="C258" s="25"/>
      <c r="D258" s="138"/>
      <c r="E258" s="138"/>
      <c r="F258" s="138"/>
      <c r="G258" s="119"/>
    </row>
    <row r="259" ht="22.5" customHeight="1">
      <c r="A259" s="24"/>
      <c r="B259" s="25"/>
      <c r="C259" s="25"/>
      <c r="D259" s="138"/>
      <c r="E259" s="138"/>
      <c r="F259" s="138"/>
      <c r="G259" s="119"/>
    </row>
    <row r="260" ht="22.5" customHeight="1">
      <c r="A260" s="24"/>
      <c r="B260" s="25"/>
      <c r="C260" s="25"/>
      <c r="D260" s="138"/>
      <c r="E260" s="138"/>
      <c r="F260" s="138"/>
      <c r="G260" s="119"/>
    </row>
    <row r="261" ht="22.5" customHeight="1">
      <c r="A261" s="24"/>
      <c r="B261" s="25"/>
      <c r="C261" s="25"/>
      <c r="D261" s="138"/>
      <c r="E261" s="138"/>
      <c r="F261" s="138"/>
      <c r="G261" s="119"/>
    </row>
    <row r="262" ht="22.5" customHeight="1">
      <c r="A262" s="24"/>
      <c r="B262" s="25"/>
      <c r="C262" s="25"/>
      <c r="D262" s="138"/>
      <c r="E262" s="138"/>
      <c r="F262" s="138"/>
      <c r="G262" s="119"/>
    </row>
    <row r="263" ht="22.5" customHeight="1">
      <c r="A263" s="24"/>
      <c r="B263" s="25"/>
      <c r="C263" s="25"/>
      <c r="D263" s="138"/>
      <c r="E263" s="138"/>
      <c r="F263" s="138"/>
      <c r="G263" s="119"/>
    </row>
    <row r="264" ht="22.5" customHeight="1">
      <c r="A264" s="24"/>
      <c r="B264" s="25"/>
      <c r="C264" s="25"/>
      <c r="D264" s="138"/>
      <c r="E264" s="138"/>
      <c r="F264" s="138"/>
      <c r="G264" s="119"/>
    </row>
    <row r="265" ht="22.5" customHeight="1">
      <c r="A265" s="24"/>
      <c r="B265" s="25"/>
      <c r="C265" s="25"/>
      <c r="D265" s="138"/>
      <c r="E265" s="138"/>
      <c r="F265" s="138"/>
      <c r="G265" s="119"/>
    </row>
    <row r="266" ht="22.5" customHeight="1">
      <c r="A266" s="24"/>
      <c r="B266" s="25"/>
      <c r="C266" s="25"/>
      <c r="D266" s="138"/>
      <c r="E266" s="138"/>
      <c r="F266" s="138"/>
      <c r="G266" s="119"/>
    </row>
    <row r="267" ht="22.5" customHeight="1">
      <c r="A267" s="24"/>
      <c r="B267" s="25"/>
      <c r="C267" s="25"/>
      <c r="D267" s="138"/>
      <c r="E267" s="138"/>
      <c r="F267" s="138"/>
      <c r="G267" s="119"/>
    </row>
    <row r="268" ht="22.5" customHeight="1">
      <c r="A268" s="24"/>
      <c r="B268" s="25"/>
      <c r="C268" s="25"/>
      <c r="D268" s="138"/>
      <c r="E268" s="138"/>
      <c r="F268" s="138"/>
      <c r="G268" s="119"/>
    </row>
    <row r="269" ht="22.5" customHeight="1">
      <c r="A269" s="24"/>
      <c r="B269" s="25"/>
      <c r="C269" s="25"/>
      <c r="D269" s="138"/>
      <c r="E269" s="138"/>
      <c r="F269" s="138"/>
      <c r="G269" s="119"/>
    </row>
    <row r="270" ht="22.5" customHeight="1">
      <c r="A270" s="24"/>
      <c r="B270" s="25"/>
      <c r="C270" s="25"/>
      <c r="D270" s="138"/>
      <c r="E270" s="138"/>
      <c r="F270" s="138"/>
      <c r="G270" s="119"/>
    </row>
    <row r="271" ht="22.5" customHeight="1">
      <c r="A271" s="24"/>
      <c r="B271" s="25"/>
      <c r="C271" s="25"/>
      <c r="D271" s="138"/>
      <c r="E271" s="138"/>
      <c r="F271" s="138"/>
      <c r="G271" s="119"/>
    </row>
    <row r="272" ht="22.5" customHeight="1">
      <c r="A272" s="24"/>
      <c r="B272" s="25"/>
      <c r="C272" s="25"/>
      <c r="D272" s="138"/>
      <c r="E272" s="138"/>
      <c r="F272" s="138"/>
      <c r="G272" s="119"/>
    </row>
    <row r="273" ht="22.5" customHeight="1">
      <c r="A273" s="24"/>
      <c r="B273" s="25"/>
      <c r="C273" s="25"/>
      <c r="D273" s="138"/>
      <c r="E273" s="138"/>
      <c r="F273" s="138"/>
      <c r="G273" s="119"/>
    </row>
    <row r="274" ht="22.5" customHeight="1">
      <c r="A274" s="24"/>
      <c r="B274" s="25"/>
      <c r="C274" s="25"/>
      <c r="D274" s="138"/>
      <c r="E274" s="138"/>
      <c r="F274" s="138"/>
      <c r="G274" s="119"/>
    </row>
    <row r="275" ht="22.5" customHeight="1">
      <c r="A275" s="24"/>
      <c r="B275" s="25"/>
      <c r="C275" s="25"/>
      <c r="D275" s="138"/>
      <c r="E275" s="138"/>
      <c r="F275" s="138"/>
      <c r="G275" s="119"/>
    </row>
    <row r="276" ht="22.5" customHeight="1">
      <c r="A276" s="24"/>
      <c r="B276" s="25"/>
      <c r="C276" s="25"/>
      <c r="D276" s="138"/>
      <c r="E276" s="138"/>
      <c r="F276" s="138"/>
      <c r="G276" s="119"/>
    </row>
    <row r="277" ht="22.5" customHeight="1">
      <c r="A277" s="24"/>
      <c r="B277" s="25"/>
      <c r="C277" s="25"/>
      <c r="D277" s="138"/>
      <c r="E277" s="138"/>
      <c r="F277" s="138"/>
      <c r="G277" s="119"/>
    </row>
    <row r="278" ht="22.5" customHeight="1">
      <c r="A278" s="24"/>
      <c r="B278" s="25"/>
      <c r="C278" s="25"/>
      <c r="D278" s="138"/>
      <c r="E278" s="138"/>
      <c r="F278" s="138"/>
      <c r="G278" s="119"/>
    </row>
    <row r="279" ht="22.5" customHeight="1">
      <c r="A279" s="24"/>
      <c r="B279" s="25"/>
      <c r="C279" s="25"/>
      <c r="D279" s="138"/>
      <c r="E279" s="138"/>
      <c r="F279" s="138"/>
      <c r="G279" s="119"/>
    </row>
    <row r="280" ht="22.5" customHeight="1">
      <c r="A280" s="24"/>
      <c r="B280" s="25"/>
      <c r="C280" s="25"/>
      <c r="D280" s="138"/>
      <c r="E280" s="138"/>
      <c r="F280" s="138"/>
      <c r="G280" s="119"/>
    </row>
    <row r="281" ht="22.5" customHeight="1">
      <c r="A281" s="24"/>
      <c r="B281" s="25"/>
      <c r="C281" s="25"/>
      <c r="D281" s="138"/>
      <c r="E281" s="138"/>
      <c r="F281" s="138"/>
      <c r="G281" s="119"/>
    </row>
    <row r="282" ht="22.5" customHeight="1">
      <c r="A282" s="24"/>
      <c r="B282" s="25"/>
      <c r="C282" s="25"/>
      <c r="D282" s="138"/>
      <c r="E282" s="138"/>
      <c r="F282" s="138"/>
      <c r="G282" s="119"/>
    </row>
    <row r="283" ht="22.5" customHeight="1">
      <c r="A283" s="24"/>
      <c r="B283" s="25"/>
      <c r="C283" s="25"/>
      <c r="D283" s="138"/>
      <c r="E283" s="138"/>
      <c r="F283" s="138"/>
      <c r="G283" s="119"/>
    </row>
    <row r="284" ht="22.5" customHeight="1">
      <c r="A284" s="24"/>
      <c r="B284" s="25"/>
      <c r="C284" s="25"/>
      <c r="D284" s="138"/>
      <c r="E284" s="138"/>
      <c r="F284" s="138"/>
      <c r="G284" s="119"/>
    </row>
    <row r="285" ht="22.5" customHeight="1">
      <c r="A285" s="24"/>
      <c r="B285" s="25"/>
      <c r="C285" s="25"/>
      <c r="D285" s="138"/>
      <c r="E285" s="138"/>
      <c r="F285" s="138"/>
      <c r="G285" s="119"/>
    </row>
    <row r="286" ht="22.5" customHeight="1">
      <c r="A286" s="24"/>
      <c r="B286" s="25"/>
      <c r="C286" s="25"/>
      <c r="D286" s="138"/>
      <c r="E286" s="138"/>
      <c r="F286" s="138"/>
      <c r="G286" s="119"/>
    </row>
    <row r="287" ht="22.5" customHeight="1">
      <c r="A287" s="24"/>
      <c r="B287" s="25"/>
      <c r="C287" s="25"/>
      <c r="D287" s="138"/>
      <c r="E287" s="138"/>
      <c r="F287" s="138"/>
      <c r="G287" s="119"/>
    </row>
    <row r="288" ht="22.5" customHeight="1">
      <c r="A288" s="24"/>
      <c r="B288" s="25"/>
      <c r="C288" s="25"/>
      <c r="D288" s="138"/>
      <c r="E288" s="138"/>
      <c r="F288" s="138"/>
      <c r="G288" s="119"/>
    </row>
    <row r="289" ht="22.5" customHeight="1">
      <c r="A289" s="24"/>
      <c r="B289" s="25"/>
      <c r="C289" s="25"/>
      <c r="D289" s="138"/>
      <c r="E289" s="138"/>
      <c r="F289" s="138"/>
      <c r="G289" s="119"/>
    </row>
    <row r="290" ht="22.5" customHeight="1">
      <c r="A290" s="24"/>
      <c r="B290" s="25"/>
      <c r="C290" s="25"/>
      <c r="D290" s="138"/>
      <c r="E290" s="138"/>
      <c r="F290" s="138"/>
      <c r="G290" s="119"/>
    </row>
    <row r="291" ht="22.5" customHeight="1">
      <c r="A291" s="24"/>
      <c r="B291" s="25"/>
      <c r="C291" s="25"/>
      <c r="D291" s="138"/>
      <c r="E291" s="138"/>
      <c r="F291" s="138"/>
      <c r="G291" s="119"/>
    </row>
    <row r="292" ht="22.5" customHeight="1">
      <c r="A292" s="24"/>
      <c r="B292" s="25"/>
      <c r="C292" s="25"/>
      <c r="D292" s="138"/>
      <c r="E292" s="138"/>
      <c r="F292" s="138"/>
      <c r="G292" s="119"/>
    </row>
    <row r="293" ht="22.5" customHeight="1">
      <c r="A293" s="24"/>
      <c r="B293" s="25"/>
      <c r="C293" s="25"/>
      <c r="D293" s="138"/>
      <c r="E293" s="138"/>
      <c r="F293" s="138"/>
      <c r="G293" s="119"/>
    </row>
    <row r="294" ht="22.5" customHeight="1">
      <c r="A294" s="24"/>
      <c r="B294" s="25"/>
      <c r="C294" s="25"/>
      <c r="D294" s="138"/>
      <c r="E294" s="138"/>
      <c r="F294" s="138"/>
      <c r="G294" s="119"/>
    </row>
    <row r="295" ht="22.5" customHeight="1">
      <c r="A295" s="24"/>
      <c r="B295" s="25"/>
      <c r="C295" s="25"/>
      <c r="D295" s="138"/>
      <c r="E295" s="138"/>
      <c r="F295" s="138"/>
      <c r="G295" s="119"/>
    </row>
    <row r="296" ht="22.5" customHeight="1">
      <c r="A296" s="24"/>
      <c r="B296" s="25"/>
      <c r="C296" s="25"/>
      <c r="D296" s="138"/>
      <c r="E296" s="138"/>
      <c r="F296" s="138"/>
      <c r="G296" s="119"/>
    </row>
    <row r="297" ht="22.5" customHeight="1">
      <c r="A297" s="24"/>
      <c r="B297" s="25"/>
      <c r="C297" s="25"/>
      <c r="D297" s="138"/>
      <c r="E297" s="138"/>
      <c r="F297" s="138"/>
      <c r="G297" s="119"/>
    </row>
    <row r="298" ht="22.5" customHeight="1">
      <c r="A298" s="24"/>
      <c r="B298" s="25"/>
      <c r="C298" s="25"/>
      <c r="D298" s="138"/>
      <c r="E298" s="138"/>
      <c r="F298" s="138"/>
      <c r="G298" s="119"/>
    </row>
    <row r="299" ht="22.5" customHeight="1">
      <c r="A299" s="24"/>
      <c r="B299" s="25"/>
      <c r="C299" s="25"/>
      <c r="D299" s="138"/>
      <c r="E299" s="138"/>
      <c r="F299" s="138"/>
      <c r="G299" s="119"/>
    </row>
    <row r="300" ht="22.5" customHeight="1">
      <c r="A300" s="24"/>
      <c r="B300" s="25"/>
      <c r="C300" s="25"/>
      <c r="D300" s="138"/>
      <c r="E300" s="138"/>
      <c r="F300" s="138"/>
      <c r="G300" s="119"/>
    </row>
    <row r="301" ht="22.5" customHeight="1">
      <c r="A301" s="24"/>
      <c r="B301" s="25"/>
      <c r="C301" s="25"/>
      <c r="D301" s="138"/>
      <c r="E301" s="138"/>
      <c r="F301" s="138"/>
      <c r="G301" s="119"/>
    </row>
    <row r="302" ht="22.5" customHeight="1">
      <c r="A302" s="24"/>
      <c r="B302" s="25"/>
      <c r="C302" s="25"/>
      <c r="D302" s="138"/>
      <c r="E302" s="138"/>
      <c r="F302" s="138"/>
      <c r="G302" s="119"/>
    </row>
    <row r="303" ht="22.5" customHeight="1">
      <c r="A303" s="24"/>
      <c r="B303" s="25"/>
      <c r="C303" s="25"/>
      <c r="D303" s="138"/>
      <c r="E303" s="138"/>
      <c r="F303" s="138"/>
      <c r="G303" s="119"/>
    </row>
    <row r="304" ht="22.5" customHeight="1">
      <c r="A304" s="24"/>
      <c r="B304" s="25"/>
      <c r="C304" s="25"/>
      <c r="D304" s="138"/>
      <c r="E304" s="138"/>
      <c r="F304" s="138"/>
      <c r="G304" s="119"/>
    </row>
    <row r="305" ht="22.5" customHeight="1">
      <c r="A305" s="24"/>
      <c r="B305" s="25"/>
      <c r="C305" s="25"/>
      <c r="D305" s="138"/>
      <c r="E305" s="138"/>
      <c r="F305" s="138"/>
      <c r="G305" s="119"/>
    </row>
    <row r="306" ht="22.5" customHeight="1">
      <c r="A306" s="24"/>
      <c r="B306" s="25"/>
      <c r="C306" s="25"/>
      <c r="D306" s="138"/>
      <c r="E306" s="138"/>
      <c r="F306" s="138"/>
      <c r="G306" s="119"/>
    </row>
    <row r="307" ht="22.5" customHeight="1">
      <c r="A307" s="24"/>
      <c r="B307" s="25"/>
      <c r="C307" s="25"/>
      <c r="D307" s="138"/>
      <c r="E307" s="138"/>
      <c r="F307" s="138"/>
      <c r="G307" s="119"/>
    </row>
    <row r="308" ht="22.5" customHeight="1">
      <c r="A308" s="24"/>
      <c r="B308" s="25"/>
      <c r="C308" s="25"/>
      <c r="D308" s="138"/>
      <c r="E308" s="138"/>
      <c r="F308" s="138"/>
      <c r="G308" s="119"/>
    </row>
    <row r="309" ht="22.5" customHeight="1">
      <c r="A309" s="24"/>
      <c r="B309" s="25"/>
      <c r="C309" s="25"/>
      <c r="D309" s="138"/>
      <c r="E309" s="138"/>
      <c r="F309" s="138"/>
      <c r="G309" s="119"/>
    </row>
    <row r="310" ht="22.5" customHeight="1">
      <c r="A310" s="24"/>
      <c r="B310" s="25"/>
      <c r="C310" s="25"/>
      <c r="D310" s="138"/>
      <c r="E310" s="138"/>
      <c r="F310" s="138"/>
      <c r="G310" s="119"/>
    </row>
    <row r="311" ht="22.5" customHeight="1">
      <c r="A311" s="24"/>
      <c r="B311" s="25"/>
      <c r="C311" s="25"/>
      <c r="D311" s="138"/>
      <c r="E311" s="138"/>
      <c r="F311" s="138"/>
      <c r="G311" s="119"/>
    </row>
    <row r="312" ht="22.5" customHeight="1">
      <c r="A312" s="24"/>
      <c r="B312" s="25"/>
      <c r="C312" s="25"/>
      <c r="D312" s="138"/>
      <c r="E312" s="138"/>
      <c r="F312" s="138"/>
      <c r="G312" s="119"/>
    </row>
    <row r="313" ht="22.5" customHeight="1">
      <c r="A313" s="24"/>
      <c r="B313" s="25"/>
      <c r="C313" s="25"/>
      <c r="D313" s="138"/>
      <c r="E313" s="138"/>
      <c r="F313" s="138"/>
      <c r="G313" s="119"/>
    </row>
    <row r="314" ht="22.5" customHeight="1">
      <c r="A314" s="24"/>
      <c r="B314" s="25"/>
      <c r="C314" s="25"/>
      <c r="D314" s="138"/>
      <c r="E314" s="138"/>
      <c r="F314" s="138"/>
      <c r="G314" s="119"/>
    </row>
    <row r="315" ht="22.5" customHeight="1">
      <c r="A315" s="24"/>
      <c r="B315" s="25"/>
      <c r="C315" s="25"/>
      <c r="D315" s="138"/>
      <c r="E315" s="138"/>
      <c r="F315" s="138"/>
      <c r="G315" s="119"/>
    </row>
    <row r="316" ht="22.5" customHeight="1">
      <c r="A316" s="24"/>
      <c r="B316" s="25"/>
      <c r="C316" s="25"/>
      <c r="D316" s="138"/>
      <c r="E316" s="138"/>
      <c r="F316" s="138"/>
      <c r="G316" s="119"/>
    </row>
    <row r="317" ht="22.5" customHeight="1">
      <c r="A317" s="24"/>
      <c r="B317" s="25"/>
      <c r="C317" s="25"/>
      <c r="D317" s="138"/>
      <c r="E317" s="138"/>
      <c r="F317" s="138"/>
      <c r="G317" s="119"/>
    </row>
    <row r="318" ht="22.5" customHeight="1">
      <c r="A318" s="24"/>
      <c r="B318" s="25"/>
      <c r="C318" s="25"/>
      <c r="D318" s="138"/>
      <c r="E318" s="138"/>
      <c r="F318" s="138"/>
      <c r="G318" s="119"/>
    </row>
    <row r="319" ht="22.5" customHeight="1">
      <c r="A319" s="24"/>
      <c r="B319" s="25"/>
      <c r="C319" s="25"/>
      <c r="D319" s="138"/>
      <c r="E319" s="138"/>
      <c r="F319" s="138"/>
      <c r="G319" s="119"/>
    </row>
    <row r="320" ht="22.5" customHeight="1">
      <c r="A320" s="24"/>
      <c r="B320" s="25"/>
      <c r="C320" s="25"/>
      <c r="D320" s="138"/>
      <c r="E320" s="138"/>
      <c r="F320" s="138"/>
      <c r="G320" s="119"/>
    </row>
    <row r="321" ht="22.5" customHeight="1">
      <c r="A321" s="24"/>
      <c r="B321" s="25"/>
      <c r="C321" s="25"/>
      <c r="D321" s="138"/>
      <c r="E321" s="138"/>
      <c r="F321" s="138"/>
      <c r="G321" s="119"/>
    </row>
    <row r="322" ht="22.5" customHeight="1">
      <c r="A322" s="24"/>
      <c r="B322" s="25"/>
      <c r="C322" s="25"/>
      <c r="D322" s="138"/>
      <c r="E322" s="138"/>
      <c r="F322" s="138"/>
      <c r="G322" s="119"/>
    </row>
    <row r="323" ht="22.5" customHeight="1">
      <c r="A323" s="24"/>
      <c r="B323" s="25"/>
      <c r="C323" s="25"/>
      <c r="D323" s="138"/>
      <c r="E323" s="138"/>
      <c r="F323" s="138"/>
      <c r="G323" s="119"/>
    </row>
    <row r="324" ht="22.5" customHeight="1">
      <c r="A324" s="24"/>
      <c r="B324" s="25"/>
      <c r="C324" s="25"/>
      <c r="D324" s="138"/>
      <c r="E324" s="138"/>
      <c r="F324" s="138"/>
      <c r="G324" s="119"/>
    </row>
    <row r="325" ht="22.5" customHeight="1">
      <c r="A325" s="24"/>
      <c r="B325" s="25"/>
      <c r="C325" s="25"/>
      <c r="D325" s="138"/>
      <c r="E325" s="138"/>
      <c r="F325" s="138"/>
      <c r="G325" s="119"/>
    </row>
    <row r="326" ht="22.5" customHeight="1">
      <c r="A326" s="24"/>
      <c r="B326" s="25"/>
      <c r="C326" s="25"/>
      <c r="D326" s="138"/>
      <c r="E326" s="138"/>
      <c r="F326" s="138"/>
      <c r="G326" s="119"/>
    </row>
    <row r="327" ht="22.5" customHeight="1">
      <c r="A327" s="24"/>
      <c r="B327" s="25"/>
      <c r="C327" s="25"/>
      <c r="D327" s="138"/>
      <c r="E327" s="138"/>
      <c r="F327" s="138"/>
      <c r="G327" s="119"/>
    </row>
    <row r="328" ht="22.5" customHeight="1">
      <c r="A328" s="24"/>
      <c r="B328" s="25"/>
      <c r="C328" s="25"/>
      <c r="D328" s="138"/>
      <c r="E328" s="138"/>
      <c r="F328" s="138"/>
      <c r="G328" s="119"/>
    </row>
    <row r="329" ht="22.5" customHeight="1">
      <c r="A329" s="24"/>
      <c r="B329" s="25"/>
      <c r="C329" s="25"/>
      <c r="D329" s="138"/>
      <c r="E329" s="138"/>
      <c r="F329" s="138"/>
      <c r="G329" s="119"/>
    </row>
    <row r="330" ht="22.5" customHeight="1">
      <c r="A330" s="24"/>
      <c r="B330" s="25"/>
      <c r="C330" s="25"/>
      <c r="D330" s="138"/>
      <c r="E330" s="138"/>
      <c r="F330" s="138"/>
      <c r="G330" s="119"/>
    </row>
    <row r="331" ht="22.5" customHeight="1">
      <c r="A331" s="24"/>
      <c r="B331" s="25"/>
      <c r="C331" s="25"/>
      <c r="D331" s="138"/>
      <c r="E331" s="138"/>
      <c r="F331" s="138"/>
      <c r="G331" s="119"/>
    </row>
    <row r="332" ht="22.5" customHeight="1">
      <c r="A332" s="24"/>
      <c r="B332" s="25"/>
      <c r="C332" s="25"/>
      <c r="D332" s="138"/>
      <c r="E332" s="138"/>
      <c r="F332" s="138"/>
      <c r="G332" s="119"/>
    </row>
    <row r="333" ht="22.5" customHeight="1">
      <c r="A333" s="24"/>
      <c r="B333" s="25"/>
      <c r="C333" s="25"/>
      <c r="D333" s="138"/>
      <c r="E333" s="138"/>
      <c r="F333" s="138"/>
      <c r="G333" s="119"/>
    </row>
    <row r="334" ht="22.5" customHeight="1">
      <c r="A334" s="24"/>
      <c r="B334" s="25"/>
      <c r="C334" s="25"/>
      <c r="D334" s="138"/>
      <c r="E334" s="138"/>
      <c r="F334" s="138"/>
      <c r="G334" s="119"/>
    </row>
    <row r="335" ht="22.5" customHeight="1">
      <c r="A335" s="24"/>
      <c r="B335" s="25"/>
      <c r="C335" s="25"/>
      <c r="D335" s="138"/>
      <c r="E335" s="138"/>
      <c r="F335" s="138"/>
      <c r="G335" s="119"/>
    </row>
    <row r="336" ht="22.5" customHeight="1">
      <c r="A336" s="24"/>
      <c r="B336" s="25"/>
      <c r="C336" s="25"/>
      <c r="D336" s="138"/>
      <c r="E336" s="138"/>
      <c r="F336" s="138"/>
      <c r="G336" s="119"/>
    </row>
    <row r="337" ht="22.5" customHeight="1">
      <c r="A337" s="24"/>
      <c r="B337" s="25"/>
      <c r="C337" s="25"/>
      <c r="D337" s="138"/>
      <c r="E337" s="138"/>
      <c r="F337" s="138"/>
      <c r="G337" s="119"/>
    </row>
    <row r="338" ht="22.5" customHeight="1">
      <c r="A338" s="24"/>
      <c r="B338" s="25"/>
      <c r="C338" s="25"/>
      <c r="D338" s="138"/>
      <c r="E338" s="138"/>
      <c r="F338" s="138"/>
      <c r="G338" s="119"/>
    </row>
    <row r="339" ht="22.5" customHeight="1">
      <c r="A339" s="24"/>
      <c r="B339" s="25"/>
      <c r="C339" s="25"/>
      <c r="D339" s="138"/>
      <c r="E339" s="138"/>
      <c r="F339" s="138"/>
      <c r="G339" s="119"/>
    </row>
    <row r="340" ht="22.5" customHeight="1">
      <c r="A340" s="24"/>
      <c r="B340" s="25"/>
      <c r="C340" s="25"/>
      <c r="D340" s="138"/>
      <c r="E340" s="138"/>
      <c r="F340" s="138"/>
      <c r="G340" s="119"/>
    </row>
    <row r="341" ht="22.5" customHeight="1">
      <c r="A341" s="24"/>
      <c r="B341" s="25"/>
      <c r="C341" s="25"/>
      <c r="D341" s="138"/>
      <c r="E341" s="138"/>
      <c r="F341" s="138"/>
      <c r="G341" s="119"/>
    </row>
    <row r="342" ht="22.5" customHeight="1">
      <c r="A342" s="24"/>
      <c r="B342" s="25"/>
      <c r="C342" s="25"/>
      <c r="D342" s="138"/>
      <c r="E342" s="138"/>
      <c r="F342" s="138"/>
      <c r="G342" s="119"/>
    </row>
    <row r="343" ht="22.5" customHeight="1">
      <c r="A343" s="24"/>
      <c r="B343" s="25"/>
      <c r="C343" s="25"/>
      <c r="D343" s="138"/>
      <c r="E343" s="138"/>
      <c r="F343" s="138"/>
      <c r="G343" s="119"/>
    </row>
    <row r="344" ht="22.5" customHeight="1">
      <c r="A344" s="24"/>
      <c r="B344" s="25"/>
      <c r="C344" s="25"/>
      <c r="D344" s="138"/>
      <c r="E344" s="138"/>
      <c r="F344" s="138"/>
      <c r="G344" s="119"/>
    </row>
    <row r="345" ht="22.5" customHeight="1">
      <c r="A345" s="24"/>
      <c r="B345" s="25"/>
      <c r="C345" s="25"/>
      <c r="D345" s="138"/>
      <c r="E345" s="138"/>
      <c r="F345" s="138"/>
      <c r="G345" s="119"/>
    </row>
    <row r="346" ht="22.5" customHeight="1">
      <c r="A346" s="24"/>
      <c r="B346" s="25"/>
      <c r="C346" s="25"/>
      <c r="D346" s="138"/>
      <c r="E346" s="138"/>
      <c r="F346" s="138"/>
      <c r="G346" s="119"/>
    </row>
    <row r="347" ht="22.5" customHeight="1">
      <c r="A347" s="24"/>
      <c r="B347" s="25"/>
      <c r="C347" s="25"/>
      <c r="D347" s="138"/>
      <c r="E347" s="138"/>
      <c r="F347" s="138"/>
      <c r="G347" s="119"/>
    </row>
    <row r="348" ht="22.5" customHeight="1">
      <c r="A348" s="24"/>
      <c r="B348" s="25"/>
      <c r="C348" s="25"/>
      <c r="D348" s="138"/>
      <c r="E348" s="138"/>
      <c r="F348" s="138"/>
      <c r="G348" s="119"/>
    </row>
    <row r="349" ht="22.5" customHeight="1">
      <c r="A349" s="24"/>
      <c r="B349" s="25"/>
      <c r="C349" s="25"/>
      <c r="D349" s="138"/>
      <c r="E349" s="138"/>
      <c r="F349" s="138"/>
      <c r="G349" s="119"/>
    </row>
    <row r="350" ht="22.5" customHeight="1">
      <c r="A350" s="24"/>
      <c r="B350" s="25"/>
      <c r="C350" s="25"/>
      <c r="D350" s="138"/>
      <c r="E350" s="138"/>
      <c r="F350" s="138"/>
      <c r="G350" s="119"/>
    </row>
    <row r="351" ht="22.5" customHeight="1">
      <c r="A351" s="24"/>
      <c r="B351" s="25"/>
      <c r="C351" s="25"/>
      <c r="D351" s="138"/>
      <c r="E351" s="138"/>
      <c r="F351" s="138"/>
      <c r="G351" s="119"/>
    </row>
    <row r="352" ht="22.5" customHeight="1">
      <c r="A352" s="24"/>
      <c r="B352" s="25"/>
      <c r="C352" s="25"/>
      <c r="D352" s="138"/>
      <c r="E352" s="138"/>
      <c r="F352" s="138"/>
      <c r="G352" s="119"/>
    </row>
    <row r="353" ht="22.5" customHeight="1">
      <c r="A353" s="24"/>
      <c r="B353" s="25"/>
      <c r="C353" s="25"/>
      <c r="D353" s="138"/>
      <c r="E353" s="138"/>
      <c r="F353" s="138"/>
      <c r="G353" s="119"/>
    </row>
    <row r="354" ht="22.5" customHeight="1">
      <c r="A354" s="24"/>
      <c r="B354" s="25"/>
      <c r="C354" s="25"/>
      <c r="D354" s="138"/>
      <c r="E354" s="138"/>
      <c r="F354" s="138"/>
      <c r="G354" s="119"/>
    </row>
    <row r="355" ht="22.5" customHeight="1">
      <c r="A355" s="24"/>
      <c r="B355" s="25"/>
      <c r="C355" s="25"/>
      <c r="D355" s="138"/>
      <c r="E355" s="138"/>
      <c r="F355" s="138"/>
      <c r="G355" s="119"/>
    </row>
    <row r="356" ht="22.5" customHeight="1">
      <c r="A356" s="24"/>
      <c r="B356" s="25"/>
      <c r="C356" s="25"/>
      <c r="D356" s="138"/>
      <c r="E356" s="138"/>
      <c r="F356" s="138"/>
      <c r="G356" s="119"/>
    </row>
    <row r="357" ht="22.5" customHeight="1">
      <c r="A357" s="24"/>
      <c r="B357" s="25"/>
      <c r="C357" s="25"/>
      <c r="D357" s="138"/>
      <c r="E357" s="138"/>
      <c r="F357" s="138"/>
      <c r="G357" s="119"/>
    </row>
    <row r="358" ht="22.5" customHeight="1">
      <c r="A358" s="24"/>
      <c r="B358" s="25"/>
      <c r="C358" s="25"/>
      <c r="D358" s="138"/>
      <c r="E358" s="138"/>
      <c r="F358" s="138"/>
      <c r="G358" s="119"/>
    </row>
    <row r="359" ht="22.5" customHeight="1">
      <c r="A359" s="24"/>
      <c r="B359" s="25"/>
      <c r="C359" s="25"/>
      <c r="D359" s="138"/>
      <c r="E359" s="138"/>
      <c r="F359" s="138"/>
      <c r="G359" s="119"/>
    </row>
    <row r="360" ht="22.5" customHeight="1">
      <c r="A360" s="24"/>
      <c r="B360" s="25"/>
      <c r="C360" s="25"/>
      <c r="D360" s="138"/>
      <c r="E360" s="138"/>
      <c r="F360" s="138"/>
      <c r="G360" s="119"/>
    </row>
    <row r="361" ht="22.5" customHeight="1">
      <c r="A361" s="24"/>
      <c r="B361" s="25"/>
      <c r="C361" s="25"/>
      <c r="D361" s="138"/>
      <c r="E361" s="138"/>
      <c r="F361" s="138"/>
      <c r="G361" s="119"/>
    </row>
    <row r="362" ht="22.5" customHeight="1">
      <c r="A362" s="24"/>
      <c r="B362" s="25"/>
      <c r="C362" s="25"/>
      <c r="D362" s="138"/>
      <c r="E362" s="138"/>
      <c r="F362" s="138"/>
      <c r="G362" s="119"/>
    </row>
    <row r="363" ht="22.5" customHeight="1">
      <c r="A363" s="24"/>
      <c r="B363" s="25"/>
      <c r="C363" s="25"/>
      <c r="D363" s="138"/>
      <c r="E363" s="138"/>
      <c r="F363" s="138"/>
      <c r="G363" s="119"/>
    </row>
    <row r="364" ht="22.5" customHeight="1">
      <c r="A364" s="24"/>
      <c r="B364" s="25"/>
      <c r="C364" s="25"/>
      <c r="D364" s="138"/>
      <c r="E364" s="138"/>
      <c r="F364" s="138"/>
      <c r="G364" s="119"/>
    </row>
    <row r="365" ht="22.5" customHeight="1">
      <c r="A365" s="24"/>
      <c r="B365" s="25"/>
      <c r="C365" s="25"/>
      <c r="D365" s="138"/>
      <c r="E365" s="138"/>
      <c r="F365" s="138"/>
      <c r="G365" s="119"/>
    </row>
    <row r="366" ht="22.5" customHeight="1">
      <c r="A366" s="24"/>
      <c r="B366" s="25"/>
      <c r="C366" s="25"/>
      <c r="D366" s="138"/>
      <c r="E366" s="138"/>
      <c r="F366" s="138"/>
      <c r="G366" s="119"/>
    </row>
    <row r="367" ht="22.5" customHeight="1">
      <c r="A367" s="24"/>
      <c r="B367" s="25"/>
      <c r="C367" s="25"/>
      <c r="D367" s="138"/>
      <c r="E367" s="138"/>
      <c r="F367" s="138"/>
      <c r="G367" s="119"/>
    </row>
    <row r="368" ht="22.5" customHeight="1">
      <c r="A368" s="24"/>
      <c r="B368" s="25"/>
      <c r="C368" s="25"/>
      <c r="D368" s="138"/>
      <c r="E368" s="138"/>
      <c r="F368" s="138"/>
      <c r="G368" s="119"/>
    </row>
    <row r="369" ht="22.5" customHeight="1">
      <c r="A369" s="24"/>
      <c r="B369" s="25"/>
      <c r="C369" s="25"/>
      <c r="D369" s="138"/>
      <c r="E369" s="138"/>
      <c r="F369" s="138"/>
      <c r="G369" s="119"/>
    </row>
    <row r="370" ht="22.5" customHeight="1">
      <c r="A370" s="24"/>
      <c r="B370" s="25"/>
      <c r="C370" s="25"/>
      <c r="D370" s="138"/>
      <c r="E370" s="138"/>
      <c r="F370" s="138"/>
      <c r="G370" s="119"/>
    </row>
    <row r="371" ht="22.5" customHeight="1">
      <c r="A371" s="24"/>
      <c r="B371" s="25"/>
      <c r="C371" s="25"/>
      <c r="D371" s="138"/>
      <c r="E371" s="138"/>
      <c r="F371" s="138"/>
      <c r="G371" s="119"/>
    </row>
    <row r="372" ht="22.5" customHeight="1">
      <c r="A372" s="24"/>
      <c r="B372" s="25"/>
      <c r="C372" s="25"/>
      <c r="D372" s="138"/>
      <c r="E372" s="138"/>
      <c r="F372" s="138"/>
      <c r="G372" s="119"/>
    </row>
    <row r="373" ht="22.5" customHeight="1">
      <c r="A373" s="24"/>
      <c r="B373" s="25"/>
      <c r="C373" s="25"/>
      <c r="D373" s="138"/>
      <c r="E373" s="138"/>
      <c r="F373" s="138"/>
      <c r="G373" s="119"/>
    </row>
    <row r="374" ht="22.5" customHeight="1">
      <c r="A374" s="24"/>
      <c r="B374" s="25"/>
      <c r="C374" s="25"/>
      <c r="D374" s="138"/>
      <c r="E374" s="138"/>
      <c r="F374" s="138"/>
      <c r="G374" s="119"/>
    </row>
    <row r="375" ht="22.5" customHeight="1">
      <c r="A375" s="24"/>
      <c r="B375" s="25"/>
      <c r="C375" s="25"/>
      <c r="D375" s="138"/>
      <c r="E375" s="138"/>
      <c r="F375" s="138"/>
      <c r="G375" s="119"/>
    </row>
    <row r="376" ht="22.5" customHeight="1">
      <c r="A376" s="24"/>
      <c r="B376" s="25"/>
      <c r="C376" s="25"/>
      <c r="D376" s="138"/>
      <c r="E376" s="138"/>
      <c r="F376" s="138"/>
      <c r="G376" s="119"/>
    </row>
    <row r="377" ht="22.5" customHeight="1">
      <c r="A377" s="24"/>
      <c r="B377" s="25"/>
      <c r="C377" s="25"/>
      <c r="D377" s="138"/>
      <c r="E377" s="138"/>
      <c r="F377" s="138"/>
      <c r="G377" s="119"/>
    </row>
    <row r="378" ht="22.5" customHeight="1">
      <c r="A378" s="24"/>
      <c r="B378" s="25"/>
      <c r="C378" s="25"/>
      <c r="D378" s="138"/>
      <c r="E378" s="138"/>
      <c r="F378" s="138"/>
      <c r="G378" s="119"/>
    </row>
    <row r="379" ht="22.5" customHeight="1">
      <c r="A379" s="24"/>
      <c r="B379" s="25"/>
      <c r="C379" s="25"/>
      <c r="D379" s="138"/>
      <c r="E379" s="138"/>
      <c r="F379" s="138"/>
      <c r="G379" s="119"/>
    </row>
    <row r="380" ht="22.5" customHeight="1">
      <c r="A380" s="24"/>
      <c r="B380" s="25"/>
      <c r="C380" s="25"/>
      <c r="D380" s="138"/>
      <c r="E380" s="138"/>
      <c r="F380" s="138"/>
      <c r="G380" s="119"/>
    </row>
    <row r="381" ht="22.5" customHeight="1">
      <c r="A381" s="24"/>
      <c r="B381" s="25"/>
      <c r="C381" s="25"/>
      <c r="D381" s="138"/>
      <c r="E381" s="138"/>
      <c r="F381" s="138"/>
      <c r="G381" s="119"/>
    </row>
    <row r="382" ht="22.5" customHeight="1">
      <c r="A382" s="24"/>
      <c r="B382" s="25"/>
      <c r="C382" s="25"/>
      <c r="D382" s="138"/>
      <c r="E382" s="138"/>
      <c r="F382" s="138"/>
      <c r="G382" s="119"/>
    </row>
    <row r="383" ht="22.5" customHeight="1">
      <c r="A383" s="24"/>
      <c r="B383" s="25"/>
      <c r="C383" s="25"/>
      <c r="D383" s="138"/>
      <c r="E383" s="138"/>
      <c r="F383" s="138"/>
      <c r="G383" s="119"/>
    </row>
    <row r="384" ht="22.5" customHeight="1">
      <c r="A384" s="24"/>
      <c r="B384" s="25"/>
      <c r="C384" s="25"/>
      <c r="D384" s="138"/>
      <c r="E384" s="138"/>
      <c r="F384" s="138"/>
      <c r="G384" s="119"/>
    </row>
    <row r="385" ht="22.5" customHeight="1">
      <c r="A385" s="24"/>
      <c r="B385" s="25"/>
      <c r="C385" s="25"/>
      <c r="D385" s="138"/>
      <c r="E385" s="138"/>
      <c r="F385" s="138"/>
      <c r="G385" s="119"/>
    </row>
    <row r="386" ht="22.5" customHeight="1">
      <c r="A386" s="24"/>
      <c r="B386" s="25"/>
      <c r="C386" s="25"/>
      <c r="D386" s="138"/>
      <c r="E386" s="138"/>
      <c r="F386" s="138"/>
      <c r="G386" s="119"/>
    </row>
    <row r="387" ht="22.5" customHeight="1">
      <c r="A387" s="24"/>
      <c r="B387" s="25"/>
      <c r="C387" s="25"/>
      <c r="D387" s="138"/>
      <c r="E387" s="138"/>
      <c r="F387" s="138"/>
      <c r="G387" s="119"/>
    </row>
    <row r="388" ht="22.5" customHeight="1">
      <c r="A388" s="24"/>
      <c r="B388" s="25"/>
      <c r="C388" s="25"/>
      <c r="D388" s="138"/>
      <c r="E388" s="138"/>
      <c r="F388" s="138"/>
      <c r="G388" s="119"/>
    </row>
    <row r="389" ht="22.5" customHeight="1">
      <c r="A389" s="24"/>
      <c r="B389" s="25"/>
      <c r="C389" s="25"/>
      <c r="D389" s="138"/>
      <c r="E389" s="138"/>
      <c r="F389" s="138"/>
      <c r="G389" s="119"/>
    </row>
    <row r="390" ht="22.5" customHeight="1">
      <c r="A390" s="24"/>
      <c r="B390" s="25"/>
      <c r="C390" s="25"/>
      <c r="D390" s="138"/>
      <c r="E390" s="138"/>
      <c r="F390" s="138"/>
      <c r="G390" s="119"/>
    </row>
    <row r="391" ht="22.5" customHeight="1">
      <c r="A391" s="24"/>
      <c r="B391" s="25"/>
      <c r="C391" s="25"/>
      <c r="D391" s="138"/>
      <c r="E391" s="138"/>
      <c r="F391" s="138"/>
      <c r="G391" s="119"/>
    </row>
    <row r="392" ht="22.5" customHeight="1">
      <c r="A392" s="24"/>
      <c r="B392" s="25"/>
      <c r="C392" s="25"/>
      <c r="D392" s="138"/>
      <c r="E392" s="138"/>
      <c r="F392" s="138"/>
      <c r="G392" s="119"/>
    </row>
    <row r="393" ht="22.5" customHeight="1">
      <c r="A393" s="24"/>
      <c r="B393" s="25"/>
      <c r="C393" s="25"/>
      <c r="D393" s="138"/>
      <c r="E393" s="138"/>
      <c r="F393" s="138"/>
      <c r="G393" s="119"/>
    </row>
    <row r="394" ht="22.5" customHeight="1">
      <c r="A394" s="24"/>
      <c r="B394" s="25"/>
      <c r="C394" s="25"/>
      <c r="D394" s="138"/>
      <c r="E394" s="138"/>
      <c r="F394" s="138"/>
      <c r="G394" s="119"/>
    </row>
    <row r="395" ht="22.5" customHeight="1">
      <c r="A395" s="24"/>
      <c r="B395" s="25"/>
      <c r="C395" s="25"/>
      <c r="D395" s="138"/>
      <c r="E395" s="138"/>
      <c r="F395" s="138"/>
      <c r="G395" s="119"/>
    </row>
    <row r="396" ht="22.5" customHeight="1">
      <c r="A396" s="24"/>
      <c r="B396" s="25"/>
      <c r="C396" s="25"/>
      <c r="D396" s="138"/>
      <c r="E396" s="138"/>
      <c r="F396" s="138"/>
      <c r="G396" s="119"/>
    </row>
    <row r="397" ht="22.5" customHeight="1">
      <c r="A397" s="24"/>
      <c r="B397" s="25"/>
      <c r="C397" s="25"/>
      <c r="D397" s="138"/>
      <c r="E397" s="138"/>
      <c r="F397" s="138"/>
      <c r="G397" s="119"/>
    </row>
    <row r="398" ht="22.5" customHeight="1">
      <c r="A398" s="24"/>
      <c r="B398" s="25"/>
      <c r="C398" s="25"/>
      <c r="D398" s="138"/>
      <c r="E398" s="138"/>
      <c r="F398" s="138"/>
      <c r="G398" s="119"/>
    </row>
    <row r="399" ht="22.5" customHeight="1">
      <c r="A399" s="24"/>
      <c r="B399" s="25"/>
      <c r="C399" s="25"/>
      <c r="D399" s="138"/>
      <c r="E399" s="138"/>
      <c r="F399" s="138"/>
      <c r="G399" s="119"/>
    </row>
    <row r="400" ht="22.5" customHeight="1">
      <c r="A400" s="24"/>
      <c r="B400" s="25"/>
      <c r="C400" s="25"/>
      <c r="D400" s="138"/>
      <c r="E400" s="138"/>
      <c r="F400" s="138"/>
      <c r="G400" s="119"/>
    </row>
    <row r="401" ht="22.5" customHeight="1">
      <c r="A401" s="24"/>
      <c r="B401" s="25"/>
      <c r="C401" s="25"/>
      <c r="D401" s="138"/>
      <c r="E401" s="138"/>
      <c r="F401" s="138"/>
      <c r="G401" s="119"/>
    </row>
    <row r="402" ht="22.5" customHeight="1">
      <c r="A402" s="24"/>
      <c r="B402" s="25"/>
      <c r="C402" s="25"/>
      <c r="D402" s="138"/>
      <c r="E402" s="138"/>
      <c r="F402" s="138"/>
      <c r="G402" s="119"/>
    </row>
    <row r="403" ht="22.5" customHeight="1">
      <c r="A403" s="24"/>
      <c r="B403" s="25"/>
      <c r="C403" s="25"/>
      <c r="D403" s="138"/>
      <c r="E403" s="138"/>
      <c r="F403" s="138"/>
      <c r="G403" s="119"/>
    </row>
    <row r="404" ht="22.5" customHeight="1">
      <c r="A404" s="24"/>
      <c r="B404" s="25"/>
      <c r="C404" s="25"/>
      <c r="D404" s="138"/>
      <c r="E404" s="138"/>
      <c r="F404" s="138"/>
      <c r="G404" s="119"/>
    </row>
    <row r="405" ht="22.5" customHeight="1">
      <c r="A405" s="24"/>
      <c r="B405" s="25"/>
      <c r="C405" s="25"/>
      <c r="D405" s="138"/>
      <c r="E405" s="138"/>
      <c r="F405" s="138"/>
      <c r="G405" s="119"/>
    </row>
    <row r="406" ht="22.5" customHeight="1">
      <c r="A406" s="24"/>
      <c r="B406" s="25"/>
      <c r="C406" s="25"/>
      <c r="D406" s="138"/>
      <c r="E406" s="138"/>
      <c r="F406" s="138"/>
      <c r="G406" s="119"/>
    </row>
    <row r="407" ht="22.5" customHeight="1">
      <c r="A407" s="24"/>
      <c r="B407" s="25"/>
      <c r="C407" s="25"/>
      <c r="D407" s="138"/>
      <c r="E407" s="138"/>
      <c r="F407" s="138"/>
      <c r="G407" s="119"/>
    </row>
    <row r="408" ht="22.5" customHeight="1">
      <c r="A408" s="24"/>
      <c r="B408" s="25"/>
      <c r="C408" s="25"/>
      <c r="D408" s="138"/>
      <c r="E408" s="138"/>
      <c r="F408" s="138"/>
      <c r="G408" s="119"/>
    </row>
    <row r="409" ht="22.5" customHeight="1">
      <c r="A409" s="24"/>
      <c r="B409" s="25"/>
      <c r="C409" s="25"/>
      <c r="D409" s="138"/>
      <c r="E409" s="138"/>
      <c r="F409" s="138"/>
      <c r="G409" s="119"/>
    </row>
    <row r="410" ht="22.5" customHeight="1">
      <c r="A410" s="24"/>
      <c r="B410" s="25"/>
      <c r="C410" s="25"/>
      <c r="D410" s="138"/>
      <c r="E410" s="138"/>
      <c r="F410" s="138"/>
      <c r="G410" s="119"/>
    </row>
    <row r="411" ht="22.5" customHeight="1">
      <c r="A411" s="24"/>
      <c r="B411" s="25"/>
      <c r="C411" s="25"/>
      <c r="D411" s="138"/>
      <c r="E411" s="138"/>
      <c r="F411" s="138"/>
      <c r="G411" s="119"/>
    </row>
    <row r="412" ht="22.5" customHeight="1">
      <c r="A412" s="24"/>
      <c r="B412" s="25"/>
      <c r="C412" s="25"/>
      <c r="D412" s="138"/>
      <c r="E412" s="138"/>
      <c r="F412" s="138"/>
      <c r="G412" s="119"/>
    </row>
    <row r="413" ht="22.5" customHeight="1">
      <c r="A413" s="24"/>
      <c r="B413" s="25"/>
      <c r="C413" s="25"/>
      <c r="D413" s="138"/>
      <c r="E413" s="138"/>
      <c r="F413" s="138"/>
      <c r="G413" s="119"/>
    </row>
    <row r="414" ht="22.5" customHeight="1">
      <c r="A414" s="24"/>
      <c r="B414" s="25"/>
      <c r="C414" s="25"/>
      <c r="D414" s="138"/>
      <c r="E414" s="138"/>
      <c r="F414" s="138"/>
      <c r="G414" s="119"/>
    </row>
    <row r="415" ht="22.5" customHeight="1">
      <c r="A415" s="24"/>
      <c r="B415" s="25"/>
      <c r="C415" s="25"/>
      <c r="D415" s="138"/>
      <c r="E415" s="138"/>
      <c r="F415" s="138"/>
      <c r="G415" s="119"/>
    </row>
    <row r="416" ht="22.5" customHeight="1">
      <c r="A416" s="24"/>
      <c r="B416" s="25"/>
      <c r="C416" s="25"/>
      <c r="D416" s="138"/>
      <c r="E416" s="138"/>
      <c r="F416" s="138"/>
      <c r="G416" s="119"/>
    </row>
    <row r="417" ht="22.5" customHeight="1">
      <c r="A417" s="24"/>
      <c r="B417" s="25"/>
      <c r="C417" s="25"/>
      <c r="D417" s="138"/>
      <c r="E417" s="138"/>
      <c r="F417" s="138"/>
      <c r="G417" s="119"/>
    </row>
    <row r="418" ht="22.5" customHeight="1">
      <c r="A418" s="24"/>
      <c r="B418" s="25"/>
      <c r="C418" s="25"/>
      <c r="D418" s="138"/>
      <c r="E418" s="138"/>
      <c r="F418" s="138"/>
      <c r="G418" s="119"/>
    </row>
    <row r="419" ht="22.5" customHeight="1">
      <c r="A419" s="24"/>
      <c r="B419" s="25"/>
      <c r="C419" s="25"/>
      <c r="D419" s="138"/>
      <c r="E419" s="138"/>
      <c r="F419" s="138"/>
      <c r="G419" s="119"/>
    </row>
    <row r="420" ht="22.5" customHeight="1">
      <c r="A420" s="24"/>
      <c r="B420" s="25"/>
      <c r="C420" s="25"/>
      <c r="D420" s="138"/>
      <c r="E420" s="138"/>
      <c r="F420" s="138"/>
      <c r="G420" s="119"/>
    </row>
    <row r="421" ht="22.5" customHeight="1">
      <c r="A421" s="24"/>
      <c r="B421" s="25"/>
      <c r="C421" s="25"/>
      <c r="D421" s="138"/>
      <c r="E421" s="138"/>
      <c r="F421" s="138"/>
      <c r="G421" s="119"/>
    </row>
    <row r="422" ht="22.5" customHeight="1">
      <c r="A422" s="24"/>
      <c r="B422" s="25"/>
      <c r="C422" s="25"/>
      <c r="D422" s="138"/>
      <c r="E422" s="138"/>
      <c r="F422" s="138"/>
      <c r="G422" s="119"/>
    </row>
    <row r="423" ht="22.5" customHeight="1">
      <c r="A423" s="24"/>
      <c r="B423" s="25"/>
      <c r="C423" s="25"/>
      <c r="D423" s="138"/>
      <c r="E423" s="138"/>
      <c r="F423" s="138"/>
      <c r="G423" s="119"/>
    </row>
    <row r="424" ht="22.5" customHeight="1">
      <c r="A424" s="24"/>
      <c r="B424" s="25"/>
      <c r="C424" s="25"/>
      <c r="D424" s="138"/>
      <c r="E424" s="138"/>
      <c r="F424" s="138"/>
      <c r="G424" s="119"/>
    </row>
    <row r="425" ht="22.5" customHeight="1">
      <c r="A425" s="24"/>
      <c r="B425" s="25"/>
      <c r="C425" s="25"/>
      <c r="D425" s="138"/>
      <c r="E425" s="138"/>
      <c r="F425" s="138"/>
      <c r="G425" s="119"/>
    </row>
    <row r="426" ht="22.5" customHeight="1">
      <c r="A426" s="24"/>
      <c r="B426" s="25"/>
      <c r="C426" s="25"/>
      <c r="D426" s="138"/>
      <c r="E426" s="138"/>
      <c r="F426" s="138"/>
      <c r="G426" s="119"/>
    </row>
    <row r="427" ht="22.5" customHeight="1">
      <c r="A427" s="24"/>
      <c r="B427" s="25"/>
      <c r="C427" s="25"/>
      <c r="D427" s="138"/>
      <c r="E427" s="138"/>
      <c r="F427" s="138"/>
      <c r="G427" s="119"/>
    </row>
    <row r="428" ht="22.5" customHeight="1">
      <c r="A428" s="24"/>
      <c r="B428" s="25"/>
      <c r="C428" s="25"/>
      <c r="D428" s="138"/>
      <c r="E428" s="138"/>
      <c r="F428" s="138"/>
      <c r="G428" s="119"/>
    </row>
    <row r="429" ht="22.5" customHeight="1">
      <c r="A429" s="24"/>
      <c r="B429" s="25"/>
      <c r="C429" s="25"/>
      <c r="D429" s="138"/>
      <c r="E429" s="138"/>
      <c r="F429" s="138"/>
      <c r="G429" s="119"/>
    </row>
    <row r="430" ht="22.5" customHeight="1">
      <c r="A430" s="24"/>
      <c r="B430" s="25"/>
      <c r="C430" s="25"/>
      <c r="D430" s="138"/>
      <c r="E430" s="138"/>
      <c r="F430" s="138"/>
      <c r="G430" s="119"/>
    </row>
    <row r="431" ht="22.5" customHeight="1">
      <c r="A431" s="24"/>
      <c r="B431" s="25"/>
      <c r="C431" s="25"/>
      <c r="D431" s="138"/>
      <c r="E431" s="138"/>
      <c r="F431" s="138"/>
      <c r="G431" s="119"/>
    </row>
    <row r="432" ht="22.5" customHeight="1">
      <c r="A432" s="24"/>
      <c r="B432" s="25"/>
      <c r="C432" s="25"/>
      <c r="D432" s="138"/>
      <c r="E432" s="138"/>
      <c r="F432" s="138"/>
      <c r="G432" s="119"/>
    </row>
    <row r="433" ht="22.5" customHeight="1">
      <c r="A433" s="24"/>
      <c r="B433" s="25"/>
      <c r="C433" s="25"/>
      <c r="D433" s="138"/>
      <c r="E433" s="138"/>
      <c r="F433" s="138"/>
      <c r="G433" s="119"/>
    </row>
    <row r="434" ht="22.5" customHeight="1">
      <c r="A434" s="24"/>
      <c r="B434" s="25"/>
      <c r="C434" s="25"/>
      <c r="D434" s="138"/>
      <c r="E434" s="138"/>
      <c r="F434" s="138"/>
      <c r="G434" s="119"/>
    </row>
    <row r="435" ht="22.5" customHeight="1">
      <c r="A435" s="24"/>
      <c r="B435" s="25"/>
      <c r="C435" s="25"/>
      <c r="D435" s="138"/>
      <c r="E435" s="138"/>
      <c r="F435" s="138"/>
      <c r="G435" s="119"/>
    </row>
    <row r="436" ht="22.5" customHeight="1">
      <c r="A436" s="24"/>
      <c r="B436" s="25"/>
      <c r="C436" s="25"/>
      <c r="D436" s="138"/>
      <c r="E436" s="138"/>
      <c r="F436" s="138"/>
      <c r="G436" s="119"/>
    </row>
    <row r="437" ht="22.5" customHeight="1">
      <c r="A437" s="24"/>
      <c r="B437" s="25"/>
      <c r="C437" s="25"/>
      <c r="D437" s="138"/>
      <c r="E437" s="138"/>
      <c r="F437" s="138"/>
      <c r="G437" s="119"/>
    </row>
    <row r="438" ht="22.5" customHeight="1">
      <c r="A438" s="24"/>
      <c r="B438" s="25"/>
      <c r="C438" s="25"/>
      <c r="D438" s="138"/>
      <c r="E438" s="138"/>
      <c r="F438" s="138"/>
      <c r="G438" s="119"/>
    </row>
    <row r="439" ht="22.5" customHeight="1">
      <c r="A439" s="24"/>
      <c r="B439" s="25"/>
      <c r="C439" s="25"/>
      <c r="D439" s="138"/>
      <c r="E439" s="138"/>
      <c r="F439" s="138"/>
      <c r="G439" s="119"/>
    </row>
    <row r="440" ht="22.5" customHeight="1">
      <c r="A440" s="24"/>
      <c r="B440" s="25"/>
      <c r="C440" s="25"/>
      <c r="D440" s="138"/>
      <c r="E440" s="138"/>
      <c r="F440" s="138"/>
      <c r="G440" s="119"/>
    </row>
    <row r="441" ht="22.5" customHeight="1">
      <c r="A441" s="24"/>
      <c r="B441" s="25"/>
      <c r="C441" s="25"/>
      <c r="D441" s="138"/>
      <c r="E441" s="138"/>
      <c r="F441" s="138"/>
      <c r="G441" s="119"/>
    </row>
    <row r="442" ht="22.5" customHeight="1">
      <c r="A442" s="24"/>
      <c r="B442" s="25"/>
      <c r="C442" s="25"/>
      <c r="D442" s="138"/>
      <c r="E442" s="138"/>
      <c r="F442" s="138"/>
      <c r="G442" s="119"/>
    </row>
    <row r="443" ht="22.5" customHeight="1">
      <c r="A443" s="24"/>
      <c r="B443" s="25"/>
      <c r="C443" s="25"/>
      <c r="D443" s="138"/>
      <c r="E443" s="138"/>
      <c r="F443" s="138"/>
      <c r="G443" s="119"/>
    </row>
    <row r="444" ht="22.5" customHeight="1">
      <c r="A444" s="24"/>
      <c r="B444" s="25"/>
      <c r="C444" s="25"/>
      <c r="D444" s="138"/>
      <c r="E444" s="138"/>
      <c r="F444" s="138"/>
      <c r="G444" s="119"/>
    </row>
    <row r="445" ht="22.5" customHeight="1">
      <c r="A445" s="24"/>
      <c r="B445" s="25"/>
      <c r="C445" s="25"/>
      <c r="D445" s="138"/>
      <c r="E445" s="138"/>
      <c r="F445" s="138"/>
      <c r="G445" s="119"/>
    </row>
    <row r="446" ht="22.5" customHeight="1">
      <c r="A446" s="24"/>
      <c r="B446" s="25"/>
      <c r="C446" s="25"/>
      <c r="D446" s="138"/>
      <c r="E446" s="138"/>
      <c r="F446" s="138"/>
      <c r="G446" s="119"/>
    </row>
    <row r="447" ht="22.5" customHeight="1">
      <c r="A447" s="24"/>
      <c r="B447" s="25"/>
      <c r="C447" s="25"/>
      <c r="D447" s="138"/>
      <c r="E447" s="138"/>
      <c r="F447" s="138"/>
      <c r="G447" s="119"/>
    </row>
    <row r="448" ht="22.5" customHeight="1">
      <c r="A448" s="24"/>
      <c r="B448" s="25"/>
      <c r="C448" s="25"/>
      <c r="D448" s="138"/>
      <c r="E448" s="138"/>
      <c r="F448" s="138"/>
      <c r="G448" s="119"/>
    </row>
    <row r="449" ht="22.5" customHeight="1">
      <c r="A449" s="24"/>
      <c r="B449" s="25"/>
      <c r="C449" s="25"/>
      <c r="D449" s="138"/>
      <c r="E449" s="138"/>
      <c r="F449" s="138"/>
      <c r="G449" s="119"/>
    </row>
    <row r="450" ht="22.5" customHeight="1">
      <c r="A450" s="24"/>
      <c r="B450" s="25"/>
      <c r="C450" s="25"/>
      <c r="D450" s="138"/>
      <c r="E450" s="138"/>
      <c r="F450" s="138"/>
      <c r="G450" s="119"/>
    </row>
    <row r="451" ht="22.5" customHeight="1">
      <c r="A451" s="24"/>
      <c r="B451" s="25"/>
      <c r="C451" s="25"/>
      <c r="D451" s="138"/>
      <c r="E451" s="138"/>
      <c r="F451" s="138"/>
      <c r="G451" s="119"/>
    </row>
    <row r="452" ht="22.5" customHeight="1">
      <c r="A452" s="24"/>
      <c r="B452" s="25"/>
      <c r="C452" s="25"/>
      <c r="D452" s="138"/>
      <c r="E452" s="138"/>
      <c r="F452" s="138"/>
      <c r="G452" s="119"/>
    </row>
    <row r="453" ht="22.5" customHeight="1">
      <c r="A453" s="24"/>
      <c r="B453" s="25"/>
      <c r="C453" s="25"/>
      <c r="D453" s="138"/>
      <c r="E453" s="138"/>
      <c r="F453" s="138"/>
      <c r="G453" s="119"/>
    </row>
    <row r="454" ht="22.5" customHeight="1">
      <c r="A454" s="24"/>
      <c r="B454" s="25"/>
      <c r="C454" s="25"/>
      <c r="D454" s="138"/>
      <c r="E454" s="138"/>
      <c r="F454" s="138"/>
      <c r="G454" s="119"/>
    </row>
    <row r="455" ht="22.5" customHeight="1">
      <c r="A455" s="24"/>
      <c r="B455" s="25"/>
      <c r="C455" s="25"/>
      <c r="D455" s="138"/>
      <c r="E455" s="138"/>
      <c r="F455" s="138"/>
      <c r="G455" s="119"/>
    </row>
    <row r="456" ht="22.5" customHeight="1">
      <c r="A456" s="24"/>
      <c r="B456" s="25"/>
      <c r="C456" s="25"/>
      <c r="D456" s="138"/>
      <c r="E456" s="138"/>
      <c r="F456" s="138"/>
      <c r="G456" s="119"/>
    </row>
    <row r="457" ht="22.5" customHeight="1">
      <c r="A457" s="24"/>
      <c r="B457" s="25"/>
      <c r="C457" s="25"/>
      <c r="D457" s="138"/>
      <c r="E457" s="138"/>
      <c r="F457" s="138"/>
      <c r="G457" s="119"/>
    </row>
    <row r="458" ht="22.5" customHeight="1">
      <c r="A458" s="24"/>
      <c r="B458" s="25"/>
      <c r="C458" s="25"/>
      <c r="D458" s="138"/>
      <c r="E458" s="138"/>
      <c r="F458" s="138"/>
      <c r="G458" s="119"/>
    </row>
    <row r="459" ht="22.5" customHeight="1">
      <c r="A459" s="24"/>
      <c r="B459" s="25"/>
      <c r="C459" s="25"/>
      <c r="D459" s="138"/>
      <c r="E459" s="138"/>
      <c r="F459" s="138"/>
      <c r="G459" s="119"/>
    </row>
    <row r="460" ht="22.5" customHeight="1">
      <c r="A460" s="24"/>
      <c r="B460" s="25"/>
      <c r="C460" s="25"/>
      <c r="D460" s="138"/>
      <c r="E460" s="138"/>
      <c r="F460" s="138"/>
      <c r="G460" s="119"/>
    </row>
    <row r="461" ht="22.5" customHeight="1">
      <c r="A461" s="24"/>
      <c r="B461" s="25"/>
      <c r="C461" s="25"/>
      <c r="D461" s="138"/>
      <c r="E461" s="138"/>
      <c r="F461" s="138"/>
      <c r="G461" s="119"/>
    </row>
    <row r="462" ht="22.5" customHeight="1">
      <c r="A462" s="24"/>
      <c r="B462" s="25"/>
      <c r="C462" s="25"/>
      <c r="D462" s="138"/>
      <c r="E462" s="138"/>
      <c r="F462" s="138"/>
      <c r="G462" s="119"/>
    </row>
    <row r="463" ht="22.5" customHeight="1">
      <c r="A463" s="24"/>
      <c r="B463" s="25"/>
      <c r="C463" s="25"/>
      <c r="D463" s="138"/>
      <c r="E463" s="138"/>
      <c r="F463" s="138"/>
      <c r="G463" s="119"/>
    </row>
    <row r="464" ht="22.5" customHeight="1">
      <c r="A464" s="24"/>
      <c r="B464" s="25"/>
      <c r="C464" s="25"/>
      <c r="D464" s="138"/>
      <c r="E464" s="138"/>
      <c r="F464" s="138"/>
      <c r="G464" s="119"/>
    </row>
    <row r="465" ht="22.5" customHeight="1">
      <c r="A465" s="24"/>
      <c r="B465" s="25"/>
      <c r="C465" s="25"/>
      <c r="D465" s="138"/>
      <c r="E465" s="138"/>
      <c r="F465" s="138"/>
      <c r="G465" s="119"/>
    </row>
    <row r="466" ht="22.5" customHeight="1">
      <c r="A466" s="24"/>
      <c r="B466" s="25"/>
      <c r="C466" s="25"/>
      <c r="D466" s="138"/>
      <c r="E466" s="138"/>
      <c r="F466" s="138"/>
      <c r="G466" s="119"/>
    </row>
    <row r="467" ht="22.5" customHeight="1">
      <c r="A467" s="24"/>
      <c r="B467" s="25"/>
      <c r="C467" s="25"/>
      <c r="D467" s="138"/>
      <c r="E467" s="138"/>
      <c r="F467" s="138"/>
      <c r="G467" s="119"/>
    </row>
    <row r="468" ht="22.5" customHeight="1">
      <c r="A468" s="24"/>
      <c r="B468" s="25"/>
      <c r="C468" s="25"/>
      <c r="D468" s="138"/>
      <c r="E468" s="138"/>
      <c r="F468" s="138"/>
      <c r="G468" s="119"/>
    </row>
    <row r="469" ht="22.5" customHeight="1">
      <c r="A469" s="24"/>
      <c r="B469" s="25"/>
      <c r="C469" s="25"/>
      <c r="D469" s="138"/>
      <c r="E469" s="138"/>
      <c r="F469" s="138"/>
      <c r="G469" s="119"/>
    </row>
    <row r="470" ht="22.5" customHeight="1">
      <c r="A470" s="24"/>
      <c r="B470" s="25"/>
      <c r="C470" s="25"/>
      <c r="D470" s="138"/>
      <c r="E470" s="138"/>
      <c r="F470" s="138"/>
      <c r="G470" s="119"/>
    </row>
    <row r="471" ht="22.5" customHeight="1">
      <c r="A471" s="24"/>
      <c r="B471" s="25"/>
      <c r="C471" s="25"/>
      <c r="D471" s="138"/>
      <c r="E471" s="138"/>
      <c r="F471" s="138"/>
      <c r="G471" s="119"/>
    </row>
    <row r="472" ht="22.5" customHeight="1">
      <c r="A472" s="24"/>
      <c r="B472" s="25"/>
      <c r="C472" s="25"/>
      <c r="D472" s="138"/>
      <c r="E472" s="138"/>
      <c r="F472" s="138"/>
      <c r="G472" s="119"/>
    </row>
    <row r="473" ht="22.5" customHeight="1">
      <c r="A473" s="24"/>
      <c r="B473" s="25"/>
      <c r="C473" s="25"/>
      <c r="D473" s="138"/>
      <c r="E473" s="138"/>
      <c r="F473" s="138"/>
      <c r="G473" s="119"/>
    </row>
    <row r="474" ht="22.5" customHeight="1">
      <c r="A474" s="24"/>
      <c r="B474" s="25"/>
      <c r="C474" s="25"/>
      <c r="D474" s="138"/>
      <c r="E474" s="138"/>
      <c r="F474" s="138"/>
      <c r="G474" s="119"/>
    </row>
    <row r="475" ht="22.5" customHeight="1">
      <c r="A475" s="24"/>
      <c r="B475" s="25"/>
      <c r="C475" s="25"/>
      <c r="D475" s="138"/>
      <c r="E475" s="138"/>
      <c r="F475" s="138"/>
      <c r="G475" s="119"/>
    </row>
    <row r="476" ht="22.5" customHeight="1">
      <c r="A476" s="24"/>
      <c r="B476" s="25"/>
      <c r="C476" s="25"/>
      <c r="D476" s="138"/>
      <c r="E476" s="138"/>
      <c r="F476" s="138"/>
      <c r="G476" s="119"/>
    </row>
    <row r="477" ht="22.5" customHeight="1">
      <c r="A477" s="24"/>
      <c r="B477" s="25"/>
      <c r="C477" s="25"/>
      <c r="D477" s="138"/>
      <c r="E477" s="138"/>
      <c r="F477" s="138"/>
      <c r="G477" s="119"/>
    </row>
    <row r="478" ht="22.5" customHeight="1">
      <c r="A478" s="24"/>
      <c r="B478" s="25"/>
      <c r="C478" s="25"/>
      <c r="D478" s="138"/>
      <c r="E478" s="138"/>
      <c r="F478" s="138"/>
      <c r="G478" s="119"/>
    </row>
    <row r="479" ht="22.5" customHeight="1">
      <c r="A479" s="24"/>
      <c r="B479" s="25"/>
      <c r="C479" s="25"/>
      <c r="D479" s="138"/>
      <c r="E479" s="138"/>
      <c r="F479" s="138"/>
      <c r="G479" s="119"/>
    </row>
    <row r="480" ht="22.5" customHeight="1">
      <c r="A480" s="24"/>
      <c r="B480" s="25"/>
      <c r="C480" s="25"/>
      <c r="D480" s="138"/>
      <c r="E480" s="138"/>
      <c r="F480" s="138"/>
      <c r="G480" s="119"/>
    </row>
    <row r="481" ht="22.5" customHeight="1">
      <c r="A481" s="24"/>
      <c r="B481" s="25"/>
      <c r="C481" s="25"/>
      <c r="D481" s="138"/>
      <c r="E481" s="138"/>
      <c r="F481" s="138"/>
      <c r="G481" s="119"/>
    </row>
    <row r="482" ht="22.5" customHeight="1">
      <c r="A482" s="24"/>
      <c r="B482" s="25"/>
      <c r="C482" s="25"/>
      <c r="D482" s="138"/>
      <c r="E482" s="138"/>
      <c r="F482" s="138"/>
      <c r="G482" s="119"/>
    </row>
    <row r="483" ht="22.5" customHeight="1">
      <c r="A483" s="24"/>
      <c r="B483" s="25"/>
      <c r="C483" s="25"/>
      <c r="D483" s="138"/>
      <c r="E483" s="138"/>
      <c r="F483" s="138"/>
      <c r="G483" s="119"/>
    </row>
    <row r="484" ht="22.5" customHeight="1">
      <c r="A484" s="24"/>
      <c r="B484" s="25"/>
      <c r="C484" s="25"/>
      <c r="D484" s="138"/>
      <c r="E484" s="138"/>
      <c r="F484" s="138"/>
      <c r="G484" s="119"/>
    </row>
    <row r="485" ht="22.5" customHeight="1">
      <c r="A485" s="24"/>
      <c r="B485" s="25"/>
      <c r="C485" s="25"/>
      <c r="D485" s="138"/>
      <c r="E485" s="138"/>
      <c r="F485" s="138"/>
      <c r="G485" s="119"/>
    </row>
    <row r="486" ht="22.5" customHeight="1">
      <c r="A486" s="24"/>
      <c r="B486" s="25"/>
      <c r="C486" s="25"/>
      <c r="D486" s="138"/>
      <c r="E486" s="138"/>
      <c r="F486" s="138"/>
      <c r="G486" s="119"/>
    </row>
    <row r="487" ht="22.5" customHeight="1">
      <c r="A487" s="24"/>
      <c r="B487" s="25"/>
      <c r="C487" s="25"/>
      <c r="D487" s="138"/>
      <c r="E487" s="138"/>
      <c r="F487" s="138"/>
      <c r="G487" s="119"/>
    </row>
    <row r="488" ht="22.5" customHeight="1">
      <c r="A488" s="24"/>
      <c r="B488" s="25"/>
      <c r="C488" s="25"/>
      <c r="D488" s="138"/>
      <c r="E488" s="138"/>
      <c r="F488" s="138"/>
      <c r="G488" s="119"/>
    </row>
    <row r="489" ht="22.5" customHeight="1">
      <c r="A489" s="24"/>
      <c r="B489" s="25"/>
      <c r="C489" s="25"/>
      <c r="D489" s="138"/>
      <c r="E489" s="138"/>
      <c r="F489" s="138"/>
      <c r="G489" s="119"/>
    </row>
    <row r="490" ht="22.5" customHeight="1">
      <c r="A490" s="24"/>
      <c r="B490" s="25"/>
      <c r="C490" s="25"/>
      <c r="D490" s="138"/>
      <c r="E490" s="138"/>
      <c r="F490" s="138"/>
      <c r="G490" s="119"/>
    </row>
    <row r="491" ht="22.5" customHeight="1">
      <c r="A491" s="24"/>
      <c r="B491" s="25"/>
      <c r="C491" s="25"/>
      <c r="D491" s="138"/>
      <c r="E491" s="138"/>
      <c r="F491" s="138"/>
      <c r="G491" s="119"/>
    </row>
    <row r="492" ht="22.5" customHeight="1">
      <c r="A492" s="24"/>
      <c r="B492" s="25"/>
      <c r="C492" s="25"/>
      <c r="D492" s="138"/>
      <c r="E492" s="138"/>
      <c r="F492" s="138"/>
      <c r="G492" s="119"/>
    </row>
    <row r="493" ht="22.5" customHeight="1">
      <c r="A493" s="24"/>
      <c r="B493" s="25"/>
      <c r="C493" s="25"/>
      <c r="D493" s="138"/>
      <c r="E493" s="138"/>
      <c r="F493" s="138"/>
      <c r="G493" s="119"/>
    </row>
    <row r="494" ht="22.5" customHeight="1">
      <c r="A494" s="24"/>
      <c r="B494" s="25"/>
      <c r="C494" s="25"/>
      <c r="D494" s="138"/>
      <c r="E494" s="138"/>
      <c r="F494" s="138"/>
      <c r="G494" s="119"/>
    </row>
    <row r="495" ht="22.5" customHeight="1">
      <c r="A495" s="24"/>
      <c r="B495" s="25"/>
      <c r="C495" s="25"/>
      <c r="D495" s="138"/>
      <c r="E495" s="138"/>
      <c r="F495" s="138"/>
      <c r="G495" s="119"/>
    </row>
    <row r="496" ht="22.5" customHeight="1">
      <c r="A496" s="24"/>
      <c r="B496" s="25"/>
      <c r="C496" s="25"/>
      <c r="D496" s="138"/>
      <c r="E496" s="138"/>
      <c r="F496" s="138"/>
      <c r="G496" s="119"/>
    </row>
    <row r="497" ht="22.5" customHeight="1">
      <c r="A497" s="24"/>
      <c r="B497" s="25"/>
      <c r="C497" s="25"/>
      <c r="D497" s="138"/>
      <c r="E497" s="138"/>
      <c r="F497" s="138"/>
      <c r="G497" s="119"/>
    </row>
    <row r="498" ht="22.5" customHeight="1">
      <c r="A498" s="24"/>
      <c r="B498" s="25"/>
      <c r="C498" s="25"/>
      <c r="D498" s="138"/>
      <c r="E498" s="138"/>
      <c r="F498" s="138"/>
      <c r="G498" s="119"/>
    </row>
    <row r="499" ht="22.5" customHeight="1">
      <c r="A499" s="24"/>
      <c r="B499" s="25"/>
      <c r="C499" s="25"/>
      <c r="D499" s="138"/>
      <c r="E499" s="138"/>
      <c r="F499" s="138"/>
      <c r="G499" s="119"/>
    </row>
    <row r="500" ht="22.5" customHeight="1">
      <c r="A500" s="24"/>
      <c r="B500" s="25"/>
      <c r="C500" s="25"/>
      <c r="D500" s="138"/>
      <c r="E500" s="138"/>
      <c r="F500" s="138"/>
      <c r="G500" s="119"/>
    </row>
    <row r="501" ht="22.5" customHeight="1">
      <c r="A501" s="24"/>
      <c r="B501" s="25"/>
      <c r="C501" s="25"/>
      <c r="D501" s="138"/>
      <c r="E501" s="138"/>
      <c r="F501" s="138"/>
      <c r="G501" s="119"/>
    </row>
    <row r="502" ht="22.5" customHeight="1">
      <c r="A502" s="24"/>
      <c r="B502" s="25"/>
      <c r="C502" s="25"/>
      <c r="D502" s="138"/>
      <c r="E502" s="138"/>
      <c r="F502" s="138"/>
      <c r="G502" s="119"/>
    </row>
    <row r="503" ht="22.5" customHeight="1">
      <c r="A503" s="24"/>
      <c r="B503" s="25"/>
      <c r="C503" s="25"/>
      <c r="D503" s="138"/>
      <c r="E503" s="138"/>
      <c r="F503" s="138"/>
      <c r="G503" s="119"/>
    </row>
    <row r="504" ht="22.5" customHeight="1">
      <c r="A504" s="24"/>
      <c r="B504" s="25"/>
      <c r="C504" s="25"/>
      <c r="D504" s="138"/>
      <c r="E504" s="138"/>
      <c r="F504" s="138"/>
      <c r="G504" s="119"/>
    </row>
    <row r="505" ht="22.5" customHeight="1">
      <c r="A505" s="24"/>
      <c r="B505" s="25"/>
      <c r="C505" s="25"/>
      <c r="D505" s="138"/>
      <c r="E505" s="138"/>
      <c r="F505" s="138"/>
      <c r="G505" s="119"/>
    </row>
    <row r="506" ht="22.5" customHeight="1">
      <c r="A506" s="24"/>
      <c r="B506" s="25"/>
      <c r="C506" s="25"/>
      <c r="D506" s="138"/>
      <c r="E506" s="138"/>
      <c r="F506" s="138"/>
      <c r="G506" s="119"/>
    </row>
    <row r="507" ht="22.5" customHeight="1">
      <c r="A507" s="24"/>
      <c r="B507" s="25"/>
      <c r="C507" s="25"/>
      <c r="D507" s="138"/>
      <c r="E507" s="138"/>
      <c r="F507" s="138"/>
      <c r="G507" s="119"/>
    </row>
    <row r="508" ht="22.5" customHeight="1">
      <c r="A508" s="24"/>
      <c r="B508" s="25"/>
      <c r="C508" s="25"/>
      <c r="D508" s="138"/>
      <c r="E508" s="138"/>
      <c r="F508" s="138"/>
      <c r="G508" s="119"/>
    </row>
    <row r="509" ht="22.5" customHeight="1">
      <c r="A509" s="24"/>
      <c r="B509" s="25"/>
      <c r="C509" s="25"/>
      <c r="D509" s="138"/>
      <c r="E509" s="138"/>
      <c r="F509" s="138"/>
      <c r="G509" s="119"/>
    </row>
    <row r="510" ht="22.5" customHeight="1">
      <c r="A510" s="24"/>
      <c r="B510" s="25"/>
      <c r="C510" s="25"/>
      <c r="D510" s="138"/>
      <c r="E510" s="138"/>
      <c r="F510" s="138"/>
      <c r="G510" s="119"/>
    </row>
    <row r="511" ht="22.5" customHeight="1">
      <c r="A511" s="24"/>
      <c r="B511" s="25"/>
      <c r="C511" s="25"/>
      <c r="D511" s="138"/>
      <c r="E511" s="138"/>
      <c r="F511" s="138"/>
      <c r="G511" s="119"/>
    </row>
    <row r="512" ht="22.5" customHeight="1">
      <c r="A512" s="24"/>
      <c r="B512" s="25"/>
      <c r="C512" s="25"/>
      <c r="D512" s="138"/>
      <c r="E512" s="138"/>
      <c r="F512" s="138"/>
      <c r="G512" s="119"/>
    </row>
    <row r="513" ht="22.5" customHeight="1">
      <c r="A513" s="24"/>
      <c r="B513" s="25"/>
      <c r="C513" s="25"/>
      <c r="D513" s="138"/>
      <c r="E513" s="138"/>
      <c r="F513" s="138"/>
      <c r="G513" s="119"/>
    </row>
    <row r="514" ht="22.5" customHeight="1">
      <c r="A514" s="24"/>
      <c r="B514" s="25"/>
      <c r="C514" s="25"/>
      <c r="D514" s="138"/>
      <c r="E514" s="138"/>
      <c r="F514" s="138"/>
      <c r="G514" s="119"/>
    </row>
    <row r="515" ht="22.5" customHeight="1">
      <c r="A515" s="24"/>
      <c r="B515" s="25"/>
      <c r="C515" s="25"/>
      <c r="D515" s="138"/>
      <c r="E515" s="138"/>
      <c r="F515" s="138"/>
      <c r="G515" s="119"/>
    </row>
    <row r="516" ht="22.5" customHeight="1">
      <c r="A516" s="24"/>
      <c r="B516" s="25"/>
      <c r="C516" s="25"/>
      <c r="D516" s="138"/>
      <c r="E516" s="138"/>
      <c r="F516" s="138"/>
      <c r="G516" s="119"/>
    </row>
    <row r="517" ht="22.5" customHeight="1">
      <c r="A517" s="24"/>
      <c r="B517" s="25"/>
      <c r="C517" s="25"/>
      <c r="D517" s="138"/>
      <c r="E517" s="138"/>
      <c r="F517" s="138"/>
      <c r="G517" s="119"/>
    </row>
    <row r="518" ht="22.5" customHeight="1">
      <c r="A518" s="24"/>
      <c r="B518" s="25"/>
      <c r="C518" s="25"/>
      <c r="D518" s="138"/>
      <c r="E518" s="138"/>
      <c r="F518" s="138"/>
      <c r="G518" s="119"/>
    </row>
    <row r="519" ht="22.5" customHeight="1">
      <c r="A519" s="24"/>
      <c r="B519" s="25"/>
      <c r="C519" s="25"/>
      <c r="D519" s="138"/>
      <c r="E519" s="138"/>
      <c r="F519" s="138"/>
      <c r="G519" s="119"/>
    </row>
    <row r="520" ht="22.5" customHeight="1">
      <c r="A520" s="24"/>
      <c r="B520" s="25"/>
      <c r="C520" s="25"/>
      <c r="D520" s="138"/>
      <c r="E520" s="138"/>
      <c r="F520" s="138"/>
      <c r="G520" s="119"/>
    </row>
    <row r="521" ht="22.5" customHeight="1">
      <c r="A521" s="24"/>
      <c r="B521" s="25"/>
      <c r="C521" s="25"/>
      <c r="D521" s="138"/>
      <c r="E521" s="138"/>
      <c r="F521" s="138"/>
      <c r="G521" s="119"/>
    </row>
    <row r="522" ht="22.5" customHeight="1">
      <c r="A522" s="24"/>
      <c r="B522" s="25"/>
      <c r="C522" s="25"/>
      <c r="D522" s="138"/>
      <c r="E522" s="138"/>
      <c r="F522" s="138"/>
      <c r="G522" s="119"/>
    </row>
    <row r="523" ht="22.5" customHeight="1">
      <c r="A523" s="24"/>
      <c r="B523" s="25"/>
      <c r="C523" s="25"/>
      <c r="D523" s="138"/>
      <c r="E523" s="138"/>
      <c r="F523" s="138"/>
      <c r="G523" s="119"/>
    </row>
    <row r="524" ht="22.5" customHeight="1">
      <c r="A524" s="24"/>
      <c r="B524" s="25"/>
      <c r="C524" s="25"/>
      <c r="D524" s="138"/>
      <c r="E524" s="138"/>
      <c r="F524" s="138"/>
      <c r="G524" s="119"/>
    </row>
    <row r="525" ht="22.5" customHeight="1">
      <c r="A525" s="24"/>
      <c r="B525" s="25"/>
      <c r="C525" s="25"/>
      <c r="D525" s="138"/>
      <c r="E525" s="138"/>
      <c r="F525" s="138"/>
      <c r="G525" s="119"/>
    </row>
    <row r="526" ht="22.5" customHeight="1">
      <c r="A526" s="24"/>
      <c r="B526" s="25"/>
      <c r="C526" s="25"/>
      <c r="D526" s="138"/>
      <c r="E526" s="138"/>
      <c r="F526" s="138"/>
      <c r="G526" s="119"/>
    </row>
    <row r="527" ht="22.5" customHeight="1">
      <c r="A527" s="24"/>
      <c r="B527" s="25"/>
      <c r="C527" s="25"/>
      <c r="D527" s="138"/>
      <c r="E527" s="138"/>
      <c r="F527" s="138"/>
      <c r="G527" s="119"/>
    </row>
    <row r="528" ht="22.5" customHeight="1">
      <c r="A528" s="24"/>
      <c r="B528" s="25"/>
      <c r="C528" s="25"/>
      <c r="D528" s="138"/>
      <c r="E528" s="138"/>
      <c r="F528" s="138"/>
      <c r="G528" s="119"/>
    </row>
    <row r="529" ht="22.5" customHeight="1">
      <c r="A529" s="24"/>
      <c r="B529" s="25"/>
      <c r="C529" s="25"/>
      <c r="D529" s="138"/>
      <c r="E529" s="138"/>
      <c r="F529" s="138"/>
      <c r="G529" s="119"/>
    </row>
    <row r="530" ht="22.5" customHeight="1">
      <c r="A530" s="24"/>
      <c r="B530" s="25"/>
      <c r="C530" s="25"/>
      <c r="D530" s="138"/>
      <c r="E530" s="138"/>
      <c r="F530" s="138"/>
      <c r="G530" s="119"/>
    </row>
    <row r="531" ht="22.5" customHeight="1">
      <c r="A531" s="24"/>
      <c r="B531" s="25"/>
      <c r="C531" s="25"/>
      <c r="D531" s="138"/>
      <c r="E531" s="138"/>
      <c r="F531" s="138"/>
      <c r="G531" s="119"/>
    </row>
    <row r="532" ht="22.5" customHeight="1">
      <c r="A532" s="24"/>
      <c r="B532" s="25"/>
      <c r="C532" s="25"/>
      <c r="D532" s="138"/>
      <c r="E532" s="138"/>
      <c r="F532" s="138"/>
      <c r="G532" s="119"/>
    </row>
    <row r="533" ht="22.5" customHeight="1">
      <c r="A533" s="24"/>
      <c r="B533" s="25"/>
      <c r="C533" s="25"/>
      <c r="D533" s="138"/>
      <c r="E533" s="138"/>
      <c r="F533" s="138"/>
      <c r="G533" s="119"/>
    </row>
    <row r="534" ht="22.5" customHeight="1">
      <c r="A534" s="24"/>
      <c r="B534" s="25"/>
      <c r="C534" s="25"/>
      <c r="D534" s="138"/>
      <c r="E534" s="138"/>
      <c r="F534" s="138"/>
      <c r="G534" s="119"/>
    </row>
    <row r="535" ht="22.5" customHeight="1">
      <c r="A535" s="24"/>
      <c r="B535" s="25"/>
      <c r="C535" s="25"/>
      <c r="D535" s="138"/>
      <c r="E535" s="138"/>
      <c r="F535" s="138"/>
      <c r="G535" s="119"/>
    </row>
    <row r="536" ht="22.5" customHeight="1">
      <c r="A536" s="24"/>
      <c r="B536" s="25"/>
      <c r="C536" s="25"/>
      <c r="D536" s="138"/>
      <c r="E536" s="138"/>
      <c r="F536" s="138"/>
      <c r="G536" s="119"/>
    </row>
    <row r="537" ht="22.5" customHeight="1">
      <c r="A537" s="24"/>
      <c r="B537" s="25"/>
      <c r="C537" s="25"/>
      <c r="D537" s="138"/>
      <c r="E537" s="138"/>
      <c r="F537" s="138"/>
      <c r="G537" s="119"/>
    </row>
    <row r="538" ht="22.5" customHeight="1">
      <c r="A538" s="24"/>
      <c r="B538" s="25"/>
      <c r="C538" s="25"/>
      <c r="D538" s="138"/>
      <c r="E538" s="138"/>
      <c r="F538" s="138"/>
      <c r="G538" s="119"/>
    </row>
    <row r="539" ht="22.5" customHeight="1">
      <c r="A539" s="24"/>
      <c r="B539" s="25"/>
      <c r="C539" s="25"/>
      <c r="D539" s="138"/>
      <c r="E539" s="138"/>
      <c r="F539" s="138"/>
      <c r="G539" s="119"/>
    </row>
    <row r="540" ht="22.5" customHeight="1">
      <c r="A540" s="24"/>
      <c r="B540" s="25"/>
      <c r="C540" s="25"/>
      <c r="D540" s="138"/>
      <c r="E540" s="138"/>
      <c r="F540" s="138"/>
      <c r="G540" s="119"/>
    </row>
    <row r="541" ht="22.5" customHeight="1">
      <c r="A541" s="24"/>
      <c r="B541" s="25"/>
      <c r="C541" s="25"/>
      <c r="D541" s="138"/>
      <c r="E541" s="138"/>
      <c r="F541" s="138"/>
      <c r="G541" s="119"/>
    </row>
    <row r="542" ht="22.5" customHeight="1">
      <c r="A542" s="24"/>
      <c r="B542" s="25"/>
      <c r="C542" s="25"/>
      <c r="D542" s="138"/>
      <c r="E542" s="138"/>
      <c r="F542" s="138"/>
      <c r="G542" s="119"/>
    </row>
    <row r="543" ht="22.5" customHeight="1">
      <c r="A543" s="24"/>
      <c r="B543" s="25"/>
      <c r="C543" s="25"/>
      <c r="D543" s="138"/>
      <c r="E543" s="138"/>
      <c r="F543" s="138"/>
      <c r="G543" s="119"/>
    </row>
    <row r="544" ht="22.5" customHeight="1">
      <c r="A544" s="24"/>
      <c r="B544" s="25"/>
      <c r="C544" s="25"/>
      <c r="D544" s="138"/>
      <c r="E544" s="138"/>
      <c r="F544" s="138"/>
      <c r="G544" s="119"/>
    </row>
    <row r="545" ht="22.5" customHeight="1">
      <c r="A545" s="24"/>
      <c r="B545" s="25"/>
      <c r="C545" s="25"/>
      <c r="D545" s="138"/>
      <c r="E545" s="138"/>
      <c r="F545" s="138"/>
      <c r="G545" s="119"/>
    </row>
    <row r="546" ht="22.5" customHeight="1">
      <c r="A546" s="24"/>
      <c r="B546" s="25"/>
      <c r="C546" s="25"/>
      <c r="D546" s="138"/>
      <c r="E546" s="138"/>
      <c r="F546" s="138"/>
      <c r="G546" s="119"/>
    </row>
    <row r="547" ht="22.5" customHeight="1">
      <c r="A547" s="24"/>
      <c r="B547" s="25"/>
      <c r="C547" s="25"/>
      <c r="D547" s="138"/>
      <c r="E547" s="138"/>
      <c r="F547" s="138"/>
      <c r="G547" s="119"/>
    </row>
    <row r="548" ht="22.5" customHeight="1">
      <c r="A548" s="24"/>
      <c r="B548" s="25"/>
      <c r="C548" s="25"/>
      <c r="D548" s="138"/>
      <c r="E548" s="138"/>
      <c r="F548" s="138"/>
      <c r="G548" s="119"/>
    </row>
    <row r="549" ht="22.5" customHeight="1">
      <c r="A549" s="24"/>
      <c r="B549" s="25"/>
      <c r="C549" s="25"/>
      <c r="D549" s="138"/>
      <c r="E549" s="138"/>
      <c r="F549" s="138"/>
      <c r="G549" s="119"/>
    </row>
    <row r="550" ht="22.5" customHeight="1">
      <c r="A550" s="24"/>
      <c r="B550" s="25"/>
      <c r="C550" s="25"/>
      <c r="D550" s="138"/>
      <c r="E550" s="138"/>
      <c r="F550" s="138"/>
      <c r="G550" s="119"/>
    </row>
    <row r="551" ht="22.5" customHeight="1">
      <c r="A551" s="24"/>
      <c r="B551" s="25"/>
      <c r="C551" s="25"/>
      <c r="D551" s="138"/>
      <c r="E551" s="138"/>
      <c r="F551" s="138"/>
      <c r="G551" s="119"/>
    </row>
    <row r="552" ht="22.5" customHeight="1">
      <c r="A552" s="24"/>
      <c r="B552" s="25"/>
      <c r="C552" s="25"/>
      <c r="D552" s="138"/>
      <c r="E552" s="138"/>
      <c r="F552" s="138"/>
      <c r="G552" s="119"/>
    </row>
    <row r="553" ht="22.5" customHeight="1">
      <c r="A553" s="24"/>
      <c r="B553" s="25"/>
      <c r="C553" s="25"/>
      <c r="D553" s="138"/>
      <c r="E553" s="138"/>
      <c r="F553" s="138"/>
      <c r="G553" s="119"/>
    </row>
    <row r="554" ht="22.5" customHeight="1">
      <c r="A554" s="24"/>
      <c r="B554" s="25"/>
      <c r="C554" s="25"/>
      <c r="D554" s="138"/>
      <c r="E554" s="138"/>
      <c r="F554" s="138"/>
      <c r="G554" s="119"/>
    </row>
    <row r="555" ht="22.5" customHeight="1">
      <c r="A555" s="24"/>
      <c r="B555" s="25"/>
      <c r="C555" s="25"/>
      <c r="D555" s="138"/>
      <c r="E555" s="138"/>
      <c r="F555" s="138"/>
      <c r="G555" s="119"/>
    </row>
    <row r="556" ht="22.5" customHeight="1">
      <c r="A556" s="24"/>
      <c r="B556" s="25"/>
      <c r="C556" s="25"/>
      <c r="D556" s="138"/>
      <c r="E556" s="138"/>
      <c r="F556" s="138"/>
      <c r="G556" s="119"/>
    </row>
    <row r="557" ht="22.5" customHeight="1">
      <c r="A557" s="24"/>
      <c r="B557" s="25"/>
      <c r="C557" s="25"/>
      <c r="D557" s="138"/>
      <c r="E557" s="138"/>
      <c r="F557" s="138"/>
      <c r="G557" s="119"/>
    </row>
    <row r="558" ht="22.5" customHeight="1">
      <c r="A558" s="24"/>
      <c r="B558" s="25"/>
      <c r="C558" s="25"/>
      <c r="D558" s="138"/>
      <c r="E558" s="138"/>
      <c r="F558" s="138"/>
      <c r="G558" s="119"/>
    </row>
    <row r="559" ht="22.5" customHeight="1">
      <c r="A559" s="24"/>
      <c r="B559" s="25"/>
      <c r="C559" s="25"/>
      <c r="D559" s="138"/>
      <c r="E559" s="138"/>
      <c r="F559" s="138"/>
      <c r="G559" s="119"/>
    </row>
    <row r="560" ht="22.5" customHeight="1">
      <c r="A560" s="24"/>
      <c r="B560" s="25"/>
      <c r="C560" s="25"/>
      <c r="D560" s="138"/>
      <c r="E560" s="138"/>
      <c r="F560" s="138"/>
      <c r="G560" s="119"/>
    </row>
    <row r="561" ht="22.5" customHeight="1">
      <c r="A561" s="24"/>
      <c r="B561" s="25"/>
      <c r="C561" s="25"/>
      <c r="D561" s="138"/>
      <c r="E561" s="138"/>
      <c r="F561" s="138"/>
      <c r="G561" s="119"/>
    </row>
    <row r="562" ht="22.5" customHeight="1">
      <c r="A562" s="24"/>
      <c r="B562" s="25"/>
      <c r="C562" s="25"/>
      <c r="D562" s="138"/>
      <c r="E562" s="138"/>
      <c r="F562" s="138"/>
      <c r="G562" s="119"/>
    </row>
    <row r="563" ht="22.5" customHeight="1">
      <c r="A563" s="24"/>
      <c r="B563" s="25"/>
      <c r="C563" s="25"/>
      <c r="D563" s="138"/>
      <c r="E563" s="138"/>
      <c r="F563" s="138"/>
      <c r="G563" s="119"/>
    </row>
    <row r="564" ht="22.5" customHeight="1">
      <c r="A564" s="24"/>
      <c r="B564" s="25"/>
      <c r="C564" s="25"/>
      <c r="D564" s="138"/>
      <c r="E564" s="138"/>
      <c r="F564" s="138"/>
      <c r="G564" s="119"/>
    </row>
    <row r="565" ht="22.5" customHeight="1">
      <c r="A565" s="24"/>
      <c r="B565" s="25"/>
      <c r="C565" s="25"/>
      <c r="D565" s="138"/>
      <c r="E565" s="138"/>
      <c r="F565" s="138"/>
      <c r="G565" s="119"/>
    </row>
    <row r="566" ht="22.5" customHeight="1">
      <c r="A566" s="24"/>
      <c r="B566" s="25"/>
      <c r="C566" s="25"/>
      <c r="D566" s="138"/>
      <c r="E566" s="138"/>
      <c r="F566" s="138"/>
      <c r="G566" s="119"/>
    </row>
    <row r="567" ht="22.5" customHeight="1">
      <c r="A567" s="24"/>
      <c r="B567" s="25"/>
      <c r="C567" s="25"/>
      <c r="D567" s="138"/>
      <c r="E567" s="138"/>
      <c r="F567" s="138"/>
      <c r="G567" s="119"/>
    </row>
    <row r="568" ht="22.5" customHeight="1">
      <c r="A568" s="24"/>
      <c r="B568" s="25"/>
      <c r="C568" s="25"/>
      <c r="D568" s="138"/>
      <c r="E568" s="138"/>
      <c r="F568" s="138"/>
      <c r="G568" s="119"/>
    </row>
    <row r="569" ht="22.5" customHeight="1">
      <c r="A569" s="24"/>
      <c r="B569" s="25"/>
      <c r="C569" s="25"/>
      <c r="D569" s="138"/>
      <c r="E569" s="138"/>
      <c r="F569" s="138"/>
      <c r="G569" s="119"/>
    </row>
    <row r="570" ht="22.5" customHeight="1">
      <c r="A570" s="24"/>
      <c r="B570" s="25"/>
      <c r="C570" s="25"/>
      <c r="D570" s="138"/>
      <c r="E570" s="138"/>
      <c r="F570" s="138"/>
      <c r="G570" s="119"/>
    </row>
    <row r="571" ht="22.5" customHeight="1">
      <c r="A571" s="24"/>
      <c r="B571" s="25"/>
      <c r="C571" s="25"/>
      <c r="D571" s="138"/>
      <c r="E571" s="138"/>
      <c r="F571" s="138"/>
      <c r="G571" s="119"/>
    </row>
    <row r="572" ht="22.5" customHeight="1">
      <c r="A572" s="24"/>
      <c r="B572" s="25"/>
      <c r="C572" s="25"/>
      <c r="D572" s="138"/>
      <c r="E572" s="138"/>
      <c r="F572" s="138"/>
      <c r="G572" s="119"/>
    </row>
    <row r="573" ht="22.5" customHeight="1">
      <c r="A573" s="24"/>
      <c r="B573" s="25"/>
      <c r="C573" s="25"/>
      <c r="D573" s="138"/>
      <c r="E573" s="138"/>
      <c r="F573" s="138"/>
      <c r="G573" s="119"/>
    </row>
    <row r="574" ht="22.5" customHeight="1">
      <c r="A574" s="24"/>
      <c r="B574" s="25"/>
      <c r="C574" s="25"/>
      <c r="D574" s="138"/>
      <c r="E574" s="138"/>
      <c r="F574" s="138"/>
      <c r="G574" s="119"/>
    </row>
    <row r="575" ht="22.5" customHeight="1">
      <c r="A575" s="24"/>
      <c r="B575" s="25"/>
      <c r="C575" s="25"/>
      <c r="D575" s="138"/>
      <c r="E575" s="138"/>
      <c r="F575" s="138"/>
      <c r="G575" s="119"/>
    </row>
    <row r="576" ht="22.5" customHeight="1">
      <c r="A576" s="24"/>
      <c r="B576" s="25"/>
      <c r="C576" s="25"/>
      <c r="D576" s="138"/>
      <c r="E576" s="138"/>
      <c r="F576" s="138"/>
      <c r="G576" s="119"/>
    </row>
    <row r="577" ht="22.5" customHeight="1">
      <c r="A577" s="24"/>
      <c r="B577" s="25"/>
      <c r="C577" s="25"/>
      <c r="D577" s="138"/>
      <c r="E577" s="138"/>
      <c r="F577" s="138"/>
      <c r="G577" s="119"/>
    </row>
    <row r="578" ht="22.5" customHeight="1">
      <c r="A578" s="24"/>
      <c r="B578" s="25"/>
      <c r="C578" s="25"/>
      <c r="D578" s="138"/>
      <c r="E578" s="138"/>
      <c r="F578" s="138"/>
      <c r="G578" s="119"/>
    </row>
    <row r="579" ht="22.5" customHeight="1">
      <c r="A579" s="24"/>
      <c r="B579" s="25"/>
      <c r="C579" s="25"/>
      <c r="D579" s="138"/>
      <c r="E579" s="138"/>
      <c r="F579" s="138"/>
      <c r="G579" s="119"/>
    </row>
    <row r="580" ht="22.5" customHeight="1">
      <c r="A580" s="24"/>
      <c r="B580" s="25"/>
      <c r="C580" s="25"/>
      <c r="D580" s="138"/>
      <c r="E580" s="138"/>
      <c r="F580" s="138"/>
      <c r="G580" s="119"/>
    </row>
    <row r="581" ht="22.5" customHeight="1">
      <c r="A581" s="24"/>
      <c r="B581" s="25"/>
      <c r="C581" s="25"/>
      <c r="D581" s="138"/>
      <c r="E581" s="138"/>
      <c r="F581" s="138"/>
      <c r="G581" s="119"/>
    </row>
    <row r="582" ht="22.5" customHeight="1">
      <c r="A582" s="24"/>
      <c r="B582" s="25"/>
      <c r="C582" s="25"/>
      <c r="D582" s="138"/>
      <c r="E582" s="138"/>
      <c r="F582" s="138"/>
      <c r="G582" s="119"/>
    </row>
    <row r="583" ht="22.5" customHeight="1">
      <c r="A583" s="24"/>
      <c r="B583" s="25"/>
      <c r="C583" s="25"/>
      <c r="D583" s="138"/>
      <c r="E583" s="138"/>
      <c r="F583" s="138"/>
      <c r="G583" s="119"/>
    </row>
    <row r="584" ht="22.5" customHeight="1">
      <c r="A584" s="24"/>
      <c r="B584" s="25"/>
      <c r="C584" s="25"/>
      <c r="D584" s="138"/>
      <c r="E584" s="138"/>
      <c r="F584" s="138"/>
      <c r="G584" s="119"/>
    </row>
    <row r="585" ht="22.5" customHeight="1">
      <c r="A585" s="24"/>
      <c r="B585" s="25"/>
      <c r="C585" s="25"/>
      <c r="D585" s="138"/>
      <c r="E585" s="138"/>
      <c r="F585" s="138"/>
      <c r="G585" s="119"/>
    </row>
    <row r="586" ht="22.5" customHeight="1">
      <c r="A586" s="24"/>
      <c r="B586" s="25"/>
      <c r="C586" s="25"/>
      <c r="D586" s="138"/>
      <c r="E586" s="138"/>
      <c r="F586" s="138"/>
      <c r="G586" s="119"/>
    </row>
    <row r="587" ht="22.5" customHeight="1">
      <c r="A587" s="24"/>
      <c r="B587" s="25"/>
      <c r="C587" s="25"/>
      <c r="D587" s="138"/>
      <c r="E587" s="138"/>
      <c r="F587" s="138"/>
      <c r="G587" s="119"/>
    </row>
    <row r="588" ht="22.5" customHeight="1">
      <c r="A588" s="24"/>
      <c r="B588" s="25"/>
      <c r="C588" s="25"/>
      <c r="D588" s="138"/>
      <c r="E588" s="138"/>
      <c r="F588" s="138"/>
      <c r="G588" s="119"/>
    </row>
    <row r="589" ht="22.5" customHeight="1">
      <c r="A589" s="24"/>
      <c r="B589" s="25"/>
      <c r="C589" s="25"/>
      <c r="D589" s="138"/>
      <c r="E589" s="138"/>
      <c r="F589" s="138"/>
      <c r="G589" s="119"/>
    </row>
    <row r="590" ht="22.5" customHeight="1">
      <c r="A590" s="24"/>
      <c r="B590" s="25"/>
      <c r="C590" s="25"/>
      <c r="D590" s="138"/>
      <c r="E590" s="138"/>
      <c r="F590" s="138"/>
      <c r="G590" s="119"/>
    </row>
    <row r="591" ht="22.5" customHeight="1">
      <c r="A591" s="24"/>
      <c r="B591" s="25"/>
      <c r="C591" s="25"/>
      <c r="D591" s="138"/>
      <c r="E591" s="138"/>
      <c r="F591" s="138"/>
      <c r="G591" s="119"/>
    </row>
    <row r="592" ht="22.5" customHeight="1">
      <c r="A592" s="24"/>
      <c r="B592" s="25"/>
      <c r="C592" s="25"/>
      <c r="D592" s="138"/>
      <c r="E592" s="138"/>
      <c r="F592" s="138"/>
      <c r="G592" s="119"/>
    </row>
    <row r="593" ht="22.5" customHeight="1">
      <c r="A593" s="24"/>
      <c r="B593" s="25"/>
      <c r="C593" s="25"/>
      <c r="D593" s="138"/>
      <c r="E593" s="138"/>
      <c r="F593" s="138"/>
      <c r="G593" s="119"/>
    </row>
    <row r="594" ht="22.5" customHeight="1">
      <c r="A594" s="24"/>
      <c r="B594" s="25"/>
      <c r="C594" s="25"/>
      <c r="D594" s="138"/>
      <c r="E594" s="138"/>
      <c r="F594" s="138"/>
      <c r="G594" s="119"/>
    </row>
    <row r="595" ht="22.5" customHeight="1">
      <c r="A595" s="24"/>
      <c r="B595" s="25"/>
      <c r="C595" s="25"/>
      <c r="D595" s="138"/>
      <c r="E595" s="138"/>
      <c r="F595" s="138"/>
      <c r="G595" s="119"/>
    </row>
    <row r="596" ht="22.5" customHeight="1">
      <c r="A596" s="24"/>
      <c r="B596" s="25"/>
      <c r="C596" s="25"/>
      <c r="D596" s="138"/>
      <c r="E596" s="138"/>
      <c r="F596" s="138"/>
      <c r="G596" s="119"/>
    </row>
    <row r="597" ht="22.5" customHeight="1">
      <c r="A597" s="24"/>
      <c r="B597" s="25"/>
      <c r="C597" s="25"/>
      <c r="D597" s="138"/>
      <c r="E597" s="138"/>
      <c r="F597" s="138"/>
      <c r="G597" s="119"/>
    </row>
    <row r="598" ht="22.5" customHeight="1">
      <c r="A598" s="24"/>
      <c r="B598" s="25"/>
      <c r="C598" s="25"/>
      <c r="D598" s="138"/>
      <c r="E598" s="138"/>
      <c r="F598" s="138"/>
      <c r="G598" s="119"/>
    </row>
    <row r="599" ht="22.5" customHeight="1">
      <c r="A599" s="24"/>
      <c r="B599" s="25"/>
      <c r="C599" s="25"/>
      <c r="D599" s="138"/>
      <c r="E599" s="138"/>
      <c r="F599" s="138"/>
      <c r="G599" s="119"/>
    </row>
    <row r="600" ht="22.5" customHeight="1">
      <c r="A600" s="24"/>
      <c r="B600" s="25"/>
      <c r="C600" s="25"/>
      <c r="D600" s="138"/>
      <c r="E600" s="138"/>
      <c r="F600" s="138"/>
      <c r="G600" s="119"/>
    </row>
    <row r="601" ht="22.5" customHeight="1">
      <c r="A601" s="24"/>
      <c r="B601" s="25"/>
      <c r="C601" s="25"/>
      <c r="D601" s="138"/>
      <c r="E601" s="138"/>
      <c r="F601" s="138"/>
      <c r="G601" s="119"/>
    </row>
    <row r="602" ht="22.5" customHeight="1">
      <c r="A602" s="24"/>
      <c r="B602" s="25"/>
      <c r="C602" s="25"/>
      <c r="D602" s="138"/>
      <c r="E602" s="138"/>
      <c r="F602" s="138"/>
      <c r="G602" s="119"/>
    </row>
    <row r="603" ht="22.5" customHeight="1">
      <c r="A603" s="24"/>
      <c r="B603" s="25"/>
      <c r="C603" s="25"/>
      <c r="D603" s="138"/>
      <c r="E603" s="138"/>
      <c r="F603" s="138"/>
      <c r="G603" s="119"/>
    </row>
    <row r="604" ht="22.5" customHeight="1">
      <c r="A604" s="24"/>
      <c r="B604" s="25"/>
      <c r="C604" s="25"/>
      <c r="D604" s="138"/>
      <c r="E604" s="138"/>
      <c r="F604" s="138"/>
      <c r="G604" s="119"/>
    </row>
    <row r="605" ht="22.5" customHeight="1">
      <c r="A605" s="24"/>
      <c r="B605" s="25"/>
      <c r="C605" s="25"/>
      <c r="D605" s="138"/>
      <c r="E605" s="138"/>
      <c r="F605" s="138"/>
      <c r="G605" s="119"/>
    </row>
    <row r="606" ht="22.5" customHeight="1">
      <c r="A606" s="24"/>
      <c r="B606" s="25"/>
      <c r="C606" s="25"/>
      <c r="D606" s="138"/>
      <c r="E606" s="138"/>
      <c r="F606" s="138"/>
      <c r="G606" s="119"/>
    </row>
    <row r="607" ht="22.5" customHeight="1">
      <c r="A607" s="24"/>
      <c r="B607" s="25"/>
      <c r="C607" s="25"/>
      <c r="D607" s="138"/>
      <c r="E607" s="138"/>
      <c r="F607" s="138"/>
      <c r="G607" s="119"/>
    </row>
    <row r="608" ht="22.5" customHeight="1">
      <c r="A608" s="24"/>
      <c r="B608" s="25"/>
      <c r="C608" s="25"/>
      <c r="D608" s="138"/>
      <c r="E608" s="138"/>
      <c r="F608" s="138"/>
      <c r="G608" s="119"/>
    </row>
    <row r="609" ht="22.5" customHeight="1">
      <c r="A609" s="24"/>
      <c r="B609" s="25"/>
      <c r="C609" s="25"/>
      <c r="D609" s="138"/>
      <c r="E609" s="138"/>
      <c r="F609" s="138"/>
      <c r="G609" s="119"/>
    </row>
    <row r="610" ht="22.5" customHeight="1">
      <c r="A610" s="24"/>
      <c r="B610" s="25"/>
      <c r="C610" s="25"/>
      <c r="D610" s="138"/>
      <c r="E610" s="138"/>
      <c r="F610" s="138"/>
      <c r="G610" s="119"/>
    </row>
    <row r="611" ht="22.5" customHeight="1">
      <c r="A611" s="24"/>
      <c r="B611" s="25"/>
      <c r="C611" s="25"/>
      <c r="D611" s="138"/>
      <c r="E611" s="138"/>
      <c r="F611" s="138"/>
      <c r="G611" s="119"/>
    </row>
    <row r="612" ht="22.5" customHeight="1">
      <c r="A612" s="24"/>
      <c r="B612" s="25"/>
      <c r="C612" s="25"/>
      <c r="D612" s="138"/>
      <c r="E612" s="138"/>
      <c r="F612" s="138"/>
      <c r="G612" s="119"/>
    </row>
    <row r="613" ht="22.5" customHeight="1">
      <c r="A613" s="24"/>
      <c r="B613" s="25"/>
      <c r="C613" s="25"/>
      <c r="D613" s="138"/>
      <c r="E613" s="138"/>
      <c r="F613" s="138"/>
      <c r="G613" s="119"/>
    </row>
    <row r="614" ht="22.5" customHeight="1">
      <c r="A614" s="24"/>
      <c r="B614" s="25"/>
      <c r="C614" s="25"/>
      <c r="D614" s="138"/>
      <c r="E614" s="138"/>
      <c r="F614" s="138"/>
      <c r="G614" s="119"/>
    </row>
    <row r="615" ht="22.5" customHeight="1">
      <c r="A615" s="24"/>
      <c r="B615" s="25"/>
      <c r="C615" s="25"/>
      <c r="D615" s="138"/>
      <c r="E615" s="138"/>
      <c r="F615" s="138"/>
      <c r="G615" s="119"/>
    </row>
    <row r="616" ht="22.5" customHeight="1">
      <c r="A616" s="24"/>
      <c r="B616" s="25"/>
      <c r="C616" s="25"/>
      <c r="D616" s="138"/>
      <c r="E616" s="138"/>
      <c r="F616" s="138"/>
      <c r="G616" s="119"/>
    </row>
    <row r="617" ht="22.5" customHeight="1">
      <c r="A617" s="24"/>
      <c r="B617" s="25"/>
      <c r="C617" s="25"/>
      <c r="D617" s="138"/>
      <c r="E617" s="138"/>
      <c r="F617" s="138"/>
      <c r="G617" s="119"/>
    </row>
    <row r="618" ht="22.5" customHeight="1">
      <c r="A618" s="24"/>
      <c r="B618" s="25"/>
      <c r="C618" s="25"/>
      <c r="D618" s="138"/>
      <c r="E618" s="138"/>
      <c r="F618" s="138"/>
      <c r="G618" s="119"/>
    </row>
    <row r="619" ht="22.5" customHeight="1">
      <c r="A619" s="24"/>
      <c r="B619" s="25"/>
      <c r="C619" s="25"/>
      <c r="D619" s="138"/>
      <c r="E619" s="138"/>
      <c r="F619" s="138"/>
      <c r="G619" s="119"/>
    </row>
    <row r="620" ht="22.5" customHeight="1">
      <c r="A620" s="24"/>
      <c r="B620" s="25"/>
      <c r="C620" s="25"/>
      <c r="D620" s="138"/>
      <c r="E620" s="138"/>
      <c r="F620" s="138"/>
      <c r="G620" s="119"/>
    </row>
    <row r="621" ht="22.5" customHeight="1">
      <c r="A621" s="24"/>
      <c r="B621" s="25"/>
      <c r="C621" s="25"/>
      <c r="D621" s="138"/>
      <c r="E621" s="138"/>
      <c r="F621" s="138"/>
      <c r="G621" s="119"/>
    </row>
    <row r="622" ht="22.5" customHeight="1">
      <c r="A622" s="24"/>
      <c r="B622" s="25"/>
      <c r="C622" s="25"/>
      <c r="D622" s="138"/>
      <c r="E622" s="138"/>
      <c r="F622" s="138"/>
      <c r="G622" s="119"/>
    </row>
    <row r="623" ht="22.5" customHeight="1">
      <c r="A623" s="24"/>
      <c r="B623" s="25"/>
      <c r="C623" s="25"/>
      <c r="D623" s="138"/>
      <c r="E623" s="138"/>
      <c r="F623" s="138"/>
      <c r="G623" s="119"/>
    </row>
    <row r="624" ht="22.5" customHeight="1">
      <c r="A624" s="24"/>
      <c r="B624" s="25"/>
      <c r="C624" s="25"/>
      <c r="D624" s="138"/>
      <c r="E624" s="138"/>
      <c r="F624" s="138"/>
      <c r="G624" s="119"/>
    </row>
    <row r="625" ht="22.5" customHeight="1">
      <c r="A625" s="24"/>
      <c r="B625" s="25"/>
      <c r="C625" s="25"/>
      <c r="D625" s="138"/>
      <c r="E625" s="138"/>
      <c r="F625" s="138"/>
      <c r="G625" s="119"/>
    </row>
    <row r="626" ht="22.5" customHeight="1">
      <c r="A626" s="24"/>
      <c r="B626" s="25"/>
      <c r="C626" s="25"/>
      <c r="D626" s="138"/>
      <c r="E626" s="138"/>
      <c r="F626" s="138"/>
      <c r="G626" s="119"/>
    </row>
    <row r="627" ht="22.5" customHeight="1">
      <c r="A627" s="24"/>
      <c r="B627" s="25"/>
      <c r="C627" s="25"/>
      <c r="D627" s="138"/>
      <c r="E627" s="138"/>
      <c r="F627" s="138"/>
      <c r="G627" s="119"/>
    </row>
    <row r="628" ht="22.5" customHeight="1">
      <c r="A628" s="24"/>
      <c r="B628" s="25"/>
      <c r="C628" s="25"/>
      <c r="D628" s="138"/>
      <c r="E628" s="138"/>
      <c r="F628" s="138"/>
      <c r="G628" s="119"/>
    </row>
    <row r="629" ht="22.5" customHeight="1">
      <c r="A629" s="24"/>
      <c r="B629" s="25"/>
      <c r="C629" s="25"/>
      <c r="D629" s="138"/>
      <c r="E629" s="138"/>
      <c r="F629" s="138"/>
      <c r="G629" s="119"/>
    </row>
    <row r="630" ht="22.5" customHeight="1">
      <c r="A630" s="24"/>
      <c r="B630" s="25"/>
      <c r="C630" s="25"/>
      <c r="D630" s="138"/>
      <c r="E630" s="138"/>
      <c r="F630" s="138"/>
      <c r="G630" s="119"/>
    </row>
    <row r="631" ht="22.5" customHeight="1">
      <c r="A631" s="24"/>
      <c r="B631" s="25"/>
      <c r="C631" s="25"/>
      <c r="D631" s="138"/>
      <c r="E631" s="138"/>
      <c r="F631" s="138"/>
      <c r="G631" s="119"/>
    </row>
    <row r="632" ht="22.5" customHeight="1">
      <c r="A632" s="24"/>
      <c r="B632" s="25"/>
      <c r="C632" s="25"/>
      <c r="D632" s="138"/>
      <c r="E632" s="138"/>
      <c r="F632" s="138"/>
      <c r="G632" s="119"/>
    </row>
    <row r="633" ht="22.5" customHeight="1">
      <c r="A633" s="24"/>
      <c r="B633" s="25"/>
      <c r="C633" s="25"/>
      <c r="D633" s="138"/>
      <c r="E633" s="138"/>
      <c r="F633" s="138"/>
      <c r="G633" s="119"/>
    </row>
    <row r="634" ht="22.5" customHeight="1">
      <c r="A634" s="24"/>
      <c r="B634" s="25"/>
      <c r="C634" s="25"/>
      <c r="D634" s="138"/>
      <c r="E634" s="138"/>
      <c r="F634" s="138"/>
      <c r="G634" s="119"/>
    </row>
    <row r="635" ht="22.5" customHeight="1">
      <c r="A635" s="24"/>
      <c r="B635" s="25"/>
      <c r="C635" s="25"/>
      <c r="D635" s="138"/>
      <c r="E635" s="138"/>
      <c r="F635" s="138"/>
      <c r="G635" s="119"/>
    </row>
    <row r="636" ht="22.5" customHeight="1">
      <c r="A636" s="24"/>
      <c r="B636" s="25"/>
      <c r="C636" s="25"/>
      <c r="D636" s="138"/>
      <c r="E636" s="138"/>
      <c r="F636" s="138"/>
      <c r="G636" s="119"/>
    </row>
    <row r="637" ht="22.5" customHeight="1">
      <c r="A637" s="24"/>
      <c r="B637" s="25"/>
      <c r="C637" s="25"/>
      <c r="D637" s="138"/>
      <c r="E637" s="138"/>
      <c r="F637" s="138"/>
      <c r="G637" s="119"/>
    </row>
    <row r="638" ht="22.5" customHeight="1">
      <c r="A638" s="24"/>
      <c r="B638" s="25"/>
      <c r="C638" s="25"/>
      <c r="D638" s="138"/>
      <c r="E638" s="138"/>
      <c r="F638" s="138"/>
      <c r="G638" s="119"/>
    </row>
    <row r="639" ht="22.5" customHeight="1">
      <c r="A639" s="24"/>
      <c r="B639" s="25"/>
      <c r="C639" s="25"/>
      <c r="D639" s="138"/>
      <c r="E639" s="138"/>
      <c r="F639" s="138"/>
      <c r="G639" s="119"/>
    </row>
    <row r="640" ht="22.5" customHeight="1">
      <c r="A640" s="24"/>
      <c r="B640" s="25"/>
      <c r="C640" s="25"/>
      <c r="D640" s="138"/>
      <c r="E640" s="138"/>
      <c r="F640" s="138"/>
      <c r="G640" s="119"/>
    </row>
    <row r="641" ht="22.5" customHeight="1">
      <c r="A641" s="24"/>
      <c r="B641" s="25"/>
      <c r="C641" s="25"/>
      <c r="D641" s="138"/>
      <c r="E641" s="138"/>
      <c r="F641" s="138"/>
      <c r="G641" s="119"/>
    </row>
    <row r="642" ht="22.5" customHeight="1">
      <c r="A642" s="24"/>
      <c r="B642" s="25"/>
      <c r="C642" s="25"/>
      <c r="D642" s="138"/>
      <c r="E642" s="138"/>
      <c r="F642" s="138"/>
      <c r="G642" s="119"/>
    </row>
    <row r="643" ht="22.5" customHeight="1">
      <c r="A643" s="24"/>
      <c r="B643" s="25"/>
      <c r="C643" s="25"/>
      <c r="D643" s="138"/>
      <c r="E643" s="138"/>
      <c r="F643" s="138"/>
      <c r="G643" s="119"/>
    </row>
    <row r="644" ht="22.5" customHeight="1">
      <c r="A644" s="24"/>
      <c r="B644" s="25"/>
      <c r="C644" s="25"/>
      <c r="D644" s="138"/>
      <c r="E644" s="138"/>
      <c r="F644" s="138"/>
      <c r="G644" s="119"/>
    </row>
    <row r="645" ht="22.5" customHeight="1">
      <c r="A645" s="24"/>
      <c r="B645" s="25"/>
      <c r="C645" s="25"/>
      <c r="D645" s="138"/>
      <c r="E645" s="138"/>
      <c r="F645" s="138"/>
      <c r="G645" s="119"/>
    </row>
    <row r="646" ht="22.5" customHeight="1">
      <c r="A646" s="24"/>
      <c r="B646" s="25"/>
      <c r="C646" s="25"/>
      <c r="D646" s="138"/>
      <c r="E646" s="138"/>
      <c r="F646" s="138"/>
      <c r="G646" s="119"/>
    </row>
    <row r="647" ht="22.5" customHeight="1">
      <c r="A647" s="24"/>
      <c r="B647" s="25"/>
      <c r="C647" s="25"/>
      <c r="D647" s="138"/>
      <c r="E647" s="138"/>
      <c r="F647" s="138"/>
      <c r="G647" s="119"/>
    </row>
    <row r="648" ht="22.5" customHeight="1">
      <c r="A648" s="24"/>
      <c r="B648" s="25"/>
      <c r="C648" s="25"/>
      <c r="D648" s="138"/>
      <c r="E648" s="138"/>
      <c r="F648" s="138"/>
      <c r="G648" s="119"/>
    </row>
    <row r="649" ht="22.5" customHeight="1">
      <c r="A649" s="24"/>
      <c r="B649" s="25"/>
      <c r="C649" s="25"/>
      <c r="D649" s="138"/>
      <c r="E649" s="138"/>
      <c r="F649" s="138"/>
      <c r="G649" s="119"/>
    </row>
    <row r="650" ht="22.5" customHeight="1">
      <c r="A650" s="24"/>
      <c r="B650" s="25"/>
      <c r="C650" s="25"/>
      <c r="D650" s="138"/>
      <c r="E650" s="138"/>
      <c r="F650" s="138"/>
      <c r="G650" s="119"/>
    </row>
    <row r="651" ht="22.5" customHeight="1">
      <c r="A651" s="24"/>
      <c r="B651" s="25"/>
      <c r="C651" s="25"/>
      <c r="D651" s="138"/>
      <c r="E651" s="138"/>
      <c r="F651" s="138"/>
      <c r="G651" s="119"/>
    </row>
    <row r="652" ht="22.5" customHeight="1">
      <c r="A652" s="24"/>
      <c r="B652" s="25"/>
      <c r="C652" s="25"/>
      <c r="D652" s="138"/>
      <c r="E652" s="138"/>
      <c r="F652" s="138"/>
      <c r="G652" s="119"/>
    </row>
    <row r="653" ht="22.5" customHeight="1">
      <c r="A653" s="24"/>
      <c r="B653" s="25"/>
      <c r="C653" s="25"/>
      <c r="D653" s="138"/>
      <c r="E653" s="138"/>
      <c r="F653" s="138"/>
      <c r="G653" s="119"/>
    </row>
    <row r="654" ht="22.5" customHeight="1">
      <c r="A654" s="24"/>
      <c r="B654" s="25"/>
      <c r="C654" s="25"/>
      <c r="D654" s="138"/>
      <c r="E654" s="138"/>
      <c r="F654" s="138"/>
      <c r="G654" s="119"/>
    </row>
    <row r="655" ht="22.5" customHeight="1">
      <c r="A655" s="24"/>
      <c r="B655" s="25"/>
      <c r="C655" s="25"/>
      <c r="D655" s="138"/>
      <c r="E655" s="138"/>
      <c r="F655" s="138"/>
      <c r="G655" s="119"/>
    </row>
    <row r="656" ht="22.5" customHeight="1">
      <c r="A656" s="24"/>
      <c r="B656" s="25"/>
      <c r="C656" s="25"/>
      <c r="D656" s="138"/>
      <c r="E656" s="138"/>
      <c r="F656" s="138"/>
      <c r="G656" s="119"/>
    </row>
    <row r="657" ht="22.5" customHeight="1">
      <c r="A657" s="24"/>
      <c r="B657" s="25"/>
      <c r="C657" s="25"/>
      <c r="D657" s="138"/>
      <c r="E657" s="138"/>
      <c r="F657" s="138"/>
      <c r="G657" s="119"/>
    </row>
    <row r="658" ht="22.5" customHeight="1">
      <c r="A658" s="24"/>
      <c r="B658" s="25"/>
      <c r="C658" s="25"/>
      <c r="D658" s="138"/>
      <c r="E658" s="138"/>
      <c r="F658" s="138"/>
      <c r="G658" s="119"/>
    </row>
    <row r="659" ht="22.5" customHeight="1">
      <c r="A659" s="24"/>
      <c r="B659" s="25"/>
      <c r="C659" s="25"/>
      <c r="D659" s="138"/>
      <c r="E659" s="138"/>
      <c r="F659" s="138"/>
      <c r="G659" s="119"/>
    </row>
    <row r="660" ht="22.5" customHeight="1">
      <c r="A660" s="24"/>
      <c r="B660" s="25"/>
      <c r="C660" s="25"/>
      <c r="D660" s="138"/>
      <c r="E660" s="138"/>
      <c r="F660" s="138"/>
      <c r="G660" s="119"/>
    </row>
    <row r="661" ht="22.5" customHeight="1">
      <c r="A661" s="24"/>
      <c r="B661" s="25"/>
      <c r="C661" s="25"/>
      <c r="D661" s="138"/>
      <c r="E661" s="138"/>
      <c r="F661" s="138"/>
      <c r="G661" s="119"/>
    </row>
    <row r="662" ht="22.5" customHeight="1">
      <c r="A662" s="24"/>
      <c r="B662" s="25"/>
      <c r="C662" s="25"/>
      <c r="D662" s="138"/>
      <c r="E662" s="138"/>
      <c r="F662" s="138"/>
      <c r="G662" s="119"/>
    </row>
    <row r="663" ht="22.5" customHeight="1">
      <c r="A663" s="24"/>
      <c r="B663" s="25"/>
      <c r="C663" s="25"/>
      <c r="D663" s="138"/>
      <c r="E663" s="138"/>
      <c r="F663" s="138"/>
      <c r="G663" s="119"/>
    </row>
    <row r="664" ht="22.5" customHeight="1">
      <c r="A664" s="24"/>
      <c r="B664" s="25"/>
      <c r="C664" s="25"/>
      <c r="D664" s="138"/>
      <c r="E664" s="138"/>
      <c r="F664" s="138"/>
      <c r="G664" s="119"/>
    </row>
    <row r="665" ht="22.5" customHeight="1">
      <c r="A665" s="24"/>
      <c r="B665" s="25"/>
      <c r="C665" s="25"/>
      <c r="D665" s="138"/>
      <c r="E665" s="138"/>
      <c r="F665" s="138"/>
      <c r="G665" s="119"/>
    </row>
    <row r="666" ht="22.5" customHeight="1">
      <c r="A666" s="24"/>
      <c r="B666" s="25"/>
      <c r="C666" s="25"/>
      <c r="D666" s="138"/>
      <c r="E666" s="138"/>
      <c r="F666" s="138"/>
      <c r="G666" s="119"/>
    </row>
    <row r="667" ht="22.5" customHeight="1">
      <c r="A667" s="24"/>
      <c r="B667" s="25"/>
      <c r="C667" s="25"/>
      <c r="D667" s="138"/>
      <c r="E667" s="138"/>
      <c r="F667" s="138"/>
      <c r="G667" s="119"/>
    </row>
    <row r="668" ht="22.5" customHeight="1">
      <c r="A668" s="24"/>
      <c r="B668" s="25"/>
      <c r="C668" s="25"/>
      <c r="D668" s="138"/>
      <c r="E668" s="138"/>
      <c r="F668" s="138"/>
      <c r="G668" s="119"/>
    </row>
    <row r="669" ht="22.5" customHeight="1">
      <c r="A669" s="24"/>
      <c r="B669" s="25"/>
      <c r="C669" s="25"/>
      <c r="D669" s="138"/>
      <c r="E669" s="138"/>
      <c r="F669" s="138"/>
      <c r="G669" s="119"/>
    </row>
    <row r="670" ht="22.5" customHeight="1">
      <c r="A670" s="24"/>
      <c r="B670" s="25"/>
      <c r="C670" s="25"/>
      <c r="D670" s="138"/>
      <c r="E670" s="138"/>
      <c r="F670" s="138"/>
      <c r="G670" s="119"/>
    </row>
    <row r="671" ht="22.5" customHeight="1">
      <c r="A671" s="24"/>
      <c r="B671" s="25"/>
      <c r="C671" s="25"/>
      <c r="D671" s="138"/>
      <c r="E671" s="138"/>
      <c r="F671" s="138"/>
      <c r="G671" s="119"/>
    </row>
    <row r="672" ht="22.5" customHeight="1">
      <c r="A672" s="24"/>
      <c r="B672" s="25"/>
      <c r="C672" s="25"/>
      <c r="D672" s="138"/>
      <c r="E672" s="138"/>
      <c r="F672" s="138"/>
      <c r="G672" s="119"/>
    </row>
    <row r="673" ht="22.5" customHeight="1">
      <c r="A673" s="24"/>
      <c r="B673" s="25"/>
      <c r="C673" s="25"/>
      <c r="D673" s="138"/>
      <c r="E673" s="138"/>
      <c r="F673" s="138"/>
      <c r="G673" s="119"/>
    </row>
    <row r="674" ht="22.5" customHeight="1">
      <c r="A674" s="24"/>
      <c r="B674" s="25"/>
      <c r="C674" s="25"/>
      <c r="D674" s="138"/>
      <c r="E674" s="138"/>
      <c r="F674" s="138"/>
      <c r="G674" s="119"/>
    </row>
    <row r="675" ht="22.5" customHeight="1">
      <c r="A675" s="24"/>
      <c r="B675" s="25"/>
      <c r="C675" s="25"/>
      <c r="D675" s="138"/>
      <c r="E675" s="138"/>
      <c r="F675" s="138"/>
      <c r="G675" s="119"/>
    </row>
    <row r="676" ht="22.5" customHeight="1">
      <c r="A676" s="24"/>
      <c r="B676" s="25"/>
      <c r="C676" s="25"/>
      <c r="D676" s="138"/>
      <c r="E676" s="138"/>
      <c r="F676" s="138"/>
      <c r="G676" s="119"/>
    </row>
    <row r="677" ht="22.5" customHeight="1">
      <c r="A677" s="24"/>
      <c r="B677" s="25"/>
      <c r="C677" s="25"/>
      <c r="D677" s="138"/>
      <c r="E677" s="138"/>
      <c r="F677" s="138"/>
      <c r="G677" s="119"/>
    </row>
    <row r="678" ht="22.5" customHeight="1">
      <c r="A678" s="24"/>
      <c r="B678" s="25"/>
      <c r="C678" s="25"/>
      <c r="D678" s="138"/>
      <c r="E678" s="138"/>
      <c r="F678" s="138"/>
      <c r="G678" s="119"/>
    </row>
    <row r="679" ht="22.5" customHeight="1">
      <c r="A679" s="24"/>
      <c r="B679" s="25"/>
      <c r="C679" s="25"/>
      <c r="D679" s="138"/>
      <c r="E679" s="138"/>
      <c r="F679" s="138"/>
      <c r="G679" s="119"/>
    </row>
    <row r="680" ht="22.5" customHeight="1">
      <c r="A680" s="24"/>
      <c r="B680" s="25"/>
      <c r="C680" s="25"/>
      <c r="D680" s="138"/>
      <c r="E680" s="138"/>
      <c r="F680" s="138"/>
      <c r="G680" s="119"/>
    </row>
    <row r="681" ht="22.5" customHeight="1">
      <c r="A681" s="24"/>
      <c r="B681" s="25"/>
      <c r="C681" s="25"/>
      <c r="D681" s="138"/>
      <c r="E681" s="138"/>
      <c r="F681" s="138"/>
      <c r="G681" s="119"/>
    </row>
    <row r="682" ht="22.5" customHeight="1">
      <c r="A682" s="24"/>
      <c r="B682" s="25"/>
      <c r="C682" s="25"/>
      <c r="D682" s="138"/>
      <c r="E682" s="138"/>
      <c r="F682" s="138"/>
      <c r="G682" s="119"/>
    </row>
    <row r="683" ht="22.5" customHeight="1">
      <c r="A683" s="24"/>
      <c r="B683" s="25"/>
      <c r="C683" s="25"/>
      <c r="D683" s="138"/>
      <c r="E683" s="138"/>
      <c r="F683" s="138"/>
      <c r="G683" s="119"/>
    </row>
    <row r="684" ht="22.5" customHeight="1">
      <c r="A684" s="24"/>
      <c r="B684" s="25"/>
      <c r="C684" s="25"/>
      <c r="D684" s="138"/>
      <c r="E684" s="138"/>
      <c r="F684" s="138"/>
      <c r="G684" s="119"/>
    </row>
    <row r="685" ht="22.5" customHeight="1">
      <c r="A685" s="24"/>
      <c r="B685" s="25"/>
      <c r="C685" s="25"/>
      <c r="D685" s="138"/>
      <c r="E685" s="138"/>
      <c r="F685" s="138"/>
      <c r="G685" s="119"/>
    </row>
    <row r="686" ht="22.5" customHeight="1">
      <c r="A686" s="24"/>
      <c r="B686" s="25"/>
      <c r="C686" s="25"/>
      <c r="D686" s="138"/>
      <c r="E686" s="138"/>
      <c r="F686" s="138"/>
      <c r="G686" s="119"/>
    </row>
    <row r="687" ht="22.5" customHeight="1">
      <c r="A687" s="24"/>
      <c r="B687" s="25"/>
      <c r="C687" s="25"/>
      <c r="D687" s="138"/>
      <c r="E687" s="138"/>
      <c r="F687" s="138"/>
      <c r="G687" s="119"/>
    </row>
    <row r="688" ht="22.5" customHeight="1">
      <c r="A688" s="24"/>
      <c r="B688" s="25"/>
      <c r="C688" s="25"/>
      <c r="D688" s="138"/>
      <c r="E688" s="138"/>
      <c r="F688" s="138"/>
      <c r="G688" s="119"/>
    </row>
    <row r="689" ht="22.5" customHeight="1">
      <c r="A689" s="24"/>
      <c r="B689" s="25"/>
      <c r="C689" s="25"/>
      <c r="D689" s="138"/>
      <c r="E689" s="138"/>
      <c r="F689" s="138"/>
      <c r="G689" s="119"/>
    </row>
    <row r="690" ht="22.5" customHeight="1">
      <c r="A690" s="24"/>
      <c r="B690" s="25"/>
      <c r="C690" s="25"/>
      <c r="D690" s="138"/>
      <c r="E690" s="138"/>
      <c r="F690" s="138"/>
      <c r="G690" s="119"/>
    </row>
    <row r="691" ht="22.5" customHeight="1">
      <c r="A691" s="24"/>
      <c r="B691" s="25"/>
      <c r="C691" s="25"/>
      <c r="D691" s="138"/>
      <c r="E691" s="138"/>
      <c r="F691" s="138"/>
      <c r="G691" s="119"/>
    </row>
    <row r="692" ht="22.5" customHeight="1">
      <c r="A692" s="24"/>
      <c r="B692" s="25"/>
      <c r="C692" s="25"/>
      <c r="D692" s="138"/>
      <c r="E692" s="138"/>
      <c r="F692" s="138"/>
      <c r="G692" s="119"/>
    </row>
    <row r="693" ht="22.5" customHeight="1">
      <c r="A693" s="24"/>
      <c r="B693" s="25"/>
      <c r="C693" s="25"/>
      <c r="D693" s="138"/>
      <c r="E693" s="138"/>
      <c r="F693" s="138"/>
      <c r="G693" s="119"/>
    </row>
    <row r="694" ht="22.5" customHeight="1">
      <c r="A694" s="24"/>
      <c r="B694" s="25"/>
      <c r="C694" s="25"/>
      <c r="D694" s="138"/>
      <c r="E694" s="138"/>
      <c r="F694" s="138"/>
      <c r="G694" s="119"/>
    </row>
    <row r="695" ht="22.5" customHeight="1">
      <c r="A695" s="24"/>
      <c r="B695" s="25"/>
      <c r="C695" s="25"/>
      <c r="D695" s="138"/>
      <c r="E695" s="138"/>
      <c r="F695" s="138"/>
      <c r="G695" s="119"/>
    </row>
    <row r="696" ht="22.5" customHeight="1">
      <c r="A696" s="24"/>
      <c r="B696" s="25"/>
      <c r="C696" s="25"/>
      <c r="D696" s="138"/>
      <c r="E696" s="138"/>
      <c r="F696" s="138"/>
      <c r="G696" s="119"/>
    </row>
    <row r="697" ht="22.5" customHeight="1">
      <c r="A697" s="24"/>
      <c r="B697" s="25"/>
      <c r="C697" s="25"/>
      <c r="D697" s="138"/>
      <c r="E697" s="138"/>
      <c r="F697" s="138"/>
      <c r="G697" s="119"/>
    </row>
    <row r="698" ht="22.5" customHeight="1">
      <c r="A698" s="24"/>
      <c r="B698" s="25"/>
      <c r="C698" s="25"/>
      <c r="D698" s="138"/>
      <c r="E698" s="138"/>
      <c r="F698" s="138"/>
      <c r="G698" s="119"/>
    </row>
    <row r="699" ht="22.5" customHeight="1">
      <c r="A699" s="24"/>
      <c r="B699" s="25"/>
      <c r="C699" s="25"/>
      <c r="D699" s="138"/>
      <c r="E699" s="138"/>
      <c r="F699" s="138"/>
      <c r="G699" s="119"/>
    </row>
    <row r="700" ht="22.5" customHeight="1">
      <c r="A700" s="24"/>
      <c r="B700" s="25"/>
      <c r="C700" s="25"/>
      <c r="D700" s="138"/>
      <c r="E700" s="138"/>
      <c r="F700" s="138"/>
      <c r="G700" s="119"/>
    </row>
    <row r="701" ht="22.5" customHeight="1">
      <c r="A701" s="24"/>
      <c r="B701" s="25"/>
      <c r="C701" s="25"/>
      <c r="D701" s="138"/>
      <c r="E701" s="138"/>
      <c r="F701" s="138"/>
      <c r="G701" s="119"/>
    </row>
    <row r="702" ht="22.5" customHeight="1">
      <c r="A702" s="24"/>
      <c r="B702" s="25"/>
      <c r="C702" s="25"/>
      <c r="D702" s="138"/>
      <c r="E702" s="138"/>
      <c r="F702" s="138"/>
      <c r="G702" s="119"/>
    </row>
    <row r="703" ht="22.5" customHeight="1">
      <c r="A703" s="24"/>
      <c r="B703" s="25"/>
      <c r="C703" s="25"/>
      <c r="D703" s="138"/>
      <c r="E703" s="138"/>
      <c r="F703" s="138"/>
      <c r="G703" s="119"/>
    </row>
    <row r="704" ht="22.5" customHeight="1">
      <c r="A704" s="24"/>
      <c r="B704" s="25"/>
      <c r="C704" s="25"/>
      <c r="D704" s="138"/>
      <c r="E704" s="138"/>
      <c r="F704" s="138"/>
      <c r="G704" s="119"/>
    </row>
    <row r="705" ht="22.5" customHeight="1">
      <c r="A705" s="24"/>
      <c r="B705" s="25"/>
      <c r="C705" s="25"/>
      <c r="D705" s="138"/>
      <c r="E705" s="138"/>
      <c r="F705" s="138"/>
      <c r="G705" s="119"/>
    </row>
    <row r="706" ht="22.5" customHeight="1">
      <c r="A706" s="24"/>
      <c r="B706" s="25"/>
      <c r="C706" s="25"/>
      <c r="D706" s="138"/>
      <c r="E706" s="138"/>
      <c r="F706" s="138"/>
      <c r="G706" s="119"/>
    </row>
    <row r="707" ht="22.5" customHeight="1">
      <c r="A707" s="24"/>
      <c r="B707" s="25"/>
      <c r="C707" s="25"/>
      <c r="D707" s="138"/>
      <c r="E707" s="138"/>
      <c r="F707" s="138"/>
      <c r="G707" s="119"/>
    </row>
    <row r="708" ht="22.5" customHeight="1">
      <c r="A708" s="24"/>
      <c r="B708" s="25"/>
      <c r="C708" s="25"/>
      <c r="D708" s="138"/>
      <c r="E708" s="138"/>
      <c r="F708" s="138"/>
      <c r="G708" s="119"/>
    </row>
    <row r="709" ht="22.5" customHeight="1">
      <c r="A709" s="24"/>
      <c r="B709" s="25"/>
      <c r="C709" s="25"/>
      <c r="D709" s="138"/>
      <c r="E709" s="138"/>
      <c r="F709" s="138"/>
      <c r="G709" s="119"/>
    </row>
    <row r="710" ht="22.5" customHeight="1">
      <c r="A710" s="24"/>
      <c r="B710" s="25"/>
      <c r="C710" s="25"/>
      <c r="D710" s="138"/>
      <c r="E710" s="138"/>
      <c r="F710" s="138"/>
      <c r="G710" s="119"/>
    </row>
    <row r="711" ht="22.5" customHeight="1">
      <c r="A711" s="24"/>
      <c r="B711" s="25"/>
      <c r="C711" s="25"/>
      <c r="D711" s="138"/>
      <c r="E711" s="138"/>
      <c r="F711" s="138"/>
      <c r="G711" s="119"/>
    </row>
    <row r="712" ht="22.5" customHeight="1">
      <c r="A712" s="24"/>
      <c r="B712" s="25"/>
      <c r="C712" s="25"/>
      <c r="D712" s="138"/>
      <c r="E712" s="138"/>
      <c r="F712" s="138"/>
      <c r="G712" s="119"/>
    </row>
    <row r="713" ht="22.5" customHeight="1">
      <c r="A713" s="24"/>
      <c r="B713" s="25"/>
      <c r="C713" s="25"/>
      <c r="D713" s="138"/>
      <c r="E713" s="138"/>
      <c r="F713" s="138"/>
      <c r="G713" s="119"/>
    </row>
    <row r="714" ht="22.5" customHeight="1">
      <c r="A714" s="24"/>
      <c r="B714" s="25"/>
      <c r="C714" s="25"/>
      <c r="D714" s="138"/>
      <c r="E714" s="138"/>
      <c r="F714" s="138"/>
      <c r="G714" s="119"/>
    </row>
    <row r="715" ht="22.5" customHeight="1">
      <c r="A715" s="24"/>
      <c r="B715" s="25"/>
      <c r="C715" s="25"/>
      <c r="D715" s="138"/>
      <c r="E715" s="138"/>
      <c r="F715" s="138"/>
      <c r="G715" s="119"/>
    </row>
    <row r="716" ht="22.5" customHeight="1">
      <c r="A716" s="24"/>
      <c r="B716" s="25"/>
      <c r="C716" s="25"/>
      <c r="D716" s="138"/>
      <c r="E716" s="138"/>
      <c r="F716" s="138"/>
      <c r="G716" s="119"/>
    </row>
    <row r="717" ht="22.5" customHeight="1">
      <c r="A717" s="24"/>
      <c r="B717" s="25"/>
      <c r="C717" s="25"/>
      <c r="D717" s="138"/>
      <c r="E717" s="138"/>
      <c r="F717" s="138"/>
      <c r="G717" s="119"/>
    </row>
    <row r="718" ht="22.5" customHeight="1">
      <c r="A718" s="24"/>
      <c r="B718" s="25"/>
      <c r="C718" s="25"/>
      <c r="D718" s="138"/>
      <c r="E718" s="138"/>
      <c r="F718" s="138"/>
      <c r="G718" s="119"/>
    </row>
    <row r="719" ht="22.5" customHeight="1">
      <c r="A719" s="24"/>
      <c r="B719" s="25"/>
      <c r="C719" s="25"/>
      <c r="D719" s="138"/>
      <c r="E719" s="138"/>
      <c r="F719" s="138"/>
      <c r="G719" s="119"/>
    </row>
    <row r="720" ht="22.5" customHeight="1">
      <c r="A720" s="24"/>
      <c r="B720" s="25"/>
      <c r="C720" s="25"/>
      <c r="D720" s="138"/>
      <c r="E720" s="138"/>
      <c r="F720" s="138"/>
      <c r="G720" s="119"/>
    </row>
    <row r="721" ht="22.5" customHeight="1">
      <c r="A721" s="24"/>
      <c r="B721" s="25"/>
      <c r="C721" s="25"/>
      <c r="D721" s="138"/>
      <c r="E721" s="138"/>
      <c r="F721" s="138"/>
      <c r="G721" s="119"/>
    </row>
    <row r="722" ht="22.5" customHeight="1">
      <c r="A722" s="24"/>
      <c r="B722" s="25"/>
      <c r="C722" s="25"/>
      <c r="D722" s="138"/>
      <c r="E722" s="138"/>
      <c r="F722" s="138"/>
      <c r="G722" s="119"/>
    </row>
    <row r="723" ht="22.5" customHeight="1">
      <c r="A723" s="24"/>
      <c r="B723" s="25"/>
      <c r="C723" s="25"/>
      <c r="D723" s="138"/>
      <c r="E723" s="138"/>
      <c r="F723" s="138"/>
      <c r="G723" s="119"/>
    </row>
    <row r="724" ht="22.5" customHeight="1">
      <c r="A724" s="24"/>
      <c r="B724" s="25"/>
      <c r="C724" s="25"/>
      <c r="D724" s="138"/>
      <c r="E724" s="138"/>
      <c r="F724" s="138"/>
      <c r="G724" s="119"/>
    </row>
    <row r="725" ht="22.5" customHeight="1">
      <c r="A725" s="24"/>
      <c r="B725" s="25"/>
      <c r="C725" s="25"/>
      <c r="D725" s="138"/>
      <c r="E725" s="138"/>
      <c r="F725" s="138"/>
      <c r="G725" s="119"/>
    </row>
    <row r="726" ht="22.5" customHeight="1">
      <c r="A726" s="24"/>
      <c r="B726" s="25"/>
      <c r="C726" s="25"/>
      <c r="D726" s="138"/>
      <c r="E726" s="138"/>
      <c r="F726" s="138"/>
      <c r="G726" s="119"/>
    </row>
    <row r="727" ht="22.5" customHeight="1">
      <c r="A727" s="24"/>
      <c r="B727" s="25"/>
      <c r="C727" s="25"/>
      <c r="D727" s="138"/>
      <c r="E727" s="138"/>
      <c r="F727" s="138"/>
      <c r="G727" s="119"/>
    </row>
    <row r="728" ht="22.5" customHeight="1">
      <c r="A728" s="24"/>
      <c r="B728" s="25"/>
      <c r="C728" s="25"/>
      <c r="D728" s="138"/>
      <c r="E728" s="138"/>
      <c r="F728" s="138"/>
      <c r="G728" s="119"/>
    </row>
    <row r="729" ht="22.5" customHeight="1">
      <c r="A729" s="24"/>
      <c r="B729" s="25"/>
      <c r="C729" s="25"/>
      <c r="D729" s="138"/>
      <c r="E729" s="138"/>
      <c r="F729" s="138"/>
      <c r="G729" s="119"/>
    </row>
    <row r="730" ht="22.5" customHeight="1">
      <c r="A730" s="24"/>
      <c r="B730" s="25"/>
      <c r="C730" s="25"/>
      <c r="D730" s="138"/>
      <c r="E730" s="138"/>
      <c r="F730" s="138"/>
      <c r="G730" s="119"/>
    </row>
    <row r="731" ht="22.5" customHeight="1">
      <c r="A731" s="24"/>
      <c r="B731" s="25"/>
      <c r="C731" s="25"/>
      <c r="D731" s="138"/>
      <c r="E731" s="138"/>
      <c r="F731" s="138"/>
      <c r="G731" s="119"/>
    </row>
    <row r="732" ht="22.5" customHeight="1">
      <c r="A732" s="24"/>
      <c r="B732" s="25"/>
      <c r="C732" s="25"/>
      <c r="D732" s="138"/>
      <c r="E732" s="138"/>
      <c r="F732" s="138"/>
      <c r="G732" s="119"/>
    </row>
    <row r="733" ht="22.5" customHeight="1">
      <c r="A733" s="24"/>
      <c r="B733" s="25"/>
      <c r="C733" s="25"/>
      <c r="D733" s="138"/>
      <c r="E733" s="138"/>
      <c r="F733" s="138"/>
      <c r="G733" s="119"/>
    </row>
    <row r="734" ht="22.5" customHeight="1">
      <c r="A734" s="24"/>
      <c r="B734" s="25"/>
      <c r="C734" s="25"/>
      <c r="D734" s="138"/>
      <c r="E734" s="138"/>
      <c r="F734" s="138"/>
      <c r="G734" s="119"/>
    </row>
    <row r="735" ht="22.5" customHeight="1">
      <c r="A735" s="24"/>
      <c r="B735" s="25"/>
      <c r="C735" s="25"/>
      <c r="D735" s="138"/>
      <c r="E735" s="138"/>
      <c r="F735" s="138"/>
      <c r="G735" s="119"/>
    </row>
    <row r="736" ht="22.5" customHeight="1">
      <c r="A736" s="24"/>
      <c r="B736" s="25"/>
      <c r="C736" s="25"/>
      <c r="D736" s="138"/>
      <c r="E736" s="138"/>
      <c r="F736" s="138"/>
      <c r="G736" s="119"/>
    </row>
    <row r="737" ht="22.5" customHeight="1">
      <c r="A737" s="24"/>
      <c r="B737" s="25"/>
      <c r="C737" s="25"/>
      <c r="D737" s="138"/>
      <c r="E737" s="138"/>
      <c r="F737" s="138"/>
      <c r="G737" s="119"/>
    </row>
    <row r="738" ht="22.5" customHeight="1">
      <c r="A738" s="24"/>
      <c r="B738" s="25"/>
      <c r="C738" s="25"/>
      <c r="D738" s="138"/>
      <c r="E738" s="138"/>
      <c r="F738" s="138"/>
      <c r="G738" s="119"/>
    </row>
    <row r="739" ht="22.5" customHeight="1">
      <c r="A739" s="24"/>
      <c r="B739" s="25"/>
      <c r="C739" s="25"/>
      <c r="D739" s="138"/>
      <c r="E739" s="138"/>
      <c r="F739" s="138"/>
      <c r="G739" s="119"/>
    </row>
    <row r="740" ht="22.5" customHeight="1">
      <c r="A740" s="24"/>
      <c r="B740" s="25"/>
      <c r="C740" s="25"/>
      <c r="D740" s="138"/>
      <c r="E740" s="138"/>
      <c r="F740" s="138"/>
      <c r="G740" s="119"/>
    </row>
    <row r="741" ht="22.5" customHeight="1">
      <c r="A741" s="24"/>
      <c r="B741" s="25"/>
      <c r="C741" s="25"/>
      <c r="D741" s="138"/>
      <c r="E741" s="138"/>
      <c r="F741" s="138"/>
      <c r="G741" s="119"/>
    </row>
    <row r="742" ht="22.5" customHeight="1">
      <c r="A742" s="24"/>
      <c r="B742" s="25"/>
      <c r="C742" s="25"/>
      <c r="D742" s="138"/>
      <c r="E742" s="138"/>
      <c r="F742" s="138"/>
      <c r="G742" s="119"/>
    </row>
    <row r="743" ht="22.5" customHeight="1">
      <c r="A743" s="24"/>
      <c r="B743" s="25"/>
      <c r="C743" s="25"/>
      <c r="D743" s="138"/>
      <c r="E743" s="138"/>
      <c r="F743" s="138"/>
      <c r="G743" s="119"/>
    </row>
    <row r="744" ht="22.5" customHeight="1">
      <c r="A744" s="24"/>
      <c r="B744" s="25"/>
      <c r="C744" s="25"/>
      <c r="D744" s="138"/>
      <c r="E744" s="138"/>
      <c r="F744" s="138"/>
      <c r="G744" s="119"/>
    </row>
    <row r="745" ht="22.5" customHeight="1">
      <c r="A745" s="24"/>
      <c r="B745" s="25"/>
      <c r="C745" s="25"/>
      <c r="D745" s="138"/>
      <c r="E745" s="138"/>
      <c r="F745" s="138"/>
      <c r="G745" s="119"/>
    </row>
    <row r="746" ht="22.5" customHeight="1">
      <c r="A746" s="24"/>
      <c r="B746" s="25"/>
      <c r="C746" s="25"/>
      <c r="D746" s="138"/>
      <c r="E746" s="138"/>
      <c r="F746" s="138"/>
      <c r="G746" s="119"/>
    </row>
    <row r="747" ht="22.5" customHeight="1">
      <c r="A747" s="24"/>
      <c r="B747" s="25"/>
      <c r="C747" s="25"/>
      <c r="D747" s="138"/>
      <c r="E747" s="138"/>
      <c r="F747" s="138"/>
      <c r="G747" s="119"/>
    </row>
    <row r="748" ht="22.5" customHeight="1">
      <c r="A748" s="24"/>
      <c r="B748" s="25"/>
      <c r="C748" s="25"/>
      <c r="D748" s="138"/>
      <c r="E748" s="138"/>
      <c r="F748" s="138"/>
      <c r="G748" s="119"/>
    </row>
    <row r="749" ht="22.5" customHeight="1">
      <c r="A749" s="24"/>
      <c r="B749" s="25"/>
      <c r="C749" s="25"/>
      <c r="D749" s="138"/>
      <c r="E749" s="138"/>
      <c r="F749" s="138"/>
      <c r="G749" s="119"/>
    </row>
    <row r="750" ht="22.5" customHeight="1">
      <c r="A750" s="24"/>
      <c r="B750" s="25"/>
      <c r="C750" s="25"/>
      <c r="D750" s="138"/>
      <c r="E750" s="138"/>
      <c r="F750" s="138"/>
      <c r="G750" s="119"/>
    </row>
    <row r="751" ht="22.5" customHeight="1">
      <c r="A751" s="24"/>
      <c r="B751" s="25"/>
      <c r="C751" s="25"/>
      <c r="D751" s="138"/>
      <c r="E751" s="138"/>
      <c r="F751" s="138"/>
      <c r="G751" s="119"/>
    </row>
    <row r="752" ht="22.5" customHeight="1">
      <c r="A752" s="24"/>
      <c r="B752" s="25"/>
      <c r="C752" s="25"/>
      <c r="D752" s="138"/>
      <c r="E752" s="138"/>
      <c r="F752" s="138"/>
      <c r="G752" s="119"/>
    </row>
    <row r="753" ht="22.5" customHeight="1">
      <c r="A753" s="24"/>
      <c r="B753" s="25"/>
      <c r="C753" s="25"/>
      <c r="D753" s="138"/>
      <c r="E753" s="138"/>
      <c r="F753" s="138"/>
      <c r="G753" s="119"/>
    </row>
    <row r="754" ht="22.5" customHeight="1">
      <c r="A754" s="24"/>
      <c r="B754" s="25"/>
      <c r="C754" s="25"/>
      <c r="D754" s="138"/>
      <c r="E754" s="138"/>
      <c r="F754" s="138"/>
      <c r="G754" s="119"/>
    </row>
    <row r="755" ht="22.5" customHeight="1">
      <c r="A755" s="24"/>
      <c r="B755" s="25"/>
      <c r="C755" s="25"/>
      <c r="D755" s="138"/>
      <c r="E755" s="138"/>
      <c r="F755" s="138"/>
      <c r="G755" s="119"/>
    </row>
    <row r="756" ht="22.5" customHeight="1">
      <c r="A756" s="24"/>
      <c r="B756" s="25"/>
      <c r="C756" s="25"/>
      <c r="D756" s="138"/>
      <c r="E756" s="138"/>
      <c r="F756" s="138"/>
      <c r="G756" s="119"/>
    </row>
    <row r="757" ht="22.5" customHeight="1">
      <c r="A757" s="24"/>
      <c r="B757" s="25"/>
      <c r="C757" s="25"/>
      <c r="D757" s="138"/>
      <c r="E757" s="138"/>
      <c r="F757" s="138"/>
      <c r="G757" s="119"/>
    </row>
    <row r="758" ht="22.5" customHeight="1">
      <c r="A758" s="24"/>
      <c r="B758" s="25"/>
      <c r="C758" s="25"/>
      <c r="D758" s="138"/>
      <c r="E758" s="138"/>
      <c r="F758" s="138"/>
      <c r="G758" s="119"/>
    </row>
    <row r="759" ht="22.5" customHeight="1">
      <c r="A759" s="24"/>
      <c r="B759" s="25"/>
      <c r="C759" s="25"/>
      <c r="D759" s="138"/>
      <c r="E759" s="138"/>
      <c r="F759" s="138"/>
      <c r="G759" s="119"/>
    </row>
    <row r="760" ht="22.5" customHeight="1">
      <c r="A760" s="24"/>
      <c r="B760" s="25"/>
      <c r="C760" s="25"/>
      <c r="D760" s="138"/>
      <c r="E760" s="138"/>
      <c r="F760" s="138"/>
      <c r="G760" s="119"/>
    </row>
    <row r="761" ht="22.5" customHeight="1">
      <c r="A761" s="24"/>
      <c r="B761" s="25"/>
      <c r="C761" s="25"/>
      <c r="D761" s="138"/>
      <c r="E761" s="138"/>
      <c r="F761" s="138"/>
      <c r="G761" s="119"/>
    </row>
    <row r="762" ht="22.5" customHeight="1">
      <c r="A762" s="24"/>
      <c r="B762" s="25"/>
      <c r="C762" s="25"/>
      <c r="D762" s="138"/>
      <c r="E762" s="138"/>
      <c r="F762" s="138"/>
      <c r="G762" s="119"/>
    </row>
    <row r="763" ht="22.5" customHeight="1">
      <c r="A763" s="24"/>
      <c r="B763" s="25"/>
      <c r="C763" s="25"/>
      <c r="D763" s="138"/>
      <c r="E763" s="138"/>
      <c r="F763" s="138"/>
      <c r="G763" s="119"/>
    </row>
    <row r="764" ht="22.5" customHeight="1">
      <c r="A764" s="24"/>
      <c r="B764" s="25"/>
      <c r="C764" s="25"/>
      <c r="D764" s="138"/>
      <c r="E764" s="138"/>
      <c r="F764" s="138"/>
      <c r="G764" s="119"/>
    </row>
    <row r="765" ht="22.5" customHeight="1">
      <c r="A765" s="24"/>
      <c r="B765" s="25"/>
      <c r="C765" s="25"/>
      <c r="D765" s="138"/>
      <c r="E765" s="138"/>
      <c r="F765" s="138"/>
      <c r="G765" s="119"/>
    </row>
    <row r="766" ht="22.5" customHeight="1">
      <c r="A766" s="24"/>
      <c r="B766" s="25"/>
      <c r="C766" s="25"/>
      <c r="D766" s="138"/>
      <c r="E766" s="138"/>
      <c r="F766" s="138"/>
      <c r="G766" s="119"/>
    </row>
    <row r="767" ht="22.5" customHeight="1">
      <c r="A767" s="24"/>
      <c r="B767" s="25"/>
      <c r="C767" s="25"/>
      <c r="D767" s="138"/>
      <c r="E767" s="138"/>
      <c r="F767" s="138"/>
      <c r="G767" s="119"/>
    </row>
    <row r="768" ht="22.5" customHeight="1">
      <c r="A768" s="24"/>
      <c r="B768" s="25"/>
      <c r="C768" s="25"/>
      <c r="D768" s="138"/>
      <c r="E768" s="138"/>
      <c r="F768" s="138"/>
      <c r="G768" s="119"/>
    </row>
    <row r="769" ht="22.5" customHeight="1">
      <c r="A769" s="24"/>
      <c r="B769" s="25"/>
      <c r="C769" s="25"/>
      <c r="D769" s="138"/>
      <c r="E769" s="138"/>
      <c r="F769" s="138"/>
      <c r="G769" s="119"/>
    </row>
    <row r="770" ht="22.5" customHeight="1">
      <c r="A770" s="24"/>
      <c r="B770" s="25"/>
      <c r="C770" s="25"/>
      <c r="D770" s="138"/>
      <c r="E770" s="138"/>
      <c r="F770" s="138"/>
      <c r="G770" s="119"/>
    </row>
    <row r="771" ht="22.5" customHeight="1">
      <c r="A771" s="24"/>
      <c r="B771" s="25"/>
      <c r="C771" s="25"/>
      <c r="D771" s="138"/>
      <c r="E771" s="138"/>
      <c r="F771" s="138"/>
      <c r="G771" s="119"/>
    </row>
    <row r="772" ht="22.5" customHeight="1">
      <c r="A772" s="24"/>
      <c r="B772" s="25"/>
      <c r="C772" s="25"/>
      <c r="D772" s="138"/>
      <c r="E772" s="138"/>
      <c r="F772" s="138"/>
      <c r="G772" s="119"/>
    </row>
    <row r="773" ht="22.5" customHeight="1">
      <c r="A773" s="24"/>
      <c r="B773" s="25"/>
      <c r="C773" s="25"/>
      <c r="D773" s="138"/>
      <c r="E773" s="138"/>
      <c r="F773" s="138"/>
      <c r="G773" s="119"/>
    </row>
    <row r="774" ht="22.5" customHeight="1">
      <c r="A774" s="24"/>
      <c r="B774" s="25"/>
      <c r="C774" s="25"/>
      <c r="D774" s="138"/>
      <c r="E774" s="138"/>
      <c r="F774" s="138"/>
      <c r="G774" s="119"/>
    </row>
    <row r="775" ht="22.5" customHeight="1">
      <c r="A775" s="24"/>
      <c r="B775" s="25"/>
      <c r="C775" s="25"/>
      <c r="D775" s="138"/>
      <c r="E775" s="138"/>
      <c r="F775" s="138"/>
      <c r="G775" s="119"/>
    </row>
    <row r="776" ht="22.5" customHeight="1">
      <c r="A776" s="24"/>
      <c r="B776" s="25"/>
      <c r="C776" s="25"/>
      <c r="D776" s="138"/>
      <c r="E776" s="138"/>
      <c r="F776" s="138"/>
      <c r="G776" s="119"/>
    </row>
    <row r="777" ht="22.5" customHeight="1">
      <c r="A777" s="24"/>
      <c r="B777" s="25"/>
      <c r="C777" s="25"/>
      <c r="D777" s="138"/>
      <c r="E777" s="138"/>
      <c r="F777" s="138"/>
      <c r="G777" s="119"/>
    </row>
    <row r="778" ht="22.5" customHeight="1">
      <c r="A778" s="24"/>
      <c r="B778" s="25"/>
      <c r="C778" s="25"/>
      <c r="D778" s="138"/>
      <c r="E778" s="138"/>
      <c r="F778" s="138"/>
      <c r="G778" s="119"/>
    </row>
    <row r="779" ht="22.5" customHeight="1">
      <c r="A779" s="24"/>
      <c r="B779" s="25"/>
      <c r="C779" s="25"/>
      <c r="D779" s="138"/>
      <c r="E779" s="138"/>
      <c r="F779" s="138"/>
      <c r="G779" s="119"/>
    </row>
    <row r="780" ht="22.5" customHeight="1">
      <c r="A780" s="24"/>
      <c r="B780" s="25"/>
      <c r="C780" s="25"/>
      <c r="D780" s="138"/>
      <c r="E780" s="138"/>
      <c r="F780" s="138"/>
      <c r="G780" s="119"/>
    </row>
    <row r="781" ht="22.5" customHeight="1">
      <c r="A781" s="24"/>
      <c r="B781" s="25"/>
      <c r="C781" s="25"/>
      <c r="D781" s="138"/>
      <c r="E781" s="138"/>
      <c r="F781" s="138"/>
      <c r="G781" s="119"/>
    </row>
    <row r="782" ht="22.5" customHeight="1">
      <c r="A782" s="24"/>
      <c r="B782" s="25"/>
      <c r="C782" s="25"/>
      <c r="D782" s="138"/>
      <c r="E782" s="138"/>
      <c r="F782" s="138"/>
      <c r="G782" s="119"/>
    </row>
    <row r="783" ht="22.5" customHeight="1">
      <c r="A783" s="24"/>
      <c r="B783" s="25"/>
      <c r="C783" s="25"/>
      <c r="D783" s="138"/>
      <c r="E783" s="138"/>
      <c r="F783" s="138"/>
      <c r="G783" s="119"/>
    </row>
    <row r="784" ht="22.5" customHeight="1">
      <c r="A784" s="24"/>
      <c r="B784" s="25"/>
      <c r="C784" s="25"/>
      <c r="D784" s="138"/>
      <c r="E784" s="138"/>
      <c r="F784" s="138"/>
      <c r="G784" s="119"/>
    </row>
    <row r="785" ht="22.5" customHeight="1">
      <c r="A785" s="24"/>
      <c r="B785" s="25"/>
      <c r="C785" s="25"/>
      <c r="D785" s="138"/>
      <c r="E785" s="138"/>
      <c r="F785" s="138"/>
      <c r="G785" s="119"/>
    </row>
    <row r="786" ht="22.5" customHeight="1">
      <c r="A786" s="24"/>
      <c r="B786" s="25"/>
      <c r="C786" s="25"/>
      <c r="D786" s="138"/>
      <c r="E786" s="138"/>
      <c r="F786" s="138"/>
      <c r="G786" s="119"/>
    </row>
    <row r="787" ht="22.5" customHeight="1">
      <c r="A787" s="24"/>
      <c r="B787" s="25"/>
      <c r="C787" s="25"/>
      <c r="D787" s="138"/>
      <c r="E787" s="138"/>
      <c r="F787" s="138"/>
      <c r="G787" s="119"/>
    </row>
    <row r="788" ht="22.5" customHeight="1">
      <c r="A788" s="24"/>
      <c r="B788" s="25"/>
      <c r="C788" s="25"/>
      <c r="D788" s="138"/>
      <c r="E788" s="138"/>
      <c r="F788" s="138"/>
      <c r="G788" s="119"/>
    </row>
    <row r="789" ht="22.5" customHeight="1">
      <c r="A789" s="24"/>
      <c r="B789" s="25"/>
      <c r="C789" s="25"/>
      <c r="D789" s="138"/>
      <c r="E789" s="138"/>
      <c r="F789" s="138"/>
      <c r="G789" s="119"/>
    </row>
    <row r="790" ht="22.5" customHeight="1">
      <c r="A790" s="24"/>
      <c r="B790" s="25"/>
      <c r="C790" s="25"/>
      <c r="D790" s="138"/>
      <c r="E790" s="138"/>
      <c r="F790" s="138"/>
      <c r="G790" s="119"/>
    </row>
    <row r="791" ht="22.5" customHeight="1">
      <c r="A791" s="24"/>
      <c r="B791" s="25"/>
      <c r="C791" s="25"/>
      <c r="D791" s="138"/>
      <c r="E791" s="138"/>
      <c r="F791" s="138"/>
      <c r="G791" s="119"/>
    </row>
    <row r="792" ht="22.5" customHeight="1">
      <c r="A792" s="24"/>
      <c r="B792" s="25"/>
      <c r="C792" s="25"/>
      <c r="D792" s="138"/>
      <c r="E792" s="138"/>
      <c r="F792" s="138"/>
      <c r="G792" s="119"/>
    </row>
    <row r="793" ht="22.5" customHeight="1">
      <c r="A793" s="24"/>
      <c r="B793" s="25"/>
      <c r="C793" s="25"/>
      <c r="D793" s="138"/>
      <c r="E793" s="138"/>
      <c r="F793" s="138"/>
      <c r="G793" s="119"/>
    </row>
    <row r="794" ht="22.5" customHeight="1">
      <c r="A794" s="24"/>
      <c r="B794" s="25"/>
      <c r="C794" s="25"/>
      <c r="D794" s="138"/>
      <c r="E794" s="138"/>
      <c r="F794" s="138"/>
      <c r="G794" s="119"/>
    </row>
    <row r="795" ht="22.5" customHeight="1">
      <c r="A795" s="24"/>
      <c r="B795" s="25"/>
      <c r="C795" s="25"/>
      <c r="D795" s="138"/>
      <c r="E795" s="138"/>
      <c r="F795" s="138"/>
      <c r="G795" s="119"/>
    </row>
    <row r="796" ht="22.5" customHeight="1">
      <c r="A796" s="24"/>
      <c r="B796" s="25"/>
      <c r="C796" s="25"/>
      <c r="D796" s="138"/>
      <c r="E796" s="138"/>
      <c r="F796" s="138"/>
      <c r="G796" s="119"/>
    </row>
    <row r="797" ht="22.5" customHeight="1">
      <c r="A797" s="24"/>
      <c r="B797" s="25"/>
      <c r="C797" s="25"/>
      <c r="D797" s="138"/>
      <c r="E797" s="138"/>
      <c r="F797" s="138"/>
      <c r="G797" s="119"/>
    </row>
    <row r="798" ht="22.5" customHeight="1">
      <c r="A798" s="24"/>
      <c r="B798" s="25"/>
      <c r="C798" s="25"/>
      <c r="D798" s="138"/>
      <c r="E798" s="138"/>
      <c r="F798" s="138"/>
      <c r="G798" s="119"/>
    </row>
    <row r="799" ht="22.5" customHeight="1">
      <c r="A799" s="24"/>
      <c r="B799" s="25"/>
      <c r="C799" s="25"/>
      <c r="D799" s="138"/>
      <c r="E799" s="138"/>
      <c r="F799" s="138"/>
      <c r="G799" s="119"/>
    </row>
    <row r="800" ht="22.5" customHeight="1">
      <c r="A800" s="24"/>
      <c r="B800" s="25"/>
      <c r="C800" s="25"/>
      <c r="D800" s="138"/>
      <c r="E800" s="138"/>
      <c r="F800" s="138"/>
      <c r="G800" s="119"/>
    </row>
    <row r="801" ht="22.5" customHeight="1">
      <c r="A801" s="24"/>
      <c r="B801" s="25"/>
      <c r="C801" s="25"/>
      <c r="D801" s="138"/>
      <c r="E801" s="138"/>
      <c r="F801" s="138"/>
      <c r="G801" s="119"/>
    </row>
    <row r="802" ht="22.5" customHeight="1">
      <c r="A802" s="24"/>
      <c r="B802" s="25"/>
      <c r="C802" s="25"/>
      <c r="D802" s="138"/>
      <c r="E802" s="138"/>
      <c r="F802" s="138"/>
      <c r="G802" s="119"/>
    </row>
    <row r="803" ht="22.5" customHeight="1">
      <c r="A803" s="24"/>
      <c r="B803" s="25"/>
      <c r="C803" s="25"/>
      <c r="D803" s="138"/>
      <c r="E803" s="138"/>
      <c r="F803" s="138"/>
      <c r="G803" s="119"/>
    </row>
    <row r="804" ht="22.5" customHeight="1">
      <c r="A804" s="24"/>
      <c r="B804" s="25"/>
      <c r="C804" s="25"/>
      <c r="D804" s="138"/>
      <c r="E804" s="138"/>
      <c r="F804" s="138"/>
      <c r="G804" s="119"/>
    </row>
    <row r="805" ht="22.5" customHeight="1">
      <c r="A805" s="24"/>
      <c r="B805" s="25"/>
      <c r="C805" s="25"/>
      <c r="D805" s="138"/>
      <c r="E805" s="138"/>
      <c r="F805" s="138"/>
      <c r="G805" s="119"/>
    </row>
    <row r="806" ht="22.5" customHeight="1">
      <c r="A806" s="24"/>
      <c r="B806" s="25"/>
      <c r="C806" s="25"/>
      <c r="D806" s="138"/>
      <c r="E806" s="138"/>
      <c r="F806" s="138"/>
      <c r="G806" s="119"/>
    </row>
    <row r="807" ht="22.5" customHeight="1">
      <c r="A807" s="24"/>
      <c r="B807" s="25"/>
      <c r="C807" s="25"/>
      <c r="D807" s="138"/>
      <c r="E807" s="138"/>
      <c r="F807" s="138"/>
      <c r="G807" s="119"/>
    </row>
    <row r="808" ht="22.5" customHeight="1">
      <c r="A808" s="24"/>
      <c r="B808" s="25"/>
      <c r="C808" s="25"/>
      <c r="D808" s="138"/>
      <c r="E808" s="138"/>
      <c r="F808" s="138"/>
      <c r="G808" s="119"/>
    </row>
    <row r="809" ht="22.5" customHeight="1">
      <c r="A809" s="24"/>
      <c r="B809" s="25"/>
      <c r="C809" s="25"/>
      <c r="D809" s="138"/>
      <c r="E809" s="138"/>
      <c r="F809" s="138"/>
      <c r="G809" s="119"/>
    </row>
    <row r="810" ht="22.5" customHeight="1">
      <c r="A810" s="24"/>
      <c r="B810" s="25"/>
      <c r="C810" s="25"/>
      <c r="D810" s="138"/>
      <c r="E810" s="138"/>
      <c r="F810" s="138"/>
      <c r="G810" s="119"/>
    </row>
    <row r="811" ht="22.5" customHeight="1">
      <c r="A811" s="24"/>
      <c r="B811" s="25"/>
      <c r="C811" s="25"/>
      <c r="D811" s="138"/>
      <c r="E811" s="138"/>
      <c r="F811" s="138"/>
      <c r="G811" s="119"/>
    </row>
    <row r="812" ht="22.5" customHeight="1">
      <c r="A812" s="24"/>
      <c r="B812" s="25"/>
      <c r="C812" s="25"/>
      <c r="D812" s="138"/>
      <c r="E812" s="138"/>
      <c r="F812" s="138"/>
      <c r="G812" s="119"/>
    </row>
    <row r="813" ht="22.5" customHeight="1">
      <c r="A813" s="24"/>
      <c r="B813" s="25"/>
      <c r="C813" s="25"/>
      <c r="D813" s="138"/>
      <c r="E813" s="138"/>
      <c r="F813" s="138"/>
      <c r="G813" s="119"/>
    </row>
    <row r="814" ht="22.5" customHeight="1">
      <c r="A814" s="24"/>
      <c r="B814" s="25"/>
      <c r="C814" s="25"/>
      <c r="D814" s="138"/>
      <c r="E814" s="138"/>
      <c r="F814" s="138"/>
      <c r="G814" s="119"/>
    </row>
    <row r="815" ht="22.5" customHeight="1">
      <c r="A815" s="24"/>
      <c r="B815" s="25"/>
      <c r="C815" s="25"/>
      <c r="D815" s="138"/>
      <c r="E815" s="138"/>
      <c r="F815" s="138"/>
      <c r="G815" s="119"/>
    </row>
    <row r="816" ht="22.5" customHeight="1">
      <c r="A816" s="24"/>
      <c r="B816" s="25"/>
      <c r="C816" s="25"/>
      <c r="D816" s="138"/>
      <c r="E816" s="138"/>
      <c r="F816" s="138"/>
      <c r="G816" s="119"/>
    </row>
    <row r="817" ht="22.5" customHeight="1">
      <c r="A817" s="24"/>
      <c r="B817" s="25"/>
      <c r="C817" s="25"/>
      <c r="D817" s="138"/>
      <c r="E817" s="138"/>
      <c r="F817" s="138"/>
      <c r="G817" s="119"/>
    </row>
    <row r="818" ht="22.5" customHeight="1">
      <c r="A818" s="24"/>
      <c r="B818" s="25"/>
      <c r="C818" s="25"/>
      <c r="D818" s="138"/>
      <c r="E818" s="138"/>
      <c r="F818" s="138"/>
      <c r="G818" s="119"/>
    </row>
    <row r="819" ht="22.5" customHeight="1">
      <c r="A819" s="24"/>
      <c r="B819" s="25"/>
      <c r="C819" s="25"/>
      <c r="D819" s="138"/>
      <c r="E819" s="138"/>
      <c r="F819" s="138"/>
      <c r="G819" s="119"/>
    </row>
    <row r="820" ht="22.5" customHeight="1">
      <c r="A820" s="24"/>
      <c r="B820" s="25"/>
      <c r="C820" s="25"/>
      <c r="D820" s="138"/>
      <c r="E820" s="138"/>
      <c r="F820" s="138"/>
      <c r="G820" s="119"/>
    </row>
    <row r="821" ht="22.5" customHeight="1">
      <c r="A821" s="24"/>
      <c r="B821" s="25"/>
      <c r="C821" s="25"/>
      <c r="D821" s="138"/>
      <c r="E821" s="138"/>
      <c r="F821" s="138"/>
      <c r="G821" s="119"/>
    </row>
    <row r="822" ht="22.5" customHeight="1">
      <c r="A822" s="24"/>
      <c r="B822" s="25"/>
      <c r="C822" s="25"/>
      <c r="D822" s="138"/>
      <c r="E822" s="138"/>
      <c r="F822" s="138"/>
      <c r="G822" s="119"/>
    </row>
    <row r="823" ht="22.5" customHeight="1">
      <c r="A823" s="24"/>
      <c r="B823" s="25"/>
      <c r="C823" s="25"/>
      <c r="D823" s="138"/>
      <c r="E823" s="138"/>
      <c r="F823" s="138"/>
      <c r="G823" s="119"/>
    </row>
    <row r="824" ht="22.5" customHeight="1">
      <c r="A824" s="24"/>
      <c r="B824" s="25"/>
      <c r="C824" s="25"/>
      <c r="D824" s="138"/>
      <c r="E824" s="138"/>
      <c r="F824" s="138"/>
      <c r="G824" s="119"/>
    </row>
    <row r="825" ht="22.5" customHeight="1">
      <c r="A825" s="24"/>
      <c r="B825" s="25"/>
      <c r="C825" s="25"/>
      <c r="D825" s="138"/>
      <c r="E825" s="138"/>
      <c r="F825" s="138"/>
      <c r="G825" s="119"/>
    </row>
    <row r="826" ht="22.5" customHeight="1">
      <c r="A826" s="24"/>
      <c r="B826" s="25"/>
      <c r="C826" s="25"/>
      <c r="D826" s="138"/>
      <c r="E826" s="138"/>
      <c r="F826" s="138"/>
      <c r="G826" s="119"/>
    </row>
    <row r="827" ht="22.5" customHeight="1">
      <c r="A827" s="24"/>
      <c r="B827" s="25"/>
      <c r="C827" s="25"/>
      <c r="D827" s="138"/>
      <c r="E827" s="138"/>
      <c r="F827" s="138"/>
      <c r="G827" s="119"/>
    </row>
    <row r="828" ht="22.5" customHeight="1">
      <c r="A828" s="24"/>
      <c r="B828" s="25"/>
      <c r="C828" s="25"/>
      <c r="D828" s="138"/>
      <c r="E828" s="138"/>
      <c r="F828" s="138"/>
      <c r="G828" s="119"/>
    </row>
    <row r="829" ht="22.5" customHeight="1">
      <c r="A829" s="24"/>
      <c r="B829" s="25"/>
      <c r="C829" s="25"/>
      <c r="D829" s="138"/>
      <c r="E829" s="138"/>
      <c r="F829" s="138"/>
      <c r="G829" s="119"/>
    </row>
    <row r="830" ht="22.5" customHeight="1">
      <c r="A830" s="24"/>
      <c r="B830" s="25"/>
      <c r="C830" s="25"/>
      <c r="D830" s="138"/>
      <c r="E830" s="138"/>
      <c r="F830" s="138"/>
      <c r="G830" s="119"/>
    </row>
    <row r="831" ht="22.5" customHeight="1">
      <c r="A831" s="24"/>
      <c r="B831" s="25"/>
      <c r="C831" s="25"/>
      <c r="D831" s="138"/>
      <c r="E831" s="138"/>
      <c r="F831" s="138"/>
      <c r="G831" s="119"/>
    </row>
    <row r="832" ht="22.5" customHeight="1">
      <c r="A832" s="24"/>
      <c r="B832" s="25"/>
      <c r="C832" s="25"/>
      <c r="D832" s="138"/>
      <c r="E832" s="138"/>
      <c r="F832" s="138"/>
      <c r="G832" s="119"/>
    </row>
    <row r="833" ht="22.5" customHeight="1">
      <c r="A833" s="24"/>
      <c r="B833" s="25"/>
      <c r="C833" s="25"/>
      <c r="D833" s="138"/>
      <c r="E833" s="138"/>
      <c r="F833" s="138"/>
      <c r="G833" s="119"/>
    </row>
    <row r="834" ht="22.5" customHeight="1">
      <c r="A834" s="24"/>
      <c r="B834" s="25"/>
      <c r="C834" s="25"/>
      <c r="D834" s="138"/>
      <c r="E834" s="138"/>
      <c r="F834" s="138"/>
      <c r="G834" s="119"/>
    </row>
    <row r="835" ht="22.5" customHeight="1">
      <c r="A835" s="24"/>
      <c r="B835" s="25"/>
      <c r="C835" s="25"/>
      <c r="D835" s="138"/>
      <c r="E835" s="138"/>
      <c r="F835" s="138"/>
      <c r="G835" s="119"/>
    </row>
    <row r="836" ht="22.5" customHeight="1">
      <c r="A836" s="24"/>
      <c r="B836" s="25"/>
      <c r="C836" s="25"/>
      <c r="D836" s="138"/>
      <c r="E836" s="138"/>
      <c r="F836" s="138"/>
      <c r="G836" s="119"/>
    </row>
    <row r="837" ht="22.5" customHeight="1">
      <c r="A837" s="24"/>
      <c r="B837" s="25"/>
      <c r="C837" s="25"/>
      <c r="D837" s="138"/>
      <c r="E837" s="138"/>
      <c r="F837" s="138"/>
      <c r="G837" s="119"/>
    </row>
    <row r="838" ht="22.5" customHeight="1">
      <c r="A838" s="24"/>
      <c r="B838" s="25"/>
      <c r="C838" s="25"/>
      <c r="D838" s="138"/>
      <c r="E838" s="138"/>
      <c r="F838" s="138"/>
      <c r="G838" s="119"/>
    </row>
    <row r="839" ht="22.5" customHeight="1">
      <c r="A839" s="24"/>
      <c r="B839" s="25"/>
      <c r="C839" s="25"/>
      <c r="D839" s="138"/>
      <c r="E839" s="138"/>
      <c r="F839" s="138"/>
      <c r="G839" s="119"/>
    </row>
    <row r="840" ht="22.5" customHeight="1">
      <c r="A840" s="24"/>
      <c r="B840" s="25"/>
      <c r="C840" s="25"/>
      <c r="D840" s="138"/>
      <c r="E840" s="138"/>
      <c r="F840" s="138"/>
      <c r="G840" s="119"/>
    </row>
    <row r="841" ht="22.5" customHeight="1">
      <c r="A841" s="24"/>
      <c r="B841" s="25"/>
      <c r="C841" s="25"/>
      <c r="D841" s="138"/>
      <c r="E841" s="138"/>
      <c r="F841" s="138"/>
      <c r="G841" s="119"/>
    </row>
    <row r="842" ht="22.5" customHeight="1">
      <c r="A842" s="24"/>
      <c r="B842" s="25"/>
      <c r="C842" s="25"/>
      <c r="D842" s="138"/>
      <c r="E842" s="138"/>
      <c r="F842" s="138"/>
      <c r="G842" s="119"/>
    </row>
    <row r="843" ht="22.5" customHeight="1">
      <c r="A843" s="24"/>
      <c r="B843" s="25"/>
      <c r="C843" s="25"/>
      <c r="D843" s="138"/>
      <c r="E843" s="138"/>
      <c r="F843" s="138"/>
      <c r="G843" s="119"/>
    </row>
    <row r="844" ht="22.5" customHeight="1">
      <c r="A844" s="24"/>
      <c r="B844" s="25"/>
      <c r="C844" s="25"/>
      <c r="D844" s="138"/>
      <c r="E844" s="138"/>
      <c r="F844" s="138"/>
      <c r="G844" s="119"/>
    </row>
    <row r="845" ht="22.5" customHeight="1">
      <c r="A845" s="24"/>
      <c r="B845" s="25"/>
      <c r="C845" s="25"/>
      <c r="D845" s="138"/>
      <c r="E845" s="138"/>
      <c r="F845" s="138"/>
      <c r="G845" s="119"/>
    </row>
    <row r="846" ht="22.5" customHeight="1">
      <c r="A846" s="24"/>
      <c r="B846" s="25"/>
      <c r="C846" s="25"/>
      <c r="D846" s="138"/>
      <c r="E846" s="138"/>
      <c r="F846" s="138"/>
      <c r="G846" s="119"/>
    </row>
    <row r="847" ht="22.5" customHeight="1">
      <c r="A847" s="24"/>
      <c r="B847" s="25"/>
      <c r="C847" s="25"/>
      <c r="D847" s="138"/>
      <c r="E847" s="138"/>
      <c r="F847" s="138"/>
      <c r="G847" s="119"/>
    </row>
    <row r="848" ht="22.5" customHeight="1">
      <c r="A848" s="24"/>
      <c r="B848" s="25"/>
      <c r="C848" s="25"/>
      <c r="D848" s="138"/>
      <c r="E848" s="138"/>
      <c r="F848" s="138"/>
      <c r="G848" s="119"/>
    </row>
    <row r="849" ht="22.5" customHeight="1">
      <c r="A849" s="24"/>
      <c r="B849" s="25"/>
      <c r="C849" s="25"/>
      <c r="D849" s="138"/>
      <c r="E849" s="138"/>
      <c r="F849" s="138"/>
      <c r="G849" s="119"/>
    </row>
    <row r="850" ht="22.5" customHeight="1">
      <c r="A850" s="24"/>
      <c r="B850" s="25"/>
      <c r="C850" s="25"/>
      <c r="D850" s="138"/>
      <c r="E850" s="138"/>
      <c r="F850" s="138"/>
      <c r="G850" s="119"/>
    </row>
    <row r="851" ht="22.5" customHeight="1">
      <c r="A851" s="24"/>
      <c r="B851" s="25"/>
      <c r="C851" s="25"/>
      <c r="D851" s="138"/>
      <c r="E851" s="138"/>
      <c r="F851" s="138"/>
      <c r="G851" s="119"/>
    </row>
    <row r="852" ht="22.5" customHeight="1">
      <c r="A852" s="24"/>
      <c r="B852" s="25"/>
      <c r="C852" s="25"/>
      <c r="D852" s="138"/>
      <c r="E852" s="138"/>
      <c r="F852" s="138"/>
      <c r="G852" s="119"/>
    </row>
    <row r="853" ht="22.5" customHeight="1">
      <c r="A853" s="24"/>
      <c r="B853" s="25"/>
      <c r="C853" s="25"/>
      <c r="D853" s="138"/>
      <c r="E853" s="138"/>
      <c r="F853" s="138"/>
      <c r="G853" s="119"/>
    </row>
    <row r="854" ht="22.5" customHeight="1">
      <c r="A854" s="24"/>
      <c r="B854" s="25"/>
      <c r="C854" s="25"/>
      <c r="D854" s="138"/>
      <c r="E854" s="138"/>
      <c r="F854" s="138"/>
      <c r="G854" s="119"/>
    </row>
    <row r="855" ht="22.5" customHeight="1">
      <c r="A855" s="24"/>
      <c r="B855" s="25"/>
      <c r="C855" s="25"/>
      <c r="D855" s="138"/>
      <c r="E855" s="138"/>
      <c r="F855" s="138"/>
      <c r="G855" s="119"/>
    </row>
    <row r="856" ht="22.5" customHeight="1">
      <c r="A856" s="24"/>
      <c r="B856" s="25"/>
      <c r="C856" s="25"/>
      <c r="D856" s="138"/>
      <c r="E856" s="138"/>
      <c r="F856" s="138"/>
      <c r="G856" s="119"/>
    </row>
    <row r="857" ht="22.5" customHeight="1">
      <c r="A857" s="24"/>
      <c r="B857" s="25"/>
      <c r="C857" s="25"/>
      <c r="D857" s="138"/>
      <c r="E857" s="138"/>
      <c r="F857" s="138"/>
      <c r="G857" s="119"/>
    </row>
    <row r="858" ht="22.5" customHeight="1">
      <c r="A858" s="24"/>
      <c r="B858" s="25"/>
      <c r="C858" s="25"/>
      <c r="D858" s="138"/>
      <c r="E858" s="138"/>
      <c r="F858" s="138"/>
      <c r="G858" s="119"/>
    </row>
    <row r="859" ht="22.5" customHeight="1">
      <c r="A859" s="24"/>
      <c r="B859" s="25"/>
      <c r="C859" s="25"/>
      <c r="D859" s="138"/>
      <c r="E859" s="138"/>
      <c r="F859" s="138"/>
      <c r="G859" s="119"/>
    </row>
    <row r="860" ht="22.5" customHeight="1">
      <c r="A860" s="24"/>
      <c r="B860" s="25"/>
      <c r="C860" s="25"/>
      <c r="D860" s="138"/>
      <c r="E860" s="138"/>
      <c r="F860" s="138"/>
      <c r="G860" s="119"/>
    </row>
    <row r="861" ht="22.5" customHeight="1">
      <c r="A861" s="24"/>
      <c r="B861" s="25"/>
      <c r="C861" s="25"/>
      <c r="D861" s="138"/>
      <c r="E861" s="138"/>
      <c r="F861" s="138"/>
      <c r="G861" s="119"/>
    </row>
    <row r="862" ht="22.5" customHeight="1">
      <c r="A862" s="24"/>
      <c r="B862" s="25"/>
      <c r="C862" s="25"/>
      <c r="D862" s="138"/>
      <c r="E862" s="138"/>
      <c r="F862" s="138"/>
      <c r="G862" s="119"/>
    </row>
    <row r="863" ht="22.5" customHeight="1">
      <c r="A863" s="24"/>
      <c r="B863" s="25"/>
      <c r="C863" s="25"/>
      <c r="D863" s="138"/>
      <c r="E863" s="138"/>
      <c r="F863" s="138"/>
      <c r="G863" s="119"/>
    </row>
    <row r="864" ht="22.5" customHeight="1">
      <c r="A864" s="24"/>
      <c r="B864" s="25"/>
      <c r="C864" s="25"/>
      <c r="D864" s="138"/>
      <c r="E864" s="138"/>
      <c r="F864" s="138"/>
      <c r="G864" s="119"/>
    </row>
    <row r="865" ht="22.5" customHeight="1">
      <c r="A865" s="24"/>
      <c r="B865" s="25"/>
      <c r="C865" s="25"/>
      <c r="D865" s="138"/>
      <c r="E865" s="138"/>
      <c r="F865" s="138"/>
      <c r="G865" s="119"/>
    </row>
    <row r="866" ht="22.5" customHeight="1">
      <c r="A866" s="24"/>
      <c r="B866" s="25"/>
      <c r="C866" s="25"/>
      <c r="D866" s="138"/>
      <c r="E866" s="138"/>
      <c r="F866" s="138"/>
      <c r="G866" s="119"/>
    </row>
    <row r="867" ht="22.5" customHeight="1">
      <c r="A867" s="24"/>
      <c r="B867" s="25"/>
      <c r="C867" s="25"/>
      <c r="D867" s="138"/>
      <c r="E867" s="138"/>
      <c r="F867" s="138"/>
      <c r="G867" s="119"/>
    </row>
    <row r="868" ht="22.5" customHeight="1">
      <c r="A868" s="24"/>
      <c r="B868" s="25"/>
      <c r="C868" s="25"/>
      <c r="D868" s="138"/>
      <c r="E868" s="138"/>
      <c r="F868" s="138"/>
      <c r="G868" s="119"/>
    </row>
    <row r="869" ht="22.5" customHeight="1">
      <c r="A869" s="24"/>
      <c r="B869" s="25"/>
      <c r="C869" s="25"/>
      <c r="D869" s="138"/>
      <c r="E869" s="138"/>
      <c r="F869" s="138"/>
      <c r="G869" s="119"/>
    </row>
    <row r="870" ht="22.5" customHeight="1">
      <c r="A870" s="24"/>
      <c r="B870" s="25"/>
      <c r="C870" s="25"/>
      <c r="D870" s="138"/>
      <c r="E870" s="138"/>
      <c r="F870" s="138"/>
      <c r="G870" s="119"/>
    </row>
    <row r="871" ht="22.5" customHeight="1">
      <c r="A871" s="24"/>
      <c r="B871" s="25"/>
      <c r="C871" s="25"/>
      <c r="D871" s="138"/>
      <c r="E871" s="138"/>
      <c r="F871" s="138"/>
      <c r="G871" s="119"/>
    </row>
    <row r="872" ht="22.5" customHeight="1">
      <c r="A872" s="24"/>
      <c r="B872" s="25"/>
      <c r="C872" s="25"/>
      <c r="D872" s="138"/>
      <c r="E872" s="138"/>
      <c r="F872" s="138"/>
      <c r="G872" s="119"/>
    </row>
    <row r="873" ht="22.5" customHeight="1">
      <c r="A873" s="24"/>
      <c r="B873" s="25"/>
      <c r="C873" s="25"/>
      <c r="D873" s="138"/>
      <c r="E873" s="138"/>
      <c r="F873" s="138"/>
      <c r="G873" s="119"/>
    </row>
    <row r="874" ht="22.5" customHeight="1">
      <c r="A874" s="24"/>
      <c r="B874" s="25"/>
      <c r="C874" s="25"/>
      <c r="D874" s="138"/>
      <c r="E874" s="138"/>
      <c r="F874" s="138"/>
      <c r="G874" s="119"/>
    </row>
    <row r="875" ht="22.5" customHeight="1">
      <c r="A875" s="24"/>
      <c r="B875" s="25"/>
      <c r="C875" s="25"/>
      <c r="D875" s="138"/>
      <c r="E875" s="138"/>
      <c r="F875" s="138"/>
      <c r="G875" s="119"/>
    </row>
    <row r="876" ht="22.5" customHeight="1">
      <c r="A876" s="24"/>
      <c r="B876" s="25"/>
      <c r="C876" s="25"/>
      <c r="D876" s="138"/>
      <c r="E876" s="138"/>
      <c r="F876" s="138"/>
      <c r="G876" s="119"/>
    </row>
    <row r="877" ht="22.5" customHeight="1">
      <c r="A877" s="24"/>
      <c r="B877" s="25"/>
      <c r="C877" s="25"/>
      <c r="D877" s="138"/>
      <c r="E877" s="138"/>
      <c r="F877" s="138"/>
      <c r="G877" s="119"/>
    </row>
    <row r="878" ht="22.5" customHeight="1">
      <c r="A878" s="24"/>
      <c r="B878" s="25"/>
      <c r="C878" s="25"/>
      <c r="D878" s="138"/>
      <c r="E878" s="138"/>
      <c r="F878" s="138"/>
      <c r="G878" s="119"/>
    </row>
    <row r="879" ht="22.5" customHeight="1">
      <c r="A879" s="24"/>
      <c r="B879" s="25"/>
      <c r="C879" s="25"/>
      <c r="D879" s="138"/>
      <c r="E879" s="138"/>
      <c r="F879" s="138"/>
      <c r="G879" s="119"/>
    </row>
    <row r="880" ht="22.5" customHeight="1">
      <c r="A880" s="24"/>
      <c r="B880" s="25"/>
      <c r="C880" s="25"/>
      <c r="D880" s="138"/>
      <c r="E880" s="138"/>
      <c r="F880" s="138"/>
      <c r="G880" s="119"/>
    </row>
    <row r="881" ht="22.5" customHeight="1">
      <c r="A881" s="24"/>
      <c r="B881" s="25"/>
      <c r="C881" s="25"/>
      <c r="D881" s="138"/>
      <c r="E881" s="138"/>
      <c r="F881" s="138"/>
      <c r="G881" s="119"/>
    </row>
    <row r="882" ht="22.5" customHeight="1">
      <c r="A882" s="24"/>
      <c r="B882" s="25"/>
      <c r="C882" s="25"/>
      <c r="D882" s="138"/>
      <c r="E882" s="138"/>
      <c r="F882" s="138"/>
      <c r="G882" s="119"/>
    </row>
    <row r="883" ht="22.5" customHeight="1">
      <c r="A883" s="24"/>
      <c r="B883" s="25"/>
      <c r="C883" s="25"/>
      <c r="D883" s="138"/>
      <c r="E883" s="138"/>
      <c r="F883" s="138"/>
      <c r="G883" s="119"/>
    </row>
    <row r="884" ht="22.5" customHeight="1">
      <c r="A884" s="24"/>
      <c r="B884" s="25"/>
      <c r="C884" s="25"/>
      <c r="D884" s="138"/>
      <c r="E884" s="138"/>
      <c r="F884" s="138"/>
      <c r="G884" s="119"/>
    </row>
    <row r="885" ht="22.5" customHeight="1">
      <c r="A885" s="24"/>
      <c r="B885" s="25"/>
      <c r="C885" s="25"/>
      <c r="D885" s="138"/>
      <c r="E885" s="138"/>
      <c r="F885" s="138"/>
      <c r="G885" s="119"/>
    </row>
    <row r="886" ht="22.5" customHeight="1">
      <c r="A886" s="24"/>
      <c r="B886" s="25"/>
      <c r="C886" s="25"/>
      <c r="D886" s="138"/>
      <c r="E886" s="138"/>
      <c r="F886" s="138"/>
      <c r="G886" s="119"/>
    </row>
    <row r="887" ht="22.5" customHeight="1">
      <c r="A887" s="24"/>
      <c r="B887" s="25"/>
      <c r="C887" s="25"/>
      <c r="D887" s="138"/>
      <c r="E887" s="138"/>
      <c r="F887" s="138"/>
      <c r="G887" s="119"/>
    </row>
    <row r="888" ht="22.5" customHeight="1">
      <c r="A888" s="24"/>
      <c r="B888" s="25"/>
      <c r="C888" s="25"/>
      <c r="D888" s="138"/>
      <c r="E888" s="138"/>
      <c r="F888" s="138"/>
      <c r="G888" s="119"/>
    </row>
    <row r="889" ht="22.5" customHeight="1">
      <c r="A889" s="24"/>
      <c r="B889" s="25"/>
      <c r="C889" s="25"/>
      <c r="D889" s="138"/>
      <c r="E889" s="138"/>
      <c r="F889" s="138"/>
      <c r="G889" s="119"/>
    </row>
    <row r="890" ht="22.5" customHeight="1">
      <c r="A890" s="24"/>
      <c r="B890" s="25"/>
      <c r="C890" s="25"/>
      <c r="D890" s="138"/>
      <c r="E890" s="138"/>
      <c r="F890" s="138"/>
      <c r="G890" s="119"/>
    </row>
    <row r="891" ht="22.5" customHeight="1">
      <c r="A891" s="24"/>
      <c r="B891" s="25"/>
      <c r="C891" s="25"/>
      <c r="D891" s="138"/>
      <c r="E891" s="138"/>
      <c r="F891" s="138"/>
      <c r="G891" s="119"/>
    </row>
    <row r="892" ht="22.5" customHeight="1">
      <c r="A892" s="24"/>
      <c r="B892" s="25"/>
      <c r="C892" s="25"/>
      <c r="D892" s="138"/>
      <c r="E892" s="138"/>
      <c r="F892" s="138"/>
      <c r="G892" s="119"/>
    </row>
    <row r="893" ht="22.5" customHeight="1">
      <c r="A893" s="24"/>
      <c r="B893" s="25"/>
      <c r="C893" s="25"/>
      <c r="D893" s="138"/>
      <c r="E893" s="138"/>
      <c r="F893" s="138"/>
      <c r="G893" s="119"/>
    </row>
    <row r="894" ht="22.5" customHeight="1">
      <c r="A894" s="24"/>
      <c r="B894" s="25"/>
      <c r="C894" s="25"/>
      <c r="D894" s="138"/>
      <c r="E894" s="138"/>
      <c r="F894" s="138"/>
      <c r="G894" s="119"/>
    </row>
    <row r="895" ht="22.5" customHeight="1">
      <c r="A895" s="24"/>
      <c r="B895" s="25"/>
      <c r="C895" s="25"/>
      <c r="D895" s="138"/>
      <c r="E895" s="138"/>
      <c r="F895" s="138"/>
      <c r="G895" s="119"/>
    </row>
    <row r="896" ht="22.5" customHeight="1">
      <c r="A896" s="24"/>
      <c r="B896" s="25"/>
      <c r="C896" s="25"/>
      <c r="D896" s="138"/>
      <c r="E896" s="138"/>
      <c r="F896" s="138"/>
      <c r="G896" s="119"/>
    </row>
    <row r="897" ht="22.5" customHeight="1">
      <c r="A897" s="24"/>
      <c r="B897" s="25"/>
      <c r="C897" s="25"/>
      <c r="D897" s="138"/>
      <c r="E897" s="138"/>
      <c r="F897" s="138"/>
      <c r="G897" s="119"/>
    </row>
    <row r="898" ht="22.5" customHeight="1">
      <c r="A898" s="24"/>
      <c r="B898" s="25"/>
      <c r="C898" s="25"/>
      <c r="D898" s="138"/>
      <c r="E898" s="138"/>
      <c r="F898" s="138"/>
      <c r="G898" s="119"/>
    </row>
    <row r="899" ht="22.5" customHeight="1">
      <c r="A899" s="24"/>
      <c r="B899" s="25"/>
      <c r="C899" s="25"/>
      <c r="D899" s="138"/>
      <c r="E899" s="138"/>
      <c r="F899" s="138"/>
      <c r="G899" s="119"/>
    </row>
    <row r="900" ht="22.5" customHeight="1">
      <c r="A900" s="24"/>
      <c r="B900" s="25"/>
      <c r="C900" s="25"/>
      <c r="D900" s="138"/>
      <c r="E900" s="138"/>
      <c r="F900" s="138"/>
      <c r="G900" s="119"/>
    </row>
    <row r="901" ht="22.5" customHeight="1">
      <c r="A901" s="24"/>
      <c r="B901" s="25"/>
      <c r="C901" s="25"/>
      <c r="D901" s="138"/>
      <c r="E901" s="138"/>
      <c r="F901" s="138"/>
      <c r="G901" s="119"/>
    </row>
    <row r="902" ht="22.5" customHeight="1">
      <c r="A902" s="24"/>
      <c r="B902" s="25"/>
      <c r="C902" s="25"/>
      <c r="D902" s="138"/>
      <c r="E902" s="138"/>
      <c r="F902" s="138"/>
      <c r="G902" s="119"/>
    </row>
    <row r="903" ht="22.5" customHeight="1">
      <c r="A903" s="24"/>
      <c r="B903" s="25"/>
      <c r="C903" s="25"/>
      <c r="D903" s="138"/>
      <c r="E903" s="138"/>
      <c r="F903" s="138"/>
      <c r="G903" s="119"/>
    </row>
    <row r="904" ht="22.5" customHeight="1">
      <c r="A904" s="24"/>
      <c r="B904" s="25"/>
      <c r="C904" s="25"/>
      <c r="D904" s="138"/>
      <c r="E904" s="138"/>
      <c r="F904" s="138"/>
      <c r="G904" s="119"/>
    </row>
    <row r="905" ht="22.5" customHeight="1">
      <c r="A905" s="24"/>
      <c r="B905" s="25"/>
      <c r="C905" s="25"/>
      <c r="D905" s="138"/>
      <c r="E905" s="138"/>
      <c r="F905" s="138"/>
      <c r="G905" s="119"/>
    </row>
    <row r="906" ht="22.5" customHeight="1">
      <c r="A906" s="24"/>
      <c r="B906" s="25"/>
      <c r="C906" s="25"/>
      <c r="D906" s="138"/>
      <c r="E906" s="138"/>
      <c r="F906" s="138"/>
      <c r="G906" s="119"/>
    </row>
    <row r="907" ht="22.5" customHeight="1">
      <c r="A907" s="24"/>
      <c r="B907" s="25"/>
      <c r="C907" s="25"/>
      <c r="D907" s="138"/>
      <c r="E907" s="138"/>
      <c r="F907" s="138"/>
      <c r="G907" s="119"/>
    </row>
    <row r="908" ht="22.5" customHeight="1">
      <c r="A908" s="24"/>
      <c r="B908" s="25"/>
      <c r="C908" s="25"/>
      <c r="D908" s="138"/>
      <c r="E908" s="138"/>
      <c r="F908" s="138"/>
      <c r="G908" s="119"/>
    </row>
    <row r="909" ht="22.5" customHeight="1">
      <c r="A909" s="24"/>
      <c r="B909" s="25"/>
      <c r="C909" s="25"/>
      <c r="D909" s="138"/>
      <c r="E909" s="138"/>
      <c r="F909" s="138"/>
      <c r="G909" s="119"/>
    </row>
    <row r="910" ht="22.5" customHeight="1">
      <c r="A910" s="24"/>
      <c r="B910" s="25"/>
      <c r="C910" s="25"/>
      <c r="D910" s="138"/>
      <c r="E910" s="138"/>
      <c r="F910" s="138"/>
      <c r="G910" s="119"/>
    </row>
    <row r="911" ht="22.5" customHeight="1">
      <c r="A911" s="24"/>
      <c r="B911" s="25"/>
      <c r="C911" s="25"/>
      <c r="D911" s="138"/>
      <c r="E911" s="138"/>
      <c r="F911" s="138"/>
      <c r="G911" s="119"/>
    </row>
    <row r="912" ht="22.5" customHeight="1">
      <c r="A912" s="24"/>
      <c r="B912" s="25"/>
      <c r="C912" s="25"/>
      <c r="D912" s="138"/>
      <c r="E912" s="138"/>
      <c r="F912" s="138"/>
      <c r="G912" s="119"/>
    </row>
    <row r="913" ht="22.5" customHeight="1">
      <c r="A913" s="24"/>
      <c r="B913" s="25"/>
      <c r="C913" s="25"/>
      <c r="D913" s="138"/>
      <c r="E913" s="138"/>
      <c r="F913" s="138"/>
      <c r="G913" s="119"/>
    </row>
    <row r="914" ht="22.5" customHeight="1">
      <c r="A914" s="24"/>
      <c r="B914" s="25"/>
      <c r="C914" s="25"/>
      <c r="D914" s="138"/>
      <c r="E914" s="138"/>
      <c r="F914" s="138"/>
      <c r="G914" s="119"/>
    </row>
    <row r="915" ht="22.5" customHeight="1">
      <c r="A915" s="24"/>
      <c r="B915" s="25"/>
      <c r="C915" s="25"/>
      <c r="D915" s="138"/>
      <c r="E915" s="138"/>
      <c r="F915" s="138"/>
      <c r="G915" s="119"/>
    </row>
    <row r="916" ht="22.5" customHeight="1">
      <c r="A916" s="24"/>
      <c r="B916" s="25"/>
      <c r="C916" s="25"/>
      <c r="D916" s="138"/>
      <c r="E916" s="138"/>
      <c r="F916" s="138"/>
      <c r="G916" s="119"/>
    </row>
    <row r="917" ht="22.5" customHeight="1">
      <c r="A917" s="24"/>
      <c r="B917" s="25"/>
      <c r="C917" s="25"/>
      <c r="D917" s="138"/>
      <c r="E917" s="138"/>
      <c r="F917" s="138"/>
      <c r="G917" s="119"/>
    </row>
    <row r="918" ht="22.5" customHeight="1">
      <c r="A918" s="24"/>
      <c r="B918" s="25"/>
      <c r="C918" s="25"/>
      <c r="D918" s="138"/>
      <c r="E918" s="138"/>
      <c r="F918" s="138"/>
      <c r="G918" s="119"/>
    </row>
    <row r="919" ht="22.5" customHeight="1">
      <c r="A919" s="24"/>
      <c r="B919" s="25"/>
      <c r="C919" s="25"/>
      <c r="D919" s="138"/>
      <c r="E919" s="138"/>
      <c r="F919" s="138"/>
      <c r="G919" s="119"/>
    </row>
    <row r="920" ht="22.5" customHeight="1">
      <c r="A920" s="24"/>
      <c r="B920" s="25"/>
      <c r="C920" s="25"/>
      <c r="D920" s="138"/>
      <c r="E920" s="138"/>
      <c r="F920" s="138"/>
      <c r="G920" s="119"/>
    </row>
    <row r="921" ht="22.5" customHeight="1">
      <c r="A921" s="24"/>
      <c r="B921" s="25"/>
      <c r="C921" s="25"/>
      <c r="D921" s="138"/>
      <c r="E921" s="138"/>
      <c r="F921" s="138"/>
      <c r="G921" s="119"/>
    </row>
    <row r="922" ht="22.5" customHeight="1">
      <c r="A922" s="24"/>
      <c r="B922" s="25"/>
      <c r="C922" s="25"/>
      <c r="D922" s="138"/>
      <c r="E922" s="138"/>
      <c r="F922" s="138"/>
      <c r="G922" s="119"/>
    </row>
    <row r="923" ht="22.5" customHeight="1">
      <c r="A923" s="24"/>
      <c r="B923" s="25"/>
      <c r="C923" s="25"/>
      <c r="D923" s="138"/>
      <c r="E923" s="138"/>
      <c r="F923" s="138"/>
      <c r="G923" s="119"/>
    </row>
    <row r="924" ht="22.5" customHeight="1">
      <c r="A924" s="24"/>
      <c r="B924" s="25"/>
      <c r="C924" s="25"/>
      <c r="D924" s="138"/>
      <c r="E924" s="138"/>
      <c r="F924" s="138"/>
      <c r="G924" s="119"/>
    </row>
    <row r="925" ht="22.5" customHeight="1">
      <c r="A925" s="24"/>
      <c r="B925" s="25"/>
      <c r="C925" s="25"/>
      <c r="D925" s="138"/>
      <c r="E925" s="138"/>
      <c r="F925" s="138"/>
      <c r="G925" s="119"/>
    </row>
    <row r="926" ht="22.5" customHeight="1">
      <c r="A926" s="24"/>
      <c r="B926" s="25"/>
      <c r="C926" s="25"/>
      <c r="D926" s="138"/>
      <c r="E926" s="138"/>
      <c r="F926" s="138"/>
      <c r="G926" s="119"/>
    </row>
    <row r="927" ht="22.5" customHeight="1">
      <c r="A927" s="24"/>
      <c r="B927" s="25"/>
      <c r="C927" s="25"/>
      <c r="D927" s="138"/>
      <c r="E927" s="138"/>
      <c r="F927" s="138"/>
      <c r="G927" s="119"/>
    </row>
    <row r="928" ht="22.5" customHeight="1">
      <c r="A928" s="24"/>
      <c r="B928" s="25"/>
      <c r="C928" s="25"/>
      <c r="D928" s="138"/>
      <c r="E928" s="138"/>
      <c r="F928" s="138"/>
      <c r="G928" s="119"/>
    </row>
    <row r="929" ht="22.5" customHeight="1">
      <c r="A929" s="24"/>
      <c r="B929" s="25"/>
      <c r="C929" s="25"/>
      <c r="D929" s="138"/>
      <c r="E929" s="138"/>
      <c r="F929" s="138"/>
      <c r="G929" s="119"/>
    </row>
    <row r="930" ht="22.5" customHeight="1">
      <c r="A930" s="24"/>
      <c r="B930" s="25"/>
      <c r="C930" s="25"/>
      <c r="D930" s="138"/>
      <c r="E930" s="138"/>
      <c r="F930" s="138"/>
      <c r="G930" s="119"/>
    </row>
    <row r="931" ht="22.5" customHeight="1">
      <c r="A931" s="24"/>
      <c r="B931" s="25"/>
      <c r="C931" s="25"/>
      <c r="D931" s="138"/>
      <c r="E931" s="138"/>
      <c r="F931" s="138"/>
      <c r="G931" s="119"/>
    </row>
    <row r="932" ht="22.5" customHeight="1">
      <c r="A932" s="24"/>
      <c r="B932" s="25"/>
      <c r="C932" s="25"/>
      <c r="D932" s="138"/>
      <c r="E932" s="138"/>
      <c r="F932" s="138"/>
      <c r="G932" s="119"/>
    </row>
    <row r="933" ht="22.5" customHeight="1">
      <c r="A933" s="24"/>
      <c r="B933" s="25"/>
      <c r="C933" s="25"/>
      <c r="D933" s="138"/>
      <c r="E933" s="138"/>
      <c r="F933" s="138"/>
      <c r="G933" s="119"/>
    </row>
    <row r="934" ht="22.5" customHeight="1">
      <c r="A934" s="24"/>
      <c r="B934" s="25"/>
      <c r="C934" s="25"/>
      <c r="D934" s="138"/>
      <c r="E934" s="138"/>
      <c r="F934" s="138"/>
      <c r="G934" s="119"/>
    </row>
    <row r="935" ht="22.5" customHeight="1">
      <c r="A935" s="24"/>
      <c r="B935" s="25"/>
      <c r="C935" s="25"/>
      <c r="D935" s="138"/>
      <c r="E935" s="138"/>
      <c r="F935" s="138"/>
      <c r="G935" s="119"/>
    </row>
    <row r="936" ht="22.5" customHeight="1">
      <c r="A936" s="24"/>
      <c r="B936" s="25"/>
      <c r="C936" s="25"/>
      <c r="D936" s="138"/>
      <c r="E936" s="138"/>
      <c r="F936" s="138"/>
      <c r="G936" s="119"/>
    </row>
    <row r="937" ht="22.5" customHeight="1">
      <c r="A937" s="24"/>
      <c r="B937" s="25"/>
      <c r="C937" s="25"/>
      <c r="D937" s="138"/>
      <c r="E937" s="138"/>
      <c r="F937" s="138"/>
      <c r="G937" s="119"/>
    </row>
    <row r="938" ht="22.5" customHeight="1">
      <c r="A938" s="24"/>
      <c r="B938" s="25"/>
      <c r="C938" s="25"/>
      <c r="D938" s="138"/>
      <c r="E938" s="138"/>
      <c r="F938" s="138"/>
      <c r="G938" s="119"/>
    </row>
    <row r="939" ht="22.5" customHeight="1">
      <c r="A939" s="24"/>
      <c r="B939" s="25"/>
      <c r="C939" s="25"/>
      <c r="D939" s="138"/>
      <c r="E939" s="138"/>
      <c r="F939" s="138"/>
      <c r="G939" s="119"/>
    </row>
    <row r="940" ht="22.5" customHeight="1">
      <c r="A940" s="24"/>
      <c r="B940" s="25"/>
      <c r="C940" s="25"/>
      <c r="D940" s="138"/>
      <c r="E940" s="138"/>
      <c r="F940" s="138"/>
      <c r="G940" s="119"/>
    </row>
    <row r="941" ht="22.5" customHeight="1">
      <c r="A941" s="24"/>
      <c r="B941" s="25"/>
      <c r="C941" s="25"/>
      <c r="D941" s="138"/>
      <c r="E941" s="138"/>
      <c r="F941" s="138"/>
      <c r="G941" s="119"/>
    </row>
    <row r="942" ht="22.5" customHeight="1">
      <c r="A942" s="24"/>
      <c r="B942" s="25"/>
      <c r="C942" s="25"/>
      <c r="D942" s="138"/>
      <c r="E942" s="138"/>
      <c r="F942" s="138"/>
      <c r="G942" s="119"/>
    </row>
    <row r="943" ht="22.5" customHeight="1">
      <c r="A943" s="24"/>
      <c r="B943" s="25"/>
      <c r="C943" s="25"/>
      <c r="D943" s="138"/>
      <c r="E943" s="138"/>
      <c r="F943" s="138"/>
      <c r="G943" s="119"/>
    </row>
    <row r="944" ht="22.5" customHeight="1">
      <c r="A944" s="24"/>
      <c r="B944" s="25"/>
      <c r="C944" s="25"/>
      <c r="D944" s="138"/>
      <c r="E944" s="138"/>
      <c r="F944" s="138"/>
      <c r="G944" s="119"/>
    </row>
    <row r="945" ht="22.5" customHeight="1">
      <c r="A945" s="24"/>
      <c r="B945" s="25"/>
      <c r="C945" s="25"/>
      <c r="D945" s="138"/>
      <c r="E945" s="138"/>
      <c r="F945" s="138"/>
      <c r="G945" s="119"/>
    </row>
    <row r="946" ht="22.5" customHeight="1">
      <c r="A946" s="24"/>
      <c r="B946" s="25"/>
      <c r="C946" s="25"/>
      <c r="D946" s="138"/>
      <c r="E946" s="138"/>
      <c r="F946" s="138"/>
      <c r="G946" s="119"/>
    </row>
    <row r="947" ht="22.5" customHeight="1">
      <c r="A947" s="24"/>
      <c r="B947" s="25"/>
      <c r="C947" s="25"/>
      <c r="D947" s="138"/>
      <c r="E947" s="138"/>
      <c r="F947" s="138"/>
      <c r="G947" s="119"/>
    </row>
    <row r="948" ht="22.5" customHeight="1">
      <c r="A948" s="24"/>
      <c r="B948" s="25"/>
      <c r="C948" s="25"/>
      <c r="D948" s="138"/>
      <c r="E948" s="138"/>
      <c r="F948" s="138"/>
      <c r="G948" s="119"/>
    </row>
    <row r="949" ht="22.5" customHeight="1">
      <c r="A949" s="24"/>
      <c r="B949" s="25"/>
      <c r="C949" s="25"/>
      <c r="D949" s="138"/>
      <c r="E949" s="138"/>
      <c r="F949" s="138"/>
      <c r="G949" s="119"/>
    </row>
    <row r="950" ht="22.5" customHeight="1">
      <c r="A950" s="24"/>
      <c r="B950" s="25"/>
      <c r="C950" s="25"/>
      <c r="D950" s="138"/>
      <c r="E950" s="138"/>
      <c r="F950" s="138"/>
      <c r="G950" s="119"/>
    </row>
    <row r="951" ht="22.5" customHeight="1">
      <c r="A951" s="24"/>
      <c r="B951" s="25"/>
      <c r="C951" s="25"/>
      <c r="D951" s="138"/>
      <c r="E951" s="138"/>
      <c r="F951" s="138"/>
      <c r="G951" s="119"/>
    </row>
    <row r="952" ht="22.5" customHeight="1">
      <c r="A952" s="24"/>
      <c r="B952" s="25"/>
      <c r="C952" s="25"/>
      <c r="D952" s="138"/>
      <c r="E952" s="138"/>
      <c r="F952" s="138"/>
      <c r="G952" s="119"/>
    </row>
    <row r="953" ht="22.5" customHeight="1">
      <c r="A953" s="24"/>
      <c r="B953" s="25"/>
      <c r="C953" s="25"/>
      <c r="D953" s="138"/>
      <c r="E953" s="138"/>
      <c r="F953" s="138"/>
      <c r="G953" s="119"/>
    </row>
    <row r="954" ht="22.5" customHeight="1">
      <c r="A954" s="24"/>
      <c r="B954" s="25"/>
      <c r="C954" s="25"/>
      <c r="D954" s="138"/>
      <c r="E954" s="138"/>
      <c r="F954" s="138"/>
      <c r="G954" s="119"/>
    </row>
    <row r="955" ht="22.5" customHeight="1">
      <c r="A955" s="24"/>
      <c r="B955" s="25"/>
      <c r="C955" s="25"/>
      <c r="D955" s="138"/>
      <c r="E955" s="138"/>
      <c r="F955" s="138"/>
      <c r="G955" s="119"/>
    </row>
    <row r="956" ht="22.5" customHeight="1">
      <c r="A956" s="24"/>
      <c r="B956" s="25"/>
      <c r="C956" s="25"/>
      <c r="D956" s="138"/>
      <c r="E956" s="138"/>
      <c r="F956" s="138"/>
      <c r="G956" s="119"/>
    </row>
    <row r="957" ht="22.5" customHeight="1">
      <c r="A957" s="24"/>
      <c r="B957" s="25"/>
      <c r="C957" s="25"/>
      <c r="D957" s="138"/>
      <c r="E957" s="138"/>
      <c r="F957" s="138"/>
      <c r="G957" s="119"/>
    </row>
    <row r="958" ht="22.5" customHeight="1">
      <c r="A958" s="24"/>
      <c r="B958" s="25"/>
      <c r="C958" s="25"/>
      <c r="D958" s="138"/>
      <c r="E958" s="138"/>
      <c r="F958" s="138"/>
      <c r="G958" s="119"/>
    </row>
    <row r="959" ht="22.5" customHeight="1">
      <c r="A959" s="24"/>
      <c r="B959" s="25"/>
      <c r="C959" s="25"/>
      <c r="D959" s="138"/>
      <c r="E959" s="138"/>
      <c r="F959" s="138"/>
      <c r="G959" s="119"/>
    </row>
    <row r="960" ht="22.5" customHeight="1">
      <c r="A960" s="24"/>
      <c r="B960" s="25"/>
      <c r="C960" s="25"/>
      <c r="D960" s="138"/>
      <c r="E960" s="138"/>
      <c r="F960" s="138"/>
      <c r="G960" s="119"/>
    </row>
    <row r="961" ht="22.5" customHeight="1">
      <c r="A961" s="24"/>
      <c r="B961" s="25"/>
      <c r="C961" s="25"/>
      <c r="D961" s="138"/>
      <c r="E961" s="138"/>
      <c r="F961" s="138"/>
      <c r="G961" s="119"/>
    </row>
    <row r="962" ht="22.5" customHeight="1">
      <c r="A962" s="24"/>
      <c r="B962" s="25"/>
      <c r="C962" s="25"/>
      <c r="D962" s="138"/>
      <c r="E962" s="138"/>
      <c r="F962" s="138"/>
      <c r="G962" s="119"/>
    </row>
    <row r="963" ht="22.5" customHeight="1">
      <c r="A963" s="24"/>
      <c r="B963" s="25"/>
      <c r="C963" s="25"/>
      <c r="D963" s="138"/>
      <c r="E963" s="138"/>
      <c r="F963" s="138"/>
      <c r="G963" s="119"/>
    </row>
    <row r="964" ht="22.5" customHeight="1">
      <c r="A964" s="24"/>
      <c r="B964" s="25"/>
      <c r="C964" s="25"/>
      <c r="D964" s="138"/>
      <c r="E964" s="138"/>
      <c r="F964" s="138"/>
      <c r="G964" s="119"/>
    </row>
    <row r="965" ht="22.5" customHeight="1">
      <c r="A965" s="24"/>
      <c r="B965" s="25"/>
      <c r="C965" s="25"/>
      <c r="D965" s="138"/>
      <c r="E965" s="138"/>
      <c r="F965" s="138"/>
      <c r="G965" s="119"/>
    </row>
    <row r="966" ht="22.5" customHeight="1">
      <c r="A966" s="24"/>
      <c r="B966" s="25"/>
      <c r="C966" s="25"/>
      <c r="D966" s="138"/>
      <c r="E966" s="138"/>
      <c r="F966" s="138"/>
      <c r="G966" s="119"/>
    </row>
    <row r="967" ht="22.5" customHeight="1">
      <c r="A967" s="24"/>
      <c r="B967" s="25"/>
      <c r="C967" s="25"/>
      <c r="D967" s="138"/>
      <c r="E967" s="138"/>
      <c r="F967" s="138"/>
      <c r="G967" s="119"/>
    </row>
    <row r="968" ht="22.5" customHeight="1">
      <c r="A968" s="24"/>
      <c r="B968" s="25"/>
      <c r="C968" s="25"/>
      <c r="D968" s="138"/>
      <c r="E968" s="138"/>
      <c r="F968" s="138"/>
      <c r="G968" s="119"/>
    </row>
    <row r="969" ht="22.5" customHeight="1">
      <c r="A969" s="24"/>
      <c r="B969" s="25"/>
      <c r="C969" s="25"/>
      <c r="D969" s="138"/>
      <c r="E969" s="138"/>
      <c r="F969" s="138"/>
      <c r="G969" s="119"/>
    </row>
    <row r="970" ht="22.5" customHeight="1">
      <c r="A970" s="24"/>
      <c r="B970" s="25"/>
      <c r="C970" s="25"/>
      <c r="D970" s="138"/>
      <c r="E970" s="138"/>
      <c r="F970" s="138"/>
      <c r="G970" s="119"/>
    </row>
    <row r="971" ht="22.5" customHeight="1">
      <c r="A971" s="24"/>
      <c r="B971" s="25"/>
      <c r="C971" s="25"/>
      <c r="D971" s="138"/>
      <c r="E971" s="138"/>
      <c r="F971" s="138"/>
      <c r="G971" s="119"/>
    </row>
    <row r="972" ht="22.5" customHeight="1">
      <c r="A972" s="24"/>
      <c r="B972" s="25"/>
      <c r="C972" s="25"/>
      <c r="D972" s="138"/>
      <c r="E972" s="138"/>
      <c r="F972" s="138"/>
      <c r="G972" s="119"/>
    </row>
    <row r="973" ht="22.5" customHeight="1">
      <c r="A973" s="24"/>
      <c r="B973" s="25"/>
      <c r="C973" s="25"/>
      <c r="D973" s="138"/>
      <c r="E973" s="138"/>
      <c r="F973" s="138"/>
      <c r="G973" s="119"/>
    </row>
    <row r="974" ht="22.5" customHeight="1">
      <c r="A974" s="24"/>
      <c r="B974" s="25"/>
      <c r="C974" s="25"/>
      <c r="D974" s="138"/>
      <c r="E974" s="138"/>
      <c r="F974" s="138"/>
      <c r="G974" s="119"/>
    </row>
    <row r="975" ht="22.5" customHeight="1">
      <c r="A975" s="24"/>
      <c r="B975" s="25"/>
      <c r="C975" s="25"/>
      <c r="D975" s="138"/>
      <c r="E975" s="138"/>
      <c r="F975" s="138"/>
      <c r="G975" s="119"/>
    </row>
    <row r="976" ht="22.5" customHeight="1">
      <c r="A976" s="24"/>
      <c r="B976" s="25"/>
      <c r="C976" s="25"/>
      <c r="D976" s="138"/>
      <c r="E976" s="138"/>
      <c r="F976" s="138"/>
      <c r="G976" s="119"/>
    </row>
    <row r="977" ht="22.5" customHeight="1">
      <c r="A977" s="24"/>
      <c r="B977" s="25"/>
      <c r="C977" s="25"/>
      <c r="D977" s="138"/>
      <c r="E977" s="138"/>
      <c r="F977" s="138"/>
      <c r="G977" s="119"/>
    </row>
    <row r="978" ht="22.5" customHeight="1">
      <c r="A978" s="24"/>
      <c r="B978" s="25"/>
      <c r="C978" s="25"/>
      <c r="D978" s="138"/>
      <c r="E978" s="138"/>
      <c r="F978" s="138"/>
      <c r="G978" s="119"/>
    </row>
    <row r="979" ht="22.5" customHeight="1">
      <c r="A979" s="24"/>
      <c r="B979" s="25"/>
      <c r="C979" s="25"/>
      <c r="D979" s="138"/>
      <c r="E979" s="138"/>
      <c r="F979" s="138"/>
      <c r="G979" s="119"/>
    </row>
    <row r="980" ht="22.5" customHeight="1">
      <c r="A980" s="24"/>
      <c r="B980" s="25"/>
      <c r="C980" s="25"/>
      <c r="D980" s="138"/>
      <c r="E980" s="138"/>
      <c r="F980" s="138"/>
      <c r="G980" s="119"/>
    </row>
    <row r="981" ht="22.5" customHeight="1">
      <c r="A981" s="24"/>
      <c r="B981" s="25"/>
      <c r="C981" s="25"/>
      <c r="D981" s="138"/>
      <c r="E981" s="138"/>
      <c r="F981" s="138"/>
      <c r="G981" s="119"/>
    </row>
    <row r="982" ht="22.5" customHeight="1">
      <c r="A982" s="24"/>
      <c r="B982" s="25"/>
      <c r="C982" s="25"/>
      <c r="D982" s="138"/>
      <c r="E982" s="138"/>
      <c r="F982" s="138"/>
      <c r="G982" s="119"/>
    </row>
    <row r="983" ht="22.5" customHeight="1">
      <c r="A983" s="24"/>
      <c r="B983" s="25"/>
      <c r="C983" s="25"/>
      <c r="D983" s="138"/>
      <c r="E983" s="138"/>
      <c r="F983" s="138"/>
      <c r="G983" s="119"/>
    </row>
    <row r="984" ht="22.5" customHeight="1">
      <c r="A984" s="24"/>
      <c r="B984" s="25"/>
      <c r="C984" s="25"/>
      <c r="D984" s="138"/>
      <c r="E984" s="138"/>
      <c r="F984" s="138"/>
      <c r="G984" s="119"/>
    </row>
    <row r="985" ht="22.5" customHeight="1">
      <c r="A985" s="24"/>
      <c r="B985" s="25"/>
      <c r="C985" s="25"/>
      <c r="D985" s="138"/>
      <c r="E985" s="138"/>
      <c r="F985" s="138"/>
      <c r="G985" s="119"/>
    </row>
    <row r="986" ht="22.5" customHeight="1">
      <c r="A986" s="24"/>
      <c r="B986" s="25"/>
      <c r="C986" s="25"/>
      <c r="D986" s="138"/>
      <c r="E986" s="138"/>
      <c r="F986" s="138"/>
      <c r="G986" s="119"/>
    </row>
    <row r="987" ht="22.5" customHeight="1">
      <c r="A987" s="24"/>
      <c r="B987" s="25"/>
      <c r="C987" s="25"/>
      <c r="D987" s="138"/>
      <c r="E987" s="138"/>
      <c r="F987" s="138"/>
      <c r="G987" s="119"/>
    </row>
    <row r="988" ht="22.5" customHeight="1">
      <c r="A988" s="24"/>
      <c r="B988" s="25"/>
      <c r="C988" s="25"/>
      <c r="D988" s="138"/>
      <c r="E988" s="138"/>
      <c r="F988" s="138"/>
      <c r="G988" s="119"/>
    </row>
    <row r="989" ht="22.5" customHeight="1">
      <c r="A989" s="24"/>
      <c r="B989" s="25"/>
      <c r="C989" s="25"/>
      <c r="D989" s="138"/>
      <c r="E989" s="138"/>
      <c r="F989" s="138"/>
      <c r="G989" s="119"/>
    </row>
    <row r="990" ht="22.5" customHeight="1">
      <c r="A990" s="24"/>
      <c r="B990" s="25"/>
      <c r="C990" s="25"/>
      <c r="D990" s="138"/>
      <c r="E990" s="138"/>
      <c r="F990" s="138"/>
      <c r="G990" s="119"/>
    </row>
    <row r="991" ht="22.5" customHeight="1">
      <c r="A991" s="24"/>
      <c r="B991" s="25"/>
      <c r="C991" s="25"/>
      <c r="D991" s="138"/>
      <c r="E991" s="138"/>
      <c r="F991" s="138"/>
      <c r="G991" s="119"/>
    </row>
    <row r="992" ht="22.5" customHeight="1">
      <c r="A992" s="24"/>
      <c r="B992" s="25"/>
      <c r="C992" s="25"/>
      <c r="D992" s="138"/>
      <c r="E992" s="138"/>
      <c r="F992" s="138"/>
      <c r="G992" s="119"/>
    </row>
    <row r="993" ht="22.5" customHeight="1">
      <c r="A993" s="24"/>
      <c r="B993" s="25"/>
      <c r="C993" s="25"/>
      <c r="D993" s="138"/>
      <c r="E993" s="138"/>
      <c r="F993" s="138"/>
      <c r="G993" s="119"/>
    </row>
    <row r="994" ht="22.5" customHeight="1">
      <c r="A994" s="24"/>
      <c r="B994" s="25"/>
      <c r="C994" s="25"/>
      <c r="D994" s="138"/>
      <c r="E994" s="138"/>
      <c r="F994" s="138"/>
      <c r="G994" s="119"/>
    </row>
    <row r="995" ht="22.5" customHeight="1">
      <c r="A995" s="24"/>
      <c r="B995" s="25"/>
      <c r="C995" s="25"/>
      <c r="D995" s="138"/>
      <c r="E995" s="138"/>
      <c r="F995" s="138"/>
      <c r="G995" s="119"/>
    </row>
    <row r="996" ht="22.5" customHeight="1">
      <c r="A996" s="24"/>
      <c r="B996" s="25"/>
      <c r="C996" s="25"/>
      <c r="D996" s="138"/>
      <c r="E996" s="138"/>
      <c r="F996" s="138"/>
      <c r="G996" s="119"/>
    </row>
    <row r="997" ht="22.5" customHeight="1">
      <c r="A997" s="24"/>
      <c r="B997" s="25"/>
      <c r="C997" s="25"/>
      <c r="D997" s="138"/>
      <c r="E997" s="138"/>
      <c r="F997" s="138"/>
      <c r="G997" s="119"/>
    </row>
    <row r="998" ht="22.5" customHeight="1">
      <c r="A998" s="24"/>
      <c r="B998" s="25"/>
      <c r="C998" s="25"/>
      <c r="D998" s="138"/>
      <c r="E998" s="138"/>
      <c r="F998" s="138"/>
      <c r="G998" s="119"/>
    </row>
    <row r="999" ht="22.5" customHeight="1">
      <c r="A999" s="24"/>
      <c r="B999" s="25"/>
      <c r="C999" s="25"/>
      <c r="D999" s="138"/>
      <c r="E999" s="138"/>
      <c r="F999" s="138"/>
      <c r="G999" s="119"/>
    </row>
    <row r="1000" ht="22.5" customHeight="1">
      <c r="A1000" s="24"/>
      <c r="B1000" s="25"/>
      <c r="C1000" s="25"/>
      <c r="D1000" s="138"/>
      <c r="E1000" s="138"/>
      <c r="F1000" s="138"/>
      <c r="G1000" s="119"/>
    </row>
    <row r="1001" ht="22.5" customHeight="1">
      <c r="A1001" s="24"/>
      <c r="B1001" s="25"/>
      <c r="C1001" s="25"/>
      <c r="D1001" s="138"/>
      <c r="E1001" s="138"/>
      <c r="F1001" s="138"/>
      <c r="G1001" s="119"/>
    </row>
    <row r="1002" ht="22.5" customHeight="1">
      <c r="A1002" s="24"/>
      <c r="B1002" s="25"/>
      <c r="C1002" s="25"/>
      <c r="D1002" s="138"/>
      <c r="E1002" s="138"/>
      <c r="F1002" s="138"/>
      <c r="G1002" s="119"/>
    </row>
    <row r="1003" ht="22.5" customHeight="1">
      <c r="A1003" s="24"/>
      <c r="B1003" s="25"/>
      <c r="C1003" s="25"/>
      <c r="D1003" s="138"/>
      <c r="E1003" s="138"/>
      <c r="F1003" s="138"/>
      <c r="G1003" s="119"/>
    </row>
    <row r="1004" ht="22.5" customHeight="1">
      <c r="A1004" s="24"/>
      <c r="B1004" s="25"/>
      <c r="C1004" s="25"/>
      <c r="D1004" s="138"/>
      <c r="E1004" s="138"/>
      <c r="F1004" s="138"/>
      <c r="G1004" s="119"/>
    </row>
    <row r="1005" ht="22.5" customHeight="1">
      <c r="A1005" s="24"/>
      <c r="B1005" s="25"/>
      <c r="C1005" s="25"/>
      <c r="D1005" s="138"/>
      <c r="E1005" s="138"/>
      <c r="F1005" s="138"/>
      <c r="G1005" s="119"/>
    </row>
    <row r="1006" ht="22.5" customHeight="1">
      <c r="A1006" s="24"/>
      <c r="B1006" s="25"/>
      <c r="C1006" s="25"/>
      <c r="D1006" s="138"/>
      <c r="E1006" s="138"/>
      <c r="F1006" s="138"/>
      <c r="G1006" s="119"/>
    </row>
    <row r="1007" ht="22.5" customHeight="1">
      <c r="A1007" s="24"/>
      <c r="B1007" s="25"/>
      <c r="C1007" s="25"/>
      <c r="D1007" s="138"/>
      <c r="E1007" s="138"/>
      <c r="F1007" s="138"/>
      <c r="G1007" s="119"/>
    </row>
    <row r="1008" ht="22.5" customHeight="1">
      <c r="A1008" s="24"/>
      <c r="B1008" s="25"/>
      <c r="C1008" s="25"/>
      <c r="D1008" s="138"/>
      <c r="E1008" s="138"/>
      <c r="F1008" s="138"/>
      <c r="G1008" s="119"/>
    </row>
    <row r="1009" ht="22.5" customHeight="1">
      <c r="A1009" s="24"/>
      <c r="B1009" s="25"/>
      <c r="C1009" s="25"/>
      <c r="D1009" s="138"/>
      <c r="E1009" s="138"/>
      <c r="F1009" s="138"/>
      <c r="G1009" s="119"/>
    </row>
    <row r="1010" ht="22.5" customHeight="1">
      <c r="A1010" s="24"/>
      <c r="B1010" s="25"/>
      <c r="C1010" s="25"/>
      <c r="D1010" s="138"/>
      <c r="E1010" s="138"/>
      <c r="F1010" s="138"/>
      <c r="G1010" s="119"/>
    </row>
    <row r="1011" ht="22.5" customHeight="1">
      <c r="A1011" s="24"/>
      <c r="B1011" s="25"/>
      <c r="C1011" s="25"/>
      <c r="D1011" s="138"/>
      <c r="E1011" s="138"/>
      <c r="F1011" s="138"/>
      <c r="G1011" s="119"/>
    </row>
    <row r="1012" ht="22.5" customHeight="1">
      <c r="A1012" s="24"/>
      <c r="B1012" s="25"/>
      <c r="C1012" s="25"/>
      <c r="D1012" s="138"/>
      <c r="E1012" s="138"/>
      <c r="F1012" s="138"/>
      <c r="G1012" s="119"/>
    </row>
    <row r="1013" ht="22.5" customHeight="1">
      <c r="A1013" s="24"/>
      <c r="B1013" s="25"/>
      <c r="C1013" s="25"/>
      <c r="D1013" s="138"/>
      <c r="E1013" s="138"/>
      <c r="F1013" s="138"/>
      <c r="G1013" s="119"/>
    </row>
    <row r="1014" ht="22.5" customHeight="1">
      <c r="A1014" s="24"/>
      <c r="B1014" s="25"/>
      <c r="C1014" s="25"/>
      <c r="D1014" s="138"/>
      <c r="E1014" s="138"/>
      <c r="F1014" s="138"/>
      <c r="G1014" s="119"/>
    </row>
    <row r="1015" ht="22.5" customHeight="1">
      <c r="A1015" s="24"/>
      <c r="B1015" s="25"/>
      <c r="C1015" s="25"/>
      <c r="D1015" s="138"/>
      <c r="E1015" s="138"/>
      <c r="F1015" s="138"/>
      <c r="G1015" s="119"/>
    </row>
    <row r="1016" ht="22.5" customHeight="1">
      <c r="A1016" s="24"/>
      <c r="B1016" s="25"/>
      <c r="C1016" s="25"/>
      <c r="D1016" s="138"/>
      <c r="E1016" s="138"/>
      <c r="F1016" s="138"/>
      <c r="G1016" s="119"/>
    </row>
    <row r="1017" ht="22.5" customHeight="1">
      <c r="A1017" s="24"/>
      <c r="B1017" s="25"/>
      <c r="C1017" s="25"/>
      <c r="D1017" s="138"/>
      <c r="E1017" s="138"/>
      <c r="F1017" s="138"/>
      <c r="G1017" s="119"/>
    </row>
    <row r="1018" ht="22.5" customHeight="1">
      <c r="A1018" s="24"/>
      <c r="B1018" s="25"/>
      <c r="C1018" s="25"/>
      <c r="D1018" s="138"/>
      <c r="E1018" s="138"/>
      <c r="F1018" s="138"/>
      <c r="G1018" s="119"/>
    </row>
    <row r="1019" ht="22.5" customHeight="1">
      <c r="A1019" s="24"/>
      <c r="B1019" s="25"/>
      <c r="C1019" s="25"/>
      <c r="D1019" s="138"/>
      <c r="E1019" s="138"/>
      <c r="F1019" s="138"/>
      <c r="G1019" s="119"/>
    </row>
    <row r="1020" ht="22.5" customHeight="1">
      <c r="A1020" s="24"/>
      <c r="B1020" s="25"/>
      <c r="C1020" s="25"/>
      <c r="D1020" s="138"/>
      <c r="E1020" s="138"/>
      <c r="F1020" s="138"/>
      <c r="G1020" s="119"/>
    </row>
    <row r="1021" ht="22.5" customHeight="1">
      <c r="A1021" s="24"/>
      <c r="B1021" s="25"/>
      <c r="C1021" s="25"/>
      <c r="D1021" s="138"/>
      <c r="E1021" s="138"/>
      <c r="F1021" s="138"/>
      <c r="G1021" s="119"/>
    </row>
    <row r="1022" ht="22.5" customHeight="1">
      <c r="A1022" s="24"/>
      <c r="B1022" s="25"/>
      <c r="C1022" s="25"/>
      <c r="D1022" s="138"/>
      <c r="E1022" s="138"/>
      <c r="F1022" s="138"/>
      <c r="G1022" s="119"/>
    </row>
    <row r="1023" ht="22.5" customHeight="1">
      <c r="A1023" s="24"/>
      <c r="B1023" s="25"/>
      <c r="C1023" s="25"/>
      <c r="D1023" s="138"/>
      <c r="E1023" s="138"/>
      <c r="F1023" s="138"/>
      <c r="G1023" s="119"/>
    </row>
    <row r="1024" ht="22.5" customHeight="1">
      <c r="A1024" s="24"/>
      <c r="B1024" s="25"/>
      <c r="C1024" s="25"/>
      <c r="D1024" s="138"/>
      <c r="E1024" s="138"/>
      <c r="F1024" s="138"/>
      <c r="G1024" s="119"/>
    </row>
    <row r="1025" ht="22.5" customHeight="1">
      <c r="A1025" s="24"/>
      <c r="B1025" s="25"/>
      <c r="C1025" s="25"/>
      <c r="D1025" s="138"/>
      <c r="E1025" s="138"/>
      <c r="F1025" s="138"/>
      <c r="G1025" s="119"/>
    </row>
    <row r="1026" ht="22.5" customHeight="1">
      <c r="A1026" s="24"/>
      <c r="B1026" s="25"/>
      <c r="C1026" s="25"/>
      <c r="D1026" s="138"/>
      <c r="E1026" s="138"/>
      <c r="F1026" s="138"/>
      <c r="G1026" s="119"/>
    </row>
    <row r="1027" ht="22.5" customHeight="1">
      <c r="A1027" s="24"/>
      <c r="B1027" s="25"/>
      <c r="C1027" s="25"/>
      <c r="D1027" s="138"/>
      <c r="E1027" s="138"/>
      <c r="F1027" s="138"/>
      <c r="G1027" s="119"/>
    </row>
    <row r="1028" ht="22.5" customHeight="1">
      <c r="A1028" s="24"/>
      <c r="B1028" s="25"/>
      <c r="C1028" s="25"/>
      <c r="D1028" s="138"/>
      <c r="E1028" s="138"/>
      <c r="F1028" s="138"/>
      <c r="G1028" s="119"/>
    </row>
    <row r="1029" ht="22.5" customHeight="1">
      <c r="A1029" s="24"/>
      <c r="B1029" s="25"/>
      <c r="C1029" s="25"/>
      <c r="D1029" s="138"/>
      <c r="E1029" s="138"/>
      <c r="F1029" s="138"/>
      <c r="G1029" s="119"/>
    </row>
    <row r="1030" ht="22.5" customHeight="1">
      <c r="A1030" s="24"/>
      <c r="B1030" s="25"/>
      <c r="C1030" s="25"/>
      <c r="D1030" s="138"/>
      <c r="E1030" s="138"/>
      <c r="F1030" s="138"/>
      <c r="G1030" s="119"/>
    </row>
    <row r="1031" ht="22.5" customHeight="1">
      <c r="A1031" s="24"/>
      <c r="B1031" s="25"/>
      <c r="C1031" s="25"/>
      <c r="D1031" s="138"/>
      <c r="E1031" s="138"/>
      <c r="F1031" s="138"/>
      <c r="G1031" s="119"/>
    </row>
    <row r="1032" ht="22.5" customHeight="1">
      <c r="A1032" s="24"/>
      <c r="B1032" s="25"/>
      <c r="C1032" s="25"/>
      <c r="D1032" s="138"/>
      <c r="E1032" s="138"/>
      <c r="F1032" s="138"/>
      <c r="G1032" s="119"/>
    </row>
    <row r="1033" ht="22.5" customHeight="1">
      <c r="A1033" s="24"/>
      <c r="B1033" s="25"/>
      <c r="C1033" s="25"/>
      <c r="D1033" s="138"/>
      <c r="E1033" s="138"/>
      <c r="F1033" s="138"/>
      <c r="G1033" s="119"/>
    </row>
    <row r="1034" ht="22.5" customHeight="1">
      <c r="A1034" s="24"/>
      <c r="B1034" s="25"/>
      <c r="C1034" s="25"/>
      <c r="D1034" s="138"/>
      <c r="E1034" s="138"/>
      <c r="F1034" s="138"/>
      <c r="G1034" s="119"/>
    </row>
    <row r="1035" ht="22.5" customHeight="1">
      <c r="A1035" s="24"/>
      <c r="B1035" s="25"/>
      <c r="C1035" s="25"/>
      <c r="D1035" s="138"/>
      <c r="E1035" s="138"/>
      <c r="F1035" s="138"/>
      <c r="G1035" s="119"/>
    </row>
    <row r="1036" ht="22.5" customHeight="1">
      <c r="A1036" s="24"/>
      <c r="B1036" s="25"/>
      <c r="C1036" s="25"/>
      <c r="D1036" s="138"/>
      <c r="E1036" s="138"/>
      <c r="F1036" s="138"/>
      <c r="G1036" s="119"/>
    </row>
    <row r="1037" ht="22.5" customHeight="1">
      <c r="A1037" s="24"/>
      <c r="B1037" s="25"/>
      <c r="C1037" s="25"/>
      <c r="D1037" s="138"/>
      <c r="E1037" s="138"/>
      <c r="F1037" s="138"/>
      <c r="G1037" s="119"/>
    </row>
    <row r="1038" ht="22.5" customHeight="1">
      <c r="A1038" s="24"/>
      <c r="B1038" s="25"/>
      <c r="C1038" s="25"/>
      <c r="D1038" s="138"/>
      <c r="E1038" s="138"/>
      <c r="F1038" s="138"/>
      <c r="G1038" s="119"/>
    </row>
    <row r="1039" ht="22.5" customHeight="1">
      <c r="A1039" s="24"/>
      <c r="B1039" s="25"/>
      <c r="C1039" s="25"/>
      <c r="D1039" s="138"/>
      <c r="E1039" s="138"/>
      <c r="F1039" s="138"/>
      <c r="G1039" s="119"/>
    </row>
    <row r="1040" ht="22.5" customHeight="1">
      <c r="A1040" s="24"/>
      <c r="B1040" s="25"/>
      <c r="C1040" s="25"/>
      <c r="D1040" s="138"/>
      <c r="E1040" s="138"/>
      <c r="F1040" s="138"/>
      <c r="G1040" s="119"/>
    </row>
    <row r="1041" ht="22.5" customHeight="1">
      <c r="A1041" s="24"/>
      <c r="B1041" s="25"/>
      <c r="C1041" s="25"/>
      <c r="D1041" s="138"/>
      <c r="E1041" s="138"/>
      <c r="F1041" s="138"/>
      <c r="G1041" s="119"/>
    </row>
    <row r="1042" ht="22.5" customHeight="1">
      <c r="A1042" s="24"/>
      <c r="B1042" s="25"/>
      <c r="C1042" s="25"/>
      <c r="D1042" s="138"/>
      <c r="E1042" s="138"/>
      <c r="F1042" s="138"/>
      <c r="G1042" s="119"/>
    </row>
    <row r="1043" ht="22.5" customHeight="1">
      <c r="A1043" s="24"/>
      <c r="B1043" s="25"/>
      <c r="C1043" s="25"/>
      <c r="D1043" s="138"/>
      <c r="E1043" s="138"/>
      <c r="F1043" s="138"/>
      <c r="G1043" s="119"/>
    </row>
    <row r="1044" ht="22.5" customHeight="1">
      <c r="A1044" s="24"/>
      <c r="B1044" s="25"/>
      <c r="C1044" s="25"/>
      <c r="D1044" s="138"/>
      <c r="E1044" s="138"/>
      <c r="F1044" s="138"/>
      <c r="G1044" s="119"/>
    </row>
    <row r="1045" ht="22.5" customHeight="1">
      <c r="A1045" s="24"/>
      <c r="B1045" s="25"/>
      <c r="C1045" s="25"/>
      <c r="D1045" s="138"/>
      <c r="E1045" s="138"/>
      <c r="F1045" s="138"/>
      <c r="G1045" s="119"/>
    </row>
    <row r="1046" ht="22.5" customHeight="1">
      <c r="A1046" s="24"/>
      <c r="B1046" s="25"/>
      <c r="C1046" s="25"/>
      <c r="D1046" s="138"/>
      <c r="E1046" s="138"/>
      <c r="F1046" s="138"/>
      <c r="G1046" s="119"/>
    </row>
    <row r="1047" ht="22.5" customHeight="1">
      <c r="A1047" s="24"/>
      <c r="B1047" s="25"/>
      <c r="C1047" s="25"/>
      <c r="D1047" s="138"/>
      <c r="E1047" s="138"/>
      <c r="F1047" s="138"/>
      <c r="G1047" s="119"/>
    </row>
    <row r="1048" ht="22.5" customHeight="1">
      <c r="A1048" s="24"/>
      <c r="B1048" s="25"/>
      <c r="C1048" s="25"/>
      <c r="D1048" s="138"/>
      <c r="E1048" s="138"/>
      <c r="F1048" s="138"/>
      <c r="G1048" s="119"/>
    </row>
    <row r="1049" ht="22.5" customHeight="1">
      <c r="A1049" s="24"/>
      <c r="B1049" s="25"/>
      <c r="C1049" s="25"/>
      <c r="D1049" s="138"/>
      <c r="E1049" s="138"/>
      <c r="F1049" s="138"/>
      <c r="G1049" s="119"/>
    </row>
    <row r="1050" ht="22.5" customHeight="1">
      <c r="A1050" s="24"/>
      <c r="B1050" s="25"/>
      <c r="C1050" s="25"/>
      <c r="D1050" s="138"/>
      <c r="E1050" s="138"/>
      <c r="F1050" s="138"/>
      <c r="G1050" s="119"/>
    </row>
    <row r="1051" ht="22.5" customHeight="1">
      <c r="A1051" s="24"/>
      <c r="B1051" s="25"/>
      <c r="C1051" s="25"/>
      <c r="D1051" s="138"/>
      <c r="E1051" s="138"/>
      <c r="F1051" s="138"/>
      <c r="G1051" s="119"/>
    </row>
    <row r="1052" ht="22.5" customHeight="1">
      <c r="A1052" s="24"/>
      <c r="B1052" s="25"/>
      <c r="C1052" s="25"/>
      <c r="D1052" s="138"/>
      <c r="E1052" s="138"/>
      <c r="F1052" s="138"/>
      <c r="G1052" s="119"/>
    </row>
    <row r="1053" ht="22.5" customHeight="1">
      <c r="A1053" s="24"/>
      <c r="B1053" s="25"/>
      <c r="C1053" s="25"/>
      <c r="D1053" s="138"/>
      <c r="E1053" s="138"/>
      <c r="F1053" s="138"/>
      <c r="G1053" s="119"/>
    </row>
    <row r="1054" ht="22.5" customHeight="1">
      <c r="A1054" s="24"/>
      <c r="B1054" s="25"/>
      <c r="C1054" s="25"/>
      <c r="D1054" s="138"/>
      <c r="E1054" s="138"/>
      <c r="F1054" s="138"/>
      <c r="G1054" s="119"/>
    </row>
    <row r="1055" ht="22.5" customHeight="1">
      <c r="A1055" s="24"/>
      <c r="B1055" s="25"/>
      <c r="C1055" s="25"/>
      <c r="D1055" s="138"/>
      <c r="E1055" s="138"/>
      <c r="F1055" s="138"/>
      <c r="G1055" s="119"/>
    </row>
    <row r="1056" ht="22.5" customHeight="1">
      <c r="A1056" s="24"/>
      <c r="B1056" s="25"/>
      <c r="C1056" s="25"/>
      <c r="D1056" s="138"/>
      <c r="E1056" s="138"/>
      <c r="F1056" s="138"/>
      <c r="G1056" s="119"/>
    </row>
    <row r="1057" ht="22.5" customHeight="1">
      <c r="A1057" s="24"/>
      <c r="B1057" s="25"/>
      <c r="C1057" s="25"/>
      <c r="D1057" s="138"/>
      <c r="E1057" s="138"/>
      <c r="F1057" s="138"/>
      <c r="G1057" s="119"/>
    </row>
    <row r="1058" ht="22.5" customHeight="1">
      <c r="A1058" s="24"/>
      <c r="B1058" s="25"/>
      <c r="C1058" s="25"/>
      <c r="D1058" s="138"/>
      <c r="E1058" s="138"/>
      <c r="F1058" s="138"/>
      <c r="G1058" s="119"/>
    </row>
    <row r="1059" ht="22.5" customHeight="1">
      <c r="A1059" s="24"/>
      <c r="B1059" s="25"/>
      <c r="C1059" s="25"/>
      <c r="D1059" s="138"/>
      <c r="E1059" s="138"/>
      <c r="F1059" s="138"/>
      <c r="G1059" s="119"/>
    </row>
    <row r="1060" ht="22.5" customHeight="1">
      <c r="A1060" s="24"/>
      <c r="B1060" s="25"/>
      <c r="C1060" s="25"/>
      <c r="D1060" s="138"/>
      <c r="E1060" s="138"/>
      <c r="F1060" s="138"/>
      <c r="G1060" s="119"/>
    </row>
    <row r="1061" ht="22.5" customHeight="1">
      <c r="A1061" s="24"/>
      <c r="B1061" s="25"/>
      <c r="C1061" s="25"/>
      <c r="D1061" s="138"/>
      <c r="E1061" s="138"/>
      <c r="F1061" s="138"/>
      <c r="G1061" s="119"/>
    </row>
    <row r="1062" ht="22.5" customHeight="1">
      <c r="A1062" s="24"/>
      <c r="B1062" s="25"/>
      <c r="C1062" s="25"/>
      <c r="D1062" s="138"/>
      <c r="E1062" s="138"/>
      <c r="F1062" s="138"/>
      <c r="G1062" s="119"/>
    </row>
    <row r="1063" ht="22.5" customHeight="1">
      <c r="A1063" s="24"/>
      <c r="B1063" s="25"/>
      <c r="C1063" s="25"/>
      <c r="D1063" s="138"/>
      <c r="E1063" s="138"/>
      <c r="F1063" s="138"/>
      <c r="G1063" s="119"/>
    </row>
    <row r="1064" ht="22.5" customHeight="1">
      <c r="A1064" s="24"/>
      <c r="B1064" s="25"/>
      <c r="C1064" s="25"/>
      <c r="D1064" s="138"/>
      <c r="E1064" s="138"/>
      <c r="F1064" s="138"/>
      <c r="G1064" s="119"/>
    </row>
    <row r="1065" ht="22.5" customHeight="1">
      <c r="A1065" s="24"/>
      <c r="B1065" s="25"/>
      <c r="C1065" s="25"/>
      <c r="D1065" s="138"/>
      <c r="E1065" s="138"/>
      <c r="F1065" s="138"/>
      <c r="G1065" s="119"/>
    </row>
    <row r="1066" ht="22.5" customHeight="1">
      <c r="A1066" s="24"/>
      <c r="B1066" s="25"/>
      <c r="C1066" s="25"/>
      <c r="D1066" s="138"/>
      <c r="E1066" s="138"/>
      <c r="F1066" s="138"/>
      <c r="G1066" s="119"/>
    </row>
    <row r="1067" ht="22.5" customHeight="1">
      <c r="A1067" s="24"/>
      <c r="B1067" s="25"/>
      <c r="C1067" s="25"/>
      <c r="D1067" s="138"/>
      <c r="E1067" s="138"/>
      <c r="F1067" s="138"/>
      <c r="G1067" s="119"/>
    </row>
    <row r="1068" ht="22.5" customHeight="1">
      <c r="A1068" s="24"/>
      <c r="B1068" s="25"/>
      <c r="C1068" s="25"/>
      <c r="D1068" s="138"/>
      <c r="E1068" s="138"/>
      <c r="F1068" s="138"/>
      <c r="G1068" s="119"/>
    </row>
    <row r="1069" ht="22.5" customHeight="1">
      <c r="A1069" s="24"/>
      <c r="B1069" s="25"/>
      <c r="C1069" s="25"/>
      <c r="D1069" s="138"/>
      <c r="E1069" s="138"/>
      <c r="F1069" s="138"/>
      <c r="G1069" s="119"/>
    </row>
    <row r="1070" ht="22.5" customHeight="1">
      <c r="A1070" s="24"/>
      <c r="B1070" s="25"/>
      <c r="C1070" s="25"/>
      <c r="D1070" s="138"/>
      <c r="E1070" s="138"/>
      <c r="F1070" s="138"/>
      <c r="G1070" s="119"/>
    </row>
    <row r="1071" ht="22.5" customHeight="1">
      <c r="A1071" s="24"/>
      <c r="B1071" s="25"/>
      <c r="C1071" s="25"/>
      <c r="D1071" s="138"/>
      <c r="E1071" s="138"/>
      <c r="F1071" s="138"/>
      <c r="G1071" s="119"/>
    </row>
    <row r="1072" ht="22.5" customHeight="1">
      <c r="A1072" s="24"/>
      <c r="B1072" s="25"/>
      <c r="C1072" s="25"/>
      <c r="D1072" s="138"/>
      <c r="E1072" s="138"/>
      <c r="F1072" s="138"/>
      <c r="G1072" s="119"/>
    </row>
    <row r="1073" ht="22.5" customHeight="1">
      <c r="A1073" s="24"/>
      <c r="B1073" s="25"/>
      <c r="C1073" s="25"/>
      <c r="D1073" s="138"/>
      <c r="E1073" s="138"/>
      <c r="F1073" s="138"/>
      <c r="G1073" s="119"/>
    </row>
    <row r="1074" ht="22.5" customHeight="1">
      <c r="A1074" s="24"/>
      <c r="B1074" s="25"/>
      <c r="C1074" s="25"/>
      <c r="D1074" s="138"/>
      <c r="E1074" s="138"/>
      <c r="F1074" s="138"/>
      <c r="G1074" s="119"/>
    </row>
    <row r="1075" ht="22.5" customHeight="1">
      <c r="A1075" s="24"/>
      <c r="B1075" s="25"/>
      <c r="C1075" s="25"/>
      <c r="D1075" s="138"/>
      <c r="E1075" s="138"/>
      <c r="F1075" s="138"/>
      <c r="G1075" s="119"/>
    </row>
    <row r="1076" ht="22.5" customHeight="1">
      <c r="A1076" s="24"/>
      <c r="B1076" s="25"/>
      <c r="C1076" s="25"/>
      <c r="D1076" s="138"/>
      <c r="E1076" s="138"/>
      <c r="F1076" s="138"/>
      <c r="G1076" s="119"/>
    </row>
    <row r="1077" ht="22.5" customHeight="1">
      <c r="A1077" s="24"/>
      <c r="B1077" s="25"/>
      <c r="C1077" s="25"/>
      <c r="D1077" s="138"/>
      <c r="E1077" s="138"/>
      <c r="F1077" s="138"/>
      <c r="G1077" s="119"/>
    </row>
    <row r="1078" ht="22.5" customHeight="1">
      <c r="A1078" s="24"/>
      <c r="B1078" s="25"/>
      <c r="C1078" s="25"/>
      <c r="D1078" s="138"/>
      <c r="E1078" s="138"/>
      <c r="F1078" s="138"/>
      <c r="G1078" s="119"/>
    </row>
    <row r="1079" ht="22.5" customHeight="1">
      <c r="A1079" s="24"/>
      <c r="B1079" s="25"/>
      <c r="C1079" s="25"/>
      <c r="D1079" s="138"/>
      <c r="E1079" s="138"/>
      <c r="F1079" s="138"/>
      <c r="G1079" s="119"/>
    </row>
    <row r="1080" ht="22.5" customHeight="1">
      <c r="A1080" s="24"/>
      <c r="B1080" s="25"/>
      <c r="C1080" s="25"/>
      <c r="D1080" s="138"/>
      <c r="E1080" s="138"/>
      <c r="F1080" s="138"/>
      <c r="G1080" s="119"/>
    </row>
    <row r="1081" ht="22.5" customHeight="1">
      <c r="A1081" s="24"/>
      <c r="B1081" s="25"/>
      <c r="C1081" s="25"/>
      <c r="D1081" s="138"/>
      <c r="E1081" s="138"/>
      <c r="F1081" s="138"/>
      <c r="G1081" s="119"/>
    </row>
    <row r="1082" ht="22.5" customHeight="1">
      <c r="A1082" s="24"/>
      <c r="B1082" s="25"/>
      <c r="C1082" s="25"/>
      <c r="D1082" s="138"/>
      <c r="E1082" s="138"/>
      <c r="F1082" s="138"/>
      <c r="G1082" s="119"/>
    </row>
    <row r="1083" ht="22.5" customHeight="1">
      <c r="A1083" s="24"/>
      <c r="B1083" s="25"/>
      <c r="C1083" s="25"/>
      <c r="D1083" s="138"/>
      <c r="E1083" s="138"/>
      <c r="F1083" s="138"/>
      <c r="G1083" s="119"/>
    </row>
    <row r="1084" ht="22.5" customHeight="1">
      <c r="A1084" s="24"/>
      <c r="B1084" s="25"/>
      <c r="C1084" s="25"/>
      <c r="D1084" s="138"/>
      <c r="E1084" s="138"/>
      <c r="F1084" s="138"/>
      <c r="G1084" s="119"/>
    </row>
    <row r="1085" ht="22.5" customHeight="1">
      <c r="A1085" s="24"/>
      <c r="B1085" s="25"/>
      <c r="C1085" s="25"/>
      <c r="D1085" s="138"/>
      <c r="E1085" s="138"/>
      <c r="F1085" s="138"/>
      <c r="G1085" s="119"/>
    </row>
    <row r="1086" ht="22.5" customHeight="1">
      <c r="A1086" s="24"/>
      <c r="B1086" s="25"/>
      <c r="C1086" s="25"/>
      <c r="D1086" s="138"/>
      <c r="E1086" s="138"/>
      <c r="F1086" s="138"/>
      <c r="G1086" s="119"/>
    </row>
    <row r="1087" ht="22.5" customHeight="1">
      <c r="A1087" s="24"/>
      <c r="B1087" s="25"/>
      <c r="C1087" s="25"/>
      <c r="D1087" s="138"/>
      <c r="E1087" s="138"/>
      <c r="F1087" s="138"/>
      <c r="G1087" s="119"/>
    </row>
    <row r="1088" ht="22.5" customHeight="1">
      <c r="A1088" s="24"/>
      <c r="B1088" s="25"/>
      <c r="C1088" s="25"/>
      <c r="D1088" s="138"/>
      <c r="E1088" s="138"/>
      <c r="F1088" s="138"/>
      <c r="G1088" s="119"/>
    </row>
    <row r="1089" ht="22.5" customHeight="1">
      <c r="A1089" s="24"/>
      <c r="B1089" s="25"/>
      <c r="C1089" s="25"/>
      <c r="D1089" s="138"/>
      <c r="E1089" s="138"/>
      <c r="F1089" s="138"/>
      <c r="G1089" s="119"/>
    </row>
    <row r="1090" ht="22.5" customHeight="1">
      <c r="A1090" s="24"/>
      <c r="B1090" s="25"/>
      <c r="C1090" s="25"/>
      <c r="D1090" s="138"/>
      <c r="E1090" s="138"/>
      <c r="F1090" s="138"/>
      <c r="G1090" s="119"/>
    </row>
    <row r="1091" ht="22.5" customHeight="1">
      <c r="A1091" s="24"/>
      <c r="B1091" s="25"/>
      <c r="C1091" s="25"/>
      <c r="D1091" s="138"/>
      <c r="E1091" s="138"/>
      <c r="F1091" s="138"/>
      <c r="G1091" s="119"/>
    </row>
    <row r="1092" ht="22.5" customHeight="1">
      <c r="A1092" s="24"/>
      <c r="B1092" s="25"/>
      <c r="C1092" s="25"/>
      <c r="D1092" s="138"/>
      <c r="E1092" s="138"/>
      <c r="F1092" s="138"/>
      <c r="G1092" s="119"/>
    </row>
    <row r="1093" ht="22.5" customHeight="1">
      <c r="A1093" s="24"/>
      <c r="B1093" s="25"/>
      <c r="C1093" s="25"/>
      <c r="D1093" s="138"/>
      <c r="E1093" s="138"/>
      <c r="F1093" s="138"/>
      <c r="G1093" s="119"/>
    </row>
    <row r="1094" ht="22.5" customHeight="1">
      <c r="A1094" s="24"/>
      <c r="B1094" s="25"/>
      <c r="C1094" s="25"/>
      <c r="D1094" s="138"/>
      <c r="E1094" s="138"/>
      <c r="F1094" s="138"/>
      <c r="G1094" s="119"/>
    </row>
    <row r="1095" ht="22.5" customHeight="1">
      <c r="A1095" s="24"/>
      <c r="B1095" s="25"/>
      <c r="C1095" s="25"/>
      <c r="D1095" s="138"/>
      <c r="E1095" s="138"/>
      <c r="F1095" s="138"/>
      <c r="G1095" s="119"/>
    </row>
    <row r="1096" ht="22.5" customHeight="1">
      <c r="A1096" s="24"/>
      <c r="B1096" s="25"/>
      <c r="C1096" s="25"/>
      <c r="D1096" s="138"/>
      <c r="E1096" s="138"/>
      <c r="F1096" s="138"/>
      <c r="G1096" s="119"/>
    </row>
    <row r="1097" ht="22.5" customHeight="1">
      <c r="A1097" s="24"/>
      <c r="B1097" s="25"/>
      <c r="C1097" s="25"/>
      <c r="D1097" s="138"/>
      <c r="E1097" s="138"/>
      <c r="F1097" s="138"/>
      <c r="G1097" s="119"/>
    </row>
    <row r="1098" ht="22.5" customHeight="1">
      <c r="A1098" s="24"/>
      <c r="B1098" s="25"/>
      <c r="C1098" s="25"/>
      <c r="D1098" s="138"/>
      <c r="E1098" s="138"/>
      <c r="F1098" s="138"/>
      <c r="G1098" s="119"/>
    </row>
    <row r="1099" ht="22.5" customHeight="1">
      <c r="A1099" s="24"/>
      <c r="B1099" s="25"/>
      <c r="C1099" s="25"/>
      <c r="D1099" s="138"/>
      <c r="E1099" s="138"/>
      <c r="F1099" s="138"/>
      <c r="G1099" s="119"/>
    </row>
    <row r="1100" ht="22.5" customHeight="1">
      <c r="A1100" s="24"/>
      <c r="B1100" s="25"/>
      <c r="C1100" s="25"/>
      <c r="D1100" s="138"/>
      <c r="E1100" s="138"/>
      <c r="F1100" s="138"/>
      <c r="G1100" s="119"/>
    </row>
    <row r="1101" ht="22.5" customHeight="1">
      <c r="A1101" s="24"/>
      <c r="B1101" s="25"/>
      <c r="C1101" s="25"/>
      <c r="D1101" s="138"/>
      <c r="E1101" s="138"/>
      <c r="F1101" s="138"/>
      <c r="G1101" s="119"/>
    </row>
    <row r="1102" ht="22.5" customHeight="1">
      <c r="A1102" s="24"/>
      <c r="B1102" s="25"/>
      <c r="C1102" s="25"/>
      <c r="D1102" s="138"/>
      <c r="E1102" s="138"/>
      <c r="F1102" s="138"/>
      <c r="G1102" s="119"/>
    </row>
    <row r="1103" ht="22.5" customHeight="1">
      <c r="A1103" s="24"/>
      <c r="B1103" s="25"/>
      <c r="C1103" s="25"/>
      <c r="D1103" s="138"/>
      <c r="E1103" s="138"/>
      <c r="F1103" s="138"/>
      <c r="G1103" s="119"/>
    </row>
    <row r="1104" ht="22.5" customHeight="1">
      <c r="A1104" s="24"/>
      <c r="B1104" s="25"/>
      <c r="C1104" s="25"/>
      <c r="D1104" s="138"/>
      <c r="E1104" s="138"/>
      <c r="F1104" s="138"/>
      <c r="G1104" s="119"/>
    </row>
    <row r="1105" ht="22.5" customHeight="1">
      <c r="A1105" s="24"/>
      <c r="B1105" s="25"/>
      <c r="C1105" s="25"/>
      <c r="D1105" s="138"/>
      <c r="E1105" s="138"/>
      <c r="F1105" s="138"/>
      <c r="G1105" s="119"/>
    </row>
  </sheetData>
  <dataValidations>
    <dataValidation type="custom" allowBlank="1" showDropDown="1" sqref="A2:A1105">
      <formula1>OR(NOT(ISERROR(DATEVALUE(A2))), AND(ISNUMBER(A2), LEFT(CELL("format", A2))="D"))</formula1>
    </dataValidation>
    <dataValidation allowBlank="1" showDropDown="1" sqref="G2:G1105"/>
  </dataValidations>
  <hyperlinks>
    <hyperlink r:id="rId1" location="gid=1493043243" ref="D2"/>
    <hyperlink r:id="rId2" ref="F2"/>
    <hyperlink r:id="rId3" location="gid=1493043243" ref="D3"/>
    <hyperlink r:id="rId4" ref="F3"/>
    <hyperlink r:id="rId5" location="gid=1493043243" ref="D4"/>
    <hyperlink r:id="rId6" ref="F4"/>
    <hyperlink r:id="rId7" location="gid=1493043243" ref="D5"/>
    <hyperlink r:id="rId8" ref="F5"/>
    <hyperlink r:id="rId9" ref="F7"/>
    <hyperlink r:id="rId10" ref="F9"/>
    <hyperlink r:id="rId11" ref="F13"/>
    <hyperlink r:id="rId12" ref="F14"/>
    <hyperlink r:id="rId13" ref="F15"/>
    <hyperlink r:id="rId14" ref="F16"/>
    <hyperlink r:id="rId15" ref="F17"/>
    <hyperlink r:id="rId16" ref="F18"/>
    <hyperlink r:id="rId17" ref="F19"/>
    <hyperlink r:id="rId18" ref="F20"/>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8"/>
    <hyperlink r:id="rId35" ref="F39"/>
    <hyperlink r:id="rId36" ref="F40"/>
    <hyperlink r:id="rId37" ref="F41"/>
    <hyperlink r:id="rId38" ref="F42"/>
    <hyperlink r:id="rId39" ref="F43"/>
    <hyperlink r:id="rId40" ref="F44"/>
  </hyperlinks>
  <drawing r:id="rId41"/>
  <tableParts count="1">
    <tablePart r:id="rId4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3.5"/>
    <col customWidth="1" min="3" max="3" width="11.0"/>
    <col customWidth="1" min="4" max="4" width="23.75"/>
    <col customWidth="1" min="5" max="5" width="15.5"/>
    <col customWidth="1" min="6" max="6" width="25.13"/>
    <col customWidth="1" min="7" max="7" width="32.63"/>
  </cols>
  <sheetData>
    <row r="1" ht="66.0" customHeight="1">
      <c r="A1" s="281" t="s">
        <v>1433</v>
      </c>
      <c r="B1" s="282" t="s">
        <v>2240</v>
      </c>
      <c r="C1" s="281" t="s">
        <v>584</v>
      </c>
      <c r="D1" s="282" t="s">
        <v>32</v>
      </c>
      <c r="E1" s="282" t="s">
        <v>33</v>
      </c>
      <c r="F1" s="282" t="s">
        <v>34</v>
      </c>
      <c r="G1" s="281" t="s">
        <v>8</v>
      </c>
      <c r="H1" s="146"/>
      <c r="I1" s="146"/>
      <c r="J1" s="146"/>
      <c r="K1" s="146"/>
      <c r="L1" s="146"/>
      <c r="M1" s="146"/>
      <c r="N1" s="146"/>
      <c r="O1" s="146"/>
      <c r="P1" s="146"/>
      <c r="Q1" s="146"/>
      <c r="R1" s="146"/>
      <c r="S1" s="146"/>
      <c r="T1" s="146"/>
      <c r="U1" s="146"/>
      <c r="V1" s="146"/>
      <c r="W1" s="146"/>
      <c r="X1" s="146"/>
      <c r="Y1" s="146"/>
      <c r="Z1" s="146"/>
    </row>
    <row r="2" ht="22.5" customHeight="1">
      <c r="A2" s="283">
        <v>45856.0</v>
      </c>
      <c r="B2" s="284">
        <v>8.0</v>
      </c>
      <c r="C2" s="285"/>
      <c r="D2" s="285" t="s">
        <v>2241</v>
      </c>
      <c r="E2" s="285" t="s">
        <v>39</v>
      </c>
      <c r="F2" s="32" t="s">
        <v>2242</v>
      </c>
      <c r="G2" s="286" t="s">
        <v>2243</v>
      </c>
      <c r="H2" s="146"/>
      <c r="I2" s="146"/>
      <c r="J2" s="146"/>
      <c r="K2" s="146"/>
      <c r="L2" s="146"/>
      <c r="M2" s="146"/>
      <c r="N2" s="146"/>
      <c r="O2" s="146"/>
      <c r="P2" s="146"/>
      <c r="Q2" s="146"/>
      <c r="R2" s="146"/>
      <c r="S2" s="146"/>
      <c r="T2" s="146"/>
      <c r="U2" s="146"/>
      <c r="V2" s="146"/>
      <c r="W2" s="146"/>
      <c r="X2" s="146"/>
      <c r="Y2" s="146"/>
      <c r="Z2" s="146"/>
    </row>
    <row r="3" ht="22.5" customHeight="1">
      <c r="A3" s="283">
        <v>45859.0</v>
      </c>
      <c r="B3" s="284">
        <v>8.0</v>
      </c>
      <c r="C3" s="285"/>
      <c r="D3" s="285" t="s">
        <v>2241</v>
      </c>
      <c r="E3" s="285" t="s">
        <v>39</v>
      </c>
      <c r="F3" s="32" t="s">
        <v>2242</v>
      </c>
      <c r="G3" s="287"/>
      <c r="H3" s="146"/>
      <c r="I3" s="146"/>
      <c r="J3" s="146"/>
      <c r="K3" s="146"/>
      <c r="L3" s="146"/>
      <c r="M3" s="146"/>
      <c r="N3" s="146"/>
      <c r="O3" s="146"/>
      <c r="P3" s="146"/>
      <c r="Q3" s="146"/>
      <c r="R3" s="146"/>
      <c r="S3" s="146"/>
      <c r="T3" s="146"/>
      <c r="U3" s="146"/>
      <c r="V3" s="146"/>
      <c r="W3" s="146"/>
      <c r="X3" s="146"/>
      <c r="Y3" s="146"/>
      <c r="Z3" s="146"/>
    </row>
    <row r="4" ht="22.5" customHeight="1">
      <c r="A4" s="283">
        <v>45860.0</v>
      </c>
      <c r="B4" s="284">
        <v>8.0</v>
      </c>
      <c r="C4" s="285"/>
      <c r="D4" s="285" t="s">
        <v>2241</v>
      </c>
      <c r="E4" s="285" t="s">
        <v>39</v>
      </c>
      <c r="F4" s="32" t="s">
        <v>2242</v>
      </c>
      <c r="G4" s="287"/>
      <c r="H4" s="146"/>
      <c r="I4" s="146"/>
      <c r="J4" s="146"/>
      <c r="K4" s="146"/>
      <c r="L4" s="146"/>
      <c r="M4" s="146"/>
      <c r="N4" s="146"/>
      <c r="O4" s="146"/>
      <c r="P4" s="146"/>
      <c r="Q4" s="146"/>
      <c r="R4" s="146"/>
      <c r="S4" s="146"/>
      <c r="T4" s="146"/>
      <c r="U4" s="146"/>
      <c r="V4" s="146"/>
      <c r="W4" s="146"/>
      <c r="X4" s="146"/>
      <c r="Y4" s="146"/>
      <c r="Z4" s="146"/>
    </row>
    <row r="5" ht="22.5" customHeight="1">
      <c r="A5" s="283">
        <v>45861.0</v>
      </c>
      <c r="B5" s="284">
        <v>8.0</v>
      </c>
      <c r="C5" s="285"/>
      <c r="D5" s="285" t="s">
        <v>2244</v>
      </c>
      <c r="E5" s="285" t="s">
        <v>39</v>
      </c>
      <c r="F5" s="32" t="s">
        <v>2242</v>
      </c>
      <c r="G5" s="287"/>
      <c r="H5" s="146"/>
      <c r="I5" s="146"/>
      <c r="J5" s="146"/>
      <c r="K5" s="146"/>
      <c r="L5" s="146"/>
      <c r="M5" s="146"/>
      <c r="N5" s="146"/>
      <c r="O5" s="146"/>
      <c r="P5" s="146"/>
      <c r="Q5" s="146"/>
      <c r="R5" s="146"/>
      <c r="S5" s="146"/>
      <c r="T5" s="146"/>
      <c r="U5" s="146"/>
      <c r="V5" s="146"/>
      <c r="W5" s="146"/>
      <c r="X5" s="146"/>
      <c r="Y5" s="146"/>
      <c r="Z5" s="146"/>
    </row>
    <row r="6" ht="22.5" customHeight="1">
      <c r="A6" s="283">
        <v>45862.0</v>
      </c>
      <c r="B6" s="284">
        <v>8.0</v>
      </c>
      <c r="C6" s="285"/>
      <c r="D6" s="285" t="s">
        <v>2245</v>
      </c>
      <c r="E6" s="285" t="s">
        <v>39</v>
      </c>
      <c r="F6" s="32" t="s">
        <v>2246</v>
      </c>
      <c r="G6" s="288"/>
      <c r="H6" s="146"/>
      <c r="I6" s="146"/>
      <c r="J6" s="146"/>
      <c r="K6" s="146"/>
      <c r="L6" s="146"/>
      <c r="M6" s="146"/>
      <c r="N6" s="146"/>
      <c r="O6" s="146"/>
      <c r="P6" s="146"/>
      <c r="Q6" s="146"/>
      <c r="R6" s="146"/>
      <c r="S6" s="146"/>
      <c r="T6" s="146"/>
      <c r="U6" s="146"/>
      <c r="V6" s="146"/>
      <c r="W6" s="146"/>
      <c r="X6" s="146"/>
      <c r="Y6" s="146"/>
      <c r="Z6" s="146"/>
    </row>
    <row r="7" ht="22.5" customHeight="1">
      <c r="A7" s="283">
        <v>45863.0</v>
      </c>
      <c r="B7" s="284">
        <v>8.0</v>
      </c>
      <c r="C7" s="285"/>
      <c r="D7" s="285" t="s">
        <v>2247</v>
      </c>
      <c r="E7" s="285" t="s">
        <v>39</v>
      </c>
      <c r="F7" s="289"/>
      <c r="G7" s="290" t="s">
        <v>2248</v>
      </c>
      <c r="H7" s="146"/>
      <c r="I7" s="146"/>
      <c r="J7" s="146"/>
      <c r="K7" s="146"/>
      <c r="L7" s="146"/>
      <c r="M7" s="146"/>
      <c r="N7" s="146"/>
      <c r="O7" s="146"/>
      <c r="P7" s="146"/>
      <c r="Q7" s="146"/>
      <c r="R7" s="146"/>
      <c r="S7" s="146"/>
      <c r="T7" s="146"/>
      <c r="U7" s="146"/>
      <c r="V7" s="146"/>
      <c r="W7" s="146"/>
      <c r="X7" s="146"/>
      <c r="Y7" s="146"/>
      <c r="Z7" s="146"/>
    </row>
    <row r="8" ht="22.5" customHeight="1">
      <c r="A8" s="283">
        <v>45866.0</v>
      </c>
      <c r="B8" s="284">
        <v>8.0</v>
      </c>
      <c r="C8" s="285"/>
      <c r="D8" s="285" t="s">
        <v>2249</v>
      </c>
      <c r="E8" s="285" t="s">
        <v>39</v>
      </c>
      <c r="F8" s="32" t="s">
        <v>2246</v>
      </c>
      <c r="G8" s="288"/>
      <c r="H8" s="146"/>
      <c r="I8" s="146"/>
      <c r="J8" s="146"/>
      <c r="K8" s="146"/>
      <c r="L8" s="146"/>
      <c r="M8" s="146"/>
      <c r="N8" s="146"/>
      <c r="O8" s="146"/>
      <c r="P8" s="146"/>
      <c r="Q8" s="146"/>
      <c r="R8" s="146"/>
      <c r="S8" s="146"/>
      <c r="T8" s="146"/>
      <c r="U8" s="146"/>
      <c r="V8" s="146"/>
      <c r="W8" s="146"/>
      <c r="X8" s="146"/>
      <c r="Y8" s="146"/>
      <c r="Z8" s="146"/>
    </row>
    <row r="9" ht="22.5" customHeight="1">
      <c r="A9" s="283">
        <v>45867.0</v>
      </c>
      <c r="B9" s="284">
        <v>8.0</v>
      </c>
      <c r="C9" s="285"/>
      <c r="D9" s="291" t="s">
        <v>2250</v>
      </c>
      <c r="E9" s="285" t="s">
        <v>39</v>
      </c>
      <c r="F9" s="32" t="s">
        <v>2251</v>
      </c>
      <c r="G9" s="288"/>
      <c r="H9" s="146"/>
      <c r="I9" s="146"/>
      <c r="J9" s="146"/>
      <c r="K9" s="146"/>
      <c r="L9" s="146"/>
      <c r="M9" s="146"/>
      <c r="N9" s="146"/>
      <c r="O9" s="146"/>
      <c r="P9" s="146"/>
      <c r="Q9" s="146"/>
      <c r="R9" s="146"/>
      <c r="S9" s="146"/>
      <c r="T9" s="146"/>
      <c r="U9" s="146"/>
      <c r="V9" s="146"/>
      <c r="W9" s="146"/>
      <c r="X9" s="146"/>
      <c r="Y9" s="146"/>
      <c r="Z9" s="146"/>
    </row>
    <row r="10" ht="22.5" customHeight="1">
      <c r="A10" s="283">
        <v>45868.0</v>
      </c>
      <c r="B10" s="284">
        <v>8.0</v>
      </c>
      <c r="C10" s="285"/>
      <c r="D10" s="291" t="s">
        <v>2252</v>
      </c>
      <c r="E10" s="285" t="s">
        <v>85</v>
      </c>
      <c r="F10" s="32" t="s">
        <v>2251</v>
      </c>
      <c r="G10" s="290" t="s">
        <v>2253</v>
      </c>
      <c r="H10" s="146"/>
      <c r="I10" s="146"/>
      <c r="J10" s="146"/>
      <c r="K10" s="146"/>
      <c r="L10" s="146"/>
      <c r="M10" s="146"/>
      <c r="N10" s="146"/>
      <c r="O10" s="146"/>
      <c r="P10" s="146"/>
      <c r="Q10" s="146"/>
      <c r="R10" s="146"/>
      <c r="S10" s="146"/>
      <c r="T10" s="146"/>
      <c r="U10" s="146"/>
      <c r="V10" s="146"/>
      <c r="W10" s="146"/>
      <c r="X10" s="146"/>
      <c r="Y10" s="146"/>
      <c r="Z10" s="146"/>
    </row>
    <row r="11" ht="22.5" customHeight="1">
      <c r="A11" s="292">
        <v>45869.0</v>
      </c>
      <c r="B11" s="293">
        <v>8.0</v>
      </c>
      <c r="C11" s="291"/>
      <c r="D11" s="291" t="s">
        <v>2254</v>
      </c>
      <c r="E11" s="291" t="s">
        <v>85</v>
      </c>
      <c r="F11" s="294" t="s">
        <v>2255</v>
      </c>
      <c r="G11" s="290" t="s">
        <v>2256</v>
      </c>
      <c r="H11" s="146"/>
      <c r="I11" s="146"/>
      <c r="J11" s="146"/>
      <c r="K11" s="146"/>
      <c r="L11" s="146"/>
      <c r="M11" s="146"/>
      <c r="N11" s="146"/>
      <c r="O11" s="146"/>
      <c r="P11" s="146"/>
      <c r="Q11" s="146"/>
      <c r="R11" s="146"/>
      <c r="S11" s="146"/>
      <c r="T11" s="146"/>
      <c r="U11" s="146"/>
      <c r="V11" s="146"/>
      <c r="W11" s="146"/>
      <c r="X11" s="146"/>
      <c r="Y11" s="146"/>
      <c r="Z11" s="146"/>
    </row>
    <row r="12" ht="22.5" customHeight="1">
      <c r="A12" s="292">
        <v>45870.0</v>
      </c>
      <c r="B12" s="293">
        <v>8.0</v>
      </c>
      <c r="C12" s="291"/>
      <c r="D12" s="291" t="s">
        <v>2257</v>
      </c>
      <c r="E12" s="291" t="s">
        <v>85</v>
      </c>
      <c r="F12" s="294" t="s">
        <v>2258</v>
      </c>
      <c r="G12" s="288"/>
      <c r="H12" s="146"/>
      <c r="I12" s="146"/>
      <c r="J12" s="146"/>
      <c r="K12" s="146"/>
      <c r="L12" s="146"/>
      <c r="M12" s="146"/>
      <c r="N12" s="146"/>
      <c r="O12" s="146"/>
      <c r="P12" s="146"/>
      <c r="Q12" s="146"/>
      <c r="R12" s="146"/>
      <c r="S12" s="146"/>
      <c r="T12" s="146"/>
      <c r="U12" s="146"/>
      <c r="V12" s="146"/>
      <c r="W12" s="146"/>
      <c r="X12" s="146"/>
      <c r="Y12" s="146"/>
      <c r="Z12" s="146"/>
    </row>
    <row r="13" ht="22.5" customHeight="1">
      <c r="A13" s="292">
        <v>45873.0</v>
      </c>
      <c r="B13" s="293">
        <v>8.0</v>
      </c>
      <c r="C13" s="291"/>
      <c r="D13" s="291" t="s">
        <v>2257</v>
      </c>
      <c r="E13" s="291" t="s">
        <v>85</v>
      </c>
      <c r="F13" s="294" t="s">
        <v>2258</v>
      </c>
      <c r="G13" s="290" t="s">
        <v>2259</v>
      </c>
      <c r="H13" s="146"/>
      <c r="I13" s="146"/>
      <c r="J13" s="146"/>
      <c r="K13" s="146"/>
      <c r="L13" s="146"/>
      <c r="M13" s="146"/>
      <c r="N13" s="146"/>
      <c r="O13" s="146"/>
      <c r="P13" s="146"/>
      <c r="Q13" s="146"/>
      <c r="R13" s="146"/>
      <c r="S13" s="146"/>
      <c r="T13" s="146"/>
      <c r="U13" s="146"/>
      <c r="V13" s="146"/>
      <c r="W13" s="146"/>
      <c r="X13" s="146"/>
      <c r="Y13" s="146"/>
      <c r="Z13" s="146"/>
    </row>
    <row r="14" ht="22.5" customHeight="1">
      <c r="A14" s="292">
        <v>45874.0</v>
      </c>
      <c r="B14" s="293">
        <v>8.0</v>
      </c>
      <c r="C14" s="291"/>
      <c r="D14" s="291" t="s">
        <v>2260</v>
      </c>
      <c r="E14" s="285" t="s">
        <v>39</v>
      </c>
      <c r="F14" s="290"/>
      <c r="G14" s="288"/>
      <c r="H14" s="146"/>
      <c r="I14" s="146"/>
      <c r="J14" s="146"/>
      <c r="K14" s="146"/>
      <c r="L14" s="146"/>
      <c r="M14" s="146"/>
      <c r="N14" s="146"/>
      <c r="O14" s="146"/>
      <c r="P14" s="146"/>
      <c r="Q14" s="146"/>
      <c r="R14" s="146"/>
      <c r="S14" s="146"/>
      <c r="T14" s="146"/>
      <c r="U14" s="146"/>
      <c r="V14" s="146"/>
      <c r="W14" s="146"/>
      <c r="X14" s="146"/>
      <c r="Y14" s="146"/>
      <c r="Z14" s="146"/>
    </row>
    <row r="15" ht="22.5" customHeight="1">
      <c r="A15" s="292">
        <v>45875.0</v>
      </c>
      <c r="B15" s="293"/>
      <c r="C15" s="291"/>
      <c r="D15" s="291" t="s">
        <v>2261</v>
      </c>
      <c r="E15" s="291"/>
      <c r="F15" s="290"/>
      <c r="G15" s="288"/>
      <c r="H15" s="146"/>
      <c r="I15" s="146"/>
      <c r="J15" s="146"/>
      <c r="K15" s="146"/>
      <c r="L15" s="146"/>
      <c r="M15" s="146"/>
      <c r="N15" s="146"/>
      <c r="O15" s="146"/>
      <c r="P15" s="146"/>
      <c r="Q15" s="146"/>
      <c r="R15" s="146"/>
      <c r="S15" s="146"/>
      <c r="T15" s="146"/>
      <c r="U15" s="146"/>
      <c r="V15" s="146"/>
      <c r="W15" s="146"/>
      <c r="X15" s="146"/>
      <c r="Y15" s="146"/>
      <c r="Z15" s="146"/>
    </row>
    <row r="16" ht="22.5" customHeight="1">
      <c r="A16" s="283">
        <v>45876.0</v>
      </c>
      <c r="B16" s="293">
        <v>8.0</v>
      </c>
      <c r="C16" s="291"/>
      <c r="D16" s="291" t="s">
        <v>2262</v>
      </c>
      <c r="E16" s="285" t="s">
        <v>39</v>
      </c>
      <c r="F16" s="294" t="s">
        <v>2258</v>
      </c>
      <c r="G16" s="290" t="s">
        <v>2263</v>
      </c>
      <c r="H16" s="146"/>
      <c r="I16" s="146"/>
      <c r="J16" s="146"/>
      <c r="K16" s="146"/>
      <c r="L16" s="146"/>
      <c r="M16" s="146"/>
      <c r="N16" s="146"/>
      <c r="O16" s="146"/>
      <c r="P16" s="146"/>
      <c r="Q16" s="146"/>
      <c r="R16" s="146"/>
      <c r="S16" s="146"/>
      <c r="T16" s="146"/>
      <c r="U16" s="146"/>
      <c r="V16" s="146"/>
      <c r="W16" s="146"/>
      <c r="X16" s="146"/>
      <c r="Y16" s="146"/>
      <c r="Z16" s="146"/>
    </row>
    <row r="17" ht="22.5" customHeight="1">
      <c r="A17" s="283">
        <v>45877.0</v>
      </c>
      <c r="B17" s="293">
        <v>8.0</v>
      </c>
      <c r="C17" s="291"/>
      <c r="D17" s="295" t="s">
        <v>2257</v>
      </c>
      <c r="E17" s="285" t="s">
        <v>39</v>
      </c>
      <c r="F17" s="296" t="s">
        <v>2258</v>
      </c>
      <c r="G17" s="297" t="s">
        <v>2263</v>
      </c>
      <c r="H17" s="146"/>
      <c r="I17" s="146"/>
      <c r="J17" s="146"/>
      <c r="K17" s="146"/>
      <c r="L17" s="146"/>
      <c r="M17" s="146"/>
      <c r="N17" s="146"/>
      <c r="O17" s="146"/>
      <c r="P17" s="146"/>
      <c r="Q17" s="146"/>
      <c r="R17" s="146"/>
      <c r="S17" s="146"/>
      <c r="T17" s="146"/>
      <c r="U17" s="146"/>
      <c r="V17" s="146"/>
      <c r="W17" s="146"/>
      <c r="X17" s="146"/>
      <c r="Y17" s="146"/>
      <c r="Z17" s="146"/>
    </row>
    <row r="18" ht="22.5" customHeight="1">
      <c r="A18" s="283">
        <v>45880.0</v>
      </c>
      <c r="B18" s="293">
        <v>8.0</v>
      </c>
      <c r="C18" s="291"/>
      <c r="D18" s="291" t="s">
        <v>2264</v>
      </c>
      <c r="E18" s="285" t="s">
        <v>39</v>
      </c>
      <c r="F18" s="296" t="s">
        <v>2258</v>
      </c>
      <c r="G18" s="288"/>
      <c r="H18" s="146"/>
      <c r="I18" s="146"/>
      <c r="J18" s="146"/>
      <c r="K18" s="146"/>
      <c r="L18" s="146"/>
      <c r="M18" s="146"/>
      <c r="N18" s="146"/>
      <c r="O18" s="146"/>
      <c r="P18" s="146"/>
      <c r="Q18" s="146"/>
      <c r="R18" s="146"/>
      <c r="S18" s="146"/>
      <c r="T18" s="146"/>
      <c r="U18" s="146"/>
      <c r="V18" s="146"/>
      <c r="W18" s="146"/>
      <c r="X18" s="146"/>
      <c r="Y18" s="146"/>
      <c r="Z18" s="146"/>
    </row>
    <row r="19" ht="22.5" customHeight="1">
      <c r="A19" s="283">
        <v>45881.0</v>
      </c>
      <c r="B19" s="293">
        <v>8.0</v>
      </c>
      <c r="C19" s="291"/>
      <c r="D19" s="291" t="s">
        <v>2265</v>
      </c>
      <c r="E19" s="291" t="s">
        <v>85</v>
      </c>
      <c r="F19" s="296" t="s">
        <v>2258</v>
      </c>
      <c r="G19" s="288"/>
      <c r="H19" s="146"/>
      <c r="I19" s="146"/>
      <c r="J19" s="146"/>
      <c r="K19" s="146"/>
      <c r="L19" s="146"/>
      <c r="M19" s="146"/>
      <c r="N19" s="146"/>
      <c r="O19" s="146"/>
      <c r="P19" s="146"/>
      <c r="Q19" s="146"/>
      <c r="R19" s="146"/>
      <c r="S19" s="146"/>
      <c r="T19" s="146"/>
      <c r="U19" s="146"/>
      <c r="V19" s="146"/>
      <c r="W19" s="146"/>
      <c r="X19" s="146"/>
      <c r="Y19" s="146"/>
      <c r="Z19" s="146"/>
    </row>
    <row r="20" ht="22.5" customHeight="1">
      <c r="A20" s="283">
        <v>45882.0</v>
      </c>
      <c r="B20" s="293">
        <v>8.0</v>
      </c>
      <c r="C20" s="291"/>
      <c r="D20" s="291" t="s">
        <v>2266</v>
      </c>
      <c r="E20" s="285" t="s">
        <v>39</v>
      </c>
      <c r="F20" s="298"/>
      <c r="G20" s="288"/>
      <c r="H20" s="146"/>
      <c r="I20" s="146"/>
      <c r="J20" s="146"/>
      <c r="K20" s="146"/>
      <c r="L20" s="146"/>
      <c r="M20" s="146"/>
      <c r="N20" s="146"/>
      <c r="O20" s="146"/>
      <c r="P20" s="146"/>
      <c r="Q20" s="146"/>
      <c r="R20" s="146"/>
      <c r="S20" s="146"/>
      <c r="T20" s="146"/>
      <c r="U20" s="146"/>
      <c r="V20" s="146"/>
      <c r="W20" s="146"/>
      <c r="X20" s="146"/>
      <c r="Y20" s="146"/>
      <c r="Z20" s="146"/>
    </row>
    <row r="21" ht="22.5" customHeight="1">
      <c r="A21" s="283">
        <v>45883.0</v>
      </c>
      <c r="B21" s="293">
        <v>8.0</v>
      </c>
      <c r="C21" s="291"/>
      <c r="D21" s="291" t="s">
        <v>2267</v>
      </c>
      <c r="E21" s="285" t="s">
        <v>39</v>
      </c>
      <c r="F21" s="299" t="s">
        <v>2268</v>
      </c>
      <c r="G21" s="288"/>
      <c r="H21" s="146"/>
      <c r="I21" s="146"/>
      <c r="J21" s="146"/>
      <c r="K21" s="146"/>
      <c r="L21" s="146"/>
      <c r="M21" s="146"/>
      <c r="N21" s="146"/>
      <c r="O21" s="146"/>
      <c r="P21" s="146"/>
      <c r="Q21" s="146"/>
      <c r="R21" s="146"/>
      <c r="S21" s="146"/>
      <c r="T21" s="146"/>
      <c r="U21" s="146"/>
      <c r="V21" s="146"/>
      <c r="W21" s="146"/>
      <c r="X21" s="146"/>
      <c r="Y21" s="146"/>
      <c r="Z21" s="146"/>
    </row>
    <row r="22" ht="22.5" customHeight="1">
      <c r="A22" s="283">
        <v>45884.0</v>
      </c>
      <c r="B22" s="293">
        <v>8.0</v>
      </c>
      <c r="C22" s="291"/>
      <c r="D22" s="291" t="s">
        <v>2267</v>
      </c>
      <c r="E22" s="285" t="s">
        <v>39</v>
      </c>
      <c r="F22" s="299" t="s">
        <v>2268</v>
      </c>
      <c r="G22" s="288"/>
      <c r="H22" s="146"/>
      <c r="I22" s="146"/>
      <c r="J22" s="146"/>
      <c r="K22" s="146"/>
      <c r="L22" s="146"/>
      <c r="M22" s="146"/>
      <c r="N22" s="146"/>
      <c r="O22" s="146"/>
      <c r="P22" s="146"/>
      <c r="Q22" s="146"/>
      <c r="R22" s="146"/>
      <c r="S22" s="146"/>
      <c r="T22" s="146"/>
      <c r="U22" s="146"/>
      <c r="V22" s="146"/>
      <c r="W22" s="146"/>
      <c r="X22" s="146"/>
      <c r="Y22" s="146"/>
      <c r="Z22" s="146"/>
    </row>
    <row r="23" ht="22.5" customHeight="1">
      <c r="A23" s="283">
        <v>45887.0</v>
      </c>
      <c r="B23" s="293">
        <v>8.0</v>
      </c>
      <c r="C23" s="291"/>
      <c r="D23" s="291" t="s">
        <v>2267</v>
      </c>
      <c r="E23" s="285" t="s">
        <v>39</v>
      </c>
      <c r="F23" s="299" t="s">
        <v>2268</v>
      </c>
      <c r="G23" s="288"/>
      <c r="H23" s="146"/>
      <c r="I23" s="146"/>
      <c r="J23" s="146"/>
      <c r="K23" s="146"/>
      <c r="L23" s="146"/>
      <c r="M23" s="146"/>
      <c r="N23" s="146"/>
      <c r="O23" s="146"/>
      <c r="P23" s="146"/>
      <c r="Q23" s="146"/>
      <c r="R23" s="146"/>
      <c r="S23" s="146"/>
      <c r="T23" s="146"/>
      <c r="U23" s="146"/>
      <c r="V23" s="146"/>
      <c r="W23" s="146"/>
      <c r="X23" s="146"/>
      <c r="Y23" s="146"/>
      <c r="Z23" s="146"/>
    </row>
    <row r="24" ht="22.5" customHeight="1">
      <c r="A24" s="283">
        <v>45888.0</v>
      </c>
      <c r="B24" s="293">
        <v>8.0</v>
      </c>
      <c r="C24" s="291"/>
      <c r="D24" s="291" t="s">
        <v>2267</v>
      </c>
      <c r="E24" s="285" t="s">
        <v>39</v>
      </c>
      <c r="F24" s="299" t="s">
        <v>2268</v>
      </c>
      <c r="G24" s="288"/>
      <c r="H24" s="146"/>
      <c r="I24" s="146"/>
      <c r="J24" s="146"/>
      <c r="K24" s="146"/>
      <c r="L24" s="146"/>
      <c r="M24" s="146"/>
      <c r="N24" s="146"/>
      <c r="O24" s="146"/>
      <c r="P24" s="146"/>
      <c r="Q24" s="146"/>
      <c r="R24" s="146"/>
      <c r="S24" s="146"/>
      <c r="T24" s="146"/>
      <c r="U24" s="146"/>
      <c r="V24" s="146"/>
      <c r="W24" s="146"/>
      <c r="X24" s="146"/>
      <c r="Y24" s="146"/>
      <c r="Z24" s="146"/>
    </row>
    <row r="25" ht="22.5" customHeight="1">
      <c r="A25" s="283">
        <v>45889.0</v>
      </c>
      <c r="B25" s="293">
        <v>8.0</v>
      </c>
      <c r="C25" s="291"/>
      <c r="D25" s="291" t="s">
        <v>2267</v>
      </c>
      <c r="E25" s="285" t="s">
        <v>39</v>
      </c>
      <c r="F25" s="299" t="s">
        <v>2268</v>
      </c>
      <c r="G25" s="288"/>
      <c r="H25" s="146"/>
      <c r="I25" s="146"/>
      <c r="J25" s="146"/>
      <c r="K25" s="146"/>
      <c r="L25" s="146"/>
      <c r="M25" s="146"/>
      <c r="N25" s="146"/>
      <c r="O25" s="146"/>
      <c r="P25" s="146"/>
      <c r="Q25" s="146"/>
      <c r="R25" s="146"/>
      <c r="S25" s="146"/>
      <c r="T25" s="146"/>
      <c r="U25" s="146"/>
      <c r="V25" s="146"/>
      <c r="W25" s="146"/>
      <c r="X25" s="146"/>
      <c r="Y25" s="146"/>
      <c r="Z25" s="146"/>
    </row>
    <row r="26" ht="22.5" customHeight="1">
      <c r="A26" s="283">
        <v>45890.0</v>
      </c>
      <c r="B26" s="293">
        <v>8.0</v>
      </c>
      <c r="C26" s="291"/>
      <c r="D26" s="291" t="s">
        <v>2267</v>
      </c>
      <c r="E26" s="285" t="s">
        <v>39</v>
      </c>
      <c r="F26" s="299" t="s">
        <v>2268</v>
      </c>
      <c r="G26" s="288"/>
      <c r="H26" s="146"/>
      <c r="I26" s="146"/>
      <c r="J26" s="146"/>
      <c r="K26" s="146"/>
      <c r="L26" s="146"/>
      <c r="M26" s="146"/>
      <c r="N26" s="146"/>
      <c r="O26" s="146"/>
      <c r="P26" s="146"/>
      <c r="Q26" s="146"/>
      <c r="R26" s="146"/>
      <c r="S26" s="146"/>
      <c r="T26" s="146"/>
      <c r="U26" s="146"/>
      <c r="V26" s="146"/>
      <c r="W26" s="146"/>
      <c r="X26" s="146"/>
      <c r="Y26" s="146"/>
      <c r="Z26" s="146"/>
    </row>
    <row r="27" ht="22.5" customHeight="1">
      <c r="A27" s="283">
        <v>45891.0</v>
      </c>
      <c r="B27" s="293">
        <v>8.0</v>
      </c>
      <c r="C27" s="291"/>
      <c r="D27" s="291" t="s">
        <v>2267</v>
      </c>
      <c r="E27" s="285" t="s">
        <v>2269</v>
      </c>
      <c r="F27" s="299" t="s">
        <v>2268</v>
      </c>
      <c r="G27" s="288"/>
      <c r="H27" s="146"/>
      <c r="I27" s="146"/>
      <c r="J27" s="146"/>
      <c r="K27" s="146"/>
      <c r="L27" s="146"/>
      <c r="M27" s="146"/>
      <c r="N27" s="146"/>
      <c r="O27" s="146"/>
      <c r="P27" s="146"/>
      <c r="Q27" s="146"/>
      <c r="R27" s="146"/>
      <c r="S27" s="146"/>
      <c r="T27" s="146"/>
      <c r="U27" s="146"/>
      <c r="V27" s="146"/>
      <c r="W27" s="146"/>
      <c r="X27" s="146"/>
      <c r="Y27" s="146"/>
      <c r="Z27" s="146"/>
    </row>
    <row r="28" ht="22.5" customHeight="1">
      <c r="A28" s="283">
        <v>45894.0</v>
      </c>
      <c r="B28" s="293">
        <v>8.0</v>
      </c>
      <c r="C28" s="291"/>
      <c r="D28" s="291" t="s">
        <v>2266</v>
      </c>
      <c r="E28" s="285" t="s">
        <v>39</v>
      </c>
      <c r="F28" s="298"/>
      <c r="G28" s="288"/>
      <c r="H28" s="146"/>
      <c r="I28" s="146"/>
      <c r="J28" s="146"/>
      <c r="K28" s="146"/>
      <c r="L28" s="146"/>
      <c r="M28" s="146"/>
      <c r="N28" s="146"/>
      <c r="O28" s="146"/>
      <c r="P28" s="146"/>
      <c r="Q28" s="146"/>
      <c r="R28" s="146"/>
      <c r="S28" s="146"/>
      <c r="T28" s="146"/>
      <c r="U28" s="146"/>
      <c r="V28" s="146"/>
      <c r="W28" s="146"/>
      <c r="X28" s="146"/>
      <c r="Y28" s="146"/>
      <c r="Z28" s="146"/>
    </row>
    <row r="29" ht="22.5" customHeight="1">
      <c r="A29" s="283">
        <v>45895.0</v>
      </c>
      <c r="B29" s="293">
        <v>8.0</v>
      </c>
      <c r="C29" s="291"/>
      <c r="D29" s="291" t="s">
        <v>2266</v>
      </c>
      <c r="E29" s="285" t="s">
        <v>39</v>
      </c>
      <c r="F29" s="298"/>
      <c r="G29" s="288"/>
      <c r="H29" s="146"/>
      <c r="I29" s="146"/>
      <c r="J29" s="146"/>
      <c r="K29" s="146"/>
      <c r="L29" s="146"/>
      <c r="M29" s="146"/>
      <c r="N29" s="146"/>
      <c r="O29" s="146"/>
      <c r="P29" s="146"/>
      <c r="Q29" s="146"/>
      <c r="R29" s="146"/>
      <c r="S29" s="146"/>
      <c r="T29" s="146"/>
      <c r="U29" s="146"/>
      <c r="V29" s="146"/>
      <c r="W29" s="146"/>
      <c r="X29" s="146"/>
      <c r="Y29" s="146"/>
      <c r="Z29" s="146"/>
    </row>
    <row r="30" ht="22.5" customHeight="1">
      <c r="A30" s="283">
        <v>45896.0</v>
      </c>
      <c r="B30" s="293">
        <v>8.0</v>
      </c>
      <c r="C30" s="291"/>
      <c r="D30" s="291" t="s">
        <v>2266</v>
      </c>
      <c r="E30" s="285" t="s">
        <v>39</v>
      </c>
      <c r="F30" s="298"/>
      <c r="G30" s="288"/>
      <c r="H30" s="146"/>
      <c r="I30" s="146"/>
      <c r="J30" s="146"/>
      <c r="K30" s="146"/>
      <c r="L30" s="146"/>
      <c r="M30" s="146"/>
      <c r="N30" s="146"/>
      <c r="O30" s="146"/>
      <c r="P30" s="146"/>
      <c r="Q30" s="146"/>
      <c r="R30" s="146"/>
      <c r="S30" s="146"/>
      <c r="T30" s="146"/>
      <c r="U30" s="146"/>
      <c r="V30" s="146"/>
      <c r="W30" s="146"/>
      <c r="X30" s="146"/>
      <c r="Y30" s="146"/>
      <c r="Z30" s="146"/>
    </row>
    <row r="31" ht="22.5" customHeight="1">
      <c r="A31" s="283">
        <v>45897.0</v>
      </c>
      <c r="B31" s="293">
        <v>8.0</v>
      </c>
      <c r="C31" s="291"/>
      <c r="D31" s="291" t="s">
        <v>2270</v>
      </c>
      <c r="E31" s="285" t="s">
        <v>2269</v>
      </c>
      <c r="F31" s="300" t="s">
        <v>2271</v>
      </c>
      <c r="G31" s="288"/>
      <c r="H31" s="146"/>
      <c r="I31" s="146"/>
      <c r="J31" s="146"/>
      <c r="K31" s="146"/>
      <c r="L31" s="146"/>
      <c r="M31" s="146"/>
      <c r="N31" s="146"/>
      <c r="O31" s="146"/>
      <c r="P31" s="146"/>
      <c r="Q31" s="146"/>
      <c r="R31" s="146"/>
      <c r="S31" s="146"/>
      <c r="T31" s="146"/>
      <c r="U31" s="146"/>
      <c r="V31" s="146"/>
      <c r="W31" s="146"/>
      <c r="X31" s="146"/>
      <c r="Y31" s="146"/>
      <c r="Z31" s="146"/>
    </row>
    <row r="32" ht="22.5" customHeight="1">
      <c r="A32" s="283">
        <v>45898.0</v>
      </c>
      <c r="B32" s="293">
        <v>8.0</v>
      </c>
      <c r="C32" s="291"/>
      <c r="D32" s="291" t="s">
        <v>2266</v>
      </c>
      <c r="E32" s="285" t="s">
        <v>39</v>
      </c>
      <c r="F32" s="298"/>
      <c r="G32" s="288"/>
      <c r="H32" s="146"/>
      <c r="I32" s="146"/>
      <c r="J32" s="146"/>
      <c r="K32" s="146"/>
      <c r="L32" s="146"/>
      <c r="M32" s="146"/>
      <c r="N32" s="146"/>
      <c r="O32" s="146"/>
      <c r="P32" s="146"/>
      <c r="Q32" s="146"/>
      <c r="R32" s="146"/>
      <c r="S32" s="146"/>
      <c r="T32" s="146"/>
      <c r="U32" s="146"/>
      <c r="V32" s="146"/>
      <c r="W32" s="146"/>
      <c r="X32" s="146"/>
      <c r="Y32" s="146"/>
      <c r="Z32" s="146"/>
    </row>
    <row r="33" ht="22.5" customHeight="1">
      <c r="A33" s="283">
        <v>45901.0</v>
      </c>
      <c r="B33" s="293">
        <v>8.0</v>
      </c>
      <c r="C33" s="291"/>
      <c r="D33" s="291" t="s">
        <v>2266</v>
      </c>
      <c r="E33" s="285" t="s">
        <v>39</v>
      </c>
      <c r="F33" s="298"/>
      <c r="G33" s="288"/>
      <c r="H33" s="146"/>
      <c r="I33" s="146"/>
      <c r="J33" s="146"/>
      <c r="K33" s="146"/>
      <c r="L33" s="146"/>
      <c r="M33" s="146"/>
      <c r="N33" s="146"/>
      <c r="O33" s="146"/>
      <c r="P33" s="146"/>
      <c r="Q33" s="146"/>
      <c r="R33" s="146"/>
      <c r="S33" s="146"/>
      <c r="T33" s="146"/>
      <c r="U33" s="146"/>
      <c r="V33" s="146"/>
      <c r="W33" s="146"/>
      <c r="X33" s="146"/>
      <c r="Y33" s="146"/>
      <c r="Z33" s="146"/>
    </row>
    <row r="34" ht="22.5" customHeight="1">
      <c r="A34" s="283">
        <v>45902.0</v>
      </c>
      <c r="B34" s="293">
        <v>8.0</v>
      </c>
      <c r="C34" s="301"/>
      <c r="D34" s="291" t="s">
        <v>2266</v>
      </c>
      <c r="E34" s="285" t="s">
        <v>39</v>
      </c>
      <c r="F34" s="298"/>
      <c r="G34" s="288"/>
      <c r="H34" s="146"/>
      <c r="I34" s="146"/>
      <c r="J34" s="146"/>
      <c r="K34" s="146"/>
      <c r="L34" s="146"/>
      <c r="M34" s="146"/>
      <c r="N34" s="146"/>
      <c r="O34" s="146"/>
      <c r="P34" s="146"/>
      <c r="Q34" s="146"/>
      <c r="R34" s="146"/>
      <c r="S34" s="146"/>
      <c r="T34" s="146"/>
      <c r="U34" s="146"/>
      <c r="V34" s="146"/>
      <c r="W34" s="146"/>
      <c r="X34" s="146"/>
      <c r="Y34" s="146"/>
      <c r="Z34" s="146"/>
    </row>
    <row r="35" ht="22.5" customHeight="1">
      <c r="A35" s="283">
        <v>45903.0</v>
      </c>
      <c r="B35" s="293">
        <v>8.0</v>
      </c>
      <c r="C35" s="301"/>
      <c r="D35" s="291" t="s">
        <v>2272</v>
      </c>
      <c r="E35" s="285" t="s">
        <v>39</v>
      </c>
      <c r="F35" s="298"/>
      <c r="G35" s="288"/>
      <c r="H35" s="146"/>
      <c r="I35" s="146"/>
      <c r="J35" s="146"/>
      <c r="K35" s="146"/>
      <c r="L35" s="146"/>
      <c r="M35" s="146"/>
      <c r="N35" s="146"/>
      <c r="O35" s="146"/>
      <c r="P35" s="146"/>
      <c r="Q35" s="146"/>
      <c r="R35" s="146"/>
      <c r="S35" s="146"/>
      <c r="T35" s="146"/>
      <c r="U35" s="146"/>
      <c r="V35" s="146"/>
      <c r="W35" s="146"/>
      <c r="X35" s="146"/>
      <c r="Y35" s="146"/>
      <c r="Z35" s="146"/>
    </row>
    <row r="36" ht="22.5" customHeight="1">
      <c r="A36" s="283">
        <v>45904.0</v>
      </c>
      <c r="B36" s="293">
        <v>8.0</v>
      </c>
      <c r="C36" s="301"/>
      <c r="D36" s="291" t="s">
        <v>2273</v>
      </c>
      <c r="E36" s="291" t="s">
        <v>85</v>
      </c>
      <c r="F36" s="298"/>
      <c r="G36" s="288"/>
      <c r="H36" s="146"/>
      <c r="I36" s="146"/>
      <c r="J36" s="146"/>
      <c r="K36" s="146"/>
      <c r="L36" s="146"/>
      <c r="M36" s="146"/>
      <c r="N36" s="146"/>
      <c r="O36" s="146"/>
      <c r="P36" s="146"/>
      <c r="Q36" s="146"/>
      <c r="R36" s="146"/>
      <c r="S36" s="146"/>
      <c r="T36" s="146"/>
      <c r="U36" s="146"/>
      <c r="V36" s="146"/>
      <c r="W36" s="146"/>
      <c r="X36" s="146"/>
      <c r="Y36" s="146"/>
      <c r="Z36" s="146"/>
    </row>
    <row r="37" ht="22.5" customHeight="1">
      <c r="A37" s="283">
        <v>45905.0</v>
      </c>
      <c r="B37" s="293">
        <v>8.0</v>
      </c>
      <c r="C37" s="301"/>
      <c r="D37" s="291" t="s">
        <v>19</v>
      </c>
      <c r="E37" s="298"/>
      <c r="F37" s="298"/>
      <c r="G37" s="288"/>
      <c r="H37" s="146"/>
      <c r="I37" s="146"/>
      <c r="J37" s="146"/>
      <c r="K37" s="146"/>
      <c r="L37" s="146"/>
      <c r="M37" s="146"/>
      <c r="N37" s="146"/>
      <c r="O37" s="146"/>
      <c r="P37" s="146"/>
      <c r="Q37" s="146"/>
      <c r="R37" s="146"/>
      <c r="S37" s="146"/>
      <c r="T37" s="146"/>
      <c r="U37" s="146"/>
      <c r="V37" s="146"/>
      <c r="W37" s="146"/>
      <c r="X37" s="146"/>
      <c r="Y37" s="146"/>
      <c r="Z37" s="146"/>
    </row>
    <row r="38" ht="22.5" customHeight="1">
      <c r="A38" s="283">
        <v>45908.0</v>
      </c>
      <c r="B38" s="293">
        <v>8.0</v>
      </c>
      <c r="C38" s="301"/>
      <c r="D38" s="291" t="s">
        <v>2274</v>
      </c>
      <c r="E38" s="298"/>
      <c r="F38" s="300" t="s">
        <v>2275</v>
      </c>
      <c r="G38" s="288"/>
      <c r="H38" s="146"/>
      <c r="I38" s="146"/>
      <c r="J38" s="146"/>
      <c r="K38" s="146"/>
      <c r="L38" s="146"/>
      <c r="M38" s="146"/>
      <c r="N38" s="146"/>
      <c r="O38" s="146"/>
      <c r="P38" s="146"/>
      <c r="Q38" s="146"/>
      <c r="R38" s="146"/>
      <c r="S38" s="146"/>
      <c r="T38" s="146"/>
      <c r="U38" s="146"/>
      <c r="V38" s="146"/>
      <c r="W38" s="146"/>
      <c r="X38" s="146"/>
      <c r="Y38" s="146"/>
      <c r="Z38" s="146"/>
    </row>
    <row r="39" ht="22.5" customHeight="1">
      <c r="A39" s="283">
        <v>45909.0</v>
      </c>
      <c r="B39" s="293">
        <v>8.0</v>
      </c>
      <c r="C39" s="301"/>
      <c r="D39" s="291" t="s">
        <v>2274</v>
      </c>
      <c r="E39" s="298"/>
      <c r="F39" s="300" t="s">
        <v>2275</v>
      </c>
      <c r="G39" s="288"/>
      <c r="H39" s="146"/>
      <c r="I39" s="146"/>
      <c r="J39" s="146"/>
      <c r="K39" s="146"/>
      <c r="L39" s="146"/>
      <c r="M39" s="146"/>
      <c r="N39" s="146"/>
      <c r="O39" s="146"/>
      <c r="P39" s="146"/>
      <c r="Q39" s="146"/>
      <c r="R39" s="146"/>
      <c r="S39" s="146"/>
      <c r="T39" s="146"/>
      <c r="U39" s="146"/>
      <c r="V39" s="146"/>
      <c r="W39" s="146"/>
      <c r="X39" s="146"/>
      <c r="Y39" s="146"/>
      <c r="Z39" s="146"/>
    </row>
    <row r="40" ht="22.5" customHeight="1">
      <c r="A40" s="283">
        <v>45910.0</v>
      </c>
      <c r="B40" s="293">
        <v>8.0</v>
      </c>
      <c r="C40" s="301"/>
      <c r="D40" s="291" t="s">
        <v>2276</v>
      </c>
      <c r="E40" s="298"/>
      <c r="F40" s="300" t="s">
        <v>2275</v>
      </c>
      <c r="G40" s="288"/>
      <c r="H40" s="146"/>
      <c r="I40" s="146"/>
      <c r="J40" s="146"/>
      <c r="K40" s="146"/>
      <c r="L40" s="146"/>
      <c r="M40" s="146"/>
      <c r="N40" s="146"/>
      <c r="O40" s="146"/>
      <c r="P40" s="146"/>
      <c r="Q40" s="146"/>
      <c r="R40" s="146"/>
      <c r="S40" s="146"/>
      <c r="T40" s="146"/>
      <c r="U40" s="146"/>
      <c r="V40" s="146"/>
      <c r="W40" s="146"/>
      <c r="X40" s="146"/>
      <c r="Y40" s="146"/>
      <c r="Z40" s="146"/>
    </row>
    <row r="41" ht="22.5" customHeight="1">
      <c r="A41" s="283">
        <v>45911.0</v>
      </c>
      <c r="B41" s="293">
        <v>8.0</v>
      </c>
      <c r="C41" s="301"/>
      <c r="D41" s="291" t="s">
        <v>2276</v>
      </c>
      <c r="E41" s="298"/>
      <c r="F41" s="300" t="s">
        <v>2275</v>
      </c>
      <c r="G41" s="288"/>
      <c r="H41" s="146"/>
      <c r="I41" s="146"/>
      <c r="J41" s="146"/>
      <c r="K41" s="146"/>
      <c r="L41" s="146"/>
      <c r="M41" s="146"/>
      <c r="N41" s="146"/>
      <c r="O41" s="146"/>
      <c r="P41" s="146"/>
      <c r="Q41" s="146"/>
      <c r="R41" s="146"/>
      <c r="S41" s="146"/>
      <c r="T41" s="146"/>
      <c r="U41" s="146"/>
      <c r="V41" s="146"/>
      <c r="W41" s="146"/>
      <c r="X41" s="146"/>
      <c r="Y41" s="146"/>
      <c r="Z41" s="146"/>
    </row>
    <row r="42" ht="22.5" customHeight="1">
      <c r="A42" s="283">
        <v>45912.0</v>
      </c>
      <c r="B42" s="293">
        <v>8.0</v>
      </c>
      <c r="C42" s="301"/>
      <c r="D42" s="291" t="s">
        <v>2277</v>
      </c>
      <c r="E42" s="298"/>
      <c r="F42" s="300" t="s">
        <v>2275</v>
      </c>
      <c r="G42" s="288"/>
      <c r="H42" s="146"/>
      <c r="I42" s="146"/>
      <c r="J42" s="146"/>
      <c r="K42" s="146"/>
      <c r="L42" s="146"/>
      <c r="M42" s="146"/>
      <c r="N42" s="146"/>
      <c r="O42" s="146"/>
      <c r="P42" s="146"/>
      <c r="Q42" s="146"/>
      <c r="R42" s="146"/>
      <c r="S42" s="146"/>
      <c r="T42" s="146"/>
      <c r="U42" s="146"/>
      <c r="V42" s="146"/>
      <c r="W42" s="146"/>
      <c r="X42" s="146"/>
      <c r="Y42" s="146"/>
      <c r="Z42" s="146"/>
    </row>
    <row r="43" ht="22.5" customHeight="1">
      <c r="A43" s="283">
        <v>45915.0</v>
      </c>
      <c r="B43" s="293">
        <v>8.0</v>
      </c>
      <c r="C43" s="301"/>
      <c r="D43" s="291" t="s">
        <v>2278</v>
      </c>
      <c r="E43" s="298"/>
      <c r="F43" s="298"/>
      <c r="G43" s="288"/>
      <c r="H43" s="146"/>
      <c r="I43" s="146"/>
      <c r="J43" s="146"/>
      <c r="K43" s="146"/>
      <c r="L43" s="146"/>
      <c r="M43" s="146"/>
      <c r="N43" s="146"/>
      <c r="O43" s="146"/>
      <c r="P43" s="146"/>
      <c r="Q43" s="146"/>
      <c r="R43" s="146"/>
      <c r="S43" s="146"/>
      <c r="T43" s="146"/>
      <c r="U43" s="146"/>
      <c r="V43" s="146"/>
      <c r="W43" s="146"/>
      <c r="X43" s="146"/>
      <c r="Y43" s="146"/>
      <c r="Z43" s="146"/>
    </row>
    <row r="44" ht="22.5" customHeight="1">
      <c r="A44" s="283">
        <v>45916.0</v>
      </c>
      <c r="B44" s="293">
        <v>8.0</v>
      </c>
      <c r="C44" s="301"/>
      <c r="D44" s="291" t="s">
        <v>2279</v>
      </c>
      <c r="E44" s="298"/>
      <c r="F44" s="300" t="s">
        <v>2280</v>
      </c>
      <c r="G44" s="288"/>
      <c r="H44" s="146"/>
      <c r="I44" s="146"/>
      <c r="J44" s="146"/>
      <c r="K44" s="146"/>
      <c r="L44" s="146"/>
      <c r="M44" s="146"/>
      <c r="N44" s="146"/>
      <c r="O44" s="146"/>
      <c r="P44" s="146"/>
      <c r="Q44" s="146"/>
      <c r="R44" s="146"/>
      <c r="S44" s="146"/>
      <c r="T44" s="146"/>
      <c r="U44" s="146"/>
      <c r="V44" s="146"/>
      <c r="W44" s="146"/>
      <c r="X44" s="146"/>
      <c r="Y44" s="146"/>
      <c r="Z44" s="146"/>
    </row>
    <row r="45" ht="22.5" customHeight="1">
      <c r="A45" s="283">
        <v>45917.0</v>
      </c>
      <c r="B45" s="293">
        <v>8.0</v>
      </c>
      <c r="C45" s="301"/>
      <c r="D45" s="291" t="s">
        <v>2281</v>
      </c>
      <c r="E45" s="298"/>
      <c r="F45" s="300" t="s">
        <v>2280</v>
      </c>
      <c r="G45" s="288"/>
      <c r="H45" s="146"/>
      <c r="I45" s="146"/>
      <c r="J45" s="146"/>
      <c r="K45" s="146"/>
      <c r="L45" s="146"/>
      <c r="M45" s="146"/>
      <c r="N45" s="146"/>
      <c r="O45" s="146"/>
      <c r="P45" s="146"/>
      <c r="Q45" s="146"/>
      <c r="R45" s="146"/>
      <c r="S45" s="146"/>
      <c r="T45" s="146"/>
      <c r="U45" s="146"/>
      <c r="V45" s="146"/>
      <c r="W45" s="146"/>
      <c r="X45" s="146"/>
      <c r="Y45" s="146"/>
      <c r="Z45" s="146"/>
    </row>
    <row r="46" ht="22.5" customHeight="1">
      <c r="A46" s="283">
        <v>45918.0</v>
      </c>
      <c r="B46" s="293">
        <v>8.0</v>
      </c>
      <c r="C46" s="301"/>
      <c r="D46" s="291" t="s">
        <v>2281</v>
      </c>
      <c r="E46" s="298"/>
      <c r="F46" s="300" t="s">
        <v>2280</v>
      </c>
      <c r="G46" s="288"/>
      <c r="H46" s="146"/>
      <c r="I46" s="146"/>
      <c r="J46" s="146"/>
      <c r="K46" s="146"/>
      <c r="L46" s="146"/>
      <c r="M46" s="146"/>
      <c r="N46" s="146"/>
      <c r="O46" s="146"/>
      <c r="P46" s="146"/>
      <c r="Q46" s="146"/>
      <c r="R46" s="146"/>
      <c r="S46" s="146"/>
      <c r="T46" s="146"/>
      <c r="U46" s="146"/>
      <c r="V46" s="146"/>
      <c r="W46" s="146"/>
      <c r="X46" s="146"/>
      <c r="Y46" s="146"/>
      <c r="Z46" s="146"/>
    </row>
    <row r="47" ht="22.5" customHeight="1">
      <c r="A47" s="283">
        <v>45919.0</v>
      </c>
      <c r="B47" s="293">
        <v>8.0</v>
      </c>
      <c r="C47" s="301"/>
      <c r="D47" s="291" t="s">
        <v>2282</v>
      </c>
      <c r="E47" s="298"/>
      <c r="F47" s="300" t="s">
        <v>2283</v>
      </c>
      <c r="G47" s="288"/>
      <c r="H47" s="146"/>
      <c r="I47" s="146"/>
      <c r="J47" s="146"/>
      <c r="K47" s="146"/>
      <c r="L47" s="146"/>
      <c r="M47" s="146"/>
      <c r="N47" s="146"/>
      <c r="O47" s="146"/>
      <c r="P47" s="146"/>
      <c r="Q47" s="146"/>
      <c r="R47" s="146"/>
      <c r="S47" s="146"/>
      <c r="T47" s="146"/>
      <c r="U47" s="146"/>
      <c r="V47" s="146"/>
      <c r="W47" s="146"/>
      <c r="X47" s="146"/>
      <c r="Y47" s="146"/>
      <c r="Z47" s="146"/>
    </row>
    <row r="48" ht="22.5" customHeight="1">
      <c r="A48" s="283">
        <v>45922.0</v>
      </c>
      <c r="B48" s="293">
        <v>8.0</v>
      </c>
      <c r="C48" s="301"/>
      <c r="D48" s="291" t="s">
        <v>2284</v>
      </c>
      <c r="E48" s="298"/>
      <c r="F48" s="300" t="s">
        <v>2283</v>
      </c>
      <c r="G48" s="288"/>
      <c r="H48" s="146"/>
      <c r="I48" s="146"/>
      <c r="J48" s="146"/>
      <c r="K48" s="146"/>
      <c r="L48" s="146"/>
      <c r="M48" s="146"/>
      <c r="N48" s="146"/>
      <c r="O48" s="146"/>
      <c r="P48" s="146"/>
      <c r="Q48" s="146"/>
      <c r="R48" s="146"/>
      <c r="S48" s="146"/>
      <c r="T48" s="146"/>
      <c r="U48" s="146"/>
      <c r="V48" s="146"/>
      <c r="W48" s="146"/>
      <c r="X48" s="146"/>
      <c r="Y48" s="146"/>
      <c r="Z48" s="146"/>
    </row>
    <row r="49" ht="22.5" customHeight="1">
      <c r="A49" s="283">
        <v>45923.0</v>
      </c>
      <c r="B49" s="293">
        <v>8.0</v>
      </c>
      <c r="C49" s="301"/>
      <c r="D49" s="291" t="s">
        <v>2284</v>
      </c>
      <c r="E49" s="298"/>
      <c r="F49" s="300" t="s">
        <v>2283</v>
      </c>
      <c r="G49" s="288"/>
      <c r="H49" s="146"/>
      <c r="I49" s="146"/>
      <c r="J49" s="146"/>
      <c r="K49" s="146"/>
      <c r="L49" s="146"/>
      <c r="M49" s="146"/>
      <c r="N49" s="146"/>
      <c r="O49" s="146"/>
      <c r="P49" s="146"/>
      <c r="Q49" s="146"/>
      <c r="R49" s="146"/>
      <c r="S49" s="146"/>
      <c r="T49" s="146"/>
      <c r="U49" s="146"/>
      <c r="V49" s="146"/>
      <c r="W49" s="146"/>
      <c r="X49" s="146"/>
      <c r="Y49" s="146"/>
      <c r="Z49" s="146"/>
    </row>
    <row r="50" ht="22.5" customHeight="1">
      <c r="A50" s="283">
        <v>45924.0</v>
      </c>
      <c r="B50" s="293">
        <v>8.0</v>
      </c>
      <c r="C50" s="301"/>
      <c r="D50" s="291" t="s">
        <v>2285</v>
      </c>
      <c r="E50" s="298"/>
      <c r="F50" s="300" t="s">
        <v>2286</v>
      </c>
      <c r="G50" s="288"/>
      <c r="H50" s="146"/>
      <c r="I50" s="146"/>
      <c r="J50" s="146"/>
      <c r="K50" s="146"/>
      <c r="L50" s="146"/>
      <c r="M50" s="146"/>
      <c r="N50" s="146"/>
      <c r="O50" s="146"/>
      <c r="P50" s="146"/>
      <c r="Q50" s="146"/>
      <c r="R50" s="146"/>
      <c r="S50" s="146"/>
      <c r="T50" s="146"/>
      <c r="U50" s="146"/>
      <c r="V50" s="146"/>
      <c r="W50" s="146"/>
      <c r="X50" s="146"/>
      <c r="Y50" s="146"/>
      <c r="Z50" s="146"/>
    </row>
    <row r="51" ht="22.5" customHeight="1">
      <c r="A51" s="283">
        <v>45925.0</v>
      </c>
      <c r="B51" s="293">
        <v>8.0</v>
      </c>
      <c r="C51" s="301"/>
      <c r="D51" s="291" t="s">
        <v>2285</v>
      </c>
      <c r="E51" s="298"/>
      <c r="F51" s="300" t="s">
        <v>2286</v>
      </c>
      <c r="G51" s="288"/>
      <c r="H51" s="146"/>
      <c r="I51" s="146"/>
      <c r="J51" s="146"/>
      <c r="K51" s="146"/>
      <c r="L51" s="146"/>
      <c r="M51" s="146"/>
      <c r="N51" s="146"/>
      <c r="O51" s="146"/>
      <c r="P51" s="146"/>
      <c r="Q51" s="146"/>
      <c r="R51" s="146"/>
      <c r="S51" s="146"/>
      <c r="T51" s="146"/>
      <c r="U51" s="146"/>
      <c r="V51" s="146"/>
      <c r="W51" s="146"/>
      <c r="X51" s="146"/>
      <c r="Y51" s="146"/>
      <c r="Z51" s="146"/>
    </row>
    <row r="52" ht="22.5" customHeight="1">
      <c r="A52" s="283">
        <v>45926.0</v>
      </c>
      <c r="B52" s="293">
        <v>8.0</v>
      </c>
      <c r="C52" s="301"/>
      <c r="D52" s="291" t="s">
        <v>2285</v>
      </c>
      <c r="E52" s="298"/>
      <c r="F52" s="300" t="s">
        <v>2286</v>
      </c>
      <c r="G52" s="288"/>
      <c r="H52" s="146"/>
      <c r="I52" s="146"/>
      <c r="J52" s="146"/>
      <c r="K52" s="146"/>
      <c r="L52" s="146"/>
      <c r="M52" s="146"/>
      <c r="N52" s="146"/>
      <c r="O52" s="146"/>
      <c r="P52" s="146"/>
      <c r="Q52" s="146"/>
      <c r="R52" s="146"/>
      <c r="S52" s="146"/>
      <c r="T52" s="146"/>
      <c r="U52" s="146"/>
      <c r="V52" s="146"/>
      <c r="W52" s="146"/>
      <c r="X52" s="146"/>
      <c r="Y52" s="146"/>
      <c r="Z52" s="146"/>
    </row>
    <row r="53" ht="22.5" customHeight="1">
      <c r="A53" s="283">
        <v>45929.0</v>
      </c>
      <c r="B53" s="293">
        <v>8.0</v>
      </c>
      <c r="C53" s="301"/>
      <c r="D53" s="291" t="s">
        <v>2287</v>
      </c>
      <c r="E53" s="298"/>
      <c r="F53" s="300" t="s">
        <v>2288</v>
      </c>
      <c r="G53" s="288"/>
      <c r="H53" s="146"/>
      <c r="I53" s="146"/>
      <c r="J53" s="146"/>
      <c r="K53" s="146"/>
      <c r="L53" s="146"/>
      <c r="M53" s="146"/>
      <c r="N53" s="146"/>
      <c r="O53" s="146"/>
      <c r="P53" s="146"/>
      <c r="Q53" s="146"/>
      <c r="R53" s="146"/>
      <c r="S53" s="146"/>
      <c r="T53" s="146"/>
      <c r="U53" s="146"/>
      <c r="V53" s="146"/>
      <c r="W53" s="146"/>
      <c r="X53" s="146"/>
      <c r="Y53" s="146"/>
      <c r="Z53" s="146"/>
    </row>
    <row r="54" ht="22.5" customHeight="1">
      <c r="A54" s="283">
        <v>45930.0</v>
      </c>
      <c r="B54" s="293">
        <v>8.0</v>
      </c>
      <c r="C54" s="301"/>
      <c r="D54" s="291" t="s">
        <v>2289</v>
      </c>
      <c r="E54" s="298"/>
      <c r="F54" s="300" t="s">
        <v>2290</v>
      </c>
      <c r="G54" s="288"/>
      <c r="H54" s="146"/>
      <c r="I54" s="146"/>
      <c r="J54" s="146"/>
      <c r="K54" s="146"/>
      <c r="L54" s="146"/>
      <c r="M54" s="146"/>
      <c r="N54" s="146"/>
      <c r="O54" s="146"/>
      <c r="P54" s="146"/>
      <c r="Q54" s="146"/>
      <c r="R54" s="146"/>
      <c r="S54" s="146"/>
      <c r="T54" s="146"/>
      <c r="U54" s="146"/>
      <c r="V54" s="146"/>
      <c r="W54" s="146"/>
      <c r="X54" s="146"/>
      <c r="Y54" s="146"/>
      <c r="Z54" s="146"/>
    </row>
    <row r="55" ht="22.5" customHeight="1">
      <c r="A55" s="283">
        <v>45931.0</v>
      </c>
      <c r="B55" s="293">
        <v>8.0</v>
      </c>
      <c r="C55" s="301"/>
      <c r="D55" s="291" t="s">
        <v>2291</v>
      </c>
      <c r="E55" s="298"/>
      <c r="F55" s="300" t="s">
        <v>2292</v>
      </c>
      <c r="G55" s="288"/>
      <c r="H55" s="146"/>
      <c r="I55" s="146"/>
      <c r="J55" s="146"/>
      <c r="K55" s="146"/>
      <c r="L55" s="146"/>
      <c r="M55" s="146"/>
      <c r="N55" s="146"/>
      <c r="O55" s="146"/>
      <c r="P55" s="146"/>
      <c r="Q55" s="146"/>
      <c r="R55" s="146"/>
      <c r="S55" s="146"/>
      <c r="T55" s="146"/>
      <c r="U55" s="146"/>
      <c r="V55" s="146"/>
      <c r="W55" s="146"/>
      <c r="X55" s="146"/>
      <c r="Y55" s="146"/>
      <c r="Z55" s="146"/>
    </row>
    <row r="56" ht="22.5" customHeight="1">
      <c r="A56" s="283">
        <v>45932.0</v>
      </c>
      <c r="B56" s="293">
        <v>8.0</v>
      </c>
      <c r="C56" s="301"/>
      <c r="D56" s="291" t="s">
        <v>2293</v>
      </c>
      <c r="E56" s="298"/>
      <c r="F56" s="300" t="s">
        <v>2292</v>
      </c>
      <c r="G56" s="288"/>
      <c r="H56" s="146"/>
      <c r="I56" s="146"/>
      <c r="J56" s="146"/>
      <c r="K56" s="146"/>
      <c r="L56" s="146"/>
      <c r="M56" s="146"/>
      <c r="N56" s="146"/>
      <c r="O56" s="146"/>
      <c r="P56" s="146"/>
      <c r="Q56" s="146"/>
      <c r="R56" s="146"/>
      <c r="S56" s="146"/>
      <c r="T56" s="146"/>
      <c r="U56" s="146"/>
      <c r="V56" s="146"/>
      <c r="W56" s="146"/>
      <c r="X56" s="146"/>
      <c r="Y56" s="146"/>
      <c r="Z56" s="146"/>
    </row>
    <row r="57" ht="22.5" customHeight="1">
      <c r="A57" s="283">
        <v>45933.0</v>
      </c>
      <c r="B57" s="293">
        <v>8.0</v>
      </c>
      <c r="C57" s="301"/>
      <c r="D57" s="291" t="s">
        <v>2294</v>
      </c>
      <c r="E57" s="298"/>
      <c r="F57" s="300" t="s">
        <v>2292</v>
      </c>
      <c r="G57" s="288"/>
      <c r="H57" s="146"/>
      <c r="I57" s="146"/>
      <c r="J57" s="146"/>
      <c r="K57" s="146"/>
      <c r="L57" s="146"/>
      <c r="M57" s="146"/>
      <c r="N57" s="146"/>
      <c r="O57" s="146"/>
      <c r="P57" s="146"/>
      <c r="Q57" s="146"/>
      <c r="R57" s="146"/>
      <c r="S57" s="146"/>
      <c r="T57" s="146"/>
      <c r="U57" s="146"/>
      <c r="V57" s="146"/>
      <c r="W57" s="146"/>
      <c r="X57" s="146"/>
      <c r="Y57" s="146"/>
      <c r="Z57" s="146"/>
    </row>
    <row r="58" ht="22.5" customHeight="1">
      <c r="A58" s="283">
        <v>45936.0</v>
      </c>
      <c r="B58" s="293">
        <v>8.0</v>
      </c>
      <c r="C58" s="301"/>
      <c r="D58" s="291" t="s">
        <v>2295</v>
      </c>
      <c r="E58" s="298"/>
      <c r="F58" s="300" t="s">
        <v>2292</v>
      </c>
      <c r="G58" s="288"/>
      <c r="H58" s="146"/>
      <c r="I58" s="146"/>
      <c r="J58" s="146"/>
      <c r="K58" s="146"/>
      <c r="L58" s="146"/>
      <c r="M58" s="146"/>
      <c r="N58" s="146"/>
      <c r="O58" s="146"/>
      <c r="P58" s="146"/>
      <c r="Q58" s="146"/>
      <c r="R58" s="146"/>
      <c r="S58" s="146"/>
      <c r="T58" s="146"/>
      <c r="U58" s="146"/>
      <c r="V58" s="146"/>
      <c r="W58" s="146"/>
      <c r="X58" s="146"/>
      <c r="Y58" s="146"/>
      <c r="Z58" s="146"/>
    </row>
    <row r="59" ht="22.5" customHeight="1">
      <c r="A59" s="283">
        <v>45937.0</v>
      </c>
      <c r="B59" s="293">
        <v>8.0</v>
      </c>
      <c r="C59" s="301"/>
      <c r="D59" s="291" t="s">
        <v>2295</v>
      </c>
      <c r="E59" s="298"/>
      <c r="F59" s="300" t="s">
        <v>2292</v>
      </c>
      <c r="G59" s="288"/>
      <c r="H59" s="146"/>
      <c r="I59" s="146"/>
      <c r="J59" s="146"/>
      <c r="K59" s="146"/>
      <c r="L59" s="146"/>
      <c r="M59" s="146"/>
      <c r="N59" s="146"/>
      <c r="O59" s="146"/>
      <c r="P59" s="146"/>
      <c r="Q59" s="146"/>
      <c r="R59" s="146"/>
      <c r="S59" s="146"/>
      <c r="T59" s="146"/>
      <c r="U59" s="146"/>
      <c r="V59" s="146"/>
      <c r="W59" s="146"/>
      <c r="X59" s="146"/>
      <c r="Y59" s="146"/>
      <c r="Z59" s="146"/>
    </row>
    <row r="60" ht="22.5" customHeight="1">
      <c r="A60" s="283">
        <v>45938.0</v>
      </c>
      <c r="B60" s="293">
        <v>8.0</v>
      </c>
      <c r="C60" s="301"/>
      <c r="D60" s="291" t="s">
        <v>2296</v>
      </c>
      <c r="E60" s="298"/>
      <c r="F60" s="300" t="s">
        <v>2297</v>
      </c>
      <c r="G60" s="288"/>
      <c r="H60" s="146"/>
      <c r="I60" s="146"/>
      <c r="J60" s="146"/>
      <c r="K60" s="146"/>
      <c r="L60" s="146"/>
      <c r="M60" s="146"/>
      <c r="N60" s="146"/>
      <c r="O60" s="146"/>
      <c r="P60" s="146"/>
      <c r="Q60" s="146"/>
      <c r="R60" s="146"/>
      <c r="S60" s="146"/>
      <c r="T60" s="146"/>
      <c r="U60" s="146"/>
      <c r="V60" s="146"/>
      <c r="W60" s="146"/>
      <c r="X60" s="146"/>
      <c r="Y60" s="146"/>
      <c r="Z60" s="146"/>
    </row>
    <row r="61" ht="22.5" customHeight="1">
      <c r="A61" s="283">
        <v>45939.0</v>
      </c>
      <c r="B61" s="293">
        <v>8.0</v>
      </c>
      <c r="C61" s="301"/>
      <c r="D61" s="291" t="s">
        <v>2296</v>
      </c>
      <c r="E61" s="298"/>
      <c r="F61" s="300" t="s">
        <v>2297</v>
      </c>
      <c r="G61" s="288"/>
      <c r="H61" s="146"/>
      <c r="I61" s="146"/>
      <c r="J61" s="146"/>
      <c r="K61" s="146"/>
      <c r="L61" s="146"/>
      <c r="M61" s="146"/>
      <c r="N61" s="146"/>
      <c r="O61" s="146"/>
      <c r="P61" s="146"/>
      <c r="Q61" s="146"/>
      <c r="R61" s="146"/>
      <c r="S61" s="146"/>
      <c r="T61" s="146"/>
      <c r="U61" s="146"/>
      <c r="V61" s="146"/>
      <c r="W61" s="146"/>
      <c r="X61" s="146"/>
      <c r="Y61" s="146"/>
      <c r="Z61" s="146"/>
    </row>
    <row r="62" ht="22.5" customHeight="1">
      <c r="A62" s="283">
        <v>45940.0</v>
      </c>
      <c r="B62" s="293">
        <v>8.0</v>
      </c>
      <c r="C62" s="301"/>
      <c r="D62" s="291" t="s">
        <v>2298</v>
      </c>
      <c r="E62" s="298"/>
      <c r="F62" s="300" t="s">
        <v>2299</v>
      </c>
      <c r="G62" s="288"/>
      <c r="H62" s="146"/>
      <c r="I62" s="146"/>
      <c r="J62" s="146"/>
      <c r="K62" s="146"/>
      <c r="L62" s="146"/>
      <c r="M62" s="146"/>
      <c r="N62" s="146"/>
      <c r="O62" s="146"/>
      <c r="P62" s="146"/>
      <c r="Q62" s="146"/>
      <c r="R62" s="146"/>
      <c r="S62" s="146"/>
      <c r="T62" s="146"/>
      <c r="U62" s="146"/>
      <c r="V62" s="146"/>
      <c r="W62" s="146"/>
      <c r="X62" s="146"/>
      <c r="Y62" s="146"/>
      <c r="Z62" s="146"/>
    </row>
    <row r="63" ht="22.5" customHeight="1">
      <c r="A63" s="283">
        <v>45943.0</v>
      </c>
      <c r="B63" s="293">
        <v>8.0</v>
      </c>
      <c r="C63" s="301"/>
      <c r="D63" s="291" t="s">
        <v>2300</v>
      </c>
      <c r="E63" s="298"/>
      <c r="F63" s="300" t="s">
        <v>2301</v>
      </c>
      <c r="G63" s="288"/>
      <c r="H63" s="146"/>
      <c r="I63" s="146"/>
      <c r="J63" s="146"/>
      <c r="K63" s="146"/>
      <c r="L63" s="146"/>
      <c r="M63" s="146"/>
      <c r="N63" s="146"/>
      <c r="O63" s="146"/>
      <c r="P63" s="146"/>
      <c r="Q63" s="146"/>
      <c r="R63" s="146"/>
      <c r="S63" s="146"/>
      <c r="T63" s="146"/>
      <c r="U63" s="146"/>
      <c r="V63" s="146"/>
      <c r="W63" s="146"/>
      <c r="X63" s="146"/>
      <c r="Y63" s="146"/>
      <c r="Z63" s="146"/>
    </row>
    <row r="64" ht="22.5" customHeight="1">
      <c r="A64" s="283">
        <v>45944.0</v>
      </c>
      <c r="B64" s="293">
        <v>8.0</v>
      </c>
      <c r="C64" s="301"/>
      <c r="D64" s="291" t="s">
        <v>2302</v>
      </c>
      <c r="E64" s="298"/>
      <c r="F64" s="300" t="s">
        <v>2303</v>
      </c>
      <c r="G64" s="288"/>
      <c r="H64" s="146"/>
      <c r="I64" s="146"/>
      <c r="J64" s="146"/>
      <c r="K64" s="146"/>
      <c r="L64" s="146"/>
      <c r="M64" s="146"/>
      <c r="N64" s="146"/>
      <c r="O64" s="146"/>
      <c r="P64" s="146"/>
      <c r="Q64" s="146"/>
      <c r="R64" s="146"/>
      <c r="S64" s="146"/>
      <c r="T64" s="146"/>
      <c r="U64" s="146"/>
      <c r="V64" s="146"/>
      <c r="W64" s="146"/>
      <c r="X64" s="146"/>
      <c r="Y64" s="146"/>
      <c r="Z64" s="146"/>
    </row>
    <row r="65" ht="22.5" customHeight="1">
      <c r="A65" s="283">
        <v>45945.0</v>
      </c>
      <c r="B65" s="293">
        <v>8.0</v>
      </c>
      <c r="C65" s="301"/>
      <c r="D65" s="291" t="s">
        <v>2304</v>
      </c>
      <c r="E65" s="298"/>
      <c r="F65" s="300" t="s">
        <v>2258</v>
      </c>
      <c r="G65" s="288"/>
      <c r="H65" s="146"/>
      <c r="I65" s="146"/>
      <c r="J65" s="146"/>
      <c r="K65" s="146"/>
      <c r="L65" s="146"/>
      <c r="M65" s="146"/>
      <c r="N65" s="146"/>
      <c r="O65" s="146"/>
      <c r="P65" s="146"/>
      <c r="Q65" s="146"/>
      <c r="R65" s="146"/>
      <c r="S65" s="146"/>
      <c r="T65" s="146"/>
      <c r="U65" s="146"/>
      <c r="V65" s="146"/>
      <c r="W65" s="146"/>
      <c r="X65" s="146"/>
      <c r="Y65" s="146"/>
      <c r="Z65" s="146"/>
    </row>
    <row r="66" ht="22.5" customHeight="1">
      <c r="A66" s="283">
        <v>45946.0</v>
      </c>
      <c r="B66" s="293">
        <v>8.0</v>
      </c>
      <c r="C66" s="301"/>
      <c r="D66" s="291" t="s">
        <v>2304</v>
      </c>
      <c r="E66" s="298"/>
      <c r="F66" s="300" t="s">
        <v>2258</v>
      </c>
      <c r="G66" s="288"/>
      <c r="H66" s="146"/>
      <c r="I66" s="146"/>
      <c r="J66" s="146"/>
      <c r="K66" s="146"/>
      <c r="L66" s="146"/>
      <c r="M66" s="146"/>
      <c r="N66" s="146"/>
      <c r="O66" s="146"/>
      <c r="P66" s="146"/>
      <c r="Q66" s="146"/>
      <c r="R66" s="146"/>
      <c r="S66" s="146"/>
      <c r="T66" s="146"/>
      <c r="U66" s="146"/>
      <c r="V66" s="146"/>
      <c r="W66" s="146"/>
      <c r="X66" s="146"/>
      <c r="Y66" s="146"/>
      <c r="Z66" s="146"/>
    </row>
    <row r="67" ht="22.5" customHeight="1">
      <c r="A67" s="283">
        <v>45947.0</v>
      </c>
      <c r="B67" s="293">
        <v>8.0</v>
      </c>
      <c r="C67" s="301"/>
      <c r="D67" s="291" t="s">
        <v>2305</v>
      </c>
      <c r="E67" s="298"/>
      <c r="F67" s="300" t="s">
        <v>2306</v>
      </c>
      <c r="G67" s="288"/>
      <c r="H67" s="146"/>
      <c r="I67" s="146"/>
      <c r="J67" s="146"/>
      <c r="K67" s="146"/>
      <c r="L67" s="146"/>
      <c r="M67" s="146"/>
      <c r="N67" s="146"/>
      <c r="O67" s="146"/>
      <c r="P67" s="146"/>
      <c r="Q67" s="146"/>
      <c r="R67" s="146"/>
      <c r="S67" s="146"/>
      <c r="T67" s="146"/>
      <c r="U67" s="146"/>
      <c r="V67" s="146"/>
      <c r="W67" s="146"/>
      <c r="X67" s="146"/>
      <c r="Y67" s="146"/>
      <c r="Z67" s="146"/>
    </row>
    <row r="68" ht="22.5" customHeight="1">
      <c r="A68" s="283">
        <v>45950.0</v>
      </c>
      <c r="B68" s="293">
        <v>8.0</v>
      </c>
      <c r="C68" s="301"/>
      <c r="D68" s="291" t="s">
        <v>2307</v>
      </c>
      <c r="E68" s="298"/>
      <c r="F68" s="300" t="s">
        <v>2303</v>
      </c>
      <c r="G68" s="288"/>
      <c r="H68" s="146"/>
      <c r="I68" s="146"/>
      <c r="J68" s="146"/>
      <c r="K68" s="146"/>
      <c r="L68" s="146"/>
      <c r="M68" s="146"/>
      <c r="N68" s="146"/>
      <c r="O68" s="146"/>
      <c r="P68" s="146"/>
      <c r="Q68" s="146"/>
      <c r="R68" s="146"/>
      <c r="S68" s="146"/>
      <c r="T68" s="146"/>
      <c r="U68" s="146"/>
      <c r="V68" s="146"/>
      <c r="W68" s="146"/>
      <c r="X68" s="146"/>
      <c r="Y68" s="146"/>
      <c r="Z68" s="146"/>
    </row>
    <row r="69" ht="22.5" customHeight="1">
      <c r="A69" s="283">
        <v>45951.0</v>
      </c>
      <c r="B69" s="293">
        <v>8.0</v>
      </c>
      <c r="C69" s="301"/>
      <c r="D69" s="291" t="s">
        <v>2308</v>
      </c>
      <c r="E69" s="298"/>
      <c r="F69" s="300" t="s">
        <v>2297</v>
      </c>
      <c r="G69" s="288"/>
      <c r="H69" s="146"/>
      <c r="I69" s="146"/>
      <c r="J69" s="146"/>
      <c r="K69" s="146"/>
      <c r="L69" s="146"/>
      <c r="M69" s="146"/>
      <c r="N69" s="146"/>
      <c r="O69" s="146"/>
      <c r="P69" s="146"/>
      <c r="Q69" s="146"/>
      <c r="R69" s="146"/>
      <c r="S69" s="146"/>
      <c r="T69" s="146"/>
      <c r="U69" s="146"/>
      <c r="V69" s="146"/>
      <c r="W69" s="146"/>
      <c r="X69" s="146"/>
      <c r="Y69" s="146"/>
      <c r="Z69" s="146"/>
    </row>
    <row r="70" ht="22.5" customHeight="1">
      <c r="A70" s="283">
        <v>45952.0</v>
      </c>
      <c r="B70" s="293">
        <v>8.0</v>
      </c>
      <c r="C70" s="301"/>
      <c r="D70" s="291" t="s">
        <v>2309</v>
      </c>
      <c r="E70" s="298"/>
      <c r="F70" s="300" t="s">
        <v>2310</v>
      </c>
      <c r="G70" s="288"/>
      <c r="H70" s="146"/>
      <c r="I70" s="146"/>
      <c r="J70" s="146"/>
      <c r="K70" s="146"/>
      <c r="L70" s="146"/>
      <c r="M70" s="146"/>
      <c r="N70" s="146"/>
      <c r="O70" s="146"/>
      <c r="P70" s="146"/>
      <c r="Q70" s="146"/>
      <c r="R70" s="146"/>
      <c r="S70" s="146"/>
      <c r="T70" s="146"/>
      <c r="U70" s="146"/>
      <c r="V70" s="146"/>
      <c r="W70" s="146"/>
      <c r="X70" s="146"/>
      <c r="Y70" s="146"/>
      <c r="Z70" s="146"/>
    </row>
    <row r="71" ht="22.5" customHeight="1">
      <c r="A71" s="283">
        <v>45953.0</v>
      </c>
      <c r="B71" s="293">
        <v>8.0</v>
      </c>
      <c r="C71" s="301"/>
      <c r="D71" s="291" t="s">
        <v>2309</v>
      </c>
      <c r="E71" s="298"/>
      <c r="F71" s="300" t="s">
        <v>2310</v>
      </c>
      <c r="G71" s="288"/>
      <c r="H71" s="146"/>
      <c r="I71" s="146"/>
      <c r="J71" s="146"/>
      <c r="K71" s="146"/>
      <c r="L71" s="146"/>
      <c r="M71" s="146"/>
      <c r="N71" s="146"/>
      <c r="O71" s="146"/>
      <c r="P71" s="146"/>
      <c r="Q71" s="146"/>
      <c r="R71" s="146"/>
      <c r="S71" s="146"/>
      <c r="T71" s="146"/>
      <c r="U71" s="146"/>
      <c r="V71" s="146"/>
      <c r="W71" s="146"/>
      <c r="X71" s="146"/>
      <c r="Y71" s="146"/>
      <c r="Z71" s="146"/>
    </row>
    <row r="72" ht="22.5" customHeight="1">
      <c r="A72" s="283">
        <v>45954.0</v>
      </c>
      <c r="B72" s="293">
        <v>8.0</v>
      </c>
      <c r="C72" s="301"/>
      <c r="D72" s="291" t="s">
        <v>2311</v>
      </c>
      <c r="E72" s="298"/>
      <c r="F72" s="300" t="s">
        <v>2310</v>
      </c>
      <c r="G72" s="288"/>
      <c r="H72" s="146"/>
      <c r="I72" s="146"/>
      <c r="J72" s="146"/>
      <c r="K72" s="146"/>
      <c r="L72" s="146"/>
      <c r="M72" s="146"/>
      <c r="N72" s="146"/>
      <c r="O72" s="146"/>
      <c r="P72" s="146"/>
      <c r="Q72" s="146"/>
      <c r="R72" s="146"/>
      <c r="S72" s="146"/>
      <c r="T72" s="146"/>
      <c r="U72" s="146"/>
      <c r="V72" s="146"/>
      <c r="W72" s="146"/>
      <c r="X72" s="146"/>
      <c r="Y72" s="146"/>
      <c r="Z72" s="146"/>
    </row>
    <row r="73" ht="22.5" customHeight="1">
      <c r="A73" s="283">
        <v>45957.0</v>
      </c>
      <c r="B73" s="293">
        <v>8.0</v>
      </c>
      <c r="C73" s="301"/>
      <c r="D73" s="291" t="s">
        <v>2312</v>
      </c>
      <c r="E73" s="298"/>
      <c r="F73" s="300" t="s">
        <v>2310</v>
      </c>
      <c r="G73" s="288"/>
      <c r="H73" s="146"/>
      <c r="I73" s="146"/>
      <c r="J73" s="146"/>
      <c r="K73" s="146"/>
      <c r="L73" s="146"/>
      <c r="M73" s="146"/>
      <c r="N73" s="146"/>
      <c r="O73" s="146"/>
      <c r="P73" s="146"/>
      <c r="Q73" s="146"/>
      <c r="R73" s="146"/>
      <c r="S73" s="146"/>
      <c r="T73" s="146"/>
      <c r="U73" s="146"/>
      <c r="V73" s="146"/>
      <c r="W73" s="146"/>
      <c r="X73" s="146"/>
      <c r="Y73" s="146"/>
      <c r="Z73" s="146"/>
    </row>
    <row r="74" ht="22.5" customHeight="1">
      <c r="A74" s="283">
        <v>45958.0</v>
      </c>
      <c r="B74" s="293">
        <v>8.0</v>
      </c>
      <c r="C74" s="301"/>
      <c r="D74" s="291" t="s">
        <v>2313</v>
      </c>
      <c r="E74" s="298"/>
      <c r="F74" s="300" t="s">
        <v>2314</v>
      </c>
      <c r="G74" s="288"/>
      <c r="H74" s="146"/>
      <c r="I74" s="146"/>
      <c r="J74" s="146"/>
      <c r="K74" s="146"/>
      <c r="L74" s="146"/>
      <c r="M74" s="146"/>
      <c r="N74" s="146"/>
      <c r="O74" s="146"/>
      <c r="P74" s="146"/>
      <c r="Q74" s="146"/>
      <c r="R74" s="146"/>
      <c r="S74" s="146"/>
      <c r="T74" s="146"/>
      <c r="U74" s="146"/>
      <c r="V74" s="146"/>
      <c r="W74" s="146"/>
      <c r="X74" s="146"/>
      <c r="Y74" s="146"/>
      <c r="Z74" s="146"/>
    </row>
    <row r="75" ht="22.5" customHeight="1">
      <c r="A75" s="283">
        <v>45959.0</v>
      </c>
      <c r="B75" s="293">
        <v>8.0</v>
      </c>
      <c r="C75" s="301"/>
      <c r="D75" s="291" t="s">
        <v>2313</v>
      </c>
      <c r="E75" s="298"/>
      <c r="F75" s="300" t="s">
        <v>2314</v>
      </c>
      <c r="G75" s="288"/>
      <c r="H75" s="146"/>
      <c r="I75" s="146"/>
      <c r="J75" s="146"/>
      <c r="K75" s="146"/>
      <c r="L75" s="146"/>
      <c r="M75" s="146"/>
      <c r="N75" s="146"/>
      <c r="O75" s="146"/>
      <c r="P75" s="146"/>
      <c r="Q75" s="146"/>
      <c r="R75" s="146"/>
      <c r="S75" s="146"/>
      <c r="T75" s="146"/>
      <c r="U75" s="146"/>
      <c r="V75" s="146"/>
      <c r="W75" s="146"/>
      <c r="X75" s="146"/>
      <c r="Y75" s="146"/>
      <c r="Z75" s="146"/>
    </row>
    <row r="76" ht="22.5" customHeight="1">
      <c r="A76" s="283">
        <v>45960.0</v>
      </c>
      <c r="B76" s="293">
        <v>8.0</v>
      </c>
      <c r="C76" s="301"/>
      <c r="D76" s="291" t="s">
        <v>2315</v>
      </c>
      <c r="E76" s="298"/>
      <c r="F76" s="300" t="s">
        <v>2316</v>
      </c>
      <c r="G76" s="288"/>
      <c r="H76" s="146"/>
      <c r="I76" s="146"/>
      <c r="J76" s="146"/>
      <c r="K76" s="146"/>
      <c r="L76" s="146"/>
      <c r="M76" s="146"/>
      <c r="N76" s="146"/>
      <c r="O76" s="146"/>
      <c r="P76" s="146"/>
      <c r="Q76" s="146"/>
      <c r="R76" s="146"/>
      <c r="S76" s="146"/>
      <c r="T76" s="146"/>
      <c r="U76" s="146"/>
      <c r="V76" s="146"/>
      <c r="W76" s="146"/>
      <c r="X76" s="146"/>
      <c r="Y76" s="146"/>
      <c r="Z76" s="146"/>
    </row>
    <row r="77" ht="22.5" customHeight="1">
      <c r="A77" s="283">
        <v>45961.0</v>
      </c>
      <c r="B77" s="293">
        <v>8.0</v>
      </c>
      <c r="C77" s="301"/>
      <c r="D77" s="291" t="s">
        <v>2317</v>
      </c>
      <c r="E77" s="298"/>
      <c r="F77" s="300" t="s">
        <v>2316</v>
      </c>
      <c r="G77" s="288"/>
      <c r="H77" s="146"/>
      <c r="I77" s="146"/>
      <c r="J77" s="146"/>
      <c r="K77" s="146"/>
      <c r="L77" s="146"/>
      <c r="M77" s="146"/>
      <c r="N77" s="146"/>
      <c r="O77" s="146"/>
      <c r="P77" s="146"/>
      <c r="Q77" s="146"/>
      <c r="R77" s="146"/>
      <c r="S77" s="146"/>
      <c r="T77" s="146"/>
      <c r="U77" s="146"/>
      <c r="V77" s="146"/>
      <c r="W77" s="146"/>
      <c r="X77" s="146"/>
      <c r="Y77" s="146"/>
      <c r="Z77" s="146"/>
    </row>
    <row r="78" ht="22.5" customHeight="1">
      <c r="A78" s="283">
        <v>45964.0</v>
      </c>
      <c r="B78" s="293">
        <v>8.0</v>
      </c>
      <c r="C78" s="301"/>
      <c r="D78" s="291" t="s">
        <v>2317</v>
      </c>
      <c r="E78" s="298"/>
      <c r="F78" s="300" t="s">
        <v>2316</v>
      </c>
      <c r="G78" s="288"/>
      <c r="H78" s="146"/>
      <c r="I78" s="146"/>
      <c r="J78" s="146"/>
      <c r="K78" s="146"/>
      <c r="L78" s="146"/>
      <c r="M78" s="146"/>
      <c r="N78" s="146"/>
      <c r="O78" s="146"/>
      <c r="P78" s="146"/>
      <c r="Q78" s="146"/>
      <c r="R78" s="146"/>
      <c r="S78" s="146"/>
      <c r="T78" s="146"/>
      <c r="U78" s="146"/>
      <c r="V78" s="146"/>
      <c r="W78" s="146"/>
      <c r="X78" s="146"/>
      <c r="Y78" s="146"/>
      <c r="Z78" s="146"/>
    </row>
    <row r="79" ht="22.5" customHeight="1">
      <c r="A79" s="283">
        <v>45965.0</v>
      </c>
      <c r="B79" s="293">
        <v>8.0</v>
      </c>
      <c r="C79" s="301"/>
      <c r="D79" s="291" t="s">
        <v>2318</v>
      </c>
      <c r="E79" s="298"/>
      <c r="F79" s="300" t="s">
        <v>2319</v>
      </c>
      <c r="G79" s="288"/>
      <c r="H79" s="146"/>
      <c r="I79" s="146"/>
      <c r="J79" s="146"/>
      <c r="K79" s="146"/>
      <c r="L79" s="146"/>
      <c r="M79" s="146"/>
      <c r="N79" s="146"/>
      <c r="O79" s="146"/>
      <c r="P79" s="146"/>
      <c r="Q79" s="146"/>
      <c r="R79" s="146"/>
      <c r="S79" s="146"/>
      <c r="T79" s="146"/>
      <c r="U79" s="146"/>
      <c r="V79" s="146"/>
      <c r="W79" s="146"/>
      <c r="X79" s="146"/>
      <c r="Y79" s="146"/>
      <c r="Z79" s="146"/>
    </row>
    <row r="80" ht="22.5" customHeight="1">
      <c r="A80" s="283">
        <v>45966.0</v>
      </c>
      <c r="B80" s="293">
        <v>8.0</v>
      </c>
      <c r="C80" s="301"/>
      <c r="D80" s="291" t="s">
        <v>2320</v>
      </c>
      <c r="E80" s="298"/>
      <c r="F80" s="300" t="s">
        <v>2321</v>
      </c>
      <c r="G80" s="288"/>
      <c r="H80" s="146"/>
      <c r="I80" s="146"/>
      <c r="J80" s="146"/>
      <c r="K80" s="146"/>
      <c r="L80" s="146"/>
      <c r="M80" s="146"/>
      <c r="N80" s="146"/>
      <c r="O80" s="146"/>
      <c r="P80" s="146"/>
      <c r="Q80" s="146"/>
      <c r="R80" s="146"/>
      <c r="S80" s="146"/>
      <c r="T80" s="146"/>
      <c r="U80" s="146"/>
      <c r="V80" s="146"/>
      <c r="W80" s="146"/>
      <c r="X80" s="146"/>
      <c r="Y80" s="146"/>
      <c r="Z80" s="146"/>
    </row>
    <row r="81" ht="22.5" customHeight="1">
      <c r="A81" s="283">
        <v>45967.0</v>
      </c>
      <c r="B81" s="293">
        <v>8.0</v>
      </c>
      <c r="C81" s="301"/>
      <c r="D81" s="291" t="s">
        <v>2318</v>
      </c>
      <c r="E81" s="298"/>
      <c r="F81" s="300" t="s">
        <v>2319</v>
      </c>
      <c r="G81" s="288"/>
      <c r="H81" s="146"/>
      <c r="I81" s="146"/>
      <c r="J81" s="146"/>
      <c r="K81" s="146"/>
      <c r="L81" s="146"/>
      <c r="M81" s="146"/>
      <c r="N81" s="146"/>
      <c r="O81" s="146"/>
      <c r="P81" s="146"/>
      <c r="Q81" s="146"/>
      <c r="R81" s="146"/>
      <c r="S81" s="146"/>
      <c r="T81" s="146"/>
      <c r="U81" s="146"/>
      <c r="V81" s="146"/>
      <c r="W81" s="146"/>
      <c r="X81" s="146"/>
      <c r="Y81" s="146"/>
      <c r="Z81" s="146"/>
    </row>
    <row r="82" ht="22.5" customHeight="1">
      <c r="A82" s="302">
        <v>45968.0</v>
      </c>
      <c r="B82" s="293">
        <v>8.0</v>
      </c>
      <c r="C82" s="301"/>
      <c r="D82" s="291" t="s">
        <v>2322</v>
      </c>
      <c r="E82" s="298"/>
      <c r="F82" s="303" t="s">
        <v>2323</v>
      </c>
      <c r="G82" s="288"/>
      <c r="H82" s="146"/>
      <c r="I82" s="146"/>
      <c r="J82" s="146"/>
      <c r="K82" s="146"/>
      <c r="L82" s="146"/>
      <c r="M82" s="146"/>
      <c r="N82" s="146"/>
      <c r="O82" s="146"/>
      <c r="P82" s="146"/>
      <c r="Q82" s="146"/>
      <c r="R82" s="146"/>
      <c r="S82" s="146"/>
      <c r="T82" s="146"/>
      <c r="U82" s="146"/>
      <c r="V82" s="146"/>
      <c r="W82" s="146"/>
      <c r="X82" s="146"/>
      <c r="Y82" s="146"/>
      <c r="Z82" s="146"/>
    </row>
    <row r="83" ht="22.5" customHeight="1">
      <c r="A83" s="302">
        <v>45971.0</v>
      </c>
      <c r="B83" s="293">
        <v>8.0</v>
      </c>
      <c r="C83" s="301"/>
      <c r="D83" s="291" t="s">
        <v>2324</v>
      </c>
      <c r="E83" s="298"/>
      <c r="F83" s="303" t="s">
        <v>2325</v>
      </c>
      <c r="G83" s="288"/>
      <c r="H83" s="146"/>
      <c r="I83" s="146"/>
      <c r="J83" s="146"/>
      <c r="K83" s="146"/>
      <c r="L83" s="146"/>
      <c r="M83" s="146"/>
      <c r="N83" s="146"/>
      <c r="O83" s="146"/>
      <c r="P83" s="146"/>
      <c r="Q83" s="146"/>
      <c r="R83" s="146"/>
      <c r="S83" s="146"/>
      <c r="T83" s="146"/>
      <c r="U83" s="146"/>
      <c r="V83" s="146"/>
      <c r="W83" s="146"/>
      <c r="X83" s="146"/>
      <c r="Y83" s="146"/>
      <c r="Z83" s="146"/>
    </row>
    <row r="84" ht="22.5" customHeight="1">
      <c r="A84" s="302">
        <v>45972.0</v>
      </c>
      <c r="B84" s="293">
        <v>8.0</v>
      </c>
      <c r="C84" s="301"/>
      <c r="D84" s="291" t="s">
        <v>2326</v>
      </c>
      <c r="E84" s="298"/>
      <c r="F84" s="291" t="s">
        <v>2327</v>
      </c>
      <c r="G84" s="288"/>
      <c r="H84" s="146"/>
      <c r="I84" s="146"/>
      <c r="J84" s="146"/>
      <c r="K84" s="146"/>
      <c r="L84" s="146"/>
      <c r="M84" s="146"/>
      <c r="N84" s="146"/>
      <c r="O84" s="146"/>
      <c r="P84" s="146"/>
      <c r="Q84" s="146"/>
      <c r="R84" s="146"/>
      <c r="S84" s="146"/>
      <c r="T84" s="146"/>
      <c r="U84" s="146"/>
      <c r="V84" s="146"/>
      <c r="W84" s="146"/>
      <c r="X84" s="146"/>
      <c r="Y84" s="146"/>
      <c r="Z84" s="146"/>
    </row>
    <row r="85" ht="22.5" customHeight="1">
      <c r="A85" s="302">
        <v>45973.0</v>
      </c>
      <c r="B85" s="293">
        <v>8.0</v>
      </c>
      <c r="C85" s="301"/>
      <c r="D85" s="291" t="s">
        <v>2312</v>
      </c>
      <c r="E85" s="298"/>
      <c r="F85" s="303" t="s">
        <v>2310</v>
      </c>
      <c r="G85" s="288"/>
      <c r="H85" s="146"/>
      <c r="I85" s="146"/>
      <c r="J85" s="146"/>
      <c r="K85" s="146"/>
      <c r="L85" s="146"/>
      <c r="M85" s="146"/>
      <c r="N85" s="146"/>
      <c r="O85" s="146"/>
      <c r="P85" s="146"/>
      <c r="Q85" s="146"/>
      <c r="R85" s="146"/>
      <c r="S85" s="146"/>
      <c r="T85" s="146"/>
      <c r="U85" s="146"/>
      <c r="V85" s="146"/>
      <c r="W85" s="146"/>
      <c r="X85" s="146"/>
      <c r="Y85" s="146"/>
      <c r="Z85" s="146"/>
    </row>
    <row r="86" ht="22.5" customHeight="1">
      <c r="A86" s="302">
        <v>45974.0</v>
      </c>
      <c r="B86" s="293">
        <v>8.0</v>
      </c>
      <c r="C86" s="301"/>
      <c r="D86" s="291" t="s">
        <v>2328</v>
      </c>
      <c r="E86" s="298"/>
      <c r="F86" s="303" t="s">
        <v>2329</v>
      </c>
      <c r="G86" s="288"/>
      <c r="H86" s="146"/>
      <c r="I86" s="146"/>
      <c r="J86" s="146"/>
      <c r="K86" s="146"/>
      <c r="L86" s="146"/>
      <c r="M86" s="146"/>
      <c r="N86" s="146"/>
      <c r="O86" s="146"/>
      <c r="P86" s="146"/>
      <c r="Q86" s="146"/>
      <c r="R86" s="146"/>
      <c r="S86" s="146"/>
      <c r="T86" s="146"/>
      <c r="U86" s="146"/>
      <c r="V86" s="146"/>
      <c r="W86" s="146"/>
      <c r="X86" s="146"/>
      <c r="Y86" s="146"/>
      <c r="Z86" s="146"/>
    </row>
    <row r="87" ht="22.5" customHeight="1">
      <c r="A87" s="302">
        <v>45975.0</v>
      </c>
      <c r="B87" s="293">
        <v>8.0</v>
      </c>
      <c r="C87" s="301"/>
      <c r="D87" s="291" t="s">
        <v>2330</v>
      </c>
      <c r="E87" s="298"/>
      <c r="F87" s="303" t="s">
        <v>2329</v>
      </c>
      <c r="G87" s="288"/>
      <c r="H87" s="146"/>
      <c r="I87" s="146"/>
      <c r="J87" s="146"/>
      <c r="K87" s="146"/>
      <c r="L87" s="146"/>
      <c r="M87" s="146"/>
      <c r="N87" s="146"/>
      <c r="O87" s="146"/>
      <c r="P87" s="146"/>
      <c r="Q87" s="146"/>
      <c r="R87" s="146"/>
      <c r="S87" s="146"/>
      <c r="T87" s="146"/>
      <c r="U87" s="146"/>
      <c r="V87" s="146"/>
      <c r="W87" s="146"/>
      <c r="X87" s="146"/>
      <c r="Y87" s="146"/>
      <c r="Z87" s="146"/>
    </row>
    <row r="88" ht="22.5" customHeight="1">
      <c r="A88" s="302">
        <v>45978.0</v>
      </c>
      <c r="B88" s="293">
        <v>8.0</v>
      </c>
      <c r="C88" s="301"/>
      <c r="D88" s="291" t="s">
        <v>2330</v>
      </c>
      <c r="E88" s="298"/>
      <c r="F88" s="303" t="s">
        <v>2329</v>
      </c>
      <c r="G88" s="288"/>
      <c r="H88" s="146"/>
      <c r="I88" s="146"/>
      <c r="J88" s="146"/>
      <c r="K88" s="146"/>
      <c r="L88" s="146"/>
      <c r="M88" s="146"/>
      <c r="N88" s="146"/>
      <c r="O88" s="146"/>
      <c r="P88" s="146"/>
      <c r="Q88" s="146"/>
      <c r="R88" s="146"/>
      <c r="S88" s="146"/>
      <c r="T88" s="146"/>
      <c r="U88" s="146"/>
      <c r="V88" s="146"/>
      <c r="W88" s="146"/>
      <c r="X88" s="146"/>
      <c r="Y88" s="146"/>
      <c r="Z88" s="146"/>
    </row>
    <row r="89" ht="22.5" customHeight="1">
      <c r="A89" s="302">
        <v>45979.0</v>
      </c>
      <c r="B89" s="293">
        <v>8.0</v>
      </c>
      <c r="C89" s="301"/>
      <c r="D89" s="291" t="s">
        <v>2331</v>
      </c>
      <c r="E89" s="298"/>
      <c r="F89" s="303" t="s">
        <v>2329</v>
      </c>
      <c r="G89" s="288"/>
      <c r="H89" s="146"/>
      <c r="I89" s="146"/>
      <c r="J89" s="146"/>
      <c r="K89" s="146"/>
      <c r="L89" s="146"/>
      <c r="M89" s="146"/>
      <c r="N89" s="146"/>
      <c r="O89" s="146"/>
      <c r="P89" s="146"/>
      <c r="Q89" s="146"/>
      <c r="R89" s="146"/>
      <c r="S89" s="146"/>
      <c r="T89" s="146"/>
      <c r="U89" s="146"/>
      <c r="V89" s="146"/>
      <c r="W89" s="146"/>
      <c r="X89" s="146"/>
      <c r="Y89" s="146"/>
      <c r="Z89" s="146"/>
    </row>
    <row r="90" ht="22.5" customHeight="1">
      <c r="A90" s="302">
        <v>45980.0</v>
      </c>
      <c r="B90" s="293">
        <v>8.0</v>
      </c>
      <c r="C90" s="301"/>
      <c r="D90" s="291" t="s">
        <v>2332</v>
      </c>
      <c r="E90" s="298"/>
      <c r="F90" s="303" t="s">
        <v>2329</v>
      </c>
      <c r="G90" s="288"/>
      <c r="H90" s="146"/>
      <c r="I90" s="146"/>
      <c r="J90" s="146"/>
      <c r="K90" s="146"/>
      <c r="L90" s="146"/>
      <c r="M90" s="146"/>
      <c r="N90" s="146"/>
      <c r="O90" s="146"/>
      <c r="P90" s="146"/>
      <c r="Q90" s="146"/>
      <c r="R90" s="146"/>
      <c r="S90" s="146"/>
      <c r="T90" s="146"/>
      <c r="U90" s="146"/>
      <c r="V90" s="146"/>
      <c r="W90" s="146"/>
      <c r="X90" s="146"/>
      <c r="Y90" s="146"/>
      <c r="Z90" s="146"/>
    </row>
    <row r="91" ht="22.5" customHeight="1">
      <c r="A91" s="302">
        <v>45981.0</v>
      </c>
      <c r="B91" s="293">
        <v>8.0</v>
      </c>
      <c r="C91" s="301"/>
      <c r="D91" s="291" t="s">
        <v>2333</v>
      </c>
      <c r="E91" s="298"/>
      <c r="F91" s="303" t="s">
        <v>2329</v>
      </c>
      <c r="G91" s="288"/>
      <c r="H91" s="146"/>
      <c r="I91" s="146"/>
      <c r="J91" s="146"/>
      <c r="K91" s="146"/>
      <c r="L91" s="146"/>
      <c r="M91" s="146"/>
      <c r="N91" s="146"/>
      <c r="O91" s="146"/>
      <c r="P91" s="146"/>
      <c r="Q91" s="146"/>
      <c r="R91" s="146"/>
      <c r="S91" s="146"/>
      <c r="T91" s="146"/>
      <c r="U91" s="146"/>
      <c r="V91" s="146"/>
      <c r="W91" s="146"/>
      <c r="X91" s="146"/>
      <c r="Y91" s="146"/>
      <c r="Z91" s="146"/>
    </row>
    <row r="92" ht="22.5" customHeight="1">
      <c r="A92" s="302">
        <v>45982.0</v>
      </c>
      <c r="B92" s="293">
        <v>8.0</v>
      </c>
      <c r="C92" s="301"/>
      <c r="D92" s="291" t="s">
        <v>2334</v>
      </c>
      <c r="E92" s="298"/>
      <c r="F92" s="291" t="s">
        <v>2335</v>
      </c>
      <c r="G92" s="288"/>
      <c r="H92" s="146"/>
      <c r="I92" s="146"/>
      <c r="J92" s="146"/>
      <c r="K92" s="146"/>
      <c r="L92" s="146"/>
      <c r="M92" s="146"/>
      <c r="N92" s="146"/>
      <c r="O92" s="146"/>
      <c r="P92" s="146"/>
      <c r="Q92" s="146"/>
      <c r="R92" s="146"/>
      <c r="S92" s="146"/>
      <c r="T92" s="146"/>
      <c r="U92" s="146"/>
      <c r="V92" s="146"/>
      <c r="W92" s="146"/>
      <c r="X92" s="146"/>
      <c r="Y92" s="146"/>
      <c r="Z92" s="146"/>
    </row>
    <row r="93" ht="22.5" customHeight="1">
      <c r="A93" s="302">
        <v>45985.0</v>
      </c>
      <c r="B93" s="293">
        <v>8.0</v>
      </c>
      <c r="C93" s="301"/>
      <c r="D93" s="291" t="s">
        <v>2334</v>
      </c>
      <c r="E93" s="298"/>
      <c r="F93" s="291" t="s">
        <v>2335</v>
      </c>
      <c r="G93" s="288"/>
      <c r="H93" s="146"/>
      <c r="I93" s="146"/>
      <c r="J93" s="146"/>
      <c r="K93" s="146"/>
      <c r="L93" s="146"/>
      <c r="M93" s="146"/>
      <c r="N93" s="146"/>
      <c r="O93" s="146"/>
      <c r="P93" s="146"/>
      <c r="Q93" s="146"/>
      <c r="R93" s="146"/>
      <c r="S93" s="146"/>
      <c r="T93" s="146"/>
      <c r="U93" s="146"/>
      <c r="V93" s="146"/>
      <c r="W93" s="146"/>
      <c r="X93" s="146"/>
      <c r="Y93" s="146"/>
      <c r="Z93" s="146"/>
    </row>
    <row r="94" ht="22.5" customHeight="1">
      <c r="A94" s="302">
        <v>45986.0</v>
      </c>
      <c r="B94" s="293">
        <v>8.0</v>
      </c>
      <c r="C94" s="301"/>
      <c r="D94" s="291" t="s">
        <v>2334</v>
      </c>
      <c r="E94" s="298"/>
      <c r="F94" s="291" t="s">
        <v>2335</v>
      </c>
      <c r="G94" s="288"/>
      <c r="H94" s="146"/>
      <c r="I94" s="146"/>
      <c r="J94" s="146"/>
      <c r="K94" s="146"/>
      <c r="L94" s="146"/>
      <c r="M94" s="146"/>
      <c r="N94" s="146"/>
      <c r="O94" s="146"/>
      <c r="P94" s="146"/>
      <c r="Q94" s="146"/>
      <c r="R94" s="146"/>
      <c r="S94" s="146"/>
      <c r="T94" s="146"/>
      <c r="U94" s="146"/>
      <c r="V94" s="146"/>
      <c r="W94" s="146"/>
      <c r="X94" s="146"/>
      <c r="Y94" s="146"/>
      <c r="Z94" s="146"/>
    </row>
    <row r="95" ht="22.5" customHeight="1">
      <c r="A95" s="302">
        <v>45987.0</v>
      </c>
      <c r="B95" s="293">
        <v>8.0</v>
      </c>
      <c r="C95" s="301"/>
      <c r="D95" s="291" t="s">
        <v>2334</v>
      </c>
      <c r="E95" s="298"/>
      <c r="F95" s="291" t="s">
        <v>2335</v>
      </c>
      <c r="G95" s="288"/>
      <c r="H95" s="146"/>
      <c r="I95" s="146"/>
      <c r="J95" s="146"/>
      <c r="K95" s="146"/>
      <c r="L95" s="146"/>
      <c r="M95" s="146"/>
      <c r="N95" s="146"/>
      <c r="O95" s="146"/>
      <c r="P95" s="146"/>
      <c r="Q95" s="146"/>
      <c r="R95" s="146"/>
      <c r="S95" s="146"/>
      <c r="T95" s="146"/>
      <c r="U95" s="146"/>
      <c r="V95" s="146"/>
      <c r="W95" s="146"/>
      <c r="X95" s="146"/>
      <c r="Y95" s="146"/>
      <c r="Z95" s="146"/>
    </row>
    <row r="96" ht="22.5" customHeight="1">
      <c r="A96" s="302">
        <v>45988.0</v>
      </c>
      <c r="B96" s="293">
        <v>8.0</v>
      </c>
      <c r="C96" s="301"/>
      <c r="D96" s="291" t="s">
        <v>2336</v>
      </c>
      <c r="E96" s="298"/>
      <c r="F96" s="303" t="s">
        <v>2337</v>
      </c>
      <c r="G96" s="288"/>
      <c r="H96" s="146"/>
      <c r="I96" s="146"/>
      <c r="J96" s="146"/>
      <c r="K96" s="146"/>
      <c r="L96" s="146"/>
      <c r="M96" s="146"/>
      <c r="N96" s="146"/>
      <c r="O96" s="146"/>
      <c r="P96" s="146"/>
      <c r="Q96" s="146"/>
      <c r="R96" s="146"/>
      <c r="S96" s="146"/>
      <c r="T96" s="146"/>
      <c r="U96" s="146"/>
      <c r="V96" s="146"/>
      <c r="W96" s="146"/>
      <c r="X96" s="146"/>
      <c r="Y96" s="146"/>
      <c r="Z96" s="146"/>
    </row>
    <row r="97" ht="22.5" customHeight="1">
      <c r="A97" s="302">
        <v>45989.0</v>
      </c>
      <c r="B97" s="293">
        <v>8.0</v>
      </c>
      <c r="C97" s="301"/>
      <c r="D97" s="291" t="s">
        <v>2336</v>
      </c>
      <c r="E97" s="298"/>
      <c r="F97" s="303" t="s">
        <v>2337</v>
      </c>
      <c r="G97" s="288"/>
      <c r="H97" s="146"/>
      <c r="I97" s="146"/>
      <c r="J97" s="146"/>
      <c r="K97" s="146"/>
      <c r="L97" s="146"/>
      <c r="M97" s="146"/>
      <c r="N97" s="146"/>
      <c r="O97" s="146"/>
      <c r="P97" s="146"/>
      <c r="Q97" s="146"/>
      <c r="R97" s="146"/>
      <c r="S97" s="146"/>
      <c r="T97" s="146"/>
      <c r="U97" s="146"/>
      <c r="V97" s="146"/>
      <c r="W97" s="146"/>
      <c r="X97" s="146"/>
      <c r="Y97" s="146"/>
      <c r="Z97" s="146"/>
    </row>
    <row r="98" ht="22.5" customHeight="1">
      <c r="A98" s="302">
        <v>45992.0</v>
      </c>
      <c r="B98" s="293">
        <v>8.0</v>
      </c>
      <c r="C98" s="301"/>
      <c r="D98" s="291" t="s">
        <v>2338</v>
      </c>
      <c r="E98" s="298"/>
      <c r="F98" s="303" t="s">
        <v>2337</v>
      </c>
      <c r="G98" s="288"/>
      <c r="H98" s="146"/>
      <c r="I98" s="146"/>
      <c r="J98" s="146"/>
      <c r="K98" s="146"/>
      <c r="L98" s="146"/>
      <c r="M98" s="146"/>
      <c r="N98" s="146"/>
      <c r="O98" s="146"/>
      <c r="P98" s="146"/>
      <c r="Q98" s="146"/>
      <c r="R98" s="146"/>
      <c r="S98" s="146"/>
      <c r="T98" s="146"/>
      <c r="U98" s="146"/>
      <c r="V98" s="146"/>
      <c r="W98" s="146"/>
      <c r="X98" s="146"/>
      <c r="Y98" s="146"/>
      <c r="Z98" s="146"/>
    </row>
    <row r="99" ht="22.5" customHeight="1">
      <c r="A99" s="302">
        <v>45993.0</v>
      </c>
      <c r="B99" s="293">
        <v>8.0</v>
      </c>
      <c r="C99" s="301"/>
      <c r="D99" s="291" t="s">
        <v>2339</v>
      </c>
      <c r="E99" s="298"/>
      <c r="F99" s="303" t="s">
        <v>2337</v>
      </c>
      <c r="G99" s="288"/>
      <c r="H99" s="146"/>
      <c r="I99" s="146"/>
      <c r="J99" s="146"/>
      <c r="K99" s="146"/>
      <c r="L99" s="146"/>
      <c r="M99" s="146"/>
      <c r="N99" s="146"/>
      <c r="O99" s="146"/>
      <c r="P99" s="146"/>
      <c r="Q99" s="146"/>
      <c r="R99" s="146"/>
      <c r="S99" s="146"/>
      <c r="T99" s="146"/>
      <c r="U99" s="146"/>
      <c r="V99" s="146"/>
      <c r="W99" s="146"/>
      <c r="X99" s="146"/>
      <c r="Y99" s="146"/>
      <c r="Z99" s="146"/>
    </row>
    <row r="100" ht="22.5" customHeight="1">
      <c r="A100" s="302">
        <v>45994.0</v>
      </c>
      <c r="B100" s="293">
        <v>8.0</v>
      </c>
      <c r="C100" s="301"/>
      <c r="D100" s="291" t="s">
        <v>2340</v>
      </c>
      <c r="E100" s="298"/>
      <c r="F100" s="303" t="s">
        <v>2337</v>
      </c>
      <c r="G100" s="288"/>
      <c r="H100" s="146"/>
      <c r="I100" s="146"/>
      <c r="J100" s="146"/>
      <c r="K100" s="146"/>
      <c r="L100" s="146"/>
      <c r="M100" s="146"/>
      <c r="N100" s="146"/>
      <c r="O100" s="146"/>
      <c r="P100" s="146"/>
      <c r="Q100" s="146"/>
      <c r="R100" s="146"/>
      <c r="S100" s="146"/>
      <c r="T100" s="146"/>
      <c r="U100" s="146"/>
      <c r="V100" s="146"/>
      <c r="W100" s="146"/>
      <c r="X100" s="146"/>
      <c r="Y100" s="146"/>
      <c r="Z100" s="146"/>
    </row>
    <row r="101" ht="22.5" customHeight="1">
      <c r="A101" s="302">
        <v>45995.0</v>
      </c>
      <c r="B101" s="293">
        <v>8.0</v>
      </c>
      <c r="C101" s="301"/>
      <c r="D101" s="291" t="s">
        <v>2341</v>
      </c>
      <c r="E101" s="298"/>
      <c r="F101" s="303" t="s">
        <v>2337</v>
      </c>
      <c r="G101" s="288"/>
      <c r="H101" s="146"/>
      <c r="I101" s="146"/>
      <c r="J101" s="146"/>
      <c r="K101" s="146"/>
      <c r="L101" s="146"/>
      <c r="M101" s="146"/>
      <c r="N101" s="146"/>
      <c r="O101" s="146"/>
      <c r="P101" s="146"/>
      <c r="Q101" s="146"/>
      <c r="R101" s="146"/>
      <c r="S101" s="146"/>
      <c r="T101" s="146"/>
      <c r="U101" s="146"/>
      <c r="V101" s="146"/>
      <c r="W101" s="146"/>
      <c r="X101" s="146"/>
      <c r="Y101" s="146"/>
      <c r="Z101" s="146"/>
    </row>
    <row r="102" ht="22.5" customHeight="1">
      <c r="A102" s="304">
        <v>45996.0</v>
      </c>
      <c r="B102" s="293">
        <v>8.0</v>
      </c>
      <c r="C102" s="301"/>
      <c r="D102" s="291" t="s">
        <v>2342</v>
      </c>
      <c r="E102" s="298"/>
      <c r="F102" s="303" t="s">
        <v>2343</v>
      </c>
      <c r="G102" s="288"/>
      <c r="H102" s="146"/>
      <c r="I102" s="146"/>
      <c r="J102" s="146"/>
      <c r="K102" s="146"/>
      <c r="L102" s="146"/>
      <c r="M102" s="146"/>
      <c r="N102" s="146"/>
      <c r="O102" s="146"/>
      <c r="P102" s="146"/>
      <c r="Q102" s="146"/>
      <c r="R102" s="146"/>
      <c r="S102" s="146"/>
      <c r="T102" s="146"/>
      <c r="U102" s="146"/>
      <c r="V102" s="146"/>
      <c r="W102" s="146"/>
      <c r="X102" s="146"/>
      <c r="Y102" s="146"/>
      <c r="Z102" s="146"/>
    </row>
    <row r="103" ht="22.5" customHeight="1">
      <c r="A103" s="304">
        <v>45999.0</v>
      </c>
      <c r="B103" s="293">
        <v>8.0</v>
      </c>
      <c r="C103" s="301"/>
      <c r="D103" s="291" t="s">
        <v>2344</v>
      </c>
      <c r="E103" s="298"/>
      <c r="F103" s="303" t="s">
        <v>2343</v>
      </c>
      <c r="G103" s="288"/>
      <c r="H103" s="146"/>
      <c r="I103" s="146"/>
      <c r="J103" s="146"/>
      <c r="K103" s="146"/>
      <c r="L103" s="146"/>
      <c r="M103" s="146"/>
      <c r="N103" s="146"/>
      <c r="O103" s="146"/>
      <c r="P103" s="146"/>
      <c r="Q103" s="146"/>
      <c r="R103" s="146"/>
      <c r="S103" s="146"/>
      <c r="T103" s="146"/>
      <c r="U103" s="146"/>
      <c r="V103" s="146"/>
      <c r="W103" s="146"/>
      <c r="X103" s="146"/>
      <c r="Y103" s="146"/>
      <c r="Z103" s="146"/>
    </row>
    <row r="104" ht="22.5" customHeight="1">
      <c r="A104" s="304">
        <v>46000.0</v>
      </c>
      <c r="B104" s="293">
        <v>8.0</v>
      </c>
      <c r="C104" s="301"/>
      <c r="D104" s="291" t="s">
        <v>2345</v>
      </c>
      <c r="E104" s="298"/>
      <c r="F104" s="303" t="s">
        <v>2337</v>
      </c>
      <c r="G104" s="288"/>
      <c r="H104" s="146"/>
      <c r="I104" s="146"/>
      <c r="J104" s="146"/>
      <c r="K104" s="146"/>
      <c r="L104" s="146"/>
      <c r="M104" s="146"/>
      <c r="N104" s="146"/>
      <c r="O104" s="146"/>
      <c r="P104" s="146"/>
      <c r="Q104" s="146"/>
      <c r="R104" s="146"/>
      <c r="S104" s="146"/>
      <c r="T104" s="146"/>
      <c r="U104" s="146"/>
      <c r="V104" s="146"/>
      <c r="W104" s="146"/>
      <c r="X104" s="146"/>
      <c r="Y104" s="146"/>
      <c r="Z104" s="146"/>
    </row>
    <row r="105" ht="22.5" customHeight="1">
      <c r="A105" s="304">
        <v>46001.0</v>
      </c>
      <c r="B105" s="293">
        <v>8.0</v>
      </c>
      <c r="C105" s="301"/>
      <c r="D105" s="291" t="s">
        <v>2346</v>
      </c>
      <c r="E105" s="298"/>
      <c r="F105" s="275" t="s">
        <v>2316</v>
      </c>
      <c r="G105" s="288"/>
      <c r="H105" s="146"/>
      <c r="I105" s="146"/>
      <c r="J105" s="146"/>
      <c r="K105" s="146"/>
      <c r="L105" s="146"/>
      <c r="M105" s="146"/>
      <c r="N105" s="146"/>
      <c r="O105" s="146"/>
      <c r="P105" s="146"/>
      <c r="Q105" s="146"/>
      <c r="R105" s="146"/>
      <c r="S105" s="146"/>
      <c r="T105" s="146"/>
      <c r="U105" s="146"/>
      <c r="V105" s="146"/>
      <c r="W105" s="146"/>
      <c r="X105" s="146"/>
      <c r="Y105" s="146"/>
      <c r="Z105" s="146"/>
    </row>
    <row r="106" ht="22.5" customHeight="1">
      <c r="A106" s="302">
        <v>46002.0</v>
      </c>
      <c r="B106" s="293">
        <v>8.0</v>
      </c>
      <c r="C106" s="301"/>
      <c r="D106" s="291" t="s">
        <v>2346</v>
      </c>
      <c r="E106" s="298"/>
      <c r="F106" s="275" t="s">
        <v>2316</v>
      </c>
      <c r="G106" s="288"/>
      <c r="H106" s="146"/>
      <c r="I106" s="146"/>
      <c r="J106" s="146"/>
      <c r="K106" s="146"/>
      <c r="L106" s="146"/>
      <c r="M106" s="146"/>
      <c r="N106" s="146"/>
      <c r="O106" s="146"/>
      <c r="P106" s="146"/>
      <c r="Q106" s="146"/>
      <c r="R106" s="146"/>
      <c r="S106" s="146"/>
      <c r="T106" s="146"/>
      <c r="U106" s="146"/>
      <c r="V106" s="146"/>
      <c r="W106" s="146"/>
      <c r="X106" s="146"/>
      <c r="Y106" s="146"/>
      <c r="Z106" s="146"/>
    </row>
    <row r="107" ht="22.5" customHeight="1">
      <c r="A107" s="302">
        <v>46003.0</v>
      </c>
      <c r="B107" s="293">
        <v>8.0</v>
      </c>
      <c r="C107" s="301"/>
      <c r="D107" s="291" t="s">
        <v>2347</v>
      </c>
      <c r="E107" s="298"/>
      <c r="F107" s="303" t="s">
        <v>2337</v>
      </c>
      <c r="G107" s="288"/>
      <c r="H107" s="146"/>
      <c r="I107" s="146"/>
      <c r="J107" s="146"/>
      <c r="K107" s="146"/>
      <c r="L107" s="146"/>
      <c r="M107" s="146"/>
      <c r="N107" s="146"/>
      <c r="O107" s="146"/>
      <c r="P107" s="146"/>
      <c r="Q107" s="146"/>
      <c r="R107" s="146"/>
      <c r="S107" s="146"/>
      <c r="T107" s="146"/>
      <c r="U107" s="146"/>
      <c r="V107" s="146"/>
      <c r="W107" s="146"/>
      <c r="X107" s="146"/>
      <c r="Y107" s="146"/>
      <c r="Z107" s="146"/>
    </row>
    <row r="108" ht="22.5" customHeight="1">
      <c r="A108" s="302">
        <v>46006.0</v>
      </c>
      <c r="B108" s="293">
        <v>8.0</v>
      </c>
      <c r="C108" s="305"/>
      <c r="D108" s="306" t="s">
        <v>2348</v>
      </c>
      <c r="E108" s="305"/>
      <c r="F108" s="303" t="s">
        <v>2337</v>
      </c>
      <c r="G108" s="307"/>
      <c r="H108" s="146"/>
      <c r="I108" s="146"/>
      <c r="J108" s="146"/>
      <c r="K108" s="146"/>
      <c r="L108" s="146"/>
      <c r="M108" s="146"/>
      <c r="N108" s="146"/>
      <c r="O108" s="146"/>
      <c r="P108" s="146"/>
      <c r="Q108" s="146"/>
      <c r="R108" s="146"/>
      <c r="S108" s="146"/>
      <c r="T108" s="146"/>
      <c r="U108" s="146"/>
      <c r="V108" s="146"/>
      <c r="W108" s="146"/>
      <c r="X108" s="146"/>
      <c r="Y108" s="146"/>
      <c r="Z108" s="146"/>
    </row>
    <row r="109" ht="22.5" customHeight="1">
      <c r="A109" s="302">
        <v>46007.0</v>
      </c>
      <c r="B109" s="293">
        <v>8.0</v>
      </c>
      <c r="C109" s="305"/>
      <c r="D109" s="306" t="s">
        <v>2349</v>
      </c>
      <c r="E109" s="305"/>
      <c r="F109" s="275" t="s">
        <v>2303</v>
      </c>
      <c r="G109" s="307"/>
      <c r="H109" s="146"/>
      <c r="I109" s="146"/>
      <c r="J109" s="146"/>
      <c r="K109" s="146"/>
      <c r="L109" s="146"/>
      <c r="M109" s="146"/>
      <c r="N109" s="146"/>
      <c r="O109" s="146"/>
      <c r="P109" s="146"/>
      <c r="Q109" s="146"/>
      <c r="R109" s="146"/>
      <c r="S109" s="146"/>
      <c r="T109" s="146"/>
      <c r="U109" s="146"/>
      <c r="V109" s="146"/>
      <c r="W109" s="146"/>
      <c r="X109" s="146"/>
      <c r="Y109" s="146"/>
      <c r="Z109" s="146"/>
    </row>
    <row r="110" ht="22.5" customHeight="1">
      <c r="A110" s="302">
        <v>46008.0</v>
      </c>
      <c r="B110" s="293">
        <v>8.0</v>
      </c>
      <c r="C110" s="305"/>
      <c r="D110" s="306" t="s">
        <v>2350</v>
      </c>
      <c r="E110" s="305"/>
      <c r="F110" s="275" t="s">
        <v>2351</v>
      </c>
      <c r="G110" s="307"/>
      <c r="H110" s="146"/>
      <c r="I110" s="146"/>
      <c r="J110" s="146"/>
      <c r="K110" s="146"/>
      <c r="L110" s="146"/>
      <c r="M110" s="146"/>
      <c r="N110" s="146"/>
      <c r="O110" s="146"/>
      <c r="P110" s="146"/>
      <c r="Q110" s="146"/>
      <c r="R110" s="146"/>
      <c r="S110" s="146"/>
      <c r="T110" s="146"/>
      <c r="U110" s="146"/>
      <c r="V110" s="146"/>
      <c r="W110" s="146"/>
      <c r="X110" s="146"/>
      <c r="Y110" s="146"/>
      <c r="Z110" s="146"/>
    </row>
    <row r="111" ht="22.5" customHeight="1">
      <c r="A111" s="302">
        <v>46009.0</v>
      </c>
      <c r="B111" s="293">
        <v>8.0</v>
      </c>
      <c r="C111" s="305"/>
      <c r="D111" s="306" t="s">
        <v>2352</v>
      </c>
      <c r="E111" s="305"/>
      <c r="F111" s="303" t="s">
        <v>2343</v>
      </c>
      <c r="G111" s="307"/>
      <c r="H111" s="146"/>
      <c r="I111" s="146"/>
      <c r="J111" s="146"/>
      <c r="K111" s="146"/>
      <c r="L111" s="146"/>
      <c r="M111" s="146"/>
      <c r="N111" s="146"/>
      <c r="O111" s="146"/>
      <c r="P111" s="146"/>
      <c r="Q111" s="146"/>
      <c r="R111" s="146"/>
      <c r="S111" s="146"/>
      <c r="T111" s="146"/>
      <c r="U111" s="146"/>
      <c r="V111" s="146"/>
      <c r="W111" s="146"/>
      <c r="X111" s="146"/>
      <c r="Y111" s="146"/>
      <c r="Z111" s="146"/>
    </row>
    <row r="112" ht="22.5" customHeight="1">
      <c r="A112" s="302">
        <v>46010.0</v>
      </c>
      <c r="B112" s="293">
        <v>8.0</v>
      </c>
      <c r="C112" s="305"/>
      <c r="D112" s="306" t="s">
        <v>2352</v>
      </c>
      <c r="E112" s="305"/>
      <c r="F112" s="303" t="s">
        <v>2343</v>
      </c>
      <c r="G112" s="307"/>
      <c r="H112" s="146"/>
      <c r="I112" s="146"/>
      <c r="J112" s="146"/>
      <c r="K112" s="146"/>
      <c r="L112" s="146"/>
      <c r="M112" s="146"/>
      <c r="N112" s="146"/>
      <c r="O112" s="146"/>
      <c r="P112" s="146"/>
      <c r="Q112" s="146"/>
      <c r="R112" s="146"/>
      <c r="S112" s="146"/>
      <c r="T112" s="146"/>
      <c r="U112" s="146"/>
      <c r="V112" s="146"/>
      <c r="W112" s="146"/>
      <c r="X112" s="146"/>
      <c r="Y112" s="146"/>
      <c r="Z112" s="146"/>
    </row>
    <row r="113" ht="22.5" customHeight="1">
      <c r="A113" s="302">
        <v>46013.0</v>
      </c>
      <c r="B113" s="293">
        <v>8.0</v>
      </c>
      <c r="C113" s="305"/>
      <c r="D113" s="306" t="s">
        <v>2353</v>
      </c>
      <c r="E113" s="305"/>
      <c r="F113" s="305"/>
      <c r="G113" s="307"/>
      <c r="H113" s="146"/>
      <c r="I113" s="146"/>
      <c r="J113" s="146"/>
      <c r="K113" s="146"/>
      <c r="L113" s="146"/>
      <c r="M113" s="146"/>
      <c r="N113" s="146"/>
      <c r="O113" s="146"/>
      <c r="P113" s="146"/>
      <c r="Q113" s="146"/>
      <c r="R113" s="146"/>
      <c r="S113" s="146"/>
      <c r="T113" s="146"/>
      <c r="U113" s="146"/>
      <c r="V113" s="146"/>
      <c r="W113" s="146"/>
      <c r="X113" s="146"/>
      <c r="Y113" s="146"/>
      <c r="Z113" s="146"/>
    </row>
    <row r="114" ht="22.5" customHeight="1">
      <c r="A114" s="302">
        <v>46014.0</v>
      </c>
      <c r="B114" s="293">
        <v>8.0</v>
      </c>
      <c r="C114" s="305"/>
      <c r="D114" s="306" t="s">
        <v>2354</v>
      </c>
      <c r="E114" s="305"/>
      <c r="F114" s="303" t="s">
        <v>2343</v>
      </c>
      <c r="G114" s="307"/>
      <c r="H114" s="146"/>
      <c r="I114" s="146"/>
      <c r="J114" s="146"/>
      <c r="K114" s="146"/>
      <c r="L114" s="146"/>
      <c r="M114" s="146"/>
      <c r="N114" s="146"/>
      <c r="O114" s="146"/>
      <c r="P114" s="146"/>
      <c r="Q114" s="146"/>
      <c r="R114" s="146"/>
      <c r="S114" s="146"/>
      <c r="T114" s="146"/>
      <c r="U114" s="146"/>
      <c r="V114" s="146"/>
      <c r="W114" s="146"/>
      <c r="X114" s="146"/>
      <c r="Y114" s="146"/>
      <c r="Z114" s="146"/>
    </row>
    <row r="115" ht="22.5" customHeight="1">
      <c r="A115" s="302">
        <v>46015.0</v>
      </c>
      <c r="B115" s="293">
        <v>8.0</v>
      </c>
      <c r="C115" s="305"/>
      <c r="D115" s="306" t="s">
        <v>2355</v>
      </c>
      <c r="E115" s="305"/>
      <c r="F115" s="305"/>
      <c r="G115" s="307"/>
      <c r="H115" s="146"/>
      <c r="I115" s="146"/>
      <c r="J115" s="146"/>
      <c r="K115" s="146"/>
      <c r="L115" s="146"/>
      <c r="M115" s="146"/>
      <c r="N115" s="146"/>
      <c r="O115" s="146"/>
      <c r="P115" s="146"/>
      <c r="Q115" s="146"/>
      <c r="R115" s="146"/>
      <c r="S115" s="146"/>
      <c r="T115" s="146"/>
      <c r="U115" s="146"/>
      <c r="V115" s="146"/>
      <c r="W115" s="146"/>
      <c r="X115" s="146"/>
      <c r="Y115" s="146"/>
      <c r="Z115" s="146"/>
    </row>
    <row r="116" ht="22.5" customHeight="1">
      <c r="A116" s="304">
        <v>46016.0</v>
      </c>
      <c r="B116" s="293">
        <v>8.0</v>
      </c>
      <c r="C116" s="305"/>
      <c r="D116" s="306" t="s">
        <v>19</v>
      </c>
      <c r="E116" s="305"/>
      <c r="F116" s="305"/>
      <c r="G116" s="307"/>
      <c r="H116" s="146"/>
      <c r="I116" s="146"/>
      <c r="J116" s="146"/>
      <c r="K116" s="146"/>
      <c r="L116" s="146"/>
      <c r="M116" s="146"/>
      <c r="N116" s="146"/>
      <c r="O116" s="146"/>
      <c r="P116" s="146"/>
      <c r="Q116" s="146"/>
      <c r="R116" s="146"/>
      <c r="S116" s="146"/>
      <c r="T116" s="146"/>
      <c r="U116" s="146"/>
      <c r="V116" s="146"/>
      <c r="W116" s="146"/>
      <c r="X116" s="146"/>
      <c r="Y116" s="146"/>
      <c r="Z116" s="146"/>
    </row>
    <row r="117" ht="22.5" customHeight="1">
      <c r="A117" s="304">
        <v>46017.0</v>
      </c>
      <c r="B117" s="293">
        <v>8.0</v>
      </c>
      <c r="C117" s="305"/>
      <c r="D117" s="306" t="s">
        <v>2356</v>
      </c>
      <c r="E117" s="305"/>
      <c r="F117" s="275" t="s">
        <v>2357</v>
      </c>
      <c r="G117" s="307"/>
      <c r="H117" s="146"/>
      <c r="I117" s="146"/>
      <c r="J117" s="146"/>
      <c r="K117" s="146"/>
      <c r="L117" s="146"/>
      <c r="M117" s="146"/>
      <c r="N117" s="146"/>
      <c r="O117" s="146"/>
      <c r="P117" s="146"/>
      <c r="Q117" s="146"/>
      <c r="R117" s="146"/>
      <c r="S117" s="146"/>
      <c r="T117" s="146"/>
      <c r="U117" s="146"/>
      <c r="V117" s="146"/>
      <c r="W117" s="146"/>
      <c r="X117" s="146"/>
      <c r="Y117" s="146"/>
      <c r="Z117" s="146"/>
    </row>
    <row r="118" ht="22.5" customHeight="1">
      <c r="A118" s="304">
        <v>46020.0</v>
      </c>
      <c r="B118" s="293">
        <v>8.0</v>
      </c>
      <c r="C118" s="305"/>
      <c r="D118" s="306" t="s">
        <v>2356</v>
      </c>
      <c r="E118" s="305"/>
      <c r="F118" s="275" t="s">
        <v>2357</v>
      </c>
      <c r="G118" s="307"/>
      <c r="H118" s="146"/>
      <c r="I118" s="146"/>
      <c r="J118" s="146"/>
      <c r="K118" s="146"/>
      <c r="L118" s="146"/>
      <c r="M118" s="146"/>
      <c r="N118" s="146"/>
      <c r="O118" s="146"/>
      <c r="P118" s="146"/>
      <c r="Q118" s="146"/>
      <c r="R118" s="146"/>
      <c r="S118" s="146"/>
      <c r="T118" s="146"/>
      <c r="U118" s="146"/>
      <c r="V118" s="146"/>
      <c r="W118" s="146"/>
      <c r="X118" s="146"/>
      <c r="Y118" s="146"/>
      <c r="Z118" s="146"/>
    </row>
    <row r="119" ht="22.5" customHeight="1">
      <c r="A119" s="304">
        <v>46021.0</v>
      </c>
      <c r="B119" s="293">
        <v>8.0</v>
      </c>
      <c r="C119" s="305"/>
      <c r="D119" s="306" t="s">
        <v>2358</v>
      </c>
      <c r="E119" s="305"/>
      <c r="F119" s="275" t="s">
        <v>2357</v>
      </c>
      <c r="G119" s="307"/>
      <c r="H119" s="146"/>
      <c r="I119" s="146"/>
      <c r="J119" s="146"/>
      <c r="K119" s="146"/>
      <c r="L119" s="146"/>
      <c r="M119" s="146"/>
      <c r="N119" s="146"/>
      <c r="O119" s="146"/>
      <c r="P119" s="146"/>
      <c r="Q119" s="146"/>
      <c r="R119" s="146"/>
      <c r="S119" s="146"/>
      <c r="T119" s="146"/>
      <c r="U119" s="146"/>
      <c r="V119" s="146"/>
      <c r="W119" s="146"/>
      <c r="X119" s="146"/>
      <c r="Y119" s="146"/>
      <c r="Z119" s="146"/>
    </row>
    <row r="120" ht="22.5" customHeight="1">
      <c r="A120" s="304">
        <v>46022.0</v>
      </c>
      <c r="B120" s="293">
        <v>8.0</v>
      </c>
      <c r="C120" s="305"/>
      <c r="D120" s="306" t="s">
        <v>2359</v>
      </c>
      <c r="E120" s="305"/>
      <c r="F120" s="275" t="s">
        <v>2357</v>
      </c>
      <c r="G120" s="307"/>
      <c r="H120" s="146"/>
      <c r="I120" s="146"/>
      <c r="J120" s="146"/>
      <c r="K120" s="146"/>
      <c r="L120" s="146"/>
      <c r="M120" s="146"/>
      <c r="N120" s="146"/>
      <c r="O120" s="146"/>
      <c r="P120" s="146"/>
      <c r="Q120" s="146"/>
      <c r="R120" s="146"/>
      <c r="S120" s="146"/>
      <c r="T120" s="146"/>
      <c r="U120" s="146"/>
      <c r="V120" s="146"/>
      <c r="W120" s="146"/>
      <c r="X120" s="146"/>
      <c r="Y120" s="146"/>
      <c r="Z120" s="146"/>
    </row>
    <row r="121" ht="22.5" customHeight="1">
      <c r="A121" s="304">
        <v>46023.0</v>
      </c>
      <c r="B121" s="293">
        <v>8.0</v>
      </c>
      <c r="C121" s="305"/>
      <c r="D121" s="306" t="s">
        <v>19</v>
      </c>
      <c r="E121" s="305"/>
      <c r="F121" s="305"/>
      <c r="G121" s="307"/>
      <c r="H121" s="146"/>
      <c r="I121" s="146"/>
      <c r="J121" s="146"/>
      <c r="K121" s="146"/>
      <c r="L121" s="146"/>
      <c r="M121" s="146"/>
      <c r="N121" s="146"/>
      <c r="O121" s="146"/>
      <c r="P121" s="146"/>
      <c r="Q121" s="146"/>
      <c r="R121" s="146"/>
      <c r="S121" s="146"/>
      <c r="T121" s="146"/>
      <c r="U121" s="146"/>
      <c r="V121" s="146"/>
      <c r="W121" s="146"/>
      <c r="X121" s="146"/>
      <c r="Y121" s="146"/>
      <c r="Z121" s="146"/>
    </row>
    <row r="122" ht="22.5" customHeight="1">
      <c r="A122" s="304">
        <v>46024.0</v>
      </c>
      <c r="B122" s="293">
        <v>8.0</v>
      </c>
      <c r="C122" s="305"/>
      <c r="D122" s="306" t="s">
        <v>2359</v>
      </c>
      <c r="E122" s="305"/>
      <c r="F122" s="275" t="s">
        <v>2357</v>
      </c>
      <c r="G122" s="307"/>
      <c r="H122" s="146"/>
      <c r="I122" s="146"/>
      <c r="J122" s="146"/>
      <c r="K122" s="146"/>
      <c r="L122" s="146"/>
      <c r="M122" s="146"/>
      <c r="N122" s="146"/>
      <c r="O122" s="146"/>
      <c r="P122" s="146"/>
      <c r="Q122" s="146"/>
      <c r="R122" s="146"/>
      <c r="S122" s="146"/>
      <c r="T122" s="146"/>
      <c r="U122" s="146"/>
      <c r="V122" s="146"/>
      <c r="W122" s="146"/>
      <c r="X122" s="146"/>
      <c r="Y122" s="146"/>
      <c r="Z122" s="146"/>
    </row>
    <row r="123" ht="22.5" customHeight="1">
      <c r="A123" s="302">
        <v>46027.0</v>
      </c>
      <c r="B123" s="293">
        <v>8.0</v>
      </c>
      <c r="C123" s="305"/>
      <c r="D123" s="306" t="s">
        <v>2359</v>
      </c>
      <c r="E123" s="305"/>
      <c r="F123" s="275" t="s">
        <v>2357</v>
      </c>
      <c r="G123" s="307"/>
      <c r="H123" s="146"/>
      <c r="I123" s="146"/>
      <c r="J123" s="146"/>
      <c r="K123" s="146"/>
      <c r="L123" s="146"/>
      <c r="M123" s="146"/>
      <c r="N123" s="146"/>
      <c r="O123" s="146"/>
      <c r="P123" s="146"/>
      <c r="Q123" s="146"/>
      <c r="R123" s="146"/>
      <c r="S123" s="146"/>
      <c r="T123" s="146"/>
      <c r="U123" s="146"/>
      <c r="V123" s="146"/>
      <c r="W123" s="146"/>
      <c r="X123" s="146"/>
      <c r="Y123" s="146"/>
      <c r="Z123" s="146"/>
    </row>
    <row r="124" ht="22.5" customHeight="1">
      <c r="A124" s="302">
        <v>46028.0</v>
      </c>
      <c r="B124" s="293">
        <v>8.0</v>
      </c>
      <c r="C124" s="305"/>
      <c r="D124" s="306" t="s">
        <v>2359</v>
      </c>
      <c r="E124" s="305"/>
      <c r="F124" s="275" t="s">
        <v>2357</v>
      </c>
      <c r="G124" s="307"/>
      <c r="H124" s="146"/>
      <c r="I124" s="146"/>
      <c r="J124" s="146"/>
      <c r="K124" s="146"/>
      <c r="L124" s="146"/>
      <c r="M124" s="146"/>
      <c r="N124" s="146"/>
      <c r="O124" s="146"/>
      <c r="P124" s="146"/>
      <c r="Q124" s="146"/>
      <c r="R124" s="146"/>
      <c r="S124" s="146"/>
      <c r="T124" s="146"/>
      <c r="U124" s="146"/>
      <c r="V124" s="146"/>
      <c r="W124" s="146"/>
      <c r="X124" s="146"/>
      <c r="Y124" s="146"/>
      <c r="Z124" s="146"/>
    </row>
    <row r="125" ht="22.5" customHeight="1">
      <c r="A125" s="302">
        <v>46029.0</v>
      </c>
      <c r="B125" s="293">
        <v>8.0</v>
      </c>
      <c r="C125" s="305"/>
      <c r="D125" s="306" t="s">
        <v>2360</v>
      </c>
      <c r="E125" s="305"/>
      <c r="F125" s="305"/>
      <c r="G125" s="307"/>
      <c r="H125" s="146"/>
      <c r="I125" s="146"/>
      <c r="J125" s="146"/>
      <c r="K125" s="146"/>
      <c r="L125" s="146"/>
      <c r="M125" s="146"/>
      <c r="N125" s="146"/>
      <c r="O125" s="146"/>
      <c r="P125" s="146"/>
      <c r="Q125" s="146"/>
      <c r="R125" s="146"/>
      <c r="S125" s="146"/>
      <c r="T125" s="146"/>
      <c r="U125" s="146"/>
      <c r="V125" s="146"/>
      <c r="W125" s="146"/>
      <c r="X125" s="146"/>
      <c r="Y125" s="146"/>
      <c r="Z125" s="146"/>
    </row>
    <row r="126" ht="22.5" customHeight="1">
      <c r="A126" s="302">
        <v>46030.0</v>
      </c>
      <c r="B126" s="293">
        <v>8.0</v>
      </c>
      <c r="C126" s="305"/>
      <c r="D126" s="306" t="s">
        <v>2361</v>
      </c>
      <c r="E126" s="305"/>
      <c r="F126" s="305"/>
      <c r="G126" s="307"/>
      <c r="H126" s="146"/>
      <c r="I126" s="146"/>
      <c r="J126" s="146"/>
      <c r="K126" s="146"/>
      <c r="L126" s="146"/>
      <c r="M126" s="146"/>
      <c r="N126" s="146"/>
      <c r="O126" s="146"/>
      <c r="P126" s="146"/>
      <c r="Q126" s="146"/>
      <c r="R126" s="146"/>
      <c r="S126" s="146"/>
      <c r="T126" s="146"/>
      <c r="U126" s="146"/>
      <c r="V126" s="146"/>
      <c r="W126" s="146"/>
      <c r="X126" s="146"/>
      <c r="Y126" s="146"/>
      <c r="Z126" s="146"/>
    </row>
    <row r="127" ht="22.5" customHeight="1">
      <c r="A127" s="302">
        <v>46031.0</v>
      </c>
      <c r="B127" s="293">
        <v>8.0</v>
      </c>
      <c r="C127" s="305"/>
      <c r="D127" s="306" t="s">
        <v>2361</v>
      </c>
      <c r="E127" s="305"/>
      <c r="F127" s="305"/>
      <c r="G127" s="307"/>
      <c r="H127" s="146"/>
      <c r="I127" s="146"/>
      <c r="J127" s="146"/>
      <c r="K127" s="146"/>
      <c r="L127" s="146"/>
      <c r="M127" s="146"/>
      <c r="N127" s="146"/>
      <c r="O127" s="146"/>
      <c r="P127" s="146"/>
      <c r="Q127" s="146"/>
      <c r="R127" s="146"/>
      <c r="S127" s="146"/>
      <c r="T127" s="146"/>
      <c r="U127" s="146"/>
      <c r="V127" s="146"/>
      <c r="W127" s="146"/>
      <c r="X127" s="146"/>
      <c r="Y127" s="146"/>
      <c r="Z127" s="146"/>
    </row>
    <row r="128" ht="22.5" customHeight="1">
      <c r="A128" s="302">
        <v>46034.0</v>
      </c>
      <c r="B128" s="293">
        <v>8.0</v>
      </c>
      <c r="C128" s="305"/>
      <c r="D128" s="306" t="s">
        <v>2362</v>
      </c>
      <c r="E128" s="305"/>
      <c r="F128" s="275" t="s">
        <v>2316</v>
      </c>
      <c r="G128" s="307"/>
      <c r="H128" s="146"/>
      <c r="I128" s="146"/>
      <c r="J128" s="146"/>
      <c r="K128" s="146"/>
      <c r="L128" s="146"/>
      <c r="M128" s="146"/>
      <c r="N128" s="146"/>
      <c r="O128" s="146"/>
      <c r="P128" s="146"/>
      <c r="Q128" s="146"/>
      <c r="R128" s="146"/>
      <c r="S128" s="146"/>
      <c r="T128" s="146"/>
      <c r="U128" s="146"/>
      <c r="V128" s="146"/>
      <c r="W128" s="146"/>
      <c r="X128" s="146"/>
      <c r="Y128" s="146"/>
      <c r="Z128" s="146"/>
    </row>
    <row r="129" ht="22.5" customHeight="1">
      <c r="A129" s="302">
        <v>46035.0</v>
      </c>
      <c r="B129" s="293"/>
      <c r="C129" s="305"/>
      <c r="D129" s="305"/>
      <c r="E129" s="305"/>
      <c r="F129" s="305"/>
      <c r="G129" s="307"/>
      <c r="H129" s="146"/>
      <c r="I129" s="146"/>
      <c r="J129" s="146"/>
      <c r="K129" s="146"/>
      <c r="L129" s="146"/>
      <c r="M129" s="146"/>
      <c r="N129" s="146"/>
      <c r="O129" s="146"/>
      <c r="P129" s="146"/>
      <c r="Q129" s="146"/>
      <c r="R129" s="146"/>
      <c r="S129" s="146"/>
      <c r="T129" s="146"/>
      <c r="U129" s="146"/>
      <c r="V129" s="146"/>
      <c r="W129" s="146"/>
      <c r="X129" s="146"/>
      <c r="Y129" s="146"/>
      <c r="Z129" s="146"/>
    </row>
    <row r="130" ht="22.5" customHeight="1">
      <c r="A130" s="302">
        <v>46036.0</v>
      </c>
      <c r="B130" s="293"/>
      <c r="C130" s="305"/>
      <c r="D130" s="305"/>
      <c r="E130" s="305"/>
      <c r="F130" s="305"/>
      <c r="G130" s="307"/>
      <c r="H130" s="146"/>
      <c r="I130" s="146"/>
      <c r="J130" s="146"/>
      <c r="K130" s="146"/>
      <c r="L130" s="146"/>
      <c r="M130" s="146"/>
      <c r="N130" s="146"/>
      <c r="O130" s="146"/>
      <c r="P130" s="146"/>
      <c r="Q130" s="146"/>
      <c r="R130" s="146"/>
      <c r="S130" s="146"/>
      <c r="T130" s="146"/>
      <c r="U130" s="146"/>
      <c r="V130" s="146"/>
      <c r="W130" s="146"/>
      <c r="X130" s="146"/>
      <c r="Y130" s="146"/>
      <c r="Z130" s="146"/>
    </row>
    <row r="131" ht="22.5" customHeight="1">
      <c r="A131" s="302">
        <v>46037.0</v>
      </c>
      <c r="B131" s="293"/>
      <c r="C131" s="305"/>
      <c r="D131" s="305"/>
      <c r="E131" s="305"/>
      <c r="F131" s="305"/>
      <c r="G131" s="307"/>
      <c r="H131" s="146"/>
      <c r="I131" s="146"/>
      <c r="J131" s="146"/>
      <c r="K131" s="146"/>
      <c r="L131" s="146"/>
      <c r="M131" s="146"/>
      <c r="N131" s="146"/>
      <c r="O131" s="146"/>
      <c r="P131" s="146"/>
      <c r="Q131" s="146"/>
      <c r="R131" s="146"/>
      <c r="S131" s="146"/>
      <c r="T131" s="146"/>
      <c r="U131" s="146"/>
      <c r="V131" s="146"/>
      <c r="W131" s="146"/>
      <c r="X131" s="146"/>
      <c r="Y131" s="146"/>
      <c r="Z131" s="146"/>
    </row>
    <row r="132" ht="22.5" customHeight="1">
      <c r="A132" s="302">
        <v>46038.0</v>
      </c>
      <c r="B132" s="293"/>
      <c r="C132" s="305"/>
      <c r="D132" s="305"/>
      <c r="E132" s="305"/>
      <c r="F132" s="305"/>
      <c r="G132" s="307"/>
      <c r="H132" s="146"/>
      <c r="I132" s="146"/>
      <c r="J132" s="146"/>
      <c r="K132" s="146"/>
      <c r="L132" s="146"/>
      <c r="M132" s="146"/>
      <c r="N132" s="146"/>
      <c r="O132" s="146"/>
      <c r="P132" s="146"/>
      <c r="Q132" s="146"/>
      <c r="R132" s="146"/>
      <c r="S132" s="146"/>
      <c r="T132" s="146"/>
      <c r="U132" s="146"/>
      <c r="V132" s="146"/>
      <c r="W132" s="146"/>
      <c r="X132" s="146"/>
      <c r="Y132" s="146"/>
      <c r="Z132" s="146"/>
    </row>
    <row r="133" ht="22.5" customHeight="1">
      <c r="A133" s="308"/>
      <c r="B133" s="305"/>
      <c r="C133" s="305"/>
      <c r="D133" s="305"/>
      <c r="E133" s="305"/>
      <c r="F133" s="305"/>
      <c r="G133" s="307"/>
      <c r="H133" s="146"/>
      <c r="I133" s="146"/>
      <c r="J133" s="146"/>
      <c r="K133" s="146"/>
      <c r="L133" s="146"/>
      <c r="M133" s="146"/>
      <c r="N133" s="146"/>
      <c r="O133" s="146"/>
      <c r="P133" s="146"/>
      <c r="Q133" s="146"/>
      <c r="R133" s="146"/>
      <c r="S133" s="146"/>
      <c r="T133" s="146"/>
      <c r="U133" s="146"/>
      <c r="V133" s="146"/>
      <c r="W133" s="146"/>
      <c r="X133" s="146"/>
      <c r="Y133" s="146"/>
      <c r="Z133" s="146"/>
    </row>
    <row r="134" ht="22.5" customHeight="1">
      <c r="A134" s="308"/>
      <c r="B134" s="305"/>
      <c r="C134" s="305"/>
      <c r="D134" s="305"/>
      <c r="E134" s="305"/>
      <c r="F134" s="305"/>
      <c r="G134" s="307"/>
      <c r="H134" s="146"/>
      <c r="I134" s="146"/>
      <c r="J134" s="146"/>
      <c r="K134" s="146"/>
      <c r="L134" s="146"/>
      <c r="M134" s="146"/>
      <c r="N134" s="146"/>
      <c r="O134" s="146"/>
      <c r="P134" s="146"/>
      <c r="Q134" s="146"/>
      <c r="R134" s="146"/>
      <c r="S134" s="146"/>
      <c r="T134" s="146"/>
      <c r="U134" s="146"/>
      <c r="V134" s="146"/>
      <c r="W134" s="146"/>
      <c r="X134" s="146"/>
      <c r="Y134" s="146"/>
      <c r="Z134" s="146"/>
    </row>
    <row r="135" ht="22.5" customHeight="1">
      <c r="A135" s="308"/>
      <c r="B135" s="305"/>
      <c r="C135" s="305"/>
      <c r="D135" s="305"/>
      <c r="E135" s="305"/>
      <c r="F135" s="305"/>
      <c r="G135" s="307"/>
      <c r="H135" s="146"/>
      <c r="I135" s="146"/>
      <c r="J135" s="146"/>
      <c r="K135" s="146"/>
      <c r="L135" s="146"/>
      <c r="M135" s="146"/>
      <c r="N135" s="146"/>
      <c r="O135" s="146"/>
      <c r="P135" s="146"/>
      <c r="Q135" s="146"/>
      <c r="R135" s="146"/>
      <c r="S135" s="146"/>
      <c r="T135" s="146"/>
      <c r="U135" s="146"/>
      <c r="V135" s="146"/>
      <c r="W135" s="146"/>
      <c r="X135" s="146"/>
      <c r="Y135" s="146"/>
      <c r="Z135" s="146"/>
    </row>
    <row r="136" ht="22.5" customHeight="1">
      <c r="A136" s="308"/>
      <c r="B136" s="305"/>
      <c r="C136" s="305"/>
      <c r="D136" s="305"/>
      <c r="E136" s="305"/>
      <c r="F136" s="305"/>
      <c r="G136" s="307"/>
      <c r="H136" s="146"/>
      <c r="I136" s="146"/>
      <c r="J136" s="146"/>
      <c r="K136" s="146"/>
      <c r="L136" s="146"/>
      <c r="M136" s="146"/>
      <c r="N136" s="146"/>
      <c r="O136" s="146"/>
      <c r="P136" s="146"/>
      <c r="Q136" s="146"/>
      <c r="R136" s="146"/>
      <c r="S136" s="146"/>
      <c r="T136" s="146"/>
      <c r="U136" s="146"/>
      <c r="V136" s="146"/>
      <c r="W136" s="146"/>
      <c r="X136" s="146"/>
      <c r="Y136" s="146"/>
      <c r="Z136" s="146"/>
    </row>
    <row r="137" ht="22.5" customHeight="1">
      <c r="A137" s="308"/>
      <c r="B137" s="305"/>
      <c r="C137" s="305"/>
      <c r="D137" s="305"/>
      <c r="E137" s="305"/>
      <c r="F137" s="305"/>
      <c r="G137" s="307"/>
      <c r="H137" s="146"/>
      <c r="I137" s="146"/>
      <c r="J137" s="146"/>
      <c r="K137" s="146"/>
      <c r="L137" s="146"/>
      <c r="M137" s="146"/>
      <c r="N137" s="146"/>
      <c r="O137" s="146"/>
      <c r="P137" s="146"/>
      <c r="Q137" s="146"/>
      <c r="R137" s="146"/>
      <c r="S137" s="146"/>
      <c r="T137" s="146"/>
      <c r="U137" s="146"/>
      <c r="V137" s="146"/>
      <c r="W137" s="146"/>
      <c r="X137" s="146"/>
      <c r="Y137" s="146"/>
      <c r="Z137" s="146"/>
    </row>
    <row r="138" ht="22.5" customHeight="1">
      <c r="A138" s="308"/>
      <c r="B138" s="305"/>
      <c r="C138" s="305"/>
      <c r="D138" s="305"/>
      <c r="E138" s="305"/>
      <c r="F138" s="305"/>
      <c r="G138" s="307"/>
      <c r="H138" s="146"/>
      <c r="I138" s="146"/>
      <c r="J138" s="146"/>
      <c r="K138" s="146"/>
      <c r="L138" s="146"/>
      <c r="M138" s="146"/>
      <c r="N138" s="146"/>
      <c r="O138" s="146"/>
      <c r="P138" s="146"/>
      <c r="Q138" s="146"/>
      <c r="R138" s="146"/>
      <c r="S138" s="146"/>
      <c r="T138" s="146"/>
      <c r="U138" s="146"/>
      <c r="V138" s="146"/>
      <c r="W138" s="146"/>
      <c r="X138" s="146"/>
      <c r="Y138" s="146"/>
      <c r="Z138" s="146"/>
    </row>
    <row r="139" ht="22.5" customHeight="1">
      <c r="A139" s="308"/>
      <c r="B139" s="305"/>
      <c r="C139" s="305"/>
      <c r="D139" s="305"/>
      <c r="E139" s="305"/>
      <c r="F139" s="305"/>
      <c r="G139" s="307"/>
      <c r="H139" s="146"/>
      <c r="I139" s="146"/>
      <c r="J139" s="146"/>
      <c r="K139" s="146"/>
      <c r="L139" s="146"/>
      <c r="M139" s="146"/>
      <c r="N139" s="146"/>
      <c r="O139" s="146"/>
      <c r="P139" s="146"/>
      <c r="Q139" s="146"/>
      <c r="R139" s="146"/>
      <c r="S139" s="146"/>
      <c r="T139" s="146"/>
      <c r="U139" s="146"/>
      <c r="V139" s="146"/>
      <c r="W139" s="146"/>
      <c r="X139" s="146"/>
      <c r="Y139" s="146"/>
      <c r="Z139" s="146"/>
    </row>
    <row r="140" ht="22.5" customHeight="1">
      <c r="A140" s="308"/>
      <c r="B140" s="305"/>
      <c r="C140" s="305"/>
      <c r="D140" s="305"/>
      <c r="E140" s="305"/>
      <c r="F140" s="305"/>
      <c r="G140" s="307"/>
      <c r="H140" s="146"/>
      <c r="I140" s="146"/>
      <c r="J140" s="146"/>
      <c r="K140" s="146"/>
      <c r="L140" s="146"/>
      <c r="M140" s="146"/>
      <c r="N140" s="146"/>
      <c r="O140" s="146"/>
      <c r="P140" s="146"/>
      <c r="Q140" s="146"/>
      <c r="R140" s="146"/>
      <c r="S140" s="146"/>
      <c r="T140" s="146"/>
      <c r="U140" s="146"/>
      <c r="V140" s="146"/>
      <c r="W140" s="146"/>
      <c r="X140" s="146"/>
      <c r="Y140" s="146"/>
      <c r="Z140" s="146"/>
    </row>
    <row r="141" ht="22.5" customHeight="1">
      <c r="A141" s="308"/>
      <c r="B141" s="305"/>
      <c r="C141" s="305"/>
      <c r="D141" s="305"/>
      <c r="E141" s="305"/>
      <c r="F141" s="305"/>
      <c r="G141" s="307"/>
      <c r="H141" s="146"/>
      <c r="I141" s="146"/>
      <c r="J141" s="146"/>
      <c r="K141" s="146"/>
      <c r="L141" s="146"/>
      <c r="M141" s="146"/>
      <c r="N141" s="146"/>
      <c r="O141" s="146"/>
      <c r="P141" s="146"/>
      <c r="Q141" s="146"/>
      <c r="R141" s="146"/>
      <c r="S141" s="146"/>
      <c r="T141" s="146"/>
      <c r="U141" s="146"/>
      <c r="V141" s="146"/>
      <c r="W141" s="146"/>
      <c r="X141" s="146"/>
      <c r="Y141" s="146"/>
      <c r="Z141" s="146"/>
    </row>
    <row r="142" ht="22.5" customHeight="1">
      <c r="A142" s="308"/>
      <c r="B142" s="305"/>
      <c r="C142" s="305"/>
      <c r="D142" s="305"/>
      <c r="E142" s="305"/>
      <c r="F142" s="305"/>
      <c r="G142" s="307"/>
      <c r="H142" s="146"/>
      <c r="I142" s="146"/>
      <c r="J142" s="146"/>
      <c r="K142" s="146"/>
      <c r="L142" s="146"/>
      <c r="M142" s="146"/>
      <c r="N142" s="146"/>
      <c r="O142" s="146"/>
      <c r="P142" s="146"/>
      <c r="Q142" s="146"/>
      <c r="R142" s="146"/>
      <c r="S142" s="146"/>
      <c r="T142" s="146"/>
      <c r="U142" s="146"/>
      <c r="V142" s="146"/>
      <c r="W142" s="146"/>
      <c r="X142" s="146"/>
      <c r="Y142" s="146"/>
      <c r="Z142" s="146"/>
    </row>
    <row r="143" ht="22.5" customHeight="1">
      <c r="A143" s="308"/>
      <c r="B143" s="305"/>
      <c r="C143" s="305"/>
      <c r="D143" s="305"/>
      <c r="E143" s="305"/>
      <c r="F143" s="305"/>
      <c r="G143" s="307"/>
      <c r="H143" s="146"/>
      <c r="I143" s="146"/>
      <c r="J143" s="146"/>
      <c r="K143" s="146"/>
      <c r="L143" s="146"/>
      <c r="M143" s="146"/>
      <c r="N143" s="146"/>
      <c r="O143" s="146"/>
      <c r="P143" s="146"/>
      <c r="Q143" s="146"/>
      <c r="R143" s="146"/>
      <c r="S143" s="146"/>
      <c r="T143" s="146"/>
      <c r="U143" s="146"/>
      <c r="V143" s="146"/>
      <c r="W143" s="146"/>
      <c r="X143" s="146"/>
      <c r="Y143" s="146"/>
      <c r="Z143" s="146"/>
    </row>
    <row r="144" ht="22.5" customHeight="1">
      <c r="A144" s="308"/>
      <c r="B144" s="305"/>
      <c r="C144" s="305"/>
      <c r="D144" s="305"/>
      <c r="E144" s="305"/>
      <c r="F144" s="305"/>
      <c r="G144" s="307"/>
      <c r="H144" s="146"/>
      <c r="I144" s="146"/>
      <c r="J144" s="146"/>
      <c r="K144" s="146"/>
      <c r="L144" s="146"/>
      <c r="M144" s="146"/>
      <c r="N144" s="146"/>
      <c r="O144" s="146"/>
      <c r="P144" s="146"/>
      <c r="Q144" s="146"/>
      <c r="R144" s="146"/>
      <c r="S144" s="146"/>
      <c r="T144" s="146"/>
      <c r="U144" s="146"/>
      <c r="V144" s="146"/>
      <c r="W144" s="146"/>
      <c r="X144" s="146"/>
      <c r="Y144" s="146"/>
      <c r="Z144" s="146"/>
    </row>
    <row r="145" ht="22.5" customHeight="1">
      <c r="A145" s="308"/>
      <c r="B145" s="305"/>
      <c r="C145" s="305"/>
      <c r="D145" s="305"/>
      <c r="E145" s="305"/>
      <c r="F145" s="305"/>
      <c r="G145" s="307"/>
      <c r="H145" s="146"/>
      <c r="I145" s="146"/>
      <c r="J145" s="146"/>
      <c r="K145" s="146"/>
      <c r="L145" s="146"/>
      <c r="M145" s="146"/>
      <c r="N145" s="146"/>
      <c r="O145" s="146"/>
      <c r="P145" s="146"/>
      <c r="Q145" s="146"/>
      <c r="R145" s="146"/>
      <c r="S145" s="146"/>
      <c r="T145" s="146"/>
      <c r="U145" s="146"/>
      <c r="V145" s="146"/>
      <c r="W145" s="146"/>
      <c r="X145" s="146"/>
      <c r="Y145" s="146"/>
      <c r="Z145" s="146"/>
    </row>
    <row r="146" ht="22.5" customHeight="1">
      <c r="A146" s="308"/>
      <c r="B146" s="305"/>
      <c r="C146" s="305"/>
      <c r="D146" s="305"/>
      <c r="E146" s="305"/>
      <c r="F146" s="305"/>
      <c r="G146" s="307"/>
      <c r="H146" s="146"/>
      <c r="I146" s="146"/>
      <c r="J146" s="146"/>
      <c r="K146" s="146"/>
      <c r="L146" s="146"/>
      <c r="M146" s="146"/>
      <c r="N146" s="146"/>
      <c r="O146" s="146"/>
      <c r="P146" s="146"/>
      <c r="Q146" s="146"/>
      <c r="R146" s="146"/>
      <c r="S146" s="146"/>
      <c r="T146" s="146"/>
      <c r="U146" s="146"/>
      <c r="V146" s="146"/>
      <c r="W146" s="146"/>
      <c r="X146" s="146"/>
      <c r="Y146" s="146"/>
      <c r="Z146" s="146"/>
    </row>
    <row r="147" ht="22.5" customHeight="1">
      <c r="A147" s="308"/>
      <c r="B147" s="305"/>
      <c r="C147" s="305"/>
      <c r="D147" s="305"/>
      <c r="E147" s="305"/>
      <c r="F147" s="305"/>
      <c r="G147" s="307"/>
      <c r="H147" s="146"/>
      <c r="I147" s="146"/>
      <c r="J147" s="146"/>
      <c r="K147" s="146"/>
      <c r="L147" s="146"/>
      <c r="M147" s="146"/>
      <c r="N147" s="146"/>
      <c r="O147" s="146"/>
      <c r="P147" s="146"/>
      <c r="Q147" s="146"/>
      <c r="R147" s="146"/>
      <c r="S147" s="146"/>
      <c r="T147" s="146"/>
      <c r="U147" s="146"/>
      <c r="V147" s="146"/>
      <c r="W147" s="146"/>
      <c r="X147" s="146"/>
      <c r="Y147" s="146"/>
      <c r="Z147" s="146"/>
    </row>
    <row r="148" ht="22.5" customHeight="1">
      <c r="A148" s="308"/>
      <c r="B148" s="305"/>
      <c r="C148" s="305"/>
      <c r="D148" s="305"/>
      <c r="E148" s="305"/>
      <c r="F148" s="305"/>
      <c r="G148" s="307"/>
      <c r="H148" s="146"/>
      <c r="I148" s="146"/>
      <c r="J148" s="146"/>
      <c r="K148" s="146"/>
      <c r="L148" s="146"/>
      <c r="M148" s="146"/>
      <c r="N148" s="146"/>
      <c r="O148" s="146"/>
      <c r="P148" s="146"/>
      <c r="Q148" s="146"/>
      <c r="R148" s="146"/>
      <c r="S148" s="146"/>
      <c r="T148" s="146"/>
      <c r="U148" s="146"/>
      <c r="V148" s="146"/>
      <c r="W148" s="146"/>
      <c r="X148" s="146"/>
      <c r="Y148" s="146"/>
      <c r="Z148" s="146"/>
    </row>
    <row r="149" ht="22.5" customHeight="1">
      <c r="A149" s="308"/>
      <c r="B149" s="305"/>
      <c r="C149" s="305"/>
      <c r="D149" s="305"/>
      <c r="E149" s="305"/>
      <c r="F149" s="305"/>
      <c r="G149" s="307"/>
      <c r="H149" s="146"/>
      <c r="I149" s="146"/>
      <c r="J149" s="146"/>
      <c r="K149" s="146"/>
      <c r="L149" s="146"/>
      <c r="M149" s="146"/>
      <c r="N149" s="146"/>
      <c r="O149" s="146"/>
      <c r="P149" s="146"/>
      <c r="Q149" s="146"/>
      <c r="R149" s="146"/>
      <c r="S149" s="146"/>
      <c r="T149" s="146"/>
      <c r="U149" s="146"/>
      <c r="V149" s="146"/>
      <c r="W149" s="146"/>
      <c r="X149" s="146"/>
      <c r="Y149" s="146"/>
      <c r="Z149" s="146"/>
    </row>
    <row r="150" ht="22.5" customHeight="1">
      <c r="A150" s="308"/>
      <c r="B150" s="305"/>
      <c r="C150" s="305"/>
      <c r="D150" s="305"/>
      <c r="E150" s="305"/>
      <c r="F150" s="305"/>
      <c r="G150" s="307"/>
      <c r="H150" s="146"/>
      <c r="I150" s="146"/>
      <c r="J150" s="146"/>
      <c r="K150" s="146"/>
      <c r="L150" s="146"/>
      <c r="M150" s="146"/>
      <c r="N150" s="146"/>
      <c r="O150" s="146"/>
      <c r="P150" s="146"/>
      <c r="Q150" s="146"/>
      <c r="R150" s="146"/>
      <c r="S150" s="146"/>
      <c r="T150" s="146"/>
      <c r="U150" s="146"/>
      <c r="V150" s="146"/>
      <c r="W150" s="146"/>
      <c r="X150" s="146"/>
      <c r="Y150" s="146"/>
      <c r="Z150" s="146"/>
    </row>
    <row r="151" ht="22.5" customHeight="1">
      <c r="A151" s="308"/>
      <c r="B151" s="305"/>
      <c r="C151" s="305"/>
      <c r="D151" s="305"/>
      <c r="E151" s="305"/>
      <c r="F151" s="305"/>
      <c r="G151" s="307"/>
      <c r="H151" s="146"/>
      <c r="I151" s="146"/>
      <c r="J151" s="146"/>
      <c r="K151" s="146"/>
      <c r="L151" s="146"/>
      <c r="M151" s="146"/>
      <c r="N151" s="146"/>
      <c r="O151" s="146"/>
      <c r="P151" s="146"/>
      <c r="Q151" s="146"/>
      <c r="R151" s="146"/>
      <c r="S151" s="146"/>
      <c r="T151" s="146"/>
      <c r="U151" s="146"/>
      <c r="V151" s="146"/>
      <c r="W151" s="146"/>
      <c r="X151" s="146"/>
      <c r="Y151" s="146"/>
      <c r="Z151" s="146"/>
    </row>
    <row r="152" ht="22.5" customHeight="1">
      <c r="A152" s="308"/>
      <c r="B152" s="305"/>
      <c r="C152" s="305"/>
      <c r="D152" s="305"/>
      <c r="E152" s="305"/>
      <c r="F152" s="305"/>
      <c r="G152" s="307"/>
      <c r="H152" s="146"/>
      <c r="I152" s="146"/>
      <c r="J152" s="146"/>
      <c r="K152" s="146"/>
      <c r="L152" s="146"/>
      <c r="M152" s="146"/>
      <c r="N152" s="146"/>
      <c r="O152" s="146"/>
      <c r="P152" s="146"/>
      <c r="Q152" s="146"/>
      <c r="R152" s="146"/>
      <c r="S152" s="146"/>
      <c r="T152" s="146"/>
      <c r="U152" s="146"/>
      <c r="V152" s="146"/>
      <c r="W152" s="146"/>
      <c r="X152" s="146"/>
      <c r="Y152" s="146"/>
      <c r="Z152" s="146"/>
    </row>
    <row r="153" ht="22.5" customHeight="1">
      <c r="A153" s="308"/>
      <c r="B153" s="305"/>
      <c r="C153" s="305"/>
      <c r="D153" s="305"/>
      <c r="E153" s="305"/>
      <c r="F153" s="305"/>
      <c r="G153" s="307"/>
      <c r="H153" s="146"/>
      <c r="I153" s="146"/>
      <c r="J153" s="146"/>
      <c r="K153" s="146"/>
      <c r="L153" s="146"/>
      <c r="M153" s="146"/>
      <c r="N153" s="146"/>
      <c r="O153" s="146"/>
      <c r="P153" s="146"/>
      <c r="Q153" s="146"/>
      <c r="R153" s="146"/>
      <c r="S153" s="146"/>
      <c r="T153" s="146"/>
      <c r="U153" s="146"/>
      <c r="V153" s="146"/>
      <c r="W153" s="146"/>
      <c r="X153" s="146"/>
      <c r="Y153" s="146"/>
      <c r="Z153" s="146"/>
    </row>
    <row r="154" ht="22.5" customHeight="1">
      <c r="A154" s="308"/>
      <c r="B154" s="305"/>
      <c r="C154" s="305"/>
      <c r="D154" s="305"/>
      <c r="E154" s="305"/>
      <c r="F154" s="305"/>
      <c r="G154" s="307"/>
      <c r="H154" s="146"/>
      <c r="I154" s="146"/>
      <c r="J154" s="146"/>
      <c r="K154" s="146"/>
      <c r="L154" s="146"/>
      <c r="M154" s="146"/>
      <c r="N154" s="146"/>
      <c r="O154" s="146"/>
      <c r="P154" s="146"/>
      <c r="Q154" s="146"/>
      <c r="R154" s="146"/>
      <c r="S154" s="146"/>
      <c r="T154" s="146"/>
      <c r="U154" s="146"/>
      <c r="V154" s="146"/>
      <c r="W154" s="146"/>
      <c r="X154" s="146"/>
      <c r="Y154" s="146"/>
      <c r="Z154" s="146"/>
    </row>
    <row r="155" ht="22.5" customHeight="1">
      <c r="A155" s="308"/>
      <c r="B155" s="305"/>
      <c r="C155" s="305"/>
      <c r="D155" s="305"/>
      <c r="E155" s="305"/>
      <c r="F155" s="305"/>
      <c r="G155" s="307"/>
      <c r="H155" s="146"/>
      <c r="I155" s="146"/>
      <c r="J155" s="146"/>
      <c r="K155" s="146"/>
      <c r="L155" s="146"/>
      <c r="M155" s="146"/>
      <c r="N155" s="146"/>
      <c r="O155" s="146"/>
      <c r="P155" s="146"/>
      <c r="Q155" s="146"/>
      <c r="R155" s="146"/>
      <c r="S155" s="146"/>
      <c r="T155" s="146"/>
      <c r="U155" s="146"/>
      <c r="V155" s="146"/>
      <c r="W155" s="146"/>
      <c r="X155" s="146"/>
      <c r="Y155" s="146"/>
      <c r="Z155" s="146"/>
    </row>
    <row r="156" ht="22.5" customHeight="1">
      <c r="A156" s="308"/>
      <c r="B156" s="305"/>
      <c r="C156" s="305"/>
      <c r="D156" s="305"/>
      <c r="E156" s="305"/>
      <c r="F156" s="305"/>
      <c r="G156" s="307"/>
      <c r="H156" s="146"/>
      <c r="I156" s="146"/>
      <c r="J156" s="146"/>
      <c r="K156" s="146"/>
      <c r="L156" s="146"/>
      <c r="M156" s="146"/>
      <c r="N156" s="146"/>
      <c r="O156" s="146"/>
      <c r="P156" s="146"/>
      <c r="Q156" s="146"/>
      <c r="R156" s="146"/>
      <c r="S156" s="146"/>
      <c r="T156" s="146"/>
      <c r="U156" s="146"/>
      <c r="V156" s="146"/>
      <c r="W156" s="146"/>
      <c r="X156" s="146"/>
      <c r="Y156" s="146"/>
      <c r="Z156" s="146"/>
    </row>
    <row r="157" ht="22.5" customHeight="1">
      <c r="A157" s="308"/>
      <c r="B157" s="305"/>
      <c r="C157" s="305"/>
      <c r="D157" s="305"/>
      <c r="E157" s="305"/>
      <c r="F157" s="305"/>
      <c r="G157" s="307"/>
      <c r="H157" s="146"/>
      <c r="I157" s="146"/>
      <c r="J157" s="146"/>
      <c r="K157" s="146"/>
      <c r="L157" s="146"/>
      <c r="M157" s="146"/>
      <c r="N157" s="146"/>
      <c r="O157" s="146"/>
      <c r="P157" s="146"/>
      <c r="Q157" s="146"/>
      <c r="R157" s="146"/>
      <c r="S157" s="146"/>
      <c r="T157" s="146"/>
      <c r="U157" s="146"/>
      <c r="V157" s="146"/>
      <c r="W157" s="146"/>
      <c r="X157" s="146"/>
      <c r="Y157" s="146"/>
      <c r="Z157" s="146"/>
    </row>
    <row r="158" ht="22.5" customHeight="1">
      <c r="A158" s="308"/>
      <c r="B158" s="305"/>
      <c r="C158" s="305"/>
      <c r="D158" s="305"/>
      <c r="E158" s="305"/>
      <c r="F158" s="305"/>
      <c r="G158" s="307"/>
      <c r="H158" s="146"/>
      <c r="I158" s="146"/>
      <c r="J158" s="146"/>
      <c r="K158" s="146"/>
      <c r="L158" s="146"/>
      <c r="M158" s="146"/>
      <c r="N158" s="146"/>
      <c r="O158" s="146"/>
      <c r="P158" s="146"/>
      <c r="Q158" s="146"/>
      <c r="R158" s="146"/>
      <c r="S158" s="146"/>
      <c r="T158" s="146"/>
      <c r="U158" s="146"/>
      <c r="V158" s="146"/>
      <c r="W158" s="146"/>
      <c r="X158" s="146"/>
      <c r="Y158" s="146"/>
      <c r="Z158" s="146"/>
    </row>
    <row r="159" ht="22.5" customHeight="1">
      <c r="A159" s="308"/>
      <c r="B159" s="305"/>
      <c r="C159" s="305"/>
      <c r="D159" s="305"/>
      <c r="E159" s="305"/>
      <c r="F159" s="305"/>
      <c r="G159" s="307"/>
      <c r="H159" s="146"/>
      <c r="I159" s="146"/>
      <c r="J159" s="146"/>
      <c r="K159" s="146"/>
      <c r="L159" s="146"/>
      <c r="M159" s="146"/>
      <c r="N159" s="146"/>
      <c r="O159" s="146"/>
      <c r="P159" s="146"/>
      <c r="Q159" s="146"/>
      <c r="R159" s="146"/>
      <c r="S159" s="146"/>
      <c r="T159" s="146"/>
      <c r="U159" s="146"/>
      <c r="V159" s="146"/>
      <c r="W159" s="146"/>
      <c r="X159" s="146"/>
      <c r="Y159" s="146"/>
      <c r="Z159" s="146"/>
    </row>
    <row r="160" ht="22.5" customHeight="1">
      <c r="A160" s="308"/>
      <c r="B160" s="305"/>
      <c r="C160" s="305"/>
      <c r="D160" s="305"/>
      <c r="E160" s="305"/>
      <c r="F160" s="305"/>
      <c r="G160" s="307"/>
      <c r="H160" s="146"/>
      <c r="I160" s="146"/>
      <c r="J160" s="146"/>
      <c r="K160" s="146"/>
      <c r="L160" s="146"/>
      <c r="M160" s="146"/>
      <c r="N160" s="146"/>
      <c r="O160" s="146"/>
      <c r="P160" s="146"/>
      <c r="Q160" s="146"/>
      <c r="R160" s="146"/>
      <c r="S160" s="146"/>
      <c r="T160" s="146"/>
      <c r="U160" s="146"/>
      <c r="V160" s="146"/>
      <c r="W160" s="146"/>
      <c r="X160" s="146"/>
      <c r="Y160" s="146"/>
      <c r="Z160" s="146"/>
    </row>
    <row r="161" ht="22.5" customHeight="1">
      <c r="A161" s="308"/>
      <c r="B161" s="305"/>
      <c r="C161" s="305"/>
      <c r="D161" s="305"/>
      <c r="E161" s="305"/>
      <c r="F161" s="305"/>
      <c r="G161" s="307"/>
      <c r="H161" s="146"/>
      <c r="I161" s="146"/>
      <c r="J161" s="146"/>
      <c r="K161" s="146"/>
      <c r="L161" s="146"/>
      <c r="M161" s="146"/>
      <c r="N161" s="146"/>
      <c r="O161" s="146"/>
      <c r="P161" s="146"/>
      <c r="Q161" s="146"/>
      <c r="R161" s="146"/>
      <c r="S161" s="146"/>
      <c r="T161" s="146"/>
      <c r="U161" s="146"/>
      <c r="V161" s="146"/>
      <c r="W161" s="146"/>
      <c r="X161" s="146"/>
      <c r="Y161" s="146"/>
      <c r="Z161" s="146"/>
    </row>
    <row r="162" ht="22.5" customHeight="1">
      <c r="A162" s="308"/>
      <c r="B162" s="305"/>
      <c r="C162" s="305"/>
      <c r="D162" s="305"/>
      <c r="E162" s="305"/>
      <c r="F162" s="305"/>
      <c r="G162" s="307"/>
      <c r="H162" s="146"/>
      <c r="I162" s="146"/>
      <c r="J162" s="146"/>
      <c r="K162" s="146"/>
      <c r="L162" s="146"/>
      <c r="M162" s="146"/>
      <c r="N162" s="146"/>
      <c r="O162" s="146"/>
      <c r="P162" s="146"/>
      <c r="Q162" s="146"/>
      <c r="R162" s="146"/>
      <c r="S162" s="146"/>
      <c r="T162" s="146"/>
      <c r="U162" s="146"/>
      <c r="V162" s="146"/>
      <c r="W162" s="146"/>
      <c r="X162" s="146"/>
      <c r="Y162" s="146"/>
      <c r="Z162" s="146"/>
    </row>
    <row r="163" ht="22.5" customHeight="1">
      <c r="A163" s="308"/>
      <c r="B163" s="305"/>
      <c r="C163" s="305"/>
      <c r="D163" s="305"/>
      <c r="E163" s="305"/>
      <c r="F163" s="305"/>
      <c r="G163" s="307"/>
      <c r="H163" s="146"/>
      <c r="I163" s="146"/>
      <c r="J163" s="146"/>
      <c r="K163" s="146"/>
      <c r="L163" s="146"/>
      <c r="M163" s="146"/>
      <c r="N163" s="146"/>
      <c r="O163" s="146"/>
      <c r="P163" s="146"/>
      <c r="Q163" s="146"/>
      <c r="R163" s="146"/>
      <c r="S163" s="146"/>
      <c r="T163" s="146"/>
      <c r="U163" s="146"/>
      <c r="V163" s="146"/>
      <c r="W163" s="146"/>
      <c r="X163" s="146"/>
      <c r="Y163" s="146"/>
      <c r="Z163" s="146"/>
    </row>
    <row r="164" ht="22.5" customHeight="1">
      <c r="A164" s="308"/>
      <c r="B164" s="305"/>
      <c r="C164" s="305"/>
      <c r="D164" s="305"/>
      <c r="E164" s="305"/>
      <c r="F164" s="305"/>
      <c r="G164" s="307"/>
      <c r="H164" s="146"/>
      <c r="I164" s="146"/>
      <c r="J164" s="146"/>
      <c r="K164" s="146"/>
      <c r="L164" s="146"/>
      <c r="M164" s="146"/>
      <c r="N164" s="146"/>
      <c r="O164" s="146"/>
      <c r="P164" s="146"/>
      <c r="Q164" s="146"/>
      <c r="R164" s="146"/>
      <c r="S164" s="146"/>
      <c r="T164" s="146"/>
      <c r="U164" s="146"/>
      <c r="V164" s="146"/>
      <c r="W164" s="146"/>
      <c r="X164" s="146"/>
      <c r="Y164" s="146"/>
      <c r="Z164" s="146"/>
    </row>
    <row r="165" ht="22.5" customHeight="1">
      <c r="A165" s="308"/>
      <c r="B165" s="305"/>
      <c r="C165" s="305"/>
      <c r="D165" s="305"/>
      <c r="E165" s="305"/>
      <c r="F165" s="305"/>
      <c r="G165" s="307"/>
      <c r="H165" s="146"/>
      <c r="I165" s="146"/>
      <c r="J165" s="146"/>
      <c r="K165" s="146"/>
      <c r="L165" s="146"/>
      <c r="M165" s="146"/>
      <c r="N165" s="146"/>
      <c r="O165" s="146"/>
      <c r="P165" s="146"/>
      <c r="Q165" s="146"/>
      <c r="R165" s="146"/>
      <c r="S165" s="146"/>
      <c r="T165" s="146"/>
      <c r="U165" s="146"/>
      <c r="V165" s="146"/>
      <c r="W165" s="146"/>
      <c r="X165" s="146"/>
      <c r="Y165" s="146"/>
      <c r="Z165" s="146"/>
    </row>
    <row r="166" ht="22.5" customHeight="1">
      <c r="A166" s="308"/>
      <c r="B166" s="305"/>
      <c r="C166" s="305"/>
      <c r="D166" s="305"/>
      <c r="E166" s="305"/>
      <c r="F166" s="305"/>
      <c r="G166" s="307"/>
      <c r="H166" s="146"/>
      <c r="I166" s="146"/>
      <c r="J166" s="146"/>
      <c r="K166" s="146"/>
      <c r="L166" s="146"/>
      <c r="M166" s="146"/>
      <c r="N166" s="146"/>
      <c r="O166" s="146"/>
      <c r="P166" s="146"/>
      <c r="Q166" s="146"/>
      <c r="R166" s="146"/>
      <c r="S166" s="146"/>
      <c r="T166" s="146"/>
      <c r="U166" s="146"/>
      <c r="V166" s="146"/>
      <c r="W166" s="146"/>
      <c r="X166" s="146"/>
      <c r="Y166" s="146"/>
      <c r="Z166" s="146"/>
    </row>
    <row r="167" ht="22.5" customHeight="1">
      <c r="A167" s="308"/>
      <c r="B167" s="305"/>
      <c r="C167" s="305"/>
      <c r="D167" s="305"/>
      <c r="E167" s="305"/>
      <c r="F167" s="305"/>
      <c r="G167" s="307"/>
      <c r="H167" s="146"/>
      <c r="I167" s="146"/>
      <c r="J167" s="146"/>
      <c r="K167" s="146"/>
      <c r="L167" s="146"/>
      <c r="M167" s="146"/>
      <c r="N167" s="146"/>
      <c r="O167" s="146"/>
      <c r="P167" s="146"/>
      <c r="Q167" s="146"/>
      <c r="R167" s="146"/>
      <c r="S167" s="146"/>
      <c r="T167" s="146"/>
      <c r="U167" s="146"/>
      <c r="V167" s="146"/>
      <c r="W167" s="146"/>
      <c r="X167" s="146"/>
      <c r="Y167" s="146"/>
      <c r="Z167" s="146"/>
    </row>
    <row r="168" ht="22.5" customHeight="1">
      <c r="A168" s="308"/>
      <c r="B168" s="305"/>
      <c r="C168" s="305"/>
      <c r="D168" s="305"/>
      <c r="E168" s="305"/>
      <c r="F168" s="305"/>
      <c r="G168" s="307"/>
      <c r="H168" s="146"/>
      <c r="I168" s="146"/>
      <c r="J168" s="146"/>
      <c r="K168" s="146"/>
      <c r="L168" s="146"/>
      <c r="M168" s="146"/>
      <c r="N168" s="146"/>
      <c r="O168" s="146"/>
      <c r="P168" s="146"/>
      <c r="Q168" s="146"/>
      <c r="R168" s="146"/>
      <c r="S168" s="146"/>
      <c r="T168" s="146"/>
      <c r="U168" s="146"/>
      <c r="V168" s="146"/>
      <c r="W168" s="146"/>
      <c r="X168" s="146"/>
      <c r="Y168" s="146"/>
      <c r="Z168" s="146"/>
    </row>
    <row r="169" ht="22.5" customHeight="1">
      <c r="A169" s="308"/>
      <c r="B169" s="305"/>
      <c r="C169" s="305"/>
      <c r="D169" s="305"/>
      <c r="E169" s="305"/>
      <c r="F169" s="305"/>
      <c r="G169" s="307"/>
      <c r="H169" s="146"/>
      <c r="I169" s="146"/>
      <c r="J169" s="146"/>
      <c r="K169" s="146"/>
      <c r="L169" s="146"/>
      <c r="M169" s="146"/>
      <c r="N169" s="146"/>
      <c r="O169" s="146"/>
      <c r="P169" s="146"/>
      <c r="Q169" s="146"/>
      <c r="R169" s="146"/>
      <c r="S169" s="146"/>
      <c r="T169" s="146"/>
      <c r="U169" s="146"/>
      <c r="V169" s="146"/>
      <c r="W169" s="146"/>
      <c r="X169" s="146"/>
      <c r="Y169" s="146"/>
      <c r="Z169" s="146"/>
    </row>
    <row r="170" ht="22.5" customHeight="1">
      <c r="A170" s="308"/>
      <c r="B170" s="305"/>
      <c r="C170" s="305"/>
      <c r="D170" s="305"/>
      <c r="E170" s="305"/>
      <c r="F170" s="305"/>
      <c r="G170" s="307"/>
      <c r="H170" s="146"/>
      <c r="I170" s="146"/>
      <c r="J170" s="146"/>
      <c r="K170" s="146"/>
      <c r="L170" s="146"/>
      <c r="M170" s="146"/>
      <c r="N170" s="146"/>
      <c r="O170" s="146"/>
      <c r="P170" s="146"/>
      <c r="Q170" s="146"/>
      <c r="R170" s="146"/>
      <c r="S170" s="146"/>
      <c r="T170" s="146"/>
      <c r="U170" s="146"/>
      <c r="V170" s="146"/>
      <c r="W170" s="146"/>
      <c r="X170" s="146"/>
      <c r="Y170" s="146"/>
      <c r="Z170" s="146"/>
    </row>
    <row r="171" ht="22.5" customHeight="1">
      <c r="A171" s="308"/>
      <c r="B171" s="305"/>
      <c r="C171" s="305"/>
      <c r="D171" s="305"/>
      <c r="E171" s="305"/>
      <c r="F171" s="305"/>
      <c r="G171" s="307"/>
      <c r="H171" s="146"/>
      <c r="I171" s="146"/>
      <c r="J171" s="146"/>
      <c r="K171" s="146"/>
      <c r="L171" s="146"/>
      <c r="M171" s="146"/>
      <c r="N171" s="146"/>
      <c r="O171" s="146"/>
      <c r="P171" s="146"/>
      <c r="Q171" s="146"/>
      <c r="R171" s="146"/>
      <c r="S171" s="146"/>
      <c r="T171" s="146"/>
      <c r="U171" s="146"/>
      <c r="V171" s="146"/>
      <c r="W171" s="146"/>
      <c r="X171" s="146"/>
      <c r="Y171" s="146"/>
      <c r="Z171" s="146"/>
    </row>
    <row r="172" ht="22.5" customHeight="1">
      <c r="A172" s="308"/>
      <c r="B172" s="305"/>
      <c r="C172" s="305"/>
      <c r="D172" s="305"/>
      <c r="E172" s="305"/>
      <c r="F172" s="305"/>
      <c r="G172" s="307"/>
      <c r="H172" s="146"/>
      <c r="I172" s="146"/>
      <c r="J172" s="146"/>
      <c r="K172" s="146"/>
      <c r="L172" s="146"/>
      <c r="M172" s="146"/>
      <c r="N172" s="146"/>
      <c r="O172" s="146"/>
      <c r="P172" s="146"/>
      <c r="Q172" s="146"/>
      <c r="R172" s="146"/>
      <c r="S172" s="146"/>
      <c r="T172" s="146"/>
      <c r="U172" s="146"/>
      <c r="V172" s="146"/>
      <c r="W172" s="146"/>
      <c r="X172" s="146"/>
      <c r="Y172" s="146"/>
      <c r="Z172" s="146"/>
    </row>
    <row r="173" ht="22.5" customHeight="1">
      <c r="A173" s="308"/>
      <c r="B173" s="305"/>
      <c r="C173" s="305"/>
      <c r="D173" s="305"/>
      <c r="E173" s="305"/>
      <c r="F173" s="305"/>
      <c r="G173" s="307"/>
      <c r="H173" s="146"/>
      <c r="I173" s="146"/>
      <c r="J173" s="146"/>
      <c r="K173" s="146"/>
      <c r="L173" s="146"/>
      <c r="M173" s="146"/>
      <c r="N173" s="146"/>
      <c r="O173" s="146"/>
      <c r="P173" s="146"/>
      <c r="Q173" s="146"/>
      <c r="R173" s="146"/>
      <c r="S173" s="146"/>
      <c r="T173" s="146"/>
      <c r="U173" s="146"/>
      <c r="V173" s="146"/>
      <c r="W173" s="146"/>
      <c r="X173" s="146"/>
      <c r="Y173" s="146"/>
      <c r="Z173" s="146"/>
    </row>
    <row r="174" ht="22.5" customHeight="1">
      <c r="A174" s="308"/>
      <c r="B174" s="305"/>
      <c r="C174" s="305"/>
      <c r="D174" s="305"/>
      <c r="E174" s="305"/>
      <c r="F174" s="305"/>
      <c r="G174" s="307"/>
      <c r="H174" s="146"/>
      <c r="I174" s="146"/>
      <c r="J174" s="146"/>
      <c r="K174" s="146"/>
      <c r="L174" s="146"/>
      <c r="M174" s="146"/>
      <c r="N174" s="146"/>
      <c r="O174" s="146"/>
      <c r="P174" s="146"/>
      <c r="Q174" s="146"/>
      <c r="R174" s="146"/>
      <c r="S174" s="146"/>
      <c r="T174" s="146"/>
      <c r="U174" s="146"/>
      <c r="V174" s="146"/>
      <c r="W174" s="146"/>
      <c r="X174" s="146"/>
      <c r="Y174" s="146"/>
      <c r="Z174" s="146"/>
    </row>
    <row r="175" ht="22.5" customHeight="1">
      <c r="A175" s="308"/>
      <c r="B175" s="305"/>
      <c r="C175" s="305"/>
      <c r="D175" s="305"/>
      <c r="E175" s="305"/>
      <c r="F175" s="305"/>
      <c r="G175" s="307"/>
      <c r="H175" s="146"/>
      <c r="I175" s="146"/>
      <c r="J175" s="146"/>
      <c r="K175" s="146"/>
      <c r="L175" s="146"/>
      <c r="M175" s="146"/>
      <c r="N175" s="146"/>
      <c r="O175" s="146"/>
      <c r="P175" s="146"/>
      <c r="Q175" s="146"/>
      <c r="R175" s="146"/>
      <c r="S175" s="146"/>
      <c r="T175" s="146"/>
      <c r="U175" s="146"/>
      <c r="V175" s="146"/>
      <c r="W175" s="146"/>
      <c r="X175" s="146"/>
      <c r="Y175" s="146"/>
      <c r="Z175" s="146"/>
    </row>
    <row r="176" ht="22.5" customHeight="1">
      <c r="A176" s="308"/>
      <c r="B176" s="305"/>
      <c r="C176" s="305"/>
      <c r="D176" s="305"/>
      <c r="E176" s="305"/>
      <c r="F176" s="305"/>
      <c r="G176" s="307"/>
      <c r="H176" s="146"/>
      <c r="I176" s="146"/>
      <c r="J176" s="146"/>
      <c r="K176" s="146"/>
      <c r="L176" s="146"/>
      <c r="M176" s="146"/>
      <c r="N176" s="146"/>
      <c r="O176" s="146"/>
      <c r="P176" s="146"/>
      <c r="Q176" s="146"/>
      <c r="R176" s="146"/>
      <c r="S176" s="146"/>
      <c r="T176" s="146"/>
      <c r="U176" s="146"/>
      <c r="V176" s="146"/>
      <c r="W176" s="146"/>
      <c r="X176" s="146"/>
      <c r="Y176" s="146"/>
      <c r="Z176" s="146"/>
    </row>
    <row r="177" ht="22.5" customHeight="1">
      <c r="A177" s="308"/>
      <c r="B177" s="305"/>
      <c r="C177" s="305"/>
      <c r="D177" s="305"/>
      <c r="E177" s="305"/>
      <c r="F177" s="305"/>
      <c r="G177" s="307"/>
      <c r="H177" s="146"/>
      <c r="I177" s="146"/>
      <c r="J177" s="146"/>
      <c r="K177" s="146"/>
      <c r="L177" s="146"/>
      <c r="M177" s="146"/>
      <c r="N177" s="146"/>
      <c r="O177" s="146"/>
      <c r="P177" s="146"/>
      <c r="Q177" s="146"/>
      <c r="R177" s="146"/>
      <c r="S177" s="146"/>
      <c r="T177" s="146"/>
      <c r="U177" s="146"/>
      <c r="V177" s="146"/>
      <c r="W177" s="146"/>
      <c r="X177" s="146"/>
      <c r="Y177" s="146"/>
      <c r="Z177" s="146"/>
    </row>
    <row r="178" ht="22.5" customHeight="1">
      <c r="A178" s="308"/>
      <c r="B178" s="305"/>
      <c r="C178" s="305"/>
      <c r="D178" s="305"/>
      <c r="E178" s="305"/>
      <c r="F178" s="305"/>
      <c r="G178" s="307"/>
      <c r="H178" s="146"/>
      <c r="I178" s="146"/>
      <c r="J178" s="146"/>
      <c r="K178" s="146"/>
      <c r="L178" s="146"/>
      <c r="M178" s="146"/>
      <c r="N178" s="146"/>
      <c r="O178" s="146"/>
      <c r="P178" s="146"/>
      <c r="Q178" s="146"/>
      <c r="R178" s="146"/>
      <c r="S178" s="146"/>
      <c r="T178" s="146"/>
      <c r="U178" s="146"/>
      <c r="V178" s="146"/>
      <c r="W178" s="146"/>
      <c r="X178" s="146"/>
      <c r="Y178" s="146"/>
      <c r="Z178" s="146"/>
    </row>
    <row r="179" ht="22.5" customHeight="1">
      <c r="A179" s="308"/>
      <c r="B179" s="305"/>
      <c r="C179" s="305"/>
      <c r="D179" s="305"/>
      <c r="E179" s="305"/>
      <c r="F179" s="305"/>
      <c r="G179" s="307"/>
      <c r="H179" s="146"/>
      <c r="I179" s="146"/>
      <c r="J179" s="146"/>
      <c r="K179" s="146"/>
      <c r="L179" s="146"/>
      <c r="M179" s="146"/>
      <c r="N179" s="146"/>
      <c r="O179" s="146"/>
      <c r="P179" s="146"/>
      <c r="Q179" s="146"/>
      <c r="R179" s="146"/>
      <c r="S179" s="146"/>
      <c r="T179" s="146"/>
      <c r="U179" s="146"/>
      <c r="V179" s="146"/>
      <c r="W179" s="146"/>
      <c r="X179" s="146"/>
      <c r="Y179" s="146"/>
      <c r="Z179" s="146"/>
    </row>
    <row r="180" ht="22.5" customHeight="1">
      <c r="A180" s="308"/>
      <c r="B180" s="305"/>
      <c r="C180" s="305"/>
      <c r="D180" s="305"/>
      <c r="E180" s="305"/>
      <c r="F180" s="305"/>
      <c r="G180" s="307"/>
      <c r="H180" s="146"/>
      <c r="I180" s="146"/>
      <c r="J180" s="146"/>
      <c r="K180" s="146"/>
      <c r="L180" s="146"/>
      <c r="M180" s="146"/>
      <c r="N180" s="146"/>
      <c r="O180" s="146"/>
      <c r="P180" s="146"/>
      <c r="Q180" s="146"/>
      <c r="R180" s="146"/>
      <c r="S180" s="146"/>
      <c r="T180" s="146"/>
      <c r="U180" s="146"/>
      <c r="V180" s="146"/>
      <c r="W180" s="146"/>
      <c r="X180" s="146"/>
      <c r="Y180" s="146"/>
      <c r="Z180" s="146"/>
    </row>
    <row r="181" ht="22.5" customHeight="1">
      <c r="A181" s="308"/>
      <c r="B181" s="305"/>
      <c r="C181" s="305"/>
      <c r="D181" s="305"/>
      <c r="E181" s="305"/>
      <c r="F181" s="305"/>
      <c r="G181" s="307"/>
      <c r="H181" s="146"/>
      <c r="I181" s="146"/>
      <c r="J181" s="146"/>
      <c r="K181" s="146"/>
      <c r="L181" s="146"/>
      <c r="M181" s="146"/>
      <c r="N181" s="146"/>
      <c r="O181" s="146"/>
      <c r="P181" s="146"/>
      <c r="Q181" s="146"/>
      <c r="R181" s="146"/>
      <c r="S181" s="146"/>
      <c r="T181" s="146"/>
      <c r="U181" s="146"/>
      <c r="V181" s="146"/>
      <c r="W181" s="146"/>
      <c r="X181" s="146"/>
      <c r="Y181" s="146"/>
      <c r="Z181" s="146"/>
    </row>
    <row r="182" ht="22.5" customHeight="1">
      <c r="A182" s="308"/>
      <c r="B182" s="305"/>
      <c r="C182" s="305"/>
      <c r="D182" s="305"/>
      <c r="E182" s="305"/>
      <c r="F182" s="305"/>
      <c r="G182" s="307"/>
      <c r="H182" s="146"/>
      <c r="I182" s="146"/>
      <c r="J182" s="146"/>
      <c r="K182" s="146"/>
      <c r="L182" s="146"/>
      <c r="M182" s="146"/>
      <c r="N182" s="146"/>
      <c r="O182" s="146"/>
      <c r="P182" s="146"/>
      <c r="Q182" s="146"/>
      <c r="R182" s="146"/>
      <c r="S182" s="146"/>
      <c r="T182" s="146"/>
      <c r="U182" s="146"/>
      <c r="V182" s="146"/>
      <c r="W182" s="146"/>
      <c r="X182" s="146"/>
      <c r="Y182" s="146"/>
      <c r="Z182" s="146"/>
    </row>
    <row r="183" ht="22.5" customHeight="1">
      <c r="A183" s="308"/>
      <c r="B183" s="305"/>
      <c r="C183" s="305"/>
      <c r="D183" s="305"/>
      <c r="E183" s="305"/>
      <c r="F183" s="305"/>
      <c r="G183" s="307"/>
      <c r="H183" s="146"/>
      <c r="I183" s="146"/>
      <c r="J183" s="146"/>
      <c r="K183" s="146"/>
      <c r="L183" s="146"/>
      <c r="M183" s="146"/>
      <c r="N183" s="146"/>
      <c r="O183" s="146"/>
      <c r="P183" s="146"/>
      <c r="Q183" s="146"/>
      <c r="R183" s="146"/>
      <c r="S183" s="146"/>
      <c r="T183" s="146"/>
      <c r="U183" s="146"/>
      <c r="V183" s="146"/>
      <c r="W183" s="146"/>
      <c r="X183" s="146"/>
      <c r="Y183" s="146"/>
      <c r="Z183" s="146"/>
    </row>
    <row r="184" ht="22.5" customHeight="1">
      <c r="A184" s="308"/>
      <c r="B184" s="305"/>
      <c r="C184" s="305"/>
      <c r="D184" s="305"/>
      <c r="E184" s="305"/>
      <c r="F184" s="305"/>
      <c r="G184" s="307"/>
      <c r="H184" s="146"/>
      <c r="I184" s="146"/>
      <c r="J184" s="146"/>
      <c r="K184" s="146"/>
      <c r="L184" s="146"/>
      <c r="M184" s="146"/>
      <c r="N184" s="146"/>
      <c r="O184" s="146"/>
      <c r="P184" s="146"/>
      <c r="Q184" s="146"/>
      <c r="R184" s="146"/>
      <c r="S184" s="146"/>
      <c r="T184" s="146"/>
      <c r="U184" s="146"/>
      <c r="V184" s="146"/>
      <c r="W184" s="146"/>
      <c r="X184" s="146"/>
      <c r="Y184" s="146"/>
      <c r="Z184" s="146"/>
    </row>
    <row r="185" ht="22.5" customHeight="1">
      <c r="A185" s="308"/>
      <c r="B185" s="305"/>
      <c r="C185" s="305"/>
      <c r="D185" s="305"/>
      <c r="E185" s="305"/>
      <c r="F185" s="305"/>
      <c r="G185" s="307"/>
      <c r="H185" s="146"/>
      <c r="I185" s="146"/>
      <c r="J185" s="146"/>
      <c r="K185" s="146"/>
      <c r="L185" s="146"/>
      <c r="M185" s="146"/>
      <c r="N185" s="146"/>
      <c r="O185" s="146"/>
      <c r="P185" s="146"/>
      <c r="Q185" s="146"/>
      <c r="R185" s="146"/>
      <c r="S185" s="146"/>
      <c r="T185" s="146"/>
      <c r="U185" s="146"/>
      <c r="V185" s="146"/>
      <c r="W185" s="146"/>
      <c r="X185" s="146"/>
      <c r="Y185" s="146"/>
      <c r="Z185" s="146"/>
    </row>
    <row r="186" ht="22.5" customHeight="1">
      <c r="A186" s="308"/>
      <c r="B186" s="305"/>
      <c r="C186" s="305"/>
      <c r="D186" s="305"/>
      <c r="E186" s="305"/>
      <c r="F186" s="305"/>
      <c r="G186" s="307"/>
      <c r="H186" s="146"/>
      <c r="I186" s="146"/>
      <c r="J186" s="146"/>
      <c r="K186" s="146"/>
      <c r="L186" s="146"/>
      <c r="M186" s="146"/>
      <c r="N186" s="146"/>
      <c r="O186" s="146"/>
      <c r="P186" s="146"/>
      <c r="Q186" s="146"/>
      <c r="R186" s="146"/>
      <c r="S186" s="146"/>
      <c r="T186" s="146"/>
      <c r="U186" s="146"/>
      <c r="V186" s="146"/>
      <c r="W186" s="146"/>
      <c r="X186" s="146"/>
      <c r="Y186" s="146"/>
      <c r="Z186" s="146"/>
    </row>
    <row r="187" ht="22.5" customHeight="1">
      <c r="A187" s="308"/>
      <c r="B187" s="305"/>
      <c r="C187" s="305"/>
      <c r="D187" s="305"/>
      <c r="E187" s="305"/>
      <c r="F187" s="305"/>
      <c r="G187" s="307"/>
      <c r="H187" s="146"/>
      <c r="I187" s="146"/>
      <c r="J187" s="146"/>
      <c r="K187" s="146"/>
      <c r="L187" s="146"/>
      <c r="M187" s="146"/>
      <c r="N187" s="146"/>
      <c r="O187" s="146"/>
      <c r="P187" s="146"/>
      <c r="Q187" s="146"/>
      <c r="R187" s="146"/>
      <c r="S187" s="146"/>
      <c r="T187" s="146"/>
      <c r="U187" s="146"/>
      <c r="V187" s="146"/>
      <c r="W187" s="146"/>
      <c r="X187" s="146"/>
      <c r="Y187" s="146"/>
      <c r="Z187" s="146"/>
    </row>
    <row r="188" ht="22.5" customHeight="1">
      <c r="A188" s="308"/>
      <c r="B188" s="305"/>
      <c r="C188" s="305"/>
      <c r="D188" s="305"/>
      <c r="E188" s="305"/>
      <c r="F188" s="305"/>
      <c r="G188" s="307"/>
      <c r="H188" s="146"/>
      <c r="I188" s="146"/>
      <c r="J188" s="146"/>
      <c r="K188" s="146"/>
      <c r="L188" s="146"/>
      <c r="M188" s="146"/>
      <c r="N188" s="146"/>
      <c r="O188" s="146"/>
      <c r="P188" s="146"/>
      <c r="Q188" s="146"/>
      <c r="R188" s="146"/>
      <c r="S188" s="146"/>
      <c r="T188" s="146"/>
      <c r="U188" s="146"/>
      <c r="V188" s="146"/>
      <c r="W188" s="146"/>
      <c r="X188" s="146"/>
      <c r="Y188" s="146"/>
      <c r="Z188" s="146"/>
    </row>
    <row r="189" ht="22.5" customHeight="1">
      <c r="A189" s="308"/>
      <c r="B189" s="305"/>
      <c r="C189" s="305"/>
      <c r="D189" s="305"/>
      <c r="E189" s="305"/>
      <c r="F189" s="305"/>
      <c r="G189" s="307"/>
      <c r="H189" s="146"/>
      <c r="I189" s="146"/>
      <c r="J189" s="146"/>
      <c r="K189" s="146"/>
      <c r="L189" s="146"/>
      <c r="M189" s="146"/>
      <c r="N189" s="146"/>
      <c r="O189" s="146"/>
      <c r="P189" s="146"/>
      <c r="Q189" s="146"/>
      <c r="R189" s="146"/>
      <c r="S189" s="146"/>
      <c r="T189" s="146"/>
      <c r="U189" s="146"/>
      <c r="V189" s="146"/>
      <c r="W189" s="146"/>
      <c r="X189" s="146"/>
      <c r="Y189" s="146"/>
      <c r="Z189" s="146"/>
    </row>
    <row r="190" ht="22.5" customHeight="1">
      <c r="A190" s="308"/>
      <c r="B190" s="305"/>
      <c r="C190" s="305"/>
      <c r="D190" s="305"/>
      <c r="E190" s="305"/>
      <c r="F190" s="305"/>
      <c r="G190" s="307"/>
      <c r="H190" s="146"/>
      <c r="I190" s="146"/>
      <c r="J190" s="146"/>
      <c r="K190" s="146"/>
      <c r="L190" s="146"/>
      <c r="M190" s="146"/>
      <c r="N190" s="146"/>
      <c r="O190" s="146"/>
      <c r="P190" s="146"/>
      <c r="Q190" s="146"/>
      <c r="R190" s="146"/>
      <c r="S190" s="146"/>
      <c r="T190" s="146"/>
      <c r="U190" s="146"/>
      <c r="V190" s="146"/>
      <c r="W190" s="146"/>
      <c r="X190" s="146"/>
      <c r="Y190" s="146"/>
      <c r="Z190" s="146"/>
    </row>
    <row r="191" ht="22.5" customHeight="1">
      <c r="A191" s="308"/>
      <c r="B191" s="305"/>
      <c r="C191" s="305"/>
      <c r="D191" s="305"/>
      <c r="E191" s="305"/>
      <c r="F191" s="305"/>
      <c r="G191" s="307"/>
      <c r="H191" s="146"/>
      <c r="I191" s="146"/>
      <c r="J191" s="146"/>
      <c r="K191" s="146"/>
      <c r="L191" s="146"/>
      <c r="M191" s="146"/>
      <c r="N191" s="146"/>
      <c r="O191" s="146"/>
      <c r="P191" s="146"/>
      <c r="Q191" s="146"/>
      <c r="R191" s="146"/>
      <c r="S191" s="146"/>
      <c r="T191" s="146"/>
      <c r="U191" s="146"/>
      <c r="V191" s="146"/>
      <c r="W191" s="146"/>
      <c r="X191" s="146"/>
      <c r="Y191" s="146"/>
      <c r="Z191" s="146"/>
    </row>
    <row r="192" ht="22.5" customHeight="1">
      <c r="A192" s="308"/>
      <c r="B192" s="305"/>
      <c r="C192" s="305"/>
      <c r="D192" s="305"/>
      <c r="E192" s="305"/>
      <c r="F192" s="305"/>
      <c r="G192" s="307"/>
      <c r="H192" s="146"/>
      <c r="I192" s="146"/>
      <c r="J192" s="146"/>
      <c r="K192" s="146"/>
      <c r="L192" s="146"/>
      <c r="M192" s="146"/>
      <c r="N192" s="146"/>
      <c r="O192" s="146"/>
      <c r="P192" s="146"/>
      <c r="Q192" s="146"/>
      <c r="R192" s="146"/>
      <c r="S192" s="146"/>
      <c r="T192" s="146"/>
      <c r="U192" s="146"/>
      <c r="V192" s="146"/>
      <c r="W192" s="146"/>
      <c r="X192" s="146"/>
      <c r="Y192" s="146"/>
      <c r="Z192" s="146"/>
    </row>
    <row r="193" ht="22.5" customHeight="1">
      <c r="A193" s="308"/>
      <c r="B193" s="305"/>
      <c r="C193" s="305"/>
      <c r="D193" s="305"/>
      <c r="E193" s="305"/>
      <c r="F193" s="305"/>
      <c r="G193" s="307"/>
      <c r="H193" s="146"/>
      <c r="I193" s="146"/>
      <c r="J193" s="146"/>
      <c r="K193" s="146"/>
      <c r="L193" s="146"/>
      <c r="M193" s="146"/>
      <c r="N193" s="146"/>
      <c r="O193" s="146"/>
      <c r="P193" s="146"/>
      <c r="Q193" s="146"/>
      <c r="R193" s="146"/>
      <c r="S193" s="146"/>
      <c r="T193" s="146"/>
      <c r="U193" s="146"/>
      <c r="V193" s="146"/>
      <c r="W193" s="146"/>
      <c r="X193" s="146"/>
      <c r="Y193" s="146"/>
      <c r="Z193" s="146"/>
    </row>
    <row r="194" ht="22.5" customHeight="1">
      <c r="A194" s="308"/>
      <c r="B194" s="305"/>
      <c r="C194" s="305"/>
      <c r="D194" s="305"/>
      <c r="E194" s="305"/>
      <c r="F194" s="305"/>
      <c r="G194" s="307"/>
      <c r="H194" s="146"/>
      <c r="I194" s="146"/>
      <c r="J194" s="146"/>
      <c r="K194" s="146"/>
      <c r="L194" s="146"/>
      <c r="M194" s="146"/>
      <c r="N194" s="146"/>
      <c r="O194" s="146"/>
      <c r="P194" s="146"/>
      <c r="Q194" s="146"/>
      <c r="R194" s="146"/>
      <c r="S194" s="146"/>
      <c r="T194" s="146"/>
      <c r="U194" s="146"/>
      <c r="V194" s="146"/>
      <c r="W194" s="146"/>
      <c r="X194" s="146"/>
      <c r="Y194" s="146"/>
      <c r="Z194" s="146"/>
    </row>
    <row r="195" ht="22.5" customHeight="1">
      <c r="A195" s="308"/>
      <c r="B195" s="305"/>
      <c r="C195" s="305"/>
      <c r="D195" s="305"/>
      <c r="E195" s="305"/>
      <c r="F195" s="305"/>
      <c r="G195" s="307"/>
      <c r="H195" s="146"/>
      <c r="I195" s="146"/>
      <c r="J195" s="146"/>
      <c r="K195" s="146"/>
      <c r="L195" s="146"/>
      <c r="M195" s="146"/>
      <c r="N195" s="146"/>
      <c r="O195" s="146"/>
      <c r="P195" s="146"/>
      <c r="Q195" s="146"/>
      <c r="R195" s="146"/>
      <c r="S195" s="146"/>
      <c r="T195" s="146"/>
      <c r="U195" s="146"/>
      <c r="V195" s="146"/>
      <c r="W195" s="146"/>
      <c r="X195" s="146"/>
      <c r="Y195" s="146"/>
      <c r="Z195" s="146"/>
    </row>
    <row r="196" ht="22.5" customHeight="1">
      <c r="A196" s="308"/>
      <c r="B196" s="305"/>
      <c r="C196" s="305"/>
      <c r="D196" s="305"/>
      <c r="E196" s="305"/>
      <c r="F196" s="305"/>
      <c r="G196" s="307"/>
      <c r="H196" s="146"/>
      <c r="I196" s="146"/>
      <c r="J196" s="146"/>
      <c r="K196" s="146"/>
      <c r="L196" s="146"/>
      <c r="M196" s="146"/>
      <c r="N196" s="146"/>
      <c r="O196" s="146"/>
      <c r="P196" s="146"/>
      <c r="Q196" s="146"/>
      <c r="R196" s="146"/>
      <c r="S196" s="146"/>
      <c r="T196" s="146"/>
      <c r="U196" s="146"/>
      <c r="V196" s="146"/>
      <c r="W196" s="146"/>
      <c r="X196" s="146"/>
      <c r="Y196" s="146"/>
      <c r="Z196" s="146"/>
    </row>
    <row r="197" ht="22.5" customHeight="1">
      <c r="A197" s="308"/>
      <c r="B197" s="305"/>
      <c r="C197" s="305"/>
      <c r="D197" s="305"/>
      <c r="E197" s="305"/>
      <c r="F197" s="305"/>
      <c r="G197" s="307"/>
      <c r="H197" s="146"/>
      <c r="I197" s="146"/>
      <c r="J197" s="146"/>
      <c r="K197" s="146"/>
      <c r="L197" s="146"/>
      <c r="M197" s="146"/>
      <c r="N197" s="146"/>
      <c r="O197" s="146"/>
      <c r="P197" s="146"/>
      <c r="Q197" s="146"/>
      <c r="R197" s="146"/>
      <c r="S197" s="146"/>
      <c r="T197" s="146"/>
      <c r="U197" s="146"/>
      <c r="V197" s="146"/>
      <c r="W197" s="146"/>
      <c r="X197" s="146"/>
      <c r="Y197" s="146"/>
      <c r="Z197" s="146"/>
    </row>
    <row r="198" ht="22.5" customHeight="1">
      <c r="A198" s="308"/>
      <c r="B198" s="305"/>
      <c r="C198" s="305"/>
      <c r="D198" s="305"/>
      <c r="E198" s="305"/>
      <c r="F198" s="305"/>
      <c r="G198" s="307"/>
      <c r="H198" s="146"/>
      <c r="I198" s="146"/>
      <c r="J198" s="146"/>
      <c r="K198" s="146"/>
      <c r="L198" s="146"/>
      <c r="M198" s="146"/>
      <c r="N198" s="146"/>
      <c r="O198" s="146"/>
      <c r="P198" s="146"/>
      <c r="Q198" s="146"/>
      <c r="R198" s="146"/>
      <c r="S198" s="146"/>
      <c r="T198" s="146"/>
      <c r="U198" s="146"/>
      <c r="V198" s="146"/>
      <c r="W198" s="146"/>
      <c r="X198" s="146"/>
      <c r="Y198" s="146"/>
      <c r="Z198" s="146"/>
    </row>
    <row r="199" ht="22.5" customHeight="1">
      <c r="A199" s="308"/>
      <c r="B199" s="305"/>
      <c r="C199" s="305"/>
      <c r="D199" s="305"/>
      <c r="E199" s="305"/>
      <c r="F199" s="305"/>
      <c r="G199" s="307"/>
      <c r="H199" s="146"/>
      <c r="I199" s="146"/>
      <c r="J199" s="146"/>
      <c r="K199" s="146"/>
      <c r="L199" s="146"/>
      <c r="M199" s="146"/>
      <c r="N199" s="146"/>
      <c r="O199" s="146"/>
      <c r="P199" s="146"/>
      <c r="Q199" s="146"/>
      <c r="R199" s="146"/>
      <c r="S199" s="146"/>
      <c r="T199" s="146"/>
      <c r="U199" s="146"/>
      <c r="V199" s="146"/>
      <c r="W199" s="146"/>
      <c r="X199" s="146"/>
      <c r="Y199" s="146"/>
      <c r="Z199" s="146"/>
    </row>
    <row r="200" ht="22.5" customHeight="1">
      <c r="A200" s="308"/>
      <c r="B200" s="305"/>
      <c r="C200" s="305"/>
      <c r="D200" s="305"/>
      <c r="E200" s="305"/>
      <c r="F200" s="305"/>
      <c r="G200" s="307"/>
      <c r="H200" s="146"/>
      <c r="I200" s="146"/>
      <c r="J200" s="146"/>
      <c r="K200" s="146"/>
      <c r="L200" s="146"/>
      <c r="M200" s="146"/>
      <c r="N200" s="146"/>
      <c r="O200" s="146"/>
      <c r="P200" s="146"/>
      <c r="Q200" s="146"/>
      <c r="R200" s="146"/>
      <c r="S200" s="146"/>
      <c r="T200" s="146"/>
      <c r="U200" s="146"/>
      <c r="V200" s="146"/>
      <c r="W200" s="146"/>
      <c r="X200" s="146"/>
      <c r="Y200" s="146"/>
      <c r="Z200" s="146"/>
    </row>
    <row r="201" ht="22.5" customHeight="1">
      <c r="A201" s="308"/>
      <c r="B201" s="305"/>
      <c r="C201" s="305"/>
      <c r="D201" s="305"/>
      <c r="E201" s="305"/>
      <c r="F201" s="305"/>
      <c r="G201" s="307"/>
      <c r="H201" s="146"/>
      <c r="I201" s="146"/>
      <c r="J201" s="146"/>
      <c r="K201" s="146"/>
      <c r="L201" s="146"/>
      <c r="M201" s="146"/>
      <c r="N201" s="146"/>
      <c r="O201" s="146"/>
      <c r="P201" s="146"/>
      <c r="Q201" s="146"/>
      <c r="R201" s="146"/>
      <c r="S201" s="146"/>
      <c r="T201" s="146"/>
      <c r="U201" s="146"/>
      <c r="V201" s="146"/>
      <c r="W201" s="146"/>
      <c r="X201" s="146"/>
      <c r="Y201" s="146"/>
      <c r="Z201" s="146"/>
    </row>
    <row r="202" ht="22.5" customHeight="1">
      <c r="A202" s="308"/>
      <c r="B202" s="305"/>
      <c r="C202" s="305"/>
      <c r="D202" s="305"/>
      <c r="E202" s="305"/>
      <c r="F202" s="305"/>
      <c r="G202" s="307"/>
      <c r="H202" s="146"/>
      <c r="I202" s="146"/>
      <c r="J202" s="146"/>
      <c r="K202" s="146"/>
      <c r="L202" s="146"/>
      <c r="M202" s="146"/>
      <c r="N202" s="146"/>
      <c r="O202" s="146"/>
      <c r="P202" s="146"/>
      <c r="Q202" s="146"/>
      <c r="R202" s="146"/>
      <c r="S202" s="146"/>
      <c r="T202" s="146"/>
      <c r="U202" s="146"/>
      <c r="V202" s="146"/>
      <c r="W202" s="146"/>
      <c r="X202" s="146"/>
      <c r="Y202" s="146"/>
      <c r="Z202" s="146"/>
    </row>
    <row r="203" ht="22.5" customHeight="1">
      <c r="A203" s="308"/>
      <c r="B203" s="305"/>
      <c r="C203" s="305"/>
      <c r="D203" s="305"/>
      <c r="E203" s="305"/>
      <c r="F203" s="305"/>
      <c r="G203" s="307"/>
      <c r="H203" s="146"/>
      <c r="I203" s="146"/>
      <c r="J203" s="146"/>
      <c r="K203" s="146"/>
      <c r="L203" s="146"/>
      <c r="M203" s="146"/>
      <c r="N203" s="146"/>
      <c r="O203" s="146"/>
      <c r="P203" s="146"/>
      <c r="Q203" s="146"/>
      <c r="R203" s="146"/>
      <c r="S203" s="146"/>
      <c r="T203" s="146"/>
      <c r="U203" s="146"/>
      <c r="V203" s="146"/>
      <c r="W203" s="146"/>
      <c r="X203" s="146"/>
      <c r="Y203" s="146"/>
      <c r="Z203" s="146"/>
    </row>
    <row r="204" ht="22.5" customHeight="1">
      <c r="A204" s="308"/>
      <c r="B204" s="305"/>
      <c r="C204" s="305"/>
      <c r="D204" s="305"/>
      <c r="E204" s="305"/>
      <c r="F204" s="305"/>
      <c r="G204" s="307"/>
      <c r="H204" s="146"/>
      <c r="I204" s="146"/>
      <c r="J204" s="146"/>
      <c r="K204" s="146"/>
      <c r="L204" s="146"/>
      <c r="M204" s="146"/>
      <c r="N204" s="146"/>
      <c r="O204" s="146"/>
      <c r="P204" s="146"/>
      <c r="Q204" s="146"/>
      <c r="R204" s="146"/>
      <c r="S204" s="146"/>
      <c r="T204" s="146"/>
      <c r="U204" s="146"/>
      <c r="V204" s="146"/>
      <c r="W204" s="146"/>
      <c r="X204" s="146"/>
      <c r="Y204" s="146"/>
      <c r="Z204" s="146"/>
    </row>
    <row r="205" ht="22.5" customHeight="1">
      <c r="A205" s="308"/>
      <c r="B205" s="305"/>
      <c r="C205" s="305"/>
      <c r="D205" s="305"/>
      <c r="E205" s="305"/>
      <c r="F205" s="305"/>
      <c r="G205" s="307"/>
      <c r="H205" s="146"/>
      <c r="I205" s="146"/>
      <c r="J205" s="146"/>
      <c r="K205" s="146"/>
      <c r="L205" s="146"/>
      <c r="M205" s="146"/>
      <c r="N205" s="146"/>
      <c r="O205" s="146"/>
      <c r="P205" s="146"/>
      <c r="Q205" s="146"/>
      <c r="R205" s="146"/>
      <c r="S205" s="146"/>
      <c r="T205" s="146"/>
      <c r="U205" s="146"/>
      <c r="V205" s="146"/>
      <c r="W205" s="146"/>
      <c r="X205" s="146"/>
      <c r="Y205" s="146"/>
      <c r="Z205" s="146"/>
    </row>
    <row r="206" ht="22.5" customHeight="1">
      <c r="A206" s="308"/>
      <c r="B206" s="305"/>
      <c r="C206" s="305"/>
      <c r="D206" s="305"/>
      <c r="E206" s="305"/>
      <c r="F206" s="305"/>
      <c r="G206" s="307"/>
      <c r="H206" s="146"/>
      <c r="I206" s="146"/>
      <c r="J206" s="146"/>
      <c r="K206" s="146"/>
      <c r="L206" s="146"/>
      <c r="M206" s="146"/>
      <c r="N206" s="146"/>
      <c r="O206" s="146"/>
      <c r="P206" s="146"/>
      <c r="Q206" s="146"/>
      <c r="R206" s="146"/>
      <c r="S206" s="146"/>
      <c r="T206" s="146"/>
      <c r="U206" s="146"/>
      <c r="V206" s="146"/>
      <c r="W206" s="146"/>
      <c r="X206" s="146"/>
      <c r="Y206" s="146"/>
      <c r="Z206" s="146"/>
    </row>
    <row r="207" ht="22.5" customHeight="1">
      <c r="A207" s="308"/>
      <c r="B207" s="305"/>
      <c r="C207" s="305"/>
      <c r="D207" s="305"/>
      <c r="E207" s="305"/>
      <c r="F207" s="305"/>
      <c r="G207" s="307"/>
      <c r="H207" s="146"/>
      <c r="I207" s="146"/>
      <c r="J207" s="146"/>
      <c r="K207" s="146"/>
      <c r="L207" s="146"/>
      <c r="M207" s="146"/>
      <c r="N207" s="146"/>
      <c r="O207" s="146"/>
      <c r="P207" s="146"/>
      <c r="Q207" s="146"/>
      <c r="R207" s="146"/>
      <c r="S207" s="146"/>
      <c r="T207" s="146"/>
      <c r="U207" s="146"/>
      <c r="V207" s="146"/>
      <c r="W207" s="146"/>
      <c r="X207" s="146"/>
      <c r="Y207" s="146"/>
      <c r="Z207" s="146"/>
    </row>
    <row r="208" ht="22.5" customHeight="1">
      <c r="A208" s="308"/>
      <c r="B208" s="305"/>
      <c r="C208" s="305"/>
      <c r="D208" s="305"/>
      <c r="E208" s="305"/>
      <c r="F208" s="305"/>
      <c r="G208" s="307"/>
      <c r="H208" s="146"/>
      <c r="I208" s="146"/>
      <c r="J208" s="146"/>
      <c r="K208" s="146"/>
      <c r="L208" s="146"/>
      <c r="M208" s="146"/>
      <c r="N208" s="146"/>
      <c r="O208" s="146"/>
      <c r="P208" s="146"/>
      <c r="Q208" s="146"/>
      <c r="R208" s="146"/>
      <c r="S208" s="146"/>
      <c r="T208" s="146"/>
      <c r="U208" s="146"/>
      <c r="V208" s="146"/>
      <c r="W208" s="146"/>
      <c r="X208" s="146"/>
      <c r="Y208" s="146"/>
      <c r="Z208" s="146"/>
    </row>
    <row r="209" ht="22.5" customHeight="1">
      <c r="A209" s="308"/>
      <c r="B209" s="305"/>
      <c r="C209" s="305"/>
      <c r="D209" s="305"/>
      <c r="E209" s="305"/>
      <c r="F209" s="305"/>
      <c r="G209" s="307"/>
      <c r="H209" s="146"/>
      <c r="I209" s="146"/>
      <c r="J209" s="146"/>
      <c r="K209" s="146"/>
      <c r="L209" s="146"/>
      <c r="M209" s="146"/>
      <c r="N209" s="146"/>
      <c r="O209" s="146"/>
      <c r="P209" s="146"/>
      <c r="Q209" s="146"/>
      <c r="R209" s="146"/>
      <c r="S209" s="146"/>
      <c r="T209" s="146"/>
      <c r="U209" s="146"/>
      <c r="V209" s="146"/>
      <c r="W209" s="146"/>
      <c r="X209" s="146"/>
      <c r="Y209" s="146"/>
      <c r="Z209" s="146"/>
    </row>
    <row r="210" ht="22.5" customHeight="1">
      <c r="A210" s="308"/>
      <c r="B210" s="305"/>
      <c r="C210" s="305"/>
      <c r="D210" s="305"/>
      <c r="E210" s="305"/>
      <c r="F210" s="305"/>
      <c r="G210" s="307"/>
      <c r="H210" s="146"/>
      <c r="I210" s="146"/>
      <c r="J210" s="146"/>
      <c r="K210" s="146"/>
      <c r="L210" s="146"/>
      <c r="M210" s="146"/>
      <c r="N210" s="146"/>
      <c r="O210" s="146"/>
      <c r="P210" s="146"/>
      <c r="Q210" s="146"/>
      <c r="R210" s="146"/>
      <c r="S210" s="146"/>
      <c r="T210" s="146"/>
      <c r="U210" s="146"/>
      <c r="V210" s="146"/>
      <c r="W210" s="146"/>
      <c r="X210" s="146"/>
      <c r="Y210" s="146"/>
      <c r="Z210" s="146"/>
    </row>
    <row r="211" ht="22.5" customHeight="1">
      <c r="A211" s="308"/>
      <c r="B211" s="305"/>
      <c r="C211" s="305"/>
      <c r="D211" s="305"/>
      <c r="E211" s="305"/>
      <c r="F211" s="305"/>
      <c r="G211" s="307"/>
      <c r="H211" s="146"/>
      <c r="I211" s="146"/>
      <c r="J211" s="146"/>
      <c r="K211" s="146"/>
      <c r="L211" s="146"/>
      <c r="M211" s="146"/>
      <c r="N211" s="146"/>
      <c r="O211" s="146"/>
      <c r="P211" s="146"/>
      <c r="Q211" s="146"/>
      <c r="R211" s="146"/>
      <c r="S211" s="146"/>
      <c r="T211" s="146"/>
      <c r="U211" s="146"/>
      <c r="V211" s="146"/>
      <c r="W211" s="146"/>
      <c r="X211" s="146"/>
      <c r="Y211" s="146"/>
      <c r="Z211" s="146"/>
    </row>
    <row r="212" ht="22.5" customHeight="1">
      <c r="A212" s="308"/>
      <c r="B212" s="305"/>
      <c r="C212" s="305"/>
      <c r="D212" s="305"/>
      <c r="E212" s="305"/>
      <c r="F212" s="305"/>
      <c r="G212" s="307"/>
      <c r="H212" s="146"/>
      <c r="I212" s="146"/>
      <c r="J212" s="146"/>
      <c r="K212" s="146"/>
      <c r="L212" s="146"/>
      <c r="M212" s="146"/>
      <c r="N212" s="146"/>
      <c r="O212" s="146"/>
      <c r="P212" s="146"/>
      <c r="Q212" s="146"/>
      <c r="R212" s="146"/>
      <c r="S212" s="146"/>
      <c r="T212" s="146"/>
      <c r="U212" s="146"/>
      <c r="V212" s="146"/>
      <c r="W212" s="146"/>
      <c r="X212" s="146"/>
      <c r="Y212" s="146"/>
      <c r="Z212" s="146"/>
    </row>
    <row r="213" ht="22.5" customHeight="1">
      <c r="A213" s="308"/>
      <c r="B213" s="305"/>
      <c r="C213" s="305"/>
      <c r="D213" s="305"/>
      <c r="E213" s="305"/>
      <c r="F213" s="305"/>
      <c r="G213" s="307"/>
      <c r="H213" s="146"/>
      <c r="I213" s="146"/>
      <c r="J213" s="146"/>
      <c r="K213" s="146"/>
      <c r="L213" s="146"/>
      <c r="M213" s="146"/>
      <c r="N213" s="146"/>
      <c r="O213" s="146"/>
      <c r="P213" s="146"/>
      <c r="Q213" s="146"/>
      <c r="R213" s="146"/>
      <c r="S213" s="146"/>
      <c r="T213" s="146"/>
      <c r="U213" s="146"/>
      <c r="V213" s="146"/>
      <c r="W213" s="146"/>
      <c r="X213" s="146"/>
      <c r="Y213" s="146"/>
      <c r="Z213" s="146"/>
    </row>
    <row r="214" ht="22.5" customHeight="1">
      <c r="A214" s="308"/>
      <c r="B214" s="305"/>
      <c r="C214" s="305"/>
      <c r="D214" s="305"/>
      <c r="E214" s="305"/>
      <c r="F214" s="305"/>
      <c r="G214" s="307"/>
      <c r="H214" s="146"/>
      <c r="I214" s="146"/>
      <c r="J214" s="146"/>
      <c r="K214" s="146"/>
      <c r="L214" s="146"/>
      <c r="M214" s="146"/>
      <c r="N214" s="146"/>
      <c r="O214" s="146"/>
      <c r="P214" s="146"/>
      <c r="Q214" s="146"/>
      <c r="R214" s="146"/>
      <c r="S214" s="146"/>
      <c r="T214" s="146"/>
      <c r="U214" s="146"/>
      <c r="V214" s="146"/>
      <c r="W214" s="146"/>
      <c r="X214" s="146"/>
      <c r="Y214" s="146"/>
      <c r="Z214" s="146"/>
    </row>
    <row r="215" ht="22.5" customHeight="1">
      <c r="A215" s="308"/>
      <c r="B215" s="305"/>
      <c r="C215" s="305"/>
      <c r="D215" s="305"/>
      <c r="E215" s="305"/>
      <c r="F215" s="305"/>
      <c r="G215" s="307"/>
      <c r="H215" s="146"/>
      <c r="I215" s="146"/>
      <c r="J215" s="146"/>
      <c r="K215" s="146"/>
      <c r="L215" s="146"/>
      <c r="M215" s="146"/>
      <c r="N215" s="146"/>
      <c r="O215" s="146"/>
      <c r="P215" s="146"/>
      <c r="Q215" s="146"/>
      <c r="R215" s="146"/>
      <c r="S215" s="146"/>
      <c r="T215" s="146"/>
      <c r="U215" s="146"/>
      <c r="V215" s="146"/>
      <c r="W215" s="146"/>
      <c r="X215" s="146"/>
      <c r="Y215" s="146"/>
      <c r="Z215" s="146"/>
    </row>
    <row r="216" ht="22.5" customHeight="1">
      <c r="A216" s="308"/>
      <c r="B216" s="305"/>
      <c r="C216" s="305"/>
      <c r="D216" s="305"/>
      <c r="E216" s="305"/>
      <c r="F216" s="305"/>
      <c r="G216" s="307"/>
      <c r="H216" s="146"/>
      <c r="I216" s="146"/>
      <c r="J216" s="146"/>
      <c r="K216" s="146"/>
      <c r="L216" s="146"/>
      <c r="M216" s="146"/>
      <c r="N216" s="146"/>
      <c r="O216" s="146"/>
      <c r="P216" s="146"/>
      <c r="Q216" s="146"/>
      <c r="R216" s="146"/>
      <c r="S216" s="146"/>
      <c r="T216" s="146"/>
      <c r="U216" s="146"/>
      <c r="V216" s="146"/>
      <c r="W216" s="146"/>
      <c r="X216" s="146"/>
      <c r="Y216" s="146"/>
      <c r="Z216" s="146"/>
    </row>
    <row r="217" ht="22.5" customHeight="1">
      <c r="A217" s="308"/>
      <c r="B217" s="305"/>
      <c r="C217" s="305"/>
      <c r="D217" s="305"/>
      <c r="E217" s="305"/>
      <c r="F217" s="305"/>
      <c r="G217" s="307"/>
      <c r="H217" s="146"/>
      <c r="I217" s="146"/>
      <c r="J217" s="146"/>
      <c r="K217" s="146"/>
      <c r="L217" s="146"/>
      <c r="M217" s="146"/>
      <c r="N217" s="146"/>
      <c r="O217" s="146"/>
      <c r="P217" s="146"/>
      <c r="Q217" s="146"/>
      <c r="R217" s="146"/>
      <c r="S217" s="146"/>
      <c r="T217" s="146"/>
      <c r="U217" s="146"/>
      <c r="V217" s="146"/>
      <c r="W217" s="146"/>
      <c r="X217" s="146"/>
      <c r="Y217" s="146"/>
      <c r="Z217" s="146"/>
    </row>
    <row r="218" ht="22.5" customHeight="1">
      <c r="A218" s="308"/>
      <c r="B218" s="305"/>
      <c r="C218" s="305"/>
      <c r="D218" s="305"/>
      <c r="E218" s="305"/>
      <c r="F218" s="305"/>
      <c r="G218" s="307"/>
      <c r="H218" s="146"/>
      <c r="I218" s="146"/>
      <c r="J218" s="146"/>
      <c r="K218" s="146"/>
      <c r="L218" s="146"/>
      <c r="M218" s="146"/>
      <c r="N218" s="146"/>
      <c r="O218" s="146"/>
      <c r="P218" s="146"/>
      <c r="Q218" s="146"/>
      <c r="R218" s="146"/>
      <c r="S218" s="146"/>
      <c r="T218" s="146"/>
      <c r="U218" s="146"/>
      <c r="V218" s="146"/>
      <c r="W218" s="146"/>
      <c r="X218" s="146"/>
      <c r="Y218" s="146"/>
      <c r="Z218" s="146"/>
    </row>
    <row r="219" ht="22.5" customHeight="1">
      <c r="A219" s="308"/>
      <c r="B219" s="305"/>
      <c r="C219" s="305"/>
      <c r="D219" s="305"/>
      <c r="E219" s="305"/>
      <c r="F219" s="305"/>
      <c r="G219" s="307"/>
      <c r="H219" s="146"/>
      <c r="I219" s="146"/>
      <c r="J219" s="146"/>
      <c r="K219" s="146"/>
      <c r="L219" s="146"/>
      <c r="M219" s="146"/>
      <c r="N219" s="146"/>
      <c r="O219" s="146"/>
      <c r="P219" s="146"/>
      <c r="Q219" s="146"/>
      <c r="R219" s="146"/>
      <c r="S219" s="146"/>
      <c r="T219" s="146"/>
      <c r="U219" s="146"/>
      <c r="V219" s="146"/>
      <c r="W219" s="146"/>
      <c r="X219" s="146"/>
      <c r="Y219" s="146"/>
      <c r="Z219" s="146"/>
    </row>
    <row r="220" ht="22.5" customHeight="1">
      <c r="A220" s="308"/>
      <c r="B220" s="305"/>
      <c r="C220" s="305"/>
      <c r="D220" s="305"/>
      <c r="E220" s="305"/>
      <c r="F220" s="305"/>
      <c r="G220" s="307"/>
      <c r="H220" s="146"/>
      <c r="I220" s="146"/>
      <c r="J220" s="146"/>
      <c r="K220" s="146"/>
      <c r="L220" s="146"/>
      <c r="M220" s="146"/>
      <c r="N220" s="146"/>
      <c r="O220" s="146"/>
      <c r="P220" s="146"/>
      <c r="Q220" s="146"/>
      <c r="R220" s="146"/>
      <c r="S220" s="146"/>
      <c r="T220" s="146"/>
      <c r="U220" s="146"/>
      <c r="V220" s="146"/>
      <c r="W220" s="146"/>
      <c r="X220" s="146"/>
      <c r="Y220" s="146"/>
      <c r="Z220" s="146"/>
    </row>
    <row r="221" ht="22.5" customHeight="1">
      <c r="A221" s="308"/>
      <c r="B221" s="305"/>
      <c r="C221" s="305"/>
      <c r="D221" s="305"/>
      <c r="E221" s="305"/>
      <c r="F221" s="305"/>
      <c r="G221" s="307"/>
      <c r="H221" s="146"/>
      <c r="I221" s="146"/>
      <c r="J221" s="146"/>
      <c r="K221" s="146"/>
      <c r="L221" s="146"/>
      <c r="M221" s="146"/>
      <c r="N221" s="146"/>
      <c r="O221" s="146"/>
      <c r="P221" s="146"/>
      <c r="Q221" s="146"/>
      <c r="R221" s="146"/>
      <c r="S221" s="146"/>
      <c r="T221" s="146"/>
      <c r="U221" s="146"/>
      <c r="V221" s="146"/>
      <c r="W221" s="146"/>
      <c r="X221" s="146"/>
      <c r="Y221" s="146"/>
      <c r="Z221" s="146"/>
    </row>
    <row r="222" ht="22.5" customHeight="1">
      <c r="A222" s="308"/>
      <c r="B222" s="305"/>
      <c r="C222" s="305"/>
      <c r="D222" s="305"/>
      <c r="E222" s="305"/>
      <c r="F222" s="305"/>
      <c r="G222" s="307"/>
      <c r="H222" s="146"/>
      <c r="I222" s="146"/>
      <c r="J222" s="146"/>
      <c r="K222" s="146"/>
      <c r="L222" s="146"/>
      <c r="M222" s="146"/>
      <c r="N222" s="146"/>
      <c r="O222" s="146"/>
      <c r="P222" s="146"/>
      <c r="Q222" s="146"/>
      <c r="R222" s="146"/>
      <c r="S222" s="146"/>
      <c r="T222" s="146"/>
      <c r="U222" s="146"/>
      <c r="V222" s="146"/>
      <c r="W222" s="146"/>
      <c r="X222" s="146"/>
      <c r="Y222" s="146"/>
      <c r="Z222" s="146"/>
    </row>
    <row r="223" ht="22.5" customHeight="1">
      <c r="A223" s="308"/>
      <c r="B223" s="305"/>
      <c r="C223" s="305"/>
      <c r="D223" s="305"/>
      <c r="E223" s="305"/>
      <c r="F223" s="305"/>
      <c r="G223" s="307"/>
      <c r="H223" s="146"/>
      <c r="I223" s="146"/>
      <c r="J223" s="146"/>
      <c r="K223" s="146"/>
      <c r="L223" s="146"/>
      <c r="M223" s="146"/>
      <c r="N223" s="146"/>
      <c r="O223" s="146"/>
      <c r="P223" s="146"/>
      <c r="Q223" s="146"/>
      <c r="R223" s="146"/>
      <c r="S223" s="146"/>
      <c r="T223" s="146"/>
      <c r="U223" s="146"/>
      <c r="V223" s="146"/>
      <c r="W223" s="146"/>
      <c r="X223" s="146"/>
      <c r="Y223" s="146"/>
      <c r="Z223" s="146"/>
    </row>
    <row r="224" ht="22.5" customHeight="1">
      <c r="A224" s="308"/>
      <c r="B224" s="305"/>
      <c r="C224" s="305"/>
      <c r="D224" s="305"/>
      <c r="E224" s="305"/>
      <c r="F224" s="305"/>
      <c r="G224" s="307"/>
      <c r="H224" s="146"/>
      <c r="I224" s="146"/>
      <c r="J224" s="146"/>
      <c r="K224" s="146"/>
      <c r="L224" s="146"/>
      <c r="M224" s="146"/>
      <c r="N224" s="146"/>
      <c r="O224" s="146"/>
      <c r="P224" s="146"/>
      <c r="Q224" s="146"/>
      <c r="R224" s="146"/>
      <c r="S224" s="146"/>
      <c r="T224" s="146"/>
      <c r="U224" s="146"/>
      <c r="V224" s="146"/>
      <c r="W224" s="146"/>
      <c r="X224" s="146"/>
      <c r="Y224" s="146"/>
      <c r="Z224" s="146"/>
    </row>
    <row r="225" ht="22.5" customHeight="1">
      <c r="A225" s="308"/>
      <c r="B225" s="305"/>
      <c r="C225" s="305"/>
      <c r="D225" s="305"/>
      <c r="E225" s="305"/>
      <c r="F225" s="305"/>
      <c r="G225" s="307"/>
      <c r="H225" s="146"/>
      <c r="I225" s="146"/>
      <c r="J225" s="146"/>
      <c r="K225" s="146"/>
      <c r="L225" s="146"/>
      <c r="M225" s="146"/>
      <c r="N225" s="146"/>
      <c r="O225" s="146"/>
      <c r="P225" s="146"/>
      <c r="Q225" s="146"/>
      <c r="R225" s="146"/>
      <c r="S225" s="146"/>
      <c r="T225" s="146"/>
      <c r="U225" s="146"/>
      <c r="V225" s="146"/>
      <c r="W225" s="146"/>
      <c r="X225" s="146"/>
      <c r="Y225" s="146"/>
      <c r="Z225" s="146"/>
    </row>
    <row r="226" ht="22.5" customHeight="1">
      <c r="A226" s="308"/>
      <c r="B226" s="305"/>
      <c r="C226" s="305"/>
      <c r="D226" s="305"/>
      <c r="E226" s="305"/>
      <c r="F226" s="305"/>
      <c r="G226" s="307"/>
      <c r="H226" s="146"/>
      <c r="I226" s="146"/>
      <c r="J226" s="146"/>
      <c r="K226" s="146"/>
      <c r="L226" s="146"/>
      <c r="M226" s="146"/>
      <c r="N226" s="146"/>
      <c r="O226" s="146"/>
      <c r="P226" s="146"/>
      <c r="Q226" s="146"/>
      <c r="R226" s="146"/>
      <c r="S226" s="146"/>
      <c r="T226" s="146"/>
      <c r="U226" s="146"/>
      <c r="V226" s="146"/>
      <c r="W226" s="146"/>
      <c r="X226" s="146"/>
      <c r="Y226" s="146"/>
      <c r="Z226" s="146"/>
    </row>
    <row r="227" ht="22.5" customHeight="1">
      <c r="A227" s="308"/>
      <c r="B227" s="305"/>
      <c r="C227" s="305"/>
      <c r="D227" s="305"/>
      <c r="E227" s="305"/>
      <c r="F227" s="305"/>
      <c r="G227" s="307"/>
      <c r="H227" s="146"/>
      <c r="I227" s="146"/>
      <c r="J227" s="146"/>
      <c r="K227" s="146"/>
      <c r="L227" s="146"/>
      <c r="M227" s="146"/>
      <c r="N227" s="146"/>
      <c r="O227" s="146"/>
      <c r="P227" s="146"/>
      <c r="Q227" s="146"/>
      <c r="R227" s="146"/>
      <c r="S227" s="146"/>
      <c r="T227" s="146"/>
      <c r="U227" s="146"/>
      <c r="V227" s="146"/>
      <c r="W227" s="146"/>
      <c r="X227" s="146"/>
      <c r="Y227" s="146"/>
      <c r="Z227" s="146"/>
    </row>
    <row r="228" ht="22.5" customHeight="1">
      <c r="A228" s="308"/>
      <c r="B228" s="305"/>
      <c r="C228" s="305"/>
      <c r="D228" s="305"/>
      <c r="E228" s="305"/>
      <c r="F228" s="305"/>
      <c r="G228" s="307"/>
      <c r="H228" s="146"/>
      <c r="I228" s="146"/>
      <c r="J228" s="146"/>
      <c r="K228" s="146"/>
      <c r="L228" s="146"/>
      <c r="M228" s="146"/>
      <c r="N228" s="146"/>
      <c r="O228" s="146"/>
      <c r="P228" s="146"/>
      <c r="Q228" s="146"/>
      <c r="R228" s="146"/>
      <c r="S228" s="146"/>
      <c r="T228" s="146"/>
      <c r="U228" s="146"/>
      <c r="V228" s="146"/>
      <c r="W228" s="146"/>
      <c r="X228" s="146"/>
      <c r="Y228" s="146"/>
      <c r="Z228" s="146"/>
    </row>
    <row r="229" ht="22.5" customHeight="1">
      <c r="A229" s="308"/>
      <c r="B229" s="305"/>
      <c r="C229" s="305"/>
      <c r="D229" s="305"/>
      <c r="E229" s="305"/>
      <c r="F229" s="305"/>
      <c r="G229" s="307"/>
      <c r="H229" s="146"/>
      <c r="I229" s="146"/>
      <c r="J229" s="146"/>
      <c r="K229" s="146"/>
      <c r="L229" s="146"/>
      <c r="M229" s="146"/>
      <c r="N229" s="146"/>
      <c r="O229" s="146"/>
      <c r="P229" s="146"/>
      <c r="Q229" s="146"/>
      <c r="R229" s="146"/>
      <c r="S229" s="146"/>
      <c r="T229" s="146"/>
      <c r="U229" s="146"/>
      <c r="V229" s="146"/>
      <c r="W229" s="146"/>
      <c r="X229" s="146"/>
      <c r="Y229" s="146"/>
      <c r="Z229" s="146"/>
    </row>
    <row r="230" ht="22.5" customHeight="1">
      <c r="A230" s="308"/>
      <c r="B230" s="305"/>
      <c r="C230" s="305"/>
      <c r="D230" s="305"/>
      <c r="E230" s="305"/>
      <c r="F230" s="305"/>
      <c r="G230" s="307"/>
      <c r="H230" s="146"/>
      <c r="I230" s="146"/>
      <c r="J230" s="146"/>
      <c r="K230" s="146"/>
      <c r="L230" s="146"/>
      <c r="M230" s="146"/>
      <c r="N230" s="146"/>
      <c r="O230" s="146"/>
      <c r="P230" s="146"/>
      <c r="Q230" s="146"/>
      <c r="R230" s="146"/>
      <c r="S230" s="146"/>
      <c r="T230" s="146"/>
      <c r="U230" s="146"/>
      <c r="V230" s="146"/>
      <c r="W230" s="146"/>
      <c r="X230" s="146"/>
      <c r="Y230" s="146"/>
      <c r="Z230" s="146"/>
    </row>
    <row r="231" ht="22.5" customHeight="1">
      <c r="A231" s="308"/>
      <c r="B231" s="305"/>
      <c r="C231" s="305"/>
      <c r="D231" s="305"/>
      <c r="E231" s="305"/>
      <c r="F231" s="305"/>
      <c r="G231" s="307"/>
      <c r="H231" s="146"/>
      <c r="I231" s="146"/>
      <c r="J231" s="146"/>
      <c r="K231" s="146"/>
      <c r="L231" s="146"/>
      <c r="M231" s="146"/>
      <c r="N231" s="146"/>
      <c r="O231" s="146"/>
      <c r="P231" s="146"/>
      <c r="Q231" s="146"/>
      <c r="R231" s="146"/>
      <c r="S231" s="146"/>
      <c r="T231" s="146"/>
      <c r="U231" s="146"/>
      <c r="V231" s="146"/>
      <c r="W231" s="146"/>
      <c r="X231" s="146"/>
      <c r="Y231" s="146"/>
      <c r="Z231" s="146"/>
    </row>
    <row r="232" ht="22.5" customHeight="1">
      <c r="A232" s="308"/>
      <c r="B232" s="305"/>
      <c r="C232" s="305"/>
      <c r="D232" s="305"/>
      <c r="E232" s="305"/>
      <c r="F232" s="305"/>
      <c r="G232" s="307"/>
      <c r="H232" s="146"/>
      <c r="I232" s="146"/>
      <c r="J232" s="146"/>
      <c r="K232" s="146"/>
      <c r="L232" s="146"/>
      <c r="M232" s="146"/>
      <c r="N232" s="146"/>
      <c r="O232" s="146"/>
      <c r="P232" s="146"/>
      <c r="Q232" s="146"/>
      <c r="R232" s="146"/>
      <c r="S232" s="146"/>
      <c r="T232" s="146"/>
      <c r="U232" s="146"/>
      <c r="V232" s="146"/>
      <c r="W232" s="146"/>
      <c r="X232" s="146"/>
      <c r="Y232" s="146"/>
      <c r="Z232" s="146"/>
    </row>
    <row r="233" ht="22.5" customHeight="1">
      <c r="A233" s="308"/>
      <c r="B233" s="305"/>
      <c r="C233" s="305"/>
      <c r="D233" s="305"/>
      <c r="E233" s="305"/>
      <c r="F233" s="305"/>
      <c r="G233" s="307"/>
      <c r="H233" s="146"/>
      <c r="I233" s="146"/>
      <c r="J233" s="146"/>
      <c r="K233" s="146"/>
      <c r="L233" s="146"/>
      <c r="M233" s="146"/>
      <c r="N233" s="146"/>
      <c r="O233" s="146"/>
      <c r="P233" s="146"/>
      <c r="Q233" s="146"/>
      <c r="R233" s="146"/>
      <c r="S233" s="146"/>
      <c r="T233" s="146"/>
      <c r="U233" s="146"/>
      <c r="V233" s="146"/>
      <c r="W233" s="146"/>
      <c r="X233" s="146"/>
      <c r="Y233" s="146"/>
      <c r="Z233" s="146"/>
    </row>
    <row r="234" ht="22.5" customHeight="1">
      <c r="A234" s="308"/>
      <c r="B234" s="305"/>
      <c r="C234" s="305"/>
      <c r="D234" s="305"/>
      <c r="E234" s="305"/>
      <c r="F234" s="305"/>
      <c r="G234" s="307"/>
      <c r="H234" s="146"/>
      <c r="I234" s="146"/>
      <c r="J234" s="146"/>
      <c r="K234" s="146"/>
      <c r="L234" s="146"/>
      <c r="M234" s="146"/>
      <c r="N234" s="146"/>
      <c r="O234" s="146"/>
      <c r="P234" s="146"/>
      <c r="Q234" s="146"/>
      <c r="R234" s="146"/>
      <c r="S234" s="146"/>
      <c r="T234" s="146"/>
      <c r="U234" s="146"/>
      <c r="V234" s="146"/>
      <c r="W234" s="146"/>
      <c r="X234" s="146"/>
      <c r="Y234" s="146"/>
      <c r="Z234" s="146"/>
    </row>
    <row r="235" ht="22.5" customHeight="1">
      <c r="A235" s="308"/>
      <c r="B235" s="305"/>
      <c r="C235" s="305"/>
      <c r="D235" s="305"/>
      <c r="E235" s="305"/>
      <c r="F235" s="305"/>
      <c r="G235" s="307"/>
      <c r="H235" s="146"/>
      <c r="I235" s="146"/>
      <c r="J235" s="146"/>
      <c r="K235" s="146"/>
      <c r="L235" s="146"/>
      <c r="M235" s="146"/>
      <c r="N235" s="146"/>
      <c r="O235" s="146"/>
      <c r="P235" s="146"/>
      <c r="Q235" s="146"/>
      <c r="R235" s="146"/>
      <c r="S235" s="146"/>
      <c r="T235" s="146"/>
      <c r="U235" s="146"/>
      <c r="V235" s="146"/>
      <c r="W235" s="146"/>
      <c r="X235" s="146"/>
      <c r="Y235" s="146"/>
      <c r="Z235" s="146"/>
    </row>
    <row r="236" ht="22.5" customHeight="1">
      <c r="A236" s="308"/>
      <c r="B236" s="305"/>
      <c r="C236" s="305"/>
      <c r="D236" s="305"/>
      <c r="E236" s="305"/>
      <c r="F236" s="305"/>
      <c r="G236" s="307"/>
      <c r="H236" s="146"/>
      <c r="I236" s="146"/>
      <c r="J236" s="146"/>
      <c r="K236" s="146"/>
      <c r="L236" s="146"/>
      <c r="M236" s="146"/>
      <c r="N236" s="146"/>
      <c r="O236" s="146"/>
      <c r="P236" s="146"/>
      <c r="Q236" s="146"/>
      <c r="R236" s="146"/>
      <c r="S236" s="146"/>
      <c r="T236" s="146"/>
      <c r="U236" s="146"/>
      <c r="V236" s="146"/>
      <c r="W236" s="146"/>
      <c r="X236" s="146"/>
      <c r="Y236" s="146"/>
      <c r="Z236" s="146"/>
    </row>
    <row r="237" ht="22.5" customHeight="1">
      <c r="A237" s="308"/>
      <c r="B237" s="305"/>
      <c r="C237" s="305"/>
      <c r="D237" s="305"/>
      <c r="E237" s="305"/>
      <c r="F237" s="305"/>
      <c r="G237" s="307"/>
      <c r="H237" s="146"/>
      <c r="I237" s="146"/>
      <c r="J237" s="146"/>
      <c r="K237" s="146"/>
      <c r="L237" s="146"/>
      <c r="M237" s="146"/>
      <c r="N237" s="146"/>
      <c r="O237" s="146"/>
      <c r="P237" s="146"/>
      <c r="Q237" s="146"/>
      <c r="R237" s="146"/>
      <c r="S237" s="146"/>
      <c r="T237" s="146"/>
      <c r="U237" s="146"/>
      <c r="V237" s="146"/>
      <c r="W237" s="146"/>
      <c r="X237" s="146"/>
      <c r="Y237" s="146"/>
      <c r="Z237" s="146"/>
    </row>
    <row r="238" ht="22.5" customHeight="1">
      <c r="A238" s="308"/>
      <c r="B238" s="305"/>
      <c r="C238" s="305"/>
      <c r="D238" s="305"/>
      <c r="E238" s="305"/>
      <c r="F238" s="305"/>
      <c r="G238" s="307"/>
      <c r="H238" s="146"/>
      <c r="I238" s="146"/>
      <c r="J238" s="146"/>
      <c r="K238" s="146"/>
      <c r="L238" s="146"/>
      <c r="M238" s="146"/>
      <c r="N238" s="146"/>
      <c r="O238" s="146"/>
      <c r="P238" s="146"/>
      <c r="Q238" s="146"/>
      <c r="R238" s="146"/>
      <c r="S238" s="146"/>
      <c r="T238" s="146"/>
      <c r="U238" s="146"/>
      <c r="V238" s="146"/>
      <c r="W238" s="146"/>
      <c r="X238" s="146"/>
      <c r="Y238" s="146"/>
      <c r="Z238" s="146"/>
    </row>
    <row r="239" ht="22.5" customHeight="1">
      <c r="A239" s="308"/>
      <c r="B239" s="305"/>
      <c r="C239" s="305"/>
      <c r="D239" s="305"/>
      <c r="E239" s="305"/>
      <c r="F239" s="305"/>
      <c r="G239" s="307"/>
      <c r="H239" s="146"/>
      <c r="I239" s="146"/>
      <c r="J239" s="146"/>
      <c r="K239" s="146"/>
      <c r="L239" s="146"/>
      <c r="M239" s="146"/>
      <c r="N239" s="146"/>
      <c r="O239" s="146"/>
      <c r="P239" s="146"/>
      <c r="Q239" s="146"/>
      <c r="R239" s="146"/>
      <c r="S239" s="146"/>
      <c r="T239" s="146"/>
      <c r="U239" s="146"/>
      <c r="V239" s="146"/>
      <c r="W239" s="146"/>
      <c r="X239" s="146"/>
      <c r="Y239" s="146"/>
      <c r="Z239" s="146"/>
    </row>
    <row r="240" ht="22.5" customHeight="1">
      <c r="A240" s="308"/>
      <c r="B240" s="305"/>
      <c r="C240" s="305"/>
      <c r="D240" s="305"/>
      <c r="E240" s="305"/>
      <c r="F240" s="305"/>
      <c r="G240" s="307"/>
      <c r="H240" s="146"/>
      <c r="I240" s="146"/>
      <c r="J240" s="146"/>
      <c r="K240" s="146"/>
      <c r="L240" s="146"/>
      <c r="M240" s="146"/>
      <c r="N240" s="146"/>
      <c r="O240" s="146"/>
      <c r="P240" s="146"/>
      <c r="Q240" s="146"/>
      <c r="R240" s="146"/>
      <c r="S240" s="146"/>
      <c r="T240" s="146"/>
      <c r="U240" s="146"/>
      <c r="V240" s="146"/>
      <c r="W240" s="146"/>
      <c r="X240" s="146"/>
      <c r="Y240" s="146"/>
      <c r="Z240" s="146"/>
    </row>
    <row r="241" ht="22.5" customHeight="1">
      <c r="A241" s="308"/>
      <c r="B241" s="305"/>
      <c r="C241" s="305"/>
      <c r="D241" s="305"/>
      <c r="E241" s="305"/>
      <c r="F241" s="305"/>
      <c r="G241" s="307"/>
      <c r="H241" s="146"/>
      <c r="I241" s="146"/>
      <c r="J241" s="146"/>
      <c r="K241" s="146"/>
      <c r="L241" s="146"/>
      <c r="M241" s="146"/>
      <c r="N241" s="146"/>
      <c r="O241" s="146"/>
      <c r="P241" s="146"/>
      <c r="Q241" s="146"/>
      <c r="R241" s="146"/>
      <c r="S241" s="146"/>
      <c r="T241" s="146"/>
      <c r="U241" s="146"/>
      <c r="V241" s="146"/>
      <c r="W241" s="146"/>
      <c r="X241" s="146"/>
      <c r="Y241" s="146"/>
      <c r="Z241" s="146"/>
    </row>
    <row r="242" ht="22.5" customHeight="1">
      <c r="A242" s="308"/>
      <c r="B242" s="305"/>
      <c r="C242" s="305"/>
      <c r="D242" s="305"/>
      <c r="E242" s="305"/>
      <c r="F242" s="305"/>
      <c r="G242" s="307"/>
      <c r="H242" s="146"/>
      <c r="I242" s="146"/>
      <c r="J242" s="146"/>
      <c r="K242" s="146"/>
      <c r="L242" s="146"/>
      <c r="M242" s="146"/>
      <c r="N242" s="146"/>
      <c r="O242" s="146"/>
      <c r="P242" s="146"/>
      <c r="Q242" s="146"/>
      <c r="R242" s="146"/>
      <c r="S242" s="146"/>
      <c r="T242" s="146"/>
      <c r="U242" s="146"/>
      <c r="V242" s="146"/>
      <c r="W242" s="146"/>
      <c r="X242" s="146"/>
      <c r="Y242" s="146"/>
      <c r="Z242" s="146"/>
    </row>
    <row r="243" ht="22.5" customHeight="1">
      <c r="A243" s="308"/>
      <c r="B243" s="305"/>
      <c r="C243" s="305"/>
      <c r="D243" s="305"/>
      <c r="E243" s="305"/>
      <c r="F243" s="305"/>
      <c r="G243" s="307"/>
      <c r="H243" s="146"/>
      <c r="I243" s="146"/>
      <c r="J243" s="146"/>
      <c r="K243" s="146"/>
      <c r="L243" s="146"/>
      <c r="M243" s="146"/>
      <c r="N243" s="146"/>
      <c r="O243" s="146"/>
      <c r="P243" s="146"/>
      <c r="Q243" s="146"/>
      <c r="R243" s="146"/>
      <c r="S243" s="146"/>
      <c r="T243" s="146"/>
      <c r="U243" s="146"/>
      <c r="V243" s="146"/>
      <c r="W243" s="146"/>
      <c r="X243" s="146"/>
      <c r="Y243" s="146"/>
      <c r="Z243" s="146"/>
    </row>
    <row r="244" ht="22.5" customHeight="1">
      <c r="A244" s="308"/>
      <c r="B244" s="305"/>
      <c r="C244" s="305"/>
      <c r="D244" s="305"/>
      <c r="E244" s="305"/>
      <c r="F244" s="305"/>
      <c r="G244" s="307"/>
      <c r="H244" s="146"/>
      <c r="I244" s="146"/>
      <c r="J244" s="146"/>
      <c r="K244" s="146"/>
      <c r="L244" s="146"/>
      <c r="M244" s="146"/>
      <c r="N244" s="146"/>
      <c r="O244" s="146"/>
      <c r="P244" s="146"/>
      <c r="Q244" s="146"/>
      <c r="R244" s="146"/>
      <c r="S244" s="146"/>
      <c r="T244" s="146"/>
      <c r="U244" s="146"/>
      <c r="V244" s="146"/>
      <c r="W244" s="146"/>
      <c r="X244" s="146"/>
      <c r="Y244" s="146"/>
      <c r="Z244" s="146"/>
    </row>
    <row r="245" ht="22.5" customHeight="1">
      <c r="A245" s="308"/>
      <c r="B245" s="305"/>
      <c r="C245" s="305"/>
      <c r="D245" s="305"/>
      <c r="E245" s="305"/>
      <c r="F245" s="305"/>
      <c r="G245" s="307"/>
      <c r="H245" s="146"/>
      <c r="I245" s="146"/>
      <c r="J245" s="146"/>
      <c r="K245" s="146"/>
      <c r="L245" s="146"/>
      <c r="M245" s="146"/>
      <c r="N245" s="146"/>
      <c r="O245" s="146"/>
      <c r="P245" s="146"/>
      <c r="Q245" s="146"/>
      <c r="R245" s="146"/>
      <c r="S245" s="146"/>
      <c r="T245" s="146"/>
      <c r="U245" s="146"/>
      <c r="V245" s="146"/>
      <c r="W245" s="146"/>
      <c r="X245" s="146"/>
      <c r="Y245" s="146"/>
      <c r="Z245" s="146"/>
    </row>
    <row r="246" ht="22.5" customHeight="1">
      <c r="A246" s="308"/>
      <c r="B246" s="305"/>
      <c r="C246" s="305"/>
      <c r="D246" s="305"/>
      <c r="E246" s="305"/>
      <c r="F246" s="305"/>
      <c r="G246" s="307"/>
      <c r="H246" s="146"/>
      <c r="I246" s="146"/>
      <c r="J246" s="146"/>
      <c r="K246" s="146"/>
      <c r="L246" s="146"/>
      <c r="M246" s="146"/>
      <c r="N246" s="146"/>
      <c r="O246" s="146"/>
      <c r="P246" s="146"/>
      <c r="Q246" s="146"/>
      <c r="R246" s="146"/>
      <c r="S246" s="146"/>
      <c r="T246" s="146"/>
      <c r="U246" s="146"/>
      <c r="V246" s="146"/>
      <c r="W246" s="146"/>
      <c r="X246" s="146"/>
      <c r="Y246" s="146"/>
      <c r="Z246" s="146"/>
    </row>
    <row r="247" ht="22.5" customHeight="1">
      <c r="A247" s="308"/>
      <c r="B247" s="305"/>
      <c r="C247" s="305"/>
      <c r="D247" s="305"/>
      <c r="E247" s="305"/>
      <c r="F247" s="305"/>
      <c r="G247" s="307"/>
      <c r="H247" s="146"/>
      <c r="I247" s="146"/>
      <c r="J247" s="146"/>
      <c r="K247" s="146"/>
      <c r="L247" s="146"/>
      <c r="M247" s="146"/>
      <c r="N247" s="146"/>
      <c r="O247" s="146"/>
      <c r="P247" s="146"/>
      <c r="Q247" s="146"/>
      <c r="R247" s="146"/>
      <c r="S247" s="146"/>
      <c r="T247" s="146"/>
      <c r="U247" s="146"/>
      <c r="V247" s="146"/>
      <c r="W247" s="146"/>
      <c r="X247" s="146"/>
      <c r="Y247" s="146"/>
      <c r="Z247" s="146"/>
    </row>
    <row r="248" ht="22.5" customHeight="1">
      <c r="A248" s="308"/>
      <c r="B248" s="305"/>
      <c r="C248" s="305"/>
      <c r="D248" s="305"/>
      <c r="E248" s="305"/>
      <c r="F248" s="305"/>
      <c r="G248" s="307"/>
      <c r="H248" s="146"/>
      <c r="I248" s="146"/>
      <c r="J248" s="146"/>
      <c r="K248" s="146"/>
      <c r="L248" s="146"/>
      <c r="M248" s="146"/>
      <c r="N248" s="146"/>
      <c r="O248" s="146"/>
      <c r="P248" s="146"/>
      <c r="Q248" s="146"/>
      <c r="R248" s="146"/>
      <c r="S248" s="146"/>
      <c r="T248" s="146"/>
      <c r="U248" s="146"/>
      <c r="V248" s="146"/>
      <c r="W248" s="146"/>
      <c r="X248" s="146"/>
      <c r="Y248" s="146"/>
      <c r="Z248" s="146"/>
    </row>
    <row r="249" ht="22.5" customHeight="1">
      <c r="A249" s="308"/>
      <c r="B249" s="305"/>
      <c r="C249" s="305"/>
      <c r="D249" s="305"/>
      <c r="E249" s="305"/>
      <c r="F249" s="305"/>
      <c r="G249" s="307"/>
      <c r="H249" s="146"/>
      <c r="I249" s="146"/>
      <c r="J249" s="146"/>
      <c r="K249" s="146"/>
      <c r="L249" s="146"/>
      <c r="M249" s="146"/>
      <c r="N249" s="146"/>
      <c r="O249" s="146"/>
      <c r="P249" s="146"/>
      <c r="Q249" s="146"/>
      <c r="R249" s="146"/>
      <c r="S249" s="146"/>
      <c r="T249" s="146"/>
      <c r="U249" s="146"/>
      <c r="V249" s="146"/>
      <c r="W249" s="146"/>
      <c r="X249" s="146"/>
      <c r="Y249" s="146"/>
      <c r="Z249" s="146"/>
    </row>
    <row r="250" ht="22.5" customHeight="1">
      <c r="A250" s="308"/>
      <c r="B250" s="305"/>
      <c r="C250" s="305"/>
      <c r="D250" s="305"/>
      <c r="E250" s="305"/>
      <c r="F250" s="305"/>
      <c r="G250" s="307"/>
      <c r="H250" s="146"/>
      <c r="I250" s="146"/>
      <c r="J250" s="146"/>
      <c r="K250" s="146"/>
      <c r="L250" s="146"/>
      <c r="M250" s="146"/>
      <c r="N250" s="146"/>
      <c r="O250" s="146"/>
      <c r="P250" s="146"/>
      <c r="Q250" s="146"/>
      <c r="R250" s="146"/>
      <c r="S250" s="146"/>
      <c r="T250" s="146"/>
      <c r="U250" s="146"/>
      <c r="V250" s="146"/>
      <c r="W250" s="146"/>
      <c r="X250" s="146"/>
      <c r="Y250" s="146"/>
      <c r="Z250" s="146"/>
    </row>
    <row r="251" ht="22.5" customHeight="1">
      <c r="A251" s="308"/>
      <c r="B251" s="305"/>
      <c r="C251" s="305"/>
      <c r="D251" s="305"/>
      <c r="E251" s="305"/>
      <c r="F251" s="305"/>
      <c r="G251" s="307"/>
      <c r="H251" s="146"/>
      <c r="I251" s="146"/>
      <c r="J251" s="146"/>
      <c r="K251" s="146"/>
      <c r="L251" s="146"/>
      <c r="M251" s="146"/>
      <c r="N251" s="146"/>
      <c r="O251" s="146"/>
      <c r="P251" s="146"/>
      <c r="Q251" s="146"/>
      <c r="R251" s="146"/>
      <c r="S251" s="146"/>
      <c r="T251" s="146"/>
      <c r="U251" s="146"/>
      <c r="V251" s="146"/>
      <c r="W251" s="146"/>
      <c r="X251" s="146"/>
      <c r="Y251" s="146"/>
      <c r="Z251" s="146"/>
    </row>
    <row r="252" ht="22.5" customHeight="1">
      <c r="A252" s="308"/>
      <c r="B252" s="305"/>
      <c r="C252" s="305"/>
      <c r="D252" s="305"/>
      <c r="E252" s="305"/>
      <c r="F252" s="305"/>
      <c r="G252" s="307"/>
      <c r="H252" s="146"/>
      <c r="I252" s="146"/>
      <c r="J252" s="146"/>
      <c r="K252" s="146"/>
      <c r="L252" s="146"/>
      <c r="M252" s="146"/>
      <c r="N252" s="146"/>
      <c r="O252" s="146"/>
      <c r="P252" s="146"/>
      <c r="Q252" s="146"/>
      <c r="R252" s="146"/>
      <c r="S252" s="146"/>
      <c r="T252" s="146"/>
      <c r="U252" s="146"/>
      <c r="V252" s="146"/>
      <c r="W252" s="146"/>
      <c r="X252" s="146"/>
      <c r="Y252" s="146"/>
      <c r="Z252" s="146"/>
    </row>
    <row r="253" ht="22.5" customHeight="1">
      <c r="A253" s="308"/>
      <c r="B253" s="305"/>
      <c r="C253" s="305"/>
      <c r="D253" s="305"/>
      <c r="E253" s="305"/>
      <c r="F253" s="305"/>
      <c r="G253" s="307"/>
      <c r="H253" s="146"/>
      <c r="I253" s="146"/>
      <c r="J253" s="146"/>
      <c r="K253" s="146"/>
      <c r="L253" s="146"/>
      <c r="M253" s="146"/>
      <c r="N253" s="146"/>
      <c r="O253" s="146"/>
      <c r="P253" s="146"/>
      <c r="Q253" s="146"/>
      <c r="R253" s="146"/>
      <c r="S253" s="146"/>
      <c r="T253" s="146"/>
      <c r="U253" s="146"/>
      <c r="V253" s="146"/>
      <c r="W253" s="146"/>
      <c r="X253" s="146"/>
      <c r="Y253" s="146"/>
      <c r="Z253" s="146"/>
    </row>
    <row r="254" ht="22.5" customHeight="1">
      <c r="A254" s="308"/>
      <c r="B254" s="305"/>
      <c r="C254" s="305"/>
      <c r="D254" s="305"/>
      <c r="E254" s="305"/>
      <c r="F254" s="305"/>
      <c r="G254" s="307"/>
      <c r="H254" s="146"/>
      <c r="I254" s="146"/>
      <c r="J254" s="146"/>
      <c r="K254" s="146"/>
      <c r="L254" s="146"/>
      <c r="M254" s="146"/>
      <c r="N254" s="146"/>
      <c r="O254" s="146"/>
      <c r="P254" s="146"/>
      <c r="Q254" s="146"/>
      <c r="R254" s="146"/>
      <c r="S254" s="146"/>
      <c r="T254" s="146"/>
      <c r="U254" s="146"/>
      <c r="V254" s="146"/>
      <c r="W254" s="146"/>
      <c r="X254" s="146"/>
      <c r="Y254" s="146"/>
      <c r="Z254" s="146"/>
    </row>
    <row r="255" ht="22.5" customHeight="1">
      <c r="A255" s="308"/>
      <c r="B255" s="305"/>
      <c r="C255" s="305"/>
      <c r="D255" s="305"/>
      <c r="E255" s="305"/>
      <c r="F255" s="305"/>
      <c r="G255" s="307"/>
      <c r="H255" s="146"/>
      <c r="I255" s="146"/>
      <c r="J255" s="146"/>
      <c r="K255" s="146"/>
      <c r="L255" s="146"/>
      <c r="M255" s="146"/>
      <c r="N255" s="146"/>
      <c r="O255" s="146"/>
      <c r="P255" s="146"/>
      <c r="Q255" s="146"/>
      <c r="R255" s="146"/>
      <c r="S255" s="146"/>
      <c r="T255" s="146"/>
      <c r="U255" s="146"/>
      <c r="V255" s="146"/>
      <c r="W255" s="146"/>
      <c r="X255" s="146"/>
      <c r="Y255" s="146"/>
      <c r="Z255" s="146"/>
    </row>
    <row r="256" ht="22.5" customHeight="1">
      <c r="A256" s="308"/>
      <c r="B256" s="305"/>
      <c r="C256" s="305"/>
      <c r="D256" s="305"/>
      <c r="E256" s="305"/>
      <c r="F256" s="305"/>
      <c r="G256" s="307"/>
      <c r="H256" s="146"/>
      <c r="I256" s="146"/>
      <c r="J256" s="146"/>
      <c r="K256" s="146"/>
      <c r="L256" s="146"/>
      <c r="M256" s="146"/>
      <c r="N256" s="146"/>
      <c r="O256" s="146"/>
      <c r="P256" s="146"/>
      <c r="Q256" s="146"/>
      <c r="R256" s="146"/>
      <c r="S256" s="146"/>
      <c r="T256" s="146"/>
      <c r="U256" s="146"/>
      <c r="V256" s="146"/>
      <c r="W256" s="146"/>
      <c r="X256" s="146"/>
      <c r="Y256" s="146"/>
      <c r="Z256" s="146"/>
    </row>
    <row r="257" ht="22.5" customHeight="1">
      <c r="A257" s="308"/>
      <c r="B257" s="305"/>
      <c r="C257" s="305"/>
      <c r="D257" s="305"/>
      <c r="E257" s="305"/>
      <c r="F257" s="305"/>
      <c r="G257" s="307"/>
      <c r="H257" s="146"/>
      <c r="I257" s="146"/>
      <c r="J257" s="146"/>
      <c r="K257" s="146"/>
      <c r="L257" s="146"/>
      <c r="M257" s="146"/>
      <c r="N257" s="146"/>
      <c r="O257" s="146"/>
      <c r="P257" s="146"/>
      <c r="Q257" s="146"/>
      <c r="R257" s="146"/>
      <c r="S257" s="146"/>
      <c r="T257" s="146"/>
      <c r="U257" s="146"/>
      <c r="V257" s="146"/>
      <c r="W257" s="146"/>
      <c r="X257" s="146"/>
      <c r="Y257" s="146"/>
      <c r="Z257" s="146"/>
    </row>
    <row r="258" ht="22.5" customHeight="1">
      <c r="A258" s="308"/>
      <c r="B258" s="305"/>
      <c r="C258" s="305"/>
      <c r="D258" s="305"/>
      <c r="E258" s="305"/>
      <c r="F258" s="305"/>
      <c r="G258" s="307"/>
      <c r="H258" s="146"/>
      <c r="I258" s="146"/>
      <c r="J258" s="146"/>
      <c r="K258" s="146"/>
      <c r="L258" s="146"/>
      <c r="M258" s="146"/>
      <c r="N258" s="146"/>
      <c r="O258" s="146"/>
      <c r="P258" s="146"/>
      <c r="Q258" s="146"/>
      <c r="R258" s="146"/>
      <c r="S258" s="146"/>
      <c r="T258" s="146"/>
      <c r="U258" s="146"/>
      <c r="V258" s="146"/>
      <c r="W258" s="146"/>
      <c r="X258" s="146"/>
      <c r="Y258" s="146"/>
      <c r="Z258" s="146"/>
    </row>
    <row r="259" ht="22.5" customHeight="1">
      <c r="A259" s="308"/>
      <c r="B259" s="305"/>
      <c r="C259" s="305"/>
      <c r="D259" s="305"/>
      <c r="E259" s="305"/>
      <c r="F259" s="305"/>
      <c r="G259" s="307"/>
      <c r="H259" s="146"/>
      <c r="I259" s="146"/>
      <c r="J259" s="146"/>
      <c r="K259" s="146"/>
      <c r="L259" s="146"/>
      <c r="M259" s="146"/>
      <c r="N259" s="146"/>
      <c r="O259" s="146"/>
      <c r="P259" s="146"/>
      <c r="Q259" s="146"/>
      <c r="R259" s="146"/>
      <c r="S259" s="146"/>
      <c r="T259" s="146"/>
      <c r="U259" s="146"/>
      <c r="V259" s="146"/>
      <c r="W259" s="146"/>
      <c r="X259" s="146"/>
      <c r="Y259" s="146"/>
      <c r="Z259" s="146"/>
    </row>
    <row r="260" ht="22.5" customHeight="1">
      <c r="A260" s="308"/>
      <c r="B260" s="305"/>
      <c r="C260" s="305"/>
      <c r="D260" s="305"/>
      <c r="E260" s="305"/>
      <c r="F260" s="305"/>
      <c r="G260" s="307"/>
      <c r="H260" s="146"/>
      <c r="I260" s="146"/>
      <c r="J260" s="146"/>
      <c r="K260" s="146"/>
      <c r="L260" s="146"/>
      <c r="M260" s="146"/>
      <c r="N260" s="146"/>
      <c r="O260" s="146"/>
      <c r="P260" s="146"/>
      <c r="Q260" s="146"/>
      <c r="R260" s="146"/>
      <c r="S260" s="146"/>
      <c r="T260" s="146"/>
      <c r="U260" s="146"/>
      <c r="V260" s="146"/>
      <c r="W260" s="146"/>
      <c r="X260" s="146"/>
      <c r="Y260" s="146"/>
      <c r="Z260" s="146"/>
    </row>
    <row r="261" ht="22.5" customHeight="1">
      <c r="A261" s="308"/>
      <c r="B261" s="305"/>
      <c r="C261" s="305"/>
      <c r="D261" s="305"/>
      <c r="E261" s="305"/>
      <c r="F261" s="305"/>
      <c r="G261" s="307"/>
      <c r="H261" s="146"/>
      <c r="I261" s="146"/>
      <c r="J261" s="146"/>
      <c r="K261" s="146"/>
      <c r="L261" s="146"/>
      <c r="M261" s="146"/>
      <c r="N261" s="146"/>
      <c r="O261" s="146"/>
      <c r="P261" s="146"/>
      <c r="Q261" s="146"/>
      <c r="R261" s="146"/>
      <c r="S261" s="146"/>
      <c r="T261" s="146"/>
      <c r="U261" s="146"/>
      <c r="V261" s="146"/>
      <c r="W261" s="146"/>
      <c r="X261" s="146"/>
      <c r="Y261" s="146"/>
      <c r="Z261" s="146"/>
    </row>
    <row r="262" ht="22.5" customHeight="1">
      <c r="A262" s="308"/>
      <c r="B262" s="305"/>
      <c r="C262" s="305"/>
      <c r="D262" s="305"/>
      <c r="E262" s="305"/>
      <c r="F262" s="305"/>
      <c r="G262" s="307"/>
      <c r="H262" s="146"/>
      <c r="I262" s="146"/>
      <c r="J262" s="146"/>
      <c r="K262" s="146"/>
      <c r="L262" s="146"/>
      <c r="M262" s="146"/>
      <c r="N262" s="146"/>
      <c r="O262" s="146"/>
      <c r="P262" s="146"/>
      <c r="Q262" s="146"/>
      <c r="R262" s="146"/>
      <c r="S262" s="146"/>
      <c r="T262" s="146"/>
      <c r="U262" s="146"/>
      <c r="V262" s="146"/>
      <c r="W262" s="146"/>
      <c r="X262" s="146"/>
      <c r="Y262" s="146"/>
      <c r="Z262" s="146"/>
    </row>
    <row r="263" ht="22.5" customHeight="1">
      <c r="A263" s="308"/>
      <c r="B263" s="305"/>
      <c r="C263" s="305"/>
      <c r="D263" s="305"/>
      <c r="E263" s="305"/>
      <c r="F263" s="305"/>
      <c r="G263" s="307"/>
      <c r="H263" s="146"/>
      <c r="I263" s="146"/>
      <c r="J263" s="146"/>
      <c r="K263" s="146"/>
      <c r="L263" s="146"/>
      <c r="M263" s="146"/>
      <c r="N263" s="146"/>
      <c r="O263" s="146"/>
      <c r="P263" s="146"/>
      <c r="Q263" s="146"/>
      <c r="R263" s="146"/>
      <c r="S263" s="146"/>
      <c r="T263" s="146"/>
      <c r="U263" s="146"/>
      <c r="V263" s="146"/>
      <c r="W263" s="146"/>
      <c r="X263" s="146"/>
      <c r="Y263" s="146"/>
      <c r="Z263" s="146"/>
    </row>
    <row r="264" ht="22.5" customHeight="1">
      <c r="A264" s="308"/>
      <c r="B264" s="305"/>
      <c r="C264" s="305"/>
      <c r="D264" s="305"/>
      <c r="E264" s="305"/>
      <c r="F264" s="305"/>
      <c r="G264" s="307"/>
      <c r="H264" s="146"/>
      <c r="I264" s="146"/>
      <c r="J264" s="146"/>
      <c r="K264" s="146"/>
      <c r="L264" s="146"/>
      <c r="M264" s="146"/>
      <c r="N264" s="146"/>
      <c r="O264" s="146"/>
      <c r="P264" s="146"/>
      <c r="Q264" s="146"/>
      <c r="R264" s="146"/>
      <c r="S264" s="146"/>
      <c r="T264" s="146"/>
      <c r="U264" s="146"/>
      <c r="V264" s="146"/>
      <c r="W264" s="146"/>
      <c r="X264" s="146"/>
      <c r="Y264" s="146"/>
      <c r="Z264" s="146"/>
    </row>
    <row r="265" ht="22.5" customHeight="1">
      <c r="A265" s="308"/>
      <c r="B265" s="305"/>
      <c r="C265" s="305"/>
      <c r="D265" s="305"/>
      <c r="E265" s="305"/>
      <c r="F265" s="305"/>
      <c r="G265" s="307"/>
      <c r="H265" s="146"/>
      <c r="I265" s="146"/>
      <c r="J265" s="146"/>
      <c r="K265" s="146"/>
      <c r="L265" s="146"/>
      <c r="M265" s="146"/>
      <c r="N265" s="146"/>
      <c r="O265" s="146"/>
      <c r="P265" s="146"/>
      <c r="Q265" s="146"/>
      <c r="R265" s="146"/>
      <c r="S265" s="146"/>
      <c r="T265" s="146"/>
      <c r="U265" s="146"/>
      <c r="V265" s="146"/>
      <c r="W265" s="146"/>
      <c r="X265" s="146"/>
      <c r="Y265" s="146"/>
      <c r="Z265" s="146"/>
    </row>
    <row r="266" ht="22.5" customHeight="1">
      <c r="A266" s="308"/>
      <c r="B266" s="305"/>
      <c r="C266" s="305"/>
      <c r="D266" s="305"/>
      <c r="E266" s="305"/>
      <c r="F266" s="305"/>
      <c r="G266" s="307"/>
      <c r="H266" s="146"/>
      <c r="I266" s="146"/>
      <c r="J266" s="146"/>
      <c r="K266" s="146"/>
      <c r="L266" s="146"/>
      <c r="M266" s="146"/>
      <c r="N266" s="146"/>
      <c r="O266" s="146"/>
      <c r="P266" s="146"/>
      <c r="Q266" s="146"/>
      <c r="R266" s="146"/>
      <c r="S266" s="146"/>
      <c r="T266" s="146"/>
      <c r="U266" s="146"/>
      <c r="V266" s="146"/>
      <c r="W266" s="146"/>
      <c r="X266" s="146"/>
      <c r="Y266" s="146"/>
      <c r="Z266" s="146"/>
    </row>
    <row r="267" ht="22.5" customHeight="1">
      <c r="A267" s="308"/>
      <c r="B267" s="305"/>
      <c r="C267" s="305"/>
      <c r="D267" s="305"/>
      <c r="E267" s="305"/>
      <c r="F267" s="305"/>
      <c r="G267" s="307"/>
      <c r="H267" s="146"/>
      <c r="I267" s="146"/>
      <c r="J267" s="146"/>
      <c r="K267" s="146"/>
      <c r="L267" s="146"/>
      <c r="M267" s="146"/>
      <c r="N267" s="146"/>
      <c r="O267" s="146"/>
      <c r="P267" s="146"/>
      <c r="Q267" s="146"/>
      <c r="R267" s="146"/>
      <c r="S267" s="146"/>
      <c r="T267" s="146"/>
      <c r="U267" s="146"/>
      <c r="V267" s="146"/>
      <c r="W267" s="146"/>
      <c r="X267" s="146"/>
      <c r="Y267" s="146"/>
      <c r="Z267" s="146"/>
    </row>
    <row r="268" ht="22.5" customHeight="1">
      <c r="A268" s="308"/>
      <c r="B268" s="305"/>
      <c r="C268" s="305"/>
      <c r="D268" s="305"/>
      <c r="E268" s="305"/>
      <c r="F268" s="305"/>
      <c r="G268" s="307"/>
      <c r="H268" s="146"/>
      <c r="I268" s="146"/>
      <c r="J268" s="146"/>
      <c r="K268" s="146"/>
      <c r="L268" s="146"/>
      <c r="M268" s="146"/>
      <c r="N268" s="146"/>
      <c r="O268" s="146"/>
      <c r="P268" s="146"/>
      <c r="Q268" s="146"/>
      <c r="R268" s="146"/>
      <c r="S268" s="146"/>
      <c r="T268" s="146"/>
      <c r="U268" s="146"/>
      <c r="V268" s="146"/>
      <c r="W268" s="146"/>
      <c r="X268" s="146"/>
      <c r="Y268" s="146"/>
      <c r="Z268" s="146"/>
    </row>
    <row r="269" ht="22.5" customHeight="1">
      <c r="A269" s="308"/>
      <c r="B269" s="305"/>
      <c r="C269" s="305"/>
      <c r="D269" s="305"/>
      <c r="E269" s="305"/>
      <c r="F269" s="305"/>
      <c r="G269" s="307"/>
      <c r="H269" s="146"/>
      <c r="I269" s="146"/>
      <c r="J269" s="146"/>
      <c r="K269" s="146"/>
      <c r="L269" s="146"/>
      <c r="M269" s="146"/>
      <c r="N269" s="146"/>
      <c r="O269" s="146"/>
      <c r="P269" s="146"/>
      <c r="Q269" s="146"/>
      <c r="R269" s="146"/>
      <c r="S269" s="146"/>
      <c r="T269" s="146"/>
      <c r="U269" s="146"/>
      <c r="V269" s="146"/>
      <c r="W269" s="146"/>
      <c r="X269" s="146"/>
      <c r="Y269" s="146"/>
      <c r="Z269" s="146"/>
    </row>
    <row r="270" ht="22.5" customHeight="1">
      <c r="A270" s="308"/>
      <c r="B270" s="305"/>
      <c r="C270" s="305"/>
      <c r="D270" s="305"/>
      <c r="E270" s="305"/>
      <c r="F270" s="305"/>
      <c r="G270" s="307"/>
      <c r="H270" s="146"/>
      <c r="I270" s="146"/>
      <c r="J270" s="146"/>
      <c r="K270" s="146"/>
      <c r="L270" s="146"/>
      <c r="M270" s="146"/>
      <c r="N270" s="146"/>
      <c r="O270" s="146"/>
      <c r="P270" s="146"/>
      <c r="Q270" s="146"/>
      <c r="R270" s="146"/>
      <c r="S270" s="146"/>
      <c r="T270" s="146"/>
      <c r="U270" s="146"/>
      <c r="V270" s="146"/>
      <c r="W270" s="146"/>
      <c r="X270" s="146"/>
      <c r="Y270" s="146"/>
      <c r="Z270" s="146"/>
    </row>
    <row r="271" ht="22.5" customHeight="1">
      <c r="A271" s="308"/>
      <c r="B271" s="305"/>
      <c r="C271" s="305"/>
      <c r="D271" s="305"/>
      <c r="E271" s="305"/>
      <c r="F271" s="305"/>
      <c r="G271" s="307"/>
      <c r="H271" s="146"/>
      <c r="I271" s="146"/>
      <c r="J271" s="146"/>
      <c r="K271" s="146"/>
      <c r="L271" s="146"/>
      <c r="M271" s="146"/>
      <c r="N271" s="146"/>
      <c r="O271" s="146"/>
      <c r="P271" s="146"/>
      <c r="Q271" s="146"/>
      <c r="R271" s="146"/>
      <c r="S271" s="146"/>
      <c r="T271" s="146"/>
      <c r="U271" s="146"/>
      <c r="V271" s="146"/>
      <c r="W271" s="146"/>
      <c r="X271" s="146"/>
      <c r="Y271" s="146"/>
      <c r="Z271" s="146"/>
    </row>
    <row r="272" ht="22.5" customHeight="1">
      <c r="A272" s="308"/>
      <c r="B272" s="305"/>
      <c r="C272" s="305"/>
      <c r="D272" s="305"/>
      <c r="E272" s="305"/>
      <c r="F272" s="305"/>
      <c r="G272" s="307"/>
      <c r="H272" s="146"/>
      <c r="I272" s="146"/>
      <c r="J272" s="146"/>
      <c r="K272" s="146"/>
      <c r="L272" s="146"/>
      <c r="M272" s="146"/>
      <c r="N272" s="146"/>
      <c r="O272" s="146"/>
      <c r="P272" s="146"/>
      <c r="Q272" s="146"/>
      <c r="R272" s="146"/>
      <c r="S272" s="146"/>
      <c r="T272" s="146"/>
      <c r="U272" s="146"/>
      <c r="V272" s="146"/>
      <c r="W272" s="146"/>
      <c r="X272" s="146"/>
      <c r="Y272" s="146"/>
      <c r="Z272" s="146"/>
    </row>
    <row r="273" ht="22.5" customHeight="1">
      <c r="A273" s="308"/>
      <c r="B273" s="305"/>
      <c r="C273" s="305"/>
      <c r="D273" s="305"/>
      <c r="E273" s="305"/>
      <c r="F273" s="305"/>
      <c r="G273" s="307"/>
      <c r="H273" s="146"/>
      <c r="I273" s="146"/>
      <c r="J273" s="146"/>
      <c r="K273" s="146"/>
      <c r="L273" s="146"/>
      <c r="M273" s="146"/>
      <c r="N273" s="146"/>
      <c r="O273" s="146"/>
      <c r="P273" s="146"/>
      <c r="Q273" s="146"/>
      <c r="R273" s="146"/>
      <c r="S273" s="146"/>
      <c r="T273" s="146"/>
      <c r="U273" s="146"/>
      <c r="V273" s="146"/>
      <c r="W273" s="146"/>
      <c r="X273" s="146"/>
      <c r="Y273" s="146"/>
      <c r="Z273" s="146"/>
    </row>
    <row r="274" ht="22.5" customHeight="1">
      <c r="A274" s="308"/>
      <c r="B274" s="305"/>
      <c r="C274" s="305"/>
      <c r="D274" s="305"/>
      <c r="E274" s="305"/>
      <c r="F274" s="305"/>
      <c r="G274" s="307"/>
      <c r="H274" s="146"/>
      <c r="I274" s="146"/>
      <c r="J274" s="146"/>
      <c r="K274" s="146"/>
      <c r="L274" s="146"/>
      <c r="M274" s="146"/>
      <c r="N274" s="146"/>
      <c r="O274" s="146"/>
      <c r="P274" s="146"/>
      <c r="Q274" s="146"/>
      <c r="R274" s="146"/>
      <c r="S274" s="146"/>
      <c r="T274" s="146"/>
      <c r="U274" s="146"/>
      <c r="V274" s="146"/>
      <c r="W274" s="146"/>
      <c r="X274" s="146"/>
      <c r="Y274" s="146"/>
      <c r="Z274" s="146"/>
    </row>
    <row r="275" ht="22.5" customHeight="1">
      <c r="A275" s="308"/>
      <c r="B275" s="305"/>
      <c r="C275" s="305"/>
      <c r="D275" s="305"/>
      <c r="E275" s="305"/>
      <c r="F275" s="305"/>
      <c r="G275" s="307"/>
      <c r="H275" s="146"/>
      <c r="I275" s="146"/>
      <c r="J275" s="146"/>
      <c r="K275" s="146"/>
      <c r="L275" s="146"/>
      <c r="M275" s="146"/>
      <c r="N275" s="146"/>
      <c r="O275" s="146"/>
      <c r="P275" s="146"/>
      <c r="Q275" s="146"/>
      <c r="R275" s="146"/>
      <c r="S275" s="146"/>
      <c r="T275" s="146"/>
      <c r="U275" s="146"/>
      <c r="V275" s="146"/>
      <c r="W275" s="146"/>
      <c r="X275" s="146"/>
      <c r="Y275" s="146"/>
      <c r="Z275" s="146"/>
    </row>
    <row r="276" ht="22.5" customHeight="1">
      <c r="A276" s="308"/>
      <c r="B276" s="305"/>
      <c r="C276" s="305"/>
      <c r="D276" s="305"/>
      <c r="E276" s="305"/>
      <c r="F276" s="305"/>
      <c r="G276" s="307"/>
      <c r="H276" s="146"/>
      <c r="I276" s="146"/>
      <c r="J276" s="146"/>
      <c r="K276" s="146"/>
      <c r="L276" s="146"/>
      <c r="M276" s="146"/>
      <c r="N276" s="146"/>
      <c r="O276" s="146"/>
      <c r="P276" s="146"/>
      <c r="Q276" s="146"/>
      <c r="R276" s="146"/>
      <c r="S276" s="146"/>
      <c r="T276" s="146"/>
      <c r="U276" s="146"/>
      <c r="V276" s="146"/>
      <c r="W276" s="146"/>
      <c r="X276" s="146"/>
      <c r="Y276" s="146"/>
      <c r="Z276" s="146"/>
    </row>
    <row r="277" ht="22.5" customHeight="1">
      <c r="A277" s="308"/>
      <c r="B277" s="305"/>
      <c r="C277" s="305"/>
      <c r="D277" s="305"/>
      <c r="E277" s="305"/>
      <c r="F277" s="305"/>
      <c r="G277" s="307"/>
      <c r="H277" s="146"/>
      <c r="I277" s="146"/>
      <c r="J277" s="146"/>
      <c r="K277" s="146"/>
      <c r="L277" s="146"/>
      <c r="M277" s="146"/>
      <c r="N277" s="146"/>
      <c r="O277" s="146"/>
      <c r="P277" s="146"/>
      <c r="Q277" s="146"/>
      <c r="R277" s="146"/>
      <c r="S277" s="146"/>
      <c r="T277" s="146"/>
      <c r="U277" s="146"/>
      <c r="V277" s="146"/>
      <c r="W277" s="146"/>
      <c r="X277" s="146"/>
      <c r="Y277" s="146"/>
      <c r="Z277" s="146"/>
    </row>
    <row r="278" ht="22.5" customHeight="1">
      <c r="A278" s="308"/>
      <c r="B278" s="305"/>
      <c r="C278" s="305"/>
      <c r="D278" s="305"/>
      <c r="E278" s="305"/>
      <c r="F278" s="305"/>
      <c r="G278" s="307"/>
      <c r="H278" s="146"/>
      <c r="I278" s="146"/>
      <c r="J278" s="146"/>
      <c r="K278" s="146"/>
      <c r="L278" s="146"/>
      <c r="M278" s="146"/>
      <c r="N278" s="146"/>
      <c r="O278" s="146"/>
      <c r="P278" s="146"/>
      <c r="Q278" s="146"/>
      <c r="R278" s="146"/>
      <c r="S278" s="146"/>
      <c r="T278" s="146"/>
      <c r="U278" s="146"/>
      <c r="V278" s="146"/>
      <c r="W278" s="146"/>
      <c r="X278" s="146"/>
      <c r="Y278" s="146"/>
      <c r="Z278" s="146"/>
    </row>
    <row r="279" ht="22.5" customHeight="1">
      <c r="A279" s="308"/>
      <c r="B279" s="305"/>
      <c r="C279" s="305"/>
      <c r="D279" s="305"/>
      <c r="E279" s="305"/>
      <c r="F279" s="305"/>
      <c r="G279" s="307"/>
      <c r="H279" s="146"/>
      <c r="I279" s="146"/>
      <c r="J279" s="146"/>
      <c r="K279" s="146"/>
      <c r="L279" s="146"/>
      <c r="M279" s="146"/>
      <c r="N279" s="146"/>
      <c r="O279" s="146"/>
      <c r="P279" s="146"/>
      <c r="Q279" s="146"/>
      <c r="R279" s="146"/>
      <c r="S279" s="146"/>
      <c r="T279" s="146"/>
      <c r="U279" s="146"/>
      <c r="V279" s="146"/>
      <c r="W279" s="146"/>
      <c r="X279" s="146"/>
      <c r="Y279" s="146"/>
      <c r="Z279" s="146"/>
    </row>
    <row r="280" ht="22.5" customHeight="1">
      <c r="A280" s="308"/>
      <c r="B280" s="305"/>
      <c r="C280" s="305"/>
      <c r="D280" s="305"/>
      <c r="E280" s="305"/>
      <c r="F280" s="305"/>
      <c r="G280" s="307"/>
      <c r="H280" s="146"/>
      <c r="I280" s="146"/>
      <c r="J280" s="146"/>
      <c r="K280" s="146"/>
      <c r="L280" s="146"/>
      <c r="M280" s="146"/>
      <c r="N280" s="146"/>
      <c r="O280" s="146"/>
      <c r="P280" s="146"/>
      <c r="Q280" s="146"/>
      <c r="R280" s="146"/>
      <c r="S280" s="146"/>
      <c r="T280" s="146"/>
      <c r="U280" s="146"/>
      <c r="V280" s="146"/>
      <c r="W280" s="146"/>
      <c r="X280" s="146"/>
      <c r="Y280" s="146"/>
      <c r="Z280" s="146"/>
    </row>
    <row r="281" ht="22.5" customHeight="1">
      <c r="A281" s="308"/>
      <c r="B281" s="305"/>
      <c r="C281" s="305"/>
      <c r="D281" s="305"/>
      <c r="E281" s="305"/>
      <c r="F281" s="305"/>
      <c r="G281" s="307"/>
      <c r="H281" s="146"/>
      <c r="I281" s="146"/>
      <c r="J281" s="146"/>
      <c r="K281" s="146"/>
      <c r="L281" s="146"/>
      <c r="M281" s="146"/>
      <c r="N281" s="146"/>
      <c r="O281" s="146"/>
      <c r="P281" s="146"/>
      <c r="Q281" s="146"/>
      <c r="R281" s="146"/>
      <c r="S281" s="146"/>
      <c r="T281" s="146"/>
      <c r="U281" s="146"/>
      <c r="V281" s="146"/>
      <c r="W281" s="146"/>
      <c r="X281" s="146"/>
      <c r="Y281" s="146"/>
      <c r="Z281" s="146"/>
    </row>
    <row r="282" ht="22.5" customHeight="1">
      <c r="A282" s="308"/>
      <c r="B282" s="305"/>
      <c r="C282" s="305"/>
      <c r="D282" s="305"/>
      <c r="E282" s="305"/>
      <c r="F282" s="305"/>
      <c r="G282" s="307"/>
      <c r="H282" s="146"/>
      <c r="I282" s="146"/>
      <c r="J282" s="146"/>
      <c r="K282" s="146"/>
      <c r="L282" s="146"/>
      <c r="M282" s="146"/>
      <c r="N282" s="146"/>
      <c r="O282" s="146"/>
      <c r="P282" s="146"/>
      <c r="Q282" s="146"/>
      <c r="R282" s="146"/>
      <c r="S282" s="146"/>
      <c r="T282" s="146"/>
      <c r="U282" s="146"/>
      <c r="V282" s="146"/>
      <c r="W282" s="146"/>
      <c r="X282" s="146"/>
      <c r="Y282" s="146"/>
      <c r="Z282" s="146"/>
    </row>
    <row r="283" ht="22.5" customHeight="1">
      <c r="A283" s="308"/>
      <c r="B283" s="305"/>
      <c r="C283" s="305"/>
      <c r="D283" s="305"/>
      <c r="E283" s="305"/>
      <c r="F283" s="305"/>
      <c r="G283" s="307"/>
      <c r="H283" s="146"/>
      <c r="I283" s="146"/>
      <c r="J283" s="146"/>
      <c r="K283" s="146"/>
      <c r="L283" s="146"/>
      <c r="M283" s="146"/>
      <c r="N283" s="146"/>
      <c r="O283" s="146"/>
      <c r="P283" s="146"/>
      <c r="Q283" s="146"/>
      <c r="R283" s="146"/>
      <c r="S283" s="146"/>
      <c r="T283" s="146"/>
      <c r="U283" s="146"/>
      <c r="V283" s="146"/>
      <c r="W283" s="146"/>
      <c r="X283" s="146"/>
      <c r="Y283" s="146"/>
      <c r="Z283" s="146"/>
    </row>
    <row r="284" ht="22.5" customHeight="1">
      <c r="A284" s="308"/>
      <c r="B284" s="305"/>
      <c r="C284" s="305"/>
      <c r="D284" s="305"/>
      <c r="E284" s="305"/>
      <c r="F284" s="305"/>
      <c r="G284" s="307"/>
      <c r="H284" s="146"/>
      <c r="I284" s="146"/>
      <c r="J284" s="146"/>
      <c r="K284" s="146"/>
      <c r="L284" s="146"/>
      <c r="M284" s="146"/>
      <c r="N284" s="146"/>
      <c r="O284" s="146"/>
      <c r="P284" s="146"/>
      <c r="Q284" s="146"/>
      <c r="R284" s="146"/>
      <c r="S284" s="146"/>
      <c r="T284" s="146"/>
      <c r="U284" s="146"/>
      <c r="V284" s="146"/>
      <c r="W284" s="146"/>
      <c r="X284" s="146"/>
      <c r="Y284" s="146"/>
      <c r="Z284" s="146"/>
    </row>
    <row r="285" ht="22.5" customHeight="1">
      <c r="A285" s="308"/>
      <c r="B285" s="305"/>
      <c r="C285" s="305"/>
      <c r="D285" s="305"/>
      <c r="E285" s="305"/>
      <c r="F285" s="305"/>
      <c r="G285" s="307"/>
      <c r="H285" s="146"/>
      <c r="I285" s="146"/>
      <c r="J285" s="146"/>
      <c r="K285" s="146"/>
      <c r="L285" s="146"/>
      <c r="M285" s="146"/>
      <c r="N285" s="146"/>
      <c r="O285" s="146"/>
      <c r="P285" s="146"/>
      <c r="Q285" s="146"/>
      <c r="R285" s="146"/>
      <c r="S285" s="146"/>
      <c r="T285" s="146"/>
      <c r="U285" s="146"/>
      <c r="V285" s="146"/>
      <c r="W285" s="146"/>
      <c r="X285" s="146"/>
      <c r="Y285" s="146"/>
      <c r="Z285" s="146"/>
    </row>
    <row r="286" ht="22.5" customHeight="1">
      <c r="A286" s="308"/>
      <c r="B286" s="305"/>
      <c r="C286" s="305"/>
      <c r="D286" s="305"/>
      <c r="E286" s="305"/>
      <c r="F286" s="305"/>
      <c r="G286" s="307"/>
      <c r="H286" s="146"/>
      <c r="I286" s="146"/>
      <c r="J286" s="146"/>
      <c r="K286" s="146"/>
      <c r="L286" s="146"/>
      <c r="M286" s="146"/>
      <c r="N286" s="146"/>
      <c r="O286" s="146"/>
      <c r="P286" s="146"/>
      <c r="Q286" s="146"/>
      <c r="R286" s="146"/>
      <c r="S286" s="146"/>
      <c r="T286" s="146"/>
      <c r="U286" s="146"/>
      <c r="V286" s="146"/>
      <c r="W286" s="146"/>
      <c r="X286" s="146"/>
      <c r="Y286" s="146"/>
      <c r="Z286" s="146"/>
    </row>
    <row r="287" ht="22.5" customHeight="1">
      <c r="A287" s="308"/>
      <c r="B287" s="305"/>
      <c r="C287" s="305"/>
      <c r="D287" s="305"/>
      <c r="E287" s="305"/>
      <c r="F287" s="305"/>
      <c r="G287" s="307"/>
      <c r="H287" s="146"/>
      <c r="I287" s="146"/>
      <c r="J287" s="146"/>
      <c r="K287" s="146"/>
      <c r="L287" s="146"/>
      <c r="M287" s="146"/>
      <c r="N287" s="146"/>
      <c r="O287" s="146"/>
      <c r="P287" s="146"/>
      <c r="Q287" s="146"/>
      <c r="R287" s="146"/>
      <c r="S287" s="146"/>
      <c r="T287" s="146"/>
      <c r="U287" s="146"/>
      <c r="V287" s="146"/>
      <c r="W287" s="146"/>
      <c r="X287" s="146"/>
      <c r="Y287" s="146"/>
      <c r="Z287" s="146"/>
    </row>
    <row r="288" ht="22.5" customHeight="1">
      <c r="A288" s="308"/>
      <c r="B288" s="305"/>
      <c r="C288" s="305"/>
      <c r="D288" s="305"/>
      <c r="E288" s="305"/>
      <c r="F288" s="305"/>
      <c r="G288" s="307"/>
      <c r="H288" s="146"/>
      <c r="I288" s="146"/>
      <c r="J288" s="146"/>
      <c r="K288" s="146"/>
      <c r="L288" s="146"/>
      <c r="M288" s="146"/>
      <c r="N288" s="146"/>
      <c r="O288" s="146"/>
      <c r="P288" s="146"/>
      <c r="Q288" s="146"/>
      <c r="R288" s="146"/>
      <c r="S288" s="146"/>
      <c r="T288" s="146"/>
      <c r="U288" s="146"/>
      <c r="V288" s="146"/>
      <c r="W288" s="146"/>
      <c r="X288" s="146"/>
      <c r="Y288" s="146"/>
      <c r="Z288" s="146"/>
    </row>
    <row r="289" ht="22.5" customHeight="1">
      <c r="A289" s="308"/>
      <c r="B289" s="305"/>
      <c r="C289" s="305"/>
      <c r="D289" s="305"/>
      <c r="E289" s="305"/>
      <c r="F289" s="305"/>
      <c r="G289" s="307"/>
      <c r="H289" s="146"/>
      <c r="I289" s="146"/>
      <c r="J289" s="146"/>
      <c r="K289" s="146"/>
      <c r="L289" s="146"/>
      <c r="M289" s="146"/>
      <c r="N289" s="146"/>
      <c r="O289" s="146"/>
      <c r="P289" s="146"/>
      <c r="Q289" s="146"/>
      <c r="R289" s="146"/>
      <c r="S289" s="146"/>
      <c r="T289" s="146"/>
      <c r="U289" s="146"/>
      <c r="V289" s="146"/>
      <c r="W289" s="146"/>
      <c r="X289" s="146"/>
      <c r="Y289" s="146"/>
      <c r="Z289" s="146"/>
    </row>
    <row r="290" ht="22.5" customHeight="1">
      <c r="A290" s="308"/>
      <c r="B290" s="305"/>
      <c r="C290" s="305"/>
      <c r="D290" s="305"/>
      <c r="E290" s="305"/>
      <c r="F290" s="305"/>
      <c r="G290" s="307"/>
      <c r="H290" s="146"/>
      <c r="I290" s="146"/>
      <c r="J290" s="146"/>
      <c r="K290" s="146"/>
      <c r="L290" s="146"/>
      <c r="M290" s="146"/>
      <c r="N290" s="146"/>
      <c r="O290" s="146"/>
      <c r="P290" s="146"/>
      <c r="Q290" s="146"/>
      <c r="R290" s="146"/>
      <c r="S290" s="146"/>
      <c r="T290" s="146"/>
      <c r="U290" s="146"/>
      <c r="V290" s="146"/>
      <c r="W290" s="146"/>
      <c r="X290" s="146"/>
      <c r="Y290" s="146"/>
      <c r="Z290" s="146"/>
    </row>
    <row r="291" ht="22.5" customHeight="1">
      <c r="A291" s="308"/>
      <c r="B291" s="305"/>
      <c r="C291" s="305"/>
      <c r="D291" s="305"/>
      <c r="E291" s="305"/>
      <c r="F291" s="305"/>
      <c r="G291" s="307"/>
      <c r="H291" s="146"/>
      <c r="I291" s="146"/>
      <c r="J291" s="146"/>
      <c r="K291" s="146"/>
      <c r="L291" s="146"/>
      <c r="M291" s="146"/>
      <c r="N291" s="146"/>
      <c r="O291" s="146"/>
      <c r="P291" s="146"/>
      <c r="Q291" s="146"/>
      <c r="R291" s="146"/>
      <c r="S291" s="146"/>
      <c r="T291" s="146"/>
      <c r="U291" s="146"/>
      <c r="V291" s="146"/>
      <c r="W291" s="146"/>
      <c r="X291" s="146"/>
      <c r="Y291" s="146"/>
      <c r="Z291" s="146"/>
    </row>
    <row r="292" ht="22.5" customHeight="1">
      <c r="A292" s="308"/>
      <c r="B292" s="305"/>
      <c r="C292" s="305"/>
      <c r="D292" s="305"/>
      <c r="E292" s="305"/>
      <c r="F292" s="305"/>
      <c r="G292" s="307"/>
      <c r="H292" s="146"/>
      <c r="I292" s="146"/>
      <c r="J292" s="146"/>
      <c r="K292" s="146"/>
      <c r="L292" s="146"/>
      <c r="M292" s="146"/>
      <c r="N292" s="146"/>
      <c r="O292" s="146"/>
      <c r="P292" s="146"/>
      <c r="Q292" s="146"/>
      <c r="R292" s="146"/>
      <c r="S292" s="146"/>
      <c r="T292" s="146"/>
      <c r="U292" s="146"/>
      <c r="V292" s="146"/>
      <c r="W292" s="146"/>
      <c r="X292" s="146"/>
      <c r="Y292" s="146"/>
      <c r="Z292" s="146"/>
    </row>
    <row r="293" ht="22.5" customHeight="1">
      <c r="A293" s="308"/>
      <c r="B293" s="305"/>
      <c r="C293" s="305"/>
      <c r="D293" s="305"/>
      <c r="E293" s="305"/>
      <c r="F293" s="305"/>
      <c r="G293" s="307"/>
      <c r="H293" s="146"/>
      <c r="I293" s="146"/>
      <c r="J293" s="146"/>
      <c r="K293" s="146"/>
      <c r="L293" s="146"/>
      <c r="M293" s="146"/>
      <c r="N293" s="146"/>
      <c r="O293" s="146"/>
      <c r="P293" s="146"/>
      <c r="Q293" s="146"/>
      <c r="R293" s="146"/>
      <c r="S293" s="146"/>
      <c r="T293" s="146"/>
      <c r="U293" s="146"/>
      <c r="V293" s="146"/>
      <c r="W293" s="146"/>
      <c r="X293" s="146"/>
      <c r="Y293" s="146"/>
      <c r="Z293" s="146"/>
    </row>
    <row r="294" ht="22.5" customHeight="1">
      <c r="A294" s="308"/>
      <c r="B294" s="305"/>
      <c r="C294" s="305"/>
      <c r="D294" s="305"/>
      <c r="E294" s="305"/>
      <c r="F294" s="305"/>
      <c r="G294" s="307"/>
      <c r="H294" s="146"/>
      <c r="I294" s="146"/>
      <c r="J294" s="146"/>
      <c r="K294" s="146"/>
      <c r="L294" s="146"/>
      <c r="M294" s="146"/>
      <c r="N294" s="146"/>
      <c r="O294" s="146"/>
      <c r="P294" s="146"/>
      <c r="Q294" s="146"/>
      <c r="R294" s="146"/>
      <c r="S294" s="146"/>
      <c r="T294" s="146"/>
      <c r="U294" s="146"/>
      <c r="V294" s="146"/>
      <c r="W294" s="146"/>
      <c r="X294" s="146"/>
      <c r="Y294" s="146"/>
      <c r="Z294" s="146"/>
    </row>
    <row r="295" ht="22.5" customHeight="1">
      <c r="A295" s="308"/>
      <c r="B295" s="305"/>
      <c r="C295" s="305"/>
      <c r="D295" s="305"/>
      <c r="E295" s="305"/>
      <c r="F295" s="305"/>
      <c r="G295" s="307"/>
      <c r="H295" s="146"/>
      <c r="I295" s="146"/>
      <c r="J295" s="146"/>
      <c r="K295" s="146"/>
      <c r="L295" s="146"/>
      <c r="M295" s="146"/>
      <c r="N295" s="146"/>
      <c r="O295" s="146"/>
      <c r="P295" s="146"/>
      <c r="Q295" s="146"/>
      <c r="R295" s="146"/>
      <c r="S295" s="146"/>
      <c r="T295" s="146"/>
      <c r="U295" s="146"/>
      <c r="V295" s="146"/>
      <c r="W295" s="146"/>
      <c r="X295" s="146"/>
      <c r="Y295" s="146"/>
      <c r="Z295" s="146"/>
    </row>
    <row r="296" ht="22.5" customHeight="1">
      <c r="A296" s="308"/>
      <c r="B296" s="305"/>
      <c r="C296" s="305"/>
      <c r="D296" s="305"/>
      <c r="E296" s="305"/>
      <c r="F296" s="305"/>
      <c r="G296" s="307"/>
      <c r="H296" s="146"/>
      <c r="I296" s="146"/>
      <c r="J296" s="146"/>
      <c r="K296" s="146"/>
      <c r="L296" s="146"/>
      <c r="M296" s="146"/>
      <c r="N296" s="146"/>
      <c r="O296" s="146"/>
      <c r="P296" s="146"/>
      <c r="Q296" s="146"/>
      <c r="R296" s="146"/>
      <c r="S296" s="146"/>
      <c r="T296" s="146"/>
      <c r="U296" s="146"/>
      <c r="V296" s="146"/>
      <c r="W296" s="146"/>
      <c r="X296" s="146"/>
      <c r="Y296" s="146"/>
      <c r="Z296" s="146"/>
    </row>
    <row r="297" ht="22.5" customHeight="1">
      <c r="A297" s="308"/>
      <c r="B297" s="305"/>
      <c r="C297" s="305"/>
      <c r="D297" s="305"/>
      <c r="E297" s="305"/>
      <c r="F297" s="305"/>
      <c r="G297" s="307"/>
      <c r="H297" s="146"/>
      <c r="I297" s="146"/>
      <c r="J297" s="146"/>
      <c r="K297" s="146"/>
      <c r="L297" s="146"/>
      <c r="M297" s="146"/>
      <c r="N297" s="146"/>
      <c r="O297" s="146"/>
      <c r="P297" s="146"/>
      <c r="Q297" s="146"/>
      <c r="R297" s="146"/>
      <c r="S297" s="146"/>
      <c r="T297" s="146"/>
      <c r="U297" s="146"/>
      <c r="V297" s="146"/>
      <c r="W297" s="146"/>
      <c r="X297" s="146"/>
      <c r="Y297" s="146"/>
      <c r="Z297" s="146"/>
    </row>
    <row r="298" ht="22.5" customHeight="1">
      <c r="A298" s="308"/>
      <c r="B298" s="305"/>
      <c r="C298" s="305"/>
      <c r="D298" s="305"/>
      <c r="E298" s="305"/>
      <c r="F298" s="305"/>
      <c r="G298" s="307"/>
      <c r="H298" s="146"/>
      <c r="I298" s="146"/>
      <c r="J298" s="146"/>
      <c r="K298" s="146"/>
      <c r="L298" s="146"/>
      <c r="M298" s="146"/>
      <c r="N298" s="146"/>
      <c r="O298" s="146"/>
      <c r="P298" s="146"/>
      <c r="Q298" s="146"/>
      <c r="R298" s="146"/>
      <c r="S298" s="146"/>
      <c r="T298" s="146"/>
      <c r="U298" s="146"/>
      <c r="V298" s="146"/>
      <c r="W298" s="146"/>
      <c r="X298" s="146"/>
      <c r="Y298" s="146"/>
      <c r="Z298" s="146"/>
    </row>
    <row r="299" ht="22.5" customHeight="1">
      <c r="A299" s="308"/>
      <c r="B299" s="305"/>
      <c r="C299" s="305"/>
      <c r="D299" s="305"/>
      <c r="E299" s="305"/>
      <c r="F299" s="305"/>
      <c r="G299" s="307"/>
      <c r="H299" s="146"/>
      <c r="I299" s="146"/>
      <c r="J299" s="146"/>
      <c r="K299" s="146"/>
      <c r="L299" s="146"/>
      <c r="M299" s="146"/>
      <c r="N299" s="146"/>
      <c r="O299" s="146"/>
      <c r="P299" s="146"/>
      <c r="Q299" s="146"/>
      <c r="R299" s="146"/>
      <c r="S299" s="146"/>
      <c r="T299" s="146"/>
      <c r="U299" s="146"/>
      <c r="V299" s="146"/>
      <c r="W299" s="146"/>
      <c r="X299" s="146"/>
      <c r="Y299" s="146"/>
      <c r="Z299" s="146"/>
    </row>
    <row r="300" ht="22.5" customHeight="1">
      <c r="A300" s="308"/>
      <c r="B300" s="305"/>
      <c r="C300" s="305"/>
      <c r="D300" s="305"/>
      <c r="E300" s="305"/>
      <c r="F300" s="305"/>
      <c r="G300" s="307"/>
      <c r="H300" s="146"/>
      <c r="I300" s="146"/>
      <c r="J300" s="146"/>
      <c r="K300" s="146"/>
      <c r="L300" s="146"/>
      <c r="M300" s="146"/>
      <c r="N300" s="146"/>
      <c r="O300" s="146"/>
      <c r="P300" s="146"/>
      <c r="Q300" s="146"/>
      <c r="R300" s="146"/>
      <c r="S300" s="146"/>
      <c r="T300" s="146"/>
      <c r="U300" s="146"/>
      <c r="V300" s="146"/>
      <c r="W300" s="146"/>
      <c r="X300" s="146"/>
      <c r="Y300" s="146"/>
      <c r="Z300" s="146"/>
    </row>
    <row r="301" ht="22.5" customHeight="1">
      <c r="A301" s="308"/>
      <c r="B301" s="305"/>
      <c r="C301" s="305"/>
      <c r="D301" s="305"/>
      <c r="E301" s="305"/>
      <c r="F301" s="305"/>
      <c r="G301" s="307"/>
      <c r="H301" s="146"/>
      <c r="I301" s="146"/>
      <c r="J301" s="146"/>
      <c r="K301" s="146"/>
      <c r="L301" s="146"/>
      <c r="M301" s="146"/>
      <c r="N301" s="146"/>
      <c r="O301" s="146"/>
      <c r="P301" s="146"/>
      <c r="Q301" s="146"/>
      <c r="R301" s="146"/>
      <c r="S301" s="146"/>
      <c r="T301" s="146"/>
      <c r="U301" s="146"/>
      <c r="V301" s="146"/>
      <c r="W301" s="146"/>
      <c r="X301" s="146"/>
      <c r="Y301" s="146"/>
      <c r="Z301" s="146"/>
    </row>
    <row r="302" ht="22.5" customHeight="1">
      <c r="A302" s="308"/>
      <c r="B302" s="305"/>
      <c r="C302" s="305"/>
      <c r="D302" s="305"/>
      <c r="E302" s="305"/>
      <c r="F302" s="305"/>
      <c r="G302" s="307"/>
      <c r="H302" s="146"/>
      <c r="I302" s="146"/>
      <c r="J302" s="146"/>
      <c r="K302" s="146"/>
      <c r="L302" s="146"/>
      <c r="M302" s="146"/>
      <c r="N302" s="146"/>
      <c r="O302" s="146"/>
      <c r="P302" s="146"/>
      <c r="Q302" s="146"/>
      <c r="R302" s="146"/>
      <c r="S302" s="146"/>
      <c r="T302" s="146"/>
      <c r="U302" s="146"/>
      <c r="V302" s="146"/>
      <c r="W302" s="146"/>
      <c r="X302" s="146"/>
      <c r="Y302" s="146"/>
      <c r="Z302" s="146"/>
    </row>
    <row r="303" ht="22.5" customHeight="1">
      <c r="A303" s="308"/>
      <c r="B303" s="305"/>
      <c r="C303" s="305"/>
      <c r="D303" s="305"/>
      <c r="E303" s="305"/>
      <c r="F303" s="305"/>
      <c r="G303" s="307"/>
      <c r="H303" s="146"/>
      <c r="I303" s="146"/>
      <c r="J303" s="146"/>
      <c r="K303" s="146"/>
      <c r="L303" s="146"/>
      <c r="M303" s="146"/>
      <c r="N303" s="146"/>
      <c r="O303" s="146"/>
      <c r="P303" s="146"/>
      <c r="Q303" s="146"/>
      <c r="R303" s="146"/>
      <c r="S303" s="146"/>
      <c r="T303" s="146"/>
      <c r="U303" s="146"/>
      <c r="V303" s="146"/>
      <c r="W303" s="146"/>
      <c r="X303" s="146"/>
      <c r="Y303" s="146"/>
      <c r="Z303" s="146"/>
    </row>
    <row r="304" ht="22.5" customHeight="1">
      <c r="A304" s="308"/>
      <c r="B304" s="305"/>
      <c r="C304" s="305"/>
      <c r="D304" s="305"/>
      <c r="E304" s="305"/>
      <c r="F304" s="305"/>
      <c r="G304" s="307"/>
      <c r="H304" s="146"/>
      <c r="I304" s="146"/>
      <c r="J304" s="146"/>
      <c r="K304" s="146"/>
      <c r="L304" s="146"/>
      <c r="M304" s="146"/>
      <c r="N304" s="146"/>
      <c r="O304" s="146"/>
      <c r="P304" s="146"/>
      <c r="Q304" s="146"/>
      <c r="R304" s="146"/>
      <c r="S304" s="146"/>
      <c r="T304" s="146"/>
      <c r="U304" s="146"/>
      <c r="V304" s="146"/>
      <c r="W304" s="146"/>
      <c r="X304" s="146"/>
      <c r="Y304" s="146"/>
      <c r="Z304" s="146"/>
    </row>
    <row r="305" ht="22.5" customHeight="1">
      <c r="A305" s="308"/>
      <c r="B305" s="305"/>
      <c r="C305" s="305"/>
      <c r="D305" s="305"/>
      <c r="E305" s="305"/>
      <c r="F305" s="305"/>
      <c r="G305" s="307"/>
      <c r="H305" s="146"/>
      <c r="I305" s="146"/>
      <c r="J305" s="146"/>
      <c r="K305" s="146"/>
      <c r="L305" s="146"/>
      <c r="M305" s="146"/>
      <c r="N305" s="146"/>
      <c r="O305" s="146"/>
      <c r="P305" s="146"/>
      <c r="Q305" s="146"/>
      <c r="R305" s="146"/>
      <c r="S305" s="146"/>
      <c r="T305" s="146"/>
      <c r="U305" s="146"/>
      <c r="V305" s="146"/>
      <c r="W305" s="146"/>
      <c r="X305" s="146"/>
      <c r="Y305" s="146"/>
      <c r="Z305" s="146"/>
    </row>
    <row r="306" ht="22.5" customHeight="1">
      <c r="A306" s="308"/>
      <c r="B306" s="305"/>
      <c r="C306" s="305"/>
      <c r="D306" s="305"/>
      <c r="E306" s="305"/>
      <c r="F306" s="305"/>
      <c r="G306" s="307"/>
      <c r="H306" s="146"/>
      <c r="I306" s="146"/>
      <c r="J306" s="146"/>
      <c r="K306" s="146"/>
      <c r="L306" s="146"/>
      <c r="M306" s="146"/>
      <c r="N306" s="146"/>
      <c r="O306" s="146"/>
      <c r="P306" s="146"/>
      <c r="Q306" s="146"/>
      <c r="R306" s="146"/>
      <c r="S306" s="146"/>
      <c r="T306" s="146"/>
      <c r="U306" s="146"/>
      <c r="V306" s="146"/>
      <c r="W306" s="146"/>
      <c r="X306" s="146"/>
      <c r="Y306" s="146"/>
      <c r="Z306" s="146"/>
    </row>
    <row r="307" ht="22.5" customHeight="1">
      <c r="A307" s="308"/>
      <c r="B307" s="305"/>
      <c r="C307" s="305"/>
      <c r="D307" s="305"/>
      <c r="E307" s="305"/>
      <c r="F307" s="305"/>
      <c r="G307" s="307"/>
      <c r="H307" s="146"/>
      <c r="I307" s="146"/>
      <c r="J307" s="146"/>
      <c r="K307" s="146"/>
      <c r="L307" s="146"/>
      <c r="M307" s="146"/>
      <c r="N307" s="146"/>
      <c r="O307" s="146"/>
      <c r="P307" s="146"/>
      <c r="Q307" s="146"/>
      <c r="R307" s="146"/>
      <c r="S307" s="146"/>
      <c r="T307" s="146"/>
      <c r="U307" s="146"/>
      <c r="V307" s="146"/>
      <c r="W307" s="146"/>
      <c r="X307" s="146"/>
      <c r="Y307" s="146"/>
      <c r="Z307" s="146"/>
    </row>
    <row r="308" ht="22.5" customHeight="1">
      <c r="A308" s="308"/>
      <c r="B308" s="305"/>
      <c r="C308" s="305"/>
      <c r="D308" s="305"/>
      <c r="E308" s="305"/>
      <c r="F308" s="305"/>
      <c r="G308" s="307"/>
      <c r="H308" s="146"/>
      <c r="I308" s="146"/>
      <c r="J308" s="146"/>
      <c r="K308" s="146"/>
      <c r="L308" s="146"/>
      <c r="M308" s="146"/>
      <c r="N308" s="146"/>
      <c r="O308" s="146"/>
      <c r="P308" s="146"/>
      <c r="Q308" s="146"/>
      <c r="R308" s="146"/>
      <c r="S308" s="146"/>
      <c r="T308" s="146"/>
      <c r="U308" s="146"/>
      <c r="V308" s="146"/>
      <c r="W308" s="146"/>
      <c r="X308" s="146"/>
      <c r="Y308" s="146"/>
      <c r="Z308" s="146"/>
    </row>
    <row r="309" ht="22.5" customHeight="1">
      <c r="A309" s="308"/>
      <c r="B309" s="305"/>
      <c r="C309" s="305"/>
      <c r="D309" s="305"/>
      <c r="E309" s="305"/>
      <c r="F309" s="305"/>
      <c r="G309" s="307"/>
      <c r="H309" s="146"/>
      <c r="I309" s="146"/>
      <c r="J309" s="146"/>
      <c r="K309" s="146"/>
      <c r="L309" s="146"/>
      <c r="M309" s="146"/>
      <c r="N309" s="146"/>
      <c r="O309" s="146"/>
      <c r="P309" s="146"/>
      <c r="Q309" s="146"/>
      <c r="R309" s="146"/>
      <c r="S309" s="146"/>
      <c r="T309" s="146"/>
      <c r="U309" s="146"/>
      <c r="V309" s="146"/>
      <c r="W309" s="146"/>
      <c r="X309" s="146"/>
      <c r="Y309" s="146"/>
      <c r="Z309" s="146"/>
    </row>
    <row r="310" ht="22.5" customHeight="1">
      <c r="A310" s="308"/>
      <c r="B310" s="305"/>
      <c r="C310" s="305"/>
      <c r="D310" s="305"/>
      <c r="E310" s="305"/>
      <c r="F310" s="305"/>
      <c r="G310" s="307"/>
      <c r="H310" s="146"/>
      <c r="I310" s="146"/>
      <c r="J310" s="146"/>
      <c r="K310" s="146"/>
      <c r="L310" s="146"/>
      <c r="M310" s="146"/>
      <c r="N310" s="146"/>
      <c r="O310" s="146"/>
      <c r="P310" s="146"/>
      <c r="Q310" s="146"/>
      <c r="R310" s="146"/>
      <c r="S310" s="146"/>
      <c r="T310" s="146"/>
      <c r="U310" s="146"/>
      <c r="V310" s="146"/>
      <c r="W310" s="146"/>
      <c r="X310" s="146"/>
      <c r="Y310" s="146"/>
      <c r="Z310" s="146"/>
    </row>
    <row r="311" ht="22.5" customHeight="1">
      <c r="A311" s="308"/>
      <c r="B311" s="305"/>
      <c r="C311" s="305"/>
      <c r="D311" s="305"/>
      <c r="E311" s="305"/>
      <c r="F311" s="305"/>
      <c r="G311" s="307"/>
      <c r="H311" s="146"/>
      <c r="I311" s="146"/>
      <c r="J311" s="146"/>
      <c r="K311" s="146"/>
      <c r="L311" s="146"/>
      <c r="M311" s="146"/>
      <c r="N311" s="146"/>
      <c r="O311" s="146"/>
      <c r="P311" s="146"/>
      <c r="Q311" s="146"/>
      <c r="R311" s="146"/>
      <c r="S311" s="146"/>
      <c r="T311" s="146"/>
      <c r="U311" s="146"/>
      <c r="V311" s="146"/>
      <c r="W311" s="146"/>
      <c r="X311" s="146"/>
      <c r="Y311" s="146"/>
      <c r="Z311" s="146"/>
    </row>
    <row r="312" ht="22.5" customHeight="1">
      <c r="A312" s="308"/>
      <c r="B312" s="305"/>
      <c r="C312" s="305"/>
      <c r="D312" s="305"/>
      <c r="E312" s="305"/>
      <c r="F312" s="305"/>
      <c r="G312" s="307"/>
      <c r="H312" s="146"/>
      <c r="I312" s="146"/>
      <c r="J312" s="146"/>
      <c r="K312" s="146"/>
      <c r="L312" s="146"/>
      <c r="M312" s="146"/>
      <c r="N312" s="146"/>
      <c r="O312" s="146"/>
      <c r="P312" s="146"/>
      <c r="Q312" s="146"/>
      <c r="R312" s="146"/>
      <c r="S312" s="146"/>
      <c r="T312" s="146"/>
      <c r="U312" s="146"/>
      <c r="V312" s="146"/>
      <c r="W312" s="146"/>
      <c r="X312" s="146"/>
      <c r="Y312" s="146"/>
      <c r="Z312" s="146"/>
    </row>
    <row r="313" ht="22.5" customHeight="1">
      <c r="A313" s="308"/>
      <c r="B313" s="305"/>
      <c r="C313" s="305"/>
      <c r="D313" s="305"/>
      <c r="E313" s="305"/>
      <c r="F313" s="305"/>
      <c r="G313" s="307"/>
      <c r="H313" s="146"/>
      <c r="I313" s="146"/>
      <c r="J313" s="146"/>
      <c r="K313" s="146"/>
      <c r="L313" s="146"/>
      <c r="M313" s="146"/>
      <c r="N313" s="146"/>
      <c r="O313" s="146"/>
      <c r="P313" s="146"/>
      <c r="Q313" s="146"/>
      <c r="R313" s="146"/>
      <c r="S313" s="146"/>
      <c r="T313" s="146"/>
      <c r="U313" s="146"/>
      <c r="V313" s="146"/>
      <c r="W313" s="146"/>
      <c r="X313" s="146"/>
      <c r="Y313" s="146"/>
      <c r="Z313" s="146"/>
    </row>
    <row r="314" ht="22.5" customHeight="1">
      <c r="A314" s="308"/>
      <c r="B314" s="305"/>
      <c r="C314" s="305"/>
      <c r="D314" s="305"/>
      <c r="E314" s="305"/>
      <c r="F314" s="305"/>
      <c r="G314" s="307"/>
      <c r="H314" s="146"/>
      <c r="I314" s="146"/>
      <c r="J314" s="146"/>
      <c r="K314" s="146"/>
      <c r="L314" s="146"/>
      <c r="M314" s="146"/>
      <c r="N314" s="146"/>
      <c r="O314" s="146"/>
      <c r="P314" s="146"/>
      <c r="Q314" s="146"/>
      <c r="R314" s="146"/>
      <c r="S314" s="146"/>
      <c r="T314" s="146"/>
      <c r="U314" s="146"/>
      <c r="V314" s="146"/>
      <c r="W314" s="146"/>
      <c r="X314" s="146"/>
      <c r="Y314" s="146"/>
      <c r="Z314" s="146"/>
    </row>
    <row r="315" ht="22.5" customHeight="1">
      <c r="A315" s="308"/>
      <c r="B315" s="305"/>
      <c r="C315" s="305"/>
      <c r="D315" s="305"/>
      <c r="E315" s="305"/>
      <c r="F315" s="305"/>
      <c r="G315" s="307"/>
      <c r="H315" s="146"/>
      <c r="I315" s="146"/>
      <c r="J315" s="146"/>
      <c r="K315" s="146"/>
      <c r="L315" s="146"/>
      <c r="M315" s="146"/>
      <c r="N315" s="146"/>
      <c r="O315" s="146"/>
      <c r="P315" s="146"/>
      <c r="Q315" s="146"/>
      <c r="R315" s="146"/>
      <c r="S315" s="146"/>
      <c r="T315" s="146"/>
      <c r="U315" s="146"/>
      <c r="V315" s="146"/>
      <c r="W315" s="146"/>
      <c r="X315" s="146"/>
      <c r="Y315" s="146"/>
      <c r="Z315" s="146"/>
    </row>
    <row r="316" ht="22.5" customHeight="1">
      <c r="A316" s="308"/>
      <c r="B316" s="305"/>
      <c r="C316" s="305"/>
      <c r="D316" s="305"/>
      <c r="E316" s="305"/>
      <c r="F316" s="305"/>
      <c r="G316" s="307"/>
      <c r="H316" s="146"/>
      <c r="I316" s="146"/>
      <c r="J316" s="146"/>
      <c r="K316" s="146"/>
      <c r="L316" s="146"/>
      <c r="M316" s="146"/>
      <c r="N316" s="146"/>
      <c r="O316" s="146"/>
      <c r="P316" s="146"/>
      <c r="Q316" s="146"/>
      <c r="R316" s="146"/>
      <c r="S316" s="146"/>
      <c r="T316" s="146"/>
      <c r="U316" s="146"/>
      <c r="V316" s="146"/>
      <c r="W316" s="146"/>
      <c r="X316" s="146"/>
      <c r="Y316" s="146"/>
      <c r="Z316" s="146"/>
    </row>
    <row r="317" ht="22.5" customHeight="1">
      <c r="A317" s="308"/>
      <c r="B317" s="305"/>
      <c r="C317" s="305"/>
      <c r="D317" s="305"/>
      <c r="E317" s="305"/>
      <c r="F317" s="305"/>
      <c r="G317" s="307"/>
      <c r="H317" s="146"/>
      <c r="I317" s="146"/>
      <c r="J317" s="146"/>
      <c r="K317" s="146"/>
      <c r="L317" s="146"/>
      <c r="M317" s="146"/>
      <c r="N317" s="146"/>
      <c r="O317" s="146"/>
      <c r="P317" s="146"/>
      <c r="Q317" s="146"/>
      <c r="R317" s="146"/>
      <c r="S317" s="146"/>
      <c r="T317" s="146"/>
      <c r="U317" s="146"/>
      <c r="V317" s="146"/>
      <c r="W317" s="146"/>
      <c r="X317" s="146"/>
      <c r="Y317" s="146"/>
      <c r="Z317" s="146"/>
    </row>
    <row r="318" ht="22.5" customHeight="1">
      <c r="A318" s="308"/>
      <c r="B318" s="305"/>
      <c r="C318" s="305"/>
      <c r="D318" s="305"/>
      <c r="E318" s="305"/>
      <c r="F318" s="305"/>
      <c r="G318" s="307"/>
      <c r="H318" s="146"/>
      <c r="I318" s="146"/>
      <c r="J318" s="146"/>
      <c r="K318" s="146"/>
      <c r="L318" s="146"/>
      <c r="M318" s="146"/>
      <c r="N318" s="146"/>
      <c r="O318" s="146"/>
      <c r="P318" s="146"/>
      <c r="Q318" s="146"/>
      <c r="R318" s="146"/>
      <c r="S318" s="146"/>
      <c r="T318" s="146"/>
      <c r="U318" s="146"/>
      <c r="V318" s="146"/>
      <c r="W318" s="146"/>
      <c r="X318" s="146"/>
      <c r="Y318" s="146"/>
      <c r="Z318" s="146"/>
    </row>
    <row r="319" ht="22.5" customHeight="1">
      <c r="A319" s="308"/>
      <c r="B319" s="305"/>
      <c r="C319" s="305"/>
      <c r="D319" s="305"/>
      <c r="E319" s="305"/>
      <c r="F319" s="305"/>
      <c r="G319" s="307"/>
      <c r="H319" s="146"/>
      <c r="I319" s="146"/>
      <c r="J319" s="146"/>
      <c r="K319" s="146"/>
      <c r="L319" s="146"/>
      <c r="M319" s="146"/>
      <c r="N319" s="146"/>
      <c r="O319" s="146"/>
      <c r="P319" s="146"/>
      <c r="Q319" s="146"/>
      <c r="R319" s="146"/>
      <c r="S319" s="146"/>
      <c r="T319" s="146"/>
      <c r="U319" s="146"/>
      <c r="V319" s="146"/>
      <c r="W319" s="146"/>
      <c r="X319" s="146"/>
      <c r="Y319" s="146"/>
      <c r="Z319" s="146"/>
    </row>
    <row r="320" ht="22.5" customHeight="1">
      <c r="A320" s="308"/>
      <c r="B320" s="305"/>
      <c r="C320" s="305"/>
      <c r="D320" s="305"/>
      <c r="E320" s="305"/>
      <c r="F320" s="305"/>
      <c r="G320" s="307"/>
      <c r="H320" s="146"/>
      <c r="I320" s="146"/>
      <c r="J320" s="146"/>
      <c r="K320" s="146"/>
      <c r="L320" s="146"/>
      <c r="M320" s="146"/>
      <c r="N320" s="146"/>
      <c r="O320" s="146"/>
      <c r="P320" s="146"/>
      <c r="Q320" s="146"/>
      <c r="R320" s="146"/>
      <c r="S320" s="146"/>
      <c r="T320" s="146"/>
      <c r="U320" s="146"/>
      <c r="V320" s="146"/>
      <c r="W320" s="146"/>
      <c r="X320" s="146"/>
      <c r="Y320" s="146"/>
      <c r="Z320" s="146"/>
    </row>
    <row r="321" ht="22.5" customHeight="1">
      <c r="A321" s="308"/>
      <c r="B321" s="305"/>
      <c r="C321" s="305"/>
      <c r="D321" s="305"/>
      <c r="E321" s="305"/>
      <c r="F321" s="305"/>
      <c r="G321" s="307"/>
      <c r="H321" s="146"/>
      <c r="I321" s="146"/>
      <c r="J321" s="146"/>
      <c r="K321" s="146"/>
      <c r="L321" s="146"/>
      <c r="M321" s="146"/>
      <c r="N321" s="146"/>
      <c r="O321" s="146"/>
      <c r="P321" s="146"/>
      <c r="Q321" s="146"/>
      <c r="R321" s="146"/>
      <c r="S321" s="146"/>
      <c r="T321" s="146"/>
      <c r="U321" s="146"/>
      <c r="V321" s="146"/>
      <c r="W321" s="146"/>
      <c r="X321" s="146"/>
      <c r="Y321" s="146"/>
      <c r="Z321" s="146"/>
    </row>
    <row r="322" ht="22.5" customHeight="1">
      <c r="A322" s="308"/>
      <c r="B322" s="305"/>
      <c r="C322" s="305"/>
      <c r="D322" s="305"/>
      <c r="E322" s="305"/>
      <c r="F322" s="305"/>
      <c r="G322" s="307"/>
      <c r="H322" s="146"/>
      <c r="I322" s="146"/>
      <c r="J322" s="146"/>
      <c r="K322" s="146"/>
      <c r="L322" s="146"/>
      <c r="M322" s="146"/>
      <c r="N322" s="146"/>
      <c r="O322" s="146"/>
      <c r="P322" s="146"/>
      <c r="Q322" s="146"/>
      <c r="R322" s="146"/>
      <c r="S322" s="146"/>
      <c r="T322" s="146"/>
      <c r="U322" s="146"/>
      <c r="V322" s="146"/>
      <c r="W322" s="146"/>
      <c r="X322" s="146"/>
      <c r="Y322" s="146"/>
      <c r="Z322" s="146"/>
    </row>
    <row r="323" ht="22.5" customHeight="1">
      <c r="A323" s="308"/>
      <c r="B323" s="305"/>
      <c r="C323" s="305"/>
      <c r="D323" s="305"/>
      <c r="E323" s="305"/>
      <c r="F323" s="305"/>
      <c r="G323" s="307"/>
      <c r="H323" s="146"/>
      <c r="I323" s="146"/>
      <c r="J323" s="146"/>
      <c r="K323" s="146"/>
      <c r="L323" s="146"/>
      <c r="M323" s="146"/>
      <c r="N323" s="146"/>
      <c r="O323" s="146"/>
      <c r="P323" s="146"/>
      <c r="Q323" s="146"/>
      <c r="R323" s="146"/>
      <c r="S323" s="146"/>
      <c r="T323" s="146"/>
      <c r="U323" s="146"/>
      <c r="V323" s="146"/>
      <c r="W323" s="146"/>
      <c r="X323" s="146"/>
      <c r="Y323" s="146"/>
      <c r="Z323" s="146"/>
    </row>
    <row r="324" ht="22.5" customHeight="1">
      <c r="A324" s="308"/>
      <c r="B324" s="305"/>
      <c r="C324" s="305"/>
      <c r="D324" s="305"/>
      <c r="E324" s="305"/>
      <c r="F324" s="305"/>
      <c r="G324" s="307"/>
      <c r="H324" s="146"/>
      <c r="I324" s="146"/>
      <c r="J324" s="146"/>
      <c r="K324" s="146"/>
      <c r="L324" s="146"/>
      <c r="M324" s="146"/>
      <c r="N324" s="146"/>
      <c r="O324" s="146"/>
      <c r="P324" s="146"/>
      <c r="Q324" s="146"/>
      <c r="R324" s="146"/>
      <c r="S324" s="146"/>
      <c r="T324" s="146"/>
      <c r="U324" s="146"/>
      <c r="V324" s="146"/>
      <c r="W324" s="146"/>
      <c r="X324" s="146"/>
      <c r="Y324" s="146"/>
      <c r="Z324" s="146"/>
    </row>
    <row r="325" ht="22.5" customHeight="1">
      <c r="A325" s="308"/>
      <c r="B325" s="305"/>
      <c r="C325" s="305"/>
      <c r="D325" s="305"/>
      <c r="E325" s="305"/>
      <c r="F325" s="305"/>
      <c r="G325" s="307"/>
      <c r="H325" s="146"/>
      <c r="I325" s="146"/>
      <c r="J325" s="146"/>
      <c r="K325" s="146"/>
      <c r="L325" s="146"/>
      <c r="M325" s="146"/>
      <c r="N325" s="146"/>
      <c r="O325" s="146"/>
      <c r="P325" s="146"/>
      <c r="Q325" s="146"/>
      <c r="R325" s="146"/>
      <c r="S325" s="146"/>
      <c r="T325" s="146"/>
      <c r="U325" s="146"/>
      <c r="V325" s="146"/>
      <c r="W325" s="146"/>
      <c r="X325" s="146"/>
      <c r="Y325" s="146"/>
      <c r="Z325" s="146"/>
    </row>
    <row r="326" ht="22.5" customHeight="1">
      <c r="A326" s="308"/>
      <c r="B326" s="305"/>
      <c r="C326" s="305"/>
      <c r="D326" s="305"/>
      <c r="E326" s="305"/>
      <c r="F326" s="305"/>
      <c r="G326" s="307"/>
      <c r="H326" s="146"/>
      <c r="I326" s="146"/>
      <c r="J326" s="146"/>
      <c r="K326" s="146"/>
      <c r="L326" s="146"/>
      <c r="M326" s="146"/>
      <c r="N326" s="146"/>
      <c r="O326" s="146"/>
      <c r="P326" s="146"/>
      <c r="Q326" s="146"/>
      <c r="R326" s="146"/>
      <c r="S326" s="146"/>
      <c r="T326" s="146"/>
      <c r="U326" s="146"/>
      <c r="V326" s="146"/>
      <c r="W326" s="146"/>
      <c r="X326" s="146"/>
      <c r="Y326" s="146"/>
      <c r="Z326" s="146"/>
    </row>
    <row r="327" ht="22.5" customHeight="1">
      <c r="A327" s="308"/>
      <c r="B327" s="305"/>
      <c r="C327" s="305"/>
      <c r="D327" s="305"/>
      <c r="E327" s="305"/>
      <c r="F327" s="305"/>
      <c r="G327" s="307"/>
      <c r="H327" s="146"/>
      <c r="I327" s="146"/>
      <c r="J327" s="146"/>
      <c r="K327" s="146"/>
      <c r="L327" s="146"/>
      <c r="M327" s="146"/>
      <c r="N327" s="146"/>
      <c r="O327" s="146"/>
      <c r="P327" s="146"/>
      <c r="Q327" s="146"/>
      <c r="R327" s="146"/>
      <c r="S327" s="146"/>
      <c r="T327" s="146"/>
      <c r="U327" s="146"/>
      <c r="V327" s="146"/>
      <c r="W327" s="146"/>
      <c r="X327" s="146"/>
      <c r="Y327" s="146"/>
      <c r="Z327" s="146"/>
    </row>
    <row r="328" ht="22.5" customHeight="1">
      <c r="A328" s="308"/>
      <c r="B328" s="305"/>
      <c r="C328" s="305"/>
      <c r="D328" s="305"/>
      <c r="E328" s="305"/>
      <c r="F328" s="305"/>
      <c r="G328" s="307"/>
      <c r="H328" s="146"/>
      <c r="I328" s="146"/>
      <c r="J328" s="146"/>
      <c r="K328" s="146"/>
      <c r="L328" s="146"/>
      <c r="M328" s="146"/>
      <c r="N328" s="146"/>
      <c r="O328" s="146"/>
      <c r="P328" s="146"/>
      <c r="Q328" s="146"/>
      <c r="R328" s="146"/>
      <c r="S328" s="146"/>
      <c r="T328" s="146"/>
      <c r="U328" s="146"/>
      <c r="V328" s="146"/>
      <c r="W328" s="146"/>
      <c r="X328" s="146"/>
      <c r="Y328" s="146"/>
      <c r="Z328" s="146"/>
    </row>
    <row r="329" ht="22.5" customHeight="1">
      <c r="A329" s="308"/>
      <c r="B329" s="305"/>
      <c r="C329" s="305"/>
      <c r="D329" s="305"/>
      <c r="E329" s="305"/>
      <c r="F329" s="305"/>
      <c r="G329" s="307"/>
      <c r="H329" s="146"/>
      <c r="I329" s="146"/>
      <c r="J329" s="146"/>
      <c r="K329" s="146"/>
      <c r="L329" s="146"/>
      <c r="M329" s="146"/>
      <c r="N329" s="146"/>
      <c r="O329" s="146"/>
      <c r="P329" s="146"/>
      <c r="Q329" s="146"/>
      <c r="R329" s="146"/>
      <c r="S329" s="146"/>
      <c r="T329" s="146"/>
      <c r="U329" s="146"/>
      <c r="V329" s="146"/>
      <c r="W329" s="146"/>
      <c r="X329" s="146"/>
      <c r="Y329" s="146"/>
      <c r="Z329" s="146"/>
    </row>
    <row r="330" ht="22.5" customHeight="1">
      <c r="A330" s="308"/>
      <c r="B330" s="305"/>
      <c r="C330" s="305"/>
      <c r="D330" s="305"/>
      <c r="E330" s="305"/>
      <c r="F330" s="305"/>
      <c r="G330" s="307"/>
      <c r="H330" s="146"/>
      <c r="I330" s="146"/>
      <c r="J330" s="146"/>
      <c r="K330" s="146"/>
      <c r="L330" s="146"/>
      <c r="M330" s="146"/>
      <c r="N330" s="146"/>
      <c r="O330" s="146"/>
      <c r="P330" s="146"/>
      <c r="Q330" s="146"/>
      <c r="R330" s="146"/>
      <c r="S330" s="146"/>
      <c r="T330" s="146"/>
      <c r="U330" s="146"/>
      <c r="V330" s="146"/>
      <c r="W330" s="146"/>
      <c r="X330" s="146"/>
      <c r="Y330" s="146"/>
      <c r="Z330" s="146"/>
    </row>
    <row r="331" ht="22.5" customHeight="1">
      <c r="A331" s="308"/>
      <c r="B331" s="305"/>
      <c r="C331" s="305"/>
      <c r="D331" s="305"/>
      <c r="E331" s="305"/>
      <c r="F331" s="305"/>
      <c r="G331" s="307"/>
      <c r="H331" s="146"/>
      <c r="I331" s="146"/>
      <c r="J331" s="146"/>
      <c r="K331" s="146"/>
      <c r="L331" s="146"/>
      <c r="M331" s="146"/>
      <c r="N331" s="146"/>
      <c r="O331" s="146"/>
      <c r="P331" s="146"/>
      <c r="Q331" s="146"/>
      <c r="R331" s="146"/>
      <c r="S331" s="146"/>
      <c r="T331" s="146"/>
      <c r="U331" s="146"/>
      <c r="V331" s="146"/>
      <c r="W331" s="146"/>
      <c r="X331" s="146"/>
      <c r="Y331" s="146"/>
      <c r="Z331" s="146"/>
    </row>
    <row r="332" ht="22.5" customHeight="1">
      <c r="A332" s="308"/>
      <c r="B332" s="305"/>
      <c r="C332" s="305"/>
      <c r="D332" s="305"/>
      <c r="E332" s="305"/>
      <c r="F332" s="305"/>
      <c r="G332" s="307"/>
      <c r="H332" s="146"/>
      <c r="I332" s="146"/>
      <c r="J332" s="146"/>
      <c r="K332" s="146"/>
      <c r="L332" s="146"/>
      <c r="M332" s="146"/>
      <c r="N332" s="146"/>
      <c r="O332" s="146"/>
      <c r="P332" s="146"/>
      <c r="Q332" s="146"/>
      <c r="R332" s="146"/>
      <c r="S332" s="146"/>
      <c r="T332" s="146"/>
      <c r="U332" s="146"/>
      <c r="V332" s="146"/>
      <c r="W332" s="146"/>
      <c r="X332" s="146"/>
      <c r="Y332" s="146"/>
      <c r="Z332" s="146"/>
    </row>
    <row r="333" ht="22.5" customHeight="1">
      <c r="A333" s="308"/>
      <c r="B333" s="305"/>
      <c r="C333" s="305"/>
      <c r="D333" s="305"/>
      <c r="E333" s="305"/>
      <c r="F333" s="305"/>
      <c r="G333" s="307"/>
      <c r="H333" s="146"/>
      <c r="I333" s="146"/>
      <c r="J333" s="146"/>
      <c r="K333" s="146"/>
      <c r="L333" s="146"/>
      <c r="M333" s="146"/>
      <c r="N333" s="146"/>
      <c r="O333" s="146"/>
      <c r="P333" s="146"/>
      <c r="Q333" s="146"/>
      <c r="R333" s="146"/>
      <c r="S333" s="146"/>
      <c r="T333" s="146"/>
      <c r="U333" s="146"/>
      <c r="V333" s="146"/>
      <c r="W333" s="146"/>
      <c r="X333" s="146"/>
      <c r="Y333" s="146"/>
      <c r="Z333" s="146"/>
    </row>
    <row r="334" ht="22.5" customHeight="1">
      <c r="A334" s="308"/>
      <c r="B334" s="305"/>
      <c r="C334" s="305"/>
      <c r="D334" s="305"/>
      <c r="E334" s="305"/>
      <c r="F334" s="305"/>
      <c r="G334" s="307"/>
      <c r="H334" s="146"/>
      <c r="I334" s="146"/>
      <c r="J334" s="146"/>
      <c r="K334" s="146"/>
      <c r="L334" s="146"/>
      <c r="M334" s="146"/>
      <c r="N334" s="146"/>
      <c r="O334" s="146"/>
      <c r="P334" s="146"/>
      <c r="Q334" s="146"/>
      <c r="R334" s="146"/>
      <c r="S334" s="146"/>
      <c r="T334" s="146"/>
      <c r="U334" s="146"/>
      <c r="V334" s="146"/>
      <c r="W334" s="146"/>
      <c r="X334" s="146"/>
      <c r="Y334" s="146"/>
      <c r="Z334" s="146"/>
    </row>
    <row r="335" ht="22.5" customHeight="1">
      <c r="A335" s="308"/>
      <c r="B335" s="305"/>
      <c r="C335" s="305"/>
      <c r="D335" s="305"/>
      <c r="E335" s="305"/>
      <c r="F335" s="305"/>
      <c r="G335" s="307"/>
      <c r="H335" s="146"/>
      <c r="I335" s="146"/>
      <c r="J335" s="146"/>
      <c r="K335" s="146"/>
      <c r="L335" s="146"/>
      <c r="M335" s="146"/>
      <c r="N335" s="146"/>
      <c r="O335" s="146"/>
      <c r="P335" s="146"/>
      <c r="Q335" s="146"/>
      <c r="R335" s="146"/>
      <c r="S335" s="146"/>
      <c r="T335" s="146"/>
      <c r="U335" s="146"/>
      <c r="V335" s="146"/>
      <c r="W335" s="146"/>
      <c r="X335" s="146"/>
      <c r="Y335" s="146"/>
      <c r="Z335" s="146"/>
    </row>
    <row r="336" ht="22.5" customHeight="1">
      <c r="A336" s="308"/>
      <c r="B336" s="305"/>
      <c r="C336" s="305"/>
      <c r="D336" s="305"/>
      <c r="E336" s="305"/>
      <c r="F336" s="305"/>
      <c r="G336" s="307"/>
      <c r="H336" s="146"/>
      <c r="I336" s="146"/>
      <c r="J336" s="146"/>
      <c r="K336" s="146"/>
      <c r="L336" s="146"/>
      <c r="M336" s="146"/>
      <c r="N336" s="146"/>
      <c r="O336" s="146"/>
      <c r="P336" s="146"/>
      <c r="Q336" s="146"/>
      <c r="R336" s="146"/>
      <c r="S336" s="146"/>
      <c r="T336" s="146"/>
      <c r="U336" s="146"/>
      <c r="V336" s="146"/>
      <c r="W336" s="146"/>
      <c r="X336" s="146"/>
      <c r="Y336" s="146"/>
      <c r="Z336" s="146"/>
    </row>
    <row r="337" ht="22.5" customHeight="1">
      <c r="A337" s="308"/>
      <c r="B337" s="305"/>
      <c r="C337" s="305"/>
      <c r="D337" s="305"/>
      <c r="E337" s="305"/>
      <c r="F337" s="305"/>
      <c r="G337" s="307"/>
      <c r="H337" s="146"/>
      <c r="I337" s="146"/>
      <c r="J337" s="146"/>
      <c r="K337" s="146"/>
      <c r="L337" s="146"/>
      <c r="M337" s="146"/>
      <c r="N337" s="146"/>
      <c r="O337" s="146"/>
      <c r="P337" s="146"/>
      <c r="Q337" s="146"/>
      <c r="R337" s="146"/>
      <c r="S337" s="146"/>
      <c r="T337" s="146"/>
      <c r="U337" s="146"/>
      <c r="V337" s="146"/>
      <c r="W337" s="146"/>
      <c r="X337" s="146"/>
      <c r="Y337" s="146"/>
      <c r="Z337" s="146"/>
    </row>
    <row r="338" ht="22.5" customHeight="1">
      <c r="A338" s="308"/>
      <c r="B338" s="305"/>
      <c r="C338" s="305"/>
      <c r="D338" s="305"/>
      <c r="E338" s="305"/>
      <c r="F338" s="305"/>
      <c r="G338" s="307"/>
      <c r="H338" s="146"/>
      <c r="I338" s="146"/>
      <c r="J338" s="146"/>
      <c r="K338" s="146"/>
      <c r="L338" s="146"/>
      <c r="M338" s="146"/>
      <c r="N338" s="146"/>
      <c r="O338" s="146"/>
      <c r="P338" s="146"/>
      <c r="Q338" s="146"/>
      <c r="R338" s="146"/>
      <c r="S338" s="146"/>
      <c r="T338" s="146"/>
      <c r="U338" s="146"/>
      <c r="V338" s="146"/>
      <c r="W338" s="146"/>
      <c r="X338" s="146"/>
      <c r="Y338" s="146"/>
      <c r="Z338" s="146"/>
    </row>
    <row r="339" ht="22.5" customHeight="1">
      <c r="A339" s="308"/>
      <c r="B339" s="305"/>
      <c r="C339" s="305"/>
      <c r="D339" s="305"/>
      <c r="E339" s="305"/>
      <c r="F339" s="305"/>
      <c r="G339" s="307"/>
      <c r="H339" s="146"/>
      <c r="I339" s="146"/>
      <c r="J339" s="146"/>
      <c r="K339" s="146"/>
      <c r="L339" s="146"/>
      <c r="M339" s="146"/>
      <c r="N339" s="146"/>
      <c r="O339" s="146"/>
      <c r="P339" s="146"/>
      <c r="Q339" s="146"/>
      <c r="R339" s="146"/>
      <c r="S339" s="146"/>
      <c r="T339" s="146"/>
      <c r="U339" s="146"/>
      <c r="V339" s="146"/>
      <c r="W339" s="146"/>
      <c r="X339" s="146"/>
      <c r="Y339" s="146"/>
      <c r="Z339" s="146"/>
    </row>
    <row r="340" ht="22.5" customHeight="1">
      <c r="A340" s="308"/>
      <c r="B340" s="305"/>
      <c r="C340" s="305"/>
      <c r="D340" s="305"/>
      <c r="E340" s="305"/>
      <c r="F340" s="305"/>
      <c r="G340" s="307"/>
      <c r="H340" s="146"/>
      <c r="I340" s="146"/>
      <c r="J340" s="146"/>
      <c r="K340" s="146"/>
      <c r="L340" s="146"/>
      <c r="M340" s="146"/>
      <c r="N340" s="146"/>
      <c r="O340" s="146"/>
      <c r="P340" s="146"/>
      <c r="Q340" s="146"/>
      <c r="R340" s="146"/>
      <c r="S340" s="146"/>
      <c r="T340" s="146"/>
      <c r="U340" s="146"/>
      <c r="V340" s="146"/>
      <c r="W340" s="146"/>
      <c r="X340" s="146"/>
      <c r="Y340" s="146"/>
      <c r="Z340" s="146"/>
    </row>
    <row r="341" ht="22.5" customHeight="1">
      <c r="A341" s="308"/>
      <c r="B341" s="305"/>
      <c r="C341" s="305"/>
      <c r="D341" s="305"/>
      <c r="E341" s="305"/>
      <c r="F341" s="305"/>
      <c r="G341" s="307"/>
      <c r="H341" s="146"/>
      <c r="I341" s="146"/>
      <c r="J341" s="146"/>
      <c r="K341" s="146"/>
      <c r="L341" s="146"/>
      <c r="M341" s="146"/>
      <c r="N341" s="146"/>
      <c r="O341" s="146"/>
      <c r="P341" s="146"/>
      <c r="Q341" s="146"/>
      <c r="R341" s="146"/>
      <c r="S341" s="146"/>
      <c r="T341" s="146"/>
      <c r="U341" s="146"/>
      <c r="V341" s="146"/>
      <c r="W341" s="146"/>
      <c r="X341" s="146"/>
      <c r="Y341" s="146"/>
      <c r="Z341" s="146"/>
    </row>
    <row r="342" ht="22.5" customHeight="1">
      <c r="A342" s="308"/>
      <c r="B342" s="305"/>
      <c r="C342" s="305"/>
      <c r="D342" s="305"/>
      <c r="E342" s="305"/>
      <c r="F342" s="305"/>
      <c r="G342" s="307"/>
      <c r="H342" s="146"/>
      <c r="I342" s="146"/>
      <c r="J342" s="146"/>
      <c r="K342" s="146"/>
      <c r="L342" s="146"/>
      <c r="M342" s="146"/>
      <c r="N342" s="146"/>
      <c r="O342" s="146"/>
      <c r="P342" s="146"/>
      <c r="Q342" s="146"/>
      <c r="R342" s="146"/>
      <c r="S342" s="146"/>
      <c r="T342" s="146"/>
      <c r="U342" s="146"/>
      <c r="V342" s="146"/>
      <c r="W342" s="146"/>
      <c r="X342" s="146"/>
      <c r="Y342" s="146"/>
      <c r="Z342" s="146"/>
    </row>
    <row r="343" ht="22.5" customHeight="1">
      <c r="A343" s="308"/>
      <c r="B343" s="305"/>
      <c r="C343" s="305"/>
      <c r="D343" s="305"/>
      <c r="E343" s="305"/>
      <c r="F343" s="305"/>
      <c r="G343" s="307"/>
      <c r="H343" s="146"/>
      <c r="I343" s="146"/>
      <c r="J343" s="146"/>
      <c r="K343" s="146"/>
      <c r="L343" s="146"/>
      <c r="M343" s="146"/>
      <c r="N343" s="146"/>
      <c r="O343" s="146"/>
      <c r="P343" s="146"/>
      <c r="Q343" s="146"/>
      <c r="R343" s="146"/>
      <c r="S343" s="146"/>
      <c r="T343" s="146"/>
      <c r="U343" s="146"/>
      <c r="V343" s="146"/>
      <c r="W343" s="146"/>
      <c r="X343" s="146"/>
      <c r="Y343" s="146"/>
      <c r="Z343" s="146"/>
    </row>
    <row r="344" ht="22.5" customHeight="1">
      <c r="A344" s="308"/>
      <c r="B344" s="305"/>
      <c r="C344" s="305"/>
      <c r="D344" s="305"/>
      <c r="E344" s="305"/>
      <c r="F344" s="305"/>
      <c r="G344" s="307"/>
      <c r="H344" s="146"/>
      <c r="I344" s="146"/>
      <c r="J344" s="146"/>
      <c r="K344" s="146"/>
      <c r="L344" s="146"/>
      <c r="M344" s="146"/>
      <c r="N344" s="146"/>
      <c r="O344" s="146"/>
      <c r="P344" s="146"/>
      <c r="Q344" s="146"/>
      <c r="R344" s="146"/>
      <c r="S344" s="146"/>
      <c r="T344" s="146"/>
      <c r="U344" s="146"/>
      <c r="V344" s="146"/>
      <c r="W344" s="146"/>
      <c r="X344" s="146"/>
      <c r="Y344" s="146"/>
      <c r="Z344" s="146"/>
    </row>
    <row r="345" ht="22.5" customHeight="1">
      <c r="A345" s="308"/>
      <c r="B345" s="305"/>
      <c r="C345" s="305"/>
      <c r="D345" s="305"/>
      <c r="E345" s="305"/>
      <c r="F345" s="305"/>
      <c r="G345" s="307"/>
      <c r="H345" s="146"/>
      <c r="I345" s="146"/>
      <c r="J345" s="146"/>
      <c r="K345" s="146"/>
      <c r="L345" s="146"/>
      <c r="M345" s="146"/>
      <c r="N345" s="146"/>
      <c r="O345" s="146"/>
      <c r="P345" s="146"/>
      <c r="Q345" s="146"/>
      <c r="R345" s="146"/>
      <c r="S345" s="146"/>
      <c r="T345" s="146"/>
      <c r="U345" s="146"/>
      <c r="V345" s="146"/>
      <c r="W345" s="146"/>
      <c r="X345" s="146"/>
      <c r="Y345" s="146"/>
      <c r="Z345" s="146"/>
    </row>
    <row r="346" ht="22.5" customHeight="1">
      <c r="A346" s="308"/>
      <c r="B346" s="305"/>
      <c r="C346" s="305"/>
      <c r="D346" s="305"/>
      <c r="E346" s="305"/>
      <c r="F346" s="305"/>
      <c r="G346" s="307"/>
      <c r="H346" s="146"/>
      <c r="I346" s="146"/>
      <c r="J346" s="146"/>
      <c r="K346" s="146"/>
      <c r="L346" s="146"/>
      <c r="M346" s="146"/>
      <c r="N346" s="146"/>
      <c r="O346" s="146"/>
      <c r="P346" s="146"/>
      <c r="Q346" s="146"/>
      <c r="R346" s="146"/>
      <c r="S346" s="146"/>
      <c r="T346" s="146"/>
      <c r="U346" s="146"/>
      <c r="V346" s="146"/>
      <c r="W346" s="146"/>
      <c r="X346" s="146"/>
      <c r="Y346" s="146"/>
      <c r="Z346" s="146"/>
    </row>
    <row r="347" ht="22.5" customHeight="1">
      <c r="A347" s="308"/>
      <c r="B347" s="305"/>
      <c r="C347" s="305"/>
      <c r="D347" s="305"/>
      <c r="E347" s="305"/>
      <c r="F347" s="305"/>
      <c r="G347" s="307"/>
      <c r="H347" s="146"/>
      <c r="I347" s="146"/>
      <c r="J347" s="146"/>
      <c r="K347" s="146"/>
      <c r="L347" s="146"/>
      <c r="M347" s="146"/>
      <c r="N347" s="146"/>
      <c r="O347" s="146"/>
      <c r="P347" s="146"/>
      <c r="Q347" s="146"/>
      <c r="R347" s="146"/>
      <c r="S347" s="146"/>
      <c r="T347" s="146"/>
      <c r="U347" s="146"/>
      <c r="V347" s="146"/>
      <c r="W347" s="146"/>
      <c r="X347" s="146"/>
      <c r="Y347" s="146"/>
      <c r="Z347" s="146"/>
    </row>
    <row r="348" ht="22.5" customHeight="1">
      <c r="A348" s="308"/>
      <c r="B348" s="305"/>
      <c r="C348" s="305"/>
      <c r="D348" s="305"/>
      <c r="E348" s="305"/>
      <c r="F348" s="305"/>
      <c r="G348" s="307"/>
      <c r="H348" s="146"/>
      <c r="I348" s="146"/>
      <c r="J348" s="146"/>
      <c r="K348" s="146"/>
      <c r="L348" s="146"/>
      <c r="M348" s="146"/>
      <c r="N348" s="146"/>
      <c r="O348" s="146"/>
      <c r="P348" s="146"/>
      <c r="Q348" s="146"/>
      <c r="R348" s="146"/>
      <c r="S348" s="146"/>
      <c r="T348" s="146"/>
      <c r="U348" s="146"/>
      <c r="V348" s="146"/>
      <c r="W348" s="146"/>
      <c r="X348" s="146"/>
      <c r="Y348" s="146"/>
      <c r="Z348" s="146"/>
    </row>
    <row r="349" ht="22.5" customHeight="1">
      <c r="A349" s="308"/>
      <c r="B349" s="305"/>
      <c r="C349" s="305"/>
      <c r="D349" s="305"/>
      <c r="E349" s="305"/>
      <c r="F349" s="305"/>
      <c r="G349" s="307"/>
      <c r="H349" s="146"/>
      <c r="I349" s="146"/>
      <c r="J349" s="146"/>
      <c r="K349" s="146"/>
      <c r="L349" s="146"/>
      <c r="M349" s="146"/>
      <c r="N349" s="146"/>
      <c r="O349" s="146"/>
      <c r="P349" s="146"/>
      <c r="Q349" s="146"/>
      <c r="R349" s="146"/>
      <c r="S349" s="146"/>
      <c r="T349" s="146"/>
      <c r="U349" s="146"/>
      <c r="V349" s="146"/>
      <c r="W349" s="146"/>
      <c r="X349" s="146"/>
      <c r="Y349" s="146"/>
      <c r="Z349" s="146"/>
    </row>
    <row r="350" ht="22.5" customHeight="1">
      <c r="A350" s="308"/>
      <c r="B350" s="305"/>
      <c r="C350" s="305"/>
      <c r="D350" s="305"/>
      <c r="E350" s="305"/>
      <c r="F350" s="305"/>
      <c r="G350" s="307"/>
      <c r="H350" s="146"/>
      <c r="I350" s="146"/>
      <c r="J350" s="146"/>
      <c r="K350" s="146"/>
      <c r="L350" s="146"/>
      <c r="M350" s="146"/>
      <c r="N350" s="146"/>
      <c r="O350" s="146"/>
      <c r="P350" s="146"/>
      <c r="Q350" s="146"/>
      <c r="R350" s="146"/>
      <c r="S350" s="146"/>
      <c r="T350" s="146"/>
      <c r="U350" s="146"/>
      <c r="V350" s="146"/>
      <c r="W350" s="146"/>
      <c r="X350" s="146"/>
      <c r="Y350" s="146"/>
      <c r="Z350" s="146"/>
    </row>
    <row r="351" ht="22.5" customHeight="1">
      <c r="A351" s="308"/>
      <c r="B351" s="305"/>
      <c r="C351" s="305"/>
      <c r="D351" s="305"/>
      <c r="E351" s="305"/>
      <c r="F351" s="305"/>
      <c r="G351" s="307"/>
      <c r="H351" s="146"/>
      <c r="I351" s="146"/>
      <c r="J351" s="146"/>
      <c r="K351" s="146"/>
      <c r="L351" s="146"/>
      <c r="M351" s="146"/>
      <c r="N351" s="146"/>
      <c r="O351" s="146"/>
      <c r="P351" s="146"/>
      <c r="Q351" s="146"/>
      <c r="R351" s="146"/>
      <c r="S351" s="146"/>
      <c r="T351" s="146"/>
      <c r="U351" s="146"/>
      <c r="V351" s="146"/>
      <c r="W351" s="146"/>
      <c r="X351" s="146"/>
      <c r="Y351" s="146"/>
      <c r="Z351" s="146"/>
    </row>
    <row r="352" ht="22.5" customHeight="1">
      <c r="A352" s="308"/>
      <c r="B352" s="305"/>
      <c r="C352" s="305"/>
      <c r="D352" s="305"/>
      <c r="E352" s="305"/>
      <c r="F352" s="305"/>
      <c r="G352" s="307"/>
      <c r="H352" s="146"/>
      <c r="I352" s="146"/>
      <c r="J352" s="146"/>
      <c r="K352" s="146"/>
      <c r="L352" s="146"/>
      <c r="M352" s="146"/>
      <c r="N352" s="146"/>
      <c r="O352" s="146"/>
      <c r="P352" s="146"/>
      <c r="Q352" s="146"/>
      <c r="R352" s="146"/>
      <c r="S352" s="146"/>
      <c r="T352" s="146"/>
      <c r="U352" s="146"/>
      <c r="V352" s="146"/>
      <c r="W352" s="146"/>
      <c r="X352" s="146"/>
      <c r="Y352" s="146"/>
      <c r="Z352" s="146"/>
    </row>
    <row r="353" ht="22.5" customHeight="1">
      <c r="A353" s="308"/>
      <c r="B353" s="305"/>
      <c r="C353" s="305"/>
      <c r="D353" s="305"/>
      <c r="E353" s="305"/>
      <c r="F353" s="305"/>
      <c r="G353" s="307"/>
      <c r="H353" s="146"/>
      <c r="I353" s="146"/>
      <c r="J353" s="146"/>
      <c r="K353" s="146"/>
      <c r="L353" s="146"/>
      <c r="M353" s="146"/>
      <c r="N353" s="146"/>
      <c r="O353" s="146"/>
      <c r="P353" s="146"/>
      <c r="Q353" s="146"/>
      <c r="R353" s="146"/>
      <c r="S353" s="146"/>
      <c r="T353" s="146"/>
      <c r="U353" s="146"/>
      <c r="V353" s="146"/>
      <c r="W353" s="146"/>
      <c r="X353" s="146"/>
      <c r="Y353" s="146"/>
      <c r="Z353" s="146"/>
    </row>
    <row r="354" ht="22.5" customHeight="1">
      <c r="A354" s="308"/>
      <c r="B354" s="305"/>
      <c r="C354" s="305"/>
      <c r="D354" s="305"/>
      <c r="E354" s="305"/>
      <c r="F354" s="305"/>
      <c r="G354" s="307"/>
      <c r="H354" s="146"/>
      <c r="I354" s="146"/>
      <c r="J354" s="146"/>
      <c r="K354" s="146"/>
      <c r="L354" s="146"/>
      <c r="M354" s="146"/>
      <c r="N354" s="146"/>
      <c r="O354" s="146"/>
      <c r="P354" s="146"/>
      <c r="Q354" s="146"/>
      <c r="R354" s="146"/>
      <c r="S354" s="146"/>
      <c r="T354" s="146"/>
      <c r="U354" s="146"/>
      <c r="V354" s="146"/>
      <c r="W354" s="146"/>
      <c r="X354" s="146"/>
      <c r="Y354" s="146"/>
      <c r="Z354" s="146"/>
    </row>
    <row r="355" ht="22.5" customHeight="1">
      <c r="A355" s="308"/>
      <c r="B355" s="305"/>
      <c r="C355" s="305"/>
      <c r="D355" s="305"/>
      <c r="E355" s="305"/>
      <c r="F355" s="305"/>
      <c r="G355" s="307"/>
      <c r="H355" s="146"/>
      <c r="I355" s="146"/>
      <c r="J355" s="146"/>
      <c r="K355" s="146"/>
      <c r="L355" s="146"/>
      <c r="M355" s="146"/>
      <c r="N355" s="146"/>
      <c r="O355" s="146"/>
      <c r="P355" s="146"/>
      <c r="Q355" s="146"/>
      <c r="R355" s="146"/>
      <c r="S355" s="146"/>
      <c r="T355" s="146"/>
      <c r="U355" s="146"/>
      <c r="V355" s="146"/>
      <c r="W355" s="146"/>
      <c r="X355" s="146"/>
      <c r="Y355" s="146"/>
      <c r="Z355" s="146"/>
    </row>
    <row r="356" ht="22.5" customHeight="1">
      <c r="A356" s="308"/>
      <c r="B356" s="305"/>
      <c r="C356" s="305"/>
      <c r="D356" s="305"/>
      <c r="E356" s="305"/>
      <c r="F356" s="305"/>
      <c r="G356" s="307"/>
      <c r="H356" s="146"/>
      <c r="I356" s="146"/>
      <c r="J356" s="146"/>
      <c r="K356" s="146"/>
      <c r="L356" s="146"/>
      <c r="M356" s="146"/>
      <c r="N356" s="146"/>
      <c r="O356" s="146"/>
      <c r="P356" s="146"/>
      <c r="Q356" s="146"/>
      <c r="R356" s="146"/>
      <c r="S356" s="146"/>
      <c r="T356" s="146"/>
      <c r="U356" s="146"/>
      <c r="V356" s="146"/>
      <c r="W356" s="146"/>
      <c r="X356" s="146"/>
      <c r="Y356" s="146"/>
      <c r="Z356" s="146"/>
    </row>
    <row r="357" ht="22.5" customHeight="1">
      <c r="A357" s="308"/>
      <c r="B357" s="305"/>
      <c r="C357" s="305"/>
      <c r="D357" s="305"/>
      <c r="E357" s="305"/>
      <c r="F357" s="305"/>
      <c r="G357" s="307"/>
      <c r="H357" s="146"/>
      <c r="I357" s="146"/>
      <c r="J357" s="146"/>
      <c r="K357" s="146"/>
      <c r="L357" s="146"/>
      <c r="M357" s="146"/>
      <c r="N357" s="146"/>
      <c r="O357" s="146"/>
      <c r="P357" s="146"/>
      <c r="Q357" s="146"/>
      <c r="R357" s="146"/>
      <c r="S357" s="146"/>
      <c r="T357" s="146"/>
      <c r="U357" s="146"/>
      <c r="V357" s="146"/>
      <c r="W357" s="146"/>
      <c r="X357" s="146"/>
      <c r="Y357" s="146"/>
      <c r="Z357" s="146"/>
    </row>
    <row r="358" ht="22.5" customHeight="1">
      <c r="A358" s="308"/>
      <c r="B358" s="305"/>
      <c r="C358" s="305"/>
      <c r="D358" s="305"/>
      <c r="E358" s="305"/>
      <c r="F358" s="305"/>
      <c r="G358" s="307"/>
      <c r="H358" s="146"/>
      <c r="I358" s="146"/>
      <c r="J358" s="146"/>
      <c r="K358" s="146"/>
      <c r="L358" s="146"/>
      <c r="M358" s="146"/>
      <c r="N358" s="146"/>
      <c r="O358" s="146"/>
      <c r="P358" s="146"/>
      <c r="Q358" s="146"/>
      <c r="R358" s="146"/>
      <c r="S358" s="146"/>
      <c r="T358" s="146"/>
      <c r="U358" s="146"/>
      <c r="V358" s="146"/>
      <c r="W358" s="146"/>
      <c r="X358" s="146"/>
      <c r="Y358" s="146"/>
      <c r="Z358" s="146"/>
    </row>
    <row r="359" ht="22.5" customHeight="1">
      <c r="A359" s="308"/>
      <c r="B359" s="305"/>
      <c r="C359" s="305"/>
      <c r="D359" s="305"/>
      <c r="E359" s="305"/>
      <c r="F359" s="305"/>
      <c r="G359" s="307"/>
      <c r="H359" s="146"/>
      <c r="I359" s="146"/>
      <c r="J359" s="146"/>
      <c r="K359" s="146"/>
      <c r="L359" s="146"/>
      <c r="M359" s="146"/>
      <c r="N359" s="146"/>
      <c r="O359" s="146"/>
      <c r="P359" s="146"/>
      <c r="Q359" s="146"/>
      <c r="R359" s="146"/>
      <c r="S359" s="146"/>
      <c r="T359" s="146"/>
      <c r="U359" s="146"/>
      <c r="V359" s="146"/>
      <c r="W359" s="146"/>
      <c r="X359" s="146"/>
      <c r="Y359" s="146"/>
      <c r="Z359" s="146"/>
    </row>
    <row r="360" ht="22.5" customHeight="1">
      <c r="A360" s="308"/>
      <c r="B360" s="305"/>
      <c r="C360" s="305"/>
      <c r="D360" s="305"/>
      <c r="E360" s="305"/>
      <c r="F360" s="305"/>
      <c r="G360" s="307"/>
      <c r="H360" s="146"/>
      <c r="I360" s="146"/>
      <c r="J360" s="146"/>
      <c r="K360" s="146"/>
      <c r="L360" s="146"/>
      <c r="M360" s="146"/>
      <c r="N360" s="146"/>
      <c r="O360" s="146"/>
      <c r="P360" s="146"/>
      <c r="Q360" s="146"/>
      <c r="R360" s="146"/>
      <c r="S360" s="146"/>
      <c r="T360" s="146"/>
      <c r="U360" s="146"/>
      <c r="V360" s="146"/>
      <c r="W360" s="146"/>
      <c r="X360" s="146"/>
      <c r="Y360" s="146"/>
      <c r="Z360" s="146"/>
    </row>
    <row r="361" ht="22.5" customHeight="1">
      <c r="A361" s="308"/>
      <c r="B361" s="305"/>
      <c r="C361" s="305"/>
      <c r="D361" s="305"/>
      <c r="E361" s="305"/>
      <c r="F361" s="305"/>
      <c r="G361" s="307"/>
      <c r="H361" s="146"/>
      <c r="I361" s="146"/>
      <c r="J361" s="146"/>
      <c r="K361" s="146"/>
      <c r="L361" s="146"/>
      <c r="M361" s="146"/>
      <c r="N361" s="146"/>
      <c r="O361" s="146"/>
      <c r="P361" s="146"/>
      <c r="Q361" s="146"/>
      <c r="R361" s="146"/>
      <c r="S361" s="146"/>
      <c r="T361" s="146"/>
      <c r="U361" s="146"/>
      <c r="V361" s="146"/>
      <c r="W361" s="146"/>
      <c r="X361" s="146"/>
      <c r="Y361" s="146"/>
      <c r="Z361" s="146"/>
    </row>
    <row r="362" ht="22.5" customHeight="1">
      <c r="A362" s="308"/>
      <c r="B362" s="305"/>
      <c r="C362" s="305"/>
      <c r="D362" s="305"/>
      <c r="E362" s="305"/>
      <c r="F362" s="305"/>
      <c r="G362" s="307"/>
      <c r="H362" s="146"/>
      <c r="I362" s="146"/>
      <c r="J362" s="146"/>
      <c r="K362" s="146"/>
      <c r="L362" s="146"/>
      <c r="M362" s="146"/>
      <c r="N362" s="146"/>
      <c r="O362" s="146"/>
      <c r="P362" s="146"/>
      <c r="Q362" s="146"/>
      <c r="R362" s="146"/>
      <c r="S362" s="146"/>
      <c r="T362" s="146"/>
      <c r="U362" s="146"/>
      <c r="V362" s="146"/>
      <c r="W362" s="146"/>
      <c r="X362" s="146"/>
      <c r="Y362" s="146"/>
      <c r="Z362" s="146"/>
    </row>
    <row r="363" ht="22.5" customHeight="1">
      <c r="A363" s="308"/>
      <c r="B363" s="305"/>
      <c r="C363" s="305"/>
      <c r="D363" s="305"/>
      <c r="E363" s="305"/>
      <c r="F363" s="305"/>
      <c r="G363" s="307"/>
      <c r="H363" s="146"/>
      <c r="I363" s="146"/>
      <c r="J363" s="146"/>
      <c r="K363" s="146"/>
      <c r="L363" s="146"/>
      <c r="M363" s="146"/>
      <c r="N363" s="146"/>
      <c r="O363" s="146"/>
      <c r="P363" s="146"/>
      <c r="Q363" s="146"/>
      <c r="R363" s="146"/>
      <c r="S363" s="146"/>
      <c r="T363" s="146"/>
      <c r="U363" s="146"/>
      <c r="V363" s="146"/>
      <c r="W363" s="146"/>
      <c r="X363" s="146"/>
      <c r="Y363" s="146"/>
      <c r="Z363" s="146"/>
    </row>
    <row r="364" ht="22.5" customHeight="1">
      <c r="A364" s="308"/>
      <c r="B364" s="305"/>
      <c r="C364" s="305"/>
      <c r="D364" s="305"/>
      <c r="E364" s="305"/>
      <c r="F364" s="305"/>
      <c r="G364" s="307"/>
      <c r="H364" s="146"/>
      <c r="I364" s="146"/>
      <c r="J364" s="146"/>
      <c r="K364" s="146"/>
      <c r="L364" s="146"/>
      <c r="M364" s="146"/>
      <c r="N364" s="146"/>
      <c r="O364" s="146"/>
      <c r="P364" s="146"/>
      <c r="Q364" s="146"/>
      <c r="R364" s="146"/>
      <c r="S364" s="146"/>
      <c r="T364" s="146"/>
      <c r="U364" s="146"/>
      <c r="V364" s="146"/>
      <c r="W364" s="146"/>
      <c r="X364" s="146"/>
      <c r="Y364" s="146"/>
      <c r="Z364" s="146"/>
    </row>
    <row r="365" ht="22.5" customHeight="1">
      <c r="A365" s="308"/>
      <c r="B365" s="305"/>
      <c r="C365" s="305"/>
      <c r="D365" s="305"/>
      <c r="E365" s="305"/>
      <c r="F365" s="305"/>
      <c r="G365" s="307"/>
      <c r="H365" s="146"/>
      <c r="I365" s="146"/>
      <c r="J365" s="146"/>
      <c r="K365" s="146"/>
      <c r="L365" s="146"/>
      <c r="M365" s="146"/>
      <c r="N365" s="146"/>
      <c r="O365" s="146"/>
      <c r="P365" s="146"/>
      <c r="Q365" s="146"/>
      <c r="R365" s="146"/>
      <c r="S365" s="146"/>
      <c r="T365" s="146"/>
      <c r="U365" s="146"/>
      <c r="V365" s="146"/>
      <c r="W365" s="146"/>
      <c r="X365" s="146"/>
      <c r="Y365" s="146"/>
      <c r="Z365" s="146"/>
    </row>
    <row r="366" ht="22.5" customHeight="1">
      <c r="A366" s="308"/>
      <c r="B366" s="305"/>
      <c r="C366" s="305"/>
      <c r="D366" s="305"/>
      <c r="E366" s="305"/>
      <c r="F366" s="305"/>
      <c r="G366" s="307"/>
      <c r="H366" s="146"/>
      <c r="I366" s="146"/>
      <c r="J366" s="146"/>
      <c r="K366" s="146"/>
      <c r="L366" s="146"/>
      <c r="M366" s="146"/>
      <c r="N366" s="146"/>
      <c r="O366" s="146"/>
      <c r="P366" s="146"/>
      <c r="Q366" s="146"/>
      <c r="R366" s="146"/>
      <c r="S366" s="146"/>
      <c r="T366" s="146"/>
      <c r="U366" s="146"/>
      <c r="V366" s="146"/>
      <c r="W366" s="146"/>
      <c r="X366" s="146"/>
      <c r="Y366" s="146"/>
      <c r="Z366" s="146"/>
    </row>
    <row r="367" ht="22.5" customHeight="1">
      <c r="A367" s="308"/>
      <c r="B367" s="305"/>
      <c r="C367" s="305"/>
      <c r="D367" s="305"/>
      <c r="E367" s="305"/>
      <c r="F367" s="305"/>
      <c r="G367" s="307"/>
      <c r="H367" s="146"/>
      <c r="I367" s="146"/>
      <c r="J367" s="146"/>
      <c r="K367" s="146"/>
      <c r="L367" s="146"/>
      <c r="M367" s="146"/>
      <c r="N367" s="146"/>
      <c r="O367" s="146"/>
      <c r="P367" s="146"/>
      <c r="Q367" s="146"/>
      <c r="R367" s="146"/>
      <c r="S367" s="146"/>
      <c r="T367" s="146"/>
      <c r="U367" s="146"/>
      <c r="V367" s="146"/>
      <c r="W367" s="146"/>
      <c r="X367" s="146"/>
      <c r="Y367" s="146"/>
      <c r="Z367" s="146"/>
    </row>
    <row r="368" ht="22.5" customHeight="1">
      <c r="A368" s="308"/>
      <c r="B368" s="305"/>
      <c r="C368" s="305"/>
      <c r="D368" s="305"/>
      <c r="E368" s="305"/>
      <c r="F368" s="305"/>
      <c r="G368" s="307"/>
      <c r="H368" s="146"/>
      <c r="I368" s="146"/>
      <c r="J368" s="146"/>
      <c r="K368" s="146"/>
      <c r="L368" s="146"/>
      <c r="M368" s="146"/>
      <c r="N368" s="146"/>
      <c r="O368" s="146"/>
      <c r="P368" s="146"/>
      <c r="Q368" s="146"/>
      <c r="R368" s="146"/>
      <c r="S368" s="146"/>
      <c r="T368" s="146"/>
      <c r="U368" s="146"/>
      <c r="V368" s="146"/>
      <c r="W368" s="146"/>
      <c r="X368" s="146"/>
      <c r="Y368" s="146"/>
      <c r="Z368" s="146"/>
    </row>
    <row r="369" ht="22.5" customHeight="1">
      <c r="A369" s="308"/>
      <c r="B369" s="305"/>
      <c r="C369" s="305"/>
      <c r="D369" s="305"/>
      <c r="E369" s="305"/>
      <c r="F369" s="305"/>
      <c r="G369" s="307"/>
      <c r="H369" s="146"/>
      <c r="I369" s="146"/>
      <c r="J369" s="146"/>
      <c r="K369" s="146"/>
      <c r="L369" s="146"/>
      <c r="M369" s="146"/>
      <c r="N369" s="146"/>
      <c r="O369" s="146"/>
      <c r="P369" s="146"/>
      <c r="Q369" s="146"/>
      <c r="R369" s="146"/>
      <c r="S369" s="146"/>
      <c r="T369" s="146"/>
      <c r="U369" s="146"/>
      <c r="V369" s="146"/>
      <c r="W369" s="146"/>
      <c r="X369" s="146"/>
      <c r="Y369" s="146"/>
      <c r="Z369" s="146"/>
    </row>
    <row r="370" ht="22.5" customHeight="1">
      <c r="A370" s="308"/>
      <c r="B370" s="305"/>
      <c r="C370" s="305"/>
      <c r="D370" s="305"/>
      <c r="E370" s="305"/>
      <c r="F370" s="305"/>
      <c r="G370" s="307"/>
      <c r="H370" s="146"/>
      <c r="I370" s="146"/>
      <c r="J370" s="146"/>
      <c r="K370" s="146"/>
      <c r="L370" s="146"/>
      <c r="M370" s="146"/>
      <c r="N370" s="146"/>
      <c r="O370" s="146"/>
      <c r="P370" s="146"/>
      <c r="Q370" s="146"/>
      <c r="R370" s="146"/>
      <c r="S370" s="146"/>
      <c r="T370" s="146"/>
      <c r="U370" s="146"/>
      <c r="V370" s="146"/>
      <c r="W370" s="146"/>
      <c r="X370" s="146"/>
      <c r="Y370" s="146"/>
      <c r="Z370" s="146"/>
    </row>
    <row r="371" ht="22.5" customHeight="1">
      <c r="A371" s="308"/>
      <c r="B371" s="305"/>
      <c r="C371" s="305"/>
      <c r="D371" s="305"/>
      <c r="E371" s="305"/>
      <c r="F371" s="305"/>
      <c r="G371" s="307"/>
      <c r="H371" s="146"/>
      <c r="I371" s="146"/>
      <c r="J371" s="146"/>
      <c r="K371" s="146"/>
      <c r="L371" s="146"/>
      <c r="M371" s="146"/>
      <c r="N371" s="146"/>
      <c r="O371" s="146"/>
      <c r="P371" s="146"/>
      <c r="Q371" s="146"/>
      <c r="R371" s="146"/>
      <c r="S371" s="146"/>
      <c r="T371" s="146"/>
      <c r="U371" s="146"/>
      <c r="V371" s="146"/>
      <c r="W371" s="146"/>
      <c r="X371" s="146"/>
      <c r="Y371" s="146"/>
      <c r="Z371" s="146"/>
    </row>
    <row r="372" ht="22.5" customHeight="1">
      <c r="A372" s="308"/>
      <c r="B372" s="305"/>
      <c r="C372" s="305"/>
      <c r="D372" s="305"/>
      <c r="E372" s="305"/>
      <c r="F372" s="305"/>
      <c r="G372" s="307"/>
      <c r="H372" s="146"/>
      <c r="I372" s="146"/>
      <c r="J372" s="146"/>
      <c r="K372" s="146"/>
      <c r="L372" s="146"/>
      <c r="M372" s="146"/>
      <c r="N372" s="146"/>
      <c r="O372" s="146"/>
      <c r="P372" s="146"/>
      <c r="Q372" s="146"/>
      <c r="R372" s="146"/>
      <c r="S372" s="146"/>
      <c r="T372" s="146"/>
      <c r="U372" s="146"/>
      <c r="V372" s="146"/>
      <c r="W372" s="146"/>
      <c r="X372" s="146"/>
      <c r="Y372" s="146"/>
      <c r="Z372" s="146"/>
    </row>
    <row r="373" ht="22.5" customHeight="1">
      <c r="A373" s="308"/>
      <c r="B373" s="305"/>
      <c r="C373" s="305"/>
      <c r="D373" s="305"/>
      <c r="E373" s="305"/>
      <c r="F373" s="305"/>
      <c r="G373" s="307"/>
      <c r="H373" s="146"/>
      <c r="I373" s="146"/>
      <c r="J373" s="146"/>
      <c r="K373" s="146"/>
      <c r="L373" s="146"/>
      <c r="M373" s="146"/>
      <c r="N373" s="146"/>
      <c r="O373" s="146"/>
      <c r="P373" s="146"/>
      <c r="Q373" s="146"/>
      <c r="R373" s="146"/>
      <c r="S373" s="146"/>
      <c r="T373" s="146"/>
      <c r="U373" s="146"/>
      <c r="V373" s="146"/>
      <c r="W373" s="146"/>
      <c r="X373" s="146"/>
      <c r="Y373" s="146"/>
      <c r="Z373" s="146"/>
    </row>
    <row r="374" ht="22.5" customHeight="1">
      <c r="A374" s="308"/>
      <c r="B374" s="305"/>
      <c r="C374" s="305"/>
      <c r="D374" s="305"/>
      <c r="E374" s="305"/>
      <c r="F374" s="305"/>
      <c r="G374" s="307"/>
      <c r="H374" s="146"/>
      <c r="I374" s="146"/>
      <c r="J374" s="146"/>
      <c r="K374" s="146"/>
      <c r="L374" s="146"/>
      <c r="M374" s="146"/>
      <c r="N374" s="146"/>
      <c r="O374" s="146"/>
      <c r="P374" s="146"/>
      <c r="Q374" s="146"/>
      <c r="R374" s="146"/>
      <c r="S374" s="146"/>
      <c r="T374" s="146"/>
      <c r="U374" s="146"/>
      <c r="V374" s="146"/>
      <c r="W374" s="146"/>
      <c r="X374" s="146"/>
      <c r="Y374" s="146"/>
      <c r="Z374" s="146"/>
    </row>
    <row r="375" ht="22.5" customHeight="1">
      <c r="A375" s="308"/>
      <c r="B375" s="305"/>
      <c r="C375" s="305"/>
      <c r="D375" s="305"/>
      <c r="E375" s="305"/>
      <c r="F375" s="305"/>
      <c r="G375" s="307"/>
      <c r="H375" s="146"/>
      <c r="I375" s="146"/>
      <c r="J375" s="146"/>
      <c r="K375" s="146"/>
      <c r="L375" s="146"/>
      <c r="M375" s="146"/>
      <c r="N375" s="146"/>
      <c r="O375" s="146"/>
      <c r="P375" s="146"/>
      <c r="Q375" s="146"/>
      <c r="R375" s="146"/>
      <c r="S375" s="146"/>
      <c r="T375" s="146"/>
      <c r="U375" s="146"/>
      <c r="V375" s="146"/>
      <c r="W375" s="146"/>
      <c r="X375" s="146"/>
      <c r="Y375" s="146"/>
      <c r="Z375" s="146"/>
    </row>
    <row r="376" ht="22.5" customHeight="1">
      <c r="A376" s="308"/>
      <c r="B376" s="305"/>
      <c r="C376" s="305"/>
      <c r="D376" s="305"/>
      <c r="E376" s="305"/>
      <c r="F376" s="305"/>
      <c r="G376" s="307"/>
      <c r="H376" s="146"/>
      <c r="I376" s="146"/>
      <c r="J376" s="146"/>
      <c r="K376" s="146"/>
      <c r="L376" s="146"/>
      <c r="M376" s="146"/>
      <c r="N376" s="146"/>
      <c r="O376" s="146"/>
      <c r="P376" s="146"/>
      <c r="Q376" s="146"/>
      <c r="R376" s="146"/>
      <c r="S376" s="146"/>
      <c r="T376" s="146"/>
      <c r="U376" s="146"/>
      <c r="V376" s="146"/>
      <c r="W376" s="146"/>
      <c r="X376" s="146"/>
      <c r="Y376" s="146"/>
      <c r="Z376" s="146"/>
    </row>
    <row r="377" ht="22.5" customHeight="1">
      <c r="A377" s="308"/>
      <c r="B377" s="305"/>
      <c r="C377" s="305"/>
      <c r="D377" s="305"/>
      <c r="E377" s="305"/>
      <c r="F377" s="305"/>
      <c r="G377" s="307"/>
      <c r="H377" s="146"/>
      <c r="I377" s="146"/>
      <c r="J377" s="146"/>
      <c r="K377" s="146"/>
      <c r="L377" s="146"/>
      <c r="M377" s="146"/>
      <c r="N377" s="146"/>
      <c r="O377" s="146"/>
      <c r="P377" s="146"/>
      <c r="Q377" s="146"/>
      <c r="R377" s="146"/>
      <c r="S377" s="146"/>
      <c r="T377" s="146"/>
      <c r="U377" s="146"/>
      <c r="V377" s="146"/>
      <c r="W377" s="146"/>
      <c r="X377" s="146"/>
      <c r="Y377" s="146"/>
      <c r="Z377" s="146"/>
    </row>
    <row r="378" ht="22.5" customHeight="1">
      <c r="A378" s="308"/>
      <c r="B378" s="305"/>
      <c r="C378" s="305"/>
      <c r="D378" s="305"/>
      <c r="E378" s="305"/>
      <c r="F378" s="305"/>
      <c r="G378" s="307"/>
      <c r="H378" s="146"/>
      <c r="I378" s="146"/>
      <c r="J378" s="146"/>
      <c r="K378" s="146"/>
      <c r="L378" s="146"/>
      <c r="M378" s="146"/>
      <c r="N378" s="146"/>
      <c r="O378" s="146"/>
      <c r="P378" s="146"/>
      <c r="Q378" s="146"/>
      <c r="R378" s="146"/>
      <c r="S378" s="146"/>
      <c r="T378" s="146"/>
      <c r="U378" s="146"/>
      <c r="V378" s="146"/>
      <c r="W378" s="146"/>
      <c r="X378" s="146"/>
      <c r="Y378" s="146"/>
      <c r="Z378" s="146"/>
    </row>
    <row r="379" ht="22.5" customHeight="1">
      <c r="A379" s="308"/>
      <c r="B379" s="305"/>
      <c r="C379" s="305"/>
      <c r="D379" s="305"/>
      <c r="E379" s="305"/>
      <c r="F379" s="305"/>
      <c r="G379" s="307"/>
      <c r="H379" s="146"/>
      <c r="I379" s="146"/>
      <c r="J379" s="146"/>
      <c r="K379" s="146"/>
      <c r="L379" s="146"/>
      <c r="M379" s="146"/>
      <c r="N379" s="146"/>
      <c r="O379" s="146"/>
      <c r="P379" s="146"/>
      <c r="Q379" s="146"/>
      <c r="R379" s="146"/>
      <c r="S379" s="146"/>
      <c r="T379" s="146"/>
      <c r="U379" s="146"/>
      <c r="V379" s="146"/>
      <c r="W379" s="146"/>
      <c r="X379" s="146"/>
      <c r="Y379" s="146"/>
      <c r="Z379" s="146"/>
    </row>
    <row r="380" ht="22.5" customHeight="1">
      <c r="A380" s="308"/>
      <c r="B380" s="305"/>
      <c r="C380" s="305"/>
      <c r="D380" s="305"/>
      <c r="E380" s="305"/>
      <c r="F380" s="305"/>
      <c r="G380" s="307"/>
      <c r="H380" s="146"/>
      <c r="I380" s="146"/>
      <c r="J380" s="146"/>
      <c r="K380" s="146"/>
      <c r="L380" s="146"/>
      <c r="M380" s="146"/>
      <c r="N380" s="146"/>
      <c r="O380" s="146"/>
      <c r="P380" s="146"/>
      <c r="Q380" s="146"/>
      <c r="R380" s="146"/>
      <c r="S380" s="146"/>
      <c r="T380" s="146"/>
      <c r="U380" s="146"/>
      <c r="V380" s="146"/>
      <c r="W380" s="146"/>
      <c r="X380" s="146"/>
      <c r="Y380" s="146"/>
      <c r="Z380" s="146"/>
    </row>
    <row r="381" ht="22.5" customHeight="1">
      <c r="A381" s="308"/>
      <c r="B381" s="305"/>
      <c r="C381" s="305"/>
      <c r="D381" s="305"/>
      <c r="E381" s="305"/>
      <c r="F381" s="305"/>
      <c r="G381" s="307"/>
      <c r="H381" s="146"/>
      <c r="I381" s="146"/>
      <c r="J381" s="146"/>
      <c r="K381" s="146"/>
      <c r="L381" s="146"/>
      <c r="M381" s="146"/>
      <c r="N381" s="146"/>
      <c r="O381" s="146"/>
      <c r="P381" s="146"/>
      <c r="Q381" s="146"/>
      <c r="R381" s="146"/>
      <c r="S381" s="146"/>
      <c r="T381" s="146"/>
      <c r="U381" s="146"/>
      <c r="V381" s="146"/>
      <c r="W381" s="146"/>
      <c r="X381" s="146"/>
      <c r="Y381" s="146"/>
      <c r="Z381" s="146"/>
    </row>
    <row r="382" ht="22.5" customHeight="1">
      <c r="A382" s="308"/>
      <c r="B382" s="305"/>
      <c r="C382" s="305"/>
      <c r="D382" s="305"/>
      <c r="E382" s="305"/>
      <c r="F382" s="305"/>
      <c r="G382" s="307"/>
      <c r="H382" s="146"/>
      <c r="I382" s="146"/>
      <c r="J382" s="146"/>
      <c r="K382" s="146"/>
      <c r="L382" s="146"/>
      <c r="M382" s="146"/>
      <c r="N382" s="146"/>
      <c r="O382" s="146"/>
      <c r="P382" s="146"/>
      <c r="Q382" s="146"/>
      <c r="R382" s="146"/>
      <c r="S382" s="146"/>
      <c r="T382" s="146"/>
      <c r="U382" s="146"/>
      <c r="V382" s="146"/>
      <c r="W382" s="146"/>
      <c r="X382" s="146"/>
      <c r="Y382" s="146"/>
      <c r="Z382" s="146"/>
    </row>
    <row r="383" ht="22.5" customHeight="1">
      <c r="A383" s="308"/>
      <c r="B383" s="305"/>
      <c r="C383" s="305"/>
      <c r="D383" s="305"/>
      <c r="E383" s="305"/>
      <c r="F383" s="305"/>
      <c r="G383" s="307"/>
      <c r="H383" s="146"/>
      <c r="I383" s="146"/>
      <c r="J383" s="146"/>
      <c r="K383" s="146"/>
      <c r="L383" s="146"/>
      <c r="M383" s="146"/>
      <c r="N383" s="146"/>
      <c r="O383" s="146"/>
      <c r="P383" s="146"/>
      <c r="Q383" s="146"/>
      <c r="R383" s="146"/>
      <c r="S383" s="146"/>
      <c r="T383" s="146"/>
      <c r="U383" s="146"/>
      <c r="V383" s="146"/>
      <c r="W383" s="146"/>
      <c r="X383" s="146"/>
      <c r="Y383" s="146"/>
      <c r="Z383" s="146"/>
    </row>
    <row r="384" ht="22.5" customHeight="1">
      <c r="A384" s="308"/>
      <c r="B384" s="305"/>
      <c r="C384" s="305"/>
      <c r="D384" s="305"/>
      <c r="E384" s="305"/>
      <c r="F384" s="305"/>
      <c r="G384" s="307"/>
      <c r="H384" s="146"/>
      <c r="I384" s="146"/>
      <c r="J384" s="146"/>
      <c r="K384" s="146"/>
      <c r="L384" s="146"/>
      <c r="M384" s="146"/>
      <c r="N384" s="146"/>
      <c r="O384" s="146"/>
      <c r="P384" s="146"/>
      <c r="Q384" s="146"/>
      <c r="R384" s="146"/>
      <c r="S384" s="146"/>
      <c r="T384" s="146"/>
      <c r="U384" s="146"/>
      <c r="V384" s="146"/>
      <c r="W384" s="146"/>
      <c r="X384" s="146"/>
      <c r="Y384" s="146"/>
      <c r="Z384" s="146"/>
    </row>
    <row r="385" ht="22.5" customHeight="1">
      <c r="A385" s="308"/>
      <c r="B385" s="305"/>
      <c r="C385" s="305"/>
      <c r="D385" s="305"/>
      <c r="E385" s="305"/>
      <c r="F385" s="305"/>
      <c r="G385" s="307"/>
      <c r="H385" s="146"/>
      <c r="I385" s="146"/>
      <c r="J385" s="146"/>
      <c r="K385" s="146"/>
      <c r="L385" s="146"/>
      <c r="M385" s="146"/>
      <c r="N385" s="146"/>
      <c r="O385" s="146"/>
      <c r="P385" s="146"/>
      <c r="Q385" s="146"/>
      <c r="R385" s="146"/>
      <c r="S385" s="146"/>
      <c r="T385" s="146"/>
      <c r="U385" s="146"/>
      <c r="V385" s="146"/>
      <c r="W385" s="146"/>
      <c r="X385" s="146"/>
      <c r="Y385" s="146"/>
      <c r="Z385" s="146"/>
    </row>
    <row r="386" ht="22.5" customHeight="1">
      <c r="A386" s="308"/>
      <c r="B386" s="305"/>
      <c r="C386" s="305"/>
      <c r="D386" s="305"/>
      <c r="E386" s="305"/>
      <c r="F386" s="305"/>
      <c r="G386" s="307"/>
      <c r="H386" s="146"/>
      <c r="I386" s="146"/>
      <c r="J386" s="146"/>
      <c r="K386" s="146"/>
      <c r="L386" s="146"/>
      <c r="M386" s="146"/>
      <c r="N386" s="146"/>
      <c r="O386" s="146"/>
      <c r="P386" s="146"/>
      <c r="Q386" s="146"/>
      <c r="R386" s="146"/>
      <c r="S386" s="146"/>
      <c r="T386" s="146"/>
      <c r="U386" s="146"/>
      <c r="V386" s="146"/>
      <c r="W386" s="146"/>
      <c r="X386" s="146"/>
      <c r="Y386" s="146"/>
      <c r="Z386" s="146"/>
    </row>
    <row r="387" ht="22.5" customHeight="1">
      <c r="A387" s="308"/>
      <c r="B387" s="305"/>
      <c r="C387" s="305"/>
      <c r="D387" s="305"/>
      <c r="E387" s="305"/>
      <c r="F387" s="305"/>
      <c r="G387" s="307"/>
      <c r="H387" s="146"/>
      <c r="I387" s="146"/>
      <c r="J387" s="146"/>
      <c r="K387" s="146"/>
      <c r="L387" s="146"/>
      <c r="M387" s="146"/>
      <c r="N387" s="146"/>
      <c r="O387" s="146"/>
      <c r="P387" s="146"/>
      <c r="Q387" s="146"/>
      <c r="R387" s="146"/>
      <c r="S387" s="146"/>
      <c r="T387" s="146"/>
      <c r="U387" s="146"/>
      <c r="V387" s="146"/>
      <c r="W387" s="146"/>
      <c r="X387" s="146"/>
      <c r="Y387" s="146"/>
      <c r="Z387" s="146"/>
    </row>
    <row r="388" ht="22.5" customHeight="1">
      <c r="A388" s="308"/>
      <c r="B388" s="305"/>
      <c r="C388" s="305"/>
      <c r="D388" s="305"/>
      <c r="E388" s="305"/>
      <c r="F388" s="305"/>
      <c r="G388" s="307"/>
      <c r="H388" s="146"/>
      <c r="I388" s="146"/>
      <c r="J388" s="146"/>
      <c r="K388" s="146"/>
      <c r="L388" s="146"/>
      <c r="M388" s="146"/>
      <c r="N388" s="146"/>
      <c r="O388" s="146"/>
      <c r="P388" s="146"/>
      <c r="Q388" s="146"/>
      <c r="R388" s="146"/>
      <c r="S388" s="146"/>
      <c r="T388" s="146"/>
      <c r="U388" s="146"/>
      <c r="V388" s="146"/>
      <c r="W388" s="146"/>
      <c r="X388" s="146"/>
      <c r="Y388" s="146"/>
      <c r="Z388" s="146"/>
    </row>
    <row r="389" ht="22.5" customHeight="1">
      <c r="A389" s="308"/>
      <c r="B389" s="305"/>
      <c r="C389" s="305"/>
      <c r="D389" s="305"/>
      <c r="E389" s="305"/>
      <c r="F389" s="305"/>
      <c r="G389" s="307"/>
      <c r="H389" s="146"/>
      <c r="I389" s="146"/>
      <c r="J389" s="146"/>
      <c r="K389" s="146"/>
      <c r="L389" s="146"/>
      <c r="M389" s="146"/>
      <c r="N389" s="146"/>
      <c r="O389" s="146"/>
      <c r="P389" s="146"/>
      <c r="Q389" s="146"/>
      <c r="R389" s="146"/>
      <c r="S389" s="146"/>
      <c r="T389" s="146"/>
      <c r="U389" s="146"/>
      <c r="V389" s="146"/>
      <c r="W389" s="146"/>
      <c r="X389" s="146"/>
      <c r="Y389" s="146"/>
      <c r="Z389" s="146"/>
    </row>
    <row r="390" ht="22.5" customHeight="1">
      <c r="A390" s="308"/>
      <c r="B390" s="305"/>
      <c r="C390" s="305"/>
      <c r="D390" s="305"/>
      <c r="E390" s="305"/>
      <c r="F390" s="305"/>
      <c r="G390" s="307"/>
      <c r="H390" s="146"/>
      <c r="I390" s="146"/>
      <c r="J390" s="146"/>
      <c r="K390" s="146"/>
      <c r="L390" s="146"/>
      <c r="M390" s="146"/>
      <c r="N390" s="146"/>
      <c r="O390" s="146"/>
      <c r="P390" s="146"/>
      <c r="Q390" s="146"/>
      <c r="R390" s="146"/>
      <c r="S390" s="146"/>
      <c r="T390" s="146"/>
      <c r="U390" s="146"/>
      <c r="V390" s="146"/>
      <c r="W390" s="146"/>
      <c r="X390" s="146"/>
      <c r="Y390" s="146"/>
      <c r="Z390" s="146"/>
    </row>
    <row r="391" ht="22.5" customHeight="1">
      <c r="A391" s="308"/>
      <c r="B391" s="305"/>
      <c r="C391" s="305"/>
      <c r="D391" s="305"/>
      <c r="E391" s="305"/>
      <c r="F391" s="305"/>
      <c r="G391" s="307"/>
      <c r="H391" s="146"/>
      <c r="I391" s="146"/>
      <c r="J391" s="146"/>
      <c r="K391" s="146"/>
      <c r="L391" s="146"/>
      <c r="M391" s="146"/>
      <c r="N391" s="146"/>
      <c r="O391" s="146"/>
      <c r="P391" s="146"/>
      <c r="Q391" s="146"/>
      <c r="R391" s="146"/>
      <c r="S391" s="146"/>
      <c r="T391" s="146"/>
      <c r="U391" s="146"/>
      <c r="V391" s="146"/>
      <c r="W391" s="146"/>
      <c r="X391" s="146"/>
      <c r="Y391" s="146"/>
      <c r="Z391" s="146"/>
    </row>
    <row r="392" ht="22.5" customHeight="1">
      <c r="A392" s="308"/>
      <c r="B392" s="305"/>
      <c r="C392" s="305"/>
      <c r="D392" s="305"/>
      <c r="E392" s="305"/>
      <c r="F392" s="305"/>
      <c r="G392" s="307"/>
      <c r="H392" s="146"/>
      <c r="I392" s="146"/>
      <c r="J392" s="146"/>
      <c r="K392" s="146"/>
      <c r="L392" s="146"/>
      <c r="M392" s="146"/>
      <c r="N392" s="146"/>
      <c r="O392" s="146"/>
      <c r="P392" s="146"/>
      <c r="Q392" s="146"/>
      <c r="R392" s="146"/>
      <c r="S392" s="146"/>
      <c r="T392" s="146"/>
      <c r="U392" s="146"/>
      <c r="V392" s="146"/>
      <c r="W392" s="146"/>
      <c r="X392" s="146"/>
      <c r="Y392" s="146"/>
      <c r="Z392" s="146"/>
    </row>
    <row r="393" ht="22.5" customHeight="1">
      <c r="A393" s="308"/>
      <c r="B393" s="305"/>
      <c r="C393" s="305"/>
      <c r="D393" s="305"/>
      <c r="E393" s="305"/>
      <c r="F393" s="305"/>
      <c r="G393" s="307"/>
      <c r="H393" s="146"/>
      <c r="I393" s="146"/>
      <c r="J393" s="146"/>
      <c r="K393" s="146"/>
      <c r="L393" s="146"/>
      <c r="M393" s="146"/>
      <c r="N393" s="146"/>
      <c r="O393" s="146"/>
      <c r="P393" s="146"/>
      <c r="Q393" s="146"/>
      <c r="R393" s="146"/>
      <c r="S393" s="146"/>
      <c r="T393" s="146"/>
      <c r="U393" s="146"/>
      <c r="V393" s="146"/>
      <c r="W393" s="146"/>
      <c r="X393" s="146"/>
      <c r="Y393" s="146"/>
      <c r="Z393" s="146"/>
    </row>
    <row r="394" ht="22.5" customHeight="1">
      <c r="A394" s="308"/>
      <c r="B394" s="305"/>
      <c r="C394" s="305"/>
      <c r="D394" s="305"/>
      <c r="E394" s="305"/>
      <c r="F394" s="305"/>
      <c r="G394" s="307"/>
      <c r="H394" s="146"/>
      <c r="I394" s="146"/>
      <c r="J394" s="146"/>
      <c r="K394" s="146"/>
      <c r="L394" s="146"/>
      <c r="M394" s="146"/>
      <c r="N394" s="146"/>
      <c r="O394" s="146"/>
      <c r="P394" s="146"/>
      <c r="Q394" s="146"/>
      <c r="R394" s="146"/>
      <c r="S394" s="146"/>
      <c r="T394" s="146"/>
      <c r="U394" s="146"/>
      <c r="V394" s="146"/>
      <c r="W394" s="146"/>
      <c r="X394" s="146"/>
      <c r="Y394" s="146"/>
      <c r="Z394" s="146"/>
    </row>
    <row r="395" ht="22.5" customHeight="1">
      <c r="A395" s="308"/>
      <c r="B395" s="305"/>
      <c r="C395" s="305"/>
      <c r="D395" s="305"/>
      <c r="E395" s="305"/>
      <c r="F395" s="305"/>
      <c r="G395" s="307"/>
      <c r="H395" s="146"/>
      <c r="I395" s="146"/>
      <c r="J395" s="146"/>
      <c r="K395" s="146"/>
      <c r="L395" s="146"/>
      <c r="M395" s="146"/>
      <c r="N395" s="146"/>
      <c r="O395" s="146"/>
      <c r="P395" s="146"/>
      <c r="Q395" s="146"/>
      <c r="R395" s="146"/>
      <c r="S395" s="146"/>
      <c r="T395" s="146"/>
      <c r="U395" s="146"/>
      <c r="V395" s="146"/>
      <c r="W395" s="146"/>
      <c r="X395" s="146"/>
      <c r="Y395" s="146"/>
      <c r="Z395" s="146"/>
    </row>
    <row r="396" ht="22.5" customHeight="1">
      <c r="A396" s="308"/>
      <c r="B396" s="305"/>
      <c r="C396" s="305"/>
      <c r="D396" s="305"/>
      <c r="E396" s="305"/>
      <c r="F396" s="305"/>
      <c r="G396" s="307"/>
      <c r="H396" s="146"/>
      <c r="I396" s="146"/>
      <c r="J396" s="146"/>
      <c r="K396" s="146"/>
      <c r="L396" s="146"/>
      <c r="M396" s="146"/>
      <c r="N396" s="146"/>
      <c r="O396" s="146"/>
      <c r="P396" s="146"/>
      <c r="Q396" s="146"/>
      <c r="R396" s="146"/>
      <c r="S396" s="146"/>
      <c r="T396" s="146"/>
      <c r="U396" s="146"/>
      <c r="V396" s="146"/>
      <c r="W396" s="146"/>
      <c r="X396" s="146"/>
      <c r="Y396" s="146"/>
      <c r="Z396" s="146"/>
    </row>
    <row r="397" ht="22.5" customHeight="1">
      <c r="A397" s="308"/>
      <c r="B397" s="305"/>
      <c r="C397" s="305"/>
      <c r="D397" s="305"/>
      <c r="E397" s="305"/>
      <c r="F397" s="305"/>
      <c r="G397" s="307"/>
      <c r="H397" s="146"/>
      <c r="I397" s="146"/>
      <c r="J397" s="146"/>
      <c r="K397" s="146"/>
      <c r="L397" s="146"/>
      <c r="M397" s="146"/>
      <c r="N397" s="146"/>
      <c r="O397" s="146"/>
      <c r="P397" s="146"/>
      <c r="Q397" s="146"/>
      <c r="R397" s="146"/>
      <c r="S397" s="146"/>
      <c r="T397" s="146"/>
      <c r="U397" s="146"/>
      <c r="V397" s="146"/>
      <c r="W397" s="146"/>
      <c r="X397" s="146"/>
      <c r="Y397" s="146"/>
      <c r="Z397" s="146"/>
    </row>
    <row r="398" ht="22.5" customHeight="1">
      <c r="A398" s="308"/>
      <c r="B398" s="305"/>
      <c r="C398" s="305"/>
      <c r="D398" s="305"/>
      <c r="E398" s="305"/>
      <c r="F398" s="305"/>
      <c r="G398" s="307"/>
      <c r="H398" s="146"/>
      <c r="I398" s="146"/>
      <c r="J398" s="146"/>
      <c r="K398" s="146"/>
      <c r="L398" s="146"/>
      <c r="M398" s="146"/>
      <c r="N398" s="146"/>
      <c r="O398" s="146"/>
      <c r="P398" s="146"/>
      <c r="Q398" s="146"/>
      <c r="R398" s="146"/>
      <c r="S398" s="146"/>
      <c r="T398" s="146"/>
      <c r="U398" s="146"/>
      <c r="V398" s="146"/>
      <c r="W398" s="146"/>
      <c r="X398" s="146"/>
      <c r="Y398" s="146"/>
      <c r="Z398" s="146"/>
    </row>
    <row r="399" ht="22.5" customHeight="1">
      <c r="A399" s="308"/>
      <c r="B399" s="305"/>
      <c r="C399" s="305"/>
      <c r="D399" s="305"/>
      <c r="E399" s="305"/>
      <c r="F399" s="305"/>
      <c r="G399" s="307"/>
      <c r="H399" s="146"/>
      <c r="I399" s="146"/>
      <c r="J399" s="146"/>
      <c r="K399" s="146"/>
      <c r="L399" s="146"/>
      <c r="M399" s="146"/>
      <c r="N399" s="146"/>
      <c r="O399" s="146"/>
      <c r="P399" s="146"/>
      <c r="Q399" s="146"/>
      <c r="R399" s="146"/>
      <c r="S399" s="146"/>
      <c r="T399" s="146"/>
      <c r="U399" s="146"/>
      <c r="V399" s="146"/>
      <c r="W399" s="146"/>
      <c r="X399" s="146"/>
      <c r="Y399" s="146"/>
      <c r="Z399" s="146"/>
    </row>
    <row r="400" ht="22.5" customHeight="1">
      <c r="A400" s="308"/>
      <c r="B400" s="305"/>
      <c r="C400" s="305"/>
      <c r="D400" s="305"/>
      <c r="E400" s="305"/>
      <c r="F400" s="305"/>
      <c r="G400" s="307"/>
      <c r="H400" s="146"/>
      <c r="I400" s="146"/>
      <c r="J400" s="146"/>
      <c r="K400" s="146"/>
      <c r="L400" s="146"/>
      <c r="M400" s="146"/>
      <c r="N400" s="146"/>
      <c r="O400" s="146"/>
      <c r="P400" s="146"/>
      <c r="Q400" s="146"/>
      <c r="R400" s="146"/>
      <c r="S400" s="146"/>
      <c r="T400" s="146"/>
      <c r="U400" s="146"/>
      <c r="V400" s="146"/>
      <c r="W400" s="146"/>
      <c r="X400" s="146"/>
      <c r="Y400" s="146"/>
      <c r="Z400" s="146"/>
    </row>
    <row r="401" ht="22.5" customHeight="1">
      <c r="A401" s="308"/>
      <c r="B401" s="305"/>
      <c r="C401" s="305"/>
      <c r="D401" s="305"/>
      <c r="E401" s="305"/>
      <c r="F401" s="305"/>
      <c r="G401" s="307"/>
      <c r="H401" s="146"/>
      <c r="I401" s="146"/>
      <c r="J401" s="146"/>
      <c r="K401" s="146"/>
      <c r="L401" s="146"/>
      <c r="M401" s="146"/>
      <c r="N401" s="146"/>
      <c r="O401" s="146"/>
      <c r="P401" s="146"/>
      <c r="Q401" s="146"/>
      <c r="R401" s="146"/>
      <c r="S401" s="146"/>
      <c r="T401" s="146"/>
      <c r="U401" s="146"/>
      <c r="V401" s="146"/>
      <c r="W401" s="146"/>
      <c r="X401" s="146"/>
      <c r="Y401" s="146"/>
      <c r="Z401" s="146"/>
    </row>
    <row r="402" ht="22.5" customHeight="1">
      <c r="A402" s="308"/>
      <c r="B402" s="305"/>
      <c r="C402" s="305"/>
      <c r="D402" s="305"/>
      <c r="E402" s="305"/>
      <c r="F402" s="305"/>
      <c r="G402" s="307"/>
      <c r="H402" s="146"/>
      <c r="I402" s="146"/>
      <c r="J402" s="146"/>
      <c r="K402" s="146"/>
      <c r="L402" s="146"/>
      <c r="M402" s="146"/>
      <c r="N402" s="146"/>
      <c r="O402" s="146"/>
      <c r="P402" s="146"/>
      <c r="Q402" s="146"/>
      <c r="R402" s="146"/>
      <c r="S402" s="146"/>
      <c r="T402" s="146"/>
      <c r="U402" s="146"/>
      <c r="V402" s="146"/>
      <c r="W402" s="146"/>
      <c r="X402" s="146"/>
      <c r="Y402" s="146"/>
      <c r="Z402" s="146"/>
    </row>
    <row r="403" ht="22.5" customHeight="1">
      <c r="A403" s="308"/>
      <c r="B403" s="305"/>
      <c r="C403" s="305"/>
      <c r="D403" s="305"/>
      <c r="E403" s="305"/>
      <c r="F403" s="305"/>
      <c r="G403" s="307"/>
      <c r="H403" s="146"/>
      <c r="I403" s="146"/>
      <c r="J403" s="146"/>
      <c r="K403" s="146"/>
      <c r="L403" s="146"/>
      <c r="M403" s="146"/>
      <c r="N403" s="146"/>
      <c r="O403" s="146"/>
      <c r="P403" s="146"/>
      <c r="Q403" s="146"/>
      <c r="R403" s="146"/>
      <c r="S403" s="146"/>
      <c r="T403" s="146"/>
      <c r="U403" s="146"/>
      <c r="V403" s="146"/>
      <c r="W403" s="146"/>
      <c r="X403" s="146"/>
      <c r="Y403" s="146"/>
      <c r="Z403" s="146"/>
    </row>
    <row r="404" ht="22.5" customHeight="1">
      <c r="A404" s="308"/>
      <c r="B404" s="305"/>
      <c r="C404" s="305"/>
      <c r="D404" s="305"/>
      <c r="E404" s="305"/>
      <c r="F404" s="305"/>
      <c r="G404" s="307"/>
      <c r="H404" s="146"/>
      <c r="I404" s="146"/>
      <c r="J404" s="146"/>
      <c r="K404" s="146"/>
      <c r="L404" s="146"/>
      <c r="M404" s="146"/>
      <c r="N404" s="146"/>
      <c r="O404" s="146"/>
      <c r="P404" s="146"/>
      <c r="Q404" s="146"/>
      <c r="R404" s="146"/>
      <c r="S404" s="146"/>
      <c r="T404" s="146"/>
      <c r="U404" s="146"/>
      <c r="V404" s="146"/>
      <c r="W404" s="146"/>
      <c r="X404" s="146"/>
      <c r="Y404" s="146"/>
      <c r="Z404" s="146"/>
    </row>
    <row r="405" ht="22.5" customHeight="1">
      <c r="A405" s="308"/>
      <c r="B405" s="305"/>
      <c r="C405" s="305"/>
      <c r="D405" s="305"/>
      <c r="E405" s="305"/>
      <c r="F405" s="305"/>
      <c r="G405" s="307"/>
      <c r="H405" s="146"/>
      <c r="I405" s="146"/>
      <c r="J405" s="146"/>
      <c r="K405" s="146"/>
      <c r="L405" s="146"/>
      <c r="M405" s="146"/>
      <c r="N405" s="146"/>
      <c r="O405" s="146"/>
      <c r="P405" s="146"/>
      <c r="Q405" s="146"/>
      <c r="R405" s="146"/>
      <c r="S405" s="146"/>
      <c r="T405" s="146"/>
      <c r="U405" s="146"/>
      <c r="V405" s="146"/>
      <c r="W405" s="146"/>
      <c r="X405" s="146"/>
      <c r="Y405" s="146"/>
      <c r="Z405" s="146"/>
    </row>
    <row r="406" ht="22.5" customHeight="1">
      <c r="A406" s="308"/>
      <c r="B406" s="305"/>
      <c r="C406" s="305"/>
      <c r="D406" s="305"/>
      <c r="E406" s="305"/>
      <c r="F406" s="305"/>
      <c r="G406" s="307"/>
      <c r="H406" s="146"/>
      <c r="I406" s="146"/>
      <c r="J406" s="146"/>
      <c r="K406" s="146"/>
      <c r="L406" s="146"/>
      <c r="M406" s="146"/>
      <c r="N406" s="146"/>
      <c r="O406" s="146"/>
      <c r="P406" s="146"/>
      <c r="Q406" s="146"/>
      <c r="R406" s="146"/>
      <c r="S406" s="146"/>
      <c r="T406" s="146"/>
      <c r="U406" s="146"/>
      <c r="V406" s="146"/>
      <c r="W406" s="146"/>
      <c r="X406" s="146"/>
      <c r="Y406" s="146"/>
      <c r="Z406" s="146"/>
    </row>
    <row r="407" ht="22.5" customHeight="1">
      <c r="A407" s="308"/>
      <c r="B407" s="305"/>
      <c r="C407" s="305"/>
      <c r="D407" s="305"/>
      <c r="E407" s="305"/>
      <c r="F407" s="305"/>
      <c r="G407" s="307"/>
      <c r="H407" s="146"/>
      <c r="I407" s="146"/>
      <c r="J407" s="146"/>
      <c r="K407" s="146"/>
      <c r="L407" s="146"/>
      <c r="M407" s="146"/>
      <c r="N407" s="146"/>
      <c r="O407" s="146"/>
      <c r="P407" s="146"/>
      <c r="Q407" s="146"/>
      <c r="R407" s="146"/>
      <c r="S407" s="146"/>
      <c r="T407" s="146"/>
      <c r="U407" s="146"/>
      <c r="V407" s="146"/>
      <c r="W407" s="146"/>
      <c r="X407" s="146"/>
      <c r="Y407" s="146"/>
      <c r="Z407" s="146"/>
    </row>
    <row r="408" ht="22.5" customHeight="1">
      <c r="A408" s="308"/>
      <c r="B408" s="305"/>
      <c r="C408" s="305"/>
      <c r="D408" s="305"/>
      <c r="E408" s="305"/>
      <c r="F408" s="305"/>
      <c r="G408" s="307"/>
      <c r="H408" s="146"/>
      <c r="I408" s="146"/>
      <c r="J408" s="146"/>
      <c r="K408" s="146"/>
      <c r="L408" s="146"/>
      <c r="M408" s="146"/>
      <c r="N408" s="146"/>
      <c r="O408" s="146"/>
      <c r="P408" s="146"/>
      <c r="Q408" s="146"/>
      <c r="R408" s="146"/>
      <c r="S408" s="146"/>
      <c r="T408" s="146"/>
      <c r="U408" s="146"/>
      <c r="V408" s="146"/>
      <c r="W408" s="146"/>
      <c r="X408" s="146"/>
      <c r="Y408" s="146"/>
      <c r="Z408" s="146"/>
    </row>
    <row r="409" ht="22.5" customHeight="1">
      <c r="A409" s="308"/>
      <c r="B409" s="305"/>
      <c r="C409" s="305"/>
      <c r="D409" s="305"/>
      <c r="E409" s="305"/>
      <c r="F409" s="305"/>
      <c r="G409" s="307"/>
      <c r="H409" s="146"/>
      <c r="I409" s="146"/>
      <c r="J409" s="146"/>
      <c r="K409" s="146"/>
      <c r="L409" s="146"/>
      <c r="M409" s="146"/>
      <c r="N409" s="146"/>
      <c r="O409" s="146"/>
      <c r="P409" s="146"/>
      <c r="Q409" s="146"/>
      <c r="R409" s="146"/>
      <c r="S409" s="146"/>
      <c r="T409" s="146"/>
      <c r="U409" s="146"/>
      <c r="V409" s="146"/>
      <c r="W409" s="146"/>
      <c r="X409" s="146"/>
      <c r="Y409" s="146"/>
      <c r="Z409" s="146"/>
    </row>
    <row r="410" ht="22.5" customHeight="1">
      <c r="A410" s="308"/>
      <c r="B410" s="305"/>
      <c r="C410" s="305"/>
      <c r="D410" s="305"/>
      <c r="E410" s="305"/>
      <c r="F410" s="305"/>
      <c r="G410" s="307"/>
      <c r="H410" s="146"/>
      <c r="I410" s="146"/>
      <c r="J410" s="146"/>
      <c r="K410" s="146"/>
      <c r="L410" s="146"/>
      <c r="M410" s="146"/>
      <c r="N410" s="146"/>
      <c r="O410" s="146"/>
      <c r="P410" s="146"/>
      <c r="Q410" s="146"/>
      <c r="R410" s="146"/>
      <c r="S410" s="146"/>
      <c r="T410" s="146"/>
      <c r="U410" s="146"/>
      <c r="V410" s="146"/>
      <c r="W410" s="146"/>
      <c r="X410" s="146"/>
      <c r="Y410" s="146"/>
      <c r="Z410" s="146"/>
    </row>
    <row r="411" ht="22.5" customHeight="1">
      <c r="A411" s="308"/>
      <c r="B411" s="305"/>
      <c r="C411" s="305"/>
      <c r="D411" s="305"/>
      <c r="E411" s="305"/>
      <c r="F411" s="305"/>
      <c r="G411" s="307"/>
      <c r="H411" s="146"/>
      <c r="I411" s="146"/>
      <c r="J411" s="146"/>
      <c r="K411" s="146"/>
      <c r="L411" s="146"/>
      <c r="M411" s="146"/>
      <c r="N411" s="146"/>
      <c r="O411" s="146"/>
      <c r="P411" s="146"/>
      <c r="Q411" s="146"/>
      <c r="R411" s="146"/>
      <c r="S411" s="146"/>
      <c r="T411" s="146"/>
      <c r="U411" s="146"/>
      <c r="V411" s="146"/>
      <c r="W411" s="146"/>
      <c r="X411" s="146"/>
      <c r="Y411" s="146"/>
      <c r="Z411" s="146"/>
    </row>
    <row r="412" ht="22.5" customHeight="1">
      <c r="A412" s="308"/>
      <c r="B412" s="305"/>
      <c r="C412" s="305"/>
      <c r="D412" s="305"/>
      <c r="E412" s="305"/>
      <c r="F412" s="305"/>
      <c r="G412" s="307"/>
      <c r="H412" s="146"/>
      <c r="I412" s="146"/>
      <c r="J412" s="146"/>
      <c r="K412" s="146"/>
      <c r="L412" s="146"/>
      <c r="M412" s="146"/>
      <c r="N412" s="146"/>
      <c r="O412" s="146"/>
      <c r="P412" s="146"/>
      <c r="Q412" s="146"/>
      <c r="R412" s="146"/>
      <c r="S412" s="146"/>
      <c r="T412" s="146"/>
      <c r="U412" s="146"/>
      <c r="V412" s="146"/>
      <c r="W412" s="146"/>
      <c r="X412" s="146"/>
      <c r="Y412" s="146"/>
      <c r="Z412" s="146"/>
    </row>
    <row r="413" ht="22.5" customHeight="1">
      <c r="A413" s="308"/>
      <c r="B413" s="305"/>
      <c r="C413" s="305"/>
      <c r="D413" s="305"/>
      <c r="E413" s="305"/>
      <c r="F413" s="305"/>
      <c r="G413" s="307"/>
      <c r="H413" s="146"/>
      <c r="I413" s="146"/>
      <c r="J413" s="146"/>
      <c r="K413" s="146"/>
      <c r="L413" s="146"/>
      <c r="M413" s="146"/>
      <c r="N413" s="146"/>
      <c r="O413" s="146"/>
      <c r="P413" s="146"/>
      <c r="Q413" s="146"/>
      <c r="R413" s="146"/>
      <c r="S413" s="146"/>
      <c r="T413" s="146"/>
      <c r="U413" s="146"/>
      <c r="V413" s="146"/>
      <c r="W413" s="146"/>
      <c r="X413" s="146"/>
      <c r="Y413" s="146"/>
      <c r="Z413" s="146"/>
    </row>
    <row r="414" ht="22.5" customHeight="1">
      <c r="A414" s="308"/>
      <c r="B414" s="305"/>
      <c r="C414" s="305"/>
      <c r="D414" s="305"/>
      <c r="E414" s="305"/>
      <c r="F414" s="305"/>
      <c r="G414" s="307"/>
      <c r="H414" s="146"/>
      <c r="I414" s="146"/>
      <c r="J414" s="146"/>
      <c r="K414" s="146"/>
      <c r="L414" s="146"/>
      <c r="M414" s="146"/>
      <c r="N414" s="146"/>
      <c r="O414" s="146"/>
      <c r="P414" s="146"/>
      <c r="Q414" s="146"/>
      <c r="R414" s="146"/>
      <c r="S414" s="146"/>
      <c r="T414" s="146"/>
      <c r="U414" s="146"/>
      <c r="V414" s="146"/>
      <c r="W414" s="146"/>
      <c r="X414" s="146"/>
      <c r="Y414" s="146"/>
      <c r="Z414" s="146"/>
    </row>
    <row r="415" ht="22.5" customHeight="1">
      <c r="A415" s="308"/>
      <c r="B415" s="305"/>
      <c r="C415" s="305"/>
      <c r="D415" s="305"/>
      <c r="E415" s="305"/>
      <c r="F415" s="305"/>
      <c r="G415" s="307"/>
      <c r="H415" s="146"/>
      <c r="I415" s="146"/>
      <c r="J415" s="146"/>
      <c r="K415" s="146"/>
      <c r="L415" s="146"/>
      <c r="M415" s="146"/>
      <c r="N415" s="146"/>
      <c r="O415" s="146"/>
      <c r="P415" s="146"/>
      <c r="Q415" s="146"/>
      <c r="R415" s="146"/>
      <c r="S415" s="146"/>
      <c r="T415" s="146"/>
      <c r="U415" s="146"/>
      <c r="V415" s="146"/>
      <c r="W415" s="146"/>
      <c r="X415" s="146"/>
      <c r="Y415" s="146"/>
      <c r="Z415" s="146"/>
    </row>
    <row r="416" ht="22.5" customHeight="1">
      <c r="A416" s="308"/>
      <c r="B416" s="305"/>
      <c r="C416" s="305"/>
      <c r="D416" s="305"/>
      <c r="E416" s="305"/>
      <c r="F416" s="305"/>
      <c r="G416" s="307"/>
      <c r="H416" s="146"/>
      <c r="I416" s="146"/>
      <c r="J416" s="146"/>
      <c r="K416" s="146"/>
      <c r="L416" s="146"/>
      <c r="M416" s="146"/>
      <c r="N416" s="146"/>
      <c r="O416" s="146"/>
      <c r="P416" s="146"/>
      <c r="Q416" s="146"/>
      <c r="R416" s="146"/>
      <c r="S416" s="146"/>
      <c r="T416" s="146"/>
      <c r="U416" s="146"/>
      <c r="V416" s="146"/>
      <c r="W416" s="146"/>
      <c r="X416" s="146"/>
      <c r="Y416" s="146"/>
      <c r="Z416" s="146"/>
    </row>
    <row r="417" ht="22.5" customHeight="1">
      <c r="A417" s="308"/>
      <c r="B417" s="305"/>
      <c r="C417" s="305"/>
      <c r="D417" s="305"/>
      <c r="E417" s="305"/>
      <c r="F417" s="305"/>
      <c r="G417" s="307"/>
      <c r="H417" s="146"/>
      <c r="I417" s="146"/>
      <c r="J417" s="146"/>
      <c r="K417" s="146"/>
      <c r="L417" s="146"/>
      <c r="M417" s="146"/>
      <c r="N417" s="146"/>
      <c r="O417" s="146"/>
      <c r="P417" s="146"/>
      <c r="Q417" s="146"/>
      <c r="R417" s="146"/>
      <c r="S417" s="146"/>
      <c r="T417" s="146"/>
      <c r="U417" s="146"/>
      <c r="V417" s="146"/>
      <c r="W417" s="146"/>
      <c r="X417" s="146"/>
      <c r="Y417" s="146"/>
      <c r="Z417" s="146"/>
    </row>
    <row r="418" ht="22.5" customHeight="1">
      <c r="A418" s="308"/>
      <c r="B418" s="305"/>
      <c r="C418" s="305"/>
      <c r="D418" s="305"/>
      <c r="E418" s="305"/>
      <c r="F418" s="305"/>
      <c r="G418" s="307"/>
      <c r="H418" s="146"/>
      <c r="I418" s="146"/>
      <c r="J418" s="146"/>
      <c r="K418" s="146"/>
      <c r="L418" s="146"/>
      <c r="M418" s="146"/>
      <c r="N418" s="146"/>
      <c r="O418" s="146"/>
      <c r="P418" s="146"/>
      <c r="Q418" s="146"/>
      <c r="R418" s="146"/>
      <c r="S418" s="146"/>
      <c r="T418" s="146"/>
      <c r="U418" s="146"/>
      <c r="V418" s="146"/>
      <c r="W418" s="146"/>
      <c r="X418" s="146"/>
      <c r="Y418" s="146"/>
      <c r="Z418" s="146"/>
    </row>
    <row r="419" ht="22.5" customHeight="1">
      <c r="A419" s="308"/>
      <c r="B419" s="305"/>
      <c r="C419" s="305"/>
      <c r="D419" s="305"/>
      <c r="E419" s="305"/>
      <c r="F419" s="305"/>
      <c r="G419" s="307"/>
      <c r="H419" s="146"/>
      <c r="I419" s="146"/>
      <c r="J419" s="146"/>
      <c r="K419" s="146"/>
      <c r="L419" s="146"/>
      <c r="M419" s="146"/>
      <c r="N419" s="146"/>
      <c r="O419" s="146"/>
      <c r="P419" s="146"/>
      <c r="Q419" s="146"/>
      <c r="R419" s="146"/>
      <c r="S419" s="146"/>
      <c r="T419" s="146"/>
      <c r="U419" s="146"/>
      <c r="V419" s="146"/>
      <c r="W419" s="146"/>
      <c r="X419" s="146"/>
      <c r="Y419" s="146"/>
      <c r="Z419" s="146"/>
    </row>
    <row r="420" ht="22.5" customHeight="1">
      <c r="A420" s="308"/>
      <c r="B420" s="305"/>
      <c r="C420" s="305"/>
      <c r="D420" s="305"/>
      <c r="E420" s="305"/>
      <c r="F420" s="305"/>
      <c r="G420" s="307"/>
      <c r="H420" s="146"/>
      <c r="I420" s="146"/>
      <c r="J420" s="146"/>
      <c r="K420" s="146"/>
      <c r="L420" s="146"/>
      <c r="M420" s="146"/>
      <c r="N420" s="146"/>
      <c r="O420" s="146"/>
      <c r="P420" s="146"/>
      <c r="Q420" s="146"/>
      <c r="R420" s="146"/>
      <c r="S420" s="146"/>
      <c r="T420" s="146"/>
      <c r="U420" s="146"/>
      <c r="V420" s="146"/>
      <c r="W420" s="146"/>
      <c r="X420" s="146"/>
      <c r="Y420" s="146"/>
      <c r="Z420" s="146"/>
    </row>
    <row r="421" ht="22.5" customHeight="1">
      <c r="A421" s="308"/>
      <c r="B421" s="305"/>
      <c r="C421" s="305"/>
      <c r="D421" s="305"/>
      <c r="E421" s="305"/>
      <c r="F421" s="305"/>
      <c r="G421" s="307"/>
      <c r="H421" s="146"/>
      <c r="I421" s="146"/>
      <c r="J421" s="146"/>
      <c r="K421" s="146"/>
      <c r="L421" s="146"/>
      <c r="M421" s="146"/>
      <c r="N421" s="146"/>
      <c r="O421" s="146"/>
      <c r="P421" s="146"/>
      <c r="Q421" s="146"/>
      <c r="R421" s="146"/>
      <c r="S421" s="146"/>
      <c r="T421" s="146"/>
      <c r="U421" s="146"/>
      <c r="V421" s="146"/>
      <c r="W421" s="146"/>
      <c r="X421" s="146"/>
      <c r="Y421" s="146"/>
      <c r="Z421" s="146"/>
    </row>
    <row r="422" ht="22.5" customHeight="1">
      <c r="A422" s="308"/>
      <c r="B422" s="305"/>
      <c r="C422" s="305"/>
      <c r="D422" s="305"/>
      <c r="E422" s="305"/>
      <c r="F422" s="305"/>
      <c r="G422" s="307"/>
      <c r="H422" s="146"/>
      <c r="I422" s="146"/>
      <c r="J422" s="146"/>
      <c r="K422" s="146"/>
      <c r="L422" s="146"/>
      <c r="M422" s="146"/>
      <c r="N422" s="146"/>
      <c r="O422" s="146"/>
      <c r="P422" s="146"/>
      <c r="Q422" s="146"/>
      <c r="R422" s="146"/>
      <c r="S422" s="146"/>
      <c r="T422" s="146"/>
      <c r="U422" s="146"/>
      <c r="V422" s="146"/>
      <c r="W422" s="146"/>
      <c r="X422" s="146"/>
      <c r="Y422" s="146"/>
      <c r="Z422" s="146"/>
    </row>
    <row r="423" ht="22.5" customHeight="1">
      <c r="A423" s="308"/>
      <c r="B423" s="305"/>
      <c r="C423" s="305"/>
      <c r="D423" s="305"/>
      <c r="E423" s="305"/>
      <c r="F423" s="305"/>
      <c r="G423" s="307"/>
      <c r="H423" s="146"/>
      <c r="I423" s="146"/>
      <c r="J423" s="146"/>
      <c r="K423" s="146"/>
      <c r="L423" s="146"/>
      <c r="M423" s="146"/>
      <c r="N423" s="146"/>
      <c r="O423" s="146"/>
      <c r="P423" s="146"/>
      <c r="Q423" s="146"/>
      <c r="R423" s="146"/>
      <c r="S423" s="146"/>
      <c r="T423" s="146"/>
      <c r="U423" s="146"/>
      <c r="V423" s="146"/>
      <c r="W423" s="146"/>
      <c r="X423" s="146"/>
      <c r="Y423" s="146"/>
      <c r="Z423" s="146"/>
    </row>
    <row r="424" ht="22.5" customHeight="1">
      <c r="A424" s="308"/>
      <c r="B424" s="305"/>
      <c r="C424" s="305"/>
      <c r="D424" s="305"/>
      <c r="E424" s="305"/>
      <c r="F424" s="305"/>
      <c r="G424" s="307"/>
      <c r="H424" s="146"/>
      <c r="I424" s="146"/>
      <c r="J424" s="146"/>
      <c r="K424" s="146"/>
      <c r="L424" s="146"/>
      <c r="M424" s="146"/>
      <c r="N424" s="146"/>
      <c r="O424" s="146"/>
      <c r="P424" s="146"/>
      <c r="Q424" s="146"/>
      <c r="R424" s="146"/>
      <c r="S424" s="146"/>
      <c r="T424" s="146"/>
      <c r="U424" s="146"/>
      <c r="V424" s="146"/>
      <c r="W424" s="146"/>
      <c r="X424" s="146"/>
      <c r="Y424" s="146"/>
      <c r="Z424" s="146"/>
    </row>
    <row r="425" ht="22.5" customHeight="1">
      <c r="A425" s="308"/>
      <c r="B425" s="305"/>
      <c r="C425" s="305"/>
      <c r="D425" s="305"/>
      <c r="E425" s="305"/>
      <c r="F425" s="305"/>
      <c r="G425" s="307"/>
      <c r="H425" s="146"/>
      <c r="I425" s="146"/>
      <c r="J425" s="146"/>
      <c r="K425" s="146"/>
      <c r="L425" s="146"/>
      <c r="M425" s="146"/>
      <c r="N425" s="146"/>
      <c r="O425" s="146"/>
      <c r="P425" s="146"/>
      <c r="Q425" s="146"/>
      <c r="R425" s="146"/>
      <c r="S425" s="146"/>
      <c r="T425" s="146"/>
      <c r="U425" s="146"/>
      <c r="V425" s="146"/>
      <c r="W425" s="146"/>
      <c r="X425" s="146"/>
      <c r="Y425" s="146"/>
      <c r="Z425" s="146"/>
    </row>
    <row r="426" ht="22.5" customHeight="1">
      <c r="A426" s="308"/>
      <c r="B426" s="305"/>
      <c r="C426" s="305"/>
      <c r="D426" s="305"/>
      <c r="E426" s="305"/>
      <c r="F426" s="305"/>
      <c r="G426" s="307"/>
      <c r="H426" s="146"/>
      <c r="I426" s="146"/>
      <c r="J426" s="146"/>
      <c r="K426" s="146"/>
      <c r="L426" s="146"/>
      <c r="M426" s="146"/>
      <c r="N426" s="146"/>
      <c r="O426" s="146"/>
      <c r="P426" s="146"/>
      <c r="Q426" s="146"/>
      <c r="R426" s="146"/>
      <c r="S426" s="146"/>
      <c r="T426" s="146"/>
      <c r="U426" s="146"/>
      <c r="V426" s="146"/>
      <c r="W426" s="146"/>
      <c r="X426" s="146"/>
      <c r="Y426" s="146"/>
      <c r="Z426" s="146"/>
    </row>
    <row r="427" ht="22.5" customHeight="1">
      <c r="A427" s="308"/>
      <c r="B427" s="305"/>
      <c r="C427" s="305"/>
      <c r="D427" s="305"/>
      <c r="E427" s="305"/>
      <c r="F427" s="305"/>
      <c r="G427" s="307"/>
      <c r="H427" s="146"/>
      <c r="I427" s="146"/>
      <c r="J427" s="146"/>
      <c r="K427" s="146"/>
      <c r="L427" s="146"/>
      <c r="M427" s="146"/>
      <c r="N427" s="146"/>
      <c r="O427" s="146"/>
      <c r="P427" s="146"/>
      <c r="Q427" s="146"/>
      <c r="R427" s="146"/>
      <c r="S427" s="146"/>
      <c r="T427" s="146"/>
      <c r="U427" s="146"/>
      <c r="V427" s="146"/>
      <c r="W427" s="146"/>
      <c r="X427" s="146"/>
      <c r="Y427" s="146"/>
      <c r="Z427" s="146"/>
    </row>
    <row r="428" ht="22.5" customHeight="1">
      <c r="A428" s="308"/>
      <c r="B428" s="305"/>
      <c r="C428" s="305"/>
      <c r="D428" s="305"/>
      <c r="E428" s="305"/>
      <c r="F428" s="305"/>
      <c r="G428" s="307"/>
      <c r="H428" s="146"/>
      <c r="I428" s="146"/>
      <c r="J428" s="146"/>
      <c r="K428" s="146"/>
      <c r="L428" s="146"/>
      <c r="M428" s="146"/>
      <c r="N428" s="146"/>
      <c r="O428" s="146"/>
      <c r="P428" s="146"/>
      <c r="Q428" s="146"/>
      <c r="R428" s="146"/>
      <c r="S428" s="146"/>
      <c r="T428" s="146"/>
      <c r="U428" s="146"/>
      <c r="V428" s="146"/>
      <c r="W428" s="146"/>
      <c r="X428" s="146"/>
      <c r="Y428" s="146"/>
      <c r="Z428" s="146"/>
    </row>
    <row r="429" ht="22.5" customHeight="1">
      <c r="A429" s="308"/>
      <c r="B429" s="305"/>
      <c r="C429" s="305"/>
      <c r="D429" s="305"/>
      <c r="E429" s="305"/>
      <c r="F429" s="305"/>
      <c r="G429" s="307"/>
      <c r="H429" s="146"/>
      <c r="I429" s="146"/>
      <c r="J429" s="146"/>
      <c r="K429" s="146"/>
      <c r="L429" s="146"/>
      <c r="M429" s="146"/>
      <c r="N429" s="146"/>
      <c r="O429" s="146"/>
      <c r="P429" s="146"/>
      <c r="Q429" s="146"/>
      <c r="R429" s="146"/>
      <c r="S429" s="146"/>
      <c r="T429" s="146"/>
      <c r="U429" s="146"/>
      <c r="V429" s="146"/>
      <c r="W429" s="146"/>
      <c r="X429" s="146"/>
      <c r="Y429" s="146"/>
      <c r="Z429" s="146"/>
    </row>
    <row r="430" ht="22.5" customHeight="1">
      <c r="A430" s="308"/>
      <c r="B430" s="305"/>
      <c r="C430" s="305"/>
      <c r="D430" s="305"/>
      <c r="E430" s="305"/>
      <c r="F430" s="305"/>
      <c r="G430" s="307"/>
      <c r="H430" s="146"/>
      <c r="I430" s="146"/>
      <c r="J430" s="146"/>
      <c r="K430" s="146"/>
      <c r="L430" s="146"/>
      <c r="M430" s="146"/>
      <c r="N430" s="146"/>
      <c r="O430" s="146"/>
      <c r="P430" s="146"/>
      <c r="Q430" s="146"/>
      <c r="R430" s="146"/>
      <c r="S430" s="146"/>
      <c r="T430" s="146"/>
      <c r="U430" s="146"/>
      <c r="V430" s="146"/>
      <c r="W430" s="146"/>
      <c r="X430" s="146"/>
      <c r="Y430" s="146"/>
      <c r="Z430" s="146"/>
    </row>
    <row r="431" ht="22.5" customHeight="1">
      <c r="A431" s="308"/>
      <c r="B431" s="305"/>
      <c r="C431" s="305"/>
      <c r="D431" s="305"/>
      <c r="E431" s="305"/>
      <c r="F431" s="305"/>
      <c r="G431" s="307"/>
      <c r="H431" s="146"/>
      <c r="I431" s="146"/>
      <c r="J431" s="146"/>
      <c r="K431" s="146"/>
      <c r="L431" s="146"/>
      <c r="M431" s="146"/>
      <c r="N431" s="146"/>
      <c r="O431" s="146"/>
      <c r="P431" s="146"/>
      <c r="Q431" s="146"/>
      <c r="R431" s="146"/>
      <c r="S431" s="146"/>
      <c r="T431" s="146"/>
      <c r="U431" s="146"/>
      <c r="V431" s="146"/>
      <c r="W431" s="146"/>
      <c r="X431" s="146"/>
      <c r="Y431" s="146"/>
      <c r="Z431" s="146"/>
    </row>
    <row r="432" ht="22.5" customHeight="1">
      <c r="A432" s="308"/>
      <c r="B432" s="305"/>
      <c r="C432" s="305"/>
      <c r="D432" s="305"/>
      <c r="E432" s="305"/>
      <c r="F432" s="305"/>
      <c r="G432" s="307"/>
      <c r="H432" s="146"/>
      <c r="I432" s="146"/>
      <c r="J432" s="146"/>
      <c r="K432" s="146"/>
      <c r="L432" s="146"/>
      <c r="M432" s="146"/>
      <c r="N432" s="146"/>
      <c r="O432" s="146"/>
      <c r="P432" s="146"/>
      <c r="Q432" s="146"/>
      <c r="R432" s="146"/>
      <c r="S432" s="146"/>
      <c r="T432" s="146"/>
      <c r="U432" s="146"/>
      <c r="V432" s="146"/>
      <c r="W432" s="146"/>
      <c r="X432" s="146"/>
      <c r="Y432" s="146"/>
      <c r="Z432" s="146"/>
    </row>
    <row r="433" ht="22.5" customHeight="1">
      <c r="A433" s="308"/>
      <c r="B433" s="305"/>
      <c r="C433" s="305"/>
      <c r="D433" s="305"/>
      <c r="E433" s="305"/>
      <c r="F433" s="305"/>
      <c r="G433" s="307"/>
      <c r="H433" s="146"/>
      <c r="I433" s="146"/>
      <c r="J433" s="146"/>
      <c r="K433" s="146"/>
      <c r="L433" s="146"/>
      <c r="M433" s="146"/>
      <c r="N433" s="146"/>
      <c r="O433" s="146"/>
      <c r="P433" s="146"/>
      <c r="Q433" s="146"/>
      <c r="R433" s="146"/>
      <c r="S433" s="146"/>
      <c r="T433" s="146"/>
      <c r="U433" s="146"/>
      <c r="V433" s="146"/>
      <c r="W433" s="146"/>
      <c r="X433" s="146"/>
      <c r="Y433" s="146"/>
      <c r="Z433" s="146"/>
    </row>
    <row r="434" ht="22.5" customHeight="1">
      <c r="A434" s="308"/>
      <c r="B434" s="305"/>
      <c r="C434" s="305"/>
      <c r="D434" s="305"/>
      <c r="E434" s="305"/>
      <c r="F434" s="305"/>
      <c r="G434" s="307"/>
      <c r="H434" s="146"/>
      <c r="I434" s="146"/>
      <c r="J434" s="146"/>
      <c r="K434" s="146"/>
      <c r="L434" s="146"/>
      <c r="M434" s="146"/>
      <c r="N434" s="146"/>
      <c r="O434" s="146"/>
      <c r="P434" s="146"/>
      <c r="Q434" s="146"/>
      <c r="R434" s="146"/>
      <c r="S434" s="146"/>
      <c r="T434" s="146"/>
      <c r="U434" s="146"/>
      <c r="V434" s="146"/>
      <c r="W434" s="146"/>
      <c r="X434" s="146"/>
      <c r="Y434" s="146"/>
      <c r="Z434" s="146"/>
    </row>
    <row r="435" ht="22.5" customHeight="1">
      <c r="A435" s="308"/>
      <c r="B435" s="305"/>
      <c r="C435" s="305"/>
      <c r="D435" s="305"/>
      <c r="E435" s="305"/>
      <c r="F435" s="305"/>
      <c r="G435" s="307"/>
      <c r="H435" s="146"/>
      <c r="I435" s="146"/>
      <c r="J435" s="146"/>
      <c r="K435" s="146"/>
      <c r="L435" s="146"/>
      <c r="M435" s="146"/>
      <c r="N435" s="146"/>
      <c r="O435" s="146"/>
      <c r="P435" s="146"/>
      <c r="Q435" s="146"/>
      <c r="R435" s="146"/>
      <c r="S435" s="146"/>
      <c r="T435" s="146"/>
      <c r="U435" s="146"/>
      <c r="V435" s="146"/>
      <c r="W435" s="146"/>
      <c r="X435" s="146"/>
      <c r="Y435" s="146"/>
      <c r="Z435" s="146"/>
    </row>
    <row r="436" ht="22.5" customHeight="1">
      <c r="A436" s="308"/>
      <c r="B436" s="305"/>
      <c r="C436" s="305"/>
      <c r="D436" s="305"/>
      <c r="E436" s="305"/>
      <c r="F436" s="305"/>
      <c r="G436" s="307"/>
      <c r="H436" s="146"/>
      <c r="I436" s="146"/>
      <c r="J436" s="146"/>
      <c r="K436" s="146"/>
      <c r="L436" s="146"/>
      <c r="M436" s="146"/>
      <c r="N436" s="146"/>
      <c r="O436" s="146"/>
      <c r="P436" s="146"/>
      <c r="Q436" s="146"/>
      <c r="R436" s="146"/>
      <c r="S436" s="146"/>
      <c r="T436" s="146"/>
      <c r="U436" s="146"/>
      <c r="V436" s="146"/>
      <c r="W436" s="146"/>
      <c r="X436" s="146"/>
      <c r="Y436" s="146"/>
      <c r="Z436" s="146"/>
    </row>
    <row r="437" ht="22.5" customHeight="1">
      <c r="A437" s="308"/>
      <c r="B437" s="305"/>
      <c r="C437" s="305"/>
      <c r="D437" s="305"/>
      <c r="E437" s="305"/>
      <c r="F437" s="305"/>
      <c r="G437" s="307"/>
      <c r="H437" s="146"/>
      <c r="I437" s="146"/>
      <c r="J437" s="146"/>
      <c r="K437" s="146"/>
      <c r="L437" s="146"/>
      <c r="M437" s="146"/>
      <c r="N437" s="146"/>
      <c r="O437" s="146"/>
      <c r="P437" s="146"/>
      <c r="Q437" s="146"/>
      <c r="R437" s="146"/>
      <c r="S437" s="146"/>
      <c r="T437" s="146"/>
      <c r="U437" s="146"/>
      <c r="V437" s="146"/>
      <c r="W437" s="146"/>
      <c r="X437" s="146"/>
      <c r="Y437" s="146"/>
      <c r="Z437" s="146"/>
    </row>
    <row r="438" ht="22.5" customHeight="1">
      <c r="A438" s="308"/>
      <c r="B438" s="305"/>
      <c r="C438" s="305"/>
      <c r="D438" s="305"/>
      <c r="E438" s="305"/>
      <c r="F438" s="305"/>
      <c r="G438" s="307"/>
      <c r="H438" s="146"/>
      <c r="I438" s="146"/>
      <c r="J438" s="146"/>
      <c r="K438" s="146"/>
      <c r="L438" s="146"/>
      <c r="M438" s="146"/>
      <c r="N438" s="146"/>
      <c r="O438" s="146"/>
      <c r="P438" s="146"/>
      <c r="Q438" s="146"/>
      <c r="R438" s="146"/>
      <c r="S438" s="146"/>
      <c r="T438" s="146"/>
      <c r="U438" s="146"/>
      <c r="V438" s="146"/>
      <c r="W438" s="146"/>
      <c r="X438" s="146"/>
      <c r="Y438" s="146"/>
      <c r="Z438" s="146"/>
    </row>
    <row r="439" ht="22.5" customHeight="1">
      <c r="A439" s="308"/>
      <c r="B439" s="305"/>
      <c r="C439" s="305"/>
      <c r="D439" s="305"/>
      <c r="E439" s="305"/>
      <c r="F439" s="305"/>
      <c r="G439" s="307"/>
      <c r="H439" s="146"/>
      <c r="I439" s="146"/>
      <c r="J439" s="146"/>
      <c r="K439" s="146"/>
      <c r="L439" s="146"/>
      <c r="M439" s="146"/>
      <c r="N439" s="146"/>
      <c r="O439" s="146"/>
      <c r="P439" s="146"/>
      <c r="Q439" s="146"/>
      <c r="R439" s="146"/>
      <c r="S439" s="146"/>
      <c r="T439" s="146"/>
      <c r="U439" s="146"/>
      <c r="V439" s="146"/>
      <c r="W439" s="146"/>
      <c r="X439" s="146"/>
      <c r="Y439" s="146"/>
      <c r="Z439" s="146"/>
    </row>
    <row r="440" ht="22.5" customHeight="1">
      <c r="A440" s="308"/>
      <c r="B440" s="305"/>
      <c r="C440" s="305"/>
      <c r="D440" s="305"/>
      <c r="E440" s="305"/>
      <c r="F440" s="305"/>
      <c r="G440" s="307"/>
      <c r="H440" s="146"/>
      <c r="I440" s="146"/>
      <c r="J440" s="146"/>
      <c r="K440" s="146"/>
      <c r="L440" s="146"/>
      <c r="M440" s="146"/>
      <c r="N440" s="146"/>
      <c r="O440" s="146"/>
      <c r="P440" s="146"/>
      <c r="Q440" s="146"/>
      <c r="R440" s="146"/>
      <c r="S440" s="146"/>
      <c r="T440" s="146"/>
      <c r="U440" s="146"/>
      <c r="V440" s="146"/>
      <c r="W440" s="146"/>
      <c r="X440" s="146"/>
      <c r="Y440" s="146"/>
      <c r="Z440" s="146"/>
    </row>
    <row r="441" ht="22.5" customHeight="1">
      <c r="A441" s="308"/>
      <c r="B441" s="305"/>
      <c r="C441" s="305"/>
      <c r="D441" s="305"/>
      <c r="E441" s="305"/>
      <c r="F441" s="305"/>
      <c r="G441" s="307"/>
      <c r="H441" s="146"/>
      <c r="I441" s="146"/>
      <c r="J441" s="146"/>
      <c r="K441" s="146"/>
      <c r="L441" s="146"/>
      <c r="M441" s="146"/>
      <c r="N441" s="146"/>
      <c r="O441" s="146"/>
      <c r="P441" s="146"/>
      <c r="Q441" s="146"/>
      <c r="R441" s="146"/>
      <c r="S441" s="146"/>
      <c r="T441" s="146"/>
      <c r="U441" s="146"/>
      <c r="V441" s="146"/>
      <c r="W441" s="146"/>
      <c r="X441" s="146"/>
      <c r="Y441" s="146"/>
      <c r="Z441" s="146"/>
    </row>
    <row r="442" ht="22.5" customHeight="1">
      <c r="A442" s="308"/>
      <c r="B442" s="305"/>
      <c r="C442" s="305"/>
      <c r="D442" s="305"/>
      <c r="E442" s="305"/>
      <c r="F442" s="305"/>
      <c r="G442" s="307"/>
      <c r="H442" s="146"/>
      <c r="I442" s="146"/>
      <c r="J442" s="146"/>
      <c r="K442" s="146"/>
      <c r="L442" s="146"/>
      <c r="M442" s="146"/>
      <c r="N442" s="146"/>
      <c r="O442" s="146"/>
      <c r="P442" s="146"/>
      <c r="Q442" s="146"/>
      <c r="R442" s="146"/>
      <c r="S442" s="146"/>
      <c r="T442" s="146"/>
      <c r="U442" s="146"/>
      <c r="V442" s="146"/>
      <c r="W442" s="146"/>
      <c r="X442" s="146"/>
      <c r="Y442" s="146"/>
      <c r="Z442" s="146"/>
    </row>
    <row r="443" ht="22.5" customHeight="1">
      <c r="A443" s="308"/>
      <c r="B443" s="305"/>
      <c r="C443" s="305"/>
      <c r="D443" s="305"/>
      <c r="E443" s="305"/>
      <c r="F443" s="305"/>
      <c r="G443" s="307"/>
      <c r="H443" s="146"/>
      <c r="I443" s="146"/>
      <c r="J443" s="146"/>
      <c r="K443" s="146"/>
      <c r="L443" s="146"/>
      <c r="M443" s="146"/>
      <c r="N443" s="146"/>
      <c r="O443" s="146"/>
      <c r="P443" s="146"/>
      <c r="Q443" s="146"/>
      <c r="R443" s="146"/>
      <c r="S443" s="146"/>
      <c r="T443" s="146"/>
      <c r="U443" s="146"/>
      <c r="V443" s="146"/>
      <c r="W443" s="146"/>
      <c r="X443" s="146"/>
      <c r="Y443" s="146"/>
      <c r="Z443" s="146"/>
    </row>
    <row r="444" ht="22.5" customHeight="1">
      <c r="A444" s="308"/>
      <c r="B444" s="305"/>
      <c r="C444" s="305"/>
      <c r="D444" s="305"/>
      <c r="E444" s="305"/>
      <c r="F444" s="305"/>
      <c r="G444" s="307"/>
      <c r="H444" s="146"/>
      <c r="I444" s="146"/>
      <c r="J444" s="146"/>
      <c r="K444" s="146"/>
      <c r="L444" s="146"/>
      <c r="M444" s="146"/>
      <c r="N444" s="146"/>
      <c r="O444" s="146"/>
      <c r="P444" s="146"/>
      <c r="Q444" s="146"/>
      <c r="R444" s="146"/>
      <c r="S444" s="146"/>
      <c r="T444" s="146"/>
      <c r="U444" s="146"/>
      <c r="V444" s="146"/>
      <c r="W444" s="146"/>
      <c r="X444" s="146"/>
      <c r="Y444" s="146"/>
      <c r="Z444" s="146"/>
    </row>
    <row r="445" ht="22.5" customHeight="1">
      <c r="A445" s="308"/>
      <c r="B445" s="305"/>
      <c r="C445" s="305"/>
      <c r="D445" s="305"/>
      <c r="E445" s="305"/>
      <c r="F445" s="305"/>
      <c r="G445" s="307"/>
      <c r="H445" s="146"/>
      <c r="I445" s="146"/>
      <c r="J445" s="146"/>
      <c r="K445" s="146"/>
      <c r="L445" s="146"/>
      <c r="M445" s="146"/>
      <c r="N445" s="146"/>
      <c r="O445" s="146"/>
      <c r="P445" s="146"/>
      <c r="Q445" s="146"/>
      <c r="R445" s="146"/>
      <c r="S445" s="146"/>
      <c r="T445" s="146"/>
      <c r="U445" s="146"/>
      <c r="V445" s="146"/>
      <c r="W445" s="146"/>
      <c r="X445" s="146"/>
      <c r="Y445" s="146"/>
      <c r="Z445" s="146"/>
    </row>
    <row r="446" ht="22.5" customHeight="1">
      <c r="A446" s="308"/>
      <c r="B446" s="305"/>
      <c r="C446" s="305"/>
      <c r="D446" s="305"/>
      <c r="E446" s="305"/>
      <c r="F446" s="305"/>
      <c r="G446" s="307"/>
      <c r="H446" s="146"/>
      <c r="I446" s="146"/>
      <c r="J446" s="146"/>
      <c r="K446" s="146"/>
      <c r="L446" s="146"/>
      <c r="M446" s="146"/>
      <c r="N446" s="146"/>
      <c r="O446" s="146"/>
      <c r="P446" s="146"/>
      <c r="Q446" s="146"/>
      <c r="R446" s="146"/>
      <c r="S446" s="146"/>
      <c r="T446" s="146"/>
      <c r="U446" s="146"/>
      <c r="V446" s="146"/>
      <c r="W446" s="146"/>
      <c r="X446" s="146"/>
      <c r="Y446" s="146"/>
      <c r="Z446" s="146"/>
    </row>
    <row r="447" ht="22.5" customHeight="1">
      <c r="A447" s="308"/>
      <c r="B447" s="305"/>
      <c r="C447" s="305"/>
      <c r="D447" s="305"/>
      <c r="E447" s="305"/>
      <c r="F447" s="305"/>
      <c r="G447" s="307"/>
      <c r="H447" s="146"/>
      <c r="I447" s="146"/>
      <c r="J447" s="146"/>
      <c r="K447" s="146"/>
      <c r="L447" s="146"/>
      <c r="M447" s="146"/>
      <c r="N447" s="146"/>
      <c r="O447" s="146"/>
      <c r="P447" s="146"/>
      <c r="Q447" s="146"/>
      <c r="R447" s="146"/>
      <c r="S447" s="146"/>
      <c r="T447" s="146"/>
      <c r="U447" s="146"/>
      <c r="V447" s="146"/>
      <c r="W447" s="146"/>
      <c r="X447" s="146"/>
      <c r="Y447" s="146"/>
      <c r="Z447" s="146"/>
    </row>
    <row r="448" ht="22.5" customHeight="1">
      <c r="A448" s="308"/>
      <c r="B448" s="305"/>
      <c r="C448" s="305"/>
      <c r="D448" s="305"/>
      <c r="E448" s="305"/>
      <c r="F448" s="305"/>
      <c r="G448" s="307"/>
      <c r="H448" s="146"/>
      <c r="I448" s="146"/>
      <c r="J448" s="146"/>
      <c r="K448" s="146"/>
      <c r="L448" s="146"/>
      <c r="M448" s="146"/>
      <c r="N448" s="146"/>
      <c r="O448" s="146"/>
      <c r="P448" s="146"/>
      <c r="Q448" s="146"/>
      <c r="R448" s="146"/>
      <c r="S448" s="146"/>
      <c r="T448" s="146"/>
      <c r="U448" s="146"/>
      <c r="V448" s="146"/>
      <c r="W448" s="146"/>
      <c r="X448" s="146"/>
      <c r="Y448" s="146"/>
      <c r="Z448" s="146"/>
    </row>
    <row r="449" ht="22.5" customHeight="1">
      <c r="A449" s="308"/>
      <c r="B449" s="305"/>
      <c r="C449" s="305"/>
      <c r="D449" s="305"/>
      <c r="E449" s="305"/>
      <c r="F449" s="305"/>
      <c r="G449" s="307"/>
      <c r="H449" s="146"/>
      <c r="I449" s="146"/>
      <c r="J449" s="146"/>
      <c r="K449" s="146"/>
      <c r="L449" s="146"/>
      <c r="M449" s="146"/>
      <c r="N449" s="146"/>
      <c r="O449" s="146"/>
      <c r="P449" s="146"/>
      <c r="Q449" s="146"/>
      <c r="R449" s="146"/>
      <c r="S449" s="146"/>
      <c r="T449" s="146"/>
      <c r="U449" s="146"/>
      <c r="V449" s="146"/>
      <c r="W449" s="146"/>
      <c r="X449" s="146"/>
      <c r="Y449" s="146"/>
      <c r="Z449" s="146"/>
    </row>
    <row r="450" ht="22.5" customHeight="1">
      <c r="A450" s="308"/>
      <c r="B450" s="305"/>
      <c r="C450" s="305"/>
      <c r="D450" s="305"/>
      <c r="E450" s="305"/>
      <c r="F450" s="305"/>
      <c r="G450" s="307"/>
      <c r="H450" s="146"/>
      <c r="I450" s="146"/>
      <c r="J450" s="146"/>
      <c r="K450" s="146"/>
      <c r="L450" s="146"/>
      <c r="M450" s="146"/>
      <c r="N450" s="146"/>
      <c r="O450" s="146"/>
      <c r="P450" s="146"/>
      <c r="Q450" s="146"/>
      <c r="R450" s="146"/>
      <c r="S450" s="146"/>
      <c r="T450" s="146"/>
      <c r="U450" s="146"/>
      <c r="V450" s="146"/>
      <c r="W450" s="146"/>
      <c r="X450" s="146"/>
      <c r="Y450" s="146"/>
      <c r="Z450" s="146"/>
    </row>
    <row r="451" ht="22.5" customHeight="1">
      <c r="A451" s="308"/>
      <c r="B451" s="305"/>
      <c r="C451" s="305"/>
      <c r="D451" s="305"/>
      <c r="E451" s="305"/>
      <c r="F451" s="305"/>
      <c r="G451" s="307"/>
      <c r="H451" s="146"/>
      <c r="I451" s="146"/>
      <c r="J451" s="146"/>
      <c r="K451" s="146"/>
      <c r="L451" s="146"/>
      <c r="M451" s="146"/>
      <c r="N451" s="146"/>
      <c r="O451" s="146"/>
      <c r="P451" s="146"/>
      <c r="Q451" s="146"/>
      <c r="R451" s="146"/>
      <c r="S451" s="146"/>
      <c r="T451" s="146"/>
      <c r="U451" s="146"/>
      <c r="V451" s="146"/>
      <c r="W451" s="146"/>
      <c r="X451" s="146"/>
      <c r="Y451" s="146"/>
      <c r="Z451" s="146"/>
    </row>
    <row r="452" ht="22.5" customHeight="1">
      <c r="A452" s="308"/>
      <c r="B452" s="305"/>
      <c r="C452" s="305"/>
      <c r="D452" s="305"/>
      <c r="E452" s="305"/>
      <c r="F452" s="305"/>
      <c r="G452" s="307"/>
      <c r="H452" s="146"/>
      <c r="I452" s="146"/>
      <c r="J452" s="146"/>
      <c r="K452" s="146"/>
      <c r="L452" s="146"/>
      <c r="M452" s="146"/>
      <c r="N452" s="146"/>
      <c r="O452" s="146"/>
      <c r="P452" s="146"/>
      <c r="Q452" s="146"/>
      <c r="R452" s="146"/>
      <c r="S452" s="146"/>
      <c r="T452" s="146"/>
      <c r="U452" s="146"/>
      <c r="V452" s="146"/>
      <c r="W452" s="146"/>
      <c r="X452" s="146"/>
      <c r="Y452" s="146"/>
      <c r="Z452" s="146"/>
    </row>
    <row r="453" ht="22.5" customHeight="1">
      <c r="A453" s="308"/>
      <c r="B453" s="305"/>
      <c r="C453" s="305"/>
      <c r="D453" s="305"/>
      <c r="E453" s="305"/>
      <c r="F453" s="305"/>
      <c r="G453" s="307"/>
      <c r="H453" s="146"/>
      <c r="I453" s="146"/>
      <c r="J453" s="146"/>
      <c r="K453" s="146"/>
      <c r="L453" s="146"/>
      <c r="M453" s="146"/>
      <c r="N453" s="146"/>
      <c r="O453" s="146"/>
      <c r="P453" s="146"/>
      <c r="Q453" s="146"/>
      <c r="R453" s="146"/>
      <c r="S453" s="146"/>
      <c r="T453" s="146"/>
      <c r="U453" s="146"/>
      <c r="V453" s="146"/>
      <c r="W453" s="146"/>
      <c r="X453" s="146"/>
      <c r="Y453" s="146"/>
      <c r="Z453" s="146"/>
    </row>
    <row r="454" ht="22.5" customHeight="1">
      <c r="A454" s="308"/>
      <c r="B454" s="305"/>
      <c r="C454" s="305"/>
      <c r="D454" s="305"/>
      <c r="E454" s="305"/>
      <c r="F454" s="305"/>
      <c r="G454" s="307"/>
      <c r="H454" s="146"/>
      <c r="I454" s="146"/>
      <c r="J454" s="146"/>
      <c r="K454" s="146"/>
      <c r="L454" s="146"/>
      <c r="M454" s="146"/>
      <c r="N454" s="146"/>
      <c r="O454" s="146"/>
      <c r="P454" s="146"/>
      <c r="Q454" s="146"/>
      <c r="R454" s="146"/>
      <c r="S454" s="146"/>
      <c r="T454" s="146"/>
      <c r="U454" s="146"/>
      <c r="V454" s="146"/>
      <c r="W454" s="146"/>
      <c r="X454" s="146"/>
      <c r="Y454" s="146"/>
      <c r="Z454" s="146"/>
    </row>
    <row r="455" ht="22.5" customHeight="1">
      <c r="A455" s="308"/>
      <c r="B455" s="305"/>
      <c r="C455" s="305"/>
      <c r="D455" s="305"/>
      <c r="E455" s="305"/>
      <c r="F455" s="305"/>
      <c r="G455" s="307"/>
      <c r="H455" s="146"/>
      <c r="I455" s="146"/>
      <c r="J455" s="146"/>
      <c r="K455" s="146"/>
      <c r="L455" s="146"/>
      <c r="M455" s="146"/>
      <c r="N455" s="146"/>
      <c r="O455" s="146"/>
      <c r="P455" s="146"/>
      <c r="Q455" s="146"/>
      <c r="R455" s="146"/>
      <c r="S455" s="146"/>
      <c r="T455" s="146"/>
      <c r="U455" s="146"/>
      <c r="V455" s="146"/>
      <c r="W455" s="146"/>
      <c r="X455" s="146"/>
      <c r="Y455" s="146"/>
      <c r="Z455" s="146"/>
    </row>
    <row r="456" ht="22.5" customHeight="1">
      <c r="A456" s="308"/>
      <c r="B456" s="305"/>
      <c r="C456" s="305"/>
      <c r="D456" s="305"/>
      <c r="E456" s="305"/>
      <c r="F456" s="305"/>
      <c r="G456" s="307"/>
      <c r="H456" s="146"/>
      <c r="I456" s="146"/>
      <c r="J456" s="146"/>
      <c r="K456" s="146"/>
      <c r="L456" s="146"/>
      <c r="M456" s="146"/>
      <c r="N456" s="146"/>
      <c r="O456" s="146"/>
      <c r="P456" s="146"/>
      <c r="Q456" s="146"/>
      <c r="R456" s="146"/>
      <c r="S456" s="146"/>
      <c r="T456" s="146"/>
      <c r="U456" s="146"/>
      <c r="V456" s="146"/>
      <c r="W456" s="146"/>
      <c r="X456" s="146"/>
      <c r="Y456" s="146"/>
      <c r="Z456" s="146"/>
    </row>
    <row r="457" ht="22.5" customHeight="1">
      <c r="A457" s="308"/>
      <c r="B457" s="305"/>
      <c r="C457" s="305"/>
      <c r="D457" s="305"/>
      <c r="E457" s="305"/>
      <c r="F457" s="305"/>
      <c r="G457" s="307"/>
      <c r="H457" s="146"/>
      <c r="I457" s="146"/>
      <c r="J457" s="146"/>
      <c r="K457" s="146"/>
      <c r="L457" s="146"/>
      <c r="M457" s="146"/>
      <c r="N457" s="146"/>
      <c r="O457" s="146"/>
      <c r="P457" s="146"/>
      <c r="Q457" s="146"/>
      <c r="R457" s="146"/>
      <c r="S457" s="146"/>
      <c r="T457" s="146"/>
      <c r="U457" s="146"/>
      <c r="V457" s="146"/>
      <c r="W457" s="146"/>
      <c r="X457" s="146"/>
      <c r="Y457" s="146"/>
      <c r="Z457" s="146"/>
    </row>
    <row r="458" ht="22.5" customHeight="1">
      <c r="A458" s="308"/>
      <c r="B458" s="305"/>
      <c r="C458" s="305"/>
      <c r="D458" s="305"/>
      <c r="E458" s="305"/>
      <c r="F458" s="305"/>
      <c r="G458" s="307"/>
      <c r="H458" s="146"/>
      <c r="I458" s="146"/>
      <c r="J458" s="146"/>
      <c r="K458" s="146"/>
      <c r="L458" s="146"/>
      <c r="M458" s="146"/>
      <c r="N458" s="146"/>
      <c r="O458" s="146"/>
      <c r="P458" s="146"/>
      <c r="Q458" s="146"/>
      <c r="R458" s="146"/>
      <c r="S458" s="146"/>
      <c r="T458" s="146"/>
      <c r="U458" s="146"/>
      <c r="V458" s="146"/>
      <c r="W458" s="146"/>
      <c r="X458" s="146"/>
      <c r="Y458" s="146"/>
      <c r="Z458" s="146"/>
    </row>
    <row r="459" ht="22.5" customHeight="1">
      <c r="A459" s="308"/>
      <c r="B459" s="305"/>
      <c r="C459" s="305"/>
      <c r="D459" s="305"/>
      <c r="E459" s="305"/>
      <c r="F459" s="305"/>
      <c r="G459" s="307"/>
      <c r="H459" s="146"/>
      <c r="I459" s="146"/>
      <c r="J459" s="146"/>
      <c r="K459" s="146"/>
      <c r="L459" s="146"/>
      <c r="M459" s="146"/>
      <c r="N459" s="146"/>
      <c r="O459" s="146"/>
      <c r="P459" s="146"/>
      <c r="Q459" s="146"/>
      <c r="R459" s="146"/>
      <c r="S459" s="146"/>
      <c r="T459" s="146"/>
      <c r="U459" s="146"/>
      <c r="V459" s="146"/>
      <c r="W459" s="146"/>
      <c r="X459" s="146"/>
      <c r="Y459" s="146"/>
      <c r="Z459" s="146"/>
    </row>
    <row r="460" ht="22.5" customHeight="1">
      <c r="A460" s="308"/>
      <c r="B460" s="305"/>
      <c r="C460" s="305"/>
      <c r="D460" s="305"/>
      <c r="E460" s="305"/>
      <c r="F460" s="305"/>
      <c r="G460" s="307"/>
      <c r="H460" s="146"/>
      <c r="I460" s="146"/>
      <c r="J460" s="146"/>
      <c r="K460" s="146"/>
      <c r="L460" s="146"/>
      <c r="M460" s="146"/>
      <c r="N460" s="146"/>
      <c r="O460" s="146"/>
      <c r="P460" s="146"/>
      <c r="Q460" s="146"/>
      <c r="R460" s="146"/>
      <c r="S460" s="146"/>
      <c r="T460" s="146"/>
      <c r="U460" s="146"/>
      <c r="V460" s="146"/>
      <c r="W460" s="146"/>
      <c r="X460" s="146"/>
      <c r="Y460" s="146"/>
      <c r="Z460" s="146"/>
    </row>
    <row r="461" ht="22.5" customHeight="1">
      <c r="A461" s="308"/>
      <c r="B461" s="305"/>
      <c r="C461" s="305"/>
      <c r="D461" s="305"/>
      <c r="E461" s="305"/>
      <c r="F461" s="305"/>
      <c r="G461" s="307"/>
      <c r="H461" s="146"/>
      <c r="I461" s="146"/>
      <c r="J461" s="146"/>
      <c r="K461" s="146"/>
      <c r="L461" s="146"/>
      <c r="M461" s="146"/>
      <c r="N461" s="146"/>
      <c r="O461" s="146"/>
      <c r="P461" s="146"/>
      <c r="Q461" s="146"/>
      <c r="R461" s="146"/>
      <c r="S461" s="146"/>
      <c r="T461" s="146"/>
      <c r="U461" s="146"/>
      <c r="V461" s="146"/>
      <c r="W461" s="146"/>
      <c r="X461" s="146"/>
      <c r="Y461" s="146"/>
      <c r="Z461" s="146"/>
    </row>
    <row r="462" ht="22.5" customHeight="1">
      <c r="A462" s="308"/>
      <c r="B462" s="305"/>
      <c r="C462" s="305"/>
      <c r="D462" s="305"/>
      <c r="E462" s="305"/>
      <c r="F462" s="305"/>
      <c r="G462" s="307"/>
      <c r="H462" s="146"/>
      <c r="I462" s="146"/>
      <c r="J462" s="146"/>
      <c r="K462" s="146"/>
      <c r="L462" s="146"/>
      <c r="M462" s="146"/>
      <c r="N462" s="146"/>
      <c r="O462" s="146"/>
      <c r="P462" s="146"/>
      <c r="Q462" s="146"/>
      <c r="R462" s="146"/>
      <c r="S462" s="146"/>
      <c r="T462" s="146"/>
      <c r="U462" s="146"/>
      <c r="V462" s="146"/>
      <c r="W462" s="146"/>
      <c r="X462" s="146"/>
      <c r="Y462" s="146"/>
      <c r="Z462" s="146"/>
    </row>
    <row r="463" ht="22.5" customHeight="1">
      <c r="A463" s="308"/>
      <c r="B463" s="305"/>
      <c r="C463" s="305"/>
      <c r="D463" s="305"/>
      <c r="E463" s="305"/>
      <c r="F463" s="305"/>
      <c r="G463" s="307"/>
      <c r="H463" s="146"/>
      <c r="I463" s="146"/>
      <c r="J463" s="146"/>
      <c r="K463" s="146"/>
      <c r="L463" s="146"/>
      <c r="M463" s="146"/>
      <c r="N463" s="146"/>
      <c r="O463" s="146"/>
      <c r="P463" s="146"/>
      <c r="Q463" s="146"/>
      <c r="R463" s="146"/>
      <c r="S463" s="146"/>
      <c r="T463" s="146"/>
      <c r="U463" s="146"/>
      <c r="V463" s="146"/>
      <c r="W463" s="146"/>
      <c r="X463" s="146"/>
      <c r="Y463" s="146"/>
      <c r="Z463" s="146"/>
    </row>
    <row r="464" ht="22.5" customHeight="1">
      <c r="A464" s="308"/>
      <c r="B464" s="305"/>
      <c r="C464" s="305"/>
      <c r="D464" s="305"/>
      <c r="E464" s="305"/>
      <c r="F464" s="305"/>
      <c r="G464" s="307"/>
      <c r="H464" s="146"/>
      <c r="I464" s="146"/>
      <c r="J464" s="146"/>
      <c r="K464" s="146"/>
      <c r="L464" s="146"/>
      <c r="M464" s="146"/>
      <c r="N464" s="146"/>
      <c r="O464" s="146"/>
      <c r="P464" s="146"/>
      <c r="Q464" s="146"/>
      <c r="R464" s="146"/>
      <c r="S464" s="146"/>
      <c r="T464" s="146"/>
      <c r="U464" s="146"/>
      <c r="V464" s="146"/>
      <c r="W464" s="146"/>
      <c r="X464" s="146"/>
      <c r="Y464" s="146"/>
      <c r="Z464" s="146"/>
    </row>
    <row r="465" ht="22.5" customHeight="1">
      <c r="A465" s="308"/>
      <c r="B465" s="305"/>
      <c r="C465" s="305"/>
      <c r="D465" s="305"/>
      <c r="E465" s="305"/>
      <c r="F465" s="305"/>
      <c r="G465" s="307"/>
      <c r="H465" s="146"/>
      <c r="I465" s="146"/>
      <c r="J465" s="146"/>
      <c r="K465" s="146"/>
      <c r="L465" s="146"/>
      <c r="M465" s="146"/>
      <c r="N465" s="146"/>
      <c r="O465" s="146"/>
      <c r="P465" s="146"/>
      <c r="Q465" s="146"/>
      <c r="R465" s="146"/>
      <c r="S465" s="146"/>
      <c r="T465" s="146"/>
      <c r="U465" s="146"/>
      <c r="V465" s="146"/>
      <c r="W465" s="146"/>
      <c r="X465" s="146"/>
      <c r="Y465" s="146"/>
      <c r="Z465" s="146"/>
    </row>
    <row r="466" ht="22.5" customHeight="1">
      <c r="A466" s="308"/>
      <c r="B466" s="305"/>
      <c r="C466" s="305"/>
      <c r="D466" s="305"/>
      <c r="E466" s="305"/>
      <c r="F466" s="305"/>
      <c r="G466" s="307"/>
      <c r="H466" s="146"/>
      <c r="I466" s="146"/>
      <c r="J466" s="146"/>
      <c r="K466" s="146"/>
      <c r="L466" s="146"/>
      <c r="M466" s="146"/>
      <c r="N466" s="146"/>
      <c r="O466" s="146"/>
      <c r="P466" s="146"/>
      <c r="Q466" s="146"/>
      <c r="R466" s="146"/>
      <c r="S466" s="146"/>
      <c r="T466" s="146"/>
      <c r="U466" s="146"/>
      <c r="V466" s="146"/>
      <c r="W466" s="146"/>
      <c r="X466" s="146"/>
      <c r="Y466" s="146"/>
      <c r="Z466" s="146"/>
    </row>
    <row r="467" ht="22.5" customHeight="1">
      <c r="A467" s="308"/>
      <c r="B467" s="305"/>
      <c r="C467" s="305"/>
      <c r="D467" s="305"/>
      <c r="E467" s="305"/>
      <c r="F467" s="305"/>
      <c r="G467" s="307"/>
      <c r="H467" s="146"/>
      <c r="I467" s="146"/>
      <c r="J467" s="146"/>
      <c r="K467" s="146"/>
      <c r="L467" s="146"/>
      <c r="M467" s="146"/>
      <c r="N467" s="146"/>
      <c r="O467" s="146"/>
      <c r="P467" s="146"/>
      <c r="Q467" s="146"/>
      <c r="R467" s="146"/>
      <c r="S467" s="146"/>
      <c r="T467" s="146"/>
      <c r="U467" s="146"/>
      <c r="V467" s="146"/>
      <c r="W467" s="146"/>
      <c r="X467" s="146"/>
      <c r="Y467" s="146"/>
      <c r="Z467" s="146"/>
    </row>
    <row r="468" ht="22.5" customHeight="1">
      <c r="A468" s="308"/>
      <c r="B468" s="305"/>
      <c r="C468" s="305"/>
      <c r="D468" s="305"/>
      <c r="E468" s="305"/>
      <c r="F468" s="305"/>
      <c r="G468" s="307"/>
      <c r="H468" s="146"/>
      <c r="I468" s="146"/>
      <c r="J468" s="146"/>
      <c r="K468" s="146"/>
      <c r="L468" s="146"/>
      <c r="M468" s="146"/>
      <c r="N468" s="146"/>
      <c r="O468" s="146"/>
      <c r="P468" s="146"/>
      <c r="Q468" s="146"/>
      <c r="R468" s="146"/>
      <c r="S468" s="146"/>
      <c r="T468" s="146"/>
      <c r="U468" s="146"/>
      <c r="V468" s="146"/>
      <c r="W468" s="146"/>
      <c r="X468" s="146"/>
      <c r="Y468" s="146"/>
      <c r="Z468" s="146"/>
    </row>
    <row r="469" ht="22.5" customHeight="1">
      <c r="A469" s="308"/>
      <c r="B469" s="305"/>
      <c r="C469" s="305"/>
      <c r="D469" s="305"/>
      <c r="E469" s="305"/>
      <c r="F469" s="305"/>
      <c r="G469" s="307"/>
      <c r="H469" s="146"/>
      <c r="I469" s="146"/>
      <c r="J469" s="146"/>
      <c r="K469" s="146"/>
      <c r="L469" s="146"/>
      <c r="M469" s="146"/>
      <c r="N469" s="146"/>
      <c r="O469" s="146"/>
      <c r="P469" s="146"/>
      <c r="Q469" s="146"/>
      <c r="R469" s="146"/>
      <c r="S469" s="146"/>
      <c r="T469" s="146"/>
      <c r="U469" s="146"/>
      <c r="V469" s="146"/>
      <c r="W469" s="146"/>
      <c r="X469" s="146"/>
      <c r="Y469" s="146"/>
      <c r="Z469" s="146"/>
    </row>
    <row r="470" ht="22.5" customHeight="1">
      <c r="A470" s="308"/>
      <c r="B470" s="305"/>
      <c r="C470" s="305"/>
      <c r="D470" s="305"/>
      <c r="E470" s="305"/>
      <c r="F470" s="305"/>
      <c r="G470" s="307"/>
      <c r="H470" s="146"/>
      <c r="I470" s="146"/>
      <c r="J470" s="146"/>
      <c r="K470" s="146"/>
      <c r="L470" s="146"/>
      <c r="M470" s="146"/>
      <c r="N470" s="146"/>
      <c r="O470" s="146"/>
      <c r="P470" s="146"/>
      <c r="Q470" s="146"/>
      <c r="R470" s="146"/>
      <c r="S470" s="146"/>
      <c r="T470" s="146"/>
      <c r="U470" s="146"/>
      <c r="V470" s="146"/>
      <c r="W470" s="146"/>
      <c r="X470" s="146"/>
      <c r="Y470" s="146"/>
      <c r="Z470" s="146"/>
    </row>
    <row r="471" ht="22.5" customHeight="1">
      <c r="A471" s="308"/>
      <c r="B471" s="305"/>
      <c r="C471" s="305"/>
      <c r="D471" s="305"/>
      <c r="E471" s="305"/>
      <c r="F471" s="305"/>
      <c r="G471" s="307"/>
      <c r="H471" s="146"/>
      <c r="I471" s="146"/>
      <c r="J471" s="146"/>
      <c r="K471" s="146"/>
      <c r="L471" s="146"/>
      <c r="M471" s="146"/>
      <c r="N471" s="146"/>
      <c r="O471" s="146"/>
      <c r="P471" s="146"/>
      <c r="Q471" s="146"/>
      <c r="R471" s="146"/>
      <c r="S471" s="146"/>
      <c r="T471" s="146"/>
      <c r="U471" s="146"/>
      <c r="V471" s="146"/>
      <c r="W471" s="146"/>
      <c r="X471" s="146"/>
      <c r="Y471" s="146"/>
      <c r="Z471" s="146"/>
    </row>
    <row r="472" ht="22.5" customHeight="1">
      <c r="A472" s="308"/>
      <c r="B472" s="305"/>
      <c r="C472" s="305"/>
      <c r="D472" s="305"/>
      <c r="E472" s="305"/>
      <c r="F472" s="305"/>
      <c r="G472" s="307"/>
      <c r="H472" s="146"/>
      <c r="I472" s="146"/>
      <c r="J472" s="146"/>
      <c r="K472" s="146"/>
      <c r="L472" s="146"/>
      <c r="M472" s="146"/>
      <c r="N472" s="146"/>
      <c r="O472" s="146"/>
      <c r="P472" s="146"/>
      <c r="Q472" s="146"/>
      <c r="R472" s="146"/>
      <c r="S472" s="146"/>
      <c r="T472" s="146"/>
      <c r="U472" s="146"/>
      <c r="V472" s="146"/>
      <c r="W472" s="146"/>
      <c r="X472" s="146"/>
      <c r="Y472" s="146"/>
      <c r="Z472" s="146"/>
    </row>
    <row r="473" ht="22.5" customHeight="1">
      <c r="A473" s="308"/>
      <c r="B473" s="305"/>
      <c r="C473" s="305"/>
      <c r="D473" s="305"/>
      <c r="E473" s="305"/>
      <c r="F473" s="305"/>
      <c r="G473" s="307"/>
      <c r="H473" s="146"/>
      <c r="I473" s="146"/>
      <c r="J473" s="146"/>
      <c r="K473" s="146"/>
      <c r="L473" s="146"/>
      <c r="M473" s="146"/>
      <c r="N473" s="146"/>
      <c r="O473" s="146"/>
      <c r="P473" s="146"/>
      <c r="Q473" s="146"/>
      <c r="R473" s="146"/>
      <c r="S473" s="146"/>
      <c r="T473" s="146"/>
      <c r="U473" s="146"/>
      <c r="V473" s="146"/>
      <c r="W473" s="146"/>
      <c r="X473" s="146"/>
      <c r="Y473" s="146"/>
      <c r="Z473" s="146"/>
    </row>
    <row r="474" ht="22.5" customHeight="1">
      <c r="A474" s="308"/>
      <c r="B474" s="305"/>
      <c r="C474" s="305"/>
      <c r="D474" s="305"/>
      <c r="E474" s="305"/>
      <c r="F474" s="305"/>
      <c r="G474" s="307"/>
      <c r="H474" s="146"/>
      <c r="I474" s="146"/>
      <c r="J474" s="146"/>
      <c r="K474" s="146"/>
      <c r="L474" s="146"/>
      <c r="M474" s="146"/>
      <c r="N474" s="146"/>
      <c r="O474" s="146"/>
      <c r="P474" s="146"/>
      <c r="Q474" s="146"/>
      <c r="R474" s="146"/>
      <c r="S474" s="146"/>
      <c r="T474" s="146"/>
      <c r="U474" s="146"/>
      <c r="V474" s="146"/>
      <c r="W474" s="146"/>
      <c r="X474" s="146"/>
      <c r="Y474" s="146"/>
      <c r="Z474" s="146"/>
    </row>
    <row r="475" ht="22.5" customHeight="1">
      <c r="A475" s="308"/>
      <c r="B475" s="305"/>
      <c r="C475" s="305"/>
      <c r="D475" s="305"/>
      <c r="E475" s="305"/>
      <c r="F475" s="305"/>
      <c r="G475" s="307"/>
      <c r="H475" s="146"/>
      <c r="I475" s="146"/>
      <c r="J475" s="146"/>
      <c r="K475" s="146"/>
      <c r="L475" s="146"/>
      <c r="M475" s="146"/>
      <c r="N475" s="146"/>
      <c r="O475" s="146"/>
      <c r="P475" s="146"/>
      <c r="Q475" s="146"/>
      <c r="R475" s="146"/>
      <c r="S475" s="146"/>
      <c r="T475" s="146"/>
      <c r="U475" s="146"/>
      <c r="V475" s="146"/>
      <c r="W475" s="146"/>
      <c r="X475" s="146"/>
      <c r="Y475" s="146"/>
      <c r="Z475" s="146"/>
    </row>
    <row r="476" ht="22.5" customHeight="1">
      <c r="A476" s="308"/>
      <c r="B476" s="305"/>
      <c r="C476" s="305"/>
      <c r="D476" s="305"/>
      <c r="E476" s="305"/>
      <c r="F476" s="305"/>
      <c r="G476" s="307"/>
      <c r="H476" s="146"/>
      <c r="I476" s="146"/>
      <c r="J476" s="146"/>
      <c r="K476" s="146"/>
      <c r="L476" s="146"/>
      <c r="M476" s="146"/>
      <c r="N476" s="146"/>
      <c r="O476" s="146"/>
      <c r="P476" s="146"/>
      <c r="Q476" s="146"/>
      <c r="R476" s="146"/>
      <c r="S476" s="146"/>
      <c r="T476" s="146"/>
      <c r="U476" s="146"/>
      <c r="V476" s="146"/>
      <c r="W476" s="146"/>
      <c r="X476" s="146"/>
      <c r="Y476" s="146"/>
      <c r="Z476" s="146"/>
    </row>
    <row r="477" ht="22.5" customHeight="1">
      <c r="A477" s="308"/>
      <c r="B477" s="305"/>
      <c r="C477" s="305"/>
      <c r="D477" s="305"/>
      <c r="E477" s="305"/>
      <c r="F477" s="305"/>
      <c r="G477" s="307"/>
      <c r="H477" s="146"/>
      <c r="I477" s="146"/>
      <c r="J477" s="146"/>
      <c r="K477" s="146"/>
      <c r="L477" s="146"/>
      <c r="M477" s="146"/>
      <c r="N477" s="146"/>
      <c r="O477" s="146"/>
      <c r="P477" s="146"/>
      <c r="Q477" s="146"/>
      <c r="R477" s="146"/>
      <c r="S477" s="146"/>
      <c r="T477" s="146"/>
      <c r="U477" s="146"/>
      <c r="V477" s="146"/>
      <c r="W477" s="146"/>
      <c r="X477" s="146"/>
      <c r="Y477" s="146"/>
      <c r="Z477" s="146"/>
    </row>
    <row r="478" ht="22.5" customHeight="1">
      <c r="A478" s="308"/>
      <c r="B478" s="305"/>
      <c r="C478" s="305"/>
      <c r="D478" s="305"/>
      <c r="E478" s="305"/>
      <c r="F478" s="305"/>
      <c r="G478" s="307"/>
      <c r="H478" s="146"/>
      <c r="I478" s="146"/>
      <c r="J478" s="146"/>
      <c r="K478" s="146"/>
      <c r="L478" s="146"/>
      <c r="M478" s="146"/>
      <c r="N478" s="146"/>
      <c r="O478" s="146"/>
      <c r="P478" s="146"/>
      <c r="Q478" s="146"/>
      <c r="R478" s="146"/>
      <c r="S478" s="146"/>
      <c r="T478" s="146"/>
      <c r="U478" s="146"/>
      <c r="V478" s="146"/>
      <c r="W478" s="146"/>
      <c r="X478" s="146"/>
      <c r="Y478" s="146"/>
      <c r="Z478" s="146"/>
    </row>
    <row r="479" ht="22.5" customHeight="1">
      <c r="A479" s="308"/>
      <c r="B479" s="305"/>
      <c r="C479" s="305"/>
      <c r="D479" s="305"/>
      <c r="E479" s="305"/>
      <c r="F479" s="305"/>
      <c r="G479" s="307"/>
      <c r="H479" s="146"/>
      <c r="I479" s="146"/>
      <c r="J479" s="146"/>
      <c r="K479" s="146"/>
      <c r="L479" s="146"/>
      <c r="M479" s="146"/>
      <c r="N479" s="146"/>
      <c r="O479" s="146"/>
      <c r="P479" s="146"/>
      <c r="Q479" s="146"/>
      <c r="R479" s="146"/>
      <c r="S479" s="146"/>
      <c r="T479" s="146"/>
      <c r="U479" s="146"/>
      <c r="V479" s="146"/>
      <c r="W479" s="146"/>
      <c r="X479" s="146"/>
      <c r="Y479" s="146"/>
      <c r="Z479" s="146"/>
    </row>
    <row r="480" ht="22.5" customHeight="1">
      <c r="A480" s="308"/>
      <c r="B480" s="305"/>
      <c r="C480" s="305"/>
      <c r="D480" s="305"/>
      <c r="E480" s="305"/>
      <c r="F480" s="305"/>
      <c r="G480" s="307"/>
      <c r="H480" s="146"/>
      <c r="I480" s="146"/>
      <c r="J480" s="146"/>
      <c r="K480" s="146"/>
      <c r="L480" s="146"/>
      <c r="M480" s="146"/>
      <c r="N480" s="146"/>
      <c r="O480" s="146"/>
      <c r="P480" s="146"/>
      <c r="Q480" s="146"/>
      <c r="R480" s="146"/>
      <c r="S480" s="146"/>
      <c r="T480" s="146"/>
      <c r="U480" s="146"/>
      <c r="V480" s="146"/>
      <c r="W480" s="146"/>
      <c r="X480" s="146"/>
      <c r="Y480" s="146"/>
      <c r="Z480" s="146"/>
    </row>
    <row r="481" ht="22.5" customHeight="1">
      <c r="A481" s="308"/>
      <c r="B481" s="305"/>
      <c r="C481" s="305"/>
      <c r="D481" s="305"/>
      <c r="E481" s="305"/>
      <c r="F481" s="305"/>
      <c r="G481" s="307"/>
      <c r="H481" s="146"/>
      <c r="I481" s="146"/>
      <c r="J481" s="146"/>
      <c r="K481" s="146"/>
      <c r="L481" s="146"/>
      <c r="M481" s="146"/>
      <c r="N481" s="146"/>
      <c r="O481" s="146"/>
      <c r="P481" s="146"/>
      <c r="Q481" s="146"/>
      <c r="R481" s="146"/>
      <c r="S481" s="146"/>
      <c r="T481" s="146"/>
      <c r="U481" s="146"/>
      <c r="V481" s="146"/>
      <c r="W481" s="146"/>
      <c r="X481" s="146"/>
      <c r="Y481" s="146"/>
      <c r="Z481" s="146"/>
    </row>
    <row r="482" ht="22.5" customHeight="1">
      <c r="A482" s="308"/>
      <c r="B482" s="305"/>
      <c r="C482" s="305"/>
      <c r="D482" s="305"/>
      <c r="E482" s="305"/>
      <c r="F482" s="305"/>
      <c r="G482" s="307"/>
      <c r="H482" s="146"/>
      <c r="I482" s="146"/>
      <c r="J482" s="146"/>
      <c r="K482" s="146"/>
      <c r="L482" s="146"/>
      <c r="M482" s="146"/>
      <c r="N482" s="146"/>
      <c r="O482" s="146"/>
      <c r="P482" s="146"/>
      <c r="Q482" s="146"/>
      <c r="R482" s="146"/>
      <c r="S482" s="146"/>
      <c r="T482" s="146"/>
      <c r="U482" s="146"/>
      <c r="V482" s="146"/>
      <c r="W482" s="146"/>
      <c r="X482" s="146"/>
      <c r="Y482" s="146"/>
      <c r="Z482" s="146"/>
    </row>
    <row r="483" ht="22.5" customHeight="1">
      <c r="A483" s="308"/>
      <c r="B483" s="305"/>
      <c r="C483" s="305"/>
      <c r="D483" s="305"/>
      <c r="E483" s="305"/>
      <c r="F483" s="305"/>
      <c r="G483" s="307"/>
      <c r="H483" s="146"/>
      <c r="I483" s="146"/>
      <c r="J483" s="146"/>
      <c r="K483" s="146"/>
      <c r="L483" s="146"/>
      <c r="M483" s="146"/>
      <c r="N483" s="146"/>
      <c r="O483" s="146"/>
      <c r="P483" s="146"/>
      <c r="Q483" s="146"/>
      <c r="R483" s="146"/>
      <c r="S483" s="146"/>
      <c r="T483" s="146"/>
      <c r="U483" s="146"/>
      <c r="V483" s="146"/>
      <c r="W483" s="146"/>
      <c r="X483" s="146"/>
      <c r="Y483" s="146"/>
      <c r="Z483" s="146"/>
    </row>
    <row r="484" ht="22.5" customHeight="1">
      <c r="A484" s="308"/>
      <c r="B484" s="305"/>
      <c r="C484" s="305"/>
      <c r="D484" s="305"/>
      <c r="E484" s="305"/>
      <c r="F484" s="305"/>
      <c r="G484" s="307"/>
      <c r="H484" s="146"/>
      <c r="I484" s="146"/>
      <c r="J484" s="146"/>
      <c r="K484" s="146"/>
      <c r="L484" s="146"/>
      <c r="M484" s="146"/>
      <c r="N484" s="146"/>
      <c r="O484" s="146"/>
      <c r="P484" s="146"/>
      <c r="Q484" s="146"/>
      <c r="R484" s="146"/>
      <c r="S484" s="146"/>
      <c r="T484" s="146"/>
      <c r="U484" s="146"/>
      <c r="V484" s="146"/>
      <c r="W484" s="146"/>
      <c r="X484" s="146"/>
      <c r="Y484" s="146"/>
      <c r="Z484" s="146"/>
    </row>
    <row r="485" ht="22.5" customHeight="1">
      <c r="A485" s="308"/>
      <c r="B485" s="305"/>
      <c r="C485" s="305"/>
      <c r="D485" s="305"/>
      <c r="E485" s="305"/>
      <c r="F485" s="305"/>
      <c r="G485" s="307"/>
      <c r="H485" s="146"/>
      <c r="I485" s="146"/>
      <c r="J485" s="146"/>
      <c r="K485" s="146"/>
      <c r="L485" s="146"/>
      <c r="M485" s="146"/>
      <c r="N485" s="146"/>
      <c r="O485" s="146"/>
      <c r="P485" s="146"/>
      <c r="Q485" s="146"/>
      <c r="R485" s="146"/>
      <c r="S485" s="146"/>
      <c r="T485" s="146"/>
      <c r="U485" s="146"/>
      <c r="V485" s="146"/>
      <c r="W485" s="146"/>
      <c r="X485" s="146"/>
      <c r="Y485" s="146"/>
      <c r="Z485" s="146"/>
    </row>
    <row r="486" ht="22.5" customHeight="1">
      <c r="A486" s="308"/>
      <c r="B486" s="305"/>
      <c r="C486" s="305"/>
      <c r="D486" s="305"/>
      <c r="E486" s="305"/>
      <c r="F486" s="305"/>
      <c r="G486" s="307"/>
      <c r="H486" s="146"/>
      <c r="I486" s="146"/>
      <c r="J486" s="146"/>
      <c r="K486" s="146"/>
      <c r="L486" s="146"/>
      <c r="M486" s="146"/>
      <c r="N486" s="146"/>
      <c r="O486" s="146"/>
      <c r="P486" s="146"/>
      <c r="Q486" s="146"/>
      <c r="R486" s="146"/>
      <c r="S486" s="146"/>
      <c r="T486" s="146"/>
      <c r="U486" s="146"/>
      <c r="V486" s="146"/>
      <c r="W486" s="146"/>
      <c r="X486" s="146"/>
      <c r="Y486" s="146"/>
      <c r="Z486" s="146"/>
    </row>
    <row r="487" ht="22.5" customHeight="1">
      <c r="A487" s="308"/>
      <c r="B487" s="305"/>
      <c r="C487" s="305"/>
      <c r="D487" s="305"/>
      <c r="E487" s="305"/>
      <c r="F487" s="305"/>
      <c r="G487" s="307"/>
      <c r="H487" s="146"/>
      <c r="I487" s="146"/>
      <c r="J487" s="146"/>
      <c r="K487" s="146"/>
      <c r="L487" s="146"/>
      <c r="M487" s="146"/>
      <c r="N487" s="146"/>
      <c r="O487" s="146"/>
      <c r="P487" s="146"/>
      <c r="Q487" s="146"/>
      <c r="R487" s="146"/>
      <c r="S487" s="146"/>
      <c r="T487" s="146"/>
      <c r="U487" s="146"/>
      <c r="V487" s="146"/>
      <c r="W487" s="146"/>
      <c r="X487" s="146"/>
      <c r="Y487" s="146"/>
      <c r="Z487" s="146"/>
    </row>
    <row r="488" ht="22.5" customHeight="1">
      <c r="A488" s="308"/>
      <c r="B488" s="305"/>
      <c r="C488" s="305"/>
      <c r="D488" s="305"/>
      <c r="E488" s="305"/>
      <c r="F488" s="305"/>
      <c r="G488" s="307"/>
      <c r="H488" s="146"/>
      <c r="I488" s="146"/>
      <c r="J488" s="146"/>
      <c r="K488" s="146"/>
      <c r="L488" s="146"/>
      <c r="M488" s="146"/>
      <c r="N488" s="146"/>
      <c r="O488" s="146"/>
      <c r="P488" s="146"/>
      <c r="Q488" s="146"/>
      <c r="R488" s="146"/>
      <c r="S488" s="146"/>
      <c r="T488" s="146"/>
      <c r="U488" s="146"/>
      <c r="V488" s="146"/>
      <c r="W488" s="146"/>
      <c r="X488" s="146"/>
      <c r="Y488" s="146"/>
      <c r="Z488" s="146"/>
    </row>
    <row r="489" ht="22.5" customHeight="1">
      <c r="A489" s="308"/>
      <c r="B489" s="305"/>
      <c r="C489" s="305"/>
      <c r="D489" s="305"/>
      <c r="E489" s="305"/>
      <c r="F489" s="305"/>
      <c r="G489" s="307"/>
      <c r="H489" s="146"/>
      <c r="I489" s="146"/>
      <c r="J489" s="146"/>
      <c r="K489" s="146"/>
      <c r="L489" s="146"/>
      <c r="M489" s="146"/>
      <c r="N489" s="146"/>
      <c r="O489" s="146"/>
      <c r="P489" s="146"/>
      <c r="Q489" s="146"/>
      <c r="R489" s="146"/>
      <c r="S489" s="146"/>
      <c r="T489" s="146"/>
      <c r="U489" s="146"/>
      <c r="V489" s="146"/>
      <c r="W489" s="146"/>
      <c r="X489" s="146"/>
      <c r="Y489" s="146"/>
      <c r="Z489" s="146"/>
    </row>
    <row r="490" ht="22.5" customHeight="1">
      <c r="A490" s="308"/>
      <c r="B490" s="305"/>
      <c r="C490" s="305"/>
      <c r="D490" s="305"/>
      <c r="E490" s="305"/>
      <c r="F490" s="305"/>
      <c r="G490" s="307"/>
      <c r="H490" s="146"/>
      <c r="I490" s="146"/>
      <c r="J490" s="146"/>
      <c r="K490" s="146"/>
      <c r="L490" s="146"/>
      <c r="M490" s="146"/>
      <c r="N490" s="146"/>
      <c r="O490" s="146"/>
      <c r="P490" s="146"/>
      <c r="Q490" s="146"/>
      <c r="R490" s="146"/>
      <c r="S490" s="146"/>
      <c r="T490" s="146"/>
      <c r="U490" s="146"/>
      <c r="V490" s="146"/>
      <c r="W490" s="146"/>
      <c r="X490" s="146"/>
      <c r="Y490" s="146"/>
      <c r="Z490" s="146"/>
    </row>
    <row r="491" ht="22.5" customHeight="1">
      <c r="A491" s="308"/>
      <c r="B491" s="305"/>
      <c r="C491" s="305"/>
      <c r="D491" s="305"/>
      <c r="E491" s="305"/>
      <c r="F491" s="305"/>
      <c r="G491" s="307"/>
      <c r="H491" s="146"/>
      <c r="I491" s="146"/>
      <c r="J491" s="146"/>
      <c r="K491" s="146"/>
      <c r="L491" s="146"/>
      <c r="M491" s="146"/>
      <c r="N491" s="146"/>
      <c r="O491" s="146"/>
      <c r="P491" s="146"/>
      <c r="Q491" s="146"/>
      <c r="R491" s="146"/>
      <c r="S491" s="146"/>
      <c r="T491" s="146"/>
      <c r="U491" s="146"/>
      <c r="V491" s="146"/>
      <c r="W491" s="146"/>
      <c r="X491" s="146"/>
      <c r="Y491" s="146"/>
      <c r="Z491" s="146"/>
    </row>
    <row r="492" ht="22.5" customHeight="1">
      <c r="A492" s="308"/>
      <c r="B492" s="305"/>
      <c r="C492" s="305"/>
      <c r="D492" s="305"/>
      <c r="E492" s="305"/>
      <c r="F492" s="305"/>
      <c r="G492" s="307"/>
      <c r="H492" s="146"/>
      <c r="I492" s="146"/>
      <c r="J492" s="146"/>
      <c r="K492" s="146"/>
      <c r="L492" s="146"/>
      <c r="M492" s="146"/>
      <c r="N492" s="146"/>
      <c r="O492" s="146"/>
      <c r="P492" s="146"/>
      <c r="Q492" s="146"/>
      <c r="R492" s="146"/>
      <c r="S492" s="146"/>
      <c r="T492" s="146"/>
      <c r="U492" s="146"/>
      <c r="V492" s="146"/>
      <c r="W492" s="146"/>
      <c r="X492" s="146"/>
      <c r="Y492" s="146"/>
      <c r="Z492" s="146"/>
    </row>
    <row r="493" ht="22.5" customHeight="1">
      <c r="A493" s="308"/>
      <c r="B493" s="305"/>
      <c r="C493" s="305"/>
      <c r="D493" s="305"/>
      <c r="E493" s="305"/>
      <c r="F493" s="305"/>
      <c r="G493" s="307"/>
      <c r="H493" s="146"/>
      <c r="I493" s="146"/>
      <c r="J493" s="146"/>
      <c r="K493" s="146"/>
      <c r="L493" s="146"/>
      <c r="M493" s="146"/>
      <c r="N493" s="146"/>
      <c r="O493" s="146"/>
      <c r="P493" s="146"/>
      <c r="Q493" s="146"/>
      <c r="R493" s="146"/>
      <c r="S493" s="146"/>
      <c r="T493" s="146"/>
      <c r="U493" s="146"/>
      <c r="V493" s="146"/>
      <c r="W493" s="146"/>
      <c r="X493" s="146"/>
      <c r="Y493" s="146"/>
      <c r="Z493" s="146"/>
    </row>
    <row r="494" ht="22.5" customHeight="1">
      <c r="A494" s="308"/>
      <c r="B494" s="305"/>
      <c r="C494" s="305"/>
      <c r="D494" s="305"/>
      <c r="E494" s="305"/>
      <c r="F494" s="305"/>
      <c r="G494" s="307"/>
      <c r="H494" s="146"/>
      <c r="I494" s="146"/>
      <c r="J494" s="146"/>
      <c r="K494" s="146"/>
      <c r="L494" s="146"/>
      <c r="M494" s="146"/>
      <c r="N494" s="146"/>
      <c r="O494" s="146"/>
      <c r="P494" s="146"/>
      <c r="Q494" s="146"/>
      <c r="R494" s="146"/>
      <c r="S494" s="146"/>
      <c r="T494" s="146"/>
      <c r="U494" s="146"/>
      <c r="V494" s="146"/>
      <c r="W494" s="146"/>
      <c r="X494" s="146"/>
      <c r="Y494" s="146"/>
      <c r="Z494" s="146"/>
    </row>
    <row r="495" ht="22.5" customHeight="1">
      <c r="A495" s="308"/>
      <c r="B495" s="305"/>
      <c r="C495" s="305"/>
      <c r="D495" s="305"/>
      <c r="E495" s="305"/>
      <c r="F495" s="305"/>
      <c r="G495" s="307"/>
      <c r="H495" s="146"/>
      <c r="I495" s="146"/>
      <c r="J495" s="146"/>
      <c r="K495" s="146"/>
      <c r="L495" s="146"/>
      <c r="M495" s="146"/>
      <c r="N495" s="146"/>
      <c r="O495" s="146"/>
      <c r="P495" s="146"/>
      <c r="Q495" s="146"/>
      <c r="R495" s="146"/>
      <c r="S495" s="146"/>
      <c r="T495" s="146"/>
      <c r="U495" s="146"/>
      <c r="V495" s="146"/>
      <c r="W495" s="146"/>
      <c r="X495" s="146"/>
      <c r="Y495" s="146"/>
      <c r="Z495" s="146"/>
    </row>
    <row r="496" ht="22.5" customHeight="1">
      <c r="A496" s="308"/>
      <c r="B496" s="305"/>
      <c r="C496" s="305"/>
      <c r="D496" s="305"/>
      <c r="E496" s="305"/>
      <c r="F496" s="305"/>
      <c r="G496" s="307"/>
      <c r="H496" s="146"/>
      <c r="I496" s="146"/>
      <c r="J496" s="146"/>
      <c r="K496" s="146"/>
      <c r="L496" s="146"/>
      <c r="M496" s="146"/>
      <c r="N496" s="146"/>
      <c r="O496" s="146"/>
      <c r="P496" s="146"/>
      <c r="Q496" s="146"/>
      <c r="R496" s="146"/>
      <c r="S496" s="146"/>
      <c r="T496" s="146"/>
      <c r="U496" s="146"/>
      <c r="V496" s="146"/>
      <c r="W496" s="146"/>
      <c r="X496" s="146"/>
      <c r="Y496" s="146"/>
      <c r="Z496" s="146"/>
    </row>
    <row r="497" ht="22.5" customHeight="1">
      <c r="A497" s="308"/>
      <c r="B497" s="305"/>
      <c r="C497" s="305"/>
      <c r="D497" s="305"/>
      <c r="E497" s="305"/>
      <c r="F497" s="305"/>
      <c r="G497" s="307"/>
      <c r="H497" s="146"/>
      <c r="I497" s="146"/>
      <c r="J497" s="146"/>
      <c r="K497" s="146"/>
      <c r="L497" s="146"/>
      <c r="M497" s="146"/>
      <c r="N497" s="146"/>
      <c r="O497" s="146"/>
      <c r="P497" s="146"/>
      <c r="Q497" s="146"/>
      <c r="R497" s="146"/>
      <c r="S497" s="146"/>
      <c r="T497" s="146"/>
      <c r="U497" s="146"/>
      <c r="V497" s="146"/>
      <c r="W497" s="146"/>
      <c r="X497" s="146"/>
      <c r="Y497" s="146"/>
      <c r="Z497" s="146"/>
    </row>
    <row r="498" ht="22.5" customHeight="1">
      <c r="A498" s="308"/>
      <c r="B498" s="305"/>
      <c r="C498" s="305"/>
      <c r="D498" s="305"/>
      <c r="E498" s="305"/>
      <c r="F498" s="305"/>
      <c r="G498" s="307"/>
      <c r="H498" s="146"/>
      <c r="I498" s="146"/>
      <c r="J498" s="146"/>
      <c r="K498" s="146"/>
      <c r="L498" s="146"/>
      <c r="M498" s="146"/>
      <c r="N498" s="146"/>
      <c r="O498" s="146"/>
      <c r="P498" s="146"/>
      <c r="Q498" s="146"/>
      <c r="R498" s="146"/>
      <c r="S498" s="146"/>
      <c r="T498" s="146"/>
      <c r="U498" s="146"/>
      <c r="V498" s="146"/>
      <c r="W498" s="146"/>
      <c r="X498" s="146"/>
      <c r="Y498" s="146"/>
      <c r="Z498" s="146"/>
    </row>
    <row r="499" ht="22.5" customHeight="1">
      <c r="A499" s="308"/>
      <c r="B499" s="305"/>
      <c r="C499" s="305"/>
      <c r="D499" s="305"/>
      <c r="E499" s="305"/>
      <c r="F499" s="305"/>
      <c r="G499" s="307"/>
      <c r="H499" s="146"/>
      <c r="I499" s="146"/>
      <c r="J499" s="146"/>
      <c r="K499" s="146"/>
      <c r="L499" s="146"/>
      <c r="M499" s="146"/>
      <c r="N499" s="146"/>
      <c r="O499" s="146"/>
      <c r="P499" s="146"/>
      <c r="Q499" s="146"/>
      <c r="R499" s="146"/>
      <c r="S499" s="146"/>
      <c r="T499" s="146"/>
      <c r="U499" s="146"/>
      <c r="V499" s="146"/>
      <c r="W499" s="146"/>
      <c r="X499" s="146"/>
      <c r="Y499" s="146"/>
      <c r="Z499" s="146"/>
    </row>
    <row r="500" ht="22.5" customHeight="1">
      <c r="A500" s="308"/>
      <c r="B500" s="305"/>
      <c r="C500" s="305"/>
      <c r="D500" s="305"/>
      <c r="E500" s="305"/>
      <c r="F500" s="305"/>
      <c r="G500" s="307"/>
      <c r="H500" s="146"/>
      <c r="I500" s="146"/>
      <c r="J500" s="146"/>
      <c r="K500" s="146"/>
      <c r="L500" s="146"/>
      <c r="M500" s="146"/>
      <c r="N500" s="146"/>
      <c r="O500" s="146"/>
      <c r="P500" s="146"/>
      <c r="Q500" s="146"/>
      <c r="R500" s="146"/>
      <c r="S500" s="146"/>
      <c r="T500" s="146"/>
      <c r="U500" s="146"/>
      <c r="V500" s="146"/>
      <c r="W500" s="146"/>
      <c r="X500" s="146"/>
      <c r="Y500" s="146"/>
      <c r="Z500" s="146"/>
    </row>
    <row r="501" ht="22.5" customHeight="1">
      <c r="A501" s="308"/>
      <c r="B501" s="305"/>
      <c r="C501" s="305"/>
      <c r="D501" s="305"/>
      <c r="E501" s="305"/>
      <c r="F501" s="305"/>
      <c r="G501" s="307"/>
      <c r="H501" s="146"/>
      <c r="I501" s="146"/>
      <c r="J501" s="146"/>
      <c r="K501" s="146"/>
      <c r="L501" s="146"/>
      <c r="M501" s="146"/>
      <c r="N501" s="146"/>
      <c r="O501" s="146"/>
      <c r="P501" s="146"/>
      <c r="Q501" s="146"/>
      <c r="R501" s="146"/>
      <c r="S501" s="146"/>
      <c r="T501" s="146"/>
      <c r="U501" s="146"/>
      <c r="V501" s="146"/>
      <c r="W501" s="146"/>
      <c r="X501" s="146"/>
      <c r="Y501" s="146"/>
      <c r="Z501" s="146"/>
    </row>
    <row r="502" ht="22.5" customHeight="1">
      <c r="A502" s="308"/>
      <c r="B502" s="305"/>
      <c r="C502" s="305"/>
      <c r="D502" s="305"/>
      <c r="E502" s="305"/>
      <c r="F502" s="305"/>
      <c r="G502" s="307"/>
      <c r="H502" s="146"/>
      <c r="I502" s="146"/>
      <c r="J502" s="146"/>
      <c r="K502" s="146"/>
      <c r="L502" s="146"/>
      <c r="M502" s="146"/>
      <c r="N502" s="146"/>
      <c r="O502" s="146"/>
      <c r="P502" s="146"/>
      <c r="Q502" s="146"/>
      <c r="R502" s="146"/>
      <c r="S502" s="146"/>
      <c r="T502" s="146"/>
      <c r="U502" s="146"/>
      <c r="V502" s="146"/>
      <c r="W502" s="146"/>
      <c r="X502" s="146"/>
      <c r="Y502" s="146"/>
      <c r="Z502" s="146"/>
    </row>
    <row r="503" ht="22.5" customHeight="1">
      <c r="A503" s="308"/>
      <c r="B503" s="305"/>
      <c r="C503" s="305"/>
      <c r="D503" s="305"/>
      <c r="E503" s="305"/>
      <c r="F503" s="305"/>
      <c r="G503" s="307"/>
      <c r="H503" s="146"/>
      <c r="I503" s="146"/>
      <c r="J503" s="146"/>
      <c r="K503" s="146"/>
      <c r="L503" s="146"/>
      <c r="M503" s="146"/>
      <c r="N503" s="146"/>
      <c r="O503" s="146"/>
      <c r="P503" s="146"/>
      <c r="Q503" s="146"/>
      <c r="R503" s="146"/>
      <c r="S503" s="146"/>
      <c r="T503" s="146"/>
      <c r="U503" s="146"/>
      <c r="V503" s="146"/>
      <c r="W503" s="146"/>
      <c r="X503" s="146"/>
      <c r="Y503" s="146"/>
      <c r="Z503" s="146"/>
    </row>
    <row r="504" ht="22.5" customHeight="1">
      <c r="A504" s="308"/>
      <c r="B504" s="305"/>
      <c r="C504" s="305"/>
      <c r="D504" s="305"/>
      <c r="E504" s="305"/>
      <c r="F504" s="305"/>
      <c r="G504" s="307"/>
      <c r="H504" s="146"/>
      <c r="I504" s="146"/>
      <c r="J504" s="146"/>
      <c r="K504" s="146"/>
      <c r="L504" s="146"/>
      <c r="M504" s="146"/>
      <c r="N504" s="146"/>
      <c r="O504" s="146"/>
      <c r="P504" s="146"/>
      <c r="Q504" s="146"/>
      <c r="R504" s="146"/>
      <c r="S504" s="146"/>
      <c r="T504" s="146"/>
      <c r="U504" s="146"/>
      <c r="V504" s="146"/>
      <c r="W504" s="146"/>
      <c r="X504" s="146"/>
      <c r="Y504" s="146"/>
      <c r="Z504" s="146"/>
    </row>
    <row r="505" ht="22.5" customHeight="1">
      <c r="A505" s="308"/>
      <c r="B505" s="305"/>
      <c r="C505" s="305"/>
      <c r="D505" s="305"/>
      <c r="E505" s="305"/>
      <c r="F505" s="305"/>
      <c r="G505" s="307"/>
      <c r="H505" s="146"/>
      <c r="I505" s="146"/>
      <c r="J505" s="146"/>
      <c r="K505" s="146"/>
      <c r="L505" s="146"/>
      <c r="M505" s="146"/>
      <c r="N505" s="146"/>
      <c r="O505" s="146"/>
      <c r="P505" s="146"/>
      <c r="Q505" s="146"/>
      <c r="R505" s="146"/>
      <c r="S505" s="146"/>
      <c r="T505" s="146"/>
      <c r="U505" s="146"/>
      <c r="V505" s="146"/>
      <c r="W505" s="146"/>
      <c r="X505" s="146"/>
      <c r="Y505" s="146"/>
      <c r="Z505" s="146"/>
    </row>
    <row r="506" ht="22.5" customHeight="1">
      <c r="A506" s="308"/>
      <c r="B506" s="305"/>
      <c r="C506" s="305"/>
      <c r="D506" s="305"/>
      <c r="E506" s="305"/>
      <c r="F506" s="305"/>
      <c r="G506" s="307"/>
      <c r="H506" s="146"/>
      <c r="I506" s="146"/>
      <c r="J506" s="146"/>
      <c r="K506" s="146"/>
      <c r="L506" s="146"/>
      <c r="M506" s="146"/>
      <c r="N506" s="146"/>
      <c r="O506" s="146"/>
      <c r="P506" s="146"/>
      <c r="Q506" s="146"/>
      <c r="R506" s="146"/>
      <c r="S506" s="146"/>
      <c r="T506" s="146"/>
      <c r="U506" s="146"/>
      <c r="V506" s="146"/>
      <c r="W506" s="146"/>
      <c r="X506" s="146"/>
      <c r="Y506" s="146"/>
      <c r="Z506" s="146"/>
    </row>
    <row r="507" ht="22.5" customHeight="1">
      <c r="A507" s="308"/>
      <c r="B507" s="305"/>
      <c r="C507" s="305"/>
      <c r="D507" s="305"/>
      <c r="E507" s="305"/>
      <c r="F507" s="305"/>
      <c r="G507" s="307"/>
      <c r="H507" s="146"/>
      <c r="I507" s="146"/>
      <c r="J507" s="146"/>
      <c r="K507" s="146"/>
      <c r="L507" s="146"/>
      <c r="M507" s="146"/>
      <c r="N507" s="146"/>
      <c r="O507" s="146"/>
      <c r="P507" s="146"/>
      <c r="Q507" s="146"/>
      <c r="R507" s="146"/>
      <c r="S507" s="146"/>
      <c r="T507" s="146"/>
      <c r="U507" s="146"/>
      <c r="V507" s="146"/>
      <c r="W507" s="146"/>
      <c r="X507" s="146"/>
      <c r="Y507" s="146"/>
      <c r="Z507" s="146"/>
    </row>
    <row r="508" ht="22.5" customHeight="1">
      <c r="A508" s="308"/>
      <c r="B508" s="305"/>
      <c r="C508" s="305"/>
      <c r="D508" s="305"/>
      <c r="E508" s="305"/>
      <c r="F508" s="305"/>
      <c r="G508" s="307"/>
      <c r="H508" s="146"/>
      <c r="I508" s="146"/>
      <c r="J508" s="146"/>
      <c r="K508" s="146"/>
      <c r="L508" s="146"/>
      <c r="M508" s="146"/>
      <c r="N508" s="146"/>
      <c r="O508" s="146"/>
      <c r="P508" s="146"/>
      <c r="Q508" s="146"/>
      <c r="R508" s="146"/>
      <c r="S508" s="146"/>
      <c r="T508" s="146"/>
      <c r="U508" s="146"/>
      <c r="V508" s="146"/>
      <c r="W508" s="146"/>
      <c r="X508" s="146"/>
      <c r="Y508" s="146"/>
      <c r="Z508" s="146"/>
    </row>
    <row r="509" ht="22.5" customHeight="1">
      <c r="A509" s="308"/>
      <c r="B509" s="305"/>
      <c r="C509" s="305"/>
      <c r="D509" s="305"/>
      <c r="E509" s="305"/>
      <c r="F509" s="305"/>
      <c r="G509" s="307"/>
      <c r="H509" s="146"/>
      <c r="I509" s="146"/>
      <c r="J509" s="146"/>
      <c r="K509" s="146"/>
      <c r="L509" s="146"/>
      <c r="M509" s="146"/>
      <c r="N509" s="146"/>
      <c r="O509" s="146"/>
      <c r="P509" s="146"/>
      <c r="Q509" s="146"/>
      <c r="R509" s="146"/>
      <c r="S509" s="146"/>
      <c r="T509" s="146"/>
      <c r="U509" s="146"/>
      <c r="V509" s="146"/>
      <c r="W509" s="146"/>
      <c r="X509" s="146"/>
      <c r="Y509" s="146"/>
      <c r="Z509" s="146"/>
    </row>
    <row r="510" ht="22.5" customHeight="1">
      <c r="A510" s="308"/>
      <c r="B510" s="305"/>
      <c r="C510" s="305"/>
      <c r="D510" s="305"/>
      <c r="E510" s="305"/>
      <c r="F510" s="305"/>
      <c r="G510" s="307"/>
      <c r="H510" s="146"/>
      <c r="I510" s="146"/>
      <c r="J510" s="146"/>
      <c r="K510" s="146"/>
      <c r="L510" s="146"/>
      <c r="M510" s="146"/>
      <c r="N510" s="146"/>
      <c r="O510" s="146"/>
      <c r="P510" s="146"/>
      <c r="Q510" s="146"/>
      <c r="R510" s="146"/>
      <c r="S510" s="146"/>
      <c r="T510" s="146"/>
      <c r="U510" s="146"/>
      <c r="V510" s="146"/>
      <c r="W510" s="146"/>
      <c r="X510" s="146"/>
      <c r="Y510" s="146"/>
      <c r="Z510" s="146"/>
    </row>
    <row r="511" ht="22.5" customHeight="1">
      <c r="A511" s="308"/>
      <c r="B511" s="305"/>
      <c r="C511" s="305"/>
      <c r="D511" s="305"/>
      <c r="E511" s="305"/>
      <c r="F511" s="305"/>
      <c r="G511" s="307"/>
      <c r="H511" s="146"/>
      <c r="I511" s="146"/>
      <c r="J511" s="146"/>
      <c r="K511" s="146"/>
      <c r="L511" s="146"/>
      <c r="M511" s="146"/>
      <c r="N511" s="146"/>
      <c r="O511" s="146"/>
      <c r="P511" s="146"/>
      <c r="Q511" s="146"/>
      <c r="R511" s="146"/>
      <c r="S511" s="146"/>
      <c r="T511" s="146"/>
      <c r="U511" s="146"/>
      <c r="V511" s="146"/>
      <c r="W511" s="146"/>
      <c r="X511" s="146"/>
      <c r="Y511" s="146"/>
      <c r="Z511" s="146"/>
    </row>
    <row r="512" ht="22.5" customHeight="1">
      <c r="A512" s="308"/>
      <c r="B512" s="305"/>
      <c r="C512" s="305"/>
      <c r="D512" s="305"/>
      <c r="E512" s="305"/>
      <c r="F512" s="305"/>
      <c r="G512" s="307"/>
      <c r="H512" s="146"/>
      <c r="I512" s="146"/>
      <c r="J512" s="146"/>
      <c r="K512" s="146"/>
      <c r="L512" s="146"/>
      <c r="M512" s="146"/>
      <c r="N512" s="146"/>
      <c r="O512" s="146"/>
      <c r="P512" s="146"/>
      <c r="Q512" s="146"/>
      <c r="R512" s="146"/>
      <c r="S512" s="146"/>
      <c r="T512" s="146"/>
      <c r="U512" s="146"/>
      <c r="V512" s="146"/>
      <c r="W512" s="146"/>
      <c r="X512" s="146"/>
      <c r="Y512" s="146"/>
      <c r="Z512" s="146"/>
    </row>
    <row r="513" ht="22.5" customHeight="1">
      <c r="A513" s="308"/>
      <c r="B513" s="305"/>
      <c r="C513" s="305"/>
      <c r="D513" s="305"/>
      <c r="E513" s="305"/>
      <c r="F513" s="305"/>
      <c r="G513" s="307"/>
      <c r="H513" s="146"/>
      <c r="I513" s="146"/>
      <c r="J513" s="146"/>
      <c r="K513" s="146"/>
      <c r="L513" s="146"/>
      <c r="M513" s="146"/>
      <c r="N513" s="146"/>
      <c r="O513" s="146"/>
      <c r="P513" s="146"/>
      <c r="Q513" s="146"/>
      <c r="R513" s="146"/>
      <c r="S513" s="146"/>
      <c r="T513" s="146"/>
      <c r="U513" s="146"/>
      <c r="V513" s="146"/>
      <c r="W513" s="146"/>
      <c r="X513" s="146"/>
      <c r="Y513" s="146"/>
      <c r="Z513" s="146"/>
    </row>
    <row r="514" ht="22.5" customHeight="1">
      <c r="A514" s="308"/>
      <c r="B514" s="305"/>
      <c r="C514" s="305"/>
      <c r="D514" s="305"/>
      <c r="E514" s="305"/>
      <c r="F514" s="305"/>
      <c r="G514" s="307"/>
      <c r="H514" s="146"/>
      <c r="I514" s="146"/>
      <c r="J514" s="146"/>
      <c r="K514" s="146"/>
      <c r="L514" s="146"/>
      <c r="M514" s="146"/>
      <c r="N514" s="146"/>
      <c r="O514" s="146"/>
      <c r="P514" s="146"/>
      <c r="Q514" s="146"/>
      <c r="R514" s="146"/>
      <c r="S514" s="146"/>
      <c r="T514" s="146"/>
      <c r="U514" s="146"/>
      <c r="V514" s="146"/>
      <c r="W514" s="146"/>
      <c r="X514" s="146"/>
      <c r="Y514" s="146"/>
      <c r="Z514" s="146"/>
    </row>
    <row r="515" ht="22.5" customHeight="1">
      <c r="A515" s="308"/>
      <c r="B515" s="305"/>
      <c r="C515" s="305"/>
      <c r="D515" s="305"/>
      <c r="E515" s="305"/>
      <c r="F515" s="305"/>
      <c r="G515" s="307"/>
      <c r="H515" s="146"/>
      <c r="I515" s="146"/>
      <c r="J515" s="146"/>
      <c r="K515" s="146"/>
      <c r="L515" s="146"/>
      <c r="M515" s="146"/>
      <c r="N515" s="146"/>
      <c r="O515" s="146"/>
      <c r="P515" s="146"/>
      <c r="Q515" s="146"/>
      <c r="R515" s="146"/>
      <c r="S515" s="146"/>
      <c r="T515" s="146"/>
      <c r="U515" s="146"/>
      <c r="V515" s="146"/>
      <c r="W515" s="146"/>
      <c r="X515" s="146"/>
      <c r="Y515" s="146"/>
      <c r="Z515" s="146"/>
    </row>
    <row r="516" ht="22.5" customHeight="1">
      <c r="A516" s="308"/>
      <c r="B516" s="305"/>
      <c r="C516" s="305"/>
      <c r="D516" s="305"/>
      <c r="E516" s="305"/>
      <c r="F516" s="305"/>
      <c r="G516" s="307"/>
      <c r="H516" s="146"/>
      <c r="I516" s="146"/>
      <c r="J516" s="146"/>
      <c r="K516" s="146"/>
      <c r="L516" s="146"/>
      <c r="M516" s="146"/>
      <c r="N516" s="146"/>
      <c r="O516" s="146"/>
      <c r="P516" s="146"/>
      <c r="Q516" s="146"/>
      <c r="R516" s="146"/>
      <c r="S516" s="146"/>
      <c r="T516" s="146"/>
      <c r="U516" s="146"/>
      <c r="V516" s="146"/>
      <c r="W516" s="146"/>
      <c r="X516" s="146"/>
      <c r="Y516" s="146"/>
      <c r="Z516" s="146"/>
    </row>
    <row r="517" ht="22.5" customHeight="1">
      <c r="A517" s="308"/>
      <c r="B517" s="305"/>
      <c r="C517" s="305"/>
      <c r="D517" s="305"/>
      <c r="E517" s="305"/>
      <c r="F517" s="305"/>
      <c r="G517" s="307"/>
      <c r="H517" s="146"/>
      <c r="I517" s="146"/>
      <c r="J517" s="146"/>
      <c r="K517" s="146"/>
      <c r="L517" s="146"/>
      <c r="M517" s="146"/>
      <c r="N517" s="146"/>
      <c r="O517" s="146"/>
      <c r="P517" s="146"/>
      <c r="Q517" s="146"/>
      <c r="R517" s="146"/>
      <c r="S517" s="146"/>
      <c r="T517" s="146"/>
      <c r="U517" s="146"/>
      <c r="V517" s="146"/>
      <c r="W517" s="146"/>
      <c r="X517" s="146"/>
      <c r="Y517" s="146"/>
      <c r="Z517" s="146"/>
    </row>
    <row r="518" ht="22.5" customHeight="1">
      <c r="A518" s="308"/>
      <c r="B518" s="305"/>
      <c r="C518" s="305"/>
      <c r="D518" s="305"/>
      <c r="E518" s="305"/>
      <c r="F518" s="305"/>
      <c r="G518" s="307"/>
      <c r="H518" s="146"/>
      <c r="I518" s="146"/>
      <c r="J518" s="146"/>
      <c r="K518" s="146"/>
      <c r="L518" s="146"/>
      <c r="M518" s="146"/>
      <c r="N518" s="146"/>
      <c r="O518" s="146"/>
      <c r="P518" s="146"/>
      <c r="Q518" s="146"/>
      <c r="R518" s="146"/>
      <c r="S518" s="146"/>
      <c r="T518" s="146"/>
      <c r="U518" s="146"/>
      <c r="V518" s="146"/>
      <c r="W518" s="146"/>
      <c r="X518" s="146"/>
      <c r="Y518" s="146"/>
      <c r="Z518" s="146"/>
    </row>
    <row r="519" ht="22.5" customHeight="1">
      <c r="A519" s="308"/>
      <c r="B519" s="305"/>
      <c r="C519" s="305"/>
      <c r="D519" s="305"/>
      <c r="E519" s="305"/>
      <c r="F519" s="305"/>
      <c r="G519" s="307"/>
      <c r="H519" s="146"/>
      <c r="I519" s="146"/>
      <c r="J519" s="146"/>
      <c r="K519" s="146"/>
      <c r="L519" s="146"/>
      <c r="M519" s="146"/>
      <c r="N519" s="146"/>
      <c r="O519" s="146"/>
      <c r="P519" s="146"/>
      <c r="Q519" s="146"/>
      <c r="R519" s="146"/>
      <c r="S519" s="146"/>
      <c r="T519" s="146"/>
      <c r="U519" s="146"/>
      <c r="V519" s="146"/>
      <c r="W519" s="146"/>
      <c r="X519" s="146"/>
      <c r="Y519" s="146"/>
      <c r="Z519" s="146"/>
    </row>
    <row r="520" ht="22.5" customHeight="1">
      <c r="A520" s="308"/>
      <c r="B520" s="305"/>
      <c r="C520" s="305"/>
      <c r="D520" s="305"/>
      <c r="E520" s="305"/>
      <c r="F520" s="305"/>
      <c r="G520" s="307"/>
      <c r="H520" s="146"/>
      <c r="I520" s="146"/>
      <c r="J520" s="146"/>
      <c r="K520" s="146"/>
      <c r="L520" s="146"/>
      <c r="M520" s="146"/>
      <c r="N520" s="146"/>
      <c r="O520" s="146"/>
      <c r="P520" s="146"/>
      <c r="Q520" s="146"/>
      <c r="R520" s="146"/>
      <c r="S520" s="146"/>
      <c r="T520" s="146"/>
      <c r="U520" s="146"/>
      <c r="V520" s="146"/>
      <c r="W520" s="146"/>
      <c r="X520" s="146"/>
      <c r="Y520" s="146"/>
      <c r="Z520" s="146"/>
    </row>
    <row r="521" ht="22.5" customHeight="1">
      <c r="A521" s="308"/>
      <c r="B521" s="305"/>
      <c r="C521" s="305"/>
      <c r="D521" s="305"/>
      <c r="E521" s="305"/>
      <c r="F521" s="305"/>
      <c r="G521" s="307"/>
      <c r="H521" s="146"/>
      <c r="I521" s="146"/>
      <c r="J521" s="146"/>
      <c r="K521" s="146"/>
      <c r="L521" s="146"/>
      <c r="M521" s="146"/>
      <c r="N521" s="146"/>
      <c r="O521" s="146"/>
      <c r="P521" s="146"/>
      <c r="Q521" s="146"/>
      <c r="R521" s="146"/>
      <c r="S521" s="146"/>
      <c r="T521" s="146"/>
      <c r="U521" s="146"/>
      <c r="V521" s="146"/>
      <c r="W521" s="146"/>
      <c r="X521" s="146"/>
      <c r="Y521" s="146"/>
      <c r="Z521" s="146"/>
    </row>
    <row r="522" ht="22.5" customHeight="1">
      <c r="A522" s="308"/>
      <c r="B522" s="305"/>
      <c r="C522" s="305"/>
      <c r="D522" s="305"/>
      <c r="E522" s="305"/>
      <c r="F522" s="305"/>
      <c r="G522" s="307"/>
      <c r="H522" s="146"/>
      <c r="I522" s="146"/>
      <c r="J522" s="146"/>
      <c r="K522" s="146"/>
      <c r="L522" s="146"/>
      <c r="M522" s="146"/>
      <c r="N522" s="146"/>
      <c r="O522" s="146"/>
      <c r="P522" s="146"/>
      <c r="Q522" s="146"/>
      <c r="R522" s="146"/>
      <c r="S522" s="146"/>
      <c r="T522" s="146"/>
      <c r="U522" s="146"/>
      <c r="V522" s="146"/>
      <c r="W522" s="146"/>
      <c r="X522" s="146"/>
      <c r="Y522" s="146"/>
      <c r="Z522" s="146"/>
    </row>
    <row r="523" ht="22.5" customHeight="1">
      <c r="A523" s="308"/>
      <c r="B523" s="305"/>
      <c r="C523" s="305"/>
      <c r="D523" s="305"/>
      <c r="E523" s="305"/>
      <c r="F523" s="305"/>
      <c r="G523" s="307"/>
      <c r="H523" s="146"/>
      <c r="I523" s="146"/>
      <c r="J523" s="146"/>
      <c r="K523" s="146"/>
      <c r="L523" s="146"/>
      <c r="M523" s="146"/>
      <c r="N523" s="146"/>
      <c r="O523" s="146"/>
      <c r="P523" s="146"/>
      <c r="Q523" s="146"/>
      <c r="R523" s="146"/>
      <c r="S523" s="146"/>
      <c r="T523" s="146"/>
      <c r="U523" s="146"/>
      <c r="V523" s="146"/>
      <c r="W523" s="146"/>
      <c r="X523" s="146"/>
      <c r="Y523" s="146"/>
      <c r="Z523" s="146"/>
    </row>
    <row r="524" ht="22.5" customHeight="1">
      <c r="A524" s="308"/>
      <c r="B524" s="305"/>
      <c r="C524" s="305"/>
      <c r="D524" s="305"/>
      <c r="E524" s="305"/>
      <c r="F524" s="305"/>
      <c r="G524" s="307"/>
      <c r="H524" s="146"/>
      <c r="I524" s="146"/>
      <c r="J524" s="146"/>
      <c r="K524" s="146"/>
      <c r="L524" s="146"/>
      <c r="M524" s="146"/>
      <c r="N524" s="146"/>
      <c r="O524" s="146"/>
      <c r="P524" s="146"/>
      <c r="Q524" s="146"/>
      <c r="R524" s="146"/>
      <c r="S524" s="146"/>
      <c r="T524" s="146"/>
      <c r="U524" s="146"/>
      <c r="V524" s="146"/>
      <c r="W524" s="146"/>
      <c r="X524" s="146"/>
      <c r="Y524" s="146"/>
      <c r="Z524" s="146"/>
    </row>
    <row r="525" ht="22.5" customHeight="1">
      <c r="A525" s="308"/>
      <c r="B525" s="305"/>
      <c r="C525" s="305"/>
      <c r="D525" s="305"/>
      <c r="E525" s="305"/>
      <c r="F525" s="305"/>
      <c r="G525" s="307"/>
      <c r="H525" s="146"/>
      <c r="I525" s="146"/>
      <c r="J525" s="146"/>
      <c r="K525" s="146"/>
      <c r="L525" s="146"/>
      <c r="M525" s="146"/>
      <c r="N525" s="146"/>
      <c r="O525" s="146"/>
      <c r="P525" s="146"/>
      <c r="Q525" s="146"/>
      <c r="R525" s="146"/>
      <c r="S525" s="146"/>
      <c r="T525" s="146"/>
      <c r="U525" s="146"/>
      <c r="V525" s="146"/>
      <c r="W525" s="146"/>
      <c r="X525" s="146"/>
      <c r="Y525" s="146"/>
      <c r="Z525" s="146"/>
    </row>
    <row r="526" ht="22.5" customHeight="1">
      <c r="A526" s="308"/>
      <c r="B526" s="305"/>
      <c r="C526" s="305"/>
      <c r="D526" s="305"/>
      <c r="E526" s="305"/>
      <c r="F526" s="305"/>
      <c r="G526" s="307"/>
      <c r="H526" s="146"/>
      <c r="I526" s="146"/>
      <c r="J526" s="146"/>
      <c r="K526" s="146"/>
      <c r="L526" s="146"/>
      <c r="M526" s="146"/>
      <c r="N526" s="146"/>
      <c r="O526" s="146"/>
      <c r="P526" s="146"/>
      <c r="Q526" s="146"/>
      <c r="R526" s="146"/>
      <c r="S526" s="146"/>
      <c r="T526" s="146"/>
      <c r="U526" s="146"/>
      <c r="V526" s="146"/>
      <c r="W526" s="146"/>
      <c r="X526" s="146"/>
      <c r="Y526" s="146"/>
      <c r="Z526" s="146"/>
    </row>
    <row r="527" ht="22.5" customHeight="1">
      <c r="A527" s="308"/>
      <c r="B527" s="305"/>
      <c r="C527" s="305"/>
      <c r="D527" s="305"/>
      <c r="E527" s="305"/>
      <c r="F527" s="305"/>
      <c r="G527" s="307"/>
      <c r="H527" s="146"/>
      <c r="I527" s="146"/>
      <c r="J527" s="146"/>
      <c r="K527" s="146"/>
      <c r="L527" s="146"/>
      <c r="M527" s="146"/>
      <c r="N527" s="146"/>
      <c r="O527" s="146"/>
      <c r="P527" s="146"/>
      <c r="Q527" s="146"/>
      <c r="R527" s="146"/>
      <c r="S527" s="146"/>
      <c r="T527" s="146"/>
      <c r="U527" s="146"/>
      <c r="V527" s="146"/>
      <c r="W527" s="146"/>
      <c r="X527" s="146"/>
      <c r="Y527" s="146"/>
      <c r="Z527" s="146"/>
    </row>
    <row r="528" ht="22.5" customHeight="1">
      <c r="A528" s="308"/>
      <c r="B528" s="305"/>
      <c r="C528" s="305"/>
      <c r="D528" s="305"/>
      <c r="E528" s="305"/>
      <c r="F528" s="305"/>
      <c r="G528" s="307"/>
      <c r="H528" s="146"/>
      <c r="I528" s="146"/>
      <c r="J528" s="146"/>
      <c r="K528" s="146"/>
      <c r="L528" s="146"/>
      <c r="M528" s="146"/>
      <c r="N528" s="146"/>
      <c r="O528" s="146"/>
      <c r="P528" s="146"/>
      <c r="Q528" s="146"/>
      <c r="R528" s="146"/>
      <c r="S528" s="146"/>
      <c r="T528" s="146"/>
      <c r="U528" s="146"/>
      <c r="V528" s="146"/>
      <c r="W528" s="146"/>
      <c r="X528" s="146"/>
      <c r="Y528" s="146"/>
      <c r="Z528" s="146"/>
    </row>
    <row r="529" ht="22.5" customHeight="1">
      <c r="A529" s="308"/>
      <c r="B529" s="305"/>
      <c r="C529" s="305"/>
      <c r="D529" s="305"/>
      <c r="E529" s="305"/>
      <c r="F529" s="305"/>
      <c r="G529" s="307"/>
      <c r="H529" s="146"/>
      <c r="I529" s="146"/>
      <c r="J529" s="146"/>
      <c r="K529" s="146"/>
      <c r="L529" s="146"/>
      <c r="M529" s="146"/>
      <c r="N529" s="146"/>
      <c r="O529" s="146"/>
      <c r="P529" s="146"/>
      <c r="Q529" s="146"/>
      <c r="R529" s="146"/>
      <c r="S529" s="146"/>
      <c r="T529" s="146"/>
      <c r="U529" s="146"/>
      <c r="V529" s="146"/>
      <c r="W529" s="146"/>
      <c r="X529" s="146"/>
      <c r="Y529" s="146"/>
      <c r="Z529" s="146"/>
    </row>
    <row r="530" ht="22.5" customHeight="1">
      <c r="A530" s="308"/>
      <c r="B530" s="305"/>
      <c r="C530" s="305"/>
      <c r="D530" s="305"/>
      <c r="E530" s="305"/>
      <c r="F530" s="305"/>
      <c r="G530" s="307"/>
      <c r="H530" s="146"/>
      <c r="I530" s="146"/>
      <c r="J530" s="146"/>
      <c r="K530" s="146"/>
      <c r="L530" s="146"/>
      <c r="M530" s="146"/>
      <c r="N530" s="146"/>
      <c r="O530" s="146"/>
      <c r="P530" s="146"/>
      <c r="Q530" s="146"/>
      <c r="R530" s="146"/>
      <c r="S530" s="146"/>
      <c r="T530" s="146"/>
      <c r="U530" s="146"/>
      <c r="V530" s="146"/>
      <c r="W530" s="146"/>
      <c r="X530" s="146"/>
      <c r="Y530" s="146"/>
      <c r="Z530" s="146"/>
    </row>
    <row r="531" ht="22.5" customHeight="1">
      <c r="A531" s="308"/>
      <c r="B531" s="305"/>
      <c r="C531" s="305"/>
      <c r="D531" s="305"/>
      <c r="E531" s="305"/>
      <c r="F531" s="305"/>
      <c r="G531" s="307"/>
      <c r="H531" s="146"/>
      <c r="I531" s="146"/>
      <c r="J531" s="146"/>
      <c r="K531" s="146"/>
      <c r="L531" s="146"/>
      <c r="M531" s="146"/>
      <c r="N531" s="146"/>
      <c r="O531" s="146"/>
      <c r="P531" s="146"/>
      <c r="Q531" s="146"/>
      <c r="R531" s="146"/>
      <c r="S531" s="146"/>
      <c r="T531" s="146"/>
      <c r="U531" s="146"/>
      <c r="V531" s="146"/>
      <c r="W531" s="146"/>
      <c r="X531" s="146"/>
      <c r="Y531" s="146"/>
      <c r="Z531" s="146"/>
    </row>
    <row r="532" ht="22.5" customHeight="1">
      <c r="A532" s="308"/>
      <c r="B532" s="305"/>
      <c r="C532" s="305"/>
      <c r="D532" s="305"/>
      <c r="E532" s="305"/>
      <c r="F532" s="305"/>
      <c r="G532" s="307"/>
      <c r="H532" s="146"/>
      <c r="I532" s="146"/>
      <c r="J532" s="146"/>
      <c r="K532" s="146"/>
      <c r="L532" s="146"/>
      <c r="M532" s="146"/>
      <c r="N532" s="146"/>
      <c r="O532" s="146"/>
      <c r="P532" s="146"/>
      <c r="Q532" s="146"/>
      <c r="R532" s="146"/>
      <c r="S532" s="146"/>
      <c r="T532" s="146"/>
      <c r="U532" s="146"/>
      <c r="V532" s="146"/>
      <c r="W532" s="146"/>
      <c r="X532" s="146"/>
      <c r="Y532" s="146"/>
      <c r="Z532" s="146"/>
    </row>
    <row r="533" ht="22.5" customHeight="1">
      <c r="A533" s="308"/>
      <c r="B533" s="305"/>
      <c r="C533" s="305"/>
      <c r="D533" s="305"/>
      <c r="E533" s="305"/>
      <c r="F533" s="305"/>
      <c r="G533" s="307"/>
      <c r="H533" s="146"/>
      <c r="I533" s="146"/>
      <c r="J533" s="146"/>
      <c r="K533" s="146"/>
      <c r="L533" s="146"/>
      <c r="M533" s="146"/>
      <c r="N533" s="146"/>
      <c r="O533" s="146"/>
      <c r="P533" s="146"/>
      <c r="Q533" s="146"/>
      <c r="R533" s="146"/>
      <c r="S533" s="146"/>
      <c r="T533" s="146"/>
      <c r="U533" s="146"/>
      <c r="V533" s="146"/>
      <c r="W533" s="146"/>
      <c r="X533" s="146"/>
      <c r="Y533" s="146"/>
      <c r="Z533" s="146"/>
    </row>
    <row r="534" ht="22.5" customHeight="1">
      <c r="A534" s="308"/>
      <c r="B534" s="305"/>
      <c r="C534" s="305"/>
      <c r="D534" s="305"/>
      <c r="E534" s="305"/>
      <c r="F534" s="305"/>
      <c r="G534" s="307"/>
      <c r="H534" s="146"/>
      <c r="I534" s="146"/>
      <c r="J534" s="146"/>
      <c r="K534" s="146"/>
      <c r="L534" s="146"/>
      <c r="M534" s="146"/>
      <c r="N534" s="146"/>
      <c r="O534" s="146"/>
      <c r="P534" s="146"/>
      <c r="Q534" s="146"/>
      <c r="R534" s="146"/>
      <c r="S534" s="146"/>
      <c r="T534" s="146"/>
      <c r="U534" s="146"/>
      <c r="V534" s="146"/>
      <c r="W534" s="146"/>
      <c r="X534" s="146"/>
      <c r="Y534" s="146"/>
      <c r="Z534" s="146"/>
    </row>
    <row r="535" ht="22.5" customHeight="1">
      <c r="A535" s="308"/>
      <c r="B535" s="305"/>
      <c r="C535" s="305"/>
      <c r="D535" s="305"/>
      <c r="E535" s="305"/>
      <c r="F535" s="305"/>
      <c r="G535" s="307"/>
      <c r="H535" s="146"/>
      <c r="I535" s="146"/>
      <c r="J535" s="146"/>
      <c r="K535" s="146"/>
      <c r="L535" s="146"/>
      <c r="M535" s="146"/>
      <c r="N535" s="146"/>
      <c r="O535" s="146"/>
      <c r="P535" s="146"/>
      <c r="Q535" s="146"/>
      <c r="R535" s="146"/>
      <c r="S535" s="146"/>
      <c r="T535" s="146"/>
      <c r="U535" s="146"/>
      <c r="V535" s="146"/>
      <c r="W535" s="146"/>
      <c r="X535" s="146"/>
      <c r="Y535" s="146"/>
      <c r="Z535" s="146"/>
    </row>
    <row r="536" ht="22.5" customHeight="1">
      <c r="A536" s="308"/>
      <c r="B536" s="305"/>
      <c r="C536" s="305"/>
      <c r="D536" s="305"/>
      <c r="E536" s="305"/>
      <c r="F536" s="305"/>
      <c r="G536" s="307"/>
      <c r="H536" s="146"/>
      <c r="I536" s="146"/>
      <c r="J536" s="146"/>
      <c r="K536" s="146"/>
      <c r="L536" s="146"/>
      <c r="M536" s="146"/>
      <c r="N536" s="146"/>
      <c r="O536" s="146"/>
      <c r="P536" s="146"/>
      <c r="Q536" s="146"/>
      <c r="R536" s="146"/>
      <c r="S536" s="146"/>
      <c r="T536" s="146"/>
      <c r="U536" s="146"/>
      <c r="V536" s="146"/>
      <c r="W536" s="146"/>
      <c r="X536" s="146"/>
      <c r="Y536" s="146"/>
      <c r="Z536" s="146"/>
    </row>
    <row r="537" ht="22.5" customHeight="1">
      <c r="A537" s="308"/>
      <c r="B537" s="305"/>
      <c r="C537" s="305"/>
      <c r="D537" s="305"/>
      <c r="E537" s="305"/>
      <c r="F537" s="305"/>
      <c r="G537" s="307"/>
      <c r="H537" s="146"/>
      <c r="I537" s="146"/>
      <c r="J537" s="146"/>
      <c r="K537" s="146"/>
      <c r="L537" s="146"/>
      <c r="M537" s="146"/>
      <c r="N537" s="146"/>
      <c r="O537" s="146"/>
      <c r="P537" s="146"/>
      <c r="Q537" s="146"/>
      <c r="R537" s="146"/>
      <c r="S537" s="146"/>
      <c r="T537" s="146"/>
      <c r="U537" s="146"/>
      <c r="V537" s="146"/>
      <c r="W537" s="146"/>
      <c r="X537" s="146"/>
      <c r="Y537" s="146"/>
      <c r="Z537" s="146"/>
    </row>
    <row r="538" ht="22.5" customHeight="1">
      <c r="A538" s="308"/>
      <c r="B538" s="305"/>
      <c r="C538" s="305"/>
      <c r="D538" s="305"/>
      <c r="E538" s="305"/>
      <c r="F538" s="305"/>
      <c r="G538" s="307"/>
      <c r="H538" s="146"/>
      <c r="I538" s="146"/>
      <c r="J538" s="146"/>
      <c r="K538" s="146"/>
      <c r="L538" s="146"/>
      <c r="M538" s="146"/>
      <c r="N538" s="146"/>
      <c r="O538" s="146"/>
      <c r="P538" s="146"/>
      <c r="Q538" s="146"/>
      <c r="R538" s="146"/>
      <c r="S538" s="146"/>
      <c r="T538" s="146"/>
      <c r="U538" s="146"/>
      <c r="V538" s="146"/>
      <c r="W538" s="146"/>
      <c r="X538" s="146"/>
      <c r="Y538" s="146"/>
      <c r="Z538" s="146"/>
    </row>
    <row r="539" ht="22.5" customHeight="1">
      <c r="A539" s="308"/>
      <c r="B539" s="305"/>
      <c r="C539" s="305"/>
      <c r="D539" s="305"/>
      <c r="E539" s="305"/>
      <c r="F539" s="305"/>
      <c r="G539" s="307"/>
      <c r="H539" s="146"/>
      <c r="I539" s="146"/>
      <c r="J539" s="146"/>
      <c r="K539" s="146"/>
      <c r="L539" s="146"/>
      <c r="M539" s="146"/>
      <c r="N539" s="146"/>
      <c r="O539" s="146"/>
      <c r="P539" s="146"/>
      <c r="Q539" s="146"/>
      <c r="R539" s="146"/>
      <c r="S539" s="146"/>
      <c r="T539" s="146"/>
      <c r="U539" s="146"/>
      <c r="V539" s="146"/>
      <c r="W539" s="146"/>
      <c r="X539" s="146"/>
      <c r="Y539" s="146"/>
      <c r="Z539" s="146"/>
    </row>
    <row r="540" ht="22.5" customHeight="1">
      <c r="A540" s="308"/>
      <c r="B540" s="305"/>
      <c r="C540" s="305"/>
      <c r="D540" s="305"/>
      <c r="E540" s="305"/>
      <c r="F540" s="305"/>
      <c r="G540" s="307"/>
      <c r="H540" s="146"/>
      <c r="I540" s="146"/>
      <c r="J540" s="146"/>
      <c r="K540" s="146"/>
      <c r="L540" s="146"/>
      <c r="M540" s="146"/>
      <c r="N540" s="146"/>
      <c r="O540" s="146"/>
      <c r="P540" s="146"/>
      <c r="Q540" s="146"/>
      <c r="R540" s="146"/>
      <c r="S540" s="146"/>
      <c r="T540" s="146"/>
      <c r="U540" s="146"/>
      <c r="V540" s="146"/>
      <c r="W540" s="146"/>
      <c r="X540" s="146"/>
      <c r="Y540" s="146"/>
      <c r="Z540" s="146"/>
    </row>
    <row r="541" ht="22.5" customHeight="1">
      <c r="A541" s="308"/>
      <c r="B541" s="305"/>
      <c r="C541" s="305"/>
      <c r="D541" s="305"/>
      <c r="E541" s="305"/>
      <c r="F541" s="305"/>
      <c r="G541" s="307"/>
      <c r="H541" s="146"/>
      <c r="I541" s="146"/>
      <c r="J541" s="146"/>
      <c r="K541" s="146"/>
      <c r="L541" s="146"/>
      <c r="M541" s="146"/>
      <c r="N541" s="146"/>
      <c r="O541" s="146"/>
      <c r="P541" s="146"/>
      <c r="Q541" s="146"/>
      <c r="R541" s="146"/>
      <c r="S541" s="146"/>
      <c r="T541" s="146"/>
      <c r="U541" s="146"/>
      <c r="V541" s="146"/>
      <c r="W541" s="146"/>
      <c r="X541" s="146"/>
      <c r="Y541" s="146"/>
      <c r="Z541" s="146"/>
    </row>
    <row r="542" ht="22.5" customHeight="1">
      <c r="A542" s="308"/>
      <c r="B542" s="305"/>
      <c r="C542" s="305"/>
      <c r="D542" s="305"/>
      <c r="E542" s="305"/>
      <c r="F542" s="305"/>
      <c r="G542" s="307"/>
      <c r="H542" s="146"/>
      <c r="I542" s="146"/>
      <c r="J542" s="146"/>
      <c r="K542" s="146"/>
      <c r="L542" s="146"/>
      <c r="M542" s="146"/>
      <c r="N542" s="146"/>
      <c r="O542" s="146"/>
      <c r="P542" s="146"/>
      <c r="Q542" s="146"/>
      <c r="R542" s="146"/>
      <c r="S542" s="146"/>
      <c r="T542" s="146"/>
      <c r="U542" s="146"/>
      <c r="V542" s="146"/>
      <c r="W542" s="146"/>
      <c r="X542" s="146"/>
      <c r="Y542" s="146"/>
      <c r="Z542" s="146"/>
    </row>
    <row r="543" ht="22.5" customHeight="1">
      <c r="A543" s="308"/>
      <c r="B543" s="305"/>
      <c r="C543" s="305"/>
      <c r="D543" s="305"/>
      <c r="E543" s="305"/>
      <c r="F543" s="305"/>
      <c r="G543" s="307"/>
      <c r="H543" s="146"/>
      <c r="I543" s="146"/>
      <c r="J543" s="146"/>
      <c r="K543" s="146"/>
      <c r="L543" s="146"/>
      <c r="M543" s="146"/>
      <c r="N543" s="146"/>
      <c r="O543" s="146"/>
      <c r="P543" s="146"/>
      <c r="Q543" s="146"/>
      <c r="R543" s="146"/>
      <c r="S543" s="146"/>
      <c r="T543" s="146"/>
      <c r="U543" s="146"/>
      <c r="V543" s="146"/>
      <c r="W543" s="146"/>
      <c r="X543" s="146"/>
      <c r="Y543" s="146"/>
      <c r="Z543" s="146"/>
    </row>
    <row r="544" ht="22.5" customHeight="1">
      <c r="A544" s="308"/>
      <c r="B544" s="305"/>
      <c r="C544" s="305"/>
      <c r="D544" s="305"/>
      <c r="E544" s="305"/>
      <c r="F544" s="305"/>
      <c r="G544" s="307"/>
      <c r="H544" s="146"/>
      <c r="I544" s="146"/>
      <c r="J544" s="146"/>
      <c r="K544" s="146"/>
      <c r="L544" s="146"/>
      <c r="M544" s="146"/>
      <c r="N544" s="146"/>
      <c r="O544" s="146"/>
      <c r="P544" s="146"/>
      <c r="Q544" s="146"/>
      <c r="R544" s="146"/>
      <c r="S544" s="146"/>
      <c r="T544" s="146"/>
      <c r="U544" s="146"/>
      <c r="V544" s="146"/>
      <c r="W544" s="146"/>
      <c r="X544" s="146"/>
      <c r="Y544" s="146"/>
      <c r="Z544" s="146"/>
    </row>
    <row r="545" ht="22.5" customHeight="1">
      <c r="A545" s="308"/>
      <c r="B545" s="305"/>
      <c r="C545" s="305"/>
      <c r="D545" s="305"/>
      <c r="E545" s="305"/>
      <c r="F545" s="305"/>
      <c r="G545" s="307"/>
      <c r="H545" s="146"/>
      <c r="I545" s="146"/>
      <c r="J545" s="146"/>
      <c r="K545" s="146"/>
      <c r="L545" s="146"/>
      <c r="M545" s="146"/>
      <c r="N545" s="146"/>
      <c r="O545" s="146"/>
      <c r="P545" s="146"/>
      <c r="Q545" s="146"/>
      <c r="R545" s="146"/>
      <c r="S545" s="146"/>
      <c r="T545" s="146"/>
      <c r="U545" s="146"/>
      <c r="V545" s="146"/>
      <c r="W545" s="146"/>
      <c r="X545" s="146"/>
      <c r="Y545" s="146"/>
      <c r="Z545" s="146"/>
    </row>
    <row r="546" ht="22.5" customHeight="1">
      <c r="A546" s="308"/>
      <c r="B546" s="305"/>
      <c r="C546" s="305"/>
      <c r="D546" s="305"/>
      <c r="E546" s="305"/>
      <c r="F546" s="305"/>
      <c r="G546" s="307"/>
      <c r="H546" s="146"/>
      <c r="I546" s="146"/>
      <c r="J546" s="146"/>
      <c r="K546" s="146"/>
      <c r="L546" s="146"/>
      <c r="M546" s="146"/>
      <c r="N546" s="146"/>
      <c r="O546" s="146"/>
      <c r="P546" s="146"/>
      <c r="Q546" s="146"/>
      <c r="R546" s="146"/>
      <c r="S546" s="146"/>
      <c r="T546" s="146"/>
      <c r="U546" s="146"/>
      <c r="V546" s="146"/>
      <c r="W546" s="146"/>
      <c r="X546" s="146"/>
      <c r="Y546" s="146"/>
      <c r="Z546" s="146"/>
    </row>
    <row r="547" ht="22.5" customHeight="1">
      <c r="A547" s="308"/>
      <c r="B547" s="305"/>
      <c r="C547" s="305"/>
      <c r="D547" s="305"/>
      <c r="E547" s="305"/>
      <c r="F547" s="305"/>
      <c r="G547" s="307"/>
      <c r="H547" s="146"/>
      <c r="I547" s="146"/>
      <c r="J547" s="146"/>
      <c r="K547" s="146"/>
      <c r="L547" s="146"/>
      <c r="M547" s="146"/>
      <c r="N547" s="146"/>
      <c r="O547" s="146"/>
      <c r="P547" s="146"/>
      <c r="Q547" s="146"/>
      <c r="R547" s="146"/>
      <c r="S547" s="146"/>
      <c r="T547" s="146"/>
      <c r="U547" s="146"/>
      <c r="V547" s="146"/>
      <c r="W547" s="146"/>
      <c r="X547" s="146"/>
      <c r="Y547" s="146"/>
      <c r="Z547" s="146"/>
    </row>
    <row r="548" ht="22.5" customHeight="1">
      <c r="A548" s="308"/>
      <c r="B548" s="305"/>
      <c r="C548" s="305"/>
      <c r="D548" s="305"/>
      <c r="E548" s="305"/>
      <c r="F548" s="305"/>
      <c r="G548" s="307"/>
      <c r="H548" s="146"/>
      <c r="I548" s="146"/>
      <c r="J548" s="146"/>
      <c r="K548" s="146"/>
      <c r="L548" s="146"/>
      <c r="M548" s="146"/>
      <c r="N548" s="146"/>
      <c r="O548" s="146"/>
      <c r="P548" s="146"/>
      <c r="Q548" s="146"/>
      <c r="R548" s="146"/>
      <c r="S548" s="146"/>
      <c r="T548" s="146"/>
      <c r="U548" s="146"/>
      <c r="V548" s="146"/>
      <c r="W548" s="146"/>
      <c r="X548" s="146"/>
      <c r="Y548" s="146"/>
      <c r="Z548" s="146"/>
    </row>
    <row r="549" ht="22.5" customHeight="1">
      <c r="A549" s="308"/>
      <c r="B549" s="305"/>
      <c r="C549" s="305"/>
      <c r="D549" s="305"/>
      <c r="E549" s="305"/>
      <c r="F549" s="305"/>
      <c r="G549" s="307"/>
      <c r="H549" s="146"/>
      <c r="I549" s="146"/>
      <c r="J549" s="146"/>
      <c r="K549" s="146"/>
      <c r="L549" s="146"/>
      <c r="M549" s="146"/>
      <c r="N549" s="146"/>
      <c r="O549" s="146"/>
      <c r="P549" s="146"/>
      <c r="Q549" s="146"/>
      <c r="R549" s="146"/>
      <c r="S549" s="146"/>
      <c r="T549" s="146"/>
      <c r="U549" s="146"/>
      <c r="V549" s="146"/>
      <c r="W549" s="146"/>
      <c r="X549" s="146"/>
      <c r="Y549" s="146"/>
      <c r="Z549" s="146"/>
    </row>
    <row r="550" ht="22.5" customHeight="1">
      <c r="A550" s="308"/>
      <c r="B550" s="305"/>
      <c r="C550" s="305"/>
      <c r="D550" s="305"/>
      <c r="E550" s="305"/>
      <c r="F550" s="305"/>
      <c r="G550" s="307"/>
      <c r="H550" s="146"/>
      <c r="I550" s="146"/>
      <c r="J550" s="146"/>
      <c r="K550" s="146"/>
      <c r="L550" s="146"/>
      <c r="M550" s="146"/>
      <c r="N550" s="146"/>
      <c r="O550" s="146"/>
      <c r="P550" s="146"/>
      <c r="Q550" s="146"/>
      <c r="R550" s="146"/>
      <c r="S550" s="146"/>
      <c r="T550" s="146"/>
      <c r="U550" s="146"/>
      <c r="V550" s="146"/>
      <c r="W550" s="146"/>
      <c r="X550" s="146"/>
      <c r="Y550" s="146"/>
      <c r="Z550" s="146"/>
    </row>
    <row r="551" ht="22.5" customHeight="1">
      <c r="A551" s="308"/>
      <c r="B551" s="305"/>
      <c r="C551" s="305"/>
      <c r="D551" s="305"/>
      <c r="E551" s="305"/>
      <c r="F551" s="305"/>
      <c r="G551" s="307"/>
      <c r="H551" s="146"/>
      <c r="I551" s="146"/>
      <c r="J551" s="146"/>
      <c r="K551" s="146"/>
      <c r="L551" s="146"/>
      <c r="M551" s="146"/>
      <c r="N551" s="146"/>
      <c r="O551" s="146"/>
      <c r="P551" s="146"/>
      <c r="Q551" s="146"/>
      <c r="R551" s="146"/>
      <c r="S551" s="146"/>
      <c r="T551" s="146"/>
      <c r="U551" s="146"/>
      <c r="V551" s="146"/>
      <c r="W551" s="146"/>
      <c r="X551" s="146"/>
      <c r="Y551" s="146"/>
      <c r="Z551" s="146"/>
    </row>
    <row r="552" ht="22.5" customHeight="1">
      <c r="A552" s="308"/>
      <c r="B552" s="305"/>
      <c r="C552" s="305"/>
      <c r="D552" s="305"/>
      <c r="E552" s="305"/>
      <c r="F552" s="305"/>
      <c r="G552" s="307"/>
      <c r="H552" s="146"/>
      <c r="I552" s="146"/>
      <c r="J552" s="146"/>
      <c r="K552" s="146"/>
      <c r="L552" s="146"/>
      <c r="M552" s="146"/>
      <c r="N552" s="146"/>
      <c r="O552" s="146"/>
      <c r="P552" s="146"/>
      <c r="Q552" s="146"/>
      <c r="R552" s="146"/>
      <c r="S552" s="146"/>
      <c r="T552" s="146"/>
      <c r="U552" s="146"/>
      <c r="V552" s="146"/>
      <c r="W552" s="146"/>
      <c r="X552" s="146"/>
      <c r="Y552" s="146"/>
      <c r="Z552" s="146"/>
    </row>
    <row r="553" ht="22.5" customHeight="1">
      <c r="A553" s="308"/>
      <c r="B553" s="305"/>
      <c r="C553" s="305"/>
      <c r="D553" s="305"/>
      <c r="E553" s="305"/>
      <c r="F553" s="305"/>
      <c r="G553" s="307"/>
      <c r="H553" s="146"/>
      <c r="I553" s="146"/>
      <c r="J553" s="146"/>
      <c r="K553" s="146"/>
      <c r="L553" s="146"/>
      <c r="M553" s="146"/>
      <c r="N553" s="146"/>
      <c r="O553" s="146"/>
      <c r="P553" s="146"/>
      <c r="Q553" s="146"/>
      <c r="R553" s="146"/>
      <c r="S553" s="146"/>
      <c r="T553" s="146"/>
      <c r="U553" s="146"/>
      <c r="V553" s="146"/>
      <c r="W553" s="146"/>
      <c r="X553" s="146"/>
      <c r="Y553" s="146"/>
      <c r="Z553" s="146"/>
    </row>
    <row r="554" ht="22.5" customHeight="1">
      <c r="A554" s="308"/>
      <c r="B554" s="305"/>
      <c r="C554" s="305"/>
      <c r="D554" s="305"/>
      <c r="E554" s="305"/>
      <c r="F554" s="305"/>
      <c r="G554" s="307"/>
      <c r="H554" s="146"/>
      <c r="I554" s="146"/>
      <c r="J554" s="146"/>
      <c r="K554" s="146"/>
      <c r="L554" s="146"/>
      <c r="M554" s="146"/>
      <c r="N554" s="146"/>
      <c r="O554" s="146"/>
      <c r="P554" s="146"/>
      <c r="Q554" s="146"/>
      <c r="R554" s="146"/>
      <c r="S554" s="146"/>
      <c r="T554" s="146"/>
      <c r="U554" s="146"/>
      <c r="V554" s="146"/>
      <c r="W554" s="146"/>
      <c r="X554" s="146"/>
      <c r="Y554" s="146"/>
      <c r="Z554" s="146"/>
    </row>
    <row r="555" ht="22.5" customHeight="1">
      <c r="A555" s="308"/>
      <c r="B555" s="305"/>
      <c r="C555" s="305"/>
      <c r="D555" s="305"/>
      <c r="E555" s="305"/>
      <c r="F555" s="305"/>
      <c r="G555" s="307"/>
      <c r="H555" s="146"/>
      <c r="I555" s="146"/>
      <c r="J555" s="146"/>
      <c r="K555" s="146"/>
      <c r="L555" s="146"/>
      <c r="M555" s="146"/>
      <c r="N555" s="146"/>
      <c r="O555" s="146"/>
      <c r="P555" s="146"/>
      <c r="Q555" s="146"/>
      <c r="R555" s="146"/>
      <c r="S555" s="146"/>
      <c r="T555" s="146"/>
      <c r="U555" s="146"/>
      <c r="V555" s="146"/>
      <c r="W555" s="146"/>
      <c r="X555" s="146"/>
      <c r="Y555" s="146"/>
      <c r="Z555" s="146"/>
    </row>
    <row r="556" ht="22.5" customHeight="1">
      <c r="A556" s="308"/>
      <c r="B556" s="305"/>
      <c r="C556" s="305"/>
      <c r="D556" s="305"/>
      <c r="E556" s="305"/>
      <c r="F556" s="305"/>
      <c r="G556" s="307"/>
      <c r="H556" s="146"/>
      <c r="I556" s="146"/>
      <c r="J556" s="146"/>
      <c r="K556" s="146"/>
      <c r="L556" s="146"/>
      <c r="M556" s="146"/>
      <c r="N556" s="146"/>
      <c r="O556" s="146"/>
      <c r="P556" s="146"/>
      <c r="Q556" s="146"/>
      <c r="R556" s="146"/>
      <c r="S556" s="146"/>
      <c r="T556" s="146"/>
      <c r="U556" s="146"/>
      <c r="V556" s="146"/>
      <c r="W556" s="146"/>
      <c r="X556" s="146"/>
      <c r="Y556" s="146"/>
      <c r="Z556" s="146"/>
    </row>
    <row r="557" ht="22.5" customHeight="1">
      <c r="A557" s="308"/>
      <c r="B557" s="305"/>
      <c r="C557" s="305"/>
      <c r="D557" s="305"/>
      <c r="E557" s="305"/>
      <c r="F557" s="305"/>
      <c r="G557" s="307"/>
      <c r="H557" s="146"/>
      <c r="I557" s="146"/>
      <c r="J557" s="146"/>
      <c r="K557" s="146"/>
      <c r="L557" s="146"/>
      <c r="M557" s="146"/>
      <c r="N557" s="146"/>
      <c r="O557" s="146"/>
      <c r="P557" s="146"/>
      <c r="Q557" s="146"/>
      <c r="R557" s="146"/>
      <c r="S557" s="146"/>
      <c r="T557" s="146"/>
      <c r="U557" s="146"/>
      <c r="V557" s="146"/>
      <c r="W557" s="146"/>
      <c r="X557" s="146"/>
      <c r="Y557" s="146"/>
      <c r="Z557" s="146"/>
    </row>
    <row r="558" ht="22.5" customHeight="1">
      <c r="A558" s="308"/>
      <c r="B558" s="305"/>
      <c r="C558" s="305"/>
      <c r="D558" s="305"/>
      <c r="E558" s="305"/>
      <c r="F558" s="305"/>
      <c r="G558" s="307"/>
      <c r="H558" s="146"/>
      <c r="I558" s="146"/>
      <c r="J558" s="146"/>
      <c r="K558" s="146"/>
      <c r="L558" s="146"/>
      <c r="M558" s="146"/>
      <c r="N558" s="146"/>
      <c r="O558" s="146"/>
      <c r="P558" s="146"/>
      <c r="Q558" s="146"/>
      <c r="R558" s="146"/>
      <c r="S558" s="146"/>
      <c r="T558" s="146"/>
      <c r="U558" s="146"/>
      <c r="V558" s="146"/>
      <c r="W558" s="146"/>
      <c r="X558" s="146"/>
      <c r="Y558" s="146"/>
      <c r="Z558" s="146"/>
    </row>
    <row r="559" ht="22.5" customHeight="1">
      <c r="A559" s="308"/>
      <c r="B559" s="305"/>
      <c r="C559" s="305"/>
      <c r="D559" s="305"/>
      <c r="E559" s="305"/>
      <c r="F559" s="305"/>
      <c r="G559" s="307"/>
      <c r="H559" s="146"/>
      <c r="I559" s="146"/>
      <c r="J559" s="146"/>
      <c r="K559" s="146"/>
      <c r="L559" s="146"/>
      <c r="M559" s="146"/>
      <c r="N559" s="146"/>
      <c r="O559" s="146"/>
      <c r="P559" s="146"/>
      <c r="Q559" s="146"/>
      <c r="R559" s="146"/>
      <c r="S559" s="146"/>
      <c r="T559" s="146"/>
      <c r="U559" s="146"/>
      <c r="V559" s="146"/>
      <c r="W559" s="146"/>
      <c r="X559" s="146"/>
      <c r="Y559" s="146"/>
      <c r="Z559" s="146"/>
    </row>
    <row r="560" ht="22.5" customHeight="1">
      <c r="A560" s="308"/>
      <c r="B560" s="305"/>
      <c r="C560" s="305"/>
      <c r="D560" s="305"/>
      <c r="E560" s="305"/>
      <c r="F560" s="305"/>
      <c r="G560" s="307"/>
      <c r="H560" s="146"/>
      <c r="I560" s="146"/>
      <c r="J560" s="146"/>
      <c r="K560" s="146"/>
      <c r="L560" s="146"/>
      <c r="M560" s="146"/>
      <c r="N560" s="146"/>
      <c r="O560" s="146"/>
      <c r="P560" s="146"/>
      <c r="Q560" s="146"/>
      <c r="R560" s="146"/>
      <c r="S560" s="146"/>
      <c r="T560" s="146"/>
      <c r="U560" s="146"/>
      <c r="V560" s="146"/>
      <c r="W560" s="146"/>
      <c r="X560" s="146"/>
      <c r="Y560" s="146"/>
      <c r="Z560" s="146"/>
    </row>
    <row r="561" ht="22.5" customHeight="1">
      <c r="A561" s="308"/>
      <c r="B561" s="305"/>
      <c r="C561" s="305"/>
      <c r="D561" s="305"/>
      <c r="E561" s="305"/>
      <c r="F561" s="305"/>
      <c r="G561" s="307"/>
      <c r="H561" s="146"/>
      <c r="I561" s="146"/>
      <c r="J561" s="146"/>
      <c r="K561" s="146"/>
      <c r="L561" s="146"/>
      <c r="M561" s="146"/>
      <c r="N561" s="146"/>
      <c r="O561" s="146"/>
      <c r="P561" s="146"/>
      <c r="Q561" s="146"/>
      <c r="R561" s="146"/>
      <c r="S561" s="146"/>
      <c r="T561" s="146"/>
      <c r="U561" s="146"/>
      <c r="V561" s="146"/>
      <c r="W561" s="146"/>
      <c r="X561" s="146"/>
      <c r="Y561" s="146"/>
      <c r="Z561" s="146"/>
    </row>
    <row r="562" ht="22.5" customHeight="1">
      <c r="A562" s="308"/>
      <c r="B562" s="305"/>
      <c r="C562" s="305"/>
      <c r="D562" s="305"/>
      <c r="E562" s="305"/>
      <c r="F562" s="305"/>
      <c r="G562" s="307"/>
      <c r="H562" s="146"/>
      <c r="I562" s="146"/>
      <c r="J562" s="146"/>
      <c r="K562" s="146"/>
      <c r="L562" s="146"/>
      <c r="M562" s="146"/>
      <c r="N562" s="146"/>
      <c r="O562" s="146"/>
      <c r="P562" s="146"/>
      <c r="Q562" s="146"/>
      <c r="R562" s="146"/>
      <c r="S562" s="146"/>
      <c r="T562" s="146"/>
      <c r="U562" s="146"/>
      <c r="V562" s="146"/>
      <c r="W562" s="146"/>
      <c r="X562" s="146"/>
      <c r="Y562" s="146"/>
      <c r="Z562" s="146"/>
    </row>
    <row r="563" ht="22.5" customHeight="1">
      <c r="A563" s="308"/>
      <c r="B563" s="305"/>
      <c r="C563" s="305"/>
      <c r="D563" s="305"/>
      <c r="E563" s="305"/>
      <c r="F563" s="305"/>
      <c r="G563" s="307"/>
      <c r="H563" s="146"/>
      <c r="I563" s="146"/>
      <c r="J563" s="146"/>
      <c r="K563" s="146"/>
      <c r="L563" s="146"/>
      <c r="M563" s="146"/>
      <c r="N563" s="146"/>
      <c r="O563" s="146"/>
      <c r="P563" s="146"/>
      <c r="Q563" s="146"/>
      <c r="R563" s="146"/>
      <c r="S563" s="146"/>
      <c r="T563" s="146"/>
      <c r="U563" s="146"/>
      <c r="V563" s="146"/>
      <c r="W563" s="146"/>
      <c r="X563" s="146"/>
      <c r="Y563" s="146"/>
      <c r="Z563" s="146"/>
    </row>
    <row r="564" ht="22.5" customHeight="1">
      <c r="A564" s="308"/>
      <c r="B564" s="305"/>
      <c r="C564" s="305"/>
      <c r="D564" s="305"/>
      <c r="E564" s="305"/>
      <c r="F564" s="305"/>
      <c r="G564" s="307"/>
      <c r="H564" s="146"/>
      <c r="I564" s="146"/>
      <c r="J564" s="146"/>
      <c r="K564" s="146"/>
      <c r="L564" s="146"/>
      <c r="M564" s="146"/>
      <c r="N564" s="146"/>
      <c r="O564" s="146"/>
      <c r="P564" s="146"/>
      <c r="Q564" s="146"/>
      <c r="R564" s="146"/>
      <c r="S564" s="146"/>
      <c r="T564" s="146"/>
      <c r="U564" s="146"/>
      <c r="V564" s="146"/>
      <c r="W564" s="146"/>
      <c r="X564" s="146"/>
      <c r="Y564" s="146"/>
      <c r="Z564" s="146"/>
    </row>
    <row r="565" ht="22.5" customHeight="1">
      <c r="A565" s="308"/>
      <c r="B565" s="305"/>
      <c r="C565" s="305"/>
      <c r="D565" s="305"/>
      <c r="E565" s="305"/>
      <c r="F565" s="305"/>
      <c r="G565" s="307"/>
      <c r="H565" s="146"/>
      <c r="I565" s="146"/>
      <c r="J565" s="146"/>
      <c r="K565" s="146"/>
      <c r="L565" s="146"/>
      <c r="M565" s="146"/>
      <c r="N565" s="146"/>
      <c r="O565" s="146"/>
      <c r="P565" s="146"/>
      <c r="Q565" s="146"/>
      <c r="R565" s="146"/>
      <c r="S565" s="146"/>
      <c r="T565" s="146"/>
      <c r="U565" s="146"/>
      <c r="V565" s="146"/>
      <c r="W565" s="146"/>
      <c r="X565" s="146"/>
      <c r="Y565" s="146"/>
      <c r="Z565" s="146"/>
    </row>
    <row r="566" ht="22.5" customHeight="1">
      <c r="A566" s="308"/>
      <c r="B566" s="305"/>
      <c r="C566" s="305"/>
      <c r="D566" s="305"/>
      <c r="E566" s="305"/>
      <c r="F566" s="305"/>
      <c r="G566" s="307"/>
      <c r="H566" s="146"/>
      <c r="I566" s="146"/>
      <c r="J566" s="146"/>
      <c r="K566" s="146"/>
      <c r="L566" s="146"/>
      <c r="M566" s="146"/>
      <c r="N566" s="146"/>
      <c r="O566" s="146"/>
      <c r="P566" s="146"/>
      <c r="Q566" s="146"/>
      <c r="R566" s="146"/>
      <c r="S566" s="146"/>
      <c r="T566" s="146"/>
      <c r="U566" s="146"/>
      <c r="V566" s="146"/>
      <c r="W566" s="146"/>
      <c r="X566" s="146"/>
      <c r="Y566" s="146"/>
      <c r="Z566" s="146"/>
    </row>
    <row r="567" ht="22.5" customHeight="1">
      <c r="A567" s="308"/>
      <c r="B567" s="305"/>
      <c r="C567" s="305"/>
      <c r="D567" s="305"/>
      <c r="E567" s="305"/>
      <c r="F567" s="305"/>
      <c r="G567" s="307"/>
      <c r="H567" s="146"/>
      <c r="I567" s="146"/>
      <c r="J567" s="146"/>
      <c r="K567" s="146"/>
      <c r="L567" s="146"/>
      <c r="M567" s="146"/>
      <c r="N567" s="146"/>
      <c r="O567" s="146"/>
      <c r="P567" s="146"/>
      <c r="Q567" s="146"/>
      <c r="R567" s="146"/>
      <c r="S567" s="146"/>
      <c r="T567" s="146"/>
      <c r="U567" s="146"/>
      <c r="V567" s="146"/>
      <c r="W567" s="146"/>
      <c r="X567" s="146"/>
      <c r="Y567" s="146"/>
      <c r="Z567" s="146"/>
    </row>
    <row r="568" ht="22.5" customHeight="1">
      <c r="A568" s="308"/>
      <c r="B568" s="305"/>
      <c r="C568" s="305"/>
      <c r="D568" s="305"/>
      <c r="E568" s="305"/>
      <c r="F568" s="305"/>
      <c r="G568" s="307"/>
      <c r="H568" s="146"/>
      <c r="I568" s="146"/>
      <c r="J568" s="146"/>
      <c r="K568" s="146"/>
      <c r="L568" s="146"/>
      <c r="M568" s="146"/>
      <c r="N568" s="146"/>
      <c r="O568" s="146"/>
      <c r="P568" s="146"/>
      <c r="Q568" s="146"/>
      <c r="R568" s="146"/>
      <c r="S568" s="146"/>
      <c r="T568" s="146"/>
      <c r="U568" s="146"/>
      <c r="V568" s="146"/>
      <c r="W568" s="146"/>
      <c r="X568" s="146"/>
      <c r="Y568" s="146"/>
      <c r="Z568" s="146"/>
    </row>
    <row r="569" ht="22.5" customHeight="1">
      <c r="A569" s="308"/>
      <c r="B569" s="305"/>
      <c r="C569" s="305"/>
      <c r="D569" s="305"/>
      <c r="E569" s="305"/>
      <c r="F569" s="305"/>
      <c r="G569" s="307"/>
      <c r="H569" s="146"/>
      <c r="I569" s="146"/>
      <c r="J569" s="146"/>
      <c r="K569" s="146"/>
      <c r="L569" s="146"/>
      <c r="M569" s="146"/>
      <c r="N569" s="146"/>
      <c r="O569" s="146"/>
      <c r="P569" s="146"/>
      <c r="Q569" s="146"/>
      <c r="R569" s="146"/>
      <c r="S569" s="146"/>
      <c r="T569" s="146"/>
      <c r="U569" s="146"/>
      <c r="V569" s="146"/>
      <c r="W569" s="146"/>
      <c r="X569" s="146"/>
      <c r="Y569" s="146"/>
      <c r="Z569" s="146"/>
    </row>
    <row r="570" ht="22.5" customHeight="1">
      <c r="A570" s="308"/>
      <c r="B570" s="305"/>
      <c r="C570" s="305"/>
      <c r="D570" s="305"/>
      <c r="E570" s="305"/>
      <c r="F570" s="305"/>
      <c r="G570" s="307"/>
      <c r="H570" s="146"/>
      <c r="I570" s="146"/>
      <c r="J570" s="146"/>
      <c r="K570" s="146"/>
      <c r="L570" s="146"/>
      <c r="M570" s="146"/>
      <c r="N570" s="146"/>
      <c r="O570" s="146"/>
      <c r="P570" s="146"/>
      <c r="Q570" s="146"/>
      <c r="R570" s="146"/>
      <c r="S570" s="146"/>
      <c r="T570" s="146"/>
      <c r="U570" s="146"/>
      <c r="V570" s="146"/>
      <c r="W570" s="146"/>
      <c r="X570" s="146"/>
      <c r="Y570" s="146"/>
      <c r="Z570" s="146"/>
    </row>
    <row r="571" ht="22.5" customHeight="1">
      <c r="A571" s="308"/>
      <c r="B571" s="305"/>
      <c r="C571" s="305"/>
      <c r="D571" s="305"/>
      <c r="E571" s="305"/>
      <c r="F571" s="305"/>
      <c r="G571" s="307"/>
      <c r="H571" s="146"/>
      <c r="I571" s="146"/>
      <c r="J571" s="146"/>
      <c r="K571" s="146"/>
      <c r="L571" s="146"/>
      <c r="M571" s="146"/>
      <c r="N571" s="146"/>
      <c r="O571" s="146"/>
      <c r="P571" s="146"/>
      <c r="Q571" s="146"/>
      <c r="R571" s="146"/>
      <c r="S571" s="146"/>
      <c r="T571" s="146"/>
      <c r="U571" s="146"/>
      <c r="V571" s="146"/>
      <c r="W571" s="146"/>
      <c r="X571" s="146"/>
      <c r="Y571" s="146"/>
      <c r="Z571" s="146"/>
    </row>
    <row r="572" ht="22.5" customHeight="1">
      <c r="A572" s="308"/>
      <c r="B572" s="305"/>
      <c r="C572" s="305"/>
      <c r="D572" s="305"/>
      <c r="E572" s="305"/>
      <c r="F572" s="305"/>
      <c r="G572" s="307"/>
      <c r="H572" s="146"/>
      <c r="I572" s="146"/>
      <c r="J572" s="146"/>
      <c r="K572" s="146"/>
      <c r="L572" s="146"/>
      <c r="M572" s="146"/>
      <c r="N572" s="146"/>
      <c r="O572" s="146"/>
      <c r="P572" s="146"/>
      <c r="Q572" s="146"/>
      <c r="R572" s="146"/>
      <c r="S572" s="146"/>
      <c r="T572" s="146"/>
      <c r="U572" s="146"/>
      <c r="V572" s="146"/>
      <c r="W572" s="146"/>
      <c r="X572" s="146"/>
      <c r="Y572" s="146"/>
      <c r="Z572" s="146"/>
    </row>
    <row r="573" ht="22.5" customHeight="1">
      <c r="A573" s="308"/>
      <c r="B573" s="305"/>
      <c r="C573" s="305"/>
      <c r="D573" s="305"/>
      <c r="E573" s="305"/>
      <c r="F573" s="305"/>
      <c r="G573" s="307"/>
      <c r="H573" s="146"/>
      <c r="I573" s="146"/>
      <c r="J573" s="146"/>
      <c r="K573" s="146"/>
      <c r="L573" s="146"/>
      <c r="M573" s="146"/>
      <c r="N573" s="146"/>
      <c r="O573" s="146"/>
      <c r="P573" s="146"/>
      <c r="Q573" s="146"/>
      <c r="R573" s="146"/>
      <c r="S573" s="146"/>
      <c r="T573" s="146"/>
      <c r="U573" s="146"/>
      <c r="V573" s="146"/>
      <c r="W573" s="146"/>
      <c r="X573" s="146"/>
      <c r="Y573" s="146"/>
      <c r="Z573" s="146"/>
    </row>
    <row r="574" ht="22.5" customHeight="1">
      <c r="A574" s="308"/>
      <c r="B574" s="305"/>
      <c r="C574" s="305"/>
      <c r="D574" s="305"/>
      <c r="E574" s="305"/>
      <c r="F574" s="305"/>
      <c r="G574" s="307"/>
      <c r="H574" s="146"/>
      <c r="I574" s="146"/>
      <c r="J574" s="146"/>
      <c r="K574" s="146"/>
      <c r="L574" s="146"/>
      <c r="M574" s="146"/>
      <c r="N574" s="146"/>
      <c r="O574" s="146"/>
      <c r="P574" s="146"/>
      <c r="Q574" s="146"/>
      <c r="R574" s="146"/>
      <c r="S574" s="146"/>
      <c r="T574" s="146"/>
      <c r="U574" s="146"/>
      <c r="V574" s="146"/>
      <c r="W574" s="146"/>
      <c r="X574" s="146"/>
      <c r="Y574" s="146"/>
      <c r="Z574" s="146"/>
    </row>
    <row r="575" ht="22.5" customHeight="1">
      <c r="A575" s="308"/>
      <c r="B575" s="305"/>
      <c r="C575" s="305"/>
      <c r="D575" s="305"/>
      <c r="E575" s="305"/>
      <c r="F575" s="305"/>
      <c r="G575" s="307"/>
      <c r="H575" s="146"/>
      <c r="I575" s="146"/>
      <c r="J575" s="146"/>
      <c r="K575" s="146"/>
      <c r="L575" s="146"/>
      <c r="M575" s="146"/>
      <c r="N575" s="146"/>
      <c r="O575" s="146"/>
      <c r="P575" s="146"/>
      <c r="Q575" s="146"/>
      <c r="R575" s="146"/>
      <c r="S575" s="146"/>
      <c r="T575" s="146"/>
      <c r="U575" s="146"/>
      <c r="V575" s="146"/>
      <c r="W575" s="146"/>
      <c r="X575" s="146"/>
      <c r="Y575" s="146"/>
      <c r="Z575" s="146"/>
    </row>
    <row r="576" ht="22.5" customHeight="1">
      <c r="A576" s="308"/>
      <c r="B576" s="305"/>
      <c r="C576" s="305"/>
      <c r="D576" s="305"/>
      <c r="E576" s="305"/>
      <c r="F576" s="305"/>
      <c r="G576" s="307"/>
      <c r="H576" s="146"/>
      <c r="I576" s="146"/>
      <c r="J576" s="146"/>
      <c r="K576" s="146"/>
      <c r="L576" s="146"/>
      <c r="M576" s="146"/>
      <c r="N576" s="146"/>
      <c r="O576" s="146"/>
      <c r="P576" s="146"/>
      <c r="Q576" s="146"/>
      <c r="R576" s="146"/>
      <c r="S576" s="146"/>
      <c r="T576" s="146"/>
      <c r="U576" s="146"/>
      <c r="V576" s="146"/>
      <c r="W576" s="146"/>
      <c r="X576" s="146"/>
      <c r="Y576" s="146"/>
      <c r="Z576" s="146"/>
    </row>
    <row r="577" ht="22.5" customHeight="1">
      <c r="A577" s="308"/>
      <c r="B577" s="305"/>
      <c r="C577" s="305"/>
      <c r="D577" s="305"/>
      <c r="E577" s="305"/>
      <c r="F577" s="305"/>
      <c r="G577" s="307"/>
      <c r="H577" s="146"/>
      <c r="I577" s="146"/>
      <c r="J577" s="146"/>
      <c r="K577" s="146"/>
      <c r="L577" s="146"/>
      <c r="M577" s="146"/>
      <c r="N577" s="146"/>
      <c r="O577" s="146"/>
      <c r="P577" s="146"/>
      <c r="Q577" s="146"/>
      <c r="R577" s="146"/>
      <c r="S577" s="146"/>
      <c r="T577" s="146"/>
      <c r="U577" s="146"/>
      <c r="V577" s="146"/>
      <c r="W577" s="146"/>
      <c r="X577" s="146"/>
      <c r="Y577" s="146"/>
      <c r="Z577" s="146"/>
    </row>
    <row r="578" ht="22.5" customHeight="1">
      <c r="A578" s="308"/>
      <c r="B578" s="305"/>
      <c r="C578" s="305"/>
      <c r="D578" s="305"/>
      <c r="E578" s="305"/>
      <c r="F578" s="305"/>
      <c r="G578" s="307"/>
      <c r="H578" s="146"/>
      <c r="I578" s="146"/>
      <c r="J578" s="146"/>
      <c r="K578" s="146"/>
      <c r="L578" s="146"/>
      <c r="M578" s="146"/>
      <c r="N578" s="146"/>
      <c r="O578" s="146"/>
      <c r="P578" s="146"/>
      <c r="Q578" s="146"/>
      <c r="R578" s="146"/>
      <c r="S578" s="146"/>
      <c r="T578" s="146"/>
      <c r="U578" s="146"/>
      <c r="V578" s="146"/>
      <c r="W578" s="146"/>
      <c r="X578" s="146"/>
      <c r="Y578" s="146"/>
      <c r="Z578" s="146"/>
    </row>
    <row r="579" ht="22.5" customHeight="1">
      <c r="A579" s="308"/>
      <c r="B579" s="305"/>
      <c r="C579" s="305"/>
      <c r="D579" s="305"/>
      <c r="E579" s="305"/>
      <c r="F579" s="305"/>
      <c r="G579" s="307"/>
      <c r="H579" s="146"/>
      <c r="I579" s="146"/>
      <c r="J579" s="146"/>
      <c r="K579" s="146"/>
      <c r="L579" s="146"/>
      <c r="M579" s="146"/>
      <c r="N579" s="146"/>
      <c r="O579" s="146"/>
      <c r="P579" s="146"/>
      <c r="Q579" s="146"/>
      <c r="R579" s="146"/>
      <c r="S579" s="146"/>
      <c r="T579" s="146"/>
      <c r="U579" s="146"/>
      <c r="V579" s="146"/>
      <c r="W579" s="146"/>
      <c r="X579" s="146"/>
      <c r="Y579" s="146"/>
      <c r="Z579" s="146"/>
    </row>
    <row r="580" ht="22.5" customHeight="1">
      <c r="A580" s="308"/>
      <c r="B580" s="305"/>
      <c r="C580" s="305"/>
      <c r="D580" s="305"/>
      <c r="E580" s="305"/>
      <c r="F580" s="305"/>
      <c r="G580" s="307"/>
      <c r="H580" s="146"/>
      <c r="I580" s="146"/>
      <c r="J580" s="146"/>
      <c r="K580" s="146"/>
      <c r="L580" s="146"/>
      <c r="M580" s="146"/>
      <c r="N580" s="146"/>
      <c r="O580" s="146"/>
      <c r="P580" s="146"/>
      <c r="Q580" s="146"/>
      <c r="R580" s="146"/>
      <c r="S580" s="146"/>
      <c r="T580" s="146"/>
      <c r="U580" s="146"/>
      <c r="V580" s="146"/>
      <c r="W580" s="146"/>
      <c r="X580" s="146"/>
      <c r="Y580" s="146"/>
      <c r="Z580" s="146"/>
    </row>
    <row r="581" ht="22.5" customHeight="1">
      <c r="A581" s="308"/>
      <c r="B581" s="305"/>
      <c r="C581" s="305"/>
      <c r="D581" s="305"/>
      <c r="E581" s="305"/>
      <c r="F581" s="305"/>
      <c r="G581" s="307"/>
      <c r="H581" s="146"/>
      <c r="I581" s="146"/>
      <c r="J581" s="146"/>
      <c r="K581" s="146"/>
      <c r="L581" s="146"/>
      <c r="M581" s="146"/>
      <c r="N581" s="146"/>
      <c r="O581" s="146"/>
      <c r="P581" s="146"/>
      <c r="Q581" s="146"/>
      <c r="R581" s="146"/>
      <c r="S581" s="146"/>
      <c r="T581" s="146"/>
      <c r="U581" s="146"/>
      <c r="V581" s="146"/>
      <c r="W581" s="146"/>
      <c r="X581" s="146"/>
      <c r="Y581" s="146"/>
      <c r="Z581" s="146"/>
    </row>
    <row r="582" ht="22.5" customHeight="1">
      <c r="A582" s="308"/>
      <c r="B582" s="305"/>
      <c r="C582" s="305"/>
      <c r="D582" s="305"/>
      <c r="E582" s="305"/>
      <c r="F582" s="305"/>
      <c r="G582" s="307"/>
      <c r="H582" s="146"/>
      <c r="I582" s="146"/>
      <c r="J582" s="146"/>
      <c r="K582" s="146"/>
      <c r="L582" s="146"/>
      <c r="M582" s="146"/>
      <c r="N582" s="146"/>
      <c r="O582" s="146"/>
      <c r="P582" s="146"/>
      <c r="Q582" s="146"/>
      <c r="R582" s="146"/>
      <c r="S582" s="146"/>
      <c r="T582" s="146"/>
      <c r="U582" s="146"/>
      <c r="V582" s="146"/>
      <c r="W582" s="146"/>
      <c r="X582" s="146"/>
      <c r="Y582" s="146"/>
      <c r="Z582" s="146"/>
    </row>
    <row r="583" ht="22.5" customHeight="1">
      <c r="A583" s="308"/>
      <c r="B583" s="305"/>
      <c r="C583" s="305"/>
      <c r="D583" s="305"/>
      <c r="E583" s="305"/>
      <c r="F583" s="305"/>
      <c r="G583" s="307"/>
      <c r="H583" s="146"/>
      <c r="I583" s="146"/>
      <c r="J583" s="146"/>
      <c r="K583" s="146"/>
      <c r="L583" s="146"/>
      <c r="M583" s="146"/>
      <c r="N583" s="146"/>
      <c r="O583" s="146"/>
      <c r="P583" s="146"/>
      <c r="Q583" s="146"/>
      <c r="R583" s="146"/>
      <c r="S583" s="146"/>
      <c r="T583" s="146"/>
      <c r="U583" s="146"/>
      <c r="V583" s="146"/>
      <c r="W583" s="146"/>
      <c r="X583" s="146"/>
      <c r="Y583" s="146"/>
      <c r="Z583" s="146"/>
    </row>
    <row r="584" ht="22.5" customHeight="1">
      <c r="A584" s="308"/>
      <c r="B584" s="305"/>
      <c r="C584" s="305"/>
      <c r="D584" s="305"/>
      <c r="E584" s="305"/>
      <c r="F584" s="305"/>
      <c r="G584" s="307"/>
      <c r="H584" s="146"/>
      <c r="I584" s="146"/>
      <c r="J584" s="146"/>
      <c r="K584" s="146"/>
      <c r="L584" s="146"/>
      <c r="M584" s="146"/>
      <c r="N584" s="146"/>
      <c r="O584" s="146"/>
      <c r="P584" s="146"/>
      <c r="Q584" s="146"/>
      <c r="R584" s="146"/>
      <c r="S584" s="146"/>
      <c r="T584" s="146"/>
      <c r="U584" s="146"/>
      <c r="V584" s="146"/>
      <c r="W584" s="146"/>
      <c r="X584" s="146"/>
      <c r="Y584" s="146"/>
      <c r="Z584" s="146"/>
    </row>
    <row r="585" ht="22.5" customHeight="1">
      <c r="A585" s="308"/>
      <c r="B585" s="305"/>
      <c r="C585" s="305"/>
      <c r="D585" s="305"/>
      <c r="E585" s="305"/>
      <c r="F585" s="305"/>
      <c r="G585" s="307"/>
      <c r="H585" s="146"/>
      <c r="I585" s="146"/>
      <c r="J585" s="146"/>
      <c r="K585" s="146"/>
      <c r="L585" s="146"/>
      <c r="M585" s="146"/>
      <c r="N585" s="146"/>
      <c r="O585" s="146"/>
      <c r="P585" s="146"/>
      <c r="Q585" s="146"/>
      <c r="R585" s="146"/>
      <c r="S585" s="146"/>
      <c r="T585" s="146"/>
      <c r="U585" s="146"/>
      <c r="V585" s="146"/>
      <c r="W585" s="146"/>
      <c r="X585" s="146"/>
      <c r="Y585" s="146"/>
      <c r="Z585" s="146"/>
    </row>
    <row r="586" ht="22.5" customHeight="1">
      <c r="A586" s="308"/>
      <c r="B586" s="305"/>
      <c r="C586" s="305"/>
      <c r="D586" s="305"/>
      <c r="E586" s="305"/>
      <c r="F586" s="305"/>
      <c r="G586" s="307"/>
      <c r="H586" s="146"/>
      <c r="I586" s="146"/>
      <c r="J586" s="146"/>
      <c r="K586" s="146"/>
      <c r="L586" s="146"/>
      <c r="M586" s="146"/>
      <c r="N586" s="146"/>
      <c r="O586" s="146"/>
      <c r="P586" s="146"/>
      <c r="Q586" s="146"/>
      <c r="R586" s="146"/>
      <c r="S586" s="146"/>
      <c r="T586" s="146"/>
      <c r="U586" s="146"/>
      <c r="V586" s="146"/>
      <c r="W586" s="146"/>
      <c r="X586" s="146"/>
      <c r="Y586" s="146"/>
      <c r="Z586" s="146"/>
    </row>
    <row r="587" ht="22.5" customHeight="1">
      <c r="A587" s="308"/>
      <c r="B587" s="305"/>
      <c r="C587" s="305"/>
      <c r="D587" s="305"/>
      <c r="E587" s="305"/>
      <c r="F587" s="305"/>
      <c r="G587" s="307"/>
      <c r="H587" s="146"/>
      <c r="I587" s="146"/>
      <c r="J587" s="146"/>
      <c r="K587" s="146"/>
      <c r="L587" s="146"/>
      <c r="M587" s="146"/>
      <c r="N587" s="146"/>
      <c r="O587" s="146"/>
      <c r="P587" s="146"/>
      <c r="Q587" s="146"/>
      <c r="R587" s="146"/>
      <c r="S587" s="146"/>
      <c r="T587" s="146"/>
      <c r="U587" s="146"/>
      <c r="V587" s="146"/>
      <c r="W587" s="146"/>
      <c r="X587" s="146"/>
      <c r="Y587" s="146"/>
      <c r="Z587" s="146"/>
    </row>
    <row r="588" ht="22.5" customHeight="1">
      <c r="A588" s="308"/>
      <c r="B588" s="305"/>
      <c r="C588" s="305"/>
      <c r="D588" s="305"/>
      <c r="E588" s="305"/>
      <c r="F588" s="305"/>
      <c r="G588" s="307"/>
      <c r="H588" s="146"/>
      <c r="I588" s="146"/>
      <c r="J588" s="146"/>
      <c r="K588" s="146"/>
      <c r="L588" s="146"/>
      <c r="M588" s="146"/>
      <c r="N588" s="146"/>
      <c r="O588" s="146"/>
      <c r="P588" s="146"/>
      <c r="Q588" s="146"/>
      <c r="R588" s="146"/>
      <c r="S588" s="146"/>
      <c r="T588" s="146"/>
      <c r="U588" s="146"/>
      <c r="V588" s="146"/>
      <c r="W588" s="146"/>
      <c r="X588" s="146"/>
      <c r="Y588" s="146"/>
      <c r="Z588" s="146"/>
    </row>
    <row r="589" ht="22.5" customHeight="1">
      <c r="A589" s="308"/>
      <c r="B589" s="305"/>
      <c r="C589" s="305"/>
      <c r="D589" s="305"/>
      <c r="E589" s="305"/>
      <c r="F589" s="305"/>
      <c r="G589" s="307"/>
      <c r="H589" s="146"/>
      <c r="I589" s="146"/>
      <c r="J589" s="146"/>
      <c r="K589" s="146"/>
      <c r="L589" s="146"/>
      <c r="M589" s="146"/>
      <c r="N589" s="146"/>
      <c r="O589" s="146"/>
      <c r="P589" s="146"/>
      <c r="Q589" s="146"/>
      <c r="R589" s="146"/>
      <c r="S589" s="146"/>
      <c r="T589" s="146"/>
      <c r="U589" s="146"/>
      <c r="V589" s="146"/>
      <c r="W589" s="146"/>
      <c r="X589" s="146"/>
      <c r="Y589" s="146"/>
      <c r="Z589" s="146"/>
    </row>
    <row r="590" ht="22.5" customHeight="1">
      <c r="A590" s="308"/>
      <c r="B590" s="305"/>
      <c r="C590" s="305"/>
      <c r="D590" s="305"/>
      <c r="E590" s="305"/>
      <c r="F590" s="305"/>
      <c r="G590" s="307"/>
      <c r="H590" s="146"/>
      <c r="I590" s="146"/>
      <c r="J590" s="146"/>
      <c r="K590" s="146"/>
      <c r="L590" s="146"/>
      <c r="M590" s="146"/>
      <c r="N590" s="146"/>
      <c r="O590" s="146"/>
      <c r="P590" s="146"/>
      <c r="Q590" s="146"/>
      <c r="R590" s="146"/>
      <c r="S590" s="146"/>
      <c r="T590" s="146"/>
      <c r="U590" s="146"/>
      <c r="V590" s="146"/>
      <c r="W590" s="146"/>
      <c r="X590" s="146"/>
      <c r="Y590" s="146"/>
      <c r="Z590" s="146"/>
    </row>
    <row r="591" ht="22.5" customHeight="1">
      <c r="A591" s="308"/>
      <c r="B591" s="305"/>
      <c r="C591" s="305"/>
      <c r="D591" s="305"/>
      <c r="E591" s="305"/>
      <c r="F591" s="305"/>
      <c r="G591" s="307"/>
      <c r="H591" s="146"/>
      <c r="I591" s="146"/>
      <c r="J591" s="146"/>
      <c r="K591" s="146"/>
      <c r="L591" s="146"/>
      <c r="M591" s="146"/>
      <c r="N591" s="146"/>
      <c r="O591" s="146"/>
      <c r="P591" s="146"/>
      <c r="Q591" s="146"/>
      <c r="R591" s="146"/>
      <c r="S591" s="146"/>
      <c r="T591" s="146"/>
      <c r="U591" s="146"/>
      <c r="V591" s="146"/>
      <c r="W591" s="146"/>
      <c r="X591" s="146"/>
      <c r="Y591" s="146"/>
      <c r="Z591" s="146"/>
    </row>
    <row r="592" ht="22.5" customHeight="1">
      <c r="A592" s="308"/>
      <c r="B592" s="305"/>
      <c r="C592" s="305"/>
      <c r="D592" s="305"/>
      <c r="E592" s="305"/>
      <c r="F592" s="305"/>
      <c r="G592" s="307"/>
      <c r="H592" s="146"/>
      <c r="I592" s="146"/>
      <c r="J592" s="146"/>
      <c r="K592" s="146"/>
      <c r="L592" s="146"/>
      <c r="M592" s="146"/>
      <c r="N592" s="146"/>
      <c r="O592" s="146"/>
      <c r="P592" s="146"/>
      <c r="Q592" s="146"/>
      <c r="R592" s="146"/>
      <c r="S592" s="146"/>
      <c r="T592" s="146"/>
      <c r="U592" s="146"/>
      <c r="V592" s="146"/>
      <c r="W592" s="146"/>
      <c r="X592" s="146"/>
      <c r="Y592" s="146"/>
      <c r="Z592" s="146"/>
    </row>
    <row r="593" ht="22.5" customHeight="1">
      <c r="A593" s="308"/>
      <c r="B593" s="305"/>
      <c r="C593" s="305"/>
      <c r="D593" s="305"/>
      <c r="E593" s="305"/>
      <c r="F593" s="305"/>
      <c r="G593" s="307"/>
      <c r="H593" s="146"/>
      <c r="I593" s="146"/>
      <c r="J593" s="146"/>
      <c r="K593" s="146"/>
      <c r="L593" s="146"/>
      <c r="M593" s="146"/>
      <c r="N593" s="146"/>
      <c r="O593" s="146"/>
      <c r="P593" s="146"/>
      <c r="Q593" s="146"/>
      <c r="R593" s="146"/>
      <c r="S593" s="146"/>
      <c r="T593" s="146"/>
      <c r="U593" s="146"/>
      <c r="V593" s="146"/>
      <c r="W593" s="146"/>
      <c r="X593" s="146"/>
      <c r="Y593" s="146"/>
      <c r="Z593" s="146"/>
    </row>
    <row r="594" ht="22.5" customHeight="1">
      <c r="A594" s="308"/>
      <c r="B594" s="305"/>
      <c r="C594" s="305"/>
      <c r="D594" s="305"/>
      <c r="E594" s="305"/>
      <c r="F594" s="305"/>
      <c r="G594" s="307"/>
      <c r="H594" s="146"/>
      <c r="I594" s="146"/>
      <c r="J594" s="146"/>
      <c r="K594" s="146"/>
      <c r="L594" s="146"/>
      <c r="M594" s="146"/>
      <c r="N594" s="146"/>
      <c r="O594" s="146"/>
      <c r="P594" s="146"/>
      <c r="Q594" s="146"/>
      <c r="R594" s="146"/>
      <c r="S594" s="146"/>
      <c r="T594" s="146"/>
      <c r="U594" s="146"/>
      <c r="V594" s="146"/>
      <c r="W594" s="146"/>
      <c r="X594" s="146"/>
      <c r="Y594" s="146"/>
      <c r="Z594" s="146"/>
    </row>
    <row r="595" ht="22.5" customHeight="1">
      <c r="A595" s="308"/>
      <c r="B595" s="305"/>
      <c r="C595" s="305"/>
      <c r="D595" s="305"/>
      <c r="E595" s="305"/>
      <c r="F595" s="305"/>
      <c r="G595" s="307"/>
      <c r="H595" s="146"/>
      <c r="I595" s="146"/>
      <c r="J595" s="146"/>
      <c r="K595" s="146"/>
      <c r="L595" s="146"/>
      <c r="M595" s="146"/>
      <c r="N595" s="146"/>
      <c r="O595" s="146"/>
      <c r="P595" s="146"/>
      <c r="Q595" s="146"/>
      <c r="R595" s="146"/>
      <c r="S595" s="146"/>
      <c r="T595" s="146"/>
      <c r="U595" s="146"/>
      <c r="V595" s="146"/>
      <c r="W595" s="146"/>
      <c r="X595" s="146"/>
      <c r="Y595" s="146"/>
      <c r="Z595" s="146"/>
    </row>
    <row r="596" ht="22.5" customHeight="1">
      <c r="A596" s="308"/>
      <c r="B596" s="305"/>
      <c r="C596" s="305"/>
      <c r="D596" s="305"/>
      <c r="E596" s="305"/>
      <c r="F596" s="305"/>
      <c r="G596" s="307"/>
      <c r="H596" s="146"/>
      <c r="I596" s="146"/>
      <c r="J596" s="146"/>
      <c r="K596" s="146"/>
      <c r="L596" s="146"/>
      <c r="M596" s="146"/>
      <c r="N596" s="146"/>
      <c r="O596" s="146"/>
      <c r="P596" s="146"/>
      <c r="Q596" s="146"/>
      <c r="R596" s="146"/>
      <c r="S596" s="146"/>
      <c r="T596" s="146"/>
      <c r="U596" s="146"/>
      <c r="V596" s="146"/>
      <c r="W596" s="146"/>
      <c r="X596" s="146"/>
      <c r="Y596" s="146"/>
      <c r="Z596" s="146"/>
    </row>
    <row r="597" ht="22.5" customHeight="1">
      <c r="A597" s="308"/>
      <c r="B597" s="305"/>
      <c r="C597" s="305"/>
      <c r="D597" s="305"/>
      <c r="E597" s="305"/>
      <c r="F597" s="305"/>
      <c r="G597" s="307"/>
      <c r="H597" s="146"/>
      <c r="I597" s="146"/>
      <c r="J597" s="146"/>
      <c r="K597" s="146"/>
      <c r="L597" s="146"/>
      <c r="M597" s="146"/>
      <c r="N597" s="146"/>
      <c r="O597" s="146"/>
      <c r="P597" s="146"/>
      <c r="Q597" s="146"/>
      <c r="R597" s="146"/>
      <c r="S597" s="146"/>
      <c r="T597" s="146"/>
      <c r="U597" s="146"/>
      <c r="V597" s="146"/>
      <c r="W597" s="146"/>
      <c r="X597" s="146"/>
      <c r="Y597" s="146"/>
      <c r="Z597" s="146"/>
    </row>
    <row r="598" ht="22.5" customHeight="1">
      <c r="A598" s="308"/>
      <c r="B598" s="305"/>
      <c r="C598" s="305"/>
      <c r="D598" s="305"/>
      <c r="E598" s="305"/>
      <c r="F598" s="305"/>
      <c r="G598" s="307"/>
      <c r="H598" s="146"/>
      <c r="I598" s="146"/>
      <c r="J598" s="146"/>
      <c r="K598" s="146"/>
      <c r="L598" s="146"/>
      <c r="M598" s="146"/>
      <c r="N598" s="146"/>
      <c r="O598" s="146"/>
      <c r="P598" s="146"/>
      <c r="Q598" s="146"/>
      <c r="R598" s="146"/>
      <c r="S598" s="146"/>
      <c r="T598" s="146"/>
      <c r="U598" s="146"/>
      <c r="V598" s="146"/>
      <c r="W598" s="146"/>
      <c r="X598" s="146"/>
      <c r="Y598" s="146"/>
      <c r="Z598" s="146"/>
    </row>
    <row r="599" ht="22.5" customHeight="1">
      <c r="A599" s="308"/>
      <c r="B599" s="305"/>
      <c r="C599" s="305"/>
      <c r="D599" s="305"/>
      <c r="E599" s="305"/>
      <c r="F599" s="305"/>
      <c r="G599" s="307"/>
      <c r="H599" s="146"/>
      <c r="I599" s="146"/>
      <c r="J599" s="146"/>
      <c r="K599" s="146"/>
      <c r="L599" s="146"/>
      <c r="M599" s="146"/>
      <c r="N599" s="146"/>
      <c r="O599" s="146"/>
      <c r="P599" s="146"/>
      <c r="Q599" s="146"/>
      <c r="R599" s="146"/>
      <c r="S599" s="146"/>
      <c r="T599" s="146"/>
      <c r="U599" s="146"/>
      <c r="V599" s="146"/>
      <c r="W599" s="146"/>
      <c r="X599" s="146"/>
      <c r="Y599" s="146"/>
      <c r="Z599" s="146"/>
    </row>
    <row r="600" ht="22.5" customHeight="1">
      <c r="A600" s="308"/>
      <c r="B600" s="305"/>
      <c r="C600" s="305"/>
      <c r="D600" s="305"/>
      <c r="E600" s="305"/>
      <c r="F600" s="305"/>
      <c r="G600" s="307"/>
      <c r="H600" s="146"/>
      <c r="I600" s="146"/>
      <c r="J600" s="146"/>
      <c r="K600" s="146"/>
      <c r="L600" s="146"/>
      <c r="M600" s="146"/>
      <c r="N600" s="146"/>
      <c r="O600" s="146"/>
      <c r="P600" s="146"/>
      <c r="Q600" s="146"/>
      <c r="R600" s="146"/>
      <c r="S600" s="146"/>
      <c r="T600" s="146"/>
      <c r="U600" s="146"/>
      <c r="V600" s="146"/>
      <c r="W600" s="146"/>
      <c r="X600" s="146"/>
      <c r="Y600" s="146"/>
      <c r="Z600" s="146"/>
    </row>
    <row r="601" ht="22.5" customHeight="1">
      <c r="A601" s="308"/>
      <c r="B601" s="305"/>
      <c r="C601" s="305"/>
      <c r="D601" s="305"/>
      <c r="E601" s="305"/>
      <c r="F601" s="305"/>
      <c r="G601" s="307"/>
      <c r="H601" s="146"/>
      <c r="I601" s="146"/>
      <c r="J601" s="146"/>
      <c r="K601" s="146"/>
      <c r="L601" s="146"/>
      <c r="M601" s="146"/>
      <c r="N601" s="146"/>
      <c r="O601" s="146"/>
      <c r="P601" s="146"/>
      <c r="Q601" s="146"/>
      <c r="R601" s="146"/>
      <c r="S601" s="146"/>
      <c r="T601" s="146"/>
      <c r="U601" s="146"/>
      <c r="V601" s="146"/>
      <c r="W601" s="146"/>
      <c r="X601" s="146"/>
      <c r="Y601" s="146"/>
      <c r="Z601" s="146"/>
    </row>
    <row r="602" ht="22.5" customHeight="1">
      <c r="A602" s="308"/>
      <c r="B602" s="305"/>
      <c r="C602" s="305"/>
      <c r="D602" s="305"/>
      <c r="E602" s="305"/>
      <c r="F602" s="305"/>
      <c r="G602" s="307"/>
      <c r="H602" s="146"/>
      <c r="I602" s="146"/>
      <c r="J602" s="146"/>
      <c r="K602" s="146"/>
      <c r="L602" s="146"/>
      <c r="M602" s="146"/>
      <c r="N602" s="146"/>
      <c r="O602" s="146"/>
      <c r="P602" s="146"/>
      <c r="Q602" s="146"/>
      <c r="R602" s="146"/>
      <c r="S602" s="146"/>
      <c r="T602" s="146"/>
      <c r="U602" s="146"/>
      <c r="V602" s="146"/>
      <c r="W602" s="146"/>
      <c r="X602" s="146"/>
      <c r="Y602" s="146"/>
      <c r="Z602" s="146"/>
    </row>
    <row r="603" ht="22.5" customHeight="1">
      <c r="A603" s="308"/>
      <c r="B603" s="305"/>
      <c r="C603" s="305"/>
      <c r="D603" s="305"/>
      <c r="E603" s="305"/>
      <c r="F603" s="305"/>
      <c r="G603" s="307"/>
      <c r="H603" s="146"/>
      <c r="I603" s="146"/>
      <c r="J603" s="146"/>
      <c r="K603" s="146"/>
      <c r="L603" s="146"/>
      <c r="M603" s="146"/>
      <c r="N603" s="146"/>
      <c r="O603" s="146"/>
      <c r="P603" s="146"/>
      <c r="Q603" s="146"/>
      <c r="R603" s="146"/>
      <c r="S603" s="146"/>
      <c r="T603" s="146"/>
      <c r="U603" s="146"/>
      <c r="V603" s="146"/>
      <c r="W603" s="146"/>
      <c r="X603" s="146"/>
      <c r="Y603" s="146"/>
      <c r="Z603" s="146"/>
    </row>
    <row r="604" ht="22.5" customHeight="1">
      <c r="A604" s="308"/>
      <c r="B604" s="305"/>
      <c r="C604" s="305"/>
      <c r="D604" s="305"/>
      <c r="E604" s="305"/>
      <c r="F604" s="305"/>
      <c r="G604" s="307"/>
      <c r="H604" s="146"/>
      <c r="I604" s="146"/>
      <c r="J604" s="146"/>
      <c r="K604" s="146"/>
      <c r="L604" s="146"/>
      <c r="M604" s="146"/>
      <c r="N604" s="146"/>
      <c r="O604" s="146"/>
      <c r="P604" s="146"/>
      <c r="Q604" s="146"/>
      <c r="R604" s="146"/>
      <c r="S604" s="146"/>
      <c r="T604" s="146"/>
      <c r="U604" s="146"/>
      <c r="V604" s="146"/>
      <c r="W604" s="146"/>
      <c r="X604" s="146"/>
      <c r="Y604" s="146"/>
      <c r="Z604" s="146"/>
    </row>
    <row r="605" ht="22.5" customHeight="1">
      <c r="A605" s="308"/>
      <c r="B605" s="305"/>
      <c r="C605" s="305"/>
      <c r="D605" s="305"/>
      <c r="E605" s="305"/>
      <c r="F605" s="305"/>
      <c r="G605" s="307"/>
      <c r="H605" s="146"/>
      <c r="I605" s="146"/>
      <c r="J605" s="146"/>
      <c r="K605" s="146"/>
      <c r="L605" s="146"/>
      <c r="M605" s="146"/>
      <c r="N605" s="146"/>
      <c r="O605" s="146"/>
      <c r="P605" s="146"/>
      <c r="Q605" s="146"/>
      <c r="R605" s="146"/>
      <c r="S605" s="146"/>
      <c r="T605" s="146"/>
      <c r="U605" s="146"/>
      <c r="V605" s="146"/>
      <c r="W605" s="146"/>
      <c r="X605" s="146"/>
      <c r="Y605" s="146"/>
      <c r="Z605" s="146"/>
    </row>
    <row r="606" ht="22.5" customHeight="1">
      <c r="A606" s="308"/>
      <c r="B606" s="305"/>
      <c r="C606" s="305"/>
      <c r="D606" s="305"/>
      <c r="E606" s="305"/>
      <c r="F606" s="305"/>
      <c r="G606" s="307"/>
      <c r="H606" s="146"/>
      <c r="I606" s="146"/>
      <c r="J606" s="146"/>
      <c r="K606" s="146"/>
      <c r="L606" s="146"/>
      <c r="M606" s="146"/>
      <c r="N606" s="146"/>
      <c r="O606" s="146"/>
      <c r="P606" s="146"/>
      <c r="Q606" s="146"/>
      <c r="R606" s="146"/>
      <c r="S606" s="146"/>
      <c r="T606" s="146"/>
      <c r="U606" s="146"/>
      <c r="V606" s="146"/>
      <c r="W606" s="146"/>
      <c r="X606" s="146"/>
      <c r="Y606" s="146"/>
      <c r="Z606" s="146"/>
    </row>
    <row r="607" ht="22.5" customHeight="1">
      <c r="A607" s="308"/>
      <c r="B607" s="305"/>
      <c r="C607" s="305"/>
      <c r="D607" s="305"/>
      <c r="E607" s="305"/>
      <c r="F607" s="305"/>
      <c r="G607" s="307"/>
      <c r="H607" s="146"/>
      <c r="I607" s="146"/>
      <c r="J607" s="146"/>
      <c r="K607" s="146"/>
      <c r="L607" s="146"/>
      <c r="M607" s="146"/>
      <c r="N607" s="146"/>
      <c r="O607" s="146"/>
      <c r="P607" s="146"/>
      <c r="Q607" s="146"/>
      <c r="R607" s="146"/>
      <c r="S607" s="146"/>
      <c r="T607" s="146"/>
      <c r="U607" s="146"/>
      <c r="V607" s="146"/>
      <c r="W607" s="146"/>
      <c r="X607" s="146"/>
      <c r="Y607" s="146"/>
      <c r="Z607" s="146"/>
    </row>
    <row r="608" ht="22.5" customHeight="1">
      <c r="A608" s="308"/>
      <c r="B608" s="305"/>
      <c r="C608" s="305"/>
      <c r="D608" s="305"/>
      <c r="E608" s="305"/>
      <c r="F608" s="305"/>
      <c r="G608" s="307"/>
      <c r="H608" s="146"/>
      <c r="I608" s="146"/>
      <c r="J608" s="146"/>
      <c r="K608" s="146"/>
      <c r="L608" s="146"/>
      <c r="M608" s="146"/>
      <c r="N608" s="146"/>
      <c r="O608" s="146"/>
      <c r="P608" s="146"/>
      <c r="Q608" s="146"/>
      <c r="R608" s="146"/>
      <c r="S608" s="146"/>
      <c r="T608" s="146"/>
      <c r="U608" s="146"/>
      <c r="V608" s="146"/>
      <c r="W608" s="146"/>
      <c r="X608" s="146"/>
      <c r="Y608" s="146"/>
      <c r="Z608" s="146"/>
    </row>
    <row r="609" ht="22.5" customHeight="1">
      <c r="A609" s="308"/>
      <c r="B609" s="305"/>
      <c r="C609" s="305"/>
      <c r="D609" s="305"/>
      <c r="E609" s="305"/>
      <c r="F609" s="305"/>
      <c r="G609" s="307"/>
      <c r="H609" s="146"/>
      <c r="I609" s="146"/>
      <c r="J609" s="146"/>
      <c r="K609" s="146"/>
      <c r="L609" s="146"/>
      <c r="M609" s="146"/>
      <c r="N609" s="146"/>
      <c r="O609" s="146"/>
      <c r="P609" s="146"/>
      <c r="Q609" s="146"/>
      <c r="R609" s="146"/>
      <c r="S609" s="146"/>
      <c r="T609" s="146"/>
      <c r="U609" s="146"/>
      <c r="V609" s="146"/>
      <c r="W609" s="146"/>
      <c r="X609" s="146"/>
      <c r="Y609" s="146"/>
      <c r="Z609" s="146"/>
    </row>
    <row r="610" ht="22.5" customHeight="1">
      <c r="A610" s="308"/>
      <c r="B610" s="305"/>
      <c r="C610" s="305"/>
      <c r="D610" s="305"/>
      <c r="E610" s="305"/>
      <c r="F610" s="305"/>
      <c r="G610" s="307"/>
      <c r="H610" s="146"/>
      <c r="I610" s="146"/>
      <c r="J610" s="146"/>
      <c r="K610" s="146"/>
      <c r="L610" s="146"/>
      <c r="M610" s="146"/>
      <c r="N610" s="146"/>
      <c r="O610" s="146"/>
      <c r="P610" s="146"/>
      <c r="Q610" s="146"/>
      <c r="R610" s="146"/>
      <c r="S610" s="146"/>
      <c r="T610" s="146"/>
      <c r="U610" s="146"/>
      <c r="V610" s="146"/>
      <c r="W610" s="146"/>
      <c r="X610" s="146"/>
      <c r="Y610" s="146"/>
      <c r="Z610" s="146"/>
    </row>
    <row r="611" ht="22.5" customHeight="1">
      <c r="A611" s="308"/>
      <c r="B611" s="305"/>
      <c r="C611" s="305"/>
      <c r="D611" s="305"/>
      <c r="E611" s="305"/>
      <c r="F611" s="305"/>
      <c r="G611" s="307"/>
      <c r="H611" s="146"/>
      <c r="I611" s="146"/>
      <c r="J611" s="146"/>
      <c r="K611" s="146"/>
      <c r="L611" s="146"/>
      <c r="M611" s="146"/>
      <c r="N611" s="146"/>
      <c r="O611" s="146"/>
      <c r="P611" s="146"/>
      <c r="Q611" s="146"/>
      <c r="R611" s="146"/>
      <c r="S611" s="146"/>
      <c r="T611" s="146"/>
      <c r="U611" s="146"/>
      <c r="V611" s="146"/>
      <c r="W611" s="146"/>
      <c r="X611" s="146"/>
      <c r="Y611" s="146"/>
      <c r="Z611" s="146"/>
    </row>
    <row r="612" ht="22.5" customHeight="1">
      <c r="A612" s="308"/>
      <c r="B612" s="305"/>
      <c r="C612" s="305"/>
      <c r="D612" s="305"/>
      <c r="E612" s="305"/>
      <c r="F612" s="305"/>
      <c r="G612" s="307"/>
      <c r="H612" s="146"/>
      <c r="I612" s="146"/>
      <c r="J612" s="146"/>
      <c r="K612" s="146"/>
      <c r="L612" s="146"/>
      <c r="M612" s="146"/>
      <c r="N612" s="146"/>
      <c r="O612" s="146"/>
      <c r="P612" s="146"/>
      <c r="Q612" s="146"/>
      <c r="R612" s="146"/>
      <c r="S612" s="146"/>
      <c r="T612" s="146"/>
      <c r="U612" s="146"/>
      <c r="V612" s="146"/>
      <c r="W612" s="146"/>
      <c r="X612" s="146"/>
      <c r="Y612" s="146"/>
      <c r="Z612" s="146"/>
    </row>
    <row r="613" ht="22.5" customHeight="1">
      <c r="A613" s="308"/>
      <c r="B613" s="305"/>
      <c r="C613" s="305"/>
      <c r="D613" s="305"/>
      <c r="E613" s="305"/>
      <c r="F613" s="305"/>
      <c r="G613" s="307"/>
      <c r="H613" s="146"/>
      <c r="I613" s="146"/>
      <c r="J613" s="146"/>
      <c r="K613" s="146"/>
      <c r="L613" s="146"/>
      <c r="M613" s="146"/>
      <c r="N613" s="146"/>
      <c r="O613" s="146"/>
      <c r="P613" s="146"/>
      <c r="Q613" s="146"/>
      <c r="R613" s="146"/>
      <c r="S613" s="146"/>
      <c r="T613" s="146"/>
      <c r="U613" s="146"/>
      <c r="V613" s="146"/>
      <c r="W613" s="146"/>
      <c r="X613" s="146"/>
      <c r="Y613" s="146"/>
      <c r="Z613" s="146"/>
    </row>
    <row r="614" ht="22.5" customHeight="1">
      <c r="A614" s="308"/>
      <c r="B614" s="305"/>
      <c r="C614" s="305"/>
      <c r="D614" s="305"/>
      <c r="E614" s="305"/>
      <c r="F614" s="305"/>
      <c r="G614" s="307"/>
      <c r="H614" s="146"/>
      <c r="I614" s="146"/>
      <c r="J614" s="146"/>
      <c r="K614" s="146"/>
      <c r="L614" s="146"/>
      <c r="M614" s="146"/>
      <c r="N614" s="146"/>
      <c r="O614" s="146"/>
      <c r="P614" s="146"/>
      <c r="Q614" s="146"/>
      <c r="R614" s="146"/>
      <c r="S614" s="146"/>
      <c r="T614" s="146"/>
      <c r="U614" s="146"/>
      <c r="V614" s="146"/>
      <c r="W614" s="146"/>
      <c r="X614" s="146"/>
      <c r="Y614" s="146"/>
      <c r="Z614" s="146"/>
    </row>
    <row r="615" ht="22.5" customHeight="1">
      <c r="A615" s="308"/>
      <c r="B615" s="305"/>
      <c r="C615" s="305"/>
      <c r="D615" s="305"/>
      <c r="E615" s="305"/>
      <c r="F615" s="305"/>
      <c r="G615" s="307"/>
      <c r="H615" s="146"/>
      <c r="I615" s="146"/>
      <c r="J615" s="146"/>
      <c r="K615" s="146"/>
      <c r="L615" s="146"/>
      <c r="M615" s="146"/>
      <c r="N615" s="146"/>
      <c r="O615" s="146"/>
      <c r="P615" s="146"/>
      <c r="Q615" s="146"/>
      <c r="R615" s="146"/>
      <c r="S615" s="146"/>
      <c r="T615" s="146"/>
      <c r="U615" s="146"/>
      <c r="V615" s="146"/>
      <c r="W615" s="146"/>
      <c r="X615" s="146"/>
      <c r="Y615" s="146"/>
      <c r="Z615" s="146"/>
    </row>
    <row r="616" ht="22.5" customHeight="1">
      <c r="A616" s="308"/>
      <c r="B616" s="305"/>
      <c r="C616" s="305"/>
      <c r="D616" s="305"/>
      <c r="E616" s="305"/>
      <c r="F616" s="305"/>
      <c r="G616" s="307"/>
      <c r="H616" s="146"/>
      <c r="I616" s="146"/>
      <c r="J616" s="146"/>
      <c r="K616" s="146"/>
      <c r="L616" s="146"/>
      <c r="M616" s="146"/>
      <c r="N616" s="146"/>
      <c r="O616" s="146"/>
      <c r="P616" s="146"/>
      <c r="Q616" s="146"/>
      <c r="R616" s="146"/>
      <c r="S616" s="146"/>
      <c r="T616" s="146"/>
      <c r="U616" s="146"/>
      <c r="V616" s="146"/>
      <c r="W616" s="146"/>
      <c r="X616" s="146"/>
      <c r="Y616" s="146"/>
      <c r="Z616" s="146"/>
    </row>
    <row r="617" ht="22.5" customHeight="1">
      <c r="A617" s="308"/>
      <c r="B617" s="305"/>
      <c r="C617" s="305"/>
      <c r="D617" s="305"/>
      <c r="E617" s="305"/>
      <c r="F617" s="305"/>
      <c r="G617" s="307"/>
      <c r="H617" s="146"/>
      <c r="I617" s="146"/>
      <c r="J617" s="146"/>
      <c r="K617" s="146"/>
      <c r="L617" s="146"/>
      <c r="M617" s="146"/>
      <c r="N617" s="146"/>
      <c r="O617" s="146"/>
      <c r="P617" s="146"/>
      <c r="Q617" s="146"/>
      <c r="R617" s="146"/>
      <c r="S617" s="146"/>
      <c r="T617" s="146"/>
      <c r="U617" s="146"/>
      <c r="V617" s="146"/>
      <c r="W617" s="146"/>
      <c r="X617" s="146"/>
      <c r="Y617" s="146"/>
      <c r="Z617" s="146"/>
    </row>
    <row r="618" ht="22.5" customHeight="1">
      <c r="A618" s="308"/>
      <c r="B618" s="305"/>
      <c r="C618" s="305"/>
      <c r="D618" s="305"/>
      <c r="E618" s="305"/>
      <c r="F618" s="305"/>
      <c r="G618" s="307"/>
      <c r="H618" s="146"/>
      <c r="I618" s="146"/>
      <c r="J618" s="146"/>
      <c r="K618" s="146"/>
      <c r="L618" s="146"/>
      <c r="M618" s="146"/>
      <c r="N618" s="146"/>
      <c r="O618" s="146"/>
      <c r="P618" s="146"/>
      <c r="Q618" s="146"/>
      <c r="R618" s="146"/>
      <c r="S618" s="146"/>
      <c r="T618" s="146"/>
      <c r="U618" s="146"/>
      <c r="V618" s="146"/>
      <c r="W618" s="146"/>
      <c r="X618" s="146"/>
      <c r="Y618" s="146"/>
      <c r="Z618" s="146"/>
    </row>
    <row r="619" ht="22.5" customHeight="1">
      <c r="A619" s="308"/>
      <c r="B619" s="305"/>
      <c r="C619" s="305"/>
      <c r="D619" s="305"/>
      <c r="E619" s="305"/>
      <c r="F619" s="305"/>
      <c r="G619" s="307"/>
      <c r="H619" s="146"/>
      <c r="I619" s="146"/>
      <c r="J619" s="146"/>
      <c r="K619" s="146"/>
      <c r="L619" s="146"/>
      <c r="M619" s="146"/>
      <c r="N619" s="146"/>
      <c r="O619" s="146"/>
      <c r="P619" s="146"/>
      <c r="Q619" s="146"/>
      <c r="R619" s="146"/>
      <c r="S619" s="146"/>
      <c r="T619" s="146"/>
      <c r="U619" s="146"/>
      <c r="V619" s="146"/>
      <c r="W619" s="146"/>
      <c r="X619" s="146"/>
      <c r="Y619" s="146"/>
      <c r="Z619" s="146"/>
    </row>
    <row r="620" ht="22.5" customHeight="1">
      <c r="A620" s="308"/>
      <c r="B620" s="305"/>
      <c r="C620" s="305"/>
      <c r="D620" s="305"/>
      <c r="E620" s="305"/>
      <c r="F620" s="305"/>
      <c r="G620" s="307"/>
      <c r="H620" s="146"/>
      <c r="I620" s="146"/>
      <c r="J620" s="146"/>
      <c r="K620" s="146"/>
      <c r="L620" s="146"/>
      <c r="M620" s="146"/>
      <c r="N620" s="146"/>
      <c r="O620" s="146"/>
      <c r="P620" s="146"/>
      <c r="Q620" s="146"/>
      <c r="R620" s="146"/>
      <c r="S620" s="146"/>
      <c r="T620" s="146"/>
      <c r="U620" s="146"/>
      <c r="V620" s="146"/>
      <c r="W620" s="146"/>
      <c r="X620" s="146"/>
      <c r="Y620" s="146"/>
      <c r="Z620" s="146"/>
    </row>
    <row r="621" ht="22.5" customHeight="1">
      <c r="A621" s="308"/>
      <c r="B621" s="305"/>
      <c r="C621" s="305"/>
      <c r="D621" s="305"/>
      <c r="E621" s="305"/>
      <c r="F621" s="305"/>
      <c r="G621" s="307"/>
      <c r="H621" s="146"/>
      <c r="I621" s="146"/>
      <c r="J621" s="146"/>
      <c r="K621" s="146"/>
      <c r="L621" s="146"/>
      <c r="M621" s="146"/>
      <c r="N621" s="146"/>
      <c r="O621" s="146"/>
      <c r="P621" s="146"/>
      <c r="Q621" s="146"/>
      <c r="R621" s="146"/>
      <c r="S621" s="146"/>
      <c r="T621" s="146"/>
      <c r="U621" s="146"/>
      <c r="V621" s="146"/>
      <c r="W621" s="146"/>
      <c r="X621" s="146"/>
      <c r="Y621" s="146"/>
      <c r="Z621" s="146"/>
    </row>
    <row r="622" ht="22.5" customHeight="1">
      <c r="A622" s="308"/>
      <c r="B622" s="305"/>
      <c r="C622" s="305"/>
      <c r="D622" s="305"/>
      <c r="E622" s="305"/>
      <c r="F622" s="305"/>
      <c r="G622" s="307"/>
      <c r="H622" s="146"/>
      <c r="I622" s="146"/>
      <c r="J622" s="146"/>
      <c r="K622" s="146"/>
      <c r="L622" s="146"/>
      <c r="M622" s="146"/>
      <c r="N622" s="146"/>
      <c r="O622" s="146"/>
      <c r="P622" s="146"/>
      <c r="Q622" s="146"/>
      <c r="R622" s="146"/>
      <c r="S622" s="146"/>
      <c r="T622" s="146"/>
      <c r="U622" s="146"/>
      <c r="V622" s="146"/>
      <c r="W622" s="146"/>
      <c r="X622" s="146"/>
      <c r="Y622" s="146"/>
      <c r="Z622" s="146"/>
    </row>
    <row r="623" ht="22.5" customHeight="1">
      <c r="A623" s="308"/>
      <c r="B623" s="305"/>
      <c r="C623" s="305"/>
      <c r="D623" s="305"/>
      <c r="E623" s="305"/>
      <c r="F623" s="305"/>
      <c r="G623" s="307"/>
      <c r="H623" s="146"/>
      <c r="I623" s="146"/>
      <c r="J623" s="146"/>
      <c r="K623" s="146"/>
      <c r="L623" s="146"/>
      <c r="M623" s="146"/>
      <c r="N623" s="146"/>
      <c r="O623" s="146"/>
      <c r="P623" s="146"/>
      <c r="Q623" s="146"/>
      <c r="R623" s="146"/>
      <c r="S623" s="146"/>
      <c r="T623" s="146"/>
      <c r="U623" s="146"/>
      <c r="V623" s="146"/>
      <c r="W623" s="146"/>
      <c r="X623" s="146"/>
      <c r="Y623" s="146"/>
      <c r="Z623" s="146"/>
    </row>
    <row r="624" ht="22.5" customHeight="1">
      <c r="A624" s="308"/>
      <c r="B624" s="305"/>
      <c r="C624" s="305"/>
      <c r="D624" s="305"/>
      <c r="E624" s="305"/>
      <c r="F624" s="305"/>
      <c r="G624" s="307"/>
      <c r="H624" s="146"/>
      <c r="I624" s="146"/>
      <c r="J624" s="146"/>
      <c r="K624" s="146"/>
      <c r="L624" s="146"/>
      <c r="M624" s="146"/>
      <c r="N624" s="146"/>
      <c r="O624" s="146"/>
      <c r="P624" s="146"/>
      <c r="Q624" s="146"/>
      <c r="R624" s="146"/>
      <c r="S624" s="146"/>
      <c r="T624" s="146"/>
      <c r="U624" s="146"/>
      <c r="V624" s="146"/>
      <c r="W624" s="146"/>
      <c r="X624" s="146"/>
      <c r="Y624" s="146"/>
      <c r="Z624" s="146"/>
    </row>
    <row r="625" ht="22.5" customHeight="1">
      <c r="A625" s="308"/>
      <c r="B625" s="305"/>
      <c r="C625" s="305"/>
      <c r="D625" s="305"/>
      <c r="E625" s="305"/>
      <c r="F625" s="305"/>
      <c r="G625" s="307"/>
      <c r="H625" s="146"/>
      <c r="I625" s="146"/>
      <c r="J625" s="146"/>
      <c r="K625" s="146"/>
      <c r="L625" s="146"/>
      <c r="M625" s="146"/>
      <c r="N625" s="146"/>
      <c r="O625" s="146"/>
      <c r="P625" s="146"/>
      <c r="Q625" s="146"/>
      <c r="R625" s="146"/>
      <c r="S625" s="146"/>
      <c r="T625" s="146"/>
      <c r="U625" s="146"/>
      <c r="V625" s="146"/>
      <c r="W625" s="146"/>
      <c r="X625" s="146"/>
      <c r="Y625" s="146"/>
      <c r="Z625" s="146"/>
    </row>
    <row r="626" ht="22.5" customHeight="1">
      <c r="A626" s="308"/>
      <c r="B626" s="305"/>
      <c r="C626" s="305"/>
      <c r="D626" s="305"/>
      <c r="E626" s="305"/>
      <c r="F626" s="305"/>
      <c r="G626" s="307"/>
      <c r="H626" s="146"/>
      <c r="I626" s="146"/>
      <c r="J626" s="146"/>
      <c r="K626" s="146"/>
      <c r="L626" s="146"/>
      <c r="M626" s="146"/>
      <c r="N626" s="146"/>
      <c r="O626" s="146"/>
      <c r="P626" s="146"/>
      <c r="Q626" s="146"/>
      <c r="R626" s="146"/>
      <c r="S626" s="146"/>
      <c r="T626" s="146"/>
      <c r="U626" s="146"/>
      <c r="V626" s="146"/>
      <c r="W626" s="146"/>
      <c r="X626" s="146"/>
      <c r="Y626" s="146"/>
      <c r="Z626" s="146"/>
    </row>
    <row r="627" ht="22.5" customHeight="1">
      <c r="A627" s="308"/>
      <c r="B627" s="305"/>
      <c r="C627" s="305"/>
      <c r="D627" s="305"/>
      <c r="E627" s="305"/>
      <c r="F627" s="305"/>
      <c r="G627" s="307"/>
      <c r="H627" s="146"/>
      <c r="I627" s="146"/>
      <c r="J627" s="146"/>
      <c r="K627" s="146"/>
      <c r="L627" s="146"/>
      <c r="M627" s="146"/>
      <c r="N627" s="146"/>
      <c r="O627" s="146"/>
      <c r="P627" s="146"/>
      <c r="Q627" s="146"/>
      <c r="R627" s="146"/>
      <c r="S627" s="146"/>
      <c r="T627" s="146"/>
      <c r="U627" s="146"/>
      <c r="V627" s="146"/>
      <c r="W627" s="146"/>
      <c r="X627" s="146"/>
      <c r="Y627" s="146"/>
      <c r="Z627" s="146"/>
    </row>
    <row r="628" ht="22.5" customHeight="1">
      <c r="A628" s="308"/>
      <c r="B628" s="305"/>
      <c r="C628" s="305"/>
      <c r="D628" s="305"/>
      <c r="E628" s="305"/>
      <c r="F628" s="305"/>
      <c r="G628" s="307"/>
      <c r="H628" s="146"/>
      <c r="I628" s="146"/>
      <c r="J628" s="146"/>
      <c r="K628" s="146"/>
      <c r="L628" s="146"/>
      <c r="M628" s="146"/>
      <c r="N628" s="146"/>
      <c r="O628" s="146"/>
      <c r="P628" s="146"/>
      <c r="Q628" s="146"/>
      <c r="R628" s="146"/>
      <c r="S628" s="146"/>
      <c r="T628" s="146"/>
      <c r="U628" s="146"/>
      <c r="V628" s="146"/>
      <c r="W628" s="146"/>
      <c r="X628" s="146"/>
      <c r="Y628" s="146"/>
      <c r="Z628" s="146"/>
    </row>
    <row r="629" ht="22.5" customHeight="1">
      <c r="A629" s="308"/>
      <c r="B629" s="305"/>
      <c r="C629" s="305"/>
      <c r="D629" s="305"/>
      <c r="E629" s="305"/>
      <c r="F629" s="305"/>
      <c r="G629" s="307"/>
      <c r="H629" s="146"/>
      <c r="I629" s="146"/>
      <c r="J629" s="146"/>
      <c r="K629" s="146"/>
      <c r="L629" s="146"/>
      <c r="M629" s="146"/>
      <c r="N629" s="146"/>
      <c r="O629" s="146"/>
      <c r="P629" s="146"/>
      <c r="Q629" s="146"/>
      <c r="R629" s="146"/>
      <c r="S629" s="146"/>
      <c r="T629" s="146"/>
      <c r="U629" s="146"/>
      <c r="V629" s="146"/>
      <c r="W629" s="146"/>
      <c r="X629" s="146"/>
      <c r="Y629" s="146"/>
      <c r="Z629" s="146"/>
    </row>
    <row r="630" ht="22.5" customHeight="1">
      <c r="A630" s="308"/>
      <c r="B630" s="305"/>
      <c r="C630" s="305"/>
      <c r="D630" s="305"/>
      <c r="E630" s="305"/>
      <c r="F630" s="305"/>
      <c r="G630" s="307"/>
      <c r="H630" s="146"/>
      <c r="I630" s="146"/>
      <c r="J630" s="146"/>
      <c r="K630" s="146"/>
      <c r="L630" s="146"/>
      <c r="M630" s="146"/>
      <c r="N630" s="146"/>
      <c r="O630" s="146"/>
      <c r="P630" s="146"/>
      <c r="Q630" s="146"/>
      <c r="R630" s="146"/>
      <c r="S630" s="146"/>
      <c r="T630" s="146"/>
      <c r="U630" s="146"/>
      <c r="V630" s="146"/>
      <c r="W630" s="146"/>
      <c r="X630" s="146"/>
      <c r="Y630" s="146"/>
      <c r="Z630" s="146"/>
    </row>
    <row r="631" ht="22.5" customHeight="1">
      <c r="A631" s="308"/>
      <c r="B631" s="305"/>
      <c r="C631" s="305"/>
      <c r="D631" s="305"/>
      <c r="E631" s="305"/>
      <c r="F631" s="305"/>
      <c r="G631" s="307"/>
      <c r="H631" s="146"/>
      <c r="I631" s="146"/>
      <c r="J631" s="146"/>
      <c r="K631" s="146"/>
      <c r="L631" s="146"/>
      <c r="M631" s="146"/>
      <c r="N631" s="146"/>
      <c r="O631" s="146"/>
      <c r="P631" s="146"/>
      <c r="Q631" s="146"/>
      <c r="R631" s="146"/>
      <c r="S631" s="146"/>
      <c r="T631" s="146"/>
      <c r="U631" s="146"/>
      <c r="V631" s="146"/>
      <c r="W631" s="146"/>
      <c r="X631" s="146"/>
      <c r="Y631" s="146"/>
      <c r="Z631" s="146"/>
    </row>
    <row r="632" ht="22.5" customHeight="1">
      <c r="A632" s="308"/>
      <c r="B632" s="305"/>
      <c r="C632" s="305"/>
      <c r="D632" s="305"/>
      <c r="E632" s="305"/>
      <c r="F632" s="305"/>
      <c r="G632" s="307"/>
      <c r="H632" s="146"/>
      <c r="I632" s="146"/>
      <c r="J632" s="146"/>
      <c r="K632" s="146"/>
      <c r="L632" s="146"/>
      <c r="M632" s="146"/>
      <c r="N632" s="146"/>
      <c r="O632" s="146"/>
      <c r="P632" s="146"/>
      <c r="Q632" s="146"/>
      <c r="R632" s="146"/>
      <c r="S632" s="146"/>
      <c r="T632" s="146"/>
      <c r="U632" s="146"/>
      <c r="V632" s="146"/>
      <c r="W632" s="146"/>
      <c r="X632" s="146"/>
      <c r="Y632" s="146"/>
      <c r="Z632" s="146"/>
    </row>
    <row r="633" ht="22.5" customHeight="1">
      <c r="A633" s="308"/>
      <c r="B633" s="305"/>
      <c r="C633" s="305"/>
      <c r="D633" s="305"/>
      <c r="E633" s="305"/>
      <c r="F633" s="305"/>
      <c r="G633" s="307"/>
      <c r="H633" s="146"/>
      <c r="I633" s="146"/>
      <c r="J633" s="146"/>
      <c r="K633" s="146"/>
      <c r="L633" s="146"/>
      <c r="M633" s="146"/>
      <c r="N633" s="146"/>
      <c r="O633" s="146"/>
      <c r="P633" s="146"/>
      <c r="Q633" s="146"/>
      <c r="R633" s="146"/>
      <c r="S633" s="146"/>
      <c r="T633" s="146"/>
      <c r="U633" s="146"/>
      <c r="V633" s="146"/>
      <c r="W633" s="146"/>
      <c r="X633" s="146"/>
      <c r="Y633" s="146"/>
      <c r="Z633" s="146"/>
    </row>
    <row r="634" ht="22.5" customHeight="1">
      <c r="A634" s="308"/>
      <c r="B634" s="305"/>
      <c r="C634" s="305"/>
      <c r="D634" s="305"/>
      <c r="E634" s="305"/>
      <c r="F634" s="305"/>
      <c r="G634" s="307"/>
      <c r="H634" s="146"/>
      <c r="I634" s="146"/>
      <c r="J634" s="146"/>
      <c r="K634" s="146"/>
      <c r="L634" s="146"/>
      <c r="M634" s="146"/>
      <c r="N634" s="146"/>
      <c r="O634" s="146"/>
      <c r="P634" s="146"/>
      <c r="Q634" s="146"/>
      <c r="R634" s="146"/>
      <c r="S634" s="146"/>
      <c r="T634" s="146"/>
      <c r="U634" s="146"/>
      <c r="V634" s="146"/>
      <c r="W634" s="146"/>
      <c r="X634" s="146"/>
      <c r="Y634" s="146"/>
      <c r="Z634" s="146"/>
    </row>
    <row r="635" ht="22.5" customHeight="1">
      <c r="A635" s="308"/>
      <c r="B635" s="305"/>
      <c r="C635" s="305"/>
      <c r="D635" s="305"/>
      <c r="E635" s="305"/>
      <c r="F635" s="305"/>
      <c r="G635" s="307"/>
      <c r="H635" s="146"/>
      <c r="I635" s="146"/>
      <c r="J635" s="146"/>
      <c r="K635" s="146"/>
      <c r="L635" s="146"/>
      <c r="M635" s="146"/>
      <c r="N635" s="146"/>
      <c r="O635" s="146"/>
      <c r="P635" s="146"/>
      <c r="Q635" s="146"/>
      <c r="R635" s="146"/>
      <c r="S635" s="146"/>
      <c r="T635" s="146"/>
      <c r="U635" s="146"/>
      <c r="V635" s="146"/>
      <c r="W635" s="146"/>
      <c r="X635" s="146"/>
      <c r="Y635" s="146"/>
      <c r="Z635" s="146"/>
    </row>
    <row r="636" ht="22.5" customHeight="1">
      <c r="A636" s="308"/>
      <c r="B636" s="305"/>
      <c r="C636" s="305"/>
      <c r="D636" s="305"/>
      <c r="E636" s="305"/>
      <c r="F636" s="305"/>
      <c r="G636" s="307"/>
      <c r="H636" s="146"/>
      <c r="I636" s="146"/>
      <c r="J636" s="146"/>
      <c r="K636" s="146"/>
      <c r="L636" s="146"/>
      <c r="M636" s="146"/>
      <c r="N636" s="146"/>
      <c r="O636" s="146"/>
      <c r="P636" s="146"/>
      <c r="Q636" s="146"/>
      <c r="R636" s="146"/>
      <c r="S636" s="146"/>
      <c r="T636" s="146"/>
      <c r="U636" s="146"/>
      <c r="V636" s="146"/>
      <c r="W636" s="146"/>
      <c r="X636" s="146"/>
      <c r="Y636" s="146"/>
      <c r="Z636" s="146"/>
    </row>
    <row r="637" ht="22.5" customHeight="1">
      <c r="A637" s="308"/>
      <c r="B637" s="305"/>
      <c r="C637" s="305"/>
      <c r="D637" s="305"/>
      <c r="E637" s="305"/>
      <c r="F637" s="305"/>
      <c r="G637" s="307"/>
      <c r="H637" s="146"/>
      <c r="I637" s="146"/>
      <c r="J637" s="146"/>
      <c r="K637" s="146"/>
      <c r="L637" s="146"/>
      <c r="M637" s="146"/>
      <c r="N637" s="146"/>
      <c r="O637" s="146"/>
      <c r="P637" s="146"/>
      <c r="Q637" s="146"/>
      <c r="R637" s="146"/>
      <c r="S637" s="146"/>
      <c r="T637" s="146"/>
      <c r="U637" s="146"/>
      <c r="V637" s="146"/>
      <c r="W637" s="146"/>
      <c r="X637" s="146"/>
      <c r="Y637" s="146"/>
      <c r="Z637" s="146"/>
    </row>
    <row r="638" ht="22.5" customHeight="1">
      <c r="A638" s="308"/>
      <c r="B638" s="305"/>
      <c r="C638" s="305"/>
      <c r="D638" s="305"/>
      <c r="E638" s="305"/>
      <c r="F638" s="305"/>
      <c r="G638" s="307"/>
      <c r="H638" s="146"/>
      <c r="I638" s="146"/>
      <c r="J638" s="146"/>
      <c r="K638" s="146"/>
      <c r="L638" s="146"/>
      <c r="M638" s="146"/>
      <c r="N638" s="146"/>
      <c r="O638" s="146"/>
      <c r="P638" s="146"/>
      <c r="Q638" s="146"/>
      <c r="R638" s="146"/>
      <c r="S638" s="146"/>
      <c r="T638" s="146"/>
      <c r="U638" s="146"/>
      <c r="V638" s="146"/>
      <c r="W638" s="146"/>
      <c r="X638" s="146"/>
      <c r="Y638" s="146"/>
      <c r="Z638" s="146"/>
    </row>
    <row r="639" ht="22.5" customHeight="1">
      <c r="A639" s="308"/>
      <c r="B639" s="305"/>
      <c r="C639" s="305"/>
      <c r="D639" s="305"/>
      <c r="E639" s="305"/>
      <c r="F639" s="305"/>
      <c r="G639" s="307"/>
      <c r="H639" s="146"/>
      <c r="I639" s="146"/>
      <c r="J639" s="146"/>
      <c r="K639" s="146"/>
      <c r="L639" s="146"/>
      <c r="M639" s="146"/>
      <c r="N639" s="146"/>
      <c r="O639" s="146"/>
      <c r="P639" s="146"/>
      <c r="Q639" s="146"/>
      <c r="R639" s="146"/>
      <c r="S639" s="146"/>
      <c r="T639" s="146"/>
      <c r="U639" s="146"/>
      <c r="V639" s="146"/>
      <c r="W639" s="146"/>
      <c r="X639" s="146"/>
      <c r="Y639" s="146"/>
      <c r="Z639" s="146"/>
    </row>
    <row r="640" ht="22.5" customHeight="1">
      <c r="A640" s="308"/>
      <c r="B640" s="305"/>
      <c r="C640" s="305"/>
      <c r="D640" s="305"/>
      <c r="E640" s="305"/>
      <c r="F640" s="305"/>
      <c r="G640" s="307"/>
      <c r="H640" s="146"/>
      <c r="I640" s="146"/>
      <c r="J640" s="146"/>
      <c r="K640" s="146"/>
      <c r="L640" s="146"/>
      <c r="M640" s="146"/>
      <c r="N640" s="146"/>
      <c r="O640" s="146"/>
      <c r="P640" s="146"/>
      <c r="Q640" s="146"/>
      <c r="R640" s="146"/>
      <c r="S640" s="146"/>
      <c r="T640" s="146"/>
      <c r="U640" s="146"/>
      <c r="V640" s="146"/>
      <c r="W640" s="146"/>
      <c r="X640" s="146"/>
      <c r="Y640" s="146"/>
      <c r="Z640" s="146"/>
    </row>
    <row r="641" ht="22.5" customHeight="1">
      <c r="A641" s="308"/>
      <c r="B641" s="305"/>
      <c r="C641" s="305"/>
      <c r="D641" s="305"/>
      <c r="E641" s="305"/>
      <c r="F641" s="305"/>
      <c r="G641" s="307"/>
      <c r="H641" s="146"/>
      <c r="I641" s="146"/>
      <c r="J641" s="146"/>
      <c r="K641" s="146"/>
      <c r="L641" s="146"/>
      <c r="M641" s="146"/>
      <c r="N641" s="146"/>
      <c r="O641" s="146"/>
      <c r="P641" s="146"/>
      <c r="Q641" s="146"/>
      <c r="R641" s="146"/>
      <c r="S641" s="146"/>
      <c r="T641" s="146"/>
      <c r="U641" s="146"/>
      <c r="V641" s="146"/>
      <c r="W641" s="146"/>
      <c r="X641" s="146"/>
      <c r="Y641" s="146"/>
      <c r="Z641" s="146"/>
    </row>
    <row r="642" ht="22.5" customHeight="1">
      <c r="A642" s="308"/>
      <c r="B642" s="305"/>
      <c r="C642" s="305"/>
      <c r="D642" s="305"/>
      <c r="E642" s="305"/>
      <c r="F642" s="305"/>
      <c r="G642" s="307"/>
      <c r="H642" s="146"/>
      <c r="I642" s="146"/>
      <c r="J642" s="146"/>
      <c r="K642" s="146"/>
      <c r="L642" s="146"/>
      <c r="M642" s="146"/>
      <c r="N642" s="146"/>
      <c r="O642" s="146"/>
      <c r="P642" s="146"/>
      <c r="Q642" s="146"/>
      <c r="R642" s="146"/>
      <c r="S642" s="146"/>
      <c r="T642" s="146"/>
      <c r="U642" s="146"/>
      <c r="V642" s="146"/>
      <c r="W642" s="146"/>
      <c r="X642" s="146"/>
      <c r="Y642" s="146"/>
      <c r="Z642" s="146"/>
    </row>
    <row r="643" ht="22.5" customHeight="1">
      <c r="A643" s="308"/>
      <c r="B643" s="305"/>
      <c r="C643" s="305"/>
      <c r="D643" s="305"/>
      <c r="E643" s="305"/>
      <c r="F643" s="305"/>
      <c r="G643" s="307"/>
      <c r="H643" s="146"/>
      <c r="I643" s="146"/>
      <c r="J643" s="146"/>
      <c r="K643" s="146"/>
      <c r="L643" s="146"/>
      <c r="M643" s="146"/>
      <c r="N643" s="146"/>
      <c r="O643" s="146"/>
      <c r="P643" s="146"/>
      <c r="Q643" s="146"/>
      <c r="R643" s="146"/>
      <c r="S643" s="146"/>
      <c r="T643" s="146"/>
      <c r="U643" s="146"/>
      <c r="V643" s="146"/>
      <c r="W643" s="146"/>
      <c r="X643" s="146"/>
      <c r="Y643" s="146"/>
      <c r="Z643" s="146"/>
    </row>
    <row r="644" ht="22.5" customHeight="1">
      <c r="A644" s="308"/>
      <c r="B644" s="305"/>
      <c r="C644" s="305"/>
      <c r="D644" s="305"/>
      <c r="E644" s="305"/>
      <c r="F644" s="305"/>
      <c r="G644" s="307"/>
      <c r="H644" s="146"/>
      <c r="I644" s="146"/>
      <c r="J644" s="146"/>
      <c r="K644" s="146"/>
      <c r="L644" s="146"/>
      <c r="M644" s="146"/>
      <c r="N644" s="146"/>
      <c r="O644" s="146"/>
      <c r="P644" s="146"/>
      <c r="Q644" s="146"/>
      <c r="R644" s="146"/>
      <c r="S644" s="146"/>
      <c r="T644" s="146"/>
      <c r="U644" s="146"/>
      <c r="V644" s="146"/>
      <c r="W644" s="146"/>
      <c r="X644" s="146"/>
      <c r="Y644" s="146"/>
      <c r="Z644" s="146"/>
    </row>
    <row r="645" ht="22.5" customHeight="1">
      <c r="A645" s="308"/>
      <c r="B645" s="305"/>
      <c r="C645" s="305"/>
      <c r="D645" s="305"/>
      <c r="E645" s="305"/>
      <c r="F645" s="305"/>
      <c r="G645" s="307"/>
      <c r="H645" s="146"/>
      <c r="I645" s="146"/>
      <c r="J645" s="146"/>
      <c r="K645" s="146"/>
      <c r="L645" s="146"/>
      <c r="M645" s="146"/>
      <c r="N645" s="146"/>
      <c r="O645" s="146"/>
      <c r="P645" s="146"/>
      <c r="Q645" s="146"/>
      <c r="R645" s="146"/>
      <c r="S645" s="146"/>
      <c r="T645" s="146"/>
      <c r="U645" s="146"/>
      <c r="V645" s="146"/>
      <c r="W645" s="146"/>
      <c r="X645" s="146"/>
      <c r="Y645" s="146"/>
      <c r="Z645" s="146"/>
    </row>
    <row r="646" ht="22.5" customHeight="1">
      <c r="A646" s="308"/>
      <c r="B646" s="305"/>
      <c r="C646" s="305"/>
      <c r="D646" s="305"/>
      <c r="E646" s="305"/>
      <c r="F646" s="305"/>
      <c r="G646" s="307"/>
      <c r="H646" s="146"/>
      <c r="I646" s="146"/>
      <c r="J646" s="146"/>
      <c r="K646" s="146"/>
      <c r="L646" s="146"/>
      <c r="M646" s="146"/>
      <c r="N646" s="146"/>
      <c r="O646" s="146"/>
      <c r="P646" s="146"/>
      <c r="Q646" s="146"/>
      <c r="R646" s="146"/>
      <c r="S646" s="146"/>
      <c r="T646" s="146"/>
      <c r="U646" s="146"/>
      <c r="V646" s="146"/>
      <c r="W646" s="146"/>
      <c r="X646" s="146"/>
      <c r="Y646" s="146"/>
      <c r="Z646" s="146"/>
    </row>
    <row r="647" ht="22.5" customHeight="1">
      <c r="A647" s="308"/>
      <c r="B647" s="305"/>
      <c r="C647" s="305"/>
      <c r="D647" s="305"/>
      <c r="E647" s="305"/>
      <c r="F647" s="305"/>
      <c r="G647" s="307"/>
      <c r="H647" s="146"/>
      <c r="I647" s="146"/>
      <c r="J647" s="146"/>
      <c r="K647" s="146"/>
      <c r="L647" s="146"/>
      <c r="M647" s="146"/>
      <c r="N647" s="146"/>
      <c r="O647" s="146"/>
      <c r="P647" s="146"/>
      <c r="Q647" s="146"/>
      <c r="R647" s="146"/>
      <c r="S647" s="146"/>
      <c r="T647" s="146"/>
      <c r="U647" s="146"/>
      <c r="V647" s="146"/>
      <c r="W647" s="146"/>
      <c r="X647" s="146"/>
      <c r="Y647" s="146"/>
      <c r="Z647" s="146"/>
    </row>
    <row r="648" ht="22.5" customHeight="1">
      <c r="A648" s="308"/>
      <c r="B648" s="305"/>
      <c r="C648" s="305"/>
      <c r="D648" s="305"/>
      <c r="E648" s="305"/>
      <c r="F648" s="305"/>
      <c r="G648" s="307"/>
      <c r="H648" s="146"/>
      <c r="I648" s="146"/>
      <c r="J648" s="146"/>
      <c r="K648" s="146"/>
      <c r="L648" s="146"/>
      <c r="M648" s="146"/>
      <c r="N648" s="146"/>
      <c r="O648" s="146"/>
      <c r="P648" s="146"/>
      <c r="Q648" s="146"/>
      <c r="R648" s="146"/>
      <c r="S648" s="146"/>
      <c r="T648" s="146"/>
      <c r="U648" s="146"/>
      <c r="V648" s="146"/>
      <c r="W648" s="146"/>
      <c r="X648" s="146"/>
      <c r="Y648" s="146"/>
      <c r="Z648" s="146"/>
    </row>
    <row r="649" ht="22.5" customHeight="1">
      <c r="A649" s="308"/>
      <c r="B649" s="305"/>
      <c r="C649" s="305"/>
      <c r="D649" s="305"/>
      <c r="E649" s="305"/>
      <c r="F649" s="305"/>
      <c r="G649" s="307"/>
      <c r="H649" s="146"/>
      <c r="I649" s="146"/>
      <c r="J649" s="146"/>
      <c r="K649" s="146"/>
      <c r="L649" s="146"/>
      <c r="M649" s="146"/>
      <c r="N649" s="146"/>
      <c r="O649" s="146"/>
      <c r="P649" s="146"/>
      <c r="Q649" s="146"/>
      <c r="R649" s="146"/>
      <c r="S649" s="146"/>
      <c r="T649" s="146"/>
      <c r="U649" s="146"/>
      <c r="V649" s="146"/>
      <c r="W649" s="146"/>
      <c r="X649" s="146"/>
      <c r="Y649" s="146"/>
      <c r="Z649" s="146"/>
    </row>
    <row r="650" ht="22.5" customHeight="1">
      <c r="A650" s="308"/>
      <c r="B650" s="305"/>
      <c r="C650" s="305"/>
      <c r="D650" s="305"/>
      <c r="E650" s="305"/>
      <c r="F650" s="305"/>
      <c r="G650" s="307"/>
      <c r="H650" s="146"/>
      <c r="I650" s="146"/>
      <c r="J650" s="146"/>
      <c r="K650" s="146"/>
      <c r="L650" s="146"/>
      <c r="M650" s="146"/>
      <c r="N650" s="146"/>
      <c r="O650" s="146"/>
      <c r="P650" s="146"/>
      <c r="Q650" s="146"/>
      <c r="R650" s="146"/>
      <c r="S650" s="146"/>
      <c r="T650" s="146"/>
      <c r="U650" s="146"/>
      <c r="V650" s="146"/>
      <c r="W650" s="146"/>
      <c r="X650" s="146"/>
      <c r="Y650" s="146"/>
      <c r="Z650" s="146"/>
    </row>
    <row r="651" ht="22.5" customHeight="1">
      <c r="A651" s="308"/>
      <c r="B651" s="305"/>
      <c r="C651" s="305"/>
      <c r="D651" s="305"/>
      <c r="E651" s="305"/>
      <c r="F651" s="305"/>
      <c r="G651" s="307"/>
      <c r="H651" s="146"/>
      <c r="I651" s="146"/>
      <c r="J651" s="146"/>
      <c r="K651" s="146"/>
      <c r="L651" s="146"/>
      <c r="M651" s="146"/>
      <c r="N651" s="146"/>
      <c r="O651" s="146"/>
      <c r="P651" s="146"/>
      <c r="Q651" s="146"/>
      <c r="R651" s="146"/>
      <c r="S651" s="146"/>
      <c r="T651" s="146"/>
      <c r="U651" s="146"/>
      <c r="V651" s="146"/>
      <c r="W651" s="146"/>
      <c r="X651" s="146"/>
      <c r="Y651" s="146"/>
      <c r="Z651" s="146"/>
    </row>
    <row r="652" ht="22.5" customHeight="1">
      <c r="A652" s="308"/>
      <c r="B652" s="305"/>
      <c r="C652" s="305"/>
      <c r="D652" s="305"/>
      <c r="E652" s="305"/>
      <c r="F652" s="305"/>
      <c r="G652" s="307"/>
      <c r="H652" s="146"/>
      <c r="I652" s="146"/>
      <c r="J652" s="146"/>
      <c r="K652" s="146"/>
      <c r="L652" s="146"/>
      <c r="M652" s="146"/>
      <c r="N652" s="146"/>
      <c r="O652" s="146"/>
      <c r="P652" s="146"/>
      <c r="Q652" s="146"/>
      <c r="R652" s="146"/>
      <c r="S652" s="146"/>
      <c r="T652" s="146"/>
      <c r="U652" s="146"/>
      <c r="V652" s="146"/>
      <c r="W652" s="146"/>
      <c r="X652" s="146"/>
      <c r="Y652" s="146"/>
      <c r="Z652" s="146"/>
    </row>
    <row r="653" ht="22.5" customHeight="1">
      <c r="A653" s="308"/>
      <c r="B653" s="305"/>
      <c r="C653" s="305"/>
      <c r="D653" s="305"/>
      <c r="E653" s="305"/>
      <c r="F653" s="305"/>
      <c r="G653" s="307"/>
      <c r="H653" s="146"/>
      <c r="I653" s="146"/>
      <c r="J653" s="146"/>
      <c r="K653" s="146"/>
      <c r="L653" s="146"/>
      <c r="M653" s="146"/>
      <c r="N653" s="146"/>
      <c r="O653" s="146"/>
      <c r="P653" s="146"/>
      <c r="Q653" s="146"/>
      <c r="R653" s="146"/>
      <c r="S653" s="146"/>
      <c r="T653" s="146"/>
      <c r="U653" s="146"/>
      <c r="V653" s="146"/>
      <c r="W653" s="146"/>
      <c r="X653" s="146"/>
      <c r="Y653" s="146"/>
      <c r="Z653" s="146"/>
    </row>
    <row r="654" ht="22.5" customHeight="1">
      <c r="A654" s="308"/>
      <c r="B654" s="305"/>
      <c r="C654" s="305"/>
      <c r="D654" s="305"/>
      <c r="E654" s="305"/>
      <c r="F654" s="305"/>
      <c r="G654" s="307"/>
      <c r="H654" s="146"/>
      <c r="I654" s="146"/>
      <c r="J654" s="146"/>
      <c r="K654" s="146"/>
      <c r="L654" s="146"/>
      <c r="M654" s="146"/>
      <c r="N654" s="146"/>
      <c r="O654" s="146"/>
      <c r="P654" s="146"/>
      <c r="Q654" s="146"/>
      <c r="R654" s="146"/>
      <c r="S654" s="146"/>
      <c r="T654" s="146"/>
      <c r="U654" s="146"/>
      <c r="V654" s="146"/>
      <c r="W654" s="146"/>
      <c r="X654" s="146"/>
      <c r="Y654" s="146"/>
      <c r="Z654" s="146"/>
    </row>
    <row r="655" ht="22.5" customHeight="1">
      <c r="A655" s="308"/>
      <c r="B655" s="305"/>
      <c r="C655" s="305"/>
      <c r="D655" s="305"/>
      <c r="E655" s="305"/>
      <c r="F655" s="305"/>
      <c r="G655" s="307"/>
      <c r="H655" s="146"/>
      <c r="I655" s="146"/>
      <c r="J655" s="146"/>
      <c r="K655" s="146"/>
      <c r="L655" s="146"/>
      <c r="M655" s="146"/>
      <c r="N655" s="146"/>
      <c r="O655" s="146"/>
      <c r="P655" s="146"/>
      <c r="Q655" s="146"/>
      <c r="R655" s="146"/>
      <c r="S655" s="146"/>
      <c r="T655" s="146"/>
      <c r="U655" s="146"/>
      <c r="V655" s="146"/>
      <c r="W655" s="146"/>
      <c r="X655" s="146"/>
      <c r="Y655" s="146"/>
      <c r="Z655" s="146"/>
    </row>
    <row r="656" ht="22.5" customHeight="1">
      <c r="A656" s="308"/>
      <c r="B656" s="305"/>
      <c r="C656" s="305"/>
      <c r="D656" s="305"/>
      <c r="E656" s="305"/>
      <c r="F656" s="305"/>
      <c r="G656" s="307"/>
      <c r="H656" s="146"/>
      <c r="I656" s="146"/>
      <c r="J656" s="146"/>
      <c r="K656" s="146"/>
      <c r="L656" s="146"/>
      <c r="M656" s="146"/>
      <c r="N656" s="146"/>
      <c r="O656" s="146"/>
      <c r="P656" s="146"/>
      <c r="Q656" s="146"/>
      <c r="R656" s="146"/>
      <c r="S656" s="146"/>
      <c r="T656" s="146"/>
      <c r="U656" s="146"/>
      <c r="V656" s="146"/>
      <c r="W656" s="146"/>
      <c r="X656" s="146"/>
      <c r="Y656" s="146"/>
      <c r="Z656" s="146"/>
    </row>
    <row r="657" ht="22.5" customHeight="1">
      <c r="A657" s="308"/>
      <c r="B657" s="305"/>
      <c r="C657" s="305"/>
      <c r="D657" s="305"/>
      <c r="E657" s="305"/>
      <c r="F657" s="305"/>
      <c r="G657" s="307"/>
      <c r="H657" s="146"/>
      <c r="I657" s="146"/>
      <c r="J657" s="146"/>
      <c r="K657" s="146"/>
      <c r="L657" s="146"/>
      <c r="M657" s="146"/>
      <c r="N657" s="146"/>
      <c r="O657" s="146"/>
      <c r="P657" s="146"/>
      <c r="Q657" s="146"/>
      <c r="R657" s="146"/>
      <c r="S657" s="146"/>
      <c r="T657" s="146"/>
      <c r="U657" s="146"/>
      <c r="V657" s="146"/>
      <c r="W657" s="146"/>
      <c r="X657" s="146"/>
      <c r="Y657" s="146"/>
      <c r="Z657" s="146"/>
    </row>
    <row r="658" ht="22.5" customHeight="1">
      <c r="A658" s="308"/>
      <c r="B658" s="305"/>
      <c r="C658" s="305"/>
      <c r="D658" s="305"/>
      <c r="E658" s="305"/>
      <c r="F658" s="305"/>
      <c r="G658" s="307"/>
      <c r="H658" s="146"/>
      <c r="I658" s="146"/>
      <c r="J658" s="146"/>
      <c r="K658" s="146"/>
      <c r="L658" s="146"/>
      <c r="M658" s="146"/>
      <c r="N658" s="146"/>
      <c r="O658" s="146"/>
      <c r="P658" s="146"/>
      <c r="Q658" s="146"/>
      <c r="R658" s="146"/>
      <c r="S658" s="146"/>
      <c r="T658" s="146"/>
      <c r="U658" s="146"/>
      <c r="V658" s="146"/>
      <c r="W658" s="146"/>
      <c r="X658" s="146"/>
      <c r="Y658" s="146"/>
      <c r="Z658" s="146"/>
    </row>
    <row r="659" ht="22.5" customHeight="1">
      <c r="A659" s="308"/>
      <c r="B659" s="305"/>
      <c r="C659" s="305"/>
      <c r="D659" s="305"/>
      <c r="E659" s="305"/>
      <c r="F659" s="305"/>
      <c r="G659" s="307"/>
      <c r="H659" s="146"/>
      <c r="I659" s="146"/>
      <c r="J659" s="146"/>
      <c r="K659" s="146"/>
      <c r="L659" s="146"/>
      <c r="M659" s="146"/>
      <c r="N659" s="146"/>
      <c r="O659" s="146"/>
      <c r="P659" s="146"/>
      <c r="Q659" s="146"/>
      <c r="R659" s="146"/>
      <c r="S659" s="146"/>
      <c r="T659" s="146"/>
      <c r="U659" s="146"/>
      <c r="V659" s="146"/>
      <c r="W659" s="146"/>
      <c r="X659" s="146"/>
      <c r="Y659" s="146"/>
      <c r="Z659" s="146"/>
    </row>
    <row r="660" ht="22.5" customHeight="1">
      <c r="A660" s="308"/>
      <c r="B660" s="305"/>
      <c r="C660" s="305"/>
      <c r="D660" s="305"/>
      <c r="E660" s="305"/>
      <c r="F660" s="305"/>
      <c r="G660" s="307"/>
      <c r="H660" s="146"/>
      <c r="I660" s="146"/>
      <c r="J660" s="146"/>
      <c r="K660" s="146"/>
      <c r="L660" s="146"/>
      <c r="M660" s="146"/>
      <c r="N660" s="146"/>
      <c r="O660" s="146"/>
      <c r="P660" s="146"/>
      <c r="Q660" s="146"/>
      <c r="R660" s="146"/>
      <c r="S660" s="146"/>
      <c r="T660" s="146"/>
      <c r="U660" s="146"/>
      <c r="V660" s="146"/>
      <c r="W660" s="146"/>
      <c r="X660" s="146"/>
      <c r="Y660" s="146"/>
      <c r="Z660" s="146"/>
    </row>
    <row r="661" ht="22.5" customHeight="1">
      <c r="A661" s="308"/>
      <c r="B661" s="305"/>
      <c r="C661" s="305"/>
      <c r="D661" s="305"/>
      <c r="E661" s="305"/>
      <c r="F661" s="305"/>
      <c r="G661" s="307"/>
      <c r="H661" s="146"/>
      <c r="I661" s="146"/>
      <c r="J661" s="146"/>
      <c r="K661" s="146"/>
      <c r="L661" s="146"/>
      <c r="M661" s="146"/>
      <c r="N661" s="146"/>
      <c r="O661" s="146"/>
      <c r="P661" s="146"/>
      <c r="Q661" s="146"/>
      <c r="R661" s="146"/>
      <c r="S661" s="146"/>
      <c r="T661" s="146"/>
      <c r="U661" s="146"/>
      <c r="V661" s="146"/>
      <c r="W661" s="146"/>
      <c r="X661" s="146"/>
      <c r="Y661" s="146"/>
      <c r="Z661" s="146"/>
    </row>
    <row r="662" ht="22.5" customHeight="1">
      <c r="A662" s="308"/>
      <c r="B662" s="305"/>
      <c r="C662" s="305"/>
      <c r="D662" s="305"/>
      <c r="E662" s="305"/>
      <c r="F662" s="305"/>
      <c r="G662" s="307"/>
      <c r="H662" s="146"/>
      <c r="I662" s="146"/>
      <c r="J662" s="146"/>
      <c r="K662" s="146"/>
      <c r="L662" s="146"/>
      <c r="M662" s="146"/>
      <c r="N662" s="146"/>
      <c r="O662" s="146"/>
      <c r="P662" s="146"/>
      <c r="Q662" s="146"/>
      <c r="R662" s="146"/>
      <c r="S662" s="146"/>
      <c r="T662" s="146"/>
      <c r="U662" s="146"/>
      <c r="V662" s="146"/>
      <c r="W662" s="146"/>
      <c r="X662" s="146"/>
      <c r="Y662" s="146"/>
      <c r="Z662" s="146"/>
    </row>
    <row r="663" ht="22.5" customHeight="1">
      <c r="A663" s="308"/>
      <c r="B663" s="305"/>
      <c r="C663" s="305"/>
      <c r="D663" s="305"/>
      <c r="E663" s="305"/>
      <c r="F663" s="305"/>
      <c r="G663" s="307"/>
      <c r="H663" s="146"/>
      <c r="I663" s="146"/>
      <c r="J663" s="146"/>
      <c r="K663" s="146"/>
      <c r="L663" s="146"/>
      <c r="M663" s="146"/>
      <c r="N663" s="146"/>
      <c r="O663" s="146"/>
      <c r="P663" s="146"/>
      <c r="Q663" s="146"/>
      <c r="R663" s="146"/>
      <c r="S663" s="146"/>
      <c r="T663" s="146"/>
      <c r="U663" s="146"/>
      <c r="V663" s="146"/>
      <c r="W663" s="146"/>
      <c r="X663" s="146"/>
      <c r="Y663" s="146"/>
      <c r="Z663" s="146"/>
    </row>
    <row r="664" ht="22.5" customHeight="1">
      <c r="A664" s="308"/>
      <c r="B664" s="305"/>
      <c r="C664" s="305"/>
      <c r="D664" s="305"/>
      <c r="E664" s="305"/>
      <c r="F664" s="305"/>
      <c r="G664" s="307"/>
      <c r="H664" s="146"/>
      <c r="I664" s="146"/>
      <c r="J664" s="146"/>
      <c r="K664" s="146"/>
      <c r="L664" s="146"/>
      <c r="M664" s="146"/>
      <c r="N664" s="146"/>
      <c r="O664" s="146"/>
      <c r="P664" s="146"/>
      <c r="Q664" s="146"/>
      <c r="R664" s="146"/>
      <c r="S664" s="146"/>
      <c r="T664" s="146"/>
      <c r="U664" s="146"/>
      <c r="V664" s="146"/>
      <c r="W664" s="146"/>
      <c r="X664" s="146"/>
      <c r="Y664" s="146"/>
      <c r="Z664" s="146"/>
    </row>
    <row r="665" ht="22.5" customHeight="1">
      <c r="A665" s="308"/>
      <c r="B665" s="305"/>
      <c r="C665" s="305"/>
      <c r="D665" s="305"/>
      <c r="E665" s="305"/>
      <c r="F665" s="305"/>
      <c r="G665" s="307"/>
      <c r="H665" s="146"/>
      <c r="I665" s="146"/>
      <c r="J665" s="146"/>
      <c r="K665" s="146"/>
      <c r="L665" s="146"/>
      <c r="M665" s="146"/>
      <c r="N665" s="146"/>
      <c r="O665" s="146"/>
      <c r="P665" s="146"/>
      <c r="Q665" s="146"/>
      <c r="R665" s="146"/>
      <c r="S665" s="146"/>
      <c r="T665" s="146"/>
      <c r="U665" s="146"/>
      <c r="V665" s="146"/>
      <c r="W665" s="146"/>
      <c r="X665" s="146"/>
      <c r="Y665" s="146"/>
      <c r="Z665" s="146"/>
    </row>
    <row r="666" ht="22.5" customHeight="1">
      <c r="A666" s="308"/>
      <c r="B666" s="305"/>
      <c r="C666" s="305"/>
      <c r="D666" s="305"/>
      <c r="E666" s="305"/>
      <c r="F666" s="305"/>
      <c r="G666" s="307"/>
      <c r="H666" s="146"/>
      <c r="I666" s="146"/>
      <c r="J666" s="146"/>
      <c r="K666" s="146"/>
      <c r="L666" s="146"/>
      <c r="M666" s="146"/>
      <c r="N666" s="146"/>
      <c r="O666" s="146"/>
      <c r="P666" s="146"/>
      <c r="Q666" s="146"/>
      <c r="R666" s="146"/>
      <c r="S666" s="146"/>
      <c r="T666" s="146"/>
      <c r="U666" s="146"/>
      <c r="V666" s="146"/>
      <c r="W666" s="146"/>
      <c r="X666" s="146"/>
      <c r="Y666" s="146"/>
      <c r="Z666" s="146"/>
    </row>
    <row r="667" ht="22.5" customHeight="1">
      <c r="A667" s="308"/>
      <c r="B667" s="305"/>
      <c r="C667" s="305"/>
      <c r="D667" s="305"/>
      <c r="E667" s="305"/>
      <c r="F667" s="305"/>
      <c r="G667" s="307"/>
      <c r="H667" s="146"/>
      <c r="I667" s="146"/>
      <c r="J667" s="146"/>
      <c r="K667" s="146"/>
      <c r="L667" s="146"/>
      <c r="M667" s="146"/>
      <c r="N667" s="146"/>
      <c r="O667" s="146"/>
      <c r="P667" s="146"/>
      <c r="Q667" s="146"/>
      <c r="R667" s="146"/>
      <c r="S667" s="146"/>
      <c r="T667" s="146"/>
      <c r="U667" s="146"/>
      <c r="V667" s="146"/>
      <c r="W667" s="146"/>
      <c r="X667" s="146"/>
      <c r="Y667" s="146"/>
      <c r="Z667" s="146"/>
    </row>
    <row r="668" ht="22.5" customHeight="1">
      <c r="A668" s="308"/>
      <c r="B668" s="305"/>
      <c r="C668" s="305"/>
      <c r="D668" s="305"/>
      <c r="E668" s="305"/>
      <c r="F668" s="305"/>
      <c r="G668" s="307"/>
      <c r="H668" s="146"/>
      <c r="I668" s="146"/>
      <c r="J668" s="146"/>
      <c r="K668" s="146"/>
      <c r="L668" s="146"/>
      <c r="M668" s="146"/>
      <c r="N668" s="146"/>
      <c r="O668" s="146"/>
      <c r="P668" s="146"/>
      <c r="Q668" s="146"/>
      <c r="R668" s="146"/>
      <c r="S668" s="146"/>
      <c r="T668" s="146"/>
      <c r="U668" s="146"/>
      <c r="V668" s="146"/>
      <c r="W668" s="146"/>
      <c r="X668" s="146"/>
      <c r="Y668" s="146"/>
      <c r="Z668" s="146"/>
    </row>
    <row r="669" ht="22.5" customHeight="1">
      <c r="A669" s="308"/>
      <c r="B669" s="305"/>
      <c r="C669" s="305"/>
      <c r="D669" s="305"/>
      <c r="E669" s="305"/>
      <c r="F669" s="305"/>
      <c r="G669" s="307"/>
      <c r="H669" s="146"/>
      <c r="I669" s="146"/>
      <c r="J669" s="146"/>
      <c r="K669" s="146"/>
      <c r="L669" s="146"/>
      <c r="M669" s="146"/>
      <c r="N669" s="146"/>
      <c r="O669" s="146"/>
      <c r="P669" s="146"/>
      <c r="Q669" s="146"/>
      <c r="R669" s="146"/>
      <c r="S669" s="146"/>
      <c r="T669" s="146"/>
      <c r="U669" s="146"/>
      <c r="V669" s="146"/>
      <c r="W669" s="146"/>
      <c r="X669" s="146"/>
      <c r="Y669" s="146"/>
      <c r="Z669" s="146"/>
    </row>
    <row r="670" ht="22.5" customHeight="1">
      <c r="A670" s="308"/>
      <c r="B670" s="305"/>
      <c r="C670" s="305"/>
      <c r="D670" s="305"/>
      <c r="E670" s="305"/>
      <c r="F670" s="305"/>
      <c r="G670" s="307"/>
      <c r="H670" s="146"/>
      <c r="I670" s="146"/>
      <c r="J670" s="146"/>
      <c r="K670" s="146"/>
      <c r="L670" s="146"/>
      <c r="M670" s="146"/>
      <c r="N670" s="146"/>
      <c r="O670" s="146"/>
      <c r="P670" s="146"/>
      <c r="Q670" s="146"/>
      <c r="R670" s="146"/>
      <c r="S670" s="146"/>
      <c r="T670" s="146"/>
      <c r="U670" s="146"/>
      <c r="V670" s="146"/>
      <c r="W670" s="146"/>
      <c r="X670" s="146"/>
      <c r="Y670" s="146"/>
      <c r="Z670" s="146"/>
    </row>
    <row r="671" ht="22.5" customHeight="1">
      <c r="A671" s="308"/>
      <c r="B671" s="305"/>
      <c r="C671" s="305"/>
      <c r="D671" s="305"/>
      <c r="E671" s="305"/>
      <c r="F671" s="305"/>
      <c r="G671" s="307"/>
      <c r="H671" s="146"/>
      <c r="I671" s="146"/>
      <c r="J671" s="146"/>
      <c r="K671" s="146"/>
      <c r="L671" s="146"/>
      <c r="M671" s="146"/>
      <c r="N671" s="146"/>
      <c r="O671" s="146"/>
      <c r="P671" s="146"/>
      <c r="Q671" s="146"/>
      <c r="R671" s="146"/>
      <c r="S671" s="146"/>
      <c r="T671" s="146"/>
      <c r="U671" s="146"/>
      <c r="V671" s="146"/>
      <c r="W671" s="146"/>
      <c r="X671" s="146"/>
      <c r="Y671" s="146"/>
      <c r="Z671" s="146"/>
    </row>
    <row r="672" ht="22.5" customHeight="1">
      <c r="A672" s="308"/>
      <c r="B672" s="305"/>
      <c r="C672" s="305"/>
      <c r="D672" s="305"/>
      <c r="E672" s="305"/>
      <c r="F672" s="305"/>
      <c r="G672" s="307"/>
      <c r="H672" s="146"/>
      <c r="I672" s="146"/>
      <c r="J672" s="146"/>
      <c r="K672" s="146"/>
      <c r="L672" s="146"/>
      <c r="M672" s="146"/>
      <c r="N672" s="146"/>
      <c r="O672" s="146"/>
      <c r="P672" s="146"/>
      <c r="Q672" s="146"/>
      <c r="R672" s="146"/>
      <c r="S672" s="146"/>
      <c r="T672" s="146"/>
      <c r="U672" s="146"/>
      <c r="V672" s="146"/>
      <c r="W672" s="146"/>
      <c r="X672" s="146"/>
      <c r="Y672" s="146"/>
      <c r="Z672" s="146"/>
    </row>
    <row r="673" ht="22.5" customHeight="1">
      <c r="A673" s="308"/>
      <c r="B673" s="305"/>
      <c r="C673" s="305"/>
      <c r="D673" s="305"/>
      <c r="E673" s="305"/>
      <c r="F673" s="305"/>
      <c r="G673" s="307"/>
      <c r="H673" s="146"/>
      <c r="I673" s="146"/>
      <c r="J673" s="146"/>
      <c r="K673" s="146"/>
      <c r="L673" s="146"/>
      <c r="M673" s="146"/>
      <c r="N673" s="146"/>
      <c r="O673" s="146"/>
      <c r="P673" s="146"/>
      <c r="Q673" s="146"/>
      <c r="R673" s="146"/>
      <c r="S673" s="146"/>
      <c r="T673" s="146"/>
      <c r="U673" s="146"/>
      <c r="V673" s="146"/>
      <c r="W673" s="146"/>
      <c r="X673" s="146"/>
      <c r="Y673" s="146"/>
      <c r="Z673" s="146"/>
    </row>
    <row r="674" ht="22.5" customHeight="1">
      <c r="A674" s="308"/>
      <c r="B674" s="305"/>
      <c r="C674" s="305"/>
      <c r="D674" s="305"/>
      <c r="E674" s="305"/>
      <c r="F674" s="305"/>
      <c r="G674" s="307"/>
      <c r="H674" s="146"/>
      <c r="I674" s="146"/>
      <c r="J674" s="146"/>
      <c r="K674" s="146"/>
      <c r="L674" s="146"/>
      <c r="M674" s="146"/>
      <c r="N674" s="146"/>
      <c r="O674" s="146"/>
      <c r="P674" s="146"/>
      <c r="Q674" s="146"/>
      <c r="R674" s="146"/>
      <c r="S674" s="146"/>
      <c r="T674" s="146"/>
      <c r="U674" s="146"/>
      <c r="V674" s="146"/>
      <c r="W674" s="146"/>
      <c r="X674" s="146"/>
      <c r="Y674" s="146"/>
      <c r="Z674" s="146"/>
    </row>
    <row r="675" ht="22.5" customHeight="1">
      <c r="A675" s="308"/>
      <c r="B675" s="305"/>
      <c r="C675" s="305"/>
      <c r="D675" s="305"/>
      <c r="E675" s="305"/>
      <c r="F675" s="305"/>
      <c r="G675" s="307"/>
      <c r="H675" s="146"/>
      <c r="I675" s="146"/>
      <c r="J675" s="146"/>
      <c r="K675" s="146"/>
      <c r="L675" s="146"/>
      <c r="M675" s="146"/>
      <c r="N675" s="146"/>
      <c r="O675" s="146"/>
      <c r="P675" s="146"/>
      <c r="Q675" s="146"/>
      <c r="R675" s="146"/>
      <c r="S675" s="146"/>
      <c r="T675" s="146"/>
      <c r="U675" s="146"/>
      <c r="V675" s="146"/>
      <c r="W675" s="146"/>
      <c r="X675" s="146"/>
      <c r="Y675" s="146"/>
      <c r="Z675" s="146"/>
    </row>
    <row r="676" ht="22.5" customHeight="1">
      <c r="A676" s="308"/>
      <c r="B676" s="305"/>
      <c r="C676" s="305"/>
      <c r="D676" s="305"/>
      <c r="E676" s="305"/>
      <c r="F676" s="305"/>
      <c r="G676" s="307"/>
      <c r="H676" s="146"/>
      <c r="I676" s="146"/>
      <c r="J676" s="146"/>
      <c r="K676" s="146"/>
      <c r="L676" s="146"/>
      <c r="M676" s="146"/>
      <c r="N676" s="146"/>
      <c r="O676" s="146"/>
      <c r="P676" s="146"/>
      <c r="Q676" s="146"/>
      <c r="R676" s="146"/>
      <c r="S676" s="146"/>
      <c r="T676" s="146"/>
      <c r="U676" s="146"/>
      <c r="V676" s="146"/>
      <c r="W676" s="146"/>
      <c r="X676" s="146"/>
      <c r="Y676" s="146"/>
      <c r="Z676" s="146"/>
    </row>
    <row r="677" ht="22.5" customHeight="1">
      <c r="A677" s="308"/>
      <c r="B677" s="305"/>
      <c r="C677" s="305"/>
      <c r="D677" s="305"/>
      <c r="E677" s="305"/>
      <c r="F677" s="305"/>
      <c r="G677" s="307"/>
      <c r="H677" s="146"/>
      <c r="I677" s="146"/>
      <c r="J677" s="146"/>
      <c r="K677" s="146"/>
      <c r="L677" s="146"/>
      <c r="M677" s="146"/>
      <c r="N677" s="146"/>
      <c r="O677" s="146"/>
      <c r="P677" s="146"/>
      <c r="Q677" s="146"/>
      <c r="R677" s="146"/>
      <c r="S677" s="146"/>
      <c r="T677" s="146"/>
      <c r="U677" s="146"/>
      <c r="V677" s="146"/>
      <c r="W677" s="146"/>
      <c r="X677" s="146"/>
      <c r="Y677" s="146"/>
      <c r="Z677" s="146"/>
    </row>
    <row r="678" ht="22.5" customHeight="1">
      <c r="A678" s="308"/>
      <c r="B678" s="305"/>
      <c r="C678" s="305"/>
      <c r="D678" s="305"/>
      <c r="E678" s="305"/>
      <c r="F678" s="305"/>
      <c r="G678" s="307"/>
      <c r="H678" s="146"/>
      <c r="I678" s="146"/>
      <c r="J678" s="146"/>
      <c r="K678" s="146"/>
      <c r="L678" s="146"/>
      <c r="M678" s="146"/>
      <c r="N678" s="146"/>
      <c r="O678" s="146"/>
      <c r="P678" s="146"/>
      <c r="Q678" s="146"/>
      <c r="R678" s="146"/>
      <c r="S678" s="146"/>
      <c r="T678" s="146"/>
      <c r="U678" s="146"/>
      <c r="V678" s="146"/>
      <c r="W678" s="146"/>
      <c r="X678" s="146"/>
      <c r="Y678" s="146"/>
      <c r="Z678" s="146"/>
    </row>
    <row r="679" ht="22.5" customHeight="1">
      <c r="A679" s="308"/>
      <c r="B679" s="305"/>
      <c r="C679" s="305"/>
      <c r="D679" s="305"/>
      <c r="E679" s="305"/>
      <c r="F679" s="305"/>
      <c r="G679" s="307"/>
      <c r="H679" s="146"/>
      <c r="I679" s="146"/>
      <c r="J679" s="146"/>
      <c r="K679" s="146"/>
      <c r="L679" s="146"/>
      <c r="M679" s="146"/>
      <c r="N679" s="146"/>
      <c r="O679" s="146"/>
      <c r="P679" s="146"/>
      <c r="Q679" s="146"/>
      <c r="R679" s="146"/>
      <c r="S679" s="146"/>
      <c r="T679" s="146"/>
      <c r="U679" s="146"/>
      <c r="V679" s="146"/>
      <c r="W679" s="146"/>
      <c r="X679" s="146"/>
      <c r="Y679" s="146"/>
      <c r="Z679" s="146"/>
    </row>
    <row r="680" ht="22.5" customHeight="1">
      <c r="A680" s="308"/>
      <c r="B680" s="305"/>
      <c r="C680" s="305"/>
      <c r="D680" s="305"/>
      <c r="E680" s="305"/>
      <c r="F680" s="305"/>
      <c r="G680" s="307"/>
      <c r="H680" s="146"/>
      <c r="I680" s="146"/>
      <c r="J680" s="146"/>
      <c r="K680" s="146"/>
      <c r="L680" s="146"/>
      <c r="M680" s="146"/>
      <c r="N680" s="146"/>
      <c r="O680" s="146"/>
      <c r="P680" s="146"/>
      <c r="Q680" s="146"/>
      <c r="R680" s="146"/>
      <c r="S680" s="146"/>
      <c r="T680" s="146"/>
      <c r="U680" s="146"/>
      <c r="V680" s="146"/>
      <c r="W680" s="146"/>
      <c r="X680" s="146"/>
      <c r="Y680" s="146"/>
      <c r="Z680" s="146"/>
    </row>
    <row r="681" ht="22.5" customHeight="1">
      <c r="A681" s="308"/>
      <c r="B681" s="305"/>
      <c r="C681" s="305"/>
      <c r="D681" s="305"/>
      <c r="E681" s="305"/>
      <c r="F681" s="305"/>
      <c r="G681" s="307"/>
      <c r="H681" s="146"/>
      <c r="I681" s="146"/>
      <c r="J681" s="146"/>
      <c r="K681" s="146"/>
      <c r="L681" s="146"/>
      <c r="M681" s="146"/>
      <c r="N681" s="146"/>
      <c r="O681" s="146"/>
      <c r="P681" s="146"/>
      <c r="Q681" s="146"/>
      <c r="R681" s="146"/>
      <c r="S681" s="146"/>
      <c r="T681" s="146"/>
      <c r="U681" s="146"/>
      <c r="V681" s="146"/>
      <c r="W681" s="146"/>
      <c r="X681" s="146"/>
      <c r="Y681" s="146"/>
      <c r="Z681" s="146"/>
    </row>
    <row r="682" ht="22.5" customHeight="1">
      <c r="A682" s="308"/>
      <c r="B682" s="305"/>
      <c r="C682" s="305"/>
      <c r="D682" s="305"/>
      <c r="E682" s="305"/>
      <c r="F682" s="305"/>
      <c r="G682" s="307"/>
      <c r="H682" s="146"/>
      <c r="I682" s="146"/>
      <c r="J682" s="146"/>
      <c r="K682" s="146"/>
      <c r="L682" s="146"/>
      <c r="M682" s="146"/>
      <c r="N682" s="146"/>
      <c r="O682" s="146"/>
      <c r="P682" s="146"/>
      <c r="Q682" s="146"/>
      <c r="R682" s="146"/>
      <c r="S682" s="146"/>
      <c r="T682" s="146"/>
      <c r="U682" s="146"/>
      <c r="V682" s="146"/>
      <c r="W682" s="146"/>
      <c r="X682" s="146"/>
      <c r="Y682" s="146"/>
      <c r="Z682" s="146"/>
    </row>
    <row r="683" ht="22.5" customHeight="1">
      <c r="A683" s="308"/>
      <c r="B683" s="305"/>
      <c r="C683" s="305"/>
      <c r="D683" s="305"/>
      <c r="E683" s="305"/>
      <c r="F683" s="305"/>
      <c r="G683" s="307"/>
      <c r="H683" s="146"/>
      <c r="I683" s="146"/>
      <c r="J683" s="146"/>
      <c r="K683" s="146"/>
      <c r="L683" s="146"/>
      <c r="M683" s="146"/>
      <c r="N683" s="146"/>
      <c r="O683" s="146"/>
      <c r="P683" s="146"/>
      <c r="Q683" s="146"/>
      <c r="R683" s="146"/>
      <c r="S683" s="146"/>
      <c r="T683" s="146"/>
      <c r="U683" s="146"/>
      <c r="V683" s="146"/>
      <c r="W683" s="146"/>
      <c r="X683" s="146"/>
      <c r="Y683" s="146"/>
      <c r="Z683" s="146"/>
    </row>
    <row r="684" ht="22.5" customHeight="1">
      <c r="A684" s="308"/>
      <c r="B684" s="305"/>
      <c r="C684" s="305"/>
      <c r="D684" s="305"/>
      <c r="E684" s="305"/>
      <c r="F684" s="305"/>
      <c r="G684" s="307"/>
      <c r="H684" s="146"/>
      <c r="I684" s="146"/>
      <c r="J684" s="146"/>
      <c r="K684" s="146"/>
      <c r="L684" s="146"/>
      <c r="M684" s="146"/>
      <c r="N684" s="146"/>
      <c r="O684" s="146"/>
      <c r="P684" s="146"/>
      <c r="Q684" s="146"/>
      <c r="R684" s="146"/>
      <c r="S684" s="146"/>
      <c r="T684" s="146"/>
      <c r="U684" s="146"/>
      <c r="V684" s="146"/>
      <c r="W684" s="146"/>
      <c r="X684" s="146"/>
      <c r="Y684" s="146"/>
      <c r="Z684" s="146"/>
    </row>
    <row r="685" ht="22.5" customHeight="1">
      <c r="A685" s="308"/>
      <c r="B685" s="305"/>
      <c r="C685" s="305"/>
      <c r="D685" s="305"/>
      <c r="E685" s="305"/>
      <c r="F685" s="305"/>
      <c r="G685" s="307"/>
      <c r="H685" s="146"/>
      <c r="I685" s="146"/>
      <c r="J685" s="146"/>
      <c r="K685" s="146"/>
      <c r="L685" s="146"/>
      <c r="M685" s="146"/>
      <c r="N685" s="146"/>
      <c r="O685" s="146"/>
      <c r="P685" s="146"/>
      <c r="Q685" s="146"/>
      <c r="R685" s="146"/>
      <c r="S685" s="146"/>
      <c r="T685" s="146"/>
      <c r="U685" s="146"/>
      <c r="V685" s="146"/>
      <c r="W685" s="146"/>
      <c r="X685" s="146"/>
      <c r="Y685" s="146"/>
      <c r="Z685" s="146"/>
    </row>
    <row r="686" ht="22.5" customHeight="1">
      <c r="A686" s="308"/>
      <c r="B686" s="305"/>
      <c r="C686" s="305"/>
      <c r="D686" s="305"/>
      <c r="E686" s="305"/>
      <c r="F686" s="305"/>
      <c r="G686" s="307"/>
      <c r="H686" s="146"/>
      <c r="I686" s="146"/>
      <c r="J686" s="146"/>
      <c r="K686" s="146"/>
      <c r="L686" s="146"/>
      <c r="M686" s="146"/>
      <c r="N686" s="146"/>
      <c r="O686" s="146"/>
      <c r="P686" s="146"/>
      <c r="Q686" s="146"/>
      <c r="R686" s="146"/>
      <c r="S686" s="146"/>
      <c r="T686" s="146"/>
      <c r="U686" s="146"/>
      <c r="V686" s="146"/>
      <c r="W686" s="146"/>
      <c r="X686" s="146"/>
      <c r="Y686" s="146"/>
      <c r="Z686" s="146"/>
    </row>
    <row r="687" ht="22.5" customHeight="1">
      <c r="A687" s="308"/>
      <c r="B687" s="305"/>
      <c r="C687" s="305"/>
      <c r="D687" s="305"/>
      <c r="E687" s="305"/>
      <c r="F687" s="305"/>
      <c r="G687" s="307"/>
      <c r="H687" s="146"/>
      <c r="I687" s="146"/>
      <c r="J687" s="146"/>
      <c r="K687" s="146"/>
      <c r="L687" s="146"/>
      <c r="M687" s="146"/>
      <c r="N687" s="146"/>
      <c r="O687" s="146"/>
      <c r="P687" s="146"/>
      <c r="Q687" s="146"/>
      <c r="R687" s="146"/>
      <c r="S687" s="146"/>
      <c r="T687" s="146"/>
      <c r="U687" s="146"/>
      <c r="V687" s="146"/>
      <c r="W687" s="146"/>
      <c r="X687" s="146"/>
      <c r="Y687" s="146"/>
      <c r="Z687" s="146"/>
    </row>
    <row r="688" ht="22.5" customHeight="1">
      <c r="A688" s="308"/>
      <c r="B688" s="305"/>
      <c r="C688" s="305"/>
      <c r="D688" s="305"/>
      <c r="E688" s="305"/>
      <c r="F688" s="305"/>
      <c r="G688" s="307"/>
      <c r="H688" s="146"/>
      <c r="I688" s="146"/>
      <c r="J688" s="146"/>
      <c r="K688" s="146"/>
      <c r="L688" s="146"/>
      <c r="M688" s="146"/>
      <c r="N688" s="146"/>
      <c r="O688" s="146"/>
      <c r="P688" s="146"/>
      <c r="Q688" s="146"/>
      <c r="R688" s="146"/>
      <c r="S688" s="146"/>
      <c r="T688" s="146"/>
      <c r="U688" s="146"/>
      <c r="V688" s="146"/>
      <c r="W688" s="146"/>
      <c r="X688" s="146"/>
      <c r="Y688" s="146"/>
      <c r="Z688" s="146"/>
    </row>
    <row r="689" ht="22.5" customHeight="1">
      <c r="A689" s="308"/>
      <c r="B689" s="305"/>
      <c r="C689" s="305"/>
      <c r="D689" s="305"/>
      <c r="E689" s="305"/>
      <c r="F689" s="305"/>
      <c r="G689" s="307"/>
      <c r="H689" s="146"/>
      <c r="I689" s="146"/>
      <c r="J689" s="146"/>
      <c r="K689" s="146"/>
      <c r="L689" s="146"/>
      <c r="M689" s="146"/>
      <c r="N689" s="146"/>
      <c r="O689" s="146"/>
      <c r="P689" s="146"/>
      <c r="Q689" s="146"/>
      <c r="R689" s="146"/>
      <c r="S689" s="146"/>
      <c r="T689" s="146"/>
      <c r="U689" s="146"/>
      <c r="V689" s="146"/>
      <c r="W689" s="146"/>
      <c r="X689" s="146"/>
      <c r="Y689" s="146"/>
      <c r="Z689" s="146"/>
    </row>
    <row r="690" ht="22.5" customHeight="1">
      <c r="A690" s="308"/>
      <c r="B690" s="305"/>
      <c r="C690" s="305"/>
      <c r="D690" s="305"/>
      <c r="E690" s="305"/>
      <c r="F690" s="305"/>
      <c r="G690" s="307"/>
      <c r="H690" s="146"/>
      <c r="I690" s="146"/>
      <c r="J690" s="146"/>
      <c r="K690" s="146"/>
      <c r="L690" s="146"/>
      <c r="M690" s="146"/>
      <c r="N690" s="146"/>
      <c r="O690" s="146"/>
      <c r="P690" s="146"/>
      <c r="Q690" s="146"/>
      <c r="R690" s="146"/>
      <c r="S690" s="146"/>
      <c r="T690" s="146"/>
      <c r="U690" s="146"/>
      <c r="V690" s="146"/>
      <c r="W690" s="146"/>
      <c r="X690" s="146"/>
      <c r="Y690" s="146"/>
      <c r="Z690" s="146"/>
    </row>
    <row r="691" ht="22.5" customHeight="1">
      <c r="A691" s="308"/>
      <c r="B691" s="305"/>
      <c r="C691" s="305"/>
      <c r="D691" s="305"/>
      <c r="E691" s="305"/>
      <c r="F691" s="305"/>
      <c r="G691" s="307"/>
      <c r="H691" s="146"/>
      <c r="I691" s="146"/>
      <c r="J691" s="146"/>
      <c r="K691" s="146"/>
      <c r="L691" s="146"/>
      <c r="M691" s="146"/>
      <c r="N691" s="146"/>
      <c r="O691" s="146"/>
      <c r="P691" s="146"/>
      <c r="Q691" s="146"/>
      <c r="R691" s="146"/>
      <c r="S691" s="146"/>
      <c r="T691" s="146"/>
      <c r="U691" s="146"/>
      <c r="V691" s="146"/>
      <c r="W691" s="146"/>
      <c r="X691" s="146"/>
      <c r="Y691" s="146"/>
      <c r="Z691" s="146"/>
    </row>
    <row r="692" ht="22.5" customHeight="1">
      <c r="A692" s="308"/>
      <c r="B692" s="305"/>
      <c r="C692" s="305"/>
      <c r="D692" s="305"/>
      <c r="E692" s="305"/>
      <c r="F692" s="305"/>
      <c r="G692" s="307"/>
      <c r="H692" s="146"/>
      <c r="I692" s="146"/>
      <c r="J692" s="146"/>
      <c r="K692" s="146"/>
      <c r="L692" s="146"/>
      <c r="M692" s="146"/>
      <c r="N692" s="146"/>
      <c r="O692" s="146"/>
      <c r="P692" s="146"/>
      <c r="Q692" s="146"/>
      <c r="R692" s="146"/>
      <c r="S692" s="146"/>
      <c r="T692" s="146"/>
      <c r="U692" s="146"/>
      <c r="V692" s="146"/>
      <c r="W692" s="146"/>
      <c r="X692" s="146"/>
      <c r="Y692" s="146"/>
      <c r="Z692" s="146"/>
    </row>
    <row r="693" ht="22.5" customHeight="1">
      <c r="A693" s="308"/>
      <c r="B693" s="305"/>
      <c r="C693" s="305"/>
      <c r="D693" s="305"/>
      <c r="E693" s="305"/>
      <c r="F693" s="305"/>
      <c r="G693" s="307"/>
      <c r="H693" s="146"/>
      <c r="I693" s="146"/>
      <c r="J693" s="146"/>
      <c r="K693" s="146"/>
      <c r="L693" s="146"/>
      <c r="M693" s="146"/>
      <c r="N693" s="146"/>
      <c r="O693" s="146"/>
      <c r="P693" s="146"/>
      <c r="Q693" s="146"/>
      <c r="R693" s="146"/>
      <c r="S693" s="146"/>
      <c r="T693" s="146"/>
      <c r="U693" s="146"/>
      <c r="V693" s="146"/>
      <c r="W693" s="146"/>
      <c r="X693" s="146"/>
      <c r="Y693" s="146"/>
      <c r="Z693" s="146"/>
    </row>
    <row r="694" ht="22.5" customHeight="1">
      <c r="A694" s="308"/>
      <c r="B694" s="305"/>
      <c r="C694" s="305"/>
      <c r="D694" s="305"/>
      <c r="E694" s="305"/>
      <c r="F694" s="305"/>
      <c r="G694" s="307"/>
      <c r="H694" s="146"/>
      <c r="I694" s="146"/>
      <c r="J694" s="146"/>
      <c r="K694" s="146"/>
      <c r="L694" s="146"/>
      <c r="M694" s="146"/>
      <c r="N694" s="146"/>
      <c r="O694" s="146"/>
      <c r="P694" s="146"/>
      <c r="Q694" s="146"/>
      <c r="R694" s="146"/>
      <c r="S694" s="146"/>
      <c r="T694" s="146"/>
      <c r="U694" s="146"/>
      <c r="V694" s="146"/>
      <c r="W694" s="146"/>
      <c r="X694" s="146"/>
      <c r="Y694" s="146"/>
      <c r="Z694" s="146"/>
    </row>
    <row r="695" ht="22.5" customHeight="1">
      <c r="A695" s="308"/>
      <c r="B695" s="305"/>
      <c r="C695" s="305"/>
      <c r="D695" s="305"/>
      <c r="E695" s="305"/>
      <c r="F695" s="305"/>
      <c r="G695" s="307"/>
      <c r="H695" s="146"/>
      <c r="I695" s="146"/>
      <c r="J695" s="146"/>
      <c r="K695" s="146"/>
      <c r="L695" s="146"/>
      <c r="M695" s="146"/>
      <c r="N695" s="146"/>
      <c r="O695" s="146"/>
      <c r="P695" s="146"/>
      <c r="Q695" s="146"/>
      <c r="R695" s="146"/>
      <c r="S695" s="146"/>
      <c r="T695" s="146"/>
      <c r="U695" s="146"/>
      <c r="V695" s="146"/>
      <c r="W695" s="146"/>
      <c r="X695" s="146"/>
      <c r="Y695" s="146"/>
      <c r="Z695" s="146"/>
    </row>
    <row r="696" ht="22.5" customHeight="1">
      <c r="A696" s="308"/>
      <c r="B696" s="305"/>
      <c r="C696" s="305"/>
      <c r="D696" s="305"/>
      <c r="E696" s="305"/>
      <c r="F696" s="305"/>
      <c r="G696" s="307"/>
      <c r="H696" s="146"/>
      <c r="I696" s="146"/>
      <c r="J696" s="146"/>
      <c r="K696" s="146"/>
      <c r="L696" s="146"/>
      <c r="M696" s="146"/>
      <c r="N696" s="146"/>
      <c r="O696" s="146"/>
      <c r="P696" s="146"/>
      <c r="Q696" s="146"/>
      <c r="R696" s="146"/>
      <c r="S696" s="146"/>
      <c r="T696" s="146"/>
      <c r="U696" s="146"/>
      <c r="V696" s="146"/>
      <c r="W696" s="146"/>
      <c r="X696" s="146"/>
      <c r="Y696" s="146"/>
      <c r="Z696" s="146"/>
    </row>
    <row r="697" ht="22.5" customHeight="1">
      <c r="A697" s="308"/>
      <c r="B697" s="305"/>
      <c r="C697" s="305"/>
      <c r="D697" s="305"/>
      <c r="E697" s="305"/>
      <c r="F697" s="305"/>
      <c r="G697" s="307"/>
      <c r="H697" s="146"/>
      <c r="I697" s="146"/>
      <c r="J697" s="146"/>
      <c r="K697" s="146"/>
      <c r="L697" s="146"/>
      <c r="M697" s="146"/>
      <c r="N697" s="146"/>
      <c r="O697" s="146"/>
      <c r="P697" s="146"/>
      <c r="Q697" s="146"/>
      <c r="R697" s="146"/>
      <c r="S697" s="146"/>
      <c r="T697" s="146"/>
      <c r="U697" s="146"/>
      <c r="V697" s="146"/>
      <c r="W697" s="146"/>
      <c r="X697" s="146"/>
      <c r="Y697" s="146"/>
      <c r="Z697" s="146"/>
    </row>
    <row r="698" ht="22.5" customHeight="1">
      <c r="A698" s="308"/>
      <c r="B698" s="305"/>
      <c r="C698" s="305"/>
      <c r="D698" s="305"/>
      <c r="E698" s="305"/>
      <c r="F698" s="305"/>
      <c r="G698" s="307"/>
      <c r="H698" s="146"/>
      <c r="I698" s="146"/>
      <c r="J698" s="146"/>
      <c r="K698" s="146"/>
      <c r="L698" s="146"/>
      <c r="M698" s="146"/>
      <c r="N698" s="146"/>
      <c r="O698" s="146"/>
      <c r="P698" s="146"/>
      <c r="Q698" s="146"/>
      <c r="R698" s="146"/>
      <c r="S698" s="146"/>
      <c r="T698" s="146"/>
      <c r="U698" s="146"/>
      <c r="V698" s="146"/>
      <c r="W698" s="146"/>
      <c r="X698" s="146"/>
      <c r="Y698" s="146"/>
      <c r="Z698" s="146"/>
    </row>
    <row r="699" ht="22.5" customHeight="1">
      <c r="A699" s="308"/>
      <c r="B699" s="305"/>
      <c r="C699" s="305"/>
      <c r="D699" s="305"/>
      <c r="E699" s="305"/>
      <c r="F699" s="305"/>
      <c r="G699" s="307"/>
      <c r="H699" s="146"/>
      <c r="I699" s="146"/>
      <c r="J699" s="146"/>
      <c r="K699" s="146"/>
      <c r="L699" s="146"/>
      <c r="M699" s="146"/>
      <c r="N699" s="146"/>
      <c r="O699" s="146"/>
      <c r="P699" s="146"/>
      <c r="Q699" s="146"/>
      <c r="R699" s="146"/>
      <c r="S699" s="146"/>
      <c r="T699" s="146"/>
      <c r="U699" s="146"/>
      <c r="V699" s="146"/>
      <c r="W699" s="146"/>
      <c r="X699" s="146"/>
      <c r="Y699" s="146"/>
      <c r="Z699" s="146"/>
    </row>
    <row r="700" ht="22.5" customHeight="1">
      <c r="A700" s="308"/>
      <c r="B700" s="305"/>
      <c r="C700" s="305"/>
      <c r="D700" s="305"/>
      <c r="E700" s="305"/>
      <c r="F700" s="305"/>
      <c r="G700" s="307"/>
      <c r="H700" s="146"/>
      <c r="I700" s="146"/>
      <c r="J700" s="146"/>
      <c r="K700" s="146"/>
      <c r="L700" s="146"/>
      <c r="M700" s="146"/>
      <c r="N700" s="146"/>
      <c r="O700" s="146"/>
      <c r="P700" s="146"/>
      <c r="Q700" s="146"/>
      <c r="R700" s="146"/>
      <c r="S700" s="146"/>
      <c r="T700" s="146"/>
      <c r="U700" s="146"/>
      <c r="V700" s="146"/>
      <c r="W700" s="146"/>
      <c r="X700" s="146"/>
      <c r="Y700" s="146"/>
      <c r="Z700" s="146"/>
    </row>
    <row r="701" ht="22.5" customHeight="1">
      <c r="A701" s="308"/>
      <c r="B701" s="305"/>
      <c r="C701" s="305"/>
      <c r="D701" s="305"/>
      <c r="E701" s="305"/>
      <c r="F701" s="305"/>
      <c r="G701" s="307"/>
      <c r="H701" s="146"/>
      <c r="I701" s="146"/>
      <c r="J701" s="146"/>
      <c r="K701" s="146"/>
      <c r="L701" s="146"/>
      <c r="M701" s="146"/>
      <c r="N701" s="146"/>
      <c r="O701" s="146"/>
      <c r="P701" s="146"/>
      <c r="Q701" s="146"/>
      <c r="R701" s="146"/>
      <c r="S701" s="146"/>
      <c r="T701" s="146"/>
      <c r="U701" s="146"/>
      <c r="V701" s="146"/>
      <c r="W701" s="146"/>
      <c r="X701" s="146"/>
      <c r="Y701" s="146"/>
      <c r="Z701" s="146"/>
    </row>
    <row r="702" ht="22.5" customHeight="1">
      <c r="A702" s="308"/>
      <c r="B702" s="305"/>
      <c r="C702" s="305"/>
      <c r="D702" s="305"/>
      <c r="E702" s="305"/>
      <c r="F702" s="305"/>
      <c r="G702" s="307"/>
      <c r="H702" s="146"/>
      <c r="I702" s="146"/>
      <c r="J702" s="146"/>
      <c r="K702" s="146"/>
      <c r="L702" s="146"/>
      <c r="M702" s="146"/>
      <c r="N702" s="146"/>
      <c r="O702" s="146"/>
      <c r="P702" s="146"/>
      <c r="Q702" s="146"/>
      <c r="R702" s="146"/>
      <c r="S702" s="146"/>
      <c r="T702" s="146"/>
      <c r="U702" s="146"/>
      <c r="V702" s="146"/>
      <c r="W702" s="146"/>
      <c r="X702" s="146"/>
      <c r="Y702" s="146"/>
      <c r="Z702" s="146"/>
    </row>
    <row r="703" ht="22.5" customHeight="1">
      <c r="A703" s="308"/>
      <c r="B703" s="305"/>
      <c r="C703" s="305"/>
      <c r="D703" s="305"/>
      <c r="E703" s="305"/>
      <c r="F703" s="305"/>
      <c r="G703" s="307"/>
      <c r="H703" s="146"/>
      <c r="I703" s="146"/>
      <c r="J703" s="146"/>
      <c r="K703" s="146"/>
      <c r="L703" s="146"/>
      <c r="M703" s="146"/>
      <c r="N703" s="146"/>
      <c r="O703" s="146"/>
      <c r="P703" s="146"/>
      <c r="Q703" s="146"/>
      <c r="R703" s="146"/>
      <c r="S703" s="146"/>
      <c r="T703" s="146"/>
      <c r="U703" s="146"/>
      <c r="V703" s="146"/>
      <c r="W703" s="146"/>
      <c r="X703" s="146"/>
      <c r="Y703" s="146"/>
      <c r="Z703" s="146"/>
    </row>
    <row r="704" ht="22.5" customHeight="1">
      <c r="A704" s="308"/>
      <c r="B704" s="305"/>
      <c r="C704" s="305"/>
      <c r="D704" s="305"/>
      <c r="E704" s="305"/>
      <c r="F704" s="305"/>
      <c r="G704" s="307"/>
      <c r="H704" s="146"/>
      <c r="I704" s="146"/>
      <c r="J704" s="146"/>
      <c r="K704" s="146"/>
      <c r="L704" s="146"/>
      <c r="M704" s="146"/>
      <c r="N704" s="146"/>
      <c r="O704" s="146"/>
      <c r="P704" s="146"/>
      <c r="Q704" s="146"/>
      <c r="R704" s="146"/>
      <c r="S704" s="146"/>
      <c r="T704" s="146"/>
      <c r="U704" s="146"/>
      <c r="V704" s="146"/>
      <c r="W704" s="146"/>
      <c r="X704" s="146"/>
      <c r="Y704" s="146"/>
      <c r="Z704" s="146"/>
    </row>
    <row r="705" ht="22.5" customHeight="1">
      <c r="A705" s="308"/>
      <c r="B705" s="305"/>
      <c r="C705" s="305"/>
      <c r="D705" s="305"/>
      <c r="E705" s="305"/>
      <c r="F705" s="305"/>
      <c r="G705" s="307"/>
      <c r="H705" s="146"/>
      <c r="I705" s="146"/>
      <c r="J705" s="146"/>
      <c r="K705" s="146"/>
      <c r="L705" s="146"/>
      <c r="M705" s="146"/>
      <c r="N705" s="146"/>
      <c r="O705" s="146"/>
      <c r="P705" s="146"/>
      <c r="Q705" s="146"/>
      <c r="R705" s="146"/>
      <c r="S705" s="146"/>
      <c r="T705" s="146"/>
      <c r="U705" s="146"/>
      <c r="V705" s="146"/>
      <c r="W705" s="146"/>
      <c r="X705" s="146"/>
      <c r="Y705" s="146"/>
      <c r="Z705" s="146"/>
    </row>
    <row r="706" ht="22.5" customHeight="1">
      <c r="A706" s="308"/>
      <c r="B706" s="305"/>
      <c r="C706" s="305"/>
      <c r="D706" s="305"/>
      <c r="E706" s="305"/>
      <c r="F706" s="305"/>
      <c r="G706" s="307"/>
      <c r="H706" s="146"/>
      <c r="I706" s="146"/>
      <c r="J706" s="146"/>
      <c r="K706" s="146"/>
      <c r="L706" s="146"/>
      <c r="M706" s="146"/>
      <c r="N706" s="146"/>
      <c r="O706" s="146"/>
      <c r="P706" s="146"/>
      <c r="Q706" s="146"/>
      <c r="R706" s="146"/>
      <c r="S706" s="146"/>
      <c r="T706" s="146"/>
      <c r="U706" s="146"/>
      <c r="V706" s="146"/>
      <c r="W706" s="146"/>
      <c r="X706" s="146"/>
      <c r="Y706" s="146"/>
      <c r="Z706" s="146"/>
    </row>
    <row r="707" ht="22.5" customHeight="1">
      <c r="A707" s="308"/>
      <c r="B707" s="305"/>
      <c r="C707" s="305"/>
      <c r="D707" s="305"/>
      <c r="E707" s="305"/>
      <c r="F707" s="305"/>
      <c r="G707" s="307"/>
      <c r="H707" s="146"/>
      <c r="I707" s="146"/>
      <c r="J707" s="146"/>
      <c r="K707" s="146"/>
      <c r="L707" s="146"/>
      <c r="M707" s="146"/>
      <c r="N707" s="146"/>
      <c r="O707" s="146"/>
      <c r="P707" s="146"/>
      <c r="Q707" s="146"/>
      <c r="R707" s="146"/>
      <c r="S707" s="146"/>
      <c r="T707" s="146"/>
      <c r="U707" s="146"/>
      <c r="V707" s="146"/>
      <c r="W707" s="146"/>
      <c r="X707" s="146"/>
      <c r="Y707" s="146"/>
      <c r="Z707" s="146"/>
    </row>
    <row r="708" ht="22.5" customHeight="1">
      <c r="A708" s="308"/>
      <c r="B708" s="305"/>
      <c r="C708" s="305"/>
      <c r="D708" s="305"/>
      <c r="E708" s="305"/>
      <c r="F708" s="305"/>
      <c r="G708" s="307"/>
      <c r="H708" s="146"/>
      <c r="I708" s="146"/>
      <c r="J708" s="146"/>
      <c r="K708" s="146"/>
      <c r="L708" s="146"/>
      <c r="M708" s="146"/>
      <c r="N708" s="146"/>
      <c r="O708" s="146"/>
      <c r="P708" s="146"/>
      <c r="Q708" s="146"/>
      <c r="R708" s="146"/>
      <c r="S708" s="146"/>
      <c r="T708" s="146"/>
      <c r="U708" s="146"/>
      <c r="V708" s="146"/>
      <c r="W708" s="146"/>
      <c r="X708" s="146"/>
      <c r="Y708" s="146"/>
      <c r="Z708" s="146"/>
    </row>
    <row r="709" ht="22.5" customHeight="1">
      <c r="A709" s="308"/>
      <c r="B709" s="305"/>
      <c r="C709" s="305"/>
      <c r="D709" s="305"/>
      <c r="E709" s="305"/>
      <c r="F709" s="305"/>
      <c r="G709" s="307"/>
      <c r="H709" s="146"/>
      <c r="I709" s="146"/>
      <c r="J709" s="146"/>
      <c r="K709" s="146"/>
      <c r="L709" s="146"/>
      <c r="M709" s="146"/>
      <c r="N709" s="146"/>
      <c r="O709" s="146"/>
      <c r="P709" s="146"/>
      <c r="Q709" s="146"/>
      <c r="R709" s="146"/>
      <c r="S709" s="146"/>
      <c r="T709" s="146"/>
      <c r="U709" s="146"/>
      <c r="V709" s="146"/>
      <c r="W709" s="146"/>
      <c r="X709" s="146"/>
      <c r="Y709" s="146"/>
      <c r="Z709" s="146"/>
    </row>
    <row r="710" ht="22.5" customHeight="1">
      <c r="A710" s="308"/>
      <c r="B710" s="305"/>
      <c r="C710" s="305"/>
      <c r="D710" s="305"/>
      <c r="E710" s="305"/>
      <c r="F710" s="305"/>
      <c r="G710" s="307"/>
      <c r="H710" s="146"/>
      <c r="I710" s="146"/>
      <c r="J710" s="146"/>
      <c r="K710" s="146"/>
      <c r="L710" s="146"/>
      <c r="M710" s="146"/>
      <c r="N710" s="146"/>
      <c r="O710" s="146"/>
      <c r="P710" s="146"/>
      <c r="Q710" s="146"/>
      <c r="R710" s="146"/>
      <c r="S710" s="146"/>
      <c r="T710" s="146"/>
      <c r="U710" s="146"/>
      <c r="V710" s="146"/>
      <c r="W710" s="146"/>
      <c r="X710" s="146"/>
      <c r="Y710" s="146"/>
      <c r="Z710" s="146"/>
    </row>
    <row r="711" ht="22.5" customHeight="1">
      <c r="A711" s="308"/>
      <c r="B711" s="305"/>
      <c r="C711" s="305"/>
      <c r="D711" s="305"/>
      <c r="E711" s="305"/>
      <c r="F711" s="305"/>
      <c r="G711" s="307"/>
      <c r="H711" s="146"/>
      <c r="I711" s="146"/>
      <c r="J711" s="146"/>
      <c r="K711" s="146"/>
      <c r="L711" s="146"/>
      <c r="M711" s="146"/>
      <c r="N711" s="146"/>
      <c r="O711" s="146"/>
      <c r="P711" s="146"/>
      <c r="Q711" s="146"/>
      <c r="R711" s="146"/>
      <c r="S711" s="146"/>
      <c r="T711" s="146"/>
      <c r="U711" s="146"/>
      <c r="V711" s="146"/>
      <c r="W711" s="146"/>
      <c r="X711" s="146"/>
      <c r="Y711" s="146"/>
      <c r="Z711" s="146"/>
    </row>
    <row r="712" ht="22.5" customHeight="1">
      <c r="A712" s="308"/>
      <c r="B712" s="305"/>
      <c r="C712" s="305"/>
      <c r="D712" s="305"/>
      <c r="E712" s="305"/>
      <c r="F712" s="305"/>
      <c r="G712" s="307"/>
      <c r="H712" s="146"/>
      <c r="I712" s="146"/>
      <c r="J712" s="146"/>
      <c r="K712" s="146"/>
      <c r="L712" s="146"/>
      <c r="M712" s="146"/>
      <c r="N712" s="146"/>
      <c r="O712" s="146"/>
      <c r="P712" s="146"/>
      <c r="Q712" s="146"/>
      <c r="R712" s="146"/>
      <c r="S712" s="146"/>
      <c r="T712" s="146"/>
      <c r="U712" s="146"/>
      <c r="V712" s="146"/>
      <c r="W712" s="146"/>
      <c r="X712" s="146"/>
      <c r="Y712" s="146"/>
      <c r="Z712" s="146"/>
    </row>
    <row r="713" ht="22.5" customHeight="1">
      <c r="A713" s="308"/>
      <c r="B713" s="305"/>
      <c r="C713" s="305"/>
      <c r="D713" s="305"/>
      <c r="E713" s="305"/>
      <c r="F713" s="305"/>
      <c r="G713" s="307"/>
      <c r="H713" s="146"/>
      <c r="I713" s="146"/>
      <c r="J713" s="146"/>
      <c r="K713" s="146"/>
      <c r="L713" s="146"/>
      <c r="M713" s="146"/>
      <c r="N713" s="146"/>
      <c r="O713" s="146"/>
      <c r="P713" s="146"/>
      <c r="Q713" s="146"/>
      <c r="R713" s="146"/>
      <c r="S713" s="146"/>
      <c r="T713" s="146"/>
      <c r="U713" s="146"/>
      <c r="V713" s="146"/>
      <c r="W713" s="146"/>
      <c r="X713" s="146"/>
      <c r="Y713" s="146"/>
      <c r="Z713" s="146"/>
    </row>
    <row r="714" ht="22.5" customHeight="1">
      <c r="A714" s="308"/>
      <c r="B714" s="305"/>
      <c r="C714" s="305"/>
      <c r="D714" s="305"/>
      <c r="E714" s="305"/>
      <c r="F714" s="305"/>
      <c r="G714" s="307"/>
      <c r="H714" s="146"/>
      <c r="I714" s="146"/>
      <c r="J714" s="146"/>
      <c r="K714" s="146"/>
      <c r="L714" s="146"/>
      <c r="M714" s="146"/>
      <c r="N714" s="146"/>
      <c r="O714" s="146"/>
      <c r="P714" s="146"/>
      <c r="Q714" s="146"/>
      <c r="R714" s="146"/>
      <c r="S714" s="146"/>
      <c r="T714" s="146"/>
      <c r="U714" s="146"/>
      <c r="V714" s="146"/>
      <c r="W714" s="146"/>
      <c r="X714" s="146"/>
      <c r="Y714" s="146"/>
      <c r="Z714" s="146"/>
    </row>
    <row r="715" ht="22.5" customHeight="1">
      <c r="A715" s="308"/>
      <c r="B715" s="305"/>
      <c r="C715" s="305"/>
      <c r="D715" s="305"/>
      <c r="E715" s="305"/>
      <c r="F715" s="305"/>
      <c r="G715" s="307"/>
      <c r="H715" s="146"/>
      <c r="I715" s="146"/>
      <c r="J715" s="146"/>
      <c r="K715" s="146"/>
      <c r="L715" s="146"/>
      <c r="M715" s="146"/>
      <c r="N715" s="146"/>
      <c r="O715" s="146"/>
      <c r="P715" s="146"/>
      <c r="Q715" s="146"/>
      <c r="R715" s="146"/>
      <c r="S715" s="146"/>
      <c r="T715" s="146"/>
      <c r="U715" s="146"/>
      <c r="V715" s="146"/>
      <c r="W715" s="146"/>
      <c r="X715" s="146"/>
      <c r="Y715" s="146"/>
      <c r="Z715" s="146"/>
    </row>
    <row r="716" ht="22.5" customHeight="1">
      <c r="A716" s="308"/>
      <c r="B716" s="305"/>
      <c r="C716" s="305"/>
      <c r="D716" s="305"/>
      <c r="E716" s="305"/>
      <c r="F716" s="305"/>
      <c r="G716" s="307"/>
      <c r="H716" s="146"/>
      <c r="I716" s="146"/>
      <c r="J716" s="146"/>
      <c r="K716" s="146"/>
      <c r="L716" s="146"/>
      <c r="M716" s="146"/>
      <c r="N716" s="146"/>
      <c r="O716" s="146"/>
      <c r="P716" s="146"/>
      <c r="Q716" s="146"/>
      <c r="R716" s="146"/>
      <c r="S716" s="146"/>
      <c r="T716" s="146"/>
      <c r="U716" s="146"/>
      <c r="V716" s="146"/>
      <c r="W716" s="146"/>
      <c r="X716" s="146"/>
      <c r="Y716" s="146"/>
      <c r="Z716" s="146"/>
    </row>
    <row r="717" ht="22.5" customHeight="1">
      <c r="A717" s="308"/>
      <c r="B717" s="305"/>
      <c r="C717" s="305"/>
      <c r="D717" s="305"/>
      <c r="E717" s="305"/>
      <c r="F717" s="305"/>
      <c r="G717" s="307"/>
      <c r="H717" s="146"/>
      <c r="I717" s="146"/>
      <c r="J717" s="146"/>
      <c r="K717" s="146"/>
      <c r="L717" s="146"/>
      <c r="M717" s="146"/>
      <c r="N717" s="146"/>
      <c r="O717" s="146"/>
      <c r="P717" s="146"/>
      <c r="Q717" s="146"/>
      <c r="R717" s="146"/>
      <c r="S717" s="146"/>
      <c r="T717" s="146"/>
      <c r="U717" s="146"/>
      <c r="V717" s="146"/>
      <c r="W717" s="146"/>
      <c r="X717" s="146"/>
      <c r="Y717" s="146"/>
      <c r="Z717" s="146"/>
    </row>
    <row r="718" ht="22.5" customHeight="1">
      <c r="A718" s="308"/>
      <c r="B718" s="305"/>
      <c r="C718" s="305"/>
      <c r="D718" s="305"/>
      <c r="E718" s="305"/>
      <c r="F718" s="305"/>
      <c r="G718" s="307"/>
      <c r="H718" s="146"/>
      <c r="I718" s="146"/>
      <c r="J718" s="146"/>
      <c r="K718" s="146"/>
      <c r="L718" s="146"/>
      <c r="M718" s="146"/>
      <c r="N718" s="146"/>
      <c r="O718" s="146"/>
      <c r="P718" s="146"/>
      <c r="Q718" s="146"/>
      <c r="R718" s="146"/>
      <c r="S718" s="146"/>
      <c r="T718" s="146"/>
      <c r="U718" s="146"/>
      <c r="V718" s="146"/>
      <c r="W718" s="146"/>
      <c r="X718" s="146"/>
      <c r="Y718" s="146"/>
      <c r="Z718" s="146"/>
    </row>
    <row r="719" ht="22.5" customHeight="1">
      <c r="A719" s="308"/>
      <c r="B719" s="305"/>
      <c r="C719" s="305"/>
      <c r="D719" s="305"/>
      <c r="E719" s="305"/>
      <c r="F719" s="305"/>
      <c r="G719" s="307"/>
      <c r="H719" s="146"/>
      <c r="I719" s="146"/>
      <c r="J719" s="146"/>
      <c r="K719" s="146"/>
      <c r="L719" s="146"/>
      <c r="M719" s="146"/>
      <c r="N719" s="146"/>
      <c r="O719" s="146"/>
      <c r="P719" s="146"/>
      <c r="Q719" s="146"/>
      <c r="R719" s="146"/>
      <c r="S719" s="146"/>
      <c r="T719" s="146"/>
      <c r="U719" s="146"/>
      <c r="V719" s="146"/>
      <c r="W719" s="146"/>
      <c r="X719" s="146"/>
      <c r="Y719" s="146"/>
      <c r="Z719" s="146"/>
    </row>
    <row r="720" ht="22.5" customHeight="1">
      <c r="A720" s="308"/>
      <c r="B720" s="305"/>
      <c r="C720" s="305"/>
      <c r="D720" s="305"/>
      <c r="E720" s="305"/>
      <c r="F720" s="305"/>
      <c r="G720" s="307"/>
      <c r="H720" s="146"/>
      <c r="I720" s="146"/>
      <c r="J720" s="146"/>
      <c r="K720" s="146"/>
      <c r="L720" s="146"/>
      <c r="M720" s="146"/>
      <c r="N720" s="146"/>
      <c r="O720" s="146"/>
      <c r="P720" s="146"/>
      <c r="Q720" s="146"/>
      <c r="R720" s="146"/>
      <c r="S720" s="146"/>
      <c r="T720" s="146"/>
      <c r="U720" s="146"/>
      <c r="V720" s="146"/>
      <c r="W720" s="146"/>
      <c r="X720" s="146"/>
      <c r="Y720" s="146"/>
      <c r="Z720" s="146"/>
    </row>
    <row r="721" ht="22.5" customHeight="1">
      <c r="A721" s="308"/>
      <c r="B721" s="305"/>
      <c r="C721" s="305"/>
      <c r="D721" s="305"/>
      <c r="E721" s="305"/>
      <c r="F721" s="305"/>
      <c r="G721" s="307"/>
      <c r="H721" s="146"/>
      <c r="I721" s="146"/>
      <c r="J721" s="146"/>
      <c r="K721" s="146"/>
      <c r="L721" s="146"/>
      <c r="M721" s="146"/>
      <c r="N721" s="146"/>
      <c r="O721" s="146"/>
      <c r="P721" s="146"/>
      <c r="Q721" s="146"/>
      <c r="R721" s="146"/>
      <c r="S721" s="146"/>
      <c r="T721" s="146"/>
      <c r="U721" s="146"/>
      <c r="V721" s="146"/>
      <c r="W721" s="146"/>
      <c r="X721" s="146"/>
      <c r="Y721" s="146"/>
      <c r="Z721" s="146"/>
    </row>
    <row r="722" ht="22.5" customHeight="1">
      <c r="A722" s="308"/>
      <c r="B722" s="305"/>
      <c r="C722" s="305"/>
      <c r="D722" s="305"/>
      <c r="E722" s="305"/>
      <c r="F722" s="305"/>
      <c r="G722" s="307"/>
      <c r="H722" s="146"/>
      <c r="I722" s="146"/>
      <c r="J722" s="146"/>
      <c r="K722" s="146"/>
      <c r="L722" s="146"/>
      <c r="M722" s="146"/>
      <c r="N722" s="146"/>
      <c r="O722" s="146"/>
      <c r="P722" s="146"/>
      <c r="Q722" s="146"/>
      <c r="R722" s="146"/>
      <c r="S722" s="146"/>
      <c r="T722" s="146"/>
      <c r="U722" s="146"/>
      <c r="V722" s="146"/>
      <c r="W722" s="146"/>
      <c r="X722" s="146"/>
      <c r="Y722" s="146"/>
      <c r="Z722" s="146"/>
    </row>
    <row r="723" ht="22.5" customHeight="1">
      <c r="A723" s="308"/>
      <c r="B723" s="305"/>
      <c r="C723" s="305"/>
      <c r="D723" s="305"/>
      <c r="E723" s="305"/>
      <c r="F723" s="305"/>
      <c r="G723" s="307"/>
      <c r="H723" s="146"/>
      <c r="I723" s="146"/>
      <c r="J723" s="146"/>
      <c r="K723" s="146"/>
      <c r="L723" s="146"/>
      <c r="M723" s="146"/>
      <c r="N723" s="146"/>
      <c r="O723" s="146"/>
      <c r="P723" s="146"/>
      <c r="Q723" s="146"/>
      <c r="R723" s="146"/>
      <c r="S723" s="146"/>
      <c r="T723" s="146"/>
      <c r="U723" s="146"/>
      <c r="V723" s="146"/>
      <c r="W723" s="146"/>
      <c r="X723" s="146"/>
      <c r="Y723" s="146"/>
      <c r="Z723" s="146"/>
    </row>
    <row r="724" ht="22.5" customHeight="1">
      <c r="A724" s="308"/>
      <c r="B724" s="305"/>
      <c r="C724" s="305"/>
      <c r="D724" s="305"/>
      <c r="E724" s="305"/>
      <c r="F724" s="305"/>
      <c r="G724" s="307"/>
      <c r="H724" s="146"/>
      <c r="I724" s="146"/>
      <c r="J724" s="146"/>
      <c r="K724" s="146"/>
      <c r="L724" s="146"/>
      <c r="M724" s="146"/>
      <c r="N724" s="146"/>
      <c r="O724" s="146"/>
      <c r="P724" s="146"/>
      <c r="Q724" s="146"/>
      <c r="R724" s="146"/>
      <c r="S724" s="146"/>
      <c r="T724" s="146"/>
      <c r="U724" s="146"/>
      <c r="V724" s="146"/>
      <c r="W724" s="146"/>
      <c r="X724" s="146"/>
      <c r="Y724" s="146"/>
      <c r="Z724" s="146"/>
    </row>
    <row r="725" ht="22.5" customHeight="1">
      <c r="A725" s="308"/>
      <c r="B725" s="305"/>
      <c r="C725" s="305"/>
      <c r="D725" s="305"/>
      <c r="E725" s="305"/>
      <c r="F725" s="305"/>
      <c r="G725" s="307"/>
      <c r="H725" s="146"/>
      <c r="I725" s="146"/>
      <c r="J725" s="146"/>
      <c r="K725" s="146"/>
      <c r="L725" s="146"/>
      <c r="M725" s="146"/>
      <c r="N725" s="146"/>
      <c r="O725" s="146"/>
      <c r="P725" s="146"/>
      <c r="Q725" s="146"/>
      <c r="R725" s="146"/>
      <c r="S725" s="146"/>
      <c r="T725" s="146"/>
      <c r="U725" s="146"/>
      <c r="V725" s="146"/>
      <c r="W725" s="146"/>
      <c r="X725" s="146"/>
      <c r="Y725" s="146"/>
      <c r="Z725" s="146"/>
    </row>
    <row r="726" ht="22.5" customHeight="1">
      <c r="A726" s="308"/>
      <c r="B726" s="305"/>
      <c r="C726" s="305"/>
      <c r="D726" s="305"/>
      <c r="E726" s="305"/>
      <c r="F726" s="305"/>
      <c r="G726" s="307"/>
      <c r="H726" s="146"/>
      <c r="I726" s="146"/>
      <c r="J726" s="146"/>
      <c r="K726" s="146"/>
      <c r="L726" s="146"/>
      <c r="M726" s="146"/>
      <c r="N726" s="146"/>
      <c r="O726" s="146"/>
      <c r="P726" s="146"/>
      <c r="Q726" s="146"/>
      <c r="R726" s="146"/>
      <c r="S726" s="146"/>
      <c r="T726" s="146"/>
      <c r="U726" s="146"/>
      <c r="V726" s="146"/>
      <c r="W726" s="146"/>
      <c r="X726" s="146"/>
      <c r="Y726" s="146"/>
      <c r="Z726" s="146"/>
    </row>
    <row r="727" ht="22.5" customHeight="1">
      <c r="A727" s="308"/>
      <c r="B727" s="305"/>
      <c r="C727" s="305"/>
      <c r="D727" s="305"/>
      <c r="E727" s="305"/>
      <c r="F727" s="305"/>
      <c r="G727" s="307"/>
      <c r="H727" s="146"/>
      <c r="I727" s="146"/>
      <c r="J727" s="146"/>
      <c r="K727" s="146"/>
      <c r="L727" s="146"/>
      <c r="M727" s="146"/>
      <c r="N727" s="146"/>
      <c r="O727" s="146"/>
      <c r="P727" s="146"/>
      <c r="Q727" s="146"/>
      <c r="R727" s="146"/>
      <c r="S727" s="146"/>
      <c r="T727" s="146"/>
      <c r="U727" s="146"/>
      <c r="V727" s="146"/>
      <c r="W727" s="146"/>
      <c r="X727" s="146"/>
      <c r="Y727" s="146"/>
      <c r="Z727" s="146"/>
    </row>
    <row r="728" ht="22.5" customHeight="1">
      <c r="A728" s="308"/>
      <c r="B728" s="305"/>
      <c r="C728" s="305"/>
      <c r="D728" s="305"/>
      <c r="E728" s="305"/>
      <c r="F728" s="305"/>
      <c r="G728" s="307"/>
      <c r="H728" s="146"/>
      <c r="I728" s="146"/>
      <c r="J728" s="146"/>
      <c r="K728" s="146"/>
      <c r="L728" s="146"/>
      <c r="M728" s="146"/>
      <c r="N728" s="146"/>
      <c r="O728" s="146"/>
      <c r="P728" s="146"/>
      <c r="Q728" s="146"/>
      <c r="R728" s="146"/>
      <c r="S728" s="146"/>
      <c r="T728" s="146"/>
      <c r="U728" s="146"/>
      <c r="V728" s="146"/>
      <c r="W728" s="146"/>
      <c r="X728" s="146"/>
      <c r="Y728" s="146"/>
      <c r="Z728" s="146"/>
    </row>
    <row r="729" ht="22.5" customHeight="1">
      <c r="A729" s="308"/>
      <c r="B729" s="305"/>
      <c r="C729" s="305"/>
      <c r="D729" s="305"/>
      <c r="E729" s="305"/>
      <c r="F729" s="305"/>
      <c r="G729" s="307"/>
      <c r="H729" s="146"/>
      <c r="I729" s="146"/>
      <c r="J729" s="146"/>
      <c r="K729" s="146"/>
      <c r="L729" s="146"/>
      <c r="M729" s="146"/>
      <c r="N729" s="146"/>
      <c r="O729" s="146"/>
      <c r="P729" s="146"/>
      <c r="Q729" s="146"/>
      <c r="R729" s="146"/>
      <c r="S729" s="146"/>
      <c r="T729" s="146"/>
      <c r="U729" s="146"/>
      <c r="V729" s="146"/>
      <c r="W729" s="146"/>
      <c r="X729" s="146"/>
      <c r="Y729" s="146"/>
      <c r="Z729" s="146"/>
    </row>
    <row r="730" ht="22.5" customHeight="1">
      <c r="A730" s="308"/>
      <c r="B730" s="305"/>
      <c r="C730" s="305"/>
      <c r="D730" s="305"/>
      <c r="E730" s="305"/>
      <c r="F730" s="305"/>
      <c r="G730" s="307"/>
      <c r="H730" s="146"/>
      <c r="I730" s="146"/>
      <c r="J730" s="146"/>
      <c r="K730" s="146"/>
      <c r="L730" s="146"/>
      <c r="M730" s="146"/>
      <c r="N730" s="146"/>
      <c r="O730" s="146"/>
      <c r="P730" s="146"/>
      <c r="Q730" s="146"/>
      <c r="R730" s="146"/>
      <c r="S730" s="146"/>
      <c r="T730" s="146"/>
      <c r="U730" s="146"/>
      <c r="V730" s="146"/>
      <c r="W730" s="146"/>
      <c r="X730" s="146"/>
      <c r="Y730" s="146"/>
      <c r="Z730" s="146"/>
    </row>
    <row r="731" ht="22.5" customHeight="1">
      <c r="A731" s="308"/>
      <c r="B731" s="305"/>
      <c r="C731" s="305"/>
      <c r="D731" s="305"/>
      <c r="E731" s="305"/>
      <c r="F731" s="305"/>
      <c r="G731" s="307"/>
      <c r="H731" s="146"/>
      <c r="I731" s="146"/>
      <c r="J731" s="146"/>
      <c r="K731" s="146"/>
      <c r="L731" s="146"/>
      <c r="M731" s="146"/>
      <c r="N731" s="146"/>
      <c r="O731" s="146"/>
      <c r="P731" s="146"/>
      <c r="Q731" s="146"/>
      <c r="R731" s="146"/>
      <c r="S731" s="146"/>
      <c r="T731" s="146"/>
      <c r="U731" s="146"/>
      <c r="V731" s="146"/>
      <c r="W731" s="146"/>
      <c r="X731" s="146"/>
      <c r="Y731" s="146"/>
      <c r="Z731" s="146"/>
    </row>
    <row r="732" ht="22.5" customHeight="1">
      <c r="A732" s="308"/>
      <c r="B732" s="305"/>
      <c r="C732" s="305"/>
      <c r="D732" s="305"/>
      <c r="E732" s="305"/>
      <c r="F732" s="305"/>
      <c r="G732" s="307"/>
      <c r="H732" s="146"/>
      <c r="I732" s="146"/>
      <c r="J732" s="146"/>
      <c r="K732" s="146"/>
      <c r="L732" s="146"/>
      <c r="M732" s="146"/>
      <c r="N732" s="146"/>
      <c r="O732" s="146"/>
      <c r="P732" s="146"/>
      <c r="Q732" s="146"/>
      <c r="R732" s="146"/>
      <c r="S732" s="146"/>
      <c r="T732" s="146"/>
      <c r="U732" s="146"/>
      <c r="V732" s="146"/>
      <c r="W732" s="146"/>
      <c r="X732" s="146"/>
      <c r="Y732" s="146"/>
      <c r="Z732" s="146"/>
    </row>
    <row r="733" ht="22.5" customHeight="1">
      <c r="A733" s="308"/>
      <c r="B733" s="305"/>
      <c r="C733" s="305"/>
      <c r="D733" s="305"/>
      <c r="E733" s="305"/>
      <c r="F733" s="305"/>
      <c r="G733" s="307"/>
      <c r="H733" s="146"/>
      <c r="I733" s="146"/>
      <c r="J733" s="146"/>
      <c r="K733" s="146"/>
      <c r="L733" s="146"/>
      <c r="M733" s="146"/>
      <c r="N733" s="146"/>
      <c r="O733" s="146"/>
      <c r="P733" s="146"/>
      <c r="Q733" s="146"/>
      <c r="R733" s="146"/>
      <c r="S733" s="146"/>
      <c r="T733" s="146"/>
      <c r="U733" s="146"/>
      <c r="V733" s="146"/>
      <c r="W733" s="146"/>
      <c r="X733" s="146"/>
      <c r="Y733" s="146"/>
      <c r="Z733" s="146"/>
    </row>
    <row r="734" ht="22.5" customHeight="1">
      <c r="A734" s="308"/>
      <c r="B734" s="305"/>
      <c r="C734" s="305"/>
      <c r="D734" s="305"/>
      <c r="E734" s="305"/>
      <c r="F734" s="305"/>
      <c r="G734" s="307"/>
      <c r="H734" s="146"/>
      <c r="I734" s="146"/>
      <c r="J734" s="146"/>
      <c r="K734" s="146"/>
      <c r="L734" s="146"/>
      <c r="M734" s="146"/>
      <c r="N734" s="146"/>
      <c r="O734" s="146"/>
      <c r="P734" s="146"/>
      <c r="Q734" s="146"/>
      <c r="R734" s="146"/>
      <c r="S734" s="146"/>
      <c r="T734" s="146"/>
      <c r="U734" s="146"/>
      <c r="V734" s="146"/>
      <c r="W734" s="146"/>
      <c r="X734" s="146"/>
      <c r="Y734" s="146"/>
      <c r="Z734" s="146"/>
    </row>
    <row r="735" ht="22.5" customHeight="1">
      <c r="A735" s="308"/>
      <c r="B735" s="305"/>
      <c r="C735" s="305"/>
      <c r="D735" s="305"/>
      <c r="E735" s="305"/>
      <c r="F735" s="305"/>
      <c r="G735" s="307"/>
      <c r="H735" s="146"/>
      <c r="I735" s="146"/>
      <c r="J735" s="146"/>
      <c r="K735" s="146"/>
      <c r="L735" s="146"/>
      <c r="M735" s="146"/>
      <c r="N735" s="146"/>
      <c r="O735" s="146"/>
      <c r="P735" s="146"/>
      <c r="Q735" s="146"/>
      <c r="R735" s="146"/>
      <c r="S735" s="146"/>
      <c r="T735" s="146"/>
      <c r="U735" s="146"/>
      <c r="V735" s="146"/>
      <c r="W735" s="146"/>
      <c r="X735" s="146"/>
      <c r="Y735" s="146"/>
      <c r="Z735" s="146"/>
    </row>
    <row r="736" ht="22.5" customHeight="1">
      <c r="A736" s="308"/>
      <c r="B736" s="305"/>
      <c r="C736" s="305"/>
      <c r="D736" s="305"/>
      <c r="E736" s="305"/>
      <c r="F736" s="305"/>
      <c r="G736" s="307"/>
      <c r="H736" s="146"/>
      <c r="I736" s="146"/>
      <c r="J736" s="146"/>
      <c r="K736" s="146"/>
      <c r="L736" s="146"/>
      <c r="M736" s="146"/>
      <c r="N736" s="146"/>
      <c r="O736" s="146"/>
      <c r="P736" s="146"/>
      <c r="Q736" s="146"/>
      <c r="R736" s="146"/>
      <c r="S736" s="146"/>
      <c r="T736" s="146"/>
      <c r="U736" s="146"/>
      <c r="V736" s="146"/>
      <c r="W736" s="146"/>
      <c r="X736" s="146"/>
      <c r="Y736" s="146"/>
      <c r="Z736" s="146"/>
    </row>
    <row r="737" ht="22.5" customHeight="1">
      <c r="A737" s="308"/>
      <c r="B737" s="305"/>
      <c r="C737" s="305"/>
      <c r="D737" s="305"/>
      <c r="E737" s="305"/>
      <c r="F737" s="305"/>
      <c r="G737" s="307"/>
      <c r="H737" s="146"/>
      <c r="I737" s="146"/>
      <c r="J737" s="146"/>
      <c r="K737" s="146"/>
      <c r="L737" s="146"/>
      <c r="M737" s="146"/>
      <c r="N737" s="146"/>
      <c r="O737" s="146"/>
      <c r="P737" s="146"/>
      <c r="Q737" s="146"/>
      <c r="R737" s="146"/>
      <c r="S737" s="146"/>
      <c r="T737" s="146"/>
      <c r="U737" s="146"/>
      <c r="V737" s="146"/>
      <c r="W737" s="146"/>
      <c r="X737" s="146"/>
      <c r="Y737" s="146"/>
      <c r="Z737" s="146"/>
    </row>
    <row r="738" ht="22.5" customHeight="1">
      <c r="A738" s="308"/>
      <c r="B738" s="305"/>
      <c r="C738" s="305"/>
      <c r="D738" s="305"/>
      <c r="E738" s="305"/>
      <c r="F738" s="305"/>
      <c r="G738" s="307"/>
      <c r="H738" s="146"/>
      <c r="I738" s="146"/>
      <c r="J738" s="146"/>
      <c r="K738" s="146"/>
      <c r="L738" s="146"/>
      <c r="M738" s="146"/>
      <c r="N738" s="146"/>
      <c r="O738" s="146"/>
      <c r="P738" s="146"/>
      <c r="Q738" s="146"/>
      <c r="R738" s="146"/>
      <c r="S738" s="146"/>
      <c r="T738" s="146"/>
      <c r="U738" s="146"/>
      <c r="V738" s="146"/>
      <c r="W738" s="146"/>
      <c r="X738" s="146"/>
      <c r="Y738" s="146"/>
      <c r="Z738" s="146"/>
    </row>
    <row r="739" ht="22.5" customHeight="1">
      <c r="A739" s="308"/>
      <c r="B739" s="305"/>
      <c r="C739" s="305"/>
      <c r="D739" s="305"/>
      <c r="E739" s="305"/>
      <c r="F739" s="305"/>
      <c r="G739" s="307"/>
      <c r="H739" s="146"/>
      <c r="I739" s="146"/>
      <c r="J739" s="146"/>
      <c r="K739" s="146"/>
      <c r="L739" s="146"/>
      <c r="M739" s="146"/>
      <c r="N739" s="146"/>
      <c r="O739" s="146"/>
      <c r="P739" s="146"/>
      <c r="Q739" s="146"/>
      <c r="R739" s="146"/>
      <c r="S739" s="146"/>
      <c r="T739" s="146"/>
      <c r="U739" s="146"/>
      <c r="V739" s="146"/>
      <c r="W739" s="146"/>
      <c r="X739" s="146"/>
      <c r="Y739" s="146"/>
      <c r="Z739" s="146"/>
    </row>
    <row r="740" ht="22.5" customHeight="1">
      <c r="A740" s="308"/>
      <c r="B740" s="305"/>
      <c r="C740" s="305"/>
      <c r="D740" s="305"/>
      <c r="E740" s="305"/>
      <c r="F740" s="305"/>
      <c r="G740" s="307"/>
      <c r="H740" s="146"/>
      <c r="I740" s="146"/>
      <c r="J740" s="146"/>
      <c r="K740" s="146"/>
      <c r="L740" s="146"/>
      <c r="M740" s="146"/>
      <c r="N740" s="146"/>
      <c r="O740" s="146"/>
      <c r="P740" s="146"/>
      <c r="Q740" s="146"/>
      <c r="R740" s="146"/>
      <c r="S740" s="146"/>
      <c r="T740" s="146"/>
      <c r="U740" s="146"/>
      <c r="V740" s="146"/>
      <c r="W740" s="146"/>
      <c r="X740" s="146"/>
      <c r="Y740" s="146"/>
      <c r="Z740" s="146"/>
    </row>
    <row r="741" ht="22.5" customHeight="1">
      <c r="A741" s="308"/>
      <c r="B741" s="305"/>
      <c r="C741" s="305"/>
      <c r="D741" s="305"/>
      <c r="E741" s="305"/>
      <c r="F741" s="305"/>
      <c r="G741" s="307"/>
      <c r="H741" s="146"/>
      <c r="I741" s="146"/>
      <c r="J741" s="146"/>
      <c r="K741" s="146"/>
      <c r="L741" s="146"/>
      <c r="M741" s="146"/>
      <c r="N741" s="146"/>
      <c r="O741" s="146"/>
      <c r="P741" s="146"/>
      <c r="Q741" s="146"/>
      <c r="R741" s="146"/>
      <c r="S741" s="146"/>
      <c r="T741" s="146"/>
      <c r="U741" s="146"/>
      <c r="V741" s="146"/>
      <c r="W741" s="146"/>
      <c r="X741" s="146"/>
      <c r="Y741" s="146"/>
      <c r="Z741" s="146"/>
    </row>
    <row r="742" ht="22.5" customHeight="1">
      <c r="A742" s="308"/>
      <c r="B742" s="305"/>
      <c r="C742" s="305"/>
      <c r="D742" s="305"/>
      <c r="E742" s="305"/>
      <c r="F742" s="305"/>
      <c r="G742" s="307"/>
      <c r="H742" s="146"/>
      <c r="I742" s="146"/>
      <c r="J742" s="146"/>
      <c r="K742" s="146"/>
      <c r="L742" s="146"/>
      <c r="M742" s="146"/>
      <c r="N742" s="146"/>
      <c r="O742" s="146"/>
      <c r="P742" s="146"/>
      <c r="Q742" s="146"/>
      <c r="R742" s="146"/>
      <c r="S742" s="146"/>
      <c r="T742" s="146"/>
      <c r="U742" s="146"/>
      <c r="V742" s="146"/>
      <c r="W742" s="146"/>
      <c r="X742" s="146"/>
      <c r="Y742" s="146"/>
      <c r="Z742" s="146"/>
    </row>
    <row r="743" ht="22.5" customHeight="1">
      <c r="A743" s="308"/>
      <c r="B743" s="305"/>
      <c r="C743" s="305"/>
      <c r="D743" s="305"/>
      <c r="E743" s="305"/>
      <c r="F743" s="305"/>
      <c r="G743" s="307"/>
      <c r="H743" s="146"/>
      <c r="I743" s="146"/>
      <c r="J743" s="146"/>
      <c r="K743" s="146"/>
      <c r="L743" s="146"/>
      <c r="M743" s="146"/>
      <c r="N743" s="146"/>
      <c r="O743" s="146"/>
      <c r="P743" s="146"/>
      <c r="Q743" s="146"/>
      <c r="R743" s="146"/>
      <c r="S743" s="146"/>
      <c r="T743" s="146"/>
      <c r="U743" s="146"/>
      <c r="V743" s="146"/>
      <c r="W743" s="146"/>
      <c r="X743" s="146"/>
      <c r="Y743" s="146"/>
      <c r="Z743" s="146"/>
    </row>
    <row r="744" ht="22.5" customHeight="1">
      <c r="A744" s="308"/>
      <c r="B744" s="305"/>
      <c r="C744" s="305"/>
      <c r="D744" s="305"/>
      <c r="E744" s="305"/>
      <c r="F744" s="305"/>
      <c r="G744" s="307"/>
      <c r="H744" s="146"/>
      <c r="I744" s="146"/>
      <c r="J744" s="146"/>
      <c r="K744" s="146"/>
      <c r="L744" s="146"/>
      <c r="M744" s="146"/>
      <c r="N744" s="146"/>
      <c r="O744" s="146"/>
      <c r="P744" s="146"/>
      <c r="Q744" s="146"/>
      <c r="R744" s="146"/>
      <c r="S744" s="146"/>
      <c r="T744" s="146"/>
      <c r="U744" s="146"/>
      <c r="V744" s="146"/>
      <c r="W744" s="146"/>
      <c r="X744" s="146"/>
      <c r="Y744" s="146"/>
      <c r="Z744" s="146"/>
    </row>
    <row r="745" ht="22.5" customHeight="1">
      <c r="A745" s="308"/>
      <c r="B745" s="305"/>
      <c r="C745" s="305"/>
      <c r="D745" s="305"/>
      <c r="E745" s="305"/>
      <c r="F745" s="305"/>
      <c r="G745" s="307"/>
      <c r="H745" s="146"/>
      <c r="I745" s="146"/>
      <c r="J745" s="146"/>
      <c r="K745" s="146"/>
      <c r="L745" s="146"/>
      <c r="M745" s="146"/>
      <c r="N745" s="146"/>
      <c r="O745" s="146"/>
      <c r="P745" s="146"/>
      <c r="Q745" s="146"/>
      <c r="R745" s="146"/>
      <c r="S745" s="146"/>
      <c r="T745" s="146"/>
      <c r="U745" s="146"/>
      <c r="V745" s="146"/>
      <c r="W745" s="146"/>
      <c r="X745" s="146"/>
      <c r="Y745" s="146"/>
      <c r="Z745" s="146"/>
    </row>
    <row r="746" ht="22.5" customHeight="1">
      <c r="A746" s="308"/>
      <c r="B746" s="305"/>
      <c r="C746" s="305"/>
      <c r="D746" s="305"/>
      <c r="E746" s="305"/>
      <c r="F746" s="305"/>
      <c r="G746" s="307"/>
      <c r="H746" s="146"/>
      <c r="I746" s="146"/>
      <c r="J746" s="146"/>
      <c r="K746" s="146"/>
      <c r="L746" s="146"/>
      <c r="M746" s="146"/>
      <c r="N746" s="146"/>
      <c r="O746" s="146"/>
      <c r="P746" s="146"/>
      <c r="Q746" s="146"/>
      <c r="R746" s="146"/>
      <c r="S746" s="146"/>
      <c r="T746" s="146"/>
      <c r="U746" s="146"/>
      <c r="V746" s="146"/>
      <c r="W746" s="146"/>
      <c r="X746" s="146"/>
      <c r="Y746" s="146"/>
      <c r="Z746" s="146"/>
    </row>
    <row r="747" ht="22.5" customHeight="1">
      <c r="A747" s="308"/>
      <c r="B747" s="305"/>
      <c r="C747" s="305"/>
      <c r="D747" s="305"/>
      <c r="E747" s="305"/>
      <c r="F747" s="305"/>
      <c r="G747" s="307"/>
      <c r="H747" s="146"/>
      <c r="I747" s="146"/>
      <c r="J747" s="146"/>
      <c r="K747" s="146"/>
      <c r="L747" s="146"/>
      <c r="M747" s="146"/>
      <c r="N747" s="146"/>
      <c r="O747" s="146"/>
      <c r="P747" s="146"/>
      <c r="Q747" s="146"/>
      <c r="R747" s="146"/>
      <c r="S747" s="146"/>
      <c r="T747" s="146"/>
      <c r="U747" s="146"/>
      <c r="V747" s="146"/>
      <c r="W747" s="146"/>
      <c r="X747" s="146"/>
      <c r="Y747" s="146"/>
      <c r="Z747" s="146"/>
    </row>
    <row r="748" ht="22.5" customHeight="1">
      <c r="A748" s="308"/>
      <c r="B748" s="305"/>
      <c r="C748" s="305"/>
      <c r="D748" s="305"/>
      <c r="E748" s="305"/>
      <c r="F748" s="305"/>
      <c r="G748" s="307"/>
      <c r="H748" s="146"/>
      <c r="I748" s="146"/>
      <c r="J748" s="146"/>
      <c r="K748" s="146"/>
      <c r="L748" s="146"/>
      <c r="M748" s="146"/>
      <c r="N748" s="146"/>
      <c r="O748" s="146"/>
      <c r="P748" s="146"/>
      <c r="Q748" s="146"/>
      <c r="R748" s="146"/>
      <c r="S748" s="146"/>
      <c r="T748" s="146"/>
      <c r="U748" s="146"/>
      <c r="V748" s="146"/>
      <c r="W748" s="146"/>
      <c r="X748" s="146"/>
      <c r="Y748" s="146"/>
      <c r="Z748" s="146"/>
    </row>
    <row r="749" ht="22.5" customHeight="1">
      <c r="A749" s="308"/>
      <c r="B749" s="305"/>
      <c r="C749" s="305"/>
      <c r="D749" s="305"/>
      <c r="E749" s="305"/>
      <c r="F749" s="305"/>
      <c r="G749" s="307"/>
      <c r="H749" s="146"/>
      <c r="I749" s="146"/>
      <c r="J749" s="146"/>
      <c r="K749" s="146"/>
      <c r="L749" s="146"/>
      <c r="M749" s="146"/>
      <c r="N749" s="146"/>
      <c r="O749" s="146"/>
      <c r="P749" s="146"/>
      <c r="Q749" s="146"/>
      <c r="R749" s="146"/>
      <c r="S749" s="146"/>
      <c r="T749" s="146"/>
      <c r="U749" s="146"/>
      <c r="V749" s="146"/>
      <c r="W749" s="146"/>
      <c r="X749" s="146"/>
      <c r="Y749" s="146"/>
      <c r="Z749" s="146"/>
    </row>
    <row r="750" ht="22.5" customHeight="1">
      <c r="A750" s="308"/>
      <c r="B750" s="305"/>
      <c r="C750" s="305"/>
      <c r="D750" s="305"/>
      <c r="E750" s="305"/>
      <c r="F750" s="305"/>
      <c r="G750" s="307"/>
      <c r="H750" s="146"/>
      <c r="I750" s="146"/>
      <c r="J750" s="146"/>
      <c r="K750" s="146"/>
      <c r="L750" s="146"/>
      <c r="M750" s="146"/>
      <c r="N750" s="146"/>
      <c r="O750" s="146"/>
      <c r="P750" s="146"/>
      <c r="Q750" s="146"/>
      <c r="R750" s="146"/>
      <c r="S750" s="146"/>
      <c r="T750" s="146"/>
      <c r="U750" s="146"/>
      <c r="V750" s="146"/>
      <c r="W750" s="146"/>
      <c r="X750" s="146"/>
      <c r="Y750" s="146"/>
      <c r="Z750" s="146"/>
    </row>
    <row r="751" ht="22.5" customHeight="1">
      <c r="A751" s="308"/>
      <c r="B751" s="305"/>
      <c r="C751" s="305"/>
      <c r="D751" s="305"/>
      <c r="E751" s="305"/>
      <c r="F751" s="305"/>
      <c r="G751" s="307"/>
      <c r="H751" s="146"/>
      <c r="I751" s="146"/>
      <c r="J751" s="146"/>
      <c r="K751" s="146"/>
      <c r="L751" s="146"/>
      <c r="M751" s="146"/>
      <c r="N751" s="146"/>
      <c r="O751" s="146"/>
      <c r="P751" s="146"/>
      <c r="Q751" s="146"/>
      <c r="R751" s="146"/>
      <c r="S751" s="146"/>
      <c r="T751" s="146"/>
      <c r="U751" s="146"/>
      <c r="V751" s="146"/>
      <c r="W751" s="146"/>
      <c r="X751" s="146"/>
      <c r="Y751" s="146"/>
      <c r="Z751" s="146"/>
    </row>
    <row r="752" ht="22.5" customHeight="1">
      <c r="A752" s="308"/>
      <c r="B752" s="305"/>
      <c r="C752" s="305"/>
      <c r="D752" s="305"/>
      <c r="E752" s="305"/>
      <c r="F752" s="305"/>
      <c r="G752" s="307"/>
      <c r="H752" s="146"/>
      <c r="I752" s="146"/>
      <c r="J752" s="146"/>
      <c r="K752" s="146"/>
      <c r="L752" s="146"/>
      <c r="M752" s="146"/>
      <c r="N752" s="146"/>
      <c r="O752" s="146"/>
      <c r="P752" s="146"/>
      <c r="Q752" s="146"/>
      <c r="R752" s="146"/>
      <c r="S752" s="146"/>
      <c r="T752" s="146"/>
      <c r="U752" s="146"/>
      <c r="V752" s="146"/>
      <c r="W752" s="146"/>
      <c r="X752" s="146"/>
      <c r="Y752" s="146"/>
      <c r="Z752" s="146"/>
    </row>
    <row r="753" ht="22.5" customHeight="1">
      <c r="A753" s="308"/>
      <c r="B753" s="305"/>
      <c r="C753" s="305"/>
      <c r="D753" s="305"/>
      <c r="E753" s="305"/>
      <c r="F753" s="305"/>
      <c r="G753" s="307"/>
      <c r="H753" s="146"/>
      <c r="I753" s="146"/>
      <c r="J753" s="146"/>
      <c r="K753" s="146"/>
      <c r="L753" s="146"/>
      <c r="M753" s="146"/>
      <c r="N753" s="146"/>
      <c r="O753" s="146"/>
      <c r="P753" s="146"/>
      <c r="Q753" s="146"/>
      <c r="R753" s="146"/>
      <c r="S753" s="146"/>
      <c r="T753" s="146"/>
      <c r="U753" s="146"/>
      <c r="V753" s="146"/>
      <c r="W753" s="146"/>
      <c r="X753" s="146"/>
      <c r="Y753" s="146"/>
      <c r="Z753" s="146"/>
    </row>
    <row r="754" ht="22.5" customHeight="1">
      <c r="A754" s="308"/>
      <c r="B754" s="305"/>
      <c r="C754" s="305"/>
      <c r="D754" s="305"/>
      <c r="E754" s="305"/>
      <c r="F754" s="305"/>
      <c r="G754" s="307"/>
      <c r="H754" s="146"/>
      <c r="I754" s="146"/>
      <c r="J754" s="146"/>
      <c r="K754" s="146"/>
      <c r="L754" s="146"/>
      <c r="M754" s="146"/>
      <c r="N754" s="146"/>
      <c r="O754" s="146"/>
      <c r="P754" s="146"/>
      <c r="Q754" s="146"/>
      <c r="R754" s="146"/>
      <c r="S754" s="146"/>
      <c r="T754" s="146"/>
      <c r="U754" s="146"/>
      <c r="V754" s="146"/>
      <c r="W754" s="146"/>
      <c r="X754" s="146"/>
      <c r="Y754" s="146"/>
      <c r="Z754" s="146"/>
    </row>
    <row r="755" ht="22.5" customHeight="1">
      <c r="A755" s="308"/>
      <c r="B755" s="305"/>
      <c r="C755" s="305"/>
      <c r="D755" s="305"/>
      <c r="E755" s="305"/>
      <c r="F755" s="305"/>
      <c r="G755" s="307"/>
      <c r="H755" s="146"/>
      <c r="I755" s="146"/>
      <c r="J755" s="146"/>
      <c r="K755" s="146"/>
      <c r="L755" s="146"/>
      <c r="M755" s="146"/>
      <c r="N755" s="146"/>
      <c r="O755" s="146"/>
      <c r="P755" s="146"/>
      <c r="Q755" s="146"/>
      <c r="R755" s="146"/>
      <c r="S755" s="146"/>
      <c r="T755" s="146"/>
      <c r="U755" s="146"/>
      <c r="V755" s="146"/>
      <c r="W755" s="146"/>
      <c r="X755" s="146"/>
      <c r="Y755" s="146"/>
      <c r="Z755" s="146"/>
    </row>
    <row r="756" ht="22.5" customHeight="1">
      <c r="A756" s="308"/>
      <c r="B756" s="305"/>
      <c r="C756" s="305"/>
      <c r="D756" s="305"/>
      <c r="E756" s="305"/>
      <c r="F756" s="305"/>
      <c r="G756" s="307"/>
      <c r="H756" s="146"/>
      <c r="I756" s="146"/>
      <c r="J756" s="146"/>
      <c r="K756" s="146"/>
      <c r="L756" s="146"/>
      <c r="M756" s="146"/>
      <c r="N756" s="146"/>
      <c r="O756" s="146"/>
      <c r="P756" s="146"/>
      <c r="Q756" s="146"/>
      <c r="R756" s="146"/>
      <c r="S756" s="146"/>
      <c r="T756" s="146"/>
      <c r="U756" s="146"/>
      <c r="V756" s="146"/>
      <c r="W756" s="146"/>
      <c r="X756" s="146"/>
      <c r="Y756" s="146"/>
      <c r="Z756" s="146"/>
    </row>
    <row r="757" ht="22.5" customHeight="1">
      <c r="A757" s="308"/>
      <c r="B757" s="305"/>
      <c r="C757" s="305"/>
      <c r="D757" s="305"/>
      <c r="E757" s="305"/>
      <c r="F757" s="305"/>
      <c r="G757" s="307"/>
      <c r="H757" s="146"/>
      <c r="I757" s="146"/>
      <c r="J757" s="146"/>
      <c r="K757" s="146"/>
      <c r="L757" s="146"/>
      <c r="M757" s="146"/>
      <c r="N757" s="146"/>
      <c r="O757" s="146"/>
      <c r="P757" s="146"/>
      <c r="Q757" s="146"/>
      <c r="R757" s="146"/>
      <c r="S757" s="146"/>
      <c r="T757" s="146"/>
      <c r="U757" s="146"/>
      <c r="V757" s="146"/>
      <c r="W757" s="146"/>
      <c r="X757" s="146"/>
      <c r="Y757" s="146"/>
      <c r="Z757" s="146"/>
    </row>
    <row r="758" ht="22.5" customHeight="1">
      <c r="A758" s="308"/>
      <c r="B758" s="305"/>
      <c r="C758" s="305"/>
      <c r="D758" s="305"/>
      <c r="E758" s="305"/>
      <c r="F758" s="305"/>
      <c r="G758" s="307"/>
      <c r="H758" s="146"/>
      <c r="I758" s="146"/>
      <c r="J758" s="146"/>
      <c r="K758" s="146"/>
      <c r="L758" s="146"/>
      <c r="M758" s="146"/>
      <c r="N758" s="146"/>
      <c r="O758" s="146"/>
      <c r="P758" s="146"/>
      <c r="Q758" s="146"/>
      <c r="R758" s="146"/>
      <c r="S758" s="146"/>
      <c r="T758" s="146"/>
      <c r="U758" s="146"/>
      <c r="V758" s="146"/>
      <c r="W758" s="146"/>
      <c r="X758" s="146"/>
      <c r="Y758" s="146"/>
      <c r="Z758" s="146"/>
    </row>
    <row r="759" ht="22.5" customHeight="1">
      <c r="A759" s="308"/>
      <c r="B759" s="305"/>
      <c r="C759" s="305"/>
      <c r="D759" s="305"/>
      <c r="E759" s="305"/>
      <c r="F759" s="305"/>
      <c r="G759" s="307"/>
      <c r="H759" s="146"/>
      <c r="I759" s="146"/>
      <c r="J759" s="146"/>
      <c r="K759" s="146"/>
      <c r="L759" s="146"/>
      <c r="M759" s="146"/>
      <c r="N759" s="146"/>
      <c r="O759" s="146"/>
      <c r="P759" s="146"/>
      <c r="Q759" s="146"/>
      <c r="R759" s="146"/>
      <c r="S759" s="146"/>
      <c r="T759" s="146"/>
      <c r="U759" s="146"/>
      <c r="V759" s="146"/>
      <c r="W759" s="146"/>
      <c r="X759" s="146"/>
      <c r="Y759" s="146"/>
      <c r="Z759" s="146"/>
    </row>
    <row r="760" ht="22.5" customHeight="1">
      <c r="A760" s="308"/>
      <c r="B760" s="305"/>
      <c r="C760" s="305"/>
      <c r="D760" s="305"/>
      <c r="E760" s="305"/>
      <c r="F760" s="305"/>
      <c r="G760" s="307"/>
      <c r="H760" s="146"/>
      <c r="I760" s="146"/>
      <c r="J760" s="146"/>
      <c r="K760" s="146"/>
      <c r="L760" s="146"/>
      <c r="M760" s="146"/>
      <c r="N760" s="146"/>
      <c r="O760" s="146"/>
      <c r="P760" s="146"/>
      <c r="Q760" s="146"/>
      <c r="R760" s="146"/>
      <c r="S760" s="146"/>
      <c r="T760" s="146"/>
      <c r="U760" s="146"/>
      <c r="V760" s="146"/>
      <c r="W760" s="146"/>
      <c r="X760" s="146"/>
      <c r="Y760" s="146"/>
      <c r="Z760" s="146"/>
    </row>
    <row r="761" ht="22.5" customHeight="1">
      <c r="A761" s="308"/>
      <c r="B761" s="305"/>
      <c r="C761" s="305"/>
      <c r="D761" s="305"/>
      <c r="E761" s="305"/>
      <c r="F761" s="305"/>
      <c r="G761" s="307"/>
      <c r="H761" s="146"/>
      <c r="I761" s="146"/>
      <c r="J761" s="146"/>
      <c r="K761" s="146"/>
      <c r="L761" s="146"/>
      <c r="M761" s="146"/>
      <c r="N761" s="146"/>
      <c r="O761" s="146"/>
      <c r="P761" s="146"/>
      <c r="Q761" s="146"/>
      <c r="R761" s="146"/>
      <c r="S761" s="146"/>
      <c r="T761" s="146"/>
      <c r="U761" s="146"/>
      <c r="V761" s="146"/>
      <c r="W761" s="146"/>
      <c r="X761" s="146"/>
      <c r="Y761" s="146"/>
      <c r="Z761" s="146"/>
    </row>
    <row r="762" ht="22.5" customHeight="1">
      <c r="A762" s="308"/>
      <c r="B762" s="305"/>
      <c r="C762" s="305"/>
      <c r="D762" s="305"/>
      <c r="E762" s="305"/>
      <c r="F762" s="305"/>
      <c r="G762" s="307"/>
      <c r="H762" s="146"/>
      <c r="I762" s="146"/>
      <c r="J762" s="146"/>
      <c r="K762" s="146"/>
      <c r="L762" s="146"/>
      <c r="M762" s="146"/>
      <c r="N762" s="146"/>
      <c r="O762" s="146"/>
      <c r="P762" s="146"/>
      <c r="Q762" s="146"/>
      <c r="R762" s="146"/>
      <c r="S762" s="146"/>
      <c r="T762" s="146"/>
      <c r="U762" s="146"/>
      <c r="V762" s="146"/>
      <c r="W762" s="146"/>
      <c r="X762" s="146"/>
      <c r="Y762" s="146"/>
      <c r="Z762" s="146"/>
    </row>
    <row r="763" ht="22.5" customHeight="1">
      <c r="A763" s="308"/>
      <c r="B763" s="305"/>
      <c r="C763" s="305"/>
      <c r="D763" s="305"/>
      <c r="E763" s="305"/>
      <c r="F763" s="305"/>
      <c r="G763" s="307"/>
      <c r="H763" s="146"/>
      <c r="I763" s="146"/>
      <c r="J763" s="146"/>
      <c r="K763" s="146"/>
      <c r="L763" s="146"/>
      <c r="M763" s="146"/>
      <c r="N763" s="146"/>
      <c r="O763" s="146"/>
      <c r="P763" s="146"/>
      <c r="Q763" s="146"/>
      <c r="R763" s="146"/>
      <c r="S763" s="146"/>
      <c r="T763" s="146"/>
      <c r="U763" s="146"/>
      <c r="V763" s="146"/>
      <c r="W763" s="146"/>
      <c r="X763" s="146"/>
      <c r="Y763" s="146"/>
      <c r="Z763" s="146"/>
    </row>
    <row r="764" ht="22.5" customHeight="1">
      <c r="A764" s="308"/>
      <c r="B764" s="305"/>
      <c r="C764" s="305"/>
      <c r="D764" s="305"/>
      <c r="E764" s="305"/>
      <c r="F764" s="305"/>
      <c r="G764" s="307"/>
      <c r="H764" s="146"/>
      <c r="I764" s="146"/>
      <c r="J764" s="146"/>
      <c r="K764" s="146"/>
      <c r="L764" s="146"/>
      <c r="M764" s="146"/>
      <c r="N764" s="146"/>
      <c r="O764" s="146"/>
      <c r="P764" s="146"/>
      <c r="Q764" s="146"/>
      <c r="R764" s="146"/>
      <c r="S764" s="146"/>
      <c r="T764" s="146"/>
      <c r="U764" s="146"/>
      <c r="V764" s="146"/>
      <c r="W764" s="146"/>
      <c r="X764" s="146"/>
      <c r="Y764" s="146"/>
      <c r="Z764" s="146"/>
    </row>
    <row r="765" ht="22.5" customHeight="1">
      <c r="A765" s="308"/>
      <c r="B765" s="305"/>
      <c r="C765" s="305"/>
      <c r="D765" s="305"/>
      <c r="E765" s="305"/>
      <c r="F765" s="305"/>
      <c r="G765" s="307"/>
      <c r="H765" s="146"/>
      <c r="I765" s="146"/>
      <c r="J765" s="146"/>
      <c r="K765" s="146"/>
      <c r="L765" s="146"/>
      <c r="M765" s="146"/>
      <c r="N765" s="146"/>
      <c r="O765" s="146"/>
      <c r="P765" s="146"/>
      <c r="Q765" s="146"/>
      <c r="R765" s="146"/>
      <c r="S765" s="146"/>
      <c r="T765" s="146"/>
      <c r="U765" s="146"/>
      <c r="V765" s="146"/>
      <c r="W765" s="146"/>
      <c r="X765" s="146"/>
      <c r="Y765" s="146"/>
      <c r="Z765" s="146"/>
    </row>
    <row r="766" ht="22.5" customHeight="1">
      <c r="A766" s="308"/>
      <c r="B766" s="305"/>
      <c r="C766" s="305"/>
      <c r="D766" s="305"/>
      <c r="E766" s="305"/>
      <c r="F766" s="305"/>
      <c r="G766" s="307"/>
      <c r="H766" s="146"/>
      <c r="I766" s="146"/>
      <c r="J766" s="146"/>
      <c r="K766" s="146"/>
      <c r="L766" s="146"/>
      <c r="M766" s="146"/>
      <c r="N766" s="146"/>
      <c r="O766" s="146"/>
      <c r="P766" s="146"/>
      <c r="Q766" s="146"/>
      <c r="R766" s="146"/>
      <c r="S766" s="146"/>
      <c r="T766" s="146"/>
      <c r="U766" s="146"/>
      <c r="V766" s="146"/>
      <c r="W766" s="146"/>
      <c r="X766" s="146"/>
      <c r="Y766" s="146"/>
      <c r="Z766" s="146"/>
    </row>
    <row r="767" ht="22.5" customHeight="1">
      <c r="A767" s="308"/>
      <c r="B767" s="305"/>
      <c r="C767" s="305"/>
      <c r="D767" s="305"/>
      <c r="E767" s="305"/>
      <c r="F767" s="305"/>
      <c r="G767" s="307"/>
      <c r="H767" s="146"/>
      <c r="I767" s="146"/>
      <c r="J767" s="146"/>
      <c r="K767" s="146"/>
      <c r="L767" s="146"/>
      <c r="M767" s="146"/>
      <c r="N767" s="146"/>
      <c r="O767" s="146"/>
      <c r="P767" s="146"/>
      <c r="Q767" s="146"/>
      <c r="R767" s="146"/>
      <c r="S767" s="146"/>
      <c r="T767" s="146"/>
      <c r="U767" s="146"/>
      <c r="V767" s="146"/>
      <c r="W767" s="146"/>
      <c r="X767" s="146"/>
      <c r="Y767" s="146"/>
      <c r="Z767" s="146"/>
    </row>
    <row r="768" ht="22.5" customHeight="1">
      <c r="A768" s="308"/>
      <c r="B768" s="305"/>
      <c r="C768" s="305"/>
      <c r="D768" s="305"/>
      <c r="E768" s="305"/>
      <c r="F768" s="305"/>
      <c r="G768" s="307"/>
      <c r="H768" s="146"/>
      <c r="I768" s="146"/>
      <c r="J768" s="146"/>
      <c r="K768" s="146"/>
      <c r="L768" s="146"/>
      <c r="M768" s="146"/>
      <c r="N768" s="146"/>
      <c r="O768" s="146"/>
      <c r="P768" s="146"/>
      <c r="Q768" s="146"/>
      <c r="R768" s="146"/>
      <c r="S768" s="146"/>
      <c r="T768" s="146"/>
      <c r="U768" s="146"/>
      <c r="V768" s="146"/>
      <c r="W768" s="146"/>
      <c r="X768" s="146"/>
      <c r="Y768" s="146"/>
      <c r="Z768" s="146"/>
    </row>
    <row r="769" ht="22.5" customHeight="1">
      <c r="A769" s="308"/>
      <c r="B769" s="305"/>
      <c r="C769" s="305"/>
      <c r="D769" s="305"/>
      <c r="E769" s="305"/>
      <c r="F769" s="305"/>
      <c r="G769" s="307"/>
      <c r="H769" s="146"/>
      <c r="I769" s="146"/>
      <c r="J769" s="146"/>
      <c r="K769" s="146"/>
      <c r="L769" s="146"/>
      <c r="M769" s="146"/>
      <c r="N769" s="146"/>
      <c r="O769" s="146"/>
      <c r="P769" s="146"/>
      <c r="Q769" s="146"/>
      <c r="R769" s="146"/>
      <c r="S769" s="146"/>
      <c r="T769" s="146"/>
      <c r="U769" s="146"/>
      <c r="V769" s="146"/>
      <c r="W769" s="146"/>
      <c r="X769" s="146"/>
      <c r="Y769" s="146"/>
      <c r="Z769" s="146"/>
    </row>
    <row r="770" ht="22.5" customHeight="1">
      <c r="A770" s="308"/>
      <c r="B770" s="305"/>
      <c r="C770" s="305"/>
      <c r="D770" s="305"/>
      <c r="E770" s="305"/>
      <c r="F770" s="305"/>
      <c r="G770" s="307"/>
      <c r="H770" s="146"/>
      <c r="I770" s="146"/>
      <c r="J770" s="146"/>
      <c r="K770" s="146"/>
      <c r="L770" s="146"/>
      <c r="M770" s="146"/>
      <c r="N770" s="146"/>
      <c r="O770" s="146"/>
      <c r="P770" s="146"/>
      <c r="Q770" s="146"/>
      <c r="R770" s="146"/>
      <c r="S770" s="146"/>
      <c r="T770" s="146"/>
      <c r="U770" s="146"/>
      <c r="V770" s="146"/>
      <c r="W770" s="146"/>
      <c r="X770" s="146"/>
      <c r="Y770" s="146"/>
      <c r="Z770" s="146"/>
    </row>
    <row r="771" ht="22.5" customHeight="1">
      <c r="A771" s="308"/>
      <c r="B771" s="305"/>
      <c r="C771" s="305"/>
      <c r="D771" s="305"/>
      <c r="E771" s="305"/>
      <c r="F771" s="305"/>
      <c r="G771" s="307"/>
      <c r="H771" s="146"/>
      <c r="I771" s="146"/>
      <c r="J771" s="146"/>
      <c r="K771" s="146"/>
      <c r="L771" s="146"/>
      <c r="M771" s="146"/>
      <c r="N771" s="146"/>
      <c r="O771" s="146"/>
      <c r="P771" s="146"/>
      <c r="Q771" s="146"/>
      <c r="R771" s="146"/>
      <c r="S771" s="146"/>
      <c r="T771" s="146"/>
      <c r="U771" s="146"/>
      <c r="V771" s="146"/>
      <c r="W771" s="146"/>
      <c r="X771" s="146"/>
      <c r="Y771" s="146"/>
      <c r="Z771" s="146"/>
    </row>
    <row r="772" ht="22.5" customHeight="1">
      <c r="A772" s="308"/>
      <c r="B772" s="305"/>
      <c r="C772" s="305"/>
      <c r="D772" s="305"/>
      <c r="E772" s="305"/>
      <c r="F772" s="305"/>
      <c r="G772" s="307"/>
      <c r="H772" s="146"/>
      <c r="I772" s="146"/>
      <c r="J772" s="146"/>
      <c r="K772" s="146"/>
      <c r="L772" s="146"/>
      <c r="M772" s="146"/>
      <c r="N772" s="146"/>
      <c r="O772" s="146"/>
      <c r="P772" s="146"/>
      <c r="Q772" s="146"/>
      <c r="R772" s="146"/>
      <c r="S772" s="146"/>
      <c r="T772" s="146"/>
      <c r="U772" s="146"/>
      <c r="V772" s="146"/>
      <c r="W772" s="146"/>
      <c r="X772" s="146"/>
      <c r="Y772" s="146"/>
      <c r="Z772" s="146"/>
    </row>
    <row r="773" ht="22.5" customHeight="1">
      <c r="A773" s="308"/>
      <c r="B773" s="305"/>
      <c r="C773" s="305"/>
      <c r="D773" s="305"/>
      <c r="E773" s="305"/>
      <c r="F773" s="305"/>
      <c r="G773" s="307"/>
      <c r="H773" s="146"/>
      <c r="I773" s="146"/>
      <c r="J773" s="146"/>
      <c r="K773" s="146"/>
      <c r="L773" s="146"/>
      <c r="M773" s="146"/>
      <c r="N773" s="146"/>
      <c r="O773" s="146"/>
      <c r="P773" s="146"/>
      <c r="Q773" s="146"/>
      <c r="R773" s="146"/>
      <c r="S773" s="146"/>
      <c r="T773" s="146"/>
      <c r="U773" s="146"/>
      <c r="V773" s="146"/>
      <c r="W773" s="146"/>
      <c r="X773" s="146"/>
      <c r="Y773" s="146"/>
      <c r="Z773" s="146"/>
    </row>
    <row r="774" ht="22.5" customHeight="1">
      <c r="A774" s="308"/>
      <c r="B774" s="305"/>
      <c r="C774" s="305"/>
      <c r="D774" s="305"/>
      <c r="E774" s="305"/>
      <c r="F774" s="305"/>
      <c r="G774" s="307"/>
      <c r="H774" s="146"/>
      <c r="I774" s="146"/>
      <c r="J774" s="146"/>
      <c r="K774" s="146"/>
      <c r="L774" s="146"/>
      <c r="M774" s="146"/>
      <c r="N774" s="146"/>
      <c r="O774" s="146"/>
      <c r="P774" s="146"/>
      <c r="Q774" s="146"/>
      <c r="R774" s="146"/>
      <c r="S774" s="146"/>
      <c r="T774" s="146"/>
      <c r="U774" s="146"/>
      <c r="V774" s="146"/>
      <c r="W774" s="146"/>
      <c r="X774" s="146"/>
      <c r="Y774" s="146"/>
      <c r="Z774" s="146"/>
    </row>
    <row r="775" ht="22.5" customHeight="1">
      <c r="A775" s="308"/>
      <c r="B775" s="305"/>
      <c r="C775" s="305"/>
      <c r="D775" s="305"/>
      <c r="E775" s="305"/>
      <c r="F775" s="305"/>
      <c r="G775" s="307"/>
      <c r="H775" s="146"/>
      <c r="I775" s="146"/>
      <c r="J775" s="146"/>
      <c r="K775" s="146"/>
      <c r="L775" s="146"/>
      <c r="M775" s="146"/>
      <c r="N775" s="146"/>
      <c r="O775" s="146"/>
      <c r="P775" s="146"/>
      <c r="Q775" s="146"/>
      <c r="R775" s="146"/>
      <c r="S775" s="146"/>
      <c r="T775" s="146"/>
      <c r="U775" s="146"/>
      <c r="V775" s="146"/>
      <c r="W775" s="146"/>
      <c r="X775" s="146"/>
      <c r="Y775" s="146"/>
      <c r="Z775" s="146"/>
    </row>
    <row r="776" ht="22.5" customHeight="1">
      <c r="A776" s="308"/>
      <c r="B776" s="305"/>
      <c r="C776" s="305"/>
      <c r="D776" s="305"/>
      <c r="E776" s="305"/>
      <c r="F776" s="305"/>
      <c r="G776" s="307"/>
      <c r="H776" s="146"/>
      <c r="I776" s="146"/>
      <c r="J776" s="146"/>
      <c r="K776" s="146"/>
      <c r="L776" s="146"/>
      <c r="M776" s="146"/>
      <c r="N776" s="146"/>
      <c r="O776" s="146"/>
      <c r="P776" s="146"/>
      <c r="Q776" s="146"/>
      <c r="R776" s="146"/>
      <c r="S776" s="146"/>
      <c r="T776" s="146"/>
      <c r="U776" s="146"/>
      <c r="V776" s="146"/>
      <c r="W776" s="146"/>
      <c r="X776" s="146"/>
      <c r="Y776" s="146"/>
      <c r="Z776" s="146"/>
    </row>
    <row r="777" ht="22.5" customHeight="1">
      <c r="A777" s="308"/>
      <c r="B777" s="305"/>
      <c r="C777" s="305"/>
      <c r="D777" s="305"/>
      <c r="E777" s="305"/>
      <c r="F777" s="305"/>
      <c r="G777" s="307"/>
      <c r="H777" s="146"/>
      <c r="I777" s="146"/>
      <c r="J777" s="146"/>
      <c r="K777" s="146"/>
      <c r="L777" s="146"/>
      <c r="M777" s="146"/>
      <c r="N777" s="146"/>
      <c r="O777" s="146"/>
      <c r="P777" s="146"/>
      <c r="Q777" s="146"/>
      <c r="R777" s="146"/>
      <c r="S777" s="146"/>
      <c r="T777" s="146"/>
      <c r="U777" s="146"/>
      <c r="V777" s="146"/>
      <c r="W777" s="146"/>
      <c r="X777" s="146"/>
      <c r="Y777" s="146"/>
      <c r="Z777" s="146"/>
    </row>
    <row r="778" ht="22.5" customHeight="1">
      <c r="A778" s="308"/>
      <c r="B778" s="305"/>
      <c r="C778" s="305"/>
      <c r="D778" s="305"/>
      <c r="E778" s="305"/>
      <c r="F778" s="305"/>
      <c r="G778" s="307"/>
      <c r="H778" s="146"/>
      <c r="I778" s="146"/>
      <c r="J778" s="146"/>
      <c r="K778" s="146"/>
      <c r="L778" s="146"/>
      <c r="M778" s="146"/>
      <c r="N778" s="146"/>
      <c r="O778" s="146"/>
      <c r="P778" s="146"/>
      <c r="Q778" s="146"/>
      <c r="R778" s="146"/>
      <c r="S778" s="146"/>
      <c r="T778" s="146"/>
      <c r="U778" s="146"/>
      <c r="V778" s="146"/>
      <c r="W778" s="146"/>
      <c r="X778" s="146"/>
      <c r="Y778" s="146"/>
      <c r="Z778" s="146"/>
    </row>
    <row r="779" ht="22.5" customHeight="1">
      <c r="A779" s="308"/>
      <c r="B779" s="305"/>
      <c r="C779" s="305"/>
      <c r="D779" s="305"/>
      <c r="E779" s="305"/>
      <c r="F779" s="305"/>
      <c r="G779" s="307"/>
      <c r="H779" s="146"/>
      <c r="I779" s="146"/>
      <c r="J779" s="146"/>
      <c r="K779" s="146"/>
      <c r="L779" s="146"/>
      <c r="M779" s="146"/>
      <c r="N779" s="146"/>
      <c r="O779" s="146"/>
      <c r="P779" s="146"/>
      <c r="Q779" s="146"/>
      <c r="R779" s="146"/>
      <c r="S779" s="146"/>
      <c r="T779" s="146"/>
      <c r="U779" s="146"/>
      <c r="V779" s="146"/>
      <c r="W779" s="146"/>
      <c r="X779" s="146"/>
      <c r="Y779" s="146"/>
      <c r="Z779" s="146"/>
    </row>
    <row r="780" ht="22.5" customHeight="1">
      <c r="A780" s="308"/>
      <c r="B780" s="305"/>
      <c r="C780" s="305"/>
      <c r="D780" s="305"/>
      <c r="E780" s="305"/>
      <c r="F780" s="305"/>
      <c r="G780" s="307"/>
      <c r="H780" s="146"/>
      <c r="I780" s="146"/>
      <c r="J780" s="146"/>
      <c r="K780" s="146"/>
      <c r="L780" s="146"/>
      <c r="M780" s="146"/>
      <c r="N780" s="146"/>
      <c r="O780" s="146"/>
      <c r="P780" s="146"/>
      <c r="Q780" s="146"/>
      <c r="R780" s="146"/>
      <c r="S780" s="146"/>
      <c r="T780" s="146"/>
      <c r="U780" s="146"/>
      <c r="V780" s="146"/>
      <c r="W780" s="146"/>
      <c r="X780" s="146"/>
      <c r="Y780" s="146"/>
      <c r="Z780" s="146"/>
    </row>
    <row r="781" ht="22.5" customHeight="1">
      <c r="A781" s="308"/>
      <c r="B781" s="305"/>
      <c r="C781" s="305"/>
      <c r="D781" s="305"/>
      <c r="E781" s="305"/>
      <c r="F781" s="305"/>
      <c r="G781" s="307"/>
      <c r="H781" s="146"/>
      <c r="I781" s="146"/>
      <c r="J781" s="146"/>
      <c r="K781" s="146"/>
      <c r="L781" s="146"/>
      <c r="M781" s="146"/>
      <c r="N781" s="146"/>
      <c r="O781" s="146"/>
      <c r="P781" s="146"/>
      <c r="Q781" s="146"/>
      <c r="R781" s="146"/>
      <c r="S781" s="146"/>
      <c r="T781" s="146"/>
      <c r="U781" s="146"/>
      <c r="V781" s="146"/>
      <c r="W781" s="146"/>
      <c r="X781" s="146"/>
      <c r="Y781" s="146"/>
      <c r="Z781" s="146"/>
    </row>
    <row r="782" ht="22.5" customHeight="1">
      <c r="A782" s="308"/>
      <c r="B782" s="305"/>
      <c r="C782" s="305"/>
      <c r="D782" s="305"/>
      <c r="E782" s="305"/>
      <c r="F782" s="305"/>
      <c r="G782" s="307"/>
      <c r="H782" s="146"/>
      <c r="I782" s="146"/>
      <c r="J782" s="146"/>
      <c r="K782" s="146"/>
      <c r="L782" s="146"/>
      <c r="M782" s="146"/>
      <c r="N782" s="146"/>
      <c r="O782" s="146"/>
      <c r="P782" s="146"/>
      <c r="Q782" s="146"/>
      <c r="R782" s="146"/>
      <c r="S782" s="146"/>
      <c r="T782" s="146"/>
      <c r="U782" s="146"/>
      <c r="V782" s="146"/>
      <c r="W782" s="146"/>
      <c r="X782" s="146"/>
      <c r="Y782" s="146"/>
      <c r="Z782" s="146"/>
    </row>
    <row r="783" ht="22.5" customHeight="1">
      <c r="A783" s="308"/>
      <c r="B783" s="305"/>
      <c r="C783" s="305"/>
      <c r="D783" s="305"/>
      <c r="E783" s="305"/>
      <c r="F783" s="305"/>
      <c r="G783" s="307"/>
      <c r="H783" s="146"/>
      <c r="I783" s="146"/>
      <c r="J783" s="146"/>
      <c r="K783" s="146"/>
      <c r="L783" s="146"/>
      <c r="M783" s="146"/>
      <c r="N783" s="146"/>
      <c r="O783" s="146"/>
      <c r="P783" s="146"/>
      <c r="Q783" s="146"/>
      <c r="R783" s="146"/>
      <c r="S783" s="146"/>
      <c r="T783" s="146"/>
      <c r="U783" s="146"/>
      <c r="V783" s="146"/>
      <c r="W783" s="146"/>
      <c r="X783" s="146"/>
      <c r="Y783" s="146"/>
      <c r="Z783" s="146"/>
    </row>
    <row r="784" ht="22.5" customHeight="1">
      <c r="A784" s="308"/>
      <c r="B784" s="305"/>
      <c r="C784" s="305"/>
      <c r="D784" s="305"/>
      <c r="E784" s="305"/>
      <c r="F784" s="305"/>
      <c r="G784" s="307"/>
      <c r="H784" s="146"/>
      <c r="I784" s="146"/>
      <c r="J784" s="146"/>
      <c r="K784" s="146"/>
      <c r="L784" s="146"/>
      <c r="M784" s="146"/>
      <c r="N784" s="146"/>
      <c r="O784" s="146"/>
      <c r="P784" s="146"/>
      <c r="Q784" s="146"/>
      <c r="R784" s="146"/>
      <c r="S784" s="146"/>
      <c r="T784" s="146"/>
      <c r="U784" s="146"/>
      <c r="V784" s="146"/>
      <c r="W784" s="146"/>
      <c r="X784" s="146"/>
      <c r="Y784" s="146"/>
      <c r="Z784" s="146"/>
    </row>
    <row r="785" ht="22.5" customHeight="1">
      <c r="A785" s="308"/>
      <c r="B785" s="305"/>
      <c r="C785" s="305"/>
      <c r="D785" s="305"/>
      <c r="E785" s="305"/>
      <c r="F785" s="305"/>
      <c r="G785" s="307"/>
      <c r="H785" s="146"/>
      <c r="I785" s="146"/>
      <c r="J785" s="146"/>
      <c r="K785" s="146"/>
      <c r="L785" s="146"/>
      <c r="M785" s="146"/>
      <c r="N785" s="146"/>
      <c r="O785" s="146"/>
      <c r="P785" s="146"/>
      <c r="Q785" s="146"/>
      <c r="R785" s="146"/>
      <c r="S785" s="146"/>
      <c r="T785" s="146"/>
      <c r="U785" s="146"/>
      <c r="V785" s="146"/>
      <c r="W785" s="146"/>
      <c r="X785" s="146"/>
      <c r="Y785" s="146"/>
      <c r="Z785" s="146"/>
    </row>
    <row r="786" ht="22.5" customHeight="1">
      <c r="A786" s="308"/>
      <c r="B786" s="305"/>
      <c r="C786" s="305"/>
      <c r="D786" s="305"/>
      <c r="E786" s="305"/>
      <c r="F786" s="305"/>
      <c r="G786" s="307"/>
      <c r="H786" s="146"/>
      <c r="I786" s="146"/>
      <c r="J786" s="146"/>
      <c r="K786" s="146"/>
      <c r="L786" s="146"/>
      <c r="M786" s="146"/>
      <c r="N786" s="146"/>
      <c r="O786" s="146"/>
      <c r="P786" s="146"/>
      <c r="Q786" s="146"/>
      <c r="R786" s="146"/>
      <c r="S786" s="146"/>
      <c r="T786" s="146"/>
      <c r="U786" s="146"/>
      <c r="V786" s="146"/>
      <c r="W786" s="146"/>
      <c r="X786" s="146"/>
      <c r="Y786" s="146"/>
      <c r="Z786" s="146"/>
    </row>
    <row r="787" ht="22.5" customHeight="1">
      <c r="A787" s="308"/>
      <c r="B787" s="305"/>
      <c r="C787" s="305"/>
      <c r="D787" s="305"/>
      <c r="E787" s="305"/>
      <c r="F787" s="305"/>
      <c r="G787" s="307"/>
      <c r="H787" s="146"/>
      <c r="I787" s="146"/>
      <c r="J787" s="146"/>
      <c r="K787" s="146"/>
      <c r="L787" s="146"/>
      <c r="M787" s="146"/>
      <c r="N787" s="146"/>
      <c r="O787" s="146"/>
      <c r="P787" s="146"/>
      <c r="Q787" s="146"/>
      <c r="R787" s="146"/>
      <c r="S787" s="146"/>
      <c r="T787" s="146"/>
      <c r="U787" s="146"/>
      <c r="V787" s="146"/>
      <c r="W787" s="146"/>
      <c r="X787" s="146"/>
      <c r="Y787" s="146"/>
      <c r="Z787" s="146"/>
    </row>
    <row r="788" ht="22.5" customHeight="1">
      <c r="A788" s="308"/>
      <c r="B788" s="305"/>
      <c r="C788" s="305"/>
      <c r="D788" s="305"/>
      <c r="E788" s="305"/>
      <c r="F788" s="305"/>
      <c r="G788" s="307"/>
      <c r="H788" s="146"/>
      <c r="I788" s="146"/>
      <c r="J788" s="146"/>
      <c r="K788" s="146"/>
      <c r="L788" s="146"/>
      <c r="M788" s="146"/>
      <c r="N788" s="146"/>
      <c r="O788" s="146"/>
      <c r="P788" s="146"/>
      <c r="Q788" s="146"/>
      <c r="R788" s="146"/>
      <c r="S788" s="146"/>
      <c r="T788" s="146"/>
      <c r="U788" s="146"/>
      <c r="V788" s="146"/>
      <c r="W788" s="146"/>
      <c r="X788" s="146"/>
      <c r="Y788" s="146"/>
      <c r="Z788" s="146"/>
    </row>
    <row r="789" ht="22.5" customHeight="1">
      <c r="A789" s="308"/>
      <c r="B789" s="305"/>
      <c r="C789" s="305"/>
      <c r="D789" s="305"/>
      <c r="E789" s="305"/>
      <c r="F789" s="305"/>
      <c r="G789" s="307"/>
      <c r="H789" s="146"/>
      <c r="I789" s="146"/>
      <c r="J789" s="146"/>
      <c r="K789" s="146"/>
      <c r="L789" s="146"/>
      <c r="M789" s="146"/>
      <c r="N789" s="146"/>
      <c r="O789" s="146"/>
      <c r="P789" s="146"/>
      <c r="Q789" s="146"/>
      <c r="R789" s="146"/>
      <c r="S789" s="146"/>
      <c r="T789" s="146"/>
      <c r="U789" s="146"/>
      <c r="V789" s="146"/>
      <c r="W789" s="146"/>
      <c r="X789" s="146"/>
      <c r="Y789" s="146"/>
      <c r="Z789" s="146"/>
    </row>
    <row r="790" ht="22.5" customHeight="1">
      <c r="A790" s="308"/>
      <c r="B790" s="305"/>
      <c r="C790" s="305"/>
      <c r="D790" s="305"/>
      <c r="E790" s="305"/>
      <c r="F790" s="305"/>
      <c r="G790" s="307"/>
      <c r="H790" s="146"/>
      <c r="I790" s="146"/>
      <c r="J790" s="146"/>
      <c r="K790" s="146"/>
      <c r="L790" s="146"/>
      <c r="M790" s="146"/>
      <c r="N790" s="146"/>
      <c r="O790" s="146"/>
      <c r="P790" s="146"/>
      <c r="Q790" s="146"/>
      <c r="R790" s="146"/>
      <c r="S790" s="146"/>
      <c r="T790" s="146"/>
      <c r="U790" s="146"/>
      <c r="V790" s="146"/>
      <c r="W790" s="146"/>
      <c r="X790" s="146"/>
      <c r="Y790" s="146"/>
      <c r="Z790" s="146"/>
    </row>
    <row r="791" ht="22.5" customHeight="1">
      <c r="A791" s="308"/>
      <c r="B791" s="305"/>
      <c r="C791" s="305"/>
      <c r="D791" s="305"/>
      <c r="E791" s="305"/>
      <c r="F791" s="305"/>
      <c r="G791" s="307"/>
      <c r="H791" s="146"/>
      <c r="I791" s="146"/>
      <c r="J791" s="146"/>
      <c r="K791" s="146"/>
      <c r="L791" s="146"/>
      <c r="M791" s="146"/>
      <c r="N791" s="146"/>
      <c r="O791" s="146"/>
      <c r="P791" s="146"/>
      <c r="Q791" s="146"/>
      <c r="R791" s="146"/>
      <c r="S791" s="146"/>
      <c r="T791" s="146"/>
      <c r="U791" s="146"/>
      <c r="V791" s="146"/>
      <c r="W791" s="146"/>
      <c r="X791" s="146"/>
      <c r="Y791" s="146"/>
      <c r="Z791" s="146"/>
    </row>
    <row r="792" ht="22.5" customHeight="1">
      <c r="A792" s="308"/>
      <c r="B792" s="305"/>
      <c r="C792" s="305"/>
      <c r="D792" s="305"/>
      <c r="E792" s="305"/>
      <c r="F792" s="305"/>
      <c r="G792" s="307"/>
      <c r="H792" s="146"/>
      <c r="I792" s="146"/>
      <c r="J792" s="146"/>
      <c r="K792" s="146"/>
      <c r="L792" s="146"/>
      <c r="M792" s="146"/>
      <c r="N792" s="146"/>
      <c r="O792" s="146"/>
      <c r="P792" s="146"/>
      <c r="Q792" s="146"/>
      <c r="R792" s="146"/>
      <c r="S792" s="146"/>
      <c r="T792" s="146"/>
      <c r="U792" s="146"/>
      <c r="V792" s="146"/>
      <c r="W792" s="146"/>
      <c r="X792" s="146"/>
      <c r="Y792" s="146"/>
      <c r="Z792" s="146"/>
    </row>
    <row r="793" ht="22.5" customHeight="1">
      <c r="A793" s="308"/>
      <c r="B793" s="305"/>
      <c r="C793" s="305"/>
      <c r="D793" s="305"/>
      <c r="E793" s="305"/>
      <c r="F793" s="305"/>
      <c r="G793" s="307"/>
      <c r="H793" s="146"/>
      <c r="I793" s="146"/>
      <c r="J793" s="146"/>
      <c r="K793" s="146"/>
      <c r="L793" s="146"/>
      <c r="M793" s="146"/>
      <c r="N793" s="146"/>
      <c r="O793" s="146"/>
      <c r="P793" s="146"/>
      <c r="Q793" s="146"/>
      <c r="R793" s="146"/>
      <c r="S793" s="146"/>
      <c r="T793" s="146"/>
      <c r="U793" s="146"/>
      <c r="V793" s="146"/>
      <c r="W793" s="146"/>
      <c r="X793" s="146"/>
      <c r="Y793" s="146"/>
      <c r="Z793" s="146"/>
    </row>
    <row r="794" ht="22.5" customHeight="1">
      <c r="A794" s="308"/>
      <c r="B794" s="305"/>
      <c r="C794" s="305"/>
      <c r="D794" s="305"/>
      <c r="E794" s="305"/>
      <c r="F794" s="305"/>
      <c r="G794" s="307"/>
      <c r="H794" s="146"/>
      <c r="I794" s="146"/>
      <c r="J794" s="146"/>
      <c r="K794" s="146"/>
      <c r="L794" s="146"/>
      <c r="M794" s="146"/>
      <c r="N794" s="146"/>
      <c r="O794" s="146"/>
      <c r="P794" s="146"/>
      <c r="Q794" s="146"/>
      <c r="R794" s="146"/>
      <c r="S794" s="146"/>
      <c r="T794" s="146"/>
      <c r="U794" s="146"/>
      <c r="V794" s="146"/>
      <c r="W794" s="146"/>
      <c r="X794" s="146"/>
      <c r="Y794" s="146"/>
      <c r="Z794" s="146"/>
    </row>
    <row r="795" ht="22.5" customHeight="1">
      <c r="A795" s="308"/>
      <c r="B795" s="305"/>
      <c r="C795" s="305"/>
      <c r="D795" s="305"/>
      <c r="E795" s="305"/>
      <c r="F795" s="305"/>
      <c r="G795" s="307"/>
      <c r="H795" s="146"/>
      <c r="I795" s="146"/>
      <c r="J795" s="146"/>
      <c r="K795" s="146"/>
      <c r="L795" s="146"/>
      <c r="M795" s="146"/>
      <c r="N795" s="146"/>
      <c r="O795" s="146"/>
      <c r="P795" s="146"/>
      <c r="Q795" s="146"/>
      <c r="R795" s="146"/>
      <c r="S795" s="146"/>
      <c r="T795" s="146"/>
      <c r="U795" s="146"/>
      <c r="V795" s="146"/>
      <c r="W795" s="146"/>
      <c r="X795" s="146"/>
      <c r="Y795" s="146"/>
      <c r="Z795" s="146"/>
    </row>
    <row r="796" ht="22.5" customHeight="1">
      <c r="A796" s="308"/>
      <c r="B796" s="305"/>
      <c r="C796" s="305"/>
      <c r="D796" s="305"/>
      <c r="E796" s="305"/>
      <c r="F796" s="305"/>
      <c r="G796" s="307"/>
      <c r="H796" s="146"/>
      <c r="I796" s="146"/>
      <c r="J796" s="146"/>
      <c r="K796" s="146"/>
      <c r="L796" s="146"/>
      <c r="M796" s="146"/>
      <c r="N796" s="146"/>
      <c r="O796" s="146"/>
      <c r="P796" s="146"/>
      <c r="Q796" s="146"/>
      <c r="R796" s="146"/>
      <c r="S796" s="146"/>
      <c r="T796" s="146"/>
      <c r="U796" s="146"/>
      <c r="V796" s="146"/>
      <c r="W796" s="146"/>
      <c r="X796" s="146"/>
      <c r="Y796" s="146"/>
      <c r="Z796" s="146"/>
    </row>
    <row r="797" ht="22.5" customHeight="1">
      <c r="A797" s="308"/>
      <c r="B797" s="305"/>
      <c r="C797" s="305"/>
      <c r="D797" s="305"/>
      <c r="E797" s="305"/>
      <c r="F797" s="305"/>
      <c r="G797" s="307"/>
      <c r="H797" s="146"/>
      <c r="I797" s="146"/>
      <c r="J797" s="146"/>
      <c r="K797" s="146"/>
      <c r="L797" s="146"/>
      <c r="M797" s="146"/>
      <c r="N797" s="146"/>
      <c r="O797" s="146"/>
      <c r="P797" s="146"/>
      <c r="Q797" s="146"/>
      <c r="R797" s="146"/>
      <c r="S797" s="146"/>
      <c r="T797" s="146"/>
      <c r="U797" s="146"/>
      <c r="V797" s="146"/>
      <c r="W797" s="146"/>
      <c r="X797" s="146"/>
      <c r="Y797" s="146"/>
      <c r="Z797" s="146"/>
    </row>
    <row r="798" ht="22.5" customHeight="1">
      <c r="A798" s="308"/>
      <c r="B798" s="305"/>
      <c r="C798" s="305"/>
      <c r="D798" s="305"/>
      <c r="E798" s="305"/>
      <c r="F798" s="305"/>
      <c r="G798" s="307"/>
      <c r="H798" s="146"/>
      <c r="I798" s="146"/>
      <c r="J798" s="146"/>
      <c r="K798" s="146"/>
      <c r="L798" s="146"/>
      <c r="M798" s="146"/>
      <c r="N798" s="146"/>
      <c r="O798" s="146"/>
      <c r="P798" s="146"/>
      <c r="Q798" s="146"/>
      <c r="R798" s="146"/>
      <c r="S798" s="146"/>
      <c r="T798" s="146"/>
      <c r="U798" s="146"/>
      <c r="V798" s="146"/>
      <c r="W798" s="146"/>
      <c r="X798" s="146"/>
      <c r="Y798" s="146"/>
      <c r="Z798" s="146"/>
    </row>
    <row r="799" ht="22.5" customHeight="1">
      <c r="A799" s="308"/>
      <c r="B799" s="305"/>
      <c r="C799" s="305"/>
      <c r="D799" s="305"/>
      <c r="E799" s="305"/>
      <c r="F799" s="305"/>
      <c r="G799" s="307"/>
      <c r="H799" s="146"/>
      <c r="I799" s="146"/>
      <c r="J799" s="146"/>
      <c r="K799" s="146"/>
      <c r="L799" s="146"/>
      <c r="M799" s="146"/>
      <c r="N799" s="146"/>
      <c r="O799" s="146"/>
      <c r="P799" s="146"/>
      <c r="Q799" s="146"/>
      <c r="R799" s="146"/>
      <c r="S799" s="146"/>
      <c r="T799" s="146"/>
      <c r="U799" s="146"/>
      <c r="V799" s="146"/>
      <c r="W799" s="146"/>
      <c r="X799" s="146"/>
      <c r="Y799" s="146"/>
      <c r="Z799" s="146"/>
    </row>
    <row r="800" ht="22.5" customHeight="1">
      <c r="A800" s="308"/>
      <c r="B800" s="305"/>
      <c r="C800" s="305"/>
      <c r="D800" s="305"/>
      <c r="E800" s="305"/>
      <c r="F800" s="305"/>
      <c r="G800" s="307"/>
      <c r="H800" s="146"/>
      <c r="I800" s="146"/>
      <c r="J800" s="146"/>
      <c r="K800" s="146"/>
      <c r="L800" s="146"/>
      <c r="M800" s="146"/>
      <c r="N800" s="146"/>
      <c r="O800" s="146"/>
      <c r="P800" s="146"/>
      <c r="Q800" s="146"/>
      <c r="R800" s="146"/>
      <c r="S800" s="146"/>
      <c r="T800" s="146"/>
      <c r="U800" s="146"/>
      <c r="V800" s="146"/>
      <c r="W800" s="146"/>
      <c r="X800" s="146"/>
      <c r="Y800" s="146"/>
      <c r="Z800" s="146"/>
    </row>
    <row r="801" ht="22.5" customHeight="1">
      <c r="A801" s="308"/>
      <c r="B801" s="305"/>
      <c r="C801" s="305"/>
      <c r="D801" s="305"/>
      <c r="E801" s="305"/>
      <c r="F801" s="305"/>
      <c r="G801" s="307"/>
      <c r="H801" s="146"/>
      <c r="I801" s="146"/>
      <c r="J801" s="146"/>
      <c r="K801" s="146"/>
      <c r="L801" s="146"/>
      <c r="M801" s="146"/>
      <c r="N801" s="146"/>
      <c r="O801" s="146"/>
      <c r="P801" s="146"/>
      <c r="Q801" s="146"/>
      <c r="R801" s="146"/>
      <c r="S801" s="146"/>
      <c r="T801" s="146"/>
      <c r="U801" s="146"/>
      <c r="V801" s="146"/>
      <c r="W801" s="146"/>
      <c r="X801" s="146"/>
      <c r="Y801" s="146"/>
      <c r="Z801" s="146"/>
    </row>
    <row r="802" ht="22.5" customHeight="1">
      <c r="A802" s="308"/>
      <c r="B802" s="305"/>
      <c r="C802" s="305"/>
      <c r="D802" s="305"/>
      <c r="E802" s="305"/>
      <c r="F802" s="305"/>
      <c r="G802" s="307"/>
      <c r="H802" s="146"/>
      <c r="I802" s="146"/>
      <c r="J802" s="146"/>
      <c r="K802" s="146"/>
      <c r="L802" s="146"/>
      <c r="M802" s="146"/>
      <c r="N802" s="146"/>
      <c r="O802" s="146"/>
      <c r="P802" s="146"/>
      <c r="Q802" s="146"/>
      <c r="R802" s="146"/>
      <c r="S802" s="146"/>
      <c r="T802" s="146"/>
      <c r="U802" s="146"/>
      <c r="V802" s="146"/>
      <c r="W802" s="146"/>
      <c r="X802" s="146"/>
      <c r="Y802" s="146"/>
      <c r="Z802" s="146"/>
    </row>
    <row r="803" ht="22.5" customHeight="1">
      <c r="A803" s="308"/>
      <c r="B803" s="305"/>
      <c r="C803" s="305"/>
      <c r="D803" s="305"/>
      <c r="E803" s="305"/>
      <c r="F803" s="305"/>
      <c r="G803" s="307"/>
      <c r="H803" s="146"/>
      <c r="I803" s="146"/>
      <c r="J803" s="146"/>
      <c r="K803" s="146"/>
      <c r="L803" s="146"/>
      <c r="M803" s="146"/>
      <c r="N803" s="146"/>
      <c r="O803" s="146"/>
      <c r="P803" s="146"/>
      <c r="Q803" s="146"/>
      <c r="R803" s="146"/>
      <c r="S803" s="146"/>
      <c r="T803" s="146"/>
      <c r="U803" s="146"/>
      <c r="V803" s="146"/>
      <c r="W803" s="146"/>
      <c r="X803" s="146"/>
      <c r="Y803" s="146"/>
      <c r="Z803" s="146"/>
    </row>
    <row r="804" ht="22.5" customHeight="1">
      <c r="A804" s="308"/>
      <c r="B804" s="305"/>
      <c r="C804" s="305"/>
      <c r="D804" s="305"/>
      <c r="E804" s="305"/>
      <c r="F804" s="305"/>
      <c r="G804" s="307"/>
      <c r="H804" s="146"/>
      <c r="I804" s="146"/>
      <c r="J804" s="146"/>
      <c r="K804" s="146"/>
      <c r="L804" s="146"/>
      <c r="M804" s="146"/>
      <c r="N804" s="146"/>
      <c r="O804" s="146"/>
      <c r="P804" s="146"/>
      <c r="Q804" s="146"/>
      <c r="R804" s="146"/>
      <c r="S804" s="146"/>
      <c r="T804" s="146"/>
      <c r="U804" s="146"/>
      <c r="V804" s="146"/>
      <c r="W804" s="146"/>
      <c r="X804" s="146"/>
      <c r="Y804" s="146"/>
      <c r="Z804" s="146"/>
    </row>
    <row r="805" ht="22.5" customHeight="1">
      <c r="A805" s="308"/>
      <c r="B805" s="305"/>
      <c r="C805" s="305"/>
      <c r="D805" s="305"/>
      <c r="E805" s="305"/>
      <c r="F805" s="305"/>
      <c r="G805" s="307"/>
      <c r="H805" s="146"/>
      <c r="I805" s="146"/>
      <c r="J805" s="146"/>
      <c r="K805" s="146"/>
      <c r="L805" s="146"/>
      <c r="M805" s="146"/>
      <c r="N805" s="146"/>
      <c r="O805" s="146"/>
      <c r="P805" s="146"/>
      <c r="Q805" s="146"/>
      <c r="R805" s="146"/>
      <c r="S805" s="146"/>
      <c r="T805" s="146"/>
      <c r="U805" s="146"/>
      <c r="V805" s="146"/>
      <c r="W805" s="146"/>
      <c r="X805" s="146"/>
      <c r="Y805" s="146"/>
      <c r="Z805" s="146"/>
    </row>
    <row r="806" ht="22.5" customHeight="1">
      <c r="A806" s="308"/>
      <c r="B806" s="305"/>
      <c r="C806" s="305"/>
      <c r="D806" s="305"/>
      <c r="E806" s="305"/>
      <c r="F806" s="305"/>
      <c r="G806" s="307"/>
      <c r="H806" s="146"/>
      <c r="I806" s="146"/>
      <c r="J806" s="146"/>
      <c r="K806" s="146"/>
      <c r="L806" s="146"/>
      <c r="M806" s="146"/>
      <c r="N806" s="146"/>
      <c r="O806" s="146"/>
      <c r="P806" s="146"/>
      <c r="Q806" s="146"/>
      <c r="R806" s="146"/>
      <c r="S806" s="146"/>
      <c r="T806" s="146"/>
      <c r="U806" s="146"/>
      <c r="V806" s="146"/>
      <c r="W806" s="146"/>
      <c r="X806" s="146"/>
      <c r="Y806" s="146"/>
      <c r="Z806" s="146"/>
    </row>
    <row r="807" ht="22.5" customHeight="1">
      <c r="A807" s="308"/>
      <c r="B807" s="305"/>
      <c r="C807" s="305"/>
      <c r="D807" s="305"/>
      <c r="E807" s="305"/>
      <c r="F807" s="305"/>
      <c r="G807" s="307"/>
      <c r="H807" s="146"/>
      <c r="I807" s="146"/>
      <c r="J807" s="146"/>
      <c r="K807" s="146"/>
      <c r="L807" s="146"/>
      <c r="M807" s="146"/>
      <c r="N807" s="146"/>
      <c r="O807" s="146"/>
      <c r="P807" s="146"/>
      <c r="Q807" s="146"/>
      <c r="R807" s="146"/>
      <c r="S807" s="146"/>
      <c r="T807" s="146"/>
      <c r="U807" s="146"/>
      <c r="V807" s="146"/>
      <c r="W807" s="146"/>
      <c r="X807" s="146"/>
      <c r="Y807" s="146"/>
      <c r="Z807" s="146"/>
    </row>
    <row r="808" ht="22.5" customHeight="1">
      <c r="A808" s="308"/>
      <c r="B808" s="305"/>
      <c r="C808" s="305"/>
      <c r="D808" s="305"/>
      <c r="E808" s="305"/>
      <c r="F808" s="305"/>
      <c r="G808" s="307"/>
      <c r="H808" s="146"/>
      <c r="I808" s="146"/>
      <c r="J808" s="146"/>
      <c r="K808" s="146"/>
      <c r="L808" s="146"/>
      <c r="M808" s="146"/>
      <c r="N808" s="146"/>
      <c r="O808" s="146"/>
      <c r="P808" s="146"/>
      <c r="Q808" s="146"/>
      <c r="R808" s="146"/>
      <c r="S808" s="146"/>
      <c r="T808" s="146"/>
      <c r="U808" s="146"/>
      <c r="V808" s="146"/>
      <c r="W808" s="146"/>
      <c r="X808" s="146"/>
      <c r="Y808" s="146"/>
      <c r="Z808" s="146"/>
    </row>
    <row r="809" ht="22.5" customHeight="1">
      <c r="A809" s="308"/>
      <c r="B809" s="305"/>
      <c r="C809" s="305"/>
      <c r="D809" s="305"/>
      <c r="E809" s="305"/>
      <c r="F809" s="305"/>
      <c r="G809" s="307"/>
      <c r="H809" s="146"/>
      <c r="I809" s="146"/>
      <c r="J809" s="146"/>
      <c r="K809" s="146"/>
      <c r="L809" s="146"/>
      <c r="M809" s="146"/>
      <c r="N809" s="146"/>
      <c r="O809" s="146"/>
      <c r="P809" s="146"/>
      <c r="Q809" s="146"/>
      <c r="R809" s="146"/>
      <c r="S809" s="146"/>
      <c r="T809" s="146"/>
      <c r="U809" s="146"/>
      <c r="V809" s="146"/>
      <c r="W809" s="146"/>
      <c r="X809" s="146"/>
      <c r="Y809" s="146"/>
      <c r="Z809" s="146"/>
    </row>
    <row r="810" ht="22.5" customHeight="1">
      <c r="A810" s="308"/>
      <c r="B810" s="305"/>
      <c r="C810" s="305"/>
      <c r="D810" s="305"/>
      <c r="E810" s="305"/>
      <c r="F810" s="305"/>
      <c r="G810" s="307"/>
      <c r="H810" s="146"/>
      <c r="I810" s="146"/>
      <c r="J810" s="146"/>
      <c r="K810" s="146"/>
      <c r="L810" s="146"/>
      <c r="M810" s="146"/>
      <c r="N810" s="146"/>
      <c r="O810" s="146"/>
      <c r="P810" s="146"/>
      <c r="Q810" s="146"/>
      <c r="R810" s="146"/>
      <c r="S810" s="146"/>
      <c r="T810" s="146"/>
      <c r="U810" s="146"/>
      <c r="V810" s="146"/>
      <c r="W810" s="146"/>
      <c r="X810" s="146"/>
      <c r="Y810" s="146"/>
      <c r="Z810" s="146"/>
    </row>
    <row r="811" ht="22.5" customHeight="1">
      <c r="A811" s="308"/>
      <c r="B811" s="305"/>
      <c r="C811" s="305"/>
      <c r="D811" s="305"/>
      <c r="E811" s="305"/>
      <c r="F811" s="305"/>
      <c r="G811" s="307"/>
      <c r="H811" s="146"/>
      <c r="I811" s="146"/>
      <c r="J811" s="146"/>
      <c r="K811" s="146"/>
      <c r="L811" s="146"/>
      <c r="M811" s="146"/>
      <c r="N811" s="146"/>
      <c r="O811" s="146"/>
      <c r="P811" s="146"/>
      <c r="Q811" s="146"/>
      <c r="R811" s="146"/>
      <c r="S811" s="146"/>
      <c r="T811" s="146"/>
      <c r="U811" s="146"/>
      <c r="V811" s="146"/>
      <c r="W811" s="146"/>
      <c r="X811" s="146"/>
      <c r="Y811" s="146"/>
      <c r="Z811" s="146"/>
    </row>
    <row r="812" ht="22.5" customHeight="1">
      <c r="A812" s="308"/>
      <c r="B812" s="305"/>
      <c r="C812" s="305"/>
      <c r="D812" s="305"/>
      <c r="E812" s="305"/>
      <c r="F812" s="305"/>
      <c r="G812" s="307"/>
      <c r="H812" s="146"/>
      <c r="I812" s="146"/>
      <c r="J812" s="146"/>
      <c r="K812" s="146"/>
      <c r="L812" s="146"/>
      <c r="M812" s="146"/>
      <c r="N812" s="146"/>
      <c r="O812" s="146"/>
      <c r="P812" s="146"/>
      <c r="Q812" s="146"/>
      <c r="R812" s="146"/>
      <c r="S812" s="146"/>
      <c r="T812" s="146"/>
      <c r="U812" s="146"/>
      <c r="V812" s="146"/>
      <c r="W812" s="146"/>
      <c r="X812" s="146"/>
      <c r="Y812" s="146"/>
      <c r="Z812" s="146"/>
    </row>
    <row r="813" ht="22.5" customHeight="1">
      <c r="A813" s="308"/>
      <c r="B813" s="305"/>
      <c r="C813" s="305"/>
      <c r="D813" s="305"/>
      <c r="E813" s="305"/>
      <c r="F813" s="305"/>
      <c r="G813" s="307"/>
      <c r="H813" s="146"/>
      <c r="I813" s="146"/>
      <c r="J813" s="146"/>
      <c r="K813" s="146"/>
      <c r="L813" s="146"/>
      <c r="M813" s="146"/>
      <c r="N813" s="146"/>
      <c r="O813" s="146"/>
      <c r="P813" s="146"/>
      <c r="Q813" s="146"/>
      <c r="R813" s="146"/>
      <c r="S813" s="146"/>
      <c r="T813" s="146"/>
      <c r="U813" s="146"/>
      <c r="V813" s="146"/>
      <c r="W813" s="146"/>
      <c r="X813" s="146"/>
      <c r="Y813" s="146"/>
      <c r="Z813" s="146"/>
    </row>
    <row r="814" ht="22.5" customHeight="1">
      <c r="A814" s="308"/>
      <c r="B814" s="305"/>
      <c r="C814" s="305"/>
      <c r="D814" s="305"/>
      <c r="E814" s="305"/>
      <c r="F814" s="305"/>
      <c r="G814" s="307"/>
      <c r="H814" s="146"/>
      <c r="I814" s="146"/>
      <c r="J814" s="146"/>
      <c r="K814" s="146"/>
      <c r="L814" s="146"/>
      <c r="M814" s="146"/>
      <c r="N814" s="146"/>
      <c r="O814" s="146"/>
      <c r="P814" s="146"/>
      <c r="Q814" s="146"/>
      <c r="R814" s="146"/>
      <c r="S814" s="146"/>
      <c r="T814" s="146"/>
      <c r="U814" s="146"/>
      <c r="V814" s="146"/>
      <c r="W814" s="146"/>
      <c r="X814" s="146"/>
      <c r="Y814" s="146"/>
      <c r="Z814" s="146"/>
    </row>
    <row r="815" ht="22.5" customHeight="1">
      <c r="A815" s="308"/>
      <c r="B815" s="305"/>
      <c r="C815" s="305"/>
      <c r="D815" s="305"/>
      <c r="E815" s="305"/>
      <c r="F815" s="305"/>
      <c r="G815" s="307"/>
      <c r="H815" s="146"/>
      <c r="I815" s="146"/>
      <c r="J815" s="146"/>
      <c r="K815" s="146"/>
      <c r="L815" s="146"/>
      <c r="M815" s="146"/>
      <c r="N815" s="146"/>
      <c r="O815" s="146"/>
      <c r="P815" s="146"/>
      <c r="Q815" s="146"/>
      <c r="R815" s="146"/>
      <c r="S815" s="146"/>
      <c r="T815" s="146"/>
      <c r="U815" s="146"/>
      <c r="V815" s="146"/>
      <c r="W815" s="146"/>
      <c r="X815" s="146"/>
      <c r="Y815" s="146"/>
      <c r="Z815" s="146"/>
    </row>
    <row r="816" ht="22.5" customHeight="1">
      <c r="A816" s="308"/>
      <c r="B816" s="305"/>
      <c r="C816" s="305"/>
      <c r="D816" s="305"/>
      <c r="E816" s="305"/>
      <c r="F816" s="305"/>
      <c r="G816" s="307"/>
      <c r="H816" s="146"/>
      <c r="I816" s="146"/>
      <c r="J816" s="146"/>
      <c r="K816" s="146"/>
      <c r="L816" s="146"/>
      <c r="M816" s="146"/>
      <c r="N816" s="146"/>
      <c r="O816" s="146"/>
      <c r="P816" s="146"/>
      <c r="Q816" s="146"/>
      <c r="R816" s="146"/>
      <c r="S816" s="146"/>
      <c r="T816" s="146"/>
      <c r="U816" s="146"/>
      <c r="V816" s="146"/>
      <c r="W816" s="146"/>
      <c r="X816" s="146"/>
      <c r="Y816" s="146"/>
      <c r="Z816" s="146"/>
    </row>
    <row r="817" ht="22.5" customHeight="1">
      <c r="A817" s="308"/>
      <c r="B817" s="305"/>
      <c r="C817" s="305"/>
      <c r="D817" s="305"/>
      <c r="E817" s="305"/>
      <c r="F817" s="305"/>
      <c r="G817" s="307"/>
      <c r="H817" s="146"/>
      <c r="I817" s="146"/>
      <c r="J817" s="146"/>
      <c r="K817" s="146"/>
      <c r="L817" s="146"/>
      <c r="M817" s="146"/>
      <c r="N817" s="146"/>
      <c r="O817" s="146"/>
      <c r="P817" s="146"/>
      <c r="Q817" s="146"/>
      <c r="R817" s="146"/>
      <c r="S817" s="146"/>
      <c r="T817" s="146"/>
      <c r="U817" s="146"/>
      <c r="V817" s="146"/>
      <c r="W817" s="146"/>
      <c r="X817" s="146"/>
      <c r="Y817" s="146"/>
      <c r="Z817" s="146"/>
    </row>
    <row r="818" ht="22.5" customHeight="1">
      <c r="A818" s="308"/>
      <c r="B818" s="305"/>
      <c r="C818" s="305"/>
      <c r="D818" s="305"/>
      <c r="E818" s="305"/>
      <c r="F818" s="305"/>
      <c r="G818" s="307"/>
      <c r="H818" s="146"/>
      <c r="I818" s="146"/>
      <c r="J818" s="146"/>
      <c r="K818" s="146"/>
      <c r="L818" s="146"/>
      <c r="M818" s="146"/>
      <c r="N818" s="146"/>
      <c r="O818" s="146"/>
      <c r="P818" s="146"/>
      <c r="Q818" s="146"/>
      <c r="R818" s="146"/>
      <c r="S818" s="146"/>
      <c r="T818" s="146"/>
      <c r="U818" s="146"/>
      <c r="V818" s="146"/>
      <c r="W818" s="146"/>
      <c r="X818" s="146"/>
      <c r="Y818" s="146"/>
      <c r="Z818" s="146"/>
    </row>
    <row r="819" ht="22.5" customHeight="1">
      <c r="A819" s="308"/>
      <c r="B819" s="305"/>
      <c r="C819" s="305"/>
      <c r="D819" s="305"/>
      <c r="E819" s="305"/>
      <c r="F819" s="305"/>
      <c r="G819" s="307"/>
      <c r="H819" s="146"/>
      <c r="I819" s="146"/>
      <c r="J819" s="146"/>
      <c r="K819" s="146"/>
      <c r="L819" s="146"/>
      <c r="M819" s="146"/>
      <c r="N819" s="146"/>
      <c r="O819" s="146"/>
      <c r="P819" s="146"/>
      <c r="Q819" s="146"/>
      <c r="R819" s="146"/>
      <c r="S819" s="146"/>
      <c r="T819" s="146"/>
      <c r="U819" s="146"/>
      <c r="V819" s="146"/>
      <c r="W819" s="146"/>
      <c r="X819" s="146"/>
      <c r="Y819" s="146"/>
      <c r="Z819" s="146"/>
    </row>
    <row r="820" ht="22.5" customHeight="1">
      <c r="A820" s="308"/>
      <c r="B820" s="305"/>
      <c r="C820" s="305"/>
      <c r="D820" s="305"/>
      <c r="E820" s="305"/>
      <c r="F820" s="305"/>
      <c r="G820" s="307"/>
      <c r="H820" s="146"/>
      <c r="I820" s="146"/>
      <c r="J820" s="146"/>
      <c r="K820" s="146"/>
      <c r="L820" s="146"/>
      <c r="M820" s="146"/>
      <c r="N820" s="146"/>
      <c r="O820" s="146"/>
      <c r="P820" s="146"/>
      <c r="Q820" s="146"/>
      <c r="R820" s="146"/>
      <c r="S820" s="146"/>
      <c r="T820" s="146"/>
      <c r="U820" s="146"/>
      <c r="V820" s="146"/>
      <c r="W820" s="146"/>
      <c r="X820" s="146"/>
      <c r="Y820" s="146"/>
      <c r="Z820" s="146"/>
    </row>
    <row r="821" ht="22.5" customHeight="1">
      <c r="A821" s="308"/>
      <c r="B821" s="305"/>
      <c r="C821" s="305"/>
      <c r="D821" s="305"/>
      <c r="E821" s="305"/>
      <c r="F821" s="305"/>
      <c r="G821" s="307"/>
      <c r="H821" s="146"/>
      <c r="I821" s="146"/>
      <c r="J821" s="146"/>
      <c r="K821" s="146"/>
      <c r="L821" s="146"/>
      <c r="M821" s="146"/>
      <c r="N821" s="146"/>
      <c r="O821" s="146"/>
      <c r="P821" s="146"/>
      <c r="Q821" s="146"/>
      <c r="R821" s="146"/>
      <c r="S821" s="146"/>
      <c r="T821" s="146"/>
      <c r="U821" s="146"/>
      <c r="V821" s="146"/>
      <c r="W821" s="146"/>
      <c r="X821" s="146"/>
      <c r="Y821" s="146"/>
      <c r="Z821" s="146"/>
    </row>
    <row r="822" ht="22.5" customHeight="1">
      <c r="A822" s="308"/>
      <c r="B822" s="305"/>
      <c r="C822" s="305"/>
      <c r="D822" s="305"/>
      <c r="E822" s="305"/>
      <c r="F822" s="305"/>
      <c r="G822" s="307"/>
      <c r="H822" s="146"/>
      <c r="I822" s="146"/>
      <c r="J822" s="146"/>
      <c r="K822" s="146"/>
      <c r="L822" s="146"/>
      <c r="M822" s="146"/>
      <c r="N822" s="146"/>
      <c r="O822" s="146"/>
      <c r="P822" s="146"/>
      <c r="Q822" s="146"/>
      <c r="R822" s="146"/>
      <c r="S822" s="146"/>
      <c r="T822" s="146"/>
      <c r="U822" s="146"/>
      <c r="V822" s="146"/>
      <c r="W822" s="146"/>
      <c r="X822" s="146"/>
      <c r="Y822" s="146"/>
      <c r="Z822" s="146"/>
    </row>
    <row r="823" ht="22.5" customHeight="1">
      <c r="A823" s="308"/>
      <c r="B823" s="305"/>
      <c r="C823" s="305"/>
      <c r="D823" s="305"/>
      <c r="E823" s="305"/>
      <c r="F823" s="305"/>
      <c r="G823" s="307"/>
      <c r="H823" s="146"/>
      <c r="I823" s="146"/>
      <c r="J823" s="146"/>
      <c r="K823" s="146"/>
      <c r="L823" s="146"/>
      <c r="M823" s="146"/>
      <c r="N823" s="146"/>
      <c r="O823" s="146"/>
      <c r="P823" s="146"/>
      <c r="Q823" s="146"/>
      <c r="R823" s="146"/>
      <c r="S823" s="146"/>
      <c r="T823" s="146"/>
      <c r="U823" s="146"/>
      <c r="V823" s="146"/>
      <c r="W823" s="146"/>
      <c r="X823" s="146"/>
      <c r="Y823" s="146"/>
      <c r="Z823" s="146"/>
    </row>
    <row r="824" ht="22.5" customHeight="1">
      <c r="A824" s="308"/>
      <c r="B824" s="305"/>
      <c r="C824" s="305"/>
      <c r="D824" s="305"/>
      <c r="E824" s="305"/>
      <c r="F824" s="305"/>
      <c r="G824" s="307"/>
      <c r="H824" s="146"/>
      <c r="I824" s="146"/>
      <c r="J824" s="146"/>
      <c r="K824" s="146"/>
      <c r="L824" s="146"/>
      <c r="M824" s="146"/>
      <c r="N824" s="146"/>
      <c r="O824" s="146"/>
      <c r="P824" s="146"/>
      <c r="Q824" s="146"/>
      <c r="R824" s="146"/>
      <c r="S824" s="146"/>
      <c r="T824" s="146"/>
      <c r="U824" s="146"/>
      <c r="V824" s="146"/>
      <c r="W824" s="146"/>
      <c r="X824" s="146"/>
      <c r="Y824" s="146"/>
      <c r="Z824" s="146"/>
    </row>
    <row r="825" ht="22.5" customHeight="1">
      <c r="A825" s="308"/>
      <c r="B825" s="305"/>
      <c r="C825" s="305"/>
      <c r="D825" s="305"/>
      <c r="E825" s="305"/>
      <c r="F825" s="305"/>
      <c r="G825" s="307"/>
      <c r="H825" s="146"/>
      <c r="I825" s="146"/>
      <c r="J825" s="146"/>
      <c r="K825" s="146"/>
      <c r="L825" s="146"/>
      <c r="M825" s="146"/>
      <c r="N825" s="146"/>
      <c r="O825" s="146"/>
      <c r="P825" s="146"/>
      <c r="Q825" s="146"/>
      <c r="R825" s="146"/>
      <c r="S825" s="146"/>
      <c r="T825" s="146"/>
      <c r="U825" s="146"/>
      <c r="V825" s="146"/>
      <c r="W825" s="146"/>
      <c r="X825" s="146"/>
      <c r="Y825" s="146"/>
      <c r="Z825" s="146"/>
    </row>
    <row r="826" ht="22.5" customHeight="1">
      <c r="A826" s="308"/>
      <c r="B826" s="305"/>
      <c r="C826" s="305"/>
      <c r="D826" s="305"/>
      <c r="E826" s="305"/>
      <c r="F826" s="305"/>
      <c r="G826" s="307"/>
      <c r="H826" s="146"/>
      <c r="I826" s="146"/>
      <c r="J826" s="146"/>
      <c r="K826" s="146"/>
      <c r="L826" s="146"/>
      <c r="M826" s="146"/>
      <c r="N826" s="146"/>
      <c r="O826" s="146"/>
      <c r="P826" s="146"/>
      <c r="Q826" s="146"/>
      <c r="R826" s="146"/>
      <c r="S826" s="146"/>
      <c r="T826" s="146"/>
      <c r="U826" s="146"/>
      <c r="V826" s="146"/>
      <c r="W826" s="146"/>
      <c r="X826" s="146"/>
      <c r="Y826" s="146"/>
      <c r="Z826" s="146"/>
    </row>
    <row r="827" ht="22.5" customHeight="1">
      <c r="A827" s="308"/>
      <c r="B827" s="305"/>
      <c r="C827" s="305"/>
      <c r="D827" s="305"/>
      <c r="E827" s="305"/>
      <c r="F827" s="305"/>
      <c r="G827" s="307"/>
      <c r="H827" s="146"/>
      <c r="I827" s="146"/>
      <c r="J827" s="146"/>
      <c r="K827" s="146"/>
      <c r="L827" s="146"/>
      <c r="M827" s="146"/>
      <c r="N827" s="146"/>
      <c r="O827" s="146"/>
      <c r="P827" s="146"/>
      <c r="Q827" s="146"/>
      <c r="R827" s="146"/>
      <c r="S827" s="146"/>
      <c r="T827" s="146"/>
      <c r="U827" s="146"/>
      <c r="V827" s="146"/>
      <c r="W827" s="146"/>
      <c r="X827" s="146"/>
      <c r="Y827" s="146"/>
      <c r="Z827" s="146"/>
    </row>
    <row r="828" ht="22.5" customHeight="1">
      <c r="A828" s="308"/>
      <c r="B828" s="305"/>
      <c r="C828" s="305"/>
      <c r="D828" s="305"/>
      <c r="E828" s="305"/>
      <c r="F828" s="305"/>
      <c r="G828" s="307"/>
      <c r="H828" s="146"/>
      <c r="I828" s="146"/>
      <c r="J828" s="146"/>
      <c r="K828" s="146"/>
      <c r="L828" s="146"/>
      <c r="M828" s="146"/>
      <c r="N828" s="146"/>
      <c r="O828" s="146"/>
      <c r="P828" s="146"/>
      <c r="Q828" s="146"/>
      <c r="R828" s="146"/>
      <c r="S828" s="146"/>
      <c r="T828" s="146"/>
      <c r="U828" s="146"/>
      <c r="V828" s="146"/>
      <c r="W828" s="146"/>
      <c r="X828" s="146"/>
      <c r="Y828" s="146"/>
      <c r="Z828" s="146"/>
    </row>
    <row r="829" ht="22.5" customHeight="1">
      <c r="A829" s="308"/>
      <c r="B829" s="305"/>
      <c r="C829" s="305"/>
      <c r="D829" s="305"/>
      <c r="E829" s="305"/>
      <c r="F829" s="305"/>
      <c r="G829" s="307"/>
      <c r="H829" s="146"/>
      <c r="I829" s="146"/>
      <c r="J829" s="146"/>
      <c r="K829" s="146"/>
      <c r="L829" s="146"/>
      <c r="M829" s="146"/>
      <c r="N829" s="146"/>
      <c r="O829" s="146"/>
      <c r="P829" s="146"/>
      <c r="Q829" s="146"/>
      <c r="R829" s="146"/>
      <c r="S829" s="146"/>
      <c r="T829" s="146"/>
      <c r="U829" s="146"/>
      <c r="V829" s="146"/>
      <c r="W829" s="146"/>
      <c r="X829" s="146"/>
      <c r="Y829" s="146"/>
      <c r="Z829" s="146"/>
    </row>
    <row r="830" ht="22.5" customHeight="1">
      <c r="A830" s="308"/>
      <c r="B830" s="305"/>
      <c r="C830" s="305"/>
      <c r="D830" s="305"/>
      <c r="E830" s="305"/>
      <c r="F830" s="305"/>
      <c r="G830" s="307"/>
      <c r="H830" s="146"/>
      <c r="I830" s="146"/>
      <c r="J830" s="146"/>
      <c r="K830" s="146"/>
      <c r="L830" s="146"/>
      <c r="M830" s="146"/>
      <c r="N830" s="146"/>
      <c r="O830" s="146"/>
      <c r="P830" s="146"/>
      <c r="Q830" s="146"/>
      <c r="R830" s="146"/>
      <c r="S830" s="146"/>
      <c r="T830" s="146"/>
      <c r="U830" s="146"/>
      <c r="V830" s="146"/>
      <c r="W830" s="146"/>
      <c r="X830" s="146"/>
      <c r="Y830" s="146"/>
      <c r="Z830" s="146"/>
    </row>
    <row r="831" ht="22.5" customHeight="1">
      <c r="A831" s="308"/>
      <c r="B831" s="305"/>
      <c r="C831" s="305"/>
      <c r="D831" s="305"/>
      <c r="E831" s="305"/>
      <c r="F831" s="305"/>
      <c r="G831" s="307"/>
      <c r="H831" s="146"/>
      <c r="I831" s="146"/>
      <c r="J831" s="146"/>
      <c r="K831" s="146"/>
      <c r="L831" s="146"/>
      <c r="M831" s="146"/>
      <c r="N831" s="146"/>
      <c r="O831" s="146"/>
      <c r="P831" s="146"/>
      <c r="Q831" s="146"/>
      <c r="R831" s="146"/>
      <c r="S831" s="146"/>
      <c r="T831" s="146"/>
      <c r="U831" s="146"/>
      <c r="V831" s="146"/>
      <c r="W831" s="146"/>
      <c r="X831" s="146"/>
      <c r="Y831" s="146"/>
      <c r="Z831" s="146"/>
    </row>
    <row r="832" ht="22.5" customHeight="1">
      <c r="A832" s="308"/>
      <c r="B832" s="305"/>
      <c r="C832" s="305"/>
      <c r="D832" s="305"/>
      <c r="E832" s="305"/>
      <c r="F832" s="305"/>
      <c r="G832" s="307"/>
      <c r="H832" s="146"/>
      <c r="I832" s="146"/>
      <c r="J832" s="146"/>
      <c r="K832" s="146"/>
      <c r="L832" s="146"/>
      <c r="M832" s="146"/>
      <c r="N832" s="146"/>
      <c r="O832" s="146"/>
      <c r="P832" s="146"/>
      <c r="Q832" s="146"/>
      <c r="R832" s="146"/>
      <c r="S832" s="146"/>
      <c r="T832" s="146"/>
      <c r="U832" s="146"/>
      <c r="V832" s="146"/>
      <c r="W832" s="146"/>
      <c r="X832" s="146"/>
      <c r="Y832" s="146"/>
      <c r="Z832" s="146"/>
    </row>
    <row r="833" ht="22.5" customHeight="1">
      <c r="A833" s="308"/>
      <c r="B833" s="305"/>
      <c r="C833" s="305"/>
      <c r="D833" s="305"/>
      <c r="E833" s="305"/>
      <c r="F833" s="305"/>
      <c r="G833" s="307"/>
      <c r="H833" s="146"/>
      <c r="I833" s="146"/>
      <c r="J833" s="146"/>
      <c r="K833" s="146"/>
      <c r="L833" s="146"/>
      <c r="M833" s="146"/>
      <c r="N833" s="146"/>
      <c r="O833" s="146"/>
      <c r="P833" s="146"/>
      <c r="Q833" s="146"/>
      <c r="R833" s="146"/>
      <c r="S833" s="146"/>
      <c r="T833" s="146"/>
      <c r="U833" s="146"/>
      <c r="V833" s="146"/>
      <c r="W833" s="146"/>
      <c r="X833" s="146"/>
      <c r="Y833" s="146"/>
      <c r="Z833" s="146"/>
    </row>
    <row r="834" ht="22.5" customHeight="1">
      <c r="A834" s="308"/>
      <c r="B834" s="305"/>
      <c r="C834" s="305"/>
      <c r="D834" s="305"/>
      <c r="E834" s="305"/>
      <c r="F834" s="305"/>
      <c r="G834" s="307"/>
      <c r="H834" s="146"/>
      <c r="I834" s="146"/>
      <c r="J834" s="146"/>
      <c r="K834" s="146"/>
      <c r="L834" s="146"/>
      <c r="M834" s="146"/>
      <c r="N834" s="146"/>
      <c r="O834" s="146"/>
      <c r="P834" s="146"/>
      <c r="Q834" s="146"/>
      <c r="R834" s="146"/>
      <c r="S834" s="146"/>
      <c r="T834" s="146"/>
      <c r="U834" s="146"/>
      <c r="V834" s="146"/>
      <c r="W834" s="146"/>
      <c r="X834" s="146"/>
      <c r="Y834" s="146"/>
      <c r="Z834" s="146"/>
    </row>
    <row r="835" ht="22.5" customHeight="1">
      <c r="A835" s="308"/>
      <c r="B835" s="305"/>
      <c r="C835" s="305"/>
      <c r="D835" s="305"/>
      <c r="E835" s="305"/>
      <c r="F835" s="305"/>
      <c r="G835" s="307"/>
      <c r="H835" s="146"/>
      <c r="I835" s="146"/>
      <c r="J835" s="146"/>
      <c r="K835" s="146"/>
      <c r="L835" s="146"/>
      <c r="M835" s="146"/>
      <c r="N835" s="146"/>
      <c r="O835" s="146"/>
      <c r="P835" s="146"/>
      <c r="Q835" s="146"/>
      <c r="R835" s="146"/>
      <c r="S835" s="146"/>
      <c r="T835" s="146"/>
      <c r="U835" s="146"/>
      <c r="V835" s="146"/>
      <c r="W835" s="146"/>
      <c r="X835" s="146"/>
      <c r="Y835" s="146"/>
      <c r="Z835" s="146"/>
    </row>
    <row r="836" ht="22.5" customHeight="1">
      <c r="A836" s="308"/>
      <c r="B836" s="305"/>
      <c r="C836" s="305"/>
      <c r="D836" s="305"/>
      <c r="E836" s="305"/>
      <c r="F836" s="305"/>
      <c r="G836" s="307"/>
      <c r="H836" s="146"/>
      <c r="I836" s="146"/>
      <c r="J836" s="146"/>
      <c r="K836" s="146"/>
      <c r="L836" s="146"/>
      <c r="M836" s="146"/>
      <c r="N836" s="146"/>
      <c r="O836" s="146"/>
      <c r="P836" s="146"/>
      <c r="Q836" s="146"/>
      <c r="R836" s="146"/>
      <c r="S836" s="146"/>
      <c r="T836" s="146"/>
      <c r="U836" s="146"/>
      <c r="V836" s="146"/>
      <c r="W836" s="146"/>
      <c r="X836" s="146"/>
      <c r="Y836" s="146"/>
      <c r="Z836" s="146"/>
    </row>
    <row r="837" ht="22.5" customHeight="1">
      <c r="A837" s="308"/>
      <c r="B837" s="305"/>
      <c r="C837" s="305"/>
      <c r="D837" s="305"/>
      <c r="E837" s="305"/>
      <c r="F837" s="305"/>
      <c r="G837" s="307"/>
      <c r="H837" s="146"/>
      <c r="I837" s="146"/>
      <c r="J837" s="146"/>
      <c r="K837" s="146"/>
      <c r="L837" s="146"/>
      <c r="M837" s="146"/>
      <c r="N837" s="146"/>
      <c r="O837" s="146"/>
      <c r="P837" s="146"/>
      <c r="Q837" s="146"/>
      <c r="R837" s="146"/>
      <c r="S837" s="146"/>
      <c r="T837" s="146"/>
      <c r="U837" s="146"/>
      <c r="V837" s="146"/>
      <c r="W837" s="146"/>
      <c r="X837" s="146"/>
      <c r="Y837" s="146"/>
      <c r="Z837" s="146"/>
    </row>
    <row r="838" ht="22.5" customHeight="1">
      <c r="A838" s="308"/>
      <c r="B838" s="305"/>
      <c r="C838" s="305"/>
      <c r="D838" s="305"/>
      <c r="E838" s="305"/>
      <c r="F838" s="305"/>
      <c r="G838" s="307"/>
      <c r="H838" s="146"/>
      <c r="I838" s="146"/>
      <c r="J838" s="146"/>
      <c r="K838" s="146"/>
      <c r="L838" s="146"/>
      <c r="M838" s="146"/>
      <c r="N838" s="146"/>
      <c r="O838" s="146"/>
      <c r="P838" s="146"/>
      <c r="Q838" s="146"/>
      <c r="R838" s="146"/>
      <c r="S838" s="146"/>
      <c r="T838" s="146"/>
      <c r="U838" s="146"/>
      <c r="V838" s="146"/>
      <c r="W838" s="146"/>
      <c r="X838" s="146"/>
      <c r="Y838" s="146"/>
      <c r="Z838" s="146"/>
    </row>
    <row r="839" ht="22.5" customHeight="1">
      <c r="A839" s="308"/>
      <c r="B839" s="305"/>
      <c r="C839" s="305"/>
      <c r="D839" s="305"/>
      <c r="E839" s="305"/>
      <c r="F839" s="305"/>
      <c r="G839" s="307"/>
      <c r="H839" s="146"/>
      <c r="I839" s="146"/>
      <c r="J839" s="146"/>
      <c r="K839" s="146"/>
      <c r="L839" s="146"/>
      <c r="M839" s="146"/>
      <c r="N839" s="146"/>
      <c r="O839" s="146"/>
      <c r="P839" s="146"/>
      <c r="Q839" s="146"/>
      <c r="R839" s="146"/>
      <c r="S839" s="146"/>
      <c r="T839" s="146"/>
      <c r="U839" s="146"/>
      <c r="V839" s="146"/>
      <c r="W839" s="146"/>
      <c r="X839" s="146"/>
      <c r="Y839" s="146"/>
      <c r="Z839" s="146"/>
    </row>
    <row r="840" ht="22.5" customHeight="1">
      <c r="A840" s="308"/>
      <c r="B840" s="305"/>
      <c r="C840" s="305"/>
      <c r="D840" s="305"/>
      <c r="E840" s="305"/>
      <c r="F840" s="305"/>
      <c r="G840" s="307"/>
      <c r="H840" s="146"/>
      <c r="I840" s="146"/>
      <c r="J840" s="146"/>
      <c r="K840" s="146"/>
      <c r="L840" s="146"/>
      <c r="M840" s="146"/>
      <c r="N840" s="146"/>
      <c r="O840" s="146"/>
      <c r="P840" s="146"/>
      <c r="Q840" s="146"/>
      <c r="R840" s="146"/>
      <c r="S840" s="146"/>
      <c r="T840" s="146"/>
      <c r="U840" s="146"/>
      <c r="V840" s="146"/>
      <c r="W840" s="146"/>
      <c r="X840" s="146"/>
      <c r="Y840" s="146"/>
      <c r="Z840" s="146"/>
    </row>
    <row r="841" ht="22.5" customHeight="1">
      <c r="A841" s="308"/>
      <c r="B841" s="305"/>
      <c r="C841" s="305"/>
      <c r="D841" s="305"/>
      <c r="E841" s="305"/>
      <c r="F841" s="305"/>
      <c r="G841" s="307"/>
      <c r="H841" s="146"/>
      <c r="I841" s="146"/>
      <c r="J841" s="146"/>
      <c r="K841" s="146"/>
      <c r="L841" s="146"/>
      <c r="M841" s="146"/>
      <c r="N841" s="146"/>
      <c r="O841" s="146"/>
      <c r="P841" s="146"/>
      <c r="Q841" s="146"/>
      <c r="R841" s="146"/>
      <c r="S841" s="146"/>
      <c r="T841" s="146"/>
      <c r="U841" s="146"/>
      <c r="V841" s="146"/>
      <c r="W841" s="146"/>
      <c r="X841" s="146"/>
      <c r="Y841" s="146"/>
      <c r="Z841" s="146"/>
    </row>
    <row r="842" ht="22.5" customHeight="1">
      <c r="A842" s="308"/>
      <c r="B842" s="305"/>
      <c r="C842" s="305"/>
      <c r="D842" s="305"/>
      <c r="E842" s="305"/>
      <c r="F842" s="305"/>
      <c r="G842" s="307"/>
      <c r="H842" s="146"/>
      <c r="I842" s="146"/>
      <c r="J842" s="146"/>
      <c r="K842" s="146"/>
      <c r="L842" s="146"/>
      <c r="M842" s="146"/>
      <c r="N842" s="146"/>
      <c r="O842" s="146"/>
      <c r="P842" s="146"/>
      <c r="Q842" s="146"/>
      <c r="R842" s="146"/>
      <c r="S842" s="146"/>
      <c r="T842" s="146"/>
      <c r="U842" s="146"/>
      <c r="V842" s="146"/>
      <c r="W842" s="146"/>
      <c r="X842" s="146"/>
      <c r="Y842" s="146"/>
      <c r="Z842" s="146"/>
    </row>
    <row r="843" ht="22.5" customHeight="1">
      <c r="A843" s="308"/>
      <c r="B843" s="305"/>
      <c r="C843" s="305"/>
      <c r="D843" s="305"/>
      <c r="E843" s="305"/>
      <c r="F843" s="305"/>
      <c r="G843" s="307"/>
      <c r="H843" s="146"/>
      <c r="I843" s="146"/>
      <c r="J843" s="146"/>
      <c r="K843" s="146"/>
      <c r="L843" s="146"/>
      <c r="M843" s="146"/>
      <c r="N843" s="146"/>
      <c r="O843" s="146"/>
      <c r="P843" s="146"/>
      <c r="Q843" s="146"/>
      <c r="R843" s="146"/>
      <c r="S843" s="146"/>
      <c r="T843" s="146"/>
      <c r="U843" s="146"/>
      <c r="V843" s="146"/>
      <c r="W843" s="146"/>
      <c r="X843" s="146"/>
      <c r="Y843" s="146"/>
      <c r="Z843" s="146"/>
    </row>
    <row r="844" ht="22.5" customHeight="1">
      <c r="A844" s="308"/>
      <c r="B844" s="305"/>
      <c r="C844" s="305"/>
      <c r="D844" s="305"/>
      <c r="E844" s="305"/>
      <c r="F844" s="305"/>
      <c r="G844" s="307"/>
      <c r="H844" s="146"/>
      <c r="I844" s="146"/>
      <c r="J844" s="146"/>
      <c r="K844" s="146"/>
      <c r="L844" s="146"/>
      <c r="M844" s="146"/>
      <c r="N844" s="146"/>
      <c r="O844" s="146"/>
      <c r="P844" s="146"/>
      <c r="Q844" s="146"/>
      <c r="R844" s="146"/>
      <c r="S844" s="146"/>
      <c r="T844" s="146"/>
      <c r="U844" s="146"/>
      <c r="V844" s="146"/>
      <c r="W844" s="146"/>
      <c r="X844" s="146"/>
      <c r="Y844" s="146"/>
      <c r="Z844" s="146"/>
    </row>
    <row r="845" ht="22.5" customHeight="1">
      <c r="A845" s="308"/>
      <c r="B845" s="305"/>
      <c r="C845" s="305"/>
      <c r="D845" s="305"/>
      <c r="E845" s="305"/>
      <c r="F845" s="305"/>
      <c r="G845" s="307"/>
      <c r="H845" s="146"/>
      <c r="I845" s="146"/>
      <c r="J845" s="146"/>
      <c r="K845" s="146"/>
      <c r="L845" s="146"/>
      <c r="M845" s="146"/>
      <c r="N845" s="146"/>
      <c r="O845" s="146"/>
      <c r="P845" s="146"/>
      <c r="Q845" s="146"/>
      <c r="R845" s="146"/>
      <c r="S845" s="146"/>
      <c r="T845" s="146"/>
      <c r="U845" s="146"/>
      <c r="V845" s="146"/>
      <c r="W845" s="146"/>
      <c r="X845" s="146"/>
      <c r="Y845" s="146"/>
      <c r="Z845" s="146"/>
    </row>
    <row r="846" ht="22.5" customHeight="1">
      <c r="A846" s="308"/>
      <c r="B846" s="305"/>
      <c r="C846" s="305"/>
      <c r="D846" s="305"/>
      <c r="E846" s="305"/>
      <c r="F846" s="305"/>
      <c r="G846" s="307"/>
      <c r="H846" s="146"/>
      <c r="I846" s="146"/>
      <c r="J846" s="146"/>
      <c r="K846" s="146"/>
      <c r="L846" s="146"/>
      <c r="M846" s="146"/>
      <c r="N846" s="146"/>
      <c r="O846" s="146"/>
      <c r="P846" s="146"/>
      <c r="Q846" s="146"/>
      <c r="R846" s="146"/>
      <c r="S846" s="146"/>
      <c r="T846" s="146"/>
      <c r="U846" s="146"/>
      <c r="V846" s="146"/>
      <c r="W846" s="146"/>
      <c r="X846" s="146"/>
      <c r="Y846" s="146"/>
      <c r="Z846" s="146"/>
    </row>
    <row r="847" ht="22.5" customHeight="1">
      <c r="A847" s="308"/>
      <c r="B847" s="305"/>
      <c r="C847" s="305"/>
      <c r="D847" s="305"/>
      <c r="E847" s="305"/>
      <c r="F847" s="305"/>
      <c r="G847" s="307"/>
      <c r="H847" s="146"/>
      <c r="I847" s="146"/>
      <c r="J847" s="146"/>
      <c r="K847" s="146"/>
      <c r="L847" s="146"/>
      <c r="M847" s="146"/>
      <c r="N847" s="146"/>
      <c r="O847" s="146"/>
      <c r="P847" s="146"/>
      <c r="Q847" s="146"/>
      <c r="R847" s="146"/>
      <c r="S847" s="146"/>
      <c r="T847" s="146"/>
      <c r="U847" s="146"/>
      <c r="V847" s="146"/>
      <c r="W847" s="146"/>
      <c r="X847" s="146"/>
      <c r="Y847" s="146"/>
      <c r="Z847" s="146"/>
    </row>
    <row r="848" ht="22.5" customHeight="1">
      <c r="A848" s="308"/>
      <c r="B848" s="305"/>
      <c r="C848" s="305"/>
      <c r="D848" s="305"/>
      <c r="E848" s="305"/>
      <c r="F848" s="305"/>
      <c r="G848" s="307"/>
      <c r="H848" s="146"/>
      <c r="I848" s="146"/>
      <c r="J848" s="146"/>
      <c r="K848" s="146"/>
      <c r="L848" s="146"/>
      <c r="M848" s="146"/>
      <c r="N848" s="146"/>
      <c r="O848" s="146"/>
      <c r="P848" s="146"/>
      <c r="Q848" s="146"/>
      <c r="R848" s="146"/>
      <c r="S848" s="146"/>
      <c r="T848" s="146"/>
      <c r="U848" s="146"/>
      <c r="V848" s="146"/>
      <c r="W848" s="146"/>
      <c r="X848" s="146"/>
      <c r="Y848" s="146"/>
      <c r="Z848" s="146"/>
    </row>
    <row r="849" ht="22.5" customHeight="1">
      <c r="A849" s="308"/>
      <c r="B849" s="305"/>
      <c r="C849" s="305"/>
      <c r="D849" s="305"/>
      <c r="E849" s="305"/>
      <c r="F849" s="305"/>
      <c r="G849" s="307"/>
      <c r="H849" s="146"/>
      <c r="I849" s="146"/>
      <c r="J849" s="146"/>
      <c r="K849" s="146"/>
      <c r="L849" s="146"/>
      <c r="M849" s="146"/>
      <c r="N849" s="146"/>
      <c r="O849" s="146"/>
      <c r="P849" s="146"/>
      <c r="Q849" s="146"/>
      <c r="R849" s="146"/>
      <c r="S849" s="146"/>
      <c r="T849" s="146"/>
      <c r="U849" s="146"/>
      <c r="V849" s="146"/>
      <c r="W849" s="146"/>
      <c r="X849" s="146"/>
      <c r="Y849" s="146"/>
      <c r="Z849" s="146"/>
    </row>
    <row r="850" ht="22.5" customHeight="1">
      <c r="A850" s="308"/>
      <c r="B850" s="305"/>
      <c r="C850" s="305"/>
      <c r="D850" s="305"/>
      <c r="E850" s="305"/>
      <c r="F850" s="305"/>
      <c r="G850" s="307"/>
      <c r="H850" s="146"/>
      <c r="I850" s="146"/>
      <c r="J850" s="146"/>
      <c r="K850" s="146"/>
      <c r="L850" s="146"/>
      <c r="M850" s="146"/>
      <c r="N850" s="146"/>
      <c r="O850" s="146"/>
      <c r="P850" s="146"/>
      <c r="Q850" s="146"/>
      <c r="R850" s="146"/>
      <c r="S850" s="146"/>
      <c r="T850" s="146"/>
      <c r="U850" s="146"/>
      <c r="V850" s="146"/>
      <c r="W850" s="146"/>
      <c r="X850" s="146"/>
      <c r="Y850" s="146"/>
      <c r="Z850" s="146"/>
    </row>
    <row r="851" ht="22.5" customHeight="1">
      <c r="A851" s="308"/>
      <c r="B851" s="305"/>
      <c r="C851" s="305"/>
      <c r="D851" s="305"/>
      <c r="E851" s="305"/>
      <c r="F851" s="305"/>
      <c r="G851" s="307"/>
      <c r="H851" s="146"/>
      <c r="I851" s="146"/>
      <c r="J851" s="146"/>
      <c r="K851" s="146"/>
      <c r="L851" s="146"/>
      <c r="M851" s="146"/>
      <c r="N851" s="146"/>
      <c r="O851" s="146"/>
      <c r="P851" s="146"/>
      <c r="Q851" s="146"/>
      <c r="R851" s="146"/>
      <c r="S851" s="146"/>
      <c r="T851" s="146"/>
      <c r="U851" s="146"/>
      <c r="V851" s="146"/>
      <c r="W851" s="146"/>
      <c r="X851" s="146"/>
      <c r="Y851" s="146"/>
      <c r="Z851" s="146"/>
    </row>
    <row r="852" ht="22.5" customHeight="1">
      <c r="A852" s="308"/>
      <c r="B852" s="305"/>
      <c r="C852" s="305"/>
      <c r="D852" s="305"/>
      <c r="E852" s="305"/>
      <c r="F852" s="305"/>
      <c r="G852" s="307"/>
      <c r="H852" s="146"/>
      <c r="I852" s="146"/>
      <c r="J852" s="146"/>
      <c r="K852" s="146"/>
      <c r="L852" s="146"/>
      <c r="M852" s="146"/>
      <c r="N852" s="146"/>
      <c r="O852" s="146"/>
      <c r="P852" s="146"/>
      <c r="Q852" s="146"/>
      <c r="R852" s="146"/>
      <c r="S852" s="146"/>
      <c r="T852" s="146"/>
      <c r="U852" s="146"/>
      <c r="V852" s="146"/>
      <c r="W852" s="146"/>
      <c r="X852" s="146"/>
      <c r="Y852" s="146"/>
      <c r="Z852" s="146"/>
    </row>
    <row r="853" ht="22.5" customHeight="1">
      <c r="A853" s="308"/>
      <c r="B853" s="305"/>
      <c r="C853" s="305"/>
      <c r="D853" s="305"/>
      <c r="E853" s="305"/>
      <c r="F853" s="305"/>
      <c r="G853" s="307"/>
      <c r="H853" s="146"/>
      <c r="I853" s="146"/>
      <c r="J853" s="146"/>
      <c r="K853" s="146"/>
      <c r="L853" s="146"/>
      <c r="M853" s="146"/>
      <c r="N853" s="146"/>
      <c r="O853" s="146"/>
      <c r="P853" s="146"/>
      <c r="Q853" s="146"/>
      <c r="R853" s="146"/>
      <c r="S853" s="146"/>
      <c r="T853" s="146"/>
      <c r="U853" s="146"/>
      <c r="V853" s="146"/>
      <c r="W853" s="146"/>
      <c r="X853" s="146"/>
      <c r="Y853" s="146"/>
      <c r="Z853" s="146"/>
    </row>
    <row r="854" ht="22.5" customHeight="1">
      <c r="A854" s="308"/>
      <c r="B854" s="305"/>
      <c r="C854" s="305"/>
      <c r="D854" s="305"/>
      <c r="E854" s="305"/>
      <c r="F854" s="305"/>
      <c r="G854" s="307"/>
      <c r="H854" s="146"/>
      <c r="I854" s="146"/>
      <c r="J854" s="146"/>
      <c r="K854" s="146"/>
      <c r="L854" s="146"/>
      <c r="M854" s="146"/>
      <c r="N854" s="146"/>
      <c r="O854" s="146"/>
      <c r="P854" s="146"/>
      <c r="Q854" s="146"/>
      <c r="R854" s="146"/>
      <c r="S854" s="146"/>
      <c r="T854" s="146"/>
      <c r="U854" s="146"/>
      <c r="V854" s="146"/>
      <c r="W854" s="146"/>
      <c r="X854" s="146"/>
      <c r="Y854" s="146"/>
      <c r="Z854" s="146"/>
    </row>
    <row r="855" ht="22.5" customHeight="1">
      <c r="A855" s="308"/>
      <c r="B855" s="305"/>
      <c r="C855" s="305"/>
      <c r="D855" s="305"/>
      <c r="E855" s="305"/>
      <c r="F855" s="305"/>
      <c r="G855" s="307"/>
      <c r="H855" s="146"/>
      <c r="I855" s="146"/>
      <c r="J855" s="146"/>
      <c r="K855" s="146"/>
      <c r="L855" s="146"/>
      <c r="M855" s="146"/>
      <c r="N855" s="146"/>
      <c r="O855" s="146"/>
      <c r="P855" s="146"/>
      <c r="Q855" s="146"/>
      <c r="R855" s="146"/>
      <c r="S855" s="146"/>
      <c r="T855" s="146"/>
      <c r="U855" s="146"/>
      <c r="V855" s="146"/>
      <c r="W855" s="146"/>
      <c r="X855" s="146"/>
      <c r="Y855" s="146"/>
      <c r="Z855" s="146"/>
    </row>
    <row r="856" ht="22.5" customHeight="1">
      <c r="A856" s="308"/>
      <c r="B856" s="305"/>
      <c r="C856" s="305"/>
      <c r="D856" s="305"/>
      <c r="E856" s="305"/>
      <c r="F856" s="305"/>
      <c r="G856" s="307"/>
      <c r="H856" s="146"/>
      <c r="I856" s="146"/>
      <c r="J856" s="146"/>
      <c r="K856" s="146"/>
      <c r="L856" s="146"/>
      <c r="M856" s="146"/>
      <c r="N856" s="146"/>
      <c r="O856" s="146"/>
      <c r="P856" s="146"/>
      <c r="Q856" s="146"/>
      <c r="R856" s="146"/>
      <c r="S856" s="146"/>
      <c r="T856" s="146"/>
      <c r="U856" s="146"/>
      <c r="V856" s="146"/>
      <c r="W856" s="146"/>
      <c r="X856" s="146"/>
      <c r="Y856" s="146"/>
      <c r="Z856" s="146"/>
    </row>
    <row r="857" ht="22.5" customHeight="1">
      <c r="A857" s="308"/>
      <c r="B857" s="305"/>
      <c r="C857" s="305"/>
      <c r="D857" s="305"/>
      <c r="E857" s="305"/>
      <c r="F857" s="305"/>
      <c r="G857" s="307"/>
      <c r="H857" s="146"/>
      <c r="I857" s="146"/>
      <c r="J857" s="146"/>
      <c r="K857" s="146"/>
      <c r="L857" s="146"/>
      <c r="M857" s="146"/>
      <c r="N857" s="146"/>
      <c r="O857" s="146"/>
      <c r="P857" s="146"/>
      <c r="Q857" s="146"/>
      <c r="R857" s="146"/>
      <c r="S857" s="146"/>
      <c r="T857" s="146"/>
      <c r="U857" s="146"/>
      <c r="V857" s="146"/>
      <c r="W857" s="146"/>
      <c r="X857" s="146"/>
      <c r="Y857" s="146"/>
      <c r="Z857" s="146"/>
    </row>
    <row r="858" ht="22.5" customHeight="1">
      <c r="A858" s="308"/>
      <c r="B858" s="305"/>
      <c r="C858" s="305"/>
      <c r="D858" s="305"/>
      <c r="E858" s="305"/>
      <c r="F858" s="305"/>
      <c r="G858" s="307"/>
      <c r="H858" s="146"/>
      <c r="I858" s="146"/>
      <c r="J858" s="146"/>
      <c r="K858" s="146"/>
      <c r="L858" s="146"/>
      <c r="M858" s="146"/>
      <c r="N858" s="146"/>
      <c r="O858" s="146"/>
      <c r="P858" s="146"/>
      <c r="Q858" s="146"/>
      <c r="R858" s="146"/>
      <c r="S858" s="146"/>
      <c r="T858" s="146"/>
      <c r="U858" s="146"/>
      <c r="V858" s="146"/>
      <c r="W858" s="146"/>
      <c r="X858" s="146"/>
      <c r="Y858" s="146"/>
      <c r="Z858" s="146"/>
    </row>
    <row r="859" ht="22.5" customHeight="1">
      <c r="A859" s="308"/>
      <c r="B859" s="305"/>
      <c r="C859" s="305"/>
      <c r="D859" s="305"/>
      <c r="E859" s="305"/>
      <c r="F859" s="305"/>
      <c r="G859" s="307"/>
      <c r="H859" s="146"/>
      <c r="I859" s="146"/>
      <c r="J859" s="146"/>
      <c r="K859" s="146"/>
      <c r="L859" s="146"/>
      <c r="M859" s="146"/>
      <c r="N859" s="146"/>
      <c r="O859" s="146"/>
      <c r="P859" s="146"/>
      <c r="Q859" s="146"/>
      <c r="R859" s="146"/>
      <c r="S859" s="146"/>
      <c r="T859" s="146"/>
      <c r="U859" s="146"/>
      <c r="V859" s="146"/>
      <c r="W859" s="146"/>
      <c r="X859" s="146"/>
      <c r="Y859" s="146"/>
      <c r="Z859" s="146"/>
    </row>
    <row r="860" ht="22.5" customHeight="1">
      <c r="A860" s="308"/>
      <c r="B860" s="305"/>
      <c r="C860" s="305"/>
      <c r="D860" s="305"/>
      <c r="E860" s="305"/>
      <c r="F860" s="305"/>
      <c r="G860" s="307"/>
      <c r="H860" s="146"/>
      <c r="I860" s="146"/>
      <c r="J860" s="146"/>
      <c r="K860" s="146"/>
      <c r="L860" s="146"/>
      <c r="M860" s="146"/>
      <c r="N860" s="146"/>
      <c r="O860" s="146"/>
      <c r="P860" s="146"/>
      <c r="Q860" s="146"/>
      <c r="R860" s="146"/>
      <c r="S860" s="146"/>
      <c r="T860" s="146"/>
      <c r="U860" s="146"/>
      <c r="V860" s="146"/>
      <c r="W860" s="146"/>
      <c r="X860" s="146"/>
      <c r="Y860" s="146"/>
      <c r="Z860" s="146"/>
    </row>
    <row r="861" ht="22.5" customHeight="1">
      <c r="A861" s="308"/>
      <c r="B861" s="305"/>
      <c r="C861" s="305"/>
      <c r="D861" s="305"/>
      <c r="E861" s="305"/>
      <c r="F861" s="305"/>
      <c r="G861" s="307"/>
      <c r="H861" s="146"/>
      <c r="I861" s="146"/>
      <c r="J861" s="146"/>
      <c r="K861" s="146"/>
      <c r="L861" s="146"/>
      <c r="M861" s="146"/>
      <c r="N861" s="146"/>
      <c r="O861" s="146"/>
      <c r="P861" s="146"/>
      <c r="Q861" s="146"/>
      <c r="R861" s="146"/>
      <c r="S861" s="146"/>
      <c r="T861" s="146"/>
      <c r="U861" s="146"/>
      <c r="V861" s="146"/>
      <c r="W861" s="146"/>
      <c r="X861" s="146"/>
      <c r="Y861" s="146"/>
      <c r="Z861" s="146"/>
    </row>
    <row r="862" ht="22.5" customHeight="1">
      <c r="A862" s="308"/>
      <c r="B862" s="305"/>
      <c r="C862" s="305"/>
      <c r="D862" s="305"/>
      <c r="E862" s="305"/>
      <c r="F862" s="305"/>
      <c r="G862" s="307"/>
      <c r="H862" s="146"/>
      <c r="I862" s="146"/>
      <c r="J862" s="146"/>
      <c r="K862" s="146"/>
      <c r="L862" s="146"/>
      <c r="M862" s="146"/>
      <c r="N862" s="146"/>
      <c r="O862" s="146"/>
      <c r="P862" s="146"/>
      <c r="Q862" s="146"/>
      <c r="R862" s="146"/>
      <c r="S862" s="146"/>
      <c r="T862" s="146"/>
      <c r="U862" s="146"/>
      <c r="V862" s="146"/>
      <c r="W862" s="146"/>
      <c r="X862" s="146"/>
      <c r="Y862" s="146"/>
      <c r="Z862" s="146"/>
    </row>
    <row r="863" ht="22.5" customHeight="1">
      <c r="A863" s="308"/>
      <c r="B863" s="305"/>
      <c r="C863" s="305"/>
      <c r="D863" s="305"/>
      <c r="E863" s="305"/>
      <c r="F863" s="305"/>
      <c r="G863" s="307"/>
      <c r="H863" s="146"/>
      <c r="I863" s="146"/>
      <c r="J863" s="146"/>
      <c r="K863" s="146"/>
      <c r="L863" s="146"/>
      <c r="M863" s="146"/>
      <c r="N863" s="146"/>
      <c r="O863" s="146"/>
      <c r="P863" s="146"/>
      <c r="Q863" s="146"/>
      <c r="R863" s="146"/>
      <c r="S863" s="146"/>
      <c r="T863" s="146"/>
      <c r="U863" s="146"/>
      <c r="V863" s="146"/>
      <c r="W863" s="146"/>
      <c r="X863" s="146"/>
      <c r="Y863" s="146"/>
      <c r="Z863" s="146"/>
    </row>
    <row r="864" ht="22.5" customHeight="1">
      <c r="A864" s="308"/>
      <c r="B864" s="305"/>
      <c r="C864" s="305"/>
      <c r="D864" s="305"/>
      <c r="E864" s="305"/>
      <c r="F864" s="305"/>
      <c r="G864" s="307"/>
      <c r="H864" s="146"/>
      <c r="I864" s="146"/>
      <c r="J864" s="146"/>
      <c r="K864" s="146"/>
      <c r="L864" s="146"/>
      <c r="M864" s="146"/>
      <c r="N864" s="146"/>
      <c r="O864" s="146"/>
      <c r="P864" s="146"/>
      <c r="Q864" s="146"/>
      <c r="R864" s="146"/>
      <c r="S864" s="146"/>
      <c r="T864" s="146"/>
      <c r="U864" s="146"/>
      <c r="V864" s="146"/>
      <c r="W864" s="146"/>
      <c r="X864" s="146"/>
      <c r="Y864" s="146"/>
      <c r="Z864" s="146"/>
    </row>
    <row r="865" ht="22.5" customHeight="1">
      <c r="A865" s="308"/>
      <c r="B865" s="305"/>
      <c r="C865" s="305"/>
      <c r="D865" s="305"/>
      <c r="E865" s="305"/>
      <c r="F865" s="305"/>
      <c r="G865" s="307"/>
      <c r="H865" s="146"/>
      <c r="I865" s="146"/>
      <c r="J865" s="146"/>
      <c r="K865" s="146"/>
      <c r="L865" s="146"/>
      <c r="M865" s="146"/>
      <c r="N865" s="146"/>
      <c r="O865" s="146"/>
      <c r="P865" s="146"/>
      <c r="Q865" s="146"/>
      <c r="R865" s="146"/>
      <c r="S865" s="146"/>
      <c r="T865" s="146"/>
      <c r="U865" s="146"/>
      <c r="V865" s="146"/>
      <c r="W865" s="146"/>
      <c r="X865" s="146"/>
      <c r="Y865" s="146"/>
      <c r="Z865" s="146"/>
    </row>
    <row r="866" ht="22.5" customHeight="1">
      <c r="A866" s="308"/>
      <c r="B866" s="305"/>
      <c r="C866" s="305"/>
      <c r="D866" s="305"/>
      <c r="E866" s="305"/>
      <c r="F866" s="305"/>
      <c r="G866" s="307"/>
      <c r="H866" s="146"/>
      <c r="I866" s="146"/>
      <c r="J866" s="146"/>
      <c r="K866" s="146"/>
      <c r="L866" s="146"/>
      <c r="M866" s="146"/>
      <c r="N866" s="146"/>
      <c r="O866" s="146"/>
      <c r="P866" s="146"/>
      <c r="Q866" s="146"/>
      <c r="R866" s="146"/>
      <c r="S866" s="146"/>
      <c r="T866" s="146"/>
      <c r="U866" s="146"/>
      <c r="V866" s="146"/>
      <c r="W866" s="146"/>
      <c r="X866" s="146"/>
      <c r="Y866" s="146"/>
      <c r="Z866" s="146"/>
    </row>
    <row r="867" ht="22.5" customHeight="1">
      <c r="A867" s="308"/>
      <c r="B867" s="305"/>
      <c r="C867" s="305"/>
      <c r="D867" s="305"/>
      <c r="E867" s="305"/>
      <c r="F867" s="305"/>
      <c r="G867" s="307"/>
      <c r="H867" s="146"/>
      <c r="I867" s="146"/>
      <c r="J867" s="146"/>
      <c r="K867" s="146"/>
      <c r="L867" s="146"/>
      <c r="M867" s="146"/>
      <c r="N867" s="146"/>
      <c r="O867" s="146"/>
      <c r="P867" s="146"/>
      <c r="Q867" s="146"/>
      <c r="R867" s="146"/>
      <c r="S867" s="146"/>
      <c r="T867" s="146"/>
      <c r="U867" s="146"/>
      <c r="V867" s="146"/>
      <c r="W867" s="146"/>
      <c r="X867" s="146"/>
      <c r="Y867" s="146"/>
      <c r="Z867" s="146"/>
    </row>
    <row r="868" ht="22.5" customHeight="1">
      <c r="A868" s="308"/>
      <c r="B868" s="305"/>
      <c r="C868" s="305"/>
      <c r="D868" s="305"/>
      <c r="E868" s="305"/>
      <c r="F868" s="305"/>
      <c r="G868" s="307"/>
      <c r="H868" s="146"/>
      <c r="I868" s="146"/>
      <c r="J868" s="146"/>
      <c r="K868" s="146"/>
      <c r="L868" s="146"/>
      <c r="M868" s="146"/>
      <c r="N868" s="146"/>
      <c r="O868" s="146"/>
      <c r="P868" s="146"/>
      <c r="Q868" s="146"/>
      <c r="R868" s="146"/>
      <c r="S868" s="146"/>
      <c r="T868" s="146"/>
      <c r="U868" s="146"/>
      <c r="V868" s="146"/>
      <c r="W868" s="146"/>
      <c r="X868" s="146"/>
      <c r="Y868" s="146"/>
      <c r="Z868" s="146"/>
    </row>
    <row r="869" ht="22.5" customHeight="1">
      <c r="A869" s="308"/>
      <c r="B869" s="305"/>
      <c r="C869" s="305"/>
      <c r="D869" s="305"/>
      <c r="E869" s="305"/>
      <c r="F869" s="305"/>
      <c r="G869" s="307"/>
      <c r="H869" s="146"/>
      <c r="I869" s="146"/>
      <c r="J869" s="146"/>
      <c r="K869" s="146"/>
      <c r="L869" s="146"/>
      <c r="M869" s="146"/>
      <c r="N869" s="146"/>
      <c r="O869" s="146"/>
      <c r="P869" s="146"/>
      <c r="Q869" s="146"/>
      <c r="R869" s="146"/>
      <c r="S869" s="146"/>
      <c r="T869" s="146"/>
      <c r="U869" s="146"/>
      <c r="V869" s="146"/>
      <c r="W869" s="146"/>
      <c r="X869" s="146"/>
      <c r="Y869" s="146"/>
      <c r="Z869" s="146"/>
    </row>
    <row r="870" ht="22.5" customHeight="1">
      <c r="A870" s="308"/>
      <c r="B870" s="305"/>
      <c r="C870" s="305"/>
      <c r="D870" s="305"/>
      <c r="E870" s="305"/>
      <c r="F870" s="305"/>
      <c r="G870" s="307"/>
      <c r="H870" s="146"/>
      <c r="I870" s="146"/>
      <c r="J870" s="146"/>
      <c r="K870" s="146"/>
      <c r="L870" s="146"/>
      <c r="M870" s="146"/>
      <c r="N870" s="146"/>
      <c r="O870" s="146"/>
      <c r="P870" s="146"/>
      <c r="Q870" s="146"/>
      <c r="R870" s="146"/>
      <c r="S870" s="146"/>
      <c r="T870" s="146"/>
      <c r="U870" s="146"/>
      <c r="V870" s="146"/>
      <c r="W870" s="146"/>
      <c r="X870" s="146"/>
      <c r="Y870" s="146"/>
      <c r="Z870" s="146"/>
    </row>
    <row r="871" ht="22.5" customHeight="1">
      <c r="A871" s="308"/>
      <c r="B871" s="305"/>
      <c r="C871" s="305"/>
      <c r="D871" s="305"/>
      <c r="E871" s="305"/>
      <c r="F871" s="305"/>
      <c r="G871" s="307"/>
      <c r="H871" s="146"/>
      <c r="I871" s="146"/>
      <c r="J871" s="146"/>
      <c r="K871" s="146"/>
      <c r="L871" s="146"/>
      <c r="M871" s="146"/>
      <c r="N871" s="146"/>
      <c r="O871" s="146"/>
      <c r="P871" s="146"/>
      <c r="Q871" s="146"/>
      <c r="R871" s="146"/>
      <c r="S871" s="146"/>
      <c r="T871" s="146"/>
      <c r="U871" s="146"/>
      <c r="V871" s="146"/>
      <c r="W871" s="146"/>
      <c r="X871" s="146"/>
      <c r="Y871" s="146"/>
      <c r="Z871" s="146"/>
    </row>
    <row r="872" ht="22.5" customHeight="1">
      <c r="A872" s="308"/>
      <c r="B872" s="305"/>
      <c r="C872" s="305"/>
      <c r="D872" s="305"/>
      <c r="E872" s="305"/>
      <c r="F872" s="305"/>
      <c r="G872" s="307"/>
      <c r="H872" s="146"/>
      <c r="I872" s="146"/>
      <c r="J872" s="146"/>
      <c r="K872" s="146"/>
      <c r="L872" s="146"/>
      <c r="M872" s="146"/>
      <c r="N872" s="146"/>
      <c r="O872" s="146"/>
      <c r="P872" s="146"/>
      <c r="Q872" s="146"/>
      <c r="R872" s="146"/>
      <c r="S872" s="146"/>
      <c r="T872" s="146"/>
      <c r="U872" s="146"/>
      <c r="V872" s="146"/>
      <c r="W872" s="146"/>
      <c r="X872" s="146"/>
      <c r="Y872" s="146"/>
      <c r="Z872" s="146"/>
    </row>
    <row r="873" ht="22.5" customHeight="1">
      <c r="A873" s="308"/>
      <c r="B873" s="305"/>
      <c r="C873" s="305"/>
      <c r="D873" s="305"/>
      <c r="E873" s="305"/>
      <c r="F873" s="305"/>
      <c r="G873" s="307"/>
      <c r="H873" s="146"/>
      <c r="I873" s="146"/>
      <c r="J873" s="146"/>
      <c r="K873" s="146"/>
      <c r="L873" s="146"/>
      <c r="M873" s="146"/>
      <c r="N873" s="146"/>
      <c r="O873" s="146"/>
      <c r="P873" s="146"/>
      <c r="Q873" s="146"/>
      <c r="R873" s="146"/>
      <c r="S873" s="146"/>
      <c r="T873" s="146"/>
      <c r="U873" s="146"/>
      <c r="V873" s="146"/>
      <c r="W873" s="146"/>
      <c r="X873" s="146"/>
      <c r="Y873" s="146"/>
      <c r="Z873" s="146"/>
    </row>
    <row r="874" ht="22.5" customHeight="1">
      <c r="A874" s="308"/>
      <c r="B874" s="305"/>
      <c r="C874" s="305"/>
      <c r="D874" s="305"/>
      <c r="E874" s="305"/>
      <c r="F874" s="305"/>
      <c r="G874" s="307"/>
      <c r="H874" s="146"/>
      <c r="I874" s="146"/>
      <c r="J874" s="146"/>
      <c r="K874" s="146"/>
      <c r="L874" s="146"/>
      <c r="M874" s="146"/>
      <c r="N874" s="146"/>
      <c r="O874" s="146"/>
      <c r="P874" s="146"/>
      <c r="Q874" s="146"/>
      <c r="R874" s="146"/>
      <c r="S874" s="146"/>
      <c r="T874" s="146"/>
      <c r="U874" s="146"/>
      <c r="V874" s="146"/>
      <c r="W874" s="146"/>
      <c r="X874" s="146"/>
      <c r="Y874" s="146"/>
      <c r="Z874" s="146"/>
    </row>
    <row r="875" ht="22.5" customHeight="1">
      <c r="A875" s="308"/>
      <c r="B875" s="305"/>
      <c r="C875" s="305"/>
      <c r="D875" s="305"/>
      <c r="E875" s="305"/>
      <c r="F875" s="305"/>
      <c r="G875" s="307"/>
      <c r="H875" s="146"/>
      <c r="I875" s="146"/>
      <c r="J875" s="146"/>
      <c r="K875" s="146"/>
      <c r="L875" s="146"/>
      <c r="M875" s="146"/>
      <c r="N875" s="146"/>
      <c r="O875" s="146"/>
      <c r="P875" s="146"/>
      <c r="Q875" s="146"/>
      <c r="R875" s="146"/>
      <c r="S875" s="146"/>
      <c r="T875" s="146"/>
      <c r="U875" s="146"/>
      <c r="V875" s="146"/>
      <c r="W875" s="146"/>
      <c r="X875" s="146"/>
      <c r="Y875" s="146"/>
      <c r="Z875" s="146"/>
    </row>
    <row r="876" ht="22.5" customHeight="1">
      <c r="A876" s="308"/>
      <c r="B876" s="305"/>
      <c r="C876" s="305"/>
      <c r="D876" s="305"/>
      <c r="E876" s="305"/>
      <c r="F876" s="305"/>
      <c r="G876" s="307"/>
      <c r="H876" s="146"/>
      <c r="I876" s="146"/>
      <c r="J876" s="146"/>
      <c r="K876" s="146"/>
      <c r="L876" s="146"/>
      <c r="M876" s="146"/>
      <c r="N876" s="146"/>
      <c r="O876" s="146"/>
      <c r="P876" s="146"/>
      <c r="Q876" s="146"/>
      <c r="R876" s="146"/>
      <c r="S876" s="146"/>
      <c r="T876" s="146"/>
      <c r="U876" s="146"/>
      <c r="V876" s="146"/>
      <c r="W876" s="146"/>
      <c r="X876" s="146"/>
      <c r="Y876" s="146"/>
      <c r="Z876" s="146"/>
    </row>
    <row r="877" ht="22.5" customHeight="1">
      <c r="A877" s="308"/>
      <c r="B877" s="305"/>
      <c r="C877" s="305"/>
      <c r="D877" s="305"/>
      <c r="E877" s="305"/>
      <c r="F877" s="305"/>
      <c r="G877" s="307"/>
      <c r="H877" s="146"/>
      <c r="I877" s="146"/>
      <c r="J877" s="146"/>
      <c r="K877" s="146"/>
      <c r="L877" s="146"/>
      <c r="M877" s="146"/>
      <c r="N877" s="146"/>
      <c r="O877" s="146"/>
      <c r="P877" s="146"/>
      <c r="Q877" s="146"/>
      <c r="R877" s="146"/>
      <c r="S877" s="146"/>
      <c r="T877" s="146"/>
      <c r="U877" s="146"/>
      <c r="V877" s="146"/>
      <c r="W877" s="146"/>
      <c r="X877" s="146"/>
      <c r="Y877" s="146"/>
      <c r="Z877" s="146"/>
    </row>
    <row r="878" ht="22.5" customHeight="1">
      <c r="A878" s="308"/>
      <c r="B878" s="305"/>
      <c r="C878" s="305"/>
      <c r="D878" s="305"/>
      <c r="E878" s="305"/>
      <c r="F878" s="305"/>
      <c r="G878" s="307"/>
      <c r="H878" s="146"/>
      <c r="I878" s="146"/>
      <c r="J878" s="146"/>
      <c r="K878" s="146"/>
      <c r="L878" s="146"/>
      <c r="M878" s="146"/>
      <c r="N878" s="146"/>
      <c r="O878" s="146"/>
      <c r="P878" s="146"/>
      <c r="Q878" s="146"/>
      <c r="R878" s="146"/>
      <c r="S878" s="146"/>
      <c r="T878" s="146"/>
      <c r="U878" s="146"/>
      <c r="V878" s="146"/>
      <c r="W878" s="146"/>
      <c r="X878" s="146"/>
      <c r="Y878" s="146"/>
      <c r="Z878" s="146"/>
    </row>
    <row r="879" ht="22.5" customHeight="1">
      <c r="A879" s="308"/>
      <c r="B879" s="305"/>
      <c r="C879" s="305"/>
      <c r="D879" s="305"/>
      <c r="E879" s="305"/>
      <c r="F879" s="305"/>
      <c r="G879" s="307"/>
      <c r="H879" s="146"/>
      <c r="I879" s="146"/>
      <c r="J879" s="146"/>
      <c r="K879" s="146"/>
      <c r="L879" s="146"/>
      <c r="M879" s="146"/>
      <c r="N879" s="146"/>
      <c r="O879" s="146"/>
      <c r="P879" s="146"/>
      <c r="Q879" s="146"/>
      <c r="R879" s="146"/>
      <c r="S879" s="146"/>
      <c r="T879" s="146"/>
      <c r="U879" s="146"/>
      <c r="V879" s="146"/>
      <c r="W879" s="146"/>
      <c r="X879" s="146"/>
      <c r="Y879" s="146"/>
      <c r="Z879" s="146"/>
    </row>
    <row r="880" ht="22.5" customHeight="1">
      <c r="A880" s="308"/>
      <c r="B880" s="305"/>
      <c r="C880" s="305"/>
      <c r="D880" s="305"/>
      <c r="E880" s="305"/>
      <c r="F880" s="305"/>
      <c r="G880" s="307"/>
      <c r="H880" s="146"/>
      <c r="I880" s="146"/>
      <c r="J880" s="146"/>
      <c r="K880" s="146"/>
      <c r="L880" s="146"/>
      <c r="M880" s="146"/>
      <c r="N880" s="146"/>
      <c r="O880" s="146"/>
      <c r="P880" s="146"/>
      <c r="Q880" s="146"/>
      <c r="R880" s="146"/>
      <c r="S880" s="146"/>
      <c r="T880" s="146"/>
      <c r="U880" s="146"/>
      <c r="V880" s="146"/>
      <c r="W880" s="146"/>
      <c r="X880" s="146"/>
      <c r="Y880" s="146"/>
      <c r="Z880" s="146"/>
    </row>
    <row r="881" ht="22.5" customHeight="1">
      <c r="A881" s="308"/>
      <c r="B881" s="305"/>
      <c r="C881" s="305"/>
      <c r="D881" s="305"/>
      <c r="E881" s="305"/>
      <c r="F881" s="305"/>
      <c r="G881" s="307"/>
      <c r="H881" s="146"/>
      <c r="I881" s="146"/>
      <c r="J881" s="146"/>
      <c r="K881" s="146"/>
      <c r="L881" s="146"/>
      <c r="M881" s="146"/>
      <c r="N881" s="146"/>
      <c r="O881" s="146"/>
      <c r="P881" s="146"/>
      <c r="Q881" s="146"/>
      <c r="R881" s="146"/>
      <c r="S881" s="146"/>
      <c r="T881" s="146"/>
      <c r="U881" s="146"/>
      <c r="V881" s="146"/>
      <c r="W881" s="146"/>
      <c r="X881" s="146"/>
      <c r="Y881" s="146"/>
      <c r="Z881" s="146"/>
    </row>
    <row r="882" ht="22.5" customHeight="1">
      <c r="A882" s="308"/>
      <c r="B882" s="305"/>
      <c r="C882" s="305"/>
      <c r="D882" s="305"/>
      <c r="E882" s="305"/>
      <c r="F882" s="305"/>
      <c r="G882" s="307"/>
      <c r="H882" s="146"/>
      <c r="I882" s="146"/>
      <c r="J882" s="146"/>
      <c r="K882" s="146"/>
      <c r="L882" s="146"/>
      <c r="M882" s="146"/>
      <c r="N882" s="146"/>
      <c r="O882" s="146"/>
      <c r="P882" s="146"/>
      <c r="Q882" s="146"/>
      <c r="R882" s="146"/>
      <c r="S882" s="146"/>
      <c r="T882" s="146"/>
      <c r="U882" s="146"/>
      <c r="V882" s="146"/>
      <c r="W882" s="146"/>
      <c r="X882" s="146"/>
      <c r="Y882" s="146"/>
      <c r="Z882" s="146"/>
    </row>
    <row r="883" ht="22.5" customHeight="1">
      <c r="A883" s="308"/>
      <c r="B883" s="305"/>
      <c r="C883" s="305"/>
      <c r="D883" s="305"/>
      <c r="E883" s="305"/>
      <c r="F883" s="305"/>
      <c r="G883" s="307"/>
      <c r="H883" s="146"/>
      <c r="I883" s="146"/>
      <c r="J883" s="146"/>
      <c r="K883" s="146"/>
      <c r="L883" s="146"/>
      <c r="M883" s="146"/>
      <c r="N883" s="146"/>
      <c r="O883" s="146"/>
      <c r="P883" s="146"/>
      <c r="Q883" s="146"/>
      <c r="R883" s="146"/>
      <c r="S883" s="146"/>
      <c r="T883" s="146"/>
      <c r="U883" s="146"/>
      <c r="V883" s="146"/>
      <c r="W883" s="146"/>
      <c r="X883" s="146"/>
      <c r="Y883" s="146"/>
      <c r="Z883" s="146"/>
    </row>
    <row r="884" ht="22.5" customHeight="1">
      <c r="A884" s="308"/>
      <c r="B884" s="305"/>
      <c r="C884" s="305"/>
      <c r="D884" s="305"/>
      <c r="E884" s="305"/>
      <c r="F884" s="305"/>
      <c r="G884" s="307"/>
      <c r="H884" s="146"/>
      <c r="I884" s="146"/>
      <c r="J884" s="146"/>
      <c r="K884" s="146"/>
      <c r="L884" s="146"/>
      <c r="M884" s="146"/>
      <c r="N884" s="146"/>
      <c r="O884" s="146"/>
      <c r="P884" s="146"/>
      <c r="Q884" s="146"/>
      <c r="R884" s="146"/>
      <c r="S884" s="146"/>
      <c r="T884" s="146"/>
      <c r="U884" s="146"/>
      <c r="V884" s="146"/>
      <c r="W884" s="146"/>
      <c r="X884" s="146"/>
      <c r="Y884" s="146"/>
      <c r="Z884" s="146"/>
    </row>
    <row r="885" ht="22.5" customHeight="1">
      <c r="A885" s="308"/>
      <c r="B885" s="305"/>
      <c r="C885" s="305"/>
      <c r="D885" s="305"/>
      <c r="E885" s="305"/>
      <c r="F885" s="305"/>
      <c r="G885" s="307"/>
      <c r="H885" s="146"/>
      <c r="I885" s="146"/>
      <c r="J885" s="146"/>
      <c r="K885" s="146"/>
      <c r="L885" s="146"/>
      <c r="M885" s="146"/>
      <c r="N885" s="146"/>
      <c r="O885" s="146"/>
      <c r="P885" s="146"/>
      <c r="Q885" s="146"/>
      <c r="R885" s="146"/>
      <c r="S885" s="146"/>
      <c r="T885" s="146"/>
      <c r="U885" s="146"/>
      <c r="V885" s="146"/>
      <c r="W885" s="146"/>
      <c r="X885" s="146"/>
      <c r="Y885" s="146"/>
      <c r="Z885" s="146"/>
    </row>
    <row r="886" ht="22.5" customHeight="1">
      <c r="A886" s="308"/>
      <c r="B886" s="305"/>
      <c r="C886" s="305"/>
      <c r="D886" s="305"/>
      <c r="E886" s="305"/>
      <c r="F886" s="305"/>
      <c r="G886" s="307"/>
      <c r="H886" s="146"/>
      <c r="I886" s="146"/>
      <c r="J886" s="146"/>
      <c r="K886" s="146"/>
      <c r="L886" s="146"/>
      <c r="M886" s="146"/>
      <c r="N886" s="146"/>
      <c r="O886" s="146"/>
      <c r="P886" s="146"/>
      <c r="Q886" s="146"/>
      <c r="R886" s="146"/>
      <c r="S886" s="146"/>
      <c r="T886" s="146"/>
      <c r="U886" s="146"/>
      <c r="V886" s="146"/>
      <c r="W886" s="146"/>
      <c r="X886" s="146"/>
      <c r="Y886" s="146"/>
      <c r="Z886" s="146"/>
    </row>
    <row r="887" ht="22.5" customHeight="1">
      <c r="A887" s="308"/>
      <c r="B887" s="305"/>
      <c r="C887" s="305"/>
      <c r="D887" s="305"/>
      <c r="E887" s="305"/>
      <c r="F887" s="305"/>
      <c r="G887" s="307"/>
      <c r="H887" s="146"/>
      <c r="I887" s="146"/>
      <c r="J887" s="146"/>
      <c r="K887" s="146"/>
      <c r="L887" s="146"/>
      <c r="M887" s="146"/>
      <c r="N887" s="146"/>
      <c r="O887" s="146"/>
      <c r="P887" s="146"/>
      <c r="Q887" s="146"/>
      <c r="R887" s="146"/>
      <c r="S887" s="146"/>
      <c r="T887" s="146"/>
      <c r="U887" s="146"/>
      <c r="V887" s="146"/>
      <c r="W887" s="146"/>
      <c r="X887" s="146"/>
      <c r="Y887" s="146"/>
      <c r="Z887" s="146"/>
    </row>
    <row r="888" ht="22.5" customHeight="1">
      <c r="A888" s="308"/>
      <c r="B888" s="305"/>
      <c r="C888" s="305"/>
      <c r="D888" s="305"/>
      <c r="E888" s="305"/>
      <c r="F888" s="305"/>
      <c r="G888" s="307"/>
      <c r="H888" s="146"/>
      <c r="I888" s="146"/>
      <c r="J888" s="146"/>
      <c r="K888" s="146"/>
      <c r="L888" s="146"/>
      <c r="M888" s="146"/>
      <c r="N888" s="146"/>
      <c r="O888" s="146"/>
      <c r="P888" s="146"/>
      <c r="Q888" s="146"/>
      <c r="R888" s="146"/>
      <c r="S888" s="146"/>
      <c r="T888" s="146"/>
      <c r="U888" s="146"/>
      <c r="V888" s="146"/>
      <c r="W888" s="146"/>
      <c r="X888" s="146"/>
      <c r="Y888" s="146"/>
      <c r="Z888" s="146"/>
    </row>
    <row r="889" ht="22.5" customHeight="1">
      <c r="A889" s="308"/>
      <c r="B889" s="305"/>
      <c r="C889" s="305"/>
      <c r="D889" s="305"/>
      <c r="E889" s="305"/>
      <c r="F889" s="305"/>
      <c r="G889" s="307"/>
      <c r="H889" s="146"/>
      <c r="I889" s="146"/>
      <c r="J889" s="146"/>
      <c r="K889" s="146"/>
      <c r="L889" s="146"/>
      <c r="M889" s="146"/>
      <c r="N889" s="146"/>
      <c r="O889" s="146"/>
      <c r="P889" s="146"/>
      <c r="Q889" s="146"/>
      <c r="R889" s="146"/>
      <c r="S889" s="146"/>
      <c r="T889" s="146"/>
      <c r="U889" s="146"/>
      <c r="V889" s="146"/>
      <c r="W889" s="146"/>
      <c r="X889" s="146"/>
      <c r="Y889" s="146"/>
      <c r="Z889" s="146"/>
    </row>
    <row r="890" ht="22.5" customHeight="1">
      <c r="A890" s="308"/>
      <c r="B890" s="305"/>
      <c r="C890" s="305"/>
      <c r="D890" s="305"/>
      <c r="E890" s="305"/>
      <c r="F890" s="305"/>
      <c r="G890" s="307"/>
      <c r="H890" s="146"/>
      <c r="I890" s="146"/>
      <c r="J890" s="146"/>
      <c r="K890" s="146"/>
      <c r="L890" s="146"/>
      <c r="M890" s="146"/>
      <c r="N890" s="146"/>
      <c r="O890" s="146"/>
      <c r="P890" s="146"/>
      <c r="Q890" s="146"/>
      <c r="R890" s="146"/>
      <c r="S890" s="146"/>
      <c r="T890" s="146"/>
      <c r="U890" s="146"/>
      <c r="V890" s="146"/>
      <c r="W890" s="146"/>
      <c r="X890" s="146"/>
      <c r="Y890" s="146"/>
      <c r="Z890" s="146"/>
    </row>
    <row r="891" ht="22.5" customHeight="1">
      <c r="A891" s="308"/>
      <c r="B891" s="305"/>
      <c r="C891" s="305"/>
      <c r="D891" s="305"/>
      <c r="E891" s="305"/>
      <c r="F891" s="305"/>
      <c r="G891" s="307"/>
      <c r="H891" s="146"/>
      <c r="I891" s="146"/>
      <c r="J891" s="146"/>
      <c r="K891" s="146"/>
      <c r="L891" s="146"/>
      <c r="M891" s="146"/>
      <c r="N891" s="146"/>
      <c r="O891" s="146"/>
      <c r="P891" s="146"/>
      <c r="Q891" s="146"/>
      <c r="R891" s="146"/>
      <c r="S891" s="146"/>
      <c r="T891" s="146"/>
      <c r="U891" s="146"/>
      <c r="V891" s="146"/>
      <c r="W891" s="146"/>
      <c r="X891" s="146"/>
      <c r="Y891" s="146"/>
      <c r="Z891" s="146"/>
    </row>
    <row r="892" ht="22.5" customHeight="1">
      <c r="A892" s="308"/>
      <c r="B892" s="305"/>
      <c r="C892" s="305"/>
      <c r="D892" s="305"/>
      <c r="E892" s="305"/>
      <c r="F892" s="305"/>
      <c r="G892" s="307"/>
      <c r="H892" s="146"/>
      <c r="I892" s="146"/>
      <c r="J892" s="146"/>
      <c r="K892" s="146"/>
      <c r="L892" s="146"/>
      <c r="M892" s="146"/>
      <c r="N892" s="146"/>
      <c r="O892" s="146"/>
      <c r="P892" s="146"/>
      <c r="Q892" s="146"/>
      <c r="R892" s="146"/>
      <c r="S892" s="146"/>
      <c r="T892" s="146"/>
      <c r="U892" s="146"/>
      <c r="V892" s="146"/>
      <c r="W892" s="146"/>
      <c r="X892" s="146"/>
      <c r="Y892" s="146"/>
      <c r="Z892" s="146"/>
    </row>
    <row r="893" ht="22.5" customHeight="1">
      <c r="A893" s="308"/>
      <c r="B893" s="305"/>
      <c r="C893" s="305"/>
      <c r="D893" s="305"/>
      <c r="E893" s="305"/>
      <c r="F893" s="305"/>
      <c r="G893" s="307"/>
      <c r="H893" s="146"/>
      <c r="I893" s="146"/>
      <c r="J893" s="146"/>
      <c r="K893" s="146"/>
      <c r="L893" s="146"/>
      <c r="M893" s="146"/>
      <c r="N893" s="146"/>
      <c r="O893" s="146"/>
      <c r="P893" s="146"/>
      <c r="Q893" s="146"/>
      <c r="R893" s="146"/>
      <c r="S893" s="146"/>
      <c r="T893" s="146"/>
      <c r="U893" s="146"/>
      <c r="V893" s="146"/>
      <c r="W893" s="146"/>
      <c r="X893" s="146"/>
      <c r="Y893" s="146"/>
      <c r="Z893" s="146"/>
    </row>
    <row r="894" ht="22.5" customHeight="1">
      <c r="A894" s="308"/>
      <c r="B894" s="305"/>
      <c r="C894" s="305"/>
      <c r="D894" s="305"/>
      <c r="E894" s="305"/>
      <c r="F894" s="305"/>
      <c r="G894" s="307"/>
      <c r="H894" s="146"/>
      <c r="I894" s="146"/>
      <c r="J894" s="146"/>
      <c r="K894" s="146"/>
      <c r="L894" s="146"/>
      <c r="M894" s="146"/>
      <c r="N894" s="146"/>
      <c r="O894" s="146"/>
      <c r="P894" s="146"/>
      <c r="Q894" s="146"/>
      <c r="R894" s="146"/>
      <c r="S894" s="146"/>
      <c r="T894" s="146"/>
      <c r="U894" s="146"/>
      <c r="V894" s="146"/>
      <c r="W894" s="146"/>
      <c r="X894" s="146"/>
      <c r="Y894" s="146"/>
      <c r="Z894" s="146"/>
    </row>
    <row r="895" ht="22.5" customHeight="1">
      <c r="A895" s="308"/>
      <c r="B895" s="305"/>
      <c r="C895" s="305"/>
      <c r="D895" s="305"/>
      <c r="E895" s="305"/>
      <c r="F895" s="305"/>
      <c r="G895" s="307"/>
      <c r="H895" s="146"/>
      <c r="I895" s="146"/>
      <c r="J895" s="146"/>
      <c r="K895" s="146"/>
      <c r="L895" s="146"/>
      <c r="M895" s="146"/>
      <c r="N895" s="146"/>
      <c r="O895" s="146"/>
      <c r="P895" s="146"/>
      <c r="Q895" s="146"/>
      <c r="R895" s="146"/>
      <c r="S895" s="146"/>
      <c r="T895" s="146"/>
      <c r="U895" s="146"/>
      <c r="V895" s="146"/>
      <c r="W895" s="146"/>
      <c r="X895" s="146"/>
      <c r="Y895" s="146"/>
      <c r="Z895" s="146"/>
    </row>
    <row r="896" ht="22.5" customHeight="1">
      <c r="A896" s="308"/>
      <c r="B896" s="305"/>
      <c r="C896" s="305"/>
      <c r="D896" s="305"/>
      <c r="E896" s="305"/>
      <c r="F896" s="305"/>
      <c r="G896" s="307"/>
      <c r="H896" s="146"/>
      <c r="I896" s="146"/>
      <c r="J896" s="146"/>
      <c r="K896" s="146"/>
      <c r="L896" s="146"/>
      <c r="M896" s="146"/>
      <c r="N896" s="146"/>
      <c r="O896" s="146"/>
      <c r="P896" s="146"/>
      <c r="Q896" s="146"/>
      <c r="R896" s="146"/>
      <c r="S896" s="146"/>
      <c r="T896" s="146"/>
      <c r="U896" s="146"/>
      <c r="V896" s="146"/>
      <c r="W896" s="146"/>
      <c r="X896" s="146"/>
      <c r="Y896" s="146"/>
      <c r="Z896" s="146"/>
    </row>
    <row r="897" ht="22.5" customHeight="1">
      <c r="A897" s="308"/>
      <c r="B897" s="305"/>
      <c r="C897" s="305"/>
      <c r="D897" s="305"/>
      <c r="E897" s="305"/>
      <c r="F897" s="305"/>
      <c r="G897" s="307"/>
      <c r="H897" s="146"/>
      <c r="I897" s="146"/>
      <c r="J897" s="146"/>
      <c r="K897" s="146"/>
      <c r="L897" s="146"/>
      <c r="M897" s="146"/>
      <c r="N897" s="146"/>
      <c r="O897" s="146"/>
      <c r="P897" s="146"/>
      <c r="Q897" s="146"/>
      <c r="R897" s="146"/>
      <c r="S897" s="146"/>
      <c r="T897" s="146"/>
      <c r="U897" s="146"/>
      <c r="V897" s="146"/>
      <c r="W897" s="146"/>
      <c r="X897" s="146"/>
      <c r="Y897" s="146"/>
      <c r="Z897" s="146"/>
    </row>
    <row r="898" ht="22.5" customHeight="1">
      <c r="A898" s="308"/>
      <c r="B898" s="305"/>
      <c r="C898" s="305"/>
      <c r="D898" s="305"/>
      <c r="E898" s="305"/>
      <c r="F898" s="305"/>
      <c r="G898" s="307"/>
      <c r="H898" s="146"/>
      <c r="I898" s="146"/>
      <c r="J898" s="146"/>
      <c r="K898" s="146"/>
      <c r="L898" s="146"/>
      <c r="M898" s="146"/>
      <c r="N898" s="146"/>
      <c r="O898" s="146"/>
      <c r="P898" s="146"/>
      <c r="Q898" s="146"/>
      <c r="R898" s="146"/>
      <c r="S898" s="146"/>
      <c r="T898" s="146"/>
      <c r="U898" s="146"/>
      <c r="V898" s="146"/>
      <c r="W898" s="146"/>
      <c r="X898" s="146"/>
      <c r="Y898" s="146"/>
      <c r="Z898" s="146"/>
    </row>
    <row r="899" ht="22.5" customHeight="1">
      <c r="A899" s="308"/>
      <c r="B899" s="305"/>
      <c r="C899" s="305"/>
      <c r="D899" s="305"/>
      <c r="E899" s="305"/>
      <c r="F899" s="305"/>
      <c r="G899" s="307"/>
      <c r="H899" s="146"/>
      <c r="I899" s="146"/>
      <c r="J899" s="146"/>
      <c r="K899" s="146"/>
      <c r="L899" s="146"/>
      <c r="M899" s="146"/>
      <c r="N899" s="146"/>
      <c r="O899" s="146"/>
      <c r="P899" s="146"/>
      <c r="Q899" s="146"/>
      <c r="R899" s="146"/>
      <c r="S899" s="146"/>
      <c r="T899" s="146"/>
      <c r="U899" s="146"/>
      <c r="V899" s="146"/>
      <c r="W899" s="146"/>
      <c r="X899" s="146"/>
      <c r="Y899" s="146"/>
      <c r="Z899" s="146"/>
    </row>
    <row r="900" ht="22.5" customHeight="1">
      <c r="A900" s="308"/>
      <c r="B900" s="305"/>
      <c r="C900" s="305"/>
      <c r="D900" s="305"/>
      <c r="E900" s="305"/>
      <c r="F900" s="305"/>
      <c r="G900" s="307"/>
      <c r="H900" s="146"/>
      <c r="I900" s="146"/>
      <c r="J900" s="146"/>
      <c r="K900" s="146"/>
      <c r="L900" s="146"/>
      <c r="M900" s="146"/>
      <c r="N900" s="146"/>
      <c r="O900" s="146"/>
      <c r="P900" s="146"/>
      <c r="Q900" s="146"/>
      <c r="R900" s="146"/>
      <c r="S900" s="146"/>
      <c r="T900" s="146"/>
      <c r="U900" s="146"/>
      <c r="V900" s="146"/>
      <c r="W900" s="146"/>
      <c r="X900" s="146"/>
      <c r="Y900" s="146"/>
      <c r="Z900" s="146"/>
    </row>
    <row r="901" ht="22.5" customHeight="1">
      <c r="A901" s="308"/>
      <c r="B901" s="305"/>
      <c r="C901" s="305"/>
      <c r="D901" s="305"/>
      <c r="E901" s="305"/>
      <c r="F901" s="305"/>
      <c r="G901" s="307"/>
      <c r="H901" s="146"/>
      <c r="I901" s="146"/>
      <c r="J901" s="146"/>
      <c r="K901" s="146"/>
      <c r="L901" s="146"/>
      <c r="M901" s="146"/>
      <c r="N901" s="146"/>
      <c r="O901" s="146"/>
      <c r="P901" s="146"/>
      <c r="Q901" s="146"/>
      <c r="R901" s="146"/>
      <c r="S901" s="146"/>
      <c r="T901" s="146"/>
      <c r="U901" s="146"/>
      <c r="V901" s="146"/>
      <c r="W901" s="146"/>
      <c r="X901" s="146"/>
      <c r="Y901" s="146"/>
      <c r="Z901" s="146"/>
    </row>
    <row r="902" ht="22.5" customHeight="1">
      <c r="A902" s="308"/>
      <c r="B902" s="305"/>
      <c r="C902" s="305"/>
      <c r="D902" s="305"/>
      <c r="E902" s="305"/>
      <c r="F902" s="305"/>
      <c r="G902" s="307"/>
      <c r="H902" s="146"/>
      <c r="I902" s="146"/>
      <c r="J902" s="146"/>
      <c r="K902" s="146"/>
      <c r="L902" s="146"/>
      <c r="M902" s="146"/>
      <c r="N902" s="146"/>
      <c r="O902" s="146"/>
      <c r="P902" s="146"/>
      <c r="Q902" s="146"/>
      <c r="R902" s="146"/>
      <c r="S902" s="146"/>
      <c r="T902" s="146"/>
      <c r="U902" s="146"/>
      <c r="V902" s="146"/>
      <c r="W902" s="146"/>
      <c r="X902" s="146"/>
      <c r="Y902" s="146"/>
      <c r="Z902" s="146"/>
    </row>
    <row r="903" ht="22.5" customHeight="1">
      <c r="A903" s="308"/>
      <c r="B903" s="305"/>
      <c r="C903" s="305"/>
      <c r="D903" s="305"/>
      <c r="E903" s="305"/>
      <c r="F903" s="305"/>
      <c r="G903" s="307"/>
      <c r="H903" s="146"/>
      <c r="I903" s="146"/>
      <c r="J903" s="146"/>
      <c r="K903" s="146"/>
      <c r="L903" s="146"/>
      <c r="M903" s="146"/>
      <c r="N903" s="146"/>
      <c r="O903" s="146"/>
      <c r="P903" s="146"/>
      <c r="Q903" s="146"/>
      <c r="R903" s="146"/>
      <c r="S903" s="146"/>
      <c r="T903" s="146"/>
      <c r="U903" s="146"/>
      <c r="V903" s="146"/>
      <c r="W903" s="146"/>
      <c r="X903" s="146"/>
      <c r="Y903" s="146"/>
      <c r="Z903" s="146"/>
    </row>
    <row r="904" ht="22.5" customHeight="1">
      <c r="A904" s="308"/>
      <c r="B904" s="305"/>
      <c r="C904" s="305"/>
      <c r="D904" s="305"/>
      <c r="E904" s="305"/>
      <c r="F904" s="305"/>
      <c r="G904" s="307"/>
      <c r="H904" s="146"/>
      <c r="I904" s="146"/>
      <c r="J904" s="146"/>
      <c r="K904" s="146"/>
      <c r="L904" s="146"/>
      <c r="M904" s="146"/>
      <c r="N904" s="146"/>
      <c r="O904" s="146"/>
      <c r="P904" s="146"/>
      <c r="Q904" s="146"/>
      <c r="R904" s="146"/>
      <c r="S904" s="146"/>
      <c r="T904" s="146"/>
      <c r="U904" s="146"/>
      <c r="V904" s="146"/>
      <c r="W904" s="146"/>
      <c r="X904" s="146"/>
      <c r="Y904" s="146"/>
      <c r="Z904" s="146"/>
    </row>
    <row r="905" ht="22.5" customHeight="1">
      <c r="A905" s="308"/>
      <c r="B905" s="305"/>
      <c r="C905" s="305"/>
      <c r="D905" s="305"/>
      <c r="E905" s="305"/>
      <c r="F905" s="305"/>
      <c r="G905" s="307"/>
      <c r="H905" s="146"/>
      <c r="I905" s="146"/>
      <c r="J905" s="146"/>
      <c r="K905" s="146"/>
      <c r="L905" s="146"/>
      <c r="M905" s="146"/>
      <c r="N905" s="146"/>
      <c r="O905" s="146"/>
      <c r="P905" s="146"/>
      <c r="Q905" s="146"/>
      <c r="R905" s="146"/>
      <c r="S905" s="146"/>
      <c r="T905" s="146"/>
      <c r="U905" s="146"/>
      <c r="V905" s="146"/>
      <c r="W905" s="146"/>
      <c r="X905" s="146"/>
      <c r="Y905" s="146"/>
      <c r="Z905" s="146"/>
    </row>
    <row r="906" ht="22.5" customHeight="1">
      <c r="A906" s="308"/>
      <c r="B906" s="305"/>
      <c r="C906" s="305"/>
      <c r="D906" s="305"/>
      <c r="E906" s="305"/>
      <c r="F906" s="305"/>
      <c r="G906" s="307"/>
      <c r="H906" s="146"/>
      <c r="I906" s="146"/>
      <c r="J906" s="146"/>
      <c r="K906" s="146"/>
      <c r="L906" s="146"/>
      <c r="M906" s="146"/>
      <c r="N906" s="146"/>
      <c r="O906" s="146"/>
      <c r="P906" s="146"/>
      <c r="Q906" s="146"/>
      <c r="R906" s="146"/>
      <c r="S906" s="146"/>
      <c r="T906" s="146"/>
      <c r="U906" s="146"/>
      <c r="V906" s="146"/>
      <c r="W906" s="146"/>
      <c r="X906" s="146"/>
      <c r="Y906" s="146"/>
      <c r="Z906" s="146"/>
    </row>
    <row r="907" ht="22.5" customHeight="1">
      <c r="A907" s="308"/>
      <c r="B907" s="305"/>
      <c r="C907" s="305"/>
      <c r="D907" s="305"/>
      <c r="E907" s="305"/>
      <c r="F907" s="305"/>
      <c r="G907" s="307"/>
      <c r="H907" s="146"/>
      <c r="I907" s="146"/>
      <c r="J907" s="146"/>
      <c r="K907" s="146"/>
      <c r="L907" s="146"/>
      <c r="M907" s="146"/>
      <c r="N907" s="146"/>
      <c r="O907" s="146"/>
      <c r="P907" s="146"/>
      <c r="Q907" s="146"/>
      <c r="R907" s="146"/>
      <c r="S907" s="146"/>
      <c r="T907" s="146"/>
      <c r="U907" s="146"/>
      <c r="V907" s="146"/>
      <c r="W907" s="146"/>
      <c r="X907" s="146"/>
      <c r="Y907" s="146"/>
      <c r="Z907" s="146"/>
    </row>
    <row r="908" ht="22.5" customHeight="1">
      <c r="A908" s="308"/>
      <c r="B908" s="305"/>
      <c r="C908" s="305"/>
      <c r="D908" s="305"/>
      <c r="E908" s="305"/>
      <c r="F908" s="305"/>
      <c r="G908" s="307"/>
      <c r="H908" s="146"/>
      <c r="I908" s="146"/>
      <c r="J908" s="146"/>
      <c r="K908" s="146"/>
      <c r="L908" s="146"/>
      <c r="M908" s="146"/>
      <c r="N908" s="146"/>
      <c r="O908" s="146"/>
      <c r="P908" s="146"/>
      <c r="Q908" s="146"/>
      <c r="R908" s="146"/>
      <c r="S908" s="146"/>
      <c r="T908" s="146"/>
      <c r="U908" s="146"/>
      <c r="V908" s="146"/>
      <c r="W908" s="146"/>
      <c r="X908" s="146"/>
      <c r="Y908" s="146"/>
      <c r="Z908" s="146"/>
    </row>
    <row r="909" ht="22.5" customHeight="1">
      <c r="A909" s="308"/>
      <c r="B909" s="305"/>
      <c r="C909" s="305"/>
      <c r="D909" s="305"/>
      <c r="E909" s="305"/>
      <c r="F909" s="305"/>
      <c r="G909" s="307"/>
      <c r="H909" s="146"/>
      <c r="I909" s="146"/>
      <c r="J909" s="146"/>
      <c r="K909" s="146"/>
      <c r="L909" s="146"/>
      <c r="M909" s="146"/>
      <c r="N909" s="146"/>
      <c r="O909" s="146"/>
      <c r="P909" s="146"/>
      <c r="Q909" s="146"/>
      <c r="R909" s="146"/>
      <c r="S909" s="146"/>
      <c r="T909" s="146"/>
      <c r="U909" s="146"/>
      <c r="V909" s="146"/>
      <c r="W909" s="146"/>
      <c r="X909" s="146"/>
      <c r="Y909" s="146"/>
      <c r="Z909" s="146"/>
    </row>
    <row r="910" ht="22.5" customHeight="1">
      <c r="A910" s="308"/>
      <c r="B910" s="305"/>
      <c r="C910" s="305"/>
      <c r="D910" s="305"/>
      <c r="E910" s="305"/>
      <c r="F910" s="305"/>
      <c r="G910" s="307"/>
      <c r="H910" s="146"/>
      <c r="I910" s="146"/>
      <c r="J910" s="146"/>
      <c r="K910" s="146"/>
      <c r="L910" s="146"/>
      <c r="M910" s="146"/>
      <c r="N910" s="146"/>
      <c r="O910" s="146"/>
      <c r="P910" s="146"/>
      <c r="Q910" s="146"/>
      <c r="R910" s="146"/>
      <c r="S910" s="146"/>
      <c r="T910" s="146"/>
      <c r="U910" s="146"/>
      <c r="V910" s="146"/>
      <c r="W910" s="146"/>
      <c r="X910" s="146"/>
      <c r="Y910" s="146"/>
      <c r="Z910" s="146"/>
    </row>
    <row r="911" ht="22.5" customHeight="1">
      <c r="A911" s="308"/>
      <c r="B911" s="305"/>
      <c r="C911" s="305"/>
      <c r="D911" s="305"/>
      <c r="E911" s="305"/>
      <c r="F911" s="305"/>
      <c r="G911" s="307"/>
      <c r="H911" s="146"/>
      <c r="I911" s="146"/>
      <c r="J911" s="146"/>
      <c r="K911" s="146"/>
      <c r="L911" s="146"/>
      <c r="M911" s="146"/>
      <c r="N911" s="146"/>
      <c r="O911" s="146"/>
      <c r="P911" s="146"/>
      <c r="Q911" s="146"/>
      <c r="R911" s="146"/>
      <c r="S911" s="146"/>
      <c r="T911" s="146"/>
      <c r="U911" s="146"/>
      <c r="V911" s="146"/>
      <c r="W911" s="146"/>
      <c r="X911" s="146"/>
      <c r="Y911" s="146"/>
      <c r="Z911" s="146"/>
    </row>
    <row r="912" ht="22.5" customHeight="1">
      <c r="A912" s="308"/>
      <c r="B912" s="305"/>
      <c r="C912" s="305"/>
      <c r="D912" s="305"/>
      <c r="E912" s="305"/>
      <c r="F912" s="305"/>
      <c r="G912" s="307"/>
      <c r="H912" s="146"/>
      <c r="I912" s="146"/>
      <c r="J912" s="146"/>
      <c r="K912" s="146"/>
      <c r="L912" s="146"/>
      <c r="M912" s="146"/>
      <c r="N912" s="146"/>
      <c r="O912" s="146"/>
      <c r="P912" s="146"/>
      <c r="Q912" s="146"/>
      <c r="R912" s="146"/>
      <c r="S912" s="146"/>
      <c r="T912" s="146"/>
      <c r="U912" s="146"/>
      <c r="V912" s="146"/>
      <c r="W912" s="146"/>
      <c r="X912" s="146"/>
      <c r="Y912" s="146"/>
      <c r="Z912" s="146"/>
    </row>
    <row r="913" ht="22.5" customHeight="1">
      <c r="A913" s="308"/>
      <c r="B913" s="305"/>
      <c r="C913" s="305"/>
      <c r="D913" s="305"/>
      <c r="E913" s="305"/>
      <c r="F913" s="305"/>
      <c r="G913" s="307"/>
      <c r="H913" s="146"/>
      <c r="I913" s="146"/>
      <c r="J913" s="146"/>
      <c r="K913" s="146"/>
      <c r="L913" s="146"/>
      <c r="M913" s="146"/>
      <c r="N913" s="146"/>
      <c r="O913" s="146"/>
      <c r="P913" s="146"/>
      <c r="Q913" s="146"/>
      <c r="R913" s="146"/>
      <c r="S913" s="146"/>
      <c r="T913" s="146"/>
      <c r="U913" s="146"/>
      <c r="V913" s="146"/>
      <c r="W913" s="146"/>
      <c r="X913" s="146"/>
      <c r="Y913" s="146"/>
      <c r="Z913" s="146"/>
    </row>
    <row r="914" ht="22.5" customHeight="1">
      <c r="A914" s="308"/>
      <c r="B914" s="305"/>
      <c r="C914" s="305"/>
      <c r="D914" s="305"/>
      <c r="E914" s="305"/>
      <c r="F914" s="305"/>
      <c r="G914" s="307"/>
      <c r="H914" s="146"/>
      <c r="I914" s="146"/>
      <c r="J914" s="146"/>
      <c r="K914" s="146"/>
      <c r="L914" s="146"/>
      <c r="M914" s="146"/>
      <c r="N914" s="146"/>
      <c r="O914" s="146"/>
      <c r="P914" s="146"/>
      <c r="Q914" s="146"/>
      <c r="R914" s="146"/>
      <c r="S914" s="146"/>
      <c r="T914" s="146"/>
      <c r="U914" s="146"/>
      <c r="V914" s="146"/>
      <c r="W914" s="146"/>
      <c r="X914" s="146"/>
      <c r="Y914" s="146"/>
      <c r="Z914" s="146"/>
    </row>
    <row r="915" ht="22.5" customHeight="1">
      <c r="A915" s="308"/>
      <c r="B915" s="305"/>
      <c r="C915" s="305"/>
      <c r="D915" s="305"/>
      <c r="E915" s="305"/>
      <c r="F915" s="305"/>
      <c r="G915" s="307"/>
      <c r="H915" s="146"/>
      <c r="I915" s="146"/>
      <c r="J915" s="146"/>
      <c r="K915" s="146"/>
      <c r="L915" s="146"/>
      <c r="M915" s="146"/>
      <c r="N915" s="146"/>
      <c r="O915" s="146"/>
      <c r="P915" s="146"/>
      <c r="Q915" s="146"/>
      <c r="R915" s="146"/>
      <c r="S915" s="146"/>
      <c r="T915" s="146"/>
      <c r="U915" s="146"/>
      <c r="V915" s="146"/>
      <c r="W915" s="146"/>
      <c r="X915" s="146"/>
      <c r="Y915" s="146"/>
      <c r="Z915" s="146"/>
    </row>
    <row r="916" ht="22.5" customHeight="1">
      <c r="A916" s="308"/>
      <c r="B916" s="305"/>
      <c r="C916" s="305"/>
      <c r="D916" s="305"/>
      <c r="E916" s="305"/>
      <c r="F916" s="305"/>
      <c r="G916" s="307"/>
      <c r="H916" s="146"/>
      <c r="I916" s="146"/>
      <c r="J916" s="146"/>
      <c r="K916" s="146"/>
      <c r="L916" s="146"/>
      <c r="M916" s="146"/>
      <c r="N916" s="146"/>
      <c r="O916" s="146"/>
      <c r="P916" s="146"/>
      <c r="Q916" s="146"/>
      <c r="R916" s="146"/>
      <c r="S916" s="146"/>
      <c r="T916" s="146"/>
      <c r="U916" s="146"/>
      <c r="V916" s="146"/>
      <c r="W916" s="146"/>
      <c r="X916" s="146"/>
      <c r="Y916" s="146"/>
      <c r="Z916" s="146"/>
    </row>
    <row r="917" ht="22.5" customHeight="1">
      <c r="A917" s="308"/>
      <c r="B917" s="305"/>
      <c r="C917" s="305"/>
      <c r="D917" s="305"/>
      <c r="E917" s="305"/>
      <c r="F917" s="305"/>
      <c r="G917" s="307"/>
      <c r="H917" s="146"/>
      <c r="I917" s="146"/>
      <c r="J917" s="146"/>
      <c r="K917" s="146"/>
      <c r="L917" s="146"/>
      <c r="M917" s="146"/>
      <c r="N917" s="146"/>
      <c r="O917" s="146"/>
      <c r="P917" s="146"/>
      <c r="Q917" s="146"/>
      <c r="R917" s="146"/>
      <c r="S917" s="146"/>
      <c r="T917" s="146"/>
      <c r="U917" s="146"/>
      <c r="V917" s="146"/>
      <c r="W917" s="146"/>
      <c r="X917" s="146"/>
      <c r="Y917" s="146"/>
      <c r="Z917" s="146"/>
    </row>
    <row r="918" ht="22.5" customHeight="1">
      <c r="A918" s="308"/>
      <c r="B918" s="305"/>
      <c r="C918" s="305"/>
      <c r="D918" s="305"/>
      <c r="E918" s="305"/>
      <c r="F918" s="305"/>
      <c r="G918" s="307"/>
      <c r="H918" s="146"/>
      <c r="I918" s="146"/>
      <c r="J918" s="146"/>
      <c r="K918" s="146"/>
      <c r="L918" s="146"/>
      <c r="M918" s="146"/>
      <c r="N918" s="146"/>
      <c r="O918" s="146"/>
      <c r="P918" s="146"/>
      <c r="Q918" s="146"/>
      <c r="R918" s="146"/>
      <c r="S918" s="146"/>
      <c r="T918" s="146"/>
      <c r="U918" s="146"/>
      <c r="V918" s="146"/>
      <c r="W918" s="146"/>
      <c r="X918" s="146"/>
      <c r="Y918" s="146"/>
      <c r="Z918" s="146"/>
    </row>
    <row r="919" ht="22.5" customHeight="1">
      <c r="A919" s="308"/>
      <c r="B919" s="305"/>
      <c r="C919" s="305"/>
      <c r="D919" s="305"/>
      <c r="E919" s="305"/>
      <c r="F919" s="305"/>
      <c r="G919" s="307"/>
      <c r="H919" s="146"/>
      <c r="I919" s="146"/>
      <c r="J919" s="146"/>
      <c r="K919" s="146"/>
      <c r="L919" s="146"/>
      <c r="M919" s="146"/>
      <c r="N919" s="146"/>
      <c r="O919" s="146"/>
      <c r="P919" s="146"/>
      <c r="Q919" s="146"/>
      <c r="R919" s="146"/>
      <c r="S919" s="146"/>
      <c r="T919" s="146"/>
      <c r="U919" s="146"/>
      <c r="V919" s="146"/>
      <c r="W919" s="146"/>
      <c r="X919" s="146"/>
      <c r="Y919" s="146"/>
      <c r="Z919" s="146"/>
    </row>
    <row r="920" ht="22.5" customHeight="1">
      <c r="A920" s="308"/>
      <c r="B920" s="305"/>
      <c r="C920" s="305"/>
      <c r="D920" s="305"/>
      <c r="E920" s="305"/>
      <c r="F920" s="305"/>
      <c r="G920" s="307"/>
      <c r="H920" s="146"/>
      <c r="I920" s="146"/>
      <c r="J920" s="146"/>
      <c r="K920" s="146"/>
      <c r="L920" s="146"/>
      <c r="M920" s="146"/>
      <c r="N920" s="146"/>
      <c r="O920" s="146"/>
      <c r="P920" s="146"/>
      <c r="Q920" s="146"/>
      <c r="R920" s="146"/>
      <c r="S920" s="146"/>
      <c r="T920" s="146"/>
      <c r="U920" s="146"/>
      <c r="V920" s="146"/>
      <c r="W920" s="146"/>
      <c r="X920" s="146"/>
      <c r="Y920" s="146"/>
      <c r="Z920" s="146"/>
    </row>
    <row r="921" ht="22.5" customHeight="1">
      <c r="A921" s="308"/>
      <c r="B921" s="305"/>
      <c r="C921" s="305"/>
      <c r="D921" s="305"/>
      <c r="E921" s="305"/>
      <c r="F921" s="305"/>
      <c r="G921" s="307"/>
      <c r="H921" s="146"/>
      <c r="I921" s="146"/>
      <c r="J921" s="146"/>
      <c r="K921" s="146"/>
      <c r="L921" s="146"/>
      <c r="M921" s="146"/>
      <c r="N921" s="146"/>
      <c r="O921" s="146"/>
      <c r="P921" s="146"/>
      <c r="Q921" s="146"/>
      <c r="R921" s="146"/>
      <c r="S921" s="146"/>
      <c r="T921" s="146"/>
      <c r="U921" s="146"/>
      <c r="V921" s="146"/>
      <c r="W921" s="146"/>
      <c r="X921" s="146"/>
      <c r="Y921" s="146"/>
      <c r="Z921" s="146"/>
    </row>
    <row r="922" ht="22.5" customHeight="1">
      <c r="A922" s="308"/>
      <c r="B922" s="305"/>
      <c r="C922" s="305"/>
      <c r="D922" s="305"/>
      <c r="E922" s="305"/>
      <c r="F922" s="305"/>
      <c r="G922" s="307"/>
      <c r="H922" s="146"/>
      <c r="I922" s="146"/>
      <c r="J922" s="146"/>
      <c r="K922" s="146"/>
      <c r="L922" s="146"/>
      <c r="M922" s="146"/>
      <c r="N922" s="146"/>
      <c r="O922" s="146"/>
      <c r="P922" s="146"/>
      <c r="Q922" s="146"/>
      <c r="R922" s="146"/>
      <c r="S922" s="146"/>
      <c r="T922" s="146"/>
      <c r="U922" s="146"/>
      <c r="V922" s="146"/>
      <c r="W922" s="146"/>
      <c r="X922" s="146"/>
      <c r="Y922" s="146"/>
      <c r="Z922" s="146"/>
    </row>
    <row r="923" ht="22.5" customHeight="1">
      <c r="A923" s="308"/>
      <c r="B923" s="305"/>
      <c r="C923" s="305"/>
      <c r="D923" s="305"/>
      <c r="E923" s="305"/>
      <c r="F923" s="305"/>
      <c r="G923" s="307"/>
      <c r="H923" s="146"/>
      <c r="I923" s="146"/>
      <c r="J923" s="146"/>
      <c r="K923" s="146"/>
      <c r="L923" s="146"/>
      <c r="M923" s="146"/>
      <c r="N923" s="146"/>
      <c r="O923" s="146"/>
      <c r="P923" s="146"/>
      <c r="Q923" s="146"/>
      <c r="R923" s="146"/>
      <c r="S923" s="146"/>
      <c r="T923" s="146"/>
      <c r="U923" s="146"/>
      <c r="V923" s="146"/>
      <c r="W923" s="146"/>
      <c r="X923" s="146"/>
      <c r="Y923" s="146"/>
      <c r="Z923" s="146"/>
    </row>
    <row r="924" ht="22.5" customHeight="1">
      <c r="A924" s="308"/>
      <c r="B924" s="305"/>
      <c r="C924" s="305"/>
      <c r="D924" s="305"/>
      <c r="E924" s="305"/>
      <c r="F924" s="305"/>
      <c r="G924" s="307"/>
      <c r="H924" s="146"/>
      <c r="I924" s="146"/>
      <c r="J924" s="146"/>
      <c r="K924" s="146"/>
      <c r="L924" s="146"/>
      <c r="M924" s="146"/>
      <c r="N924" s="146"/>
      <c r="O924" s="146"/>
      <c r="P924" s="146"/>
      <c r="Q924" s="146"/>
      <c r="R924" s="146"/>
      <c r="S924" s="146"/>
      <c r="T924" s="146"/>
      <c r="U924" s="146"/>
      <c r="V924" s="146"/>
      <c r="W924" s="146"/>
      <c r="X924" s="146"/>
      <c r="Y924" s="146"/>
      <c r="Z924" s="146"/>
    </row>
    <row r="925" ht="22.5" customHeight="1">
      <c r="A925" s="308"/>
      <c r="B925" s="305"/>
      <c r="C925" s="305"/>
      <c r="D925" s="305"/>
      <c r="E925" s="305"/>
      <c r="F925" s="305"/>
      <c r="G925" s="307"/>
      <c r="H925" s="146"/>
      <c r="I925" s="146"/>
      <c r="J925" s="146"/>
      <c r="K925" s="146"/>
      <c r="L925" s="146"/>
      <c r="M925" s="146"/>
      <c r="N925" s="146"/>
      <c r="O925" s="146"/>
      <c r="P925" s="146"/>
      <c r="Q925" s="146"/>
      <c r="R925" s="146"/>
      <c r="S925" s="146"/>
      <c r="T925" s="146"/>
      <c r="U925" s="146"/>
      <c r="V925" s="146"/>
      <c r="W925" s="146"/>
      <c r="X925" s="146"/>
      <c r="Y925" s="146"/>
      <c r="Z925" s="146"/>
    </row>
    <row r="926" ht="22.5" customHeight="1">
      <c r="A926" s="308"/>
      <c r="B926" s="305"/>
      <c r="C926" s="305"/>
      <c r="D926" s="305"/>
      <c r="E926" s="305"/>
      <c r="F926" s="305"/>
      <c r="G926" s="307"/>
      <c r="H926" s="146"/>
      <c r="I926" s="146"/>
      <c r="J926" s="146"/>
      <c r="K926" s="146"/>
      <c r="L926" s="146"/>
      <c r="M926" s="146"/>
      <c r="N926" s="146"/>
      <c r="O926" s="146"/>
      <c r="P926" s="146"/>
      <c r="Q926" s="146"/>
      <c r="R926" s="146"/>
      <c r="S926" s="146"/>
      <c r="T926" s="146"/>
      <c r="U926" s="146"/>
      <c r="V926" s="146"/>
      <c r="W926" s="146"/>
      <c r="X926" s="146"/>
      <c r="Y926" s="146"/>
      <c r="Z926" s="146"/>
    </row>
    <row r="927" ht="22.5" customHeight="1">
      <c r="A927" s="308"/>
      <c r="B927" s="305"/>
      <c r="C927" s="305"/>
      <c r="D927" s="305"/>
      <c r="E927" s="305"/>
      <c r="F927" s="305"/>
      <c r="G927" s="307"/>
      <c r="H927" s="146"/>
      <c r="I927" s="146"/>
      <c r="J927" s="146"/>
      <c r="K927" s="146"/>
      <c r="L927" s="146"/>
      <c r="M927" s="146"/>
      <c r="N927" s="146"/>
      <c r="O927" s="146"/>
      <c r="P927" s="146"/>
      <c r="Q927" s="146"/>
      <c r="R927" s="146"/>
      <c r="S927" s="146"/>
      <c r="T927" s="146"/>
      <c r="U927" s="146"/>
      <c r="V927" s="146"/>
      <c r="W927" s="146"/>
      <c r="X927" s="146"/>
      <c r="Y927" s="146"/>
      <c r="Z927" s="146"/>
    </row>
    <row r="928" ht="22.5" customHeight="1">
      <c r="A928" s="308"/>
      <c r="B928" s="305"/>
      <c r="C928" s="305"/>
      <c r="D928" s="305"/>
      <c r="E928" s="305"/>
      <c r="F928" s="305"/>
      <c r="G928" s="307"/>
      <c r="H928" s="146"/>
      <c r="I928" s="146"/>
      <c r="J928" s="146"/>
      <c r="K928" s="146"/>
      <c r="L928" s="146"/>
      <c r="M928" s="146"/>
      <c r="N928" s="146"/>
      <c r="O928" s="146"/>
      <c r="P928" s="146"/>
      <c r="Q928" s="146"/>
      <c r="R928" s="146"/>
      <c r="S928" s="146"/>
      <c r="T928" s="146"/>
      <c r="U928" s="146"/>
      <c r="V928" s="146"/>
      <c r="W928" s="146"/>
      <c r="X928" s="146"/>
      <c r="Y928" s="146"/>
      <c r="Z928" s="146"/>
    </row>
    <row r="929" ht="22.5" customHeight="1">
      <c r="A929" s="308"/>
      <c r="B929" s="305"/>
      <c r="C929" s="305"/>
      <c r="D929" s="305"/>
      <c r="E929" s="305"/>
      <c r="F929" s="305"/>
      <c r="G929" s="307"/>
      <c r="H929" s="146"/>
      <c r="I929" s="146"/>
      <c r="J929" s="146"/>
      <c r="K929" s="146"/>
      <c r="L929" s="146"/>
      <c r="M929" s="146"/>
      <c r="N929" s="146"/>
      <c r="O929" s="146"/>
      <c r="P929" s="146"/>
      <c r="Q929" s="146"/>
      <c r="R929" s="146"/>
      <c r="S929" s="146"/>
      <c r="T929" s="146"/>
      <c r="U929" s="146"/>
      <c r="V929" s="146"/>
      <c r="W929" s="146"/>
      <c r="X929" s="146"/>
      <c r="Y929" s="146"/>
      <c r="Z929" s="146"/>
    </row>
    <row r="930" ht="22.5" customHeight="1">
      <c r="A930" s="308"/>
      <c r="B930" s="305"/>
      <c r="C930" s="305"/>
      <c r="D930" s="305"/>
      <c r="E930" s="305"/>
      <c r="F930" s="305"/>
      <c r="G930" s="307"/>
      <c r="H930" s="146"/>
      <c r="I930" s="146"/>
      <c r="J930" s="146"/>
      <c r="K930" s="146"/>
      <c r="L930" s="146"/>
      <c r="M930" s="146"/>
      <c r="N930" s="146"/>
      <c r="O930" s="146"/>
      <c r="P930" s="146"/>
      <c r="Q930" s="146"/>
      <c r="R930" s="146"/>
      <c r="S930" s="146"/>
      <c r="T930" s="146"/>
      <c r="U930" s="146"/>
      <c r="V930" s="146"/>
      <c r="W930" s="146"/>
      <c r="X930" s="146"/>
      <c r="Y930" s="146"/>
      <c r="Z930" s="146"/>
    </row>
    <row r="931" ht="22.5" customHeight="1">
      <c r="A931" s="308"/>
      <c r="B931" s="305"/>
      <c r="C931" s="305"/>
      <c r="D931" s="305"/>
      <c r="E931" s="305"/>
      <c r="F931" s="305"/>
      <c r="G931" s="307"/>
      <c r="H931" s="146"/>
      <c r="I931" s="146"/>
      <c r="J931" s="146"/>
      <c r="K931" s="146"/>
      <c r="L931" s="146"/>
      <c r="M931" s="146"/>
      <c r="N931" s="146"/>
      <c r="O931" s="146"/>
      <c r="P931" s="146"/>
      <c r="Q931" s="146"/>
      <c r="R931" s="146"/>
      <c r="S931" s="146"/>
      <c r="T931" s="146"/>
      <c r="U931" s="146"/>
      <c r="V931" s="146"/>
      <c r="W931" s="146"/>
      <c r="X931" s="146"/>
      <c r="Y931" s="146"/>
      <c r="Z931" s="146"/>
    </row>
    <row r="932" ht="22.5" customHeight="1">
      <c r="A932" s="308"/>
      <c r="B932" s="305"/>
      <c r="C932" s="305"/>
      <c r="D932" s="305"/>
      <c r="E932" s="305"/>
      <c r="F932" s="305"/>
      <c r="G932" s="307"/>
      <c r="H932" s="146"/>
      <c r="I932" s="146"/>
      <c r="J932" s="146"/>
      <c r="K932" s="146"/>
      <c r="L932" s="146"/>
      <c r="M932" s="146"/>
      <c r="N932" s="146"/>
      <c r="O932" s="146"/>
      <c r="P932" s="146"/>
      <c r="Q932" s="146"/>
      <c r="R932" s="146"/>
      <c r="S932" s="146"/>
      <c r="T932" s="146"/>
      <c r="U932" s="146"/>
      <c r="V932" s="146"/>
      <c r="W932" s="146"/>
      <c r="X932" s="146"/>
      <c r="Y932" s="146"/>
      <c r="Z932" s="146"/>
    </row>
    <row r="933" ht="22.5" customHeight="1">
      <c r="A933" s="308"/>
      <c r="B933" s="305"/>
      <c r="C933" s="305"/>
      <c r="D933" s="305"/>
      <c r="E933" s="305"/>
      <c r="F933" s="305"/>
      <c r="G933" s="307"/>
      <c r="H933" s="146"/>
      <c r="I933" s="146"/>
      <c r="J933" s="146"/>
      <c r="K933" s="146"/>
      <c r="L933" s="146"/>
      <c r="M933" s="146"/>
      <c r="N933" s="146"/>
      <c r="O933" s="146"/>
      <c r="P933" s="146"/>
      <c r="Q933" s="146"/>
      <c r="R933" s="146"/>
      <c r="S933" s="146"/>
      <c r="T933" s="146"/>
      <c r="U933" s="146"/>
      <c r="V933" s="146"/>
      <c r="W933" s="146"/>
      <c r="X933" s="146"/>
      <c r="Y933" s="146"/>
      <c r="Z933" s="146"/>
    </row>
    <row r="934" ht="22.5" customHeight="1">
      <c r="A934" s="308"/>
      <c r="B934" s="305"/>
      <c r="C934" s="305"/>
      <c r="D934" s="305"/>
      <c r="E934" s="305"/>
      <c r="F934" s="305"/>
      <c r="G934" s="307"/>
      <c r="H934" s="146"/>
      <c r="I934" s="146"/>
      <c r="J934" s="146"/>
      <c r="K934" s="146"/>
      <c r="L934" s="146"/>
      <c r="M934" s="146"/>
      <c r="N934" s="146"/>
      <c r="O934" s="146"/>
      <c r="P934" s="146"/>
      <c r="Q934" s="146"/>
      <c r="R934" s="146"/>
      <c r="S934" s="146"/>
      <c r="T934" s="146"/>
      <c r="U934" s="146"/>
      <c r="V934" s="146"/>
      <c r="W934" s="146"/>
      <c r="X934" s="146"/>
      <c r="Y934" s="146"/>
      <c r="Z934" s="146"/>
    </row>
    <row r="935" ht="22.5" customHeight="1">
      <c r="A935" s="308"/>
      <c r="B935" s="305"/>
      <c r="C935" s="305"/>
      <c r="D935" s="305"/>
      <c r="E935" s="305"/>
      <c r="F935" s="305"/>
      <c r="G935" s="307"/>
      <c r="H935" s="146"/>
      <c r="I935" s="146"/>
      <c r="J935" s="146"/>
      <c r="K935" s="146"/>
      <c r="L935" s="146"/>
      <c r="M935" s="146"/>
      <c r="N935" s="146"/>
      <c r="O935" s="146"/>
      <c r="P935" s="146"/>
      <c r="Q935" s="146"/>
      <c r="R935" s="146"/>
      <c r="S935" s="146"/>
      <c r="T935" s="146"/>
      <c r="U935" s="146"/>
      <c r="V935" s="146"/>
      <c r="W935" s="146"/>
      <c r="X935" s="146"/>
      <c r="Y935" s="146"/>
      <c r="Z935" s="146"/>
    </row>
    <row r="936" ht="22.5" customHeight="1">
      <c r="A936" s="308"/>
      <c r="B936" s="305"/>
      <c r="C936" s="305"/>
      <c r="D936" s="305"/>
      <c r="E936" s="305"/>
      <c r="F936" s="305"/>
      <c r="G936" s="307"/>
      <c r="H936" s="146"/>
      <c r="I936" s="146"/>
      <c r="J936" s="146"/>
      <c r="K936" s="146"/>
      <c r="L936" s="146"/>
      <c r="M936" s="146"/>
      <c r="N936" s="146"/>
      <c r="O936" s="146"/>
      <c r="P936" s="146"/>
      <c r="Q936" s="146"/>
      <c r="R936" s="146"/>
      <c r="S936" s="146"/>
      <c r="T936" s="146"/>
      <c r="U936" s="146"/>
      <c r="V936" s="146"/>
      <c r="W936" s="146"/>
      <c r="X936" s="146"/>
      <c r="Y936" s="146"/>
      <c r="Z936" s="146"/>
    </row>
    <row r="937" ht="22.5" customHeight="1">
      <c r="A937" s="308"/>
      <c r="B937" s="305"/>
      <c r="C937" s="305"/>
      <c r="D937" s="305"/>
      <c r="E937" s="305"/>
      <c r="F937" s="305"/>
      <c r="G937" s="307"/>
      <c r="H937" s="146"/>
      <c r="I937" s="146"/>
      <c r="J937" s="146"/>
      <c r="K937" s="146"/>
      <c r="L937" s="146"/>
      <c r="M937" s="146"/>
      <c r="N937" s="146"/>
      <c r="O937" s="146"/>
      <c r="P937" s="146"/>
      <c r="Q937" s="146"/>
      <c r="R937" s="146"/>
      <c r="S937" s="146"/>
      <c r="T937" s="146"/>
      <c r="U937" s="146"/>
      <c r="V937" s="146"/>
      <c r="W937" s="146"/>
      <c r="X937" s="146"/>
      <c r="Y937" s="146"/>
      <c r="Z937" s="146"/>
    </row>
    <row r="938" ht="22.5" customHeight="1">
      <c r="A938" s="308"/>
      <c r="B938" s="305"/>
      <c r="C938" s="305"/>
      <c r="D938" s="305"/>
      <c r="E938" s="305"/>
      <c r="F938" s="305"/>
      <c r="G938" s="307"/>
      <c r="H938" s="146"/>
      <c r="I938" s="146"/>
      <c r="J938" s="146"/>
      <c r="K938" s="146"/>
      <c r="L938" s="146"/>
      <c r="M938" s="146"/>
      <c r="N938" s="146"/>
      <c r="O938" s="146"/>
      <c r="P938" s="146"/>
      <c r="Q938" s="146"/>
      <c r="R938" s="146"/>
      <c r="S938" s="146"/>
      <c r="T938" s="146"/>
      <c r="U938" s="146"/>
      <c r="V938" s="146"/>
      <c r="W938" s="146"/>
      <c r="X938" s="146"/>
      <c r="Y938" s="146"/>
      <c r="Z938" s="146"/>
    </row>
    <row r="939" ht="22.5" customHeight="1">
      <c r="A939" s="308"/>
      <c r="B939" s="305"/>
      <c r="C939" s="305"/>
      <c r="D939" s="305"/>
      <c r="E939" s="305"/>
      <c r="F939" s="305"/>
      <c r="G939" s="307"/>
      <c r="H939" s="146"/>
      <c r="I939" s="146"/>
      <c r="J939" s="146"/>
      <c r="K939" s="146"/>
      <c r="L939" s="146"/>
      <c r="M939" s="146"/>
      <c r="N939" s="146"/>
      <c r="O939" s="146"/>
      <c r="P939" s="146"/>
      <c r="Q939" s="146"/>
      <c r="R939" s="146"/>
      <c r="S939" s="146"/>
      <c r="T939" s="146"/>
      <c r="U939" s="146"/>
      <c r="V939" s="146"/>
      <c r="W939" s="146"/>
      <c r="X939" s="146"/>
      <c r="Y939" s="146"/>
      <c r="Z939" s="146"/>
    </row>
    <row r="940" ht="22.5" customHeight="1">
      <c r="A940" s="308"/>
      <c r="B940" s="305"/>
      <c r="C940" s="305"/>
      <c r="D940" s="305"/>
      <c r="E940" s="305"/>
      <c r="F940" s="305"/>
      <c r="G940" s="307"/>
      <c r="H940" s="146"/>
      <c r="I940" s="146"/>
      <c r="J940" s="146"/>
      <c r="K940" s="146"/>
      <c r="L940" s="146"/>
      <c r="M940" s="146"/>
      <c r="N940" s="146"/>
      <c r="O940" s="146"/>
      <c r="P940" s="146"/>
      <c r="Q940" s="146"/>
      <c r="R940" s="146"/>
      <c r="S940" s="146"/>
      <c r="T940" s="146"/>
      <c r="U940" s="146"/>
      <c r="V940" s="146"/>
      <c r="W940" s="146"/>
      <c r="X940" s="146"/>
      <c r="Y940" s="146"/>
      <c r="Z940" s="146"/>
    </row>
    <row r="941" ht="22.5" customHeight="1">
      <c r="A941" s="308"/>
      <c r="B941" s="305"/>
      <c r="C941" s="305"/>
      <c r="D941" s="305"/>
      <c r="E941" s="305"/>
      <c r="F941" s="305"/>
      <c r="G941" s="307"/>
      <c r="H941" s="146"/>
      <c r="I941" s="146"/>
      <c r="J941" s="146"/>
      <c r="K941" s="146"/>
      <c r="L941" s="146"/>
      <c r="M941" s="146"/>
      <c r="N941" s="146"/>
      <c r="O941" s="146"/>
      <c r="P941" s="146"/>
      <c r="Q941" s="146"/>
      <c r="R941" s="146"/>
      <c r="S941" s="146"/>
      <c r="T941" s="146"/>
      <c r="U941" s="146"/>
      <c r="V941" s="146"/>
      <c r="W941" s="146"/>
      <c r="X941" s="146"/>
      <c r="Y941" s="146"/>
      <c r="Z941" s="146"/>
    </row>
    <row r="942" ht="22.5" customHeight="1">
      <c r="A942" s="308"/>
      <c r="B942" s="305"/>
      <c r="C942" s="305"/>
      <c r="D942" s="305"/>
      <c r="E942" s="305"/>
      <c r="F942" s="305"/>
      <c r="G942" s="307"/>
      <c r="H942" s="146"/>
      <c r="I942" s="146"/>
      <c r="J942" s="146"/>
      <c r="K942" s="146"/>
      <c r="L942" s="146"/>
      <c r="M942" s="146"/>
      <c r="N942" s="146"/>
      <c r="O942" s="146"/>
      <c r="P942" s="146"/>
      <c r="Q942" s="146"/>
      <c r="R942" s="146"/>
      <c r="S942" s="146"/>
      <c r="T942" s="146"/>
      <c r="U942" s="146"/>
      <c r="V942" s="146"/>
      <c r="W942" s="146"/>
      <c r="X942" s="146"/>
      <c r="Y942" s="146"/>
      <c r="Z942" s="146"/>
    </row>
    <row r="943" ht="22.5" customHeight="1">
      <c r="A943" s="308"/>
      <c r="B943" s="305"/>
      <c r="C943" s="305"/>
      <c r="D943" s="305"/>
      <c r="E943" s="305"/>
      <c r="F943" s="305"/>
      <c r="G943" s="307"/>
      <c r="H943" s="146"/>
      <c r="I943" s="146"/>
      <c r="J943" s="146"/>
      <c r="K943" s="146"/>
      <c r="L943" s="146"/>
      <c r="M943" s="146"/>
      <c r="N943" s="146"/>
      <c r="O943" s="146"/>
      <c r="P943" s="146"/>
      <c r="Q943" s="146"/>
      <c r="R943" s="146"/>
      <c r="S943" s="146"/>
      <c r="T943" s="146"/>
      <c r="U943" s="146"/>
      <c r="V943" s="146"/>
      <c r="W943" s="146"/>
      <c r="X943" s="146"/>
      <c r="Y943" s="146"/>
      <c r="Z943" s="146"/>
    </row>
    <row r="944" ht="22.5" customHeight="1">
      <c r="A944" s="308"/>
      <c r="B944" s="305"/>
      <c r="C944" s="305"/>
      <c r="D944" s="305"/>
      <c r="E944" s="305"/>
      <c r="F944" s="305"/>
      <c r="G944" s="307"/>
      <c r="H944" s="146"/>
      <c r="I944" s="146"/>
      <c r="J944" s="146"/>
      <c r="K944" s="146"/>
      <c r="L944" s="146"/>
      <c r="M944" s="146"/>
      <c r="N944" s="146"/>
      <c r="O944" s="146"/>
      <c r="P944" s="146"/>
      <c r="Q944" s="146"/>
      <c r="R944" s="146"/>
      <c r="S944" s="146"/>
      <c r="T944" s="146"/>
      <c r="U944" s="146"/>
      <c r="V944" s="146"/>
      <c r="W944" s="146"/>
      <c r="X944" s="146"/>
      <c r="Y944" s="146"/>
      <c r="Z944" s="146"/>
    </row>
    <row r="945" ht="22.5" customHeight="1">
      <c r="A945" s="308"/>
      <c r="B945" s="305"/>
      <c r="C945" s="305"/>
      <c r="D945" s="305"/>
      <c r="E945" s="305"/>
      <c r="F945" s="305"/>
      <c r="G945" s="307"/>
      <c r="H945" s="146"/>
      <c r="I945" s="146"/>
      <c r="J945" s="146"/>
      <c r="K945" s="146"/>
      <c r="L945" s="146"/>
      <c r="M945" s="146"/>
      <c r="N945" s="146"/>
      <c r="O945" s="146"/>
      <c r="P945" s="146"/>
      <c r="Q945" s="146"/>
      <c r="R945" s="146"/>
      <c r="S945" s="146"/>
      <c r="T945" s="146"/>
      <c r="U945" s="146"/>
      <c r="V945" s="146"/>
      <c r="W945" s="146"/>
      <c r="X945" s="146"/>
      <c r="Y945" s="146"/>
      <c r="Z945" s="146"/>
    </row>
    <row r="946" ht="22.5" customHeight="1">
      <c r="A946" s="308"/>
      <c r="B946" s="305"/>
      <c r="C946" s="305"/>
      <c r="D946" s="305"/>
      <c r="E946" s="305"/>
      <c r="F946" s="305"/>
      <c r="G946" s="307"/>
      <c r="H946" s="146"/>
      <c r="I946" s="146"/>
      <c r="J946" s="146"/>
      <c r="K946" s="146"/>
      <c r="L946" s="146"/>
      <c r="M946" s="146"/>
      <c r="N946" s="146"/>
      <c r="O946" s="146"/>
      <c r="P946" s="146"/>
      <c r="Q946" s="146"/>
      <c r="R946" s="146"/>
      <c r="S946" s="146"/>
      <c r="T946" s="146"/>
      <c r="U946" s="146"/>
      <c r="V946" s="146"/>
      <c r="W946" s="146"/>
      <c r="X946" s="146"/>
      <c r="Y946" s="146"/>
      <c r="Z946" s="146"/>
    </row>
    <row r="947" ht="22.5" customHeight="1">
      <c r="A947" s="308"/>
      <c r="B947" s="305"/>
      <c r="C947" s="305"/>
      <c r="D947" s="305"/>
      <c r="E947" s="305"/>
      <c r="F947" s="305"/>
      <c r="G947" s="307"/>
      <c r="H947" s="146"/>
      <c r="I947" s="146"/>
      <c r="J947" s="146"/>
      <c r="K947" s="146"/>
      <c r="L947" s="146"/>
      <c r="M947" s="146"/>
      <c r="N947" s="146"/>
      <c r="O947" s="146"/>
      <c r="P947" s="146"/>
      <c r="Q947" s="146"/>
      <c r="R947" s="146"/>
      <c r="S947" s="146"/>
      <c r="T947" s="146"/>
      <c r="U947" s="146"/>
      <c r="V947" s="146"/>
      <c r="W947" s="146"/>
      <c r="X947" s="146"/>
      <c r="Y947" s="146"/>
      <c r="Z947" s="146"/>
    </row>
    <row r="948" ht="22.5" customHeight="1">
      <c r="A948" s="308"/>
      <c r="B948" s="305"/>
      <c r="C948" s="305"/>
      <c r="D948" s="305"/>
      <c r="E948" s="305"/>
      <c r="F948" s="305"/>
      <c r="G948" s="307"/>
      <c r="H948" s="146"/>
      <c r="I948" s="146"/>
      <c r="J948" s="146"/>
      <c r="K948" s="146"/>
      <c r="L948" s="146"/>
      <c r="M948" s="146"/>
      <c r="N948" s="146"/>
      <c r="O948" s="146"/>
      <c r="P948" s="146"/>
      <c r="Q948" s="146"/>
      <c r="R948" s="146"/>
      <c r="S948" s="146"/>
      <c r="T948" s="146"/>
      <c r="U948" s="146"/>
      <c r="V948" s="146"/>
      <c r="W948" s="146"/>
      <c r="X948" s="146"/>
      <c r="Y948" s="146"/>
      <c r="Z948" s="146"/>
    </row>
    <row r="949" ht="22.5" customHeight="1">
      <c r="A949" s="308"/>
      <c r="B949" s="305"/>
      <c r="C949" s="305"/>
      <c r="D949" s="305"/>
      <c r="E949" s="305"/>
      <c r="F949" s="305"/>
      <c r="G949" s="307"/>
      <c r="H949" s="146"/>
      <c r="I949" s="146"/>
      <c r="J949" s="146"/>
      <c r="K949" s="146"/>
      <c r="L949" s="146"/>
      <c r="M949" s="146"/>
      <c r="N949" s="146"/>
      <c r="O949" s="146"/>
      <c r="P949" s="146"/>
      <c r="Q949" s="146"/>
      <c r="R949" s="146"/>
      <c r="S949" s="146"/>
      <c r="T949" s="146"/>
      <c r="U949" s="146"/>
      <c r="V949" s="146"/>
      <c r="W949" s="146"/>
      <c r="X949" s="146"/>
      <c r="Y949" s="146"/>
      <c r="Z949" s="146"/>
    </row>
    <row r="950" ht="22.5" customHeight="1">
      <c r="A950" s="308"/>
      <c r="B950" s="305"/>
      <c r="C950" s="305"/>
      <c r="D950" s="305"/>
      <c r="E950" s="305"/>
      <c r="F950" s="305"/>
      <c r="G950" s="307"/>
      <c r="H950" s="146"/>
      <c r="I950" s="146"/>
      <c r="J950" s="146"/>
      <c r="K950" s="146"/>
      <c r="L950" s="146"/>
      <c r="M950" s="146"/>
      <c r="N950" s="146"/>
      <c r="O950" s="146"/>
      <c r="P950" s="146"/>
      <c r="Q950" s="146"/>
      <c r="R950" s="146"/>
      <c r="S950" s="146"/>
      <c r="T950" s="146"/>
      <c r="U950" s="146"/>
      <c r="V950" s="146"/>
      <c r="W950" s="146"/>
      <c r="X950" s="146"/>
      <c r="Y950" s="146"/>
      <c r="Z950" s="146"/>
    </row>
    <row r="951" ht="22.5" customHeight="1">
      <c r="A951" s="308"/>
      <c r="B951" s="305"/>
      <c r="C951" s="305"/>
      <c r="D951" s="305"/>
      <c r="E951" s="305"/>
      <c r="F951" s="305"/>
      <c r="G951" s="307"/>
      <c r="H951" s="146"/>
      <c r="I951" s="146"/>
      <c r="J951" s="146"/>
      <c r="K951" s="146"/>
      <c r="L951" s="146"/>
      <c r="M951" s="146"/>
      <c r="N951" s="146"/>
      <c r="O951" s="146"/>
      <c r="P951" s="146"/>
      <c r="Q951" s="146"/>
      <c r="R951" s="146"/>
      <c r="S951" s="146"/>
      <c r="T951" s="146"/>
      <c r="U951" s="146"/>
      <c r="V951" s="146"/>
      <c r="W951" s="146"/>
      <c r="X951" s="146"/>
      <c r="Y951" s="146"/>
      <c r="Z951" s="146"/>
    </row>
    <row r="952" ht="22.5" customHeight="1">
      <c r="A952" s="308"/>
      <c r="B952" s="305"/>
      <c r="C952" s="305"/>
      <c r="D952" s="305"/>
      <c r="E952" s="305"/>
      <c r="F952" s="305"/>
      <c r="G952" s="307"/>
      <c r="H952" s="146"/>
      <c r="I952" s="146"/>
      <c r="J952" s="146"/>
      <c r="K952" s="146"/>
      <c r="L952" s="146"/>
      <c r="M952" s="146"/>
      <c r="N952" s="146"/>
      <c r="O952" s="146"/>
      <c r="P952" s="146"/>
      <c r="Q952" s="146"/>
      <c r="R952" s="146"/>
      <c r="S952" s="146"/>
      <c r="T952" s="146"/>
      <c r="U952" s="146"/>
      <c r="V952" s="146"/>
      <c r="W952" s="146"/>
      <c r="X952" s="146"/>
      <c r="Y952" s="146"/>
      <c r="Z952" s="146"/>
    </row>
    <row r="953" ht="22.5" customHeight="1">
      <c r="A953" s="308"/>
      <c r="B953" s="305"/>
      <c r="C953" s="305"/>
      <c r="D953" s="305"/>
      <c r="E953" s="305"/>
      <c r="F953" s="305"/>
      <c r="G953" s="307"/>
      <c r="H953" s="146"/>
      <c r="I953" s="146"/>
      <c r="J953" s="146"/>
      <c r="K953" s="146"/>
      <c r="L953" s="146"/>
      <c r="M953" s="146"/>
      <c r="N953" s="146"/>
      <c r="O953" s="146"/>
      <c r="P953" s="146"/>
      <c r="Q953" s="146"/>
      <c r="R953" s="146"/>
      <c r="S953" s="146"/>
      <c r="T953" s="146"/>
      <c r="U953" s="146"/>
      <c r="V953" s="146"/>
      <c r="W953" s="146"/>
      <c r="X953" s="146"/>
      <c r="Y953" s="146"/>
      <c r="Z953" s="146"/>
    </row>
    <row r="954" ht="22.5" customHeight="1">
      <c r="A954" s="308"/>
      <c r="B954" s="305"/>
      <c r="C954" s="305"/>
      <c r="D954" s="305"/>
      <c r="E954" s="305"/>
      <c r="F954" s="305"/>
      <c r="G954" s="307"/>
      <c r="H954" s="146"/>
      <c r="I954" s="146"/>
      <c r="J954" s="146"/>
      <c r="K954" s="146"/>
      <c r="L954" s="146"/>
      <c r="M954" s="146"/>
      <c r="N954" s="146"/>
      <c r="O954" s="146"/>
      <c r="P954" s="146"/>
      <c r="Q954" s="146"/>
      <c r="R954" s="146"/>
      <c r="S954" s="146"/>
      <c r="T954" s="146"/>
      <c r="U954" s="146"/>
      <c r="V954" s="146"/>
      <c r="W954" s="146"/>
      <c r="X954" s="146"/>
      <c r="Y954" s="146"/>
      <c r="Z954" s="146"/>
    </row>
    <row r="955" ht="22.5" customHeight="1">
      <c r="A955" s="308"/>
      <c r="B955" s="305"/>
      <c r="C955" s="305"/>
      <c r="D955" s="305"/>
      <c r="E955" s="305"/>
      <c r="F955" s="305"/>
      <c r="G955" s="307"/>
      <c r="H955" s="146"/>
      <c r="I955" s="146"/>
      <c r="J955" s="146"/>
      <c r="K955" s="146"/>
      <c r="L955" s="146"/>
      <c r="M955" s="146"/>
      <c r="N955" s="146"/>
      <c r="O955" s="146"/>
      <c r="P955" s="146"/>
      <c r="Q955" s="146"/>
      <c r="R955" s="146"/>
      <c r="S955" s="146"/>
      <c r="T955" s="146"/>
      <c r="U955" s="146"/>
      <c r="V955" s="146"/>
      <c r="W955" s="146"/>
      <c r="X955" s="146"/>
      <c r="Y955" s="146"/>
      <c r="Z955" s="146"/>
    </row>
    <row r="956" ht="22.5" customHeight="1">
      <c r="A956" s="308"/>
      <c r="B956" s="305"/>
      <c r="C956" s="305"/>
      <c r="D956" s="305"/>
      <c r="E956" s="305"/>
      <c r="F956" s="305"/>
      <c r="G956" s="307"/>
      <c r="H956" s="146"/>
      <c r="I956" s="146"/>
      <c r="J956" s="146"/>
      <c r="K956" s="146"/>
      <c r="L956" s="146"/>
      <c r="M956" s="146"/>
      <c r="N956" s="146"/>
      <c r="O956" s="146"/>
      <c r="P956" s="146"/>
      <c r="Q956" s="146"/>
      <c r="R956" s="146"/>
      <c r="S956" s="146"/>
      <c r="T956" s="146"/>
      <c r="U956" s="146"/>
      <c r="V956" s="146"/>
      <c r="W956" s="146"/>
      <c r="X956" s="146"/>
      <c r="Y956" s="146"/>
      <c r="Z956" s="146"/>
    </row>
    <row r="957" ht="22.5" customHeight="1">
      <c r="A957" s="308"/>
      <c r="B957" s="305"/>
      <c r="C957" s="305"/>
      <c r="D957" s="305"/>
      <c r="E957" s="305"/>
      <c r="F957" s="305"/>
      <c r="G957" s="307"/>
      <c r="H957" s="146"/>
      <c r="I957" s="146"/>
      <c r="J957" s="146"/>
      <c r="K957" s="146"/>
      <c r="L957" s="146"/>
      <c r="M957" s="146"/>
      <c r="N957" s="146"/>
      <c r="O957" s="146"/>
      <c r="P957" s="146"/>
      <c r="Q957" s="146"/>
      <c r="R957" s="146"/>
      <c r="S957" s="146"/>
      <c r="T957" s="146"/>
      <c r="U957" s="146"/>
      <c r="V957" s="146"/>
      <c r="W957" s="146"/>
      <c r="X957" s="146"/>
      <c r="Y957" s="146"/>
      <c r="Z957" s="146"/>
    </row>
    <row r="958" ht="22.5" customHeight="1">
      <c r="A958" s="308"/>
      <c r="B958" s="305"/>
      <c r="C958" s="305"/>
      <c r="D958" s="305"/>
      <c r="E958" s="305"/>
      <c r="F958" s="305"/>
      <c r="G958" s="307"/>
      <c r="H958" s="146"/>
      <c r="I958" s="146"/>
      <c r="J958" s="146"/>
      <c r="K958" s="146"/>
      <c r="L958" s="146"/>
      <c r="M958" s="146"/>
      <c r="N958" s="146"/>
      <c r="O958" s="146"/>
      <c r="P958" s="146"/>
      <c r="Q958" s="146"/>
      <c r="R958" s="146"/>
      <c r="S958" s="146"/>
      <c r="T958" s="146"/>
      <c r="U958" s="146"/>
      <c r="V958" s="146"/>
      <c r="W958" s="146"/>
      <c r="X958" s="146"/>
      <c r="Y958" s="146"/>
      <c r="Z958" s="146"/>
    </row>
    <row r="959" ht="22.5" customHeight="1">
      <c r="A959" s="308"/>
      <c r="B959" s="305"/>
      <c r="C959" s="305"/>
      <c r="D959" s="305"/>
      <c r="E959" s="305"/>
      <c r="F959" s="305"/>
      <c r="G959" s="307"/>
      <c r="H959" s="146"/>
      <c r="I959" s="146"/>
      <c r="J959" s="146"/>
      <c r="K959" s="146"/>
      <c r="L959" s="146"/>
      <c r="M959" s="146"/>
      <c r="N959" s="146"/>
      <c r="O959" s="146"/>
      <c r="P959" s="146"/>
      <c r="Q959" s="146"/>
      <c r="R959" s="146"/>
      <c r="S959" s="146"/>
      <c r="T959" s="146"/>
      <c r="U959" s="146"/>
      <c r="V959" s="146"/>
      <c r="W959" s="146"/>
      <c r="X959" s="146"/>
      <c r="Y959" s="146"/>
      <c r="Z959" s="146"/>
    </row>
    <row r="960" ht="22.5" customHeight="1">
      <c r="A960" s="308"/>
      <c r="B960" s="305"/>
      <c r="C960" s="305"/>
      <c r="D960" s="305"/>
      <c r="E960" s="305"/>
      <c r="F960" s="305"/>
      <c r="G960" s="307"/>
      <c r="H960" s="146"/>
      <c r="I960" s="146"/>
      <c r="J960" s="146"/>
      <c r="K960" s="146"/>
      <c r="L960" s="146"/>
      <c r="M960" s="146"/>
      <c r="N960" s="146"/>
      <c r="O960" s="146"/>
      <c r="P960" s="146"/>
      <c r="Q960" s="146"/>
      <c r="R960" s="146"/>
      <c r="S960" s="146"/>
      <c r="T960" s="146"/>
      <c r="U960" s="146"/>
      <c r="V960" s="146"/>
      <c r="W960" s="146"/>
      <c r="X960" s="146"/>
      <c r="Y960" s="146"/>
      <c r="Z960" s="146"/>
    </row>
    <row r="961" ht="22.5" customHeight="1">
      <c r="A961" s="308"/>
      <c r="B961" s="305"/>
      <c r="C961" s="305"/>
      <c r="D961" s="305"/>
      <c r="E961" s="305"/>
      <c r="F961" s="305"/>
      <c r="G961" s="307"/>
      <c r="H961" s="146"/>
      <c r="I961" s="146"/>
      <c r="J961" s="146"/>
      <c r="K961" s="146"/>
      <c r="L961" s="146"/>
      <c r="M961" s="146"/>
      <c r="N961" s="146"/>
      <c r="O961" s="146"/>
      <c r="P961" s="146"/>
      <c r="Q961" s="146"/>
      <c r="R961" s="146"/>
      <c r="S961" s="146"/>
      <c r="T961" s="146"/>
      <c r="U961" s="146"/>
      <c r="V961" s="146"/>
      <c r="W961" s="146"/>
      <c r="X961" s="146"/>
      <c r="Y961" s="146"/>
      <c r="Z961" s="146"/>
    </row>
    <row r="962" ht="22.5" customHeight="1">
      <c r="A962" s="308"/>
      <c r="B962" s="305"/>
      <c r="C962" s="305"/>
      <c r="D962" s="305"/>
      <c r="E962" s="305"/>
      <c r="F962" s="305"/>
      <c r="G962" s="307"/>
      <c r="H962" s="146"/>
      <c r="I962" s="146"/>
      <c r="J962" s="146"/>
      <c r="K962" s="146"/>
      <c r="L962" s="146"/>
      <c r="M962" s="146"/>
      <c r="N962" s="146"/>
      <c r="O962" s="146"/>
      <c r="P962" s="146"/>
      <c r="Q962" s="146"/>
      <c r="R962" s="146"/>
      <c r="S962" s="146"/>
      <c r="T962" s="146"/>
      <c r="U962" s="146"/>
      <c r="V962" s="146"/>
      <c r="W962" s="146"/>
      <c r="X962" s="146"/>
      <c r="Y962" s="146"/>
      <c r="Z962" s="146"/>
    </row>
    <row r="963" ht="22.5" customHeight="1">
      <c r="A963" s="308"/>
      <c r="B963" s="305"/>
      <c r="C963" s="305"/>
      <c r="D963" s="305"/>
      <c r="E963" s="305"/>
      <c r="F963" s="305"/>
      <c r="G963" s="307"/>
      <c r="H963" s="146"/>
      <c r="I963" s="146"/>
      <c r="J963" s="146"/>
      <c r="K963" s="146"/>
      <c r="L963" s="146"/>
      <c r="M963" s="146"/>
      <c r="N963" s="146"/>
      <c r="O963" s="146"/>
      <c r="P963" s="146"/>
      <c r="Q963" s="146"/>
      <c r="R963" s="146"/>
      <c r="S963" s="146"/>
      <c r="T963" s="146"/>
      <c r="U963" s="146"/>
      <c r="V963" s="146"/>
      <c r="W963" s="146"/>
      <c r="X963" s="146"/>
      <c r="Y963" s="146"/>
      <c r="Z963" s="146"/>
    </row>
    <row r="964" ht="22.5" customHeight="1">
      <c r="A964" s="308"/>
      <c r="B964" s="305"/>
      <c r="C964" s="305"/>
      <c r="D964" s="305"/>
      <c r="E964" s="305"/>
      <c r="F964" s="305"/>
      <c r="G964" s="307"/>
      <c r="H964" s="146"/>
      <c r="I964" s="146"/>
      <c r="J964" s="146"/>
      <c r="K964" s="146"/>
      <c r="L964" s="146"/>
      <c r="M964" s="146"/>
      <c r="N964" s="146"/>
      <c r="O964" s="146"/>
      <c r="P964" s="146"/>
      <c r="Q964" s="146"/>
      <c r="R964" s="146"/>
      <c r="S964" s="146"/>
      <c r="T964" s="146"/>
      <c r="U964" s="146"/>
      <c r="V964" s="146"/>
      <c r="W964" s="146"/>
      <c r="X964" s="146"/>
      <c r="Y964" s="146"/>
      <c r="Z964" s="146"/>
    </row>
    <row r="965" ht="22.5" customHeight="1">
      <c r="A965" s="308"/>
      <c r="B965" s="305"/>
      <c r="C965" s="305"/>
      <c r="D965" s="305"/>
      <c r="E965" s="305"/>
      <c r="F965" s="305"/>
      <c r="G965" s="307"/>
      <c r="H965" s="146"/>
      <c r="I965" s="146"/>
      <c r="J965" s="146"/>
      <c r="K965" s="146"/>
      <c r="L965" s="146"/>
      <c r="M965" s="146"/>
      <c r="N965" s="146"/>
      <c r="O965" s="146"/>
      <c r="P965" s="146"/>
      <c r="Q965" s="146"/>
      <c r="R965" s="146"/>
      <c r="S965" s="146"/>
      <c r="T965" s="146"/>
      <c r="U965" s="146"/>
      <c r="V965" s="146"/>
      <c r="W965" s="146"/>
      <c r="X965" s="146"/>
      <c r="Y965" s="146"/>
      <c r="Z965" s="146"/>
    </row>
    <row r="966" ht="22.5" customHeight="1">
      <c r="A966" s="308"/>
      <c r="B966" s="305"/>
      <c r="C966" s="305"/>
      <c r="D966" s="305"/>
      <c r="E966" s="305"/>
      <c r="F966" s="305"/>
      <c r="G966" s="307"/>
      <c r="H966" s="146"/>
      <c r="I966" s="146"/>
      <c r="J966" s="146"/>
      <c r="K966" s="146"/>
      <c r="L966" s="146"/>
      <c r="M966" s="146"/>
      <c r="N966" s="146"/>
      <c r="O966" s="146"/>
      <c r="P966" s="146"/>
      <c r="Q966" s="146"/>
      <c r="R966" s="146"/>
      <c r="S966" s="146"/>
      <c r="T966" s="146"/>
      <c r="U966" s="146"/>
      <c r="V966" s="146"/>
      <c r="W966" s="146"/>
      <c r="X966" s="146"/>
      <c r="Y966" s="146"/>
      <c r="Z966" s="146"/>
    </row>
    <row r="967" ht="22.5" customHeight="1">
      <c r="A967" s="308"/>
      <c r="B967" s="305"/>
      <c r="C967" s="305"/>
      <c r="D967" s="305"/>
      <c r="E967" s="305"/>
      <c r="F967" s="305"/>
      <c r="G967" s="307"/>
      <c r="H967" s="146"/>
      <c r="I967" s="146"/>
      <c r="J967" s="146"/>
      <c r="K967" s="146"/>
      <c r="L967" s="146"/>
      <c r="M967" s="146"/>
      <c r="N967" s="146"/>
      <c r="O967" s="146"/>
      <c r="P967" s="146"/>
      <c r="Q967" s="146"/>
      <c r="R967" s="146"/>
      <c r="S967" s="146"/>
      <c r="T967" s="146"/>
      <c r="U967" s="146"/>
      <c r="V967" s="146"/>
      <c r="W967" s="146"/>
      <c r="X967" s="146"/>
      <c r="Y967" s="146"/>
      <c r="Z967" s="146"/>
    </row>
    <row r="968" ht="22.5" customHeight="1">
      <c r="A968" s="308"/>
      <c r="B968" s="305"/>
      <c r="C968" s="305"/>
      <c r="D968" s="305"/>
      <c r="E968" s="305"/>
      <c r="F968" s="305"/>
      <c r="G968" s="307"/>
      <c r="H968" s="146"/>
      <c r="I968" s="146"/>
      <c r="J968" s="146"/>
      <c r="K968" s="146"/>
      <c r="L968" s="146"/>
      <c r="M968" s="146"/>
      <c r="N968" s="146"/>
      <c r="O968" s="146"/>
      <c r="P968" s="146"/>
      <c r="Q968" s="146"/>
      <c r="R968" s="146"/>
      <c r="S968" s="146"/>
      <c r="T968" s="146"/>
      <c r="U968" s="146"/>
      <c r="V968" s="146"/>
      <c r="W968" s="146"/>
      <c r="X968" s="146"/>
      <c r="Y968" s="146"/>
      <c r="Z968" s="146"/>
    </row>
    <row r="969" ht="22.5" customHeight="1">
      <c r="A969" s="308"/>
      <c r="B969" s="305"/>
      <c r="C969" s="305"/>
      <c r="D969" s="305"/>
      <c r="E969" s="305"/>
      <c r="F969" s="305"/>
      <c r="G969" s="307"/>
      <c r="H969" s="146"/>
      <c r="I969" s="146"/>
      <c r="J969" s="146"/>
      <c r="K969" s="146"/>
      <c r="L969" s="146"/>
      <c r="M969" s="146"/>
      <c r="N969" s="146"/>
      <c r="O969" s="146"/>
      <c r="P969" s="146"/>
      <c r="Q969" s="146"/>
      <c r="R969" s="146"/>
      <c r="S969" s="146"/>
      <c r="T969" s="146"/>
      <c r="U969" s="146"/>
      <c r="V969" s="146"/>
      <c r="W969" s="146"/>
      <c r="X969" s="146"/>
      <c r="Y969" s="146"/>
      <c r="Z969" s="146"/>
    </row>
    <row r="970" ht="22.5" customHeight="1">
      <c r="A970" s="308"/>
      <c r="B970" s="305"/>
      <c r="C970" s="305"/>
      <c r="D970" s="305"/>
      <c r="E970" s="305"/>
      <c r="F970" s="305"/>
      <c r="G970" s="307"/>
      <c r="H970" s="146"/>
      <c r="I970" s="146"/>
      <c r="J970" s="146"/>
      <c r="K970" s="146"/>
      <c r="L970" s="146"/>
      <c r="M970" s="146"/>
      <c r="N970" s="146"/>
      <c r="O970" s="146"/>
      <c r="P970" s="146"/>
      <c r="Q970" s="146"/>
      <c r="R970" s="146"/>
      <c r="S970" s="146"/>
      <c r="T970" s="146"/>
      <c r="U970" s="146"/>
      <c r="V970" s="146"/>
      <c r="W970" s="146"/>
      <c r="X970" s="146"/>
      <c r="Y970" s="146"/>
      <c r="Z970" s="146"/>
    </row>
    <row r="971" ht="22.5" customHeight="1">
      <c r="A971" s="308"/>
      <c r="B971" s="305"/>
      <c r="C971" s="305"/>
      <c r="D971" s="305"/>
      <c r="E971" s="305"/>
      <c r="F971" s="305"/>
      <c r="G971" s="307"/>
      <c r="H971" s="146"/>
      <c r="I971" s="146"/>
      <c r="J971" s="146"/>
      <c r="K971" s="146"/>
      <c r="L971" s="146"/>
      <c r="M971" s="146"/>
      <c r="N971" s="146"/>
      <c r="O971" s="146"/>
      <c r="P971" s="146"/>
      <c r="Q971" s="146"/>
      <c r="R971" s="146"/>
      <c r="S971" s="146"/>
      <c r="T971" s="146"/>
      <c r="U971" s="146"/>
      <c r="V971" s="146"/>
      <c r="W971" s="146"/>
      <c r="X971" s="146"/>
      <c r="Y971" s="146"/>
      <c r="Z971" s="146"/>
    </row>
    <row r="972" ht="22.5" customHeight="1">
      <c r="A972" s="308"/>
      <c r="B972" s="305"/>
      <c r="C972" s="305"/>
      <c r="D972" s="305"/>
      <c r="E972" s="305"/>
      <c r="F972" s="305"/>
      <c r="G972" s="307"/>
      <c r="H972" s="146"/>
      <c r="I972" s="146"/>
      <c r="J972" s="146"/>
      <c r="K972" s="146"/>
      <c r="L972" s="146"/>
      <c r="M972" s="146"/>
      <c r="N972" s="146"/>
      <c r="O972" s="146"/>
      <c r="P972" s="146"/>
      <c r="Q972" s="146"/>
      <c r="R972" s="146"/>
      <c r="S972" s="146"/>
      <c r="T972" s="146"/>
      <c r="U972" s="146"/>
      <c r="V972" s="146"/>
      <c r="W972" s="146"/>
      <c r="X972" s="146"/>
      <c r="Y972" s="146"/>
      <c r="Z972" s="146"/>
    </row>
    <row r="973" ht="22.5" customHeight="1">
      <c r="A973" s="308"/>
      <c r="B973" s="305"/>
      <c r="C973" s="305"/>
      <c r="D973" s="305"/>
      <c r="E973" s="305"/>
      <c r="F973" s="305"/>
      <c r="G973" s="307"/>
      <c r="H973" s="146"/>
      <c r="I973" s="146"/>
      <c r="J973" s="146"/>
      <c r="K973" s="146"/>
      <c r="L973" s="146"/>
      <c r="M973" s="146"/>
      <c r="N973" s="146"/>
      <c r="O973" s="146"/>
      <c r="P973" s="146"/>
      <c r="Q973" s="146"/>
      <c r="R973" s="146"/>
      <c r="S973" s="146"/>
      <c r="T973" s="146"/>
      <c r="U973" s="146"/>
      <c r="V973" s="146"/>
      <c r="W973" s="146"/>
      <c r="X973" s="146"/>
      <c r="Y973" s="146"/>
      <c r="Z973" s="146"/>
    </row>
    <row r="974" ht="22.5" customHeight="1">
      <c r="A974" s="308"/>
      <c r="B974" s="305"/>
      <c r="C974" s="305"/>
      <c r="D974" s="305"/>
      <c r="E974" s="305"/>
      <c r="F974" s="305"/>
      <c r="G974" s="307"/>
      <c r="H974" s="146"/>
      <c r="I974" s="146"/>
      <c r="J974" s="146"/>
      <c r="K974" s="146"/>
      <c r="L974" s="146"/>
      <c r="M974" s="146"/>
      <c r="N974" s="146"/>
      <c r="O974" s="146"/>
      <c r="P974" s="146"/>
      <c r="Q974" s="146"/>
      <c r="R974" s="146"/>
      <c r="S974" s="146"/>
      <c r="T974" s="146"/>
      <c r="U974" s="146"/>
      <c r="V974" s="146"/>
      <c r="W974" s="146"/>
      <c r="X974" s="146"/>
      <c r="Y974" s="146"/>
      <c r="Z974" s="146"/>
    </row>
    <row r="975" ht="22.5" customHeight="1">
      <c r="A975" s="308"/>
      <c r="B975" s="305"/>
      <c r="C975" s="305"/>
      <c r="D975" s="305"/>
      <c r="E975" s="305"/>
      <c r="F975" s="305"/>
      <c r="G975" s="307"/>
      <c r="H975" s="146"/>
      <c r="I975" s="146"/>
      <c r="J975" s="146"/>
      <c r="K975" s="146"/>
      <c r="L975" s="146"/>
      <c r="M975" s="146"/>
      <c r="N975" s="146"/>
      <c r="O975" s="146"/>
      <c r="P975" s="146"/>
      <c r="Q975" s="146"/>
      <c r="R975" s="146"/>
      <c r="S975" s="146"/>
      <c r="T975" s="146"/>
      <c r="U975" s="146"/>
      <c r="V975" s="146"/>
      <c r="W975" s="146"/>
      <c r="X975" s="146"/>
      <c r="Y975" s="146"/>
      <c r="Z975" s="146"/>
    </row>
    <row r="976" ht="22.5" customHeight="1">
      <c r="A976" s="308"/>
      <c r="B976" s="305"/>
      <c r="C976" s="305"/>
      <c r="D976" s="305"/>
      <c r="E976" s="305"/>
      <c r="F976" s="305"/>
      <c r="G976" s="307"/>
      <c r="H976" s="146"/>
      <c r="I976" s="146"/>
      <c r="J976" s="146"/>
      <c r="K976" s="146"/>
      <c r="L976" s="146"/>
      <c r="M976" s="146"/>
      <c r="N976" s="146"/>
      <c r="O976" s="146"/>
      <c r="P976" s="146"/>
      <c r="Q976" s="146"/>
      <c r="R976" s="146"/>
      <c r="S976" s="146"/>
      <c r="T976" s="146"/>
      <c r="U976" s="146"/>
      <c r="V976" s="146"/>
      <c r="W976" s="146"/>
      <c r="X976" s="146"/>
      <c r="Y976" s="146"/>
      <c r="Z976" s="146"/>
    </row>
    <row r="977" ht="22.5" customHeight="1">
      <c r="A977" s="308"/>
      <c r="B977" s="305"/>
      <c r="C977" s="305"/>
      <c r="D977" s="305"/>
      <c r="E977" s="305"/>
      <c r="F977" s="305"/>
      <c r="G977" s="307"/>
      <c r="H977" s="146"/>
      <c r="I977" s="146"/>
      <c r="J977" s="146"/>
      <c r="K977" s="146"/>
      <c r="L977" s="146"/>
      <c r="M977" s="146"/>
      <c r="N977" s="146"/>
      <c r="O977" s="146"/>
      <c r="P977" s="146"/>
      <c r="Q977" s="146"/>
      <c r="R977" s="146"/>
      <c r="S977" s="146"/>
      <c r="T977" s="146"/>
      <c r="U977" s="146"/>
      <c r="V977" s="146"/>
      <c r="W977" s="146"/>
      <c r="X977" s="146"/>
      <c r="Y977" s="146"/>
      <c r="Z977" s="146"/>
    </row>
    <row r="978" ht="22.5" customHeight="1">
      <c r="A978" s="308"/>
      <c r="B978" s="305"/>
      <c r="C978" s="305"/>
      <c r="D978" s="305"/>
      <c r="E978" s="305"/>
      <c r="F978" s="305"/>
      <c r="G978" s="307"/>
      <c r="H978" s="146"/>
      <c r="I978" s="146"/>
      <c r="J978" s="146"/>
      <c r="K978" s="146"/>
      <c r="L978" s="146"/>
      <c r="M978" s="146"/>
      <c r="N978" s="146"/>
      <c r="O978" s="146"/>
      <c r="P978" s="146"/>
      <c r="Q978" s="146"/>
      <c r="R978" s="146"/>
      <c r="S978" s="146"/>
      <c r="T978" s="146"/>
      <c r="U978" s="146"/>
      <c r="V978" s="146"/>
      <c r="W978" s="146"/>
      <c r="X978" s="146"/>
      <c r="Y978" s="146"/>
      <c r="Z978" s="146"/>
    </row>
    <row r="979" ht="22.5" customHeight="1">
      <c r="A979" s="308"/>
      <c r="B979" s="305"/>
      <c r="C979" s="305"/>
      <c r="D979" s="305"/>
      <c r="E979" s="305"/>
      <c r="F979" s="305"/>
      <c r="G979" s="307"/>
      <c r="H979" s="146"/>
      <c r="I979" s="146"/>
      <c r="J979" s="146"/>
      <c r="K979" s="146"/>
      <c r="L979" s="146"/>
      <c r="M979" s="146"/>
      <c r="N979" s="146"/>
      <c r="O979" s="146"/>
      <c r="P979" s="146"/>
      <c r="Q979" s="146"/>
      <c r="R979" s="146"/>
      <c r="S979" s="146"/>
      <c r="T979" s="146"/>
      <c r="U979" s="146"/>
      <c r="V979" s="146"/>
      <c r="W979" s="146"/>
      <c r="X979" s="146"/>
      <c r="Y979" s="146"/>
      <c r="Z979" s="146"/>
    </row>
    <row r="980" ht="22.5" customHeight="1">
      <c r="A980" s="308"/>
      <c r="B980" s="305"/>
      <c r="C980" s="305"/>
      <c r="D980" s="305"/>
      <c r="E980" s="305"/>
      <c r="F980" s="305"/>
      <c r="G980" s="307"/>
      <c r="H980" s="146"/>
      <c r="I980" s="146"/>
      <c r="J980" s="146"/>
      <c r="K980" s="146"/>
      <c r="L980" s="146"/>
      <c r="M980" s="146"/>
      <c r="N980" s="146"/>
      <c r="O980" s="146"/>
      <c r="P980" s="146"/>
      <c r="Q980" s="146"/>
      <c r="R980" s="146"/>
      <c r="S980" s="146"/>
      <c r="T980" s="146"/>
      <c r="U980" s="146"/>
      <c r="V980" s="146"/>
      <c r="W980" s="146"/>
      <c r="X980" s="146"/>
      <c r="Y980" s="146"/>
      <c r="Z980" s="146"/>
    </row>
    <row r="981" ht="22.5" customHeight="1">
      <c r="A981" s="308"/>
      <c r="B981" s="305"/>
      <c r="C981" s="305"/>
      <c r="D981" s="305"/>
      <c r="E981" s="305"/>
      <c r="F981" s="305"/>
      <c r="G981" s="307"/>
      <c r="H981" s="146"/>
      <c r="I981" s="146"/>
      <c r="J981" s="146"/>
      <c r="K981" s="146"/>
      <c r="L981" s="146"/>
      <c r="M981" s="146"/>
      <c r="N981" s="146"/>
      <c r="O981" s="146"/>
      <c r="P981" s="146"/>
      <c r="Q981" s="146"/>
      <c r="R981" s="146"/>
      <c r="S981" s="146"/>
      <c r="T981" s="146"/>
      <c r="U981" s="146"/>
      <c r="V981" s="146"/>
      <c r="W981" s="146"/>
      <c r="X981" s="146"/>
      <c r="Y981" s="146"/>
      <c r="Z981" s="146"/>
    </row>
    <row r="982" ht="22.5" customHeight="1">
      <c r="A982" s="308"/>
      <c r="B982" s="305"/>
      <c r="C982" s="305"/>
      <c r="D982" s="305"/>
      <c r="E982" s="305"/>
      <c r="F982" s="305"/>
      <c r="G982" s="307"/>
      <c r="H982" s="146"/>
      <c r="I982" s="146"/>
      <c r="J982" s="146"/>
      <c r="K982" s="146"/>
      <c r="L982" s="146"/>
      <c r="M982" s="146"/>
      <c r="N982" s="146"/>
      <c r="O982" s="146"/>
      <c r="P982" s="146"/>
      <c r="Q982" s="146"/>
      <c r="R982" s="146"/>
      <c r="S982" s="146"/>
      <c r="T982" s="146"/>
      <c r="U982" s="146"/>
      <c r="V982" s="146"/>
      <c r="W982" s="146"/>
      <c r="X982" s="146"/>
      <c r="Y982" s="146"/>
      <c r="Z982" s="146"/>
    </row>
    <row r="983" ht="22.5" customHeight="1">
      <c r="A983" s="308"/>
      <c r="B983" s="305"/>
      <c r="C983" s="305"/>
      <c r="D983" s="305"/>
      <c r="E983" s="305"/>
      <c r="F983" s="305"/>
      <c r="G983" s="307"/>
      <c r="H983" s="146"/>
      <c r="I983" s="146"/>
      <c r="J983" s="146"/>
      <c r="K983" s="146"/>
      <c r="L983" s="146"/>
      <c r="M983" s="146"/>
      <c r="N983" s="146"/>
      <c r="O983" s="146"/>
      <c r="P983" s="146"/>
      <c r="Q983" s="146"/>
      <c r="R983" s="146"/>
      <c r="S983" s="146"/>
      <c r="T983" s="146"/>
      <c r="U983" s="146"/>
      <c r="V983" s="146"/>
      <c r="W983" s="146"/>
      <c r="X983" s="146"/>
      <c r="Y983" s="146"/>
      <c r="Z983" s="146"/>
    </row>
    <row r="984" ht="22.5" customHeight="1">
      <c r="A984" s="308"/>
      <c r="B984" s="305"/>
      <c r="C984" s="305"/>
      <c r="D984" s="305"/>
      <c r="E984" s="305"/>
      <c r="F984" s="305"/>
      <c r="G984" s="307"/>
      <c r="H984" s="146"/>
      <c r="I984" s="146"/>
      <c r="J984" s="146"/>
      <c r="K984" s="146"/>
      <c r="L984" s="146"/>
      <c r="M984" s="146"/>
      <c r="N984" s="146"/>
      <c r="O984" s="146"/>
      <c r="P984" s="146"/>
      <c r="Q984" s="146"/>
      <c r="R984" s="146"/>
      <c r="S984" s="146"/>
      <c r="T984" s="146"/>
      <c r="U984" s="146"/>
      <c r="V984" s="146"/>
      <c r="W984" s="146"/>
      <c r="X984" s="146"/>
      <c r="Y984" s="146"/>
      <c r="Z984" s="146"/>
    </row>
    <row r="985" ht="22.5" customHeight="1">
      <c r="A985" s="308"/>
      <c r="B985" s="305"/>
      <c r="C985" s="305"/>
      <c r="D985" s="305"/>
      <c r="E985" s="305"/>
      <c r="F985" s="305"/>
      <c r="G985" s="307"/>
      <c r="H985" s="146"/>
      <c r="I985" s="146"/>
      <c r="J985" s="146"/>
      <c r="K985" s="146"/>
      <c r="L985" s="146"/>
      <c r="M985" s="146"/>
      <c r="N985" s="146"/>
      <c r="O985" s="146"/>
      <c r="P985" s="146"/>
      <c r="Q985" s="146"/>
      <c r="R985" s="146"/>
      <c r="S985" s="146"/>
      <c r="T985" s="146"/>
      <c r="U985" s="146"/>
      <c r="V985" s="146"/>
      <c r="W985" s="146"/>
      <c r="X985" s="146"/>
      <c r="Y985" s="146"/>
      <c r="Z985" s="146"/>
    </row>
    <row r="986" ht="22.5" customHeight="1">
      <c r="A986" s="308"/>
      <c r="B986" s="305"/>
      <c r="C986" s="305"/>
      <c r="D986" s="305"/>
      <c r="E986" s="305"/>
      <c r="F986" s="305"/>
      <c r="G986" s="307"/>
      <c r="H986" s="146"/>
      <c r="I986" s="146"/>
      <c r="J986" s="146"/>
      <c r="K986" s="146"/>
      <c r="L986" s="146"/>
      <c r="M986" s="146"/>
      <c r="N986" s="146"/>
      <c r="O986" s="146"/>
      <c r="P986" s="146"/>
      <c r="Q986" s="146"/>
      <c r="R986" s="146"/>
      <c r="S986" s="146"/>
      <c r="T986" s="146"/>
      <c r="U986" s="146"/>
      <c r="V986" s="146"/>
      <c r="W986" s="146"/>
      <c r="X986" s="146"/>
      <c r="Y986" s="146"/>
      <c r="Z986" s="146"/>
    </row>
    <row r="987" ht="22.5" customHeight="1">
      <c r="A987" s="308"/>
      <c r="B987" s="305"/>
      <c r="C987" s="305"/>
      <c r="D987" s="305"/>
      <c r="E987" s="305"/>
      <c r="F987" s="305"/>
      <c r="G987" s="307"/>
      <c r="H987" s="146"/>
      <c r="I987" s="146"/>
      <c r="J987" s="146"/>
      <c r="K987" s="146"/>
      <c r="L987" s="146"/>
      <c r="M987" s="146"/>
      <c r="N987" s="146"/>
      <c r="O987" s="146"/>
      <c r="P987" s="146"/>
      <c r="Q987" s="146"/>
      <c r="R987" s="146"/>
      <c r="S987" s="146"/>
      <c r="T987" s="146"/>
      <c r="U987" s="146"/>
      <c r="V987" s="146"/>
      <c r="W987" s="146"/>
      <c r="X987" s="146"/>
      <c r="Y987" s="146"/>
      <c r="Z987" s="146"/>
    </row>
    <row r="988" ht="22.5" customHeight="1">
      <c r="A988" s="308"/>
      <c r="B988" s="305"/>
      <c r="C988" s="305"/>
      <c r="D988" s="305"/>
      <c r="E988" s="305"/>
      <c r="F988" s="305"/>
      <c r="G988" s="307"/>
      <c r="H988" s="146"/>
      <c r="I988" s="146"/>
      <c r="J988" s="146"/>
      <c r="K988" s="146"/>
      <c r="L988" s="146"/>
      <c r="M988" s="146"/>
      <c r="N988" s="146"/>
      <c r="O988" s="146"/>
      <c r="P988" s="146"/>
      <c r="Q988" s="146"/>
      <c r="R988" s="146"/>
      <c r="S988" s="146"/>
      <c r="T988" s="146"/>
      <c r="U988" s="146"/>
      <c r="V988" s="146"/>
      <c r="W988" s="146"/>
      <c r="X988" s="146"/>
      <c r="Y988" s="146"/>
      <c r="Z988" s="146"/>
    </row>
    <row r="989" ht="22.5" customHeight="1">
      <c r="A989" s="308"/>
      <c r="B989" s="305"/>
      <c r="C989" s="305"/>
      <c r="D989" s="305"/>
      <c r="E989" s="305"/>
      <c r="F989" s="305"/>
      <c r="G989" s="307"/>
      <c r="H989" s="146"/>
      <c r="I989" s="146"/>
      <c r="J989" s="146"/>
      <c r="K989" s="146"/>
      <c r="L989" s="146"/>
      <c r="M989" s="146"/>
      <c r="N989" s="146"/>
      <c r="O989" s="146"/>
      <c r="P989" s="146"/>
      <c r="Q989" s="146"/>
      <c r="R989" s="146"/>
      <c r="S989" s="146"/>
      <c r="T989" s="146"/>
      <c r="U989" s="146"/>
      <c r="V989" s="146"/>
      <c r="W989" s="146"/>
      <c r="X989" s="146"/>
      <c r="Y989" s="146"/>
      <c r="Z989" s="146"/>
    </row>
    <row r="990" ht="22.5" customHeight="1">
      <c r="A990" s="308"/>
      <c r="B990" s="305"/>
      <c r="C990" s="305"/>
      <c r="D990" s="305"/>
      <c r="E990" s="305"/>
      <c r="F990" s="305"/>
      <c r="G990" s="307"/>
      <c r="H990" s="146"/>
      <c r="I990" s="146"/>
      <c r="J990" s="146"/>
      <c r="K990" s="146"/>
      <c r="L990" s="146"/>
      <c r="M990" s="146"/>
      <c r="N990" s="146"/>
      <c r="O990" s="146"/>
      <c r="P990" s="146"/>
      <c r="Q990" s="146"/>
      <c r="R990" s="146"/>
      <c r="S990" s="146"/>
      <c r="T990" s="146"/>
      <c r="U990" s="146"/>
      <c r="V990" s="146"/>
      <c r="W990" s="146"/>
      <c r="X990" s="146"/>
      <c r="Y990" s="146"/>
      <c r="Z990" s="146"/>
    </row>
    <row r="991" ht="22.5" customHeight="1">
      <c r="A991" s="308"/>
      <c r="B991" s="305"/>
      <c r="C991" s="305"/>
      <c r="D991" s="305"/>
      <c r="E991" s="305"/>
      <c r="F991" s="305"/>
      <c r="G991" s="307"/>
      <c r="H991" s="146"/>
      <c r="I991" s="146"/>
      <c r="J991" s="146"/>
      <c r="K991" s="146"/>
      <c r="L991" s="146"/>
      <c r="M991" s="146"/>
      <c r="N991" s="146"/>
      <c r="O991" s="146"/>
      <c r="P991" s="146"/>
      <c r="Q991" s="146"/>
      <c r="R991" s="146"/>
      <c r="S991" s="146"/>
      <c r="T991" s="146"/>
      <c r="U991" s="146"/>
      <c r="V991" s="146"/>
      <c r="W991" s="146"/>
      <c r="X991" s="146"/>
      <c r="Y991" s="146"/>
      <c r="Z991" s="146"/>
    </row>
    <row r="992" ht="22.5" customHeight="1">
      <c r="A992" s="308"/>
      <c r="B992" s="305"/>
      <c r="C992" s="305"/>
      <c r="D992" s="305"/>
      <c r="E992" s="305"/>
      <c r="F992" s="305"/>
      <c r="G992" s="307"/>
      <c r="H992" s="146"/>
      <c r="I992" s="146"/>
      <c r="J992" s="146"/>
      <c r="K992" s="146"/>
      <c r="L992" s="146"/>
      <c r="M992" s="146"/>
      <c r="N992" s="146"/>
      <c r="O992" s="146"/>
      <c r="P992" s="146"/>
      <c r="Q992" s="146"/>
      <c r="R992" s="146"/>
      <c r="S992" s="146"/>
      <c r="T992" s="146"/>
      <c r="U992" s="146"/>
      <c r="V992" s="146"/>
      <c r="W992" s="146"/>
      <c r="X992" s="146"/>
      <c r="Y992" s="146"/>
      <c r="Z992" s="146"/>
    </row>
    <row r="993" ht="22.5" customHeight="1">
      <c r="A993" s="308"/>
      <c r="B993" s="305"/>
      <c r="C993" s="305"/>
      <c r="D993" s="305"/>
      <c r="E993" s="305"/>
      <c r="F993" s="305"/>
      <c r="G993" s="307"/>
      <c r="H993" s="146"/>
      <c r="I993" s="146"/>
      <c r="J993" s="146"/>
      <c r="K993" s="146"/>
      <c r="L993" s="146"/>
      <c r="M993" s="146"/>
      <c r="N993" s="146"/>
      <c r="O993" s="146"/>
      <c r="P993" s="146"/>
      <c r="Q993" s="146"/>
      <c r="R993" s="146"/>
      <c r="S993" s="146"/>
      <c r="T993" s="146"/>
      <c r="U993" s="146"/>
      <c r="V993" s="146"/>
      <c r="W993" s="146"/>
      <c r="X993" s="146"/>
      <c r="Y993" s="146"/>
      <c r="Z993" s="146"/>
    </row>
    <row r="994" ht="22.5" customHeight="1">
      <c r="A994" s="308"/>
      <c r="B994" s="305"/>
      <c r="C994" s="305"/>
      <c r="D994" s="305"/>
      <c r="E994" s="305"/>
      <c r="F994" s="305"/>
      <c r="G994" s="307"/>
      <c r="H994" s="146"/>
      <c r="I994" s="146"/>
      <c r="J994" s="146"/>
      <c r="K994" s="146"/>
      <c r="L994" s="146"/>
      <c r="M994" s="146"/>
      <c r="N994" s="146"/>
      <c r="O994" s="146"/>
      <c r="P994" s="146"/>
      <c r="Q994" s="146"/>
      <c r="R994" s="146"/>
      <c r="S994" s="146"/>
      <c r="T994" s="146"/>
      <c r="U994" s="146"/>
      <c r="V994" s="146"/>
      <c r="W994" s="146"/>
      <c r="X994" s="146"/>
      <c r="Y994" s="146"/>
      <c r="Z994" s="146"/>
    </row>
    <row r="995" ht="22.5" customHeight="1">
      <c r="A995" s="308"/>
      <c r="B995" s="305"/>
      <c r="C995" s="305"/>
      <c r="D995" s="305"/>
      <c r="E995" s="305"/>
      <c r="F995" s="305"/>
      <c r="G995" s="307"/>
      <c r="H995" s="146"/>
      <c r="I995" s="146"/>
      <c r="J995" s="146"/>
      <c r="K995" s="146"/>
      <c r="L995" s="146"/>
      <c r="M995" s="146"/>
      <c r="N995" s="146"/>
      <c r="O995" s="146"/>
      <c r="P995" s="146"/>
      <c r="Q995" s="146"/>
      <c r="R995" s="146"/>
      <c r="S995" s="146"/>
      <c r="T995" s="146"/>
      <c r="U995" s="146"/>
      <c r="V995" s="146"/>
      <c r="W995" s="146"/>
      <c r="X995" s="146"/>
      <c r="Y995" s="146"/>
      <c r="Z995" s="146"/>
    </row>
    <row r="996" ht="22.5" customHeight="1">
      <c r="A996" s="308"/>
      <c r="B996" s="305"/>
      <c r="C996" s="305"/>
      <c r="D996" s="305"/>
      <c r="E996" s="305"/>
      <c r="F996" s="305"/>
      <c r="G996" s="307"/>
      <c r="H996" s="146"/>
      <c r="I996" s="146"/>
      <c r="J996" s="146"/>
      <c r="K996" s="146"/>
      <c r="L996" s="146"/>
      <c r="M996" s="146"/>
      <c r="N996" s="146"/>
      <c r="O996" s="146"/>
      <c r="P996" s="146"/>
      <c r="Q996" s="146"/>
      <c r="R996" s="146"/>
      <c r="S996" s="146"/>
      <c r="T996" s="146"/>
      <c r="U996" s="146"/>
      <c r="V996" s="146"/>
      <c r="W996" s="146"/>
      <c r="X996" s="146"/>
      <c r="Y996" s="146"/>
      <c r="Z996" s="146"/>
    </row>
    <row r="997" ht="22.5" customHeight="1">
      <c r="A997" s="308"/>
      <c r="B997" s="305"/>
      <c r="C997" s="305"/>
      <c r="D997" s="305"/>
      <c r="E997" s="305"/>
      <c r="F997" s="305"/>
      <c r="G997" s="307"/>
      <c r="H997" s="146"/>
      <c r="I997" s="146"/>
      <c r="J997" s="146"/>
      <c r="K997" s="146"/>
      <c r="L997" s="146"/>
      <c r="M997" s="146"/>
      <c r="N997" s="146"/>
      <c r="O997" s="146"/>
      <c r="P997" s="146"/>
      <c r="Q997" s="146"/>
      <c r="R997" s="146"/>
      <c r="S997" s="146"/>
      <c r="T997" s="146"/>
      <c r="U997" s="146"/>
      <c r="V997" s="146"/>
      <c r="W997" s="146"/>
      <c r="X997" s="146"/>
      <c r="Y997" s="146"/>
      <c r="Z997" s="146"/>
    </row>
    <row r="998" ht="22.5" customHeight="1">
      <c r="A998" s="308"/>
      <c r="B998" s="305"/>
      <c r="C998" s="305"/>
      <c r="D998" s="305"/>
      <c r="E998" s="305"/>
      <c r="F998" s="305"/>
      <c r="G998" s="307"/>
      <c r="H998" s="146"/>
      <c r="I998" s="146"/>
      <c r="J998" s="146"/>
      <c r="K998" s="146"/>
      <c r="L998" s="146"/>
      <c r="M998" s="146"/>
      <c r="N998" s="146"/>
      <c r="O998" s="146"/>
      <c r="P998" s="146"/>
      <c r="Q998" s="146"/>
      <c r="R998" s="146"/>
      <c r="S998" s="146"/>
      <c r="T998" s="146"/>
      <c r="U998" s="146"/>
      <c r="V998" s="146"/>
      <c r="W998" s="146"/>
      <c r="X998" s="146"/>
      <c r="Y998" s="146"/>
      <c r="Z998" s="146"/>
    </row>
    <row r="999" ht="22.5" customHeight="1">
      <c r="A999" s="308"/>
      <c r="B999" s="305"/>
      <c r="C999" s="305"/>
      <c r="D999" s="305"/>
      <c r="E999" s="305"/>
      <c r="F999" s="305"/>
      <c r="G999" s="307"/>
      <c r="H999" s="146"/>
      <c r="I999" s="146"/>
      <c r="J999" s="146"/>
      <c r="K999" s="146"/>
      <c r="L999" s="146"/>
      <c r="M999" s="146"/>
      <c r="N999" s="146"/>
      <c r="O999" s="146"/>
      <c r="P999" s="146"/>
      <c r="Q999" s="146"/>
      <c r="R999" s="146"/>
      <c r="S999" s="146"/>
      <c r="T999" s="146"/>
      <c r="U999" s="146"/>
      <c r="V999" s="146"/>
      <c r="W999" s="146"/>
      <c r="X999" s="146"/>
      <c r="Y999" s="146"/>
      <c r="Z999" s="146"/>
    </row>
    <row r="1000" ht="22.5" customHeight="1">
      <c r="A1000" s="308"/>
      <c r="B1000" s="305"/>
      <c r="C1000" s="305"/>
      <c r="D1000" s="305"/>
      <c r="E1000" s="305"/>
      <c r="F1000" s="305"/>
      <c r="G1000" s="307"/>
      <c r="H1000" s="146"/>
      <c r="I1000" s="146"/>
      <c r="J1000" s="146"/>
      <c r="K1000" s="146"/>
      <c r="L1000" s="146"/>
      <c r="M1000" s="146"/>
      <c r="N1000" s="146"/>
      <c r="O1000" s="146"/>
      <c r="P1000" s="146"/>
      <c r="Q1000" s="146"/>
      <c r="R1000" s="146"/>
      <c r="S1000" s="146"/>
      <c r="T1000" s="146"/>
      <c r="U1000" s="146"/>
      <c r="V1000" s="146"/>
      <c r="W1000" s="146"/>
      <c r="X1000" s="146"/>
      <c r="Y1000" s="146"/>
      <c r="Z1000" s="146"/>
    </row>
    <row r="1001" ht="22.5" customHeight="1">
      <c r="A1001" s="308"/>
      <c r="B1001" s="305"/>
      <c r="C1001" s="305"/>
      <c r="D1001" s="305"/>
      <c r="E1001" s="305"/>
      <c r="F1001" s="305"/>
      <c r="G1001" s="307"/>
      <c r="H1001" s="146"/>
      <c r="I1001" s="146"/>
      <c r="J1001" s="146"/>
      <c r="K1001" s="146"/>
      <c r="L1001" s="146"/>
      <c r="M1001" s="146"/>
      <c r="N1001" s="146"/>
      <c r="O1001" s="146"/>
      <c r="P1001" s="146"/>
      <c r="Q1001" s="146"/>
      <c r="R1001" s="146"/>
      <c r="S1001" s="146"/>
      <c r="T1001" s="146"/>
      <c r="U1001" s="146"/>
      <c r="V1001" s="146"/>
      <c r="W1001" s="146"/>
      <c r="X1001" s="146"/>
      <c r="Y1001" s="146"/>
      <c r="Z1001" s="146"/>
    </row>
    <row r="1002" ht="22.5" customHeight="1">
      <c r="A1002" s="308"/>
      <c r="B1002" s="305"/>
      <c r="C1002" s="305"/>
      <c r="D1002" s="305"/>
      <c r="E1002" s="305"/>
      <c r="F1002" s="305"/>
      <c r="G1002" s="307"/>
      <c r="H1002" s="146"/>
      <c r="I1002" s="146"/>
      <c r="J1002" s="146"/>
      <c r="K1002" s="146"/>
      <c r="L1002" s="146"/>
      <c r="M1002" s="146"/>
      <c r="N1002" s="146"/>
      <c r="O1002" s="146"/>
      <c r="P1002" s="146"/>
      <c r="Q1002" s="146"/>
      <c r="R1002" s="146"/>
      <c r="S1002" s="146"/>
      <c r="T1002" s="146"/>
      <c r="U1002" s="146"/>
      <c r="V1002" s="146"/>
      <c r="W1002" s="146"/>
      <c r="X1002" s="146"/>
      <c r="Y1002" s="146"/>
      <c r="Z1002" s="146"/>
    </row>
    <row r="1003" ht="22.5" customHeight="1">
      <c r="A1003" s="308"/>
      <c r="B1003" s="305"/>
      <c r="C1003" s="305"/>
      <c r="D1003" s="305"/>
      <c r="E1003" s="305"/>
      <c r="F1003" s="305"/>
      <c r="G1003" s="307"/>
      <c r="H1003" s="146"/>
      <c r="I1003" s="146"/>
      <c r="J1003" s="146"/>
      <c r="K1003" s="146"/>
      <c r="L1003" s="146"/>
      <c r="M1003" s="146"/>
      <c r="N1003" s="146"/>
      <c r="O1003" s="146"/>
      <c r="P1003" s="146"/>
      <c r="Q1003" s="146"/>
      <c r="R1003" s="146"/>
      <c r="S1003" s="146"/>
      <c r="T1003" s="146"/>
      <c r="U1003" s="146"/>
      <c r="V1003" s="146"/>
      <c r="W1003" s="146"/>
      <c r="X1003" s="146"/>
      <c r="Y1003" s="146"/>
      <c r="Z1003" s="146"/>
    </row>
    <row r="1004" ht="22.5" customHeight="1">
      <c r="A1004" s="308"/>
      <c r="B1004" s="305"/>
      <c r="C1004" s="305"/>
      <c r="D1004" s="305"/>
      <c r="E1004" s="305"/>
      <c r="F1004" s="305"/>
      <c r="G1004" s="307"/>
      <c r="H1004" s="146"/>
      <c r="I1004" s="146"/>
      <c r="J1004" s="146"/>
      <c r="K1004" s="146"/>
      <c r="L1004" s="146"/>
      <c r="M1004" s="146"/>
      <c r="N1004" s="146"/>
      <c r="O1004" s="146"/>
      <c r="P1004" s="146"/>
      <c r="Q1004" s="146"/>
      <c r="R1004" s="146"/>
      <c r="S1004" s="146"/>
      <c r="T1004" s="146"/>
      <c r="U1004" s="146"/>
      <c r="V1004" s="146"/>
      <c r="W1004" s="146"/>
      <c r="X1004" s="146"/>
      <c r="Y1004" s="146"/>
      <c r="Z1004" s="146"/>
    </row>
    <row r="1005" ht="22.5" customHeight="1">
      <c r="A1005" s="308"/>
      <c r="B1005" s="305"/>
      <c r="C1005" s="305"/>
      <c r="D1005" s="305"/>
      <c r="E1005" s="305"/>
      <c r="F1005" s="305"/>
      <c r="G1005" s="307"/>
      <c r="H1005" s="146"/>
      <c r="I1005" s="146"/>
      <c r="J1005" s="146"/>
      <c r="K1005" s="146"/>
      <c r="L1005" s="146"/>
      <c r="M1005" s="146"/>
      <c r="N1005" s="146"/>
      <c r="O1005" s="146"/>
      <c r="P1005" s="146"/>
      <c r="Q1005" s="146"/>
      <c r="R1005" s="146"/>
      <c r="S1005" s="146"/>
      <c r="T1005" s="146"/>
      <c r="U1005" s="146"/>
      <c r="V1005" s="146"/>
      <c r="W1005" s="146"/>
      <c r="X1005" s="146"/>
      <c r="Y1005" s="146"/>
      <c r="Z1005" s="146"/>
    </row>
    <row r="1006" ht="22.5" customHeight="1">
      <c r="A1006" s="308"/>
      <c r="B1006" s="305"/>
      <c r="C1006" s="305"/>
      <c r="D1006" s="305"/>
      <c r="E1006" s="305"/>
      <c r="F1006" s="305"/>
      <c r="G1006" s="307"/>
      <c r="H1006" s="146"/>
      <c r="I1006" s="146"/>
      <c r="J1006" s="146"/>
      <c r="K1006" s="146"/>
      <c r="L1006" s="146"/>
      <c r="M1006" s="146"/>
      <c r="N1006" s="146"/>
      <c r="O1006" s="146"/>
      <c r="P1006" s="146"/>
      <c r="Q1006" s="146"/>
      <c r="R1006" s="146"/>
      <c r="S1006" s="146"/>
      <c r="T1006" s="146"/>
      <c r="U1006" s="146"/>
      <c r="V1006" s="146"/>
      <c r="W1006" s="146"/>
      <c r="X1006" s="146"/>
      <c r="Y1006" s="146"/>
      <c r="Z1006" s="146"/>
    </row>
    <row r="1007" ht="22.5" customHeight="1">
      <c r="A1007" s="308"/>
      <c r="B1007" s="305"/>
      <c r="C1007" s="305"/>
      <c r="D1007" s="305"/>
      <c r="E1007" s="305"/>
      <c r="F1007" s="305"/>
      <c r="G1007" s="307"/>
      <c r="H1007" s="146"/>
      <c r="I1007" s="146"/>
      <c r="J1007" s="146"/>
      <c r="K1007" s="146"/>
      <c r="L1007" s="146"/>
      <c r="M1007" s="146"/>
      <c r="N1007" s="146"/>
      <c r="O1007" s="146"/>
      <c r="P1007" s="146"/>
      <c r="Q1007" s="146"/>
      <c r="R1007" s="146"/>
      <c r="S1007" s="146"/>
      <c r="T1007" s="146"/>
      <c r="U1007" s="146"/>
      <c r="V1007" s="146"/>
      <c r="W1007" s="146"/>
      <c r="X1007" s="146"/>
      <c r="Y1007" s="146"/>
      <c r="Z1007" s="146"/>
    </row>
    <row r="1008" ht="22.5" customHeight="1">
      <c r="A1008" s="308"/>
      <c r="B1008" s="305"/>
      <c r="C1008" s="305"/>
      <c r="D1008" s="305"/>
      <c r="E1008" s="305"/>
      <c r="F1008" s="305"/>
      <c r="G1008" s="307"/>
      <c r="H1008" s="146"/>
      <c r="I1008" s="146"/>
      <c r="J1008" s="146"/>
      <c r="K1008" s="146"/>
      <c r="L1008" s="146"/>
      <c r="M1008" s="146"/>
      <c r="N1008" s="146"/>
      <c r="O1008" s="146"/>
      <c r="P1008" s="146"/>
      <c r="Q1008" s="146"/>
      <c r="R1008" s="146"/>
      <c r="S1008" s="146"/>
      <c r="T1008" s="146"/>
      <c r="U1008" s="146"/>
      <c r="V1008" s="146"/>
      <c r="W1008" s="146"/>
      <c r="X1008" s="146"/>
      <c r="Y1008" s="146"/>
      <c r="Z1008" s="146"/>
    </row>
    <row r="1009" ht="22.5" customHeight="1">
      <c r="A1009" s="308"/>
      <c r="B1009" s="305"/>
      <c r="C1009" s="305"/>
      <c r="D1009" s="305"/>
      <c r="E1009" s="305"/>
      <c r="F1009" s="305"/>
      <c r="G1009" s="307"/>
      <c r="H1009" s="146"/>
      <c r="I1009" s="146"/>
      <c r="J1009" s="146"/>
      <c r="K1009" s="146"/>
      <c r="L1009" s="146"/>
      <c r="M1009" s="146"/>
      <c r="N1009" s="146"/>
      <c r="O1009" s="146"/>
      <c r="P1009" s="146"/>
      <c r="Q1009" s="146"/>
      <c r="R1009" s="146"/>
      <c r="S1009" s="146"/>
      <c r="T1009" s="146"/>
      <c r="U1009" s="146"/>
      <c r="V1009" s="146"/>
      <c r="W1009" s="146"/>
      <c r="X1009" s="146"/>
      <c r="Y1009" s="146"/>
      <c r="Z1009" s="146"/>
    </row>
    <row r="1010" ht="22.5" customHeight="1">
      <c r="A1010" s="308"/>
      <c r="B1010" s="305"/>
      <c r="C1010" s="305"/>
      <c r="D1010" s="305"/>
      <c r="E1010" s="305"/>
      <c r="F1010" s="305"/>
      <c r="G1010" s="307"/>
      <c r="H1010" s="146"/>
      <c r="I1010" s="146"/>
      <c r="J1010" s="146"/>
      <c r="K1010" s="146"/>
      <c r="L1010" s="146"/>
      <c r="M1010" s="146"/>
      <c r="N1010" s="146"/>
      <c r="O1010" s="146"/>
      <c r="P1010" s="146"/>
      <c r="Q1010" s="146"/>
      <c r="R1010" s="146"/>
      <c r="S1010" s="146"/>
      <c r="T1010" s="146"/>
      <c r="U1010" s="146"/>
      <c r="V1010" s="146"/>
      <c r="W1010" s="146"/>
      <c r="X1010" s="146"/>
      <c r="Y1010" s="146"/>
      <c r="Z1010" s="146"/>
    </row>
    <row r="1011" ht="22.5" customHeight="1">
      <c r="A1011" s="308"/>
      <c r="B1011" s="305"/>
      <c r="C1011" s="305"/>
      <c r="D1011" s="305"/>
      <c r="E1011" s="305"/>
      <c r="F1011" s="305"/>
      <c r="G1011" s="307"/>
      <c r="H1011" s="146"/>
      <c r="I1011" s="146"/>
      <c r="J1011" s="146"/>
      <c r="K1011" s="146"/>
      <c r="L1011" s="146"/>
      <c r="M1011" s="146"/>
      <c r="N1011" s="146"/>
      <c r="O1011" s="146"/>
      <c r="P1011" s="146"/>
      <c r="Q1011" s="146"/>
      <c r="R1011" s="146"/>
      <c r="S1011" s="146"/>
      <c r="T1011" s="146"/>
      <c r="U1011" s="146"/>
      <c r="V1011" s="146"/>
      <c r="W1011" s="146"/>
      <c r="X1011" s="146"/>
      <c r="Y1011" s="146"/>
      <c r="Z1011" s="146"/>
    </row>
    <row r="1012" ht="22.5" customHeight="1">
      <c r="A1012" s="308"/>
      <c r="B1012" s="305"/>
      <c r="C1012" s="305"/>
      <c r="D1012" s="305"/>
      <c r="E1012" s="305"/>
      <c r="F1012" s="305"/>
      <c r="G1012" s="307"/>
      <c r="H1012" s="146"/>
      <c r="I1012" s="146"/>
      <c r="J1012" s="146"/>
      <c r="K1012" s="146"/>
      <c r="L1012" s="146"/>
      <c r="M1012" s="146"/>
      <c r="N1012" s="146"/>
      <c r="O1012" s="146"/>
      <c r="P1012" s="146"/>
      <c r="Q1012" s="146"/>
      <c r="R1012" s="146"/>
      <c r="S1012" s="146"/>
      <c r="T1012" s="146"/>
      <c r="U1012" s="146"/>
      <c r="V1012" s="146"/>
      <c r="W1012" s="146"/>
      <c r="X1012" s="146"/>
      <c r="Y1012" s="146"/>
      <c r="Z1012" s="146"/>
    </row>
    <row r="1013" ht="22.5" customHeight="1">
      <c r="A1013" s="308"/>
      <c r="B1013" s="305"/>
      <c r="C1013" s="305"/>
      <c r="D1013" s="305"/>
      <c r="E1013" s="305"/>
      <c r="F1013" s="305"/>
      <c r="G1013" s="307"/>
      <c r="H1013" s="146"/>
      <c r="I1013" s="146"/>
      <c r="J1013" s="146"/>
      <c r="K1013" s="146"/>
      <c r="L1013" s="146"/>
      <c r="M1013" s="146"/>
      <c r="N1013" s="146"/>
      <c r="O1013" s="146"/>
      <c r="P1013" s="146"/>
      <c r="Q1013" s="146"/>
      <c r="R1013" s="146"/>
      <c r="S1013" s="146"/>
      <c r="T1013" s="146"/>
      <c r="U1013" s="146"/>
      <c r="V1013" s="146"/>
      <c r="W1013" s="146"/>
      <c r="X1013" s="146"/>
      <c r="Y1013" s="146"/>
      <c r="Z1013" s="146"/>
    </row>
    <row r="1014" ht="22.5" customHeight="1">
      <c r="A1014" s="308"/>
      <c r="B1014" s="305"/>
      <c r="C1014" s="305"/>
      <c r="D1014" s="305"/>
      <c r="E1014" s="305"/>
      <c r="F1014" s="305"/>
      <c r="G1014" s="307"/>
      <c r="H1014" s="146"/>
      <c r="I1014" s="146"/>
      <c r="J1014" s="146"/>
      <c r="K1014" s="146"/>
      <c r="L1014" s="146"/>
      <c r="M1014" s="146"/>
      <c r="N1014" s="146"/>
      <c r="O1014" s="146"/>
      <c r="P1014" s="146"/>
      <c r="Q1014" s="146"/>
      <c r="R1014" s="146"/>
      <c r="S1014" s="146"/>
      <c r="T1014" s="146"/>
      <c r="U1014" s="146"/>
      <c r="V1014" s="146"/>
      <c r="W1014" s="146"/>
      <c r="X1014" s="146"/>
      <c r="Y1014" s="146"/>
      <c r="Z1014" s="146"/>
    </row>
    <row r="1015" ht="22.5" customHeight="1">
      <c r="A1015" s="308"/>
      <c r="B1015" s="305"/>
      <c r="C1015" s="305"/>
      <c r="D1015" s="305"/>
      <c r="E1015" s="305"/>
      <c r="F1015" s="305"/>
      <c r="G1015" s="307"/>
      <c r="H1015" s="146"/>
      <c r="I1015" s="146"/>
      <c r="J1015" s="146"/>
      <c r="K1015" s="146"/>
      <c r="L1015" s="146"/>
      <c r="M1015" s="146"/>
      <c r="N1015" s="146"/>
      <c r="O1015" s="146"/>
      <c r="P1015" s="146"/>
      <c r="Q1015" s="146"/>
      <c r="R1015" s="146"/>
      <c r="S1015" s="146"/>
      <c r="T1015" s="146"/>
      <c r="U1015" s="146"/>
      <c r="V1015" s="146"/>
      <c r="W1015" s="146"/>
      <c r="X1015" s="146"/>
      <c r="Y1015" s="146"/>
      <c r="Z1015" s="146"/>
    </row>
    <row r="1016" ht="22.5" customHeight="1">
      <c r="A1016" s="308"/>
      <c r="B1016" s="305"/>
      <c r="C1016" s="305"/>
      <c r="D1016" s="305"/>
      <c r="E1016" s="305"/>
      <c r="F1016" s="305"/>
      <c r="G1016" s="307"/>
      <c r="H1016" s="146"/>
      <c r="I1016" s="146"/>
      <c r="J1016" s="146"/>
      <c r="K1016" s="146"/>
      <c r="L1016" s="146"/>
      <c r="M1016" s="146"/>
      <c r="N1016" s="146"/>
      <c r="O1016" s="146"/>
      <c r="P1016" s="146"/>
      <c r="Q1016" s="146"/>
      <c r="R1016" s="146"/>
      <c r="S1016" s="146"/>
      <c r="T1016" s="146"/>
      <c r="U1016" s="146"/>
      <c r="V1016" s="146"/>
      <c r="W1016" s="146"/>
      <c r="X1016" s="146"/>
      <c r="Y1016" s="146"/>
      <c r="Z1016" s="146"/>
    </row>
    <row r="1017" ht="22.5" customHeight="1">
      <c r="A1017" s="308"/>
      <c r="B1017" s="305"/>
      <c r="C1017" s="305"/>
      <c r="D1017" s="305"/>
      <c r="E1017" s="305"/>
      <c r="F1017" s="305"/>
      <c r="G1017" s="307"/>
      <c r="H1017" s="146"/>
      <c r="I1017" s="146"/>
      <c r="J1017" s="146"/>
      <c r="K1017" s="146"/>
      <c r="L1017" s="146"/>
      <c r="M1017" s="146"/>
      <c r="N1017" s="146"/>
      <c r="O1017" s="146"/>
      <c r="P1017" s="146"/>
      <c r="Q1017" s="146"/>
      <c r="R1017" s="146"/>
      <c r="S1017" s="146"/>
      <c r="T1017" s="146"/>
      <c r="U1017" s="146"/>
      <c r="V1017" s="146"/>
      <c r="W1017" s="146"/>
      <c r="X1017" s="146"/>
      <c r="Y1017" s="146"/>
      <c r="Z1017" s="146"/>
    </row>
    <row r="1018" ht="22.5" customHeight="1">
      <c r="A1018" s="308"/>
      <c r="B1018" s="305"/>
      <c r="C1018" s="305"/>
      <c r="D1018" s="305"/>
      <c r="E1018" s="305"/>
      <c r="F1018" s="305"/>
      <c r="G1018" s="307"/>
      <c r="H1018" s="146"/>
      <c r="I1018" s="146"/>
      <c r="J1018" s="146"/>
      <c r="K1018" s="146"/>
      <c r="L1018" s="146"/>
      <c r="M1018" s="146"/>
      <c r="N1018" s="146"/>
      <c r="O1018" s="146"/>
      <c r="P1018" s="146"/>
      <c r="Q1018" s="146"/>
      <c r="R1018" s="146"/>
      <c r="S1018" s="146"/>
      <c r="T1018" s="146"/>
      <c r="U1018" s="146"/>
      <c r="V1018" s="146"/>
      <c r="W1018" s="146"/>
      <c r="X1018" s="146"/>
      <c r="Y1018" s="146"/>
      <c r="Z1018" s="146"/>
    </row>
    <row r="1019" ht="22.5" customHeight="1">
      <c r="A1019" s="308"/>
      <c r="B1019" s="305"/>
      <c r="C1019" s="305"/>
      <c r="D1019" s="305"/>
      <c r="E1019" s="305"/>
      <c r="F1019" s="305"/>
      <c r="G1019" s="307"/>
      <c r="H1019" s="146"/>
      <c r="I1019" s="146"/>
      <c r="J1019" s="146"/>
      <c r="K1019" s="146"/>
      <c r="L1019" s="146"/>
      <c r="M1019" s="146"/>
      <c r="N1019" s="146"/>
      <c r="O1019" s="146"/>
      <c r="P1019" s="146"/>
      <c r="Q1019" s="146"/>
      <c r="R1019" s="146"/>
      <c r="S1019" s="146"/>
      <c r="T1019" s="146"/>
      <c r="U1019" s="146"/>
      <c r="V1019" s="146"/>
      <c r="W1019" s="146"/>
      <c r="X1019" s="146"/>
      <c r="Y1019" s="146"/>
      <c r="Z1019" s="146"/>
    </row>
    <row r="1020" ht="22.5" customHeight="1">
      <c r="A1020" s="308"/>
      <c r="B1020" s="305"/>
      <c r="C1020" s="305"/>
      <c r="D1020" s="305"/>
      <c r="E1020" s="305"/>
      <c r="F1020" s="305"/>
      <c r="G1020" s="307"/>
      <c r="H1020" s="146"/>
      <c r="I1020" s="146"/>
      <c r="J1020" s="146"/>
      <c r="K1020" s="146"/>
      <c r="L1020" s="146"/>
      <c r="M1020" s="146"/>
      <c r="N1020" s="146"/>
      <c r="O1020" s="146"/>
      <c r="P1020" s="146"/>
      <c r="Q1020" s="146"/>
      <c r="R1020" s="146"/>
      <c r="S1020" s="146"/>
      <c r="T1020" s="146"/>
      <c r="U1020" s="146"/>
      <c r="V1020" s="146"/>
      <c r="W1020" s="146"/>
      <c r="X1020" s="146"/>
      <c r="Y1020" s="146"/>
      <c r="Z1020" s="146"/>
    </row>
    <row r="1021" ht="22.5" customHeight="1">
      <c r="A1021" s="308"/>
      <c r="B1021" s="305"/>
      <c r="C1021" s="305"/>
      <c r="D1021" s="305"/>
      <c r="E1021" s="305"/>
      <c r="F1021" s="305"/>
      <c r="G1021" s="307"/>
      <c r="H1021" s="146"/>
      <c r="I1021" s="146"/>
      <c r="J1021" s="146"/>
      <c r="K1021" s="146"/>
      <c r="L1021" s="146"/>
      <c r="M1021" s="146"/>
      <c r="N1021" s="146"/>
      <c r="O1021" s="146"/>
      <c r="P1021" s="146"/>
      <c r="Q1021" s="146"/>
      <c r="R1021" s="146"/>
      <c r="S1021" s="146"/>
      <c r="T1021" s="146"/>
      <c r="U1021" s="146"/>
      <c r="V1021" s="146"/>
      <c r="W1021" s="146"/>
      <c r="X1021" s="146"/>
      <c r="Y1021" s="146"/>
      <c r="Z1021" s="146"/>
    </row>
    <row r="1022" ht="22.5" customHeight="1">
      <c r="A1022" s="308"/>
      <c r="B1022" s="305"/>
      <c r="C1022" s="305"/>
      <c r="D1022" s="305"/>
      <c r="E1022" s="305"/>
      <c r="F1022" s="305"/>
      <c r="G1022" s="307"/>
      <c r="H1022" s="146"/>
      <c r="I1022" s="146"/>
      <c r="J1022" s="146"/>
      <c r="K1022" s="146"/>
      <c r="L1022" s="146"/>
      <c r="M1022" s="146"/>
      <c r="N1022" s="146"/>
      <c r="O1022" s="146"/>
      <c r="P1022" s="146"/>
      <c r="Q1022" s="146"/>
      <c r="R1022" s="146"/>
      <c r="S1022" s="146"/>
      <c r="T1022" s="146"/>
      <c r="U1022" s="146"/>
      <c r="V1022" s="146"/>
      <c r="W1022" s="146"/>
      <c r="X1022" s="146"/>
      <c r="Y1022" s="146"/>
      <c r="Z1022" s="146"/>
    </row>
    <row r="1023" ht="22.5" customHeight="1">
      <c r="A1023" s="308"/>
      <c r="B1023" s="305"/>
      <c r="C1023" s="305"/>
      <c r="D1023" s="305"/>
      <c r="E1023" s="305"/>
      <c r="F1023" s="305"/>
      <c r="G1023" s="307"/>
      <c r="H1023" s="146"/>
      <c r="I1023" s="146"/>
      <c r="J1023" s="146"/>
      <c r="K1023" s="146"/>
      <c r="L1023" s="146"/>
      <c r="M1023" s="146"/>
      <c r="N1023" s="146"/>
      <c r="O1023" s="146"/>
      <c r="P1023" s="146"/>
      <c r="Q1023" s="146"/>
      <c r="R1023" s="146"/>
      <c r="S1023" s="146"/>
      <c r="T1023" s="146"/>
      <c r="U1023" s="146"/>
      <c r="V1023" s="146"/>
      <c r="W1023" s="146"/>
      <c r="X1023" s="146"/>
      <c r="Y1023" s="146"/>
      <c r="Z1023" s="146"/>
    </row>
    <row r="1024" ht="22.5" customHeight="1">
      <c r="A1024" s="308"/>
      <c r="B1024" s="305"/>
      <c r="C1024" s="305"/>
      <c r="D1024" s="305"/>
      <c r="E1024" s="305"/>
      <c r="F1024" s="305"/>
      <c r="G1024" s="307"/>
      <c r="H1024" s="146"/>
      <c r="I1024" s="146"/>
      <c r="J1024" s="146"/>
      <c r="K1024" s="146"/>
      <c r="L1024" s="146"/>
      <c r="M1024" s="146"/>
      <c r="N1024" s="146"/>
      <c r="O1024" s="146"/>
      <c r="P1024" s="146"/>
      <c r="Q1024" s="146"/>
      <c r="R1024" s="146"/>
      <c r="S1024" s="146"/>
      <c r="T1024" s="146"/>
      <c r="U1024" s="146"/>
      <c r="V1024" s="146"/>
      <c r="W1024" s="146"/>
      <c r="X1024" s="146"/>
      <c r="Y1024" s="146"/>
      <c r="Z1024" s="146"/>
    </row>
    <row r="1025" ht="22.5" customHeight="1">
      <c r="A1025" s="308"/>
      <c r="B1025" s="305"/>
      <c r="C1025" s="305"/>
      <c r="D1025" s="305"/>
      <c r="E1025" s="305"/>
      <c r="F1025" s="305"/>
      <c r="G1025" s="307"/>
      <c r="H1025" s="146"/>
      <c r="I1025" s="146"/>
      <c r="J1025" s="146"/>
      <c r="K1025" s="146"/>
      <c r="L1025" s="146"/>
      <c r="M1025" s="146"/>
      <c r="N1025" s="146"/>
      <c r="O1025" s="146"/>
      <c r="P1025" s="146"/>
      <c r="Q1025" s="146"/>
      <c r="R1025" s="146"/>
      <c r="S1025" s="146"/>
      <c r="T1025" s="146"/>
      <c r="U1025" s="146"/>
      <c r="V1025" s="146"/>
      <c r="W1025" s="146"/>
      <c r="X1025" s="146"/>
      <c r="Y1025" s="146"/>
      <c r="Z1025" s="146"/>
    </row>
    <row r="1026" ht="22.5" customHeight="1">
      <c r="A1026" s="308"/>
      <c r="B1026" s="305"/>
      <c r="C1026" s="305"/>
      <c r="D1026" s="305"/>
      <c r="E1026" s="305"/>
      <c r="F1026" s="305"/>
      <c r="G1026" s="307"/>
      <c r="H1026" s="146"/>
      <c r="I1026" s="146"/>
      <c r="J1026" s="146"/>
      <c r="K1026" s="146"/>
      <c r="L1026" s="146"/>
      <c r="M1026" s="146"/>
      <c r="N1026" s="146"/>
      <c r="O1026" s="146"/>
      <c r="P1026" s="146"/>
      <c r="Q1026" s="146"/>
      <c r="R1026" s="146"/>
      <c r="S1026" s="146"/>
      <c r="T1026" s="146"/>
      <c r="U1026" s="146"/>
      <c r="V1026" s="146"/>
      <c r="W1026" s="146"/>
      <c r="X1026" s="146"/>
      <c r="Y1026" s="146"/>
      <c r="Z1026" s="146"/>
    </row>
    <row r="1027" ht="22.5" customHeight="1">
      <c r="A1027" s="308"/>
      <c r="B1027" s="305"/>
      <c r="C1027" s="305"/>
      <c r="D1027" s="305"/>
      <c r="E1027" s="305"/>
      <c r="F1027" s="305"/>
      <c r="G1027" s="307"/>
      <c r="H1027" s="146"/>
      <c r="I1027" s="146"/>
      <c r="J1027" s="146"/>
      <c r="K1027" s="146"/>
      <c r="L1027" s="146"/>
      <c r="M1027" s="146"/>
      <c r="N1027" s="146"/>
      <c r="O1027" s="146"/>
      <c r="P1027" s="146"/>
      <c r="Q1027" s="146"/>
      <c r="R1027" s="146"/>
      <c r="S1027" s="146"/>
      <c r="T1027" s="146"/>
      <c r="U1027" s="146"/>
      <c r="V1027" s="146"/>
      <c r="W1027" s="146"/>
      <c r="X1027" s="146"/>
      <c r="Y1027" s="146"/>
      <c r="Z1027" s="146"/>
    </row>
    <row r="1028" ht="22.5" customHeight="1">
      <c r="A1028" s="308"/>
      <c r="B1028" s="305"/>
      <c r="C1028" s="305"/>
      <c r="D1028" s="305"/>
      <c r="E1028" s="305"/>
      <c r="F1028" s="305"/>
      <c r="G1028" s="307"/>
      <c r="H1028" s="146"/>
      <c r="I1028" s="146"/>
      <c r="J1028" s="146"/>
      <c r="K1028" s="146"/>
      <c r="L1028" s="146"/>
      <c r="M1028" s="146"/>
      <c r="N1028" s="146"/>
      <c r="O1028" s="146"/>
      <c r="P1028" s="146"/>
      <c r="Q1028" s="146"/>
      <c r="R1028" s="146"/>
      <c r="S1028" s="146"/>
      <c r="T1028" s="146"/>
      <c r="U1028" s="146"/>
      <c r="V1028" s="146"/>
      <c r="W1028" s="146"/>
      <c r="X1028" s="146"/>
      <c r="Y1028" s="146"/>
      <c r="Z1028" s="146"/>
    </row>
    <row r="1029" ht="22.5" customHeight="1">
      <c r="A1029" s="308"/>
      <c r="B1029" s="305"/>
      <c r="C1029" s="305"/>
      <c r="D1029" s="305"/>
      <c r="E1029" s="305"/>
      <c r="F1029" s="305"/>
      <c r="G1029" s="307"/>
      <c r="H1029" s="146"/>
      <c r="I1029" s="146"/>
      <c r="J1029" s="146"/>
      <c r="K1029" s="146"/>
      <c r="L1029" s="146"/>
      <c r="M1029" s="146"/>
      <c r="N1029" s="146"/>
      <c r="O1029" s="146"/>
      <c r="P1029" s="146"/>
      <c r="Q1029" s="146"/>
      <c r="R1029" s="146"/>
      <c r="S1029" s="146"/>
      <c r="T1029" s="146"/>
      <c r="U1029" s="146"/>
      <c r="V1029" s="146"/>
      <c r="W1029" s="146"/>
      <c r="X1029" s="146"/>
      <c r="Y1029" s="146"/>
      <c r="Z1029" s="146"/>
    </row>
    <row r="1030" ht="22.5" customHeight="1">
      <c r="A1030" s="308"/>
      <c r="B1030" s="305"/>
      <c r="C1030" s="305"/>
      <c r="D1030" s="305"/>
      <c r="E1030" s="305"/>
      <c r="F1030" s="305"/>
      <c r="G1030" s="307"/>
      <c r="H1030" s="146"/>
      <c r="I1030" s="146"/>
      <c r="J1030" s="146"/>
      <c r="K1030" s="146"/>
      <c r="L1030" s="146"/>
      <c r="M1030" s="146"/>
      <c r="N1030" s="146"/>
      <c r="O1030" s="146"/>
      <c r="P1030" s="146"/>
      <c r="Q1030" s="146"/>
      <c r="R1030" s="146"/>
      <c r="S1030" s="146"/>
      <c r="T1030" s="146"/>
      <c r="U1030" s="146"/>
      <c r="V1030" s="146"/>
      <c r="W1030" s="146"/>
      <c r="X1030" s="146"/>
      <c r="Y1030" s="146"/>
      <c r="Z1030" s="146"/>
    </row>
    <row r="1031" ht="22.5" customHeight="1">
      <c r="A1031" s="308"/>
      <c r="B1031" s="305"/>
      <c r="C1031" s="305"/>
      <c r="D1031" s="305"/>
      <c r="E1031" s="305"/>
      <c r="F1031" s="305"/>
      <c r="G1031" s="307"/>
      <c r="H1031" s="146"/>
      <c r="I1031" s="146"/>
      <c r="J1031" s="146"/>
      <c r="K1031" s="146"/>
      <c r="L1031" s="146"/>
      <c r="M1031" s="146"/>
      <c r="N1031" s="146"/>
      <c r="O1031" s="146"/>
      <c r="P1031" s="146"/>
      <c r="Q1031" s="146"/>
      <c r="R1031" s="146"/>
      <c r="S1031" s="146"/>
      <c r="T1031" s="146"/>
      <c r="U1031" s="146"/>
      <c r="V1031" s="146"/>
      <c r="W1031" s="146"/>
      <c r="X1031" s="146"/>
      <c r="Y1031" s="146"/>
      <c r="Z1031" s="146"/>
    </row>
    <row r="1032" ht="22.5" customHeight="1">
      <c r="A1032" s="308"/>
      <c r="B1032" s="305"/>
      <c r="C1032" s="305"/>
      <c r="D1032" s="305"/>
      <c r="E1032" s="305"/>
      <c r="F1032" s="305"/>
      <c r="G1032" s="307"/>
      <c r="H1032" s="146"/>
      <c r="I1032" s="146"/>
      <c r="J1032" s="146"/>
      <c r="K1032" s="146"/>
      <c r="L1032" s="146"/>
      <c r="M1032" s="146"/>
      <c r="N1032" s="146"/>
      <c r="O1032" s="146"/>
      <c r="P1032" s="146"/>
      <c r="Q1032" s="146"/>
      <c r="R1032" s="146"/>
      <c r="S1032" s="146"/>
      <c r="T1032" s="146"/>
      <c r="U1032" s="146"/>
      <c r="V1032" s="146"/>
      <c r="W1032" s="146"/>
      <c r="X1032" s="146"/>
      <c r="Y1032" s="146"/>
      <c r="Z1032" s="146"/>
    </row>
    <row r="1033" ht="22.5" customHeight="1">
      <c r="A1033" s="308"/>
      <c r="B1033" s="305"/>
      <c r="C1033" s="305"/>
      <c r="D1033" s="305"/>
      <c r="E1033" s="305"/>
      <c r="F1033" s="305"/>
      <c r="G1033" s="307"/>
      <c r="H1033" s="146"/>
      <c r="I1033" s="146"/>
      <c r="J1033" s="146"/>
      <c r="K1033" s="146"/>
      <c r="L1033" s="146"/>
      <c r="M1033" s="146"/>
      <c r="N1033" s="146"/>
      <c r="O1033" s="146"/>
      <c r="P1033" s="146"/>
      <c r="Q1033" s="146"/>
      <c r="R1033" s="146"/>
      <c r="S1033" s="146"/>
      <c r="T1033" s="146"/>
      <c r="U1033" s="146"/>
      <c r="V1033" s="146"/>
      <c r="W1033" s="146"/>
      <c r="X1033" s="146"/>
      <c r="Y1033" s="146"/>
      <c r="Z1033" s="146"/>
    </row>
    <row r="1034" ht="22.5" customHeight="1">
      <c r="A1034" s="308"/>
      <c r="B1034" s="305"/>
      <c r="C1034" s="305"/>
      <c r="D1034" s="305"/>
      <c r="E1034" s="305"/>
      <c r="F1034" s="305"/>
      <c r="G1034" s="307"/>
      <c r="H1034" s="146"/>
      <c r="I1034" s="146"/>
      <c r="J1034" s="146"/>
      <c r="K1034" s="146"/>
      <c r="L1034" s="146"/>
      <c r="M1034" s="146"/>
      <c r="N1034" s="146"/>
      <c r="O1034" s="146"/>
      <c r="P1034" s="146"/>
      <c r="Q1034" s="146"/>
      <c r="R1034" s="146"/>
      <c r="S1034" s="146"/>
      <c r="T1034" s="146"/>
      <c r="U1034" s="146"/>
      <c r="V1034" s="146"/>
      <c r="W1034" s="146"/>
      <c r="X1034" s="146"/>
      <c r="Y1034" s="146"/>
      <c r="Z1034" s="146"/>
    </row>
    <row r="1035" ht="22.5" customHeight="1">
      <c r="A1035" s="308"/>
      <c r="B1035" s="305"/>
      <c r="C1035" s="305"/>
      <c r="D1035" s="305"/>
      <c r="E1035" s="305"/>
      <c r="F1035" s="305"/>
      <c r="G1035" s="307"/>
      <c r="H1035" s="146"/>
      <c r="I1035" s="146"/>
      <c r="J1035" s="146"/>
      <c r="K1035" s="146"/>
      <c r="L1035" s="146"/>
      <c r="M1035" s="146"/>
      <c r="N1035" s="146"/>
      <c r="O1035" s="146"/>
      <c r="P1035" s="146"/>
      <c r="Q1035" s="146"/>
      <c r="R1035" s="146"/>
      <c r="S1035" s="146"/>
      <c r="T1035" s="146"/>
      <c r="U1035" s="146"/>
      <c r="V1035" s="146"/>
      <c r="W1035" s="146"/>
      <c r="X1035" s="146"/>
      <c r="Y1035" s="146"/>
      <c r="Z1035" s="146"/>
    </row>
    <row r="1036" ht="22.5" customHeight="1">
      <c r="A1036" s="308"/>
      <c r="B1036" s="305"/>
      <c r="C1036" s="305"/>
      <c r="D1036" s="305"/>
      <c r="E1036" s="305"/>
      <c r="F1036" s="305"/>
      <c r="G1036" s="307"/>
      <c r="H1036" s="146"/>
      <c r="I1036" s="146"/>
      <c r="J1036" s="146"/>
      <c r="K1036" s="146"/>
      <c r="L1036" s="146"/>
      <c r="M1036" s="146"/>
      <c r="N1036" s="146"/>
      <c r="O1036" s="146"/>
      <c r="P1036" s="146"/>
      <c r="Q1036" s="146"/>
      <c r="R1036" s="146"/>
      <c r="S1036" s="146"/>
      <c r="T1036" s="146"/>
      <c r="U1036" s="146"/>
      <c r="V1036" s="146"/>
      <c r="W1036" s="146"/>
      <c r="X1036" s="146"/>
      <c r="Y1036" s="146"/>
      <c r="Z1036" s="146"/>
    </row>
    <row r="1037" ht="22.5" customHeight="1">
      <c r="A1037" s="308"/>
      <c r="B1037" s="305"/>
      <c r="C1037" s="305"/>
      <c r="D1037" s="305"/>
      <c r="E1037" s="305"/>
      <c r="F1037" s="305"/>
      <c r="G1037" s="307"/>
      <c r="H1037" s="146"/>
      <c r="I1037" s="146"/>
      <c r="J1037" s="146"/>
      <c r="K1037" s="146"/>
      <c r="L1037" s="146"/>
      <c r="M1037" s="146"/>
      <c r="N1037" s="146"/>
      <c r="O1037" s="146"/>
      <c r="P1037" s="146"/>
      <c r="Q1037" s="146"/>
      <c r="R1037" s="146"/>
      <c r="S1037" s="146"/>
      <c r="T1037" s="146"/>
      <c r="U1037" s="146"/>
      <c r="V1037" s="146"/>
      <c r="W1037" s="146"/>
      <c r="X1037" s="146"/>
      <c r="Y1037" s="146"/>
      <c r="Z1037" s="146"/>
    </row>
    <row r="1038" ht="22.5" customHeight="1">
      <c r="A1038" s="308"/>
      <c r="B1038" s="305"/>
      <c r="C1038" s="305"/>
      <c r="D1038" s="305"/>
      <c r="E1038" s="305"/>
      <c r="F1038" s="305"/>
      <c r="G1038" s="307"/>
      <c r="H1038" s="146"/>
      <c r="I1038" s="146"/>
      <c r="J1038" s="146"/>
      <c r="K1038" s="146"/>
      <c r="L1038" s="146"/>
      <c r="M1038" s="146"/>
      <c r="N1038" s="146"/>
      <c r="O1038" s="146"/>
      <c r="P1038" s="146"/>
      <c r="Q1038" s="146"/>
      <c r="R1038" s="146"/>
      <c r="S1038" s="146"/>
      <c r="T1038" s="146"/>
      <c r="U1038" s="146"/>
      <c r="V1038" s="146"/>
      <c r="W1038" s="146"/>
      <c r="X1038" s="146"/>
      <c r="Y1038" s="146"/>
      <c r="Z1038" s="146"/>
    </row>
    <row r="1039" ht="22.5" customHeight="1">
      <c r="A1039" s="308"/>
      <c r="B1039" s="305"/>
      <c r="C1039" s="305"/>
      <c r="D1039" s="305"/>
      <c r="E1039" s="305"/>
      <c r="F1039" s="305"/>
      <c r="G1039" s="307"/>
      <c r="H1039" s="146"/>
      <c r="I1039" s="146"/>
      <c r="J1039" s="146"/>
      <c r="K1039" s="146"/>
      <c r="L1039" s="146"/>
      <c r="M1039" s="146"/>
      <c r="N1039" s="146"/>
      <c r="O1039" s="146"/>
      <c r="P1039" s="146"/>
      <c r="Q1039" s="146"/>
      <c r="R1039" s="146"/>
      <c r="S1039" s="146"/>
      <c r="T1039" s="146"/>
      <c r="U1039" s="146"/>
      <c r="V1039" s="146"/>
      <c r="W1039" s="146"/>
      <c r="X1039" s="146"/>
      <c r="Y1039" s="146"/>
      <c r="Z1039" s="146"/>
    </row>
  </sheetData>
  <dataValidations>
    <dataValidation type="custom" allowBlank="1" showDropDown="1" sqref="A2:A1039">
      <formula1>OR(NOT(ISERROR(DATEVALUE(A2))), AND(ISNUMBER(A2), LEFT(CELL("format", A2))="D"))</formula1>
    </dataValidation>
    <dataValidation allowBlank="1" showDropDown="1" sqref="G2:G1039"/>
  </dataValidations>
  <hyperlinks>
    <hyperlink r:id="rId1" ref="F2"/>
    <hyperlink r:id="rId2" ref="F3"/>
    <hyperlink r:id="rId3" ref="F4"/>
    <hyperlink r:id="rId4" ref="F5"/>
    <hyperlink r:id="rId5" ref="F6"/>
    <hyperlink r:id="rId6" ref="F8"/>
    <hyperlink r:id="rId7" location="sent/FFNDWNNvDqwkjFJxrqPXXDMswXsrDKDv" ref="F9"/>
    <hyperlink r:id="rId8" location="sent/FFNDWNNvDqwkjFJxrqPXXDMswXsrDKDv" ref="F10"/>
    <hyperlink r:id="rId9" ref="F11"/>
    <hyperlink r:id="rId10" ref="F12"/>
    <hyperlink r:id="rId11" ref="F13"/>
    <hyperlink r:id="rId12" ref="F16"/>
    <hyperlink r:id="rId13" ref="F17"/>
    <hyperlink r:id="rId14" ref="F18"/>
    <hyperlink r:id="rId15" ref="F19"/>
    <hyperlink r:id="rId16" ref="F21"/>
    <hyperlink r:id="rId17" ref="F22"/>
    <hyperlink r:id="rId18" ref="F23"/>
    <hyperlink r:id="rId19" ref="F24"/>
    <hyperlink r:id="rId20" ref="F25"/>
    <hyperlink r:id="rId21" ref="F26"/>
    <hyperlink r:id="rId22" ref="F27"/>
    <hyperlink r:id="rId23" ref="F31"/>
    <hyperlink r:id="rId24" ref="F38"/>
    <hyperlink r:id="rId25" ref="F39"/>
    <hyperlink r:id="rId26" ref="F40"/>
    <hyperlink r:id="rId27" ref="F41"/>
    <hyperlink r:id="rId28" ref="F42"/>
    <hyperlink r:id="rId29" ref="F44"/>
    <hyperlink r:id="rId30" ref="F45"/>
    <hyperlink r:id="rId31" ref="F46"/>
    <hyperlink r:id="rId32" ref="F47"/>
    <hyperlink r:id="rId33" ref="F48"/>
    <hyperlink r:id="rId34" ref="F49"/>
    <hyperlink r:id="rId35" ref="F50"/>
    <hyperlink r:id="rId36" ref="F51"/>
    <hyperlink r:id="rId37" ref="F52"/>
    <hyperlink r:id="rId38" ref="F53"/>
    <hyperlink r:id="rId39" ref="F54"/>
    <hyperlink r:id="rId40" ref="F55"/>
    <hyperlink r:id="rId41" ref="F56"/>
    <hyperlink r:id="rId42" ref="F57"/>
    <hyperlink r:id="rId43" ref="F58"/>
    <hyperlink r:id="rId44" ref="F59"/>
    <hyperlink r:id="rId45" ref="F60"/>
    <hyperlink r:id="rId46" ref="F61"/>
    <hyperlink r:id="rId47" ref="F62"/>
    <hyperlink r:id="rId48" ref="F63"/>
    <hyperlink r:id="rId49" ref="F64"/>
    <hyperlink r:id="rId50" ref="F65"/>
    <hyperlink r:id="rId51" ref="F66"/>
    <hyperlink r:id="rId52" ref="F67"/>
    <hyperlink r:id="rId53" ref="F68"/>
    <hyperlink r:id="rId54" ref="F69"/>
    <hyperlink r:id="rId55" ref="F70"/>
    <hyperlink r:id="rId56" ref="F71"/>
    <hyperlink r:id="rId57" ref="F72"/>
    <hyperlink r:id="rId58" ref="F73"/>
    <hyperlink r:id="rId59" ref="F74"/>
    <hyperlink r:id="rId60" ref="F75"/>
    <hyperlink r:id="rId61" ref="F76"/>
    <hyperlink r:id="rId62" ref="F77"/>
    <hyperlink r:id="rId63" ref="F78"/>
    <hyperlink r:id="rId64" ref="F79"/>
    <hyperlink r:id="rId65" ref="F80"/>
    <hyperlink r:id="rId66" ref="F81"/>
    <hyperlink r:id="rId67" ref="F82"/>
    <hyperlink r:id="rId68" ref="F83"/>
    <hyperlink r:id="rId69" ref="F85"/>
    <hyperlink r:id="rId70" ref="F86"/>
    <hyperlink r:id="rId71" ref="F87"/>
    <hyperlink r:id="rId72" ref="F88"/>
    <hyperlink r:id="rId73" ref="F89"/>
    <hyperlink r:id="rId74" ref="F90"/>
    <hyperlink r:id="rId75" ref="F91"/>
    <hyperlink r:id="rId76" ref="F96"/>
    <hyperlink r:id="rId77" ref="F97"/>
    <hyperlink r:id="rId78" ref="F98"/>
    <hyperlink r:id="rId79" ref="F99"/>
    <hyperlink r:id="rId80" ref="F100"/>
    <hyperlink r:id="rId81" ref="F101"/>
    <hyperlink r:id="rId82" ref="F102"/>
    <hyperlink r:id="rId83" ref="F103"/>
    <hyperlink r:id="rId84" ref="F104"/>
    <hyperlink r:id="rId85" ref="F105"/>
    <hyperlink r:id="rId86" ref="F106"/>
    <hyperlink r:id="rId87" ref="F107"/>
    <hyperlink r:id="rId88" ref="F108"/>
    <hyperlink r:id="rId89" ref="F109"/>
    <hyperlink r:id="rId90" ref="F110"/>
    <hyperlink r:id="rId91" ref="F111"/>
    <hyperlink r:id="rId92" ref="F112"/>
    <hyperlink r:id="rId93" ref="F114"/>
    <hyperlink r:id="rId94" ref="F117"/>
    <hyperlink r:id="rId95" ref="F118"/>
    <hyperlink r:id="rId96" ref="F119"/>
    <hyperlink r:id="rId97" ref="F120"/>
    <hyperlink r:id="rId98" ref="F122"/>
    <hyperlink r:id="rId99" ref="F123"/>
    <hyperlink r:id="rId100" ref="F124"/>
    <hyperlink r:id="rId101" ref="F128"/>
  </hyperlinks>
  <drawing r:id="rId102"/>
  <tableParts count="1">
    <tablePart r:id="rId104"/>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3.5"/>
    <col customWidth="1" min="3" max="3" width="11.0"/>
    <col customWidth="1" min="4" max="4" width="23.38"/>
    <col customWidth="1" min="5" max="5" width="12.88"/>
    <col customWidth="1" min="6" max="6" width="15.25"/>
    <col customWidth="1" min="7" max="7" width="32.63"/>
  </cols>
  <sheetData>
    <row r="1" ht="66.0" customHeight="1">
      <c r="A1" s="3" t="s">
        <v>1433</v>
      </c>
      <c r="B1" s="27" t="s">
        <v>2240</v>
      </c>
      <c r="C1" s="3" t="s">
        <v>584</v>
      </c>
      <c r="D1" s="27" t="s">
        <v>32</v>
      </c>
      <c r="E1" s="27" t="s">
        <v>33</v>
      </c>
      <c r="F1" s="27" t="s">
        <v>34</v>
      </c>
      <c r="G1" s="3" t="s">
        <v>8</v>
      </c>
      <c r="H1" s="146"/>
      <c r="I1" s="146"/>
      <c r="J1" s="146"/>
      <c r="K1" s="146"/>
      <c r="L1" s="146"/>
      <c r="M1" s="146"/>
      <c r="N1" s="146"/>
      <c r="O1" s="146"/>
      <c r="P1" s="146"/>
      <c r="Q1" s="146"/>
      <c r="R1" s="146"/>
      <c r="S1" s="146"/>
      <c r="T1" s="146"/>
      <c r="U1" s="146"/>
      <c r="V1" s="146"/>
      <c r="W1" s="146"/>
      <c r="X1" s="146"/>
      <c r="Y1" s="146"/>
      <c r="Z1" s="146"/>
    </row>
    <row r="2" ht="22.5" customHeight="1">
      <c r="A2" s="141">
        <v>45856.0</v>
      </c>
      <c r="B2" s="142">
        <v>8.0</v>
      </c>
      <c r="C2" s="68"/>
      <c r="D2" s="68" t="s">
        <v>2363</v>
      </c>
      <c r="E2" s="68" t="s">
        <v>2364</v>
      </c>
      <c r="F2" s="30" t="s">
        <v>2365</v>
      </c>
      <c r="G2" s="31"/>
      <c r="H2" s="146"/>
      <c r="I2" s="146"/>
      <c r="J2" s="146"/>
      <c r="K2" s="146"/>
      <c r="L2" s="146"/>
      <c r="M2" s="146"/>
      <c r="N2" s="146"/>
      <c r="O2" s="146"/>
      <c r="P2" s="146"/>
      <c r="Q2" s="146"/>
      <c r="R2" s="146"/>
      <c r="S2" s="146"/>
      <c r="T2" s="146"/>
      <c r="U2" s="146"/>
      <c r="V2" s="146"/>
      <c r="W2" s="146"/>
      <c r="X2" s="146"/>
      <c r="Y2" s="146"/>
      <c r="Z2" s="146"/>
    </row>
    <row r="3" ht="22.5" customHeight="1">
      <c r="A3" s="141">
        <v>45859.0</v>
      </c>
      <c r="B3" s="142">
        <v>8.0</v>
      </c>
      <c r="C3" s="68"/>
      <c r="D3" s="29" t="s">
        <v>286</v>
      </c>
      <c r="E3" s="29"/>
      <c r="F3" s="29"/>
      <c r="G3" s="31"/>
      <c r="H3" s="146"/>
      <c r="I3" s="146"/>
      <c r="J3" s="146"/>
      <c r="K3" s="146"/>
      <c r="L3" s="146"/>
      <c r="M3" s="146"/>
      <c r="N3" s="146"/>
      <c r="O3" s="146"/>
      <c r="P3" s="146"/>
      <c r="Q3" s="146"/>
      <c r="R3" s="146"/>
      <c r="S3" s="146"/>
      <c r="T3" s="146"/>
      <c r="U3" s="146"/>
      <c r="V3" s="146"/>
      <c r="W3" s="146"/>
      <c r="X3" s="146"/>
      <c r="Y3" s="146"/>
      <c r="Z3" s="146"/>
    </row>
    <row r="4" ht="22.5" customHeight="1">
      <c r="A4" s="141">
        <v>45860.0</v>
      </c>
      <c r="B4" s="142">
        <v>8.0</v>
      </c>
      <c r="C4" s="68"/>
      <c r="D4" s="29" t="s">
        <v>2366</v>
      </c>
      <c r="E4" s="29" t="s">
        <v>39</v>
      </c>
      <c r="F4" s="30" t="s">
        <v>2367</v>
      </c>
      <c r="G4" s="31"/>
      <c r="H4" s="146"/>
      <c r="I4" s="146"/>
      <c r="J4" s="146"/>
      <c r="K4" s="146"/>
      <c r="L4" s="146"/>
      <c r="M4" s="146"/>
      <c r="N4" s="146"/>
      <c r="O4" s="146"/>
      <c r="P4" s="146"/>
      <c r="Q4" s="146"/>
      <c r="R4" s="146"/>
      <c r="S4" s="146"/>
      <c r="T4" s="146"/>
      <c r="U4" s="146"/>
      <c r="V4" s="146"/>
      <c r="W4" s="146"/>
      <c r="X4" s="146"/>
      <c r="Y4" s="146"/>
      <c r="Z4" s="146"/>
    </row>
    <row r="5" ht="22.5" customHeight="1">
      <c r="A5" s="141">
        <v>45861.0</v>
      </c>
      <c r="B5" s="142">
        <v>8.0</v>
      </c>
      <c r="C5" s="68"/>
      <c r="D5" s="29" t="s">
        <v>2368</v>
      </c>
      <c r="E5" s="29" t="s">
        <v>39</v>
      </c>
      <c r="F5" s="30" t="s">
        <v>2367</v>
      </c>
      <c r="G5" s="31"/>
      <c r="H5" s="146"/>
      <c r="I5" s="146"/>
      <c r="J5" s="146"/>
      <c r="K5" s="146"/>
      <c r="L5" s="146"/>
      <c r="M5" s="146"/>
      <c r="N5" s="146"/>
      <c r="O5" s="146"/>
      <c r="P5" s="146"/>
      <c r="Q5" s="146"/>
      <c r="R5" s="146"/>
      <c r="S5" s="146"/>
      <c r="T5" s="146"/>
      <c r="U5" s="146"/>
      <c r="V5" s="146"/>
      <c r="W5" s="146"/>
      <c r="X5" s="146"/>
      <c r="Y5" s="146"/>
      <c r="Z5" s="146"/>
    </row>
    <row r="6" ht="22.5" customHeight="1">
      <c r="A6" s="141">
        <v>45862.0</v>
      </c>
      <c r="B6" s="148">
        <v>8.0</v>
      </c>
      <c r="C6" s="68"/>
      <c r="D6" s="29" t="s">
        <v>2369</v>
      </c>
      <c r="E6" s="29" t="s">
        <v>36</v>
      </c>
      <c r="F6" s="30" t="s">
        <v>2367</v>
      </c>
      <c r="G6" s="36"/>
      <c r="H6" s="146"/>
      <c r="I6" s="146"/>
      <c r="J6" s="146"/>
      <c r="K6" s="146"/>
      <c r="L6" s="146"/>
      <c r="M6" s="146"/>
      <c r="N6" s="146"/>
      <c r="O6" s="146"/>
      <c r="P6" s="146"/>
      <c r="Q6" s="146"/>
      <c r="R6" s="146"/>
      <c r="S6" s="146"/>
      <c r="T6" s="146"/>
      <c r="U6" s="146"/>
      <c r="V6" s="146"/>
      <c r="W6" s="146"/>
      <c r="X6" s="146"/>
      <c r="Y6" s="146"/>
      <c r="Z6" s="146"/>
    </row>
    <row r="7" ht="22.5" customHeight="1">
      <c r="A7" s="309">
        <v>45863.0</v>
      </c>
      <c r="B7" s="310">
        <v>8.0</v>
      </c>
      <c r="C7" s="209"/>
      <c r="D7" s="311" t="s">
        <v>86</v>
      </c>
      <c r="E7" s="311"/>
      <c r="F7" s="190"/>
      <c r="G7" s="191" t="s">
        <v>2370</v>
      </c>
      <c r="H7" s="146"/>
      <c r="I7" s="146"/>
      <c r="J7" s="146"/>
      <c r="K7" s="146"/>
      <c r="L7" s="146"/>
      <c r="M7" s="146"/>
      <c r="N7" s="146"/>
      <c r="O7" s="146"/>
      <c r="P7" s="146"/>
      <c r="Q7" s="146"/>
      <c r="R7" s="146"/>
      <c r="S7" s="146"/>
      <c r="T7" s="146"/>
      <c r="U7" s="146"/>
      <c r="V7" s="146"/>
      <c r="W7" s="146"/>
      <c r="X7" s="146"/>
      <c r="Y7" s="146"/>
      <c r="Z7" s="146"/>
    </row>
    <row r="8" ht="39.0" customHeight="1">
      <c r="A8" s="141">
        <v>45866.0</v>
      </c>
      <c r="B8" s="312">
        <v>8.0</v>
      </c>
      <c r="C8" s="313"/>
      <c r="D8" s="314" t="s">
        <v>2371</v>
      </c>
      <c r="E8" s="29" t="s">
        <v>39</v>
      </c>
      <c r="F8" s="30" t="s">
        <v>2319</v>
      </c>
      <c r="G8" s="278"/>
      <c r="H8" s="146"/>
      <c r="J8" s="146"/>
      <c r="K8" s="146"/>
      <c r="L8" s="146"/>
      <c r="M8" s="146"/>
      <c r="N8" s="146"/>
      <c r="O8" s="146"/>
      <c r="P8" s="146"/>
      <c r="Q8" s="146"/>
      <c r="R8" s="146"/>
      <c r="S8" s="146"/>
      <c r="T8" s="146"/>
      <c r="U8" s="146"/>
      <c r="V8" s="146"/>
      <c r="W8" s="146"/>
      <c r="X8" s="146"/>
      <c r="Y8" s="146"/>
      <c r="Z8" s="146"/>
    </row>
    <row r="9" ht="22.5" customHeight="1">
      <c r="A9" s="309">
        <v>45867.0</v>
      </c>
      <c r="B9" s="310">
        <v>8.0</v>
      </c>
      <c r="C9" s="209"/>
      <c r="D9" s="311" t="s">
        <v>86</v>
      </c>
      <c r="E9" s="311"/>
      <c r="F9" s="190"/>
      <c r="G9" s="191" t="s">
        <v>2370</v>
      </c>
      <c r="H9" s="146"/>
      <c r="J9" s="146"/>
      <c r="K9" s="146"/>
      <c r="L9" s="146"/>
      <c r="M9" s="146"/>
      <c r="N9" s="146"/>
      <c r="O9" s="146"/>
      <c r="P9" s="146"/>
      <c r="Q9" s="146"/>
      <c r="R9" s="146"/>
      <c r="S9" s="146"/>
      <c r="T9" s="146"/>
      <c r="U9" s="146"/>
      <c r="V9" s="146"/>
      <c r="W9" s="146"/>
      <c r="X9" s="146"/>
      <c r="Y9" s="146"/>
      <c r="Z9" s="146"/>
    </row>
    <row r="10" ht="22.5" customHeight="1">
      <c r="A10" s="141">
        <v>45868.0</v>
      </c>
      <c r="B10" s="148">
        <v>8.0</v>
      </c>
      <c r="C10" s="68"/>
      <c r="D10" s="72" t="s">
        <v>2372</v>
      </c>
      <c r="E10" s="29" t="s">
        <v>36</v>
      </c>
      <c r="F10" s="32" t="s">
        <v>2373</v>
      </c>
      <c r="G10" s="36"/>
      <c r="H10" s="146"/>
      <c r="I10" s="146"/>
      <c r="J10" s="146"/>
      <c r="K10" s="146"/>
      <c r="L10" s="146"/>
      <c r="M10" s="146"/>
      <c r="N10" s="146"/>
      <c r="O10" s="146"/>
      <c r="P10" s="146"/>
      <c r="Q10" s="146"/>
      <c r="R10" s="146"/>
      <c r="S10" s="146"/>
      <c r="T10" s="146"/>
      <c r="U10" s="146"/>
      <c r="V10" s="146"/>
      <c r="W10" s="146"/>
      <c r="X10" s="146"/>
      <c r="Y10" s="146"/>
      <c r="Z10" s="146"/>
    </row>
    <row r="11" ht="22.5" customHeight="1">
      <c r="A11" s="141">
        <v>45869.0</v>
      </c>
      <c r="B11" s="148">
        <v>8.0</v>
      </c>
      <c r="C11" s="72"/>
      <c r="D11" s="72" t="s">
        <v>2374</v>
      </c>
      <c r="E11" s="29" t="s">
        <v>36</v>
      </c>
      <c r="F11" s="32" t="s">
        <v>2375</v>
      </c>
      <c r="G11" s="31"/>
      <c r="H11" s="146"/>
      <c r="I11" s="146"/>
      <c r="J11" s="146"/>
      <c r="K11" s="146"/>
      <c r="L11" s="146"/>
      <c r="M11" s="146"/>
      <c r="N11" s="146"/>
      <c r="O11" s="146"/>
      <c r="P11" s="146"/>
      <c r="Q11" s="146"/>
      <c r="R11" s="146"/>
      <c r="S11" s="146"/>
      <c r="T11" s="146"/>
      <c r="U11" s="146"/>
      <c r="V11" s="146"/>
      <c r="W11" s="146"/>
      <c r="X11" s="146"/>
      <c r="Y11" s="146"/>
      <c r="Z11" s="146"/>
    </row>
    <row r="12" ht="22.5" customHeight="1">
      <c r="A12" s="141">
        <v>45870.0</v>
      </c>
      <c r="B12" s="148">
        <v>8.0</v>
      </c>
      <c r="C12" s="72"/>
      <c r="D12" s="49" t="s">
        <v>2376</v>
      </c>
      <c r="E12" s="68" t="s">
        <v>2377</v>
      </c>
      <c r="F12" s="32" t="s">
        <v>2378</v>
      </c>
      <c r="G12" s="31"/>
      <c r="H12" s="146"/>
      <c r="I12" s="146"/>
      <c r="J12" s="146"/>
      <c r="K12" s="146"/>
      <c r="L12" s="146"/>
      <c r="M12" s="146"/>
      <c r="N12" s="146"/>
      <c r="O12" s="146"/>
      <c r="P12" s="146"/>
      <c r="Q12" s="146"/>
      <c r="R12" s="146"/>
      <c r="S12" s="146"/>
      <c r="T12" s="146"/>
      <c r="U12" s="146"/>
      <c r="V12" s="146"/>
      <c r="W12" s="146"/>
      <c r="X12" s="146"/>
      <c r="Y12" s="146"/>
      <c r="Z12" s="146"/>
    </row>
    <row r="13" ht="22.5" customHeight="1">
      <c r="A13" s="141">
        <v>45873.0</v>
      </c>
      <c r="B13" s="148">
        <v>8.0</v>
      </c>
      <c r="C13" s="72"/>
      <c r="D13" s="49" t="s">
        <v>2379</v>
      </c>
      <c r="E13" s="68" t="s">
        <v>36</v>
      </c>
      <c r="F13" s="32" t="s">
        <v>2380</v>
      </c>
      <c r="G13" s="31"/>
      <c r="H13" s="146"/>
      <c r="I13" s="146"/>
      <c r="J13" s="146"/>
      <c r="K13" s="146"/>
      <c r="L13" s="146"/>
      <c r="M13" s="146"/>
      <c r="N13" s="146"/>
      <c r="O13" s="146"/>
      <c r="P13" s="146"/>
      <c r="Q13" s="146"/>
      <c r="R13" s="146"/>
      <c r="S13" s="146"/>
      <c r="T13" s="146"/>
      <c r="U13" s="146"/>
      <c r="V13" s="146"/>
      <c r="W13" s="146"/>
      <c r="X13" s="146"/>
      <c r="Y13" s="146"/>
      <c r="Z13" s="146"/>
    </row>
    <row r="14" ht="22.5" customHeight="1">
      <c r="A14" s="141">
        <v>45874.0</v>
      </c>
      <c r="B14" s="148">
        <v>8.0</v>
      </c>
      <c r="C14" s="72"/>
      <c r="D14" s="49" t="s">
        <v>2381</v>
      </c>
      <c r="E14" s="68" t="s">
        <v>36</v>
      </c>
      <c r="F14" s="32" t="s">
        <v>2382</v>
      </c>
      <c r="G14" s="31"/>
      <c r="H14" s="146"/>
      <c r="I14" s="146"/>
      <c r="J14" s="146"/>
      <c r="K14" s="146"/>
      <c r="L14" s="146"/>
      <c r="M14" s="146"/>
      <c r="N14" s="146"/>
      <c r="O14" s="146"/>
      <c r="P14" s="146"/>
      <c r="Q14" s="146"/>
      <c r="R14" s="146"/>
      <c r="S14" s="146"/>
      <c r="T14" s="146"/>
      <c r="U14" s="146"/>
      <c r="V14" s="146"/>
      <c r="W14" s="146"/>
      <c r="X14" s="146"/>
      <c r="Y14" s="146"/>
      <c r="Z14" s="146"/>
    </row>
    <row r="15" ht="22.5" customHeight="1">
      <c r="A15" s="141">
        <v>45875.0</v>
      </c>
      <c r="B15" s="148">
        <v>8.0</v>
      </c>
      <c r="C15" s="72"/>
      <c r="D15" s="49" t="s">
        <v>2383</v>
      </c>
      <c r="E15" s="29" t="s">
        <v>39</v>
      </c>
      <c r="F15" s="32" t="s">
        <v>2384</v>
      </c>
      <c r="G15" s="31"/>
      <c r="H15" s="146"/>
      <c r="I15" s="146"/>
      <c r="J15" s="146"/>
      <c r="K15" s="146"/>
      <c r="L15" s="146"/>
      <c r="M15" s="146"/>
      <c r="N15" s="146"/>
      <c r="O15" s="146"/>
      <c r="P15" s="146"/>
      <c r="Q15" s="146"/>
      <c r="R15" s="146"/>
      <c r="S15" s="146"/>
      <c r="T15" s="146"/>
      <c r="U15" s="146"/>
      <c r="V15" s="146"/>
      <c r="W15" s="146"/>
      <c r="X15" s="146"/>
      <c r="Y15" s="146"/>
      <c r="Z15" s="146"/>
    </row>
    <row r="16" ht="22.5" customHeight="1">
      <c r="A16" s="141">
        <v>45876.0</v>
      </c>
      <c r="B16" s="148">
        <v>8.0</v>
      </c>
      <c r="C16" s="47"/>
      <c r="D16" s="49" t="s">
        <v>2385</v>
      </c>
      <c r="E16" s="29" t="s">
        <v>39</v>
      </c>
      <c r="F16" s="32" t="s">
        <v>2386</v>
      </c>
      <c r="G16" s="36"/>
      <c r="H16" s="146"/>
      <c r="I16" s="146"/>
      <c r="J16" s="146"/>
      <c r="K16" s="146"/>
      <c r="L16" s="146"/>
      <c r="M16" s="146"/>
      <c r="N16" s="146"/>
      <c r="O16" s="146"/>
      <c r="P16" s="146"/>
      <c r="Q16" s="146"/>
      <c r="R16" s="146"/>
      <c r="S16" s="146"/>
      <c r="T16" s="146"/>
      <c r="U16" s="146"/>
      <c r="V16" s="146"/>
      <c r="W16" s="146"/>
      <c r="X16" s="146"/>
      <c r="Y16" s="146"/>
      <c r="Z16" s="146"/>
    </row>
    <row r="17" ht="22.5" customHeight="1">
      <c r="A17" s="141">
        <v>45877.0</v>
      </c>
      <c r="B17" s="148">
        <v>8.0</v>
      </c>
      <c r="C17" s="47"/>
      <c r="D17" s="49" t="s">
        <v>2387</v>
      </c>
      <c r="E17" s="29" t="s">
        <v>39</v>
      </c>
      <c r="F17" s="32" t="s">
        <v>2388</v>
      </c>
      <c r="G17" s="36"/>
      <c r="H17" s="146"/>
      <c r="I17" s="146"/>
      <c r="J17" s="146"/>
      <c r="K17" s="146"/>
      <c r="L17" s="146"/>
      <c r="M17" s="146"/>
      <c r="N17" s="146"/>
      <c r="O17" s="146"/>
      <c r="P17" s="146"/>
      <c r="Q17" s="146"/>
      <c r="R17" s="146"/>
      <c r="S17" s="146"/>
      <c r="T17" s="146"/>
      <c r="U17" s="146"/>
      <c r="V17" s="146"/>
      <c r="W17" s="146"/>
      <c r="X17" s="146"/>
      <c r="Y17" s="146"/>
      <c r="Z17" s="146"/>
    </row>
    <row r="18" ht="22.5" customHeight="1">
      <c r="A18" s="141">
        <v>45880.0</v>
      </c>
      <c r="B18" s="148">
        <v>8.0</v>
      </c>
      <c r="C18" s="47"/>
      <c r="D18" s="49" t="s">
        <v>2389</v>
      </c>
      <c r="E18" s="29" t="s">
        <v>39</v>
      </c>
      <c r="F18" s="32" t="s">
        <v>2390</v>
      </c>
      <c r="G18" s="36"/>
      <c r="H18" s="146"/>
      <c r="I18" s="146"/>
      <c r="J18" s="146"/>
      <c r="K18" s="146"/>
      <c r="L18" s="146"/>
      <c r="M18" s="146"/>
      <c r="N18" s="146"/>
      <c r="O18" s="146"/>
      <c r="P18" s="146"/>
      <c r="Q18" s="146"/>
      <c r="R18" s="146"/>
      <c r="S18" s="146"/>
      <c r="T18" s="146"/>
      <c r="U18" s="146"/>
      <c r="V18" s="146"/>
      <c r="W18" s="146"/>
      <c r="X18" s="146"/>
      <c r="Y18" s="146"/>
      <c r="Z18" s="146"/>
    </row>
    <row r="19" ht="22.5" customHeight="1">
      <c r="A19" s="141">
        <v>45881.0</v>
      </c>
      <c r="B19" s="148">
        <v>8.0</v>
      </c>
      <c r="C19" s="49"/>
      <c r="D19" s="49" t="s">
        <v>2389</v>
      </c>
      <c r="E19" s="29" t="s">
        <v>39</v>
      </c>
      <c r="F19" s="32" t="s">
        <v>2391</v>
      </c>
      <c r="G19" s="36"/>
      <c r="H19" s="146"/>
      <c r="I19" s="146"/>
      <c r="J19" s="146"/>
      <c r="K19" s="146"/>
      <c r="L19" s="146"/>
      <c r="M19" s="146"/>
      <c r="N19" s="146"/>
      <c r="O19" s="146"/>
      <c r="P19" s="146"/>
      <c r="Q19" s="146"/>
      <c r="R19" s="146"/>
      <c r="S19" s="146"/>
      <c r="T19" s="146"/>
      <c r="U19" s="146"/>
      <c r="V19" s="146"/>
      <c r="W19" s="146"/>
      <c r="X19" s="146"/>
      <c r="Y19" s="146"/>
      <c r="Z19" s="146"/>
    </row>
    <row r="20" ht="22.5" customHeight="1">
      <c r="A20" s="141">
        <v>45882.0</v>
      </c>
      <c r="B20" s="148">
        <v>8.0</v>
      </c>
      <c r="C20" s="49"/>
      <c r="D20" s="49" t="s">
        <v>2387</v>
      </c>
      <c r="E20" s="29" t="s">
        <v>39</v>
      </c>
      <c r="F20" s="32" t="s">
        <v>2392</v>
      </c>
      <c r="G20" s="36"/>
      <c r="H20" s="146"/>
      <c r="I20" s="146"/>
      <c r="J20" s="146"/>
      <c r="K20" s="146"/>
      <c r="L20" s="146"/>
      <c r="M20" s="146"/>
      <c r="N20" s="146"/>
      <c r="O20" s="146"/>
      <c r="P20" s="146"/>
      <c r="Q20" s="146"/>
      <c r="R20" s="146"/>
      <c r="S20" s="146"/>
      <c r="T20" s="146"/>
      <c r="U20" s="146"/>
      <c r="V20" s="146"/>
      <c r="W20" s="146"/>
      <c r="X20" s="146"/>
      <c r="Y20" s="146"/>
      <c r="Z20" s="146"/>
    </row>
    <row r="21" ht="22.5" customHeight="1">
      <c r="A21" s="141">
        <v>45883.0</v>
      </c>
      <c r="B21" s="148">
        <v>8.0</v>
      </c>
      <c r="C21" s="49"/>
      <c r="D21" s="49" t="s">
        <v>2393</v>
      </c>
      <c r="E21" s="29" t="s">
        <v>39</v>
      </c>
      <c r="F21" s="315" t="s">
        <v>584</v>
      </c>
      <c r="G21" s="36"/>
      <c r="H21" s="146"/>
      <c r="I21" s="146"/>
      <c r="J21" s="146"/>
      <c r="K21" s="146"/>
      <c r="L21" s="146"/>
      <c r="M21" s="146"/>
      <c r="N21" s="146"/>
      <c r="O21" s="146"/>
      <c r="P21" s="146"/>
      <c r="Q21" s="146"/>
      <c r="R21" s="146"/>
      <c r="S21" s="146"/>
      <c r="T21" s="146"/>
      <c r="U21" s="146"/>
      <c r="V21" s="146"/>
      <c r="W21" s="146"/>
      <c r="X21" s="146"/>
      <c r="Y21" s="146"/>
      <c r="Z21" s="146"/>
    </row>
    <row r="22" ht="22.5" customHeight="1">
      <c r="A22" s="141">
        <v>45884.0</v>
      </c>
      <c r="B22" s="148">
        <v>8.0</v>
      </c>
      <c r="C22" s="49"/>
      <c r="D22" s="49" t="s">
        <v>2394</v>
      </c>
      <c r="E22" s="29" t="s">
        <v>39</v>
      </c>
      <c r="F22" s="316" t="s">
        <v>2395</v>
      </c>
      <c r="G22" s="36"/>
      <c r="H22" s="146"/>
      <c r="I22" s="146"/>
      <c r="J22" s="146"/>
      <c r="K22" s="146"/>
      <c r="L22" s="146"/>
      <c r="M22" s="146"/>
      <c r="N22" s="146"/>
      <c r="O22" s="146"/>
      <c r="P22" s="146"/>
      <c r="Q22" s="146"/>
      <c r="R22" s="146"/>
      <c r="S22" s="146"/>
      <c r="T22" s="146"/>
      <c r="U22" s="146"/>
      <c r="V22" s="146"/>
      <c r="W22" s="146"/>
      <c r="X22" s="146"/>
      <c r="Y22" s="146"/>
      <c r="Z22" s="146"/>
    </row>
    <row r="23" ht="22.5" customHeight="1">
      <c r="A23" s="141">
        <v>45887.0</v>
      </c>
      <c r="B23" s="148">
        <v>8.0</v>
      </c>
      <c r="C23" s="49"/>
      <c r="D23" s="49" t="s">
        <v>2394</v>
      </c>
      <c r="E23" s="29" t="s">
        <v>39</v>
      </c>
      <c r="F23" s="316" t="s">
        <v>2396</v>
      </c>
      <c r="G23" s="53"/>
      <c r="H23" s="146"/>
      <c r="I23" s="146"/>
      <c r="J23" s="146"/>
      <c r="K23" s="146"/>
      <c r="L23" s="146"/>
      <c r="M23" s="146"/>
      <c r="N23" s="146"/>
      <c r="O23" s="146"/>
      <c r="P23" s="146"/>
      <c r="Q23" s="146"/>
      <c r="R23" s="146"/>
      <c r="S23" s="146"/>
      <c r="T23" s="146"/>
      <c r="U23" s="146"/>
      <c r="V23" s="146"/>
      <c r="W23" s="146"/>
      <c r="X23" s="146"/>
      <c r="Y23" s="146"/>
      <c r="Z23" s="146"/>
    </row>
    <row r="24" ht="22.5" customHeight="1">
      <c r="A24" s="141">
        <v>45888.0</v>
      </c>
      <c r="B24" s="148">
        <v>8.0</v>
      </c>
      <c r="C24" s="49"/>
      <c r="D24" s="49" t="s">
        <v>2397</v>
      </c>
      <c r="E24" s="55" t="s">
        <v>2398</v>
      </c>
      <c r="F24" s="316" t="s">
        <v>2399</v>
      </c>
      <c r="G24" s="53"/>
      <c r="H24" s="146"/>
      <c r="I24" s="146"/>
      <c r="J24" s="146"/>
      <c r="K24" s="146"/>
      <c r="L24" s="146"/>
      <c r="M24" s="146"/>
      <c r="N24" s="146"/>
      <c r="O24" s="146"/>
      <c r="P24" s="146"/>
      <c r="Q24" s="146"/>
      <c r="R24" s="146"/>
      <c r="S24" s="146"/>
      <c r="T24" s="146"/>
      <c r="U24" s="146"/>
      <c r="V24" s="146"/>
      <c r="W24" s="146"/>
      <c r="X24" s="146"/>
      <c r="Y24" s="146"/>
      <c r="Z24" s="146"/>
    </row>
    <row r="25" ht="22.5" customHeight="1">
      <c r="A25" s="141">
        <v>45889.0</v>
      </c>
      <c r="B25" s="148">
        <v>8.0</v>
      </c>
      <c r="C25" s="49"/>
      <c r="D25" s="55" t="s">
        <v>2400</v>
      </c>
      <c r="E25" s="29" t="s">
        <v>39</v>
      </c>
      <c r="F25" s="317" t="s">
        <v>2401</v>
      </c>
      <c r="G25" s="53"/>
      <c r="H25" s="146"/>
      <c r="I25" s="146"/>
      <c r="J25" s="146"/>
      <c r="K25" s="146"/>
      <c r="L25" s="146"/>
      <c r="M25" s="146"/>
      <c r="N25" s="146"/>
      <c r="O25" s="146"/>
      <c r="P25" s="146"/>
      <c r="Q25" s="146"/>
      <c r="R25" s="146"/>
      <c r="S25" s="146"/>
      <c r="T25" s="146"/>
      <c r="U25" s="146"/>
      <c r="V25" s="146"/>
      <c r="W25" s="146"/>
      <c r="X25" s="146"/>
      <c r="Y25" s="146"/>
      <c r="Z25" s="146"/>
    </row>
    <row r="26" ht="22.5" customHeight="1">
      <c r="A26" s="141">
        <v>45890.0</v>
      </c>
      <c r="B26" s="148">
        <v>8.0</v>
      </c>
      <c r="C26" s="49"/>
      <c r="D26" s="55" t="s">
        <v>2400</v>
      </c>
      <c r="E26" s="55" t="s">
        <v>2402</v>
      </c>
      <c r="F26" s="317" t="s">
        <v>2403</v>
      </c>
      <c r="G26" s="53"/>
      <c r="H26" s="146"/>
      <c r="I26" s="146"/>
      <c r="J26" s="146"/>
      <c r="K26" s="146"/>
      <c r="L26" s="146"/>
      <c r="M26" s="146"/>
      <c r="N26" s="146"/>
      <c r="O26" s="146"/>
      <c r="P26" s="146"/>
      <c r="Q26" s="146"/>
      <c r="R26" s="146"/>
      <c r="S26" s="146"/>
      <c r="T26" s="146"/>
      <c r="U26" s="146"/>
      <c r="V26" s="146"/>
      <c r="W26" s="146"/>
      <c r="X26" s="146"/>
      <c r="Y26" s="146"/>
      <c r="Z26" s="146"/>
    </row>
    <row r="27" ht="22.5" customHeight="1">
      <c r="A27" s="141">
        <v>45891.0</v>
      </c>
      <c r="B27" s="148">
        <v>8.0</v>
      </c>
      <c r="C27" s="49"/>
      <c r="D27" s="55" t="s">
        <v>2404</v>
      </c>
      <c r="E27" s="55" t="s">
        <v>1952</v>
      </c>
      <c r="F27" s="317" t="s">
        <v>2405</v>
      </c>
      <c r="G27" s="53"/>
      <c r="H27" s="146"/>
      <c r="I27" s="146"/>
      <c r="J27" s="146"/>
      <c r="K27" s="146"/>
      <c r="L27" s="146"/>
      <c r="M27" s="146"/>
      <c r="N27" s="146"/>
      <c r="O27" s="146"/>
      <c r="P27" s="146"/>
      <c r="Q27" s="146"/>
      <c r="R27" s="146"/>
      <c r="S27" s="146"/>
      <c r="T27" s="146"/>
      <c r="U27" s="146"/>
      <c r="V27" s="146"/>
      <c r="W27" s="146"/>
      <c r="X27" s="146"/>
      <c r="Y27" s="146"/>
      <c r="Z27" s="146"/>
    </row>
    <row r="28" ht="22.5" customHeight="1">
      <c r="A28" s="141">
        <v>45894.0</v>
      </c>
      <c r="B28" s="148">
        <v>8.0</v>
      </c>
      <c r="C28" s="49"/>
      <c r="D28" s="55" t="s">
        <v>2406</v>
      </c>
      <c r="E28" s="55" t="s">
        <v>36</v>
      </c>
      <c r="F28" s="317" t="s">
        <v>2407</v>
      </c>
      <c r="G28" s="53"/>
      <c r="H28" s="146"/>
      <c r="I28" s="146"/>
      <c r="J28" s="146"/>
      <c r="K28" s="146"/>
      <c r="L28" s="146"/>
      <c r="M28" s="146"/>
      <c r="N28" s="146"/>
      <c r="O28" s="146"/>
      <c r="P28" s="146"/>
      <c r="Q28" s="146"/>
      <c r="R28" s="146"/>
      <c r="S28" s="146"/>
      <c r="T28" s="146"/>
      <c r="U28" s="146"/>
      <c r="V28" s="146"/>
      <c r="W28" s="146"/>
      <c r="X28" s="146"/>
      <c r="Y28" s="146"/>
      <c r="Z28" s="146"/>
    </row>
    <row r="29" ht="22.5" customHeight="1">
      <c r="A29" s="141">
        <v>45895.0</v>
      </c>
      <c r="B29" s="58">
        <v>8.0</v>
      </c>
      <c r="C29" s="49"/>
      <c r="D29" s="55" t="s">
        <v>2408</v>
      </c>
      <c r="E29" s="55" t="s">
        <v>1022</v>
      </c>
      <c r="F29" s="317" t="s">
        <v>2409</v>
      </c>
      <c r="G29" s="53"/>
      <c r="H29" s="146"/>
      <c r="I29" s="146"/>
      <c r="J29" s="146"/>
      <c r="K29" s="146"/>
      <c r="L29" s="146"/>
      <c r="M29" s="146"/>
      <c r="N29" s="146"/>
      <c r="O29" s="146"/>
      <c r="P29" s="146"/>
      <c r="Q29" s="146"/>
      <c r="R29" s="146"/>
      <c r="S29" s="146"/>
      <c r="T29" s="146"/>
      <c r="U29" s="146"/>
      <c r="V29" s="146"/>
      <c r="W29" s="146"/>
      <c r="X29" s="146"/>
      <c r="Y29" s="146"/>
      <c r="Z29" s="146"/>
    </row>
    <row r="30" ht="22.5" customHeight="1">
      <c r="A30" s="141">
        <v>45896.0</v>
      </c>
      <c r="B30" s="58">
        <v>8.0</v>
      </c>
      <c r="C30" s="49"/>
      <c r="D30" s="55" t="s">
        <v>2410</v>
      </c>
      <c r="E30" s="55" t="s">
        <v>2411</v>
      </c>
      <c r="F30" s="152" t="s">
        <v>2412</v>
      </c>
      <c r="G30" s="53"/>
      <c r="H30" s="146"/>
      <c r="I30" s="146"/>
      <c r="J30" s="146"/>
      <c r="K30" s="146"/>
      <c r="L30" s="146"/>
      <c r="M30" s="146"/>
      <c r="N30" s="146"/>
      <c r="O30" s="146"/>
      <c r="P30" s="146"/>
      <c r="Q30" s="146"/>
      <c r="R30" s="146"/>
      <c r="S30" s="146"/>
      <c r="T30" s="146"/>
      <c r="U30" s="146"/>
      <c r="V30" s="146"/>
      <c r="W30" s="146"/>
      <c r="X30" s="146"/>
      <c r="Y30" s="146"/>
      <c r="Z30" s="146"/>
    </row>
    <row r="31" ht="22.5" customHeight="1">
      <c r="A31" s="141">
        <v>45897.0</v>
      </c>
      <c r="B31" s="58">
        <v>8.0</v>
      </c>
      <c r="C31" s="49"/>
      <c r="D31" s="55" t="s">
        <v>286</v>
      </c>
      <c r="E31" s="51"/>
      <c r="F31" s="301"/>
      <c r="G31" s="53"/>
      <c r="H31" s="146"/>
      <c r="I31" s="146"/>
      <c r="J31" s="146"/>
      <c r="K31" s="146"/>
      <c r="L31" s="146"/>
      <c r="M31" s="146"/>
      <c r="N31" s="146"/>
      <c r="O31" s="146"/>
      <c r="P31" s="146"/>
      <c r="Q31" s="146"/>
      <c r="R31" s="146"/>
      <c r="S31" s="146"/>
      <c r="T31" s="146"/>
      <c r="U31" s="146"/>
      <c r="V31" s="146"/>
      <c r="W31" s="146"/>
      <c r="X31" s="146"/>
      <c r="Y31" s="146"/>
      <c r="Z31" s="146"/>
    </row>
    <row r="32" ht="22.5" customHeight="1">
      <c r="A32" s="141">
        <v>45898.0</v>
      </c>
      <c r="B32" s="58">
        <v>8.0</v>
      </c>
      <c r="C32" s="49"/>
      <c r="D32" s="55" t="s">
        <v>2413</v>
      </c>
      <c r="E32" s="55" t="s">
        <v>2414</v>
      </c>
      <c r="F32" s="152" t="s">
        <v>2415</v>
      </c>
      <c r="G32" s="53"/>
      <c r="H32" s="146"/>
      <c r="I32" s="146"/>
      <c r="J32" s="146"/>
      <c r="K32" s="146"/>
      <c r="L32" s="146"/>
      <c r="M32" s="146"/>
      <c r="N32" s="146"/>
      <c r="O32" s="146"/>
      <c r="P32" s="146"/>
      <c r="Q32" s="146"/>
      <c r="R32" s="146"/>
      <c r="S32" s="146"/>
      <c r="T32" s="146"/>
      <c r="U32" s="146"/>
      <c r="V32" s="146"/>
      <c r="W32" s="146"/>
      <c r="X32" s="146"/>
      <c r="Y32" s="146"/>
      <c r="Z32" s="146"/>
    </row>
    <row r="33" ht="22.5" customHeight="1">
      <c r="A33" s="141">
        <v>45901.0</v>
      </c>
      <c r="B33" s="58">
        <v>8.0</v>
      </c>
      <c r="C33" s="49"/>
      <c r="D33" s="55" t="s">
        <v>2416</v>
      </c>
      <c r="E33" s="55" t="s">
        <v>2417</v>
      </c>
      <c r="F33" s="152" t="s">
        <v>2418</v>
      </c>
      <c r="G33" s="53"/>
      <c r="H33" s="146"/>
      <c r="I33" s="146"/>
      <c r="J33" s="146"/>
      <c r="K33" s="146"/>
      <c r="L33" s="146"/>
      <c r="M33" s="146"/>
      <c r="N33" s="146"/>
      <c r="O33" s="146"/>
      <c r="P33" s="146"/>
      <c r="Q33" s="146"/>
      <c r="R33" s="146"/>
      <c r="S33" s="146"/>
      <c r="T33" s="146"/>
      <c r="U33" s="146"/>
      <c r="V33" s="146"/>
      <c r="W33" s="146"/>
      <c r="X33" s="146"/>
      <c r="Y33" s="146"/>
      <c r="Z33" s="146"/>
    </row>
    <row r="34" ht="22.5" customHeight="1">
      <c r="A34" s="141">
        <v>45902.0</v>
      </c>
      <c r="B34" s="58">
        <v>8.0</v>
      </c>
      <c r="C34" s="51"/>
      <c r="D34" s="55" t="s">
        <v>2419</v>
      </c>
      <c r="E34" s="55" t="s">
        <v>2420</v>
      </c>
      <c r="F34" s="152" t="s">
        <v>2421</v>
      </c>
      <c r="G34" s="53"/>
      <c r="H34" s="146"/>
      <c r="I34" s="146"/>
      <c r="J34" s="146"/>
      <c r="K34" s="146"/>
      <c r="L34" s="146"/>
      <c r="M34" s="146"/>
      <c r="N34" s="146"/>
      <c r="O34" s="146"/>
      <c r="P34" s="146"/>
      <c r="Q34" s="146"/>
      <c r="R34" s="146"/>
      <c r="S34" s="146"/>
      <c r="T34" s="146"/>
      <c r="U34" s="146"/>
      <c r="V34" s="146"/>
      <c r="W34" s="146"/>
      <c r="X34" s="146"/>
      <c r="Y34" s="146"/>
      <c r="Z34" s="146"/>
    </row>
    <row r="35" ht="22.5" customHeight="1">
      <c r="A35" s="141">
        <v>45903.0</v>
      </c>
      <c r="B35" s="58">
        <v>8.0</v>
      </c>
      <c r="C35" s="51"/>
      <c r="D35" s="55" t="s">
        <v>2422</v>
      </c>
      <c r="E35" s="55" t="s">
        <v>2423</v>
      </c>
      <c r="F35" s="152" t="s">
        <v>2424</v>
      </c>
      <c r="G35" s="53"/>
      <c r="H35" s="146"/>
      <c r="I35" s="146"/>
      <c r="J35" s="146"/>
      <c r="K35" s="146"/>
      <c r="L35" s="146"/>
      <c r="M35" s="146"/>
      <c r="N35" s="146"/>
      <c r="O35" s="146"/>
      <c r="P35" s="146"/>
      <c r="Q35" s="146"/>
      <c r="R35" s="146"/>
      <c r="S35" s="146"/>
      <c r="T35" s="146"/>
      <c r="U35" s="146"/>
      <c r="V35" s="146"/>
      <c r="W35" s="146"/>
      <c r="X35" s="146"/>
      <c r="Y35" s="146"/>
      <c r="Z35" s="146"/>
    </row>
    <row r="36" ht="22.5" customHeight="1">
      <c r="A36" s="141">
        <v>45904.0</v>
      </c>
      <c r="B36" s="58" t="s">
        <v>2425</v>
      </c>
      <c r="C36" s="51"/>
      <c r="D36" s="55" t="s">
        <v>2426</v>
      </c>
      <c r="E36" s="55" t="s">
        <v>39</v>
      </c>
      <c r="F36" s="55" t="s">
        <v>584</v>
      </c>
      <c r="G36" s="53"/>
      <c r="H36" s="146"/>
      <c r="I36" s="146"/>
      <c r="J36" s="146"/>
      <c r="K36" s="146"/>
      <c r="L36" s="146"/>
      <c r="M36" s="146"/>
      <c r="N36" s="146"/>
      <c r="O36" s="146"/>
      <c r="P36" s="146"/>
      <c r="Q36" s="146"/>
      <c r="R36" s="146"/>
      <c r="S36" s="146"/>
      <c r="T36" s="146"/>
      <c r="U36" s="146"/>
      <c r="V36" s="146"/>
      <c r="W36" s="146"/>
      <c r="X36" s="146"/>
      <c r="Y36" s="146"/>
      <c r="Z36" s="146"/>
    </row>
    <row r="37" ht="22.5" customHeight="1">
      <c r="A37" s="141">
        <v>45905.0</v>
      </c>
      <c r="B37" s="58">
        <v>8.0</v>
      </c>
      <c r="C37" s="51"/>
      <c r="D37" s="55" t="s">
        <v>2427</v>
      </c>
      <c r="E37" s="51"/>
      <c r="F37" s="51"/>
      <c r="G37" s="53"/>
      <c r="H37" s="146"/>
      <c r="I37" s="146"/>
      <c r="J37" s="146"/>
      <c r="K37" s="146"/>
      <c r="L37" s="146"/>
      <c r="M37" s="146"/>
      <c r="N37" s="146"/>
      <c r="O37" s="146"/>
      <c r="P37" s="146"/>
      <c r="Q37" s="146"/>
      <c r="R37" s="146"/>
      <c r="S37" s="146"/>
      <c r="T37" s="146"/>
      <c r="U37" s="146"/>
      <c r="V37" s="146"/>
      <c r="W37" s="146"/>
      <c r="X37" s="146"/>
      <c r="Y37" s="146"/>
      <c r="Z37" s="146"/>
    </row>
    <row r="38" ht="22.5" customHeight="1">
      <c r="A38" s="318">
        <v>45908.0</v>
      </c>
      <c r="B38" s="58" t="s">
        <v>1346</v>
      </c>
      <c r="C38" s="51"/>
      <c r="D38" s="55" t="s">
        <v>2426</v>
      </c>
      <c r="E38" s="55" t="s">
        <v>39</v>
      </c>
      <c r="F38" s="55" t="s">
        <v>584</v>
      </c>
      <c r="G38" s="319"/>
      <c r="H38" s="146"/>
      <c r="I38" s="146"/>
      <c r="J38" s="146"/>
      <c r="K38" s="146"/>
      <c r="L38" s="146"/>
      <c r="M38" s="146"/>
      <c r="N38" s="146"/>
      <c r="O38" s="146"/>
      <c r="P38" s="146"/>
      <c r="Q38" s="146"/>
      <c r="R38" s="146"/>
      <c r="S38" s="146"/>
      <c r="T38" s="146"/>
      <c r="U38" s="146"/>
      <c r="V38" s="146"/>
      <c r="W38" s="146"/>
      <c r="X38" s="146"/>
      <c r="Y38" s="146"/>
      <c r="Z38" s="146"/>
    </row>
    <row r="39" ht="22.5" customHeight="1">
      <c r="A39" s="318">
        <v>45909.0</v>
      </c>
      <c r="B39" s="58" t="s">
        <v>1346</v>
      </c>
      <c r="C39" s="51"/>
      <c r="D39" s="55" t="s">
        <v>2426</v>
      </c>
      <c r="E39" s="55" t="s">
        <v>39</v>
      </c>
      <c r="F39" s="55" t="s">
        <v>584</v>
      </c>
      <c r="G39" s="319"/>
      <c r="H39" s="146"/>
      <c r="I39" s="146"/>
      <c r="J39" s="146"/>
      <c r="K39" s="146"/>
      <c r="L39" s="146"/>
      <c r="M39" s="146"/>
      <c r="N39" s="146"/>
      <c r="O39" s="146"/>
      <c r="P39" s="146"/>
      <c r="Q39" s="146"/>
      <c r="R39" s="146"/>
      <c r="S39" s="146"/>
      <c r="T39" s="146"/>
      <c r="U39" s="146"/>
      <c r="V39" s="146"/>
      <c r="W39" s="146"/>
      <c r="X39" s="146"/>
      <c r="Y39" s="146"/>
      <c r="Z39" s="146"/>
    </row>
    <row r="40" ht="22.5" customHeight="1">
      <c r="A40" s="318">
        <v>45910.0</v>
      </c>
      <c r="B40" s="58" t="s">
        <v>1346</v>
      </c>
      <c r="C40" s="51"/>
      <c r="D40" s="55" t="s">
        <v>2426</v>
      </c>
      <c r="E40" s="55" t="s">
        <v>39</v>
      </c>
      <c r="F40" s="55" t="s">
        <v>584</v>
      </c>
      <c r="G40" s="319"/>
      <c r="H40" s="146"/>
      <c r="I40" s="146"/>
      <c r="J40" s="146"/>
      <c r="K40" s="146"/>
      <c r="L40" s="146"/>
      <c r="M40" s="146"/>
      <c r="N40" s="146"/>
      <c r="O40" s="146"/>
      <c r="P40" s="146"/>
      <c r="Q40" s="146"/>
      <c r="R40" s="146"/>
      <c r="S40" s="146"/>
      <c r="T40" s="146"/>
      <c r="U40" s="146"/>
      <c r="V40" s="146"/>
      <c r="W40" s="146"/>
      <c r="X40" s="146"/>
      <c r="Y40" s="146"/>
      <c r="Z40" s="146"/>
    </row>
    <row r="41" ht="22.5" customHeight="1">
      <c r="A41" s="318">
        <v>45911.0</v>
      </c>
      <c r="B41" s="58">
        <v>8.0</v>
      </c>
      <c r="C41" s="51"/>
      <c r="D41" s="55" t="s">
        <v>2428</v>
      </c>
      <c r="E41" s="57" t="s">
        <v>39</v>
      </c>
      <c r="F41" s="55" t="s">
        <v>584</v>
      </c>
      <c r="G41" s="319"/>
      <c r="H41" s="146"/>
      <c r="I41" s="146"/>
      <c r="J41" s="146"/>
      <c r="K41" s="146"/>
      <c r="L41" s="146"/>
      <c r="M41" s="146"/>
      <c r="N41" s="146"/>
      <c r="O41" s="146"/>
      <c r="P41" s="146"/>
      <c r="Q41" s="146"/>
      <c r="R41" s="146"/>
      <c r="S41" s="146"/>
      <c r="T41" s="146"/>
      <c r="U41" s="146"/>
      <c r="V41" s="146"/>
      <c r="W41" s="146"/>
      <c r="X41" s="146"/>
      <c r="Y41" s="146"/>
      <c r="Z41" s="146"/>
    </row>
    <row r="42" ht="22.5" customHeight="1">
      <c r="A42" s="318">
        <v>45912.0</v>
      </c>
      <c r="B42" s="58" t="s">
        <v>1346</v>
      </c>
      <c r="C42" s="51"/>
      <c r="D42" s="55" t="s">
        <v>2426</v>
      </c>
      <c r="E42" s="55" t="s">
        <v>36</v>
      </c>
      <c r="F42" s="55" t="s">
        <v>584</v>
      </c>
      <c r="G42" s="319"/>
      <c r="H42" s="146"/>
      <c r="I42" s="146"/>
      <c r="J42" s="146"/>
      <c r="K42" s="146"/>
      <c r="L42" s="146"/>
      <c r="M42" s="146"/>
      <c r="N42" s="146"/>
      <c r="O42" s="146"/>
      <c r="P42" s="146"/>
      <c r="Q42" s="146"/>
      <c r="R42" s="146"/>
      <c r="S42" s="146"/>
      <c r="T42" s="146"/>
      <c r="U42" s="146"/>
      <c r="V42" s="146"/>
      <c r="W42" s="146"/>
      <c r="X42" s="146"/>
      <c r="Y42" s="146"/>
      <c r="Z42" s="146"/>
    </row>
    <row r="43" ht="22.5" customHeight="1">
      <c r="A43" s="318">
        <v>45915.0</v>
      </c>
      <c r="B43" s="58">
        <v>8.0</v>
      </c>
      <c r="C43" s="320"/>
      <c r="D43" s="321" t="s">
        <v>2429</v>
      </c>
      <c r="E43" s="55"/>
      <c r="F43" s="55" t="s">
        <v>584</v>
      </c>
      <c r="G43" s="319"/>
      <c r="H43" s="146"/>
      <c r="I43" s="146"/>
      <c r="J43" s="146"/>
      <c r="K43" s="146"/>
      <c r="L43" s="146"/>
      <c r="M43" s="146"/>
      <c r="N43" s="146"/>
      <c r="O43" s="146"/>
      <c r="P43" s="146"/>
      <c r="Q43" s="146"/>
      <c r="R43" s="146"/>
      <c r="S43" s="146"/>
      <c r="T43" s="146"/>
      <c r="U43" s="146"/>
      <c r="V43" s="146"/>
      <c r="W43" s="146"/>
      <c r="X43" s="146"/>
      <c r="Y43" s="146"/>
      <c r="Z43" s="146"/>
    </row>
    <row r="44" ht="22.5" customHeight="1">
      <c r="A44" s="318">
        <v>45916.0</v>
      </c>
      <c r="B44" s="58">
        <v>8.0</v>
      </c>
      <c r="C44" s="320"/>
      <c r="D44" s="321" t="s">
        <v>2430</v>
      </c>
      <c r="E44" s="55" t="s">
        <v>39</v>
      </c>
      <c r="F44" s="152" t="s">
        <v>2431</v>
      </c>
      <c r="G44" s="319"/>
      <c r="H44" s="146"/>
      <c r="I44" s="146"/>
      <c r="J44" s="146"/>
      <c r="K44" s="146"/>
      <c r="L44" s="146"/>
      <c r="M44" s="146"/>
      <c r="N44" s="146"/>
      <c r="O44" s="146"/>
      <c r="P44" s="146"/>
      <c r="Q44" s="146"/>
      <c r="R44" s="146"/>
      <c r="S44" s="146"/>
      <c r="T44" s="146"/>
      <c r="U44" s="146"/>
      <c r="V44" s="146"/>
      <c r="W44" s="146"/>
      <c r="X44" s="146"/>
      <c r="Y44" s="146"/>
      <c r="Z44" s="146"/>
    </row>
    <row r="45" ht="22.5" customHeight="1">
      <c r="A45" s="318">
        <v>45917.0</v>
      </c>
      <c r="B45" s="58">
        <v>8.0</v>
      </c>
      <c r="C45" s="320"/>
      <c r="D45" s="321" t="s">
        <v>2432</v>
      </c>
      <c r="E45" s="55" t="s">
        <v>39</v>
      </c>
      <c r="F45" s="152" t="s">
        <v>2433</v>
      </c>
      <c r="G45" s="319"/>
      <c r="H45" s="146"/>
      <c r="I45" s="146"/>
      <c r="J45" s="146"/>
      <c r="K45" s="146"/>
      <c r="L45" s="146"/>
      <c r="M45" s="146"/>
      <c r="N45" s="146"/>
      <c r="O45" s="146"/>
      <c r="P45" s="146"/>
      <c r="Q45" s="146"/>
      <c r="R45" s="146"/>
      <c r="S45" s="146"/>
      <c r="T45" s="146"/>
      <c r="U45" s="146"/>
      <c r="V45" s="146"/>
      <c r="W45" s="146"/>
      <c r="X45" s="146"/>
      <c r="Y45" s="146"/>
      <c r="Z45" s="146"/>
    </row>
    <row r="46" ht="22.5" customHeight="1">
      <c r="A46" s="318">
        <v>45918.0</v>
      </c>
      <c r="B46" s="58">
        <v>8.0</v>
      </c>
      <c r="C46" s="320"/>
      <c r="D46" s="321" t="s">
        <v>2434</v>
      </c>
      <c r="E46" s="55" t="s">
        <v>1619</v>
      </c>
      <c r="F46" s="152" t="s">
        <v>2435</v>
      </c>
      <c r="G46" s="319"/>
      <c r="H46" s="146"/>
      <c r="I46" s="146"/>
      <c r="J46" s="146"/>
      <c r="K46" s="146"/>
      <c r="L46" s="146"/>
      <c r="M46" s="146"/>
      <c r="N46" s="146"/>
      <c r="O46" s="146"/>
      <c r="P46" s="146"/>
      <c r="Q46" s="146"/>
      <c r="R46" s="146"/>
      <c r="S46" s="146"/>
      <c r="T46" s="146"/>
      <c r="U46" s="146"/>
      <c r="V46" s="146"/>
      <c r="W46" s="146"/>
      <c r="X46" s="146"/>
      <c r="Y46" s="146"/>
      <c r="Z46" s="146"/>
    </row>
    <row r="47" ht="22.5" customHeight="1">
      <c r="A47" s="318">
        <v>45919.0</v>
      </c>
      <c r="B47" s="58">
        <v>8.0</v>
      </c>
      <c r="C47" s="320"/>
      <c r="D47" s="321" t="s">
        <v>2436</v>
      </c>
      <c r="E47" s="55" t="s">
        <v>1952</v>
      </c>
      <c r="F47" s="152" t="s">
        <v>2437</v>
      </c>
      <c r="G47" s="319"/>
      <c r="H47" s="146"/>
      <c r="I47" s="146"/>
      <c r="J47" s="146"/>
      <c r="K47" s="146"/>
      <c r="L47" s="146"/>
      <c r="M47" s="146"/>
      <c r="N47" s="146"/>
      <c r="O47" s="146"/>
      <c r="P47" s="146"/>
      <c r="Q47" s="146"/>
      <c r="R47" s="146"/>
      <c r="S47" s="146"/>
      <c r="T47" s="146"/>
      <c r="U47" s="146"/>
      <c r="V47" s="146"/>
      <c r="W47" s="146"/>
      <c r="X47" s="146"/>
      <c r="Y47" s="146"/>
      <c r="Z47" s="146"/>
    </row>
    <row r="48" ht="22.5" customHeight="1">
      <c r="A48" s="318">
        <v>45922.0</v>
      </c>
      <c r="B48" s="58">
        <v>8.0</v>
      </c>
      <c r="C48" s="320"/>
      <c r="D48" s="321" t="s">
        <v>2438</v>
      </c>
      <c r="E48" s="55" t="s">
        <v>2439</v>
      </c>
      <c r="F48" s="152" t="s">
        <v>2440</v>
      </c>
      <c r="G48" s="319"/>
      <c r="H48" s="146"/>
      <c r="I48" s="146"/>
      <c r="J48" s="146"/>
      <c r="K48" s="146"/>
      <c r="L48" s="146"/>
      <c r="M48" s="146"/>
      <c r="N48" s="146"/>
      <c r="O48" s="146"/>
      <c r="P48" s="146"/>
      <c r="Q48" s="146"/>
      <c r="R48" s="146"/>
      <c r="S48" s="146"/>
      <c r="T48" s="146"/>
      <c r="U48" s="146"/>
      <c r="V48" s="146"/>
      <c r="W48" s="146"/>
      <c r="X48" s="146"/>
      <c r="Y48" s="146"/>
      <c r="Z48" s="146"/>
    </row>
    <row r="49" ht="22.5" customHeight="1">
      <c r="A49" s="318">
        <v>45923.0</v>
      </c>
      <c r="B49" s="58">
        <v>8.0</v>
      </c>
      <c r="C49" s="320"/>
      <c r="D49" s="321" t="s">
        <v>2441</v>
      </c>
      <c r="E49" s="55" t="s">
        <v>39</v>
      </c>
      <c r="F49" s="152" t="s">
        <v>2442</v>
      </c>
      <c r="G49" s="319"/>
      <c r="H49" s="146"/>
      <c r="I49" s="146"/>
      <c r="J49" s="146"/>
      <c r="K49" s="146"/>
      <c r="L49" s="146"/>
      <c r="M49" s="146"/>
      <c r="N49" s="146"/>
      <c r="O49" s="146"/>
      <c r="P49" s="146"/>
      <c r="Q49" s="146"/>
      <c r="R49" s="146"/>
      <c r="S49" s="146"/>
      <c r="T49" s="146"/>
      <c r="U49" s="146"/>
      <c r="V49" s="146"/>
      <c r="W49" s="146"/>
      <c r="X49" s="146"/>
      <c r="Y49" s="146"/>
      <c r="Z49" s="146"/>
    </row>
    <row r="50" ht="22.5" customHeight="1">
      <c r="A50" s="318">
        <v>45924.0</v>
      </c>
      <c r="B50" s="58" t="s">
        <v>2443</v>
      </c>
      <c r="C50" s="320"/>
      <c r="D50" s="321" t="s">
        <v>2444</v>
      </c>
      <c r="E50" s="55" t="s">
        <v>39</v>
      </c>
      <c r="F50" s="55" t="s">
        <v>584</v>
      </c>
      <c r="G50" s="319"/>
      <c r="H50" s="146"/>
      <c r="I50" s="146"/>
      <c r="J50" s="146"/>
      <c r="K50" s="146"/>
      <c r="L50" s="146"/>
      <c r="M50" s="146"/>
      <c r="N50" s="146"/>
      <c r="O50" s="146"/>
      <c r="P50" s="146"/>
      <c r="Q50" s="146"/>
      <c r="R50" s="146"/>
      <c r="S50" s="146"/>
      <c r="T50" s="146"/>
      <c r="U50" s="146"/>
      <c r="V50" s="146"/>
      <c r="W50" s="146"/>
      <c r="X50" s="146"/>
      <c r="Y50" s="146"/>
      <c r="Z50" s="146"/>
    </row>
    <row r="51" ht="22.5" customHeight="1">
      <c r="A51" s="318">
        <v>45925.0</v>
      </c>
      <c r="B51" s="58">
        <v>8.0</v>
      </c>
      <c r="C51" s="320"/>
      <c r="D51" s="321" t="s">
        <v>2445</v>
      </c>
      <c r="E51" s="55" t="s">
        <v>39</v>
      </c>
      <c r="F51" s="152" t="s">
        <v>2446</v>
      </c>
      <c r="G51" s="319"/>
      <c r="H51" s="146"/>
      <c r="I51" s="146"/>
      <c r="J51" s="146"/>
      <c r="K51" s="146"/>
      <c r="L51" s="146"/>
      <c r="M51" s="146"/>
      <c r="N51" s="146"/>
      <c r="O51" s="146"/>
      <c r="P51" s="146"/>
      <c r="Q51" s="146"/>
      <c r="R51" s="146"/>
      <c r="S51" s="146"/>
      <c r="T51" s="146"/>
      <c r="U51" s="146"/>
      <c r="V51" s="146"/>
      <c r="W51" s="146"/>
      <c r="X51" s="146"/>
      <c r="Y51" s="146"/>
      <c r="Z51" s="146"/>
    </row>
    <row r="52" ht="22.5" customHeight="1">
      <c r="A52" s="318">
        <v>45926.0</v>
      </c>
      <c r="B52" s="58">
        <v>8.0</v>
      </c>
      <c r="C52" s="320"/>
      <c r="D52" s="321" t="s">
        <v>2447</v>
      </c>
      <c r="E52" s="55" t="s">
        <v>2448</v>
      </c>
      <c r="F52" s="152" t="s">
        <v>2449</v>
      </c>
      <c r="G52" s="319"/>
      <c r="H52" s="146"/>
      <c r="I52" s="146"/>
      <c r="J52" s="146"/>
      <c r="K52" s="146"/>
      <c r="L52" s="146"/>
      <c r="M52" s="146"/>
      <c r="N52" s="146"/>
      <c r="O52" s="146"/>
      <c r="P52" s="146"/>
      <c r="Q52" s="146"/>
      <c r="R52" s="146"/>
      <c r="S52" s="146"/>
      <c r="T52" s="146"/>
      <c r="U52" s="146"/>
      <c r="V52" s="146"/>
      <c r="W52" s="146"/>
      <c r="X52" s="146"/>
      <c r="Y52" s="146"/>
      <c r="Z52" s="146"/>
    </row>
    <row r="53" ht="22.5" customHeight="1">
      <c r="A53" s="318">
        <v>45929.0</v>
      </c>
      <c r="B53" s="322">
        <v>8.0</v>
      </c>
      <c r="C53" s="323"/>
      <c r="D53" s="324" t="s">
        <v>2450</v>
      </c>
      <c r="E53" s="325" t="s">
        <v>39</v>
      </c>
      <c r="F53" s="325" t="s">
        <v>584</v>
      </c>
      <c r="G53" s="319"/>
      <c r="H53" s="146"/>
      <c r="I53" s="146"/>
      <c r="J53" s="146"/>
      <c r="K53" s="146"/>
      <c r="L53" s="146"/>
      <c r="M53" s="146"/>
      <c r="N53" s="146"/>
      <c r="O53" s="146"/>
      <c r="P53" s="146"/>
      <c r="Q53" s="146"/>
      <c r="R53" s="146"/>
      <c r="S53" s="146"/>
      <c r="T53" s="146"/>
      <c r="U53" s="146"/>
      <c r="V53" s="146"/>
      <c r="W53" s="146"/>
      <c r="X53" s="146"/>
      <c r="Y53" s="146"/>
      <c r="Z53" s="146"/>
    </row>
    <row r="54" ht="22.5" customHeight="1">
      <c r="A54" s="318">
        <v>45930.0</v>
      </c>
      <c r="B54" s="322">
        <v>8.0</v>
      </c>
      <c r="C54" s="323"/>
      <c r="D54" s="324" t="s">
        <v>2451</v>
      </c>
      <c r="E54" s="325" t="s">
        <v>39</v>
      </c>
      <c r="F54" s="325" t="s">
        <v>584</v>
      </c>
      <c r="G54" s="319"/>
      <c r="H54" s="146"/>
      <c r="I54" s="146"/>
      <c r="J54" s="146"/>
      <c r="K54" s="146"/>
      <c r="L54" s="146"/>
      <c r="M54" s="146"/>
      <c r="N54" s="146"/>
      <c r="O54" s="146"/>
      <c r="P54" s="146"/>
      <c r="Q54" s="146"/>
      <c r="R54" s="146"/>
      <c r="S54" s="146"/>
      <c r="T54" s="146"/>
      <c r="U54" s="146"/>
      <c r="V54" s="146"/>
      <c r="W54" s="146"/>
      <c r="X54" s="146"/>
      <c r="Y54" s="146"/>
      <c r="Z54" s="146"/>
    </row>
    <row r="55" ht="22.5" customHeight="1">
      <c r="A55" s="318">
        <v>45931.0</v>
      </c>
      <c r="B55" s="326">
        <v>8.0</v>
      </c>
      <c r="C55" s="320"/>
      <c r="D55" s="321" t="s">
        <v>878</v>
      </c>
      <c r="E55" s="320"/>
      <c r="F55" s="320"/>
      <c r="G55" s="327" t="s">
        <v>2452</v>
      </c>
      <c r="H55" s="146"/>
      <c r="I55" s="146"/>
      <c r="J55" s="146"/>
      <c r="K55" s="146"/>
      <c r="L55" s="146"/>
      <c r="M55" s="146"/>
      <c r="N55" s="146"/>
      <c r="O55" s="146"/>
      <c r="P55" s="146"/>
      <c r="Q55" s="146"/>
      <c r="R55" s="146"/>
      <c r="S55" s="146"/>
      <c r="T55" s="146"/>
      <c r="U55" s="146"/>
      <c r="V55" s="146"/>
      <c r="W55" s="146"/>
      <c r="X55" s="146"/>
      <c r="Y55" s="146"/>
      <c r="Z55" s="146"/>
    </row>
    <row r="56" ht="22.5" customHeight="1">
      <c r="A56" s="318">
        <v>45932.0</v>
      </c>
      <c r="B56" s="326">
        <v>8.0</v>
      </c>
      <c r="C56" s="320"/>
      <c r="D56" s="321" t="s">
        <v>878</v>
      </c>
      <c r="E56" s="320"/>
      <c r="F56" s="320"/>
      <c r="G56" s="327" t="s">
        <v>2452</v>
      </c>
      <c r="H56" s="146"/>
      <c r="I56" s="146"/>
      <c r="J56" s="146"/>
      <c r="K56" s="146"/>
      <c r="L56" s="146"/>
      <c r="M56" s="146"/>
      <c r="N56" s="146"/>
      <c r="O56" s="146"/>
      <c r="P56" s="146"/>
      <c r="Q56" s="146"/>
      <c r="R56" s="146"/>
      <c r="S56" s="146"/>
      <c r="T56" s="146"/>
      <c r="U56" s="146"/>
      <c r="V56" s="146"/>
      <c r="W56" s="146"/>
      <c r="X56" s="146"/>
      <c r="Y56" s="146"/>
      <c r="Z56" s="146"/>
    </row>
    <row r="57" ht="22.5" customHeight="1">
      <c r="A57" s="318">
        <v>45933.0</v>
      </c>
      <c r="B57" s="326">
        <v>8.0</v>
      </c>
      <c r="C57" s="320"/>
      <c r="D57" s="321" t="s">
        <v>878</v>
      </c>
      <c r="E57" s="320"/>
      <c r="F57" s="320"/>
      <c r="G57" s="327" t="s">
        <v>2452</v>
      </c>
      <c r="H57" s="146"/>
      <c r="I57" s="146"/>
      <c r="J57" s="146"/>
      <c r="K57" s="146"/>
      <c r="L57" s="146"/>
      <c r="M57" s="146"/>
      <c r="N57" s="146"/>
      <c r="O57" s="146"/>
      <c r="P57" s="146"/>
      <c r="Q57" s="146"/>
      <c r="R57" s="146"/>
      <c r="S57" s="146"/>
      <c r="T57" s="146"/>
      <c r="U57" s="146"/>
      <c r="V57" s="146"/>
      <c r="W57" s="146"/>
      <c r="X57" s="146"/>
      <c r="Y57" s="146"/>
      <c r="Z57" s="146"/>
    </row>
    <row r="58" ht="22.5" customHeight="1">
      <c r="A58" s="318">
        <v>45934.0</v>
      </c>
      <c r="B58" s="326">
        <v>8.0</v>
      </c>
      <c r="C58" s="320"/>
      <c r="D58" s="321" t="s">
        <v>878</v>
      </c>
      <c r="E58" s="320"/>
      <c r="F58" s="320"/>
      <c r="G58" s="327" t="s">
        <v>2452</v>
      </c>
      <c r="H58" s="146"/>
      <c r="I58" s="146"/>
      <c r="J58" s="146"/>
      <c r="K58" s="146"/>
      <c r="L58" s="146"/>
      <c r="M58" s="146"/>
      <c r="N58" s="146"/>
      <c r="O58" s="146"/>
      <c r="P58" s="146"/>
      <c r="Q58" s="146"/>
      <c r="R58" s="146"/>
      <c r="S58" s="146"/>
      <c r="T58" s="146"/>
      <c r="U58" s="146"/>
      <c r="V58" s="146"/>
      <c r="W58" s="146"/>
      <c r="X58" s="146"/>
      <c r="Y58" s="146"/>
      <c r="Z58" s="146"/>
    </row>
    <row r="59" ht="22.5" customHeight="1">
      <c r="A59" s="318">
        <v>45935.0</v>
      </c>
      <c r="B59" s="326">
        <v>8.0</v>
      </c>
      <c r="C59" s="320"/>
      <c r="D59" s="321" t="s">
        <v>878</v>
      </c>
      <c r="E59" s="320"/>
      <c r="F59" s="320"/>
      <c r="G59" s="327" t="s">
        <v>2452</v>
      </c>
      <c r="H59" s="146"/>
      <c r="I59" s="146"/>
      <c r="J59" s="146"/>
      <c r="K59" s="146"/>
      <c r="L59" s="146"/>
      <c r="M59" s="146"/>
      <c r="N59" s="146"/>
      <c r="O59" s="146"/>
      <c r="P59" s="146"/>
      <c r="Q59" s="146"/>
      <c r="R59" s="146"/>
      <c r="S59" s="146"/>
      <c r="T59" s="146"/>
      <c r="U59" s="146"/>
      <c r="V59" s="146"/>
      <c r="W59" s="146"/>
      <c r="X59" s="146"/>
      <c r="Y59" s="146"/>
      <c r="Z59" s="146"/>
    </row>
    <row r="60" ht="22.5" customHeight="1">
      <c r="A60" s="318">
        <v>45936.0</v>
      </c>
      <c r="B60" s="326">
        <v>8.0</v>
      </c>
      <c r="C60" s="320"/>
      <c r="D60" s="321" t="s">
        <v>878</v>
      </c>
      <c r="E60" s="320"/>
      <c r="F60" s="320"/>
      <c r="G60" s="327" t="s">
        <v>2452</v>
      </c>
      <c r="H60" s="146"/>
      <c r="I60" s="146"/>
      <c r="J60" s="146"/>
      <c r="K60" s="146"/>
      <c r="L60" s="146"/>
      <c r="M60" s="146"/>
      <c r="N60" s="146"/>
      <c r="O60" s="146"/>
      <c r="P60" s="146"/>
      <c r="Q60" s="146"/>
      <c r="R60" s="146"/>
      <c r="S60" s="146"/>
      <c r="T60" s="146"/>
      <c r="U60" s="146"/>
      <c r="V60" s="146"/>
      <c r="W60" s="146"/>
      <c r="X60" s="146"/>
      <c r="Y60" s="146"/>
      <c r="Z60" s="146"/>
    </row>
    <row r="61" ht="22.5" customHeight="1">
      <c r="A61" s="318">
        <v>45937.0</v>
      </c>
      <c r="B61" s="326">
        <v>8.0</v>
      </c>
      <c r="C61" s="320"/>
      <c r="D61" s="321" t="s">
        <v>878</v>
      </c>
      <c r="E61" s="320"/>
      <c r="F61" s="320"/>
      <c r="G61" s="327" t="s">
        <v>2452</v>
      </c>
      <c r="H61" s="146"/>
      <c r="I61" s="146"/>
      <c r="J61" s="146"/>
      <c r="K61" s="146"/>
      <c r="L61" s="146"/>
      <c r="M61" s="146"/>
      <c r="N61" s="146"/>
      <c r="O61" s="146"/>
      <c r="P61" s="146"/>
      <c r="Q61" s="146"/>
      <c r="R61" s="146"/>
      <c r="S61" s="146"/>
      <c r="T61" s="146"/>
      <c r="U61" s="146"/>
      <c r="V61" s="146"/>
      <c r="W61" s="146"/>
      <c r="X61" s="146"/>
      <c r="Y61" s="146"/>
      <c r="Z61" s="146"/>
    </row>
    <row r="62" ht="22.5" customHeight="1">
      <c r="A62" s="318">
        <v>45938.0</v>
      </c>
      <c r="B62" s="326">
        <v>8.0</v>
      </c>
      <c r="C62" s="320"/>
      <c r="D62" s="321" t="s">
        <v>878</v>
      </c>
      <c r="E62" s="320"/>
      <c r="F62" s="320"/>
      <c r="G62" s="327" t="s">
        <v>2452</v>
      </c>
      <c r="H62" s="146"/>
      <c r="I62" s="146"/>
      <c r="J62" s="146"/>
      <c r="K62" s="146"/>
      <c r="L62" s="146"/>
      <c r="M62" s="146"/>
      <c r="N62" s="146"/>
      <c r="O62" s="146"/>
      <c r="P62" s="146"/>
      <c r="Q62" s="146"/>
      <c r="R62" s="146"/>
      <c r="S62" s="146"/>
      <c r="T62" s="146"/>
      <c r="U62" s="146"/>
      <c r="V62" s="146"/>
      <c r="W62" s="146"/>
      <c r="X62" s="146"/>
      <c r="Y62" s="146"/>
      <c r="Z62" s="146"/>
    </row>
    <row r="63" ht="22.5" customHeight="1">
      <c r="A63" s="318">
        <v>45939.0</v>
      </c>
      <c r="B63" s="326">
        <v>8.0</v>
      </c>
      <c r="C63" s="320"/>
      <c r="D63" s="321" t="s">
        <v>878</v>
      </c>
      <c r="E63" s="320"/>
      <c r="F63" s="320"/>
      <c r="G63" s="327" t="s">
        <v>2452</v>
      </c>
      <c r="H63" s="146"/>
      <c r="I63" s="146"/>
      <c r="J63" s="146"/>
      <c r="K63" s="146"/>
      <c r="L63" s="146"/>
      <c r="M63" s="146"/>
      <c r="N63" s="146"/>
      <c r="O63" s="146"/>
      <c r="P63" s="146"/>
      <c r="Q63" s="146"/>
      <c r="R63" s="146"/>
      <c r="S63" s="146"/>
      <c r="T63" s="146"/>
      <c r="U63" s="146"/>
      <c r="V63" s="146"/>
      <c r="W63" s="146"/>
      <c r="X63" s="146"/>
      <c r="Y63" s="146"/>
      <c r="Z63" s="146"/>
    </row>
    <row r="64" ht="22.5" customHeight="1">
      <c r="A64" s="318">
        <v>45940.0</v>
      </c>
      <c r="B64" s="326">
        <v>8.0</v>
      </c>
      <c r="C64" s="320"/>
      <c r="D64" s="321" t="s">
        <v>878</v>
      </c>
      <c r="E64" s="320"/>
      <c r="F64" s="320"/>
      <c r="G64" s="327" t="s">
        <v>2452</v>
      </c>
      <c r="H64" s="146"/>
      <c r="I64" s="146"/>
      <c r="J64" s="146"/>
      <c r="K64" s="146"/>
      <c r="L64" s="146"/>
      <c r="M64" s="146"/>
      <c r="N64" s="146"/>
      <c r="O64" s="146"/>
      <c r="P64" s="146"/>
      <c r="Q64" s="146"/>
      <c r="R64" s="146"/>
      <c r="S64" s="146"/>
      <c r="T64" s="146"/>
      <c r="U64" s="146"/>
      <c r="V64" s="146"/>
      <c r="W64" s="146"/>
      <c r="X64" s="146"/>
      <c r="Y64" s="146"/>
      <c r="Z64" s="146"/>
    </row>
    <row r="65" ht="22.5" customHeight="1">
      <c r="A65" s="318">
        <v>45941.0</v>
      </c>
      <c r="B65" s="326">
        <v>8.0</v>
      </c>
      <c r="C65" s="320"/>
      <c r="D65" s="321" t="s">
        <v>878</v>
      </c>
      <c r="E65" s="320"/>
      <c r="F65" s="320"/>
      <c r="G65" s="327" t="s">
        <v>2452</v>
      </c>
      <c r="H65" s="146"/>
      <c r="I65" s="146"/>
      <c r="J65" s="146"/>
      <c r="K65" s="146"/>
      <c r="L65" s="146"/>
      <c r="M65" s="146"/>
      <c r="N65" s="146"/>
      <c r="O65" s="146"/>
      <c r="P65" s="146"/>
      <c r="Q65" s="146"/>
      <c r="R65" s="146"/>
      <c r="S65" s="146"/>
      <c r="T65" s="146"/>
      <c r="U65" s="146"/>
      <c r="V65" s="146"/>
      <c r="W65" s="146"/>
      <c r="X65" s="146"/>
      <c r="Y65" s="146"/>
      <c r="Z65" s="146"/>
    </row>
    <row r="66" ht="22.5" customHeight="1">
      <c r="A66" s="318">
        <v>45942.0</v>
      </c>
      <c r="B66" s="326">
        <v>8.0</v>
      </c>
      <c r="C66" s="320"/>
      <c r="D66" s="321" t="s">
        <v>878</v>
      </c>
      <c r="E66" s="320"/>
      <c r="F66" s="320"/>
      <c r="G66" s="327" t="s">
        <v>2452</v>
      </c>
      <c r="H66" s="146"/>
      <c r="I66" s="146"/>
      <c r="J66" s="146"/>
      <c r="K66" s="146"/>
      <c r="L66" s="146"/>
      <c r="M66" s="146"/>
      <c r="N66" s="146"/>
      <c r="O66" s="146"/>
      <c r="P66" s="146"/>
      <c r="Q66" s="146"/>
      <c r="R66" s="146"/>
      <c r="S66" s="146"/>
      <c r="T66" s="146"/>
      <c r="U66" s="146"/>
      <c r="V66" s="146"/>
      <c r="W66" s="146"/>
      <c r="X66" s="146"/>
      <c r="Y66" s="146"/>
      <c r="Z66" s="146"/>
    </row>
    <row r="67" ht="22.5" customHeight="1">
      <c r="A67" s="318">
        <v>45943.0</v>
      </c>
      <c r="B67" s="326">
        <v>8.0</v>
      </c>
      <c r="C67" s="320"/>
      <c r="D67" s="321" t="s">
        <v>878</v>
      </c>
      <c r="E67" s="320"/>
      <c r="F67" s="320"/>
      <c r="G67" s="327" t="s">
        <v>2452</v>
      </c>
      <c r="H67" s="146"/>
      <c r="I67" s="146"/>
      <c r="J67" s="146"/>
      <c r="K67" s="146"/>
      <c r="L67" s="146"/>
      <c r="M67" s="146"/>
      <c r="N67" s="146"/>
      <c r="O67" s="146"/>
      <c r="P67" s="146"/>
      <c r="Q67" s="146"/>
      <c r="R67" s="146"/>
      <c r="S67" s="146"/>
      <c r="T67" s="146"/>
      <c r="U67" s="146"/>
      <c r="V67" s="146"/>
      <c r="W67" s="146"/>
      <c r="X67" s="146"/>
      <c r="Y67" s="146"/>
      <c r="Z67" s="146"/>
    </row>
    <row r="68" ht="22.5" customHeight="1">
      <c r="A68" s="318">
        <v>45944.0</v>
      </c>
      <c r="B68" s="326">
        <v>8.0</v>
      </c>
      <c r="C68" s="320"/>
      <c r="D68" s="321" t="s">
        <v>878</v>
      </c>
      <c r="E68" s="320"/>
      <c r="F68" s="320"/>
      <c r="G68" s="327" t="s">
        <v>2452</v>
      </c>
      <c r="H68" s="146"/>
      <c r="I68" s="146"/>
      <c r="J68" s="146"/>
      <c r="K68" s="146"/>
      <c r="L68" s="146"/>
      <c r="M68" s="146"/>
      <c r="N68" s="146"/>
      <c r="O68" s="146"/>
      <c r="P68" s="146"/>
      <c r="Q68" s="146"/>
      <c r="R68" s="146"/>
      <c r="S68" s="146"/>
      <c r="T68" s="146"/>
      <c r="U68" s="146"/>
      <c r="V68" s="146"/>
      <c r="W68" s="146"/>
      <c r="X68" s="146"/>
      <c r="Y68" s="146"/>
      <c r="Z68" s="146"/>
    </row>
    <row r="69" ht="22.5" customHeight="1">
      <c r="A69" s="318">
        <v>45945.0</v>
      </c>
      <c r="B69" s="326">
        <v>8.0</v>
      </c>
      <c r="C69" s="320"/>
      <c r="D69" s="321" t="s">
        <v>878</v>
      </c>
      <c r="E69" s="320"/>
      <c r="F69" s="320"/>
      <c r="G69" s="327" t="s">
        <v>2452</v>
      </c>
      <c r="H69" s="146"/>
      <c r="I69" s="146"/>
      <c r="J69" s="146"/>
      <c r="K69" s="146"/>
      <c r="L69" s="146"/>
      <c r="M69" s="146"/>
      <c r="N69" s="146"/>
      <c r="O69" s="146"/>
      <c r="P69" s="146"/>
      <c r="Q69" s="146"/>
      <c r="R69" s="146"/>
      <c r="S69" s="146"/>
      <c r="T69" s="146"/>
      <c r="U69" s="146"/>
      <c r="V69" s="146"/>
      <c r="W69" s="146"/>
      <c r="X69" s="146"/>
      <c r="Y69" s="146"/>
      <c r="Z69" s="146"/>
    </row>
    <row r="70" ht="22.5" customHeight="1">
      <c r="A70" s="318">
        <v>45946.0</v>
      </c>
      <c r="B70" s="326">
        <v>8.0</v>
      </c>
      <c r="C70" s="320"/>
      <c r="D70" s="321" t="s">
        <v>878</v>
      </c>
      <c r="E70" s="320"/>
      <c r="F70" s="320"/>
      <c r="G70" s="327" t="s">
        <v>2452</v>
      </c>
      <c r="H70" s="146"/>
      <c r="I70" s="146"/>
      <c r="J70" s="146"/>
      <c r="K70" s="146"/>
      <c r="L70" s="146"/>
      <c r="M70" s="146"/>
      <c r="N70" s="146"/>
      <c r="O70" s="146"/>
      <c r="P70" s="146"/>
      <c r="Q70" s="146"/>
      <c r="R70" s="146"/>
      <c r="S70" s="146"/>
      <c r="T70" s="146"/>
      <c r="U70" s="146"/>
      <c r="V70" s="146"/>
      <c r="W70" s="146"/>
      <c r="X70" s="146"/>
      <c r="Y70" s="146"/>
      <c r="Z70" s="146"/>
    </row>
    <row r="71" ht="22.5" customHeight="1">
      <c r="A71" s="318">
        <v>45947.0</v>
      </c>
      <c r="B71" s="326">
        <v>8.0</v>
      </c>
      <c r="C71" s="320"/>
      <c r="D71" s="321" t="s">
        <v>878</v>
      </c>
      <c r="E71" s="320"/>
      <c r="F71" s="320"/>
      <c r="G71" s="327" t="s">
        <v>2452</v>
      </c>
      <c r="H71" s="146"/>
      <c r="I71" s="146"/>
      <c r="J71" s="146"/>
      <c r="K71" s="146"/>
      <c r="L71" s="146"/>
      <c r="M71" s="146"/>
      <c r="N71" s="146"/>
      <c r="O71" s="146"/>
      <c r="P71" s="146"/>
      <c r="Q71" s="146"/>
      <c r="R71" s="146"/>
      <c r="S71" s="146"/>
      <c r="T71" s="146"/>
      <c r="U71" s="146"/>
      <c r="V71" s="146"/>
      <c r="W71" s="146"/>
      <c r="X71" s="146"/>
      <c r="Y71" s="146"/>
      <c r="Z71" s="146"/>
    </row>
    <row r="72" ht="22.5" customHeight="1">
      <c r="A72" s="318">
        <v>45948.0</v>
      </c>
      <c r="B72" s="326">
        <v>8.0</v>
      </c>
      <c r="C72" s="320"/>
      <c r="D72" s="321" t="s">
        <v>878</v>
      </c>
      <c r="E72" s="320"/>
      <c r="F72" s="320"/>
      <c r="G72" s="327" t="s">
        <v>2452</v>
      </c>
      <c r="H72" s="146"/>
      <c r="I72" s="146"/>
      <c r="J72" s="146"/>
      <c r="K72" s="146"/>
      <c r="L72" s="146"/>
      <c r="M72" s="146"/>
      <c r="N72" s="146"/>
      <c r="O72" s="146"/>
      <c r="P72" s="146"/>
      <c r="Q72" s="146"/>
      <c r="R72" s="146"/>
      <c r="S72" s="146"/>
      <c r="T72" s="146"/>
      <c r="U72" s="146"/>
      <c r="V72" s="146"/>
      <c r="W72" s="146"/>
      <c r="X72" s="146"/>
      <c r="Y72" s="146"/>
      <c r="Z72" s="146"/>
    </row>
    <row r="73" ht="22.5" customHeight="1">
      <c r="A73" s="318">
        <v>45949.0</v>
      </c>
      <c r="B73" s="326">
        <v>8.0</v>
      </c>
      <c r="C73" s="320"/>
      <c r="D73" s="321" t="s">
        <v>878</v>
      </c>
      <c r="E73" s="320"/>
      <c r="F73" s="320"/>
      <c r="G73" s="327" t="s">
        <v>2452</v>
      </c>
      <c r="H73" s="146"/>
      <c r="I73" s="146"/>
      <c r="J73" s="146"/>
      <c r="K73" s="146"/>
      <c r="L73" s="146"/>
      <c r="M73" s="146"/>
      <c r="N73" s="146"/>
      <c r="O73" s="146"/>
      <c r="P73" s="146"/>
      <c r="Q73" s="146"/>
      <c r="R73" s="146"/>
      <c r="S73" s="146"/>
      <c r="T73" s="146"/>
      <c r="U73" s="146"/>
      <c r="V73" s="146"/>
      <c r="W73" s="146"/>
      <c r="X73" s="146"/>
      <c r="Y73" s="146"/>
      <c r="Z73" s="146"/>
    </row>
    <row r="74" ht="22.5" customHeight="1">
      <c r="A74" s="318">
        <v>45950.0</v>
      </c>
      <c r="B74" s="326">
        <v>8.0</v>
      </c>
      <c r="C74" s="320"/>
      <c r="D74" s="321" t="s">
        <v>878</v>
      </c>
      <c r="E74" s="320"/>
      <c r="F74" s="320"/>
      <c r="G74" s="327" t="s">
        <v>2452</v>
      </c>
      <c r="H74" s="146"/>
      <c r="I74" s="146"/>
      <c r="J74" s="146"/>
      <c r="K74" s="146"/>
      <c r="L74" s="146"/>
      <c r="M74" s="146"/>
      <c r="N74" s="146"/>
      <c r="O74" s="146"/>
      <c r="P74" s="146"/>
      <c r="Q74" s="146"/>
      <c r="R74" s="146"/>
      <c r="S74" s="146"/>
      <c r="T74" s="146"/>
      <c r="U74" s="146"/>
      <c r="V74" s="146"/>
      <c r="W74" s="146"/>
      <c r="X74" s="146"/>
      <c r="Y74" s="146"/>
      <c r="Z74" s="146"/>
    </row>
    <row r="75" ht="22.5" customHeight="1">
      <c r="A75" s="318">
        <v>45951.0</v>
      </c>
      <c r="B75" s="326">
        <v>8.0</v>
      </c>
      <c r="C75" s="320"/>
      <c r="D75" s="321" t="s">
        <v>878</v>
      </c>
      <c r="E75" s="320"/>
      <c r="F75" s="320"/>
      <c r="G75" s="327" t="s">
        <v>2452</v>
      </c>
      <c r="H75" s="146"/>
      <c r="I75" s="146"/>
      <c r="J75" s="146"/>
      <c r="K75" s="146"/>
      <c r="L75" s="146"/>
      <c r="M75" s="146"/>
      <c r="N75" s="146"/>
      <c r="O75" s="146"/>
      <c r="P75" s="146"/>
      <c r="Q75" s="146"/>
      <c r="R75" s="146"/>
      <c r="S75" s="146"/>
      <c r="T75" s="146"/>
      <c r="U75" s="146"/>
      <c r="V75" s="146"/>
      <c r="W75" s="146"/>
      <c r="X75" s="146"/>
      <c r="Y75" s="146"/>
      <c r="Z75" s="146"/>
    </row>
    <row r="76" ht="22.5" customHeight="1">
      <c r="A76" s="318">
        <v>45952.0</v>
      </c>
      <c r="B76" s="326">
        <v>8.0</v>
      </c>
      <c r="C76" s="320"/>
      <c r="D76" s="321" t="s">
        <v>878</v>
      </c>
      <c r="E76" s="320"/>
      <c r="F76" s="320"/>
      <c r="G76" s="327" t="s">
        <v>2452</v>
      </c>
      <c r="H76" s="146"/>
      <c r="I76" s="146"/>
      <c r="J76" s="146"/>
      <c r="K76" s="146"/>
      <c r="L76" s="146"/>
      <c r="M76" s="146"/>
      <c r="N76" s="146"/>
      <c r="O76" s="146"/>
      <c r="P76" s="146"/>
      <c r="Q76" s="146"/>
      <c r="R76" s="146"/>
      <c r="S76" s="146"/>
      <c r="T76" s="146"/>
      <c r="U76" s="146"/>
      <c r="V76" s="146"/>
      <c r="W76" s="146"/>
      <c r="X76" s="146"/>
      <c r="Y76" s="146"/>
      <c r="Z76" s="146"/>
    </row>
    <row r="77" ht="22.5" customHeight="1">
      <c r="A77" s="318">
        <v>45953.0</v>
      </c>
      <c r="B77" s="326">
        <v>8.0</v>
      </c>
      <c r="C77" s="320"/>
      <c r="D77" s="321" t="s">
        <v>878</v>
      </c>
      <c r="E77" s="320"/>
      <c r="F77" s="320"/>
      <c r="G77" s="327" t="s">
        <v>2452</v>
      </c>
      <c r="H77" s="146"/>
      <c r="I77" s="146"/>
      <c r="J77" s="146"/>
      <c r="K77" s="146"/>
      <c r="L77" s="146"/>
      <c r="M77" s="146"/>
      <c r="N77" s="146"/>
      <c r="O77" s="146"/>
      <c r="P77" s="146"/>
      <c r="Q77" s="146"/>
      <c r="R77" s="146"/>
      <c r="S77" s="146"/>
      <c r="T77" s="146"/>
      <c r="U77" s="146"/>
      <c r="V77" s="146"/>
      <c r="W77" s="146"/>
      <c r="X77" s="146"/>
      <c r="Y77" s="146"/>
      <c r="Z77" s="146"/>
    </row>
    <row r="78" ht="22.5" customHeight="1">
      <c r="A78" s="318">
        <v>45954.0</v>
      </c>
      <c r="B78" s="326">
        <v>8.0</v>
      </c>
      <c r="C78" s="320"/>
      <c r="D78" s="321" t="s">
        <v>878</v>
      </c>
      <c r="E78" s="320"/>
      <c r="F78" s="320"/>
      <c r="G78" s="327" t="s">
        <v>2452</v>
      </c>
      <c r="H78" s="146"/>
      <c r="I78" s="146"/>
      <c r="J78" s="146"/>
      <c r="K78" s="146"/>
      <c r="L78" s="146"/>
      <c r="M78" s="146"/>
      <c r="N78" s="146"/>
      <c r="O78" s="146"/>
      <c r="P78" s="146"/>
      <c r="Q78" s="146"/>
      <c r="R78" s="146"/>
      <c r="S78" s="146"/>
      <c r="T78" s="146"/>
      <c r="U78" s="146"/>
      <c r="V78" s="146"/>
      <c r="W78" s="146"/>
      <c r="X78" s="146"/>
      <c r="Y78" s="146"/>
      <c r="Z78" s="146"/>
    </row>
    <row r="79" ht="22.5" customHeight="1">
      <c r="A79" s="318">
        <v>45955.0</v>
      </c>
      <c r="B79" s="326">
        <v>8.0</v>
      </c>
      <c r="C79" s="320"/>
      <c r="D79" s="321" t="s">
        <v>878</v>
      </c>
      <c r="E79" s="320"/>
      <c r="F79" s="320"/>
      <c r="G79" s="327" t="s">
        <v>2452</v>
      </c>
      <c r="H79" s="146"/>
      <c r="I79" s="146"/>
      <c r="J79" s="146"/>
      <c r="K79" s="146"/>
      <c r="L79" s="146"/>
      <c r="M79" s="146"/>
      <c r="N79" s="146"/>
      <c r="O79" s="146"/>
      <c r="P79" s="146"/>
      <c r="Q79" s="146"/>
      <c r="R79" s="146"/>
      <c r="S79" s="146"/>
      <c r="T79" s="146"/>
      <c r="U79" s="146"/>
      <c r="V79" s="146"/>
      <c r="W79" s="146"/>
      <c r="X79" s="146"/>
      <c r="Y79" s="146"/>
      <c r="Z79" s="146"/>
    </row>
    <row r="80" ht="22.5" customHeight="1">
      <c r="A80" s="318">
        <v>45956.0</v>
      </c>
      <c r="B80" s="326">
        <v>8.0</v>
      </c>
      <c r="C80" s="320"/>
      <c r="D80" s="321" t="s">
        <v>878</v>
      </c>
      <c r="E80" s="320"/>
      <c r="F80" s="320"/>
      <c r="G80" s="327" t="s">
        <v>2452</v>
      </c>
      <c r="H80" s="146"/>
      <c r="I80" s="146"/>
      <c r="J80" s="146"/>
      <c r="K80" s="146"/>
      <c r="L80" s="146"/>
      <c r="M80" s="146"/>
      <c r="N80" s="146"/>
      <c r="O80" s="146"/>
      <c r="P80" s="146"/>
      <c r="Q80" s="146"/>
      <c r="R80" s="146"/>
      <c r="S80" s="146"/>
      <c r="T80" s="146"/>
      <c r="U80" s="146"/>
      <c r="V80" s="146"/>
      <c r="W80" s="146"/>
      <c r="X80" s="146"/>
      <c r="Y80" s="146"/>
      <c r="Z80" s="146"/>
    </row>
    <row r="81" ht="22.5" customHeight="1">
      <c r="A81" s="318">
        <v>45957.0</v>
      </c>
      <c r="B81" s="326">
        <v>8.0</v>
      </c>
      <c r="C81" s="320"/>
      <c r="D81" s="321" t="s">
        <v>878</v>
      </c>
      <c r="E81" s="320"/>
      <c r="F81" s="320"/>
      <c r="G81" s="327" t="s">
        <v>2452</v>
      </c>
      <c r="H81" s="146"/>
      <c r="I81" s="146"/>
      <c r="J81" s="146"/>
      <c r="K81" s="146"/>
      <c r="L81" s="146"/>
      <c r="M81" s="146"/>
      <c r="N81" s="146"/>
      <c r="O81" s="146"/>
      <c r="P81" s="146"/>
      <c r="Q81" s="146"/>
      <c r="R81" s="146"/>
      <c r="S81" s="146"/>
      <c r="T81" s="146"/>
      <c r="U81" s="146"/>
      <c r="V81" s="146"/>
      <c r="W81" s="146"/>
      <c r="X81" s="146"/>
      <c r="Y81" s="146"/>
      <c r="Z81" s="146"/>
    </row>
    <row r="82" ht="22.5" customHeight="1">
      <c r="A82" s="318">
        <v>45958.0</v>
      </c>
      <c r="B82" s="326">
        <v>8.0</v>
      </c>
      <c r="C82" s="320"/>
      <c r="D82" s="321" t="s">
        <v>878</v>
      </c>
      <c r="E82" s="320"/>
      <c r="F82" s="320"/>
      <c r="G82" s="327" t="s">
        <v>2452</v>
      </c>
      <c r="H82" s="146"/>
      <c r="I82" s="146"/>
      <c r="J82" s="146"/>
      <c r="K82" s="146"/>
      <c r="L82" s="146"/>
      <c r="M82" s="146"/>
      <c r="N82" s="146"/>
      <c r="O82" s="146"/>
      <c r="P82" s="146"/>
      <c r="Q82" s="146"/>
      <c r="R82" s="146"/>
      <c r="S82" s="146"/>
      <c r="T82" s="146"/>
      <c r="U82" s="146"/>
      <c r="V82" s="146"/>
      <c r="W82" s="146"/>
      <c r="X82" s="146"/>
      <c r="Y82" s="146"/>
      <c r="Z82" s="146"/>
    </row>
    <row r="83" ht="22.5" customHeight="1">
      <c r="A83" s="318">
        <v>45959.0</v>
      </c>
      <c r="B83" s="326">
        <v>8.0</v>
      </c>
      <c r="C83" s="320"/>
      <c r="D83" s="321" t="s">
        <v>878</v>
      </c>
      <c r="E83" s="320"/>
      <c r="F83" s="320"/>
      <c r="G83" s="327" t="s">
        <v>2452</v>
      </c>
      <c r="H83" s="146"/>
      <c r="I83" s="146"/>
      <c r="J83" s="146"/>
      <c r="K83" s="146"/>
      <c r="L83" s="146"/>
      <c r="M83" s="146"/>
      <c r="N83" s="146"/>
      <c r="O83" s="146"/>
      <c r="P83" s="146"/>
      <c r="Q83" s="146"/>
      <c r="R83" s="146"/>
      <c r="S83" s="146"/>
      <c r="T83" s="146"/>
      <c r="U83" s="146"/>
      <c r="V83" s="146"/>
      <c r="W83" s="146"/>
      <c r="X83" s="146"/>
      <c r="Y83" s="146"/>
      <c r="Z83" s="146"/>
    </row>
    <row r="84" ht="22.5" customHeight="1">
      <c r="A84" s="318">
        <v>45960.0</v>
      </c>
      <c r="B84" s="326">
        <v>8.0</v>
      </c>
      <c r="C84" s="320"/>
      <c r="D84" s="321" t="s">
        <v>878</v>
      </c>
      <c r="E84" s="320"/>
      <c r="F84" s="320"/>
      <c r="G84" s="327" t="s">
        <v>2452</v>
      </c>
      <c r="H84" s="146"/>
      <c r="I84" s="146"/>
      <c r="J84" s="146"/>
      <c r="K84" s="146"/>
      <c r="L84" s="146"/>
      <c r="M84" s="146"/>
      <c r="N84" s="146"/>
      <c r="O84" s="146"/>
      <c r="P84" s="146"/>
      <c r="Q84" s="146"/>
      <c r="R84" s="146"/>
      <c r="S84" s="146"/>
      <c r="T84" s="146"/>
      <c r="U84" s="146"/>
      <c r="V84" s="146"/>
      <c r="W84" s="146"/>
      <c r="X84" s="146"/>
      <c r="Y84" s="146"/>
      <c r="Z84" s="146"/>
    </row>
    <row r="85" ht="22.5" customHeight="1">
      <c r="A85" s="318">
        <v>45961.0</v>
      </c>
      <c r="B85" s="326">
        <v>8.0</v>
      </c>
      <c r="C85" s="320"/>
      <c r="D85" s="321" t="s">
        <v>878</v>
      </c>
      <c r="E85" s="320"/>
      <c r="F85" s="320"/>
      <c r="G85" s="327" t="s">
        <v>2452</v>
      </c>
      <c r="H85" s="146"/>
      <c r="I85" s="146"/>
      <c r="J85" s="146"/>
      <c r="K85" s="146"/>
      <c r="L85" s="146"/>
      <c r="M85" s="146"/>
      <c r="N85" s="146"/>
      <c r="O85" s="146"/>
      <c r="P85" s="146"/>
      <c r="Q85" s="146"/>
      <c r="R85" s="146"/>
      <c r="S85" s="146"/>
      <c r="T85" s="146"/>
      <c r="U85" s="146"/>
      <c r="V85" s="146"/>
      <c r="W85" s="146"/>
      <c r="X85" s="146"/>
      <c r="Y85" s="146"/>
      <c r="Z85" s="146"/>
    </row>
    <row r="86" ht="22.5" customHeight="1">
      <c r="A86" s="318">
        <v>45962.0</v>
      </c>
      <c r="B86" s="326">
        <v>8.0</v>
      </c>
      <c r="C86" s="320"/>
      <c r="D86" s="321" t="s">
        <v>878</v>
      </c>
      <c r="E86" s="320"/>
      <c r="F86" s="320"/>
      <c r="G86" s="327" t="s">
        <v>2452</v>
      </c>
      <c r="H86" s="146"/>
      <c r="I86" s="146"/>
      <c r="J86" s="146"/>
      <c r="K86" s="146"/>
      <c r="L86" s="146"/>
      <c r="M86" s="146"/>
      <c r="N86" s="146"/>
      <c r="O86" s="146"/>
      <c r="P86" s="146"/>
      <c r="Q86" s="146"/>
      <c r="R86" s="146"/>
      <c r="S86" s="146"/>
      <c r="T86" s="146"/>
      <c r="U86" s="146"/>
      <c r="V86" s="146"/>
      <c r="W86" s="146"/>
      <c r="X86" s="146"/>
      <c r="Y86" s="146"/>
      <c r="Z86" s="146"/>
    </row>
    <row r="87" ht="22.5" customHeight="1">
      <c r="A87" s="318">
        <v>45963.0</v>
      </c>
      <c r="B87" s="326">
        <v>8.0</v>
      </c>
      <c r="C87" s="320"/>
      <c r="D87" s="321" t="s">
        <v>878</v>
      </c>
      <c r="E87" s="320"/>
      <c r="F87" s="320"/>
      <c r="G87" s="327" t="s">
        <v>2452</v>
      </c>
      <c r="H87" s="146"/>
      <c r="I87" s="146"/>
      <c r="J87" s="146"/>
      <c r="K87" s="146"/>
      <c r="L87" s="146"/>
      <c r="M87" s="146"/>
      <c r="N87" s="146"/>
      <c r="O87" s="146"/>
      <c r="P87" s="146"/>
      <c r="Q87" s="146"/>
      <c r="R87" s="146"/>
      <c r="S87" s="146"/>
      <c r="T87" s="146"/>
      <c r="U87" s="146"/>
      <c r="V87" s="146"/>
      <c r="W87" s="146"/>
      <c r="X87" s="146"/>
      <c r="Y87" s="146"/>
      <c r="Z87" s="146"/>
    </row>
    <row r="88" ht="22.5" customHeight="1">
      <c r="A88" s="318">
        <v>45964.0</v>
      </c>
      <c r="B88" s="326">
        <v>8.0</v>
      </c>
      <c r="C88" s="320"/>
      <c r="D88" s="321" t="s">
        <v>878</v>
      </c>
      <c r="E88" s="320"/>
      <c r="F88" s="320"/>
      <c r="G88" s="327" t="s">
        <v>2452</v>
      </c>
      <c r="H88" s="146"/>
      <c r="I88" s="146"/>
      <c r="J88" s="146"/>
      <c r="K88" s="146"/>
      <c r="L88" s="146"/>
      <c r="M88" s="146"/>
      <c r="N88" s="146"/>
      <c r="O88" s="146"/>
      <c r="P88" s="146"/>
      <c r="Q88" s="146"/>
      <c r="R88" s="146"/>
      <c r="S88" s="146"/>
      <c r="T88" s="146"/>
      <c r="U88" s="146"/>
      <c r="V88" s="146"/>
      <c r="W88" s="146"/>
      <c r="X88" s="146"/>
      <c r="Y88" s="146"/>
      <c r="Z88" s="146"/>
    </row>
    <row r="89" ht="22.5" customHeight="1">
      <c r="A89" s="318">
        <v>45965.0</v>
      </c>
      <c r="B89" s="326">
        <v>8.0</v>
      </c>
      <c r="C89" s="320"/>
      <c r="D89" s="321" t="s">
        <v>878</v>
      </c>
      <c r="E89" s="320"/>
      <c r="F89" s="320"/>
      <c r="G89" s="327" t="s">
        <v>2452</v>
      </c>
      <c r="H89" s="146"/>
      <c r="I89" s="146"/>
      <c r="J89" s="146"/>
      <c r="K89" s="146"/>
      <c r="L89" s="146"/>
      <c r="M89" s="146"/>
      <c r="N89" s="146"/>
      <c r="O89" s="146"/>
      <c r="P89" s="146"/>
      <c r="Q89" s="146"/>
      <c r="R89" s="146"/>
      <c r="S89" s="146"/>
      <c r="T89" s="146"/>
      <c r="U89" s="146"/>
      <c r="V89" s="146"/>
      <c r="W89" s="146"/>
      <c r="X89" s="146"/>
      <c r="Y89" s="146"/>
      <c r="Z89" s="146"/>
    </row>
    <row r="90" ht="22.5" customHeight="1">
      <c r="A90" s="318">
        <v>45966.0</v>
      </c>
      <c r="B90" s="326">
        <v>8.0</v>
      </c>
      <c r="C90" s="320"/>
      <c r="D90" s="321" t="s">
        <v>878</v>
      </c>
      <c r="E90" s="320"/>
      <c r="F90" s="320"/>
      <c r="G90" s="327" t="s">
        <v>2452</v>
      </c>
      <c r="H90" s="146"/>
      <c r="I90" s="146"/>
      <c r="J90" s="146"/>
      <c r="K90" s="146"/>
      <c r="L90" s="146"/>
      <c r="M90" s="146"/>
      <c r="N90" s="146"/>
      <c r="O90" s="146"/>
      <c r="P90" s="146"/>
      <c r="Q90" s="146"/>
      <c r="R90" s="146"/>
      <c r="S90" s="146"/>
      <c r="T90" s="146"/>
      <c r="U90" s="146"/>
      <c r="V90" s="146"/>
      <c r="W90" s="146"/>
      <c r="X90" s="146"/>
      <c r="Y90" s="146"/>
      <c r="Z90" s="146"/>
    </row>
    <row r="91" ht="22.5" customHeight="1">
      <c r="A91" s="318">
        <v>45967.0</v>
      </c>
      <c r="B91" s="326">
        <v>8.0</v>
      </c>
      <c r="C91" s="320"/>
      <c r="D91" s="321" t="s">
        <v>878</v>
      </c>
      <c r="E91" s="320"/>
      <c r="F91" s="320"/>
      <c r="G91" s="327" t="s">
        <v>2452</v>
      </c>
      <c r="H91" s="146"/>
      <c r="I91" s="146"/>
      <c r="J91" s="146"/>
      <c r="K91" s="146"/>
      <c r="L91" s="146"/>
      <c r="M91" s="146"/>
      <c r="N91" s="146"/>
      <c r="O91" s="146"/>
      <c r="P91" s="146"/>
      <c r="Q91" s="146"/>
      <c r="R91" s="146"/>
      <c r="S91" s="146"/>
      <c r="T91" s="146"/>
      <c r="U91" s="146"/>
      <c r="V91" s="146"/>
      <c r="W91" s="146"/>
      <c r="X91" s="146"/>
      <c r="Y91" s="146"/>
      <c r="Z91" s="146"/>
    </row>
    <row r="92" ht="22.5" customHeight="1">
      <c r="A92" s="318">
        <v>45968.0</v>
      </c>
      <c r="B92" s="326">
        <v>8.0</v>
      </c>
      <c r="C92" s="320"/>
      <c r="D92" s="321" t="s">
        <v>878</v>
      </c>
      <c r="E92" s="320"/>
      <c r="F92" s="320"/>
      <c r="G92" s="327" t="s">
        <v>2452</v>
      </c>
      <c r="H92" s="146"/>
      <c r="I92" s="146"/>
      <c r="J92" s="146"/>
      <c r="K92" s="146"/>
      <c r="L92" s="146"/>
      <c r="M92" s="146"/>
      <c r="N92" s="146"/>
      <c r="O92" s="146"/>
      <c r="P92" s="146"/>
      <c r="Q92" s="146"/>
      <c r="R92" s="146"/>
      <c r="S92" s="146"/>
      <c r="T92" s="146"/>
      <c r="U92" s="146"/>
      <c r="V92" s="146"/>
      <c r="W92" s="146"/>
      <c r="X92" s="146"/>
      <c r="Y92" s="146"/>
      <c r="Z92" s="146"/>
    </row>
    <row r="93" ht="22.5" customHeight="1">
      <c r="A93" s="318">
        <v>45969.0</v>
      </c>
      <c r="B93" s="326">
        <v>8.0</v>
      </c>
      <c r="C93" s="320"/>
      <c r="D93" s="321" t="s">
        <v>878</v>
      </c>
      <c r="E93" s="320"/>
      <c r="F93" s="320"/>
      <c r="G93" s="327" t="s">
        <v>2452</v>
      </c>
      <c r="H93" s="146"/>
      <c r="I93" s="146"/>
      <c r="J93" s="146"/>
      <c r="K93" s="146"/>
      <c r="L93" s="146"/>
      <c r="M93" s="146"/>
      <c r="N93" s="146"/>
      <c r="O93" s="146"/>
      <c r="P93" s="146"/>
      <c r="Q93" s="146"/>
      <c r="R93" s="146"/>
      <c r="S93" s="146"/>
      <c r="T93" s="146"/>
      <c r="U93" s="146"/>
      <c r="V93" s="146"/>
      <c r="W93" s="146"/>
      <c r="X93" s="146"/>
      <c r="Y93" s="146"/>
      <c r="Z93" s="146"/>
    </row>
    <row r="94" ht="22.5" customHeight="1">
      <c r="A94" s="318">
        <v>45970.0</v>
      </c>
      <c r="B94" s="326">
        <v>8.0</v>
      </c>
      <c r="C94" s="320"/>
      <c r="D94" s="321" t="s">
        <v>878</v>
      </c>
      <c r="E94" s="320"/>
      <c r="F94" s="320"/>
      <c r="G94" s="327" t="s">
        <v>2452</v>
      </c>
      <c r="H94" s="146"/>
      <c r="I94" s="146"/>
      <c r="J94" s="146"/>
      <c r="K94" s="146"/>
      <c r="L94" s="146"/>
      <c r="M94" s="146"/>
      <c r="N94" s="146"/>
      <c r="O94" s="146"/>
      <c r="P94" s="146"/>
      <c r="Q94" s="146"/>
      <c r="R94" s="146"/>
      <c r="S94" s="146"/>
      <c r="T94" s="146"/>
      <c r="U94" s="146"/>
      <c r="V94" s="146"/>
      <c r="W94" s="146"/>
      <c r="X94" s="146"/>
      <c r="Y94" s="146"/>
      <c r="Z94" s="146"/>
    </row>
    <row r="95" ht="22.5" customHeight="1">
      <c r="A95" s="318">
        <v>45971.0</v>
      </c>
      <c r="B95" s="326">
        <v>8.0</v>
      </c>
      <c r="C95" s="320"/>
      <c r="D95" s="321" t="s">
        <v>878</v>
      </c>
      <c r="E95" s="320"/>
      <c r="F95" s="320"/>
      <c r="G95" s="327" t="s">
        <v>2452</v>
      </c>
      <c r="H95" s="146"/>
      <c r="I95" s="146"/>
      <c r="J95" s="146"/>
      <c r="K95" s="146"/>
      <c r="L95" s="146"/>
      <c r="M95" s="146"/>
      <c r="N95" s="146"/>
      <c r="O95" s="146"/>
      <c r="P95" s="146"/>
      <c r="Q95" s="146"/>
      <c r="R95" s="146"/>
      <c r="S95" s="146"/>
      <c r="T95" s="146"/>
      <c r="U95" s="146"/>
      <c r="V95" s="146"/>
      <c r="W95" s="146"/>
      <c r="X95" s="146"/>
      <c r="Y95" s="146"/>
      <c r="Z95" s="146"/>
    </row>
    <row r="96" ht="22.5" customHeight="1">
      <c r="A96" s="318">
        <v>45972.0</v>
      </c>
      <c r="B96" s="326">
        <v>8.0</v>
      </c>
      <c r="C96" s="320"/>
      <c r="D96" s="321" t="s">
        <v>878</v>
      </c>
      <c r="E96" s="320"/>
      <c r="F96" s="320"/>
      <c r="G96" s="327" t="s">
        <v>2452</v>
      </c>
      <c r="H96" s="146"/>
      <c r="I96" s="146"/>
      <c r="J96" s="146"/>
      <c r="K96" s="146"/>
      <c r="L96" s="146"/>
      <c r="M96" s="146"/>
      <c r="N96" s="146"/>
      <c r="O96" s="146"/>
      <c r="P96" s="146"/>
      <c r="Q96" s="146"/>
      <c r="R96" s="146"/>
      <c r="S96" s="146"/>
      <c r="T96" s="146"/>
      <c r="U96" s="146"/>
      <c r="V96" s="146"/>
      <c r="W96" s="146"/>
      <c r="X96" s="146"/>
      <c r="Y96" s="146"/>
      <c r="Z96" s="146"/>
    </row>
    <row r="97" ht="22.5" customHeight="1">
      <c r="A97" s="318">
        <v>45973.0</v>
      </c>
      <c r="B97" s="326">
        <v>8.0</v>
      </c>
      <c r="C97" s="320"/>
      <c r="D97" s="321" t="s">
        <v>878</v>
      </c>
      <c r="E97" s="320"/>
      <c r="F97" s="320"/>
      <c r="G97" s="327" t="s">
        <v>2452</v>
      </c>
      <c r="H97" s="146"/>
      <c r="I97" s="146"/>
      <c r="J97" s="146"/>
      <c r="K97" s="146"/>
      <c r="L97" s="146"/>
      <c r="M97" s="146"/>
      <c r="N97" s="146"/>
      <c r="O97" s="146"/>
      <c r="P97" s="146"/>
      <c r="Q97" s="146"/>
      <c r="R97" s="146"/>
      <c r="S97" s="146"/>
      <c r="T97" s="146"/>
      <c r="U97" s="146"/>
      <c r="V97" s="146"/>
      <c r="W97" s="146"/>
      <c r="X97" s="146"/>
      <c r="Y97" s="146"/>
      <c r="Z97" s="146"/>
    </row>
    <row r="98" ht="22.5" customHeight="1">
      <c r="A98" s="318">
        <v>45974.0</v>
      </c>
      <c r="B98" s="326">
        <v>8.0</v>
      </c>
      <c r="C98" s="320"/>
      <c r="D98" s="321" t="s">
        <v>878</v>
      </c>
      <c r="E98" s="320"/>
      <c r="F98" s="320"/>
      <c r="G98" s="327" t="s">
        <v>2452</v>
      </c>
      <c r="H98" s="146"/>
      <c r="I98" s="146"/>
      <c r="J98" s="146"/>
      <c r="K98" s="146"/>
      <c r="L98" s="146"/>
      <c r="M98" s="146"/>
      <c r="N98" s="146"/>
      <c r="O98" s="146"/>
      <c r="P98" s="146"/>
      <c r="Q98" s="146"/>
      <c r="R98" s="146"/>
      <c r="S98" s="146"/>
      <c r="T98" s="146"/>
      <c r="U98" s="146"/>
      <c r="V98" s="146"/>
      <c r="W98" s="146"/>
      <c r="X98" s="146"/>
      <c r="Y98" s="146"/>
      <c r="Z98" s="146"/>
    </row>
    <row r="99" ht="22.5" customHeight="1">
      <c r="A99" s="318">
        <v>45975.0</v>
      </c>
      <c r="B99" s="326">
        <v>8.0</v>
      </c>
      <c r="C99" s="320"/>
      <c r="D99" s="321" t="s">
        <v>878</v>
      </c>
      <c r="E99" s="320"/>
      <c r="F99" s="320"/>
      <c r="G99" s="327" t="s">
        <v>2452</v>
      </c>
      <c r="H99" s="146"/>
      <c r="I99" s="146"/>
      <c r="J99" s="146"/>
      <c r="K99" s="146"/>
      <c r="L99" s="146"/>
      <c r="M99" s="146"/>
      <c r="N99" s="146"/>
      <c r="O99" s="146"/>
      <c r="P99" s="146"/>
      <c r="Q99" s="146"/>
      <c r="R99" s="146"/>
      <c r="S99" s="146"/>
      <c r="T99" s="146"/>
      <c r="U99" s="146"/>
      <c r="V99" s="146"/>
      <c r="W99" s="146"/>
      <c r="X99" s="146"/>
      <c r="Y99" s="146"/>
      <c r="Z99" s="146"/>
    </row>
    <row r="100" ht="22.5" customHeight="1">
      <c r="A100" s="318">
        <v>45976.0</v>
      </c>
      <c r="B100" s="326">
        <v>8.0</v>
      </c>
      <c r="C100" s="320"/>
      <c r="D100" s="321" t="s">
        <v>878</v>
      </c>
      <c r="E100" s="320"/>
      <c r="F100" s="320"/>
      <c r="G100" s="327" t="s">
        <v>2452</v>
      </c>
      <c r="H100" s="146"/>
      <c r="I100" s="146"/>
      <c r="J100" s="146"/>
      <c r="K100" s="146"/>
      <c r="L100" s="146"/>
      <c r="M100" s="146"/>
      <c r="N100" s="146"/>
      <c r="O100" s="146"/>
      <c r="P100" s="146"/>
      <c r="Q100" s="146"/>
      <c r="R100" s="146"/>
      <c r="S100" s="146"/>
      <c r="T100" s="146"/>
      <c r="U100" s="146"/>
      <c r="V100" s="146"/>
      <c r="W100" s="146"/>
      <c r="X100" s="146"/>
      <c r="Y100" s="146"/>
      <c r="Z100" s="146"/>
    </row>
    <row r="101" ht="22.5" customHeight="1">
      <c r="A101" s="318">
        <v>45977.0</v>
      </c>
      <c r="B101" s="326">
        <v>8.0</v>
      </c>
      <c r="C101" s="320"/>
      <c r="D101" s="321" t="s">
        <v>878</v>
      </c>
      <c r="E101" s="320"/>
      <c r="F101" s="320"/>
      <c r="G101" s="327" t="s">
        <v>2452</v>
      </c>
      <c r="H101" s="146"/>
      <c r="I101" s="146"/>
      <c r="J101" s="146"/>
      <c r="K101" s="146"/>
      <c r="L101" s="146"/>
      <c r="M101" s="146"/>
      <c r="N101" s="146"/>
      <c r="O101" s="146"/>
      <c r="P101" s="146"/>
      <c r="Q101" s="146"/>
      <c r="R101" s="146"/>
      <c r="S101" s="146"/>
      <c r="T101" s="146"/>
      <c r="U101" s="146"/>
      <c r="V101" s="146"/>
      <c r="W101" s="146"/>
      <c r="X101" s="146"/>
      <c r="Y101" s="146"/>
      <c r="Z101" s="146"/>
    </row>
    <row r="102" ht="22.5" customHeight="1">
      <c r="A102" s="318">
        <v>45978.0</v>
      </c>
      <c r="B102" s="326">
        <v>8.0</v>
      </c>
      <c r="C102" s="320"/>
      <c r="D102" s="321" t="s">
        <v>878</v>
      </c>
      <c r="E102" s="320"/>
      <c r="F102" s="320"/>
      <c r="G102" s="327" t="s">
        <v>2452</v>
      </c>
      <c r="H102" s="146"/>
      <c r="I102" s="146"/>
      <c r="J102" s="146"/>
      <c r="K102" s="146"/>
      <c r="L102" s="146"/>
      <c r="M102" s="146"/>
      <c r="N102" s="146"/>
      <c r="O102" s="146"/>
      <c r="P102" s="146"/>
      <c r="Q102" s="146"/>
      <c r="R102" s="146"/>
      <c r="S102" s="146"/>
      <c r="T102" s="146"/>
      <c r="U102" s="146"/>
      <c r="V102" s="146"/>
      <c r="W102" s="146"/>
      <c r="X102" s="146"/>
      <c r="Y102" s="146"/>
      <c r="Z102" s="146"/>
    </row>
    <row r="103" ht="22.5" customHeight="1">
      <c r="A103" s="318">
        <v>45979.0</v>
      </c>
      <c r="B103" s="326">
        <v>8.0</v>
      </c>
      <c r="C103" s="320"/>
      <c r="D103" s="321" t="s">
        <v>878</v>
      </c>
      <c r="E103" s="320"/>
      <c r="F103" s="320"/>
      <c r="G103" s="327" t="s">
        <v>2452</v>
      </c>
      <c r="H103" s="146"/>
      <c r="I103" s="146"/>
      <c r="J103" s="146"/>
      <c r="K103" s="146"/>
      <c r="L103" s="146"/>
      <c r="M103" s="146"/>
      <c r="N103" s="146"/>
      <c r="O103" s="146"/>
      <c r="P103" s="146"/>
      <c r="Q103" s="146"/>
      <c r="R103" s="146"/>
      <c r="S103" s="146"/>
      <c r="T103" s="146"/>
      <c r="U103" s="146"/>
      <c r="V103" s="146"/>
      <c r="W103" s="146"/>
      <c r="X103" s="146"/>
      <c r="Y103" s="146"/>
      <c r="Z103" s="146"/>
    </row>
    <row r="104" ht="22.5" customHeight="1">
      <c r="A104" s="318">
        <v>45980.0</v>
      </c>
      <c r="B104" s="326">
        <v>8.0</v>
      </c>
      <c r="C104" s="320"/>
      <c r="D104" s="321" t="s">
        <v>878</v>
      </c>
      <c r="E104" s="320"/>
      <c r="F104" s="320"/>
      <c r="G104" s="327" t="s">
        <v>2452</v>
      </c>
      <c r="H104" s="146"/>
      <c r="I104" s="146"/>
      <c r="J104" s="146"/>
      <c r="K104" s="146"/>
      <c r="L104" s="146"/>
      <c r="M104" s="146"/>
      <c r="N104" s="146"/>
      <c r="O104" s="146"/>
      <c r="P104" s="146"/>
      <c r="Q104" s="146"/>
      <c r="R104" s="146"/>
      <c r="S104" s="146"/>
      <c r="T104" s="146"/>
      <c r="U104" s="146"/>
      <c r="V104" s="146"/>
      <c r="W104" s="146"/>
      <c r="X104" s="146"/>
      <c r="Y104" s="146"/>
      <c r="Z104" s="146"/>
    </row>
    <row r="105" ht="22.5" customHeight="1">
      <c r="A105" s="318">
        <v>45981.0</v>
      </c>
      <c r="B105" s="326">
        <v>8.0</v>
      </c>
      <c r="C105" s="320"/>
      <c r="D105" s="321" t="s">
        <v>878</v>
      </c>
      <c r="E105" s="320"/>
      <c r="F105" s="320"/>
      <c r="G105" s="327" t="s">
        <v>2452</v>
      </c>
      <c r="H105" s="146"/>
      <c r="I105" s="146"/>
      <c r="J105" s="146"/>
      <c r="K105" s="146"/>
      <c r="L105" s="146"/>
      <c r="M105" s="146"/>
      <c r="N105" s="146"/>
      <c r="O105" s="146"/>
      <c r="P105" s="146"/>
      <c r="Q105" s="146"/>
      <c r="R105" s="146"/>
      <c r="S105" s="146"/>
      <c r="T105" s="146"/>
      <c r="U105" s="146"/>
      <c r="V105" s="146"/>
      <c r="W105" s="146"/>
      <c r="X105" s="146"/>
      <c r="Y105" s="146"/>
      <c r="Z105" s="146"/>
    </row>
    <row r="106" ht="22.5" customHeight="1">
      <c r="A106" s="318">
        <v>45982.0</v>
      </c>
      <c r="B106" s="326">
        <v>8.0</v>
      </c>
      <c r="C106" s="320"/>
      <c r="D106" s="321" t="s">
        <v>878</v>
      </c>
      <c r="E106" s="320"/>
      <c r="F106" s="320"/>
      <c r="G106" s="327" t="s">
        <v>2452</v>
      </c>
      <c r="H106" s="146"/>
      <c r="I106" s="146"/>
      <c r="J106" s="146"/>
      <c r="K106" s="146"/>
      <c r="L106" s="146"/>
      <c r="M106" s="146"/>
      <c r="N106" s="146"/>
      <c r="O106" s="146"/>
      <c r="P106" s="146"/>
      <c r="Q106" s="146"/>
      <c r="R106" s="146"/>
      <c r="S106" s="146"/>
      <c r="T106" s="146"/>
      <c r="U106" s="146"/>
      <c r="V106" s="146"/>
      <c r="W106" s="146"/>
      <c r="X106" s="146"/>
      <c r="Y106" s="146"/>
      <c r="Z106" s="146"/>
    </row>
    <row r="107" ht="22.5" customHeight="1">
      <c r="A107" s="318">
        <v>45983.0</v>
      </c>
      <c r="B107" s="326">
        <v>8.0</v>
      </c>
      <c r="C107" s="320"/>
      <c r="D107" s="321" t="s">
        <v>878</v>
      </c>
      <c r="E107" s="320"/>
      <c r="F107" s="320"/>
      <c r="G107" s="327" t="s">
        <v>2452</v>
      </c>
      <c r="H107" s="146"/>
      <c r="I107" s="146"/>
      <c r="J107" s="146"/>
      <c r="K107" s="146"/>
      <c r="L107" s="146"/>
      <c r="M107" s="146"/>
      <c r="N107" s="146"/>
      <c r="O107" s="146"/>
      <c r="P107" s="146"/>
      <c r="Q107" s="146"/>
      <c r="R107" s="146"/>
      <c r="S107" s="146"/>
      <c r="T107" s="146"/>
      <c r="U107" s="146"/>
      <c r="V107" s="146"/>
      <c r="W107" s="146"/>
      <c r="X107" s="146"/>
      <c r="Y107" s="146"/>
      <c r="Z107" s="146"/>
    </row>
    <row r="108" ht="22.5" customHeight="1">
      <c r="A108" s="318">
        <v>45984.0</v>
      </c>
      <c r="B108" s="326">
        <v>8.0</v>
      </c>
      <c r="C108" s="320"/>
      <c r="D108" s="321" t="s">
        <v>878</v>
      </c>
      <c r="E108" s="320"/>
      <c r="F108" s="320"/>
      <c r="G108" s="327" t="s">
        <v>2452</v>
      </c>
      <c r="H108" s="146"/>
      <c r="I108" s="146"/>
      <c r="J108" s="146"/>
      <c r="K108" s="146"/>
      <c r="L108" s="146"/>
      <c r="M108" s="146"/>
      <c r="N108" s="146"/>
      <c r="O108" s="146"/>
      <c r="P108" s="146"/>
      <c r="Q108" s="146"/>
      <c r="R108" s="146"/>
      <c r="S108" s="146"/>
      <c r="T108" s="146"/>
      <c r="U108" s="146"/>
      <c r="V108" s="146"/>
      <c r="W108" s="146"/>
      <c r="X108" s="146"/>
      <c r="Y108" s="146"/>
      <c r="Z108" s="146"/>
    </row>
    <row r="109" ht="22.5" customHeight="1">
      <c r="A109" s="318">
        <v>45985.0</v>
      </c>
      <c r="B109" s="326">
        <v>8.0</v>
      </c>
      <c r="C109" s="320"/>
      <c r="D109" s="321" t="s">
        <v>878</v>
      </c>
      <c r="E109" s="320"/>
      <c r="F109" s="320"/>
      <c r="G109" s="327" t="s">
        <v>2452</v>
      </c>
      <c r="H109" s="146"/>
      <c r="I109" s="146"/>
      <c r="J109" s="146"/>
      <c r="K109" s="146"/>
      <c r="L109" s="146"/>
      <c r="M109" s="146"/>
      <c r="N109" s="146"/>
      <c r="O109" s="146"/>
      <c r="P109" s="146"/>
      <c r="Q109" s="146"/>
      <c r="R109" s="146"/>
      <c r="S109" s="146"/>
      <c r="T109" s="146"/>
      <c r="U109" s="146"/>
      <c r="V109" s="146"/>
      <c r="W109" s="146"/>
      <c r="X109" s="146"/>
      <c r="Y109" s="146"/>
      <c r="Z109" s="146"/>
    </row>
    <row r="110" ht="22.5" customHeight="1">
      <c r="A110" s="318">
        <v>45986.0</v>
      </c>
      <c r="B110" s="326">
        <v>8.0</v>
      </c>
      <c r="C110" s="320"/>
      <c r="D110" s="321" t="s">
        <v>878</v>
      </c>
      <c r="E110" s="320"/>
      <c r="F110" s="320"/>
      <c r="G110" s="327" t="s">
        <v>2452</v>
      </c>
      <c r="H110" s="146"/>
      <c r="I110" s="146"/>
      <c r="J110" s="146"/>
      <c r="K110" s="146"/>
      <c r="L110" s="146"/>
      <c r="M110" s="146"/>
      <c r="N110" s="146"/>
      <c r="O110" s="146"/>
      <c r="P110" s="146"/>
      <c r="Q110" s="146"/>
      <c r="R110" s="146"/>
      <c r="S110" s="146"/>
      <c r="T110" s="146"/>
      <c r="U110" s="146"/>
      <c r="V110" s="146"/>
      <c r="W110" s="146"/>
      <c r="X110" s="146"/>
      <c r="Y110" s="146"/>
      <c r="Z110" s="146"/>
    </row>
    <row r="111" ht="22.5" customHeight="1">
      <c r="A111" s="318">
        <v>45987.0</v>
      </c>
      <c r="B111" s="326">
        <v>8.0</v>
      </c>
      <c r="C111" s="320"/>
      <c r="D111" s="321" t="s">
        <v>878</v>
      </c>
      <c r="E111" s="320"/>
      <c r="F111" s="320"/>
      <c r="G111" s="327" t="s">
        <v>2452</v>
      </c>
      <c r="H111" s="146"/>
      <c r="I111" s="146"/>
      <c r="J111" s="146"/>
      <c r="K111" s="146"/>
      <c r="L111" s="146"/>
      <c r="M111" s="146"/>
      <c r="N111" s="146"/>
      <c r="O111" s="146"/>
      <c r="P111" s="146"/>
      <c r="Q111" s="146"/>
      <c r="R111" s="146"/>
      <c r="S111" s="146"/>
      <c r="T111" s="146"/>
      <c r="U111" s="146"/>
      <c r="V111" s="146"/>
      <c r="W111" s="146"/>
      <c r="X111" s="146"/>
      <c r="Y111" s="146"/>
      <c r="Z111" s="146"/>
    </row>
    <row r="112" ht="22.5" customHeight="1">
      <c r="A112" s="318">
        <v>45988.0</v>
      </c>
      <c r="B112" s="326">
        <v>8.0</v>
      </c>
      <c r="C112" s="320"/>
      <c r="D112" s="321" t="s">
        <v>878</v>
      </c>
      <c r="E112" s="320"/>
      <c r="F112" s="320"/>
      <c r="G112" s="327" t="s">
        <v>2452</v>
      </c>
      <c r="H112" s="146"/>
      <c r="I112" s="146"/>
      <c r="J112" s="146"/>
      <c r="K112" s="146"/>
      <c r="L112" s="146"/>
      <c r="M112" s="146"/>
      <c r="N112" s="146"/>
      <c r="O112" s="146"/>
      <c r="P112" s="146"/>
      <c r="Q112" s="146"/>
      <c r="R112" s="146"/>
      <c r="S112" s="146"/>
      <c r="T112" s="146"/>
      <c r="U112" s="146"/>
      <c r="V112" s="146"/>
      <c r="W112" s="146"/>
      <c r="X112" s="146"/>
      <c r="Y112" s="146"/>
      <c r="Z112" s="146"/>
    </row>
    <row r="113" ht="22.5" customHeight="1">
      <c r="A113" s="318">
        <v>45989.0</v>
      </c>
      <c r="B113" s="326">
        <v>8.0</v>
      </c>
      <c r="C113" s="320"/>
      <c r="D113" s="321" t="s">
        <v>878</v>
      </c>
      <c r="E113" s="320"/>
      <c r="F113" s="320"/>
      <c r="G113" s="327" t="s">
        <v>2452</v>
      </c>
      <c r="H113" s="146"/>
      <c r="I113" s="146"/>
      <c r="J113" s="146"/>
      <c r="K113" s="146"/>
      <c r="L113" s="146"/>
      <c r="M113" s="146"/>
      <c r="N113" s="146"/>
      <c r="O113" s="146"/>
      <c r="P113" s="146"/>
      <c r="Q113" s="146"/>
      <c r="R113" s="146"/>
      <c r="S113" s="146"/>
      <c r="T113" s="146"/>
      <c r="U113" s="146"/>
      <c r="V113" s="146"/>
      <c r="W113" s="146"/>
      <c r="X113" s="146"/>
      <c r="Y113" s="146"/>
      <c r="Z113" s="146"/>
    </row>
    <row r="114" ht="22.5" customHeight="1">
      <c r="A114" s="318">
        <v>45990.0</v>
      </c>
      <c r="B114" s="326">
        <v>8.0</v>
      </c>
      <c r="C114" s="320"/>
      <c r="D114" s="321" t="s">
        <v>878</v>
      </c>
      <c r="E114" s="320"/>
      <c r="F114" s="320"/>
      <c r="G114" s="327" t="s">
        <v>2452</v>
      </c>
      <c r="H114" s="146"/>
      <c r="I114" s="146"/>
      <c r="J114" s="146"/>
      <c r="K114" s="146"/>
      <c r="L114" s="146"/>
      <c r="M114" s="146"/>
      <c r="N114" s="146"/>
      <c r="O114" s="146"/>
      <c r="P114" s="146"/>
      <c r="Q114" s="146"/>
      <c r="R114" s="146"/>
      <c r="S114" s="146"/>
      <c r="T114" s="146"/>
      <c r="U114" s="146"/>
      <c r="V114" s="146"/>
      <c r="W114" s="146"/>
      <c r="X114" s="146"/>
      <c r="Y114" s="146"/>
      <c r="Z114" s="146"/>
    </row>
    <row r="115" ht="22.5" customHeight="1">
      <c r="A115" s="318">
        <v>45991.0</v>
      </c>
      <c r="B115" s="326">
        <v>8.0</v>
      </c>
      <c r="C115" s="320"/>
      <c r="D115" s="321" t="s">
        <v>878</v>
      </c>
      <c r="E115" s="320"/>
      <c r="F115" s="320"/>
      <c r="G115" s="327" t="s">
        <v>2452</v>
      </c>
      <c r="H115" s="146"/>
      <c r="I115" s="146"/>
      <c r="J115" s="146"/>
      <c r="K115" s="146"/>
      <c r="L115" s="146"/>
      <c r="M115" s="146"/>
      <c r="N115" s="146"/>
      <c r="O115" s="146"/>
      <c r="P115" s="146"/>
      <c r="Q115" s="146"/>
      <c r="R115" s="146"/>
      <c r="S115" s="146"/>
      <c r="T115" s="146"/>
      <c r="U115" s="146"/>
      <c r="V115" s="146"/>
      <c r="W115" s="146"/>
      <c r="X115" s="146"/>
      <c r="Y115" s="146"/>
      <c r="Z115" s="146"/>
    </row>
    <row r="116" ht="22.5" customHeight="1">
      <c r="A116" s="318">
        <v>45992.0</v>
      </c>
      <c r="B116" s="326">
        <v>8.0</v>
      </c>
      <c r="C116" s="320"/>
      <c r="D116" s="321" t="s">
        <v>878</v>
      </c>
      <c r="E116" s="320"/>
      <c r="F116" s="320"/>
      <c r="G116" s="327" t="s">
        <v>2452</v>
      </c>
      <c r="H116" s="146"/>
      <c r="I116" s="146"/>
      <c r="J116" s="146"/>
      <c r="K116" s="146"/>
      <c r="L116" s="146"/>
      <c r="M116" s="146"/>
      <c r="N116" s="146"/>
      <c r="O116" s="146"/>
      <c r="P116" s="146"/>
      <c r="Q116" s="146"/>
      <c r="R116" s="146"/>
      <c r="S116" s="146"/>
      <c r="T116" s="146"/>
      <c r="U116" s="146"/>
      <c r="V116" s="146"/>
      <c r="W116" s="146"/>
      <c r="X116" s="146"/>
      <c r="Y116" s="146"/>
      <c r="Z116" s="146"/>
    </row>
    <row r="117" ht="22.5" customHeight="1">
      <c r="A117" s="318">
        <v>45993.0</v>
      </c>
      <c r="B117" s="326">
        <v>8.0</v>
      </c>
      <c r="C117" s="320"/>
      <c r="D117" s="321" t="s">
        <v>878</v>
      </c>
      <c r="E117" s="320"/>
      <c r="F117" s="320"/>
      <c r="G117" s="327" t="s">
        <v>2452</v>
      </c>
      <c r="H117" s="146"/>
      <c r="I117" s="146"/>
      <c r="J117" s="146"/>
      <c r="K117" s="146"/>
      <c r="L117" s="146"/>
      <c r="M117" s="146"/>
      <c r="N117" s="146"/>
      <c r="O117" s="146"/>
      <c r="P117" s="146"/>
      <c r="Q117" s="146"/>
      <c r="R117" s="146"/>
      <c r="S117" s="146"/>
      <c r="T117" s="146"/>
      <c r="U117" s="146"/>
      <c r="V117" s="146"/>
      <c r="W117" s="146"/>
      <c r="X117" s="146"/>
      <c r="Y117" s="146"/>
      <c r="Z117" s="146"/>
    </row>
    <row r="118" ht="22.5" customHeight="1">
      <c r="A118" s="318">
        <v>45994.0</v>
      </c>
      <c r="B118" s="326">
        <v>8.0</v>
      </c>
      <c r="C118" s="320"/>
      <c r="D118" s="321" t="s">
        <v>878</v>
      </c>
      <c r="E118" s="320"/>
      <c r="F118" s="320"/>
      <c r="G118" s="327" t="s">
        <v>2452</v>
      </c>
      <c r="H118" s="146"/>
      <c r="I118" s="146"/>
      <c r="J118" s="146"/>
      <c r="K118" s="146"/>
      <c r="L118" s="146"/>
      <c r="M118" s="146"/>
      <c r="N118" s="146"/>
      <c r="O118" s="146"/>
      <c r="P118" s="146"/>
      <c r="Q118" s="146"/>
      <c r="R118" s="146"/>
      <c r="S118" s="146"/>
      <c r="T118" s="146"/>
      <c r="U118" s="146"/>
      <c r="V118" s="146"/>
      <c r="W118" s="146"/>
      <c r="X118" s="146"/>
      <c r="Y118" s="146"/>
      <c r="Z118" s="146"/>
    </row>
    <row r="119" ht="22.5" customHeight="1">
      <c r="A119" s="318">
        <v>45995.0</v>
      </c>
      <c r="B119" s="326">
        <v>8.0</v>
      </c>
      <c r="C119" s="320"/>
      <c r="D119" s="321" t="s">
        <v>878</v>
      </c>
      <c r="E119" s="320"/>
      <c r="F119" s="320"/>
      <c r="G119" s="327" t="s">
        <v>2452</v>
      </c>
      <c r="H119" s="146"/>
      <c r="I119" s="146"/>
      <c r="J119" s="146"/>
      <c r="K119" s="146"/>
      <c r="L119" s="146"/>
      <c r="M119" s="146"/>
      <c r="N119" s="146"/>
      <c r="O119" s="146"/>
      <c r="P119" s="146"/>
      <c r="Q119" s="146"/>
      <c r="R119" s="146"/>
      <c r="S119" s="146"/>
      <c r="T119" s="146"/>
      <c r="U119" s="146"/>
      <c r="V119" s="146"/>
      <c r="W119" s="146"/>
      <c r="X119" s="146"/>
      <c r="Y119" s="146"/>
      <c r="Z119" s="146"/>
    </row>
    <row r="120" ht="22.5" customHeight="1">
      <c r="A120" s="318">
        <v>45996.0</v>
      </c>
      <c r="B120" s="326">
        <v>8.0</v>
      </c>
      <c r="C120" s="320"/>
      <c r="D120" s="321" t="s">
        <v>878</v>
      </c>
      <c r="E120" s="320"/>
      <c r="F120" s="320"/>
      <c r="G120" s="327" t="s">
        <v>2452</v>
      </c>
      <c r="H120" s="146"/>
      <c r="I120" s="146"/>
      <c r="J120" s="146"/>
      <c r="K120" s="146"/>
      <c r="L120" s="146"/>
      <c r="M120" s="146"/>
      <c r="N120" s="146"/>
      <c r="O120" s="146"/>
      <c r="P120" s="146"/>
      <c r="Q120" s="146"/>
      <c r="R120" s="146"/>
      <c r="S120" s="146"/>
      <c r="T120" s="146"/>
      <c r="U120" s="146"/>
      <c r="V120" s="146"/>
      <c r="W120" s="146"/>
      <c r="X120" s="146"/>
      <c r="Y120" s="146"/>
      <c r="Z120" s="146"/>
    </row>
    <row r="121" ht="22.5" customHeight="1">
      <c r="A121" s="318">
        <v>45997.0</v>
      </c>
      <c r="B121" s="326">
        <v>8.0</v>
      </c>
      <c r="C121" s="320"/>
      <c r="D121" s="321" t="s">
        <v>878</v>
      </c>
      <c r="E121" s="320"/>
      <c r="F121" s="320"/>
      <c r="G121" s="327" t="s">
        <v>2452</v>
      </c>
      <c r="H121" s="146"/>
      <c r="I121" s="146"/>
      <c r="J121" s="146"/>
      <c r="K121" s="146"/>
      <c r="L121" s="146"/>
      <c r="M121" s="146"/>
      <c r="N121" s="146"/>
      <c r="O121" s="146"/>
      <c r="P121" s="146"/>
      <c r="Q121" s="146"/>
      <c r="R121" s="146"/>
      <c r="S121" s="146"/>
      <c r="T121" s="146"/>
      <c r="U121" s="146"/>
      <c r="V121" s="146"/>
      <c r="W121" s="146"/>
      <c r="X121" s="146"/>
      <c r="Y121" s="146"/>
      <c r="Z121" s="146"/>
    </row>
    <row r="122" ht="22.5" customHeight="1">
      <c r="A122" s="318">
        <v>45998.0</v>
      </c>
      <c r="B122" s="326">
        <v>8.0</v>
      </c>
      <c r="C122" s="320"/>
      <c r="D122" s="321" t="s">
        <v>878</v>
      </c>
      <c r="E122" s="320"/>
      <c r="F122" s="320"/>
      <c r="G122" s="327" t="s">
        <v>2452</v>
      </c>
      <c r="H122" s="146"/>
      <c r="I122" s="146"/>
      <c r="J122" s="146"/>
      <c r="K122" s="146"/>
      <c r="L122" s="146"/>
      <c r="M122" s="146"/>
      <c r="N122" s="146"/>
      <c r="O122" s="146"/>
      <c r="P122" s="146"/>
      <c r="Q122" s="146"/>
      <c r="R122" s="146"/>
      <c r="S122" s="146"/>
      <c r="T122" s="146"/>
      <c r="U122" s="146"/>
      <c r="V122" s="146"/>
      <c r="W122" s="146"/>
      <c r="X122" s="146"/>
      <c r="Y122" s="146"/>
      <c r="Z122" s="146"/>
    </row>
    <row r="123" ht="22.5" customHeight="1">
      <c r="A123" s="318">
        <v>45999.0</v>
      </c>
      <c r="B123" s="326">
        <v>8.0</v>
      </c>
      <c r="C123" s="320"/>
      <c r="D123" s="321" t="s">
        <v>878</v>
      </c>
      <c r="E123" s="320"/>
      <c r="F123" s="320"/>
      <c r="G123" s="327" t="s">
        <v>2452</v>
      </c>
      <c r="H123" s="146"/>
      <c r="I123" s="146"/>
      <c r="J123" s="146"/>
      <c r="K123" s="146"/>
      <c r="L123" s="146"/>
      <c r="M123" s="146"/>
      <c r="N123" s="146"/>
      <c r="O123" s="146"/>
      <c r="P123" s="146"/>
      <c r="Q123" s="146"/>
      <c r="R123" s="146"/>
      <c r="S123" s="146"/>
      <c r="T123" s="146"/>
      <c r="U123" s="146"/>
      <c r="V123" s="146"/>
      <c r="W123" s="146"/>
      <c r="X123" s="146"/>
      <c r="Y123" s="146"/>
      <c r="Z123" s="146"/>
    </row>
    <row r="124" ht="22.5" customHeight="1">
      <c r="A124" s="318">
        <v>46000.0</v>
      </c>
      <c r="B124" s="326">
        <v>8.0</v>
      </c>
      <c r="C124" s="320"/>
      <c r="D124" s="321" t="s">
        <v>878</v>
      </c>
      <c r="E124" s="320"/>
      <c r="F124" s="320"/>
      <c r="G124" s="327" t="s">
        <v>2452</v>
      </c>
      <c r="H124" s="146"/>
      <c r="I124" s="146"/>
      <c r="J124" s="146"/>
      <c r="K124" s="146"/>
      <c r="L124" s="146"/>
      <c r="M124" s="146"/>
      <c r="N124" s="146"/>
      <c r="O124" s="146"/>
      <c r="P124" s="146"/>
      <c r="Q124" s="146"/>
      <c r="R124" s="146"/>
      <c r="S124" s="146"/>
      <c r="T124" s="146"/>
      <c r="U124" s="146"/>
      <c r="V124" s="146"/>
      <c r="W124" s="146"/>
      <c r="X124" s="146"/>
      <c r="Y124" s="146"/>
      <c r="Z124" s="146"/>
    </row>
    <row r="125" ht="22.5" customHeight="1">
      <c r="A125" s="318">
        <v>46001.0</v>
      </c>
      <c r="B125" s="326">
        <v>8.0</v>
      </c>
      <c r="C125" s="320"/>
      <c r="D125" s="321" t="s">
        <v>878</v>
      </c>
      <c r="E125" s="320"/>
      <c r="F125" s="320"/>
      <c r="G125" s="327" t="s">
        <v>2452</v>
      </c>
      <c r="H125" s="146"/>
      <c r="I125" s="146"/>
      <c r="J125" s="146"/>
      <c r="K125" s="146"/>
      <c r="L125" s="146"/>
      <c r="M125" s="146"/>
      <c r="N125" s="146"/>
      <c r="O125" s="146"/>
      <c r="P125" s="146"/>
      <c r="Q125" s="146"/>
      <c r="R125" s="146"/>
      <c r="S125" s="146"/>
      <c r="T125" s="146"/>
      <c r="U125" s="146"/>
      <c r="V125" s="146"/>
      <c r="W125" s="146"/>
      <c r="X125" s="146"/>
      <c r="Y125" s="146"/>
      <c r="Z125" s="146"/>
    </row>
    <row r="126" ht="22.5" customHeight="1">
      <c r="A126" s="318">
        <v>46002.0</v>
      </c>
      <c r="B126" s="326">
        <v>8.0</v>
      </c>
      <c r="C126" s="320"/>
      <c r="D126" s="321" t="s">
        <v>878</v>
      </c>
      <c r="E126" s="320"/>
      <c r="F126" s="320"/>
      <c r="G126" s="327" t="s">
        <v>2452</v>
      </c>
      <c r="H126" s="146"/>
      <c r="I126" s="146"/>
      <c r="J126" s="146"/>
      <c r="K126" s="146"/>
      <c r="L126" s="146"/>
      <c r="M126" s="146"/>
      <c r="N126" s="146"/>
      <c r="O126" s="146"/>
      <c r="P126" s="146"/>
      <c r="Q126" s="146"/>
      <c r="R126" s="146"/>
      <c r="S126" s="146"/>
      <c r="T126" s="146"/>
      <c r="U126" s="146"/>
      <c r="V126" s="146"/>
      <c r="W126" s="146"/>
      <c r="X126" s="146"/>
      <c r="Y126" s="146"/>
      <c r="Z126" s="146"/>
    </row>
    <row r="127" ht="22.5" customHeight="1">
      <c r="A127" s="318">
        <v>46003.0</v>
      </c>
      <c r="B127" s="326">
        <v>8.0</v>
      </c>
      <c r="C127" s="320"/>
      <c r="D127" s="321" t="s">
        <v>878</v>
      </c>
      <c r="E127" s="320"/>
      <c r="F127" s="320"/>
      <c r="G127" s="327" t="s">
        <v>2452</v>
      </c>
      <c r="H127" s="146"/>
      <c r="I127" s="146"/>
      <c r="J127" s="146"/>
      <c r="K127" s="146"/>
      <c r="L127" s="146"/>
      <c r="M127" s="146"/>
      <c r="N127" s="146"/>
      <c r="O127" s="146"/>
      <c r="P127" s="146"/>
      <c r="Q127" s="146"/>
      <c r="R127" s="146"/>
      <c r="S127" s="146"/>
      <c r="T127" s="146"/>
      <c r="U127" s="146"/>
      <c r="V127" s="146"/>
      <c r="W127" s="146"/>
      <c r="X127" s="146"/>
      <c r="Y127" s="146"/>
      <c r="Z127" s="146"/>
    </row>
    <row r="128" ht="22.5" customHeight="1">
      <c r="A128" s="318">
        <v>46004.0</v>
      </c>
      <c r="B128" s="326">
        <v>8.0</v>
      </c>
      <c r="C128" s="320"/>
      <c r="D128" s="321" t="s">
        <v>878</v>
      </c>
      <c r="E128" s="320"/>
      <c r="F128" s="320"/>
      <c r="G128" s="327" t="s">
        <v>2452</v>
      </c>
      <c r="H128" s="146"/>
      <c r="I128" s="146"/>
      <c r="J128" s="146"/>
      <c r="K128" s="146"/>
      <c r="L128" s="146"/>
      <c r="M128" s="146"/>
      <c r="N128" s="146"/>
      <c r="O128" s="146"/>
      <c r="P128" s="146"/>
      <c r="Q128" s="146"/>
      <c r="R128" s="146"/>
      <c r="S128" s="146"/>
      <c r="T128" s="146"/>
      <c r="U128" s="146"/>
      <c r="V128" s="146"/>
      <c r="W128" s="146"/>
      <c r="X128" s="146"/>
      <c r="Y128" s="146"/>
      <c r="Z128" s="146"/>
    </row>
    <row r="129" ht="22.5" customHeight="1">
      <c r="A129" s="318">
        <v>46005.0</v>
      </c>
      <c r="B129" s="326">
        <v>8.0</v>
      </c>
      <c r="C129" s="320"/>
      <c r="D129" s="321" t="s">
        <v>878</v>
      </c>
      <c r="E129" s="320"/>
      <c r="F129" s="320"/>
      <c r="G129" s="327" t="s">
        <v>2452</v>
      </c>
      <c r="H129" s="146"/>
      <c r="I129" s="146"/>
      <c r="J129" s="146"/>
      <c r="K129" s="146"/>
      <c r="L129" s="146"/>
      <c r="M129" s="146"/>
      <c r="N129" s="146"/>
      <c r="O129" s="146"/>
      <c r="P129" s="146"/>
      <c r="Q129" s="146"/>
      <c r="R129" s="146"/>
      <c r="S129" s="146"/>
      <c r="T129" s="146"/>
      <c r="U129" s="146"/>
      <c r="V129" s="146"/>
      <c r="W129" s="146"/>
      <c r="X129" s="146"/>
      <c r="Y129" s="146"/>
      <c r="Z129" s="146"/>
    </row>
    <row r="130" ht="22.5" customHeight="1">
      <c r="A130" s="318">
        <v>46006.0</v>
      </c>
      <c r="B130" s="326">
        <v>8.0</v>
      </c>
      <c r="C130" s="320"/>
      <c r="D130" s="321" t="s">
        <v>878</v>
      </c>
      <c r="E130" s="320"/>
      <c r="F130" s="320"/>
      <c r="G130" s="327" t="s">
        <v>2452</v>
      </c>
      <c r="H130" s="146"/>
      <c r="I130" s="146"/>
      <c r="J130" s="146"/>
      <c r="K130" s="146"/>
      <c r="L130" s="146"/>
      <c r="M130" s="146"/>
      <c r="N130" s="146"/>
      <c r="O130" s="146"/>
      <c r="P130" s="146"/>
      <c r="Q130" s="146"/>
      <c r="R130" s="146"/>
      <c r="S130" s="146"/>
      <c r="T130" s="146"/>
      <c r="U130" s="146"/>
      <c r="V130" s="146"/>
      <c r="W130" s="146"/>
      <c r="X130" s="146"/>
      <c r="Y130" s="146"/>
      <c r="Z130" s="146"/>
    </row>
    <row r="131" ht="22.5" customHeight="1">
      <c r="A131" s="318">
        <v>46007.0</v>
      </c>
      <c r="B131" s="326">
        <v>8.0</v>
      </c>
      <c r="C131" s="320"/>
      <c r="D131" s="321" t="s">
        <v>878</v>
      </c>
      <c r="E131" s="320"/>
      <c r="F131" s="320"/>
      <c r="G131" s="327" t="s">
        <v>2452</v>
      </c>
      <c r="H131" s="146"/>
      <c r="I131" s="146"/>
      <c r="J131" s="146"/>
      <c r="K131" s="146"/>
      <c r="L131" s="146"/>
      <c r="M131" s="146"/>
      <c r="N131" s="146"/>
      <c r="O131" s="146"/>
      <c r="P131" s="146"/>
      <c r="Q131" s="146"/>
      <c r="R131" s="146"/>
      <c r="S131" s="146"/>
      <c r="T131" s="146"/>
      <c r="U131" s="146"/>
      <c r="V131" s="146"/>
      <c r="W131" s="146"/>
      <c r="X131" s="146"/>
      <c r="Y131" s="146"/>
      <c r="Z131" s="146"/>
    </row>
    <row r="132" ht="22.5" customHeight="1">
      <c r="A132" s="318">
        <v>46008.0</v>
      </c>
      <c r="B132" s="326">
        <v>8.0</v>
      </c>
      <c r="C132" s="320"/>
      <c r="D132" s="321" t="s">
        <v>878</v>
      </c>
      <c r="E132" s="320"/>
      <c r="F132" s="320"/>
      <c r="G132" s="327" t="s">
        <v>2452</v>
      </c>
      <c r="H132" s="146"/>
      <c r="I132" s="146"/>
      <c r="J132" s="146"/>
      <c r="K132" s="146"/>
      <c r="L132" s="146"/>
      <c r="M132" s="146"/>
      <c r="N132" s="146"/>
      <c r="O132" s="146"/>
      <c r="P132" s="146"/>
      <c r="Q132" s="146"/>
      <c r="R132" s="146"/>
      <c r="S132" s="146"/>
      <c r="T132" s="146"/>
      <c r="U132" s="146"/>
      <c r="V132" s="146"/>
      <c r="W132" s="146"/>
      <c r="X132" s="146"/>
      <c r="Y132" s="146"/>
      <c r="Z132" s="146"/>
    </row>
    <row r="133" ht="22.5" customHeight="1">
      <c r="A133" s="318">
        <v>46009.0</v>
      </c>
      <c r="B133" s="326">
        <v>8.0</v>
      </c>
      <c r="C133" s="320"/>
      <c r="D133" s="321" t="s">
        <v>878</v>
      </c>
      <c r="E133" s="320"/>
      <c r="F133" s="320"/>
      <c r="G133" s="327" t="s">
        <v>2452</v>
      </c>
      <c r="H133" s="146"/>
      <c r="I133" s="146"/>
      <c r="J133" s="146"/>
      <c r="K133" s="146"/>
      <c r="L133" s="146"/>
      <c r="M133" s="146"/>
      <c r="N133" s="146"/>
      <c r="O133" s="146"/>
      <c r="P133" s="146"/>
      <c r="Q133" s="146"/>
      <c r="R133" s="146"/>
      <c r="S133" s="146"/>
      <c r="T133" s="146"/>
      <c r="U133" s="146"/>
      <c r="V133" s="146"/>
      <c r="W133" s="146"/>
      <c r="X133" s="146"/>
      <c r="Y133" s="146"/>
      <c r="Z133" s="146"/>
    </row>
    <row r="134" ht="22.5" customHeight="1">
      <c r="A134" s="318">
        <v>46010.0</v>
      </c>
      <c r="B134" s="326">
        <v>8.0</v>
      </c>
      <c r="C134" s="320"/>
      <c r="D134" s="321" t="s">
        <v>878</v>
      </c>
      <c r="E134" s="320"/>
      <c r="F134" s="320"/>
      <c r="G134" s="327" t="s">
        <v>2452</v>
      </c>
      <c r="H134" s="146"/>
      <c r="I134" s="146"/>
      <c r="J134" s="146"/>
      <c r="K134" s="146"/>
      <c r="L134" s="146"/>
      <c r="M134" s="146"/>
      <c r="N134" s="146"/>
      <c r="O134" s="146"/>
      <c r="P134" s="146"/>
      <c r="Q134" s="146"/>
      <c r="R134" s="146"/>
      <c r="S134" s="146"/>
      <c r="T134" s="146"/>
      <c r="U134" s="146"/>
      <c r="V134" s="146"/>
      <c r="W134" s="146"/>
      <c r="X134" s="146"/>
      <c r="Y134" s="146"/>
      <c r="Z134" s="146"/>
    </row>
    <row r="135" ht="22.5" customHeight="1">
      <c r="A135" s="318">
        <v>46011.0</v>
      </c>
      <c r="B135" s="326">
        <v>8.0</v>
      </c>
      <c r="C135" s="320"/>
      <c r="D135" s="321" t="s">
        <v>878</v>
      </c>
      <c r="E135" s="320"/>
      <c r="F135" s="320"/>
      <c r="G135" s="327" t="s">
        <v>2452</v>
      </c>
      <c r="H135" s="146"/>
      <c r="I135" s="146"/>
      <c r="J135" s="146"/>
      <c r="K135" s="146"/>
      <c r="L135" s="146"/>
      <c r="M135" s="146"/>
      <c r="N135" s="146"/>
      <c r="O135" s="146"/>
      <c r="P135" s="146"/>
      <c r="Q135" s="146"/>
      <c r="R135" s="146"/>
      <c r="S135" s="146"/>
      <c r="T135" s="146"/>
      <c r="U135" s="146"/>
      <c r="V135" s="146"/>
      <c r="W135" s="146"/>
      <c r="X135" s="146"/>
      <c r="Y135" s="146"/>
      <c r="Z135" s="146"/>
    </row>
    <row r="136" ht="22.5" customHeight="1">
      <c r="A136" s="318">
        <v>46012.0</v>
      </c>
      <c r="B136" s="326">
        <v>8.0</v>
      </c>
      <c r="C136" s="320"/>
      <c r="D136" s="321" t="s">
        <v>878</v>
      </c>
      <c r="E136" s="320"/>
      <c r="F136" s="320"/>
      <c r="G136" s="327" t="s">
        <v>2452</v>
      </c>
      <c r="H136" s="146"/>
      <c r="I136" s="146"/>
      <c r="J136" s="146"/>
      <c r="K136" s="146"/>
      <c r="L136" s="146"/>
      <c r="M136" s="146"/>
      <c r="N136" s="146"/>
      <c r="O136" s="146"/>
      <c r="P136" s="146"/>
      <c r="Q136" s="146"/>
      <c r="R136" s="146"/>
      <c r="S136" s="146"/>
      <c r="T136" s="146"/>
      <c r="U136" s="146"/>
      <c r="V136" s="146"/>
      <c r="W136" s="146"/>
      <c r="X136" s="146"/>
      <c r="Y136" s="146"/>
      <c r="Z136" s="146"/>
    </row>
    <row r="137" ht="22.5" customHeight="1">
      <c r="A137" s="318">
        <v>46013.0</v>
      </c>
      <c r="B137" s="326">
        <v>8.0</v>
      </c>
      <c r="C137" s="320"/>
      <c r="D137" s="321" t="s">
        <v>878</v>
      </c>
      <c r="E137" s="320"/>
      <c r="F137" s="320"/>
      <c r="G137" s="327" t="s">
        <v>2452</v>
      </c>
      <c r="H137" s="146"/>
      <c r="I137" s="146"/>
      <c r="J137" s="146"/>
      <c r="K137" s="146"/>
      <c r="L137" s="146"/>
      <c r="M137" s="146"/>
      <c r="N137" s="146"/>
      <c r="O137" s="146"/>
      <c r="P137" s="146"/>
      <c r="Q137" s="146"/>
      <c r="R137" s="146"/>
      <c r="S137" s="146"/>
      <c r="T137" s="146"/>
      <c r="U137" s="146"/>
      <c r="V137" s="146"/>
      <c r="W137" s="146"/>
      <c r="X137" s="146"/>
      <c r="Y137" s="146"/>
      <c r="Z137" s="146"/>
    </row>
    <row r="138" ht="22.5" customHeight="1">
      <c r="A138" s="318">
        <v>46014.0</v>
      </c>
      <c r="B138" s="326">
        <v>8.0</v>
      </c>
      <c r="C138" s="320"/>
      <c r="D138" s="321" t="s">
        <v>878</v>
      </c>
      <c r="E138" s="320"/>
      <c r="F138" s="320"/>
      <c r="G138" s="327" t="s">
        <v>2452</v>
      </c>
      <c r="H138" s="146"/>
      <c r="I138" s="146"/>
      <c r="J138" s="146"/>
      <c r="K138" s="146"/>
      <c r="L138" s="146"/>
      <c r="M138" s="146"/>
      <c r="N138" s="146"/>
      <c r="O138" s="146"/>
      <c r="P138" s="146"/>
      <c r="Q138" s="146"/>
      <c r="R138" s="146"/>
      <c r="S138" s="146"/>
      <c r="T138" s="146"/>
      <c r="U138" s="146"/>
      <c r="V138" s="146"/>
      <c r="W138" s="146"/>
      <c r="X138" s="146"/>
      <c r="Y138" s="146"/>
      <c r="Z138" s="146"/>
    </row>
    <row r="139" ht="22.5" customHeight="1">
      <c r="A139" s="318">
        <v>46015.0</v>
      </c>
      <c r="B139" s="326">
        <v>8.0</v>
      </c>
      <c r="C139" s="320"/>
      <c r="D139" s="321" t="s">
        <v>878</v>
      </c>
      <c r="E139" s="320"/>
      <c r="F139" s="320"/>
      <c r="G139" s="327" t="s">
        <v>2452</v>
      </c>
      <c r="H139" s="146"/>
      <c r="I139" s="146"/>
      <c r="J139" s="146"/>
      <c r="K139" s="146"/>
      <c r="L139" s="146"/>
      <c r="M139" s="146"/>
      <c r="N139" s="146"/>
      <c r="O139" s="146"/>
      <c r="P139" s="146"/>
      <c r="Q139" s="146"/>
      <c r="R139" s="146"/>
      <c r="S139" s="146"/>
      <c r="T139" s="146"/>
      <c r="U139" s="146"/>
      <c r="V139" s="146"/>
      <c r="W139" s="146"/>
      <c r="X139" s="146"/>
      <c r="Y139" s="146"/>
      <c r="Z139" s="146"/>
    </row>
    <row r="140" ht="22.5" customHeight="1">
      <c r="A140" s="318">
        <v>46016.0</v>
      </c>
      <c r="B140" s="326">
        <v>8.0</v>
      </c>
      <c r="C140" s="320"/>
      <c r="D140" s="321" t="s">
        <v>878</v>
      </c>
      <c r="E140" s="320"/>
      <c r="F140" s="320"/>
      <c r="G140" s="327" t="s">
        <v>2452</v>
      </c>
      <c r="H140" s="146"/>
      <c r="I140" s="146"/>
      <c r="J140" s="146"/>
      <c r="K140" s="146"/>
      <c r="L140" s="146"/>
      <c r="M140" s="146"/>
      <c r="N140" s="146"/>
      <c r="O140" s="146"/>
      <c r="P140" s="146"/>
      <c r="Q140" s="146"/>
      <c r="R140" s="146"/>
      <c r="S140" s="146"/>
      <c r="T140" s="146"/>
      <c r="U140" s="146"/>
      <c r="V140" s="146"/>
      <c r="W140" s="146"/>
      <c r="X140" s="146"/>
      <c r="Y140" s="146"/>
      <c r="Z140" s="146"/>
    </row>
    <row r="141" ht="22.5" customHeight="1">
      <c r="A141" s="318">
        <v>46017.0</v>
      </c>
      <c r="B141" s="326">
        <v>8.0</v>
      </c>
      <c r="C141" s="320"/>
      <c r="D141" s="321" t="s">
        <v>878</v>
      </c>
      <c r="E141" s="320"/>
      <c r="F141" s="320"/>
      <c r="G141" s="327" t="s">
        <v>2452</v>
      </c>
      <c r="H141" s="146"/>
      <c r="I141" s="146"/>
      <c r="J141" s="146"/>
      <c r="K141" s="146"/>
      <c r="L141" s="146"/>
      <c r="M141" s="146"/>
      <c r="N141" s="146"/>
      <c r="O141" s="146"/>
      <c r="P141" s="146"/>
      <c r="Q141" s="146"/>
      <c r="R141" s="146"/>
      <c r="S141" s="146"/>
      <c r="T141" s="146"/>
      <c r="U141" s="146"/>
      <c r="V141" s="146"/>
      <c r="W141" s="146"/>
      <c r="X141" s="146"/>
      <c r="Y141" s="146"/>
      <c r="Z141" s="146"/>
    </row>
    <row r="142" ht="22.5" customHeight="1">
      <c r="A142" s="318">
        <v>46018.0</v>
      </c>
      <c r="B142" s="326">
        <v>8.0</v>
      </c>
      <c r="C142" s="320"/>
      <c r="D142" s="321" t="s">
        <v>878</v>
      </c>
      <c r="E142" s="320"/>
      <c r="F142" s="320"/>
      <c r="G142" s="327" t="s">
        <v>2452</v>
      </c>
      <c r="H142" s="146"/>
      <c r="I142" s="146"/>
      <c r="J142" s="146"/>
      <c r="K142" s="146"/>
      <c r="L142" s="146"/>
      <c r="M142" s="146"/>
      <c r="N142" s="146"/>
      <c r="O142" s="146"/>
      <c r="P142" s="146"/>
      <c r="Q142" s="146"/>
      <c r="R142" s="146"/>
      <c r="S142" s="146"/>
      <c r="T142" s="146"/>
      <c r="U142" s="146"/>
      <c r="V142" s="146"/>
      <c r="W142" s="146"/>
      <c r="X142" s="146"/>
      <c r="Y142" s="146"/>
      <c r="Z142" s="146"/>
    </row>
    <row r="143" ht="22.5" customHeight="1">
      <c r="A143" s="318">
        <v>46019.0</v>
      </c>
      <c r="B143" s="326">
        <v>8.0</v>
      </c>
      <c r="C143" s="320"/>
      <c r="D143" s="321" t="s">
        <v>878</v>
      </c>
      <c r="E143" s="320"/>
      <c r="F143" s="320"/>
      <c r="G143" s="327" t="s">
        <v>2452</v>
      </c>
      <c r="H143" s="146"/>
      <c r="I143" s="146"/>
      <c r="J143" s="146"/>
      <c r="K143" s="146"/>
      <c r="L143" s="146"/>
      <c r="M143" s="146"/>
      <c r="N143" s="146"/>
      <c r="O143" s="146"/>
      <c r="P143" s="146"/>
      <c r="Q143" s="146"/>
      <c r="R143" s="146"/>
      <c r="S143" s="146"/>
      <c r="T143" s="146"/>
      <c r="U143" s="146"/>
      <c r="V143" s="146"/>
      <c r="W143" s="146"/>
      <c r="X143" s="146"/>
      <c r="Y143" s="146"/>
      <c r="Z143" s="146"/>
    </row>
    <row r="144" ht="22.5" customHeight="1">
      <c r="A144" s="318">
        <v>46020.0</v>
      </c>
      <c r="B144" s="326">
        <v>8.0</v>
      </c>
      <c r="C144" s="320"/>
      <c r="D144" s="321" t="s">
        <v>878</v>
      </c>
      <c r="E144" s="320"/>
      <c r="F144" s="320"/>
      <c r="G144" s="327" t="s">
        <v>2452</v>
      </c>
      <c r="H144" s="146"/>
      <c r="I144" s="146"/>
      <c r="J144" s="146"/>
      <c r="K144" s="146"/>
      <c r="L144" s="146"/>
      <c r="M144" s="146"/>
      <c r="N144" s="146"/>
      <c r="O144" s="146"/>
      <c r="P144" s="146"/>
      <c r="Q144" s="146"/>
      <c r="R144" s="146"/>
      <c r="S144" s="146"/>
      <c r="T144" s="146"/>
      <c r="U144" s="146"/>
      <c r="V144" s="146"/>
      <c r="W144" s="146"/>
      <c r="X144" s="146"/>
      <c r="Y144" s="146"/>
      <c r="Z144" s="146"/>
    </row>
    <row r="145" ht="22.5" customHeight="1">
      <c r="A145" s="318">
        <v>46021.0</v>
      </c>
      <c r="B145" s="326">
        <v>8.0</v>
      </c>
      <c r="C145" s="320"/>
      <c r="D145" s="321" t="s">
        <v>878</v>
      </c>
      <c r="E145" s="320"/>
      <c r="F145" s="320"/>
      <c r="G145" s="327" t="s">
        <v>2452</v>
      </c>
      <c r="H145" s="146"/>
      <c r="I145" s="146"/>
      <c r="J145" s="146"/>
      <c r="K145" s="146"/>
      <c r="L145" s="146"/>
      <c r="M145" s="146"/>
      <c r="N145" s="146"/>
      <c r="O145" s="146"/>
      <c r="P145" s="146"/>
      <c r="Q145" s="146"/>
      <c r="R145" s="146"/>
      <c r="S145" s="146"/>
      <c r="T145" s="146"/>
      <c r="U145" s="146"/>
      <c r="V145" s="146"/>
      <c r="W145" s="146"/>
      <c r="X145" s="146"/>
      <c r="Y145" s="146"/>
      <c r="Z145" s="146"/>
    </row>
    <row r="146" ht="22.5" customHeight="1">
      <c r="A146" s="318">
        <v>46024.0</v>
      </c>
      <c r="B146" s="326">
        <v>8.0</v>
      </c>
      <c r="C146" s="320"/>
      <c r="D146" s="321" t="s">
        <v>86</v>
      </c>
      <c r="E146" s="320"/>
      <c r="F146" s="320"/>
      <c r="G146" s="327" t="s">
        <v>2452</v>
      </c>
      <c r="H146" s="146"/>
      <c r="I146" s="146"/>
      <c r="J146" s="146"/>
      <c r="K146" s="146"/>
      <c r="L146" s="146"/>
      <c r="M146" s="146"/>
      <c r="N146" s="146"/>
      <c r="O146" s="146"/>
      <c r="P146" s="146"/>
      <c r="Q146" s="146"/>
      <c r="R146" s="146"/>
      <c r="S146" s="146"/>
      <c r="T146" s="146"/>
      <c r="U146" s="146"/>
      <c r="V146" s="146"/>
      <c r="W146" s="146"/>
      <c r="X146" s="146"/>
      <c r="Y146" s="146"/>
      <c r="Z146" s="146"/>
    </row>
    <row r="147" ht="22.5" customHeight="1">
      <c r="A147" s="318">
        <v>46027.0</v>
      </c>
      <c r="B147" s="326">
        <v>8.0</v>
      </c>
      <c r="C147" s="320"/>
      <c r="D147" s="321" t="s">
        <v>2453</v>
      </c>
      <c r="E147" s="325" t="s">
        <v>39</v>
      </c>
      <c r="F147" s="321" t="s">
        <v>584</v>
      </c>
      <c r="G147" s="327"/>
      <c r="H147" s="146"/>
      <c r="I147" s="146"/>
      <c r="J147" s="146"/>
      <c r="K147" s="146"/>
      <c r="L147" s="146"/>
      <c r="M147" s="146"/>
      <c r="N147" s="146"/>
      <c r="O147" s="146"/>
      <c r="P147" s="146"/>
      <c r="Q147" s="146"/>
      <c r="R147" s="146"/>
      <c r="S147" s="146"/>
      <c r="T147" s="146"/>
      <c r="U147" s="146"/>
      <c r="V147" s="146"/>
      <c r="W147" s="146"/>
      <c r="X147" s="146"/>
      <c r="Y147" s="146"/>
      <c r="Z147" s="146"/>
    </row>
    <row r="148" ht="22.5" customHeight="1">
      <c r="A148" s="318">
        <v>46028.0</v>
      </c>
      <c r="B148" s="326">
        <v>8.0</v>
      </c>
      <c r="C148" s="320"/>
      <c r="D148" s="321" t="s">
        <v>2454</v>
      </c>
      <c r="E148" s="321" t="s">
        <v>1952</v>
      </c>
      <c r="F148" s="328" t="s">
        <v>2455</v>
      </c>
      <c r="G148" s="327"/>
      <c r="H148" s="146"/>
      <c r="I148" s="146"/>
      <c r="J148" s="146"/>
      <c r="K148" s="146"/>
      <c r="L148" s="146"/>
      <c r="M148" s="146"/>
      <c r="N148" s="146"/>
      <c r="O148" s="146"/>
      <c r="P148" s="146"/>
      <c r="Q148" s="146"/>
      <c r="R148" s="146"/>
      <c r="S148" s="146"/>
      <c r="T148" s="146"/>
      <c r="U148" s="146"/>
      <c r="V148" s="146"/>
      <c r="W148" s="146"/>
      <c r="X148" s="146"/>
      <c r="Y148" s="146"/>
      <c r="Z148" s="146"/>
    </row>
    <row r="149" ht="22.5" customHeight="1">
      <c r="A149" s="318">
        <v>46029.0</v>
      </c>
      <c r="B149" s="326">
        <v>8.0</v>
      </c>
      <c r="C149" s="320"/>
      <c r="D149" s="321" t="s">
        <v>2456</v>
      </c>
      <c r="E149" s="321" t="s">
        <v>39</v>
      </c>
      <c r="F149" s="328" t="s">
        <v>2457</v>
      </c>
      <c r="G149" s="327"/>
      <c r="H149" s="146"/>
      <c r="I149" s="146"/>
      <c r="J149" s="146"/>
      <c r="K149" s="146"/>
      <c r="L149" s="146"/>
      <c r="M149" s="146"/>
      <c r="N149" s="146"/>
      <c r="O149" s="146"/>
      <c r="P149" s="146"/>
      <c r="Q149" s="146"/>
      <c r="R149" s="146"/>
      <c r="S149" s="146"/>
      <c r="T149" s="146"/>
      <c r="U149" s="146"/>
      <c r="V149" s="146"/>
      <c r="W149" s="146"/>
      <c r="X149" s="146"/>
      <c r="Y149" s="146"/>
      <c r="Z149" s="146"/>
    </row>
    <row r="150" ht="22.5" customHeight="1">
      <c r="A150" s="318">
        <v>46030.0</v>
      </c>
      <c r="B150" s="326">
        <v>8.0</v>
      </c>
      <c r="C150" s="320"/>
      <c r="D150" s="321" t="s">
        <v>2456</v>
      </c>
      <c r="E150" s="321" t="s">
        <v>39</v>
      </c>
      <c r="F150" s="328" t="s">
        <v>2457</v>
      </c>
      <c r="G150" s="327"/>
      <c r="H150" s="146"/>
      <c r="I150" s="146"/>
      <c r="J150" s="146"/>
      <c r="K150" s="146"/>
      <c r="L150" s="146"/>
      <c r="M150" s="146"/>
      <c r="N150" s="146"/>
      <c r="O150" s="146"/>
      <c r="P150" s="146"/>
      <c r="Q150" s="146"/>
      <c r="R150" s="146"/>
      <c r="S150" s="146"/>
      <c r="T150" s="146"/>
      <c r="U150" s="146"/>
      <c r="V150" s="146"/>
      <c r="W150" s="146"/>
      <c r="X150" s="146"/>
      <c r="Y150" s="146"/>
      <c r="Z150" s="146"/>
    </row>
    <row r="151" ht="22.5" customHeight="1">
      <c r="A151" s="318">
        <v>46031.0</v>
      </c>
      <c r="B151" s="326">
        <v>8.0</v>
      </c>
      <c r="C151" s="320"/>
      <c r="D151" s="321" t="s">
        <v>2458</v>
      </c>
      <c r="E151" s="321" t="s">
        <v>2459</v>
      </c>
      <c r="F151" s="328" t="s">
        <v>2460</v>
      </c>
      <c r="G151" s="327"/>
      <c r="H151" s="146"/>
      <c r="I151" s="146"/>
      <c r="J151" s="146"/>
      <c r="K151" s="146"/>
      <c r="L151" s="146"/>
      <c r="M151" s="146"/>
      <c r="N151" s="146"/>
      <c r="O151" s="146"/>
      <c r="P151" s="146"/>
      <c r="Q151" s="146"/>
      <c r="R151" s="146"/>
      <c r="S151" s="146"/>
      <c r="T151" s="146"/>
      <c r="U151" s="146"/>
      <c r="V151" s="146"/>
      <c r="W151" s="146"/>
      <c r="X151" s="146"/>
      <c r="Y151" s="146"/>
      <c r="Z151" s="146"/>
    </row>
    <row r="152" ht="22.5" customHeight="1">
      <c r="A152" s="318">
        <v>46034.0</v>
      </c>
      <c r="B152" s="326">
        <v>8.0</v>
      </c>
      <c r="C152" s="320"/>
      <c r="D152" s="321" t="s">
        <v>2461</v>
      </c>
      <c r="E152" s="321" t="s">
        <v>2462</v>
      </c>
      <c r="F152" s="328" t="s">
        <v>2463</v>
      </c>
      <c r="G152" s="327"/>
      <c r="H152" s="146"/>
      <c r="I152" s="146"/>
      <c r="J152" s="146"/>
      <c r="K152" s="146"/>
      <c r="L152" s="146"/>
      <c r="M152" s="146"/>
      <c r="N152" s="146"/>
      <c r="O152" s="146"/>
      <c r="P152" s="146"/>
      <c r="Q152" s="146"/>
      <c r="R152" s="146"/>
      <c r="S152" s="146"/>
      <c r="T152" s="146"/>
      <c r="U152" s="146"/>
      <c r="V152" s="146"/>
      <c r="W152" s="146"/>
      <c r="X152" s="146"/>
      <c r="Y152" s="146"/>
      <c r="Z152" s="146"/>
    </row>
    <row r="153" ht="22.5" customHeight="1">
      <c r="A153" s="318">
        <v>46035.0</v>
      </c>
      <c r="B153" s="326">
        <v>8.0</v>
      </c>
      <c r="C153" s="320"/>
      <c r="D153" s="321" t="s">
        <v>2464</v>
      </c>
      <c r="E153" s="321" t="s">
        <v>2448</v>
      </c>
      <c r="F153" s="328" t="s">
        <v>2465</v>
      </c>
      <c r="G153" s="327"/>
      <c r="H153" s="146"/>
      <c r="I153" s="146"/>
      <c r="J153" s="146"/>
      <c r="K153" s="146"/>
      <c r="L153" s="146"/>
      <c r="M153" s="146"/>
      <c r="N153" s="146"/>
      <c r="O153" s="146"/>
      <c r="P153" s="146"/>
      <c r="Q153" s="146"/>
      <c r="R153" s="146"/>
      <c r="S153" s="146"/>
      <c r="T153" s="146"/>
      <c r="U153" s="146"/>
      <c r="V153" s="146"/>
      <c r="W153" s="146"/>
      <c r="X153" s="146"/>
      <c r="Y153" s="146"/>
      <c r="Z153" s="146"/>
    </row>
    <row r="154" ht="22.5" customHeight="1">
      <c r="A154" s="318">
        <v>46036.0</v>
      </c>
      <c r="B154" s="326">
        <v>8.0</v>
      </c>
      <c r="C154" s="320"/>
      <c r="D154" s="321" t="s">
        <v>2466</v>
      </c>
      <c r="E154" s="321" t="s">
        <v>2459</v>
      </c>
      <c r="F154" s="328" t="s">
        <v>2467</v>
      </c>
      <c r="G154" s="327"/>
      <c r="H154" s="146"/>
      <c r="I154" s="146"/>
      <c r="J154" s="146"/>
      <c r="K154" s="146"/>
      <c r="L154" s="146"/>
      <c r="M154" s="146"/>
      <c r="N154" s="146"/>
      <c r="O154" s="146"/>
      <c r="P154" s="146"/>
      <c r="Q154" s="146"/>
      <c r="R154" s="146"/>
      <c r="S154" s="146"/>
      <c r="T154" s="146"/>
      <c r="U154" s="146"/>
      <c r="V154" s="146"/>
      <c r="W154" s="146"/>
      <c r="X154" s="146"/>
      <c r="Y154" s="146"/>
      <c r="Z154" s="146"/>
    </row>
    <row r="155" ht="22.5" customHeight="1">
      <c r="A155" s="318">
        <v>46037.0</v>
      </c>
      <c r="B155" s="326">
        <v>8.0</v>
      </c>
      <c r="C155" s="320"/>
      <c r="D155" s="321" t="s">
        <v>2468</v>
      </c>
      <c r="E155" s="321" t="s">
        <v>2469</v>
      </c>
      <c r="F155" s="328" t="s">
        <v>2470</v>
      </c>
      <c r="G155" s="327"/>
      <c r="H155" s="146"/>
      <c r="I155" s="146"/>
      <c r="J155" s="146"/>
      <c r="K155" s="146"/>
      <c r="L155" s="146"/>
      <c r="M155" s="146"/>
      <c r="N155" s="146"/>
      <c r="O155" s="146"/>
      <c r="P155" s="146"/>
      <c r="Q155" s="146"/>
      <c r="R155" s="146"/>
      <c r="S155" s="146"/>
      <c r="T155" s="146"/>
      <c r="U155" s="146"/>
      <c r="V155" s="146"/>
      <c r="W155" s="146"/>
      <c r="X155" s="146"/>
      <c r="Y155" s="146"/>
      <c r="Z155" s="146"/>
    </row>
    <row r="156" ht="22.5" customHeight="1">
      <c r="A156" s="318"/>
      <c r="B156" s="326"/>
      <c r="C156" s="320"/>
      <c r="D156" s="321"/>
      <c r="E156" s="320"/>
      <c r="F156" s="320"/>
      <c r="G156" s="327"/>
      <c r="H156" s="146"/>
      <c r="I156" s="146"/>
      <c r="J156" s="146"/>
      <c r="K156" s="146"/>
      <c r="L156" s="146"/>
      <c r="M156" s="146"/>
      <c r="N156" s="146"/>
      <c r="O156" s="146"/>
      <c r="P156" s="146"/>
      <c r="Q156" s="146"/>
      <c r="R156" s="146"/>
      <c r="S156" s="146"/>
      <c r="T156" s="146"/>
      <c r="U156" s="146"/>
      <c r="V156" s="146"/>
      <c r="W156" s="146"/>
      <c r="X156" s="146"/>
      <c r="Y156" s="146"/>
      <c r="Z156" s="146"/>
    </row>
    <row r="157" ht="22.5" customHeight="1">
      <c r="A157" s="318"/>
      <c r="B157" s="326"/>
      <c r="C157" s="320"/>
      <c r="D157" s="321"/>
      <c r="E157" s="320"/>
      <c r="F157" s="320"/>
      <c r="G157" s="327"/>
      <c r="H157" s="146"/>
      <c r="I157" s="146"/>
      <c r="J157" s="146"/>
      <c r="K157" s="146"/>
      <c r="L157" s="146"/>
      <c r="M157" s="146"/>
      <c r="N157" s="146"/>
      <c r="O157" s="146"/>
      <c r="P157" s="146"/>
      <c r="Q157" s="146"/>
      <c r="R157" s="146"/>
      <c r="S157" s="146"/>
      <c r="T157" s="146"/>
      <c r="U157" s="146"/>
      <c r="V157" s="146"/>
      <c r="W157" s="146"/>
      <c r="X157" s="146"/>
      <c r="Y157" s="146"/>
      <c r="Z157" s="146"/>
    </row>
    <row r="158" ht="22.5" customHeight="1">
      <c r="A158" s="318"/>
      <c r="B158" s="326"/>
      <c r="C158" s="320"/>
      <c r="D158" s="321"/>
      <c r="E158" s="320"/>
      <c r="F158" s="320"/>
      <c r="G158" s="327"/>
      <c r="H158" s="146"/>
      <c r="I158" s="146"/>
      <c r="J158" s="146"/>
      <c r="K158" s="146"/>
      <c r="L158" s="146"/>
      <c r="M158" s="146"/>
      <c r="N158" s="146"/>
      <c r="O158" s="146"/>
      <c r="P158" s="146"/>
      <c r="Q158" s="146"/>
      <c r="R158" s="146"/>
      <c r="S158" s="146"/>
      <c r="T158" s="146"/>
      <c r="U158" s="146"/>
      <c r="V158" s="146"/>
      <c r="W158" s="146"/>
      <c r="X158" s="146"/>
      <c r="Y158" s="146"/>
      <c r="Z158" s="146"/>
    </row>
    <row r="159" ht="22.5" customHeight="1">
      <c r="A159" s="318"/>
      <c r="B159" s="326"/>
      <c r="C159" s="320"/>
      <c r="D159" s="321"/>
      <c r="E159" s="320"/>
      <c r="F159" s="320"/>
      <c r="G159" s="327"/>
      <c r="H159" s="146"/>
      <c r="I159" s="146"/>
      <c r="J159" s="146"/>
      <c r="K159" s="146"/>
      <c r="L159" s="146"/>
      <c r="M159" s="146"/>
      <c r="N159" s="146"/>
      <c r="O159" s="146"/>
      <c r="P159" s="146"/>
      <c r="Q159" s="146"/>
      <c r="R159" s="146"/>
      <c r="S159" s="146"/>
      <c r="T159" s="146"/>
      <c r="U159" s="146"/>
      <c r="V159" s="146"/>
      <c r="W159" s="146"/>
      <c r="X159" s="146"/>
      <c r="Y159" s="146"/>
      <c r="Z159" s="146"/>
    </row>
    <row r="160" ht="22.5" customHeight="1">
      <c r="A160" s="318"/>
      <c r="B160" s="326"/>
      <c r="C160" s="320"/>
      <c r="D160" s="321"/>
      <c r="E160" s="320"/>
      <c r="F160" s="320"/>
      <c r="G160" s="327"/>
      <c r="H160" s="146"/>
      <c r="I160" s="146"/>
      <c r="J160" s="146"/>
      <c r="K160" s="146"/>
      <c r="L160" s="146"/>
      <c r="M160" s="146"/>
      <c r="N160" s="146"/>
      <c r="O160" s="146"/>
      <c r="P160" s="146"/>
      <c r="Q160" s="146"/>
      <c r="R160" s="146"/>
      <c r="S160" s="146"/>
      <c r="T160" s="146"/>
      <c r="U160" s="146"/>
      <c r="V160" s="146"/>
      <c r="W160" s="146"/>
      <c r="X160" s="146"/>
      <c r="Y160" s="146"/>
      <c r="Z160" s="146"/>
    </row>
    <row r="161" ht="22.5" customHeight="1">
      <c r="A161" s="318"/>
      <c r="B161" s="326"/>
      <c r="C161" s="320"/>
      <c r="D161" s="321"/>
      <c r="E161" s="320"/>
      <c r="F161" s="320"/>
      <c r="G161" s="327"/>
      <c r="H161" s="146"/>
      <c r="I161" s="146"/>
      <c r="J161" s="146"/>
      <c r="K161" s="146"/>
      <c r="L161" s="146"/>
      <c r="M161" s="146"/>
      <c r="N161" s="146"/>
      <c r="O161" s="146"/>
      <c r="P161" s="146"/>
      <c r="Q161" s="146"/>
      <c r="R161" s="146"/>
      <c r="S161" s="146"/>
      <c r="T161" s="146"/>
      <c r="U161" s="146"/>
      <c r="V161" s="146"/>
      <c r="W161" s="146"/>
      <c r="X161" s="146"/>
      <c r="Y161" s="146"/>
      <c r="Z161" s="146"/>
    </row>
    <row r="162" ht="22.5" customHeight="1">
      <c r="A162" s="318"/>
      <c r="B162" s="326"/>
      <c r="C162" s="320"/>
      <c r="D162" s="321"/>
      <c r="E162" s="320"/>
      <c r="F162" s="320"/>
      <c r="G162" s="327"/>
      <c r="H162" s="146"/>
      <c r="I162" s="146"/>
      <c r="J162" s="146"/>
      <c r="K162" s="146"/>
      <c r="L162" s="146"/>
      <c r="M162" s="146"/>
      <c r="N162" s="146"/>
      <c r="O162" s="146"/>
      <c r="P162" s="146"/>
      <c r="Q162" s="146"/>
      <c r="R162" s="146"/>
      <c r="S162" s="146"/>
      <c r="T162" s="146"/>
      <c r="U162" s="146"/>
      <c r="V162" s="146"/>
      <c r="W162" s="146"/>
      <c r="X162" s="146"/>
      <c r="Y162" s="146"/>
      <c r="Z162" s="146"/>
    </row>
    <row r="163" ht="22.5" customHeight="1">
      <c r="A163" s="318"/>
      <c r="B163" s="326"/>
      <c r="C163" s="320"/>
      <c r="D163" s="321"/>
      <c r="E163" s="320"/>
      <c r="F163" s="320"/>
      <c r="G163" s="327"/>
      <c r="H163" s="146"/>
      <c r="I163" s="146"/>
      <c r="J163" s="146"/>
      <c r="K163" s="146"/>
      <c r="L163" s="146"/>
      <c r="M163" s="146"/>
      <c r="N163" s="146"/>
      <c r="O163" s="146"/>
      <c r="P163" s="146"/>
      <c r="Q163" s="146"/>
      <c r="R163" s="146"/>
      <c r="S163" s="146"/>
      <c r="T163" s="146"/>
      <c r="U163" s="146"/>
      <c r="V163" s="146"/>
      <c r="W163" s="146"/>
      <c r="X163" s="146"/>
      <c r="Y163" s="146"/>
      <c r="Z163" s="146"/>
    </row>
    <row r="164" ht="22.5" customHeight="1">
      <c r="A164" s="318"/>
      <c r="B164" s="326"/>
      <c r="C164" s="320"/>
      <c r="D164" s="321"/>
      <c r="E164" s="320"/>
      <c r="F164" s="320"/>
      <c r="G164" s="327"/>
      <c r="H164" s="146"/>
      <c r="I164" s="146"/>
      <c r="J164" s="146"/>
      <c r="K164" s="146"/>
      <c r="L164" s="146"/>
      <c r="M164" s="146"/>
      <c r="N164" s="146"/>
      <c r="O164" s="146"/>
      <c r="P164" s="146"/>
      <c r="Q164" s="146"/>
      <c r="R164" s="146"/>
      <c r="S164" s="146"/>
      <c r="T164" s="146"/>
      <c r="U164" s="146"/>
      <c r="V164" s="146"/>
      <c r="W164" s="146"/>
      <c r="X164" s="146"/>
      <c r="Y164" s="146"/>
      <c r="Z164" s="146"/>
    </row>
    <row r="165" ht="22.5" customHeight="1">
      <c r="A165" s="318"/>
      <c r="B165" s="326"/>
      <c r="C165" s="320"/>
      <c r="D165" s="321"/>
      <c r="E165" s="320"/>
      <c r="F165" s="320"/>
      <c r="G165" s="327"/>
      <c r="H165" s="146"/>
      <c r="I165" s="146"/>
      <c r="J165" s="146"/>
      <c r="K165" s="146"/>
      <c r="L165" s="146"/>
      <c r="M165" s="146"/>
      <c r="N165" s="146"/>
      <c r="O165" s="146"/>
      <c r="P165" s="146"/>
      <c r="Q165" s="146"/>
      <c r="R165" s="146"/>
      <c r="S165" s="146"/>
      <c r="T165" s="146"/>
      <c r="U165" s="146"/>
      <c r="V165" s="146"/>
      <c r="W165" s="146"/>
      <c r="X165" s="146"/>
      <c r="Y165" s="146"/>
      <c r="Z165" s="146"/>
    </row>
    <row r="166" ht="22.5" customHeight="1">
      <c r="A166" s="318"/>
      <c r="B166" s="326"/>
      <c r="C166" s="320"/>
      <c r="D166" s="321"/>
      <c r="E166" s="320"/>
      <c r="F166" s="320"/>
      <c r="G166" s="327"/>
      <c r="H166" s="146"/>
      <c r="I166" s="146"/>
      <c r="J166" s="146"/>
      <c r="K166" s="146"/>
      <c r="L166" s="146"/>
      <c r="M166" s="146"/>
      <c r="N166" s="146"/>
      <c r="O166" s="146"/>
      <c r="P166" s="146"/>
      <c r="Q166" s="146"/>
      <c r="R166" s="146"/>
      <c r="S166" s="146"/>
      <c r="T166" s="146"/>
      <c r="U166" s="146"/>
      <c r="V166" s="146"/>
      <c r="W166" s="146"/>
      <c r="X166" s="146"/>
      <c r="Y166" s="146"/>
      <c r="Z166" s="146"/>
    </row>
    <row r="167" ht="22.5" customHeight="1">
      <c r="A167" s="318"/>
      <c r="B167" s="326"/>
      <c r="C167" s="320"/>
      <c r="D167" s="321"/>
      <c r="E167" s="320"/>
      <c r="F167" s="320"/>
      <c r="G167" s="327"/>
      <c r="H167" s="146"/>
      <c r="I167" s="146"/>
      <c r="J167" s="146"/>
      <c r="K167" s="146"/>
      <c r="L167" s="146"/>
      <c r="M167" s="146"/>
      <c r="N167" s="146"/>
      <c r="O167" s="146"/>
      <c r="P167" s="146"/>
      <c r="Q167" s="146"/>
      <c r="R167" s="146"/>
      <c r="S167" s="146"/>
      <c r="T167" s="146"/>
      <c r="U167" s="146"/>
      <c r="V167" s="146"/>
      <c r="W167" s="146"/>
      <c r="X167" s="146"/>
      <c r="Y167" s="146"/>
      <c r="Z167" s="146"/>
    </row>
    <row r="168" ht="22.5" customHeight="1">
      <c r="A168" s="318"/>
      <c r="B168" s="326"/>
      <c r="C168" s="320"/>
      <c r="D168" s="321"/>
      <c r="E168" s="320"/>
      <c r="F168" s="320"/>
      <c r="G168" s="327"/>
      <c r="H168" s="146"/>
      <c r="I168" s="146"/>
      <c r="J168" s="146"/>
      <c r="K168" s="146"/>
      <c r="L168" s="146"/>
      <c r="M168" s="146"/>
      <c r="N168" s="146"/>
      <c r="O168" s="146"/>
      <c r="P168" s="146"/>
      <c r="Q168" s="146"/>
      <c r="R168" s="146"/>
      <c r="S168" s="146"/>
      <c r="T168" s="146"/>
      <c r="U168" s="146"/>
      <c r="V168" s="146"/>
      <c r="W168" s="146"/>
      <c r="X168" s="146"/>
      <c r="Y168" s="146"/>
      <c r="Z168" s="146"/>
    </row>
    <row r="169" ht="22.5" customHeight="1">
      <c r="A169" s="318"/>
      <c r="B169" s="326"/>
      <c r="C169" s="320"/>
      <c r="D169" s="321"/>
      <c r="E169" s="320"/>
      <c r="F169" s="320"/>
      <c r="G169" s="327"/>
      <c r="H169" s="146"/>
      <c r="I169" s="146"/>
      <c r="J169" s="146"/>
      <c r="K169" s="146"/>
      <c r="L169" s="146"/>
      <c r="M169" s="146"/>
      <c r="N169" s="146"/>
      <c r="O169" s="146"/>
      <c r="P169" s="146"/>
      <c r="Q169" s="146"/>
      <c r="R169" s="146"/>
      <c r="S169" s="146"/>
      <c r="T169" s="146"/>
      <c r="U169" s="146"/>
      <c r="V169" s="146"/>
      <c r="W169" s="146"/>
      <c r="X169" s="146"/>
      <c r="Y169" s="146"/>
      <c r="Z169" s="146"/>
    </row>
    <row r="170" ht="22.5" customHeight="1">
      <c r="A170" s="318"/>
      <c r="B170" s="326"/>
      <c r="C170" s="320"/>
      <c r="D170" s="321"/>
      <c r="E170" s="320"/>
      <c r="F170" s="320"/>
      <c r="G170" s="327"/>
      <c r="H170" s="146"/>
      <c r="I170" s="146"/>
      <c r="J170" s="146"/>
      <c r="K170" s="146"/>
      <c r="L170" s="146"/>
      <c r="M170" s="146"/>
      <c r="N170" s="146"/>
      <c r="O170" s="146"/>
      <c r="P170" s="146"/>
      <c r="Q170" s="146"/>
      <c r="R170" s="146"/>
      <c r="S170" s="146"/>
      <c r="T170" s="146"/>
      <c r="U170" s="146"/>
      <c r="V170" s="146"/>
      <c r="W170" s="146"/>
      <c r="X170" s="146"/>
      <c r="Y170" s="146"/>
      <c r="Z170" s="146"/>
    </row>
    <row r="171" ht="22.5" customHeight="1">
      <c r="A171" s="318"/>
      <c r="B171" s="326"/>
      <c r="C171" s="320"/>
      <c r="D171" s="321"/>
      <c r="E171" s="320"/>
      <c r="F171" s="320"/>
      <c r="G171" s="327"/>
      <c r="H171" s="146"/>
      <c r="I171" s="146"/>
      <c r="J171" s="146"/>
      <c r="K171" s="146"/>
      <c r="L171" s="146"/>
      <c r="M171" s="146"/>
      <c r="N171" s="146"/>
      <c r="O171" s="146"/>
      <c r="P171" s="146"/>
      <c r="Q171" s="146"/>
      <c r="R171" s="146"/>
      <c r="S171" s="146"/>
      <c r="T171" s="146"/>
      <c r="U171" s="146"/>
      <c r="V171" s="146"/>
      <c r="W171" s="146"/>
      <c r="X171" s="146"/>
      <c r="Y171" s="146"/>
      <c r="Z171" s="146"/>
    </row>
    <row r="172" ht="22.5" customHeight="1">
      <c r="A172" s="318"/>
      <c r="B172" s="326"/>
      <c r="C172" s="320"/>
      <c r="D172" s="321"/>
      <c r="E172" s="320"/>
      <c r="F172" s="320"/>
      <c r="G172" s="327"/>
      <c r="H172" s="146"/>
      <c r="I172" s="146"/>
      <c r="J172" s="146"/>
      <c r="K172" s="146"/>
      <c r="L172" s="146"/>
      <c r="M172" s="146"/>
      <c r="N172" s="146"/>
      <c r="O172" s="146"/>
      <c r="P172" s="146"/>
      <c r="Q172" s="146"/>
      <c r="R172" s="146"/>
      <c r="S172" s="146"/>
      <c r="T172" s="146"/>
      <c r="U172" s="146"/>
      <c r="V172" s="146"/>
      <c r="W172" s="146"/>
      <c r="X172" s="146"/>
      <c r="Y172" s="146"/>
      <c r="Z172" s="146"/>
    </row>
    <row r="173" ht="22.5" customHeight="1">
      <c r="A173" s="318"/>
      <c r="B173" s="326"/>
      <c r="C173" s="320"/>
      <c r="D173" s="321"/>
      <c r="E173" s="320"/>
      <c r="F173" s="320"/>
      <c r="G173" s="327"/>
      <c r="H173" s="146"/>
      <c r="I173" s="146"/>
      <c r="J173" s="146"/>
      <c r="K173" s="146"/>
      <c r="L173" s="146"/>
      <c r="M173" s="146"/>
      <c r="N173" s="146"/>
      <c r="O173" s="146"/>
      <c r="P173" s="146"/>
      <c r="Q173" s="146"/>
      <c r="R173" s="146"/>
      <c r="S173" s="146"/>
      <c r="T173" s="146"/>
      <c r="U173" s="146"/>
      <c r="V173" s="146"/>
      <c r="W173" s="146"/>
      <c r="X173" s="146"/>
      <c r="Y173" s="146"/>
      <c r="Z173" s="146"/>
    </row>
    <row r="174" ht="22.5" customHeight="1">
      <c r="A174" s="318"/>
      <c r="B174" s="326"/>
      <c r="C174" s="320"/>
      <c r="D174" s="321"/>
      <c r="E174" s="320"/>
      <c r="F174" s="320"/>
      <c r="G174" s="327"/>
      <c r="H174" s="146"/>
      <c r="I174" s="146"/>
      <c r="J174" s="146"/>
      <c r="K174" s="146"/>
      <c r="L174" s="146"/>
      <c r="M174" s="146"/>
      <c r="N174" s="146"/>
      <c r="O174" s="146"/>
      <c r="P174" s="146"/>
      <c r="Q174" s="146"/>
      <c r="R174" s="146"/>
      <c r="S174" s="146"/>
      <c r="T174" s="146"/>
      <c r="U174" s="146"/>
      <c r="V174" s="146"/>
      <c r="W174" s="146"/>
      <c r="X174" s="146"/>
      <c r="Y174" s="146"/>
      <c r="Z174" s="146"/>
    </row>
    <row r="175" ht="22.5" customHeight="1">
      <c r="A175" s="318"/>
      <c r="B175" s="326"/>
      <c r="C175" s="320"/>
      <c r="D175" s="321"/>
      <c r="E175" s="320"/>
      <c r="F175" s="320"/>
      <c r="G175" s="327"/>
      <c r="H175" s="146"/>
      <c r="I175" s="146"/>
      <c r="J175" s="146"/>
      <c r="K175" s="146"/>
      <c r="L175" s="146"/>
      <c r="M175" s="146"/>
      <c r="N175" s="146"/>
      <c r="O175" s="146"/>
      <c r="P175" s="146"/>
      <c r="Q175" s="146"/>
      <c r="R175" s="146"/>
      <c r="S175" s="146"/>
      <c r="T175" s="146"/>
      <c r="U175" s="146"/>
      <c r="V175" s="146"/>
      <c r="W175" s="146"/>
      <c r="X175" s="146"/>
      <c r="Y175" s="146"/>
      <c r="Z175" s="146"/>
    </row>
    <row r="176" ht="22.5" customHeight="1">
      <c r="A176" s="318"/>
      <c r="B176" s="326"/>
      <c r="C176" s="320"/>
      <c r="D176" s="321"/>
      <c r="E176" s="320"/>
      <c r="F176" s="320"/>
      <c r="G176" s="327"/>
      <c r="H176" s="146"/>
      <c r="I176" s="146"/>
      <c r="J176" s="146"/>
      <c r="K176" s="146"/>
      <c r="L176" s="146"/>
      <c r="M176" s="146"/>
      <c r="N176" s="146"/>
      <c r="O176" s="146"/>
      <c r="P176" s="146"/>
      <c r="Q176" s="146"/>
      <c r="R176" s="146"/>
      <c r="S176" s="146"/>
      <c r="T176" s="146"/>
      <c r="U176" s="146"/>
      <c r="V176" s="146"/>
      <c r="W176" s="146"/>
      <c r="X176" s="146"/>
      <c r="Y176" s="146"/>
      <c r="Z176" s="146"/>
    </row>
    <row r="177" ht="22.5" customHeight="1">
      <c r="A177" s="318"/>
      <c r="B177" s="326"/>
      <c r="C177" s="320"/>
      <c r="D177" s="321"/>
      <c r="E177" s="320"/>
      <c r="F177" s="320"/>
      <c r="G177" s="327"/>
      <c r="H177" s="146"/>
      <c r="I177" s="146"/>
      <c r="J177" s="146"/>
      <c r="K177" s="146"/>
      <c r="L177" s="146"/>
      <c r="M177" s="146"/>
      <c r="N177" s="146"/>
      <c r="O177" s="146"/>
      <c r="P177" s="146"/>
      <c r="Q177" s="146"/>
      <c r="R177" s="146"/>
      <c r="S177" s="146"/>
      <c r="T177" s="146"/>
      <c r="U177" s="146"/>
      <c r="V177" s="146"/>
      <c r="W177" s="146"/>
      <c r="X177" s="146"/>
      <c r="Y177" s="146"/>
      <c r="Z177" s="146"/>
    </row>
    <row r="178" ht="22.5" customHeight="1">
      <c r="A178" s="318"/>
      <c r="B178" s="326"/>
      <c r="C178" s="320"/>
      <c r="D178" s="321"/>
      <c r="E178" s="320"/>
      <c r="F178" s="320"/>
      <c r="G178" s="327"/>
      <c r="H178" s="146"/>
      <c r="I178" s="146"/>
      <c r="J178" s="146"/>
      <c r="K178" s="146"/>
      <c r="L178" s="146"/>
      <c r="M178" s="146"/>
      <c r="N178" s="146"/>
      <c r="O178" s="146"/>
      <c r="P178" s="146"/>
      <c r="Q178" s="146"/>
      <c r="R178" s="146"/>
      <c r="S178" s="146"/>
      <c r="T178" s="146"/>
      <c r="U178" s="146"/>
      <c r="V178" s="146"/>
      <c r="W178" s="146"/>
      <c r="X178" s="146"/>
      <c r="Y178" s="146"/>
      <c r="Z178" s="146"/>
    </row>
    <row r="179" ht="22.5" customHeight="1">
      <c r="A179" s="318"/>
      <c r="B179" s="326"/>
      <c r="C179" s="320"/>
      <c r="D179" s="321"/>
      <c r="E179" s="320"/>
      <c r="F179" s="320"/>
      <c r="G179" s="327"/>
      <c r="H179" s="146"/>
      <c r="I179" s="146"/>
      <c r="J179" s="146"/>
      <c r="K179" s="146"/>
      <c r="L179" s="146"/>
      <c r="M179" s="146"/>
      <c r="N179" s="146"/>
      <c r="O179" s="146"/>
      <c r="P179" s="146"/>
      <c r="Q179" s="146"/>
      <c r="R179" s="146"/>
      <c r="S179" s="146"/>
      <c r="T179" s="146"/>
      <c r="U179" s="146"/>
      <c r="V179" s="146"/>
      <c r="W179" s="146"/>
      <c r="X179" s="146"/>
      <c r="Y179" s="146"/>
      <c r="Z179" s="146"/>
    </row>
    <row r="180" ht="22.5" customHeight="1">
      <c r="A180" s="318"/>
      <c r="B180" s="326"/>
      <c r="C180" s="320"/>
      <c r="D180" s="321"/>
      <c r="E180" s="320"/>
      <c r="F180" s="320"/>
      <c r="G180" s="327"/>
      <c r="H180" s="146"/>
      <c r="I180" s="146"/>
      <c r="J180" s="146"/>
      <c r="K180" s="146"/>
      <c r="L180" s="146"/>
      <c r="M180" s="146"/>
      <c r="N180" s="146"/>
      <c r="O180" s="146"/>
      <c r="P180" s="146"/>
      <c r="Q180" s="146"/>
      <c r="R180" s="146"/>
      <c r="S180" s="146"/>
      <c r="T180" s="146"/>
      <c r="U180" s="146"/>
      <c r="V180" s="146"/>
      <c r="W180" s="146"/>
      <c r="X180" s="146"/>
      <c r="Y180" s="146"/>
      <c r="Z180" s="146"/>
    </row>
    <row r="181" ht="22.5" customHeight="1">
      <c r="A181" s="318"/>
      <c r="B181" s="326"/>
      <c r="C181" s="320"/>
      <c r="D181" s="321"/>
      <c r="E181" s="320"/>
      <c r="F181" s="320"/>
      <c r="G181" s="327"/>
      <c r="H181" s="146"/>
      <c r="I181" s="146"/>
      <c r="J181" s="146"/>
      <c r="K181" s="146"/>
      <c r="L181" s="146"/>
      <c r="M181" s="146"/>
      <c r="N181" s="146"/>
      <c r="O181" s="146"/>
      <c r="P181" s="146"/>
      <c r="Q181" s="146"/>
      <c r="R181" s="146"/>
      <c r="S181" s="146"/>
      <c r="T181" s="146"/>
      <c r="U181" s="146"/>
      <c r="V181" s="146"/>
      <c r="W181" s="146"/>
      <c r="X181" s="146"/>
      <c r="Y181" s="146"/>
      <c r="Z181" s="146"/>
    </row>
    <row r="182" ht="22.5" customHeight="1">
      <c r="A182" s="318"/>
      <c r="B182" s="326"/>
      <c r="C182" s="320"/>
      <c r="D182" s="321"/>
      <c r="E182" s="320"/>
      <c r="F182" s="320"/>
      <c r="G182" s="327"/>
      <c r="H182" s="146"/>
      <c r="I182" s="146"/>
      <c r="J182" s="146"/>
      <c r="K182" s="146"/>
      <c r="L182" s="146"/>
      <c r="M182" s="146"/>
      <c r="N182" s="146"/>
      <c r="O182" s="146"/>
      <c r="P182" s="146"/>
      <c r="Q182" s="146"/>
      <c r="R182" s="146"/>
      <c r="S182" s="146"/>
      <c r="T182" s="146"/>
      <c r="U182" s="146"/>
      <c r="V182" s="146"/>
      <c r="W182" s="146"/>
      <c r="X182" s="146"/>
      <c r="Y182" s="146"/>
      <c r="Z182" s="146"/>
    </row>
    <row r="183" ht="22.5" customHeight="1">
      <c r="A183" s="318"/>
      <c r="B183" s="326"/>
      <c r="C183" s="320"/>
      <c r="D183" s="321"/>
      <c r="E183" s="320"/>
      <c r="F183" s="320"/>
      <c r="G183" s="327"/>
      <c r="H183" s="146"/>
      <c r="I183" s="146"/>
      <c r="J183" s="146"/>
      <c r="K183" s="146"/>
      <c r="L183" s="146"/>
      <c r="M183" s="146"/>
      <c r="N183" s="146"/>
      <c r="O183" s="146"/>
      <c r="P183" s="146"/>
      <c r="Q183" s="146"/>
      <c r="R183" s="146"/>
      <c r="S183" s="146"/>
      <c r="T183" s="146"/>
      <c r="U183" s="146"/>
      <c r="V183" s="146"/>
      <c r="W183" s="146"/>
      <c r="X183" s="146"/>
      <c r="Y183" s="146"/>
      <c r="Z183" s="146"/>
    </row>
    <row r="184" ht="22.5" customHeight="1">
      <c r="A184" s="318"/>
      <c r="B184" s="326"/>
      <c r="C184" s="320"/>
      <c r="D184" s="321"/>
      <c r="E184" s="320"/>
      <c r="F184" s="320"/>
      <c r="G184" s="327"/>
      <c r="H184" s="146"/>
      <c r="I184" s="146"/>
      <c r="J184" s="146"/>
      <c r="K184" s="146"/>
      <c r="L184" s="146"/>
      <c r="M184" s="146"/>
      <c r="N184" s="146"/>
      <c r="O184" s="146"/>
      <c r="P184" s="146"/>
      <c r="Q184" s="146"/>
      <c r="R184" s="146"/>
      <c r="S184" s="146"/>
      <c r="T184" s="146"/>
      <c r="U184" s="146"/>
      <c r="V184" s="146"/>
      <c r="W184" s="146"/>
      <c r="X184" s="146"/>
      <c r="Y184" s="146"/>
      <c r="Z184" s="146"/>
    </row>
    <row r="185" ht="22.5" customHeight="1">
      <c r="A185" s="318"/>
      <c r="B185" s="326"/>
      <c r="C185" s="320"/>
      <c r="D185" s="321"/>
      <c r="E185" s="320"/>
      <c r="F185" s="320"/>
      <c r="G185" s="327"/>
      <c r="H185" s="146"/>
      <c r="I185" s="146"/>
      <c r="J185" s="146"/>
      <c r="K185" s="146"/>
      <c r="L185" s="146"/>
      <c r="M185" s="146"/>
      <c r="N185" s="146"/>
      <c r="O185" s="146"/>
      <c r="P185" s="146"/>
      <c r="Q185" s="146"/>
      <c r="R185" s="146"/>
      <c r="S185" s="146"/>
      <c r="T185" s="146"/>
      <c r="U185" s="146"/>
      <c r="V185" s="146"/>
      <c r="W185" s="146"/>
      <c r="X185" s="146"/>
      <c r="Y185" s="146"/>
      <c r="Z185" s="146"/>
    </row>
    <row r="186" ht="22.5" customHeight="1">
      <c r="A186" s="318"/>
      <c r="B186" s="326"/>
      <c r="C186" s="320"/>
      <c r="D186" s="321"/>
      <c r="E186" s="320"/>
      <c r="F186" s="320"/>
      <c r="G186" s="327"/>
      <c r="H186" s="146"/>
      <c r="I186" s="146"/>
      <c r="J186" s="146"/>
      <c r="K186" s="146"/>
      <c r="L186" s="146"/>
      <c r="M186" s="146"/>
      <c r="N186" s="146"/>
      <c r="O186" s="146"/>
      <c r="P186" s="146"/>
      <c r="Q186" s="146"/>
      <c r="R186" s="146"/>
      <c r="S186" s="146"/>
      <c r="T186" s="146"/>
      <c r="U186" s="146"/>
      <c r="V186" s="146"/>
      <c r="W186" s="146"/>
      <c r="X186" s="146"/>
      <c r="Y186" s="146"/>
      <c r="Z186" s="146"/>
    </row>
    <row r="187" ht="22.5" customHeight="1">
      <c r="A187" s="318"/>
      <c r="B187" s="326"/>
      <c r="C187" s="320"/>
      <c r="D187" s="321"/>
      <c r="E187" s="320"/>
      <c r="F187" s="320"/>
      <c r="G187" s="327"/>
      <c r="H187" s="146"/>
      <c r="I187" s="146"/>
      <c r="J187" s="146"/>
      <c r="K187" s="146"/>
      <c r="L187" s="146"/>
      <c r="M187" s="146"/>
      <c r="N187" s="146"/>
      <c r="O187" s="146"/>
      <c r="P187" s="146"/>
      <c r="Q187" s="146"/>
      <c r="R187" s="146"/>
      <c r="S187" s="146"/>
      <c r="T187" s="146"/>
      <c r="U187" s="146"/>
      <c r="V187" s="146"/>
      <c r="W187" s="146"/>
      <c r="X187" s="146"/>
      <c r="Y187" s="146"/>
      <c r="Z187" s="146"/>
    </row>
    <row r="188" ht="22.5" customHeight="1">
      <c r="A188" s="318"/>
      <c r="B188" s="326"/>
      <c r="C188" s="320"/>
      <c r="D188" s="321"/>
      <c r="E188" s="320"/>
      <c r="F188" s="320"/>
      <c r="G188" s="327"/>
      <c r="H188" s="146"/>
      <c r="I188" s="146"/>
      <c r="J188" s="146"/>
      <c r="K188" s="146"/>
      <c r="L188" s="146"/>
      <c r="M188" s="146"/>
      <c r="N188" s="146"/>
      <c r="O188" s="146"/>
      <c r="P188" s="146"/>
      <c r="Q188" s="146"/>
      <c r="R188" s="146"/>
      <c r="S188" s="146"/>
      <c r="T188" s="146"/>
      <c r="U188" s="146"/>
      <c r="V188" s="146"/>
      <c r="W188" s="146"/>
      <c r="X188" s="146"/>
      <c r="Y188" s="146"/>
      <c r="Z188" s="146"/>
    </row>
    <row r="189" ht="22.5" customHeight="1">
      <c r="A189" s="318"/>
      <c r="B189" s="326"/>
      <c r="C189" s="320"/>
      <c r="D189" s="321"/>
      <c r="E189" s="320"/>
      <c r="F189" s="320"/>
      <c r="G189" s="327"/>
      <c r="H189" s="146"/>
      <c r="I189" s="146"/>
      <c r="J189" s="146"/>
      <c r="K189" s="146"/>
      <c r="L189" s="146"/>
      <c r="M189" s="146"/>
      <c r="N189" s="146"/>
      <c r="O189" s="146"/>
      <c r="P189" s="146"/>
      <c r="Q189" s="146"/>
      <c r="R189" s="146"/>
      <c r="S189" s="146"/>
      <c r="T189" s="146"/>
      <c r="U189" s="146"/>
      <c r="V189" s="146"/>
      <c r="W189" s="146"/>
      <c r="X189" s="146"/>
      <c r="Y189" s="146"/>
      <c r="Z189" s="146"/>
    </row>
    <row r="190" ht="22.5" customHeight="1">
      <c r="A190" s="318"/>
      <c r="B190" s="326"/>
      <c r="C190" s="320"/>
      <c r="D190" s="321"/>
      <c r="E190" s="320"/>
      <c r="F190" s="320"/>
      <c r="G190" s="327"/>
      <c r="H190" s="146"/>
      <c r="I190" s="146"/>
      <c r="J190" s="146"/>
      <c r="K190" s="146"/>
      <c r="L190" s="146"/>
      <c r="M190" s="146"/>
      <c r="N190" s="146"/>
      <c r="O190" s="146"/>
      <c r="P190" s="146"/>
      <c r="Q190" s="146"/>
      <c r="R190" s="146"/>
      <c r="S190" s="146"/>
      <c r="T190" s="146"/>
      <c r="U190" s="146"/>
      <c r="V190" s="146"/>
      <c r="W190" s="146"/>
      <c r="X190" s="146"/>
      <c r="Y190" s="146"/>
      <c r="Z190" s="146"/>
    </row>
    <row r="191" ht="22.5" customHeight="1">
      <c r="A191" s="318"/>
      <c r="B191" s="326"/>
      <c r="C191" s="320"/>
      <c r="D191" s="321"/>
      <c r="E191" s="320"/>
      <c r="F191" s="320"/>
      <c r="G191" s="327"/>
      <c r="H191" s="146"/>
      <c r="I191" s="146"/>
      <c r="J191" s="146"/>
      <c r="K191" s="146"/>
      <c r="L191" s="146"/>
      <c r="M191" s="146"/>
      <c r="N191" s="146"/>
      <c r="O191" s="146"/>
      <c r="P191" s="146"/>
      <c r="Q191" s="146"/>
      <c r="R191" s="146"/>
      <c r="S191" s="146"/>
      <c r="T191" s="146"/>
      <c r="U191" s="146"/>
      <c r="V191" s="146"/>
      <c r="W191" s="146"/>
      <c r="X191" s="146"/>
      <c r="Y191" s="146"/>
      <c r="Z191" s="146"/>
    </row>
    <row r="192" ht="22.5" customHeight="1">
      <c r="A192" s="318"/>
      <c r="B192" s="326"/>
      <c r="C192" s="320"/>
      <c r="D192" s="321"/>
      <c r="E192" s="320"/>
      <c r="F192" s="320"/>
      <c r="G192" s="327"/>
      <c r="H192" s="146"/>
      <c r="I192" s="146"/>
      <c r="J192" s="146"/>
      <c r="K192" s="146"/>
      <c r="L192" s="146"/>
      <c r="M192" s="146"/>
      <c r="N192" s="146"/>
      <c r="O192" s="146"/>
      <c r="P192" s="146"/>
      <c r="Q192" s="146"/>
      <c r="R192" s="146"/>
      <c r="S192" s="146"/>
      <c r="T192" s="146"/>
      <c r="U192" s="146"/>
      <c r="V192" s="146"/>
      <c r="W192" s="146"/>
      <c r="X192" s="146"/>
      <c r="Y192" s="146"/>
      <c r="Z192" s="146"/>
    </row>
    <row r="193" ht="22.5" customHeight="1">
      <c r="A193" s="318"/>
      <c r="B193" s="326"/>
      <c r="C193" s="320"/>
      <c r="D193" s="321"/>
      <c r="E193" s="320"/>
      <c r="F193" s="320"/>
      <c r="G193" s="327"/>
      <c r="H193" s="146"/>
      <c r="I193" s="146"/>
      <c r="J193" s="146"/>
      <c r="K193" s="146"/>
      <c r="L193" s="146"/>
      <c r="M193" s="146"/>
      <c r="N193" s="146"/>
      <c r="O193" s="146"/>
      <c r="P193" s="146"/>
      <c r="Q193" s="146"/>
      <c r="R193" s="146"/>
      <c r="S193" s="146"/>
      <c r="T193" s="146"/>
      <c r="U193" s="146"/>
      <c r="V193" s="146"/>
      <c r="W193" s="146"/>
      <c r="X193" s="146"/>
      <c r="Y193" s="146"/>
      <c r="Z193" s="146"/>
    </row>
    <row r="194" ht="22.5" customHeight="1">
      <c r="A194" s="318"/>
      <c r="B194" s="326"/>
      <c r="C194" s="320"/>
      <c r="D194" s="321"/>
      <c r="E194" s="320"/>
      <c r="F194" s="320"/>
      <c r="G194" s="327"/>
      <c r="H194" s="146"/>
      <c r="I194" s="146"/>
      <c r="J194" s="146"/>
      <c r="K194" s="146"/>
      <c r="L194" s="146"/>
      <c r="M194" s="146"/>
      <c r="N194" s="146"/>
      <c r="O194" s="146"/>
      <c r="P194" s="146"/>
      <c r="Q194" s="146"/>
      <c r="R194" s="146"/>
      <c r="S194" s="146"/>
      <c r="T194" s="146"/>
      <c r="U194" s="146"/>
      <c r="V194" s="146"/>
      <c r="W194" s="146"/>
      <c r="X194" s="146"/>
      <c r="Y194" s="146"/>
      <c r="Z194" s="146"/>
    </row>
    <row r="195" ht="22.5" customHeight="1">
      <c r="A195" s="318"/>
      <c r="B195" s="326"/>
      <c r="C195" s="320"/>
      <c r="D195" s="321"/>
      <c r="E195" s="320"/>
      <c r="F195" s="320"/>
      <c r="G195" s="327"/>
      <c r="H195" s="146"/>
      <c r="I195" s="146"/>
      <c r="J195" s="146"/>
      <c r="K195" s="146"/>
      <c r="L195" s="146"/>
      <c r="M195" s="146"/>
      <c r="N195" s="146"/>
      <c r="O195" s="146"/>
      <c r="P195" s="146"/>
      <c r="Q195" s="146"/>
      <c r="R195" s="146"/>
      <c r="S195" s="146"/>
      <c r="T195" s="146"/>
      <c r="U195" s="146"/>
      <c r="V195" s="146"/>
      <c r="W195" s="146"/>
      <c r="X195" s="146"/>
      <c r="Y195" s="146"/>
      <c r="Z195" s="146"/>
    </row>
    <row r="196" ht="22.5" customHeight="1">
      <c r="A196" s="318"/>
      <c r="B196" s="326"/>
      <c r="C196" s="320"/>
      <c r="D196" s="321"/>
      <c r="E196" s="320"/>
      <c r="F196" s="320"/>
      <c r="G196" s="327"/>
      <c r="H196" s="146"/>
      <c r="I196" s="146"/>
      <c r="J196" s="146"/>
      <c r="K196" s="146"/>
      <c r="L196" s="146"/>
      <c r="M196" s="146"/>
      <c r="N196" s="146"/>
      <c r="O196" s="146"/>
      <c r="P196" s="146"/>
      <c r="Q196" s="146"/>
      <c r="R196" s="146"/>
      <c r="S196" s="146"/>
      <c r="T196" s="146"/>
      <c r="U196" s="146"/>
      <c r="V196" s="146"/>
      <c r="W196" s="146"/>
      <c r="X196" s="146"/>
      <c r="Y196" s="146"/>
      <c r="Z196" s="146"/>
    </row>
    <row r="197" ht="22.5" customHeight="1">
      <c r="A197" s="318"/>
      <c r="B197" s="326"/>
      <c r="C197" s="320"/>
      <c r="D197" s="321"/>
      <c r="E197" s="320"/>
      <c r="F197" s="320"/>
      <c r="G197" s="327"/>
      <c r="H197" s="146"/>
      <c r="I197" s="146"/>
      <c r="J197" s="146"/>
      <c r="K197" s="146"/>
      <c r="L197" s="146"/>
      <c r="M197" s="146"/>
      <c r="N197" s="146"/>
      <c r="O197" s="146"/>
      <c r="P197" s="146"/>
      <c r="Q197" s="146"/>
      <c r="R197" s="146"/>
      <c r="S197" s="146"/>
      <c r="T197" s="146"/>
      <c r="U197" s="146"/>
      <c r="V197" s="146"/>
      <c r="W197" s="146"/>
      <c r="X197" s="146"/>
      <c r="Y197" s="146"/>
      <c r="Z197" s="146"/>
    </row>
    <row r="198" ht="22.5" customHeight="1">
      <c r="A198" s="318"/>
      <c r="B198" s="326"/>
      <c r="C198" s="320"/>
      <c r="D198" s="321"/>
      <c r="E198" s="320"/>
      <c r="F198" s="320"/>
      <c r="G198" s="327"/>
      <c r="H198" s="146"/>
      <c r="I198" s="146"/>
      <c r="J198" s="146"/>
      <c r="K198" s="146"/>
      <c r="L198" s="146"/>
      <c r="M198" s="146"/>
      <c r="N198" s="146"/>
      <c r="O198" s="146"/>
      <c r="P198" s="146"/>
      <c r="Q198" s="146"/>
      <c r="R198" s="146"/>
      <c r="S198" s="146"/>
      <c r="T198" s="146"/>
      <c r="U198" s="146"/>
      <c r="V198" s="146"/>
      <c r="W198" s="146"/>
      <c r="X198" s="146"/>
      <c r="Y198" s="146"/>
      <c r="Z198" s="146"/>
    </row>
    <row r="199" ht="22.5" customHeight="1">
      <c r="A199" s="318"/>
      <c r="B199" s="326"/>
      <c r="C199" s="320"/>
      <c r="D199" s="321"/>
      <c r="E199" s="320"/>
      <c r="F199" s="320"/>
      <c r="G199" s="327"/>
      <c r="H199" s="146"/>
      <c r="I199" s="146"/>
      <c r="J199" s="146"/>
      <c r="K199" s="146"/>
      <c r="L199" s="146"/>
      <c r="M199" s="146"/>
      <c r="N199" s="146"/>
      <c r="O199" s="146"/>
      <c r="P199" s="146"/>
      <c r="Q199" s="146"/>
      <c r="R199" s="146"/>
      <c r="S199" s="146"/>
      <c r="T199" s="146"/>
      <c r="U199" s="146"/>
      <c r="V199" s="146"/>
      <c r="W199" s="146"/>
      <c r="X199" s="146"/>
      <c r="Y199" s="146"/>
      <c r="Z199" s="146"/>
    </row>
    <row r="200" ht="22.5" customHeight="1">
      <c r="A200" s="318"/>
      <c r="B200" s="326"/>
      <c r="C200" s="320"/>
      <c r="D200" s="321"/>
      <c r="E200" s="320"/>
      <c r="F200" s="320"/>
      <c r="G200" s="327"/>
      <c r="H200" s="146"/>
      <c r="I200" s="146"/>
      <c r="J200" s="146"/>
      <c r="K200" s="146"/>
      <c r="L200" s="146"/>
      <c r="M200" s="146"/>
      <c r="N200" s="146"/>
      <c r="O200" s="146"/>
      <c r="P200" s="146"/>
      <c r="Q200" s="146"/>
      <c r="R200" s="146"/>
      <c r="S200" s="146"/>
      <c r="T200" s="146"/>
      <c r="U200" s="146"/>
      <c r="V200" s="146"/>
      <c r="W200" s="146"/>
      <c r="X200" s="146"/>
      <c r="Y200" s="146"/>
      <c r="Z200" s="146"/>
    </row>
    <row r="201" ht="22.5" customHeight="1">
      <c r="A201" s="318"/>
      <c r="B201" s="326"/>
      <c r="C201" s="320"/>
      <c r="D201" s="321"/>
      <c r="E201" s="320"/>
      <c r="F201" s="320"/>
      <c r="G201" s="327"/>
      <c r="H201" s="146"/>
      <c r="I201" s="146"/>
      <c r="J201" s="146"/>
      <c r="K201" s="146"/>
      <c r="L201" s="146"/>
      <c r="M201" s="146"/>
      <c r="N201" s="146"/>
      <c r="O201" s="146"/>
      <c r="P201" s="146"/>
      <c r="Q201" s="146"/>
      <c r="R201" s="146"/>
      <c r="S201" s="146"/>
      <c r="T201" s="146"/>
      <c r="U201" s="146"/>
      <c r="V201" s="146"/>
      <c r="W201" s="146"/>
      <c r="X201" s="146"/>
      <c r="Y201" s="146"/>
      <c r="Z201" s="146"/>
    </row>
    <row r="202" ht="22.5" customHeight="1">
      <c r="A202" s="318"/>
      <c r="B202" s="326"/>
      <c r="C202" s="320"/>
      <c r="D202" s="321"/>
      <c r="E202" s="320"/>
      <c r="F202" s="320"/>
      <c r="G202" s="327"/>
      <c r="H202" s="146"/>
      <c r="I202" s="146"/>
      <c r="J202" s="146"/>
      <c r="K202" s="146"/>
      <c r="L202" s="146"/>
      <c r="M202" s="146"/>
      <c r="N202" s="146"/>
      <c r="O202" s="146"/>
      <c r="P202" s="146"/>
      <c r="Q202" s="146"/>
      <c r="R202" s="146"/>
      <c r="S202" s="146"/>
      <c r="T202" s="146"/>
      <c r="U202" s="146"/>
      <c r="V202" s="146"/>
      <c r="W202" s="146"/>
      <c r="X202" s="146"/>
      <c r="Y202" s="146"/>
      <c r="Z202" s="146"/>
    </row>
    <row r="203" ht="22.5" customHeight="1">
      <c r="A203" s="318"/>
      <c r="B203" s="326"/>
      <c r="C203" s="320"/>
      <c r="D203" s="321"/>
      <c r="E203" s="320"/>
      <c r="F203" s="320"/>
      <c r="G203" s="327"/>
      <c r="H203" s="146"/>
      <c r="I203" s="146"/>
      <c r="J203" s="146"/>
      <c r="K203" s="146"/>
      <c r="L203" s="146"/>
      <c r="M203" s="146"/>
      <c r="N203" s="146"/>
      <c r="O203" s="146"/>
      <c r="P203" s="146"/>
      <c r="Q203" s="146"/>
      <c r="R203" s="146"/>
      <c r="S203" s="146"/>
      <c r="T203" s="146"/>
      <c r="U203" s="146"/>
      <c r="V203" s="146"/>
      <c r="W203" s="146"/>
      <c r="X203" s="146"/>
      <c r="Y203" s="146"/>
      <c r="Z203" s="146"/>
    </row>
    <row r="204" ht="22.5" customHeight="1">
      <c r="A204" s="318"/>
      <c r="B204" s="326"/>
      <c r="C204" s="320"/>
      <c r="D204" s="321"/>
      <c r="E204" s="320"/>
      <c r="F204" s="320"/>
      <c r="G204" s="327"/>
      <c r="H204" s="146"/>
      <c r="I204" s="146"/>
      <c r="J204" s="146"/>
      <c r="K204" s="146"/>
      <c r="L204" s="146"/>
      <c r="M204" s="146"/>
      <c r="N204" s="146"/>
      <c r="O204" s="146"/>
      <c r="P204" s="146"/>
      <c r="Q204" s="146"/>
      <c r="R204" s="146"/>
      <c r="S204" s="146"/>
      <c r="T204" s="146"/>
      <c r="U204" s="146"/>
      <c r="V204" s="146"/>
      <c r="W204" s="146"/>
      <c r="X204" s="146"/>
      <c r="Y204" s="146"/>
      <c r="Z204" s="146"/>
    </row>
    <row r="205" ht="22.5" customHeight="1">
      <c r="A205" s="318"/>
      <c r="B205" s="326"/>
      <c r="C205" s="320"/>
      <c r="D205" s="321"/>
      <c r="E205" s="320"/>
      <c r="F205" s="320"/>
      <c r="G205" s="327"/>
      <c r="H205" s="146"/>
      <c r="I205" s="146"/>
      <c r="J205" s="146"/>
      <c r="K205" s="146"/>
      <c r="L205" s="146"/>
      <c r="M205" s="146"/>
      <c r="N205" s="146"/>
      <c r="O205" s="146"/>
      <c r="P205" s="146"/>
      <c r="Q205" s="146"/>
      <c r="R205" s="146"/>
      <c r="S205" s="146"/>
      <c r="T205" s="146"/>
      <c r="U205" s="146"/>
      <c r="V205" s="146"/>
      <c r="W205" s="146"/>
      <c r="X205" s="146"/>
      <c r="Y205" s="146"/>
      <c r="Z205" s="146"/>
    </row>
    <row r="206" ht="22.5" customHeight="1">
      <c r="A206" s="318"/>
      <c r="B206" s="326"/>
      <c r="C206" s="320"/>
      <c r="D206" s="321"/>
      <c r="E206" s="320"/>
      <c r="F206" s="320"/>
      <c r="G206" s="327"/>
      <c r="H206" s="146"/>
      <c r="I206" s="146"/>
      <c r="J206" s="146"/>
      <c r="K206" s="146"/>
      <c r="L206" s="146"/>
      <c r="M206" s="146"/>
      <c r="N206" s="146"/>
      <c r="O206" s="146"/>
      <c r="P206" s="146"/>
      <c r="Q206" s="146"/>
      <c r="R206" s="146"/>
      <c r="S206" s="146"/>
      <c r="T206" s="146"/>
      <c r="U206" s="146"/>
      <c r="V206" s="146"/>
      <c r="W206" s="146"/>
      <c r="X206" s="146"/>
      <c r="Y206" s="146"/>
      <c r="Z206" s="146"/>
    </row>
    <row r="207" ht="22.5" customHeight="1">
      <c r="A207" s="318"/>
      <c r="B207" s="326"/>
      <c r="C207" s="320"/>
      <c r="D207" s="321"/>
      <c r="E207" s="320"/>
      <c r="F207" s="320"/>
      <c r="G207" s="327"/>
      <c r="H207" s="146"/>
      <c r="I207" s="146"/>
      <c r="J207" s="146"/>
      <c r="K207" s="146"/>
      <c r="L207" s="146"/>
      <c r="M207" s="146"/>
      <c r="N207" s="146"/>
      <c r="O207" s="146"/>
      <c r="P207" s="146"/>
      <c r="Q207" s="146"/>
      <c r="R207" s="146"/>
      <c r="S207" s="146"/>
      <c r="T207" s="146"/>
      <c r="U207" s="146"/>
      <c r="V207" s="146"/>
      <c r="W207" s="146"/>
      <c r="X207" s="146"/>
      <c r="Y207" s="146"/>
      <c r="Z207" s="146"/>
    </row>
    <row r="208" ht="22.5" customHeight="1">
      <c r="A208" s="318"/>
      <c r="B208" s="326"/>
      <c r="C208" s="320"/>
      <c r="D208" s="321"/>
      <c r="E208" s="320"/>
      <c r="F208" s="320"/>
      <c r="G208" s="327"/>
      <c r="H208" s="146"/>
      <c r="I208" s="146"/>
      <c r="J208" s="146"/>
      <c r="K208" s="146"/>
      <c r="L208" s="146"/>
      <c r="M208" s="146"/>
      <c r="N208" s="146"/>
      <c r="O208" s="146"/>
      <c r="P208" s="146"/>
      <c r="Q208" s="146"/>
      <c r="R208" s="146"/>
      <c r="S208" s="146"/>
      <c r="T208" s="146"/>
      <c r="U208" s="146"/>
      <c r="V208" s="146"/>
      <c r="W208" s="146"/>
      <c r="X208" s="146"/>
      <c r="Y208" s="146"/>
      <c r="Z208" s="146"/>
    </row>
    <row r="209" ht="22.5" customHeight="1">
      <c r="A209" s="318"/>
      <c r="B209" s="326"/>
      <c r="C209" s="320"/>
      <c r="D209" s="321"/>
      <c r="E209" s="320"/>
      <c r="F209" s="320"/>
      <c r="G209" s="327"/>
      <c r="H209" s="146"/>
      <c r="I209" s="146"/>
      <c r="J209" s="146"/>
      <c r="K209" s="146"/>
      <c r="L209" s="146"/>
      <c r="M209" s="146"/>
      <c r="N209" s="146"/>
      <c r="O209" s="146"/>
      <c r="P209" s="146"/>
      <c r="Q209" s="146"/>
      <c r="R209" s="146"/>
      <c r="S209" s="146"/>
      <c r="T209" s="146"/>
      <c r="U209" s="146"/>
      <c r="V209" s="146"/>
      <c r="W209" s="146"/>
      <c r="X209" s="146"/>
      <c r="Y209" s="146"/>
      <c r="Z209" s="146"/>
    </row>
    <row r="210" ht="22.5" customHeight="1">
      <c r="A210" s="318"/>
      <c r="B210" s="326"/>
      <c r="C210" s="320"/>
      <c r="D210" s="321"/>
      <c r="E210" s="320"/>
      <c r="F210" s="320"/>
      <c r="G210" s="327"/>
      <c r="H210" s="146"/>
      <c r="I210" s="146"/>
      <c r="J210" s="146"/>
      <c r="K210" s="146"/>
      <c r="L210" s="146"/>
      <c r="M210" s="146"/>
      <c r="N210" s="146"/>
      <c r="O210" s="146"/>
      <c r="P210" s="146"/>
      <c r="Q210" s="146"/>
      <c r="R210" s="146"/>
      <c r="S210" s="146"/>
      <c r="T210" s="146"/>
      <c r="U210" s="146"/>
      <c r="V210" s="146"/>
      <c r="W210" s="146"/>
      <c r="X210" s="146"/>
      <c r="Y210" s="146"/>
      <c r="Z210" s="146"/>
    </row>
    <row r="211" ht="22.5" customHeight="1">
      <c r="A211" s="318"/>
      <c r="B211" s="326"/>
      <c r="C211" s="320"/>
      <c r="D211" s="321"/>
      <c r="E211" s="320"/>
      <c r="F211" s="320"/>
      <c r="G211" s="327"/>
      <c r="H211" s="146"/>
      <c r="I211" s="146"/>
      <c r="J211" s="146"/>
      <c r="K211" s="146"/>
      <c r="L211" s="146"/>
      <c r="M211" s="146"/>
      <c r="N211" s="146"/>
      <c r="O211" s="146"/>
      <c r="P211" s="146"/>
      <c r="Q211" s="146"/>
      <c r="R211" s="146"/>
      <c r="S211" s="146"/>
      <c r="T211" s="146"/>
      <c r="U211" s="146"/>
      <c r="V211" s="146"/>
      <c r="W211" s="146"/>
      <c r="X211" s="146"/>
      <c r="Y211" s="146"/>
      <c r="Z211" s="146"/>
    </row>
    <row r="212" ht="22.5" customHeight="1">
      <c r="A212" s="318"/>
      <c r="B212" s="326"/>
      <c r="C212" s="320"/>
      <c r="D212" s="321"/>
      <c r="E212" s="320"/>
      <c r="F212" s="320"/>
      <c r="G212" s="327"/>
      <c r="H212" s="146"/>
      <c r="I212" s="146"/>
      <c r="J212" s="146"/>
      <c r="K212" s="146"/>
      <c r="L212" s="146"/>
      <c r="M212" s="146"/>
      <c r="N212" s="146"/>
      <c r="O212" s="146"/>
      <c r="P212" s="146"/>
      <c r="Q212" s="146"/>
      <c r="R212" s="146"/>
      <c r="S212" s="146"/>
      <c r="T212" s="146"/>
      <c r="U212" s="146"/>
      <c r="V212" s="146"/>
      <c r="W212" s="146"/>
      <c r="X212" s="146"/>
      <c r="Y212" s="146"/>
      <c r="Z212" s="146"/>
    </row>
    <row r="213" ht="22.5" customHeight="1">
      <c r="A213" s="318"/>
      <c r="B213" s="326"/>
      <c r="C213" s="320"/>
      <c r="D213" s="321"/>
      <c r="E213" s="320"/>
      <c r="F213" s="320"/>
      <c r="G213" s="327"/>
      <c r="H213" s="146"/>
      <c r="I213" s="146"/>
      <c r="J213" s="146"/>
      <c r="K213" s="146"/>
      <c r="L213" s="146"/>
      <c r="M213" s="146"/>
      <c r="N213" s="146"/>
      <c r="O213" s="146"/>
      <c r="P213" s="146"/>
      <c r="Q213" s="146"/>
      <c r="R213" s="146"/>
      <c r="S213" s="146"/>
      <c r="T213" s="146"/>
      <c r="U213" s="146"/>
      <c r="V213" s="146"/>
      <c r="W213" s="146"/>
      <c r="X213" s="146"/>
      <c r="Y213" s="146"/>
      <c r="Z213" s="146"/>
    </row>
    <row r="214" ht="22.5" customHeight="1">
      <c r="A214" s="318"/>
      <c r="B214" s="326"/>
      <c r="C214" s="320"/>
      <c r="D214" s="321"/>
      <c r="E214" s="320"/>
      <c r="F214" s="320"/>
      <c r="G214" s="327"/>
      <c r="H214" s="146"/>
      <c r="I214" s="146"/>
      <c r="J214" s="146"/>
      <c r="K214" s="146"/>
      <c r="L214" s="146"/>
      <c r="M214" s="146"/>
      <c r="N214" s="146"/>
      <c r="O214" s="146"/>
      <c r="P214" s="146"/>
      <c r="Q214" s="146"/>
      <c r="R214" s="146"/>
      <c r="S214" s="146"/>
      <c r="T214" s="146"/>
      <c r="U214" s="146"/>
      <c r="V214" s="146"/>
      <c r="W214" s="146"/>
      <c r="X214" s="146"/>
      <c r="Y214" s="146"/>
      <c r="Z214" s="146"/>
    </row>
    <row r="215" ht="22.5" customHeight="1">
      <c r="A215" s="318"/>
      <c r="B215" s="326"/>
      <c r="C215" s="320"/>
      <c r="D215" s="321"/>
      <c r="E215" s="320"/>
      <c r="F215" s="320"/>
      <c r="G215" s="327"/>
      <c r="H215" s="146"/>
      <c r="I215" s="146"/>
      <c r="J215" s="146"/>
      <c r="K215" s="146"/>
      <c r="L215" s="146"/>
      <c r="M215" s="146"/>
      <c r="N215" s="146"/>
      <c r="O215" s="146"/>
      <c r="P215" s="146"/>
      <c r="Q215" s="146"/>
      <c r="R215" s="146"/>
      <c r="S215" s="146"/>
      <c r="T215" s="146"/>
      <c r="U215" s="146"/>
      <c r="V215" s="146"/>
      <c r="W215" s="146"/>
      <c r="X215" s="146"/>
      <c r="Y215" s="146"/>
      <c r="Z215" s="146"/>
    </row>
    <row r="216" ht="22.5" customHeight="1">
      <c r="A216" s="318"/>
      <c r="B216" s="326"/>
      <c r="C216" s="320"/>
      <c r="D216" s="321"/>
      <c r="E216" s="320"/>
      <c r="F216" s="320"/>
      <c r="G216" s="327"/>
      <c r="H216" s="146"/>
      <c r="I216" s="146"/>
      <c r="J216" s="146"/>
      <c r="K216" s="146"/>
      <c r="L216" s="146"/>
      <c r="M216" s="146"/>
      <c r="N216" s="146"/>
      <c r="O216" s="146"/>
      <c r="P216" s="146"/>
      <c r="Q216" s="146"/>
      <c r="R216" s="146"/>
      <c r="S216" s="146"/>
      <c r="T216" s="146"/>
      <c r="U216" s="146"/>
      <c r="V216" s="146"/>
      <c r="W216" s="146"/>
      <c r="X216" s="146"/>
      <c r="Y216" s="146"/>
      <c r="Z216" s="146"/>
    </row>
    <row r="217" ht="22.5" customHeight="1">
      <c r="A217" s="318"/>
      <c r="B217" s="326"/>
      <c r="C217" s="320"/>
      <c r="D217" s="321"/>
      <c r="E217" s="320"/>
      <c r="F217" s="320"/>
      <c r="G217" s="327"/>
      <c r="H217" s="146"/>
      <c r="I217" s="146"/>
      <c r="J217" s="146"/>
      <c r="K217" s="146"/>
      <c r="L217" s="146"/>
      <c r="M217" s="146"/>
      <c r="N217" s="146"/>
      <c r="O217" s="146"/>
      <c r="P217" s="146"/>
      <c r="Q217" s="146"/>
      <c r="R217" s="146"/>
      <c r="S217" s="146"/>
      <c r="T217" s="146"/>
      <c r="U217" s="146"/>
      <c r="V217" s="146"/>
      <c r="W217" s="146"/>
      <c r="X217" s="146"/>
      <c r="Y217" s="146"/>
      <c r="Z217" s="146"/>
    </row>
    <row r="218" ht="22.5" customHeight="1">
      <c r="A218" s="318"/>
      <c r="B218" s="326"/>
      <c r="C218" s="320"/>
      <c r="D218" s="321"/>
      <c r="E218" s="320"/>
      <c r="F218" s="320"/>
      <c r="G218" s="327"/>
      <c r="H218" s="146"/>
      <c r="I218" s="146"/>
      <c r="J218" s="146"/>
      <c r="K218" s="146"/>
      <c r="L218" s="146"/>
      <c r="M218" s="146"/>
      <c r="N218" s="146"/>
      <c r="O218" s="146"/>
      <c r="P218" s="146"/>
      <c r="Q218" s="146"/>
      <c r="R218" s="146"/>
      <c r="S218" s="146"/>
      <c r="T218" s="146"/>
      <c r="U218" s="146"/>
      <c r="V218" s="146"/>
      <c r="W218" s="146"/>
      <c r="X218" s="146"/>
      <c r="Y218" s="146"/>
      <c r="Z218" s="146"/>
    </row>
    <row r="219" ht="22.5" customHeight="1">
      <c r="A219" s="318"/>
      <c r="B219" s="326"/>
      <c r="C219" s="320"/>
      <c r="D219" s="321"/>
      <c r="E219" s="320"/>
      <c r="F219" s="320"/>
      <c r="G219" s="327"/>
      <c r="H219" s="146"/>
      <c r="I219" s="146"/>
      <c r="J219" s="146"/>
      <c r="K219" s="146"/>
      <c r="L219" s="146"/>
      <c r="M219" s="146"/>
      <c r="N219" s="146"/>
      <c r="O219" s="146"/>
      <c r="P219" s="146"/>
      <c r="Q219" s="146"/>
      <c r="R219" s="146"/>
      <c r="S219" s="146"/>
      <c r="T219" s="146"/>
      <c r="U219" s="146"/>
      <c r="V219" s="146"/>
      <c r="W219" s="146"/>
      <c r="X219" s="146"/>
      <c r="Y219" s="146"/>
      <c r="Z219" s="146"/>
    </row>
    <row r="220" ht="22.5" customHeight="1">
      <c r="A220" s="318"/>
      <c r="B220" s="326"/>
      <c r="C220" s="320"/>
      <c r="D220" s="321"/>
      <c r="E220" s="320"/>
      <c r="F220" s="320"/>
      <c r="G220" s="327"/>
      <c r="H220" s="146"/>
      <c r="I220" s="146"/>
      <c r="J220" s="146"/>
      <c r="K220" s="146"/>
      <c r="L220" s="146"/>
      <c r="M220" s="146"/>
      <c r="N220" s="146"/>
      <c r="O220" s="146"/>
      <c r="P220" s="146"/>
      <c r="Q220" s="146"/>
      <c r="R220" s="146"/>
      <c r="S220" s="146"/>
      <c r="T220" s="146"/>
      <c r="U220" s="146"/>
      <c r="V220" s="146"/>
      <c r="W220" s="146"/>
      <c r="X220" s="146"/>
      <c r="Y220" s="146"/>
      <c r="Z220" s="146"/>
    </row>
    <row r="221" ht="22.5" customHeight="1">
      <c r="A221" s="318"/>
      <c r="B221" s="326"/>
      <c r="C221" s="320"/>
      <c r="D221" s="321"/>
      <c r="E221" s="320"/>
      <c r="F221" s="320"/>
      <c r="G221" s="327"/>
      <c r="H221" s="146"/>
      <c r="I221" s="146"/>
      <c r="J221" s="146"/>
      <c r="K221" s="146"/>
      <c r="L221" s="146"/>
      <c r="M221" s="146"/>
      <c r="N221" s="146"/>
      <c r="O221" s="146"/>
      <c r="P221" s="146"/>
      <c r="Q221" s="146"/>
      <c r="R221" s="146"/>
      <c r="S221" s="146"/>
      <c r="T221" s="146"/>
      <c r="U221" s="146"/>
      <c r="V221" s="146"/>
      <c r="W221" s="146"/>
      <c r="X221" s="146"/>
      <c r="Y221" s="146"/>
      <c r="Z221" s="146"/>
    </row>
    <row r="222" ht="22.5" customHeight="1">
      <c r="A222" s="318"/>
      <c r="B222" s="326"/>
      <c r="C222" s="320"/>
      <c r="D222" s="321"/>
      <c r="E222" s="320"/>
      <c r="F222" s="320"/>
      <c r="G222" s="327"/>
      <c r="H222" s="146"/>
      <c r="I222" s="146"/>
      <c r="J222" s="146"/>
      <c r="K222" s="146"/>
      <c r="L222" s="146"/>
      <c r="M222" s="146"/>
      <c r="N222" s="146"/>
      <c r="O222" s="146"/>
      <c r="P222" s="146"/>
      <c r="Q222" s="146"/>
      <c r="R222" s="146"/>
      <c r="S222" s="146"/>
      <c r="T222" s="146"/>
      <c r="U222" s="146"/>
      <c r="V222" s="146"/>
      <c r="W222" s="146"/>
      <c r="X222" s="146"/>
      <c r="Y222" s="146"/>
      <c r="Z222" s="146"/>
    </row>
    <row r="223" ht="22.5" customHeight="1">
      <c r="A223" s="318"/>
      <c r="B223" s="326"/>
      <c r="C223" s="320"/>
      <c r="D223" s="321"/>
      <c r="E223" s="320"/>
      <c r="F223" s="320"/>
      <c r="G223" s="327"/>
      <c r="H223" s="146"/>
      <c r="I223" s="146"/>
      <c r="J223" s="146"/>
      <c r="K223" s="146"/>
      <c r="L223" s="146"/>
      <c r="M223" s="146"/>
      <c r="N223" s="146"/>
      <c r="O223" s="146"/>
      <c r="P223" s="146"/>
      <c r="Q223" s="146"/>
      <c r="R223" s="146"/>
      <c r="S223" s="146"/>
      <c r="T223" s="146"/>
      <c r="U223" s="146"/>
      <c r="V223" s="146"/>
      <c r="W223" s="146"/>
      <c r="X223" s="146"/>
      <c r="Y223" s="146"/>
      <c r="Z223" s="146"/>
    </row>
    <row r="224" ht="22.5" customHeight="1">
      <c r="A224" s="318"/>
      <c r="B224" s="326"/>
      <c r="C224" s="320"/>
      <c r="D224" s="321"/>
      <c r="E224" s="320"/>
      <c r="F224" s="320"/>
      <c r="G224" s="327"/>
      <c r="H224" s="146"/>
      <c r="I224" s="146"/>
      <c r="J224" s="146"/>
      <c r="K224" s="146"/>
      <c r="L224" s="146"/>
      <c r="M224" s="146"/>
      <c r="N224" s="146"/>
      <c r="O224" s="146"/>
      <c r="P224" s="146"/>
      <c r="Q224" s="146"/>
      <c r="R224" s="146"/>
      <c r="S224" s="146"/>
      <c r="T224" s="146"/>
      <c r="U224" s="146"/>
      <c r="V224" s="146"/>
      <c r="W224" s="146"/>
      <c r="X224" s="146"/>
      <c r="Y224" s="146"/>
      <c r="Z224" s="146"/>
    </row>
    <row r="225" ht="22.5" customHeight="1">
      <c r="A225" s="318"/>
      <c r="B225" s="326"/>
      <c r="C225" s="320"/>
      <c r="D225" s="321"/>
      <c r="E225" s="320"/>
      <c r="F225" s="320"/>
      <c r="G225" s="327"/>
      <c r="H225" s="146"/>
      <c r="I225" s="146"/>
      <c r="J225" s="146"/>
      <c r="K225" s="146"/>
      <c r="L225" s="146"/>
      <c r="M225" s="146"/>
      <c r="N225" s="146"/>
      <c r="O225" s="146"/>
      <c r="P225" s="146"/>
      <c r="Q225" s="146"/>
      <c r="R225" s="146"/>
      <c r="S225" s="146"/>
      <c r="T225" s="146"/>
      <c r="U225" s="146"/>
      <c r="V225" s="146"/>
      <c r="W225" s="146"/>
      <c r="X225" s="146"/>
      <c r="Y225" s="146"/>
      <c r="Z225" s="146"/>
    </row>
    <row r="226" ht="22.5" customHeight="1">
      <c r="A226" s="318"/>
      <c r="B226" s="326"/>
      <c r="C226" s="320"/>
      <c r="D226" s="321"/>
      <c r="E226" s="320"/>
      <c r="F226" s="320"/>
      <c r="G226" s="327"/>
      <c r="H226" s="146"/>
      <c r="I226" s="146"/>
      <c r="J226" s="146"/>
      <c r="K226" s="146"/>
      <c r="L226" s="146"/>
      <c r="M226" s="146"/>
      <c r="N226" s="146"/>
      <c r="O226" s="146"/>
      <c r="P226" s="146"/>
      <c r="Q226" s="146"/>
      <c r="R226" s="146"/>
      <c r="S226" s="146"/>
      <c r="T226" s="146"/>
      <c r="U226" s="146"/>
      <c r="V226" s="146"/>
      <c r="W226" s="146"/>
      <c r="X226" s="146"/>
      <c r="Y226" s="146"/>
      <c r="Z226" s="146"/>
    </row>
    <row r="227" ht="22.5" customHeight="1">
      <c r="A227" s="318"/>
      <c r="B227" s="326"/>
      <c r="C227" s="320"/>
      <c r="D227" s="321"/>
      <c r="E227" s="320"/>
      <c r="F227" s="320"/>
      <c r="G227" s="327"/>
      <c r="H227" s="146"/>
      <c r="I227" s="146"/>
      <c r="J227" s="146"/>
      <c r="K227" s="146"/>
      <c r="L227" s="146"/>
      <c r="M227" s="146"/>
      <c r="N227" s="146"/>
      <c r="O227" s="146"/>
      <c r="P227" s="146"/>
      <c r="Q227" s="146"/>
      <c r="R227" s="146"/>
      <c r="S227" s="146"/>
      <c r="T227" s="146"/>
      <c r="U227" s="146"/>
      <c r="V227" s="146"/>
      <c r="W227" s="146"/>
      <c r="X227" s="146"/>
      <c r="Y227" s="146"/>
      <c r="Z227" s="146"/>
    </row>
    <row r="228" ht="22.5" customHeight="1">
      <c r="A228" s="318"/>
      <c r="B228" s="326"/>
      <c r="C228" s="320"/>
      <c r="D228" s="321"/>
      <c r="E228" s="320"/>
      <c r="F228" s="320"/>
      <c r="G228" s="327"/>
      <c r="H228" s="146"/>
      <c r="I228" s="146"/>
      <c r="J228" s="146"/>
      <c r="K228" s="146"/>
      <c r="L228" s="146"/>
      <c r="M228" s="146"/>
      <c r="N228" s="146"/>
      <c r="O228" s="146"/>
      <c r="P228" s="146"/>
      <c r="Q228" s="146"/>
      <c r="R228" s="146"/>
      <c r="S228" s="146"/>
      <c r="T228" s="146"/>
      <c r="U228" s="146"/>
      <c r="V228" s="146"/>
      <c r="W228" s="146"/>
      <c r="X228" s="146"/>
      <c r="Y228" s="146"/>
      <c r="Z228" s="146"/>
    </row>
    <row r="229" ht="22.5" customHeight="1">
      <c r="A229" s="318"/>
      <c r="B229" s="326"/>
      <c r="C229" s="320"/>
      <c r="D229" s="321"/>
      <c r="E229" s="320"/>
      <c r="F229" s="320"/>
      <c r="G229" s="327"/>
      <c r="H229" s="146"/>
      <c r="I229" s="146"/>
      <c r="J229" s="146"/>
      <c r="K229" s="146"/>
      <c r="L229" s="146"/>
      <c r="M229" s="146"/>
      <c r="N229" s="146"/>
      <c r="O229" s="146"/>
      <c r="P229" s="146"/>
      <c r="Q229" s="146"/>
      <c r="R229" s="146"/>
      <c r="S229" s="146"/>
      <c r="T229" s="146"/>
      <c r="U229" s="146"/>
      <c r="V229" s="146"/>
      <c r="W229" s="146"/>
      <c r="X229" s="146"/>
      <c r="Y229" s="146"/>
      <c r="Z229" s="146"/>
    </row>
    <row r="230" ht="22.5" customHeight="1">
      <c r="A230" s="329"/>
      <c r="B230" s="274"/>
      <c r="C230" s="138"/>
      <c r="D230" s="118"/>
      <c r="E230" s="138"/>
      <c r="F230" s="138"/>
      <c r="G230" s="330"/>
      <c r="H230" s="146"/>
      <c r="I230" s="146"/>
      <c r="J230" s="146"/>
      <c r="K230" s="146"/>
      <c r="L230" s="146"/>
      <c r="M230" s="146"/>
      <c r="N230" s="146"/>
      <c r="O230" s="146"/>
      <c r="P230" s="146"/>
      <c r="Q230" s="146"/>
      <c r="R230" s="146"/>
      <c r="S230" s="146"/>
      <c r="T230" s="146"/>
      <c r="U230" s="146"/>
      <c r="V230" s="146"/>
      <c r="W230" s="146"/>
      <c r="X230" s="146"/>
      <c r="Y230" s="146"/>
      <c r="Z230" s="146"/>
    </row>
    <row r="231" ht="22.5" customHeight="1">
      <c r="A231" s="329"/>
      <c r="B231" s="274"/>
      <c r="C231" s="138"/>
      <c r="D231" s="118"/>
      <c r="E231" s="138"/>
      <c r="F231" s="138"/>
      <c r="G231" s="330"/>
      <c r="H231" s="146"/>
      <c r="I231" s="146"/>
      <c r="J231" s="146"/>
      <c r="K231" s="146"/>
      <c r="L231" s="146"/>
      <c r="M231" s="146"/>
      <c r="N231" s="146"/>
      <c r="O231" s="146"/>
      <c r="P231" s="146"/>
      <c r="Q231" s="146"/>
      <c r="R231" s="146"/>
      <c r="S231" s="146"/>
      <c r="T231" s="146"/>
      <c r="U231" s="146"/>
      <c r="V231" s="146"/>
      <c r="W231" s="146"/>
      <c r="X231" s="146"/>
      <c r="Y231" s="146"/>
      <c r="Z231" s="146"/>
    </row>
    <row r="232" ht="22.5" customHeight="1">
      <c r="A232" s="329"/>
      <c r="B232" s="274"/>
      <c r="C232" s="138"/>
      <c r="D232" s="118"/>
      <c r="E232" s="138"/>
      <c r="F232" s="138"/>
      <c r="G232" s="330"/>
      <c r="H232" s="146"/>
      <c r="I232" s="146"/>
      <c r="J232" s="146"/>
      <c r="K232" s="146"/>
      <c r="L232" s="146"/>
      <c r="M232" s="146"/>
      <c r="N232" s="146"/>
      <c r="O232" s="146"/>
      <c r="P232" s="146"/>
      <c r="Q232" s="146"/>
      <c r="R232" s="146"/>
      <c r="S232" s="146"/>
      <c r="T232" s="146"/>
      <c r="U232" s="146"/>
      <c r="V232" s="146"/>
      <c r="W232" s="146"/>
      <c r="X232" s="146"/>
      <c r="Y232" s="146"/>
      <c r="Z232" s="146"/>
    </row>
    <row r="233" ht="22.5" customHeight="1">
      <c r="A233" s="329"/>
      <c r="B233" s="274"/>
      <c r="C233" s="138"/>
      <c r="D233" s="118"/>
      <c r="E233" s="138"/>
      <c r="F233" s="138"/>
      <c r="G233" s="330"/>
      <c r="H233" s="146"/>
      <c r="I233" s="146"/>
      <c r="J233" s="146"/>
      <c r="K233" s="146"/>
      <c r="L233" s="146"/>
      <c r="M233" s="146"/>
      <c r="N233" s="146"/>
      <c r="O233" s="146"/>
      <c r="P233" s="146"/>
      <c r="Q233" s="146"/>
      <c r="R233" s="146"/>
      <c r="S233" s="146"/>
      <c r="T233" s="146"/>
      <c r="U233" s="146"/>
      <c r="V233" s="146"/>
      <c r="W233" s="146"/>
      <c r="X233" s="146"/>
      <c r="Y233" s="146"/>
      <c r="Z233" s="146"/>
    </row>
    <row r="234" ht="22.5" customHeight="1">
      <c r="A234" s="329"/>
      <c r="B234" s="274"/>
      <c r="C234" s="138"/>
      <c r="D234" s="118"/>
      <c r="E234" s="138"/>
      <c r="F234" s="138"/>
      <c r="G234" s="330"/>
      <c r="H234" s="146"/>
      <c r="I234" s="146"/>
      <c r="J234" s="146"/>
      <c r="K234" s="146"/>
      <c r="L234" s="146"/>
      <c r="M234" s="146"/>
      <c r="N234" s="146"/>
      <c r="O234" s="146"/>
      <c r="P234" s="146"/>
      <c r="Q234" s="146"/>
      <c r="R234" s="146"/>
      <c r="S234" s="146"/>
      <c r="T234" s="146"/>
      <c r="U234" s="146"/>
      <c r="V234" s="146"/>
      <c r="W234" s="146"/>
      <c r="X234" s="146"/>
      <c r="Y234" s="146"/>
      <c r="Z234" s="146"/>
    </row>
    <row r="235" ht="22.5" customHeight="1">
      <c r="A235" s="329"/>
      <c r="B235" s="274"/>
      <c r="C235" s="138"/>
      <c r="D235" s="118"/>
      <c r="E235" s="138"/>
      <c r="F235" s="138"/>
      <c r="G235" s="330"/>
      <c r="H235" s="146"/>
      <c r="I235" s="146"/>
      <c r="J235" s="146"/>
      <c r="K235" s="146"/>
      <c r="L235" s="146"/>
      <c r="M235" s="146"/>
      <c r="N235" s="146"/>
      <c r="O235" s="146"/>
      <c r="P235" s="146"/>
      <c r="Q235" s="146"/>
      <c r="R235" s="146"/>
      <c r="S235" s="146"/>
      <c r="T235" s="146"/>
      <c r="U235" s="146"/>
      <c r="V235" s="146"/>
      <c r="W235" s="146"/>
      <c r="X235" s="146"/>
      <c r="Y235" s="146"/>
      <c r="Z235" s="146"/>
    </row>
    <row r="236" ht="22.5" customHeight="1">
      <c r="A236" s="329"/>
      <c r="B236" s="274"/>
      <c r="C236" s="138"/>
      <c r="D236" s="118"/>
      <c r="E236" s="138"/>
      <c r="F236" s="138"/>
      <c r="G236" s="330"/>
      <c r="H236" s="146"/>
      <c r="I236" s="146"/>
      <c r="J236" s="146"/>
      <c r="K236" s="146"/>
      <c r="L236" s="146"/>
      <c r="M236" s="146"/>
      <c r="N236" s="146"/>
      <c r="O236" s="146"/>
      <c r="P236" s="146"/>
      <c r="Q236" s="146"/>
      <c r="R236" s="146"/>
      <c r="S236" s="146"/>
      <c r="T236" s="146"/>
      <c r="U236" s="146"/>
      <c r="V236" s="146"/>
      <c r="W236" s="146"/>
      <c r="X236" s="146"/>
      <c r="Y236" s="146"/>
      <c r="Z236" s="146"/>
    </row>
    <row r="237" ht="22.5" customHeight="1">
      <c r="A237" s="329"/>
      <c r="B237" s="274"/>
      <c r="C237" s="138"/>
      <c r="D237" s="118"/>
      <c r="E237" s="138"/>
      <c r="F237" s="138"/>
      <c r="G237" s="330"/>
      <c r="H237" s="146"/>
      <c r="I237" s="146"/>
      <c r="J237" s="146"/>
      <c r="K237" s="146"/>
      <c r="L237" s="146"/>
      <c r="M237" s="146"/>
      <c r="N237" s="146"/>
      <c r="O237" s="146"/>
      <c r="P237" s="146"/>
      <c r="Q237" s="146"/>
      <c r="R237" s="146"/>
      <c r="S237" s="146"/>
      <c r="T237" s="146"/>
      <c r="U237" s="146"/>
      <c r="V237" s="146"/>
      <c r="W237" s="146"/>
      <c r="X237" s="146"/>
      <c r="Y237" s="146"/>
      <c r="Z237" s="146"/>
    </row>
    <row r="238" ht="22.5" customHeight="1">
      <c r="A238" s="329"/>
      <c r="B238" s="274"/>
      <c r="C238" s="138"/>
      <c r="D238" s="118"/>
      <c r="E238" s="138"/>
      <c r="F238" s="138"/>
      <c r="G238" s="330"/>
      <c r="H238" s="146"/>
      <c r="I238" s="146"/>
      <c r="J238" s="146"/>
      <c r="K238" s="146"/>
      <c r="L238" s="146"/>
      <c r="M238" s="146"/>
      <c r="N238" s="146"/>
      <c r="O238" s="146"/>
      <c r="P238" s="146"/>
      <c r="Q238" s="146"/>
      <c r="R238" s="146"/>
      <c r="S238" s="146"/>
      <c r="T238" s="146"/>
      <c r="U238" s="146"/>
      <c r="V238" s="146"/>
      <c r="W238" s="146"/>
      <c r="X238" s="146"/>
      <c r="Y238" s="146"/>
      <c r="Z238" s="146"/>
    </row>
    <row r="239" ht="22.5" customHeight="1">
      <c r="A239" s="329"/>
      <c r="B239" s="274"/>
      <c r="C239" s="138"/>
      <c r="D239" s="118"/>
      <c r="E239" s="138"/>
      <c r="F239" s="138"/>
      <c r="G239" s="330"/>
      <c r="H239" s="146"/>
      <c r="I239" s="146"/>
      <c r="J239" s="146"/>
      <c r="K239" s="146"/>
      <c r="L239" s="146"/>
      <c r="M239" s="146"/>
      <c r="N239" s="146"/>
      <c r="O239" s="146"/>
      <c r="P239" s="146"/>
      <c r="Q239" s="146"/>
      <c r="R239" s="146"/>
      <c r="S239" s="146"/>
      <c r="T239" s="146"/>
      <c r="U239" s="146"/>
      <c r="V239" s="146"/>
      <c r="W239" s="146"/>
      <c r="X239" s="146"/>
      <c r="Y239" s="146"/>
      <c r="Z239" s="146"/>
    </row>
    <row r="240" ht="22.5" customHeight="1">
      <c r="A240" s="329"/>
      <c r="B240" s="274"/>
      <c r="C240" s="138"/>
      <c r="D240" s="118"/>
      <c r="E240" s="138"/>
      <c r="F240" s="138"/>
      <c r="G240" s="330"/>
      <c r="H240" s="146"/>
      <c r="I240" s="146"/>
      <c r="J240" s="146"/>
      <c r="K240" s="146"/>
      <c r="L240" s="146"/>
      <c r="M240" s="146"/>
      <c r="N240" s="146"/>
      <c r="O240" s="146"/>
      <c r="P240" s="146"/>
      <c r="Q240" s="146"/>
      <c r="R240" s="146"/>
      <c r="S240" s="146"/>
      <c r="T240" s="146"/>
      <c r="U240" s="146"/>
      <c r="V240" s="146"/>
      <c r="W240" s="146"/>
      <c r="X240" s="146"/>
      <c r="Y240" s="146"/>
      <c r="Z240" s="146"/>
    </row>
    <row r="241" ht="22.5" customHeight="1">
      <c r="A241" s="329"/>
      <c r="B241" s="274"/>
      <c r="C241" s="138"/>
      <c r="D241" s="118"/>
      <c r="E241" s="138"/>
      <c r="F241" s="138"/>
      <c r="G241" s="330"/>
      <c r="H241" s="146"/>
      <c r="I241" s="146"/>
      <c r="J241" s="146"/>
      <c r="K241" s="146"/>
      <c r="L241" s="146"/>
      <c r="M241" s="146"/>
      <c r="N241" s="146"/>
      <c r="O241" s="146"/>
      <c r="P241" s="146"/>
      <c r="Q241" s="146"/>
      <c r="R241" s="146"/>
      <c r="S241" s="146"/>
      <c r="T241" s="146"/>
      <c r="U241" s="146"/>
      <c r="V241" s="146"/>
      <c r="W241" s="146"/>
      <c r="X241" s="146"/>
      <c r="Y241" s="146"/>
      <c r="Z241" s="146"/>
    </row>
    <row r="242" ht="22.5" customHeight="1">
      <c r="A242" s="329"/>
      <c r="B242" s="274"/>
      <c r="C242" s="138"/>
      <c r="D242" s="118"/>
      <c r="E242" s="138"/>
      <c r="F242" s="138"/>
      <c r="G242" s="330"/>
      <c r="H242" s="146"/>
      <c r="I242" s="146"/>
      <c r="J242" s="146"/>
      <c r="K242" s="146"/>
      <c r="L242" s="146"/>
      <c r="M242" s="146"/>
      <c r="N242" s="146"/>
      <c r="O242" s="146"/>
      <c r="P242" s="146"/>
      <c r="Q242" s="146"/>
      <c r="R242" s="146"/>
      <c r="S242" s="146"/>
      <c r="T242" s="146"/>
      <c r="U242" s="146"/>
      <c r="V242" s="146"/>
      <c r="W242" s="146"/>
      <c r="X242" s="146"/>
      <c r="Y242" s="146"/>
      <c r="Z242" s="146"/>
    </row>
    <row r="243" ht="22.5" customHeight="1">
      <c r="A243" s="329"/>
      <c r="B243" s="274"/>
      <c r="C243" s="138"/>
      <c r="D243" s="118"/>
      <c r="E243" s="138"/>
      <c r="F243" s="138"/>
      <c r="G243" s="330"/>
      <c r="H243" s="146"/>
      <c r="I243" s="146"/>
      <c r="J243" s="146"/>
      <c r="K243" s="146"/>
      <c r="L243" s="146"/>
      <c r="M243" s="146"/>
      <c r="N243" s="146"/>
      <c r="O243" s="146"/>
      <c r="P243" s="146"/>
      <c r="Q243" s="146"/>
      <c r="R243" s="146"/>
      <c r="S243" s="146"/>
      <c r="T243" s="146"/>
      <c r="U243" s="146"/>
      <c r="V243" s="146"/>
      <c r="W243" s="146"/>
      <c r="X243" s="146"/>
      <c r="Y243" s="146"/>
      <c r="Z243" s="146"/>
    </row>
    <row r="244" ht="22.5" customHeight="1">
      <c r="A244" s="329"/>
      <c r="B244" s="274"/>
      <c r="C244" s="138"/>
      <c r="D244" s="118"/>
      <c r="E244" s="138"/>
      <c r="F244" s="138"/>
      <c r="G244" s="330"/>
      <c r="H244" s="146"/>
      <c r="I244" s="146"/>
      <c r="J244" s="146"/>
      <c r="K244" s="146"/>
      <c r="L244" s="146"/>
      <c r="M244" s="146"/>
      <c r="N244" s="146"/>
      <c r="O244" s="146"/>
      <c r="P244" s="146"/>
      <c r="Q244" s="146"/>
      <c r="R244" s="146"/>
      <c r="S244" s="146"/>
      <c r="T244" s="146"/>
      <c r="U244" s="146"/>
      <c r="V244" s="146"/>
      <c r="W244" s="146"/>
      <c r="X244" s="146"/>
      <c r="Y244" s="146"/>
      <c r="Z244" s="146"/>
    </row>
    <row r="245" ht="22.5" customHeight="1">
      <c r="A245" s="329"/>
      <c r="B245" s="274"/>
      <c r="C245" s="138"/>
      <c r="D245" s="118"/>
      <c r="E245" s="138"/>
      <c r="F245" s="138"/>
      <c r="G245" s="330"/>
      <c r="H245" s="146"/>
      <c r="I245" s="146"/>
      <c r="J245" s="146"/>
      <c r="K245" s="146"/>
      <c r="L245" s="146"/>
      <c r="M245" s="146"/>
      <c r="N245" s="146"/>
      <c r="O245" s="146"/>
      <c r="P245" s="146"/>
      <c r="Q245" s="146"/>
      <c r="R245" s="146"/>
      <c r="S245" s="146"/>
      <c r="T245" s="146"/>
      <c r="U245" s="146"/>
      <c r="V245" s="146"/>
      <c r="W245" s="146"/>
      <c r="X245" s="146"/>
      <c r="Y245" s="146"/>
      <c r="Z245" s="146"/>
    </row>
    <row r="246" ht="22.5" customHeight="1">
      <c r="A246" s="329"/>
      <c r="B246" s="274"/>
      <c r="C246" s="138"/>
      <c r="D246" s="118"/>
      <c r="E246" s="138"/>
      <c r="F246" s="138"/>
      <c r="G246" s="330"/>
      <c r="H246" s="146"/>
      <c r="I246" s="146"/>
      <c r="J246" s="146"/>
      <c r="K246" s="146"/>
      <c r="L246" s="146"/>
      <c r="M246" s="146"/>
      <c r="N246" s="146"/>
      <c r="O246" s="146"/>
      <c r="P246" s="146"/>
      <c r="Q246" s="146"/>
      <c r="R246" s="146"/>
      <c r="S246" s="146"/>
      <c r="T246" s="146"/>
      <c r="U246" s="146"/>
      <c r="V246" s="146"/>
      <c r="W246" s="146"/>
      <c r="X246" s="146"/>
      <c r="Y246" s="146"/>
      <c r="Z246" s="146"/>
    </row>
    <row r="247" ht="22.5" customHeight="1">
      <c r="A247" s="329"/>
      <c r="B247" s="274"/>
      <c r="C247" s="138"/>
      <c r="D247" s="118"/>
      <c r="E247" s="138"/>
      <c r="F247" s="138"/>
      <c r="G247" s="330"/>
      <c r="H247" s="146"/>
      <c r="I247" s="146"/>
      <c r="J247" s="146"/>
      <c r="K247" s="146"/>
      <c r="L247" s="146"/>
      <c r="M247" s="146"/>
      <c r="N247" s="146"/>
      <c r="O247" s="146"/>
      <c r="P247" s="146"/>
      <c r="Q247" s="146"/>
      <c r="R247" s="146"/>
      <c r="S247" s="146"/>
      <c r="T247" s="146"/>
      <c r="U247" s="146"/>
      <c r="V247" s="146"/>
      <c r="W247" s="146"/>
      <c r="X247" s="146"/>
      <c r="Y247" s="146"/>
      <c r="Z247" s="146"/>
    </row>
    <row r="248" ht="22.5" customHeight="1">
      <c r="A248" s="329"/>
      <c r="B248" s="274"/>
      <c r="C248" s="138"/>
      <c r="D248" s="118"/>
      <c r="E248" s="138"/>
      <c r="F248" s="138"/>
      <c r="G248" s="330"/>
      <c r="H248" s="146"/>
      <c r="I248" s="146"/>
      <c r="J248" s="146"/>
      <c r="K248" s="146"/>
      <c r="L248" s="146"/>
      <c r="M248" s="146"/>
      <c r="N248" s="146"/>
      <c r="O248" s="146"/>
      <c r="P248" s="146"/>
      <c r="Q248" s="146"/>
      <c r="R248" s="146"/>
      <c r="S248" s="146"/>
      <c r="T248" s="146"/>
      <c r="U248" s="146"/>
      <c r="V248" s="146"/>
      <c r="W248" s="146"/>
      <c r="X248" s="146"/>
      <c r="Y248" s="146"/>
      <c r="Z248" s="146"/>
    </row>
    <row r="249" ht="22.5" customHeight="1">
      <c r="A249" s="329"/>
      <c r="B249" s="274"/>
      <c r="C249" s="138"/>
      <c r="D249" s="118"/>
      <c r="E249" s="138"/>
      <c r="F249" s="138"/>
      <c r="G249" s="330"/>
      <c r="H249" s="146"/>
      <c r="I249" s="146"/>
      <c r="J249" s="146"/>
      <c r="K249" s="146"/>
      <c r="L249" s="146"/>
      <c r="M249" s="146"/>
      <c r="N249" s="146"/>
      <c r="O249" s="146"/>
      <c r="P249" s="146"/>
      <c r="Q249" s="146"/>
      <c r="R249" s="146"/>
      <c r="S249" s="146"/>
      <c r="T249" s="146"/>
      <c r="U249" s="146"/>
      <c r="V249" s="146"/>
      <c r="W249" s="146"/>
      <c r="X249" s="146"/>
      <c r="Y249" s="146"/>
      <c r="Z249" s="146"/>
    </row>
    <row r="250" ht="22.5" customHeight="1">
      <c r="A250" s="329"/>
      <c r="B250" s="274"/>
      <c r="C250" s="138"/>
      <c r="D250" s="118"/>
      <c r="E250" s="138"/>
      <c r="F250" s="138"/>
      <c r="G250" s="330"/>
      <c r="H250" s="146"/>
      <c r="I250" s="146"/>
      <c r="J250" s="146"/>
      <c r="K250" s="146"/>
      <c r="L250" s="146"/>
      <c r="M250" s="146"/>
      <c r="N250" s="146"/>
      <c r="O250" s="146"/>
      <c r="P250" s="146"/>
      <c r="Q250" s="146"/>
      <c r="R250" s="146"/>
      <c r="S250" s="146"/>
      <c r="T250" s="146"/>
      <c r="U250" s="146"/>
      <c r="V250" s="146"/>
      <c r="W250" s="146"/>
      <c r="X250" s="146"/>
      <c r="Y250" s="146"/>
      <c r="Z250" s="146"/>
    </row>
    <row r="251" ht="22.5" customHeight="1">
      <c r="A251" s="329"/>
      <c r="B251" s="274"/>
      <c r="C251" s="138"/>
      <c r="D251" s="118"/>
      <c r="E251" s="138"/>
      <c r="F251" s="138"/>
      <c r="G251" s="330"/>
      <c r="H251" s="146"/>
      <c r="I251" s="146"/>
      <c r="J251" s="146"/>
      <c r="K251" s="146"/>
      <c r="L251" s="146"/>
      <c r="M251" s="146"/>
      <c r="N251" s="146"/>
      <c r="O251" s="146"/>
      <c r="P251" s="146"/>
      <c r="Q251" s="146"/>
      <c r="R251" s="146"/>
      <c r="S251" s="146"/>
      <c r="T251" s="146"/>
      <c r="U251" s="146"/>
      <c r="V251" s="146"/>
      <c r="W251" s="146"/>
      <c r="X251" s="146"/>
      <c r="Y251" s="146"/>
      <c r="Z251" s="146"/>
    </row>
    <row r="252" ht="22.5" customHeight="1">
      <c r="A252" s="329"/>
      <c r="B252" s="274"/>
      <c r="C252" s="138"/>
      <c r="D252" s="118"/>
      <c r="E252" s="138"/>
      <c r="F252" s="138"/>
      <c r="G252" s="330"/>
      <c r="H252" s="146"/>
      <c r="I252" s="146"/>
      <c r="J252" s="146"/>
      <c r="K252" s="146"/>
      <c r="L252" s="146"/>
      <c r="M252" s="146"/>
      <c r="N252" s="146"/>
      <c r="O252" s="146"/>
      <c r="P252" s="146"/>
      <c r="Q252" s="146"/>
      <c r="R252" s="146"/>
      <c r="S252" s="146"/>
      <c r="T252" s="146"/>
      <c r="U252" s="146"/>
      <c r="V252" s="146"/>
      <c r="W252" s="146"/>
      <c r="X252" s="146"/>
      <c r="Y252" s="146"/>
      <c r="Z252" s="146"/>
    </row>
    <row r="253" ht="22.5" customHeight="1">
      <c r="A253" s="329"/>
      <c r="B253" s="274"/>
      <c r="C253" s="138"/>
      <c r="D253" s="118"/>
      <c r="E253" s="138"/>
      <c r="F253" s="138"/>
      <c r="G253" s="330"/>
      <c r="H253" s="146"/>
      <c r="I253" s="146"/>
      <c r="J253" s="146"/>
      <c r="K253" s="146"/>
      <c r="L253" s="146"/>
      <c r="M253" s="146"/>
      <c r="N253" s="146"/>
      <c r="O253" s="146"/>
      <c r="P253" s="146"/>
      <c r="Q253" s="146"/>
      <c r="R253" s="146"/>
      <c r="S253" s="146"/>
      <c r="T253" s="146"/>
      <c r="U253" s="146"/>
      <c r="V253" s="146"/>
      <c r="W253" s="146"/>
      <c r="X253" s="146"/>
      <c r="Y253" s="146"/>
      <c r="Z253" s="146"/>
    </row>
    <row r="254" ht="22.5" customHeight="1">
      <c r="A254" s="329"/>
      <c r="B254" s="274"/>
      <c r="C254" s="138"/>
      <c r="D254" s="118"/>
      <c r="E254" s="138"/>
      <c r="F254" s="138"/>
      <c r="G254" s="330"/>
      <c r="H254" s="146"/>
      <c r="I254" s="146"/>
      <c r="J254" s="146"/>
      <c r="K254" s="146"/>
      <c r="L254" s="146"/>
      <c r="M254" s="146"/>
      <c r="N254" s="146"/>
      <c r="O254" s="146"/>
      <c r="P254" s="146"/>
      <c r="Q254" s="146"/>
      <c r="R254" s="146"/>
      <c r="S254" s="146"/>
      <c r="T254" s="146"/>
      <c r="U254" s="146"/>
      <c r="V254" s="146"/>
      <c r="W254" s="146"/>
      <c r="X254" s="146"/>
      <c r="Y254" s="146"/>
      <c r="Z254" s="146"/>
    </row>
    <row r="255" ht="22.5" customHeight="1">
      <c r="A255" s="329"/>
      <c r="B255" s="274"/>
      <c r="C255" s="138"/>
      <c r="D255" s="118"/>
      <c r="E255" s="138"/>
      <c r="F255" s="138"/>
      <c r="G255" s="330"/>
      <c r="H255" s="146"/>
      <c r="I255" s="146"/>
      <c r="J255" s="146"/>
      <c r="K255" s="146"/>
      <c r="L255" s="146"/>
      <c r="M255" s="146"/>
      <c r="N255" s="146"/>
      <c r="O255" s="146"/>
      <c r="P255" s="146"/>
      <c r="Q255" s="146"/>
      <c r="R255" s="146"/>
      <c r="S255" s="146"/>
      <c r="T255" s="146"/>
      <c r="U255" s="146"/>
      <c r="V255" s="146"/>
      <c r="W255" s="146"/>
      <c r="X255" s="146"/>
      <c r="Y255" s="146"/>
      <c r="Z255" s="146"/>
    </row>
    <row r="256" ht="22.5" customHeight="1">
      <c r="A256" s="329"/>
      <c r="B256" s="274"/>
      <c r="C256" s="138"/>
      <c r="D256" s="118"/>
      <c r="E256" s="138"/>
      <c r="F256" s="138"/>
      <c r="G256" s="330"/>
      <c r="H256" s="146"/>
      <c r="I256" s="146"/>
      <c r="J256" s="146"/>
      <c r="K256" s="146"/>
      <c r="L256" s="146"/>
      <c r="M256" s="146"/>
      <c r="N256" s="146"/>
      <c r="O256" s="146"/>
      <c r="P256" s="146"/>
      <c r="Q256" s="146"/>
      <c r="R256" s="146"/>
      <c r="S256" s="146"/>
      <c r="T256" s="146"/>
      <c r="U256" s="146"/>
      <c r="V256" s="146"/>
      <c r="W256" s="146"/>
      <c r="X256" s="146"/>
      <c r="Y256" s="146"/>
      <c r="Z256" s="146"/>
    </row>
    <row r="257" ht="22.5" customHeight="1">
      <c r="A257" s="329"/>
      <c r="B257" s="274"/>
      <c r="C257" s="138"/>
      <c r="D257" s="118"/>
      <c r="E257" s="138"/>
      <c r="F257" s="138"/>
      <c r="G257" s="330"/>
      <c r="H257" s="146"/>
      <c r="I257" s="146"/>
      <c r="J257" s="146"/>
      <c r="K257" s="146"/>
      <c r="L257" s="146"/>
      <c r="M257" s="146"/>
      <c r="N257" s="146"/>
      <c r="O257" s="146"/>
      <c r="P257" s="146"/>
      <c r="Q257" s="146"/>
      <c r="R257" s="146"/>
      <c r="S257" s="146"/>
      <c r="T257" s="146"/>
      <c r="U257" s="146"/>
      <c r="V257" s="146"/>
      <c r="W257" s="146"/>
      <c r="X257" s="146"/>
      <c r="Y257" s="146"/>
      <c r="Z257" s="146"/>
    </row>
    <row r="258" ht="22.5" customHeight="1">
      <c r="A258" s="329"/>
      <c r="B258" s="274"/>
      <c r="C258" s="138"/>
      <c r="D258" s="118"/>
      <c r="E258" s="138"/>
      <c r="F258" s="138"/>
      <c r="G258" s="330"/>
      <c r="H258" s="146"/>
      <c r="I258" s="146"/>
      <c r="J258" s="146"/>
      <c r="K258" s="146"/>
      <c r="L258" s="146"/>
      <c r="M258" s="146"/>
      <c r="N258" s="146"/>
      <c r="O258" s="146"/>
      <c r="P258" s="146"/>
      <c r="Q258" s="146"/>
      <c r="R258" s="146"/>
      <c r="S258" s="146"/>
      <c r="T258" s="146"/>
      <c r="U258" s="146"/>
      <c r="V258" s="146"/>
      <c r="W258" s="146"/>
      <c r="X258" s="146"/>
      <c r="Y258" s="146"/>
      <c r="Z258" s="146"/>
    </row>
    <row r="259" ht="22.5" customHeight="1">
      <c r="A259" s="329"/>
      <c r="B259" s="274"/>
      <c r="C259" s="138"/>
      <c r="D259" s="118"/>
      <c r="E259" s="138"/>
      <c r="F259" s="138"/>
      <c r="G259" s="330"/>
      <c r="H259" s="146"/>
      <c r="I259" s="146"/>
      <c r="J259" s="146"/>
      <c r="K259" s="146"/>
      <c r="L259" s="146"/>
      <c r="M259" s="146"/>
      <c r="N259" s="146"/>
      <c r="O259" s="146"/>
      <c r="P259" s="146"/>
      <c r="Q259" s="146"/>
      <c r="R259" s="146"/>
      <c r="S259" s="146"/>
      <c r="T259" s="146"/>
      <c r="U259" s="146"/>
      <c r="V259" s="146"/>
      <c r="W259" s="146"/>
      <c r="X259" s="146"/>
      <c r="Y259" s="146"/>
      <c r="Z259" s="146"/>
    </row>
    <row r="260" ht="22.5" customHeight="1">
      <c r="A260" s="329"/>
      <c r="B260" s="274"/>
      <c r="C260" s="138"/>
      <c r="D260" s="118"/>
      <c r="E260" s="138"/>
      <c r="F260" s="138"/>
      <c r="G260" s="330"/>
      <c r="H260" s="146"/>
      <c r="I260" s="146"/>
      <c r="J260" s="146"/>
      <c r="K260" s="146"/>
      <c r="L260" s="146"/>
      <c r="M260" s="146"/>
      <c r="N260" s="146"/>
      <c r="O260" s="146"/>
      <c r="P260" s="146"/>
      <c r="Q260" s="146"/>
      <c r="R260" s="146"/>
      <c r="S260" s="146"/>
      <c r="T260" s="146"/>
      <c r="U260" s="146"/>
      <c r="V260" s="146"/>
      <c r="W260" s="146"/>
      <c r="X260" s="146"/>
      <c r="Y260" s="146"/>
      <c r="Z260" s="146"/>
    </row>
    <row r="261" ht="22.5" customHeight="1">
      <c r="A261" s="329"/>
      <c r="B261" s="274"/>
      <c r="C261" s="138"/>
      <c r="D261" s="118"/>
      <c r="E261" s="138"/>
      <c r="F261" s="138"/>
      <c r="G261" s="330"/>
      <c r="H261" s="146"/>
      <c r="I261" s="146"/>
      <c r="J261" s="146"/>
      <c r="K261" s="146"/>
      <c r="L261" s="146"/>
      <c r="M261" s="146"/>
      <c r="N261" s="146"/>
      <c r="O261" s="146"/>
      <c r="P261" s="146"/>
      <c r="Q261" s="146"/>
      <c r="R261" s="146"/>
      <c r="S261" s="146"/>
      <c r="T261" s="146"/>
      <c r="U261" s="146"/>
      <c r="V261" s="146"/>
      <c r="W261" s="146"/>
      <c r="X261" s="146"/>
      <c r="Y261" s="146"/>
      <c r="Z261" s="146"/>
    </row>
    <row r="262" ht="22.5" customHeight="1">
      <c r="A262" s="329"/>
      <c r="B262" s="274"/>
      <c r="C262" s="138"/>
      <c r="D262" s="118"/>
      <c r="E262" s="138"/>
      <c r="F262" s="138"/>
      <c r="G262" s="330"/>
      <c r="H262" s="146"/>
      <c r="I262" s="146"/>
      <c r="J262" s="146"/>
      <c r="K262" s="146"/>
      <c r="L262" s="146"/>
      <c r="M262" s="146"/>
      <c r="N262" s="146"/>
      <c r="O262" s="146"/>
      <c r="P262" s="146"/>
      <c r="Q262" s="146"/>
      <c r="R262" s="146"/>
      <c r="S262" s="146"/>
      <c r="T262" s="146"/>
      <c r="U262" s="146"/>
      <c r="V262" s="146"/>
      <c r="W262" s="146"/>
      <c r="X262" s="146"/>
      <c r="Y262" s="146"/>
      <c r="Z262" s="146"/>
    </row>
    <row r="263" ht="22.5" customHeight="1">
      <c r="A263" s="329"/>
      <c r="B263" s="274"/>
      <c r="C263" s="138"/>
      <c r="D263" s="118"/>
      <c r="E263" s="138"/>
      <c r="F263" s="138"/>
      <c r="G263" s="330"/>
      <c r="H263" s="146"/>
      <c r="I263" s="146"/>
      <c r="J263" s="146"/>
      <c r="K263" s="146"/>
      <c r="L263" s="146"/>
      <c r="M263" s="146"/>
      <c r="N263" s="146"/>
      <c r="O263" s="146"/>
      <c r="P263" s="146"/>
      <c r="Q263" s="146"/>
      <c r="R263" s="146"/>
      <c r="S263" s="146"/>
      <c r="T263" s="146"/>
      <c r="U263" s="146"/>
      <c r="V263" s="146"/>
      <c r="W263" s="146"/>
      <c r="X263" s="146"/>
      <c r="Y263" s="146"/>
      <c r="Z263" s="146"/>
    </row>
    <row r="264" ht="22.5" customHeight="1">
      <c r="A264" s="329"/>
      <c r="B264" s="274"/>
      <c r="C264" s="138"/>
      <c r="D264" s="118"/>
      <c r="E264" s="138"/>
      <c r="F264" s="138"/>
      <c r="G264" s="330"/>
      <c r="H264" s="146"/>
      <c r="I264" s="146"/>
      <c r="J264" s="146"/>
      <c r="K264" s="146"/>
      <c r="L264" s="146"/>
      <c r="M264" s="146"/>
      <c r="N264" s="146"/>
      <c r="O264" s="146"/>
      <c r="P264" s="146"/>
      <c r="Q264" s="146"/>
      <c r="R264" s="146"/>
      <c r="S264" s="146"/>
      <c r="T264" s="146"/>
      <c r="U264" s="146"/>
      <c r="V264" s="146"/>
      <c r="W264" s="146"/>
      <c r="X264" s="146"/>
      <c r="Y264" s="146"/>
      <c r="Z264" s="146"/>
    </row>
    <row r="265" ht="22.5" customHeight="1">
      <c r="A265" s="329"/>
      <c r="B265" s="274"/>
      <c r="C265" s="138"/>
      <c r="D265" s="118"/>
      <c r="E265" s="138"/>
      <c r="F265" s="138"/>
      <c r="G265" s="330"/>
      <c r="H265" s="146"/>
      <c r="I265" s="146"/>
      <c r="J265" s="146"/>
      <c r="K265" s="146"/>
      <c r="L265" s="146"/>
      <c r="M265" s="146"/>
      <c r="N265" s="146"/>
      <c r="O265" s="146"/>
      <c r="P265" s="146"/>
      <c r="Q265" s="146"/>
      <c r="R265" s="146"/>
      <c r="S265" s="146"/>
      <c r="T265" s="146"/>
      <c r="U265" s="146"/>
      <c r="V265" s="146"/>
      <c r="W265" s="146"/>
      <c r="X265" s="146"/>
      <c r="Y265" s="146"/>
      <c r="Z265" s="146"/>
    </row>
    <row r="266" ht="22.5" customHeight="1">
      <c r="A266" s="329"/>
      <c r="B266" s="274"/>
      <c r="C266" s="138"/>
      <c r="D266" s="118"/>
      <c r="E266" s="138"/>
      <c r="F266" s="138"/>
      <c r="G266" s="330"/>
      <c r="H266" s="146"/>
      <c r="I266" s="146"/>
      <c r="J266" s="146"/>
      <c r="K266" s="146"/>
      <c r="L266" s="146"/>
      <c r="M266" s="146"/>
      <c r="N266" s="146"/>
      <c r="O266" s="146"/>
      <c r="P266" s="146"/>
      <c r="Q266" s="146"/>
      <c r="R266" s="146"/>
      <c r="S266" s="146"/>
      <c r="T266" s="146"/>
      <c r="U266" s="146"/>
      <c r="V266" s="146"/>
      <c r="W266" s="146"/>
      <c r="X266" s="146"/>
      <c r="Y266" s="146"/>
      <c r="Z266" s="146"/>
    </row>
    <row r="267" ht="22.5" customHeight="1">
      <c r="A267" s="329"/>
      <c r="B267" s="274"/>
      <c r="C267" s="138"/>
      <c r="D267" s="118"/>
      <c r="E267" s="138"/>
      <c r="F267" s="138"/>
      <c r="G267" s="330"/>
      <c r="H267" s="146"/>
      <c r="I267" s="146"/>
      <c r="J267" s="146"/>
      <c r="K267" s="146"/>
      <c r="L267" s="146"/>
      <c r="M267" s="146"/>
      <c r="N267" s="146"/>
      <c r="O267" s="146"/>
      <c r="P267" s="146"/>
      <c r="Q267" s="146"/>
      <c r="R267" s="146"/>
      <c r="S267" s="146"/>
      <c r="T267" s="146"/>
      <c r="U267" s="146"/>
      <c r="V267" s="146"/>
      <c r="W267" s="146"/>
      <c r="X267" s="146"/>
      <c r="Y267" s="146"/>
      <c r="Z267" s="146"/>
    </row>
    <row r="268" ht="22.5" customHeight="1">
      <c r="A268" s="329"/>
      <c r="B268" s="274"/>
      <c r="C268" s="138"/>
      <c r="D268" s="118"/>
      <c r="E268" s="138"/>
      <c r="F268" s="138"/>
      <c r="G268" s="330"/>
      <c r="H268" s="146"/>
      <c r="I268" s="146"/>
      <c r="J268" s="146"/>
      <c r="K268" s="146"/>
      <c r="L268" s="146"/>
      <c r="M268" s="146"/>
      <c r="N268" s="146"/>
      <c r="O268" s="146"/>
      <c r="P268" s="146"/>
      <c r="Q268" s="146"/>
      <c r="R268" s="146"/>
      <c r="S268" s="146"/>
      <c r="T268" s="146"/>
      <c r="U268" s="146"/>
      <c r="V268" s="146"/>
      <c r="W268" s="146"/>
      <c r="X268" s="146"/>
      <c r="Y268" s="146"/>
      <c r="Z268" s="146"/>
    </row>
    <row r="269" ht="22.5" customHeight="1">
      <c r="A269" s="329"/>
      <c r="B269" s="274"/>
      <c r="C269" s="138"/>
      <c r="D269" s="118"/>
      <c r="E269" s="138"/>
      <c r="F269" s="138"/>
      <c r="G269" s="330"/>
      <c r="H269" s="146"/>
      <c r="I269" s="146"/>
      <c r="J269" s="146"/>
      <c r="K269" s="146"/>
      <c r="L269" s="146"/>
      <c r="M269" s="146"/>
      <c r="N269" s="146"/>
      <c r="O269" s="146"/>
      <c r="P269" s="146"/>
      <c r="Q269" s="146"/>
      <c r="R269" s="146"/>
      <c r="S269" s="146"/>
      <c r="T269" s="146"/>
      <c r="U269" s="146"/>
      <c r="V269" s="146"/>
      <c r="W269" s="146"/>
      <c r="X269" s="146"/>
      <c r="Y269" s="146"/>
      <c r="Z269" s="146"/>
    </row>
    <row r="270" ht="22.5" customHeight="1">
      <c r="A270" s="329"/>
      <c r="B270" s="274"/>
      <c r="C270" s="138"/>
      <c r="D270" s="118"/>
      <c r="E270" s="138"/>
      <c r="F270" s="138"/>
      <c r="G270" s="330"/>
      <c r="H270" s="146"/>
      <c r="I270" s="146"/>
      <c r="J270" s="146"/>
      <c r="K270" s="146"/>
      <c r="L270" s="146"/>
      <c r="M270" s="146"/>
      <c r="N270" s="146"/>
      <c r="O270" s="146"/>
      <c r="P270" s="146"/>
      <c r="Q270" s="146"/>
      <c r="R270" s="146"/>
      <c r="S270" s="146"/>
      <c r="T270" s="146"/>
      <c r="U270" s="146"/>
      <c r="V270" s="146"/>
      <c r="W270" s="146"/>
      <c r="X270" s="146"/>
      <c r="Y270" s="146"/>
      <c r="Z270" s="146"/>
    </row>
    <row r="271" ht="22.5" customHeight="1">
      <c r="A271" s="329"/>
      <c r="B271" s="274"/>
      <c r="C271" s="138"/>
      <c r="D271" s="118"/>
      <c r="E271" s="138"/>
      <c r="F271" s="138"/>
      <c r="G271" s="330"/>
      <c r="H271" s="146"/>
      <c r="I271" s="146"/>
      <c r="J271" s="146"/>
      <c r="K271" s="146"/>
      <c r="L271" s="146"/>
      <c r="M271" s="146"/>
      <c r="N271" s="146"/>
      <c r="O271" s="146"/>
      <c r="P271" s="146"/>
      <c r="Q271" s="146"/>
      <c r="R271" s="146"/>
      <c r="S271" s="146"/>
      <c r="T271" s="146"/>
      <c r="U271" s="146"/>
      <c r="V271" s="146"/>
      <c r="W271" s="146"/>
      <c r="X271" s="146"/>
      <c r="Y271" s="146"/>
      <c r="Z271" s="146"/>
    </row>
    <row r="272" ht="22.5" customHeight="1">
      <c r="A272" s="329"/>
      <c r="B272" s="274"/>
      <c r="C272" s="138"/>
      <c r="D272" s="118"/>
      <c r="E272" s="138"/>
      <c r="F272" s="138"/>
      <c r="G272" s="330"/>
      <c r="H272" s="146"/>
      <c r="I272" s="146"/>
      <c r="J272" s="146"/>
      <c r="K272" s="146"/>
      <c r="L272" s="146"/>
      <c r="M272" s="146"/>
      <c r="N272" s="146"/>
      <c r="O272" s="146"/>
      <c r="P272" s="146"/>
      <c r="Q272" s="146"/>
      <c r="R272" s="146"/>
      <c r="S272" s="146"/>
      <c r="T272" s="146"/>
      <c r="U272" s="146"/>
      <c r="V272" s="146"/>
      <c r="W272" s="146"/>
      <c r="X272" s="146"/>
      <c r="Y272" s="146"/>
      <c r="Z272" s="146"/>
    </row>
    <row r="273" ht="22.5" customHeight="1">
      <c r="A273" s="329"/>
      <c r="B273" s="274"/>
      <c r="C273" s="138"/>
      <c r="D273" s="118"/>
      <c r="E273" s="138"/>
      <c r="F273" s="138"/>
      <c r="G273" s="330"/>
      <c r="H273" s="146"/>
      <c r="I273" s="146"/>
      <c r="J273" s="146"/>
      <c r="K273" s="146"/>
      <c r="L273" s="146"/>
      <c r="M273" s="146"/>
      <c r="N273" s="146"/>
      <c r="O273" s="146"/>
      <c r="P273" s="146"/>
      <c r="Q273" s="146"/>
      <c r="R273" s="146"/>
      <c r="S273" s="146"/>
      <c r="T273" s="146"/>
      <c r="U273" s="146"/>
      <c r="V273" s="146"/>
      <c r="W273" s="146"/>
      <c r="X273" s="146"/>
      <c r="Y273" s="146"/>
      <c r="Z273" s="146"/>
    </row>
    <row r="274" ht="22.5" customHeight="1">
      <c r="A274" s="329"/>
      <c r="B274" s="274"/>
      <c r="C274" s="138"/>
      <c r="D274" s="118"/>
      <c r="E274" s="138"/>
      <c r="F274" s="138"/>
      <c r="G274" s="330"/>
      <c r="H274" s="146"/>
      <c r="I274" s="146"/>
      <c r="J274" s="146"/>
      <c r="K274" s="146"/>
      <c r="L274" s="146"/>
      <c r="M274" s="146"/>
      <c r="N274" s="146"/>
      <c r="O274" s="146"/>
      <c r="P274" s="146"/>
      <c r="Q274" s="146"/>
      <c r="R274" s="146"/>
      <c r="S274" s="146"/>
      <c r="T274" s="146"/>
      <c r="U274" s="146"/>
      <c r="V274" s="146"/>
      <c r="W274" s="146"/>
      <c r="X274" s="146"/>
      <c r="Y274" s="146"/>
      <c r="Z274" s="146"/>
    </row>
    <row r="275" ht="22.5" customHeight="1">
      <c r="A275" s="329"/>
      <c r="B275" s="274"/>
      <c r="C275" s="138"/>
      <c r="D275" s="118"/>
      <c r="E275" s="138"/>
      <c r="F275" s="138"/>
      <c r="G275" s="330"/>
      <c r="H275" s="146"/>
      <c r="I275" s="146"/>
      <c r="J275" s="146"/>
      <c r="K275" s="146"/>
      <c r="L275" s="146"/>
      <c r="M275" s="146"/>
      <c r="N275" s="146"/>
      <c r="O275" s="146"/>
      <c r="P275" s="146"/>
      <c r="Q275" s="146"/>
      <c r="R275" s="146"/>
      <c r="S275" s="146"/>
      <c r="T275" s="146"/>
      <c r="U275" s="146"/>
      <c r="V275" s="146"/>
      <c r="W275" s="146"/>
      <c r="X275" s="146"/>
      <c r="Y275" s="146"/>
      <c r="Z275" s="146"/>
    </row>
    <row r="276" ht="22.5" customHeight="1">
      <c r="A276" s="329"/>
      <c r="B276" s="274"/>
      <c r="C276" s="138"/>
      <c r="D276" s="118"/>
      <c r="E276" s="138"/>
      <c r="F276" s="138"/>
      <c r="G276" s="330"/>
      <c r="H276" s="146"/>
      <c r="I276" s="146"/>
      <c r="J276" s="146"/>
      <c r="K276" s="146"/>
      <c r="L276" s="146"/>
      <c r="M276" s="146"/>
      <c r="N276" s="146"/>
      <c r="O276" s="146"/>
      <c r="P276" s="146"/>
      <c r="Q276" s="146"/>
      <c r="R276" s="146"/>
      <c r="S276" s="146"/>
      <c r="T276" s="146"/>
      <c r="U276" s="146"/>
      <c r="V276" s="146"/>
      <c r="W276" s="146"/>
      <c r="X276" s="146"/>
      <c r="Y276" s="146"/>
      <c r="Z276" s="146"/>
    </row>
    <row r="277" ht="22.5" customHeight="1">
      <c r="A277" s="329"/>
      <c r="B277" s="274"/>
      <c r="C277" s="138"/>
      <c r="D277" s="118"/>
      <c r="E277" s="138"/>
      <c r="F277" s="138"/>
      <c r="G277" s="330"/>
      <c r="H277" s="146"/>
      <c r="I277" s="146"/>
      <c r="J277" s="146"/>
      <c r="K277" s="146"/>
      <c r="L277" s="146"/>
      <c r="M277" s="146"/>
      <c r="N277" s="146"/>
      <c r="O277" s="146"/>
      <c r="P277" s="146"/>
      <c r="Q277" s="146"/>
      <c r="R277" s="146"/>
      <c r="S277" s="146"/>
      <c r="T277" s="146"/>
      <c r="U277" s="146"/>
      <c r="V277" s="146"/>
      <c r="W277" s="146"/>
      <c r="X277" s="146"/>
      <c r="Y277" s="146"/>
      <c r="Z277" s="146"/>
    </row>
    <row r="278" ht="22.5" customHeight="1">
      <c r="A278" s="329"/>
      <c r="B278" s="274"/>
      <c r="C278" s="138"/>
      <c r="D278" s="118"/>
      <c r="E278" s="138"/>
      <c r="F278" s="138"/>
      <c r="G278" s="330"/>
      <c r="H278" s="146"/>
      <c r="I278" s="146"/>
      <c r="J278" s="146"/>
      <c r="K278" s="146"/>
      <c r="L278" s="146"/>
      <c r="M278" s="146"/>
      <c r="N278" s="146"/>
      <c r="O278" s="146"/>
      <c r="P278" s="146"/>
      <c r="Q278" s="146"/>
      <c r="R278" s="146"/>
      <c r="S278" s="146"/>
      <c r="T278" s="146"/>
      <c r="U278" s="146"/>
      <c r="V278" s="146"/>
      <c r="W278" s="146"/>
      <c r="X278" s="146"/>
      <c r="Y278" s="146"/>
      <c r="Z278" s="146"/>
    </row>
    <row r="279" ht="22.5" customHeight="1">
      <c r="A279" s="329"/>
      <c r="B279" s="274"/>
      <c r="C279" s="138"/>
      <c r="D279" s="118"/>
      <c r="E279" s="138"/>
      <c r="F279" s="138"/>
      <c r="G279" s="330"/>
      <c r="H279" s="146"/>
      <c r="I279" s="146"/>
      <c r="J279" s="146"/>
      <c r="K279" s="146"/>
      <c r="L279" s="146"/>
      <c r="M279" s="146"/>
      <c r="N279" s="146"/>
      <c r="O279" s="146"/>
      <c r="P279" s="146"/>
      <c r="Q279" s="146"/>
      <c r="R279" s="146"/>
      <c r="S279" s="146"/>
      <c r="T279" s="146"/>
      <c r="U279" s="146"/>
      <c r="V279" s="146"/>
      <c r="W279" s="146"/>
      <c r="X279" s="146"/>
      <c r="Y279" s="146"/>
      <c r="Z279" s="146"/>
    </row>
    <row r="280" ht="22.5" customHeight="1">
      <c r="A280" s="329"/>
      <c r="B280" s="274"/>
      <c r="C280" s="138"/>
      <c r="D280" s="118"/>
      <c r="E280" s="138"/>
      <c r="F280" s="138"/>
      <c r="G280" s="330"/>
      <c r="H280" s="146"/>
      <c r="I280" s="146"/>
      <c r="J280" s="146"/>
      <c r="K280" s="146"/>
      <c r="L280" s="146"/>
      <c r="M280" s="146"/>
      <c r="N280" s="146"/>
      <c r="O280" s="146"/>
      <c r="P280" s="146"/>
      <c r="Q280" s="146"/>
      <c r="R280" s="146"/>
      <c r="S280" s="146"/>
      <c r="T280" s="146"/>
      <c r="U280" s="146"/>
      <c r="V280" s="146"/>
      <c r="W280" s="146"/>
      <c r="X280" s="146"/>
      <c r="Y280" s="146"/>
      <c r="Z280" s="146"/>
    </row>
    <row r="281" ht="22.5" customHeight="1">
      <c r="A281" s="329"/>
      <c r="B281" s="274"/>
      <c r="C281" s="138"/>
      <c r="D281" s="118"/>
      <c r="E281" s="138"/>
      <c r="F281" s="138"/>
      <c r="G281" s="330"/>
      <c r="H281" s="146"/>
      <c r="I281" s="146"/>
      <c r="J281" s="146"/>
      <c r="K281" s="146"/>
      <c r="L281" s="146"/>
      <c r="M281" s="146"/>
      <c r="N281" s="146"/>
      <c r="O281" s="146"/>
      <c r="P281" s="146"/>
      <c r="Q281" s="146"/>
      <c r="R281" s="146"/>
      <c r="S281" s="146"/>
      <c r="T281" s="146"/>
      <c r="U281" s="146"/>
      <c r="V281" s="146"/>
      <c r="W281" s="146"/>
      <c r="X281" s="146"/>
      <c r="Y281" s="146"/>
      <c r="Z281" s="146"/>
    </row>
    <row r="282" ht="22.5" customHeight="1">
      <c r="A282" s="329"/>
      <c r="B282" s="274"/>
      <c r="C282" s="138"/>
      <c r="D282" s="118"/>
      <c r="E282" s="138"/>
      <c r="F282" s="138"/>
      <c r="G282" s="330"/>
      <c r="H282" s="146"/>
      <c r="I282" s="146"/>
      <c r="J282" s="146"/>
      <c r="K282" s="146"/>
      <c r="L282" s="146"/>
      <c r="M282" s="146"/>
      <c r="N282" s="146"/>
      <c r="O282" s="146"/>
      <c r="P282" s="146"/>
      <c r="Q282" s="146"/>
      <c r="R282" s="146"/>
      <c r="S282" s="146"/>
      <c r="T282" s="146"/>
      <c r="U282" s="146"/>
      <c r="V282" s="146"/>
      <c r="W282" s="146"/>
      <c r="X282" s="146"/>
      <c r="Y282" s="146"/>
      <c r="Z282" s="146"/>
    </row>
    <row r="283" ht="22.5" customHeight="1">
      <c r="A283" s="329"/>
      <c r="B283" s="274"/>
      <c r="C283" s="138"/>
      <c r="D283" s="118"/>
      <c r="E283" s="138"/>
      <c r="F283" s="138"/>
      <c r="G283" s="330"/>
      <c r="H283" s="146"/>
      <c r="I283" s="146"/>
      <c r="J283" s="146"/>
      <c r="K283" s="146"/>
      <c r="L283" s="146"/>
      <c r="M283" s="146"/>
      <c r="N283" s="146"/>
      <c r="O283" s="146"/>
      <c r="P283" s="146"/>
      <c r="Q283" s="146"/>
      <c r="R283" s="146"/>
      <c r="S283" s="146"/>
      <c r="T283" s="146"/>
      <c r="U283" s="146"/>
      <c r="V283" s="146"/>
      <c r="W283" s="146"/>
      <c r="X283" s="146"/>
      <c r="Y283" s="146"/>
      <c r="Z283" s="146"/>
    </row>
    <row r="284" ht="22.5" customHeight="1">
      <c r="A284" s="329"/>
      <c r="B284" s="274"/>
      <c r="C284" s="138"/>
      <c r="D284" s="118"/>
      <c r="E284" s="138"/>
      <c r="F284" s="138"/>
      <c r="G284" s="330"/>
      <c r="H284" s="146"/>
      <c r="I284" s="146"/>
      <c r="J284" s="146"/>
      <c r="K284" s="146"/>
      <c r="L284" s="146"/>
      <c r="M284" s="146"/>
      <c r="N284" s="146"/>
      <c r="O284" s="146"/>
      <c r="P284" s="146"/>
      <c r="Q284" s="146"/>
      <c r="R284" s="146"/>
      <c r="S284" s="146"/>
      <c r="T284" s="146"/>
      <c r="U284" s="146"/>
      <c r="V284" s="146"/>
      <c r="W284" s="146"/>
      <c r="X284" s="146"/>
      <c r="Y284" s="146"/>
      <c r="Z284" s="146"/>
    </row>
    <row r="285" ht="22.5" customHeight="1">
      <c r="A285" s="329"/>
      <c r="B285" s="274"/>
      <c r="C285" s="138"/>
      <c r="D285" s="118"/>
      <c r="E285" s="138"/>
      <c r="F285" s="138"/>
      <c r="G285" s="330"/>
      <c r="H285" s="146"/>
      <c r="I285" s="146"/>
      <c r="J285" s="146"/>
      <c r="K285" s="146"/>
      <c r="L285" s="146"/>
      <c r="M285" s="146"/>
      <c r="N285" s="146"/>
      <c r="O285" s="146"/>
      <c r="P285" s="146"/>
      <c r="Q285" s="146"/>
      <c r="R285" s="146"/>
      <c r="S285" s="146"/>
      <c r="T285" s="146"/>
      <c r="U285" s="146"/>
      <c r="V285" s="146"/>
      <c r="W285" s="146"/>
      <c r="X285" s="146"/>
      <c r="Y285" s="146"/>
      <c r="Z285" s="146"/>
    </row>
    <row r="286" ht="22.5" customHeight="1">
      <c r="A286" s="329"/>
      <c r="B286" s="274"/>
      <c r="C286" s="138"/>
      <c r="D286" s="118"/>
      <c r="E286" s="138"/>
      <c r="F286" s="138"/>
      <c r="G286" s="330"/>
      <c r="H286" s="146"/>
      <c r="I286" s="146"/>
      <c r="J286" s="146"/>
      <c r="K286" s="146"/>
      <c r="L286" s="146"/>
      <c r="M286" s="146"/>
      <c r="N286" s="146"/>
      <c r="O286" s="146"/>
      <c r="P286" s="146"/>
      <c r="Q286" s="146"/>
      <c r="R286" s="146"/>
      <c r="S286" s="146"/>
      <c r="T286" s="146"/>
      <c r="U286" s="146"/>
      <c r="V286" s="146"/>
      <c r="W286" s="146"/>
      <c r="X286" s="146"/>
      <c r="Y286" s="146"/>
      <c r="Z286" s="146"/>
    </row>
    <row r="287" ht="22.5" customHeight="1">
      <c r="A287" s="329"/>
      <c r="B287" s="274"/>
      <c r="C287" s="138"/>
      <c r="D287" s="118"/>
      <c r="E287" s="138"/>
      <c r="F287" s="138"/>
      <c r="G287" s="330"/>
      <c r="H287" s="146"/>
      <c r="I287" s="146"/>
      <c r="J287" s="146"/>
      <c r="K287" s="146"/>
      <c r="L287" s="146"/>
      <c r="M287" s="146"/>
      <c r="N287" s="146"/>
      <c r="O287" s="146"/>
      <c r="P287" s="146"/>
      <c r="Q287" s="146"/>
      <c r="R287" s="146"/>
      <c r="S287" s="146"/>
      <c r="T287" s="146"/>
      <c r="U287" s="146"/>
      <c r="V287" s="146"/>
      <c r="W287" s="146"/>
      <c r="X287" s="146"/>
      <c r="Y287" s="146"/>
      <c r="Z287" s="146"/>
    </row>
    <row r="288" ht="22.5" customHeight="1">
      <c r="A288" s="329"/>
      <c r="B288" s="274"/>
      <c r="C288" s="138"/>
      <c r="D288" s="118"/>
      <c r="E288" s="138"/>
      <c r="F288" s="138"/>
      <c r="G288" s="330"/>
      <c r="H288" s="146"/>
      <c r="I288" s="146"/>
      <c r="J288" s="146"/>
      <c r="K288" s="146"/>
      <c r="L288" s="146"/>
      <c r="M288" s="146"/>
      <c r="N288" s="146"/>
      <c r="O288" s="146"/>
      <c r="P288" s="146"/>
      <c r="Q288" s="146"/>
      <c r="R288" s="146"/>
      <c r="S288" s="146"/>
      <c r="T288" s="146"/>
      <c r="U288" s="146"/>
      <c r="V288" s="146"/>
      <c r="W288" s="146"/>
      <c r="X288" s="146"/>
      <c r="Y288" s="146"/>
      <c r="Z288" s="146"/>
    </row>
    <row r="289" ht="22.5" customHeight="1">
      <c r="A289" s="329"/>
      <c r="B289" s="274"/>
      <c r="C289" s="138"/>
      <c r="D289" s="118"/>
      <c r="E289" s="138"/>
      <c r="F289" s="138"/>
      <c r="G289" s="330"/>
      <c r="H289" s="146"/>
      <c r="I289" s="146"/>
      <c r="J289" s="146"/>
      <c r="K289" s="146"/>
      <c r="L289" s="146"/>
      <c r="M289" s="146"/>
      <c r="N289" s="146"/>
      <c r="O289" s="146"/>
      <c r="P289" s="146"/>
      <c r="Q289" s="146"/>
      <c r="R289" s="146"/>
      <c r="S289" s="146"/>
      <c r="T289" s="146"/>
      <c r="U289" s="146"/>
      <c r="V289" s="146"/>
      <c r="W289" s="146"/>
      <c r="X289" s="146"/>
      <c r="Y289" s="146"/>
      <c r="Z289" s="146"/>
    </row>
    <row r="290" ht="22.5" customHeight="1">
      <c r="A290" s="329"/>
      <c r="B290" s="274"/>
      <c r="C290" s="138"/>
      <c r="D290" s="118"/>
      <c r="E290" s="138"/>
      <c r="F290" s="138"/>
      <c r="G290" s="330"/>
      <c r="H290" s="146"/>
      <c r="I290" s="146"/>
      <c r="J290" s="146"/>
      <c r="K290" s="146"/>
      <c r="L290" s="146"/>
      <c r="M290" s="146"/>
      <c r="N290" s="146"/>
      <c r="O290" s="146"/>
      <c r="P290" s="146"/>
      <c r="Q290" s="146"/>
      <c r="R290" s="146"/>
      <c r="S290" s="146"/>
      <c r="T290" s="146"/>
      <c r="U290" s="146"/>
      <c r="V290" s="146"/>
      <c r="W290" s="146"/>
      <c r="X290" s="146"/>
      <c r="Y290" s="146"/>
      <c r="Z290" s="146"/>
    </row>
    <row r="291" ht="22.5" customHeight="1">
      <c r="A291" s="329"/>
      <c r="B291" s="274"/>
      <c r="C291" s="138"/>
      <c r="D291" s="118"/>
      <c r="E291" s="138"/>
      <c r="F291" s="138"/>
      <c r="G291" s="330"/>
      <c r="H291" s="146"/>
      <c r="I291" s="146"/>
      <c r="J291" s="146"/>
      <c r="K291" s="146"/>
      <c r="L291" s="146"/>
      <c r="M291" s="146"/>
      <c r="N291" s="146"/>
      <c r="O291" s="146"/>
      <c r="P291" s="146"/>
      <c r="Q291" s="146"/>
      <c r="R291" s="146"/>
      <c r="S291" s="146"/>
      <c r="T291" s="146"/>
      <c r="U291" s="146"/>
      <c r="V291" s="146"/>
      <c r="W291" s="146"/>
      <c r="X291" s="146"/>
      <c r="Y291" s="146"/>
      <c r="Z291" s="146"/>
    </row>
    <row r="292" ht="22.5" customHeight="1">
      <c r="A292" s="329"/>
      <c r="B292" s="274"/>
      <c r="C292" s="138"/>
      <c r="D292" s="118"/>
      <c r="E292" s="138"/>
      <c r="F292" s="138"/>
      <c r="G292" s="330"/>
      <c r="H292" s="146"/>
      <c r="I292" s="146"/>
      <c r="J292" s="146"/>
      <c r="K292" s="146"/>
      <c r="L292" s="146"/>
      <c r="M292" s="146"/>
      <c r="N292" s="146"/>
      <c r="O292" s="146"/>
      <c r="P292" s="146"/>
      <c r="Q292" s="146"/>
      <c r="R292" s="146"/>
      <c r="S292" s="146"/>
      <c r="T292" s="146"/>
      <c r="U292" s="146"/>
      <c r="V292" s="146"/>
      <c r="W292" s="146"/>
      <c r="X292" s="146"/>
      <c r="Y292" s="146"/>
      <c r="Z292" s="146"/>
    </row>
    <row r="293" ht="22.5" customHeight="1">
      <c r="A293" s="329"/>
      <c r="B293" s="274"/>
      <c r="C293" s="138"/>
      <c r="D293" s="118"/>
      <c r="E293" s="138"/>
      <c r="F293" s="138"/>
      <c r="G293" s="330"/>
      <c r="H293" s="146"/>
      <c r="I293" s="146"/>
      <c r="J293" s="146"/>
      <c r="K293" s="146"/>
      <c r="L293" s="146"/>
      <c r="M293" s="146"/>
      <c r="N293" s="146"/>
      <c r="O293" s="146"/>
      <c r="P293" s="146"/>
      <c r="Q293" s="146"/>
      <c r="R293" s="146"/>
      <c r="S293" s="146"/>
      <c r="T293" s="146"/>
      <c r="U293" s="146"/>
      <c r="V293" s="146"/>
      <c r="W293" s="146"/>
      <c r="X293" s="146"/>
      <c r="Y293" s="146"/>
      <c r="Z293" s="146"/>
    </row>
    <row r="294" ht="22.5" customHeight="1">
      <c r="A294" s="329"/>
      <c r="B294" s="274"/>
      <c r="C294" s="138"/>
      <c r="D294" s="118"/>
      <c r="E294" s="138"/>
      <c r="F294" s="138"/>
      <c r="G294" s="330"/>
      <c r="H294" s="146"/>
      <c r="I294" s="146"/>
      <c r="J294" s="146"/>
      <c r="K294" s="146"/>
      <c r="L294" s="146"/>
      <c r="M294" s="146"/>
      <c r="N294" s="146"/>
      <c r="O294" s="146"/>
      <c r="P294" s="146"/>
      <c r="Q294" s="146"/>
      <c r="R294" s="146"/>
      <c r="S294" s="146"/>
      <c r="T294" s="146"/>
      <c r="U294" s="146"/>
      <c r="V294" s="146"/>
      <c r="W294" s="146"/>
      <c r="X294" s="146"/>
      <c r="Y294" s="146"/>
      <c r="Z294" s="146"/>
    </row>
    <row r="295" ht="22.5" customHeight="1">
      <c r="A295" s="329"/>
      <c r="B295" s="274"/>
      <c r="C295" s="138"/>
      <c r="D295" s="118"/>
      <c r="E295" s="138"/>
      <c r="F295" s="138"/>
      <c r="G295" s="330"/>
      <c r="H295" s="146"/>
      <c r="I295" s="146"/>
      <c r="J295" s="146"/>
      <c r="K295" s="146"/>
      <c r="L295" s="146"/>
      <c r="M295" s="146"/>
      <c r="N295" s="146"/>
      <c r="O295" s="146"/>
      <c r="P295" s="146"/>
      <c r="Q295" s="146"/>
      <c r="R295" s="146"/>
      <c r="S295" s="146"/>
      <c r="T295" s="146"/>
      <c r="U295" s="146"/>
      <c r="V295" s="146"/>
      <c r="W295" s="146"/>
      <c r="X295" s="146"/>
      <c r="Y295" s="146"/>
      <c r="Z295" s="146"/>
    </row>
    <row r="296" ht="22.5" customHeight="1">
      <c r="A296" s="329"/>
      <c r="B296" s="274"/>
      <c r="C296" s="138"/>
      <c r="D296" s="118"/>
      <c r="E296" s="138"/>
      <c r="F296" s="138"/>
      <c r="G296" s="330"/>
      <c r="H296" s="146"/>
      <c r="I296" s="146"/>
      <c r="J296" s="146"/>
      <c r="K296" s="146"/>
      <c r="L296" s="146"/>
      <c r="M296" s="146"/>
      <c r="N296" s="146"/>
      <c r="O296" s="146"/>
      <c r="P296" s="146"/>
      <c r="Q296" s="146"/>
      <c r="R296" s="146"/>
      <c r="S296" s="146"/>
      <c r="T296" s="146"/>
      <c r="U296" s="146"/>
      <c r="V296" s="146"/>
      <c r="W296" s="146"/>
      <c r="X296" s="146"/>
      <c r="Y296" s="146"/>
      <c r="Z296" s="146"/>
    </row>
    <row r="297" ht="22.5" customHeight="1">
      <c r="A297" s="329"/>
      <c r="B297" s="274"/>
      <c r="C297" s="138"/>
      <c r="D297" s="118"/>
      <c r="E297" s="138"/>
      <c r="F297" s="138"/>
      <c r="G297" s="330"/>
      <c r="H297" s="146"/>
      <c r="I297" s="146"/>
      <c r="J297" s="146"/>
      <c r="K297" s="146"/>
      <c r="L297" s="146"/>
      <c r="M297" s="146"/>
      <c r="N297" s="146"/>
      <c r="O297" s="146"/>
      <c r="P297" s="146"/>
      <c r="Q297" s="146"/>
      <c r="R297" s="146"/>
      <c r="S297" s="146"/>
      <c r="T297" s="146"/>
      <c r="U297" s="146"/>
      <c r="V297" s="146"/>
      <c r="W297" s="146"/>
      <c r="X297" s="146"/>
      <c r="Y297" s="146"/>
      <c r="Z297" s="146"/>
    </row>
    <row r="298" ht="22.5" customHeight="1">
      <c r="A298" s="329"/>
      <c r="B298" s="274"/>
      <c r="C298" s="138"/>
      <c r="D298" s="118"/>
      <c r="E298" s="138"/>
      <c r="F298" s="138"/>
      <c r="G298" s="330"/>
      <c r="H298" s="146"/>
      <c r="I298" s="146"/>
      <c r="J298" s="146"/>
      <c r="K298" s="146"/>
      <c r="L298" s="146"/>
      <c r="M298" s="146"/>
      <c r="N298" s="146"/>
      <c r="O298" s="146"/>
      <c r="P298" s="146"/>
      <c r="Q298" s="146"/>
      <c r="R298" s="146"/>
      <c r="S298" s="146"/>
      <c r="T298" s="146"/>
      <c r="U298" s="146"/>
      <c r="V298" s="146"/>
      <c r="W298" s="146"/>
      <c r="X298" s="146"/>
      <c r="Y298" s="146"/>
      <c r="Z298" s="146"/>
    </row>
    <row r="299" ht="22.5" customHeight="1">
      <c r="A299" s="329"/>
      <c r="B299" s="274"/>
      <c r="C299" s="138"/>
      <c r="D299" s="118"/>
      <c r="E299" s="138"/>
      <c r="F299" s="138"/>
      <c r="G299" s="330"/>
      <c r="H299" s="146"/>
      <c r="I299" s="146"/>
      <c r="J299" s="146"/>
      <c r="K299" s="146"/>
      <c r="L299" s="146"/>
      <c r="M299" s="146"/>
      <c r="N299" s="146"/>
      <c r="O299" s="146"/>
      <c r="P299" s="146"/>
      <c r="Q299" s="146"/>
      <c r="R299" s="146"/>
      <c r="S299" s="146"/>
      <c r="T299" s="146"/>
      <c r="U299" s="146"/>
      <c r="V299" s="146"/>
      <c r="W299" s="146"/>
      <c r="X299" s="146"/>
      <c r="Y299" s="146"/>
      <c r="Z299" s="146"/>
    </row>
    <row r="300" ht="22.5" customHeight="1">
      <c r="A300" s="329"/>
      <c r="B300" s="274"/>
      <c r="C300" s="138"/>
      <c r="D300" s="118"/>
      <c r="E300" s="138"/>
      <c r="F300" s="138"/>
      <c r="G300" s="330"/>
      <c r="H300" s="146"/>
      <c r="I300" s="146"/>
      <c r="J300" s="146"/>
      <c r="K300" s="146"/>
      <c r="L300" s="146"/>
      <c r="M300" s="146"/>
      <c r="N300" s="146"/>
      <c r="O300" s="146"/>
      <c r="P300" s="146"/>
      <c r="Q300" s="146"/>
      <c r="R300" s="146"/>
      <c r="S300" s="146"/>
      <c r="T300" s="146"/>
      <c r="U300" s="146"/>
      <c r="V300" s="146"/>
      <c r="W300" s="146"/>
      <c r="X300" s="146"/>
      <c r="Y300" s="146"/>
      <c r="Z300" s="146"/>
    </row>
    <row r="301" ht="22.5" customHeight="1">
      <c r="A301" s="329"/>
      <c r="B301" s="274"/>
      <c r="C301" s="138"/>
      <c r="D301" s="118"/>
      <c r="E301" s="138"/>
      <c r="F301" s="138"/>
      <c r="G301" s="330"/>
      <c r="H301" s="146"/>
      <c r="I301" s="146"/>
      <c r="J301" s="146"/>
      <c r="K301" s="146"/>
      <c r="L301" s="146"/>
      <c r="M301" s="146"/>
      <c r="N301" s="146"/>
      <c r="O301" s="146"/>
      <c r="P301" s="146"/>
      <c r="Q301" s="146"/>
      <c r="R301" s="146"/>
      <c r="S301" s="146"/>
      <c r="T301" s="146"/>
      <c r="U301" s="146"/>
      <c r="V301" s="146"/>
      <c r="W301" s="146"/>
      <c r="X301" s="146"/>
      <c r="Y301" s="146"/>
      <c r="Z301" s="146"/>
    </row>
    <row r="302" ht="22.5" customHeight="1">
      <c r="A302" s="329"/>
      <c r="B302" s="274"/>
      <c r="C302" s="138"/>
      <c r="D302" s="118"/>
      <c r="E302" s="138"/>
      <c r="F302" s="138"/>
      <c r="G302" s="330"/>
      <c r="H302" s="146"/>
      <c r="I302" s="146"/>
      <c r="J302" s="146"/>
      <c r="K302" s="146"/>
      <c r="L302" s="146"/>
      <c r="M302" s="146"/>
      <c r="N302" s="146"/>
      <c r="O302" s="146"/>
      <c r="P302" s="146"/>
      <c r="Q302" s="146"/>
      <c r="R302" s="146"/>
      <c r="S302" s="146"/>
      <c r="T302" s="146"/>
      <c r="U302" s="146"/>
      <c r="V302" s="146"/>
      <c r="W302" s="146"/>
      <c r="X302" s="146"/>
      <c r="Y302" s="146"/>
      <c r="Z302" s="146"/>
    </row>
    <row r="303" ht="22.5" customHeight="1">
      <c r="A303" s="329"/>
      <c r="B303" s="274"/>
      <c r="C303" s="138"/>
      <c r="D303" s="118"/>
      <c r="E303" s="138"/>
      <c r="F303" s="138"/>
      <c r="G303" s="330"/>
      <c r="H303" s="146"/>
      <c r="I303" s="146"/>
      <c r="J303" s="146"/>
      <c r="K303" s="146"/>
      <c r="L303" s="146"/>
      <c r="M303" s="146"/>
      <c r="N303" s="146"/>
      <c r="O303" s="146"/>
      <c r="P303" s="146"/>
      <c r="Q303" s="146"/>
      <c r="R303" s="146"/>
      <c r="S303" s="146"/>
      <c r="T303" s="146"/>
      <c r="U303" s="146"/>
      <c r="V303" s="146"/>
      <c r="W303" s="146"/>
      <c r="X303" s="146"/>
      <c r="Y303" s="146"/>
      <c r="Z303" s="146"/>
    </row>
    <row r="304" ht="22.5" customHeight="1">
      <c r="A304" s="329"/>
      <c r="B304" s="274"/>
      <c r="C304" s="138"/>
      <c r="D304" s="118"/>
      <c r="E304" s="138"/>
      <c r="F304" s="138"/>
      <c r="G304" s="330"/>
      <c r="H304" s="146"/>
      <c r="I304" s="146"/>
      <c r="J304" s="146"/>
      <c r="K304" s="146"/>
      <c r="L304" s="146"/>
      <c r="M304" s="146"/>
      <c r="N304" s="146"/>
      <c r="O304" s="146"/>
      <c r="P304" s="146"/>
      <c r="Q304" s="146"/>
      <c r="R304" s="146"/>
      <c r="S304" s="146"/>
      <c r="T304" s="146"/>
      <c r="U304" s="146"/>
      <c r="V304" s="146"/>
      <c r="W304" s="146"/>
      <c r="X304" s="146"/>
      <c r="Y304" s="146"/>
      <c r="Z304" s="146"/>
    </row>
    <row r="305" ht="22.5" customHeight="1">
      <c r="A305" s="329"/>
      <c r="B305" s="274"/>
      <c r="C305" s="138"/>
      <c r="D305" s="118"/>
      <c r="E305" s="138"/>
      <c r="F305" s="138"/>
      <c r="G305" s="330"/>
      <c r="H305" s="146"/>
      <c r="I305" s="146"/>
      <c r="J305" s="146"/>
      <c r="K305" s="146"/>
      <c r="L305" s="146"/>
      <c r="M305" s="146"/>
      <c r="N305" s="146"/>
      <c r="O305" s="146"/>
      <c r="P305" s="146"/>
      <c r="Q305" s="146"/>
      <c r="R305" s="146"/>
      <c r="S305" s="146"/>
      <c r="T305" s="146"/>
      <c r="U305" s="146"/>
      <c r="V305" s="146"/>
      <c r="W305" s="146"/>
      <c r="X305" s="146"/>
      <c r="Y305" s="146"/>
      <c r="Z305" s="146"/>
    </row>
    <row r="306" ht="22.5" customHeight="1">
      <c r="A306" s="329"/>
      <c r="B306" s="274"/>
      <c r="C306" s="138"/>
      <c r="D306" s="118"/>
      <c r="E306" s="138"/>
      <c r="F306" s="138"/>
      <c r="G306" s="330"/>
      <c r="H306" s="146"/>
      <c r="I306" s="146"/>
      <c r="J306" s="146"/>
      <c r="K306" s="146"/>
      <c r="L306" s="146"/>
      <c r="M306" s="146"/>
      <c r="N306" s="146"/>
      <c r="O306" s="146"/>
      <c r="P306" s="146"/>
      <c r="Q306" s="146"/>
      <c r="R306" s="146"/>
      <c r="S306" s="146"/>
      <c r="T306" s="146"/>
      <c r="U306" s="146"/>
      <c r="V306" s="146"/>
      <c r="W306" s="146"/>
      <c r="X306" s="146"/>
      <c r="Y306" s="146"/>
      <c r="Z306" s="146"/>
    </row>
    <row r="307" ht="22.5" customHeight="1">
      <c r="A307" s="329"/>
      <c r="B307" s="274"/>
      <c r="C307" s="138"/>
      <c r="D307" s="118"/>
      <c r="E307" s="138"/>
      <c r="F307" s="138"/>
      <c r="G307" s="330"/>
      <c r="H307" s="146"/>
      <c r="I307" s="146"/>
      <c r="J307" s="146"/>
      <c r="K307" s="146"/>
      <c r="L307" s="146"/>
      <c r="M307" s="146"/>
      <c r="N307" s="146"/>
      <c r="O307" s="146"/>
      <c r="P307" s="146"/>
      <c r="Q307" s="146"/>
      <c r="R307" s="146"/>
      <c r="S307" s="146"/>
      <c r="T307" s="146"/>
      <c r="U307" s="146"/>
      <c r="V307" s="146"/>
      <c r="W307" s="146"/>
      <c r="X307" s="146"/>
      <c r="Y307" s="146"/>
      <c r="Z307" s="146"/>
    </row>
    <row r="308" ht="22.5" customHeight="1">
      <c r="A308" s="329"/>
      <c r="B308" s="274"/>
      <c r="C308" s="138"/>
      <c r="D308" s="118"/>
      <c r="E308" s="138"/>
      <c r="F308" s="138"/>
      <c r="G308" s="330"/>
      <c r="H308" s="146"/>
      <c r="I308" s="146"/>
      <c r="J308" s="146"/>
      <c r="K308" s="146"/>
      <c r="L308" s="146"/>
      <c r="M308" s="146"/>
      <c r="N308" s="146"/>
      <c r="O308" s="146"/>
      <c r="P308" s="146"/>
      <c r="Q308" s="146"/>
      <c r="R308" s="146"/>
      <c r="S308" s="146"/>
      <c r="T308" s="146"/>
      <c r="U308" s="146"/>
      <c r="V308" s="146"/>
      <c r="W308" s="146"/>
      <c r="X308" s="146"/>
      <c r="Y308" s="146"/>
      <c r="Z308" s="146"/>
    </row>
    <row r="309" ht="22.5" customHeight="1">
      <c r="A309" s="329"/>
      <c r="B309" s="274"/>
      <c r="C309" s="138"/>
      <c r="D309" s="118"/>
      <c r="E309" s="138"/>
      <c r="F309" s="138"/>
      <c r="G309" s="330"/>
      <c r="H309" s="146"/>
      <c r="I309" s="146"/>
      <c r="J309" s="146"/>
      <c r="K309" s="146"/>
      <c r="L309" s="146"/>
      <c r="M309" s="146"/>
      <c r="N309" s="146"/>
      <c r="O309" s="146"/>
      <c r="P309" s="146"/>
      <c r="Q309" s="146"/>
      <c r="R309" s="146"/>
      <c r="S309" s="146"/>
      <c r="T309" s="146"/>
      <c r="U309" s="146"/>
      <c r="V309" s="146"/>
      <c r="W309" s="146"/>
      <c r="X309" s="146"/>
      <c r="Y309" s="146"/>
      <c r="Z309" s="146"/>
    </row>
    <row r="310" ht="22.5" customHeight="1">
      <c r="A310" s="329"/>
      <c r="B310" s="274"/>
      <c r="C310" s="138"/>
      <c r="D310" s="118"/>
      <c r="E310" s="138"/>
      <c r="F310" s="138"/>
      <c r="G310" s="330"/>
      <c r="H310" s="146"/>
      <c r="I310" s="146"/>
      <c r="J310" s="146"/>
      <c r="K310" s="146"/>
      <c r="L310" s="146"/>
      <c r="M310" s="146"/>
      <c r="N310" s="146"/>
      <c r="O310" s="146"/>
      <c r="P310" s="146"/>
      <c r="Q310" s="146"/>
      <c r="R310" s="146"/>
      <c r="S310" s="146"/>
      <c r="T310" s="146"/>
      <c r="U310" s="146"/>
      <c r="V310" s="146"/>
      <c r="W310" s="146"/>
      <c r="X310" s="146"/>
      <c r="Y310" s="146"/>
      <c r="Z310" s="146"/>
    </row>
    <row r="311" ht="22.5" customHeight="1">
      <c r="A311" s="329"/>
      <c r="B311" s="274"/>
      <c r="C311" s="138"/>
      <c r="D311" s="118"/>
      <c r="E311" s="138"/>
      <c r="F311" s="138"/>
      <c r="G311" s="330"/>
      <c r="H311" s="146"/>
      <c r="I311" s="146"/>
      <c r="J311" s="146"/>
      <c r="K311" s="146"/>
      <c r="L311" s="146"/>
      <c r="M311" s="146"/>
      <c r="N311" s="146"/>
      <c r="O311" s="146"/>
      <c r="P311" s="146"/>
      <c r="Q311" s="146"/>
      <c r="R311" s="146"/>
      <c r="S311" s="146"/>
      <c r="T311" s="146"/>
      <c r="U311" s="146"/>
      <c r="V311" s="146"/>
      <c r="W311" s="146"/>
      <c r="X311" s="146"/>
      <c r="Y311" s="146"/>
      <c r="Z311" s="146"/>
    </row>
    <row r="312" ht="22.5" customHeight="1">
      <c r="A312" s="329"/>
      <c r="B312" s="274"/>
      <c r="C312" s="138"/>
      <c r="D312" s="118"/>
      <c r="E312" s="138"/>
      <c r="F312" s="138"/>
      <c r="G312" s="330"/>
      <c r="H312" s="146"/>
      <c r="I312" s="146"/>
      <c r="J312" s="146"/>
      <c r="K312" s="146"/>
      <c r="L312" s="146"/>
      <c r="M312" s="146"/>
      <c r="N312" s="146"/>
      <c r="O312" s="146"/>
      <c r="P312" s="146"/>
      <c r="Q312" s="146"/>
      <c r="R312" s="146"/>
      <c r="S312" s="146"/>
      <c r="T312" s="146"/>
      <c r="U312" s="146"/>
      <c r="V312" s="146"/>
      <c r="W312" s="146"/>
      <c r="X312" s="146"/>
      <c r="Y312" s="146"/>
      <c r="Z312" s="146"/>
    </row>
    <row r="313" ht="22.5" customHeight="1">
      <c r="A313" s="329"/>
      <c r="B313" s="274"/>
      <c r="C313" s="138"/>
      <c r="D313" s="118"/>
      <c r="E313" s="138"/>
      <c r="F313" s="138"/>
      <c r="G313" s="330"/>
      <c r="H313" s="146"/>
      <c r="I313" s="146"/>
      <c r="J313" s="146"/>
      <c r="K313" s="146"/>
      <c r="L313" s="146"/>
      <c r="M313" s="146"/>
      <c r="N313" s="146"/>
      <c r="O313" s="146"/>
      <c r="P313" s="146"/>
      <c r="Q313" s="146"/>
      <c r="R313" s="146"/>
      <c r="S313" s="146"/>
      <c r="T313" s="146"/>
      <c r="U313" s="146"/>
      <c r="V313" s="146"/>
      <c r="W313" s="146"/>
      <c r="X313" s="146"/>
      <c r="Y313" s="146"/>
      <c r="Z313" s="146"/>
    </row>
    <row r="314" ht="22.5" customHeight="1">
      <c r="A314" s="329"/>
      <c r="B314" s="274"/>
      <c r="C314" s="138"/>
      <c r="D314" s="118"/>
      <c r="E314" s="138"/>
      <c r="F314" s="138"/>
      <c r="G314" s="330"/>
      <c r="H314" s="146"/>
      <c r="I314" s="146"/>
      <c r="J314" s="146"/>
      <c r="K314" s="146"/>
      <c r="L314" s="146"/>
      <c r="M314" s="146"/>
      <c r="N314" s="146"/>
      <c r="O314" s="146"/>
      <c r="P314" s="146"/>
      <c r="Q314" s="146"/>
      <c r="R314" s="146"/>
      <c r="S314" s="146"/>
      <c r="T314" s="146"/>
      <c r="U314" s="146"/>
      <c r="V314" s="146"/>
      <c r="W314" s="146"/>
      <c r="X314" s="146"/>
      <c r="Y314" s="146"/>
      <c r="Z314" s="146"/>
    </row>
    <row r="315" ht="22.5" customHeight="1">
      <c r="A315" s="329"/>
      <c r="B315" s="274"/>
      <c r="C315" s="138"/>
      <c r="D315" s="118"/>
      <c r="E315" s="138"/>
      <c r="F315" s="138"/>
      <c r="G315" s="330"/>
      <c r="H315" s="146"/>
      <c r="I315" s="146"/>
      <c r="J315" s="146"/>
      <c r="K315" s="146"/>
      <c r="L315" s="146"/>
      <c r="M315" s="146"/>
      <c r="N315" s="146"/>
      <c r="O315" s="146"/>
      <c r="P315" s="146"/>
      <c r="Q315" s="146"/>
      <c r="R315" s="146"/>
      <c r="S315" s="146"/>
      <c r="T315" s="146"/>
      <c r="U315" s="146"/>
      <c r="V315" s="146"/>
      <c r="W315" s="146"/>
      <c r="X315" s="146"/>
      <c r="Y315" s="146"/>
      <c r="Z315" s="146"/>
    </row>
    <row r="316" ht="22.5" customHeight="1">
      <c r="A316" s="329"/>
      <c r="B316" s="274"/>
      <c r="C316" s="138"/>
      <c r="D316" s="118"/>
      <c r="E316" s="138"/>
      <c r="F316" s="138"/>
      <c r="G316" s="330"/>
      <c r="H316" s="146"/>
      <c r="I316" s="146"/>
      <c r="J316" s="146"/>
      <c r="K316" s="146"/>
      <c r="L316" s="146"/>
      <c r="M316" s="146"/>
      <c r="N316" s="146"/>
      <c r="O316" s="146"/>
      <c r="P316" s="146"/>
      <c r="Q316" s="146"/>
      <c r="R316" s="146"/>
      <c r="S316" s="146"/>
      <c r="T316" s="146"/>
      <c r="U316" s="146"/>
      <c r="V316" s="146"/>
      <c r="W316" s="146"/>
      <c r="X316" s="146"/>
      <c r="Y316" s="146"/>
      <c r="Z316" s="146"/>
    </row>
    <row r="317" ht="22.5" customHeight="1">
      <c r="A317" s="329"/>
      <c r="B317" s="274"/>
      <c r="C317" s="138"/>
      <c r="D317" s="118"/>
      <c r="E317" s="138"/>
      <c r="F317" s="138"/>
      <c r="G317" s="330"/>
      <c r="H317" s="146"/>
      <c r="I317" s="146"/>
      <c r="J317" s="146"/>
      <c r="K317" s="146"/>
      <c r="L317" s="146"/>
      <c r="M317" s="146"/>
      <c r="N317" s="146"/>
      <c r="O317" s="146"/>
      <c r="P317" s="146"/>
      <c r="Q317" s="146"/>
      <c r="R317" s="146"/>
      <c r="S317" s="146"/>
      <c r="T317" s="146"/>
      <c r="U317" s="146"/>
      <c r="V317" s="146"/>
      <c r="W317" s="146"/>
      <c r="X317" s="146"/>
      <c r="Y317" s="146"/>
      <c r="Z317" s="146"/>
    </row>
    <row r="318" ht="22.5" customHeight="1">
      <c r="A318" s="329"/>
      <c r="B318" s="274"/>
      <c r="C318" s="138"/>
      <c r="D318" s="118"/>
      <c r="E318" s="138"/>
      <c r="F318" s="138"/>
      <c r="G318" s="330"/>
      <c r="H318" s="146"/>
      <c r="I318" s="146"/>
      <c r="J318" s="146"/>
      <c r="K318" s="146"/>
      <c r="L318" s="146"/>
      <c r="M318" s="146"/>
      <c r="N318" s="146"/>
      <c r="O318" s="146"/>
      <c r="P318" s="146"/>
      <c r="Q318" s="146"/>
      <c r="R318" s="146"/>
      <c r="S318" s="146"/>
      <c r="T318" s="146"/>
      <c r="U318" s="146"/>
      <c r="V318" s="146"/>
      <c r="W318" s="146"/>
      <c r="X318" s="146"/>
      <c r="Y318" s="146"/>
      <c r="Z318" s="146"/>
    </row>
    <row r="319" ht="22.5" customHeight="1">
      <c r="A319" s="329"/>
      <c r="B319" s="274"/>
      <c r="C319" s="138"/>
      <c r="D319" s="118"/>
      <c r="E319" s="138"/>
      <c r="F319" s="138"/>
      <c r="G319" s="330"/>
      <c r="H319" s="146"/>
      <c r="I319" s="146"/>
      <c r="J319" s="146"/>
      <c r="K319" s="146"/>
      <c r="L319" s="146"/>
      <c r="M319" s="146"/>
      <c r="N319" s="146"/>
      <c r="O319" s="146"/>
      <c r="P319" s="146"/>
      <c r="Q319" s="146"/>
      <c r="R319" s="146"/>
      <c r="S319" s="146"/>
      <c r="T319" s="146"/>
      <c r="U319" s="146"/>
      <c r="V319" s="146"/>
      <c r="W319" s="146"/>
      <c r="X319" s="146"/>
      <c r="Y319" s="146"/>
      <c r="Z319" s="146"/>
    </row>
    <row r="320" ht="22.5" customHeight="1">
      <c r="A320" s="329"/>
      <c r="B320" s="274"/>
      <c r="C320" s="138"/>
      <c r="D320" s="118"/>
      <c r="E320" s="138"/>
      <c r="F320" s="138"/>
      <c r="G320" s="330"/>
      <c r="H320" s="146"/>
      <c r="I320" s="146"/>
      <c r="J320" s="146"/>
      <c r="K320" s="146"/>
      <c r="L320" s="146"/>
      <c r="M320" s="146"/>
      <c r="N320" s="146"/>
      <c r="O320" s="146"/>
      <c r="P320" s="146"/>
      <c r="Q320" s="146"/>
      <c r="R320" s="146"/>
      <c r="S320" s="146"/>
      <c r="T320" s="146"/>
      <c r="U320" s="146"/>
      <c r="V320" s="146"/>
      <c r="W320" s="146"/>
      <c r="X320" s="146"/>
      <c r="Y320" s="146"/>
      <c r="Z320" s="146"/>
    </row>
    <row r="321" ht="22.5" customHeight="1">
      <c r="A321" s="329"/>
      <c r="B321" s="274"/>
      <c r="C321" s="138"/>
      <c r="D321" s="118"/>
      <c r="E321" s="138"/>
      <c r="F321" s="138"/>
      <c r="G321" s="330"/>
      <c r="H321" s="146"/>
      <c r="I321" s="146"/>
      <c r="J321" s="146"/>
      <c r="K321" s="146"/>
      <c r="L321" s="146"/>
      <c r="M321" s="146"/>
      <c r="N321" s="146"/>
      <c r="O321" s="146"/>
      <c r="P321" s="146"/>
      <c r="Q321" s="146"/>
      <c r="R321" s="146"/>
      <c r="S321" s="146"/>
      <c r="T321" s="146"/>
      <c r="U321" s="146"/>
      <c r="V321" s="146"/>
      <c r="W321" s="146"/>
      <c r="X321" s="146"/>
      <c r="Y321" s="146"/>
      <c r="Z321" s="146"/>
    </row>
    <row r="322" ht="22.5" customHeight="1">
      <c r="A322" s="329"/>
      <c r="B322" s="274"/>
      <c r="C322" s="138"/>
      <c r="D322" s="118"/>
      <c r="E322" s="138"/>
      <c r="F322" s="138"/>
      <c r="G322" s="330"/>
      <c r="H322" s="146"/>
      <c r="I322" s="146"/>
      <c r="J322" s="146"/>
      <c r="K322" s="146"/>
      <c r="L322" s="146"/>
      <c r="M322" s="146"/>
      <c r="N322" s="146"/>
      <c r="O322" s="146"/>
      <c r="P322" s="146"/>
      <c r="Q322" s="146"/>
      <c r="R322" s="146"/>
      <c r="S322" s="146"/>
      <c r="T322" s="146"/>
      <c r="U322" s="146"/>
      <c r="V322" s="146"/>
      <c r="W322" s="146"/>
      <c r="X322" s="146"/>
      <c r="Y322" s="146"/>
      <c r="Z322" s="146"/>
    </row>
    <row r="323" ht="22.5" customHeight="1">
      <c r="A323" s="329"/>
      <c r="B323" s="274"/>
      <c r="C323" s="138"/>
      <c r="D323" s="118"/>
      <c r="E323" s="138"/>
      <c r="F323" s="138"/>
      <c r="G323" s="330"/>
      <c r="H323" s="146"/>
      <c r="I323" s="146"/>
      <c r="J323" s="146"/>
      <c r="K323" s="146"/>
      <c r="L323" s="146"/>
      <c r="M323" s="146"/>
      <c r="N323" s="146"/>
      <c r="O323" s="146"/>
      <c r="P323" s="146"/>
      <c r="Q323" s="146"/>
      <c r="R323" s="146"/>
      <c r="S323" s="146"/>
      <c r="T323" s="146"/>
      <c r="U323" s="146"/>
      <c r="V323" s="146"/>
      <c r="W323" s="146"/>
      <c r="X323" s="146"/>
      <c r="Y323" s="146"/>
      <c r="Z323" s="146"/>
    </row>
    <row r="324" ht="22.5" customHeight="1">
      <c r="A324" s="329"/>
      <c r="B324" s="274"/>
      <c r="C324" s="138"/>
      <c r="D324" s="118"/>
      <c r="E324" s="138"/>
      <c r="F324" s="138"/>
      <c r="G324" s="330"/>
      <c r="H324" s="146"/>
      <c r="I324" s="146"/>
      <c r="J324" s="146"/>
      <c r="K324" s="146"/>
      <c r="L324" s="146"/>
      <c r="M324" s="146"/>
      <c r="N324" s="146"/>
      <c r="O324" s="146"/>
      <c r="P324" s="146"/>
      <c r="Q324" s="146"/>
      <c r="R324" s="146"/>
      <c r="S324" s="146"/>
      <c r="T324" s="146"/>
      <c r="U324" s="146"/>
      <c r="V324" s="146"/>
      <c r="W324" s="146"/>
      <c r="X324" s="146"/>
      <c r="Y324" s="146"/>
      <c r="Z324" s="146"/>
    </row>
    <row r="325" ht="22.5" customHeight="1">
      <c r="A325" s="329"/>
      <c r="B325" s="274"/>
      <c r="C325" s="138"/>
      <c r="D325" s="118"/>
      <c r="E325" s="138"/>
      <c r="F325" s="138"/>
      <c r="G325" s="330"/>
      <c r="H325" s="146"/>
      <c r="I325" s="146"/>
      <c r="J325" s="146"/>
      <c r="K325" s="146"/>
      <c r="L325" s="146"/>
      <c r="M325" s="146"/>
      <c r="N325" s="146"/>
      <c r="O325" s="146"/>
      <c r="P325" s="146"/>
      <c r="Q325" s="146"/>
      <c r="R325" s="146"/>
      <c r="S325" s="146"/>
      <c r="T325" s="146"/>
      <c r="U325" s="146"/>
      <c r="V325" s="146"/>
      <c r="W325" s="146"/>
      <c r="X325" s="146"/>
      <c r="Y325" s="146"/>
      <c r="Z325" s="146"/>
    </row>
    <row r="326" ht="22.5" customHeight="1">
      <c r="A326" s="329"/>
      <c r="B326" s="274"/>
      <c r="C326" s="138"/>
      <c r="D326" s="118"/>
      <c r="E326" s="138"/>
      <c r="F326" s="138"/>
      <c r="G326" s="330"/>
      <c r="H326" s="146"/>
      <c r="I326" s="146"/>
      <c r="J326" s="146"/>
      <c r="K326" s="146"/>
      <c r="L326" s="146"/>
      <c r="M326" s="146"/>
      <c r="N326" s="146"/>
      <c r="O326" s="146"/>
      <c r="P326" s="146"/>
      <c r="Q326" s="146"/>
      <c r="R326" s="146"/>
      <c r="S326" s="146"/>
      <c r="T326" s="146"/>
      <c r="U326" s="146"/>
      <c r="V326" s="146"/>
      <c r="W326" s="146"/>
      <c r="X326" s="146"/>
      <c r="Y326" s="146"/>
      <c r="Z326" s="146"/>
    </row>
    <row r="327" ht="22.5" customHeight="1">
      <c r="A327" s="329"/>
      <c r="B327" s="274"/>
      <c r="C327" s="138"/>
      <c r="D327" s="118"/>
      <c r="E327" s="138"/>
      <c r="F327" s="138"/>
      <c r="G327" s="330"/>
      <c r="H327" s="146"/>
      <c r="I327" s="146"/>
      <c r="J327" s="146"/>
      <c r="K327" s="146"/>
      <c r="L327" s="146"/>
      <c r="M327" s="146"/>
      <c r="N327" s="146"/>
      <c r="O327" s="146"/>
      <c r="P327" s="146"/>
      <c r="Q327" s="146"/>
      <c r="R327" s="146"/>
      <c r="S327" s="146"/>
      <c r="T327" s="146"/>
      <c r="U327" s="146"/>
      <c r="V327" s="146"/>
      <c r="W327" s="146"/>
      <c r="X327" s="146"/>
      <c r="Y327" s="146"/>
      <c r="Z327" s="146"/>
    </row>
    <row r="328" ht="22.5" customHeight="1">
      <c r="A328" s="329"/>
      <c r="B328" s="274"/>
      <c r="C328" s="138"/>
      <c r="D328" s="118"/>
      <c r="E328" s="138"/>
      <c r="F328" s="138"/>
      <c r="G328" s="330"/>
      <c r="H328" s="146"/>
      <c r="I328" s="146"/>
      <c r="J328" s="146"/>
      <c r="K328" s="146"/>
      <c r="L328" s="146"/>
      <c r="M328" s="146"/>
      <c r="N328" s="146"/>
      <c r="O328" s="146"/>
      <c r="P328" s="146"/>
      <c r="Q328" s="146"/>
      <c r="R328" s="146"/>
      <c r="S328" s="146"/>
      <c r="T328" s="146"/>
      <c r="U328" s="146"/>
      <c r="V328" s="146"/>
      <c r="W328" s="146"/>
      <c r="X328" s="146"/>
      <c r="Y328" s="146"/>
      <c r="Z328" s="146"/>
    </row>
    <row r="329" ht="22.5" customHeight="1">
      <c r="A329" s="329"/>
      <c r="B329" s="274"/>
      <c r="C329" s="138"/>
      <c r="D329" s="118"/>
      <c r="E329" s="138"/>
      <c r="F329" s="138"/>
      <c r="G329" s="330"/>
      <c r="H329" s="146"/>
      <c r="I329" s="146"/>
      <c r="J329" s="146"/>
      <c r="K329" s="146"/>
      <c r="L329" s="146"/>
      <c r="M329" s="146"/>
      <c r="N329" s="146"/>
      <c r="O329" s="146"/>
      <c r="P329" s="146"/>
      <c r="Q329" s="146"/>
      <c r="R329" s="146"/>
      <c r="S329" s="146"/>
      <c r="T329" s="146"/>
      <c r="U329" s="146"/>
      <c r="V329" s="146"/>
      <c r="W329" s="146"/>
      <c r="X329" s="146"/>
      <c r="Y329" s="146"/>
      <c r="Z329" s="146"/>
    </row>
    <row r="330" ht="22.5" customHeight="1">
      <c r="A330" s="329"/>
      <c r="B330" s="274"/>
      <c r="C330" s="138"/>
      <c r="D330" s="118"/>
      <c r="E330" s="138"/>
      <c r="F330" s="138"/>
      <c r="G330" s="330"/>
      <c r="H330" s="146"/>
      <c r="I330" s="146"/>
      <c r="J330" s="146"/>
      <c r="K330" s="146"/>
      <c r="L330" s="146"/>
      <c r="M330" s="146"/>
      <c r="N330" s="146"/>
      <c r="O330" s="146"/>
      <c r="P330" s="146"/>
      <c r="Q330" s="146"/>
      <c r="R330" s="146"/>
      <c r="S330" s="146"/>
      <c r="T330" s="146"/>
      <c r="U330" s="146"/>
      <c r="V330" s="146"/>
      <c r="W330" s="146"/>
      <c r="X330" s="146"/>
      <c r="Y330" s="146"/>
      <c r="Z330" s="146"/>
    </row>
    <row r="331" ht="22.5" customHeight="1">
      <c r="A331" s="329"/>
      <c r="B331" s="274"/>
      <c r="C331" s="138"/>
      <c r="D331" s="118"/>
      <c r="E331" s="138"/>
      <c r="F331" s="138"/>
      <c r="G331" s="330"/>
      <c r="H331" s="146"/>
      <c r="I331" s="146"/>
      <c r="J331" s="146"/>
      <c r="K331" s="146"/>
      <c r="L331" s="146"/>
      <c r="M331" s="146"/>
      <c r="N331" s="146"/>
      <c r="O331" s="146"/>
      <c r="P331" s="146"/>
      <c r="Q331" s="146"/>
      <c r="R331" s="146"/>
      <c r="S331" s="146"/>
      <c r="T331" s="146"/>
      <c r="U331" s="146"/>
      <c r="V331" s="146"/>
      <c r="W331" s="146"/>
      <c r="X331" s="146"/>
      <c r="Y331" s="146"/>
      <c r="Z331" s="146"/>
    </row>
    <row r="332" ht="22.5" customHeight="1">
      <c r="A332" s="329"/>
      <c r="B332" s="274"/>
      <c r="C332" s="138"/>
      <c r="D332" s="118"/>
      <c r="E332" s="138"/>
      <c r="F332" s="138"/>
      <c r="G332" s="330"/>
      <c r="H332" s="146"/>
      <c r="I332" s="146"/>
      <c r="J332" s="146"/>
      <c r="K332" s="146"/>
      <c r="L332" s="146"/>
      <c r="M332" s="146"/>
      <c r="N332" s="146"/>
      <c r="O332" s="146"/>
      <c r="P332" s="146"/>
      <c r="Q332" s="146"/>
      <c r="R332" s="146"/>
      <c r="S332" s="146"/>
      <c r="T332" s="146"/>
      <c r="U332" s="146"/>
      <c r="V332" s="146"/>
      <c r="W332" s="146"/>
      <c r="X332" s="146"/>
      <c r="Y332" s="146"/>
      <c r="Z332" s="146"/>
    </row>
    <row r="333" ht="22.5" customHeight="1">
      <c r="A333" s="329"/>
      <c r="B333" s="274"/>
      <c r="C333" s="138"/>
      <c r="D333" s="118"/>
      <c r="E333" s="138"/>
      <c r="F333" s="138"/>
      <c r="G333" s="330"/>
      <c r="H333" s="146"/>
      <c r="I333" s="146"/>
      <c r="J333" s="146"/>
      <c r="K333" s="146"/>
      <c r="L333" s="146"/>
      <c r="M333" s="146"/>
      <c r="N333" s="146"/>
      <c r="O333" s="146"/>
      <c r="P333" s="146"/>
      <c r="Q333" s="146"/>
      <c r="R333" s="146"/>
      <c r="S333" s="146"/>
      <c r="T333" s="146"/>
      <c r="U333" s="146"/>
      <c r="V333" s="146"/>
      <c r="W333" s="146"/>
      <c r="X333" s="146"/>
      <c r="Y333" s="146"/>
      <c r="Z333" s="146"/>
    </row>
    <row r="334" ht="22.5" customHeight="1">
      <c r="A334" s="329"/>
      <c r="B334" s="274"/>
      <c r="C334" s="138"/>
      <c r="D334" s="118"/>
      <c r="E334" s="138"/>
      <c r="F334" s="138"/>
      <c r="G334" s="330"/>
      <c r="H334" s="146"/>
      <c r="I334" s="146"/>
      <c r="J334" s="146"/>
      <c r="K334" s="146"/>
      <c r="L334" s="146"/>
      <c r="M334" s="146"/>
      <c r="N334" s="146"/>
      <c r="O334" s="146"/>
      <c r="P334" s="146"/>
      <c r="Q334" s="146"/>
      <c r="R334" s="146"/>
      <c r="S334" s="146"/>
      <c r="T334" s="146"/>
      <c r="U334" s="146"/>
      <c r="V334" s="146"/>
      <c r="W334" s="146"/>
      <c r="X334" s="146"/>
      <c r="Y334" s="146"/>
      <c r="Z334" s="146"/>
    </row>
    <row r="335" ht="22.5" customHeight="1">
      <c r="A335" s="329"/>
      <c r="B335" s="274"/>
      <c r="C335" s="138"/>
      <c r="D335" s="118"/>
      <c r="E335" s="138"/>
      <c r="F335" s="138"/>
      <c r="G335" s="330"/>
      <c r="H335" s="146"/>
      <c r="I335" s="146"/>
      <c r="J335" s="146"/>
      <c r="K335" s="146"/>
      <c r="L335" s="146"/>
      <c r="M335" s="146"/>
      <c r="N335" s="146"/>
      <c r="O335" s="146"/>
      <c r="P335" s="146"/>
      <c r="Q335" s="146"/>
      <c r="R335" s="146"/>
      <c r="S335" s="146"/>
      <c r="T335" s="146"/>
      <c r="U335" s="146"/>
      <c r="V335" s="146"/>
      <c r="W335" s="146"/>
      <c r="X335" s="146"/>
      <c r="Y335" s="146"/>
      <c r="Z335" s="146"/>
    </row>
    <row r="336" ht="22.5" customHeight="1">
      <c r="A336" s="329"/>
      <c r="B336" s="274"/>
      <c r="C336" s="138"/>
      <c r="D336" s="118"/>
      <c r="E336" s="138"/>
      <c r="F336" s="138"/>
      <c r="G336" s="330"/>
      <c r="H336" s="146"/>
      <c r="I336" s="146"/>
      <c r="J336" s="146"/>
      <c r="K336" s="146"/>
      <c r="L336" s="146"/>
      <c r="M336" s="146"/>
      <c r="N336" s="146"/>
      <c r="O336" s="146"/>
      <c r="P336" s="146"/>
      <c r="Q336" s="146"/>
      <c r="R336" s="146"/>
      <c r="S336" s="146"/>
      <c r="T336" s="146"/>
      <c r="U336" s="146"/>
      <c r="V336" s="146"/>
      <c r="W336" s="146"/>
      <c r="X336" s="146"/>
      <c r="Y336" s="146"/>
      <c r="Z336" s="146"/>
    </row>
    <row r="337" ht="22.5" customHeight="1">
      <c r="A337" s="329"/>
      <c r="B337" s="274"/>
      <c r="C337" s="138"/>
      <c r="D337" s="118"/>
      <c r="E337" s="138"/>
      <c r="F337" s="138"/>
      <c r="G337" s="330"/>
      <c r="H337" s="146"/>
      <c r="I337" s="146"/>
      <c r="J337" s="146"/>
      <c r="K337" s="146"/>
      <c r="L337" s="146"/>
      <c r="M337" s="146"/>
      <c r="N337" s="146"/>
      <c r="O337" s="146"/>
      <c r="P337" s="146"/>
      <c r="Q337" s="146"/>
      <c r="R337" s="146"/>
      <c r="S337" s="146"/>
      <c r="T337" s="146"/>
      <c r="U337" s="146"/>
      <c r="V337" s="146"/>
      <c r="W337" s="146"/>
      <c r="X337" s="146"/>
      <c r="Y337" s="146"/>
      <c r="Z337" s="146"/>
    </row>
    <row r="338" ht="22.5" customHeight="1">
      <c r="A338" s="329"/>
      <c r="B338" s="274"/>
      <c r="C338" s="138"/>
      <c r="D338" s="118"/>
      <c r="E338" s="138"/>
      <c r="F338" s="138"/>
      <c r="G338" s="330"/>
      <c r="H338" s="146"/>
      <c r="I338" s="146"/>
      <c r="J338" s="146"/>
      <c r="K338" s="146"/>
      <c r="L338" s="146"/>
      <c r="M338" s="146"/>
      <c r="N338" s="146"/>
      <c r="O338" s="146"/>
      <c r="P338" s="146"/>
      <c r="Q338" s="146"/>
      <c r="R338" s="146"/>
      <c r="S338" s="146"/>
      <c r="T338" s="146"/>
      <c r="U338" s="146"/>
      <c r="V338" s="146"/>
      <c r="W338" s="146"/>
      <c r="X338" s="146"/>
      <c r="Y338" s="146"/>
      <c r="Z338" s="146"/>
    </row>
    <row r="339" ht="22.5" customHeight="1">
      <c r="A339" s="329"/>
      <c r="B339" s="274"/>
      <c r="C339" s="138"/>
      <c r="D339" s="118"/>
      <c r="E339" s="138"/>
      <c r="F339" s="138"/>
      <c r="G339" s="330"/>
      <c r="H339" s="146"/>
      <c r="I339" s="146"/>
      <c r="J339" s="146"/>
      <c r="K339" s="146"/>
      <c r="L339" s="146"/>
      <c r="M339" s="146"/>
      <c r="N339" s="146"/>
      <c r="O339" s="146"/>
      <c r="P339" s="146"/>
      <c r="Q339" s="146"/>
      <c r="R339" s="146"/>
      <c r="S339" s="146"/>
      <c r="T339" s="146"/>
      <c r="U339" s="146"/>
      <c r="V339" s="146"/>
      <c r="W339" s="146"/>
      <c r="X339" s="146"/>
      <c r="Y339" s="146"/>
      <c r="Z339" s="146"/>
    </row>
    <row r="340" ht="22.5" customHeight="1">
      <c r="A340" s="329"/>
      <c r="B340" s="274"/>
      <c r="C340" s="138"/>
      <c r="D340" s="118"/>
      <c r="E340" s="138"/>
      <c r="F340" s="138"/>
      <c r="G340" s="330"/>
      <c r="H340" s="146"/>
      <c r="I340" s="146"/>
      <c r="J340" s="146"/>
      <c r="K340" s="146"/>
      <c r="L340" s="146"/>
      <c r="M340" s="146"/>
      <c r="N340" s="146"/>
      <c r="O340" s="146"/>
      <c r="P340" s="146"/>
      <c r="Q340" s="146"/>
      <c r="R340" s="146"/>
      <c r="S340" s="146"/>
      <c r="T340" s="146"/>
      <c r="U340" s="146"/>
      <c r="V340" s="146"/>
      <c r="W340" s="146"/>
      <c r="X340" s="146"/>
      <c r="Y340" s="146"/>
      <c r="Z340" s="146"/>
    </row>
    <row r="341" ht="22.5" customHeight="1">
      <c r="A341" s="329"/>
      <c r="B341" s="274"/>
      <c r="C341" s="138"/>
      <c r="D341" s="118"/>
      <c r="E341" s="138"/>
      <c r="F341" s="138"/>
      <c r="G341" s="330"/>
      <c r="H341" s="146"/>
      <c r="I341" s="146"/>
      <c r="J341" s="146"/>
      <c r="K341" s="146"/>
      <c r="L341" s="146"/>
      <c r="M341" s="146"/>
      <c r="N341" s="146"/>
      <c r="O341" s="146"/>
      <c r="P341" s="146"/>
      <c r="Q341" s="146"/>
      <c r="R341" s="146"/>
      <c r="S341" s="146"/>
      <c r="T341" s="146"/>
      <c r="U341" s="146"/>
      <c r="V341" s="146"/>
      <c r="W341" s="146"/>
      <c r="X341" s="146"/>
      <c r="Y341" s="146"/>
      <c r="Z341" s="146"/>
    </row>
    <row r="342" ht="22.5" customHeight="1">
      <c r="A342" s="329"/>
      <c r="B342" s="274"/>
      <c r="C342" s="138"/>
      <c r="D342" s="118"/>
      <c r="E342" s="138"/>
      <c r="F342" s="138"/>
      <c r="G342" s="330"/>
      <c r="H342" s="146"/>
      <c r="I342" s="146"/>
      <c r="J342" s="146"/>
      <c r="K342" s="146"/>
      <c r="L342" s="146"/>
      <c r="M342" s="146"/>
      <c r="N342" s="146"/>
      <c r="O342" s="146"/>
      <c r="P342" s="146"/>
      <c r="Q342" s="146"/>
      <c r="R342" s="146"/>
      <c r="S342" s="146"/>
      <c r="T342" s="146"/>
      <c r="U342" s="146"/>
      <c r="V342" s="146"/>
      <c r="W342" s="146"/>
      <c r="X342" s="146"/>
      <c r="Y342" s="146"/>
      <c r="Z342" s="146"/>
    </row>
    <row r="343" ht="22.5" customHeight="1">
      <c r="A343" s="329"/>
      <c r="B343" s="274"/>
      <c r="C343" s="138"/>
      <c r="D343" s="118"/>
      <c r="E343" s="138"/>
      <c r="F343" s="138"/>
      <c r="G343" s="330"/>
      <c r="H343" s="146"/>
      <c r="I343" s="146"/>
      <c r="J343" s="146"/>
      <c r="K343" s="146"/>
      <c r="L343" s="146"/>
      <c r="M343" s="146"/>
      <c r="N343" s="146"/>
      <c r="O343" s="146"/>
      <c r="P343" s="146"/>
      <c r="Q343" s="146"/>
      <c r="R343" s="146"/>
      <c r="S343" s="146"/>
      <c r="T343" s="146"/>
      <c r="U343" s="146"/>
      <c r="V343" s="146"/>
      <c r="W343" s="146"/>
      <c r="X343" s="146"/>
      <c r="Y343" s="146"/>
      <c r="Z343" s="146"/>
    </row>
    <row r="344" ht="22.5" customHeight="1">
      <c r="A344" s="329"/>
      <c r="B344" s="274"/>
      <c r="C344" s="138"/>
      <c r="D344" s="118"/>
      <c r="E344" s="138"/>
      <c r="F344" s="138"/>
      <c r="G344" s="330"/>
      <c r="H344" s="146"/>
      <c r="I344" s="146"/>
      <c r="J344" s="146"/>
      <c r="K344" s="146"/>
      <c r="L344" s="146"/>
      <c r="M344" s="146"/>
      <c r="N344" s="146"/>
      <c r="O344" s="146"/>
      <c r="P344" s="146"/>
      <c r="Q344" s="146"/>
      <c r="R344" s="146"/>
      <c r="S344" s="146"/>
      <c r="T344" s="146"/>
      <c r="U344" s="146"/>
      <c r="V344" s="146"/>
      <c r="W344" s="146"/>
      <c r="X344" s="146"/>
      <c r="Y344" s="146"/>
      <c r="Z344" s="146"/>
    </row>
    <row r="345" ht="22.5" customHeight="1">
      <c r="A345" s="329"/>
      <c r="B345" s="274"/>
      <c r="C345" s="138"/>
      <c r="D345" s="118"/>
      <c r="E345" s="138"/>
      <c r="F345" s="138"/>
      <c r="G345" s="330"/>
      <c r="H345" s="146"/>
      <c r="I345" s="146"/>
      <c r="J345" s="146"/>
      <c r="K345" s="146"/>
      <c r="L345" s="146"/>
      <c r="M345" s="146"/>
      <c r="N345" s="146"/>
      <c r="O345" s="146"/>
      <c r="P345" s="146"/>
      <c r="Q345" s="146"/>
      <c r="R345" s="146"/>
      <c r="S345" s="146"/>
      <c r="T345" s="146"/>
      <c r="U345" s="146"/>
      <c r="V345" s="146"/>
      <c r="W345" s="146"/>
      <c r="X345" s="146"/>
      <c r="Y345" s="146"/>
      <c r="Z345" s="146"/>
    </row>
    <row r="346" ht="22.5" customHeight="1">
      <c r="A346" s="329"/>
      <c r="B346" s="274"/>
      <c r="C346" s="138"/>
      <c r="D346" s="118"/>
      <c r="E346" s="138"/>
      <c r="F346" s="138"/>
      <c r="G346" s="330"/>
      <c r="H346" s="146"/>
      <c r="I346" s="146"/>
      <c r="J346" s="146"/>
      <c r="K346" s="146"/>
      <c r="L346" s="146"/>
      <c r="M346" s="146"/>
      <c r="N346" s="146"/>
      <c r="O346" s="146"/>
      <c r="P346" s="146"/>
      <c r="Q346" s="146"/>
      <c r="R346" s="146"/>
      <c r="S346" s="146"/>
      <c r="T346" s="146"/>
      <c r="U346" s="146"/>
      <c r="V346" s="146"/>
      <c r="W346" s="146"/>
      <c r="X346" s="146"/>
      <c r="Y346" s="146"/>
      <c r="Z346" s="146"/>
    </row>
    <row r="347" ht="22.5" customHeight="1">
      <c r="A347" s="329"/>
      <c r="B347" s="274"/>
      <c r="C347" s="138"/>
      <c r="D347" s="118"/>
      <c r="E347" s="138"/>
      <c r="F347" s="138"/>
      <c r="G347" s="330"/>
      <c r="H347" s="146"/>
      <c r="I347" s="146"/>
      <c r="J347" s="146"/>
      <c r="K347" s="146"/>
      <c r="L347" s="146"/>
      <c r="M347" s="146"/>
      <c r="N347" s="146"/>
      <c r="O347" s="146"/>
      <c r="P347" s="146"/>
      <c r="Q347" s="146"/>
      <c r="R347" s="146"/>
      <c r="S347" s="146"/>
      <c r="T347" s="146"/>
      <c r="U347" s="146"/>
      <c r="V347" s="146"/>
      <c r="W347" s="146"/>
      <c r="X347" s="146"/>
      <c r="Y347" s="146"/>
      <c r="Z347" s="146"/>
    </row>
    <row r="348" ht="22.5" customHeight="1">
      <c r="A348" s="329"/>
      <c r="B348" s="274"/>
      <c r="C348" s="138"/>
      <c r="D348" s="118"/>
      <c r="E348" s="138"/>
      <c r="F348" s="138"/>
      <c r="G348" s="330"/>
      <c r="H348" s="146"/>
      <c r="I348" s="146"/>
      <c r="J348" s="146"/>
      <c r="K348" s="146"/>
      <c r="L348" s="146"/>
      <c r="M348" s="146"/>
      <c r="N348" s="146"/>
      <c r="O348" s="146"/>
      <c r="P348" s="146"/>
      <c r="Q348" s="146"/>
      <c r="R348" s="146"/>
      <c r="S348" s="146"/>
      <c r="T348" s="146"/>
      <c r="U348" s="146"/>
      <c r="V348" s="146"/>
      <c r="W348" s="146"/>
      <c r="X348" s="146"/>
      <c r="Y348" s="146"/>
      <c r="Z348" s="146"/>
    </row>
    <row r="349" ht="22.5" customHeight="1">
      <c r="A349" s="329"/>
      <c r="B349" s="274"/>
      <c r="C349" s="138"/>
      <c r="D349" s="118"/>
      <c r="E349" s="138"/>
      <c r="F349" s="138"/>
      <c r="G349" s="330"/>
      <c r="H349" s="146"/>
      <c r="I349" s="146"/>
      <c r="J349" s="146"/>
      <c r="K349" s="146"/>
      <c r="L349" s="146"/>
      <c r="M349" s="146"/>
      <c r="N349" s="146"/>
      <c r="O349" s="146"/>
      <c r="P349" s="146"/>
      <c r="Q349" s="146"/>
      <c r="R349" s="146"/>
      <c r="S349" s="146"/>
      <c r="T349" s="146"/>
      <c r="U349" s="146"/>
      <c r="V349" s="146"/>
      <c r="W349" s="146"/>
      <c r="X349" s="146"/>
      <c r="Y349" s="146"/>
      <c r="Z349" s="146"/>
    </row>
    <row r="350" ht="22.5" customHeight="1">
      <c r="A350" s="329"/>
      <c r="B350" s="274"/>
      <c r="C350" s="138"/>
      <c r="D350" s="118"/>
      <c r="E350" s="138"/>
      <c r="F350" s="138"/>
      <c r="G350" s="330"/>
      <c r="H350" s="146"/>
      <c r="I350" s="146"/>
      <c r="J350" s="146"/>
      <c r="K350" s="146"/>
      <c r="L350" s="146"/>
      <c r="M350" s="146"/>
      <c r="N350" s="146"/>
      <c r="O350" s="146"/>
      <c r="P350" s="146"/>
      <c r="Q350" s="146"/>
      <c r="R350" s="146"/>
      <c r="S350" s="146"/>
      <c r="T350" s="146"/>
      <c r="U350" s="146"/>
      <c r="V350" s="146"/>
      <c r="W350" s="146"/>
      <c r="X350" s="146"/>
      <c r="Y350" s="146"/>
      <c r="Z350" s="146"/>
    </row>
    <row r="351" ht="22.5" customHeight="1">
      <c r="A351" s="329"/>
      <c r="B351" s="274"/>
      <c r="C351" s="138"/>
      <c r="D351" s="118"/>
      <c r="E351" s="138"/>
      <c r="F351" s="138"/>
      <c r="G351" s="330"/>
      <c r="H351" s="146"/>
      <c r="I351" s="146"/>
      <c r="J351" s="146"/>
      <c r="K351" s="146"/>
      <c r="L351" s="146"/>
      <c r="M351" s="146"/>
      <c r="N351" s="146"/>
      <c r="O351" s="146"/>
      <c r="P351" s="146"/>
      <c r="Q351" s="146"/>
      <c r="R351" s="146"/>
      <c r="S351" s="146"/>
      <c r="T351" s="146"/>
      <c r="U351" s="146"/>
      <c r="V351" s="146"/>
      <c r="W351" s="146"/>
      <c r="X351" s="146"/>
      <c r="Y351" s="146"/>
      <c r="Z351" s="146"/>
    </row>
    <row r="352" ht="22.5" customHeight="1">
      <c r="A352" s="329"/>
      <c r="B352" s="274"/>
      <c r="C352" s="138"/>
      <c r="D352" s="118"/>
      <c r="E352" s="138"/>
      <c r="F352" s="138"/>
      <c r="G352" s="330"/>
      <c r="H352" s="146"/>
      <c r="I352" s="146"/>
      <c r="J352" s="146"/>
      <c r="K352" s="146"/>
      <c r="L352" s="146"/>
      <c r="M352" s="146"/>
      <c r="N352" s="146"/>
      <c r="O352" s="146"/>
      <c r="P352" s="146"/>
      <c r="Q352" s="146"/>
      <c r="R352" s="146"/>
      <c r="S352" s="146"/>
      <c r="T352" s="146"/>
      <c r="U352" s="146"/>
      <c r="V352" s="146"/>
      <c r="W352" s="146"/>
      <c r="X352" s="146"/>
      <c r="Y352" s="146"/>
      <c r="Z352" s="146"/>
    </row>
    <row r="353" ht="22.5" customHeight="1">
      <c r="A353" s="329"/>
      <c r="B353" s="274"/>
      <c r="C353" s="138"/>
      <c r="D353" s="118"/>
      <c r="E353" s="138"/>
      <c r="F353" s="138"/>
      <c r="G353" s="330"/>
      <c r="H353" s="146"/>
      <c r="I353" s="146"/>
      <c r="J353" s="146"/>
      <c r="K353" s="146"/>
      <c r="L353" s="146"/>
      <c r="M353" s="146"/>
      <c r="N353" s="146"/>
      <c r="O353" s="146"/>
      <c r="P353" s="146"/>
      <c r="Q353" s="146"/>
      <c r="R353" s="146"/>
      <c r="S353" s="146"/>
      <c r="T353" s="146"/>
      <c r="U353" s="146"/>
      <c r="V353" s="146"/>
      <c r="W353" s="146"/>
      <c r="X353" s="146"/>
      <c r="Y353" s="146"/>
      <c r="Z353" s="146"/>
    </row>
    <row r="354" ht="22.5" customHeight="1">
      <c r="A354" s="329"/>
      <c r="B354" s="274"/>
      <c r="C354" s="138"/>
      <c r="D354" s="118"/>
      <c r="E354" s="138"/>
      <c r="F354" s="138"/>
      <c r="G354" s="330"/>
      <c r="H354" s="146"/>
      <c r="I354" s="146"/>
      <c r="J354" s="146"/>
      <c r="K354" s="146"/>
      <c r="L354" s="146"/>
      <c r="M354" s="146"/>
      <c r="N354" s="146"/>
      <c r="O354" s="146"/>
      <c r="P354" s="146"/>
      <c r="Q354" s="146"/>
      <c r="R354" s="146"/>
      <c r="S354" s="146"/>
      <c r="T354" s="146"/>
      <c r="U354" s="146"/>
      <c r="V354" s="146"/>
      <c r="W354" s="146"/>
      <c r="X354" s="146"/>
      <c r="Y354" s="146"/>
      <c r="Z354" s="146"/>
    </row>
    <row r="355" ht="22.5" customHeight="1">
      <c r="A355" s="329"/>
      <c r="B355" s="274"/>
      <c r="C355" s="138"/>
      <c r="D355" s="118"/>
      <c r="E355" s="138"/>
      <c r="F355" s="138"/>
      <c r="G355" s="330"/>
      <c r="H355" s="146"/>
      <c r="I355" s="146"/>
      <c r="J355" s="146"/>
      <c r="K355" s="146"/>
      <c r="L355" s="146"/>
      <c r="M355" s="146"/>
      <c r="N355" s="146"/>
      <c r="O355" s="146"/>
      <c r="P355" s="146"/>
      <c r="Q355" s="146"/>
      <c r="R355" s="146"/>
      <c r="S355" s="146"/>
      <c r="T355" s="146"/>
      <c r="U355" s="146"/>
      <c r="V355" s="146"/>
      <c r="W355" s="146"/>
      <c r="X355" s="146"/>
      <c r="Y355" s="146"/>
      <c r="Z355" s="146"/>
    </row>
    <row r="356" ht="22.5" customHeight="1">
      <c r="A356" s="329"/>
      <c r="B356" s="274"/>
      <c r="C356" s="138"/>
      <c r="D356" s="118"/>
      <c r="E356" s="138"/>
      <c r="F356" s="138"/>
      <c r="G356" s="330"/>
      <c r="H356" s="146"/>
      <c r="I356" s="146"/>
      <c r="J356" s="146"/>
      <c r="K356" s="146"/>
      <c r="L356" s="146"/>
      <c r="M356" s="146"/>
      <c r="N356" s="146"/>
      <c r="O356" s="146"/>
      <c r="P356" s="146"/>
      <c r="Q356" s="146"/>
      <c r="R356" s="146"/>
      <c r="S356" s="146"/>
      <c r="T356" s="146"/>
      <c r="U356" s="146"/>
      <c r="V356" s="146"/>
      <c r="W356" s="146"/>
      <c r="X356" s="146"/>
      <c r="Y356" s="146"/>
      <c r="Z356" s="146"/>
    </row>
    <row r="357" ht="22.5" customHeight="1">
      <c r="A357" s="329"/>
      <c r="B357" s="274"/>
      <c r="C357" s="138"/>
      <c r="D357" s="118"/>
      <c r="E357" s="138"/>
      <c r="F357" s="138"/>
      <c r="G357" s="330"/>
      <c r="H357" s="146"/>
      <c r="I357" s="146"/>
      <c r="J357" s="146"/>
      <c r="K357" s="146"/>
      <c r="L357" s="146"/>
      <c r="M357" s="146"/>
      <c r="N357" s="146"/>
      <c r="O357" s="146"/>
      <c r="P357" s="146"/>
      <c r="Q357" s="146"/>
      <c r="R357" s="146"/>
      <c r="S357" s="146"/>
      <c r="T357" s="146"/>
      <c r="U357" s="146"/>
      <c r="V357" s="146"/>
      <c r="W357" s="146"/>
      <c r="X357" s="146"/>
      <c r="Y357" s="146"/>
      <c r="Z357" s="146"/>
    </row>
    <row r="358" ht="22.5" customHeight="1">
      <c r="A358" s="329"/>
      <c r="B358" s="274"/>
      <c r="C358" s="138"/>
      <c r="D358" s="118"/>
      <c r="E358" s="138"/>
      <c r="F358" s="138"/>
      <c r="G358" s="330"/>
      <c r="H358" s="146"/>
      <c r="I358" s="146"/>
      <c r="J358" s="146"/>
      <c r="K358" s="146"/>
      <c r="L358" s="146"/>
      <c r="M358" s="146"/>
      <c r="N358" s="146"/>
      <c r="O358" s="146"/>
      <c r="P358" s="146"/>
      <c r="Q358" s="146"/>
      <c r="R358" s="146"/>
      <c r="S358" s="146"/>
      <c r="T358" s="146"/>
      <c r="U358" s="146"/>
      <c r="V358" s="146"/>
      <c r="W358" s="146"/>
      <c r="X358" s="146"/>
      <c r="Y358" s="146"/>
      <c r="Z358" s="146"/>
    </row>
    <row r="359" ht="22.5" customHeight="1">
      <c r="A359" s="329"/>
      <c r="B359" s="274"/>
      <c r="C359" s="138"/>
      <c r="D359" s="118"/>
      <c r="E359" s="138"/>
      <c r="F359" s="138"/>
      <c r="G359" s="330"/>
      <c r="H359" s="146"/>
      <c r="I359" s="146"/>
      <c r="J359" s="146"/>
      <c r="K359" s="146"/>
      <c r="L359" s="146"/>
      <c r="M359" s="146"/>
      <c r="N359" s="146"/>
      <c r="O359" s="146"/>
      <c r="P359" s="146"/>
      <c r="Q359" s="146"/>
      <c r="R359" s="146"/>
      <c r="S359" s="146"/>
      <c r="T359" s="146"/>
      <c r="U359" s="146"/>
      <c r="V359" s="146"/>
      <c r="W359" s="146"/>
      <c r="X359" s="146"/>
      <c r="Y359" s="146"/>
      <c r="Z359" s="146"/>
    </row>
    <row r="360" ht="22.5" customHeight="1">
      <c r="A360" s="329"/>
      <c r="B360" s="274"/>
      <c r="C360" s="138"/>
      <c r="D360" s="118"/>
      <c r="E360" s="138"/>
      <c r="F360" s="138"/>
      <c r="G360" s="330"/>
      <c r="H360" s="146"/>
      <c r="I360" s="146"/>
      <c r="J360" s="146"/>
      <c r="K360" s="146"/>
      <c r="L360" s="146"/>
      <c r="M360" s="146"/>
      <c r="N360" s="146"/>
      <c r="O360" s="146"/>
      <c r="P360" s="146"/>
      <c r="Q360" s="146"/>
      <c r="R360" s="146"/>
      <c r="S360" s="146"/>
      <c r="T360" s="146"/>
      <c r="U360" s="146"/>
      <c r="V360" s="146"/>
      <c r="W360" s="146"/>
      <c r="X360" s="146"/>
      <c r="Y360" s="146"/>
      <c r="Z360" s="146"/>
    </row>
    <row r="361" ht="22.5" customHeight="1">
      <c r="A361" s="329"/>
      <c r="B361" s="274"/>
      <c r="C361" s="138"/>
      <c r="D361" s="118"/>
      <c r="E361" s="138"/>
      <c r="F361" s="138"/>
      <c r="G361" s="330"/>
      <c r="H361" s="146"/>
      <c r="I361" s="146"/>
      <c r="J361" s="146"/>
      <c r="K361" s="146"/>
      <c r="L361" s="146"/>
      <c r="M361" s="146"/>
      <c r="N361" s="146"/>
      <c r="O361" s="146"/>
      <c r="P361" s="146"/>
      <c r="Q361" s="146"/>
      <c r="R361" s="146"/>
      <c r="S361" s="146"/>
      <c r="T361" s="146"/>
      <c r="U361" s="146"/>
      <c r="V361" s="146"/>
      <c r="W361" s="146"/>
      <c r="X361" s="146"/>
      <c r="Y361" s="146"/>
      <c r="Z361" s="146"/>
    </row>
    <row r="362" ht="22.5" customHeight="1">
      <c r="A362" s="329"/>
      <c r="B362" s="274"/>
      <c r="C362" s="138"/>
      <c r="D362" s="118"/>
      <c r="E362" s="138"/>
      <c r="F362" s="138"/>
      <c r="G362" s="330"/>
      <c r="H362" s="146"/>
      <c r="I362" s="146"/>
      <c r="J362" s="146"/>
      <c r="K362" s="146"/>
      <c r="L362" s="146"/>
      <c r="M362" s="146"/>
      <c r="N362" s="146"/>
      <c r="O362" s="146"/>
      <c r="P362" s="146"/>
      <c r="Q362" s="146"/>
      <c r="R362" s="146"/>
      <c r="S362" s="146"/>
      <c r="T362" s="146"/>
      <c r="U362" s="146"/>
      <c r="V362" s="146"/>
      <c r="W362" s="146"/>
      <c r="X362" s="146"/>
      <c r="Y362" s="146"/>
      <c r="Z362" s="146"/>
    </row>
    <row r="363" ht="22.5" customHeight="1">
      <c r="A363" s="329"/>
      <c r="B363" s="274"/>
      <c r="C363" s="138"/>
      <c r="D363" s="118"/>
      <c r="E363" s="138"/>
      <c r="F363" s="138"/>
      <c r="G363" s="330"/>
      <c r="H363" s="146"/>
      <c r="I363" s="146"/>
      <c r="J363" s="146"/>
      <c r="K363" s="146"/>
      <c r="L363" s="146"/>
      <c r="M363" s="146"/>
      <c r="N363" s="146"/>
      <c r="O363" s="146"/>
      <c r="P363" s="146"/>
      <c r="Q363" s="146"/>
      <c r="R363" s="146"/>
      <c r="S363" s="146"/>
      <c r="T363" s="146"/>
      <c r="U363" s="146"/>
      <c r="V363" s="146"/>
      <c r="W363" s="146"/>
      <c r="X363" s="146"/>
      <c r="Y363" s="146"/>
      <c r="Z363" s="146"/>
    </row>
    <row r="364" ht="22.5" customHeight="1">
      <c r="A364" s="329"/>
      <c r="B364" s="274"/>
      <c r="C364" s="138"/>
      <c r="D364" s="118"/>
      <c r="E364" s="138"/>
      <c r="F364" s="138"/>
      <c r="G364" s="330"/>
      <c r="H364" s="146"/>
      <c r="I364" s="146"/>
      <c r="J364" s="146"/>
      <c r="K364" s="146"/>
      <c r="L364" s="146"/>
      <c r="M364" s="146"/>
      <c r="N364" s="146"/>
      <c r="O364" s="146"/>
      <c r="P364" s="146"/>
      <c r="Q364" s="146"/>
      <c r="R364" s="146"/>
      <c r="S364" s="146"/>
      <c r="T364" s="146"/>
      <c r="U364" s="146"/>
      <c r="V364" s="146"/>
      <c r="W364" s="146"/>
      <c r="X364" s="146"/>
      <c r="Y364" s="146"/>
      <c r="Z364" s="146"/>
    </row>
    <row r="365" ht="22.5" customHeight="1">
      <c r="A365" s="329"/>
      <c r="B365" s="274"/>
      <c r="C365" s="138"/>
      <c r="D365" s="118"/>
      <c r="E365" s="138"/>
      <c r="F365" s="138"/>
      <c r="G365" s="330"/>
      <c r="H365" s="146"/>
      <c r="I365" s="146"/>
      <c r="J365" s="146"/>
      <c r="K365" s="146"/>
      <c r="L365" s="146"/>
      <c r="M365" s="146"/>
      <c r="N365" s="146"/>
      <c r="O365" s="146"/>
      <c r="P365" s="146"/>
      <c r="Q365" s="146"/>
      <c r="R365" s="146"/>
      <c r="S365" s="146"/>
      <c r="T365" s="146"/>
      <c r="U365" s="146"/>
      <c r="V365" s="146"/>
      <c r="W365" s="146"/>
      <c r="X365" s="146"/>
      <c r="Y365" s="146"/>
      <c r="Z365" s="146"/>
    </row>
    <row r="366" ht="22.5" customHeight="1">
      <c r="A366" s="329"/>
      <c r="B366" s="274"/>
      <c r="C366" s="138"/>
      <c r="D366" s="118"/>
      <c r="E366" s="138"/>
      <c r="F366" s="138"/>
      <c r="G366" s="330"/>
      <c r="H366" s="146"/>
      <c r="I366" s="146"/>
      <c r="J366" s="146"/>
      <c r="K366" s="146"/>
      <c r="L366" s="146"/>
      <c r="M366" s="146"/>
      <c r="N366" s="146"/>
      <c r="O366" s="146"/>
      <c r="P366" s="146"/>
      <c r="Q366" s="146"/>
      <c r="R366" s="146"/>
      <c r="S366" s="146"/>
      <c r="T366" s="146"/>
      <c r="U366" s="146"/>
      <c r="V366" s="146"/>
      <c r="W366" s="146"/>
      <c r="X366" s="146"/>
      <c r="Y366" s="146"/>
      <c r="Z366" s="146"/>
    </row>
    <row r="367" ht="22.5" customHeight="1">
      <c r="A367" s="329"/>
      <c r="B367" s="274"/>
      <c r="C367" s="138"/>
      <c r="D367" s="118"/>
      <c r="E367" s="138"/>
      <c r="F367" s="138"/>
      <c r="G367" s="330"/>
      <c r="H367" s="146"/>
      <c r="I367" s="146"/>
      <c r="J367" s="146"/>
      <c r="K367" s="146"/>
      <c r="L367" s="146"/>
      <c r="M367" s="146"/>
      <c r="N367" s="146"/>
      <c r="O367" s="146"/>
      <c r="P367" s="146"/>
      <c r="Q367" s="146"/>
      <c r="R367" s="146"/>
      <c r="S367" s="146"/>
      <c r="T367" s="146"/>
      <c r="U367" s="146"/>
      <c r="V367" s="146"/>
      <c r="W367" s="146"/>
      <c r="X367" s="146"/>
      <c r="Y367" s="146"/>
      <c r="Z367" s="146"/>
    </row>
    <row r="368" ht="22.5" customHeight="1">
      <c r="A368" s="329"/>
      <c r="B368" s="274"/>
      <c r="C368" s="138"/>
      <c r="D368" s="118"/>
      <c r="E368" s="138"/>
      <c r="F368" s="138"/>
      <c r="G368" s="330"/>
      <c r="H368" s="146"/>
      <c r="I368" s="146"/>
      <c r="J368" s="146"/>
      <c r="K368" s="146"/>
      <c r="L368" s="146"/>
      <c r="M368" s="146"/>
      <c r="N368" s="146"/>
      <c r="O368" s="146"/>
      <c r="P368" s="146"/>
      <c r="Q368" s="146"/>
      <c r="R368" s="146"/>
      <c r="S368" s="146"/>
      <c r="T368" s="146"/>
      <c r="U368" s="146"/>
      <c r="V368" s="146"/>
      <c r="W368" s="146"/>
      <c r="X368" s="146"/>
      <c r="Y368" s="146"/>
      <c r="Z368" s="146"/>
    </row>
    <row r="369" ht="22.5" customHeight="1">
      <c r="A369" s="329"/>
      <c r="B369" s="274"/>
      <c r="C369" s="138"/>
      <c r="D369" s="118"/>
      <c r="E369" s="138"/>
      <c r="F369" s="138"/>
      <c r="G369" s="330"/>
      <c r="H369" s="146"/>
      <c r="I369" s="146"/>
      <c r="J369" s="146"/>
      <c r="K369" s="146"/>
      <c r="L369" s="146"/>
      <c r="M369" s="146"/>
      <c r="N369" s="146"/>
      <c r="O369" s="146"/>
      <c r="P369" s="146"/>
      <c r="Q369" s="146"/>
      <c r="R369" s="146"/>
      <c r="S369" s="146"/>
      <c r="T369" s="146"/>
      <c r="U369" s="146"/>
      <c r="V369" s="146"/>
      <c r="W369" s="146"/>
      <c r="X369" s="146"/>
      <c r="Y369" s="146"/>
      <c r="Z369" s="146"/>
    </row>
    <row r="370" ht="22.5" customHeight="1">
      <c r="A370" s="329"/>
      <c r="B370" s="274"/>
      <c r="C370" s="138"/>
      <c r="D370" s="118"/>
      <c r="E370" s="138"/>
      <c r="F370" s="138"/>
      <c r="G370" s="330"/>
      <c r="H370" s="146"/>
      <c r="I370" s="146"/>
      <c r="J370" s="146"/>
      <c r="K370" s="146"/>
      <c r="L370" s="146"/>
      <c r="M370" s="146"/>
      <c r="N370" s="146"/>
      <c r="O370" s="146"/>
      <c r="P370" s="146"/>
      <c r="Q370" s="146"/>
      <c r="R370" s="146"/>
      <c r="S370" s="146"/>
      <c r="T370" s="146"/>
      <c r="U370" s="146"/>
      <c r="V370" s="146"/>
      <c r="W370" s="146"/>
      <c r="X370" s="146"/>
      <c r="Y370" s="146"/>
      <c r="Z370" s="146"/>
    </row>
    <row r="371" ht="22.5" customHeight="1">
      <c r="A371" s="329"/>
      <c r="B371" s="274"/>
      <c r="C371" s="138"/>
      <c r="D371" s="118"/>
      <c r="E371" s="138"/>
      <c r="F371" s="138"/>
      <c r="G371" s="330"/>
      <c r="H371" s="146"/>
      <c r="I371" s="146"/>
      <c r="J371" s="146"/>
      <c r="K371" s="146"/>
      <c r="L371" s="146"/>
      <c r="M371" s="146"/>
      <c r="N371" s="146"/>
      <c r="O371" s="146"/>
      <c r="P371" s="146"/>
      <c r="Q371" s="146"/>
      <c r="R371" s="146"/>
      <c r="S371" s="146"/>
      <c r="T371" s="146"/>
      <c r="U371" s="146"/>
      <c r="V371" s="146"/>
      <c r="W371" s="146"/>
      <c r="X371" s="146"/>
      <c r="Y371" s="146"/>
      <c r="Z371" s="146"/>
    </row>
    <row r="372" ht="22.5" customHeight="1">
      <c r="A372" s="329"/>
      <c r="B372" s="274"/>
      <c r="C372" s="138"/>
      <c r="D372" s="118"/>
      <c r="E372" s="138"/>
      <c r="F372" s="138"/>
      <c r="G372" s="330"/>
      <c r="H372" s="146"/>
      <c r="I372" s="146"/>
      <c r="J372" s="146"/>
      <c r="K372" s="146"/>
      <c r="L372" s="146"/>
      <c r="M372" s="146"/>
      <c r="N372" s="146"/>
      <c r="O372" s="146"/>
      <c r="P372" s="146"/>
      <c r="Q372" s="146"/>
      <c r="R372" s="146"/>
      <c r="S372" s="146"/>
      <c r="T372" s="146"/>
      <c r="U372" s="146"/>
      <c r="V372" s="146"/>
      <c r="W372" s="146"/>
      <c r="X372" s="146"/>
      <c r="Y372" s="146"/>
      <c r="Z372" s="146"/>
    </row>
    <row r="373" ht="22.5" customHeight="1">
      <c r="A373" s="329"/>
      <c r="B373" s="274"/>
      <c r="C373" s="138"/>
      <c r="D373" s="118"/>
      <c r="E373" s="138"/>
      <c r="F373" s="138"/>
      <c r="G373" s="330"/>
      <c r="H373" s="146"/>
      <c r="I373" s="146"/>
      <c r="J373" s="146"/>
      <c r="K373" s="146"/>
      <c r="L373" s="146"/>
      <c r="M373" s="146"/>
      <c r="N373" s="146"/>
      <c r="O373" s="146"/>
      <c r="P373" s="146"/>
      <c r="Q373" s="146"/>
      <c r="R373" s="146"/>
      <c r="S373" s="146"/>
      <c r="T373" s="146"/>
      <c r="U373" s="146"/>
      <c r="V373" s="146"/>
      <c r="W373" s="146"/>
      <c r="X373" s="146"/>
      <c r="Y373" s="146"/>
      <c r="Z373" s="146"/>
    </row>
    <row r="374" ht="22.5" customHeight="1">
      <c r="A374" s="329"/>
      <c r="B374" s="274"/>
      <c r="C374" s="138"/>
      <c r="D374" s="118"/>
      <c r="E374" s="138"/>
      <c r="F374" s="138"/>
      <c r="G374" s="330"/>
      <c r="H374" s="146"/>
      <c r="I374" s="146"/>
      <c r="J374" s="146"/>
      <c r="K374" s="146"/>
      <c r="L374" s="146"/>
      <c r="M374" s="146"/>
      <c r="N374" s="146"/>
      <c r="O374" s="146"/>
      <c r="P374" s="146"/>
      <c r="Q374" s="146"/>
      <c r="R374" s="146"/>
      <c r="S374" s="146"/>
      <c r="T374" s="146"/>
      <c r="U374" s="146"/>
      <c r="V374" s="146"/>
      <c r="W374" s="146"/>
      <c r="X374" s="146"/>
      <c r="Y374" s="146"/>
      <c r="Z374" s="146"/>
    </row>
    <row r="375" ht="22.5" customHeight="1">
      <c r="A375" s="329"/>
      <c r="B375" s="274"/>
      <c r="C375" s="138"/>
      <c r="D375" s="118"/>
      <c r="E375" s="138"/>
      <c r="F375" s="138"/>
      <c r="G375" s="330"/>
      <c r="H375" s="146"/>
      <c r="I375" s="146"/>
      <c r="J375" s="146"/>
      <c r="K375" s="146"/>
      <c r="L375" s="146"/>
      <c r="M375" s="146"/>
      <c r="N375" s="146"/>
      <c r="O375" s="146"/>
      <c r="P375" s="146"/>
      <c r="Q375" s="146"/>
      <c r="R375" s="146"/>
      <c r="S375" s="146"/>
      <c r="T375" s="146"/>
      <c r="U375" s="146"/>
      <c r="V375" s="146"/>
      <c r="W375" s="146"/>
      <c r="X375" s="146"/>
      <c r="Y375" s="146"/>
      <c r="Z375" s="146"/>
    </row>
    <row r="376" ht="22.5" customHeight="1">
      <c r="A376" s="329"/>
      <c r="B376" s="274"/>
      <c r="C376" s="138"/>
      <c r="D376" s="118"/>
      <c r="E376" s="138"/>
      <c r="F376" s="138"/>
      <c r="G376" s="330"/>
      <c r="H376" s="146"/>
      <c r="I376" s="146"/>
      <c r="J376" s="146"/>
      <c r="K376" s="146"/>
      <c r="L376" s="146"/>
      <c r="M376" s="146"/>
      <c r="N376" s="146"/>
      <c r="O376" s="146"/>
      <c r="P376" s="146"/>
      <c r="Q376" s="146"/>
      <c r="R376" s="146"/>
      <c r="S376" s="146"/>
      <c r="T376" s="146"/>
      <c r="U376" s="146"/>
      <c r="V376" s="146"/>
      <c r="W376" s="146"/>
      <c r="X376" s="146"/>
      <c r="Y376" s="146"/>
      <c r="Z376" s="146"/>
    </row>
    <row r="377" ht="22.5" customHeight="1">
      <c r="A377" s="329"/>
      <c r="B377" s="274"/>
      <c r="C377" s="138"/>
      <c r="D377" s="118"/>
      <c r="E377" s="138"/>
      <c r="F377" s="138"/>
      <c r="G377" s="330"/>
      <c r="H377" s="146"/>
      <c r="I377" s="146"/>
      <c r="J377" s="146"/>
      <c r="K377" s="146"/>
      <c r="L377" s="146"/>
      <c r="M377" s="146"/>
      <c r="N377" s="146"/>
      <c r="O377" s="146"/>
      <c r="P377" s="146"/>
      <c r="Q377" s="146"/>
      <c r="R377" s="146"/>
      <c r="S377" s="146"/>
      <c r="T377" s="146"/>
      <c r="U377" s="146"/>
      <c r="V377" s="146"/>
      <c r="W377" s="146"/>
      <c r="X377" s="146"/>
      <c r="Y377" s="146"/>
      <c r="Z377" s="146"/>
    </row>
    <row r="378" ht="22.5" customHeight="1">
      <c r="A378" s="329"/>
      <c r="B378" s="274"/>
      <c r="C378" s="138"/>
      <c r="D378" s="118"/>
      <c r="E378" s="138"/>
      <c r="F378" s="138"/>
      <c r="G378" s="330"/>
      <c r="H378" s="146"/>
      <c r="I378" s="146"/>
      <c r="J378" s="146"/>
      <c r="K378" s="146"/>
      <c r="L378" s="146"/>
      <c r="M378" s="146"/>
      <c r="N378" s="146"/>
      <c r="O378" s="146"/>
      <c r="P378" s="146"/>
      <c r="Q378" s="146"/>
      <c r="R378" s="146"/>
      <c r="S378" s="146"/>
      <c r="T378" s="146"/>
      <c r="U378" s="146"/>
      <c r="V378" s="146"/>
      <c r="W378" s="146"/>
      <c r="X378" s="146"/>
      <c r="Y378" s="146"/>
      <c r="Z378" s="146"/>
    </row>
    <row r="379" ht="22.5" customHeight="1">
      <c r="A379" s="329"/>
      <c r="B379" s="274"/>
      <c r="C379" s="138"/>
      <c r="D379" s="118"/>
      <c r="E379" s="138"/>
      <c r="F379" s="138"/>
      <c r="G379" s="330"/>
      <c r="H379" s="146"/>
      <c r="I379" s="146"/>
      <c r="J379" s="146"/>
      <c r="K379" s="146"/>
      <c r="L379" s="146"/>
      <c r="M379" s="146"/>
      <c r="N379" s="146"/>
      <c r="O379" s="146"/>
      <c r="P379" s="146"/>
      <c r="Q379" s="146"/>
      <c r="R379" s="146"/>
      <c r="S379" s="146"/>
      <c r="T379" s="146"/>
      <c r="U379" s="146"/>
      <c r="V379" s="146"/>
      <c r="W379" s="146"/>
      <c r="X379" s="146"/>
      <c r="Y379" s="146"/>
      <c r="Z379" s="146"/>
    </row>
    <row r="380" ht="22.5" customHeight="1">
      <c r="A380" s="329"/>
      <c r="B380" s="274"/>
      <c r="C380" s="138"/>
      <c r="D380" s="118"/>
      <c r="E380" s="138"/>
      <c r="F380" s="138"/>
      <c r="G380" s="330"/>
      <c r="H380" s="146"/>
      <c r="I380" s="146"/>
      <c r="J380" s="146"/>
      <c r="K380" s="146"/>
      <c r="L380" s="146"/>
      <c r="M380" s="146"/>
      <c r="N380" s="146"/>
      <c r="O380" s="146"/>
      <c r="P380" s="146"/>
      <c r="Q380" s="146"/>
      <c r="R380" s="146"/>
      <c r="S380" s="146"/>
      <c r="T380" s="146"/>
      <c r="U380" s="146"/>
      <c r="V380" s="146"/>
      <c r="W380" s="146"/>
      <c r="X380" s="146"/>
      <c r="Y380" s="146"/>
      <c r="Z380" s="146"/>
    </row>
    <row r="381" ht="22.5" customHeight="1">
      <c r="A381" s="329"/>
      <c r="B381" s="274"/>
      <c r="C381" s="138"/>
      <c r="D381" s="118"/>
      <c r="E381" s="138"/>
      <c r="F381" s="138"/>
      <c r="G381" s="330"/>
      <c r="H381" s="146"/>
      <c r="I381" s="146"/>
      <c r="J381" s="146"/>
      <c r="K381" s="146"/>
      <c r="L381" s="146"/>
      <c r="M381" s="146"/>
      <c r="N381" s="146"/>
      <c r="O381" s="146"/>
      <c r="P381" s="146"/>
      <c r="Q381" s="146"/>
      <c r="R381" s="146"/>
      <c r="S381" s="146"/>
      <c r="T381" s="146"/>
      <c r="U381" s="146"/>
      <c r="V381" s="146"/>
      <c r="W381" s="146"/>
      <c r="X381" s="146"/>
      <c r="Y381" s="146"/>
      <c r="Z381" s="146"/>
    </row>
    <row r="382" ht="22.5" customHeight="1">
      <c r="A382" s="329"/>
      <c r="B382" s="274"/>
      <c r="C382" s="138"/>
      <c r="D382" s="118"/>
      <c r="E382" s="138"/>
      <c r="F382" s="138"/>
      <c r="G382" s="330"/>
      <c r="H382" s="146"/>
      <c r="I382" s="146"/>
      <c r="J382" s="146"/>
      <c r="K382" s="146"/>
      <c r="L382" s="146"/>
      <c r="M382" s="146"/>
      <c r="N382" s="146"/>
      <c r="O382" s="146"/>
      <c r="P382" s="146"/>
      <c r="Q382" s="146"/>
      <c r="R382" s="146"/>
      <c r="S382" s="146"/>
      <c r="T382" s="146"/>
      <c r="U382" s="146"/>
      <c r="V382" s="146"/>
      <c r="W382" s="146"/>
      <c r="X382" s="146"/>
      <c r="Y382" s="146"/>
      <c r="Z382" s="146"/>
    </row>
    <row r="383" ht="22.5" customHeight="1">
      <c r="A383" s="329"/>
      <c r="B383" s="274"/>
      <c r="C383" s="138"/>
      <c r="D383" s="118"/>
      <c r="E383" s="138"/>
      <c r="F383" s="138"/>
      <c r="G383" s="330"/>
      <c r="H383" s="146"/>
      <c r="I383" s="146"/>
      <c r="J383" s="146"/>
      <c r="K383" s="146"/>
      <c r="L383" s="146"/>
      <c r="M383" s="146"/>
      <c r="N383" s="146"/>
      <c r="O383" s="146"/>
      <c r="P383" s="146"/>
      <c r="Q383" s="146"/>
      <c r="R383" s="146"/>
      <c r="S383" s="146"/>
      <c r="T383" s="146"/>
      <c r="U383" s="146"/>
      <c r="V383" s="146"/>
      <c r="W383" s="146"/>
      <c r="X383" s="146"/>
      <c r="Y383" s="146"/>
      <c r="Z383" s="146"/>
    </row>
    <row r="384" ht="22.5" customHeight="1">
      <c r="A384" s="329"/>
      <c r="B384" s="274"/>
      <c r="C384" s="138"/>
      <c r="D384" s="118"/>
      <c r="E384" s="138"/>
      <c r="F384" s="138"/>
      <c r="G384" s="330"/>
      <c r="H384" s="146"/>
      <c r="I384" s="146"/>
      <c r="J384" s="146"/>
      <c r="K384" s="146"/>
      <c r="L384" s="146"/>
      <c r="M384" s="146"/>
      <c r="N384" s="146"/>
      <c r="O384" s="146"/>
      <c r="P384" s="146"/>
      <c r="Q384" s="146"/>
      <c r="R384" s="146"/>
      <c r="S384" s="146"/>
      <c r="T384" s="146"/>
      <c r="U384" s="146"/>
      <c r="V384" s="146"/>
      <c r="W384" s="146"/>
      <c r="X384" s="146"/>
      <c r="Y384" s="146"/>
      <c r="Z384" s="146"/>
    </row>
    <row r="385" ht="22.5" customHeight="1">
      <c r="A385" s="329"/>
      <c r="B385" s="274"/>
      <c r="C385" s="138"/>
      <c r="D385" s="118"/>
      <c r="E385" s="138"/>
      <c r="F385" s="138"/>
      <c r="G385" s="330"/>
      <c r="H385" s="146"/>
      <c r="I385" s="146"/>
      <c r="J385" s="146"/>
      <c r="K385" s="146"/>
      <c r="L385" s="146"/>
      <c r="M385" s="146"/>
      <c r="N385" s="146"/>
      <c r="O385" s="146"/>
      <c r="P385" s="146"/>
      <c r="Q385" s="146"/>
      <c r="R385" s="146"/>
      <c r="S385" s="146"/>
      <c r="T385" s="146"/>
      <c r="U385" s="146"/>
      <c r="V385" s="146"/>
      <c r="W385" s="146"/>
      <c r="X385" s="146"/>
      <c r="Y385" s="146"/>
      <c r="Z385" s="146"/>
    </row>
    <row r="386" ht="22.5" customHeight="1">
      <c r="A386" s="329"/>
      <c r="B386" s="274"/>
      <c r="C386" s="138"/>
      <c r="D386" s="118"/>
      <c r="E386" s="138"/>
      <c r="F386" s="138"/>
      <c r="G386" s="330"/>
      <c r="H386" s="146"/>
      <c r="I386" s="146"/>
      <c r="J386" s="146"/>
      <c r="K386" s="146"/>
      <c r="L386" s="146"/>
      <c r="M386" s="146"/>
      <c r="N386" s="146"/>
      <c r="O386" s="146"/>
      <c r="P386" s="146"/>
      <c r="Q386" s="146"/>
      <c r="R386" s="146"/>
      <c r="S386" s="146"/>
      <c r="T386" s="146"/>
      <c r="U386" s="146"/>
      <c r="V386" s="146"/>
      <c r="W386" s="146"/>
      <c r="X386" s="146"/>
      <c r="Y386" s="146"/>
      <c r="Z386" s="146"/>
    </row>
    <row r="387" ht="22.5" customHeight="1">
      <c r="A387" s="329"/>
      <c r="B387" s="274"/>
      <c r="C387" s="138"/>
      <c r="D387" s="118"/>
      <c r="E387" s="138"/>
      <c r="F387" s="138"/>
      <c r="G387" s="330"/>
      <c r="H387" s="146"/>
      <c r="I387" s="146"/>
      <c r="J387" s="146"/>
      <c r="K387" s="146"/>
      <c r="L387" s="146"/>
      <c r="M387" s="146"/>
      <c r="N387" s="146"/>
      <c r="O387" s="146"/>
      <c r="P387" s="146"/>
      <c r="Q387" s="146"/>
      <c r="R387" s="146"/>
      <c r="S387" s="146"/>
      <c r="T387" s="146"/>
      <c r="U387" s="146"/>
      <c r="V387" s="146"/>
      <c r="W387" s="146"/>
      <c r="X387" s="146"/>
      <c r="Y387" s="146"/>
      <c r="Z387" s="146"/>
    </row>
    <row r="388" ht="22.5" customHeight="1">
      <c r="A388" s="329"/>
      <c r="B388" s="274"/>
      <c r="C388" s="138"/>
      <c r="D388" s="118"/>
      <c r="E388" s="138"/>
      <c r="F388" s="138"/>
      <c r="G388" s="330"/>
      <c r="H388" s="146"/>
      <c r="I388" s="146"/>
      <c r="J388" s="146"/>
      <c r="K388" s="146"/>
      <c r="L388" s="146"/>
      <c r="M388" s="146"/>
      <c r="N388" s="146"/>
      <c r="O388" s="146"/>
      <c r="P388" s="146"/>
      <c r="Q388" s="146"/>
      <c r="R388" s="146"/>
      <c r="S388" s="146"/>
      <c r="T388" s="146"/>
      <c r="U388" s="146"/>
      <c r="V388" s="146"/>
      <c r="W388" s="146"/>
      <c r="X388" s="146"/>
      <c r="Y388" s="146"/>
      <c r="Z388" s="146"/>
    </row>
    <row r="389" ht="22.5" customHeight="1">
      <c r="A389" s="329"/>
      <c r="B389" s="274"/>
      <c r="C389" s="138"/>
      <c r="D389" s="118"/>
      <c r="E389" s="138"/>
      <c r="F389" s="138"/>
      <c r="G389" s="330"/>
      <c r="H389" s="146"/>
      <c r="I389" s="146"/>
      <c r="J389" s="146"/>
      <c r="K389" s="146"/>
      <c r="L389" s="146"/>
      <c r="M389" s="146"/>
      <c r="N389" s="146"/>
      <c r="O389" s="146"/>
      <c r="P389" s="146"/>
      <c r="Q389" s="146"/>
      <c r="R389" s="146"/>
      <c r="S389" s="146"/>
      <c r="T389" s="146"/>
      <c r="U389" s="146"/>
      <c r="V389" s="146"/>
      <c r="W389" s="146"/>
      <c r="X389" s="146"/>
      <c r="Y389" s="146"/>
      <c r="Z389" s="146"/>
    </row>
    <row r="390" ht="22.5" customHeight="1">
      <c r="A390" s="329"/>
      <c r="B390" s="274"/>
      <c r="C390" s="138"/>
      <c r="D390" s="118"/>
      <c r="E390" s="138"/>
      <c r="F390" s="138"/>
      <c r="G390" s="330"/>
      <c r="H390" s="146"/>
      <c r="I390" s="146"/>
      <c r="J390" s="146"/>
      <c r="K390" s="146"/>
      <c r="L390" s="146"/>
      <c r="M390" s="146"/>
      <c r="N390" s="146"/>
      <c r="O390" s="146"/>
      <c r="P390" s="146"/>
      <c r="Q390" s="146"/>
      <c r="R390" s="146"/>
      <c r="S390" s="146"/>
      <c r="T390" s="146"/>
      <c r="U390" s="146"/>
      <c r="V390" s="146"/>
      <c r="W390" s="146"/>
      <c r="X390" s="146"/>
      <c r="Y390" s="146"/>
      <c r="Z390" s="146"/>
    </row>
    <row r="391" ht="22.5" customHeight="1">
      <c r="A391" s="329"/>
      <c r="B391" s="274"/>
      <c r="C391" s="138"/>
      <c r="D391" s="118"/>
      <c r="E391" s="138"/>
      <c r="F391" s="138"/>
      <c r="G391" s="330"/>
      <c r="H391" s="146"/>
      <c r="I391" s="146"/>
      <c r="J391" s="146"/>
      <c r="K391" s="146"/>
      <c r="L391" s="146"/>
      <c r="M391" s="146"/>
      <c r="N391" s="146"/>
      <c r="O391" s="146"/>
      <c r="P391" s="146"/>
      <c r="Q391" s="146"/>
      <c r="R391" s="146"/>
      <c r="S391" s="146"/>
      <c r="T391" s="146"/>
      <c r="U391" s="146"/>
      <c r="V391" s="146"/>
      <c r="W391" s="146"/>
      <c r="X391" s="146"/>
      <c r="Y391" s="146"/>
      <c r="Z391" s="146"/>
    </row>
    <row r="392" ht="22.5" customHeight="1">
      <c r="A392" s="329"/>
      <c r="B392" s="274"/>
      <c r="C392" s="138"/>
      <c r="D392" s="118"/>
      <c r="E392" s="138"/>
      <c r="F392" s="138"/>
      <c r="G392" s="330"/>
      <c r="H392" s="146"/>
      <c r="I392" s="146"/>
      <c r="J392" s="146"/>
      <c r="K392" s="146"/>
      <c r="L392" s="146"/>
      <c r="M392" s="146"/>
      <c r="N392" s="146"/>
      <c r="O392" s="146"/>
      <c r="P392" s="146"/>
      <c r="Q392" s="146"/>
      <c r="R392" s="146"/>
      <c r="S392" s="146"/>
      <c r="T392" s="146"/>
      <c r="U392" s="146"/>
      <c r="V392" s="146"/>
      <c r="W392" s="146"/>
      <c r="X392" s="146"/>
      <c r="Y392" s="146"/>
      <c r="Z392" s="146"/>
    </row>
    <row r="393" ht="22.5" customHeight="1">
      <c r="A393" s="329"/>
      <c r="B393" s="274"/>
      <c r="C393" s="138"/>
      <c r="D393" s="118"/>
      <c r="E393" s="138"/>
      <c r="F393" s="138"/>
      <c r="G393" s="330"/>
      <c r="H393" s="146"/>
      <c r="I393" s="146"/>
      <c r="J393" s="146"/>
      <c r="K393" s="146"/>
      <c r="L393" s="146"/>
      <c r="M393" s="146"/>
      <c r="N393" s="146"/>
      <c r="O393" s="146"/>
      <c r="P393" s="146"/>
      <c r="Q393" s="146"/>
      <c r="R393" s="146"/>
      <c r="S393" s="146"/>
      <c r="T393" s="146"/>
      <c r="U393" s="146"/>
      <c r="V393" s="146"/>
      <c r="W393" s="146"/>
      <c r="X393" s="146"/>
      <c r="Y393" s="146"/>
      <c r="Z393" s="146"/>
    </row>
    <row r="394" ht="22.5" customHeight="1">
      <c r="A394" s="329"/>
      <c r="B394" s="274"/>
      <c r="C394" s="138"/>
      <c r="D394" s="118"/>
      <c r="E394" s="138"/>
      <c r="F394" s="138"/>
      <c r="G394" s="330"/>
      <c r="H394" s="146"/>
      <c r="I394" s="146"/>
      <c r="J394" s="146"/>
      <c r="K394" s="146"/>
      <c r="L394" s="146"/>
      <c r="M394" s="146"/>
      <c r="N394" s="146"/>
      <c r="O394" s="146"/>
      <c r="P394" s="146"/>
      <c r="Q394" s="146"/>
      <c r="R394" s="146"/>
      <c r="S394" s="146"/>
      <c r="T394" s="146"/>
      <c r="U394" s="146"/>
      <c r="V394" s="146"/>
      <c r="W394" s="146"/>
      <c r="X394" s="146"/>
      <c r="Y394" s="146"/>
      <c r="Z394" s="146"/>
    </row>
    <row r="395" ht="22.5" customHeight="1">
      <c r="A395" s="329"/>
      <c r="B395" s="274"/>
      <c r="C395" s="138"/>
      <c r="D395" s="118"/>
      <c r="E395" s="138"/>
      <c r="F395" s="138"/>
      <c r="G395" s="330"/>
      <c r="H395" s="146"/>
      <c r="I395" s="146"/>
      <c r="J395" s="146"/>
      <c r="K395" s="146"/>
      <c r="L395" s="146"/>
      <c r="M395" s="146"/>
      <c r="N395" s="146"/>
      <c r="O395" s="146"/>
      <c r="P395" s="146"/>
      <c r="Q395" s="146"/>
      <c r="R395" s="146"/>
      <c r="S395" s="146"/>
      <c r="T395" s="146"/>
      <c r="U395" s="146"/>
      <c r="V395" s="146"/>
      <c r="W395" s="146"/>
      <c r="X395" s="146"/>
      <c r="Y395" s="146"/>
      <c r="Z395" s="146"/>
    </row>
    <row r="396" ht="22.5" customHeight="1">
      <c r="A396" s="329"/>
      <c r="B396" s="274"/>
      <c r="C396" s="138"/>
      <c r="D396" s="118"/>
      <c r="E396" s="138"/>
      <c r="F396" s="138"/>
      <c r="G396" s="330"/>
      <c r="H396" s="146"/>
      <c r="I396" s="146"/>
      <c r="J396" s="146"/>
      <c r="K396" s="146"/>
      <c r="L396" s="146"/>
      <c r="M396" s="146"/>
      <c r="N396" s="146"/>
      <c r="O396" s="146"/>
      <c r="P396" s="146"/>
      <c r="Q396" s="146"/>
      <c r="R396" s="146"/>
      <c r="S396" s="146"/>
      <c r="T396" s="146"/>
      <c r="U396" s="146"/>
      <c r="V396" s="146"/>
      <c r="W396" s="146"/>
      <c r="X396" s="146"/>
      <c r="Y396" s="146"/>
      <c r="Z396" s="146"/>
    </row>
    <row r="397" ht="22.5" customHeight="1">
      <c r="A397" s="329"/>
      <c r="B397" s="274"/>
      <c r="C397" s="138"/>
      <c r="D397" s="118"/>
      <c r="E397" s="138"/>
      <c r="F397" s="138"/>
      <c r="G397" s="330"/>
      <c r="H397" s="146"/>
      <c r="I397" s="146"/>
      <c r="J397" s="146"/>
      <c r="K397" s="146"/>
      <c r="L397" s="146"/>
      <c r="M397" s="146"/>
      <c r="N397" s="146"/>
      <c r="O397" s="146"/>
      <c r="P397" s="146"/>
      <c r="Q397" s="146"/>
      <c r="R397" s="146"/>
      <c r="S397" s="146"/>
      <c r="T397" s="146"/>
      <c r="U397" s="146"/>
      <c r="V397" s="146"/>
      <c r="W397" s="146"/>
      <c r="X397" s="146"/>
      <c r="Y397" s="146"/>
      <c r="Z397" s="146"/>
    </row>
    <row r="398" ht="22.5" customHeight="1">
      <c r="A398" s="329"/>
      <c r="B398" s="274"/>
      <c r="C398" s="138"/>
      <c r="D398" s="118"/>
      <c r="E398" s="138"/>
      <c r="F398" s="138"/>
      <c r="G398" s="330"/>
      <c r="H398" s="146"/>
      <c r="I398" s="146"/>
      <c r="J398" s="146"/>
      <c r="K398" s="146"/>
      <c r="L398" s="146"/>
      <c r="M398" s="146"/>
      <c r="N398" s="146"/>
      <c r="O398" s="146"/>
      <c r="P398" s="146"/>
      <c r="Q398" s="146"/>
      <c r="R398" s="146"/>
      <c r="S398" s="146"/>
      <c r="T398" s="146"/>
      <c r="U398" s="146"/>
      <c r="V398" s="146"/>
      <c r="W398" s="146"/>
      <c r="X398" s="146"/>
      <c r="Y398" s="146"/>
      <c r="Z398" s="146"/>
    </row>
    <row r="399" ht="22.5" customHeight="1">
      <c r="A399" s="329"/>
      <c r="B399" s="274"/>
      <c r="C399" s="138"/>
      <c r="D399" s="118"/>
      <c r="E399" s="138"/>
      <c r="F399" s="138"/>
      <c r="G399" s="330"/>
      <c r="H399" s="146"/>
      <c r="I399" s="146"/>
      <c r="J399" s="146"/>
      <c r="K399" s="146"/>
      <c r="L399" s="146"/>
      <c r="M399" s="146"/>
      <c r="N399" s="146"/>
      <c r="O399" s="146"/>
      <c r="P399" s="146"/>
      <c r="Q399" s="146"/>
      <c r="R399" s="146"/>
      <c r="S399" s="146"/>
      <c r="T399" s="146"/>
      <c r="U399" s="146"/>
      <c r="V399" s="146"/>
      <c r="W399" s="146"/>
      <c r="X399" s="146"/>
      <c r="Y399" s="146"/>
      <c r="Z399" s="146"/>
    </row>
    <row r="400" ht="22.5" customHeight="1">
      <c r="A400" s="329"/>
      <c r="B400" s="274"/>
      <c r="C400" s="138"/>
      <c r="D400" s="118"/>
      <c r="E400" s="138"/>
      <c r="F400" s="138"/>
      <c r="G400" s="330"/>
      <c r="H400" s="146"/>
      <c r="I400" s="146"/>
      <c r="J400" s="146"/>
      <c r="K400" s="146"/>
      <c r="L400" s="146"/>
      <c r="M400" s="146"/>
      <c r="N400" s="146"/>
      <c r="O400" s="146"/>
      <c r="P400" s="146"/>
      <c r="Q400" s="146"/>
      <c r="R400" s="146"/>
      <c r="S400" s="146"/>
      <c r="T400" s="146"/>
      <c r="U400" s="146"/>
      <c r="V400" s="146"/>
      <c r="W400" s="146"/>
      <c r="X400" s="146"/>
      <c r="Y400" s="146"/>
      <c r="Z400" s="146"/>
    </row>
    <row r="401" ht="22.5" customHeight="1">
      <c r="A401" s="329"/>
      <c r="B401" s="274"/>
      <c r="C401" s="138"/>
      <c r="D401" s="118"/>
      <c r="E401" s="138"/>
      <c r="F401" s="138"/>
      <c r="G401" s="330"/>
      <c r="H401" s="146"/>
      <c r="I401" s="146"/>
      <c r="J401" s="146"/>
      <c r="K401" s="146"/>
      <c r="L401" s="146"/>
      <c r="M401" s="146"/>
      <c r="N401" s="146"/>
      <c r="O401" s="146"/>
      <c r="P401" s="146"/>
      <c r="Q401" s="146"/>
      <c r="R401" s="146"/>
      <c r="S401" s="146"/>
      <c r="T401" s="146"/>
      <c r="U401" s="146"/>
      <c r="V401" s="146"/>
      <c r="W401" s="146"/>
      <c r="X401" s="146"/>
      <c r="Y401" s="146"/>
      <c r="Z401" s="146"/>
    </row>
    <row r="402" ht="22.5" customHeight="1">
      <c r="A402" s="329"/>
      <c r="B402" s="274"/>
      <c r="C402" s="138"/>
      <c r="D402" s="118"/>
      <c r="E402" s="138"/>
      <c r="F402" s="138"/>
      <c r="G402" s="330"/>
      <c r="H402" s="146"/>
      <c r="I402" s="146"/>
      <c r="J402" s="146"/>
      <c r="K402" s="146"/>
      <c r="L402" s="146"/>
      <c r="M402" s="146"/>
      <c r="N402" s="146"/>
      <c r="O402" s="146"/>
      <c r="P402" s="146"/>
      <c r="Q402" s="146"/>
      <c r="R402" s="146"/>
      <c r="S402" s="146"/>
      <c r="T402" s="146"/>
      <c r="U402" s="146"/>
      <c r="V402" s="146"/>
      <c r="W402" s="146"/>
      <c r="X402" s="146"/>
      <c r="Y402" s="146"/>
      <c r="Z402" s="146"/>
    </row>
    <row r="403" ht="22.5" customHeight="1">
      <c r="A403" s="329"/>
      <c r="B403" s="274"/>
      <c r="C403" s="138"/>
      <c r="D403" s="118"/>
      <c r="E403" s="138"/>
      <c r="F403" s="138"/>
      <c r="G403" s="330"/>
      <c r="H403" s="146"/>
      <c r="I403" s="146"/>
      <c r="J403" s="146"/>
      <c r="K403" s="146"/>
      <c r="L403" s="146"/>
      <c r="M403" s="146"/>
      <c r="N403" s="146"/>
      <c r="O403" s="146"/>
      <c r="P403" s="146"/>
      <c r="Q403" s="146"/>
      <c r="R403" s="146"/>
      <c r="S403" s="146"/>
      <c r="T403" s="146"/>
      <c r="U403" s="146"/>
      <c r="V403" s="146"/>
      <c r="W403" s="146"/>
      <c r="X403" s="146"/>
      <c r="Y403" s="146"/>
      <c r="Z403" s="146"/>
    </row>
    <row r="404" ht="22.5" customHeight="1">
      <c r="A404" s="329"/>
      <c r="B404" s="274"/>
      <c r="C404" s="138"/>
      <c r="D404" s="118"/>
      <c r="E404" s="138"/>
      <c r="F404" s="138"/>
      <c r="G404" s="330"/>
      <c r="H404" s="146"/>
      <c r="I404" s="146"/>
      <c r="J404" s="146"/>
      <c r="K404" s="146"/>
      <c r="L404" s="146"/>
      <c r="M404" s="146"/>
      <c r="N404" s="146"/>
      <c r="O404" s="146"/>
      <c r="P404" s="146"/>
      <c r="Q404" s="146"/>
      <c r="R404" s="146"/>
      <c r="S404" s="146"/>
      <c r="T404" s="146"/>
      <c r="U404" s="146"/>
      <c r="V404" s="146"/>
      <c r="W404" s="146"/>
      <c r="X404" s="146"/>
      <c r="Y404" s="146"/>
      <c r="Z404" s="146"/>
    </row>
    <row r="405" ht="22.5" customHeight="1">
      <c r="A405" s="329"/>
      <c r="B405" s="274"/>
      <c r="C405" s="138"/>
      <c r="D405" s="118"/>
      <c r="E405" s="138"/>
      <c r="F405" s="138"/>
      <c r="G405" s="330"/>
      <c r="H405" s="146"/>
      <c r="I405" s="146"/>
      <c r="J405" s="146"/>
      <c r="K405" s="146"/>
      <c r="L405" s="146"/>
      <c r="M405" s="146"/>
      <c r="N405" s="146"/>
      <c r="O405" s="146"/>
      <c r="P405" s="146"/>
      <c r="Q405" s="146"/>
      <c r="R405" s="146"/>
      <c r="S405" s="146"/>
      <c r="T405" s="146"/>
      <c r="U405" s="146"/>
      <c r="V405" s="146"/>
      <c r="W405" s="146"/>
      <c r="X405" s="146"/>
      <c r="Y405" s="146"/>
      <c r="Z405" s="146"/>
    </row>
    <row r="406" ht="22.5" customHeight="1">
      <c r="A406" s="329"/>
      <c r="B406" s="274"/>
      <c r="C406" s="138"/>
      <c r="D406" s="118"/>
      <c r="E406" s="138"/>
      <c r="F406" s="138"/>
      <c r="G406" s="330"/>
      <c r="H406" s="146"/>
      <c r="I406" s="146"/>
      <c r="J406" s="146"/>
      <c r="K406" s="146"/>
      <c r="L406" s="146"/>
      <c r="M406" s="146"/>
      <c r="N406" s="146"/>
      <c r="O406" s="146"/>
      <c r="P406" s="146"/>
      <c r="Q406" s="146"/>
      <c r="R406" s="146"/>
      <c r="S406" s="146"/>
      <c r="T406" s="146"/>
      <c r="U406" s="146"/>
      <c r="V406" s="146"/>
      <c r="W406" s="146"/>
      <c r="X406" s="146"/>
      <c r="Y406" s="146"/>
      <c r="Z406" s="146"/>
    </row>
    <row r="407" ht="22.5" customHeight="1">
      <c r="A407" s="329"/>
      <c r="B407" s="274"/>
      <c r="C407" s="138"/>
      <c r="D407" s="118"/>
      <c r="E407" s="138"/>
      <c r="F407" s="138"/>
      <c r="G407" s="330"/>
      <c r="H407" s="146"/>
      <c r="I407" s="146"/>
      <c r="J407" s="146"/>
      <c r="K407" s="146"/>
      <c r="L407" s="146"/>
      <c r="M407" s="146"/>
      <c r="N407" s="146"/>
      <c r="O407" s="146"/>
      <c r="P407" s="146"/>
      <c r="Q407" s="146"/>
      <c r="R407" s="146"/>
      <c r="S407" s="146"/>
      <c r="T407" s="146"/>
      <c r="U407" s="146"/>
      <c r="V407" s="146"/>
      <c r="W407" s="146"/>
      <c r="X407" s="146"/>
      <c r="Y407" s="146"/>
      <c r="Z407" s="146"/>
    </row>
    <row r="408" ht="22.5" customHeight="1">
      <c r="A408" s="329"/>
      <c r="B408" s="274"/>
      <c r="C408" s="138"/>
      <c r="D408" s="118"/>
      <c r="E408" s="138"/>
      <c r="F408" s="138"/>
      <c r="G408" s="330"/>
      <c r="H408" s="146"/>
      <c r="I408" s="146"/>
      <c r="J408" s="146"/>
      <c r="K408" s="146"/>
      <c r="L408" s="146"/>
      <c r="M408" s="146"/>
      <c r="N408" s="146"/>
      <c r="O408" s="146"/>
      <c r="P408" s="146"/>
      <c r="Q408" s="146"/>
      <c r="R408" s="146"/>
      <c r="S408" s="146"/>
      <c r="T408" s="146"/>
      <c r="U408" s="146"/>
      <c r="V408" s="146"/>
      <c r="W408" s="146"/>
      <c r="X408" s="146"/>
      <c r="Y408" s="146"/>
      <c r="Z408" s="146"/>
    </row>
    <row r="409" ht="22.5" customHeight="1">
      <c r="A409" s="329"/>
      <c r="B409" s="274"/>
      <c r="C409" s="138"/>
      <c r="D409" s="118"/>
      <c r="E409" s="138"/>
      <c r="F409" s="138"/>
      <c r="G409" s="330"/>
      <c r="H409" s="146"/>
      <c r="I409" s="146"/>
      <c r="J409" s="146"/>
      <c r="K409" s="146"/>
      <c r="L409" s="146"/>
      <c r="M409" s="146"/>
      <c r="N409" s="146"/>
      <c r="O409" s="146"/>
      <c r="P409" s="146"/>
      <c r="Q409" s="146"/>
      <c r="R409" s="146"/>
      <c r="S409" s="146"/>
      <c r="T409" s="146"/>
      <c r="U409" s="146"/>
      <c r="V409" s="146"/>
      <c r="W409" s="146"/>
      <c r="X409" s="146"/>
      <c r="Y409" s="146"/>
      <c r="Z409" s="146"/>
    </row>
    <row r="410" ht="22.5" customHeight="1">
      <c r="A410" s="329"/>
      <c r="B410" s="274"/>
      <c r="C410" s="138"/>
      <c r="D410" s="118"/>
      <c r="E410" s="138"/>
      <c r="F410" s="138"/>
      <c r="G410" s="330"/>
      <c r="H410" s="146"/>
      <c r="I410" s="146"/>
      <c r="J410" s="146"/>
      <c r="K410" s="146"/>
      <c r="L410" s="146"/>
      <c r="M410" s="146"/>
      <c r="N410" s="146"/>
      <c r="O410" s="146"/>
      <c r="P410" s="146"/>
      <c r="Q410" s="146"/>
      <c r="R410" s="146"/>
      <c r="S410" s="146"/>
      <c r="T410" s="146"/>
      <c r="U410" s="146"/>
      <c r="V410" s="146"/>
      <c r="W410" s="146"/>
      <c r="X410" s="146"/>
      <c r="Y410" s="146"/>
      <c r="Z410" s="146"/>
    </row>
    <row r="411" ht="22.5" customHeight="1">
      <c r="A411" s="329"/>
      <c r="B411" s="274"/>
      <c r="C411" s="138"/>
      <c r="D411" s="118"/>
      <c r="E411" s="138"/>
      <c r="F411" s="138"/>
      <c r="G411" s="330"/>
      <c r="H411" s="146"/>
      <c r="I411" s="146"/>
      <c r="J411" s="146"/>
      <c r="K411" s="146"/>
      <c r="L411" s="146"/>
      <c r="M411" s="146"/>
      <c r="N411" s="146"/>
      <c r="O411" s="146"/>
      <c r="P411" s="146"/>
      <c r="Q411" s="146"/>
      <c r="R411" s="146"/>
      <c r="S411" s="146"/>
      <c r="T411" s="146"/>
      <c r="U411" s="146"/>
      <c r="V411" s="146"/>
      <c r="W411" s="146"/>
      <c r="X411" s="146"/>
      <c r="Y411" s="146"/>
      <c r="Z411" s="146"/>
    </row>
    <row r="412" ht="22.5" customHeight="1">
      <c r="A412" s="329"/>
      <c r="B412" s="274"/>
      <c r="C412" s="138"/>
      <c r="D412" s="118"/>
      <c r="E412" s="138"/>
      <c r="F412" s="138"/>
      <c r="G412" s="330"/>
      <c r="H412" s="146"/>
      <c r="I412" s="146"/>
      <c r="J412" s="146"/>
      <c r="K412" s="146"/>
      <c r="L412" s="146"/>
      <c r="M412" s="146"/>
      <c r="N412" s="146"/>
      <c r="O412" s="146"/>
      <c r="P412" s="146"/>
      <c r="Q412" s="146"/>
      <c r="R412" s="146"/>
      <c r="S412" s="146"/>
      <c r="T412" s="146"/>
      <c r="U412" s="146"/>
      <c r="V412" s="146"/>
      <c r="W412" s="146"/>
      <c r="X412" s="146"/>
      <c r="Y412" s="146"/>
      <c r="Z412" s="146"/>
    </row>
    <row r="413" ht="22.5" customHeight="1">
      <c r="A413" s="329"/>
      <c r="B413" s="274"/>
      <c r="C413" s="138"/>
      <c r="D413" s="118"/>
      <c r="E413" s="138"/>
      <c r="F413" s="138"/>
      <c r="G413" s="330"/>
      <c r="H413" s="146"/>
      <c r="I413" s="146"/>
      <c r="J413" s="146"/>
      <c r="K413" s="146"/>
      <c r="L413" s="146"/>
      <c r="M413" s="146"/>
      <c r="N413" s="146"/>
      <c r="O413" s="146"/>
      <c r="P413" s="146"/>
      <c r="Q413" s="146"/>
      <c r="R413" s="146"/>
      <c r="S413" s="146"/>
      <c r="T413" s="146"/>
      <c r="U413" s="146"/>
      <c r="V413" s="146"/>
      <c r="W413" s="146"/>
      <c r="X413" s="146"/>
      <c r="Y413" s="146"/>
      <c r="Z413" s="146"/>
    </row>
    <row r="414" ht="22.5" customHeight="1">
      <c r="A414" s="329"/>
      <c r="B414" s="274"/>
      <c r="C414" s="138"/>
      <c r="D414" s="118"/>
      <c r="E414" s="138"/>
      <c r="F414" s="138"/>
      <c r="G414" s="330"/>
      <c r="H414" s="146"/>
      <c r="I414" s="146"/>
      <c r="J414" s="146"/>
      <c r="K414" s="146"/>
      <c r="L414" s="146"/>
      <c r="M414" s="146"/>
      <c r="N414" s="146"/>
      <c r="O414" s="146"/>
      <c r="P414" s="146"/>
      <c r="Q414" s="146"/>
      <c r="R414" s="146"/>
      <c r="S414" s="146"/>
      <c r="T414" s="146"/>
      <c r="U414" s="146"/>
      <c r="V414" s="146"/>
      <c r="W414" s="146"/>
      <c r="X414" s="146"/>
      <c r="Y414" s="146"/>
      <c r="Z414" s="146"/>
    </row>
    <row r="415" ht="22.5" customHeight="1">
      <c r="A415" s="329"/>
      <c r="B415" s="274"/>
      <c r="C415" s="138"/>
      <c r="D415" s="118"/>
      <c r="E415" s="138"/>
      <c r="F415" s="138"/>
      <c r="G415" s="330"/>
      <c r="H415" s="146"/>
      <c r="I415" s="146"/>
      <c r="J415" s="146"/>
      <c r="K415" s="146"/>
      <c r="L415" s="146"/>
      <c r="M415" s="146"/>
      <c r="N415" s="146"/>
      <c r="O415" s="146"/>
      <c r="P415" s="146"/>
      <c r="Q415" s="146"/>
      <c r="R415" s="146"/>
      <c r="S415" s="146"/>
      <c r="T415" s="146"/>
      <c r="U415" s="146"/>
      <c r="V415" s="146"/>
      <c r="W415" s="146"/>
      <c r="X415" s="146"/>
      <c r="Y415" s="146"/>
      <c r="Z415" s="146"/>
    </row>
    <row r="416" ht="22.5" customHeight="1">
      <c r="A416" s="329"/>
      <c r="B416" s="274"/>
      <c r="C416" s="138"/>
      <c r="D416" s="118"/>
      <c r="E416" s="138"/>
      <c r="F416" s="138"/>
      <c r="G416" s="330"/>
      <c r="H416" s="146"/>
      <c r="I416" s="146"/>
      <c r="J416" s="146"/>
      <c r="K416" s="146"/>
      <c r="L416" s="146"/>
      <c r="M416" s="146"/>
      <c r="N416" s="146"/>
      <c r="O416" s="146"/>
      <c r="P416" s="146"/>
      <c r="Q416" s="146"/>
      <c r="R416" s="146"/>
      <c r="S416" s="146"/>
      <c r="T416" s="146"/>
      <c r="U416" s="146"/>
      <c r="V416" s="146"/>
      <c r="W416" s="146"/>
      <c r="X416" s="146"/>
      <c r="Y416" s="146"/>
      <c r="Z416" s="146"/>
    </row>
    <row r="417" ht="22.5" customHeight="1">
      <c r="A417" s="329"/>
      <c r="B417" s="274"/>
      <c r="C417" s="138"/>
      <c r="D417" s="118"/>
      <c r="E417" s="138"/>
      <c r="F417" s="138"/>
      <c r="G417" s="330"/>
      <c r="H417" s="146"/>
      <c r="I417" s="146"/>
      <c r="J417" s="146"/>
      <c r="K417" s="146"/>
      <c r="L417" s="146"/>
      <c r="M417" s="146"/>
      <c r="N417" s="146"/>
      <c r="O417" s="146"/>
      <c r="P417" s="146"/>
      <c r="Q417" s="146"/>
      <c r="R417" s="146"/>
      <c r="S417" s="146"/>
      <c r="T417" s="146"/>
      <c r="U417" s="146"/>
      <c r="V417" s="146"/>
      <c r="W417" s="146"/>
      <c r="X417" s="146"/>
      <c r="Y417" s="146"/>
      <c r="Z417" s="146"/>
    </row>
    <row r="418" ht="22.5" customHeight="1">
      <c r="A418" s="329"/>
      <c r="B418" s="274"/>
      <c r="C418" s="138"/>
      <c r="D418" s="118"/>
      <c r="E418" s="138"/>
      <c r="F418" s="138"/>
      <c r="G418" s="330"/>
      <c r="H418" s="146"/>
      <c r="I418" s="146"/>
      <c r="J418" s="146"/>
      <c r="K418" s="146"/>
      <c r="L418" s="146"/>
      <c r="M418" s="146"/>
      <c r="N418" s="146"/>
      <c r="O418" s="146"/>
      <c r="P418" s="146"/>
      <c r="Q418" s="146"/>
      <c r="R418" s="146"/>
      <c r="S418" s="146"/>
      <c r="T418" s="146"/>
      <c r="U418" s="146"/>
      <c r="V418" s="146"/>
      <c r="W418" s="146"/>
      <c r="X418" s="146"/>
      <c r="Y418" s="146"/>
      <c r="Z418" s="146"/>
    </row>
    <row r="419" ht="22.5" customHeight="1">
      <c r="A419" s="329"/>
      <c r="B419" s="274"/>
      <c r="C419" s="138"/>
      <c r="D419" s="118"/>
      <c r="E419" s="138"/>
      <c r="F419" s="138"/>
      <c r="G419" s="330"/>
      <c r="H419" s="146"/>
      <c r="I419" s="146"/>
      <c r="J419" s="146"/>
      <c r="K419" s="146"/>
      <c r="L419" s="146"/>
      <c r="M419" s="146"/>
      <c r="N419" s="146"/>
      <c r="O419" s="146"/>
      <c r="P419" s="146"/>
      <c r="Q419" s="146"/>
      <c r="R419" s="146"/>
      <c r="S419" s="146"/>
      <c r="T419" s="146"/>
      <c r="U419" s="146"/>
      <c r="V419" s="146"/>
      <c r="W419" s="146"/>
      <c r="X419" s="146"/>
      <c r="Y419" s="146"/>
      <c r="Z419" s="146"/>
    </row>
    <row r="420" ht="22.5" customHeight="1">
      <c r="A420" s="329"/>
      <c r="B420" s="274"/>
      <c r="C420" s="138"/>
      <c r="D420" s="118"/>
      <c r="E420" s="138"/>
      <c r="F420" s="138"/>
      <c r="G420" s="330"/>
      <c r="H420" s="146"/>
      <c r="I420" s="146"/>
      <c r="J420" s="146"/>
      <c r="K420" s="146"/>
      <c r="L420" s="146"/>
      <c r="M420" s="146"/>
      <c r="N420" s="146"/>
      <c r="O420" s="146"/>
      <c r="P420" s="146"/>
      <c r="Q420" s="146"/>
      <c r="R420" s="146"/>
      <c r="S420" s="146"/>
      <c r="T420" s="146"/>
      <c r="U420" s="146"/>
      <c r="V420" s="146"/>
      <c r="W420" s="146"/>
      <c r="X420" s="146"/>
      <c r="Y420" s="146"/>
      <c r="Z420" s="146"/>
    </row>
    <row r="421" ht="22.5" customHeight="1">
      <c r="A421" s="329"/>
      <c r="B421" s="274"/>
      <c r="C421" s="138"/>
      <c r="D421" s="118"/>
      <c r="E421" s="138"/>
      <c r="F421" s="138"/>
      <c r="G421" s="330"/>
      <c r="H421" s="146"/>
      <c r="I421" s="146"/>
      <c r="J421" s="146"/>
      <c r="K421" s="146"/>
      <c r="L421" s="146"/>
      <c r="M421" s="146"/>
      <c r="N421" s="146"/>
      <c r="O421" s="146"/>
      <c r="P421" s="146"/>
      <c r="Q421" s="146"/>
      <c r="R421" s="146"/>
      <c r="S421" s="146"/>
      <c r="T421" s="146"/>
      <c r="U421" s="146"/>
      <c r="V421" s="146"/>
      <c r="W421" s="146"/>
      <c r="X421" s="146"/>
      <c r="Y421" s="146"/>
      <c r="Z421" s="146"/>
    </row>
    <row r="422" ht="22.5" customHeight="1">
      <c r="A422" s="329"/>
      <c r="B422" s="274"/>
      <c r="C422" s="138"/>
      <c r="D422" s="118"/>
      <c r="E422" s="138"/>
      <c r="F422" s="138"/>
      <c r="G422" s="330"/>
      <c r="H422" s="146"/>
      <c r="I422" s="146"/>
      <c r="J422" s="146"/>
      <c r="K422" s="146"/>
      <c r="L422" s="146"/>
      <c r="M422" s="146"/>
      <c r="N422" s="146"/>
      <c r="O422" s="146"/>
      <c r="P422" s="146"/>
      <c r="Q422" s="146"/>
      <c r="R422" s="146"/>
      <c r="S422" s="146"/>
      <c r="T422" s="146"/>
      <c r="U422" s="146"/>
      <c r="V422" s="146"/>
      <c r="W422" s="146"/>
      <c r="X422" s="146"/>
      <c r="Y422" s="146"/>
      <c r="Z422" s="146"/>
    </row>
    <row r="423" ht="22.5" customHeight="1">
      <c r="A423" s="329"/>
      <c r="B423" s="274"/>
      <c r="C423" s="138"/>
      <c r="D423" s="118"/>
      <c r="E423" s="138"/>
      <c r="F423" s="138"/>
      <c r="G423" s="330"/>
      <c r="H423" s="146"/>
      <c r="I423" s="146"/>
      <c r="J423" s="146"/>
      <c r="K423" s="146"/>
      <c r="L423" s="146"/>
      <c r="M423" s="146"/>
      <c r="N423" s="146"/>
      <c r="O423" s="146"/>
      <c r="P423" s="146"/>
      <c r="Q423" s="146"/>
      <c r="R423" s="146"/>
      <c r="S423" s="146"/>
      <c r="T423" s="146"/>
      <c r="U423" s="146"/>
      <c r="V423" s="146"/>
      <c r="W423" s="146"/>
      <c r="X423" s="146"/>
      <c r="Y423" s="146"/>
      <c r="Z423" s="146"/>
    </row>
    <row r="424" ht="22.5" customHeight="1">
      <c r="A424" s="329"/>
      <c r="B424" s="274"/>
      <c r="C424" s="138"/>
      <c r="D424" s="118"/>
      <c r="E424" s="138"/>
      <c r="F424" s="138"/>
      <c r="G424" s="330"/>
      <c r="H424" s="146"/>
      <c r="I424" s="146"/>
      <c r="J424" s="146"/>
      <c r="K424" s="146"/>
      <c r="L424" s="146"/>
      <c r="M424" s="146"/>
      <c r="N424" s="146"/>
      <c r="O424" s="146"/>
      <c r="P424" s="146"/>
      <c r="Q424" s="146"/>
      <c r="R424" s="146"/>
      <c r="S424" s="146"/>
      <c r="T424" s="146"/>
      <c r="U424" s="146"/>
      <c r="V424" s="146"/>
      <c r="W424" s="146"/>
      <c r="X424" s="146"/>
      <c r="Y424" s="146"/>
      <c r="Z424" s="146"/>
    </row>
    <row r="425" ht="22.5" customHeight="1">
      <c r="A425" s="329"/>
      <c r="B425" s="274"/>
      <c r="C425" s="138"/>
      <c r="D425" s="118"/>
      <c r="E425" s="138"/>
      <c r="F425" s="138"/>
      <c r="G425" s="330"/>
      <c r="H425" s="146"/>
      <c r="I425" s="146"/>
      <c r="J425" s="146"/>
      <c r="K425" s="146"/>
      <c r="L425" s="146"/>
      <c r="M425" s="146"/>
      <c r="N425" s="146"/>
      <c r="O425" s="146"/>
      <c r="P425" s="146"/>
      <c r="Q425" s="146"/>
      <c r="R425" s="146"/>
      <c r="S425" s="146"/>
      <c r="T425" s="146"/>
      <c r="U425" s="146"/>
      <c r="V425" s="146"/>
      <c r="W425" s="146"/>
      <c r="X425" s="146"/>
      <c r="Y425" s="146"/>
      <c r="Z425" s="146"/>
    </row>
    <row r="426" ht="22.5" customHeight="1">
      <c r="A426" s="329"/>
      <c r="B426" s="274"/>
      <c r="C426" s="138"/>
      <c r="D426" s="118"/>
      <c r="E426" s="138"/>
      <c r="F426" s="138"/>
      <c r="G426" s="330"/>
      <c r="H426" s="146"/>
      <c r="I426" s="146"/>
      <c r="J426" s="146"/>
      <c r="K426" s="146"/>
      <c r="L426" s="146"/>
      <c r="M426" s="146"/>
      <c r="N426" s="146"/>
      <c r="O426" s="146"/>
      <c r="P426" s="146"/>
      <c r="Q426" s="146"/>
      <c r="R426" s="146"/>
      <c r="S426" s="146"/>
      <c r="T426" s="146"/>
      <c r="U426" s="146"/>
      <c r="V426" s="146"/>
      <c r="W426" s="146"/>
      <c r="X426" s="146"/>
      <c r="Y426" s="146"/>
      <c r="Z426" s="146"/>
    </row>
    <row r="427" ht="22.5" customHeight="1">
      <c r="A427" s="329"/>
      <c r="B427" s="274"/>
      <c r="C427" s="138"/>
      <c r="D427" s="118"/>
      <c r="E427" s="138"/>
      <c r="F427" s="138"/>
      <c r="G427" s="330"/>
      <c r="H427" s="146"/>
      <c r="I427" s="146"/>
      <c r="J427" s="146"/>
      <c r="K427" s="146"/>
      <c r="L427" s="146"/>
      <c r="M427" s="146"/>
      <c r="N427" s="146"/>
      <c r="O427" s="146"/>
      <c r="P427" s="146"/>
      <c r="Q427" s="146"/>
      <c r="R427" s="146"/>
      <c r="S427" s="146"/>
      <c r="T427" s="146"/>
      <c r="U427" s="146"/>
      <c r="V427" s="146"/>
      <c r="W427" s="146"/>
      <c r="X427" s="146"/>
      <c r="Y427" s="146"/>
      <c r="Z427" s="146"/>
    </row>
    <row r="428" ht="22.5" customHeight="1">
      <c r="A428" s="329"/>
      <c r="B428" s="274"/>
      <c r="C428" s="138"/>
      <c r="D428" s="118"/>
      <c r="E428" s="138"/>
      <c r="F428" s="138"/>
      <c r="G428" s="330"/>
      <c r="H428" s="146"/>
      <c r="I428" s="146"/>
      <c r="J428" s="146"/>
      <c r="K428" s="146"/>
      <c r="L428" s="146"/>
      <c r="M428" s="146"/>
      <c r="N428" s="146"/>
      <c r="O428" s="146"/>
      <c r="P428" s="146"/>
      <c r="Q428" s="146"/>
      <c r="R428" s="146"/>
      <c r="S428" s="146"/>
      <c r="T428" s="146"/>
      <c r="U428" s="146"/>
      <c r="V428" s="146"/>
      <c r="W428" s="146"/>
      <c r="X428" s="146"/>
      <c r="Y428" s="146"/>
      <c r="Z428" s="146"/>
    </row>
    <row r="429" ht="22.5" customHeight="1">
      <c r="A429" s="329"/>
      <c r="B429" s="274"/>
      <c r="C429" s="138"/>
      <c r="D429" s="118"/>
      <c r="E429" s="138"/>
      <c r="F429" s="138"/>
      <c r="G429" s="330"/>
      <c r="H429" s="146"/>
      <c r="I429" s="146"/>
      <c r="J429" s="146"/>
      <c r="K429" s="146"/>
      <c r="L429" s="146"/>
      <c r="M429" s="146"/>
      <c r="N429" s="146"/>
      <c r="O429" s="146"/>
      <c r="P429" s="146"/>
      <c r="Q429" s="146"/>
      <c r="R429" s="146"/>
      <c r="S429" s="146"/>
      <c r="T429" s="146"/>
      <c r="U429" s="146"/>
      <c r="V429" s="146"/>
      <c r="W429" s="146"/>
      <c r="X429" s="146"/>
      <c r="Y429" s="146"/>
      <c r="Z429" s="146"/>
    </row>
    <row r="430" ht="22.5" customHeight="1">
      <c r="A430" s="329"/>
      <c r="B430" s="274"/>
      <c r="C430" s="138"/>
      <c r="D430" s="118"/>
      <c r="E430" s="138"/>
      <c r="F430" s="138"/>
      <c r="G430" s="330"/>
      <c r="H430" s="146"/>
      <c r="I430" s="146"/>
      <c r="J430" s="146"/>
      <c r="K430" s="146"/>
      <c r="L430" s="146"/>
      <c r="M430" s="146"/>
      <c r="N430" s="146"/>
      <c r="O430" s="146"/>
      <c r="P430" s="146"/>
      <c r="Q430" s="146"/>
      <c r="R430" s="146"/>
      <c r="S430" s="146"/>
      <c r="T430" s="146"/>
      <c r="U430" s="146"/>
      <c r="V430" s="146"/>
      <c r="W430" s="146"/>
      <c r="X430" s="146"/>
      <c r="Y430" s="146"/>
      <c r="Z430" s="146"/>
    </row>
    <row r="431" ht="22.5" customHeight="1">
      <c r="A431" s="329"/>
      <c r="B431" s="274"/>
      <c r="C431" s="138"/>
      <c r="D431" s="118"/>
      <c r="E431" s="138"/>
      <c r="F431" s="138"/>
      <c r="G431" s="330"/>
      <c r="H431" s="146"/>
      <c r="I431" s="146"/>
      <c r="J431" s="146"/>
      <c r="K431" s="146"/>
      <c r="L431" s="146"/>
      <c r="M431" s="146"/>
      <c r="N431" s="146"/>
      <c r="O431" s="146"/>
      <c r="P431" s="146"/>
      <c r="Q431" s="146"/>
      <c r="R431" s="146"/>
      <c r="S431" s="146"/>
      <c r="T431" s="146"/>
      <c r="U431" s="146"/>
      <c r="V431" s="146"/>
      <c r="W431" s="146"/>
      <c r="X431" s="146"/>
      <c r="Y431" s="146"/>
      <c r="Z431" s="146"/>
    </row>
    <row r="432" ht="22.5" customHeight="1">
      <c r="A432" s="329"/>
      <c r="B432" s="274"/>
      <c r="C432" s="138"/>
      <c r="D432" s="118"/>
      <c r="E432" s="138"/>
      <c r="F432" s="138"/>
      <c r="G432" s="330"/>
      <c r="H432" s="146"/>
      <c r="I432" s="146"/>
      <c r="J432" s="146"/>
      <c r="K432" s="146"/>
      <c r="L432" s="146"/>
      <c r="M432" s="146"/>
      <c r="N432" s="146"/>
      <c r="O432" s="146"/>
      <c r="P432" s="146"/>
      <c r="Q432" s="146"/>
      <c r="R432" s="146"/>
      <c r="S432" s="146"/>
      <c r="T432" s="146"/>
      <c r="U432" s="146"/>
      <c r="V432" s="146"/>
      <c r="W432" s="146"/>
      <c r="X432" s="146"/>
      <c r="Y432" s="146"/>
      <c r="Z432" s="146"/>
    </row>
    <row r="433" ht="22.5" customHeight="1">
      <c r="A433" s="329"/>
      <c r="B433" s="274"/>
      <c r="C433" s="138"/>
      <c r="D433" s="118"/>
      <c r="E433" s="138"/>
      <c r="F433" s="138"/>
      <c r="G433" s="330"/>
      <c r="H433" s="146"/>
      <c r="I433" s="146"/>
      <c r="J433" s="146"/>
      <c r="K433" s="146"/>
      <c r="L433" s="146"/>
      <c r="M433" s="146"/>
      <c r="N433" s="146"/>
      <c r="O433" s="146"/>
      <c r="P433" s="146"/>
      <c r="Q433" s="146"/>
      <c r="R433" s="146"/>
      <c r="S433" s="146"/>
      <c r="T433" s="146"/>
      <c r="U433" s="146"/>
      <c r="V433" s="146"/>
      <c r="W433" s="146"/>
      <c r="X433" s="146"/>
      <c r="Y433" s="146"/>
      <c r="Z433" s="146"/>
    </row>
    <row r="434" ht="22.5" customHeight="1">
      <c r="A434" s="329"/>
      <c r="B434" s="274"/>
      <c r="C434" s="138"/>
      <c r="D434" s="118"/>
      <c r="E434" s="138"/>
      <c r="F434" s="138"/>
      <c r="G434" s="330"/>
      <c r="H434" s="146"/>
      <c r="I434" s="146"/>
      <c r="J434" s="146"/>
      <c r="K434" s="146"/>
      <c r="L434" s="146"/>
      <c r="M434" s="146"/>
      <c r="N434" s="146"/>
      <c r="O434" s="146"/>
      <c r="P434" s="146"/>
      <c r="Q434" s="146"/>
      <c r="R434" s="146"/>
      <c r="S434" s="146"/>
      <c r="T434" s="146"/>
      <c r="U434" s="146"/>
      <c r="V434" s="146"/>
      <c r="W434" s="146"/>
      <c r="X434" s="146"/>
      <c r="Y434" s="146"/>
      <c r="Z434" s="146"/>
    </row>
    <row r="435" ht="22.5" customHeight="1">
      <c r="A435" s="329"/>
      <c r="B435" s="274"/>
      <c r="C435" s="138"/>
      <c r="D435" s="118"/>
      <c r="E435" s="138"/>
      <c r="F435" s="138"/>
      <c r="G435" s="330"/>
      <c r="H435" s="146"/>
      <c r="I435" s="146"/>
      <c r="J435" s="146"/>
      <c r="K435" s="146"/>
      <c r="L435" s="146"/>
      <c r="M435" s="146"/>
      <c r="N435" s="146"/>
      <c r="O435" s="146"/>
      <c r="P435" s="146"/>
      <c r="Q435" s="146"/>
      <c r="R435" s="146"/>
      <c r="S435" s="146"/>
      <c r="T435" s="146"/>
      <c r="U435" s="146"/>
      <c r="V435" s="146"/>
      <c r="W435" s="146"/>
      <c r="X435" s="146"/>
      <c r="Y435" s="146"/>
      <c r="Z435" s="146"/>
    </row>
    <row r="436" ht="22.5" customHeight="1">
      <c r="A436" s="329"/>
      <c r="B436" s="274"/>
      <c r="C436" s="138"/>
      <c r="D436" s="118"/>
      <c r="E436" s="138"/>
      <c r="F436" s="138"/>
      <c r="G436" s="330"/>
      <c r="H436" s="146"/>
      <c r="I436" s="146"/>
      <c r="J436" s="146"/>
      <c r="K436" s="146"/>
      <c r="L436" s="146"/>
      <c r="M436" s="146"/>
      <c r="N436" s="146"/>
      <c r="O436" s="146"/>
      <c r="P436" s="146"/>
      <c r="Q436" s="146"/>
      <c r="R436" s="146"/>
      <c r="S436" s="146"/>
      <c r="T436" s="146"/>
      <c r="U436" s="146"/>
      <c r="V436" s="146"/>
      <c r="W436" s="146"/>
      <c r="X436" s="146"/>
      <c r="Y436" s="146"/>
      <c r="Z436" s="146"/>
    </row>
    <row r="437" ht="22.5" customHeight="1">
      <c r="A437" s="329"/>
      <c r="B437" s="274"/>
      <c r="C437" s="138"/>
      <c r="D437" s="118"/>
      <c r="E437" s="138"/>
      <c r="F437" s="138"/>
      <c r="G437" s="330"/>
      <c r="H437" s="146"/>
      <c r="I437" s="146"/>
      <c r="J437" s="146"/>
      <c r="K437" s="146"/>
      <c r="L437" s="146"/>
      <c r="M437" s="146"/>
      <c r="N437" s="146"/>
      <c r="O437" s="146"/>
      <c r="P437" s="146"/>
      <c r="Q437" s="146"/>
      <c r="R437" s="146"/>
      <c r="S437" s="146"/>
      <c r="T437" s="146"/>
      <c r="U437" s="146"/>
      <c r="V437" s="146"/>
      <c r="W437" s="146"/>
      <c r="X437" s="146"/>
      <c r="Y437" s="146"/>
      <c r="Z437" s="146"/>
    </row>
    <row r="438" ht="22.5" customHeight="1">
      <c r="A438" s="329"/>
      <c r="B438" s="274"/>
      <c r="C438" s="138"/>
      <c r="D438" s="118"/>
      <c r="E438" s="138"/>
      <c r="F438" s="138"/>
      <c r="G438" s="330"/>
      <c r="H438" s="146"/>
      <c r="I438" s="146"/>
      <c r="J438" s="146"/>
      <c r="K438" s="146"/>
      <c r="L438" s="146"/>
      <c r="M438" s="146"/>
      <c r="N438" s="146"/>
      <c r="O438" s="146"/>
      <c r="P438" s="146"/>
      <c r="Q438" s="146"/>
      <c r="R438" s="146"/>
      <c r="S438" s="146"/>
      <c r="T438" s="146"/>
      <c r="U438" s="146"/>
      <c r="V438" s="146"/>
      <c r="W438" s="146"/>
      <c r="X438" s="146"/>
      <c r="Y438" s="146"/>
      <c r="Z438" s="146"/>
    </row>
    <row r="439" ht="22.5" customHeight="1">
      <c r="A439" s="329"/>
      <c r="B439" s="274"/>
      <c r="C439" s="138"/>
      <c r="D439" s="118"/>
      <c r="E439" s="138"/>
      <c r="F439" s="138"/>
      <c r="G439" s="330"/>
      <c r="H439" s="146"/>
      <c r="I439" s="146"/>
      <c r="J439" s="146"/>
      <c r="K439" s="146"/>
      <c r="L439" s="146"/>
      <c r="M439" s="146"/>
      <c r="N439" s="146"/>
      <c r="O439" s="146"/>
      <c r="P439" s="146"/>
      <c r="Q439" s="146"/>
      <c r="R439" s="146"/>
      <c r="S439" s="146"/>
      <c r="T439" s="146"/>
      <c r="U439" s="146"/>
      <c r="V439" s="146"/>
      <c r="W439" s="146"/>
      <c r="X439" s="146"/>
      <c r="Y439" s="146"/>
      <c r="Z439" s="146"/>
    </row>
    <row r="440" ht="22.5" customHeight="1">
      <c r="A440" s="329"/>
      <c r="B440" s="274"/>
      <c r="C440" s="138"/>
      <c r="D440" s="118"/>
      <c r="E440" s="138"/>
      <c r="F440" s="138"/>
      <c r="G440" s="330"/>
      <c r="H440" s="146"/>
      <c r="I440" s="146"/>
      <c r="J440" s="146"/>
      <c r="K440" s="146"/>
      <c r="L440" s="146"/>
      <c r="M440" s="146"/>
      <c r="N440" s="146"/>
      <c r="O440" s="146"/>
      <c r="P440" s="146"/>
      <c r="Q440" s="146"/>
      <c r="R440" s="146"/>
      <c r="S440" s="146"/>
      <c r="T440" s="146"/>
      <c r="U440" s="146"/>
      <c r="V440" s="146"/>
      <c r="W440" s="146"/>
      <c r="X440" s="146"/>
      <c r="Y440" s="146"/>
      <c r="Z440" s="146"/>
    </row>
    <row r="441" ht="22.5" customHeight="1">
      <c r="A441" s="329"/>
      <c r="B441" s="274"/>
      <c r="C441" s="138"/>
      <c r="D441" s="118"/>
      <c r="E441" s="138"/>
      <c r="F441" s="138"/>
      <c r="G441" s="330"/>
      <c r="H441" s="146"/>
      <c r="I441" s="146"/>
      <c r="J441" s="146"/>
      <c r="K441" s="146"/>
      <c r="L441" s="146"/>
      <c r="M441" s="146"/>
      <c r="N441" s="146"/>
      <c r="O441" s="146"/>
      <c r="P441" s="146"/>
      <c r="Q441" s="146"/>
      <c r="R441" s="146"/>
      <c r="S441" s="146"/>
      <c r="T441" s="146"/>
      <c r="U441" s="146"/>
      <c r="V441" s="146"/>
      <c r="W441" s="146"/>
      <c r="X441" s="146"/>
      <c r="Y441" s="146"/>
      <c r="Z441" s="146"/>
    </row>
    <row r="442" ht="22.5" customHeight="1">
      <c r="A442" s="329"/>
      <c r="B442" s="274"/>
      <c r="C442" s="138"/>
      <c r="D442" s="118"/>
      <c r="E442" s="138"/>
      <c r="F442" s="138"/>
      <c r="G442" s="330"/>
      <c r="H442" s="146"/>
      <c r="I442" s="146"/>
      <c r="J442" s="146"/>
      <c r="K442" s="146"/>
      <c r="L442" s="146"/>
      <c r="M442" s="146"/>
      <c r="N442" s="146"/>
      <c r="O442" s="146"/>
      <c r="P442" s="146"/>
      <c r="Q442" s="146"/>
      <c r="R442" s="146"/>
      <c r="S442" s="146"/>
      <c r="T442" s="146"/>
      <c r="U442" s="146"/>
      <c r="V442" s="146"/>
      <c r="W442" s="146"/>
      <c r="X442" s="146"/>
      <c r="Y442" s="146"/>
      <c r="Z442" s="146"/>
    </row>
    <row r="443" ht="22.5" customHeight="1">
      <c r="A443" s="329"/>
      <c r="B443" s="274"/>
      <c r="C443" s="138"/>
      <c r="D443" s="118"/>
      <c r="E443" s="138"/>
      <c r="F443" s="138"/>
      <c r="G443" s="330"/>
      <c r="H443" s="146"/>
      <c r="I443" s="146"/>
      <c r="J443" s="146"/>
      <c r="K443" s="146"/>
      <c r="L443" s="146"/>
      <c r="M443" s="146"/>
      <c r="N443" s="146"/>
      <c r="O443" s="146"/>
      <c r="P443" s="146"/>
      <c r="Q443" s="146"/>
      <c r="R443" s="146"/>
      <c r="S443" s="146"/>
      <c r="T443" s="146"/>
      <c r="U443" s="146"/>
      <c r="V443" s="146"/>
      <c r="W443" s="146"/>
      <c r="X443" s="146"/>
      <c r="Y443" s="146"/>
      <c r="Z443" s="146"/>
    </row>
    <row r="444" ht="22.5" customHeight="1">
      <c r="A444" s="329"/>
      <c r="B444" s="274"/>
      <c r="C444" s="138"/>
      <c r="D444" s="118"/>
      <c r="E444" s="138"/>
      <c r="F444" s="138"/>
      <c r="G444" s="330"/>
      <c r="H444" s="146"/>
      <c r="I444" s="146"/>
      <c r="J444" s="146"/>
      <c r="K444" s="146"/>
      <c r="L444" s="146"/>
      <c r="M444" s="146"/>
      <c r="N444" s="146"/>
      <c r="O444" s="146"/>
      <c r="P444" s="146"/>
      <c r="Q444" s="146"/>
      <c r="R444" s="146"/>
      <c r="S444" s="146"/>
      <c r="T444" s="146"/>
      <c r="U444" s="146"/>
      <c r="V444" s="146"/>
      <c r="W444" s="146"/>
      <c r="X444" s="146"/>
      <c r="Y444" s="146"/>
      <c r="Z444" s="146"/>
    </row>
    <row r="445" ht="22.5" customHeight="1">
      <c r="A445" s="329"/>
      <c r="B445" s="274"/>
      <c r="C445" s="138"/>
      <c r="D445" s="118"/>
      <c r="E445" s="138"/>
      <c r="F445" s="138"/>
      <c r="G445" s="330"/>
      <c r="H445" s="146"/>
      <c r="I445" s="146"/>
      <c r="J445" s="146"/>
      <c r="K445" s="146"/>
      <c r="L445" s="146"/>
      <c r="M445" s="146"/>
      <c r="N445" s="146"/>
      <c r="O445" s="146"/>
      <c r="P445" s="146"/>
      <c r="Q445" s="146"/>
      <c r="R445" s="146"/>
      <c r="S445" s="146"/>
      <c r="T445" s="146"/>
      <c r="U445" s="146"/>
      <c r="V445" s="146"/>
      <c r="W445" s="146"/>
      <c r="X445" s="146"/>
      <c r="Y445" s="146"/>
      <c r="Z445" s="146"/>
    </row>
    <row r="446" ht="22.5" customHeight="1">
      <c r="A446" s="329"/>
      <c r="B446" s="274"/>
      <c r="C446" s="138"/>
      <c r="D446" s="118"/>
      <c r="E446" s="138"/>
      <c r="F446" s="138"/>
      <c r="G446" s="330"/>
      <c r="H446" s="146"/>
      <c r="I446" s="146"/>
      <c r="J446" s="146"/>
      <c r="K446" s="146"/>
      <c r="L446" s="146"/>
      <c r="M446" s="146"/>
      <c r="N446" s="146"/>
      <c r="O446" s="146"/>
      <c r="P446" s="146"/>
      <c r="Q446" s="146"/>
      <c r="R446" s="146"/>
      <c r="S446" s="146"/>
      <c r="T446" s="146"/>
      <c r="U446" s="146"/>
      <c r="V446" s="146"/>
      <c r="W446" s="146"/>
      <c r="X446" s="146"/>
      <c r="Y446" s="146"/>
      <c r="Z446" s="146"/>
    </row>
    <row r="447" ht="22.5" customHeight="1">
      <c r="A447" s="329"/>
      <c r="B447" s="274"/>
      <c r="C447" s="138"/>
      <c r="D447" s="118"/>
      <c r="E447" s="138"/>
      <c r="F447" s="138"/>
      <c r="G447" s="330"/>
      <c r="H447" s="146"/>
      <c r="I447" s="146"/>
      <c r="J447" s="146"/>
      <c r="K447" s="146"/>
      <c r="L447" s="146"/>
      <c r="M447" s="146"/>
      <c r="N447" s="146"/>
      <c r="O447" s="146"/>
      <c r="P447" s="146"/>
      <c r="Q447" s="146"/>
      <c r="R447" s="146"/>
      <c r="S447" s="146"/>
      <c r="T447" s="146"/>
      <c r="U447" s="146"/>
      <c r="V447" s="146"/>
      <c r="W447" s="146"/>
      <c r="X447" s="146"/>
      <c r="Y447" s="146"/>
      <c r="Z447" s="146"/>
    </row>
    <row r="448" ht="22.5" customHeight="1">
      <c r="A448" s="329"/>
      <c r="B448" s="274"/>
      <c r="C448" s="138"/>
      <c r="D448" s="118"/>
      <c r="E448" s="138"/>
      <c r="F448" s="138"/>
      <c r="G448" s="330"/>
      <c r="H448" s="146"/>
      <c r="I448" s="146"/>
      <c r="J448" s="146"/>
      <c r="K448" s="146"/>
      <c r="L448" s="146"/>
      <c r="M448" s="146"/>
      <c r="N448" s="146"/>
      <c r="O448" s="146"/>
      <c r="P448" s="146"/>
      <c r="Q448" s="146"/>
      <c r="R448" s="146"/>
      <c r="S448" s="146"/>
      <c r="T448" s="146"/>
      <c r="U448" s="146"/>
      <c r="V448" s="146"/>
      <c r="W448" s="146"/>
      <c r="X448" s="146"/>
      <c r="Y448" s="146"/>
      <c r="Z448" s="146"/>
    </row>
    <row r="449" ht="22.5" customHeight="1">
      <c r="A449" s="329"/>
      <c r="B449" s="274"/>
      <c r="C449" s="138"/>
      <c r="D449" s="118"/>
      <c r="E449" s="138"/>
      <c r="F449" s="138"/>
      <c r="G449" s="330"/>
      <c r="H449" s="146"/>
      <c r="I449" s="146"/>
      <c r="J449" s="146"/>
      <c r="K449" s="146"/>
      <c r="L449" s="146"/>
      <c r="M449" s="146"/>
      <c r="N449" s="146"/>
      <c r="O449" s="146"/>
      <c r="P449" s="146"/>
      <c r="Q449" s="146"/>
      <c r="R449" s="146"/>
      <c r="S449" s="146"/>
      <c r="T449" s="146"/>
      <c r="U449" s="146"/>
      <c r="V449" s="146"/>
      <c r="W449" s="146"/>
      <c r="X449" s="146"/>
      <c r="Y449" s="146"/>
      <c r="Z449" s="146"/>
    </row>
    <row r="450" ht="22.5" customHeight="1">
      <c r="A450" s="329"/>
      <c r="B450" s="274"/>
      <c r="C450" s="138"/>
      <c r="D450" s="118"/>
      <c r="E450" s="138"/>
      <c r="F450" s="138"/>
      <c r="G450" s="330"/>
      <c r="H450" s="146"/>
      <c r="I450" s="146"/>
      <c r="J450" s="146"/>
      <c r="K450" s="146"/>
      <c r="L450" s="146"/>
      <c r="M450" s="146"/>
      <c r="N450" s="146"/>
      <c r="O450" s="146"/>
      <c r="P450" s="146"/>
      <c r="Q450" s="146"/>
      <c r="R450" s="146"/>
      <c r="S450" s="146"/>
      <c r="T450" s="146"/>
      <c r="U450" s="146"/>
      <c r="V450" s="146"/>
      <c r="W450" s="146"/>
      <c r="X450" s="146"/>
      <c r="Y450" s="146"/>
      <c r="Z450" s="146"/>
    </row>
    <row r="451" ht="22.5" customHeight="1">
      <c r="A451" s="329"/>
      <c r="B451" s="274"/>
      <c r="C451" s="138"/>
      <c r="D451" s="118"/>
      <c r="E451" s="138"/>
      <c r="F451" s="138"/>
      <c r="G451" s="330"/>
      <c r="H451" s="146"/>
      <c r="I451" s="146"/>
      <c r="J451" s="146"/>
      <c r="K451" s="146"/>
      <c r="L451" s="146"/>
      <c r="M451" s="146"/>
      <c r="N451" s="146"/>
      <c r="O451" s="146"/>
      <c r="P451" s="146"/>
      <c r="Q451" s="146"/>
      <c r="R451" s="146"/>
      <c r="S451" s="146"/>
      <c r="T451" s="146"/>
      <c r="U451" s="146"/>
      <c r="V451" s="146"/>
      <c r="W451" s="146"/>
      <c r="X451" s="146"/>
      <c r="Y451" s="146"/>
      <c r="Z451" s="146"/>
    </row>
    <row r="452" ht="22.5" customHeight="1">
      <c r="A452" s="329"/>
      <c r="B452" s="274"/>
      <c r="C452" s="138"/>
      <c r="D452" s="118"/>
      <c r="E452" s="138"/>
      <c r="F452" s="138"/>
      <c r="G452" s="330"/>
      <c r="H452" s="146"/>
      <c r="I452" s="146"/>
      <c r="J452" s="146"/>
      <c r="K452" s="146"/>
      <c r="L452" s="146"/>
      <c r="M452" s="146"/>
      <c r="N452" s="146"/>
      <c r="O452" s="146"/>
      <c r="P452" s="146"/>
      <c r="Q452" s="146"/>
      <c r="R452" s="146"/>
      <c r="S452" s="146"/>
      <c r="T452" s="146"/>
      <c r="U452" s="146"/>
      <c r="V452" s="146"/>
      <c r="W452" s="146"/>
      <c r="X452" s="146"/>
      <c r="Y452" s="146"/>
      <c r="Z452" s="146"/>
    </row>
    <row r="453" ht="22.5" customHeight="1">
      <c r="A453" s="329"/>
      <c r="B453" s="274"/>
      <c r="C453" s="138"/>
      <c r="D453" s="118"/>
      <c r="E453" s="138"/>
      <c r="F453" s="138"/>
      <c r="G453" s="330"/>
      <c r="H453" s="146"/>
      <c r="I453" s="146"/>
      <c r="J453" s="146"/>
      <c r="K453" s="146"/>
      <c r="L453" s="146"/>
      <c r="M453" s="146"/>
      <c r="N453" s="146"/>
      <c r="O453" s="146"/>
      <c r="P453" s="146"/>
      <c r="Q453" s="146"/>
      <c r="R453" s="146"/>
      <c r="S453" s="146"/>
      <c r="T453" s="146"/>
      <c r="U453" s="146"/>
      <c r="V453" s="146"/>
      <c r="W453" s="146"/>
      <c r="X453" s="146"/>
      <c r="Y453" s="146"/>
      <c r="Z453" s="146"/>
    </row>
    <row r="454" ht="22.5" customHeight="1">
      <c r="A454" s="329"/>
      <c r="B454" s="274"/>
      <c r="C454" s="138"/>
      <c r="D454" s="118"/>
      <c r="E454" s="138"/>
      <c r="F454" s="138"/>
      <c r="G454" s="330"/>
      <c r="H454" s="146"/>
      <c r="I454" s="146"/>
      <c r="J454" s="146"/>
      <c r="K454" s="146"/>
      <c r="L454" s="146"/>
      <c r="M454" s="146"/>
      <c r="N454" s="146"/>
      <c r="O454" s="146"/>
      <c r="P454" s="146"/>
      <c r="Q454" s="146"/>
      <c r="R454" s="146"/>
      <c r="S454" s="146"/>
      <c r="T454" s="146"/>
      <c r="U454" s="146"/>
      <c r="V454" s="146"/>
      <c r="W454" s="146"/>
      <c r="X454" s="146"/>
      <c r="Y454" s="146"/>
      <c r="Z454" s="146"/>
    </row>
    <row r="455" ht="22.5" customHeight="1">
      <c r="A455" s="329"/>
      <c r="B455" s="274"/>
      <c r="C455" s="138"/>
      <c r="D455" s="118"/>
      <c r="E455" s="138"/>
      <c r="F455" s="138"/>
      <c r="G455" s="330"/>
      <c r="H455" s="146"/>
      <c r="I455" s="146"/>
      <c r="J455" s="146"/>
      <c r="K455" s="146"/>
      <c r="L455" s="146"/>
      <c r="M455" s="146"/>
      <c r="N455" s="146"/>
      <c r="O455" s="146"/>
      <c r="P455" s="146"/>
      <c r="Q455" s="146"/>
      <c r="R455" s="146"/>
      <c r="S455" s="146"/>
      <c r="T455" s="146"/>
      <c r="U455" s="146"/>
      <c r="V455" s="146"/>
      <c r="W455" s="146"/>
      <c r="X455" s="146"/>
      <c r="Y455" s="146"/>
      <c r="Z455" s="146"/>
    </row>
    <row r="456" ht="22.5" customHeight="1">
      <c r="A456" s="329"/>
      <c r="B456" s="274"/>
      <c r="C456" s="138"/>
      <c r="D456" s="118"/>
      <c r="E456" s="138"/>
      <c r="F456" s="138"/>
      <c r="G456" s="330"/>
      <c r="H456" s="146"/>
      <c r="I456" s="146"/>
      <c r="J456" s="146"/>
      <c r="K456" s="146"/>
      <c r="L456" s="146"/>
      <c r="M456" s="146"/>
      <c r="N456" s="146"/>
      <c r="O456" s="146"/>
      <c r="P456" s="146"/>
      <c r="Q456" s="146"/>
      <c r="R456" s="146"/>
      <c r="S456" s="146"/>
      <c r="T456" s="146"/>
      <c r="U456" s="146"/>
      <c r="V456" s="146"/>
      <c r="W456" s="146"/>
      <c r="X456" s="146"/>
      <c r="Y456" s="146"/>
      <c r="Z456" s="146"/>
    </row>
    <row r="457" ht="22.5" customHeight="1">
      <c r="A457" s="329"/>
      <c r="B457" s="274"/>
      <c r="C457" s="138"/>
      <c r="D457" s="118"/>
      <c r="E457" s="138"/>
      <c r="F457" s="138"/>
      <c r="G457" s="330"/>
      <c r="H457" s="146"/>
      <c r="I457" s="146"/>
      <c r="J457" s="146"/>
      <c r="K457" s="146"/>
      <c r="L457" s="146"/>
      <c r="M457" s="146"/>
      <c r="N457" s="146"/>
      <c r="O457" s="146"/>
      <c r="P457" s="146"/>
      <c r="Q457" s="146"/>
      <c r="R457" s="146"/>
      <c r="S457" s="146"/>
      <c r="T457" s="146"/>
      <c r="U457" s="146"/>
      <c r="V457" s="146"/>
      <c r="W457" s="146"/>
      <c r="X457" s="146"/>
      <c r="Y457" s="146"/>
      <c r="Z457" s="146"/>
    </row>
    <row r="458" ht="22.5" customHeight="1">
      <c r="A458" s="329"/>
      <c r="B458" s="274"/>
      <c r="C458" s="138"/>
      <c r="D458" s="118"/>
      <c r="E458" s="138"/>
      <c r="F458" s="138"/>
      <c r="G458" s="330"/>
      <c r="H458" s="146"/>
      <c r="I458" s="146"/>
      <c r="J458" s="146"/>
      <c r="K458" s="146"/>
      <c r="L458" s="146"/>
      <c r="M458" s="146"/>
      <c r="N458" s="146"/>
      <c r="O458" s="146"/>
      <c r="P458" s="146"/>
      <c r="Q458" s="146"/>
      <c r="R458" s="146"/>
      <c r="S458" s="146"/>
      <c r="T458" s="146"/>
      <c r="U458" s="146"/>
      <c r="V458" s="146"/>
      <c r="W458" s="146"/>
      <c r="X458" s="146"/>
      <c r="Y458" s="146"/>
      <c r="Z458" s="146"/>
    </row>
    <row r="459" ht="22.5" customHeight="1">
      <c r="A459" s="329"/>
      <c r="B459" s="274"/>
      <c r="C459" s="138"/>
      <c r="D459" s="118"/>
      <c r="E459" s="138"/>
      <c r="F459" s="138"/>
      <c r="G459" s="330"/>
      <c r="H459" s="146"/>
      <c r="I459" s="146"/>
      <c r="J459" s="146"/>
      <c r="K459" s="146"/>
      <c r="L459" s="146"/>
      <c r="M459" s="146"/>
      <c r="N459" s="146"/>
      <c r="O459" s="146"/>
      <c r="P459" s="146"/>
      <c r="Q459" s="146"/>
      <c r="R459" s="146"/>
      <c r="S459" s="146"/>
      <c r="T459" s="146"/>
      <c r="U459" s="146"/>
      <c r="V459" s="146"/>
      <c r="W459" s="146"/>
      <c r="X459" s="146"/>
      <c r="Y459" s="146"/>
      <c r="Z459" s="146"/>
    </row>
    <row r="460" ht="22.5" customHeight="1">
      <c r="A460" s="329"/>
      <c r="B460" s="274"/>
      <c r="C460" s="138"/>
      <c r="D460" s="118"/>
      <c r="E460" s="138"/>
      <c r="F460" s="138"/>
      <c r="G460" s="330"/>
      <c r="H460" s="146"/>
      <c r="I460" s="146"/>
      <c r="J460" s="146"/>
      <c r="K460" s="146"/>
      <c r="L460" s="146"/>
      <c r="M460" s="146"/>
      <c r="N460" s="146"/>
      <c r="O460" s="146"/>
      <c r="P460" s="146"/>
      <c r="Q460" s="146"/>
      <c r="R460" s="146"/>
      <c r="S460" s="146"/>
      <c r="T460" s="146"/>
      <c r="U460" s="146"/>
      <c r="V460" s="146"/>
      <c r="W460" s="146"/>
      <c r="X460" s="146"/>
      <c r="Y460" s="146"/>
      <c r="Z460" s="146"/>
    </row>
    <row r="461" ht="22.5" customHeight="1">
      <c r="A461" s="329"/>
      <c r="B461" s="274"/>
      <c r="C461" s="138"/>
      <c r="D461" s="118"/>
      <c r="E461" s="138"/>
      <c r="F461" s="138"/>
      <c r="G461" s="330"/>
      <c r="H461" s="146"/>
      <c r="I461" s="146"/>
      <c r="J461" s="146"/>
      <c r="K461" s="146"/>
      <c r="L461" s="146"/>
      <c r="M461" s="146"/>
      <c r="N461" s="146"/>
      <c r="O461" s="146"/>
      <c r="P461" s="146"/>
      <c r="Q461" s="146"/>
      <c r="R461" s="146"/>
      <c r="S461" s="146"/>
      <c r="T461" s="146"/>
      <c r="U461" s="146"/>
      <c r="V461" s="146"/>
      <c r="W461" s="146"/>
      <c r="X461" s="146"/>
      <c r="Y461" s="146"/>
      <c r="Z461" s="146"/>
    </row>
    <row r="462" ht="22.5" customHeight="1">
      <c r="A462" s="329"/>
      <c r="B462" s="274"/>
      <c r="C462" s="138"/>
      <c r="D462" s="118"/>
      <c r="E462" s="138"/>
      <c r="F462" s="138"/>
      <c r="G462" s="330"/>
      <c r="H462" s="146"/>
      <c r="I462" s="146"/>
      <c r="J462" s="146"/>
      <c r="K462" s="146"/>
      <c r="L462" s="146"/>
      <c r="M462" s="146"/>
      <c r="N462" s="146"/>
      <c r="O462" s="146"/>
      <c r="P462" s="146"/>
      <c r="Q462" s="146"/>
      <c r="R462" s="146"/>
      <c r="S462" s="146"/>
      <c r="T462" s="146"/>
      <c r="U462" s="146"/>
      <c r="V462" s="146"/>
      <c r="W462" s="146"/>
      <c r="X462" s="146"/>
      <c r="Y462" s="146"/>
      <c r="Z462" s="146"/>
    </row>
    <row r="463" ht="22.5" customHeight="1">
      <c r="A463" s="329"/>
      <c r="B463" s="274"/>
      <c r="C463" s="138"/>
      <c r="D463" s="118"/>
      <c r="E463" s="138"/>
      <c r="F463" s="138"/>
      <c r="G463" s="330"/>
      <c r="H463" s="146"/>
      <c r="I463" s="146"/>
      <c r="J463" s="146"/>
      <c r="K463" s="146"/>
      <c r="L463" s="146"/>
      <c r="M463" s="146"/>
      <c r="N463" s="146"/>
      <c r="O463" s="146"/>
      <c r="P463" s="146"/>
      <c r="Q463" s="146"/>
      <c r="R463" s="146"/>
      <c r="S463" s="146"/>
      <c r="T463" s="146"/>
      <c r="U463" s="146"/>
      <c r="V463" s="146"/>
      <c r="W463" s="146"/>
      <c r="X463" s="146"/>
      <c r="Y463" s="146"/>
      <c r="Z463" s="146"/>
    </row>
    <row r="464" ht="22.5" customHeight="1">
      <c r="A464" s="329"/>
      <c r="B464" s="274"/>
      <c r="C464" s="138"/>
      <c r="D464" s="118"/>
      <c r="E464" s="138"/>
      <c r="F464" s="138"/>
      <c r="G464" s="330"/>
      <c r="H464" s="146"/>
      <c r="I464" s="146"/>
      <c r="J464" s="146"/>
      <c r="K464" s="146"/>
      <c r="L464" s="146"/>
      <c r="M464" s="146"/>
      <c r="N464" s="146"/>
      <c r="O464" s="146"/>
      <c r="P464" s="146"/>
      <c r="Q464" s="146"/>
      <c r="R464" s="146"/>
      <c r="S464" s="146"/>
      <c r="T464" s="146"/>
      <c r="U464" s="146"/>
      <c r="V464" s="146"/>
      <c r="W464" s="146"/>
      <c r="X464" s="146"/>
      <c r="Y464" s="146"/>
      <c r="Z464" s="146"/>
    </row>
    <row r="465" ht="22.5" customHeight="1">
      <c r="A465" s="329"/>
      <c r="B465" s="274"/>
      <c r="C465" s="138"/>
      <c r="D465" s="118"/>
      <c r="E465" s="138"/>
      <c r="F465" s="138"/>
      <c r="G465" s="330"/>
      <c r="H465" s="146"/>
      <c r="I465" s="146"/>
      <c r="J465" s="146"/>
      <c r="K465" s="146"/>
      <c r="L465" s="146"/>
      <c r="M465" s="146"/>
      <c r="N465" s="146"/>
      <c r="O465" s="146"/>
      <c r="P465" s="146"/>
      <c r="Q465" s="146"/>
      <c r="R465" s="146"/>
      <c r="S465" s="146"/>
      <c r="T465" s="146"/>
      <c r="U465" s="146"/>
      <c r="V465" s="146"/>
      <c r="W465" s="146"/>
      <c r="X465" s="146"/>
      <c r="Y465" s="146"/>
      <c r="Z465" s="146"/>
    </row>
    <row r="466" ht="22.5" customHeight="1">
      <c r="A466" s="329"/>
      <c r="B466" s="274"/>
      <c r="C466" s="138"/>
      <c r="D466" s="118"/>
      <c r="E466" s="138"/>
      <c r="F466" s="138"/>
      <c r="G466" s="330"/>
      <c r="H466" s="146"/>
      <c r="I466" s="146"/>
      <c r="J466" s="146"/>
      <c r="K466" s="146"/>
      <c r="L466" s="146"/>
      <c r="M466" s="146"/>
      <c r="N466" s="146"/>
      <c r="O466" s="146"/>
      <c r="P466" s="146"/>
      <c r="Q466" s="146"/>
      <c r="R466" s="146"/>
      <c r="S466" s="146"/>
      <c r="T466" s="146"/>
      <c r="U466" s="146"/>
      <c r="V466" s="146"/>
      <c r="W466" s="146"/>
      <c r="X466" s="146"/>
      <c r="Y466" s="146"/>
      <c r="Z466" s="146"/>
    </row>
    <row r="467" ht="22.5" customHeight="1">
      <c r="A467" s="329"/>
      <c r="B467" s="274"/>
      <c r="C467" s="138"/>
      <c r="D467" s="118"/>
      <c r="E467" s="138"/>
      <c r="F467" s="138"/>
      <c r="G467" s="330"/>
      <c r="H467" s="146"/>
      <c r="I467" s="146"/>
      <c r="J467" s="146"/>
      <c r="K467" s="146"/>
      <c r="L467" s="146"/>
      <c r="M467" s="146"/>
      <c r="N467" s="146"/>
      <c r="O467" s="146"/>
      <c r="P467" s="146"/>
      <c r="Q467" s="146"/>
      <c r="R467" s="146"/>
      <c r="S467" s="146"/>
      <c r="T467" s="146"/>
      <c r="U467" s="146"/>
      <c r="V467" s="146"/>
      <c r="W467" s="146"/>
      <c r="X467" s="146"/>
      <c r="Y467" s="146"/>
      <c r="Z467" s="146"/>
    </row>
    <row r="468" ht="22.5" customHeight="1">
      <c r="A468" s="329"/>
      <c r="B468" s="274"/>
      <c r="C468" s="138"/>
      <c r="D468" s="118"/>
      <c r="E468" s="138"/>
      <c r="F468" s="138"/>
      <c r="G468" s="330"/>
      <c r="H468" s="146"/>
      <c r="I468" s="146"/>
      <c r="J468" s="146"/>
      <c r="K468" s="146"/>
      <c r="L468" s="146"/>
      <c r="M468" s="146"/>
      <c r="N468" s="146"/>
      <c r="O468" s="146"/>
      <c r="P468" s="146"/>
      <c r="Q468" s="146"/>
      <c r="R468" s="146"/>
      <c r="S468" s="146"/>
      <c r="T468" s="146"/>
      <c r="U468" s="146"/>
      <c r="V468" s="146"/>
      <c r="W468" s="146"/>
      <c r="X468" s="146"/>
      <c r="Y468" s="146"/>
      <c r="Z468" s="146"/>
    </row>
    <row r="469" ht="22.5" customHeight="1">
      <c r="A469" s="329"/>
      <c r="B469" s="274"/>
      <c r="C469" s="138"/>
      <c r="D469" s="118"/>
      <c r="E469" s="138"/>
      <c r="F469" s="138"/>
      <c r="G469" s="330"/>
      <c r="H469" s="146"/>
      <c r="I469" s="146"/>
      <c r="J469" s="146"/>
      <c r="K469" s="146"/>
      <c r="L469" s="146"/>
      <c r="M469" s="146"/>
      <c r="N469" s="146"/>
      <c r="O469" s="146"/>
      <c r="P469" s="146"/>
      <c r="Q469" s="146"/>
      <c r="R469" s="146"/>
      <c r="S469" s="146"/>
      <c r="T469" s="146"/>
      <c r="U469" s="146"/>
      <c r="V469" s="146"/>
      <c r="W469" s="146"/>
      <c r="X469" s="146"/>
      <c r="Y469" s="146"/>
      <c r="Z469" s="146"/>
    </row>
    <row r="470" ht="22.5" customHeight="1">
      <c r="A470" s="329"/>
      <c r="B470" s="274"/>
      <c r="C470" s="138"/>
      <c r="D470" s="118"/>
      <c r="E470" s="138"/>
      <c r="F470" s="138"/>
      <c r="G470" s="330"/>
      <c r="H470" s="146"/>
      <c r="I470" s="146"/>
      <c r="J470" s="146"/>
      <c r="K470" s="146"/>
      <c r="L470" s="146"/>
      <c r="M470" s="146"/>
      <c r="N470" s="146"/>
      <c r="O470" s="146"/>
      <c r="P470" s="146"/>
      <c r="Q470" s="146"/>
      <c r="R470" s="146"/>
      <c r="S470" s="146"/>
      <c r="T470" s="146"/>
      <c r="U470" s="146"/>
      <c r="V470" s="146"/>
      <c r="W470" s="146"/>
      <c r="X470" s="146"/>
      <c r="Y470" s="146"/>
      <c r="Z470" s="146"/>
    </row>
    <row r="471" ht="22.5" customHeight="1">
      <c r="A471" s="329"/>
      <c r="B471" s="274"/>
      <c r="C471" s="138"/>
      <c r="D471" s="118"/>
      <c r="E471" s="138"/>
      <c r="F471" s="138"/>
      <c r="G471" s="330"/>
      <c r="H471" s="146"/>
      <c r="I471" s="146"/>
      <c r="J471" s="146"/>
      <c r="K471" s="146"/>
      <c r="L471" s="146"/>
      <c r="M471" s="146"/>
      <c r="N471" s="146"/>
      <c r="O471" s="146"/>
      <c r="P471" s="146"/>
      <c r="Q471" s="146"/>
      <c r="R471" s="146"/>
      <c r="S471" s="146"/>
      <c r="T471" s="146"/>
      <c r="U471" s="146"/>
      <c r="V471" s="146"/>
      <c r="W471" s="146"/>
      <c r="X471" s="146"/>
      <c r="Y471" s="146"/>
      <c r="Z471" s="146"/>
    </row>
    <row r="472" ht="22.5" customHeight="1">
      <c r="A472" s="329"/>
      <c r="B472" s="274"/>
      <c r="C472" s="138"/>
      <c r="D472" s="118"/>
      <c r="E472" s="138"/>
      <c r="F472" s="138"/>
      <c r="G472" s="330"/>
      <c r="H472" s="146"/>
      <c r="I472" s="146"/>
      <c r="J472" s="146"/>
      <c r="K472" s="146"/>
      <c r="L472" s="146"/>
      <c r="M472" s="146"/>
      <c r="N472" s="146"/>
      <c r="O472" s="146"/>
      <c r="P472" s="146"/>
      <c r="Q472" s="146"/>
      <c r="R472" s="146"/>
      <c r="S472" s="146"/>
      <c r="T472" s="146"/>
      <c r="U472" s="146"/>
      <c r="V472" s="146"/>
      <c r="W472" s="146"/>
      <c r="X472" s="146"/>
      <c r="Y472" s="146"/>
      <c r="Z472" s="146"/>
    </row>
    <row r="473" ht="22.5" customHeight="1">
      <c r="A473" s="329"/>
      <c r="B473" s="274"/>
      <c r="C473" s="138"/>
      <c r="D473" s="118"/>
      <c r="E473" s="138"/>
      <c r="F473" s="138"/>
      <c r="G473" s="330"/>
      <c r="H473" s="146"/>
      <c r="I473" s="146"/>
      <c r="J473" s="146"/>
      <c r="K473" s="146"/>
      <c r="L473" s="146"/>
      <c r="M473" s="146"/>
      <c r="N473" s="146"/>
      <c r="O473" s="146"/>
      <c r="P473" s="146"/>
      <c r="Q473" s="146"/>
      <c r="R473" s="146"/>
      <c r="S473" s="146"/>
      <c r="T473" s="146"/>
      <c r="U473" s="146"/>
      <c r="V473" s="146"/>
      <c r="W473" s="146"/>
      <c r="X473" s="146"/>
      <c r="Y473" s="146"/>
      <c r="Z473" s="146"/>
    </row>
    <row r="474" ht="22.5" customHeight="1">
      <c r="A474" s="329"/>
      <c r="B474" s="274"/>
      <c r="C474" s="138"/>
      <c r="D474" s="118"/>
      <c r="E474" s="138"/>
      <c r="F474" s="138"/>
      <c r="G474" s="330"/>
      <c r="H474" s="146"/>
      <c r="I474" s="146"/>
      <c r="J474" s="146"/>
      <c r="K474" s="146"/>
      <c r="L474" s="146"/>
      <c r="M474" s="146"/>
      <c r="N474" s="146"/>
      <c r="O474" s="146"/>
      <c r="P474" s="146"/>
      <c r="Q474" s="146"/>
      <c r="R474" s="146"/>
      <c r="S474" s="146"/>
      <c r="T474" s="146"/>
      <c r="U474" s="146"/>
      <c r="V474" s="146"/>
      <c r="W474" s="146"/>
      <c r="X474" s="146"/>
      <c r="Y474" s="146"/>
      <c r="Z474" s="146"/>
    </row>
    <row r="475" ht="22.5" customHeight="1">
      <c r="A475" s="329"/>
      <c r="B475" s="274"/>
      <c r="C475" s="138"/>
      <c r="D475" s="118"/>
      <c r="E475" s="138"/>
      <c r="F475" s="138"/>
      <c r="G475" s="330"/>
      <c r="H475" s="146"/>
      <c r="I475" s="146"/>
      <c r="J475" s="146"/>
      <c r="K475" s="146"/>
      <c r="L475" s="146"/>
      <c r="M475" s="146"/>
      <c r="N475" s="146"/>
      <c r="O475" s="146"/>
      <c r="P475" s="146"/>
      <c r="Q475" s="146"/>
      <c r="R475" s="146"/>
      <c r="S475" s="146"/>
      <c r="T475" s="146"/>
      <c r="U475" s="146"/>
      <c r="V475" s="146"/>
      <c r="W475" s="146"/>
      <c r="X475" s="146"/>
      <c r="Y475" s="146"/>
      <c r="Z475" s="146"/>
    </row>
    <row r="476" ht="22.5" customHeight="1">
      <c r="A476" s="329"/>
      <c r="B476" s="274"/>
      <c r="C476" s="138"/>
      <c r="D476" s="118"/>
      <c r="E476" s="138"/>
      <c r="F476" s="138"/>
      <c r="G476" s="330"/>
      <c r="H476" s="146"/>
      <c r="I476" s="146"/>
      <c r="J476" s="146"/>
      <c r="K476" s="146"/>
      <c r="L476" s="146"/>
      <c r="M476" s="146"/>
      <c r="N476" s="146"/>
      <c r="O476" s="146"/>
      <c r="P476" s="146"/>
      <c r="Q476" s="146"/>
      <c r="R476" s="146"/>
      <c r="S476" s="146"/>
      <c r="T476" s="146"/>
      <c r="U476" s="146"/>
      <c r="V476" s="146"/>
      <c r="W476" s="146"/>
      <c r="X476" s="146"/>
      <c r="Y476" s="146"/>
      <c r="Z476" s="146"/>
    </row>
    <row r="477" ht="22.5" customHeight="1">
      <c r="A477" s="329"/>
      <c r="B477" s="274"/>
      <c r="C477" s="138"/>
      <c r="D477" s="118"/>
      <c r="E477" s="138"/>
      <c r="F477" s="138"/>
      <c r="G477" s="330"/>
      <c r="H477" s="146"/>
      <c r="I477" s="146"/>
      <c r="J477" s="146"/>
      <c r="K477" s="146"/>
      <c r="L477" s="146"/>
      <c r="M477" s="146"/>
      <c r="N477" s="146"/>
      <c r="O477" s="146"/>
      <c r="P477" s="146"/>
      <c r="Q477" s="146"/>
      <c r="R477" s="146"/>
      <c r="S477" s="146"/>
      <c r="T477" s="146"/>
      <c r="U477" s="146"/>
      <c r="V477" s="146"/>
      <c r="W477" s="146"/>
      <c r="X477" s="146"/>
      <c r="Y477" s="146"/>
      <c r="Z477" s="146"/>
    </row>
    <row r="478" ht="22.5" customHeight="1">
      <c r="A478" s="329"/>
      <c r="B478" s="274"/>
      <c r="C478" s="138"/>
      <c r="D478" s="118"/>
      <c r="E478" s="138"/>
      <c r="F478" s="138"/>
      <c r="G478" s="330"/>
      <c r="H478" s="146"/>
      <c r="I478" s="146"/>
      <c r="J478" s="146"/>
      <c r="K478" s="146"/>
      <c r="L478" s="146"/>
      <c r="M478" s="146"/>
      <c r="N478" s="146"/>
      <c r="O478" s="146"/>
      <c r="P478" s="146"/>
      <c r="Q478" s="146"/>
      <c r="R478" s="146"/>
      <c r="S478" s="146"/>
      <c r="T478" s="146"/>
      <c r="U478" s="146"/>
      <c r="V478" s="146"/>
      <c r="W478" s="146"/>
      <c r="X478" s="146"/>
      <c r="Y478" s="146"/>
      <c r="Z478" s="146"/>
    </row>
    <row r="479" ht="22.5" customHeight="1">
      <c r="A479" s="329"/>
      <c r="B479" s="274"/>
      <c r="C479" s="138"/>
      <c r="D479" s="118"/>
      <c r="E479" s="138"/>
      <c r="F479" s="138"/>
      <c r="G479" s="330"/>
      <c r="H479" s="146"/>
      <c r="I479" s="146"/>
      <c r="J479" s="146"/>
      <c r="K479" s="146"/>
      <c r="L479" s="146"/>
      <c r="M479" s="146"/>
      <c r="N479" s="146"/>
      <c r="O479" s="146"/>
      <c r="P479" s="146"/>
      <c r="Q479" s="146"/>
      <c r="R479" s="146"/>
      <c r="S479" s="146"/>
      <c r="T479" s="146"/>
      <c r="U479" s="146"/>
      <c r="V479" s="146"/>
      <c r="W479" s="146"/>
      <c r="X479" s="146"/>
      <c r="Y479" s="146"/>
      <c r="Z479" s="146"/>
    </row>
    <row r="480" ht="22.5" customHeight="1">
      <c r="A480" s="329"/>
      <c r="B480" s="274"/>
      <c r="C480" s="138"/>
      <c r="D480" s="118"/>
      <c r="E480" s="138"/>
      <c r="F480" s="138"/>
      <c r="G480" s="330"/>
      <c r="H480" s="146"/>
      <c r="I480" s="146"/>
      <c r="J480" s="146"/>
      <c r="K480" s="146"/>
      <c r="L480" s="146"/>
      <c r="M480" s="146"/>
      <c r="N480" s="146"/>
      <c r="O480" s="146"/>
      <c r="P480" s="146"/>
      <c r="Q480" s="146"/>
      <c r="R480" s="146"/>
      <c r="S480" s="146"/>
      <c r="T480" s="146"/>
      <c r="U480" s="146"/>
      <c r="V480" s="146"/>
      <c r="W480" s="146"/>
      <c r="X480" s="146"/>
      <c r="Y480" s="146"/>
      <c r="Z480" s="146"/>
    </row>
    <row r="481" ht="22.5" customHeight="1">
      <c r="A481" s="329"/>
      <c r="B481" s="274"/>
      <c r="C481" s="138"/>
      <c r="D481" s="118"/>
      <c r="E481" s="138"/>
      <c r="F481" s="138"/>
      <c r="G481" s="330"/>
      <c r="H481" s="146"/>
      <c r="I481" s="146"/>
      <c r="J481" s="146"/>
      <c r="K481" s="146"/>
      <c r="L481" s="146"/>
      <c r="M481" s="146"/>
      <c r="N481" s="146"/>
      <c r="O481" s="146"/>
      <c r="P481" s="146"/>
      <c r="Q481" s="146"/>
      <c r="R481" s="146"/>
      <c r="S481" s="146"/>
      <c r="T481" s="146"/>
      <c r="U481" s="146"/>
      <c r="V481" s="146"/>
      <c r="W481" s="146"/>
      <c r="X481" s="146"/>
      <c r="Y481" s="146"/>
      <c r="Z481" s="146"/>
    </row>
    <row r="482" ht="22.5" customHeight="1">
      <c r="A482" s="329"/>
      <c r="B482" s="274"/>
      <c r="C482" s="138"/>
      <c r="D482" s="118"/>
      <c r="E482" s="138"/>
      <c r="F482" s="138"/>
      <c r="G482" s="330"/>
      <c r="H482" s="146"/>
      <c r="I482" s="146"/>
      <c r="J482" s="146"/>
      <c r="K482" s="146"/>
      <c r="L482" s="146"/>
      <c r="M482" s="146"/>
      <c r="N482" s="146"/>
      <c r="O482" s="146"/>
      <c r="P482" s="146"/>
      <c r="Q482" s="146"/>
      <c r="R482" s="146"/>
      <c r="S482" s="146"/>
      <c r="T482" s="146"/>
      <c r="U482" s="146"/>
      <c r="V482" s="146"/>
      <c r="W482" s="146"/>
      <c r="X482" s="146"/>
      <c r="Y482" s="146"/>
      <c r="Z482" s="146"/>
    </row>
    <row r="483" ht="22.5" customHeight="1">
      <c r="A483" s="329"/>
      <c r="B483" s="274"/>
      <c r="C483" s="138"/>
      <c r="D483" s="118"/>
      <c r="E483" s="138"/>
      <c r="F483" s="138"/>
      <c r="G483" s="330"/>
      <c r="H483" s="146"/>
      <c r="I483" s="146"/>
      <c r="J483" s="146"/>
      <c r="K483" s="146"/>
      <c r="L483" s="146"/>
      <c r="M483" s="146"/>
      <c r="N483" s="146"/>
      <c r="O483" s="146"/>
      <c r="P483" s="146"/>
      <c r="Q483" s="146"/>
      <c r="R483" s="146"/>
      <c r="S483" s="146"/>
      <c r="T483" s="146"/>
      <c r="U483" s="146"/>
      <c r="V483" s="146"/>
      <c r="W483" s="146"/>
      <c r="X483" s="146"/>
      <c r="Y483" s="146"/>
      <c r="Z483" s="146"/>
    </row>
    <row r="484" ht="22.5" customHeight="1">
      <c r="A484" s="329"/>
      <c r="B484" s="274"/>
      <c r="C484" s="138"/>
      <c r="D484" s="118"/>
      <c r="E484" s="138"/>
      <c r="F484" s="138"/>
      <c r="G484" s="330"/>
      <c r="H484" s="146"/>
      <c r="I484" s="146"/>
      <c r="J484" s="146"/>
      <c r="K484" s="146"/>
      <c r="L484" s="146"/>
      <c r="M484" s="146"/>
      <c r="N484" s="146"/>
      <c r="O484" s="146"/>
      <c r="P484" s="146"/>
      <c r="Q484" s="146"/>
      <c r="R484" s="146"/>
      <c r="S484" s="146"/>
      <c r="T484" s="146"/>
      <c r="U484" s="146"/>
      <c r="V484" s="146"/>
      <c r="W484" s="146"/>
      <c r="X484" s="146"/>
      <c r="Y484" s="146"/>
      <c r="Z484" s="146"/>
    </row>
    <row r="485" ht="22.5" customHeight="1">
      <c r="A485" s="329"/>
      <c r="B485" s="274"/>
      <c r="C485" s="138"/>
      <c r="D485" s="118"/>
      <c r="E485" s="138"/>
      <c r="F485" s="138"/>
      <c r="G485" s="330"/>
      <c r="H485" s="146"/>
      <c r="I485" s="146"/>
      <c r="J485" s="146"/>
      <c r="K485" s="146"/>
      <c r="L485" s="146"/>
      <c r="M485" s="146"/>
      <c r="N485" s="146"/>
      <c r="O485" s="146"/>
      <c r="P485" s="146"/>
      <c r="Q485" s="146"/>
      <c r="R485" s="146"/>
      <c r="S485" s="146"/>
      <c r="T485" s="146"/>
      <c r="U485" s="146"/>
      <c r="V485" s="146"/>
      <c r="W485" s="146"/>
      <c r="X485" s="146"/>
      <c r="Y485" s="146"/>
      <c r="Z485" s="146"/>
    </row>
    <row r="486" ht="22.5" customHeight="1">
      <c r="A486" s="329"/>
      <c r="B486" s="274"/>
      <c r="C486" s="138"/>
      <c r="D486" s="118"/>
      <c r="E486" s="138"/>
      <c r="F486" s="138"/>
      <c r="G486" s="330"/>
      <c r="H486" s="146"/>
      <c r="I486" s="146"/>
      <c r="J486" s="146"/>
      <c r="K486" s="146"/>
      <c r="L486" s="146"/>
      <c r="M486" s="146"/>
      <c r="N486" s="146"/>
      <c r="O486" s="146"/>
      <c r="P486" s="146"/>
      <c r="Q486" s="146"/>
      <c r="R486" s="146"/>
      <c r="S486" s="146"/>
      <c r="T486" s="146"/>
      <c r="U486" s="146"/>
      <c r="V486" s="146"/>
      <c r="W486" s="146"/>
      <c r="X486" s="146"/>
      <c r="Y486" s="146"/>
      <c r="Z486" s="146"/>
    </row>
    <row r="487" ht="22.5" customHeight="1">
      <c r="A487" s="329"/>
      <c r="B487" s="274"/>
      <c r="C487" s="138"/>
      <c r="D487" s="118"/>
      <c r="E487" s="138"/>
      <c r="F487" s="138"/>
      <c r="G487" s="330"/>
      <c r="H487" s="146"/>
      <c r="I487" s="146"/>
      <c r="J487" s="146"/>
      <c r="K487" s="146"/>
      <c r="L487" s="146"/>
      <c r="M487" s="146"/>
      <c r="N487" s="146"/>
      <c r="O487" s="146"/>
      <c r="P487" s="146"/>
      <c r="Q487" s="146"/>
      <c r="R487" s="146"/>
      <c r="S487" s="146"/>
      <c r="T487" s="146"/>
      <c r="U487" s="146"/>
      <c r="V487" s="146"/>
      <c r="W487" s="146"/>
      <c r="X487" s="146"/>
      <c r="Y487" s="146"/>
      <c r="Z487" s="146"/>
    </row>
    <row r="488" ht="22.5" customHeight="1">
      <c r="A488" s="329"/>
      <c r="B488" s="274"/>
      <c r="C488" s="138"/>
      <c r="D488" s="118"/>
      <c r="E488" s="138"/>
      <c r="F488" s="138"/>
      <c r="G488" s="330"/>
      <c r="H488" s="146"/>
      <c r="I488" s="146"/>
      <c r="J488" s="146"/>
      <c r="K488" s="146"/>
      <c r="L488" s="146"/>
      <c r="M488" s="146"/>
      <c r="N488" s="146"/>
      <c r="O488" s="146"/>
      <c r="P488" s="146"/>
      <c r="Q488" s="146"/>
      <c r="R488" s="146"/>
      <c r="S488" s="146"/>
      <c r="T488" s="146"/>
      <c r="U488" s="146"/>
      <c r="V488" s="146"/>
      <c r="W488" s="146"/>
      <c r="X488" s="146"/>
      <c r="Y488" s="146"/>
      <c r="Z488" s="146"/>
    </row>
    <row r="489" ht="22.5" customHeight="1">
      <c r="A489" s="329"/>
      <c r="B489" s="274"/>
      <c r="C489" s="138"/>
      <c r="D489" s="118"/>
      <c r="E489" s="138"/>
      <c r="F489" s="138"/>
      <c r="G489" s="330"/>
      <c r="H489" s="146"/>
      <c r="I489" s="146"/>
      <c r="J489" s="146"/>
      <c r="K489" s="146"/>
      <c r="L489" s="146"/>
      <c r="M489" s="146"/>
      <c r="N489" s="146"/>
      <c r="O489" s="146"/>
      <c r="P489" s="146"/>
      <c r="Q489" s="146"/>
      <c r="R489" s="146"/>
      <c r="S489" s="146"/>
      <c r="T489" s="146"/>
      <c r="U489" s="146"/>
      <c r="V489" s="146"/>
      <c r="W489" s="146"/>
      <c r="X489" s="146"/>
      <c r="Y489" s="146"/>
      <c r="Z489" s="146"/>
    </row>
    <row r="490" ht="22.5" customHeight="1">
      <c r="A490" s="329"/>
      <c r="B490" s="274"/>
      <c r="C490" s="138"/>
      <c r="D490" s="118"/>
      <c r="E490" s="138"/>
      <c r="F490" s="138"/>
      <c r="G490" s="330"/>
      <c r="H490" s="146"/>
      <c r="I490" s="146"/>
      <c r="J490" s="146"/>
      <c r="K490" s="146"/>
      <c r="L490" s="146"/>
      <c r="M490" s="146"/>
      <c r="N490" s="146"/>
      <c r="O490" s="146"/>
      <c r="P490" s="146"/>
      <c r="Q490" s="146"/>
      <c r="R490" s="146"/>
      <c r="S490" s="146"/>
      <c r="T490" s="146"/>
      <c r="U490" s="146"/>
      <c r="V490" s="146"/>
      <c r="W490" s="146"/>
      <c r="X490" s="146"/>
      <c r="Y490" s="146"/>
      <c r="Z490" s="146"/>
    </row>
    <row r="491" ht="22.5" customHeight="1">
      <c r="A491" s="329"/>
      <c r="B491" s="274"/>
      <c r="C491" s="138"/>
      <c r="D491" s="118"/>
      <c r="E491" s="138"/>
      <c r="F491" s="138"/>
      <c r="G491" s="330"/>
      <c r="H491" s="146"/>
      <c r="I491" s="146"/>
      <c r="J491" s="146"/>
      <c r="K491" s="146"/>
      <c r="L491" s="146"/>
      <c r="M491" s="146"/>
      <c r="N491" s="146"/>
      <c r="O491" s="146"/>
      <c r="P491" s="146"/>
      <c r="Q491" s="146"/>
      <c r="R491" s="146"/>
      <c r="S491" s="146"/>
      <c r="T491" s="146"/>
      <c r="U491" s="146"/>
      <c r="V491" s="146"/>
      <c r="W491" s="146"/>
      <c r="X491" s="146"/>
      <c r="Y491" s="146"/>
      <c r="Z491" s="146"/>
    </row>
    <row r="492" ht="22.5" customHeight="1">
      <c r="A492" s="329"/>
      <c r="B492" s="274"/>
      <c r="C492" s="138"/>
      <c r="D492" s="118"/>
      <c r="E492" s="138"/>
      <c r="F492" s="138"/>
      <c r="G492" s="330"/>
      <c r="H492" s="146"/>
      <c r="I492" s="146"/>
      <c r="J492" s="146"/>
      <c r="K492" s="146"/>
      <c r="L492" s="146"/>
      <c r="M492" s="146"/>
      <c r="N492" s="146"/>
      <c r="O492" s="146"/>
      <c r="P492" s="146"/>
      <c r="Q492" s="146"/>
      <c r="R492" s="146"/>
      <c r="S492" s="146"/>
      <c r="T492" s="146"/>
      <c r="U492" s="146"/>
      <c r="V492" s="146"/>
      <c r="W492" s="146"/>
      <c r="X492" s="146"/>
      <c r="Y492" s="146"/>
      <c r="Z492" s="146"/>
    </row>
    <row r="493" ht="22.5" customHeight="1">
      <c r="A493" s="329"/>
      <c r="B493" s="274"/>
      <c r="C493" s="138"/>
      <c r="D493" s="118"/>
      <c r="E493" s="138"/>
      <c r="F493" s="138"/>
      <c r="G493" s="330"/>
      <c r="H493" s="146"/>
      <c r="I493" s="146"/>
      <c r="J493" s="146"/>
      <c r="K493" s="146"/>
      <c r="L493" s="146"/>
      <c r="M493" s="146"/>
      <c r="N493" s="146"/>
      <c r="O493" s="146"/>
      <c r="P493" s="146"/>
      <c r="Q493" s="146"/>
      <c r="R493" s="146"/>
      <c r="S493" s="146"/>
      <c r="T493" s="146"/>
      <c r="U493" s="146"/>
      <c r="V493" s="146"/>
      <c r="W493" s="146"/>
      <c r="X493" s="146"/>
      <c r="Y493" s="146"/>
      <c r="Z493" s="146"/>
    </row>
    <row r="494" ht="22.5" customHeight="1">
      <c r="A494" s="329"/>
      <c r="B494" s="274"/>
      <c r="C494" s="138"/>
      <c r="D494" s="118"/>
      <c r="E494" s="138"/>
      <c r="F494" s="138"/>
      <c r="G494" s="330"/>
      <c r="H494" s="146"/>
      <c r="I494" s="146"/>
      <c r="J494" s="146"/>
      <c r="K494" s="146"/>
      <c r="L494" s="146"/>
      <c r="M494" s="146"/>
      <c r="N494" s="146"/>
      <c r="O494" s="146"/>
      <c r="P494" s="146"/>
      <c r="Q494" s="146"/>
      <c r="R494" s="146"/>
      <c r="S494" s="146"/>
      <c r="T494" s="146"/>
      <c r="U494" s="146"/>
      <c r="V494" s="146"/>
      <c r="W494" s="146"/>
      <c r="X494" s="146"/>
      <c r="Y494" s="146"/>
      <c r="Z494" s="146"/>
    </row>
    <row r="495" ht="22.5" customHeight="1">
      <c r="A495" s="329"/>
      <c r="B495" s="274"/>
      <c r="C495" s="138"/>
      <c r="D495" s="118"/>
      <c r="E495" s="138"/>
      <c r="F495" s="138"/>
      <c r="G495" s="330"/>
      <c r="H495" s="146"/>
      <c r="I495" s="146"/>
      <c r="J495" s="146"/>
      <c r="K495" s="146"/>
      <c r="L495" s="146"/>
      <c r="M495" s="146"/>
      <c r="N495" s="146"/>
      <c r="O495" s="146"/>
      <c r="P495" s="146"/>
      <c r="Q495" s="146"/>
      <c r="R495" s="146"/>
      <c r="S495" s="146"/>
      <c r="T495" s="146"/>
      <c r="U495" s="146"/>
      <c r="V495" s="146"/>
      <c r="W495" s="146"/>
      <c r="X495" s="146"/>
      <c r="Y495" s="146"/>
      <c r="Z495" s="146"/>
    </row>
    <row r="496" ht="22.5" customHeight="1">
      <c r="A496" s="329"/>
      <c r="B496" s="274"/>
      <c r="C496" s="138"/>
      <c r="D496" s="118"/>
      <c r="E496" s="138"/>
      <c r="F496" s="138"/>
      <c r="G496" s="330"/>
      <c r="H496" s="146"/>
      <c r="I496" s="146"/>
      <c r="J496" s="146"/>
      <c r="K496" s="146"/>
      <c r="L496" s="146"/>
      <c r="M496" s="146"/>
      <c r="N496" s="146"/>
      <c r="O496" s="146"/>
      <c r="P496" s="146"/>
      <c r="Q496" s="146"/>
      <c r="R496" s="146"/>
      <c r="S496" s="146"/>
      <c r="T496" s="146"/>
      <c r="U496" s="146"/>
      <c r="V496" s="146"/>
      <c r="W496" s="146"/>
      <c r="X496" s="146"/>
      <c r="Y496" s="146"/>
      <c r="Z496" s="146"/>
    </row>
    <row r="497" ht="22.5" customHeight="1">
      <c r="A497" s="329"/>
      <c r="B497" s="274"/>
      <c r="C497" s="138"/>
      <c r="D497" s="118"/>
      <c r="E497" s="138"/>
      <c r="F497" s="138"/>
      <c r="G497" s="330"/>
      <c r="H497" s="146"/>
      <c r="I497" s="146"/>
      <c r="J497" s="146"/>
      <c r="K497" s="146"/>
      <c r="L497" s="146"/>
      <c r="M497" s="146"/>
      <c r="N497" s="146"/>
      <c r="O497" s="146"/>
      <c r="P497" s="146"/>
      <c r="Q497" s="146"/>
      <c r="R497" s="146"/>
      <c r="S497" s="146"/>
      <c r="T497" s="146"/>
      <c r="U497" s="146"/>
      <c r="V497" s="146"/>
      <c r="W497" s="146"/>
      <c r="X497" s="146"/>
      <c r="Y497" s="146"/>
      <c r="Z497" s="146"/>
    </row>
    <row r="498" ht="22.5" customHeight="1">
      <c r="A498" s="329"/>
      <c r="B498" s="274"/>
      <c r="C498" s="138"/>
      <c r="D498" s="118"/>
      <c r="E498" s="138"/>
      <c r="F498" s="138"/>
      <c r="G498" s="330"/>
      <c r="H498" s="146"/>
      <c r="I498" s="146"/>
      <c r="J498" s="146"/>
      <c r="K498" s="146"/>
      <c r="L498" s="146"/>
      <c r="M498" s="146"/>
      <c r="N498" s="146"/>
      <c r="O498" s="146"/>
      <c r="P498" s="146"/>
      <c r="Q498" s="146"/>
      <c r="R498" s="146"/>
      <c r="S498" s="146"/>
      <c r="T498" s="146"/>
      <c r="U498" s="146"/>
      <c r="V498" s="146"/>
      <c r="W498" s="146"/>
      <c r="X498" s="146"/>
      <c r="Y498" s="146"/>
      <c r="Z498" s="146"/>
    </row>
    <row r="499" ht="22.5" customHeight="1">
      <c r="A499" s="329"/>
      <c r="B499" s="274"/>
      <c r="C499" s="138"/>
      <c r="D499" s="118"/>
      <c r="E499" s="138"/>
      <c r="F499" s="138"/>
      <c r="G499" s="330"/>
      <c r="H499" s="146"/>
      <c r="I499" s="146"/>
      <c r="J499" s="146"/>
      <c r="K499" s="146"/>
      <c r="L499" s="146"/>
      <c r="M499" s="146"/>
      <c r="N499" s="146"/>
      <c r="O499" s="146"/>
      <c r="P499" s="146"/>
      <c r="Q499" s="146"/>
      <c r="R499" s="146"/>
      <c r="S499" s="146"/>
      <c r="T499" s="146"/>
      <c r="U499" s="146"/>
      <c r="V499" s="146"/>
      <c r="W499" s="146"/>
      <c r="X499" s="146"/>
      <c r="Y499" s="146"/>
      <c r="Z499" s="146"/>
    </row>
    <row r="500" ht="22.5" customHeight="1">
      <c r="A500" s="329"/>
      <c r="B500" s="274"/>
      <c r="C500" s="138"/>
      <c r="D500" s="118"/>
      <c r="E500" s="138"/>
      <c r="F500" s="138"/>
      <c r="G500" s="330"/>
      <c r="H500" s="146"/>
      <c r="I500" s="146"/>
      <c r="J500" s="146"/>
      <c r="K500" s="146"/>
      <c r="L500" s="146"/>
      <c r="M500" s="146"/>
      <c r="N500" s="146"/>
      <c r="O500" s="146"/>
      <c r="P500" s="146"/>
      <c r="Q500" s="146"/>
      <c r="R500" s="146"/>
      <c r="S500" s="146"/>
      <c r="T500" s="146"/>
      <c r="U500" s="146"/>
      <c r="V500" s="146"/>
      <c r="W500" s="146"/>
      <c r="X500" s="146"/>
      <c r="Y500" s="146"/>
      <c r="Z500" s="146"/>
    </row>
    <row r="501" ht="22.5" customHeight="1">
      <c r="A501" s="329"/>
      <c r="B501" s="274"/>
      <c r="C501" s="138"/>
      <c r="D501" s="118"/>
      <c r="E501" s="138"/>
      <c r="F501" s="138"/>
      <c r="G501" s="330"/>
      <c r="H501" s="146"/>
      <c r="I501" s="146"/>
      <c r="J501" s="146"/>
      <c r="K501" s="146"/>
      <c r="L501" s="146"/>
      <c r="M501" s="146"/>
      <c r="N501" s="146"/>
      <c r="O501" s="146"/>
      <c r="P501" s="146"/>
      <c r="Q501" s="146"/>
      <c r="R501" s="146"/>
      <c r="S501" s="146"/>
      <c r="T501" s="146"/>
      <c r="U501" s="146"/>
      <c r="V501" s="146"/>
      <c r="W501" s="146"/>
      <c r="X501" s="146"/>
      <c r="Y501" s="146"/>
      <c r="Z501" s="146"/>
    </row>
    <row r="502" ht="22.5" customHeight="1">
      <c r="A502" s="329"/>
      <c r="B502" s="274"/>
      <c r="C502" s="138"/>
      <c r="D502" s="118"/>
      <c r="E502" s="138"/>
      <c r="F502" s="138"/>
      <c r="G502" s="330"/>
      <c r="H502" s="146"/>
      <c r="I502" s="146"/>
      <c r="J502" s="146"/>
      <c r="K502" s="146"/>
      <c r="L502" s="146"/>
      <c r="M502" s="146"/>
      <c r="N502" s="146"/>
      <c r="O502" s="146"/>
      <c r="P502" s="146"/>
      <c r="Q502" s="146"/>
      <c r="R502" s="146"/>
      <c r="S502" s="146"/>
      <c r="T502" s="146"/>
      <c r="U502" s="146"/>
      <c r="V502" s="146"/>
      <c r="W502" s="146"/>
      <c r="X502" s="146"/>
      <c r="Y502" s="146"/>
      <c r="Z502" s="146"/>
    </row>
    <row r="503" ht="22.5" customHeight="1">
      <c r="A503" s="329"/>
      <c r="B503" s="274"/>
      <c r="C503" s="138"/>
      <c r="D503" s="118"/>
      <c r="E503" s="138"/>
      <c r="F503" s="138"/>
      <c r="G503" s="330"/>
      <c r="H503" s="146"/>
      <c r="I503" s="146"/>
      <c r="J503" s="146"/>
      <c r="K503" s="146"/>
      <c r="L503" s="146"/>
      <c r="M503" s="146"/>
      <c r="N503" s="146"/>
      <c r="O503" s="146"/>
      <c r="P503" s="146"/>
      <c r="Q503" s="146"/>
      <c r="R503" s="146"/>
      <c r="S503" s="146"/>
      <c r="T503" s="146"/>
      <c r="U503" s="146"/>
      <c r="V503" s="146"/>
      <c r="W503" s="146"/>
      <c r="X503" s="146"/>
      <c r="Y503" s="146"/>
      <c r="Z503" s="146"/>
    </row>
    <row r="504" ht="22.5" customHeight="1">
      <c r="A504" s="329"/>
      <c r="B504" s="274"/>
      <c r="C504" s="138"/>
      <c r="D504" s="118"/>
      <c r="E504" s="138"/>
      <c r="F504" s="138"/>
      <c r="G504" s="330"/>
      <c r="H504" s="146"/>
      <c r="I504" s="146"/>
      <c r="J504" s="146"/>
      <c r="K504" s="146"/>
      <c r="L504" s="146"/>
      <c r="M504" s="146"/>
      <c r="N504" s="146"/>
      <c r="O504" s="146"/>
      <c r="P504" s="146"/>
      <c r="Q504" s="146"/>
      <c r="R504" s="146"/>
      <c r="S504" s="146"/>
      <c r="T504" s="146"/>
      <c r="U504" s="146"/>
      <c r="V504" s="146"/>
      <c r="W504" s="146"/>
      <c r="X504" s="146"/>
      <c r="Y504" s="146"/>
      <c r="Z504" s="146"/>
    </row>
    <row r="505" ht="22.5" customHeight="1">
      <c r="A505" s="329"/>
      <c r="B505" s="274"/>
      <c r="C505" s="138"/>
      <c r="D505" s="118"/>
      <c r="E505" s="138"/>
      <c r="F505" s="138"/>
      <c r="G505" s="330"/>
      <c r="H505" s="146"/>
      <c r="I505" s="146"/>
      <c r="J505" s="146"/>
      <c r="K505" s="146"/>
      <c r="L505" s="146"/>
      <c r="M505" s="146"/>
      <c r="N505" s="146"/>
      <c r="O505" s="146"/>
      <c r="P505" s="146"/>
      <c r="Q505" s="146"/>
      <c r="R505" s="146"/>
      <c r="S505" s="146"/>
      <c r="T505" s="146"/>
      <c r="U505" s="146"/>
      <c r="V505" s="146"/>
      <c r="W505" s="146"/>
      <c r="X505" s="146"/>
      <c r="Y505" s="146"/>
      <c r="Z505" s="146"/>
    </row>
    <row r="506" ht="22.5" customHeight="1">
      <c r="A506" s="329"/>
      <c r="B506" s="274"/>
      <c r="C506" s="138"/>
      <c r="D506" s="118"/>
      <c r="E506" s="138"/>
      <c r="F506" s="138"/>
      <c r="G506" s="330"/>
      <c r="H506" s="146"/>
      <c r="I506" s="146"/>
      <c r="J506" s="146"/>
      <c r="K506" s="146"/>
      <c r="L506" s="146"/>
      <c r="M506" s="146"/>
      <c r="N506" s="146"/>
      <c r="O506" s="146"/>
      <c r="P506" s="146"/>
      <c r="Q506" s="146"/>
      <c r="R506" s="146"/>
      <c r="S506" s="146"/>
      <c r="T506" s="146"/>
      <c r="U506" s="146"/>
      <c r="V506" s="146"/>
      <c r="W506" s="146"/>
      <c r="X506" s="146"/>
      <c r="Y506" s="146"/>
      <c r="Z506" s="146"/>
    </row>
    <row r="507" ht="22.5" customHeight="1">
      <c r="A507" s="329"/>
      <c r="B507" s="274"/>
      <c r="C507" s="138"/>
      <c r="D507" s="118"/>
      <c r="E507" s="138"/>
      <c r="F507" s="138"/>
      <c r="G507" s="330"/>
      <c r="H507" s="146"/>
      <c r="I507" s="146"/>
      <c r="J507" s="146"/>
      <c r="K507" s="146"/>
      <c r="L507" s="146"/>
      <c r="M507" s="146"/>
      <c r="N507" s="146"/>
      <c r="O507" s="146"/>
      <c r="P507" s="146"/>
      <c r="Q507" s="146"/>
      <c r="R507" s="146"/>
      <c r="S507" s="146"/>
      <c r="T507" s="146"/>
      <c r="U507" s="146"/>
      <c r="V507" s="146"/>
      <c r="W507" s="146"/>
      <c r="X507" s="146"/>
      <c r="Y507" s="146"/>
      <c r="Z507" s="146"/>
    </row>
    <row r="508" ht="22.5" customHeight="1">
      <c r="A508" s="329"/>
      <c r="B508" s="274"/>
      <c r="C508" s="138"/>
      <c r="D508" s="118"/>
      <c r="E508" s="138"/>
      <c r="F508" s="138"/>
      <c r="G508" s="330"/>
      <c r="H508" s="146"/>
      <c r="I508" s="146"/>
      <c r="J508" s="146"/>
      <c r="K508" s="146"/>
      <c r="L508" s="146"/>
      <c r="M508" s="146"/>
      <c r="N508" s="146"/>
      <c r="O508" s="146"/>
      <c r="P508" s="146"/>
      <c r="Q508" s="146"/>
      <c r="R508" s="146"/>
      <c r="S508" s="146"/>
      <c r="T508" s="146"/>
      <c r="U508" s="146"/>
      <c r="V508" s="146"/>
      <c r="W508" s="146"/>
      <c r="X508" s="146"/>
      <c r="Y508" s="146"/>
      <c r="Z508" s="146"/>
    </row>
    <row r="509" ht="22.5" customHeight="1">
      <c r="A509" s="329"/>
      <c r="B509" s="274"/>
      <c r="C509" s="138"/>
      <c r="D509" s="118"/>
      <c r="E509" s="138"/>
      <c r="F509" s="138"/>
      <c r="G509" s="330"/>
      <c r="H509" s="146"/>
      <c r="I509" s="146"/>
      <c r="J509" s="146"/>
      <c r="K509" s="146"/>
      <c r="L509" s="146"/>
      <c r="M509" s="146"/>
      <c r="N509" s="146"/>
      <c r="O509" s="146"/>
      <c r="P509" s="146"/>
      <c r="Q509" s="146"/>
      <c r="R509" s="146"/>
      <c r="S509" s="146"/>
      <c r="T509" s="146"/>
      <c r="U509" s="146"/>
      <c r="V509" s="146"/>
      <c r="W509" s="146"/>
      <c r="X509" s="146"/>
      <c r="Y509" s="146"/>
      <c r="Z509" s="146"/>
    </row>
    <row r="510" ht="22.5" customHeight="1">
      <c r="A510" s="329"/>
      <c r="B510" s="274"/>
      <c r="C510" s="138"/>
      <c r="D510" s="118"/>
      <c r="E510" s="138"/>
      <c r="F510" s="138"/>
      <c r="G510" s="330"/>
      <c r="H510" s="146"/>
      <c r="I510" s="146"/>
      <c r="J510" s="146"/>
      <c r="K510" s="146"/>
      <c r="L510" s="146"/>
      <c r="M510" s="146"/>
      <c r="N510" s="146"/>
      <c r="O510" s="146"/>
      <c r="P510" s="146"/>
      <c r="Q510" s="146"/>
      <c r="R510" s="146"/>
      <c r="S510" s="146"/>
      <c r="T510" s="146"/>
      <c r="U510" s="146"/>
      <c r="V510" s="146"/>
      <c r="W510" s="146"/>
      <c r="X510" s="146"/>
      <c r="Y510" s="146"/>
      <c r="Z510" s="146"/>
    </row>
    <row r="511" ht="22.5" customHeight="1">
      <c r="A511" s="329"/>
      <c r="B511" s="274"/>
      <c r="C511" s="138"/>
      <c r="D511" s="118"/>
      <c r="E511" s="138"/>
      <c r="F511" s="138"/>
      <c r="G511" s="330"/>
      <c r="H511" s="146"/>
      <c r="I511" s="146"/>
      <c r="J511" s="146"/>
      <c r="K511" s="146"/>
      <c r="L511" s="146"/>
      <c r="M511" s="146"/>
      <c r="N511" s="146"/>
      <c r="O511" s="146"/>
      <c r="P511" s="146"/>
      <c r="Q511" s="146"/>
      <c r="R511" s="146"/>
      <c r="S511" s="146"/>
      <c r="T511" s="146"/>
      <c r="U511" s="146"/>
      <c r="V511" s="146"/>
      <c r="W511" s="146"/>
      <c r="X511" s="146"/>
      <c r="Y511" s="146"/>
      <c r="Z511" s="146"/>
    </row>
    <row r="512" ht="22.5" customHeight="1">
      <c r="A512" s="329"/>
      <c r="B512" s="274"/>
      <c r="C512" s="138"/>
      <c r="D512" s="118"/>
      <c r="E512" s="138"/>
      <c r="F512" s="138"/>
      <c r="G512" s="330"/>
      <c r="H512" s="146"/>
      <c r="I512" s="146"/>
      <c r="J512" s="146"/>
      <c r="K512" s="146"/>
      <c r="L512" s="146"/>
      <c r="M512" s="146"/>
      <c r="N512" s="146"/>
      <c r="O512" s="146"/>
      <c r="P512" s="146"/>
      <c r="Q512" s="146"/>
      <c r="R512" s="146"/>
      <c r="S512" s="146"/>
      <c r="T512" s="146"/>
      <c r="U512" s="146"/>
      <c r="V512" s="146"/>
      <c r="W512" s="146"/>
      <c r="X512" s="146"/>
      <c r="Y512" s="146"/>
      <c r="Z512" s="146"/>
    </row>
    <row r="513" ht="22.5" customHeight="1">
      <c r="A513" s="329"/>
      <c r="B513" s="274"/>
      <c r="C513" s="138"/>
      <c r="D513" s="118"/>
      <c r="E513" s="138"/>
      <c r="F513" s="138"/>
      <c r="G513" s="330"/>
      <c r="H513" s="146"/>
      <c r="I513" s="146"/>
      <c r="J513" s="146"/>
      <c r="K513" s="146"/>
      <c r="L513" s="146"/>
      <c r="M513" s="146"/>
      <c r="N513" s="146"/>
      <c r="O513" s="146"/>
      <c r="P513" s="146"/>
      <c r="Q513" s="146"/>
      <c r="R513" s="146"/>
      <c r="S513" s="146"/>
      <c r="T513" s="146"/>
      <c r="U513" s="146"/>
      <c r="V513" s="146"/>
      <c r="W513" s="146"/>
      <c r="X513" s="146"/>
      <c r="Y513" s="146"/>
      <c r="Z513" s="146"/>
    </row>
    <row r="514" ht="22.5" customHeight="1">
      <c r="A514" s="329"/>
      <c r="B514" s="274"/>
      <c r="C514" s="138"/>
      <c r="D514" s="118"/>
      <c r="E514" s="138"/>
      <c r="F514" s="138"/>
      <c r="G514" s="330"/>
      <c r="H514" s="146"/>
      <c r="I514" s="146"/>
      <c r="J514" s="146"/>
      <c r="K514" s="146"/>
      <c r="L514" s="146"/>
      <c r="M514" s="146"/>
      <c r="N514" s="146"/>
      <c r="O514" s="146"/>
      <c r="P514" s="146"/>
      <c r="Q514" s="146"/>
      <c r="R514" s="146"/>
      <c r="S514" s="146"/>
      <c r="T514" s="146"/>
      <c r="U514" s="146"/>
      <c r="V514" s="146"/>
      <c r="W514" s="146"/>
      <c r="X514" s="146"/>
      <c r="Y514" s="146"/>
      <c r="Z514" s="146"/>
    </row>
    <row r="515" ht="22.5" customHeight="1">
      <c r="A515" s="329"/>
      <c r="B515" s="274"/>
      <c r="C515" s="138"/>
      <c r="D515" s="118"/>
      <c r="E515" s="138"/>
      <c r="F515" s="138"/>
      <c r="G515" s="330"/>
      <c r="H515" s="146"/>
      <c r="I515" s="146"/>
      <c r="J515" s="146"/>
      <c r="K515" s="146"/>
      <c r="L515" s="146"/>
      <c r="M515" s="146"/>
      <c r="N515" s="146"/>
      <c r="O515" s="146"/>
      <c r="P515" s="146"/>
      <c r="Q515" s="146"/>
      <c r="R515" s="146"/>
      <c r="S515" s="146"/>
      <c r="T515" s="146"/>
      <c r="U515" s="146"/>
      <c r="V515" s="146"/>
      <c r="W515" s="146"/>
      <c r="X515" s="146"/>
      <c r="Y515" s="146"/>
      <c r="Z515" s="146"/>
    </row>
    <row r="516" ht="22.5" customHeight="1">
      <c r="A516" s="329"/>
      <c r="B516" s="274"/>
      <c r="C516" s="138"/>
      <c r="D516" s="118"/>
      <c r="E516" s="138"/>
      <c r="F516" s="138"/>
      <c r="G516" s="330"/>
      <c r="H516" s="146"/>
      <c r="I516" s="146"/>
      <c r="J516" s="146"/>
      <c r="K516" s="146"/>
      <c r="L516" s="146"/>
      <c r="M516" s="146"/>
      <c r="N516" s="146"/>
      <c r="O516" s="146"/>
      <c r="P516" s="146"/>
      <c r="Q516" s="146"/>
      <c r="R516" s="146"/>
      <c r="S516" s="146"/>
      <c r="T516" s="146"/>
      <c r="U516" s="146"/>
      <c r="V516" s="146"/>
      <c r="W516" s="146"/>
      <c r="X516" s="146"/>
      <c r="Y516" s="146"/>
      <c r="Z516" s="146"/>
    </row>
    <row r="517" ht="22.5" customHeight="1">
      <c r="A517" s="329"/>
      <c r="B517" s="274"/>
      <c r="C517" s="138"/>
      <c r="D517" s="118"/>
      <c r="E517" s="138"/>
      <c r="F517" s="138"/>
      <c r="G517" s="330"/>
      <c r="H517" s="146"/>
      <c r="I517" s="146"/>
      <c r="J517" s="146"/>
      <c r="K517" s="146"/>
      <c r="L517" s="146"/>
      <c r="M517" s="146"/>
      <c r="N517" s="146"/>
      <c r="O517" s="146"/>
      <c r="P517" s="146"/>
      <c r="Q517" s="146"/>
      <c r="R517" s="146"/>
      <c r="S517" s="146"/>
      <c r="T517" s="146"/>
      <c r="U517" s="146"/>
      <c r="V517" s="146"/>
      <c r="W517" s="146"/>
      <c r="X517" s="146"/>
      <c r="Y517" s="146"/>
      <c r="Z517" s="146"/>
    </row>
    <row r="518" ht="22.5" customHeight="1">
      <c r="A518" s="329"/>
      <c r="B518" s="274"/>
      <c r="C518" s="138"/>
      <c r="D518" s="118"/>
      <c r="E518" s="138"/>
      <c r="F518" s="138"/>
      <c r="G518" s="330"/>
      <c r="H518" s="146"/>
      <c r="I518" s="146"/>
      <c r="J518" s="146"/>
      <c r="K518" s="146"/>
      <c r="L518" s="146"/>
      <c r="M518" s="146"/>
      <c r="N518" s="146"/>
      <c r="O518" s="146"/>
      <c r="P518" s="146"/>
      <c r="Q518" s="146"/>
      <c r="R518" s="146"/>
      <c r="S518" s="146"/>
      <c r="T518" s="146"/>
      <c r="U518" s="146"/>
      <c r="V518" s="146"/>
      <c r="W518" s="146"/>
      <c r="X518" s="146"/>
      <c r="Y518" s="146"/>
      <c r="Z518" s="146"/>
    </row>
    <row r="519" ht="22.5" customHeight="1">
      <c r="A519" s="329"/>
      <c r="B519" s="274"/>
      <c r="C519" s="138"/>
      <c r="D519" s="118"/>
      <c r="E519" s="138"/>
      <c r="F519" s="138"/>
      <c r="G519" s="330"/>
      <c r="H519" s="146"/>
      <c r="I519" s="146"/>
      <c r="J519" s="146"/>
      <c r="K519" s="146"/>
      <c r="L519" s="146"/>
      <c r="M519" s="146"/>
      <c r="N519" s="146"/>
      <c r="O519" s="146"/>
      <c r="P519" s="146"/>
      <c r="Q519" s="146"/>
      <c r="R519" s="146"/>
      <c r="S519" s="146"/>
      <c r="T519" s="146"/>
      <c r="U519" s="146"/>
      <c r="V519" s="146"/>
      <c r="W519" s="146"/>
      <c r="X519" s="146"/>
      <c r="Y519" s="146"/>
      <c r="Z519" s="146"/>
    </row>
    <row r="520" ht="22.5" customHeight="1">
      <c r="A520" s="329"/>
      <c r="B520" s="274"/>
      <c r="C520" s="138"/>
      <c r="D520" s="118"/>
      <c r="E520" s="138"/>
      <c r="F520" s="138"/>
      <c r="G520" s="330"/>
      <c r="H520" s="146"/>
      <c r="I520" s="146"/>
      <c r="J520" s="146"/>
      <c r="K520" s="146"/>
      <c r="L520" s="146"/>
      <c r="M520" s="146"/>
      <c r="N520" s="146"/>
      <c r="O520" s="146"/>
      <c r="P520" s="146"/>
      <c r="Q520" s="146"/>
      <c r="R520" s="146"/>
      <c r="S520" s="146"/>
      <c r="T520" s="146"/>
      <c r="U520" s="146"/>
      <c r="V520" s="146"/>
      <c r="W520" s="146"/>
      <c r="X520" s="146"/>
      <c r="Y520" s="146"/>
      <c r="Z520" s="146"/>
    </row>
    <row r="521" ht="22.5" customHeight="1">
      <c r="A521" s="329"/>
      <c r="B521" s="274"/>
      <c r="C521" s="138"/>
      <c r="D521" s="118"/>
      <c r="E521" s="138"/>
      <c r="F521" s="138"/>
      <c r="G521" s="330"/>
      <c r="H521" s="146"/>
      <c r="I521" s="146"/>
      <c r="J521" s="146"/>
      <c r="K521" s="146"/>
      <c r="L521" s="146"/>
      <c r="M521" s="146"/>
      <c r="N521" s="146"/>
      <c r="O521" s="146"/>
      <c r="P521" s="146"/>
      <c r="Q521" s="146"/>
      <c r="R521" s="146"/>
      <c r="S521" s="146"/>
      <c r="T521" s="146"/>
      <c r="U521" s="146"/>
      <c r="V521" s="146"/>
      <c r="W521" s="146"/>
      <c r="X521" s="146"/>
      <c r="Y521" s="146"/>
      <c r="Z521" s="146"/>
    </row>
    <row r="522" ht="22.5" customHeight="1">
      <c r="A522" s="329"/>
      <c r="B522" s="274"/>
      <c r="C522" s="138"/>
      <c r="D522" s="118"/>
      <c r="E522" s="138"/>
      <c r="F522" s="138"/>
      <c r="G522" s="330"/>
      <c r="H522" s="146"/>
      <c r="I522" s="146"/>
      <c r="J522" s="146"/>
      <c r="K522" s="146"/>
      <c r="L522" s="146"/>
      <c r="M522" s="146"/>
      <c r="N522" s="146"/>
      <c r="O522" s="146"/>
      <c r="P522" s="146"/>
      <c r="Q522" s="146"/>
      <c r="R522" s="146"/>
      <c r="S522" s="146"/>
      <c r="T522" s="146"/>
      <c r="U522" s="146"/>
      <c r="V522" s="146"/>
      <c r="W522" s="146"/>
      <c r="X522" s="146"/>
      <c r="Y522" s="146"/>
      <c r="Z522" s="146"/>
    </row>
    <row r="523" ht="22.5" customHeight="1">
      <c r="A523" s="329"/>
      <c r="B523" s="274"/>
      <c r="C523" s="138"/>
      <c r="D523" s="118"/>
      <c r="E523" s="138"/>
      <c r="F523" s="138"/>
      <c r="G523" s="330"/>
      <c r="H523" s="146"/>
      <c r="I523" s="146"/>
      <c r="J523" s="146"/>
      <c r="K523" s="146"/>
      <c r="L523" s="146"/>
      <c r="M523" s="146"/>
      <c r="N523" s="146"/>
      <c r="O523" s="146"/>
      <c r="P523" s="146"/>
      <c r="Q523" s="146"/>
      <c r="R523" s="146"/>
      <c r="S523" s="146"/>
      <c r="T523" s="146"/>
      <c r="U523" s="146"/>
      <c r="V523" s="146"/>
      <c r="W523" s="146"/>
      <c r="X523" s="146"/>
      <c r="Y523" s="146"/>
      <c r="Z523" s="146"/>
    </row>
    <row r="524" ht="22.5" customHeight="1">
      <c r="A524" s="329"/>
      <c r="B524" s="274"/>
      <c r="C524" s="138"/>
      <c r="D524" s="118"/>
      <c r="E524" s="138"/>
      <c r="F524" s="138"/>
      <c r="G524" s="330"/>
      <c r="H524" s="146"/>
      <c r="I524" s="146"/>
      <c r="J524" s="146"/>
      <c r="K524" s="146"/>
      <c r="L524" s="146"/>
      <c r="M524" s="146"/>
      <c r="N524" s="146"/>
      <c r="O524" s="146"/>
      <c r="P524" s="146"/>
      <c r="Q524" s="146"/>
      <c r="R524" s="146"/>
      <c r="S524" s="146"/>
      <c r="T524" s="146"/>
      <c r="U524" s="146"/>
      <c r="V524" s="146"/>
      <c r="W524" s="146"/>
      <c r="X524" s="146"/>
      <c r="Y524" s="146"/>
      <c r="Z524" s="146"/>
    </row>
    <row r="525" ht="22.5" customHeight="1">
      <c r="A525" s="329"/>
      <c r="B525" s="274"/>
      <c r="C525" s="138"/>
      <c r="D525" s="118"/>
      <c r="E525" s="138"/>
      <c r="F525" s="138"/>
      <c r="G525" s="330"/>
      <c r="H525" s="146"/>
      <c r="I525" s="146"/>
      <c r="J525" s="146"/>
      <c r="K525" s="146"/>
      <c r="L525" s="146"/>
      <c r="M525" s="146"/>
      <c r="N525" s="146"/>
      <c r="O525" s="146"/>
      <c r="P525" s="146"/>
      <c r="Q525" s="146"/>
      <c r="R525" s="146"/>
      <c r="S525" s="146"/>
      <c r="T525" s="146"/>
      <c r="U525" s="146"/>
      <c r="V525" s="146"/>
      <c r="W525" s="146"/>
      <c r="X525" s="146"/>
      <c r="Y525" s="146"/>
      <c r="Z525" s="146"/>
    </row>
    <row r="526" ht="22.5" customHeight="1">
      <c r="A526" s="329"/>
      <c r="B526" s="274"/>
      <c r="C526" s="138"/>
      <c r="D526" s="118"/>
      <c r="E526" s="138"/>
      <c r="F526" s="138"/>
      <c r="G526" s="330"/>
      <c r="H526" s="146"/>
      <c r="I526" s="146"/>
      <c r="J526" s="146"/>
      <c r="K526" s="146"/>
      <c r="L526" s="146"/>
      <c r="M526" s="146"/>
      <c r="N526" s="146"/>
      <c r="O526" s="146"/>
      <c r="P526" s="146"/>
      <c r="Q526" s="146"/>
      <c r="R526" s="146"/>
      <c r="S526" s="146"/>
      <c r="T526" s="146"/>
      <c r="U526" s="146"/>
      <c r="V526" s="146"/>
      <c r="W526" s="146"/>
      <c r="X526" s="146"/>
      <c r="Y526" s="146"/>
      <c r="Z526" s="146"/>
    </row>
    <row r="527" ht="22.5" customHeight="1">
      <c r="A527" s="329"/>
      <c r="B527" s="274"/>
      <c r="C527" s="138"/>
      <c r="D527" s="118"/>
      <c r="E527" s="138"/>
      <c r="F527" s="138"/>
      <c r="G527" s="330"/>
      <c r="H527" s="146"/>
      <c r="I527" s="146"/>
      <c r="J527" s="146"/>
      <c r="K527" s="146"/>
      <c r="L527" s="146"/>
      <c r="M527" s="146"/>
      <c r="N527" s="146"/>
      <c r="O527" s="146"/>
      <c r="P527" s="146"/>
      <c r="Q527" s="146"/>
      <c r="R527" s="146"/>
      <c r="S527" s="146"/>
      <c r="T527" s="146"/>
      <c r="U527" s="146"/>
      <c r="V527" s="146"/>
      <c r="W527" s="146"/>
      <c r="X527" s="146"/>
      <c r="Y527" s="146"/>
      <c r="Z527" s="146"/>
    </row>
    <row r="528" ht="22.5" customHeight="1">
      <c r="A528" s="329"/>
      <c r="B528" s="274"/>
      <c r="C528" s="138"/>
      <c r="D528" s="118"/>
      <c r="E528" s="138"/>
      <c r="F528" s="138"/>
      <c r="G528" s="330"/>
      <c r="H528" s="146"/>
      <c r="I528" s="146"/>
      <c r="J528" s="146"/>
      <c r="K528" s="146"/>
      <c r="L528" s="146"/>
      <c r="M528" s="146"/>
      <c r="N528" s="146"/>
      <c r="O528" s="146"/>
      <c r="P528" s="146"/>
      <c r="Q528" s="146"/>
      <c r="R528" s="146"/>
      <c r="S528" s="146"/>
      <c r="T528" s="146"/>
      <c r="U528" s="146"/>
      <c r="V528" s="146"/>
      <c r="W528" s="146"/>
      <c r="X528" s="146"/>
      <c r="Y528" s="146"/>
      <c r="Z528" s="146"/>
    </row>
    <row r="529" ht="22.5" customHeight="1">
      <c r="A529" s="329"/>
      <c r="B529" s="274"/>
      <c r="C529" s="138"/>
      <c r="D529" s="118"/>
      <c r="E529" s="138"/>
      <c r="F529" s="138"/>
      <c r="G529" s="330"/>
      <c r="H529" s="146"/>
      <c r="I529" s="146"/>
      <c r="J529" s="146"/>
      <c r="K529" s="146"/>
      <c r="L529" s="146"/>
      <c r="M529" s="146"/>
      <c r="N529" s="146"/>
      <c r="O529" s="146"/>
      <c r="P529" s="146"/>
      <c r="Q529" s="146"/>
      <c r="R529" s="146"/>
      <c r="S529" s="146"/>
      <c r="T529" s="146"/>
      <c r="U529" s="146"/>
      <c r="V529" s="146"/>
      <c r="W529" s="146"/>
      <c r="X529" s="146"/>
      <c r="Y529" s="146"/>
      <c r="Z529" s="146"/>
    </row>
    <row r="530" ht="22.5" customHeight="1">
      <c r="A530" s="329"/>
      <c r="B530" s="274"/>
      <c r="C530" s="138"/>
      <c r="D530" s="118"/>
      <c r="E530" s="138"/>
      <c r="F530" s="138"/>
      <c r="G530" s="330"/>
      <c r="H530" s="146"/>
      <c r="I530" s="146"/>
      <c r="J530" s="146"/>
      <c r="K530" s="146"/>
      <c r="L530" s="146"/>
      <c r="M530" s="146"/>
      <c r="N530" s="146"/>
      <c r="O530" s="146"/>
      <c r="P530" s="146"/>
      <c r="Q530" s="146"/>
      <c r="R530" s="146"/>
      <c r="S530" s="146"/>
      <c r="T530" s="146"/>
      <c r="U530" s="146"/>
      <c r="V530" s="146"/>
      <c r="W530" s="146"/>
      <c r="X530" s="146"/>
      <c r="Y530" s="146"/>
      <c r="Z530" s="146"/>
    </row>
    <row r="531" ht="22.5" customHeight="1">
      <c r="A531" s="329"/>
      <c r="B531" s="274"/>
      <c r="C531" s="138"/>
      <c r="D531" s="118"/>
      <c r="E531" s="138"/>
      <c r="F531" s="138"/>
      <c r="G531" s="330"/>
      <c r="H531" s="146"/>
      <c r="I531" s="146"/>
      <c r="J531" s="146"/>
      <c r="K531" s="146"/>
      <c r="L531" s="146"/>
      <c r="M531" s="146"/>
      <c r="N531" s="146"/>
      <c r="O531" s="146"/>
      <c r="P531" s="146"/>
      <c r="Q531" s="146"/>
      <c r="R531" s="146"/>
      <c r="S531" s="146"/>
      <c r="T531" s="146"/>
      <c r="U531" s="146"/>
      <c r="V531" s="146"/>
      <c r="W531" s="146"/>
      <c r="X531" s="146"/>
      <c r="Y531" s="146"/>
      <c r="Z531" s="146"/>
    </row>
    <row r="532" ht="22.5" customHeight="1">
      <c r="A532" s="329"/>
      <c r="B532" s="274"/>
      <c r="C532" s="138"/>
      <c r="D532" s="118"/>
      <c r="E532" s="138"/>
      <c r="F532" s="138"/>
      <c r="G532" s="330"/>
      <c r="H532" s="146"/>
      <c r="I532" s="146"/>
      <c r="J532" s="146"/>
      <c r="K532" s="146"/>
      <c r="L532" s="146"/>
      <c r="M532" s="146"/>
      <c r="N532" s="146"/>
      <c r="O532" s="146"/>
      <c r="P532" s="146"/>
      <c r="Q532" s="146"/>
      <c r="R532" s="146"/>
      <c r="S532" s="146"/>
      <c r="T532" s="146"/>
      <c r="U532" s="146"/>
      <c r="V532" s="146"/>
      <c r="W532" s="146"/>
      <c r="X532" s="146"/>
      <c r="Y532" s="146"/>
      <c r="Z532" s="146"/>
    </row>
    <row r="533" ht="22.5" customHeight="1">
      <c r="A533" s="329"/>
      <c r="B533" s="274"/>
      <c r="C533" s="138"/>
      <c r="D533" s="118"/>
      <c r="E533" s="138"/>
      <c r="F533" s="138"/>
      <c r="G533" s="330"/>
      <c r="H533" s="146"/>
      <c r="I533" s="146"/>
      <c r="J533" s="146"/>
      <c r="K533" s="146"/>
      <c r="L533" s="146"/>
      <c r="M533" s="146"/>
      <c r="N533" s="146"/>
      <c r="O533" s="146"/>
      <c r="P533" s="146"/>
      <c r="Q533" s="146"/>
      <c r="R533" s="146"/>
      <c r="S533" s="146"/>
      <c r="T533" s="146"/>
      <c r="U533" s="146"/>
      <c r="V533" s="146"/>
      <c r="W533" s="146"/>
      <c r="X533" s="146"/>
      <c r="Y533" s="146"/>
      <c r="Z533" s="146"/>
    </row>
    <row r="534" ht="22.5" customHeight="1">
      <c r="A534" s="329"/>
      <c r="B534" s="274"/>
      <c r="C534" s="138"/>
      <c r="D534" s="118"/>
      <c r="E534" s="138"/>
      <c r="F534" s="138"/>
      <c r="G534" s="330"/>
      <c r="H534" s="146"/>
      <c r="I534" s="146"/>
      <c r="J534" s="146"/>
      <c r="K534" s="146"/>
      <c r="L534" s="146"/>
      <c r="M534" s="146"/>
      <c r="N534" s="146"/>
      <c r="O534" s="146"/>
      <c r="P534" s="146"/>
      <c r="Q534" s="146"/>
      <c r="R534" s="146"/>
      <c r="S534" s="146"/>
      <c r="T534" s="146"/>
      <c r="U534" s="146"/>
      <c r="V534" s="146"/>
      <c r="W534" s="146"/>
      <c r="X534" s="146"/>
      <c r="Y534" s="146"/>
      <c r="Z534" s="146"/>
    </row>
    <row r="535" ht="22.5" customHeight="1">
      <c r="A535" s="329"/>
      <c r="B535" s="274"/>
      <c r="C535" s="138"/>
      <c r="D535" s="118"/>
      <c r="E535" s="138"/>
      <c r="F535" s="138"/>
      <c r="G535" s="330"/>
      <c r="H535" s="146"/>
      <c r="I535" s="146"/>
      <c r="J535" s="146"/>
      <c r="K535" s="146"/>
      <c r="L535" s="146"/>
      <c r="M535" s="146"/>
      <c r="N535" s="146"/>
      <c r="O535" s="146"/>
      <c r="P535" s="146"/>
      <c r="Q535" s="146"/>
      <c r="R535" s="146"/>
      <c r="S535" s="146"/>
      <c r="T535" s="146"/>
      <c r="U535" s="146"/>
      <c r="V535" s="146"/>
      <c r="W535" s="146"/>
      <c r="X535" s="146"/>
      <c r="Y535" s="146"/>
      <c r="Z535" s="146"/>
    </row>
    <row r="536" ht="22.5" customHeight="1">
      <c r="A536" s="329"/>
      <c r="B536" s="274"/>
      <c r="C536" s="138"/>
      <c r="D536" s="118"/>
      <c r="E536" s="138"/>
      <c r="F536" s="138"/>
      <c r="G536" s="330"/>
      <c r="H536" s="146"/>
      <c r="I536" s="146"/>
      <c r="J536" s="146"/>
      <c r="K536" s="146"/>
      <c r="L536" s="146"/>
      <c r="M536" s="146"/>
      <c r="N536" s="146"/>
      <c r="O536" s="146"/>
      <c r="P536" s="146"/>
      <c r="Q536" s="146"/>
      <c r="R536" s="146"/>
      <c r="S536" s="146"/>
      <c r="T536" s="146"/>
      <c r="U536" s="146"/>
      <c r="V536" s="146"/>
      <c r="W536" s="146"/>
      <c r="X536" s="146"/>
      <c r="Y536" s="146"/>
      <c r="Z536" s="146"/>
    </row>
    <row r="537" ht="22.5" customHeight="1">
      <c r="A537" s="329"/>
      <c r="B537" s="274"/>
      <c r="C537" s="138"/>
      <c r="D537" s="118"/>
      <c r="E537" s="138"/>
      <c r="F537" s="138"/>
      <c r="G537" s="330"/>
      <c r="H537" s="146"/>
      <c r="I537" s="146"/>
      <c r="J537" s="146"/>
      <c r="K537" s="146"/>
      <c r="L537" s="146"/>
      <c r="M537" s="146"/>
      <c r="N537" s="146"/>
      <c r="O537" s="146"/>
      <c r="P537" s="146"/>
      <c r="Q537" s="146"/>
      <c r="R537" s="146"/>
      <c r="S537" s="146"/>
      <c r="T537" s="146"/>
      <c r="U537" s="146"/>
      <c r="V537" s="146"/>
      <c r="W537" s="146"/>
      <c r="X537" s="146"/>
      <c r="Y537" s="146"/>
      <c r="Z537" s="146"/>
    </row>
    <row r="538" ht="22.5" customHeight="1">
      <c r="A538" s="329"/>
      <c r="B538" s="274"/>
      <c r="C538" s="138"/>
      <c r="D538" s="118"/>
      <c r="E538" s="138"/>
      <c r="F538" s="138"/>
      <c r="G538" s="330"/>
      <c r="H538" s="146"/>
      <c r="I538" s="146"/>
      <c r="J538" s="146"/>
      <c r="K538" s="146"/>
      <c r="L538" s="146"/>
      <c r="M538" s="146"/>
      <c r="N538" s="146"/>
      <c r="O538" s="146"/>
      <c r="P538" s="146"/>
      <c r="Q538" s="146"/>
      <c r="R538" s="146"/>
      <c r="S538" s="146"/>
      <c r="T538" s="146"/>
      <c r="U538" s="146"/>
      <c r="V538" s="146"/>
      <c r="W538" s="146"/>
      <c r="X538" s="146"/>
      <c r="Y538" s="146"/>
      <c r="Z538" s="146"/>
    </row>
    <row r="539" ht="22.5" customHeight="1">
      <c r="A539" s="329"/>
      <c r="B539" s="274"/>
      <c r="C539" s="138"/>
      <c r="D539" s="118"/>
      <c r="E539" s="138"/>
      <c r="F539" s="138"/>
      <c r="G539" s="330"/>
      <c r="H539" s="146"/>
      <c r="I539" s="146"/>
      <c r="J539" s="146"/>
      <c r="K539" s="146"/>
      <c r="L539" s="146"/>
      <c r="M539" s="146"/>
      <c r="N539" s="146"/>
      <c r="O539" s="146"/>
      <c r="P539" s="146"/>
      <c r="Q539" s="146"/>
      <c r="R539" s="146"/>
      <c r="S539" s="146"/>
      <c r="T539" s="146"/>
      <c r="U539" s="146"/>
      <c r="V539" s="146"/>
      <c r="W539" s="146"/>
      <c r="X539" s="146"/>
      <c r="Y539" s="146"/>
      <c r="Z539" s="146"/>
    </row>
    <row r="540" ht="22.5" customHeight="1">
      <c r="A540" s="329"/>
      <c r="B540" s="274"/>
      <c r="C540" s="138"/>
      <c r="D540" s="118"/>
      <c r="E540" s="138"/>
      <c r="F540" s="138"/>
      <c r="G540" s="330"/>
      <c r="H540" s="146"/>
      <c r="I540" s="146"/>
      <c r="J540" s="146"/>
      <c r="K540" s="146"/>
      <c r="L540" s="146"/>
      <c r="M540" s="146"/>
      <c r="N540" s="146"/>
      <c r="O540" s="146"/>
      <c r="P540" s="146"/>
      <c r="Q540" s="146"/>
      <c r="R540" s="146"/>
      <c r="S540" s="146"/>
      <c r="T540" s="146"/>
      <c r="U540" s="146"/>
      <c r="V540" s="146"/>
      <c r="W540" s="146"/>
      <c r="X540" s="146"/>
      <c r="Y540" s="146"/>
      <c r="Z540" s="146"/>
    </row>
    <row r="541" ht="22.5" customHeight="1">
      <c r="A541" s="329"/>
      <c r="B541" s="274"/>
      <c r="C541" s="138"/>
      <c r="D541" s="118"/>
      <c r="E541" s="138"/>
      <c r="F541" s="138"/>
      <c r="G541" s="330"/>
      <c r="H541" s="146"/>
      <c r="I541" s="146"/>
      <c r="J541" s="146"/>
      <c r="K541" s="146"/>
      <c r="L541" s="146"/>
      <c r="M541" s="146"/>
      <c r="N541" s="146"/>
      <c r="O541" s="146"/>
      <c r="P541" s="146"/>
      <c r="Q541" s="146"/>
      <c r="R541" s="146"/>
      <c r="S541" s="146"/>
      <c r="T541" s="146"/>
      <c r="U541" s="146"/>
      <c r="V541" s="146"/>
      <c r="W541" s="146"/>
      <c r="X541" s="146"/>
      <c r="Y541" s="146"/>
      <c r="Z541" s="146"/>
    </row>
    <row r="542" ht="22.5" customHeight="1">
      <c r="A542" s="329"/>
      <c r="B542" s="274"/>
      <c r="C542" s="138"/>
      <c r="D542" s="118"/>
      <c r="E542" s="138"/>
      <c r="F542" s="138"/>
      <c r="G542" s="330"/>
      <c r="H542" s="146"/>
      <c r="I542" s="146"/>
      <c r="J542" s="146"/>
      <c r="K542" s="146"/>
      <c r="L542" s="146"/>
      <c r="M542" s="146"/>
      <c r="N542" s="146"/>
      <c r="O542" s="146"/>
      <c r="P542" s="146"/>
      <c r="Q542" s="146"/>
      <c r="R542" s="146"/>
      <c r="S542" s="146"/>
      <c r="T542" s="146"/>
      <c r="U542" s="146"/>
      <c r="V542" s="146"/>
      <c r="W542" s="146"/>
      <c r="X542" s="146"/>
      <c r="Y542" s="146"/>
      <c r="Z542" s="146"/>
    </row>
    <row r="543" ht="22.5" customHeight="1">
      <c r="A543" s="329"/>
      <c r="B543" s="274"/>
      <c r="C543" s="138"/>
      <c r="D543" s="118"/>
      <c r="E543" s="138"/>
      <c r="F543" s="138"/>
      <c r="G543" s="330"/>
      <c r="H543" s="146"/>
      <c r="I543" s="146"/>
      <c r="J543" s="146"/>
      <c r="K543" s="146"/>
      <c r="L543" s="146"/>
      <c r="M543" s="146"/>
      <c r="N543" s="146"/>
      <c r="O543" s="146"/>
      <c r="P543" s="146"/>
      <c r="Q543" s="146"/>
      <c r="R543" s="146"/>
      <c r="S543" s="146"/>
      <c r="T543" s="146"/>
      <c r="U543" s="146"/>
      <c r="V543" s="146"/>
      <c r="W543" s="146"/>
      <c r="X543" s="146"/>
      <c r="Y543" s="146"/>
      <c r="Z543" s="146"/>
    </row>
    <row r="544" ht="22.5" customHeight="1">
      <c r="A544" s="329"/>
      <c r="B544" s="274"/>
      <c r="C544" s="138"/>
      <c r="D544" s="118"/>
      <c r="E544" s="138"/>
      <c r="F544" s="138"/>
      <c r="G544" s="330"/>
      <c r="H544" s="146"/>
      <c r="I544" s="146"/>
      <c r="J544" s="146"/>
      <c r="K544" s="146"/>
      <c r="L544" s="146"/>
      <c r="M544" s="146"/>
      <c r="N544" s="146"/>
      <c r="O544" s="146"/>
      <c r="P544" s="146"/>
      <c r="Q544" s="146"/>
      <c r="R544" s="146"/>
      <c r="S544" s="146"/>
      <c r="T544" s="146"/>
      <c r="U544" s="146"/>
      <c r="V544" s="146"/>
      <c r="W544" s="146"/>
      <c r="X544" s="146"/>
      <c r="Y544" s="146"/>
      <c r="Z544" s="146"/>
    </row>
    <row r="545" ht="22.5" customHeight="1">
      <c r="A545" s="329"/>
      <c r="B545" s="274"/>
      <c r="C545" s="138"/>
      <c r="D545" s="118"/>
      <c r="E545" s="138"/>
      <c r="F545" s="138"/>
      <c r="G545" s="330"/>
      <c r="H545" s="146"/>
      <c r="I545" s="146"/>
      <c r="J545" s="146"/>
      <c r="K545" s="146"/>
      <c r="L545" s="146"/>
      <c r="M545" s="146"/>
      <c r="N545" s="146"/>
      <c r="O545" s="146"/>
      <c r="P545" s="146"/>
      <c r="Q545" s="146"/>
      <c r="R545" s="146"/>
      <c r="S545" s="146"/>
      <c r="T545" s="146"/>
      <c r="U545" s="146"/>
      <c r="V545" s="146"/>
      <c r="W545" s="146"/>
      <c r="X545" s="146"/>
      <c r="Y545" s="146"/>
      <c r="Z545" s="146"/>
    </row>
    <row r="546" ht="22.5" customHeight="1">
      <c r="A546" s="329"/>
      <c r="B546" s="274"/>
      <c r="C546" s="138"/>
      <c r="D546" s="118"/>
      <c r="E546" s="138"/>
      <c r="F546" s="138"/>
      <c r="G546" s="330"/>
      <c r="H546" s="146"/>
      <c r="I546" s="146"/>
      <c r="J546" s="146"/>
      <c r="K546" s="146"/>
      <c r="L546" s="146"/>
      <c r="M546" s="146"/>
      <c r="N546" s="146"/>
      <c r="O546" s="146"/>
      <c r="P546" s="146"/>
      <c r="Q546" s="146"/>
      <c r="R546" s="146"/>
      <c r="S546" s="146"/>
      <c r="T546" s="146"/>
      <c r="U546" s="146"/>
      <c r="V546" s="146"/>
      <c r="W546" s="146"/>
      <c r="X546" s="146"/>
      <c r="Y546" s="146"/>
      <c r="Z546" s="146"/>
    </row>
    <row r="547" ht="22.5" customHeight="1">
      <c r="A547" s="329"/>
      <c r="B547" s="274"/>
      <c r="C547" s="138"/>
      <c r="D547" s="118"/>
      <c r="E547" s="138"/>
      <c r="F547" s="138"/>
      <c r="G547" s="330"/>
      <c r="H547" s="146"/>
      <c r="I547" s="146"/>
      <c r="J547" s="146"/>
      <c r="K547" s="146"/>
      <c r="L547" s="146"/>
      <c r="M547" s="146"/>
      <c r="N547" s="146"/>
      <c r="O547" s="146"/>
      <c r="P547" s="146"/>
      <c r="Q547" s="146"/>
      <c r="R547" s="146"/>
      <c r="S547" s="146"/>
      <c r="T547" s="146"/>
      <c r="U547" s="146"/>
      <c r="V547" s="146"/>
      <c r="W547" s="146"/>
      <c r="X547" s="146"/>
      <c r="Y547" s="146"/>
      <c r="Z547" s="146"/>
    </row>
    <row r="548" ht="22.5" customHeight="1">
      <c r="A548" s="329"/>
      <c r="B548" s="274"/>
      <c r="C548" s="138"/>
      <c r="D548" s="118"/>
      <c r="E548" s="138"/>
      <c r="F548" s="138"/>
      <c r="G548" s="330"/>
      <c r="H548" s="146"/>
      <c r="I548" s="146"/>
      <c r="J548" s="146"/>
      <c r="K548" s="146"/>
      <c r="L548" s="146"/>
      <c r="M548" s="146"/>
      <c r="N548" s="146"/>
      <c r="O548" s="146"/>
      <c r="P548" s="146"/>
      <c r="Q548" s="146"/>
      <c r="R548" s="146"/>
      <c r="S548" s="146"/>
      <c r="T548" s="146"/>
      <c r="U548" s="146"/>
      <c r="V548" s="146"/>
      <c r="W548" s="146"/>
      <c r="X548" s="146"/>
      <c r="Y548" s="146"/>
      <c r="Z548" s="146"/>
    </row>
    <row r="549" ht="22.5" customHeight="1">
      <c r="A549" s="329"/>
      <c r="B549" s="274"/>
      <c r="C549" s="138"/>
      <c r="D549" s="118"/>
      <c r="E549" s="138"/>
      <c r="F549" s="138"/>
      <c r="G549" s="330"/>
      <c r="H549" s="146"/>
      <c r="I549" s="146"/>
      <c r="J549" s="146"/>
      <c r="K549" s="146"/>
      <c r="L549" s="146"/>
      <c r="M549" s="146"/>
      <c r="N549" s="146"/>
      <c r="O549" s="146"/>
      <c r="P549" s="146"/>
      <c r="Q549" s="146"/>
      <c r="R549" s="146"/>
      <c r="S549" s="146"/>
      <c r="T549" s="146"/>
      <c r="U549" s="146"/>
      <c r="V549" s="146"/>
      <c r="W549" s="146"/>
      <c r="X549" s="146"/>
      <c r="Y549" s="146"/>
      <c r="Z549" s="146"/>
    </row>
    <row r="550" ht="22.5" customHeight="1">
      <c r="A550" s="329"/>
      <c r="B550" s="274"/>
      <c r="C550" s="138"/>
      <c r="D550" s="118"/>
      <c r="E550" s="138"/>
      <c r="F550" s="138"/>
      <c r="G550" s="330"/>
      <c r="H550" s="146"/>
      <c r="I550" s="146"/>
      <c r="J550" s="146"/>
      <c r="K550" s="146"/>
      <c r="L550" s="146"/>
      <c r="M550" s="146"/>
      <c r="N550" s="146"/>
      <c r="O550" s="146"/>
      <c r="P550" s="146"/>
      <c r="Q550" s="146"/>
      <c r="R550" s="146"/>
      <c r="S550" s="146"/>
      <c r="T550" s="146"/>
      <c r="U550" s="146"/>
      <c r="V550" s="146"/>
      <c r="W550" s="146"/>
      <c r="X550" s="146"/>
      <c r="Y550" s="146"/>
      <c r="Z550" s="146"/>
    </row>
    <row r="551" ht="22.5" customHeight="1">
      <c r="A551" s="329"/>
      <c r="B551" s="274"/>
      <c r="C551" s="138"/>
      <c r="D551" s="118"/>
      <c r="E551" s="138"/>
      <c r="F551" s="138"/>
      <c r="G551" s="330"/>
      <c r="H551" s="146"/>
      <c r="I551" s="146"/>
      <c r="J551" s="146"/>
      <c r="K551" s="146"/>
      <c r="L551" s="146"/>
      <c r="M551" s="146"/>
      <c r="N551" s="146"/>
      <c r="O551" s="146"/>
      <c r="P551" s="146"/>
      <c r="Q551" s="146"/>
      <c r="R551" s="146"/>
      <c r="S551" s="146"/>
      <c r="T551" s="146"/>
      <c r="U551" s="146"/>
      <c r="V551" s="146"/>
      <c r="W551" s="146"/>
      <c r="X551" s="146"/>
      <c r="Y551" s="146"/>
      <c r="Z551" s="146"/>
    </row>
    <row r="552" ht="22.5" customHeight="1">
      <c r="A552" s="329"/>
      <c r="B552" s="274"/>
      <c r="C552" s="138"/>
      <c r="D552" s="118"/>
      <c r="E552" s="138"/>
      <c r="F552" s="138"/>
      <c r="G552" s="330"/>
      <c r="H552" s="146"/>
      <c r="I552" s="146"/>
      <c r="J552" s="146"/>
      <c r="K552" s="146"/>
      <c r="L552" s="146"/>
      <c r="M552" s="146"/>
      <c r="N552" s="146"/>
      <c r="O552" s="146"/>
      <c r="P552" s="146"/>
      <c r="Q552" s="146"/>
      <c r="R552" s="146"/>
      <c r="S552" s="146"/>
      <c r="T552" s="146"/>
      <c r="U552" s="146"/>
      <c r="V552" s="146"/>
      <c r="W552" s="146"/>
      <c r="X552" s="146"/>
      <c r="Y552" s="146"/>
      <c r="Z552" s="146"/>
    </row>
    <row r="553" ht="22.5" customHeight="1">
      <c r="A553" s="329"/>
      <c r="B553" s="274"/>
      <c r="C553" s="138"/>
      <c r="D553" s="118"/>
      <c r="E553" s="138"/>
      <c r="F553" s="138"/>
      <c r="G553" s="330"/>
      <c r="H553" s="146"/>
      <c r="I553" s="146"/>
      <c r="J553" s="146"/>
      <c r="K553" s="146"/>
      <c r="L553" s="146"/>
      <c r="M553" s="146"/>
      <c r="N553" s="146"/>
      <c r="O553" s="146"/>
      <c r="P553" s="146"/>
      <c r="Q553" s="146"/>
      <c r="R553" s="146"/>
      <c r="S553" s="146"/>
      <c r="T553" s="146"/>
      <c r="U553" s="146"/>
      <c r="V553" s="146"/>
      <c r="W553" s="146"/>
      <c r="X553" s="146"/>
      <c r="Y553" s="146"/>
      <c r="Z553" s="146"/>
    </row>
    <row r="554" ht="22.5" customHeight="1">
      <c r="A554" s="329"/>
      <c r="B554" s="274"/>
      <c r="C554" s="138"/>
      <c r="D554" s="118"/>
      <c r="E554" s="138"/>
      <c r="F554" s="138"/>
      <c r="G554" s="330"/>
      <c r="H554" s="146"/>
      <c r="I554" s="146"/>
      <c r="J554" s="146"/>
      <c r="K554" s="146"/>
      <c r="L554" s="146"/>
      <c r="M554" s="146"/>
      <c r="N554" s="146"/>
      <c r="O554" s="146"/>
      <c r="P554" s="146"/>
      <c r="Q554" s="146"/>
      <c r="R554" s="146"/>
      <c r="S554" s="146"/>
      <c r="T554" s="146"/>
      <c r="U554" s="146"/>
      <c r="V554" s="146"/>
      <c r="W554" s="146"/>
      <c r="X554" s="146"/>
      <c r="Y554" s="146"/>
      <c r="Z554" s="146"/>
    </row>
    <row r="555" ht="22.5" customHeight="1">
      <c r="A555" s="329"/>
      <c r="B555" s="274"/>
      <c r="C555" s="138"/>
      <c r="D555" s="118"/>
      <c r="E555" s="138"/>
      <c r="F555" s="138"/>
      <c r="G555" s="330"/>
      <c r="H555" s="146"/>
      <c r="I555" s="146"/>
      <c r="J555" s="146"/>
      <c r="K555" s="146"/>
      <c r="L555" s="146"/>
      <c r="M555" s="146"/>
      <c r="N555" s="146"/>
      <c r="O555" s="146"/>
      <c r="P555" s="146"/>
      <c r="Q555" s="146"/>
      <c r="R555" s="146"/>
      <c r="S555" s="146"/>
      <c r="T555" s="146"/>
      <c r="U555" s="146"/>
      <c r="V555" s="146"/>
      <c r="W555" s="146"/>
      <c r="X555" s="146"/>
      <c r="Y555" s="146"/>
      <c r="Z555" s="146"/>
    </row>
    <row r="556" ht="22.5" customHeight="1">
      <c r="A556" s="329"/>
      <c r="B556" s="274"/>
      <c r="C556" s="138"/>
      <c r="D556" s="118"/>
      <c r="E556" s="138"/>
      <c r="F556" s="138"/>
      <c r="G556" s="330"/>
      <c r="H556" s="146"/>
      <c r="I556" s="146"/>
      <c r="J556" s="146"/>
      <c r="K556" s="146"/>
      <c r="L556" s="146"/>
      <c r="M556" s="146"/>
      <c r="N556" s="146"/>
      <c r="O556" s="146"/>
      <c r="P556" s="146"/>
      <c r="Q556" s="146"/>
      <c r="R556" s="146"/>
      <c r="S556" s="146"/>
      <c r="T556" s="146"/>
      <c r="U556" s="146"/>
      <c r="V556" s="146"/>
      <c r="W556" s="146"/>
      <c r="X556" s="146"/>
      <c r="Y556" s="146"/>
      <c r="Z556" s="146"/>
    </row>
    <row r="557" ht="22.5" customHeight="1">
      <c r="A557" s="329"/>
      <c r="B557" s="274"/>
      <c r="C557" s="138"/>
      <c r="D557" s="118"/>
      <c r="E557" s="138"/>
      <c r="F557" s="138"/>
      <c r="G557" s="330"/>
      <c r="H557" s="146"/>
      <c r="I557" s="146"/>
      <c r="J557" s="146"/>
      <c r="K557" s="146"/>
      <c r="L557" s="146"/>
      <c r="M557" s="146"/>
      <c r="N557" s="146"/>
      <c r="O557" s="146"/>
      <c r="P557" s="146"/>
      <c r="Q557" s="146"/>
      <c r="R557" s="146"/>
      <c r="S557" s="146"/>
      <c r="T557" s="146"/>
      <c r="U557" s="146"/>
      <c r="V557" s="146"/>
      <c r="W557" s="146"/>
      <c r="X557" s="146"/>
      <c r="Y557" s="146"/>
      <c r="Z557" s="146"/>
    </row>
    <row r="558" ht="22.5" customHeight="1">
      <c r="A558" s="329"/>
      <c r="B558" s="274"/>
      <c r="C558" s="138"/>
      <c r="D558" s="118"/>
      <c r="E558" s="138"/>
      <c r="F558" s="138"/>
      <c r="G558" s="330"/>
      <c r="H558" s="146"/>
      <c r="I558" s="146"/>
      <c r="J558" s="146"/>
      <c r="K558" s="146"/>
      <c r="L558" s="146"/>
      <c r="M558" s="146"/>
      <c r="N558" s="146"/>
      <c r="O558" s="146"/>
      <c r="P558" s="146"/>
      <c r="Q558" s="146"/>
      <c r="R558" s="146"/>
      <c r="S558" s="146"/>
      <c r="T558" s="146"/>
      <c r="U558" s="146"/>
      <c r="V558" s="146"/>
      <c r="W558" s="146"/>
      <c r="X558" s="146"/>
      <c r="Y558" s="146"/>
      <c r="Z558" s="146"/>
    </row>
    <row r="559" ht="22.5" customHeight="1">
      <c r="A559" s="329"/>
      <c r="B559" s="274"/>
      <c r="C559" s="138"/>
      <c r="D559" s="118"/>
      <c r="E559" s="138"/>
      <c r="F559" s="138"/>
      <c r="G559" s="330"/>
      <c r="H559" s="146"/>
      <c r="I559" s="146"/>
      <c r="J559" s="146"/>
      <c r="K559" s="146"/>
      <c r="L559" s="146"/>
      <c r="M559" s="146"/>
      <c r="N559" s="146"/>
      <c r="O559" s="146"/>
      <c r="P559" s="146"/>
      <c r="Q559" s="146"/>
      <c r="R559" s="146"/>
      <c r="S559" s="146"/>
      <c r="T559" s="146"/>
      <c r="U559" s="146"/>
      <c r="V559" s="146"/>
      <c r="W559" s="146"/>
      <c r="X559" s="146"/>
      <c r="Y559" s="146"/>
      <c r="Z559" s="146"/>
    </row>
    <row r="560" ht="22.5" customHeight="1">
      <c r="A560" s="329"/>
      <c r="B560" s="274"/>
      <c r="C560" s="138"/>
      <c r="D560" s="118"/>
      <c r="E560" s="138"/>
      <c r="F560" s="138"/>
      <c r="G560" s="330"/>
      <c r="H560" s="146"/>
      <c r="I560" s="146"/>
      <c r="J560" s="146"/>
      <c r="K560" s="146"/>
      <c r="L560" s="146"/>
      <c r="M560" s="146"/>
      <c r="N560" s="146"/>
      <c r="O560" s="146"/>
      <c r="P560" s="146"/>
      <c r="Q560" s="146"/>
      <c r="R560" s="146"/>
      <c r="S560" s="146"/>
      <c r="T560" s="146"/>
      <c r="U560" s="146"/>
      <c r="V560" s="146"/>
      <c r="W560" s="146"/>
      <c r="X560" s="146"/>
      <c r="Y560" s="146"/>
      <c r="Z560" s="146"/>
    </row>
    <row r="561" ht="22.5" customHeight="1">
      <c r="A561" s="329"/>
      <c r="B561" s="274"/>
      <c r="C561" s="138"/>
      <c r="D561" s="118"/>
      <c r="E561" s="138"/>
      <c r="F561" s="138"/>
      <c r="G561" s="330"/>
      <c r="H561" s="146"/>
      <c r="I561" s="146"/>
      <c r="J561" s="146"/>
      <c r="K561" s="146"/>
      <c r="L561" s="146"/>
      <c r="M561" s="146"/>
      <c r="N561" s="146"/>
      <c r="O561" s="146"/>
      <c r="P561" s="146"/>
      <c r="Q561" s="146"/>
      <c r="R561" s="146"/>
      <c r="S561" s="146"/>
      <c r="T561" s="146"/>
      <c r="U561" s="146"/>
      <c r="V561" s="146"/>
      <c r="W561" s="146"/>
      <c r="X561" s="146"/>
      <c r="Y561" s="146"/>
      <c r="Z561" s="146"/>
    </row>
    <row r="562" ht="22.5" customHeight="1">
      <c r="A562" s="329"/>
      <c r="B562" s="274"/>
      <c r="C562" s="138"/>
      <c r="D562" s="118"/>
      <c r="E562" s="138"/>
      <c r="F562" s="138"/>
      <c r="G562" s="330"/>
      <c r="H562" s="146"/>
      <c r="I562" s="146"/>
      <c r="J562" s="146"/>
      <c r="K562" s="146"/>
      <c r="L562" s="146"/>
      <c r="M562" s="146"/>
      <c r="N562" s="146"/>
      <c r="O562" s="146"/>
      <c r="P562" s="146"/>
      <c r="Q562" s="146"/>
      <c r="R562" s="146"/>
      <c r="S562" s="146"/>
      <c r="T562" s="146"/>
      <c r="U562" s="146"/>
      <c r="V562" s="146"/>
      <c r="W562" s="146"/>
      <c r="X562" s="146"/>
      <c r="Y562" s="146"/>
      <c r="Z562" s="146"/>
    </row>
    <row r="563" ht="22.5" customHeight="1">
      <c r="A563" s="329"/>
      <c r="B563" s="274"/>
      <c r="C563" s="138"/>
      <c r="D563" s="118"/>
      <c r="E563" s="138"/>
      <c r="F563" s="138"/>
      <c r="G563" s="330"/>
      <c r="H563" s="146"/>
      <c r="I563" s="146"/>
      <c r="J563" s="146"/>
      <c r="K563" s="146"/>
      <c r="L563" s="146"/>
      <c r="M563" s="146"/>
      <c r="N563" s="146"/>
      <c r="O563" s="146"/>
      <c r="P563" s="146"/>
      <c r="Q563" s="146"/>
      <c r="R563" s="146"/>
      <c r="S563" s="146"/>
      <c r="T563" s="146"/>
      <c r="U563" s="146"/>
      <c r="V563" s="146"/>
      <c r="W563" s="146"/>
      <c r="X563" s="146"/>
      <c r="Y563" s="146"/>
      <c r="Z563" s="146"/>
    </row>
    <row r="564" ht="22.5" customHeight="1">
      <c r="A564" s="329"/>
      <c r="B564" s="274"/>
      <c r="C564" s="138"/>
      <c r="D564" s="118"/>
      <c r="E564" s="138"/>
      <c r="F564" s="138"/>
      <c r="G564" s="330"/>
      <c r="H564" s="146"/>
      <c r="I564" s="146"/>
      <c r="J564" s="146"/>
      <c r="K564" s="146"/>
      <c r="L564" s="146"/>
      <c r="M564" s="146"/>
      <c r="N564" s="146"/>
      <c r="O564" s="146"/>
      <c r="P564" s="146"/>
      <c r="Q564" s="146"/>
      <c r="R564" s="146"/>
      <c r="S564" s="146"/>
      <c r="T564" s="146"/>
      <c r="U564" s="146"/>
      <c r="V564" s="146"/>
      <c r="W564" s="146"/>
      <c r="X564" s="146"/>
      <c r="Y564" s="146"/>
      <c r="Z564" s="146"/>
    </row>
    <row r="565" ht="22.5" customHeight="1">
      <c r="A565" s="329"/>
      <c r="B565" s="274"/>
      <c r="C565" s="138"/>
      <c r="D565" s="118"/>
      <c r="E565" s="138"/>
      <c r="F565" s="138"/>
      <c r="G565" s="330"/>
      <c r="H565" s="146"/>
      <c r="I565" s="146"/>
      <c r="J565" s="146"/>
      <c r="K565" s="146"/>
      <c r="L565" s="146"/>
      <c r="M565" s="146"/>
      <c r="N565" s="146"/>
      <c r="O565" s="146"/>
      <c r="P565" s="146"/>
      <c r="Q565" s="146"/>
      <c r="R565" s="146"/>
      <c r="S565" s="146"/>
      <c r="T565" s="146"/>
      <c r="U565" s="146"/>
      <c r="V565" s="146"/>
      <c r="W565" s="146"/>
      <c r="X565" s="146"/>
      <c r="Y565" s="146"/>
      <c r="Z565" s="146"/>
    </row>
    <row r="566" ht="22.5" customHeight="1">
      <c r="A566" s="329"/>
      <c r="B566" s="274"/>
      <c r="C566" s="138"/>
      <c r="D566" s="118"/>
      <c r="E566" s="138"/>
      <c r="F566" s="138"/>
      <c r="G566" s="330"/>
      <c r="H566" s="146"/>
      <c r="I566" s="146"/>
      <c r="J566" s="146"/>
      <c r="K566" s="146"/>
      <c r="L566" s="146"/>
      <c r="M566" s="146"/>
      <c r="N566" s="146"/>
      <c r="O566" s="146"/>
      <c r="P566" s="146"/>
      <c r="Q566" s="146"/>
      <c r="R566" s="146"/>
      <c r="S566" s="146"/>
      <c r="T566" s="146"/>
      <c r="U566" s="146"/>
      <c r="V566" s="146"/>
      <c r="W566" s="146"/>
      <c r="X566" s="146"/>
      <c r="Y566" s="146"/>
      <c r="Z566" s="146"/>
    </row>
    <row r="567" ht="22.5" customHeight="1">
      <c r="A567" s="329"/>
      <c r="B567" s="274"/>
      <c r="C567" s="138"/>
      <c r="D567" s="118"/>
      <c r="E567" s="138"/>
      <c r="F567" s="138"/>
      <c r="G567" s="330"/>
      <c r="H567" s="146"/>
      <c r="I567" s="146"/>
      <c r="J567" s="146"/>
      <c r="K567" s="146"/>
      <c r="L567" s="146"/>
      <c r="M567" s="146"/>
      <c r="N567" s="146"/>
      <c r="O567" s="146"/>
      <c r="P567" s="146"/>
      <c r="Q567" s="146"/>
      <c r="R567" s="146"/>
      <c r="S567" s="146"/>
      <c r="T567" s="146"/>
      <c r="U567" s="146"/>
      <c r="V567" s="146"/>
      <c r="W567" s="146"/>
      <c r="X567" s="146"/>
      <c r="Y567" s="146"/>
      <c r="Z567" s="146"/>
    </row>
    <row r="568" ht="22.5" customHeight="1">
      <c r="A568" s="329"/>
      <c r="B568" s="274"/>
      <c r="C568" s="138"/>
      <c r="D568" s="118"/>
      <c r="E568" s="138"/>
      <c r="F568" s="138"/>
      <c r="G568" s="330"/>
      <c r="H568" s="146"/>
      <c r="I568" s="146"/>
      <c r="J568" s="146"/>
      <c r="K568" s="146"/>
      <c r="L568" s="146"/>
      <c r="M568" s="146"/>
      <c r="N568" s="146"/>
      <c r="O568" s="146"/>
      <c r="P568" s="146"/>
      <c r="Q568" s="146"/>
      <c r="R568" s="146"/>
      <c r="S568" s="146"/>
      <c r="T568" s="146"/>
      <c r="U568" s="146"/>
      <c r="V568" s="146"/>
      <c r="W568" s="146"/>
      <c r="X568" s="146"/>
      <c r="Y568" s="146"/>
      <c r="Z568" s="146"/>
    </row>
    <row r="569" ht="22.5" customHeight="1">
      <c r="A569" s="329"/>
      <c r="B569" s="274"/>
      <c r="C569" s="138"/>
      <c r="D569" s="118"/>
      <c r="E569" s="138"/>
      <c r="F569" s="138"/>
      <c r="G569" s="330"/>
      <c r="H569" s="146"/>
      <c r="I569" s="146"/>
      <c r="J569" s="146"/>
      <c r="K569" s="146"/>
      <c r="L569" s="146"/>
      <c r="M569" s="146"/>
      <c r="N569" s="146"/>
      <c r="O569" s="146"/>
      <c r="P569" s="146"/>
      <c r="Q569" s="146"/>
      <c r="R569" s="146"/>
      <c r="S569" s="146"/>
      <c r="T569" s="146"/>
      <c r="U569" s="146"/>
      <c r="V569" s="146"/>
      <c r="W569" s="146"/>
      <c r="X569" s="146"/>
      <c r="Y569" s="146"/>
      <c r="Z569" s="146"/>
    </row>
    <row r="570" ht="22.5" customHeight="1">
      <c r="A570" s="329"/>
      <c r="B570" s="274"/>
      <c r="C570" s="138"/>
      <c r="D570" s="118"/>
      <c r="E570" s="138"/>
      <c r="F570" s="138"/>
      <c r="G570" s="330"/>
      <c r="H570" s="146"/>
      <c r="I570" s="146"/>
      <c r="J570" s="146"/>
      <c r="K570" s="146"/>
      <c r="L570" s="146"/>
      <c r="M570" s="146"/>
      <c r="N570" s="146"/>
      <c r="O570" s="146"/>
      <c r="P570" s="146"/>
      <c r="Q570" s="146"/>
      <c r="R570" s="146"/>
      <c r="S570" s="146"/>
      <c r="T570" s="146"/>
      <c r="U570" s="146"/>
      <c r="V570" s="146"/>
      <c r="W570" s="146"/>
      <c r="X570" s="146"/>
      <c r="Y570" s="146"/>
      <c r="Z570" s="146"/>
    </row>
    <row r="571" ht="22.5" customHeight="1">
      <c r="A571" s="329"/>
      <c r="B571" s="274"/>
      <c r="C571" s="138"/>
      <c r="D571" s="118"/>
      <c r="E571" s="138"/>
      <c r="F571" s="138"/>
      <c r="G571" s="330"/>
      <c r="H571" s="146"/>
      <c r="I571" s="146"/>
      <c r="J571" s="146"/>
      <c r="K571" s="146"/>
      <c r="L571" s="146"/>
      <c r="M571" s="146"/>
      <c r="N571" s="146"/>
      <c r="O571" s="146"/>
      <c r="P571" s="146"/>
      <c r="Q571" s="146"/>
      <c r="R571" s="146"/>
      <c r="S571" s="146"/>
      <c r="T571" s="146"/>
      <c r="U571" s="146"/>
      <c r="V571" s="146"/>
      <c r="W571" s="146"/>
      <c r="X571" s="146"/>
      <c r="Y571" s="146"/>
      <c r="Z571" s="146"/>
    </row>
    <row r="572" ht="22.5" customHeight="1">
      <c r="A572" s="329"/>
      <c r="B572" s="274"/>
      <c r="C572" s="138"/>
      <c r="D572" s="118"/>
      <c r="E572" s="138"/>
      <c r="F572" s="138"/>
      <c r="G572" s="330"/>
      <c r="H572" s="146"/>
      <c r="I572" s="146"/>
      <c r="J572" s="146"/>
      <c r="K572" s="146"/>
      <c r="L572" s="146"/>
      <c r="M572" s="146"/>
      <c r="N572" s="146"/>
      <c r="O572" s="146"/>
      <c r="P572" s="146"/>
      <c r="Q572" s="146"/>
      <c r="R572" s="146"/>
      <c r="S572" s="146"/>
      <c r="T572" s="146"/>
      <c r="U572" s="146"/>
      <c r="V572" s="146"/>
      <c r="W572" s="146"/>
      <c r="X572" s="146"/>
      <c r="Y572" s="146"/>
      <c r="Z572" s="146"/>
    </row>
    <row r="573" ht="22.5" customHeight="1">
      <c r="A573" s="329"/>
      <c r="B573" s="274"/>
      <c r="C573" s="138"/>
      <c r="D573" s="118"/>
      <c r="E573" s="138"/>
      <c r="F573" s="138"/>
      <c r="G573" s="330"/>
      <c r="H573" s="146"/>
      <c r="I573" s="146"/>
      <c r="J573" s="146"/>
      <c r="K573" s="146"/>
      <c r="L573" s="146"/>
      <c r="M573" s="146"/>
      <c r="N573" s="146"/>
      <c r="O573" s="146"/>
      <c r="P573" s="146"/>
      <c r="Q573" s="146"/>
      <c r="R573" s="146"/>
      <c r="S573" s="146"/>
      <c r="T573" s="146"/>
      <c r="U573" s="146"/>
      <c r="V573" s="146"/>
      <c r="W573" s="146"/>
      <c r="X573" s="146"/>
      <c r="Y573" s="146"/>
      <c r="Z573" s="146"/>
    </row>
    <row r="574" ht="22.5" customHeight="1">
      <c r="A574" s="329"/>
      <c r="B574" s="274"/>
      <c r="C574" s="138"/>
      <c r="D574" s="118"/>
      <c r="E574" s="138"/>
      <c r="F574" s="138"/>
      <c r="G574" s="330"/>
      <c r="H574" s="146"/>
      <c r="I574" s="146"/>
      <c r="J574" s="146"/>
      <c r="K574" s="146"/>
      <c r="L574" s="146"/>
      <c r="M574" s="146"/>
      <c r="N574" s="146"/>
      <c r="O574" s="146"/>
      <c r="P574" s="146"/>
      <c r="Q574" s="146"/>
      <c r="R574" s="146"/>
      <c r="S574" s="146"/>
      <c r="T574" s="146"/>
      <c r="U574" s="146"/>
      <c r="V574" s="146"/>
      <c r="W574" s="146"/>
      <c r="X574" s="146"/>
      <c r="Y574" s="146"/>
      <c r="Z574" s="146"/>
    </row>
    <row r="575" ht="22.5" customHeight="1">
      <c r="A575" s="329"/>
      <c r="B575" s="274"/>
      <c r="C575" s="138"/>
      <c r="D575" s="118"/>
      <c r="E575" s="138"/>
      <c r="F575" s="138"/>
      <c r="G575" s="330"/>
      <c r="H575" s="146"/>
      <c r="I575" s="146"/>
      <c r="J575" s="146"/>
      <c r="K575" s="146"/>
      <c r="L575" s="146"/>
      <c r="M575" s="146"/>
      <c r="N575" s="146"/>
      <c r="O575" s="146"/>
      <c r="P575" s="146"/>
      <c r="Q575" s="146"/>
      <c r="R575" s="146"/>
      <c r="S575" s="146"/>
      <c r="T575" s="146"/>
      <c r="U575" s="146"/>
      <c r="V575" s="146"/>
      <c r="W575" s="146"/>
      <c r="X575" s="146"/>
      <c r="Y575" s="146"/>
      <c r="Z575" s="146"/>
    </row>
    <row r="576" ht="22.5" customHeight="1">
      <c r="A576" s="329"/>
      <c r="B576" s="274"/>
      <c r="C576" s="138"/>
      <c r="D576" s="118"/>
      <c r="E576" s="138"/>
      <c r="F576" s="138"/>
      <c r="G576" s="330"/>
      <c r="H576" s="146"/>
      <c r="I576" s="146"/>
      <c r="J576" s="146"/>
      <c r="K576" s="146"/>
      <c r="L576" s="146"/>
      <c r="M576" s="146"/>
      <c r="N576" s="146"/>
      <c r="O576" s="146"/>
      <c r="P576" s="146"/>
      <c r="Q576" s="146"/>
      <c r="R576" s="146"/>
      <c r="S576" s="146"/>
      <c r="T576" s="146"/>
      <c r="U576" s="146"/>
      <c r="V576" s="146"/>
      <c r="W576" s="146"/>
      <c r="X576" s="146"/>
      <c r="Y576" s="146"/>
      <c r="Z576" s="146"/>
    </row>
    <row r="577" ht="22.5" customHeight="1">
      <c r="A577" s="329"/>
      <c r="B577" s="274"/>
      <c r="C577" s="138"/>
      <c r="D577" s="118"/>
      <c r="E577" s="138"/>
      <c r="F577" s="138"/>
      <c r="G577" s="330"/>
      <c r="H577" s="146"/>
      <c r="I577" s="146"/>
      <c r="J577" s="146"/>
      <c r="K577" s="146"/>
      <c r="L577" s="146"/>
      <c r="M577" s="146"/>
      <c r="N577" s="146"/>
      <c r="O577" s="146"/>
      <c r="P577" s="146"/>
      <c r="Q577" s="146"/>
      <c r="R577" s="146"/>
      <c r="S577" s="146"/>
      <c r="T577" s="146"/>
      <c r="U577" s="146"/>
      <c r="V577" s="146"/>
      <c r="W577" s="146"/>
      <c r="X577" s="146"/>
      <c r="Y577" s="146"/>
      <c r="Z577" s="146"/>
    </row>
    <row r="578" ht="22.5" customHeight="1">
      <c r="A578" s="329"/>
      <c r="B578" s="274"/>
      <c r="C578" s="138"/>
      <c r="D578" s="118"/>
      <c r="E578" s="138"/>
      <c r="F578" s="138"/>
      <c r="G578" s="330"/>
      <c r="H578" s="146"/>
      <c r="I578" s="146"/>
      <c r="J578" s="146"/>
      <c r="K578" s="146"/>
      <c r="L578" s="146"/>
      <c r="M578" s="146"/>
      <c r="N578" s="146"/>
      <c r="O578" s="146"/>
      <c r="P578" s="146"/>
      <c r="Q578" s="146"/>
      <c r="R578" s="146"/>
      <c r="S578" s="146"/>
      <c r="T578" s="146"/>
      <c r="U578" s="146"/>
      <c r="V578" s="146"/>
      <c r="W578" s="146"/>
      <c r="X578" s="146"/>
      <c r="Y578" s="146"/>
      <c r="Z578" s="146"/>
    </row>
    <row r="579" ht="22.5" customHeight="1">
      <c r="A579" s="329"/>
      <c r="B579" s="274"/>
      <c r="C579" s="138"/>
      <c r="D579" s="118"/>
      <c r="E579" s="138"/>
      <c r="F579" s="138"/>
      <c r="G579" s="330"/>
      <c r="H579" s="146"/>
      <c r="I579" s="146"/>
      <c r="J579" s="146"/>
      <c r="K579" s="146"/>
      <c r="L579" s="146"/>
      <c r="M579" s="146"/>
      <c r="N579" s="146"/>
      <c r="O579" s="146"/>
      <c r="P579" s="146"/>
      <c r="Q579" s="146"/>
      <c r="R579" s="146"/>
      <c r="S579" s="146"/>
      <c r="T579" s="146"/>
      <c r="U579" s="146"/>
      <c r="V579" s="146"/>
      <c r="W579" s="146"/>
      <c r="X579" s="146"/>
      <c r="Y579" s="146"/>
      <c r="Z579" s="146"/>
    </row>
    <row r="580" ht="22.5" customHeight="1">
      <c r="A580" s="329"/>
      <c r="B580" s="274"/>
      <c r="C580" s="138"/>
      <c r="D580" s="118"/>
      <c r="E580" s="138"/>
      <c r="F580" s="138"/>
      <c r="G580" s="330"/>
      <c r="H580" s="146"/>
      <c r="I580" s="146"/>
      <c r="J580" s="146"/>
      <c r="K580" s="146"/>
      <c r="L580" s="146"/>
      <c r="M580" s="146"/>
      <c r="N580" s="146"/>
      <c r="O580" s="146"/>
      <c r="P580" s="146"/>
      <c r="Q580" s="146"/>
      <c r="R580" s="146"/>
      <c r="S580" s="146"/>
      <c r="T580" s="146"/>
      <c r="U580" s="146"/>
      <c r="V580" s="146"/>
      <c r="W580" s="146"/>
      <c r="X580" s="146"/>
      <c r="Y580" s="146"/>
      <c r="Z580" s="146"/>
    </row>
    <row r="581" ht="22.5" customHeight="1">
      <c r="A581" s="329"/>
      <c r="B581" s="274"/>
      <c r="C581" s="138"/>
      <c r="D581" s="118"/>
      <c r="E581" s="138"/>
      <c r="F581" s="138"/>
      <c r="G581" s="330"/>
      <c r="H581" s="146"/>
      <c r="I581" s="146"/>
      <c r="J581" s="146"/>
      <c r="K581" s="146"/>
      <c r="L581" s="146"/>
      <c r="M581" s="146"/>
      <c r="N581" s="146"/>
      <c r="O581" s="146"/>
      <c r="P581" s="146"/>
      <c r="Q581" s="146"/>
      <c r="R581" s="146"/>
      <c r="S581" s="146"/>
      <c r="T581" s="146"/>
      <c r="U581" s="146"/>
      <c r="V581" s="146"/>
      <c r="W581" s="146"/>
      <c r="X581" s="146"/>
      <c r="Y581" s="146"/>
      <c r="Z581" s="146"/>
    </row>
    <row r="582" ht="22.5" customHeight="1">
      <c r="A582" s="329"/>
      <c r="B582" s="274"/>
      <c r="C582" s="138"/>
      <c r="D582" s="118"/>
      <c r="E582" s="138"/>
      <c r="F582" s="138"/>
      <c r="G582" s="330"/>
      <c r="H582" s="146"/>
      <c r="I582" s="146"/>
      <c r="J582" s="146"/>
      <c r="K582" s="146"/>
      <c r="L582" s="146"/>
      <c r="M582" s="146"/>
      <c r="N582" s="146"/>
      <c r="O582" s="146"/>
      <c r="P582" s="146"/>
      <c r="Q582" s="146"/>
      <c r="R582" s="146"/>
      <c r="S582" s="146"/>
      <c r="T582" s="146"/>
      <c r="U582" s="146"/>
      <c r="V582" s="146"/>
      <c r="W582" s="146"/>
      <c r="X582" s="146"/>
      <c r="Y582" s="146"/>
      <c r="Z582" s="146"/>
    </row>
    <row r="583" ht="22.5" customHeight="1">
      <c r="A583" s="329"/>
      <c r="B583" s="274"/>
      <c r="C583" s="138"/>
      <c r="D583" s="118"/>
      <c r="E583" s="138"/>
      <c r="F583" s="138"/>
      <c r="G583" s="330"/>
      <c r="H583" s="146"/>
      <c r="I583" s="146"/>
      <c r="J583" s="146"/>
      <c r="K583" s="146"/>
      <c r="L583" s="146"/>
      <c r="M583" s="146"/>
      <c r="N583" s="146"/>
      <c r="O583" s="146"/>
      <c r="P583" s="146"/>
      <c r="Q583" s="146"/>
      <c r="R583" s="146"/>
      <c r="S583" s="146"/>
      <c r="T583" s="146"/>
      <c r="U583" s="146"/>
      <c r="V583" s="146"/>
      <c r="W583" s="146"/>
      <c r="X583" s="146"/>
      <c r="Y583" s="146"/>
      <c r="Z583" s="146"/>
    </row>
    <row r="584" ht="22.5" customHeight="1">
      <c r="A584" s="329"/>
      <c r="B584" s="274"/>
      <c r="C584" s="138"/>
      <c r="D584" s="118"/>
      <c r="E584" s="138"/>
      <c r="F584" s="138"/>
      <c r="G584" s="330"/>
      <c r="H584" s="146"/>
      <c r="I584" s="146"/>
      <c r="J584" s="146"/>
      <c r="K584" s="146"/>
      <c r="L584" s="146"/>
      <c r="M584" s="146"/>
      <c r="N584" s="146"/>
      <c r="O584" s="146"/>
      <c r="P584" s="146"/>
      <c r="Q584" s="146"/>
      <c r="R584" s="146"/>
      <c r="S584" s="146"/>
      <c r="T584" s="146"/>
      <c r="U584" s="146"/>
      <c r="V584" s="146"/>
      <c r="W584" s="146"/>
      <c r="X584" s="146"/>
      <c r="Y584" s="146"/>
      <c r="Z584" s="146"/>
    </row>
    <row r="585" ht="22.5" customHeight="1">
      <c r="A585" s="329"/>
      <c r="B585" s="274"/>
      <c r="C585" s="138"/>
      <c r="D585" s="118"/>
      <c r="E585" s="138"/>
      <c r="F585" s="138"/>
      <c r="G585" s="330"/>
      <c r="H585" s="146"/>
      <c r="I585" s="146"/>
      <c r="J585" s="146"/>
      <c r="K585" s="146"/>
      <c r="L585" s="146"/>
      <c r="M585" s="146"/>
      <c r="N585" s="146"/>
      <c r="O585" s="146"/>
      <c r="P585" s="146"/>
      <c r="Q585" s="146"/>
      <c r="R585" s="146"/>
      <c r="S585" s="146"/>
      <c r="T585" s="146"/>
      <c r="U585" s="146"/>
      <c r="V585" s="146"/>
      <c r="W585" s="146"/>
      <c r="X585" s="146"/>
      <c r="Y585" s="146"/>
      <c r="Z585" s="146"/>
    </row>
    <row r="586" ht="22.5" customHeight="1">
      <c r="A586" s="329"/>
      <c r="B586" s="274"/>
      <c r="C586" s="138"/>
      <c r="D586" s="118"/>
      <c r="E586" s="138"/>
      <c r="F586" s="138"/>
      <c r="G586" s="330"/>
      <c r="H586" s="146"/>
      <c r="I586" s="146"/>
      <c r="J586" s="146"/>
      <c r="K586" s="146"/>
      <c r="L586" s="146"/>
      <c r="M586" s="146"/>
      <c r="N586" s="146"/>
      <c r="O586" s="146"/>
      <c r="P586" s="146"/>
      <c r="Q586" s="146"/>
      <c r="R586" s="146"/>
      <c r="S586" s="146"/>
      <c r="T586" s="146"/>
      <c r="U586" s="146"/>
      <c r="V586" s="146"/>
      <c r="W586" s="146"/>
      <c r="X586" s="146"/>
      <c r="Y586" s="146"/>
      <c r="Z586" s="146"/>
    </row>
    <row r="587" ht="22.5" customHeight="1">
      <c r="A587" s="329"/>
      <c r="B587" s="274"/>
      <c r="C587" s="138"/>
      <c r="D587" s="118"/>
      <c r="E587" s="138"/>
      <c r="F587" s="138"/>
      <c r="G587" s="330"/>
      <c r="H587" s="146"/>
      <c r="I587" s="146"/>
      <c r="J587" s="146"/>
      <c r="K587" s="146"/>
      <c r="L587" s="146"/>
      <c r="M587" s="146"/>
      <c r="N587" s="146"/>
      <c r="O587" s="146"/>
      <c r="P587" s="146"/>
      <c r="Q587" s="146"/>
      <c r="R587" s="146"/>
      <c r="S587" s="146"/>
      <c r="T587" s="146"/>
      <c r="U587" s="146"/>
      <c r="V587" s="146"/>
      <c r="W587" s="146"/>
      <c r="X587" s="146"/>
      <c r="Y587" s="146"/>
      <c r="Z587" s="146"/>
    </row>
    <row r="588" ht="22.5" customHeight="1">
      <c r="A588" s="329"/>
      <c r="B588" s="274"/>
      <c r="C588" s="138"/>
      <c r="D588" s="118"/>
      <c r="E588" s="138"/>
      <c r="F588" s="138"/>
      <c r="G588" s="330"/>
      <c r="H588" s="146"/>
      <c r="I588" s="146"/>
      <c r="J588" s="146"/>
      <c r="K588" s="146"/>
      <c r="L588" s="146"/>
      <c r="M588" s="146"/>
      <c r="N588" s="146"/>
      <c r="O588" s="146"/>
      <c r="P588" s="146"/>
      <c r="Q588" s="146"/>
      <c r="R588" s="146"/>
      <c r="S588" s="146"/>
      <c r="T588" s="146"/>
      <c r="U588" s="146"/>
      <c r="V588" s="146"/>
      <c r="W588" s="146"/>
      <c r="X588" s="146"/>
      <c r="Y588" s="146"/>
      <c r="Z588" s="146"/>
    </row>
    <row r="589" ht="22.5" customHeight="1">
      <c r="A589" s="329"/>
      <c r="B589" s="274"/>
      <c r="C589" s="138"/>
      <c r="D589" s="118"/>
      <c r="E589" s="138"/>
      <c r="F589" s="138"/>
      <c r="G589" s="330"/>
      <c r="H589" s="146"/>
      <c r="I589" s="146"/>
      <c r="J589" s="146"/>
      <c r="K589" s="146"/>
      <c r="L589" s="146"/>
      <c r="M589" s="146"/>
      <c r="N589" s="146"/>
      <c r="O589" s="146"/>
      <c r="P589" s="146"/>
      <c r="Q589" s="146"/>
      <c r="R589" s="146"/>
      <c r="S589" s="146"/>
      <c r="T589" s="146"/>
      <c r="U589" s="146"/>
      <c r="V589" s="146"/>
      <c r="W589" s="146"/>
      <c r="X589" s="146"/>
      <c r="Y589" s="146"/>
      <c r="Z589" s="146"/>
    </row>
    <row r="590" ht="22.5" customHeight="1">
      <c r="A590" s="329"/>
      <c r="B590" s="274"/>
      <c r="C590" s="138"/>
      <c r="D590" s="118"/>
      <c r="E590" s="138"/>
      <c r="F590" s="138"/>
      <c r="G590" s="330"/>
      <c r="H590" s="146"/>
      <c r="I590" s="146"/>
      <c r="J590" s="146"/>
      <c r="K590" s="146"/>
      <c r="L590" s="146"/>
      <c r="M590" s="146"/>
      <c r="N590" s="146"/>
      <c r="O590" s="146"/>
      <c r="P590" s="146"/>
      <c r="Q590" s="146"/>
      <c r="R590" s="146"/>
      <c r="S590" s="146"/>
      <c r="T590" s="146"/>
      <c r="U590" s="146"/>
      <c r="V590" s="146"/>
      <c r="W590" s="146"/>
      <c r="X590" s="146"/>
      <c r="Y590" s="146"/>
      <c r="Z590" s="146"/>
    </row>
    <row r="591" ht="22.5" customHeight="1">
      <c r="A591" s="329"/>
      <c r="B591" s="274"/>
      <c r="C591" s="138"/>
      <c r="D591" s="118"/>
      <c r="E591" s="138"/>
      <c r="F591" s="138"/>
      <c r="G591" s="330"/>
      <c r="H591" s="146"/>
      <c r="I591" s="146"/>
      <c r="J591" s="146"/>
      <c r="K591" s="146"/>
      <c r="L591" s="146"/>
      <c r="M591" s="146"/>
      <c r="N591" s="146"/>
      <c r="O591" s="146"/>
      <c r="P591" s="146"/>
      <c r="Q591" s="146"/>
      <c r="R591" s="146"/>
      <c r="S591" s="146"/>
      <c r="T591" s="146"/>
      <c r="U591" s="146"/>
      <c r="V591" s="146"/>
      <c r="W591" s="146"/>
      <c r="X591" s="146"/>
      <c r="Y591" s="146"/>
      <c r="Z591" s="146"/>
    </row>
    <row r="592" ht="22.5" customHeight="1">
      <c r="A592" s="329"/>
      <c r="B592" s="274"/>
      <c r="C592" s="138"/>
      <c r="D592" s="118"/>
      <c r="E592" s="138"/>
      <c r="F592" s="138"/>
      <c r="G592" s="330"/>
      <c r="H592" s="146"/>
      <c r="I592" s="146"/>
      <c r="J592" s="146"/>
      <c r="K592" s="146"/>
      <c r="L592" s="146"/>
      <c r="M592" s="146"/>
      <c r="N592" s="146"/>
      <c r="O592" s="146"/>
      <c r="P592" s="146"/>
      <c r="Q592" s="146"/>
      <c r="R592" s="146"/>
      <c r="S592" s="146"/>
      <c r="T592" s="146"/>
      <c r="U592" s="146"/>
      <c r="V592" s="146"/>
      <c r="W592" s="146"/>
      <c r="X592" s="146"/>
      <c r="Y592" s="146"/>
      <c r="Z592" s="146"/>
    </row>
    <row r="593" ht="22.5" customHeight="1">
      <c r="A593" s="329"/>
      <c r="B593" s="274"/>
      <c r="C593" s="138"/>
      <c r="D593" s="118"/>
      <c r="E593" s="138"/>
      <c r="F593" s="138"/>
      <c r="G593" s="330"/>
      <c r="H593" s="146"/>
      <c r="I593" s="146"/>
      <c r="J593" s="146"/>
      <c r="K593" s="146"/>
      <c r="L593" s="146"/>
      <c r="M593" s="146"/>
      <c r="N593" s="146"/>
      <c r="O593" s="146"/>
      <c r="P593" s="146"/>
      <c r="Q593" s="146"/>
      <c r="R593" s="146"/>
      <c r="S593" s="146"/>
      <c r="T593" s="146"/>
      <c r="U593" s="146"/>
      <c r="V593" s="146"/>
      <c r="W593" s="146"/>
      <c r="X593" s="146"/>
      <c r="Y593" s="146"/>
      <c r="Z593" s="146"/>
    </row>
    <row r="594" ht="22.5" customHeight="1">
      <c r="A594" s="329"/>
      <c r="B594" s="274"/>
      <c r="C594" s="138"/>
      <c r="D594" s="118"/>
      <c r="E594" s="138"/>
      <c r="F594" s="138"/>
      <c r="G594" s="330"/>
      <c r="H594" s="146"/>
      <c r="I594" s="146"/>
      <c r="J594" s="146"/>
      <c r="K594" s="146"/>
      <c r="L594" s="146"/>
      <c r="M594" s="146"/>
      <c r="N594" s="146"/>
      <c r="O594" s="146"/>
      <c r="P594" s="146"/>
      <c r="Q594" s="146"/>
      <c r="R594" s="146"/>
      <c r="S594" s="146"/>
      <c r="T594" s="146"/>
      <c r="U594" s="146"/>
      <c r="V594" s="146"/>
      <c r="W594" s="146"/>
      <c r="X594" s="146"/>
      <c r="Y594" s="146"/>
      <c r="Z594" s="146"/>
    </row>
    <row r="595" ht="22.5" customHeight="1">
      <c r="A595" s="329"/>
      <c r="B595" s="274"/>
      <c r="C595" s="138"/>
      <c r="D595" s="118"/>
      <c r="E595" s="138"/>
      <c r="F595" s="138"/>
      <c r="G595" s="330"/>
      <c r="H595" s="146"/>
      <c r="I595" s="146"/>
      <c r="J595" s="146"/>
      <c r="K595" s="146"/>
      <c r="L595" s="146"/>
      <c r="M595" s="146"/>
      <c r="N595" s="146"/>
      <c r="O595" s="146"/>
      <c r="P595" s="146"/>
      <c r="Q595" s="146"/>
      <c r="R595" s="146"/>
      <c r="S595" s="146"/>
      <c r="T595" s="146"/>
      <c r="U595" s="146"/>
      <c r="V595" s="146"/>
      <c r="W595" s="146"/>
      <c r="X595" s="146"/>
      <c r="Y595" s="146"/>
      <c r="Z595" s="146"/>
    </row>
    <row r="596" ht="22.5" customHeight="1">
      <c r="A596" s="329"/>
      <c r="B596" s="274"/>
      <c r="C596" s="138"/>
      <c r="D596" s="118"/>
      <c r="E596" s="138"/>
      <c r="F596" s="138"/>
      <c r="G596" s="330"/>
      <c r="H596" s="146"/>
      <c r="I596" s="146"/>
      <c r="J596" s="146"/>
      <c r="K596" s="146"/>
      <c r="L596" s="146"/>
      <c r="M596" s="146"/>
      <c r="N596" s="146"/>
      <c r="O596" s="146"/>
      <c r="P596" s="146"/>
      <c r="Q596" s="146"/>
      <c r="R596" s="146"/>
      <c r="S596" s="146"/>
      <c r="T596" s="146"/>
      <c r="U596" s="146"/>
      <c r="V596" s="146"/>
      <c r="W596" s="146"/>
      <c r="X596" s="146"/>
      <c r="Y596" s="146"/>
      <c r="Z596" s="146"/>
    </row>
    <row r="597" ht="22.5" customHeight="1">
      <c r="A597" s="329"/>
      <c r="B597" s="274"/>
      <c r="C597" s="138"/>
      <c r="D597" s="118"/>
      <c r="E597" s="138"/>
      <c r="F597" s="138"/>
      <c r="G597" s="330"/>
      <c r="H597" s="146"/>
      <c r="I597" s="146"/>
      <c r="J597" s="146"/>
      <c r="K597" s="146"/>
      <c r="L597" s="146"/>
      <c r="M597" s="146"/>
      <c r="N597" s="146"/>
      <c r="O597" s="146"/>
      <c r="P597" s="146"/>
      <c r="Q597" s="146"/>
      <c r="R597" s="146"/>
      <c r="S597" s="146"/>
      <c r="T597" s="146"/>
      <c r="U597" s="146"/>
      <c r="V597" s="146"/>
      <c r="W597" s="146"/>
      <c r="X597" s="146"/>
      <c r="Y597" s="146"/>
      <c r="Z597" s="146"/>
    </row>
    <row r="598" ht="22.5" customHeight="1">
      <c r="A598" s="329"/>
      <c r="B598" s="274"/>
      <c r="C598" s="138"/>
      <c r="D598" s="118"/>
      <c r="E598" s="138"/>
      <c r="F598" s="138"/>
      <c r="G598" s="330"/>
      <c r="H598" s="146"/>
      <c r="I598" s="146"/>
      <c r="J598" s="146"/>
      <c r="K598" s="146"/>
      <c r="L598" s="146"/>
      <c r="M598" s="146"/>
      <c r="N598" s="146"/>
      <c r="O598" s="146"/>
      <c r="P598" s="146"/>
      <c r="Q598" s="146"/>
      <c r="R598" s="146"/>
      <c r="S598" s="146"/>
      <c r="T598" s="146"/>
      <c r="U598" s="146"/>
      <c r="V598" s="146"/>
      <c r="W598" s="146"/>
      <c r="X598" s="146"/>
      <c r="Y598" s="146"/>
      <c r="Z598" s="146"/>
    </row>
    <row r="599" ht="22.5" customHeight="1">
      <c r="A599" s="329"/>
      <c r="B599" s="274"/>
      <c r="C599" s="138"/>
      <c r="D599" s="118"/>
      <c r="E599" s="138"/>
      <c r="F599" s="138"/>
      <c r="G599" s="330"/>
      <c r="H599" s="146"/>
      <c r="I599" s="146"/>
      <c r="J599" s="146"/>
      <c r="K599" s="146"/>
      <c r="L599" s="146"/>
      <c r="M599" s="146"/>
      <c r="N599" s="146"/>
      <c r="O599" s="146"/>
      <c r="P599" s="146"/>
      <c r="Q599" s="146"/>
      <c r="R599" s="146"/>
      <c r="S599" s="146"/>
      <c r="T599" s="146"/>
      <c r="U599" s="146"/>
      <c r="V599" s="146"/>
      <c r="W599" s="146"/>
      <c r="X599" s="146"/>
      <c r="Y599" s="146"/>
      <c r="Z599" s="146"/>
    </row>
    <row r="600" ht="22.5" customHeight="1">
      <c r="A600" s="329"/>
      <c r="B600" s="274"/>
      <c r="C600" s="138"/>
      <c r="D600" s="118"/>
      <c r="E600" s="138"/>
      <c r="F600" s="138"/>
      <c r="G600" s="330"/>
      <c r="H600" s="146"/>
      <c r="I600" s="146"/>
      <c r="J600" s="146"/>
      <c r="K600" s="146"/>
      <c r="L600" s="146"/>
      <c r="M600" s="146"/>
      <c r="N600" s="146"/>
      <c r="O600" s="146"/>
      <c r="P600" s="146"/>
      <c r="Q600" s="146"/>
      <c r="R600" s="146"/>
      <c r="S600" s="146"/>
      <c r="T600" s="146"/>
      <c r="U600" s="146"/>
      <c r="V600" s="146"/>
      <c r="W600" s="146"/>
      <c r="X600" s="146"/>
      <c r="Y600" s="146"/>
      <c r="Z600" s="146"/>
    </row>
    <row r="601" ht="22.5" customHeight="1">
      <c r="A601" s="329"/>
      <c r="B601" s="274"/>
      <c r="C601" s="138"/>
      <c r="D601" s="118"/>
      <c r="E601" s="138"/>
      <c r="F601" s="138"/>
      <c r="G601" s="330"/>
      <c r="H601" s="146"/>
      <c r="I601" s="146"/>
      <c r="J601" s="146"/>
      <c r="K601" s="146"/>
      <c r="L601" s="146"/>
      <c r="M601" s="146"/>
      <c r="N601" s="146"/>
      <c r="O601" s="146"/>
      <c r="P601" s="146"/>
      <c r="Q601" s="146"/>
      <c r="R601" s="146"/>
      <c r="S601" s="146"/>
      <c r="T601" s="146"/>
      <c r="U601" s="146"/>
      <c r="V601" s="146"/>
      <c r="W601" s="146"/>
      <c r="X601" s="146"/>
      <c r="Y601" s="146"/>
      <c r="Z601" s="146"/>
    </row>
    <row r="602" ht="22.5" customHeight="1">
      <c r="A602" s="329"/>
      <c r="B602" s="274"/>
      <c r="C602" s="138"/>
      <c r="D602" s="118"/>
      <c r="E602" s="138"/>
      <c r="F602" s="138"/>
      <c r="G602" s="330"/>
      <c r="H602" s="146"/>
      <c r="I602" s="146"/>
      <c r="J602" s="146"/>
      <c r="K602" s="146"/>
      <c r="L602" s="146"/>
      <c r="M602" s="146"/>
      <c r="N602" s="146"/>
      <c r="O602" s="146"/>
      <c r="P602" s="146"/>
      <c r="Q602" s="146"/>
      <c r="R602" s="146"/>
      <c r="S602" s="146"/>
      <c r="T602" s="146"/>
      <c r="U602" s="146"/>
      <c r="V602" s="146"/>
      <c r="W602" s="146"/>
      <c r="X602" s="146"/>
      <c r="Y602" s="146"/>
      <c r="Z602" s="146"/>
    </row>
    <row r="603" ht="22.5" customHeight="1">
      <c r="A603" s="329"/>
      <c r="B603" s="274"/>
      <c r="C603" s="138"/>
      <c r="D603" s="118"/>
      <c r="E603" s="138"/>
      <c r="F603" s="138"/>
      <c r="G603" s="330"/>
      <c r="H603" s="146"/>
      <c r="I603" s="146"/>
      <c r="J603" s="146"/>
      <c r="K603" s="146"/>
      <c r="L603" s="146"/>
      <c r="M603" s="146"/>
      <c r="N603" s="146"/>
      <c r="O603" s="146"/>
      <c r="P603" s="146"/>
      <c r="Q603" s="146"/>
      <c r="R603" s="146"/>
      <c r="S603" s="146"/>
      <c r="T603" s="146"/>
      <c r="U603" s="146"/>
      <c r="V603" s="146"/>
      <c r="W603" s="146"/>
      <c r="X603" s="146"/>
      <c r="Y603" s="146"/>
      <c r="Z603" s="146"/>
    </row>
    <row r="604" ht="22.5" customHeight="1">
      <c r="A604" s="329"/>
      <c r="B604" s="274"/>
      <c r="C604" s="138"/>
      <c r="D604" s="118"/>
      <c r="E604" s="138"/>
      <c r="F604" s="138"/>
      <c r="G604" s="330"/>
      <c r="H604" s="146"/>
      <c r="I604" s="146"/>
      <c r="J604" s="146"/>
      <c r="K604" s="146"/>
      <c r="L604" s="146"/>
      <c r="M604" s="146"/>
      <c r="N604" s="146"/>
      <c r="O604" s="146"/>
      <c r="P604" s="146"/>
      <c r="Q604" s="146"/>
      <c r="R604" s="146"/>
      <c r="S604" s="146"/>
      <c r="T604" s="146"/>
      <c r="U604" s="146"/>
      <c r="V604" s="146"/>
      <c r="W604" s="146"/>
      <c r="X604" s="146"/>
      <c r="Y604" s="146"/>
      <c r="Z604" s="146"/>
    </row>
    <row r="605" ht="22.5" customHeight="1">
      <c r="A605" s="329"/>
      <c r="B605" s="274"/>
      <c r="C605" s="138"/>
      <c r="D605" s="118"/>
      <c r="E605" s="138"/>
      <c r="F605" s="138"/>
      <c r="G605" s="330"/>
      <c r="H605" s="146"/>
      <c r="I605" s="146"/>
      <c r="J605" s="146"/>
      <c r="K605" s="146"/>
      <c r="L605" s="146"/>
      <c r="M605" s="146"/>
      <c r="N605" s="146"/>
      <c r="O605" s="146"/>
      <c r="P605" s="146"/>
      <c r="Q605" s="146"/>
      <c r="R605" s="146"/>
      <c r="S605" s="146"/>
      <c r="T605" s="146"/>
      <c r="U605" s="146"/>
      <c r="V605" s="146"/>
      <c r="W605" s="146"/>
      <c r="X605" s="146"/>
      <c r="Y605" s="146"/>
      <c r="Z605" s="146"/>
    </row>
    <row r="606" ht="22.5" customHeight="1">
      <c r="A606" s="329"/>
      <c r="B606" s="274"/>
      <c r="C606" s="138"/>
      <c r="D606" s="118"/>
      <c r="E606" s="138"/>
      <c r="F606" s="138"/>
      <c r="G606" s="330"/>
      <c r="H606" s="146"/>
      <c r="I606" s="146"/>
      <c r="J606" s="146"/>
      <c r="K606" s="146"/>
      <c r="L606" s="146"/>
      <c r="M606" s="146"/>
      <c r="N606" s="146"/>
      <c r="O606" s="146"/>
      <c r="P606" s="146"/>
      <c r="Q606" s="146"/>
      <c r="R606" s="146"/>
      <c r="S606" s="146"/>
      <c r="T606" s="146"/>
      <c r="U606" s="146"/>
      <c r="V606" s="146"/>
      <c r="W606" s="146"/>
      <c r="X606" s="146"/>
      <c r="Y606" s="146"/>
      <c r="Z606" s="146"/>
    </row>
    <row r="607" ht="22.5" customHeight="1">
      <c r="A607" s="329"/>
      <c r="B607" s="274"/>
      <c r="C607" s="138"/>
      <c r="D607" s="118"/>
      <c r="E607" s="138"/>
      <c r="F607" s="138"/>
      <c r="G607" s="330"/>
      <c r="H607" s="146"/>
      <c r="I607" s="146"/>
      <c r="J607" s="146"/>
      <c r="K607" s="146"/>
      <c r="L607" s="146"/>
      <c r="M607" s="146"/>
      <c r="N607" s="146"/>
      <c r="O607" s="146"/>
      <c r="P607" s="146"/>
      <c r="Q607" s="146"/>
      <c r="R607" s="146"/>
      <c r="S607" s="146"/>
      <c r="T607" s="146"/>
      <c r="U607" s="146"/>
      <c r="V607" s="146"/>
      <c r="W607" s="146"/>
      <c r="X607" s="146"/>
      <c r="Y607" s="146"/>
      <c r="Z607" s="146"/>
    </row>
    <row r="608" ht="22.5" customHeight="1">
      <c r="A608" s="329"/>
      <c r="B608" s="274"/>
      <c r="C608" s="138"/>
      <c r="D608" s="118"/>
      <c r="E608" s="138"/>
      <c r="F608" s="138"/>
      <c r="G608" s="330"/>
      <c r="H608" s="146"/>
      <c r="I608" s="146"/>
      <c r="J608" s="146"/>
      <c r="K608" s="146"/>
      <c r="L608" s="146"/>
      <c r="M608" s="146"/>
      <c r="N608" s="146"/>
      <c r="O608" s="146"/>
      <c r="P608" s="146"/>
      <c r="Q608" s="146"/>
      <c r="R608" s="146"/>
      <c r="S608" s="146"/>
      <c r="T608" s="146"/>
      <c r="U608" s="146"/>
      <c r="V608" s="146"/>
      <c r="W608" s="146"/>
      <c r="X608" s="146"/>
      <c r="Y608" s="146"/>
      <c r="Z608" s="146"/>
    </row>
    <row r="609" ht="22.5" customHeight="1">
      <c r="A609" s="329"/>
      <c r="B609" s="274"/>
      <c r="C609" s="138"/>
      <c r="D609" s="118"/>
      <c r="E609" s="138"/>
      <c r="F609" s="138"/>
      <c r="G609" s="330"/>
      <c r="H609" s="146"/>
      <c r="I609" s="146"/>
      <c r="J609" s="146"/>
      <c r="K609" s="146"/>
      <c r="L609" s="146"/>
      <c r="M609" s="146"/>
      <c r="N609" s="146"/>
      <c r="O609" s="146"/>
      <c r="P609" s="146"/>
      <c r="Q609" s="146"/>
      <c r="R609" s="146"/>
      <c r="S609" s="146"/>
      <c r="T609" s="146"/>
      <c r="U609" s="146"/>
      <c r="V609" s="146"/>
      <c r="W609" s="146"/>
      <c r="X609" s="146"/>
      <c r="Y609" s="146"/>
      <c r="Z609" s="146"/>
    </row>
    <row r="610" ht="22.5" customHeight="1">
      <c r="A610" s="329"/>
      <c r="B610" s="274"/>
      <c r="C610" s="138"/>
      <c r="D610" s="118"/>
      <c r="E610" s="138"/>
      <c r="F610" s="138"/>
      <c r="G610" s="330"/>
      <c r="H610" s="146"/>
      <c r="I610" s="146"/>
      <c r="J610" s="146"/>
      <c r="K610" s="146"/>
      <c r="L610" s="146"/>
      <c r="M610" s="146"/>
      <c r="N610" s="146"/>
      <c r="O610" s="146"/>
      <c r="P610" s="146"/>
      <c r="Q610" s="146"/>
      <c r="R610" s="146"/>
      <c r="S610" s="146"/>
      <c r="T610" s="146"/>
      <c r="U610" s="146"/>
      <c r="V610" s="146"/>
      <c r="W610" s="146"/>
      <c r="X610" s="146"/>
      <c r="Y610" s="146"/>
      <c r="Z610" s="146"/>
    </row>
    <row r="611" ht="22.5" customHeight="1">
      <c r="A611" s="329"/>
      <c r="B611" s="274"/>
      <c r="C611" s="138"/>
      <c r="D611" s="118"/>
      <c r="E611" s="138"/>
      <c r="F611" s="138"/>
      <c r="G611" s="330"/>
      <c r="H611" s="146"/>
      <c r="I611" s="146"/>
      <c r="J611" s="146"/>
      <c r="K611" s="146"/>
      <c r="L611" s="146"/>
      <c r="M611" s="146"/>
      <c r="N611" s="146"/>
      <c r="O611" s="146"/>
      <c r="P611" s="146"/>
      <c r="Q611" s="146"/>
      <c r="R611" s="146"/>
      <c r="S611" s="146"/>
      <c r="T611" s="146"/>
      <c r="U611" s="146"/>
      <c r="V611" s="146"/>
      <c r="W611" s="146"/>
      <c r="X611" s="146"/>
      <c r="Y611" s="146"/>
      <c r="Z611" s="146"/>
    </row>
    <row r="612" ht="22.5" customHeight="1">
      <c r="A612" s="329"/>
      <c r="B612" s="274"/>
      <c r="C612" s="138"/>
      <c r="D612" s="118"/>
      <c r="E612" s="138"/>
      <c r="F612" s="138"/>
      <c r="G612" s="330"/>
      <c r="H612" s="146"/>
      <c r="I612" s="146"/>
      <c r="J612" s="146"/>
      <c r="K612" s="146"/>
      <c r="L612" s="146"/>
      <c r="M612" s="146"/>
      <c r="N612" s="146"/>
      <c r="O612" s="146"/>
      <c r="P612" s="146"/>
      <c r="Q612" s="146"/>
      <c r="R612" s="146"/>
      <c r="S612" s="146"/>
      <c r="T612" s="146"/>
      <c r="U612" s="146"/>
      <c r="V612" s="146"/>
      <c r="W612" s="146"/>
      <c r="X612" s="146"/>
      <c r="Y612" s="146"/>
      <c r="Z612" s="146"/>
    </row>
    <row r="613" ht="22.5" customHeight="1">
      <c r="A613" s="329"/>
      <c r="B613" s="274"/>
      <c r="C613" s="138"/>
      <c r="D613" s="118"/>
      <c r="E613" s="138"/>
      <c r="F613" s="138"/>
      <c r="G613" s="330"/>
      <c r="H613" s="146"/>
      <c r="I613" s="146"/>
      <c r="J613" s="146"/>
      <c r="K613" s="146"/>
      <c r="L613" s="146"/>
      <c r="M613" s="146"/>
      <c r="N613" s="146"/>
      <c r="O613" s="146"/>
      <c r="P613" s="146"/>
      <c r="Q613" s="146"/>
      <c r="R613" s="146"/>
      <c r="S613" s="146"/>
      <c r="T613" s="146"/>
      <c r="U613" s="146"/>
      <c r="V613" s="146"/>
      <c r="W613" s="146"/>
      <c r="X613" s="146"/>
      <c r="Y613" s="146"/>
      <c r="Z613" s="146"/>
    </row>
    <row r="614" ht="22.5" customHeight="1">
      <c r="A614" s="329"/>
      <c r="B614" s="274"/>
      <c r="C614" s="138"/>
      <c r="D614" s="118"/>
      <c r="E614" s="138"/>
      <c r="F614" s="138"/>
      <c r="G614" s="330"/>
      <c r="H614" s="146"/>
      <c r="I614" s="146"/>
      <c r="J614" s="146"/>
      <c r="K614" s="146"/>
      <c r="L614" s="146"/>
      <c r="M614" s="146"/>
      <c r="N614" s="146"/>
      <c r="O614" s="146"/>
      <c r="P614" s="146"/>
      <c r="Q614" s="146"/>
      <c r="R614" s="146"/>
      <c r="S614" s="146"/>
      <c r="T614" s="146"/>
      <c r="U614" s="146"/>
      <c r="V614" s="146"/>
      <c r="W614" s="146"/>
      <c r="X614" s="146"/>
      <c r="Y614" s="146"/>
      <c r="Z614" s="146"/>
    </row>
    <row r="615" ht="22.5" customHeight="1">
      <c r="A615" s="329"/>
      <c r="B615" s="274"/>
      <c r="C615" s="138"/>
      <c r="D615" s="118"/>
      <c r="E615" s="138"/>
      <c r="F615" s="138"/>
      <c r="G615" s="330"/>
      <c r="H615" s="146"/>
      <c r="I615" s="146"/>
      <c r="J615" s="146"/>
      <c r="K615" s="146"/>
      <c r="L615" s="146"/>
      <c r="M615" s="146"/>
      <c r="N615" s="146"/>
      <c r="O615" s="146"/>
      <c r="P615" s="146"/>
      <c r="Q615" s="146"/>
      <c r="R615" s="146"/>
      <c r="S615" s="146"/>
      <c r="T615" s="146"/>
      <c r="U615" s="146"/>
      <c r="V615" s="146"/>
      <c r="W615" s="146"/>
      <c r="X615" s="146"/>
      <c r="Y615" s="146"/>
      <c r="Z615" s="146"/>
    </row>
    <row r="616" ht="22.5" customHeight="1">
      <c r="A616" s="329"/>
      <c r="B616" s="274"/>
      <c r="C616" s="138"/>
      <c r="D616" s="118"/>
      <c r="E616" s="138"/>
      <c r="F616" s="138"/>
      <c r="G616" s="330"/>
      <c r="H616" s="146"/>
      <c r="I616" s="146"/>
      <c r="J616" s="146"/>
      <c r="K616" s="146"/>
      <c r="L616" s="146"/>
      <c r="M616" s="146"/>
      <c r="N616" s="146"/>
      <c r="O616" s="146"/>
      <c r="P616" s="146"/>
      <c r="Q616" s="146"/>
      <c r="R616" s="146"/>
      <c r="S616" s="146"/>
      <c r="T616" s="146"/>
      <c r="U616" s="146"/>
      <c r="V616" s="146"/>
      <c r="W616" s="146"/>
      <c r="X616" s="146"/>
      <c r="Y616" s="146"/>
      <c r="Z616" s="146"/>
    </row>
    <row r="617" ht="22.5" customHeight="1">
      <c r="A617" s="329"/>
      <c r="B617" s="274"/>
      <c r="C617" s="138"/>
      <c r="D617" s="118"/>
      <c r="E617" s="138"/>
      <c r="F617" s="138"/>
      <c r="G617" s="330"/>
      <c r="H617" s="146"/>
      <c r="I617" s="146"/>
      <c r="J617" s="146"/>
      <c r="K617" s="146"/>
      <c r="L617" s="146"/>
      <c r="M617" s="146"/>
      <c r="N617" s="146"/>
      <c r="O617" s="146"/>
      <c r="P617" s="146"/>
      <c r="Q617" s="146"/>
      <c r="R617" s="146"/>
      <c r="S617" s="146"/>
      <c r="T617" s="146"/>
      <c r="U617" s="146"/>
      <c r="V617" s="146"/>
      <c r="W617" s="146"/>
      <c r="X617" s="146"/>
      <c r="Y617" s="146"/>
      <c r="Z617" s="146"/>
    </row>
    <row r="618" ht="22.5" customHeight="1">
      <c r="A618" s="329"/>
      <c r="B618" s="274"/>
      <c r="C618" s="138"/>
      <c r="D618" s="118"/>
      <c r="E618" s="138"/>
      <c r="F618" s="138"/>
      <c r="G618" s="330"/>
      <c r="H618" s="146"/>
      <c r="I618" s="146"/>
      <c r="J618" s="146"/>
      <c r="K618" s="146"/>
      <c r="L618" s="146"/>
      <c r="M618" s="146"/>
      <c r="N618" s="146"/>
      <c r="O618" s="146"/>
      <c r="P618" s="146"/>
      <c r="Q618" s="146"/>
      <c r="R618" s="146"/>
      <c r="S618" s="146"/>
      <c r="T618" s="146"/>
      <c r="U618" s="146"/>
      <c r="V618" s="146"/>
      <c r="W618" s="146"/>
      <c r="X618" s="146"/>
      <c r="Y618" s="146"/>
      <c r="Z618" s="146"/>
    </row>
    <row r="619" ht="22.5" customHeight="1">
      <c r="A619" s="329"/>
      <c r="B619" s="274"/>
      <c r="C619" s="138"/>
      <c r="D619" s="118"/>
      <c r="E619" s="138"/>
      <c r="F619" s="138"/>
      <c r="G619" s="330"/>
      <c r="H619" s="146"/>
      <c r="I619" s="146"/>
      <c r="J619" s="146"/>
      <c r="K619" s="146"/>
      <c r="L619" s="146"/>
      <c r="M619" s="146"/>
      <c r="N619" s="146"/>
      <c r="O619" s="146"/>
      <c r="P619" s="146"/>
      <c r="Q619" s="146"/>
      <c r="R619" s="146"/>
      <c r="S619" s="146"/>
      <c r="T619" s="146"/>
      <c r="U619" s="146"/>
      <c r="V619" s="146"/>
      <c r="W619" s="146"/>
      <c r="X619" s="146"/>
      <c r="Y619" s="146"/>
      <c r="Z619" s="146"/>
    </row>
    <row r="620" ht="22.5" customHeight="1">
      <c r="A620" s="329"/>
      <c r="B620" s="274"/>
      <c r="C620" s="138"/>
      <c r="D620" s="118"/>
      <c r="E620" s="138"/>
      <c r="F620" s="138"/>
      <c r="G620" s="330"/>
      <c r="H620" s="146"/>
      <c r="I620" s="146"/>
      <c r="J620" s="146"/>
      <c r="K620" s="146"/>
      <c r="L620" s="146"/>
      <c r="M620" s="146"/>
      <c r="N620" s="146"/>
      <c r="O620" s="146"/>
      <c r="P620" s="146"/>
      <c r="Q620" s="146"/>
      <c r="R620" s="146"/>
      <c r="S620" s="146"/>
      <c r="T620" s="146"/>
      <c r="U620" s="146"/>
      <c r="V620" s="146"/>
      <c r="W620" s="146"/>
      <c r="X620" s="146"/>
      <c r="Y620" s="146"/>
      <c r="Z620" s="146"/>
    </row>
    <row r="621" ht="22.5" customHeight="1">
      <c r="A621" s="329"/>
      <c r="B621" s="274"/>
      <c r="C621" s="138"/>
      <c r="D621" s="118"/>
      <c r="E621" s="138"/>
      <c r="F621" s="138"/>
      <c r="G621" s="330"/>
      <c r="H621" s="146"/>
      <c r="I621" s="146"/>
      <c r="J621" s="146"/>
      <c r="K621" s="146"/>
      <c r="L621" s="146"/>
      <c r="M621" s="146"/>
      <c r="N621" s="146"/>
      <c r="O621" s="146"/>
      <c r="P621" s="146"/>
      <c r="Q621" s="146"/>
      <c r="R621" s="146"/>
      <c r="S621" s="146"/>
      <c r="T621" s="146"/>
      <c r="U621" s="146"/>
      <c r="V621" s="146"/>
      <c r="W621" s="146"/>
      <c r="X621" s="146"/>
      <c r="Y621" s="146"/>
      <c r="Z621" s="146"/>
    </row>
    <row r="622" ht="22.5" customHeight="1">
      <c r="A622" s="329"/>
      <c r="B622" s="274"/>
      <c r="C622" s="138"/>
      <c r="D622" s="118"/>
      <c r="E622" s="138"/>
      <c r="F622" s="138"/>
      <c r="G622" s="330"/>
      <c r="H622" s="146"/>
      <c r="I622" s="146"/>
      <c r="J622" s="146"/>
      <c r="K622" s="146"/>
      <c r="L622" s="146"/>
      <c r="M622" s="146"/>
      <c r="N622" s="146"/>
      <c r="O622" s="146"/>
      <c r="P622" s="146"/>
      <c r="Q622" s="146"/>
      <c r="R622" s="146"/>
      <c r="S622" s="146"/>
      <c r="T622" s="146"/>
      <c r="U622" s="146"/>
      <c r="V622" s="146"/>
      <c r="W622" s="146"/>
      <c r="X622" s="146"/>
      <c r="Y622" s="146"/>
      <c r="Z622" s="146"/>
    </row>
    <row r="623" ht="22.5" customHeight="1">
      <c r="A623" s="329"/>
      <c r="B623" s="274"/>
      <c r="C623" s="138"/>
      <c r="D623" s="118"/>
      <c r="E623" s="138"/>
      <c r="F623" s="138"/>
      <c r="G623" s="330"/>
      <c r="H623" s="146"/>
      <c r="I623" s="146"/>
      <c r="J623" s="146"/>
      <c r="K623" s="146"/>
      <c r="L623" s="146"/>
      <c r="M623" s="146"/>
      <c r="N623" s="146"/>
      <c r="O623" s="146"/>
      <c r="P623" s="146"/>
      <c r="Q623" s="146"/>
      <c r="R623" s="146"/>
      <c r="S623" s="146"/>
      <c r="T623" s="146"/>
      <c r="U623" s="146"/>
      <c r="V623" s="146"/>
      <c r="W623" s="146"/>
      <c r="X623" s="146"/>
      <c r="Y623" s="146"/>
      <c r="Z623" s="146"/>
    </row>
    <row r="624" ht="22.5" customHeight="1">
      <c r="A624" s="329"/>
      <c r="B624" s="274"/>
      <c r="C624" s="138"/>
      <c r="D624" s="118"/>
      <c r="E624" s="138"/>
      <c r="F624" s="138"/>
      <c r="G624" s="330"/>
      <c r="H624" s="146"/>
      <c r="I624" s="146"/>
      <c r="J624" s="146"/>
      <c r="K624" s="146"/>
      <c r="L624" s="146"/>
      <c r="M624" s="146"/>
      <c r="N624" s="146"/>
      <c r="O624" s="146"/>
      <c r="P624" s="146"/>
      <c r="Q624" s="146"/>
      <c r="R624" s="146"/>
      <c r="S624" s="146"/>
      <c r="T624" s="146"/>
      <c r="U624" s="146"/>
      <c r="V624" s="146"/>
      <c r="W624" s="146"/>
      <c r="X624" s="146"/>
      <c r="Y624" s="146"/>
      <c r="Z624" s="146"/>
    </row>
    <row r="625" ht="22.5" customHeight="1">
      <c r="A625" s="329"/>
      <c r="B625" s="274"/>
      <c r="C625" s="138"/>
      <c r="D625" s="118"/>
      <c r="E625" s="138"/>
      <c r="F625" s="138"/>
      <c r="G625" s="330"/>
      <c r="H625" s="146"/>
      <c r="I625" s="146"/>
      <c r="J625" s="146"/>
      <c r="K625" s="146"/>
      <c r="L625" s="146"/>
      <c r="M625" s="146"/>
      <c r="N625" s="146"/>
      <c r="O625" s="146"/>
      <c r="P625" s="146"/>
      <c r="Q625" s="146"/>
      <c r="R625" s="146"/>
      <c r="S625" s="146"/>
      <c r="T625" s="146"/>
      <c r="U625" s="146"/>
      <c r="V625" s="146"/>
      <c r="W625" s="146"/>
      <c r="X625" s="146"/>
      <c r="Y625" s="146"/>
      <c r="Z625" s="146"/>
    </row>
    <row r="626" ht="22.5" customHeight="1">
      <c r="A626" s="329"/>
      <c r="B626" s="274"/>
      <c r="C626" s="138"/>
      <c r="D626" s="118"/>
      <c r="E626" s="138"/>
      <c r="F626" s="138"/>
      <c r="G626" s="330"/>
      <c r="H626" s="146"/>
      <c r="I626" s="146"/>
      <c r="J626" s="146"/>
      <c r="K626" s="146"/>
      <c r="L626" s="146"/>
      <c r="M626" s="146"/>
      <c r="N626" s="146"/>
      <c r="O626" s="146"/>
      <c r="P626" s="146"/>
      <c r="Q626" s="146"/>
      <c r="R626" s="146"/>
      <c r="S626" s="146"/>
      <c r="T626" s="146"/>
      <c r="U626" s="146"/>
      <c r="V626" s="146"/>
      <c r="W626" s="146"/>
      <c r="X626" s="146"/>
      <c r="Y626" s="146"/>
      <c r="Z626" s="146"/>
    </row>
    <row r="627" ht="22.5" customHeight="1">
      <c r="A627" s="329"/>
      <c r="B627" s="274"/>
      <c r="C627" s="138"/>
      <c r="D627" s="118"/>
      <c r="E627" s="138"/>
      <c r="F627" s="138"/>
      <c r="G627" s="330"/>
      <c r="H627" s="146"/>
      <c r="I627" s="146"/>
      <c r="J627" s="146"/>
      <c r="K627" s="146"/>
      <c r="L627" s="146"/>
      <c r="M627" s="146"/>
      <c r="N627" s="146"/>
      <c r="O627" s="146"/>
      <c r="P627" s="146"/>
      <c r="Q627" s="146"/>
      <c r="R627" s="146"/>
      <c r="S627" s="146"/>
      <c r="T627" s="146"/>
      <c r="U627" s="146"/>
      <c r="V627" s="146"/>
      <c r="W627" s="146"/>
      <c r="X627" s="146"/>
      <c r="Y627" s="146"/>
      <c r="Z627" s="146"/>
    </row>
    <row r="628" ht="22.5" customHeight="1">
      <c r="A628" s="329"/>
      <c r="B628" s="274"/>
      <c r="C628" s="138"/>
      <c r="D628" s="118"/>
      <c r="E628" s="138"/>
      <c r="F628" s="138"/>
      <c r="G628" s="330"/>
      <c r="H628" s="146"/>
      <c r="I628" s="146"/>
      <c r="J628" s="146"/>
      <c r="K628" s="146"/>
      <c r="L628" s="146"/>
      <c r="M628" s="146"/>
      <c r="N628" s="146"/>
      <c r="O628" s="146"/>
      <c r="P628" s="146"/>
      <c r="Q628" s="146"/>
      <c r="R628" s="146"/>
      <c r="S628" s="146"/>
      <c r="T628" s="146"/>
      <c r="U628" s="146"/>
      <c r="V628" s="146"/>
      <c r="W628" s="146"/>
      <c r="X628" s="146"/>
      <c r="Y628" s="146"/>
      <c r="Z628" s="146"/>
    </row>
    <row r="629" ht="22.5" customHeight="1">
      <c r="A629" s="329"/>
      <c r="B629" s="274"/>
      <c r="C629" s="138"/>
      <c r="D629" s="118"/>
      <c r="E629" s="138"/>
      <c r="F629" s="138"/>
      <c r="G629" s="330"/>
      <c r="H629" s="146"/>
      <c r="I629" s="146"/>
      <c r="J629" s="146"/>
      <c r="K629" s="146"/>
      <c r="L629" s="146"/>
      <c r="M629" s="146"/>
      <c r="N629" s="146"/>
      <c r="O629" s="146"/>
      <c r="P629" s="146"/>
      <c r="Q629" s="146"/>
      <c r="R629" s="146"/>
      <c r="S629" s="146"/>
      <c r="T629" s="146"/>
      <c r="U629" s="146"/>
      <c r="V629" s="146"/>
      <c r="W629" s="146"/>
      <c r="X629" s="146"/>
      <c r="Y629" s="146"/>
      <c r="Z629" s="146"/>
    </row>
    <row r="630" ht="22.5" customHeight="1">
      <c r="A630" s="329"/>
      <c r="B630" s="274"/>
      <c r="C630" s="138"/>
      <c r="D630" s="118"/>
      <c r="E630" s="138"/>
      <c r="F630" s="138"/>
      <c r="G630" s="330"/>
      <c r="H630" s="146"/>
      <c r="I630" s="146"/>
      <c r="J630" s="146"/>
      <c r="K630" s="146"/>
      <c r="L630" s="146"/>
      <c r="M630" s="146"/>
      <c r="N630" s="146"/>
      <c r="O630" s="146"/>
      <c r="P630" s="146"/>
      <c r="Q630" s="146"/>
      <c r="R630" s="146"/>
      <c r="S630" s="146"/>
      <c r="T630" s="146"/>
      <c r="U630" s="146"/>
      <c r="V630" s="146"/>
      <c r="W630" s="146"/>
      <c r="X630" s="146"/>
      <c r="Y630" s="146"/>
      <c r="Z630" s="146"/>
    </row>
    <row r="631" ht="22.5" customHeight="1">
      <c r="A631" s="329"/>
      <c r="B631" s="274"/>
      <c r="C631" s="138"/>
      <c r="D631" s="118"/>
      <c r="E631" s="138"/>
      <c r="F631" s="138"/>
      <c r="G631" s="330"/>
      <c r="H631" s="146"/>
      <c r="I631" s="146"/>
      <c r="J631" s="146"/>
      <c r="K631" s="146"/>
      <c r="L631" s="146"/>
      <c r="M631" s="146"/>
      <c r="N631" s="146"/>
      <c r="O631" s="146"/>
      <c r="P631" s="146"/>
      <c r="Q631" s="146"/>
      <c r="R631" s="146"/>
      <c r="S631" s="146"/>
      <c r="T631" s="146"/>
      <c r="U631" s="146"/>
      <c r="V631" s="146"/>
      <c r="W631" s="146"/>
      <c r="X631" s="146"/>
      <c r="Y631" s="146"/>
      <c r="Z631" s="146"/>
    </row>
    <row r="632" ht="22.5" customHeight="1">
      <c r="A632" s="329"/>
      <c r="B632" s="274"/>
      <c r="C632" s="138"/>
      <c r="D632" s="118"/>
      <c r="E632" s="138"/>
      <c r="F632" s="138"/>
      <c r="G632" s="330"/>
      <c r="H632" s="146"/>
      <c r="I632" s="146"/>
      <c r="J632" s="146"/>
      <c r="K632" s="146"/>
      <c r="L632" s="146"/>
      <c r="M632" s="146"/>
      <c r="N632" s="146"/>
      <c r="O632" s="146"/>
      <c r="P632" s="146"/>
      <c r="Q632" s="146"/>
      <c r="R632" s="146"/>
      <c r="S632" s="146"/>
      <c r="T632" s="146"/>
      <c r="U632" s="146"/>
      <c r="V632" s="146"/>
      <c r="W632" s="146"/>
      <c r="X632" s="146"/>
      <c r="Y632" s="146"/>
      <c r="Z632" s="146"/>
    </row>
    <row r="633" ht="22.5" customHeight="1">
      <c r="A633" s="329"/>
      <c r="B633" s="274"/>
      <c r="C633" s="138"/>
      <c r="D633" s="118"/>
      <c r="E633" s="138"/>
      <c r="F633" s="138"/>
      <c r="G633" s="330"/>
      <c r="H633" s="146"/>
      <c r="I633" s="146"/>
      <c r="J633" s="146"/>
      <c r="K633" s="146"/>
      <c r="L633" s="146"/>
      <c r="M633" s="146"/>
      <c r="N633" s="146"/>
      <c r="O633" s="146"/>
      <c r="P633" s="146"/>
      <c r="Q633" s="146"/>
      <c r="R633" s="146"/>
      <c r="S633" s="146"/>
      <c r="T633" s="146"/>
      <c r="U633" s="146"/>
      <c r="V633" s="146"/>
      <c r="W633" s="146"/>
      <c r="X633" s="146"/>
      <c r="Y633" s="146"/>
      <c r="Z633" s="146"/>
    </row>
    <row r="634" ht="22.5" customHeight="1">
      <c r="A634" s="329"/>
      <c r="B634" s="274"/>
      <c r="C634" s="138"/>
      <c r="D634" s="118"/>
      <c r="E634" s="138"/>
      <c r="F634" s="138"/>
      <c r="G634" s="330"/>
      <c r="H634" s="146"/>
      <c r="I634" s="146"/>
      <c r="J634" s="146"/>
      <c r="K634" s="146"/>
      <c r="L634" s="146"/>
      <c r="M634" s="146"/>
      <c r="N634" s="146"/>
      <c r="O634" s="146"/>
      <c r="P634" s="146"/>
      <c r="Q634" s="146"/>
      <c r="R634" s="146"/>
      <c r="S634" s="146"/>
      <c r="T634" s="146"/>
      <c r="U634" s="146"/>
      <c r="V634" s="146"/>
      <c r="W634" s="146"/>
      <c r="X634" s="146"/>
      <c r="Y634" s="146"/>
      <c r="Z634" s="146"/>
    </row>
    <row r="635" ht="22.5" customHeight="1">
      <c r="A635" s="329"/>
      <c r="B635" s="274"/>
      <c r="C635" s="138"/>
      <c r="D635" s="118"/>
      <c r="E635" s="138"/>
      <c r="F635" s="138"/>
      <c r="G635" s="330"/>
      <c r="H635" s="146"/>
      <c r="I635" s="146"/>
      <c r="J635" s="146"/>
      <c r="K635" s="146"/>
      <c r="L635" s="146"/>
      <c r="M635" s="146"/>
      <c r="N635" s="146"/>
      <c r="O635" s="146"/>
      <c r="P635" s="146"/>
      <c r="Q635" s="146"/>
      <c r="R635" s="146"/>
      <c r="S635" s="146"/>
      <c r="T635" s="146"/>
      <c r="U635" s="146"/>
      <c r="V635" s="146"/>
      <c r="W635" s="146"/>
      <c r="X635" s="146"/>
      <c r="Y635" s="146"/>
      <c r="Z635" s="146"/>
    </row>
    <row r="636" ht="22.5" customHeight="1">
      <c r="A636" s="329"/>
      <c r="B636" s="274"/>
      <c r="C636" s="138"/>
      <c r="D636" s="118"/>
      <c r="E636" s="138"/>
      <c r="F636" s="138"/>
      <c r="G636" s="330"/>
      <c r="H636" s="146"/>
      <c r="I636" s="146"/>
      <c r="J636" s="146"/>
      <c r="K636" s="146"/>
      <c r="L636" s="146"/>
      <c r="M636" s="146"/>
      <c r="N636" s="146"/>
      <c r="O636" s="146"/>
      <c r="P636" s="146"/>
      <c r="Q636" s="146"/>
      <c r="R636" s="146"/>
      <c r="S636" s="146"/>
      <c r="T636" s="146"/>
      <c r="U636" s="146"/>
      <c r="V636" s="146"/>
      <c r="W636" s="146"/>
      <c r="X636" s="146"/>
      <c r="Y636" s="146"/>
      <c r="Z636" s="146"/>
    </row>
    <row r="637" ht="22.5" customHeight="1">
      <c r="A637" s="329"/>
      <c r="B637" s="274"/>
      <c r="C637" s="138"/>
      <c r="D637" s="118"/>
      <c r="E637" s="138"/>
      <c r="F637" s="138"/>
      <c r="G637" s="330"/>
      <c r="H637" s="146"/>
      <c r="I637" s="146"/>
      <c r="J637" s="146"/>
      <c r="K637" s="146"/>
      <c r="L637" s="146"/>
      <c r="M637" s="146"/>
      <c r="N637" s="146"/>
      <c r="O637" s="146"/>
      <c r="P637" s="146"/>
      <c r="Q637" s="146"/>
      <c r="R637" s="146"/>
      <c r="S637" s="146"/>
      <c r="T637" s="146"/>
      <c r="U637" s="146"/>
      <c r="V637" s="146"/>
      <c r="W637" s="146"/>
      <c r="X637" s="146"/>
      <c r="Y637" s="146"/>
      <c r="Z637" s="146"/>
    </row>
    <row r="638" ht="22.5" customHeight="1">
      <c r="A638" s="329"/>
      <c r="B638" s="274"/>
      <c r="C638" s="138"/>
      <c r="D638" s="118"/>
      <c r="E638" s="138"/>
      <c r="F638" s="138"/>
      <c r="G638" s="330"/>
      <c r="H638" s="146"/>
      <c r="I638" s="146"/>
      <c r="J638" s="146"/>
      <c r="K638" s="146"/>
      <c r="L638" s="146"/>
      <c r="M638" s="146"/>
      <c r="N638" s="146"/>
      <c r="O638" s="146"/>
      <c r="P638" s="146"/>
      <c r="Q638" s="146"/>
      <c r="R638" s="146"/>
      <c r="S638" s="146"/>
      <c r="T638" s="146"/>
      <c r="U638" s="146"/>
      <c r="V638" s="146"/>
      <c r="W638" s="146"/>
      <c r="X638" s="146"/>
      <c r="Y638" s="146"/>
      <c r="Z638" s="146"/>
    </row>
    <row r="639" ht="22.5" customHeight="1">
      <c r="A639" s="329"/>
      <c r="B639" s="274"/>
      <c r="C639" s="138"/>
      <c r="D639" s="118"/>
      <c r="E639" s="138"/>
      <c r="F639" s="138"/>
      <c r="G639" s="330"/>
      <c r="H639" s="146"/>
      <c r="I639" s="146"/>
      <c r="J639" s="146"/>
      <c r="K639" s="146"/>
      <c r="L639" s="146"/>
      <c r="M639" s="146"/>
      <c r="N639" s="146"/>
      <c r="O639" s="146"/>
      <c r="P639" s="146"/>
      <c r="Q639" s="146"/>
      <c r="R639" s="146"/>
      <c r="S639" s="146"/>
      <c r="T639" s="146"/>
      <c r="U639" s="146"/>
      <c r="V639" s="146"/>
      <c r="W639" s="146"/>
      <c r="X639" s="146"/>
      <c r="Y639" s="146"/>
      <c r="Z639" s="146"/>
    </row>
    <row r="640" ht="22.5" customHeight="1">
      <c r="A640" s="329"/>
      <c r="B640" s="274"/>
      <c r="C640" s="138"/>
      <c r="D640" s="118"/>
      <c r="E640" s="138"/>
      <c r="F640" s="138"/>
      <c r="G640" s="330"/>
      <c r="H640" s="146"/>
      <c r="I640" s="146"/>
      <c r="J640" s="146"/>
      <c r="K640" s="146"/>
      <c r="L640" s="146"/>
      <c r="M640" s="146"/>
      <c r="N640" s="146"/>
      <c r="O640" s="146"/>
      <c r="P640" s="146"/>
      <c r="Q640" s="146"/>
      <c r="R640" s="146"/>
      <c r="S640" s="146"/>
      <c r="T640" s="146"/>
      <c r="U640" s="146"/>
      <c r="V640" s="146"/>
      <c r="W640" s="146"/>
      <c r="X640" s="146"/>
      <c r="Y640" s="146"/>
      <c r="Z640" s="146"/>
    </row>
    <row r="641" ht="22.5" customHeight="1">
      <c r="A641" s="329"/>
      <c r="B641" s="274"/>
      <c r="C641" s="138"/>
      <c r="D641" s="118"/>
      <c r="E641" s="138"/>
      <c r="F641" s="138"/>
      <c r="G641" s="330"/>
      <c r="H641" s="146"/>
      <c r="I641" s="146"/>
      <c r="J641" s="146"/>
      <c r="K641" s="146"/>
      <c r="L641" s="146"/>
      <c r="M641" s="146"/>
      <c r="N641" s="146"/>
      <c r="O641" s="146"/>
      <c r="P641" s="146"/>
      <c r="Q641" s="146"/>
      <c r="R641" s="146"/>
      <c r="S641" s="146"/>
      <c r="T641" s="146"/>
      <c r="U641" s="146"/>
      <c r="V641" s="146"/>
      <c r="W641" s="146"/>
      <c r="X641" s="146"/>
      <c r="Y641" s="146"/>
      <c r="Z641" s="146"/>
    </row>
    <row r="642" ht="22.5" customHeight="1">
      <c r="A642" s="329"/>
      <c r="B642" s="274"/>
      <c r="C642" s="138"/>
      <c r="D642" s="118"/>
      <c r="E642" s="138"/>
      <c r="F642" s="138"/>
      <c r="G642" s="330"/>
      <c r="H642" s="146"/>
      <c r="I642" s="146"/>
      <c r="J642" s="146"/>
      <c r="K642" s="146"/>
      <c r="L642" s="146"/>
      <c r="M642" s="146"/>
      <c r="N642" s="146"/>
      <c r="O642" s="146"/>
      <c r="P642" s="146"/>
      <c r="Q642" s="146"/>
      <c r="R642" s="146"/>
      <c r="S642" s="146"/>
      <c r="T642" s="146"/>
      <c r="U642" s="146"/>
      <c r="V642" s="146"/>
      <c r="W642" s="146"/>
      <c r="X642" s="146"/>
      <c r="Y642" s="146"/>
      <c r="Z642" s="146"/>
    </row>
    <row r="643" ht="22.5" customHeight="1">
      <c r="A643" s="329"/>
      <c r="B643" s="274"/>
      <c r="C643" s="138"/>
      <c r="D643" s="118"/>
      <c r="E643" s="138"/>
      <c r="F643" s="138"/>
      <c r="G643" s="330"/>
      <c r="H643" s="146"/>
      <c r="I643" s="146"/>
      <c r="J643" s="146"/>
      <c r="K643" s="146"/>
      <c r="L643" s="146"/>
      <c r="M643" s="146"/>
      <c r="N643" s="146"/>
      <c r="O643" s="146"/>
      <c r="P643" s="146"/>
      <c r="Q643" s="146"/>
      <c r="R643" s="146"/>
      <c r="S643" s="146"/>
      <c r="T643" s="146"/>
      <c r="U643" s="146"/>
      <c r="V643" s="146"/>
      <c r="W643" s="146"/>
      <c r="X643" s="146"/>
      <c r="Y643" s="146"/>
      <c r="Z643" s="146"/>
    </row>
    <row r="644" ht="22.5" customHeight="1">
      <c r="A644" s="329"/>
      <c r="B644" s="274"/>
      <c r="C644" s="138"/>
      <c r="D644" s="118"/>
      <c r="E644" s="138"/>
      <c r="F644" s="138"/>
      <c r="G644" s="330"/>
      <c r="H644" s="146"/>
      <c r="I644" s="146"/>
      <c r="J644" s="146"/>
      <c r="K644" s="146"/>
      <c r="L644" s="146"/>
      <c r="M644" s="146"/>
      <c r="N644" s="146"/>
      <c r="O644" s="146"/>
      <c r="P644" s="146"/>
      <c r="Q644" s="146"/>
      <c r="R644" s="146"/>
      <c r="S644" s="146"/>
      <c r="T644" s="146"/>
      <c r="U644" s="146"/>
      <c r="V644" s="146"/>
      <c r="W644" s="146"/>
      <c r="X644" s="146"/>
      <c r="Y644" s="146"/>
      <c r="Z644" s="146"/>
    </row>
    <row r="645" ht="22.5" customHeight="1">
      <c r="A645" s="329"/>
      <c r="B645" s="274"/>
      <c r="C645" s="138"/>
      <c r="D645" s="118"/>
      <c r="E645" s="138"/>
      <c r="F645" s="138"/>
      <c r="G645" s="330"/>
      <c r="H645" s="146"/>
      <c r="I645" s="146"/>
      <c r="J645" s="146"/>
      <c r="K645" s="146"/>
      <c r="L645" s="146"/>
      <c r="M645" s="146"/>
      <c r="N645" s="146"/>
      <c r="O645" s="146"/>
      <c r="P645" s="146"/>
      <c r="Q645" s="146"/>
      <c r="R645" s="146"/>
      <c r="S645" s="146"/>
      <c r="T645" s="146"/>
      <c r="U645" s="146"/>
      <c r="V645" s="146"/>
      <c r="W645" s="146"/>
      <c r="X645" s="146"/>
      <c r="Y645" s="146"/>
      <c r="Z645" s="146"/>
    </row>
    <row r="646" ht="22.5" customHeight="1">
      <c r="A646" s="329"/>
      <c r="B646" s="274"/>
      <c r="C646" s="138"/>
      <c r="D646" s="118"/>
      <c r="E646" s="138"/>
      <c r="F646" s="138"/>
      <c r="G646" s="330"/>
      <c r="H646" s="146"/>
      <c r="I646" s="146"/>
      <c r="J646" s="146"/>
      <c r="K646" s="146"/>
      <c r="L646" s="146"/>
      <c r="M646" s="146"/>
      <c r="N646" s="146"/>
      <c r="O646" s="146"/>
      <c r="P646" s="146"/>
      <c r="Q646" s="146"/>
      <c r="R646" s="146"/>
      <c r="S646" s="146"/>
      <c r="T646" s="146"/>
      <c r="U646" s="146"/>
      <c r="V646" s="146"/>
      <c r="W646" s="146"/>
      <c r="X646" s="146"/>
      <c r="Y646" s="146"/>
      <c r="Z646" s="146"/>
    </row>
    <row r="647" ht="22.5" customHeight="1">
      <c r="A647" s="329"/>
      <c r="B647" s="274"/>
      <c r="C647" s="138"/>
      <c r="D647" s="118"/>
      <c r="E647" s="138"/>
      <c r="F647" s="138"/>
      <c r="G647" s="330"/>
      <c r="H647" s="146"/>
      <c r="I647" s="146"/>
      <c r="J647" s="146"/>
      <c r="K647" s="146"/>
      <c r="L647" s="146"/>
      <c r="M647" s="146"/>
      <c r="N647" s="146"/>
      <c r="O647" s="146"/>
      <c r="P647" s="146"/>
      <c r="Q647" s="146"/>
      <c r="R647" s="146"/>
      <c r="S647" s="146"/>
      <c r="T647" s="146"/>
      <c r="U647" s="146"/>
      <c r="V647" s="146"/>
      <c r="W647" s="146"/>
      <c r="X647" s="146"/>
      <c r="Y647" s="146"/>
      <c r="Z647" s="146"/>
    </row>
    <row r="648" ht="22.5" customHeight="1">
      <c r="A648" s="329"/>
      <c r="B648" s="274"/>
      <c r="C648" s="138"/>
      <c r="D648" s="118"/>
      <c r="E648" s="138"/>
      <c r="F648" s="138"/>
      <c r="G648" s="330"/>
      <c r="H648" s="146"/>
      <c r="I648" s="146"/>
      <c r="J648" s="146"/>
      <c r="K648" s="146"/>
      <c r="L648" s="146"/>
      <c r="M648" s="146"/>
      <c r="N648" s="146"/>
      <c r="O648" s="146"/>
      <c r="P648" s="146"/>
      <c r="Q648" s="146"/>
      <c r="R648" s="146"/>
      <c r="S648" s="146"/>
      <c r="T648" s="146"/>
      <c r="U648" s="146"/>
      <c r="V648" s="146"/>
      <c r="W648" s="146"/>
      <c r="X648" s="146"/>
      <c r="Y648" s="146"/>
      <c r="Z648" s="146"/>
    </row>
    <row r="649" ht="22.5" customHeight="1">
      <c r="A649" s="329"/>
      <c r="B649" s="274"/>
      <c r="C649" s="138"/>
      <c r="D649" s="118"/>
      <c r="E649" s="138"/>
      <c r="F649" s="138"/>
      <c r="G649" s="330"/>
      <c r="H649" s="146"/>
      <c r="I649" s="146"/>
      <c r="J649" s="146"/>
      <c r="K649" s="146"/>
      <c r="L649" s="146"/>
      <c r="M649" s="146"/>
      <c r="N649" s="146"/>
      <c r="O649" s="146"/>
      <c r="P649" s="146"/>
      <c r="Q649" s="146"/>
      <c r="R649" s="146"/>
      <c r="S649" s="146"/>
      <c r="T649" s="146"/>
      <c r="U649" s="146"/>
      <c r="V649" s="146"/>
      <c r="W649" s="146"/>
      <c r="X649" s="146"/>
      <c r="Y649" s="146"/>
      <c r="Z649" s="146"/>
    </row>
    <row r="650" ht="22.5" customHeight="1">
      <c r="A650" s="329"/>
      <c r="B650" s="274"/>
      <c r="C650" s="138"/>
      <c r="D650" s="118"/>
      <c r="E650" s="138"/>
      <c r="F650" s="138"/>
      <c r="G650" s="330"/>
      <c r="H650" s="146"/>
      <c r="I650" s="146"/>
      <c r="J650" s="146"/>
      <c r="K650" s="146"/>
      <c r="L650" s="146"/>
      <c r="M650" s="146"/>
      <c r="N650" s="146"/>
      <c r="O650" s="146"/>
      <c r="P650" s="146"/>
      <c r="Q650" s="146"/>
      <c r="R650" s="146"/>
      <c r="S650" s="146"/>
      <c r="T650" s="146"/>
      <c r="U650" s="146"/>
      <c r="V650" s="146"/>
      <c r="W650" s="146"/>
      <c r="X650" s="146"/>
      <c r="Y650" s="146"/>
      <c r="Z650" s="146"/>
    </row>
    <row r="651" ht="22.5" customHeight="1">
      <c r="A651" s="329"/>
      <c r="B651" s="274"/>
      <c r="C651" s="138"/>
      <c r="D651" s="118"/>
      <c r="E651" s="138"/>
      <c r="F651" s="138"/>
      <c r="G651" s="330"/>
      <c r="H651" s="146"/>
      <c r="I651" s="146"/>
      <c r="J651" s="146"/>
      <c r="K651" s="146"/>
      <c r="L651" s="146"/>
      <c r="M651" s="146"/>
      <c r="N651" s="146"/>
      <c r="O651" s="146"/>
      <c r="P651" s="146"/>
      <c r="Q651" s="146"/>
      <c r="R651" s="146"/>
      <c r="S651" s="146"/>
      <c r="T651" s="146"/>
      <c r="U651" s="146"/>
      <c r="V651" s="146"/>
      <c r="W651" s="146"/>
      <c r="X651" s="146"/>
      <c r="Y651" s="146"/>
      <c r="Z651" s="146"/>
    </row>
    <row r="652" ht="22.5" customHeight="1">
      <c r="A652" s="329"/>
      <c r="B652" s="274"/>
      <c r="C652" s="138"/>
      <c r="D652" s="118"/>
      <c r="E652" s="138"/>
      <c r="F652" s="138"/>
      <c r="G652" s="330"/>
      <c r="H652" s="146"/>
      <c r="I652" s="146"/>
      <c r="J652" s="146"/>
      <c r="K652" s="146"/>
      <c r="L652" s="146"/>
      <c r="M652" s="146"/>
      <c r="N652" s="146"/>
      <c r="O652" s="146"/>
      <c r="P652" s="146"/>
      <c r="Q652" s="146"/>
      <c r="R652" s="146"/>
      <c r="S652" s="146"/>
      <c r="T652" s="146"/>
      <c r="U652" s="146"/>
      <c r="V652" s="146"/>
      <c r="W652" s="146"/>
      <c r="X652" s="146"/>
      <c r="Y652" s="146"/>
      <c r="Z652" s="146"/>
    </row>
    <row r="653" ht="22.5" customHeight="1">
      <c r="A653" s="329"/>
      <c r="B653" s="274"/>
      <c r="C653" s="138"/>
      <c r="D653" s="118"/>
      <c r="E653" s="138"/>
      <c r="F653" s="138"/>
      <c r="G653" s="330"/>
      <c r="H653" s="146"/>
      <c r="I653" s="146"/>
      <c r="J653" s="146"/>
      <c r="K653" s="146"/>
      <c r="L653" s="146"/>
      <c r="M653" s="146"/>
      <c r="N653" s="146"/>
      <c r="O653" s="146"/>
      <c r="P653" s="146"/>
      <c r="Q653" s="146"/>
      <c r="R653" s="146"/>
      <c r="S653" s="146"/>
      <c r="T653" s="146"/>
      <c r="U653" s="146"/>
      <c r="V653" s="146"/>
      <c r="W653" s="146"/>
      <c r="X653" s="146"/>
      <c r="Y653" s="146"/>
      <c r="Z653" s="146"/>
    </row>
    <row r="654" ht="22.5" customHeight="1">
      <c r="A654" s="329"/>
      <c r="B654" s="274"/>
      <c r="C654" s="138"/>
      <c r="D654" s="118"/>
      <c r="E654" s="138"/>
      <c r="F654" s="138"/>
      <c r="G654" s="330"/>
      <c r="H654" s="146"/>
      <c r="I654" s="146"/>
      <c r="J654" s="146"/>
      <c r="K654" s="146"/>
      <c r="L654" s="146"/>
      <c r="M654" s="146"/>
      <c r="N654" s="146"/>
      <c r="O654" s="146"/>
      <c r="P654" s="146"/>
      <c r="Q654" s="146"/>
      <c r="R654" s="146"/>
      <c r="S654" s="146"/>
      <c r="T654" s="146"/>
      <c r="U654" s="146"/>
      <c r="V654" s="146"/>
      <c r="W654" s="146"/>
      <c r="X654" s="146"/>
      <c r="Y654" s="146"/>
      <c r="Z654" s="146"/>
    </row>
    <row r="655" ht="22.5" customHeight="1">
      <c r="A655" s="329"/>
      <c r="B655" s="274"/>
      <c r="C655" s="138"/>
      <c r="D655" s="118"/>
      <c r="E655" s="138"/>
      <c r="F655" s="138"/>
      <c r="G655" s="330"/>
      <c r="H655" s="146"/>
      <c r="I655" s="146"/>
      <c r="J655" s="146"/>
      <c r="K655" s="146"/>
      <c r="L655" s="146"/>
      <c r="M655" s="146"/>
      <c r="N655" s="146"/>
      <c r="O655" s="146"/>
      <c r="P655" s="146"/>
      <c r="Q655" s="146"/>
      <c r="R655" s="146"/>
      <c r="S655" s="146"/>
      <c r="T655" s="146"/>
      <c r="U655" s="146"/>
      <c r="V655" s="146"/>
      <c r="W655" s="146"/>
      <c r="X655" s="146"/>
      <c r="Y655" s="146"/>
      <c r="Z655" s="146"/>
    </row>
    <row r="656" ht="22.5" customHeight="1">
      <c r="A656" s="329"/>
      <c r="B656" s="274"/>
      <c r="C656" s="138"/>
      <c r="D656" s="118"/>
      <c r="E656" s="138"/>
      <c r="F656" s="138"/>
      <c r="G656" s="330"/>
      <c r="H656" s="146"/>
      <c r="I656" s="146"/>
      <c r="J656" s="146"/>
      <c r="K656" s="146"/>
      <c r="L656" s="146"/>
      <c r="M656" s="146"/>
      <c r="N656" s="146"/>
      <c r="O656" s="146"/>
      <c r="P656" s="146"/>
      <c r="Q656" s="146"/>
      <c r="R656" s="146"/>
      <c r="S656" s="146"/>
      <c r="T656" s="146"/>
      <c r="U656" s="146"/>
      <c r="V656" s="146"/>
      <c r="W656" s="146"/>
      <c r="X656" s="146"/>
      <c r="Y656" s="146"/>
      <c r="Z656" s="146"/>
    </row>
    <row r="657" ht="22.5" customHeight="1">
      <c r="A657" s="329"/>
      <c r="B657" s="274"/>
      <c r="C657" s="138"/>
      <c r="D657" s="118"/>
      <c r="E657" s="138"/>
      <c r="F657" s="138"/>
      <c r="G657" s="330"/>
      <c r="H657" s="146"/>
      <c r="I657" s="146"/>
      <c r="J657" s="146"/>
      <c r="K657" s="146"/>
      <c r="L657" s="146"/>
      <c r="M657" s="146"/>
      <c r="N657" s="146"/>
      <c r="O657" s="146"/>
      <c r="P657" s="146"/>
      <c r="Q657" s="146"/>
      <c r="R657" s="146"/>
      <c r="S657" s="146"/>
      <c r="T657" s="146"/>
      <c r="U657" s="146"/>
      <c r="V657" s="146"/>
      <c r="W657" s="146"/>
      <c r="X657" s="146"/>
      <c r="Y657" s="146"/>
      <c r="Z657" s="146"/>
    </row>
    <row r="658" ht="22.5" customHeight="1">
      <c r="A658" s="329"/>
      <c r="B658" s="274"/>
      <c r="C658" s="138"/>
      <c r="D658" s="118"/>
      <c r="E658" s="138"/>
      <c r="F658" s="138"/>
      <c r="G658" s="330"/>
      <c r="H658" s="146"/>
      <c r="I658" s="146"/>
      <c r="J658" s="146"/>
      <c r="K658" s="146"/>
      <c r="L658" s="146"/>
      <c r="M658" s="146"/>
      <c r="N658" s="146"/>
      <c r="O658" s="146"/>
      <c r="P658" s="146"/>
      <c r="Q658" s="146"/>
      <c r="R658" s="146"/>
      <c r="S658" s="146"/>
      <c r="T658" s="146"/>
      <c r="U658" s="146"/>
      <c r="V658" s="146"/>
      <c r="W658" s="146"/>
      <c r="X658" s="146"/>
      <c r="Y658" s="146"/>
      <c r="Z658" s="146"/>
    </row>
    <row r="659" ht="22.5" customHeight="1">
      <c r="A659" s="329"/>
      <c r="B659" s="274"/>
      <c r="C659" s="138"/>
      <c r="D659" s="118"/>
      <c r="E659" s="138"/>
      <c r="F659" s="138"/>
      <c r="G659" s="330"/>
      <c r="H659" s="146"/>
      <c r="I659" s="146"/>
      <c r="J659" s="146"/>
      <c r="K659" s="146"/>
      <c r="L659" s="146"/>
      <c r="M659" s="146"/>
      <c r="N659" s="146"/>
      <c r="O659" s="146"/>
      <c r="P659" s="146"/>
      <c r="Q659" s="146"/>
      <c r="R659" s="146"/>
      <c r="S659" s="146"/>
      <c r="T659" s="146"/>
      <c r="U659" s="146"/>
      <c r="V659" s="146"/>
      <c r="W659" s="146"/>
      <c r="X659" s="146"/>
      <c r="Y659" s="146"/>
      <c r="Z659" s="146"/>
    </row>
    <row r="660" ht="22.5" customHeight="1">
      <c r="A660" s="329"/>
      <c r="B660" s="274"/>
      <c r="C660" s="138"/>
      <c r="D660" s="118"/>
      <c r="E660" s="138"/>
      <c r="F660" s="138"/>
      <c r="G660" s="330"/>
      <c r="H660" s="146"/>
      <c r="I660" s="146"/>
      <c r="J660" s="146"/>
      <c r="K660" s="146"/>
      <c r="L660" s="146"/>
      <c r="M660" s="146"/>
      <c r="N660" s="146"/>
      <c r="O660" s="146"/>
      <c r="P660" s="146"/>
      <c r="Q660" s="146"/>
      <c r="R660" s="146"/>
      <c r="S660" s="146"/>
      <c r="T660" s="146"/>
      <c r="U660" s="146"/>
      <c r="V660" s="146"/>
      <c r="W660" s="146"/>
      <c r="X660" s="146"/>
      <c r="Y660" s="146"/>
      <c r="Z660" s="146"/>
    </row>
    <row r="661" ht="22.5" customHeight="1">
      <c r="A661" s="329"/>
      <c r="B661" s="274"/>
      <c r="C661" s="138"/>
      <c r="D661" s="118"/>
      <c r="E661" s="138"/>
      <c r="F661" s="138"/>
      <c r="G661" s="330"/>
      <c r="H661" s="146"/>
      <c r="I661" s="146"/>
      <c r="J661" s="146"/>
      <c r="K661" s="146"/>
      <c r="L661" s="146"/>
      <c r="M661" s="146"/>
      <c r="N661" s="146"/>
      <c r="O661" s="146"/>
      <c r="P661" s="146"/>
      <c r="Q661" s="146"/>
      <c r="R661" s="146"/>
      <c r="S661" s="146"/>
      <c r="T661" s="146"/>
      <c r="U661" s="146"/>
      <c r="V661" s="146"/>
      <c r="W661" s="146"/>
      <c r="X661" s="146"/>
      <c r="Y661" s="146"/>
      <c r="Z661" s="146"/>
    </row>
    <row r="662" ht="22.5" customHeight="1">
      <c r="A662" s="329"/>
      <c r="B662" s="274"/>
      <c r="C662" s="138"/>
      <c r="D662" s="118"/>
      <c r="E662" s="138"/>
      <c r="F662" s="138"/>
      <c r="G662" s="330"/>
      <c r="H662" s="146"/>
      <c r="I662" s="146"/>
      <c r="J662" s="146"/>
      <c r="K662" s="146"/>
      <c r="L662" s="146"/>
      <c r="M662" s="146"/>
      <c r="N662" s="146"/>
      <c r="O662" s="146"/>
      <c r="P662" s="146"/>
      <c r="Q662" s="146"/>
      <c r="R662" s="146"/>
      <c r="S662" s="146"/>
      <c r="T662" s="146"/>
      <c r="U662" s="146"/>
      <c r="V662" s="146"/>
      <c r="W662" s="146"/>
      <c r="X662" s="146"/>
      <c r="Y662" s="146"/>
      <c r="Z662" s="146"/>
    </row>
    <row r="663" ht="22.5" customHeight="1">
      <c r="A663" s="329"/>
      <c r="B663" s="274"/>
      <c r="C663" s="138"/>
      <c r="D663" s="118"/>
      <c r="E663" s="138"/>
      <c r="F663" s="138"/>
      <c r="G663" s="330"/>
      <c r="H663" s="146"/>
      <c r="I663" s="146"/>
      <c r="J663" s="146"/>
      <c r="K663" s="146"/>
      <c r="L663" s="146"/>
      <c r="M663" s="146"/>
      <c r="N663" s="146"/>
      <c r="O663" s="146"/>
      <c r="P663" s="146"/>
      <c r="Q663" s="146"/>
      <c r="R663" s="146"/>
      <c r="S663" s="146"/>
      <c r="T663" s="146"/>
      <c r="U663" s="146"/>
      <c r="V663" s="146"/>
      <c r="W663" s="146"/>
      <c r="X663" s="146"/>
      <c r="Y663" s="146"/>
      <c r="Z663" s="146"/>
    </row>
    <row r="664" ht="22.5" customHeight="1">
      <c r="A664" s="329"/>
      <c r="B664" s="274"/>
      <c r="C664" s="138"/>
      <c r="D664" s="118"/>
      <c r="E664" s="138"/>
      <c r="F664" s="138"/>
      <c r="G664" s="330"/>
      <c r="H664" s="146"/>
      <c r="I664" s="146"/>
      <c r="J664" s="146"/>
      <c r="K664" s="146"/>
      <c r="L664" s="146"/>
      <c r="M664" s="146"/>
      <c r="N664" s="146"/>
      <c r="O664" s="146"/>
      <c r="P664" s="146"/>
      <c r="Q664" s="146"/>
      <c r="R664" s="146"/>
      <c r="S664" s="146"/>
      <c r="T664" s="146"/>
      <c r="U664" s="146"/>
      <c r="V664" s="146"/>
      <c r="W664" s="146"/>
      <c r="X664" s="146"/>
      <c r="Y664" s="146"/>
      <c r="Z664" s="146"/>
    </row>
    <row r="665" ht="22.5" customHeight="1">
      <c r="A665" s="329"/>
      <c r="B665" s="274"/>
      <c r="C665" s="138"/>
      <c r="D665" s="118"/>
      <c r="E665" s="138"/>
      <c r="F665" s="138"/>
      <c r="G665" s="330"/>
      <c r="H665" s="146"/>
      <c r="I665" s="146"/>
      <c r="J665" s="146"/>
      <c r="K665" s="146"/>
      <c r="L665" s="146"/>
      <c r="M665" s="146"/>
      <c r="N665" s="146"/>
      <c r="O665" s="146"/>
      <c r="P665" s="146"/>
      <c r="Q665" s="146"/>
      <c r="R665" s="146"/>
      <c r="S665" s="146"/>
      <c r="T665" s="146"/>
      <c r="U665" s="146"/>
      <c r="V665" s="146"/>
      <c r="W665" s="146"/>
      <c r="X665" s="146"/>
      <c r="Y665" s="146"/>
      <c r="Z665" s="146"/>
    </row>
    <row r="666" ht="22.5" customHeight="1">
      <c r="A666" s="329"/>
      <c r="B666" s="274"/>
      <c r="C666" s="138"/>
      <c r="D666" s="118"/>
      <c r="E666" s="138"/>
      <c r="F666" s="138"/>
      <c r="G666" s="330"/>
      <c r="H666" s="146"/>
      <c r="I666" s="146"/>
      <c r="J666" s="146"/>
      <c r="K666" s="146"/>
      <c r="L666" s="146"/>
      <c r="M666" s="146"/>
      <c r="N666" s="146"/>
      <c r="O666" s="146"/>
      <c r="P666" s="146"/>
      <c r="Q666" s="146"/>
      <c r="R666" s="146"/>
      <c r="S666" s="146"/>
      <c r="T666" s="146"/>
      <c r="U666" s="146"/>
      <c r="V666" s="146"/>
      <c r="W666" s="146"/>
      <c r="X666" s="146"/>
      <c r="Y666" s="146"/>
      <c r="Z666" s="146"/>
    </row>
    <row r="667" ht="22.5" customHeight="1">
      <c r="A667" s="329"/>
      <c r="B667" s="274"/>
      <c r="C667" s="138"/>
      <c r="D667" s="118"/>
      <c r="E667" s="138"/>
      <c r="F667" s="138"/>
      <c r="G667" s="330"/>
      <c r="H667" s="146"/>
      <c r="I667" s="146"/>
      <c r="J667" s="146"/>
      <c r="K667" s="146"/>
      <c r="L667" s="146"/>
      <c r="M667" s="146"/>
      <c r="N667" s="146"/>
      <c r="O667" s="146"/>
      <c r="P667" s="146"/>
      <c r="Q667" s="146"/>
      <c r="R667" s="146"/>
      <c r="S667" s="146"/>
      <c r="T667" s="146"/>
      <c r="U667" s="146"/>
      <c r="V667" s="146"/>
      <c r="W667" s="146"/>
      <c r="X667" s="146"/>
      <c r="Y667" s="146"/>
      <c r="Z667" s="146"/>
    </row>
    <row r="668" ht="22.5" customHeight="1">
      <c r="A668" s="329"/>
      <c r="B668" s="274"/>
      <c r="C668" s="138"/>
      <c r="D668" s="118"/>
      <c r="E668" s="138"/>
      <c r="F668" s="138"/>
      <c r="G668" s="330"/>
      <c r="H668" s="146"/>
      <c r="I668" s="146"/>
      <c r="J668" s="146"/>
      <c r="K668" s="146"/>
      <c r="L668" s="146"/>
      <c r="M668" s="146"/>
      <c r="N668" s="146"/>
      <c r="O668" s="146"/>
      <c r="P668" s="146"/>
      <c r="Q668" s="146"/>
      <c r="R668" s="146"/>
      <c r="S668" s="146"/>
      <c r="T668" s="146"/>
      <c r="U668" s="146"/>
      <c r="V668" s="146"/>
      <c r="W668" s="146"/>
      <c r="X668" s="146"/>
      <c r="Y668" s="146"/>
      <c r="Z668" s="146"/>
    </row>
    <row r="669" ht="22.5" customHeight="1">
      <c r="A669" s="329"/>
      <c r="B669" s="274"/>
      <c r="C669" s="138"/>
      <c r="D669" s="118"/>
      <c r="E669" s="138"/>
      <c r="F669" s="138"/>
      <c r="G669" s="330"/>
      <c r="H669" s="146"/>
      <c r="I669" s="146"/>
      <c r="J669" s="146"/>
      <c r="K669" s="146"/>
      <c r="L669" s="146"/>
      <c r="M669" s="146"/>
      <c r="N669" s="146"/>
      <c r="O669" s="146"/>
      <c r="P669" s="146"/>
      <c r="Q669" s="146"/>
      <c r="R669" s="146"/>
      <c r="S669" s="146"/>
      <c r="T669" s="146"/>
      <c r="U669" s="146"/>
      <c r="V669" s="146"/>
      <c r="W669" s="146"/>
      <c r="X669" s="146"/>
      <c r="Y669" s="146"/>
      <c r="Z669" s="146"/>
    </row>
    <row r="670" ht="22.5" customHeight="1">
      <c r="A670" s="329"/>
      <c r="B670" s="274"/>
      <c r="C670" s="138"/>
      <c r="D670" s="118"/>
      <c r="E670" s="138"/>
      <c r="F670" s="138"/>
      <c r="G670" s="330"/>
      <c r="H670" s="146"/>
      <c r="I670" s="146"/>
      <c r="J670" s="146"/>
      <c r="K670" s="146"/>
      <c r="L670" s="146"/>
      <c r="M670" s="146"/>
      <c r="N670" s="146"/>
      <c r="O670" s="146"/>
      <c r="P670" s="146"/>
      <c r="Q670" s="146"/>
      <c r="R670" s="146"/>
      <c r="S670" s="146"/>
      <c r="T670" s="146"/>
      <c r="U670" s="146"/>
      <c r="V670" s="146"/>
      <c r="W670" s="146"/>
      <c r="X670" s="146"/>
      <c r="Y670" s="146"/>
      <c r="Z670" s="146"/>
    </row>
    <row r="671" ht="22.5" customHeight="1">
      <c r="A671" s="329"/>
      <c r="B671" s="274"/>
      <c r="C671" s="138"/>
      <c r="D671" s="118"/>
      <c r="E671" s="138"/>
      <c r="F671" s="138"/>
      <c r="G671" s="330"/>
      <c r="H671" s="146"/>
      <c r="I671" s="146"/>
      <c r="J671" s="146"/>
      <c r="K671" s="146"/>
      <c r="L671" s="146"/>
      <c r="M671" s="146"/>
      <c r="N671" s="146"/>
      <c r="O671" s="146"/>
      <c r="P671" s="146"/>
      <c r="Q671" s="146"/>
      <c r="R671" s="146"/>
      <c r="S671" s="146"/>
      <c r="T671" s="146"/>
      <c r="U671" s="146"/>
      <c r="V671" s="146"/>
      <c r="W671" s="146"/>
      <c r="X671" s="146"/>
      <c r="Y671" s="146"/>
      <c r="Z671" s="146"/>
    </row>
    <row r="672" ht="22.5" customHeight="1">
      <c r="A672" s="329"/>
      <c r="B672" s="274"/>
      <c r="C672" s="138"/>
      <c r="D672" s="118"/>
      <c r="E672" s="138"/>
      <c r="F672" s="138"/>
      <c r="G672" s="330"/>
      <c r="H672" s="146"/>
      <c r="I672" s="146"/>
      <c r="J672" s="146"/>
      <c r="K672" s="146"/>
      <c r="L672" s="146"/>
      <c r="M672" s="146"/>
      <c r="N672" s="146"/>
      <c r="O672" s="146"/>
      <c r="P672" s="146"/>
      <c r="Q672" s="146"/>
      <c r="R672" s="146"/>
      <c r="S672" s="146"/>
      <c r="T672" s="146"/>
      <c r="U672" s="146"/>
      <c r="V672" s="146"/>
      <c r="W672" s="146"/>
      <c r="X672" s="146"/>
      <c r="Y672" s="146"/>
      <c r="Z672" s="146"/>
    </row>
    <row r="673" ht="22.5" customHeight="1">
      <c r="A673" s="329"/>
      <c r="B673" s="274"/>
      <c r="C673" s="138"/>
      <c r="D673" s="118"/>
      <c r="E673" s="138"/>
      <c r="F673" s="138"/>
      <c r="G673" s="330"/>
      <c r="H673" s="146"/>
      <c r="I673" s="146"/>
      <c r="J673" s="146"/>
      <c r="K673" s="146"/>
      <c r="L673" s="146"/>
      <c r="M673" s="146"/>
      <c r="N673" s="146"/>
      <c r="O673" s="146"/>
      <c r="P673" s="146"/>
      <c r="Q673" s="146"/>
      <c r="R673" s="146"/>
      <c r="S673" s="146"/>
      <c r="T673" s="146"/>
      <c r="U673" s="146"/>
      <c r="V673" s="146"/>
      <c r="W673" s="146"/>
      <c r="X673" s="146"/>
      <c r="Y673" s="146"/>
      <c r="Z673" s="146"/>
    </row>
    <row r="674" ht="22.5" customHeight="1">
      <c r="A674" s="329"/>
      <c r="B674" s="274"/>
      <c r="C674" s="138"/>
      <c r="D674" s="118"/>
      <c r="E674" s="138"/>
      <c r="F674" s="138"/>
      <c r="G674" s="330"/>
      <c r="H674" s="146"/>
      <c r="I674" s="146"/>
      <c r="J674" s="146"/>
      <c r="K674" s="146"/>
      <c r="L674" s="146"/>
      <c r="M674" s="146"/>
      <c r="N674" s="146"/>
      <c r="O674" s="146"/>
      <c r="P674" s="146"/>
      <c r="Q674" s="146"/>
      <c r="R674" s="146"/>
      <c r="S674" s="146"/>
      <c r="T674" s="146"/>
      <c r="U674" s="146"/>
      <c r="V674" s="146"/>
      <c r="W674" s="146"/>
      <c r="X674" s="146"/>
      <c r="Y674" s="146"/>
      <c r="Z674" s="146"/>
    </row>
    <row r="675" ht="22.5" customHeight="1">
      <c r="A675" s="329"/>
      <c r="B675" s="274"/>
      <c r="C675" s="138"/>
      <c r="D675" s="118"/>
      <c r="E675" s="138"/>
      <c r="F675" s="138"/>
      <c r="G675" s="330"/>
      <c r="H675" s="146"/>
      <c r="I675" s="146"/>
      <c r="J675" s="146"/>
      <c r="K675" s="146"/>
      <c r="L675" s="146"/>
      <c r="M675" s="146"/>
      <c r="N675" s="146"/>
      <c r="O675" s="146"/>
      <c r="P675" s="146"/>
      <c r="Q675" s="146"/>
      <c r="R675" s="146"/>
      <c r="S675" s="146"/>
      <c r="T675" s="146"/>
      <c r="U675" s="146"/>
      <c r="V675" s="146"/>
      <c r="W675" s="146"/>
      <c r="X675" s="146"/>
      <c r="Y675" s="146"/>
      <c r="Z675" s="146"/>
    </row>
    <row r="676" ht="22.5" customHeight="1">
      <c r="A676" s="329"/>
      <c r="B676" s="274"/>
      <c r="C676" s="138"/>
      <c r="D676" s="118"/>
      <c r="E676" s="138"/>
      <c r="F676" s="138"/>
      <c r="G676" s="330"/>
      <c r="H676" s="146"/>
      <c r="I676" s="146"/>
      <c r="J676" s="146"/>
      <c r="K676" s="146"/>
      <c r="L676" s="146"/>
      <c r="M676" s="146"/>
      <c r="N676" s="146"/>
      <c r="O676" s="146"/>
      <c r="P676" s="146"/>
      <c r="Q676" s="146"/>
      <c r="R676" s="146"/>
      <c r="S676" s="146"/>
      <c r="T676" s="146"/>
      <c r="U676" s="146"/>
      <c r="V676" s="146"/>
      <c r="W676" s="146"/>
      <c r="X676" s="146"/>
      <c r="Y676" s="146"/>
      <c r="Z676" s="146"/>
    </row>
    <row r="677" ht="22.5" customHeight="1">
      <c r="A677" s="329"/>
      <c r="B677" s="274"/>
      <c r="C677" s="138"/>
      <c r="D677" s="118"/>
      <c r="E677" s="138"/>
      <c r="F677" s="138"/>
      <c r="G677" s="330"/>
      <c r="H677" s="146"/>
      <c r="I677" s="146"/>
      <c r="J677" s="146"/>
      <c r="K677" s="146"/>
      <c r="L677" s="146"/>
      <c r="M677" s="146"/>
      <c r="N677" s="146"/>
      <c r="O677" s="146"/>
      <c r="P677" s="146"/>
      <c r="Q677" s="146"/>
      <c r="R677" s="146"/>
      <c r="S677" s="146"/>
      <c r="T677" s="146"/>
      <c r="U677" s="146"/>
      <c r="V677" s="146"/>
      <c r="W677" s="146"/>
      <c r="X677" s="146"/>
      <c r="Y677" s="146"/>
      <c r="Z677" s="146"/>
    </row>
    <row r="678" ht="22.5" customHeight="1">
      <c r="A678" s="329"/>
      <c r="B678" s="274"/>
      <c r="C678" s="138"/>
      <c r="D678" s="118"/>
      <c r="E678" s="138"/>
      <c r="F678" s="138"/>
      <c r="G678" s="330"/>
      <c r="H678" s="146"/>
      <c r="I678" s="146"/>
      <c r="J678" s="146"/>
      <c r="K678" s="146"/>
      <c r="L678" s="146"/>
      <c r="M678" s="146"/>
      <c r="N678" s="146"/>
      <c r="O678" s="146"/>
      <c r="P678" s="146"/>
      <c r="Q678" s="146"/>
      <c r="R678" s="146"/>
      <c r="S678" s="146"/>
      <c r="T678" s="146"/>
      <c r="U678" s="146"/>
      <c r="V678" s="146"/>
      <c r="W678" s="146"/>
      <c r="X678" s="146"/>
      <c r="Y678" s="146"/>
      <c r="Z678" s="146"/>
    </row>
    <row r="679" ht="22.5" customHeight="1">
      <c r="A679" s="329"/>
      <c r="B679" s="274"/>
      <c r="C679" s="138"/>
      <c r="D679" s="118"/>
      <c r="E679" s="138"/>
      <c r="F679" s="138"/>
      <c r="G679" s="330"/>
      <c r="H679" s="146"/>
      <c r="I679" s="146"/>
      <c r="J679" s="146"/>
      <c r="K679" s="146"/>
      <c r="L679" s="146"/>
      <c r="M679" s="146"/>
      <c r="N679" s="146"/>
      <c r="O679" s="146"/>
      <c r="P679" s="146"/>
      <c r="Q679" s="146"/>
      <c r="R679" s="146"/>
      <c r="S679" s="146"/>
      <c r="T679" s="146"/>
      <c r="U679" s="146"/>
      <c r="V679" s="146"/>
      <c r="W679" s="146"/>
      <c r="X679" s="146"/>
      <c r="Y679" s="146"/>
      <c r="Z679" s="146"/>
    </row>
    <row r="680" ht="22.5" customHeight="1">
      <c r="A680" s="329"/>
      <c r="B680" s="274"/>
      <c r="C680" s="138"/>
      <c r="D680" s="118"/>
      <c r="E680" s="138"/>
      <c r="F680" s="138"/>
      <c r="G680" s="330"/>
      <c r="H680" s="146"/>
      <c r="I680" s="146"/>
      <c r="J680" s="146"/>
      <c r="K680" s="146"/>
      <c r="L680" s="146"/>
      <c r="M680" s="146"/>
      <c r="N680" s="146"/>
      <c r="O680" s="146"/>
      <c r="P680" s="146"/>
      <c r="Q680" s="146"/>
      <c r="R680" s="146"/>
      <c r="S680" s="146"/>
      <c r="T680" s="146"/>
      <c r="U680" s="146"/>
      <c r="V680" s="146"/>
      <c r="W680" s="146"/>
      <c r="X680" s="146"/>
      <c r="Y680" s="146"/>
      <c r="Z680" s="146"/>
    </row>
    <row r="681" ht="22.5" customHeight="1">
      <c r="A681" s="329"/>
      <c r="B681" s="274"/>
      <c r="C681" s="138"/>
      <c r="D681" s="118"/>
      <c r="E681" s="138"/>
      <c r="F681" s="138"/>
      <c r="G681" s="330"/>
      <c r="H681" s="146"/>
      <c r="I681" s="146"/>
      <c r="J681" s="146"/>
      <c r="K681" s="146"/>
      <c r="L681" s="146"/>
      <c r="M681" s="146"/>
      <c r="N681" s="146"/>
      <c r="O681" s="146"/>
      <c r="P681" s="146"/>
      <c r="Q681" s="146"/>
      <c r="R681" s="146"/>
      <c r="S681" s="146"/>
      <c r="T681" s="146"/>
      <c r="U681" s="146"/>
      <c r="V681" s="146"/>
      <c r="W681" s="146"/>
      <c r="X681" s="146"/>
      <c r="Y681" s="146"/>
      <c r="Z681" s="146"/>
    </row>
    <row r="682" ht="22.5" customHeight="1">
      <c r="A682" s="329"/>
      <c r="B682" s="274"/>
      <c r="C682" s="138"/>
      <c r="D682" s="118"/>
      <c r="E682" s="138"/>
      <c r="F682" s="138"/>
      <c r="G682" s="330"/>
      <c r="H682" s="146"/>
      <c r="I682" s="146"/>
      <c r="J682" s="146"/>
      <c r="K682" s="146"/>
      <c r="L682" s="146"/>
      <c r="M682" s="146"/>
      <c r="N682" s="146"/>
      <c r="O682" s="146"/>
      <c r="P682" s="146"/>
      <c r="Q682" s="146"/>
      <c r="R682" s="146"/>
      <c r="S682" s="146"/>
      <c r="T682" s="146"/>
      <c r="U682" s="146"/>
      <c r="V682" s="146"/>
      <c r="W682" s="146"/>
      <c r="X682" s="146"/>
      <c r="Y682" s="146"/>
      <c r="Z682" s="146"/>
    </row>
    <row r="683" ht="22.5" customHeight="1">
      <c r="A683" s="329"/>
      <c r="B683" s="274"/>
      <c r="C683" s="138"/>
      <c r="D683" s="118"/>
      <c r="E683" s="138"/>
      <c r="F683" s="138"/>
      <c r="G683" s="330"/>
      <c r="H683" s="146"/>
      <c r="I683" s="146"/>
      <c r="J683" s="146"/>
      <c r="K683" s="146"/>
      <c r="L683" s="146"/>
      <c r="M683" s="146"/>
      <c r="N683" s="146"/>
      <c r="O683" s="146"/>
      <c r="P683" s="146"/>
      <c r="Q683" s="146"/>
      <c r="R683" s="146"/>
      <c r="S683" s="146"/>
      <c r="T683" s="146"/>
      <c r="U683" s="146"/>
      <c r="V683" s="146"/>
      <c r="W683" s="146"/>
      <c r="X683" s="146"/>
      <c r="Y683" s="146"/>
      <c r="Z683" s="146"/>
    </row>
    <row r="684" ht="22.5" customHeight="1">
      <c r="A684" s="329"/>
      <c r="B684" s="274"/>
      <c r="C684" s="138"/>
      <c r="D684" s="118"/>
      <c r="E684" s="138"/>
      <c r="F684" s="138"/>
      <c r="G684" s="330"/>
      <c r="H684" s="146"/>
      <c r="I684" s="146"/>
      <c r="J684" s="146"/>
      <c r="K684" s="146"/>
      <c r="L684" s="146"/>
      <c r="M684" s="146"/>
      <c r="N684" s="146"/>
      <c r="O684" s="146"/>
      <c r="P684" s="146"/>
      <c r="Q684" s="146"/>
      <c r="R684" s="146"/>
      <c r="S684" s="146"/>
      <c r="T684" s="146"/>
      <c r="U684" s="146"/>
      <c r="V684" s="146"/>
      <c r="W684" s="146"/>
      <c r="X684" s="146"/>
      <c r="Y684" s="146"/>
      <c r="Z684" s="146"/>
    </row>
    <row r="685" ht="22.5" customHeight="1">
      <c r="A685" s="329"/>
      <c r="B685" s="274"/>
      <c r="C685" s="138"/>
      <c r="D685" s="118"/>
      <c r="E685" s="138"/>
      <c r="F685" s="138"/>
      <c r="G685" s="330"/>
      <c r="H685" s="146"/>
      <c r="I685" s="146"/>
      <c r="J685" s="146"/>
      <c r="K685" s="146"/>
      <c r="L685" s="146"/>
      <c r="M685" s="146"/>
      <c r="N685" s="146"/>
      <c r="O685" s="146"/>
      <c r="P685" s="146"/>
      <c r="Q685" s="146"/>
      <c r="R685" s="146"/>
      <c r="S685" s="146"/>
      <c r="T685" s="146"/>
      <c r="U685" s="146"/>
      <c r="V685" s="146"/>
      <c r="W685" s="146"/>
      <c r="X685" s="146"/>
      <c r="Y685" s="146"/>
      <c r="Z685" s="146"/>
    </row>
    <row r="686" ht="22.5" customHeight="1">
      <c r="A686" s="329"/>
      <c r="B686" s="274"/>
      <c r="C686" s="138"/>
      <c r="D686" s="118"/>
      <c r="E686" s="138"/>
      <c r="F686" s="138"/>
      <c r="G686" s="330"/>
      <c r="H686" s="146"/>
      <c r="I686" s="146"/>
      <c r="J686" s="146"/>
      <c r="K686" s="146"/>
      <c r="L686" s="146"/>
      <c r="M686" s="146"/>
      <c r="N686" s="146"/>
      <c r="O686" s="146"/>
      <c r="P686" s="146"/>
      <c r="Q686" s="146"/>
      <c r="R686" s="146"/>
      <c r="S686" s="146"/>
      <c r="T686" s="146"/>
      <c r="U686" s="146"/>
      <c r="V686" s="146"/>
      <c r="W686" s="146"/>
      <c r="X686" s="146"/>
      <c r="Y686" s="146"/>
      <c r="Z686" s="146"/>
    </row>
    <row r="687" ht="22.5" customHeight="1">
      <c r="A687" s="329"/>
      <c r="B687" s="274"/>
      <c r="C687" s="138"/>
      <c r="D687" s="118"/>
      <c r="E687" s="138"/>
      <c r="F687" s="138"/>
      <c r="G687" s="330"/>
      <c r="H687" s="146"/>
      <c r="I687" s="146"/>
      <c r="J687" s="146"/>
      <c r="K687" s="146"/>
      <c r="L687" s="146"/>
      <c r="M687" s="146"/>
      <c r="N687" s="146"/>
      <c r="O687" s="146"/>
      <c r="P687" s="146"/>
      <c r="Q687" s="146"/>
      <c r="R687" s="146"/>
      <c r="S687" s="146"/>
      <c r="T687" s="146"/>
      <c r="U687" s="146"/>
      <c r="V687" s="146"/>
      <c r="W687" s="146"/>
      <c r="X687" s="146"/>
      <c r="Y687" s="146"/>
      <c r="Z687" s="146"/>
    </row>
    <row r="688" ht="22.5" customHeight="1">
      <c r="A688" s="329"/>
      <c r="B688" s="274"/>
      <c r="C688" s="138"/>
      <c r="D688" s="118"/>
      <c r="E688" s="138"/>
      <c r="F688" s="138"/>
      <c r="G688" s="330"/>
      <c r="H688" s="146"/>
      <c r="I688" s="146"/>
      <c r="J688" s="146"/>
      <c r="K688" s="146"/>
      <c r="L688" s="146"/>
      <c r="M688" s="146"/>
      <c r="N688" s="146"/>
      <c r="O688" s="146"/>
      <c r="P688" s="146"/>
      <c r="Q688" s="146"/>
      <c r="R688" s="146"/>
      <c r="S688" s="146"/>
      <c r="T688" s="146"/>
      <c r="U688" s="146"/>
      <c r="V688" s="146"/>
      <c r="W688" s="146"/>
      <c r="X688" s="146"/>
      <c r="Y688" s="146"/>
      <c r="Z688" s="146"/>
    </row>
    <row r="689" ht="22.5" customHeight="1">
      <c r="A689" s="329"/>
      <c r="B689" s="274"/>
      <c r="C689" s="138"/>
      <c r="D689" s="118"/>
      <c r="E689" s="138"/>
      <c r="F689" s="138"/>
      <c r="G689" s="330"/>
      <c r="H689" s="146"/>
      <c r="I689" s="146"/>
      <c r="J689" s="146"/>
      <c r="K689" s="146"/>
      <c r="L689" s="146"/>
      <c r="M689" s="146"/>
      <c r="N689" s="146"/>
      <c r="O689" s="146"/>
      <c r="P689" s="146"/>
      <c r="Q689" s="146"/>
      <c r="R689" s="146"/>
      <c r="S689" s="146"/>
      <c r="T689" s="146"/>
      <c r="U689" s="146"/>
      <c r="V689" s="146"/>
      <c r="W689" s="146"/>
      <c r="X689" s="146"/>
      <c r="Y689" s="146"/>
      <c r="Z689" s="146"/>
    </row>
    <row r="690" ht="22.5" customHeight="1">
      <c r="A690" s="329"/>
      <c r="B690" s="274"/>
      <c r="C690" s="138"/>
      <c r="D690" s="118"/>
      <c r="E690" s="138"/>
      <c r="F690" s="138"/>
      <c r="G690" s="330"/>
      <c r="H690" s="146"/>
      <c r="I690" s="146"/>
      <c r="J690" s="146"/>
      <c r="K690" s="146"/>
      <c r="L690" s="146"/>
      <c r="M690" s="146"/>
      <c r="N690" s="146"/>
      <c r="O690" s="146"/>
      <c r="P690" s="146"/>
      <c r="Q690" s="146"/>
      <c r="R690" s="146"/>
      <c r="S690" s="146"/>
      <c r="T690" s="146"/>
      <c r="U690" s="146"/>
      <c r="V690" s="146"/>
      <c r="W690" s="146"/>
      <c r="X690" s="146"/>
      <c r="Y690" s="146"/>
      <c r="Z690" s="146"/>
    </row>
    <row r="691" ht="22.5" customHeight="1">
      <c r="A691" s="329"/>
      <c r="B691" s="274"/>
      <c r="C691" s="138"/>
      <c r="D691" s="118"/>
      <c r="E691" s="138"/>
      <c r="F691" s="138"/>
      <c r="G691" s="330"/>
      <c r="H691" s="146"/>
      <c r="I691" s="146"/>
      <c r="J691" s="146"/>
      <c r="K691" s="146"/>
      <c r="L691" s="146"/>
      <c r="M691" s="146"/>
      <c r="N691" s="146"/>
      <c r="O691" s="146"/>
      <c r="P691" s="146"/>
      <c r="Q691" s="146"/>
      <c r="R691" s="146"/>
      <c r="S691" s="146"/>
      <c r="T691" s="146"/>
      <c r="U691" s="146"/>
      <c r="V691" s="146"/>
      <c r="W691" s="146"/>
      <c r="X691" s="146"/>
      <c r="Y691" s="146"/>
      <c r="Z691" s="146"/>
    </row>
    <row r="692" ht="22.5" customHeight="1">
      <c r="A692" s="329"/>
      <c r="B692" s="274"/>
      <c r="C692" s="138"/>
      <c r="D692" s="118"/>
      <c r="E692" s="138"/>
      <c r="F692" s="138"/>
      <c r="G692" s="330"/>
      <c r="H692" s="146"/>
      <c r="I692" s="146"/>
      <c r="J692" s="146"/>
      <c r="K692" s="146"/>
      <c r="L692" s="146"/>
      <c r="M692" s="146"/>
      <c r="N692" s="146"/>
      <c r="O692" s="146"/>
      <c r="P692" s="146"/>
      <c r="Q692" s="146"/>
      <c r="R692" s="146"/>
      <c r="S692" s="146"/>
      <c r="T692" s="146"/>
      <c r="U692" s="146"/>
      <c r="V692" s="146"/>
      <c r="W692" s="146"/>
      <c r="X692" s="146"/>
      <c r="Y692" s="146"/>
      <c r="Z692" s="146"/>
    </row>
    <row r="693" ht="22.5" customHeight="1">
      <c r="A693" s="329"/>
      <c r="B693" s="274"/>
      <c r="C693" s="138"/>
      <c r="D693" s="118"/>
      <c r="E693" s="138"/>
      <c r="F693" s="138"/>
      <c r="G693" s="330"/>
      <c r="H693" s="146"/>
      <c r="I693" s="146"/>
      <c r="J693" s="146"/>
      <c r="K693" s="146"/>
      <c r="L693" s="146"/>
      <c r="M693" s="146"/>
      <c r="N693" s="146"/>
      <c r="O693" s="146"/>
      <c r="P693" s="146"/>
      <c r="Q693" s="146"/>
      <c r="R693" s="146"/>
      <c r="S693" s="146"/>
      <c r="T693" s="146"/>
      <c r="U693" s="146"/>
      <c r="V693" s="146"/>
      <c r="W693" s="146"/>
      <c r="X693" s="146"/>
      <c r="Y693" s="146"/>
      <c r="Z693" s="146"/>
    </row>
    <row r="694" ht="22.5" customHeight="1">
      <c r="A694" s="329"/>
      <c r="B694" s="274"/>
      <c r="C694" s="138"/>
      <c r="D694" s="118"/>
      <c r="E694" s="138"/>
      <c r="F694" s="138"/>
      <c r="G694" s="330"/>
      <c r="H694" s="146"/>
      <c r="I694" s="146"/>
      <c r="J694" s="146"/>
      <c r="K694" s="146"/>
      <c r="L694" s="146"/>
      <c r="M694" s="146"/>
      <c r="N694" s="146"/>
      <c r="O694" s="146"/>
      <c r="P694" s="146"/>
      <c r="Q694" s="146"/>
      <c r="R694" s="146"/>
      <c r="S694" s="146"/>
      <c r="T694" s="146"/>
      <c r="U694" s="146"/>
      <c r="V694" s="146"/>
      <c r="W694" s="146"/>
      <c r="X694" s="146"/>
      <c r="Y694" s="146"/>
      <c r="Z694" s="146"/>
    </row>
    <row r="695" ht="22.5" customHeight="1">
      <c r="A695" s="329"/>
      <c r="B695" s="274"/>
      <c r="C695" s="138"/>
      <c r="D695" s="118"/>
      <c r="E695" s="138"/>
      <c r="F695" s="138"/>
      <c r="G695" s="330"/>
      <c r="H695" s="146"/>
      <c r="I695" s="146"/>
      <c r="J695" s="146"/>
      <c r="K695" s="146"/>
      <c r="L695" s="146"/>
      <c r="M695" s="146"/>
      <c r="N695" s="146"/>
      <c r="O695" s="146"/>
      <c r="P695" s="146"/>
      <c r="Q695" s="146"/>
      <c r="R695" s="146"/>
      <c r="S695" s="146"/>
      <c r="T695" s="146"/>
      <c r="U695" s="146"/>
      <c r="V695" s="146"/>
      <c r="W695" s="146"/>
      <c r="X695" s="146"/>
      <c r="Y695" s="146"/>
      <c r="Z695" s="146"/>
    </row>
    <row r="696" ht="22.5" customHeight="1">
      <c r="A696" s="329"/>
      <c r="B696" s="274"/>
      <c r="C696" s="138"/>
      <c r="D696" s="118"/>
      <c r="E696" s="138"/>
      <c r="F696" s="138"/>
      <c r="G696" s="330"/>
      <c r="H696" s="146"/>
      <c r="I696" s="146"/>
      <c r="J696" s="146"/>
      <c r="K696" s="146"/>
      <c r="L696" s="146"/>
      <c r="M696" s="146"/>
      <c r="N696" s="146"/>
      <c r="O696" s="146"/>
      <c r="P696" s="146"/>
      <c r="Q696" s="146"/>
      <c r="R696" s="146"/>
      <c r="S696" s="146"/>
      <c r="T696" s="146"/>
      <c r="U696" s="146"/>
      <c r="V696" s="146"/>
      <c r="W696" s="146"/>
      <c r="X696" s="146"/>
      <c r="Y696" s="146"/>
      <c r="Z696" s="146"/>
    </row>
    <row r="697" ht="22.5" customHeight="1">
      <c r="A697" s="329"/>
      <c r="B697" s="274"/>
      <c r="C697" s="138"/>
      <c r="D697" s="118"/>
      <c r="E697" s="138"/>
      <c r="F697" s="138"/>
      <c r="G697" s="330"/>
      <c r="H697" s="146"/>
      <c r="I697" s="146"/>
      <c r="J697" s="146"/>
      <c r="K697" s="146"/>
      <c r="L697" s="146"/>
      <c r="M697" s="146"/>
      <c r="N697" s="146"/>
      <c r="O697" s="146"/>
      <c r="P697" s="146"/>
      <c r="Q697" s="146"/>
      <c r="R697" s="146"/>
      <c r="S697" s="146"/>
      <c r="T697" s="146"/>
      <c r="U697" s="146"/>
      <c r="V697" s="146"/>
      <c r="W697" s="146"/>
      <c r="X697" s="146"/>
      <c r="Y697" s="146"/>
      <c r="Z697" s="146"/>
    </row>
    <row r="698" ht="22.5" customHeight="1">
      <c r="A698" s="329"/>
      <c r="B698" s="274"/>
      <c r="C698" s="138"/>
      <c r="D698" s="118"/>
      <c r="E698" s="138"/>
      <c r="F698" s="138"/>
      <c r="G698" s="330"/>
      <c r="H698" s="146"/>
      <c r="I698" s="146"/>
      <c r="J698" s="146"/>
      <c r="K698" s="146"/>
      <c r="L698" s="146"/>
      <c r="M698" s="146"/>
      <c r="N698" s="146"/>
      <c r="O698" s="146"/>
      <c r="P698" s="146"/>
      <c r="Q698" s="146"/>
      <c r="R698" s="146"/>
      <c r="S698" s="146"/>
      <c r="T698" s="146"/>
      <c r="U698" s="146"/>
      <c r="V698" s="146"/>
      <c r="W698" s="146"/>
      <c r="X698" s="146"/>
      <c r="Y698" s="146"/>
      <c r="Z698" s="146"/>
    </row>
    <row r="699" ht="22.5" customHeight="1">
      <c r="A699" s="329"/>
      <c r="B699" s="274"/>
      <c r="C699" s="138"/>
      <c r="D699" s="118"/>
      <c r="E699" s="138"/>
      <c r="F699" s="138"/>
      <c r="G699" s="330"/>
      <c r="H699" s="146"/>
      <c r="I699" s="146"/>
      <c r="J699" s="146"/>
      <c r="K699" s="146"/>
      <c r="L699" s="146"/>
      <c r="M699" s="146"/>
      <c r="N699" s="146"/>
      <c r="O699" s="146"/>
      <c r="P699" s="146"/>
      <c r="Q699" s="146"/>
      <c r="R699" s="146"/>
      <c r="S699" s="146"/>
      <c r="T699" s="146"/>
      <c r="U699" s="146"/>
      <c r="V699" s="146"/>
      <c r="W699" s="146"/>
      <c r="X699" s="146"/>
      <c r="Y699" s="146"/>
      <c r="Z699" s="146"/>
    </row>
    <row r="700" ht="22.5" customHeight="1">
      <c r="A700" s="329"/>
      <c r="B700" s="274"/>
      <c r="C700" s="138"/>
      <c r="D700" s="118"/>
      <c r="E700" s="138"/>
      <c r="F700" s="138"/>
      <c r="G700" s="330"/>
      <c r="H700" s="146"/>
      <c r="I700" s="146"/>
      <c r="J700" s="146"/>
      <c r="K700" s="146"/>
      <c r="L700" s="146"/>
      <c r="M700" s="146"/>
      <c r="N700" s="146"/>
      <c r="O700" s="146"/>
      <c r="P700" s="146"/>
      <c r="Q700" s="146"/>
      <c r="R700" s="146"/>
      <c r="S700" s="146"/>
      <c r="T700" s="146"/>
      <c r="U700" s="146"/>
      <c r="V700" s="146"/>
      <c r="W700" s="146"/>
      <c r="X700" s="146"/>
      <c r="Y700" s="146"/>
      <c r="Z700" s="146"/>
    </row>
    <row r="701" ht="22.5" customHeight="1">
      <c r="A701" s="329"/>
      <c r="B701" s="274"/>
      <c r="C701" s="138"/>
      <c r="D701" s="118"/>
      <c r="E701" s="138"/>
      <c r="F701" s="138"/>
      <c r="G701" s="330"/>
      <c r="H701" s="146"/>
      <c r="I701" s="146"/>
      <c r="J701" s="146"/>
      <c r="K701" s="146"/>
      <c r="L701" s="146"/>
      <c r="M701" s="146"/>
      <c r="N701" s="146"/>
      <c r="O701" s="146"/>
      <c r="P701" s="146"/>
      <c r="Q701" s="146"/>
      <c r="R701" s="146"/>
      <c r="S701" s="146"/>
      <c r="T701" s="146"/>
      <c r="U701" s="146"/>
      <c r="V701" s="146"/>
      <c r="W701" s="146"/>
      <c r="X701" s="146"/>
      <c r="Y701" s="146"/>
      <c r="Z701" s="146"/>
    </row>
    <row r="702" ht="22.5" customHeight="1">
      <c r="A702" s="329"/>
      <c r="B702" s="274"/>
      <c r="C702" s="138"/>
      <c r="D702" s="118"/>
      <c r="E702" s="138"/>
      <c r="F702" s="138"/>
      <c r="G702" s="330"/>
      <c r="H702" s="146"/>
      <c r="I702" s="146"/>
      <c r="J702" s="146"/>
      <c r="K702" s="146"/>
      <c r="L702" s="146"/>
      <c r="M702" s="146"/>
      <c r="N702" s="146"/>
      <c r="O702" s="146"/>
      <c r="P702" s="146"/>
      <c r="Q702" s="146"/>
      <c r="R702" s="146"/>
      <c r="S702" s="146"/>
      <c r="T702" s="146"/>
      <c r="U702" s="146"/>
      <c r="V702" s="146"/>
      <c r="W702" s="146"/>
      <c r="X702" s="146"/>
      <c r="Y702" s="146"/>
      <c r="Z702" s="146"/>
    </row>
    <row r="703" ht="22.5" customHeight="1">
      <c r="A703" s="329"/>
      <c r="B703" s="274"/>
      <c r="C703" s="138"/>
      <c r="D703" s="118"/>
      <c r="E703" s="138"/>
      <c r="F703" s="138"/>
      <c r="G703" s="330"/>
      <c r="H703" s="146"/>
      <c r="I703" s="146"/>
      <c r="J703" s="146"/>
      <c r="K703" s="146"/>
      <c r="L703" s="146"/>
      <c r="M703" s="146"/>
      <c r="N703" s="146"/>
      <c r="O703" s="146"/>
      <c r="P703" s="146"/>
      <c r="Q703" s="146"/>
      <c r="R703" s="146"/>
      <c r="S703" s="146"/>
      <c r="T703" s="146"/>
      <c r="U703" s="146"/>
      <c r="V703" s="146"/>
      <c r="W703" s="146"/>
      <c r="X703" s="146"/>
      <c r="Y703" s="146"/>
      <c r="Z703" s="146"/>
    </row>
    <row r="704" ht="22.5" customHeight="1">
      <c r="A704" s="329"/>
      <c r="B704" s="274"/>
      <c r="C704" s="138"/>
      <c r="D704" s="118"/>
      <c r="E704" s="138"/>
      <c r="F704" s="138"/>
      <c r="G704" s="330"/>
      <c r="H704" s="146"/>
      <c r="I704" s="146"/>
      <c r="J704" s="146"/>
      <c r="K704" s="146"/>
      <c r="L704" s="146"/>
      <c r="M704" s="146"/>
      <c r="N704" s="146"/>
      <c r="O704" s="146"/>
      <c r="P704" s="146"/>
      <c r="Q704" s="146"/>
      <c r="R704" s="146"/>
      <c r="S704" s="146"/>
      <c r="T704" s="146"/>
      <c r="U704" s="146"/>
      <c r="V704" s="146"/>
      <c r="W704" s="146"/>
      <c r="X704" s="146"/>
      <c r="Y704" s="146"/>
      <c r="Z704" s="146"/>
    </row>
    <row r="705" ht="22.5" customHeight="1">
      <c r="A705" s="329"/>
      <c r="B705" s="274"/>
      <c r="C705" s="138"/>
      <c r="D705" s="118"/>
      <c r="E705" s="138"/>
      <c r="F705" s="138"/>
      <c r="G705" s="330"/>
      <c r="H705" s="146"/>
      <c r="I705" s="146"/>
      <c r="J705" s="146"/>
      <c r="K705" s="146"/>
      <c r="L705" s="146"/>
      <c r="M705" s="146"/>
      <c r="N705" s="146"/>
      <c r="O705" s="146"/>
      <c r="P705" s="146"/>
      <c r="Q705" s="146"/>
      <c r="R705" s="146"/>
      <c r="S705" s="146"/>
      <c r="T705" s="146"/>
      <c r="U705" s="146"/>
      <c r="V705" s="146"/>
      <c r="W705" s="146"/>
      <c r="X705" s="146"/>
      <c r="Y705" s="146"/>
      <c r="Z705" s="146"/>
    </row>
    <row r="706" ht="22.5" customHeight="1">
      <c r="A706" s="329"/>
      <c r="B706" s="274"/>
      <c r="C706" s="138"/>
      <c r="D706" s="118"/>
      <c r="E706" s="138"/>
      <c r="F706" s="138"/>
      <c r="G706" s="330"/>
      <c r="H706" s="146"/>
      <c r="I706" s="146"/>
      <c r="J706" s="146"/>
      <c r="K706" s="146"/>
      <c r="L706" s="146"/>
      <c r="M706" s="146"/>
      <c r="N706" s="146"/>
      <c r="O706" s="146"/>
      <c r="P706" s="146"/>
      <c r="Q706" s="146"/>
      <c r="R706" s="146"/>
      <c r="S706" s="146"/>
      <c r="T706" s="146"/>
      <c r="U706" s="146"/>
      <c r="V706" s="146"/>
      <c r="W706" s="146"/>
      <c r="X706" s="146"/>
      <c r="Y706" s="146"/>
      <c r="Z706" s="146"/>
    </row>
    <row r="707" ht="22.5" customHeight="1">
      <c r="A707" s="329"/>
      <c r="B707" s="274"/>
      <c r="C707" s="138"/>
      <c r="D707" s="118"/>
      <c r="E707" s="138"/>
      <c r="F707" s="138"/>
      <c r="G707" s="330"/>
      <c r="H707" s="146"/>
      <c r="I707" s="146"/>
      <c r="J707" s="146"/>
      <c r="K707" s="146"/>
      <c r="L707" s="146"/>
      <c r="M707" s="146"/>
      <c r="N707" s="146"/>
      <c r="O707" s="146"/>
      <c r="P707" s="146"/>
      <c r="Q707" s="146"/>
      <c r="R707" s="146"/>
      <c r="S707" s="146"/>
      <c r="T707" s="146"/>
      <c r="U707" s="146"/>
      <c r="V707" s="146"/>
      <c r="W707" s="146"/>
      <c r="X707" s="146"/>
      <c r="Y707" s="146"/>
      <c r="Z707" s="146"/>
    </row>
    <row r="708" ht="22.5" customHeight="1">
      <c r="A708" s="329"/>
      <c r="B708" s="274"/>
      <c r="C708" s="138"/>
      <c r="D708" s="118"/>
      <c r="E708" s="138"/>
      <c r="F708" s="138"/>
      <c r="G708" s="330"/>
      <c r="H708" s="146"/>
      <c r="I708" s="146"/>
      <c r="J708" s="146"/>
      <c r="K708" s="146"/>
      <c r="L708" s="146"/>
      <c r="M708" s="146"/>
      <c r="N708" s="146"/>
      <c r="O708" s="146"/>
      <c r="P708" s="146"/>
      <c r="Q708" s="146"/>
      <c r="R708" s="146"/>
      <c r="S708" s="146"/>
      <c r="T708" s="146"/>
      <c r="U708" s="146"/>
      <c r="V708" s="146"/>
      <c r="W708" s="146"/>
      <c r="X708" s="146"/>
      <c r="Y708" s="146"/>
      <c r="Z708" s="146"/>
    </row>
    <row r="709" ht="22.5" customHeight="1">
      <c r="A709" s="329"/>
      <c r="B709" s="274"/>
      <c r="C709" s="138"/>
      <c r="D709" s="118"/>
      <c r="E709" s="138"/>
      <c r="F709" s="138"/>
      <c r="G709" s="330"/>
      <c r="H709" s="146"/>
      <c r="I709" s="146"/>
      <c r="J709" s="146"/>
      <c r="K709" s="146"/>
      <c r="L709" s="146"/>
      <c r="M709" s="146"/>
      <c r="N709" s="146"/>
      <c r="O709" s="146"/>
      <c r="P709" s="146"/>
      <c r="Q709" s="146"/>
      <c r="R709" s="146"/>
      <c r="S709" s="146"/>
      <c r="T709" s="146"/>
      <c r="U709" s="146"/>
      <c r="V709" s="146"/>
      <c r="W709" s="146"/>
      <c r="X709" s="146"/>
      <c r="Y709" s="146"/>
      <c r="Z709" s="146"/>
    </row>
    <row r="710" ht="22.5" customHeight="1">
      <c r="A710" s="329"/>
      <c r="B710" s="274"/>
      <c r="C710" s="138"/>
      <c r="D710" s="118"/>
      <c r="E710" s="138"/>
      <c r="F710" s="138"/>
      <c r="G710" s="330"/>
      <c r="H710" s="146"/>
      <c r="I710" s="146"/>
      <c r="J710" s="146"/>
      <c r="K710" s="146"/>
      <c r="L710" s="146"/>
      <c r="M710" s="146"/>
      <c r="N710" s="146"/>
      <c r="O710" s="146"/>
      <c r="P710" s="146"/>
      <c r="Q710" s="146"/>
      <c r="R710" s="146"/>
      <c r="S710" s="146"/>
      <c r="T710" s="146"/>
      <c r="U710" s="146"/>
      <c r="V710" s="146"/>
      <c r="W710" s="146"/>
      <c r="X710" s="146"/>
      <c r="Y710" s="146"/>
      <c r="Z710" s="146"/>
    </row>
    <row r="711" ht="22.5" customHeight="1">
      <c r="A711" s="329"/>
      <c r="B711" s="274"/>
      <c r="C711" s="138"/>
      <c r="D711" s="118"/>
      <c r="E711" s="138"/>
      <c r="F711" s="138"/>
      <c r="G711" s="330"/>
      <c r="H711" s="146"/>
      <c r="I711" s="146"/>
      <c r="J711" s="146"/>
      <c r="K711" s="146"/>
      <c r="L711" s="146"/>
      <c r="M711" s="146"/>
      <c r="N711" s="146"/>
      <c r="O711" s="146"/>
      <c r="P711" s="146"/>
      <c r="Q711" s="146"/>
      <c r="R711" s="146"/>
      <c r="S711" s="146"/>
      <c r="T711" s="146"/>
      <c r="U711" s="146"/>
      <c r="V711" s="146"/>
      <c r="W711" s="146"/>
      <c r="X711" s="146"/>
      <c r="Y711" s="146"/>
      <c r="Z711" s="146"/>
    </row>
    <row r="712" ht="22.5" customHeight="1">
      <c r="A712" s="329"/>
      <c r="B712" s="274"/>
      <c r="C712" s="138"/>
      <c r="D712" s="118"/>
      <c r="E712" s="138"/>
      <c r="F712" s="138"/>
      <c r="G712" s="330"/>
      <c r="H712" s="146"/>
      <c r="I712" s="146"/>
      <c r="J712" s="146"/>
      <c r="K712" s="146"/>
      <c r="L712" s="146"/>
      <c r="M712" s="146"/>
      <c r="N712" s="146"/>
      <c r="O712" s="146"/>
      <c r="P712" s="146"/>
      <c r="Q712" s="146"/>
      <c r="R712" s="146"/>
      <c r="S712" s="146"/>
      <c r="T712" s="146"/>
      <c r="U712" s="146"/>
      <c r="V712" s="146"/>
      <c r="W712" s="146"/>
      <c r="X712" s="146"/>
      <c r="Y712" s="146"/>
      <c r="Z712" s="146"/>
    </row>
    <row r="713" ht="22.5" customHeight="1">
      <c r="A713" s="329"/>
      <c r="B713" s="274"/>
      <c r="C713" s="138"/>
      <c r="D713" s="118"/>
      <c r="E713" s="138"/>
      <c r="F713" s="138"/>
      <c r="G713" s="330"/>
      <c r="H713" s="146"/>
      <c r="I713" s="146"/>
      <c r="J713" s="146"/>
      <c r="K713" s="146"/>
      <c r="L713" s="146"/>
      <c r="M713" s="146"/>
      <c r="N713" s="146"/>
      <c r="O713" s="146"/>
      <c r="P713" s="146"/>
      <c r="Q713" s="146"/>
      <c r="R713" s="146"/>
      <c r="S713" s="146"/>
      <c r="T713" s="146"/>
      <c r="U713" s="146"/>
      <c r="V713" s="146"/>
      <c r="W713" s="146"/>
      <c r="X713" s="146"/>
      <c r="Y713" s="146"/>
      <c r="Z713" s="146"/>
    </row>
    <row r="714" ht="22.5" customHeight="1">
      <c r="A714" s="329"/>
      <c r="B714" s="274"/>
      <c r="C714" s="138"/>
      <c r="D714" s="118"/>
      <c r="E714" s="138"/>
      <c r="F714" s="138"/>
      <c r="G714" s="330"/>
      <c r="H714" s="146"/>
      <c r="I714" s="146"/>
      <c r="J714" s="146"/>
      <c r="K714" s="146"/>
      <c r="L714" s="146"/>
      <c r="M714" s="146"/>
      <c r="N714" s="146"/>
      <c r="O714" s="146"/>
      <c r="P714" s="146"/>
      <c r="Q714" s="146"/>
      <c r="R714" s="146"/>
      <c r="S714" s="146"/>
      <c r="T714" s="146"/>
      <c r="U714" s="146"/>
      <c r="V714" s="146"/>
      <c r="W714" s="146"/>
      <c r="X714" s="146"/>
      <c r="Y714" s="146"/>
      <c r="Z714" s="146"/>
    </row>
    <row r="715" ht="22.5" customHeight="1">
      <c r="A715" s="329"/>
      <c r="B715" s="274"/>
      <c r="C715" s="138"/>
      <c r="D715" s="118"/>
      <c r="E715" s="138"/>
      <c r="F715" s="138"/>
      <c r="G715" s="330"/>
      <c r="H715" s="146"/>
      <c r="I715" s="146"/>
      <c r="J715" s="146"/>
      <c r="K715" s="146"/>
      <c r="L715" s="146"/>
      <c r="M715" s="146"/>
      <c r="N715" s="146"/>
      <c r="O715" s="146"/>
      <c r="P715" s="146"/>
      <c r="Q715" s="146"/>
      <c r="R715" s="146"/>
      <c r="S715" s="146"/>
      <c r="T715" s="146"/>
      <c r="U715" s="146"/>
      <c r="V715" s="146"/>
      <c r="W715" s="146"/>
      <c r="X715" s="146"/>
      <c r="Y715" s="146"/>
      <c r="Z715" s="146"/>
    </row>
    <row r="716" ht="22.5" customHeight="1">
      <c r="A716" s="329"/>
      <c r="B716" s="274"/>
      <c r="C716" s="138"/>
      <c r="D716" s="118"/>
      <c r="E716" s="138"/>
      <c r="F716" s="138"/>
      <c r="G716" s="330"/>
      <c r="H716" s="146"/>
      <c r="I716" s="146"/>
      <c r="J716" s="146"/>
      <c r="K716" s="146"/>
      <c r="L716" s="146"/>
      <c r="M716" s="146"/>
      <c r="N716" s="146"/>
      <c r="O716" s="146"/>
      <c r="P716" s="146"/>
      <c r="Q716" s="146"/>
      <c r="R716" s="146"/>
      <c r="S716" s="146"/>
      <c r="T716" s="146"/>
      <c r="U716" s="146"/>
      <c r="V716" s="146"/>
      <c r="W716" s="146"/>
      <c r="X716" s="146"/>
      <c r="Y716" s="146"/>
      <c r="Z716" s="146"/>
    </row>
    <row r="717" ht="22.5" customHeight="1">
      <c r="A717" s="329"/>
      <c r="B717" s="274"/>
      <c r="C717" s="138"/>
      <c r="D717" s="118"/>
      <c r="E717" s="138"/>
      <c r="F717" s="138"/>
      <c r="G717" s="330"/>
      <c r="H717" s="146"/>
      <c r="I717" s="146"/>
      <c r="J717" s="146"/>
      <c r="K717" s="146"/>
      <c r="L717" s="146"/>
      <c r="M717" s="146"/>
      <c r="N717" s="146"/>
      <c r="O717" s="146"/>
      <c r="P717" s="146"/>
      <c r="Q717" s="146"/>
      <c r="R717" s="146"/>
      <c r="S717" s="146"/>
      <c r="T717" s="146"/>
      <c r="U717" s="146"/>
      <c r="V717" s="146"/>
      <c r="W717" s="146"/>
      <c r="X717" s="146"/>
      <c r="Y717" s="146"/>
      <c r="Z717" s="146"/>
    </row>
    <row r="718" ht="22.5" customHeight="1">
      <c r="A718" s="329"/>
      <c r="B718" s="274"/>
      <c r="C718" s="138"/>
      <c r="D718" s="118"/>
      <c r="E718" s="138"/>
      <c r="F718" s="138"/>
      <c r="G718" s="330"/>
      <c r="H718" s="146"/>
      <c r="I718" s="146"/>
      <c r="J718" s="146"/>
      <c r="K718" s="146"/>
      <c r="L718" s="146"/>
      <c r="M718" s="146"/>
      <c r="N718" s="146"/>
      <c r="O718" s="146"/>
      <c r="P718" s="146"/>
      <c r="Q718" s="146"/>
      <c r="R718" s="146"/>
      <c r="S718" s="146"/>
      <c r="T718" s="146"/>
      <c r="U718" s="146"/>
      <c r="V718" s="146"/>
      <c r="W718" s="146"/>
      <c r="X718" s="146"/>
      <c r="Y718" s="146"/>
      <c r="Z718" s="146"/>
    </row>
    <row r="719" ht="22.5" customHeight="1">
      <c r="A719" s="329"/>
      <c r="B719" s="274"/>
      <c r="C719" s="138"/>
      <c r="D719" s="118"/>
      <c r="E719" s="138"/>
      <c r="F719" s="138"/>
      <c r="G719" s="330"/>
      <c r="H719" s="146"/>
      <c r="I719" s="146"/>
      <c r="J719" s="146"/>
      <c r="K719" s="146"/>
      <c r="L719" s="146"/>
      <c r="M719" s="146"/>
      <c r="N719" s="146"/>
      <c r="O719" s="146"/>
      <c r="P719" s="146"/>
      <c r="Q719" s="146"/>
      <c r="R719" s="146"/>
      <c r="S719" s="146"/>
      <c r="T719" s="146"/>
      <c r="U719" s="146"/>
      <c r="V719" s="146"/>
      <c r="W719" s="146"/>
      <c r="X719" s="146"/>
      <c r="Y719" s="146"/>
      <c r="Z719" s="146"/>
    </row>
    <row r="720" ht="22.5" customHeight="1">
      <c r="A720" s="329"/>
      <c r="B720" s="274"/>
      <c r="C720" s="138"/>
      <c r="D720" s="118"/>
      <c r="E720" s="138"/>
      <c r="F720" s="138"/>
      <c r="G720" s="330"/>
      <c r="H720" s="146"/>
      <c r="I720" s="146"/>
      <c r="J720" s="146"/>
      <c r="K720" s="146"/>
      <c r="L720" s="146"/>
      <c r="M720" s="146"/>
      <c r="N720" s="146"/>
      <c r="O720" s="146"/>
      <c r="P720" s="146"/>
      <c r="Q720" s="146"/>
      <c r="R720" s="146"/>
      <c r="S720" s="146"/>
      <c r="T720" s="146"/>
      <c r="U720" s="146"/>
      <c r="V720" s="146"/>
      <c r="W720" s="146"/>
      <c r="X720" s="146"/>
      <c r="Y720" s="146"/>
      <c r="Z720" s="146"/>
    </row>
    <row r="721" ht="22.5" customHeight="1">
      <c r="A721" s="329"/>
      <c r="B721" s="274"/>
      <c r="C721" s="138"/>
      <c r="D721" s="118"/>
      <c r="E721" s="138"/>
      <c r="F721" s="138"/>
      <c r="G721" s="330"/>
      <c r="H721" s="146"/>
      <c r="I721" s="146"/>
      <c r="J721" s="146"/>
      <c r="K721" s="146"/>
      <c r="L721" s="146"/>
      <c r="M721" s="146"/>
      <c r="N721" s="146"/>
      <c r="O721" s="146"/>
      <c r="P721" s="146"/>
      <c r="Q721" s="146"/>
      <c r="R721" s="146"/>
      <c r="S721" s="146"/>
      <c r="T721" s="146"/>
      <c r="U721" s="146"/>
      <c r="V721" s="146"/>
      <c r="W721" s="146"/>
      <c r="X721" s="146"/>
      <c r="Y721" s="146"/>
      <c r="Z721" s="146"/>
    </row>
    <row r="722" ht="22.5" customHeight="1">
      <c r="A722" s="329"/>
      <c r="B722" s="274"/>
      <c r="C722" s="138"/>
      <c r="D722" s="118"/>
      <c r="E722" s="138"/>
      <c r="F722" s="138"/>
      <c r="G722" s="330"/>
      <c r="H722" s="146"/>
      <c r="I722" s="146"/>
      <c r="J722" s="146"/>
      <c r="K722" s="146"/>
      <c r="L722" s="146"/>
      <c r="M722" s="146"/>
      <c r="N722" s="146"/>
      <c r="O722" s="146"/>
      <c r="P722" s="146"/>
      <c r="Q722" s="146"/>
      <c r="R722" s="146"/>
      <c r="S722" s="146"/>
      <c r="T722" s="146"/>
      <c r="U722" s="146"/>
      <c r="V722" s="146"/>
      <c r="W722" s="146"/>
      <c r="X722" s="146"/>
      <c r="Y722" s="146"/>
      <c r="Z722" s="146"/>
    </row>
    <row r="723" ht="22.5" customHeight="1">
      <c r="A723" s="329"/>
      <c r="B723" s="274"/>
      <c r="C723" s="138"/>
      <c r="D723" s="118"/>
      <c r="E723" s="138"/>
      <c r="F723" s="138"/>
      <c r="G723" s="330"/>
      <c r="H723" s="146"/>
      <c r="I723" s="146"/>
      <c r="J723" s="146"/>
      <c r="K723" s="146"/>
      <c r="L723" s="146"/>
      <c r="M723" s="146"/>
      <c r="N723" s="146"/>
      <c r="O723" s="146"/>
      <c r="P723" s="146"/>
      <c r="Q723" s="146"/>
      <c r="R723" s="146"/>
      <c r="S723" s="146"/>
      <c r="T723" s="146"/>
      <c r="U723" s="146"/>
      <c r="V723" s="146"/>
      <c r="W723" s="146"/>
      <c r="X723" s="146"/>
      <c r="Y723" s="146"/>
      <c r="Z723" s="146"/>
    </row>
    <row r="724" ht="22.5" customHeight="1">
      <c r="A724" s="329"/>
      <c r="B724" s="274"/>
      <c r="C724" s="138"/>
      <c r="D724" s="118"/>
      <c r="E724" s="138"/>
      <c r="F724" s="138"/>
      <c r="G724" s="330"/>
      <c r="H724" s="146"/>
      <c r="I724" s="146"/>
      <c r="J724" s="146"/>
      <c r="K724" s="146"/>
      <c r="L724" s="146"/>
      <c r="M724" s="146"/>
      <c r="N724" s="146"/>
      <c r="O724" s="146"/>
      <c r="P724" s="146"/>
      <c r="Q724" s="146"/>
      <c r="R724" s="146"/>
      <c r="S724" s="146"/>
      <c r="T724" s="146"/>
      <c r="U724" s="146"/>
      <c r="V724" s="146"/>
      <c r="W724" s="146"/>
      <c r="X724" s="146"/>
      <c r="Y724" s="146"/>
      <c r="Z724" s="146"/>
    </row>
    <row r="725" ht="22.5" customHeight="1">
      <c r="A725" s="329"/>
      <c r="B725" s="274"/>
      <c r="C725" s="138"/>
      <c r="D725" s="118"/>
      <c r="E725" s="138"/>
      <c r="F725" s="138"/>
      <c r="G725" s="330"/>
      <c r="H725" s="146"/>
      <c r="I725" s="146"/>
      <c r="J725" s="146"/>
      <c r="K725" s="146"/>
      <c r="L725" s="146"/>
      <c r="M725" s="146"/>
      <c r="N725" s="146"/>
      <c r="O725" s="146"/>
      <c r="P725" s="146"/>
      <c r="Q725" s="146"/>
      <c r="R725" s="146"/>
      <c r="S725" s="146"/>
      <c r="T725" s="146"/>
      <c r="U725" s="146"/>
      <c r="V725" s="146"/>
      <c r="W725" s="146"/>
      <c r="X725" s="146"/>
      <c r="Y725" s="146"/>
      <c r="Z725" s="146"/>
    </row>
    <row r="726" ht="22.5" customHeight="1">
      <c r="A726" s="329"/>
      <c r="B726" s="274"/>
      <c r="C726" s="138"/>
      <c r="D726" s="118"/>
      <c r="E726" s="138"/>
      <c r="F726" s="138"/>
      <c r="G726" s="330"/>
      <c r="H726" s="146"/>
      <c r="I726" s="146"/>
      <c r="J726" s="146"/>
      <c r="K726" s="146"/>
      <c r="L726" s="146"/>
      <c r="M726" s="146"/>
      <c r="N726" s="146"/>
      <c r="O726" s="146"/>
      <c r="P726" s="146"/>
      <c r="Q726" s="146"/>
      <c r="R726" s="146"/>
      <c r="S726" s="146"/>
      <c r="T726" s="146"/>
      <c r="U726" s="146"/>
      <c r="V726" s="146"/>
      <c r="W726" s="146"/>
      <c r="X726" s="146"/>
      <c r="Y726" s="146"/>
      <c r="Z726" s="146"/>
    </row>
    <row r="727" ht="22.5" customHeight="1">
      <c r="A727" s="329"/>
      <c r="B727" s="274"/>
      <c r="C727" s="138"/>
      <c r="D727" s="118"/>
      <c r="E727" s="138"/>
      <c r="F727" s="138"/>
      <c r="G727" s="330"/>
      <c r="H727" s="146"/>
      <c r="I727" s="146"/>
      <c r="J727" s="146"/>
      <c r="K727" s="146"/>
      <c r="L727" s="146"/>
      <c r="M727" s="146"/>
      <c r="N727" s="146"/>
      <c r="O727" s="146"/>
      <c r="P727" s="146"/>
      <c r="Q727" s="146"/>
      <c r="R727" s="146"/>
      <c r="S727" s="146"/>
      <c r="T727" s="146"/>
      <c r="U727" s="146"/>
      <c r="V727" s="146"/>
      <c r="W727" s="146"/>
      <c r="X727" s="146"/>
      <c r="Y727" s="146"/>
      <c r="Z727" s="146"/>
    </row>
    <row r="728" ht="22.5" customHeight="1">
      <c r="A728" s="329"/>
      <c r="B728" s="274"/>
      <c r="C728" s="138"/>
      <c r="D728" s="118"/>
      <c r="E728" s="138"/>
      <c r="F728" s="138"/>
      <c r="G728" s="330"/>
      <c r="H728" s="146"/>
      <c r="I728" s="146"/>
      <c r="J728" s="146"/>
      <c r="K728" s="146"/>
      <c r="L728" s="146"/>
      <c r="M728" s="146"/>
      <c r="N728" s="146"/>
      <c r="O728" s="146"/>
      <c r="P728" s="146"/>
      <c r="Q728" s="146"/>
      <c r="R728" s="146"/>
      <c r="S728" s="146"/>
      <c r="T728" s="146"/>
      <c r="U728" s="146"/>
      <c r="V728" s="146"/>
      <c r="W728" s="146"/>
      <c r="X728" s="146"/>
      <c r="Y728" s="146"/>
      <c r="Z728" s="146"/>
    </row>
    <row r="729" ht="22.5" customHeight="1">
      <c r="A729" s="329"/>
      <c r="B729" s="274"/>
      <c r="C729" s="138"/>
      <c r="D729" s="118"/>
      <c r="E729" s="138"/>
      <c r="F729" s="138"/>
      <c r="G729" s="330"/>
      <c r="H729" s="146"/>
      <c r="I729" s="146"/>
      <c r="J729" s="146"/>
      <c r="K729" s="146"/>
      <c r="L729" s="146"/>
      <c r="M729" s="146"/>
      <c r="N729" s="146"/>
      <c r="O729" s="146"/>
      <c r="P729" s="146"/>
      <c r="Q729" s="146"/>
      <c r="R729" s="146"/>
      <c r="S729" s="146"/>
      <c r="T729" s="146"/>
      <c r="U729" s="146"/>
      <c r="V729" s="146"/>
      <c r="W729" s="146"/>
      <c r="X729" s="146"/>
      <c r="Y729" s="146"/>
      <c r="Z729" s="146"/>
    </row>
    <row r="730" ht="22.5" customHeight="1">
      <c r="A730" s="329"/>
      <c r="B730" s="274"/>
      <c r="C730" s="138"/>
      <c r="D730" s="118"/>
      <c r="E730" s="138"/>
      <c r="F730" s="138"/>
      <c r="G730" s="330"/>
      <c r="H730" s="146"/>
      <c r="I730" s="146"/>
      <c r="J730" s="146"/>
      <c r="K730" s="146"/>
      <c r="L730" s="146"/>
      <c r="M730" s="146"/>
      <c r="N730" s="146"/>
      <c r="O730" s="146"/>
      <c r="P730" s="146"/>
      <c r="Q730" s="146"/>
      <c r="R730" s="146"/>
      <c r="S730" s="146"/>
      <c r="T730" s="146"/>
      <c r="U730" s="146"/>
      <c r="V730" s="146"/>
      <c r="W730" s="146"/>
      <c r="X730" s="146"/>
      <c r="Y730" s="146"/>
      <c r="Z730" s="146"/>
    </row>
    <row r="731" ht="22.5" customHeight="1">
      <c r="A731" s="329"/>
      <c r="B731" s="274"/>
      <c r="C731" s="138"/>
      <c r="D731" s="118"/>
      <c r="E731" s="138"/>
      <c r="F731" s="138"/>
      <c r="G731" s="330"/>
      <c r="H731" s="146"/>
      <c r="I731" s="146"/>
      <c r="J731" s="146"/>
      <c r="K731" s="146"/>
      <c r="L731" s="146"/>
      <c r="M731" s="146"/>
      <c r="N731" s="146"/>
      <c r="O731" s="146"/>
      <c r="P731" s="146"/>
      <c r="Q731" s="146"/>
      <c r="R731" s="146"/>
      <c r="S731" s="146"/>
      <c r="T731" s="146"/>
      <c r="U731" s="146"/>
      <c r="V731" s="146"/>
      <c r="W731" s="146"/>
      <c r="X731" s="146"/>
      <c r="Y731" s="146"/>
      <c r="Z731" s="146"/>
    </row>
    <row r="732" ht="22.5" customHeight="1">
      <c r="A732" s="329"/>
      <c r="B732" s="274"/>
      <c r="C732" s="138"/>
      <c r="D732" s="118"/>
      <c r="E732" s="138"/>
      <c r="F732" s="138"/>
      <c r="G732" s="330"/>
      <c r="H732" s="146"/>
      <c r="I732" s="146"/>
      <c r="J732" s="146"/>
      <c r="K732" s="146"/>
      <c r="L732" s="146"/>
      <c r="M732" s="146"/>
      <c r="N732" s="146"/>
      <c r="O732" s="146"/>
      <c r="P732" s="146"/>
      <c r="Q732" s="146"/>
      <c r="R732" s="146"/>
      <c r="S732" s="146"/>
      <c r="T732" s="146"/>
      <c r="U732" s="146"/>
      <c r="V732" s="146"/>
      <c r="W732" s="146"/>
      <c r="X732" s="146"/>
      <c r="Y732" s="146"/>
      <c r="Z732" s="146"/>
    </row>
    <row r="733" ht="22.5" customHeight="1">
      <c r="A733" s="329"/>
      <c r="B733" s="274"/>
      <c r="C733" s="138"/>
      <c r="D733" s="118"/>
      <c r="E733" s="138"/>
      <c r="F733" s="138"/>
      <c r="G733" s="330"/>
      <c r="H733" s="146"/>
      <c r="I733" s="146"/>
      <c r="J733" s="146"/>
      <c r="K733" s="146"/>
      <c r="L733" s="146"/>
      <c r="M733" s="146"/>
      <c r="N733" s="146"/>
      <c r="O733" s="146"/>
      <c r="P733" s="146"/>
      <c r="Q733" s="146"/>
      <c r="R733" s="146"/>
      <c r="S733" s="146"/>
      <c r="T733" s="146"/>
      <c r="U733" s="146"/>
      <c r="V733" s="146"/>
      <c r="W733" s="146"/>
      <c r="X733" s="146"/>
      <c r="Y733" s="146"/>
      <c r="Z733" s="146"/>
    </row>
    <row r="734" ht="22.5" customHeight="1">
      <c r="A734" s="329"/>
      <c r="B734" s="274"/>
      <c r="C734" s="138"/>
      <c r="D734" s="118"/>
      <c r="E734" s="138"/>
      <c r="F734" s="138"/>
      <c r="G734" s="330"/>
      <c r="H734" s="146"/>
      <c r="I734" s="146"/>
      <c r="J734" s="146"/>
      <c r="K734" s="146"/>
      <c r="L734" s="146"/>
      <c r="M734" s="146"/>
      <c r="N734" s="146"/>
      <c r="O734" s="146"/>
      <c r="P734" s="146"/>
      <c r="Q734" s="146"/>
      <c r="R734" s="146"/>
      <c r="S734" s="146"/>
      <c r="T734" s="146"/>
      <c r="U734" s="146"/>
      <c r="V734" s="146"/>
      <c r="W734" s="146"/>
      <c r="X734" s="146"/>
      <c r="Y734" s="146"/>
      <c r="Z734" s="146"/>
    </row>
    <row r="735" ht="22.5" customHeight="1">
      <c r="A735" s="329"/>
      <c r="B735" s="274"/>
      <c r="C735" s="138"/>
      <c r="D735" s="118"/>
      <c r="E735" s="138"/>
      <c r="F735" s="138"/>
      <c r="G735" s="330"/>
      <c r="H735" s="146"/>
      <c r="I735" s="146"/>
      <c r="J735" s="146"/>
      <c r="K735" s="146"/>
      <c r="L735" s="146"/>
      <c r="M735" s="146"/>
      <c r="N735" s="146"/>
      <c r="O735" s="146"/>
      <c r="P735" s="146"/>
      <c r="Q735" s="146"/>
      <c r="R735" s="146"/>
      <c r="S735" s="146"/>
      <c r="T735" s="146"/>
      <c r="U735" s="146"/>
      <c r="V735" s="146"/>
      <c r="W735" s="146"/>
      <c r="X735" s="146"/>
      <c r="Y735" s="146"/>
      <c r="Z735" s="146"/>
    </row>
    <row r="736" ht="22.5" customHeight="1">
      <c r="A736" s="329"/>
      <c r="B736" s="274"/>
      <c r="C736" s="138"/>
      <c r="D736" s="118"/>
      <c r="E736" s="138"/>
      <c r="F736" s="138"/>
      <c r="G736" s="330"/>
      <c r="H736" s="146"/>
      <c r="I736" s="146"/>
      <c r="J736" s="146"/>
      <c r="K736" s="146"/>
      <c r="L736" s="146"/>
      <c r="M736" s="146"/>
      <c r="N736" s="146"/>
      <c r="O736" s="146"/>
      <c r="P736" s="146"/>
      <c r="Q736" s="146"/>
      <c r="R736" s="146"/>
      <c r="S736" s="146"/>
      <c r="T736" s="146"/>
      <c r="U736" s="146"/>
      <c r="V736" s="146"/>
      <c r="W736" s="146"/>
      <c r="X736" s="146"/>
      <c r="Y736" s="146"/>
      <c r="Z736" s="146"/>
    </row>
    <row r="737" ht="22.5" customHeight="1">
      <c r="A737" s="329"/>
      <c r="B737" s="274"/>
      <c r="C737" s="138"/>
      <c r="D737" s="118"/>
      <c r="E737" s="138"/>
      <c r="F737" s="138"/>
      <c r="G737" s="330"/>
      <c r="H737" s="146"/>
      <c r="I737" s="146"/>
      <c r="J737" s="146"/>
      <c r="K737" s="146"/>
      <c r="L737" s="146"/>
      <c r="M737" s="146"/>
      <c r="N737" s="146"/>
      <c r="O737" s="146"/>
      <c r="P737" s="146"/>
      <c r="Q737" s="146"/>
      <c r="R737" s="146"/>
      <c r="S737" s="146"/>
      <c r="T737" s="146"/>
      <c r="U737" s="146"/>
      <c r="V737" s="146"/>
      <c r="W737" s="146"/>
      <c r="X737" s="146"/>
      <c r="Y737" s="146"/>
      <c r="Z737" s="146"/>
    </row>
    <row r="738" ht="22.5" customHeight="1">
      <c r="A738" s="329"/>
      <c r="B738" s="274"/>
      <c r="C738" s="138"/>
      <c r="D738" s="118"/>
      <c r="E738" s="138"/>
      <c r="F738" s="138"/>
      <c r="G738" s="330"/>
      <c r="H738" s="146"/>
      <c r="I738" s="146"/>
      <c r="J738" s="146"/>
      <c r="K738" s="146"/>
      <c r="L738" s="146"/>
      <c r="M738" s="146"/>
      <c r="N738" s="146"/>
      <c r="O738" s="146"/>
      <c r="P738" s="146"/>
      <c r="Q738" s="146"/>
      <c r="R738" s="146"/>
      <c r="S738" s="146"/>
      <c r="T738" s="146"/>
      <c r="U738" s="146"/>
      <c r="V738" s="146"/>
      <c r="W738" s="146"/>
      <c r="X738" s="146"/>
      <c r="Y738" s="146"/>
      <c r="Z738" s="146"/>
    </row>
    <row r="739" ht="22.5" customHeight="1">
      <c r="A739" s="329"/>
      <c r="B739" s="274"/>
      <c r="C739" s="138"/>
      <c r="D739" s="118"/>
      <c r="E739" s="138"/>
      <c r="F739" s="138"/>
      <c r="G739" s="330"/>
      <c r="H739" s="146"/>
      <c r="I739" s="146"/>
      <c r="J739" s="146"/>
      <c r="K739" s="146"/>
      <c r="L739" s="146"/>
      <c r="M739" s="146"/>
      <c r="N739" s="146"/>
      <c r="O739" s="146"/>
      <c r="P739" s="146"/>
      <c r="Q739" s="146"/>
      <c r="R739" s="146"/>
      <c r="S739" s="146"/>
      <c r="T739" s="146"/>
      <c r="U739" s="146"/>
      <c r="V739" s="146"/>
      <c r="W739" s="146"/>
      <c r="X739" s="146"/>
      <c r="Y739" s="146"/>
      <c r="Z739" s="146"/>
    </row>
    <row r="740" ht="22.5" customHeight="1">
      <c r="A740" s="329"/>
      <c r="B740" s="274"/>
      <c r="C740" s="138"/>
      <c r="D740" s="118"/>
      <c r="E740" s="138"/>
      <c r="F740" s="138"/>
      <c r="G740" s="330"/>
      <c r="H740" s="146"/>
      <c r="I740" s="146"/>
      <c r="J740" s="146"/>
      <c r="K740" s="146"/>
      <c r="L740" s="146"/>
      <c r="M740" s="146"/>
      <c r="N740" s="146"/>
      <c r="O740" s="146"/>
      <c r="P740" s="146"/>
      <c r="Q740" s="146"/>
      <c r="R740" s="146"/>
      <c r="S740" s="146"/>
      <c r="T740" s="146"/>
      <c r="U740" s="146"/>
      <c r="V740" s="146"/>
      <c r="W740" s="146"/>
      <c r="X740" s="146"/>
      <c r="Y740" s="146"/>
      <c r="Z740" s="146"/>
    </row>
    <row r="741" ht="22.5" customHeight="1">
      <c r="A741" s="329"/>
      <c r="B741" s="274"/>
      <c r="C741" s="138"/>
      <c r="D741" s="118"/>
      <c r="E741" s="138"/>
      <c r="F741" s="138"/>
      <c r="G741" s="330"/>
      <c r="H741" s="146"/>
      <c r="I741" s="146"/>
      <c r="J741" s="146"/>
      <c r="K741" s="146"/>
      <c r="L741" s="146"/>
      <c r="M741" s="146"/>
      <c r="N741" s="146"/>
      <c r="O741" s="146"/>
      <c r="P741" s="146"/>
      <c r="Q741" s="146"/>
      <c r="R741" s="146"/>
      <c r="S741" s="146"/>
      <c r="T741" s="146"/>
      <c r="U741" s="146"/>
      <c r="V741" s="146"/>
      <c r="W741" s="146"/>
      <c r="X741" s="146"/>
      <c r="Y741" s="146"/>
      <c r="Z741" s="146"/>
    </row>
    <row r="742" ht="22.5" customHeight="1">
      <c r="A742" s="329"/>
      <c r="B742" s="274"/>
      <c r="C742" s="138"/>
      <c r="D742" s="118"/>
      <c r="E742" s="138"/>
      <c r="F742" s="138"/>
      <c r="G742" s="330"/>
      <c r="H742" s="146"/>
      <c r="I742" s="146"/>
      <c r="J742" s="146"/>
      <c r="K742" s="146"/>
      <c r="L742" s="146"/>
      <c r="M742" s="146"/>
      <c r="N742" s="146"/>
      <c r="O742" s="146"/>
      <c r="P742" s="146"/>
      <c r="Q742" s="146"/>
      <c r="R742" s="146"/>
      <c r="S742" s="146"/>
      <c r="T742" s="146"/>
      <c r="U742" s="146"/>
      <c r="V742" s="146"/>
      <c r="W742" s="146"/>
      <c r="X742" s="146"/>
      <c r="Y742" s="146"/>
      <c r="Z742" s="146"/>
    </row>
    <row r="743" ht="22.5" customHeight="1">
      <c r="A743" s="329"/>
      <c r="B743" s="274"/>
      <c r="C743" s="138"/>
      <c r="D743" s="118"/>
      <c r="E743" s="138"/>
      <c r="F743" s="138"/>
      <c r="G743" s="330"/>
      <c r="H743" s="146"/>
      <c r="I743" s="146"/>
      <c r="J743" s="146"/>
      <c r="K743" s="146"/>
      <c r="L743" s="146"/>
      <c r="M743" s="146"/>
      <c r="N743" s="146"/>
      <c r="O743" s="146"/>
      <c r="P743" s="146"/>
      <c r="Q743" s="146"/>
      <c r="R743" s="146"/>
      <c r="S743" s="146"/>
      <c r="T743" s="146"/>
      <c r="U743" s="146"/>
      <c r="V743" s="146"/>
      <c r="W743" s="146"/>
      <c r="X743" s="146"/>
      <c r="Y743" s="146"/>
      <c r="Z743" s="146"/>
    </row>
    <row r="744" ht="22.5" customHeight="1">
      <c r="A744" s="329"/>
      <c r="B744" s="274"/>
      <c r="C744" s="138"/>
      <c r="D744" s="118"/>
      <c r="E744" s="138"/>
      <c r="F744" s="138"/>
      <c r="G744" s="330"/>
      <c r="H744" s="146"/>
      <c r="I744" s="146"/>
      <c r="J744" s="146"/>
      <c r="K744" s="146"/>
      <c r="L744" s="146"/>
      <c r="M744" s="146"/>
      <c r="N744" s="146"/>
      <c r="O744" s="146"/>
      <c r="P744" s="146"/>
      <c r="Q744" s="146"/>
      <c r="R744" s="146"/>
      <c r="S744" s="146"/>
      <c r="T744" s="146"/>
      <c r="U744" s="146"/>
      <c r="V744" s="146"/>
      <c r="W744" s="146"/>
      <c r="X744" s="146"/>
      <c r="Y744" s="146"/>
      <c r="Z744" s="146"/>
    </row>
    <row r="745" ht="22.5" customHeight="1">
      <c r="A745" s="329"/>
      <c r="B745" s="274"/>
      <c r="C745" s="138"/>
      <c r="D745" s="118"/>
      <c r="E745" s="138"/>
      <c r="F745" s="138"/>
      <c r="G745" s="330"/>
      <c r="H745" s="146"/>
      <c r="I745" s="146"/>
      <c r="J745" s="146"/>
      <c r="K745" s="146"/>
      <c r="L745" s="146"/>
      <c r="M745" s="146"/>
      <c r="N745" s="146"/>
      <c r="O745" s="146"/>
      <c r="P745" s="146"/>
      <c r="Q745" s="146"/>
      <c r="R745" s="146"/>
      <c r="S745" s="146"/>
      <c r="T745" s="146"/>
      <c r="U745" s="146"/>
      <c r="V745" s="146"/>
      <c r="W745" s="146"/>
      <c r="X745" s="146"/>
      <c r="Y745" s="146"/>
      <c r="Z745" s="146"/>
    </row>
    <row r="746" ht="22.5" customHeight="1">
      <c r="A746" s="329"/>
      <c r="B746" s="274"/>
      <c r="C746" s="138"/>
      <c r="D746" s="118"/>
      <c r="E746" s="138"/>
      <c r="F746" s="138"/>
      <c r="G746" s="330"/>
      <c r="H746" s="146"/>
      <c r="I746" s="146"/>
      <c r="J746" s="146"/>
      <c r="K746" s="146"/>
      <c r="L746" s="146"/>
      <c r="M746" s="146"/>
      <c r="N746" s="146"/>
      <c r="O746" s="146"/>
      <c r="P746" s="146"/>
      <c r="Q746" s="146"/>
      <c r="R746" s="146"/>
      <c r="S746" s="146"/>
      <c r="T746" s="146"/>
      <c r="U746" s="146"/>
      <c r="V746" s="146"/>
      <c r="W746" s="146"/>
      <c r="X746" s="146"/>
      <c r="Y746" s="146"/>
      <c r="Z746" s="146"/>
    </row>
    <row r="747" ht="22.5" customHeight="1">
      <c r="A747" s="329"/>
      <c r="B747" s="274"/>
      <c r="C747" s="138"/>
      <c r="D747" s="118"/>
      <c r="E747" s="138"/>
      <c r="F747" s="138"/>
      <c r="G747" s="330"/>
      <c r="H747" s="146"/>
      <c r="I747" s="146"/>
      <c r="J747" s="146"/>
      <c r="K747" s="146"/>
      <c r="L747" s="146"/>
      <c r="M747" s="146"/>
      <c r="N747" s="146"/>
      <c r="O747" s="146"/>
      <c r="P747" s="146"/>
      <c r="Q747" s="146"/>
      <c r="R747" s="146"/>
      <c r="S747" s="146"/>
      <c r="T747" s="146"/>
      <c r="U747" s="146"/>
      <c r="V747" s="146"/>
      <c r="W747" s="146"/>
      <c r="X747" s="146"/>
      <c r="Y747" s="146"/>
      <c r="Z747" s="146"/>
    </row>
    <row r="748" ht="22.5" customHeight="1">
      <c r="A748" s="329"/>
      <c r="B748" s="274"/>
      <c r="C748" s="138"/>
      <c r="D748" s="118"/>
      <c r="E748" s="138"/>
      <c r="F748" s="138"/>
      <c r="G748" s="330"/>
      <c r="H748" s="146"/>
      <c r="I748" s="146"/>
      <c r="J748" s="146"/>
      <c r="K748" s="146"/>
      <c r="L748" s="146"/>
      <c r="M748" s="146"/>
      <c r="N748" s="146"/>
      <c r="O748" s="146"/>
      <c r="P748" s="146"/>
      <c r="Q748" s="146"/>
      <c r="R748" s="146"/>
      <c r="S748" s="146"/>
      <c r="T748" s="146"/>
      <c r="U748" s="146"/>
      <c r="V748" s="146"/>
      <c r="W748" s="146"/>
      <c r="X748" s="146"/>
      <c r="Y748" s="146"/>
      <c r="Z748" s="146"/>
    </row>
    <row r="749" ht="22.5" customHeight="1">
      <c r="A749" s="329"/>
      <c r="B749" s="274"/>
      <c r="C749" s="138"/>
      <c r="D749" s="118"/>
      <c r="E749" s="138"/>
      <c r="F749" s="138"/>
      <c r="G749" s="330"/>
      <c r="H749" s="146"/>
      <c r="I749" s="146"/>
      <c r="J749" s="146"/>
      <c r="K749" s="146"/>
      <c r="L749" s="146"/>
      <c r="M749" s="146"/>
      <c r="N749" s="146"/>
      <c r="O749" s="146"/>
      <c r="P749" s="146"/>
      <c r="Q749" s="146"/>
      <c r="R749" s="146"/>
      <c r="S749" s="146"/>
      <c r="T749" s="146"/>
      <c r="U749" s="146"/>
      <c r="V749" s="146"/>
      <c r="W749" s="146"/>
      <c r="X749" s="146"/>
      <c r="Y749" s="146"/>
      <c r="Z749" s="146"/>
    </row>
    <row r="750" ht="22.5" customHeight="1">
      <c r="A750" s="329"/>
      <c r="B750" s="274"/>
      <c r="C750" s="138"/>
      <c r="D750" s="118"/>
      <c r="E750" s="138"/>
      <c r="F750" s="138"/>
      <c r="G750" s="330"/>
      <c r="H750" s="146"/>
      <c r="I750" s="146"/>
      <c r="J750" s="146"/>
      <c r="K750" s="146"/>
      <c r="L750" s="146"/>
      <c r="M750" s="146"/>
      <c r="N750" s="146"/>
      <c r="O750" s="146"/>
      <c r="P750" s="146"/>
      <c r="Q750" s="146"/>
      <c r="R750" s="146"/>
      <c r="S750" s="146"/>
      <c r="T750" s="146"/>
      <c r="U750" s="146"/>
      <c r="V750" s="146"/>
      <c r="W750" s="146"/>
      <c r="X750" s="146"/>
      <c r="Y750" s="146"/>
      <c r="Z750" s="146"/>
    </row>
    <row r="751" ht="22.5" customHeight="1">
      <c r="A751" s="329"/>
      <c r="B751" s="274"/>
      <c r="C751" s="138"/>
      <c r="D751" s="118"/>
      <c r="E751" s="138"/>
      <c r="F751" s="138"/>
      <c r="G751" s="330"/>
      <c r="H751" s="146"/>
      <c r="I751" s="146"/>
      <c r="J751" s="146"/>
      <c r="K751" s="146"/>
      <c r="L751" s="146"/>
      <c r="M751" s="146"/>
      <c r="N751" s="146"/>
      <c r="O751" s="146"/>
      <c r="P751" s="146"/>
      <c r="Q751" s="146"/>
      <c r="R751" s="146"/>
      <c r="S751" s="146"/>
      <c r="T751" s="146"/>
      <c r="U751" s="146"/>
      <c r="V751" s="146"/>
      <c r="W751" s="146"/>
      <c r="X751" s="146"/>
      <c r="Y751" s="146"/>
      <c r="Z751" s="146"/>
    </row>
    <row r="752" ht="22.5" customHeight="1">
      <c r="A752" s="329"/>
      <c r="B752" s="274"/>
      <c r="C752" s="138"/>
      <c r="D752" s="118"/>
      <c r="E752" s="138"/>
      <c r="F752" s="138"/>
      <c r="G752" s="330"/>
      <c r="H752" s="146"/>
      <c r="I752" s="146"/>
      <c r="J752" s="146"/>
      <c r="K752" s="146"/>
      <c r="L752" s="146"/>
      <c r="M752" s="146"/>
      <c r="N752" s="146"/>
      <c r="O752" s="146"/>
      <c r="P752" s="146"/>
      <c r="Q752" s="146"/>
      <c r="R752" s="146"/>
      <c r="S752" s="146"/>
      <c r="T752" s="146"/>
      <c r="U752" s="146"/>
      <c r="V752" s="146"/>
      <c r="W752" s="146"/>
      <c r="X752" s="146"/>
      <c r="Y752" s="146"/>
      <c r="Z752" s="146"/>
    </row>
    <row r="753" ht="22.5" customHeight="1">
      <c r="A753" s="329"/>
      <c r="B753" s="274"/>
      <c r="C753" s="138"/>
      <c r="D753" s="118"/>
      <c r="E753" s="138"/>
      <c r="F753" s="138"/>
      <c r="G753" s="330"/>
      <c r="H753" s="146"/>
      <c r="I753" s="146"/>
      <c r="J753" s="146"/>
      <c r="K753" s="146"/>
      <c r="L753" s="146"/>
      <c r="M753" s="146"/>
      <c r="N753" s="146"/>
      <c r="O753" s="146"/>
      <c r="P753" s="146"/>
      <c r="Q753" s="146"/>
      <c r="R753" s="146"/>
      <c r="S753" s="146"/>
      <c r="T753" s="146"/>
      <c r="U753" s="146"/>
      <c r="V753" s="146"/>
      <c r="W753" s="146"/>
      <c r="X753" s="146"/>
      <c r="Y753" s="146"/>
      <c r="Z753" s="146"/>
    </row>
    <row r="754" ht="22.5" customHeight="1">
      <c r="A754" s="329"/>
      <c r="B754" s="274"/>
      <c r="C754" s="138"/>
      <c r="D754" s="118"/>
      <c r="E754" s="138"/>
      <c r="F754" s="138"/>
      <c r="G754" s="330"/>
      <c r="H754" s="146"/>
      <c r="I754" s="146"/>
      <c r="J754" s="146"/>
      <c r="K754" s="146"/>
      <c r="L754" s="146"/>
      <c r="M754" s="146"/>
      <c r="N754" s="146"/>
      <c r="O754" s="146"/>
      <c r="P754" s="146"/>
      <c r="Q754" s="146"/>
      <c r="R754" s="146"/>
      <c r="S754" s="146"/>
      <c r="T754" s="146"/>
      <c r="U754" s="146"/>
      <c r="V754" s="146"/>
      <c r="W754" s="146"/>
      <c r="X754" s="146"/>
      <c r="Y754" s="146"/>
      <c r="Z754" s="146"/>
    </row>
    <row r="755" ht="22.5" customHeight="1">
      <c r="A755" s="329"/>
      <c r="B755" s="274"/>
      <c r="C755" s="138"/>
      <c r="D755" s="118"/>
      <c r="E755" s="138"/>
      <c r="F755" s="138"/>
      <c r="G755" s="330"/>
      <c r="H755" s="146"/>
      <c r="I755" s="146"/>
      <c r="J755" s="146"/>
      <c r="K755" s="146"/>
      <c r="L755" s="146"/>
      <c r="M755" s="146"/>
      <c r="N755" s="146"/>
      <c r="O755" s="146"/>
      <c r="P755" s="146"/>
      <c r="Q755" s="146"/>
      <c r="R755" s="146"/>
      <c r="S755" s="146"/>
      <c r="T755" s="146"/>
      <c r="U755" s="146"/>
      <c r="V755" s="146"/>
      <c r="W755" s="146"/>
      <c r="X755" s="146"/>
      <c r="Y755" s="146"/>
      <c r="Z755" s="146"/>
    </row>
    <row r="756" ht="22.5" customHeight="1">
      <c r="A756" s="329"/>
      <c r="B756" s="274"/>
      <c r="C756" s="138"/>
      <c r="D756" s="118"/>
      <c r="E756" s="138"/>
      <c r="F756" s="138"/>
      <c r="G756" s="330"/>
      <c r="H756" s="146"/>
      <c r="I756" s="146"/>
      <c r="J756" s="146"/>
      <c r="K756" s="146"/>
      <c r="L756" s="146"/>
      <c r="M756" s="146"/>
      <c r="N756" s="146"/>
      <c r="O756" s="146"/>
      <c r="P756" s="146"/>
      <c r="Q756" s="146"/>
      <c r="R756" s="146"/>
      <c r="S756" s="146"/>
      <c r="T756" s="146"/>
      <c r="U756" s="146"/>
      <c r="V756" s="146"/>
      <c r="W756" s="146"/>
      <c r="X756" s="146"/>
      <c r="Y756" s="146"/>
      <c r="Z756" s="146"/>
    </row>
    <row r="757" ht="22.5" customHeight="1">
      <c r="A757" s="329"/>
      <c r="B757" s="274"/>
      <c r="C757" s="138"/>
      <c r="D757" s="118"/>
      <c r="E757" s="138"/>
      <c r="F757" s="138"/>
      <c r="G757" s="330"/>
      <c r="H757" s="146"/>
      <c r="I757" s="146"/>
      <c r="J757" s="146"/>
      <c r="K757" s="146"/>
      <c r="L757" s="146"/>
      <c r="M757" s="146"/>
      <c r="N757" s="146"/>
      <c r="O757" s="146"/>
      <c r="P757" s="146"/>
      <c r="Q757" s="146"/>
      <c r="R757" s="146"/>
      <c r="S757" s="146"/>
      <c r="T757" s="146"/>
      <c r="U757" s="146"/>
      <c r="V757" s="146"/>
      <c r="W757" s="146"/>
      <c r="X757" s="146"/>
      <c r="Y757" s="146"/>
      <c r="Z757" s="146"/>
    </row>
    <row r="758" ht="22.5" customHeight="1">
      <c r="A758" s="329"/>
      <c r="B758" s="274"/>
      <c r="C758" s="138"/>
      <c r="D758" s="118"/>
      <c r="E758" s="138"/>
      <c r="F758" s="138"/>
      <c r="G758" s="330"/>
      <c r="H758" s="146"/>
      <c r="I758" s="146"/>
      <c r="J758" s="146"/>
      <c r="K758" s="146"/>
      <c r="L758" s="146"/>
      <c r="M758" s="146"/>
      <c r="N758" s="146"/>
      <c r="O758" s="146"/>
      <c r="P758" s="146"/>
      <c r="Q758" s="146"/>
      <c r="R758" s="146"/>
      <c r="S758" s="146"/>
      <c r="T758" s="146"/>
      <c r="U758" s="146"/>
      <c r="V758" s="146"/>
      <c r="W758" s="146"/>
      <c r="X758" s="146"/>
      <c r="Y758" s="146"/>
      <c r="Z758" s="146"/>
    </row>
    <row r="759" ht="22.5" customHeight="1">
      <c r="A759" s="329"/>
      <c r="B759" s="274"/>
      <c r="C759" s="138"/>
      <c r="D759" s="118"/>
      <c r="E759" s="138"/>
      <c r="F759" s="138"/>
      <c r="G759" s="330"/>
      <c r="H759" s="146"/>
      <c r="I759" s="146"/>
      <c r="J759" s="146"/>
      <c r="K759" s="146"/>
      <c r="L759" s="146"/>
      <c r="M759" s="146"/>
      <c r="N759" s="146"/>
      <c r="O759" s="146"/>
      <c r="P759" s="146"/>
      <c r="Q759" s="146"/>
      <c r="R759" s="146"/>
      <c r="S759" s="146"/>
      <c r="T759" s="146"/>
      <c r="U759" s="146"/>
      <c r="V759" s="146"/>
      <c r="W759" s="146"/>
      <c r="X759" s="146"/>
      <c r="Y759" s="146"/>
      <c r="Z759" s="146"/>
    </row>
    <row r="760" ht="22.5" customHeight="1">
      <c r="A760" s="329"/>
      <c r="B760" s="274"/>
      <c r="C760" s="138"/>
      <c r="D760" s="118"/>
      <c r="E760" s="138"/>
      <c r="F760" s="138"/>
      <c r="G760" s="330"/>
      <c r="H760" s="146"/>
      <c r="I760" s="146"/>
      <c r="J760" s="146"/>
      <c r="K760" s="146"/>
      <c r="L760" s="146"/>
      <c r="M760" s="146"/>
      <c r="N760" s="146"/>
      <c r="O760" s="146"/>
      <c r="P760" s="146"/>
      <c r="Q760" s="146"/>
      <c r="R760" s="146"/>
      <c r="S760" s="146"/>
      <c r="T760" s="146"/>
      <c r="U760" s="146"/>
      <c r="V760" s="146"/>
      <c r="W760" s="146"/>
      <c r="X760" s="146"/>
      <c r="Y760" s="146"/>
      <c r="Z760" s="146"/>
    </row>
    <row r="761" ht="22.5" customHeight="1">
      <c r="A761" s="329"/>
      <c r="B761" s="274"/>
      <c r="C761" s="138"/>
      <c r="D761" s="118"/>
      <c r="E761" s="138"/>
      <c r="F761" s="138"/>
      <c r="G761" s="330"/>
      <c r="H761" s="146"/>
      <c r="I761" s="146"/>
      <c r="J761" s="146"/>
      <c r="K761" s="146"/>
      <c r="L761" s="146"/>
      <c r="M761" s="146"/>
      <c r="N761" s="146"/>
      <c r="O761" s="146"/>
      <c r="P761" s="146"/>
      <c r="Q761" s="146"/>
      <c r="R761" s="146"/>
      <c r="S761" s="146"/>
      <c r="T761" s="146"/>
      <c r="U761" s="146"/>
      <c r="V761" s="146"/>
      <c r="W761" s="146"/>
      <c r="X761" s="146"/>
      <c r="Y761" s="146"/>
      <c r="Z761" s="146"/>
    </row>
    <row r="762" ht="22.5" customHeight="1">
      <c r="A762" s="329"/>
      <c r="B762" s="274"/>
      <c r="C762" s="138"/>
      <c r="D762" s="118"/>
      <c r="E762" s="138"/>
      <c r="F762" s="138"/>
      <c r="G762" s="330"/>
      <c r="H762" s="146"/>
      <c r="I762" s="146"/>
      <c r="J762" s="146"/>
      <c r="K762" s="146"/>
      <c r="L762" s="146"/>
      <c r="M762" s="146"/>
      <c r="N762" s="146"/>
      <c r="O762" s="146"/>
      <c r="P762" s="146"/>
      <c r="Q762" s="146"/>
      <c r="R762" s="146"/>
      <c r="S762" s="146"/>
      <c r="T762" s="146"/>
      <c r="U762" s="146"/>
      <c r="V762" s="146"/>
      <c r="W762" s="146"/>
      <c r="X762" s="146"/>
      <c r="Y762" s="146"/>
      <c r="Z762" s="146"/>
    </row>
    <row r="763" ht="22.5" customHeight="1">
      <c r="A763" s="329"/>
      <c r="B763" s="274"/>
      <c r="C763" s="138"/>
      <c r="D763" s="118"/>
      <c r="E763" s="138"/>
      <c r="F763" s="138"/>
      <c r="G763" s="330"/>
      <c r="H763" s="146"/>
      <c r="I763" s="146"/>
      <c r="J763" s="146"/>
      <c r="K763" s="146"/>
      <c r="L763" s="146"/>
      <c r="M763" s="146"/>
      <c r="N763" s="146"/>
      <c r="O763" s="146"/>
      <c r="P763" s="146"/>
      <c r="Q763" s="146"/>
      <c r="R763" s="146"/>
      <c r="S763" s="146"/>
      <c r="T763" s="146"/>
      <c r="U763" s="146"/>
      <c r="V763" s="146"/>
      <c r="W763" s="146"/>
      <c r="X763" s="146"/>
      <c r="Y763" s="146"/>
      <c r="Z763" s="146"/>
    </row>
    <row r="764" ht="22.5" customHeight="1">
      <c r="A764" s="329"/>
      <c r="B764" s="274"/>
      <c r="C764" s="138"/>
      <c r="D764" s="118"/>
      <c r="E764" s="138"/>
      <c r="F764" s="138"/>
      <c r="G764" s="330"/>
      <c r="H764" s="146"/>
      <c r="I764" s="146"/>
      <c r="J764" s="146"/>
      <c r="K764" s="146"/>
      <c r="L764" s="146"/>
      <c r="M764" s="146"/>
      <c r="N764" s="146"/>
      <c r="O764" s="146"/>
      <c r="P764" s="146"/>
      <c r="Q764" s="146"/>
      <c r="R764" s="146"/>
      <c r="S764" s="146"/>
      <c r="T764" s="146"/>
      <c r="U764" s="146"/>
      <c r="V764" s="146"/>
      <c r="W764" s="146"/>
      <c r="X764" s="146"/>
      <c r="Y764" s="146"/>
      <c r="Z764" s="146"/>
    </row>
    <row r="765" ht="22.5" customHeight="1">
      <c r="A765" s="329"/>
      <c r="B765" s="274"/>
      <c r="C765" s="138"/>
      <c r="D765" s="118"/>
      <c r="E765" s="138"/>
      <c r="F765" s="138"/>
      <c r="G765" s="330"/>
      <c r="H765" s="146"/>
      <c r="I765" s="146"/>
      <c r="J765" s="146"/>
      <c r="K765" s="146"/>
      <c r="L765" s="146"/>
      <c r="M765" s="146"/>
      <c r="N765" s="146"/>
      <c r="O765" s="146"/>
      <c r="P765" s="146"/>
      <c r="Q765" s="146"/>
      <c r="R765" s="146"/>
      <c r="S765" s="146"/>
      <c r="T765" s="146"/>
      <c r="U765" s="146"/>
      <c r="V765" s="146"/>
      <c r="W765" s="146"/>
      <c r="X765" s="146"/>
      <c r="Y765" s="146"/>
      <c r="Z765" s="146"/>
    </row>
    <row r="766" ht="22.5" customHeight="1">
      <c r="A766" s="329"/>
      <c r="B766" s="274"/>
      <c r="C766" s="138"/>
      <c r="D766" s="118"/>
      <c r="E766" s="138"/>
      <c r="F766" s="138"/>
      <c r="G766" s="330"/>
      <c r="H766" s="146"/>
      <c r="I766" s="146"/>
      <c r="J766" s="146"/>
      <c r="K766" s="146"/>
      <c r="L766" s="146"/>
      <c r="M766" s="146"/>
      <c r="N766" s="146"/>
      <c r="O766" s="146"/>
      <c r="P766" s="146"/>
      <c r="Q766" s="146"/>
      <c r="R766" s="146"/>
      <c r="S766" s="146"/>
      <c r="T766" s="146"/>
      <c r="U766" s="146"/>
      <c r="V766" s="146"/>
      <c r="W766" s="146"/>
      <c r="X766" s="146"/>
      <c r="Y766" s="146"/>
      <c r="Z766" s="146"/>
    </row>
    <row r="767" ht="22.5" customHeight="1">
      <c r="A767" s="329"/>
      <c r="B767" s="274"/>
      <c r="C767" s="138"/>
      <c r="D767" s="118"/>
      <c r="E767" s="138"/>
      <c r="F767" s="138"/>
      <c r="G767" s="330"/>
      <c r="H767" s="146"/>
      <c r="I767" s="146"/>
      <c r="J767" s="146"/>
      <c r="K767" s="146"/>
      <c r="L767" s="146"/>
      <c r="M767" s="146"/>
      <c r="N767" s="146"/>
      <c r="O767" s="146"/>
      <c r="P767" s="146"/>
      <c r="Q767" s="146"/>
      <c r="R767" s="146"/>
      <c r="S767" s="146"/>
      <c r="T767" s="146"/>
      <c r="U767" s="146"/>
      <c r="V767" s="146"/>
      <c r="W767" s="146"/>
      <c r="X767" s="146"/>
      <c r="Y767" s="146"/>
      <c r="Z767" s="146"/>
    </row>
    <row r="768" ht="22.5" customHeight="1">
      <c r="A768" s="329"/>
      <c r="B768" s="274"/>
      <c r="C768" s="138"/>
      <c r="D768" s="118"/>
      <c r="E768" s="138"/>
      <c r="F768" s="138"/>
      <c r="G768" s="330"/>
      <c r="H768" s="146"/>
      <c r="I768" s="146"/>
      <c r="J768" s="146"/>
      <c r="K768" s="146"/>
      <c r="L768" s="146"/>
      <c r="M768" s="146"/>
      <c r="N768" s="146"/>
      <c r="O768" s="146"/>
      <c r="P768" s="146"/>
      <c r="Q768" s="146"/>
      <c r="R768" s="146"/>
      <c r="S768" s="146"/>
      <c r="T768" s="146"/>
      <c r="U768" s="146"/>
      <c r="V768" s="146"/>
      <c r="W768" s="146"/>
      <c r="X768" s="146"/>
      <c r="Y768" s="146"/>
      <c r="Z768" s="146"/>
    </row>
    <row r="769" ht="22.5" customHeight="1">
      <c r="A769" s="329"/>
      <c r="B769" s="274"/>
      <c r="C769" s="138"/>
      <c r="D769" s="118"/>
      <c r="E769" s="138"/>
      <c r="F769" s="138"/>
      <c r="G769" s="330"/>
      <c r="H769" s="146"/>
      <c r="I769" s="146"/>
      <c r="J769" s="146"/>
      <c r="K769" s="146"/>
      <c r="L769" s="146"/>
      <c r="M769" s="146"/>
      <c r="N769" s="146"/>
      <c r="O769" s="146"/>
      <c r="P769" s="146"/>
      <c r="Q769" s="146"/>
      <c r="R769" s="146"/>
      <c r="S769" s="146"/>
      <c r="T769" s="146"/>
      <c r="U769" s="146"/>
      <c r="V769" s="146"/>
      <c r="W769" s="146"/>
      <c r="X769" s="146"/>
      <c r="Y769" s="146"/>
      <c r="Z769" s="146"/>
    </row>
    <row r="770" ht="22.5" customHeight="1">
      <c r="A770" s="329"/>
      <c r="B770" s="274"/>
      <c r="C770" s="138"/>
      <c r="D770" s="118"/>
      <c r="E770" s="138"/>
      <c r="F770" s="138"/>
      <c r="G770" s="330"/>
      <c r="H770" s="146"/>
      <c r="I770" s="146"/>
      <c r="J770" s="146"/>
      <c r="K770" s="146"/>
      <c r="L770" s="146"/>
      <c r="M770" s="146"/>
      <c r="N770" s="146"/>
      <c r="O770" s="146"/>
      <c r="P770" s="146"/>
      <c r="Q770" s="146"/>
      <c r="R770" s="146"/>
      <c r="S770" s="146"/>
      <c r="T770" s="146"/>
      <c r="U770" s="146"/>
      <c r="V770" s="146"/>
      <c r="W770" s="146"/>
      <c r="X770" s="146"/>
      <c r="Y770" s="146"/>
      <c r="Z770" s="146"/>
    </row>
    <row r="771" ht="22.5" customHeight="1">
      <c r="A771" s="329"/>
      <c r="B771" s="274"/>
      <c r="C771" s="138"/>
      <c r="D771" s="118"/>
      <c r="E771" s="138"/>
      <c r="F771" s="138"/>
      <c r="G771" s="330"/>
      <c r="H771" s="146"/>
      <c r="I771" s="146"/>
      <c r="J771" s="146"/>
      <c r="K771" s="146"/>
      <c r="L771" s="146"/>
      <c r="M771" s="146"/>
      <c r="N771" s="146"/>
      <c r="O771" s="146"/>
      <c r="P771" s="146"/>
      <c r="Q771" s="146"/>
      <c r="R771" s="146"/>
      <c r="S771" s="146"/>
      <c r="T771" s="146"/>
      <c r="U771" s="146"/>
      <c r="V771" s="146"/>
      <c r="W771" s="146"/>
      <c r="X771" s="146"/>
      <c r="Y771" s="146"/>
      <c r="Z771" s="146"/>
    </row>
    <row r="772" ht="22.5" customHeight="1">
      <c r="A772" s="329"/>
      <c r="B772" s="274"/>
      <c r="C772" s="138"/>
      <c r="D772" s="118"/>
      <c r="E772" s="138"/>
      <c r="F772" s="138"/>
      <c r="G772" s="330"/>
      <c r="H772" s="146"/>
      <c r="I772" s="146"/>
      <c r="J772" s="146"/>
      <c r="K772" s="146"/>
      <c r="L772" s="146"/>
      <c r="M772" s="146"/>
      <c r="N772" s="146"/>
      <c r="O772" s="146"/>
      <c r="P772" s="146"/>
      <c r="Q772" s="146"/>
      <c r="R772" s="146"/>
      <c r="S772" s="146"/>
      <c r="T772" s="146"/>
      <c r="U772" s="146"/>
      <c r="V772" s="146"/>
      <c r="W772" s="146"/>
      <c r="X772" s="146"/>
      <c r="Y772" s="146"/>
      <c r="Z772" s="146"/>
    </row>
    <row r="773" ht="22.5" customHeight="1">
      <c r="A773" s="329"/>
      <c r="B773" s="274"/>
      <c r="C773" s="138"/>
      <c r="D773" s="118"/>
      <c r="E773" s="138"/>
      <c r="F773" s="138"/>
      <c r="G773" s="330"/>
      <c r="H773" s="146"/>
      <c r="I773" s="146"/>
      <c r="J773" s="146"/>
      <c r="K773" s="146"/>
      <c r="L773" s="146"/>
      <c r="M773" s="146"/>
      <c r="N773" s="146"/>
      <c r="O773" s="146"/>
      <c r="P773" s="146"/>
      <c r="Q773" s="146"/>
      <c r="R773" s="146"/>
      <c r="S773" s="146"/>
      <c r="T773" s="146"/>
      <c r="U773" s="146"/>
      <c r="V773" s="146"/>
      <c r="W773" s="146"/>
      <c r="X773" s="146"/>
      <c r="Y773" s="146"/>
      <c r="Z773" s="146"/>
    </row>
    <row r="774" ht="22.5" customHeight="1">
      <c r="A774" s="329"/>
      <c r="B774" s="274"/>
      <c r="C774" s="138"/>
      <c r="D774" s="118"/>
      <c r="E774" s="138"/>
      <c r="F774" s="138"/>
      <c r="G774" s="330"/>
      <c r="H774" s="146"/>
      <c r="I774" s="146"/>
      <c r="J774" s="146"/>
      <c r="K774" s="146"/>
      <c r="L774" s="146"/>
      <c r="M774" s="146"/>
      <c r="N774" s="146"/>
      <c r="O774" s="146"/>
      <c r="P774" s="146"/>
      <c r="Q774" s="146"/>
      <c r="R774" s="146"/>
      <c r="S774" s="146"/>
      <c r="T774" s="146"/>
      <c r="U774" s="146"/>
      <c r="V774" s="146"/>
      <c r="W774" s="146"/>
      <c r="X774" s="146"/>
      <c r="Y774" s="146"/>
      <c r="Z774" s="146"/>
    </row>
    <row r="775" ht="22.5" customHeight="1">
      <c r="A775" s="329"/>
      <c r="B775" s="274"/>
      <c r="C775" s="138"/>
      <c r="D775" s="118"/>
      <c r="E775" s="138"/>
      <c r="F775" s="138"/>
      <c r="G775" s="330"/>
      <c r="H775" s="146"/>
      <c r="I775" s="146"/>
      <c r="J775" s="146"/>
      <c r="K775" s="146"/>
      <c r="L775" s="146"/>
      <c r="M775" s="146"/>
      <c r="N775" s="146"/>
      <c r="O775" s="146"/>
      <c r="P775" s="146"/>
      <c r="Q775" s="146"/>
      <c r="R775" s="146"/>
      <c r="S775" s="146"/>
      <c r="T775" s="146"/>
      <c r="U775" s="146"/>
      <c r="V775" s="146"/>
      <c r="W775" s="146"/>
      <c r="X775" s="146"/>
      <c r="Y775" s="146"/>
      <c r="Z775" s="146"/>
    </row>
    <row r="776" ht="22.5" customHeight="1">
      <c r="A776" s="329"/>
      <c r="B776" s="274"/>
      <c r="C776" s="138"/>
      <c r="D776" s="118"/>
      <c r="E776" s="138"/>
      <c r="F776" s="138"/>
      <c r="G776" s="330"/>
      <c r="H776" s="146"/>
      <c r="I776" s="146"/>
      <c r="J776" s="146"/>
      <c r="K776" s="146"/>
      <c r="L776" s="146"/>
      <c r="M776" s="146"/>
      <c r="N776" s="146"/>
      <c r="O776" s="146"/>
      <c r="P776" s="146"/>
      <c r="Q776" s="146"/>
      <c r="R776" s="146"/>
      <c r="S776" s="146"/>
      <c r="T776" s="146"/>
      <c r="U776" s="146"/>
      <c r="V776" s="146"/>
      <c r="W776" s="146"/>
      <c r="X776" s="146"/>
      <c r="Y776" s="146"/>
      <c r="Z776" s="146"/>
    </row>
    <row r="777" ht="22.5" customHeight="1">
      <c r="A777" s="329"/>
      <c r="B777" s="274"/>
      <c r="C777" s="138"/>
      <c r="D777" s="118"/>
      <c r="E777" s="138"/>
      <c r="F777" s="138"/>
      <c r="G777" s="330"/>
      <c r="H777" s="146"/>
      <c r="I777" s="146"/>
      <c r="J777" s="146"/>
      <c r="K777" s="146"/>
      <c r="L777" s="146"/>
      <c r="M777" s="146"/>
      <c r="N777" s="146"/>
      <c r="O777" s="146"/>
      <c r="P777" s="146"/>
      <c r="Q777" s="146"/>
      <c r="R777" s="146"/>
      <c r="S777" s="146"/>
      <c r="T777" s="146"/>
      <c r="U777" s="146"/>
      <c r="V777" s="146"/>
      <c r="W777" s="146"/>
      <c r="X777" s="146"/>
      <c r="Y777" s="146"/>
      <c r="Z777" s="146"/>
    </row>
    <row r="778" ht="22.5" customHeight="1">
      <c r="A778" s="329"/>
      <c r="B778" s="274"/>
      <c r="C778" s="138"/>
      <c r="D778" s="118"/>
      <c r="E778" s="138"/>
      <c r="F778" s="138"/>
      <c r="G778" s="330"/>
      <c r="H778" s="146"/>
      <c r="I778" s="146"/>
      <c r="J778" s="146"/>
      <c r="K778" s="146"/>
      <c r="L778" s="146"/>
      <c r="M778" s="146"/>
      <c r="N778" s="146"/>
      <c r="O778" s="146"/>
      <c r="P778" s="146"/>
      <c r="Q778" s="146"/>
      <c r="R778" s="146"/>
      <c r="S778" s="146"/>
      <c r="T778" s="146"/>
      <c r="U778" s="146"/>
      <c r="V778" s="146"/>
      <c r="W778" s="146"/>
      <c r="X778" s="146"/>
      <c r="Y778" s="146"/>
      <c r="Z778" s="146"/>
    </row>
    <row r="779" ht="22.5" customHeight="1">
      <c r="A779" s="329"/>
      <c r="B779" s="274"/>
      <c r="C779" s="138"/>
      <c r="D779" s="118"/>
      <c r="E779" s="138"/>
      <c r="F779" s="138"/>
      <c r="G779" s="330"/>
      <c r="H779" s="146"/>
      <c r="I779" s="146"/>
      <c r="J779" s="146"/>
      <c r="K779" s="146"/>
      <c r="L779" s="146"/>
      <c r="M779" s="146"/>
      <c r="N779" s="146"/>
      <c r="O779" s="146"/>
      <c r="P779" s="146"/>
      <c r="Q779" s="146"/>
      <c r="R779" s="146"/>
      <c r="S779" s="146"/>
      <c r="T779" s="146"/>
      <c r="U779" s="146"/>
      <c r="V779" s="146"/>
      <c r="W779" s="146"/>
      <c r="X779" s="146"/>
      <c r="Y779" s="146"/>
      <c r="Z779" s="146"/>
    </row>
    <row r="780" ht="22.5" customHeight="1">
      <c r="A780" s="329"/>
      <c r="B780" s="274"/>
      <c r="C780" s="138"/>
      <c r="D780" s="118"/>
      <c r="E780" s="138"/>
      <c r="F780" s="138"/>
      <c r="G780" s="330"/>
      <c r="H780" s="146"/>
      <c r="I780" s="146"/>
      <c r="J780" s="146"/>
      <c r="K780" s="146"/>
      <c r="L780" s="146"/>
      <c r="M780" s="146"/>
      <c r="N780" s="146"/>
      <c r="O780" s="146"/>
      <c r="P780" s="146"/>
      <c r="Q780" s="146"/>
      <c r="R780" s="146"/>
      <c r="S780" s="146"/>
      <c r="T780" s="146"/>
      <c r="U780" s="146"/>
      <c r="V780" s="146"/>
      <c r="W780" s="146"/>
      <c r="X780" s="146"/>
      <c r="Y780" s="146"/>
      <c r="Z780" s="146"/>
    </row>
    <row r="781" ht="22.5" customHeight="1">
      <c r="A781" s="329"/>
      <c r="B781" s="274"/>
      <c r="C781" s="138"/>
      <c r="D781" s="118"/>
      <c r="E781" s="138"/>
      <c r="F781" s="138"/>
      <c r="G781" s="330"/>
      <c r="H781" s="146"/>
      <c r="I781" s="146"/>
      <c r="J781" s="146"/>
      <c r="K781" s="146"/>
      <c r="L781" s="146"/>
      <c r="M781" s="146"/>
      <c r="N781" s="146"/>
      <c r="O781" s="146"/>
      <c r="P781" s="146"/>
      <c r="Q781" s="146"/>
      <c r="R781" s="146"/>
      <c r="S781" s="146"/>
      <c r="T781" s="146"/>
      <c r="U781" s="146"/>
      <c r="V781" s="146"/>
      <c r="W781" s="146"/>
      <c r="X781" s="146"/>
      <c r="Y781" s="146"/>
      <c r="Z781" s="146"/>
    </row>
    <row r="782" ht="22.5" customHeight="1">
      <c r="A782" s="329"/>
      <c r="B782" s="274"/>
      <c r="C782" s="138"/>
      <c r="D782" s="118"/>
      <c r="E782" s="138"/>
      <c r="F782" s="138"/>
      <c r="G782" s="330"/>
      <c r="H782" s="146"/>
      <c r="I782" s="146"/>
      <c r="J782" s="146"/>
      <c r="K782" s="146"/>
      <c r="L782" s="146"/>
      <c r="M782" s="146"/>
      <c r="N782" s="146"/>
      <c r="O782" s="146"/>
      <c r="P782" s="146"/>
      <c r="Q782" s="146"/>
      <c r="R782" s="146"/>
      <c r="S782" s="146"/>
      <c r="T782" s="146"/>
      <c r="U782" s="146"/>
      <c r="V782" s="146"/>
      <c r="W782" s="146"/>
      <c r="X782" s="146"/>
      <c r="Y782" s="146"/>
      <c r="Z782" s="146"/>
    </row>
    <row r="783" ht="22.5" customHeight="1">
      <c r="A783" s="329"/>
      <c r="B783" s="274"/>
      <c r="C783" s="138"/>
      <c r="D783" s="118"/>
      <c r="E783" s="138"/>
      <c r="F783" s="138"/>
      <c r="G783" s="330"/>
      <c r="H783" s="146"/>
      <c r="I783" s="146"/>
      <c r="J783" s="146"/>
      <c r="K783" s="146"/>
      <c r="L783" s="146"/>
      <c r="M783" s="146"/>
      <c r="N783" s="146"/>
      <c r="O783" s="146"/>
      <c r="P783" s="146"/>
      <c r="Q783" s="146"/>
      <c r="R783" s="146"/>
      <c r="S783" s="146"/>
      <c r="T783" s="146"/>
      <c r="U783" s="146"/>
      <c r="V783" s="146"/>
      <c r="W783" s="146"/>
      <c r="X783" s="146"/>
      <c r="Y783" s="146"/>
      <c r="Z783" s="146"/>
    </row>
    <row r="784" ht="22.5" customHeight="1">
      <c r="A784" s="329"/>
      <c r="B784" s="274"/>
      <c r="C784" s="138"/>
      <c r="D784" s="118"/>
      <c r="E784" s="138"/>
      <c r="F784" s="138"/>
      <c r="G784" s="330"/>
      <c r="H784" s="146"/>
      <c r="I784" s="146"/>
      <c r="J784" s="146"/>
      <c r="K784" s="146"/>
      <c r="L784" s="146"/>
      <c r="M784" s="146"/>
      <c r="N784" s="146"/>
      <c r="O784" s="146"/>
      <c r="P784" s="146"/>
      <c r="Q784" s="146"/>
      <c r="R784" s="146"/>
      <c r="S784" s="146"/>
      <c r="T784" s="146"/>
      <c r="U784" s="146"/>
      <c r="V784" s="146"/>
      <c r="W784" s="146"/>
      <c r="X784" s="146"/>
      <c r="Y784" s="146"/>
      <c r="Z784" s="146"/>
    </row>
    <row r="785" ht="22.5" customHeight="1">
      <c r="A785" s="329"/>
      <c r="B785" s="274"/>
      <c r="C785" s="138"/>
      <c r="D785" s="118"/>
      <c r="E785" s="138"/>
      <c r="F785" s="138"/>
      <c r="G785" s="330"/>
      <c r="H785" s="146"/>
      <c r="I785" s="146"/>
      <c r="J785" s="146"/>
      <c r="K785" s="146"/>
      <c r="L785" s="146"/>
      <c r="M785" s="146"/>
      <c r="N785" s="146"/>
      <c r="O785" s="146"/>
      <c r="P785" s="146"/>
      <c r="Q785" s="146"/>
      <c r="R785" s="146"/>
      <c r="S785" s="146"/>
      <c r="T785" s="146"/>
      <c r="U785" s="146"/>
      <c r="V785" s="146"/>
      <c r="W785" s="146"/>
      <c r="X785" s="146"/>
      <c r="Y785" s="146"/>
      <c r="Z785" s="146"/>
    </row>
    <row r="786" ht="22.5" customHeight="1">
      <c r="A786" s="329"/>
      <c r="B786" s="274"/>
      <c r="C786" s="138"/>
      <c r="D786" s="118"/>
      <c r="E786" s="138"/>
      <c r="F786" s="138"/>
      <c r="G786" s="330"/>
      <c r="H786" s="146"/>
      <c r="I786" s="146"/>
      <c r="J786" s="146"/>
      <c r="K786" s="146"/>
      <c r="L786" s="146"/>
      <c r="M786" s="146"/>
      <c r="N786" s="146"/>
      <c r="O786" s="146"/>
      <c r="P786" s="146"/>
      <c r="Q786" s="146"/>
      <c r="R786" s="146"/>
      <c r="S786" s="146"/>
      <c r="T786" s="146"/>
      <c r="U786" s="146"/>
      <c r="V786" s="146"/>
      <c r="W786" s="146"/>
      <c r="X786" s="146"/>
      <c r="Y786" s="146"/>
      <c r="Z786" s="146"/>
    </row>
    <row r="787" ht="22.5" customHeight="1">
      <c r="A787" s="329"/>
      <c r="B787" s="274"/>
      <c r="C787" s="138"/>
      <c r="D787" s="118"/>
      <c r="E787" s="138"/>
      <c r="F787" s="138"/>
      <c r="G787" s="330"/>
      <c r="H787" s="146"/>
      <c r="I787" s="146"/>
      <c r="J787" s="146"/>
      <c r="K787" s="146"/>
      <c r="L787" s="146"/>
      <c r="M787" s="146"/>
      <c r="N787" s="146"/>
      <c r="O787" s="146"/>
      <c r="P787" s="146"/>
      <c r="Q787" s="146"/>
      <c r="R787" s="146"/>
      <c r="S787" s="146"/>
      <c r="T787" s="146"/>
      <c r="U787" s="146"/>
      <c r="V787" s="146"/>
      <c r="W787" s="146"/>
      <c r="X787" s="146"/>
      <c r="Y787" s="146"/>
      <c r="Z787" s="146"/>
    </row>
    <row r="788" ht="22.5" customHeight="1">
      <c r="A788" s="329"/>
      <c r="B788" s="274"/>
      <c r="C788" s="138"/>
      <c r="D788" s="118"/>
      <c r="E788" s="138"/>
      <c r="F788" s="138"/>
      <c r="G788" s="330"/>
      <c r="H788" s="146"/>
      <c r="I788" s="146"/>
      <c r="J788" s="146"/>
      <c r="K788" s="146"/>
      <c r="L788" s="146"/>
      <c r="M788" s="146"/>
      <c r="N788" s="146"/>
      <c r="O788" s="146"/>
      <c r="P788" s="146"/>
      <c r="Q788" s="146"/>
      <c r="R788" s="146"/>
      <c r="S788" s="146"/>
      <c r="T788" s="146"/>
      <c r="U788" s="146"/>
      <c r="V788" s="146"/>
      <c r="W788" s="146"/>
      <c r="X788" s="146"/>
      <c r="Y788" s="146"/>
      <c r="Z788" s="146"/>
    </row>
    <row r="789" ht="22.5" customHeight="1">
      <c r="A789" s="329"/>
      <c r="B789" s="274"/>
      <c r="C789" s="138"/>
      <c r="D789" s="118"/>
      <c r="E789" s="138"/>
      <c r="F789" s="138"/>
      <c r="G789" s="330"/>
      <c r="H789" s="146"/>
      <c r="I789" s="146"/>
      <c r="J789" s="146"/>
      <c r="K789" s="146"/>
      <c r="L789" s="146"/>
      <c r="M789" s="146"/>
      <c r="N789" s="146"/>
      <c r="O789" s="146"/>
      <c r="P789" s="146"/>
      <c r="Q789" s="146"/>
      <c r="R789" s="146"/>
      <c r="S789" s="146"/>
      <c r="T789" s="146"/>
      <c r="U789" s="146"/>
      <c r="V789" s="146"/>
      <c r="W789" s="146"/>
      <c r="X789" s="146"/>
      <c r="Y789" s="146"/>
      <c r="Z789" s="146"/>
    </row>
    <row r="790" ht="22.5" customHeight="1">
      <c r="A790" s="329"/>
      <c r="B790" s="274"/>
      <c r="C790" s="138"/>
      <c r="D790" s="118"/>
      <c r="E790" s="138"/>
      <c r="F790" s="138"/>
      <c r="G790" s="330"/>
      <c r="H790" s="146"/>
      <c r="I790" s="146"/>
      <c r="J790" s="146"/>
      <c r="K790" s="146"/>
      <c r="L790" s="146"/>
      <c r="M790" s="146"/>
      <c r="N790" s="146"/>
      <c r="O790" s="146"/>
      <c r="P790" s="146"/>
      <c r="Q790" s="146"/>
      <c r="R790" s="146"/>
      <c r="S790" s="146"/>
      <c r="T790" s="146"/>
      <c r="U790" s="146"/>
      <c r="V790" s="146"/>
      <c r="W790" s="146"/>
      <c r="X790" s="146"/>
      <c r="Y790" s="146"/>
      <c r="Z790" s="146"/>
    </row>
    <row r="791" ht="22.5" customHeight="1">
      <c r="A791" s="329"/>
      <c r="B791" s="274"/>
      <c r="C791" s="138"/>
      <c r="D791" s="118"/>
      <c r="E791" s="138"/>
      <c r="F791" s="138"/>
      <c r="G791" s="330"/>
      <c r="H791" s="146"/>
      <c r="I791" s="146"/>
      <c r="J791" s="146"/>
      <c r="K791" s="146"/>
      <c r="L791" s="146"/>
      <c r="M791" s="146"/>
      <c r="N791" s="146"/>
      <c r="O791" s="146"/>
      <c r="P791" s="146"/>
      <c r="Q791" s="146"/>
      <c r="R791" s="146"/>
      <c r="S791" s="146"/>
      <c r="T791" s="146"/>
      <c r="U791" s="146"/>
      <c r="V791" s="146"/>
      <c r="W791" s="146"/>
      <c r="X791" s="146"/>
      <c r="Y791" s="146"/>
      <c r="Z791" s="146"/>
    </row>
    <row r="792" ht="22.5" customHeight="1">
      <c r="A792" s="329"/>
      <c r="B792" s="274"/>
      <c r="C792" s="138"/>
      <c r="D792" s="118"/>
      <c r="E792" s="138"/>
      <c r="F792" s="138"/>
      <c r="G792" s="330"/>
      <c r="H792" s="146"/>
      <c r="I792" s="146"/>
      <c r="J792" s="146"/>
      <c r="K792" s="146"/>
      <c r="L792" s="146"/>
      <c r="M792" s="146"/>
      <c r="N792" s="146"/>
      <c r="O792" s="146"/>
      <c r="P792" s="146"/>
      <c r="Q792" s="146"/>
      <c r="R792" s="146"/>
      <c r="S792" s="146"/>
      <c r="T792" s="146"/>
      <c r="U792" s="146"/>
      <c r="V792" s="146"/>
      <c r="W792" s="146"/>
      <c r="X792" s="146"/>
      <c r="Y792" s="146"/>
      <c r="Z792" s="146"/>
    </row>
    <row r="793" ht="22.5" customHeight="1">
      <c r="A793" s="329"/>
      <c r="B793" s="274"/>
      <c r="C793" s="138"/>
      <c r="D793" s="118"/>
      <c r="E793" s="138"/>
      <c r="F793" s="138"/>
      <c r="G793" s="330"/>
      <c r="H793" s="146"/>
      <c r="I793" s="146"/>
      <c r="J793" s="146"/>
      <c r="K793" s="146"/>
      <c r="L793" s="146"/>
      <c r="M793" s="146"/>
      <c r="N793" s="146"/>
      <c r="O793" s="146"/>
      <c r="P793" s="146"/>
      <c r="Q793" s="146"/>
      <c r="R793" s="146"/>
      <c r="S793" s="146"/>
      <c r="T793" s="146"/>
      <c r="U793" s="146"/>
      <c r="V793" s="146"/>
      <c r="W793" s="146"/>
      <c r="X793" s="146"/>
      <c r="Y793" s="146"/>
      <c r="Z793" s="146"/>
    </row>
    <row r="794" ht="22.5" customHeight="1">
      <c r="A794" s="329"/>
      <c r="B794" s="274"/>
      <c r="C794" s="138"/>
      <c r="D794" s="118"/>
      <c r="E794" s="138"/>
      <c r="F794" s="138"/>
      <c r="G794" s="330"/>
      <c r="H794" s="146"/>
      <c r="I794" s="146"/>
      <c r="J794" s="146"/>
      <c r="K794" s="146"/>
      <c r="L794" s="146"/>
      <c r="M794" s="146"/>
      <c r="N794" s="146"/>
      <c r="O794" s="146"/>
      <c r="P794" s="146"/>
      <c r="Q794" s="146"/>
      <c r="R794" s="146"/>
      <c r="S794" s="146"/>
      <c r="T794" s="146"/>
      <c r="U794" s="146"/>
      <c r="V794" s="146"/>
      <c r="W794" s="146"/>
      <c r="X794" s="146"/>
      <c r="Y794" s="146"/>
      <c r="Z794" s="146"/>
    </row>
    <row r="795" ht="22.5" customHeight="1">
      <c r="A795" s="329"/>
      <c r="B795" s="274"/>
      <c r="C795" s="138"/>
      <c r="D795" s="118"/>
      <c r="E795" s="138"/>
      <c r="F795" s="138"/>
      <c r="G795" s="330"/>
      <c r="H795" s="146"/>
      <c r="I795" s="146"/>
      <c r="J795" s="146"/>
      <c r="K795" s="146"/>
      <c r="L795" s="146"/>
      <c r="M795" s="146"/>
      <c r="N795" s="146"/>
      <c r="O795" s="146"/>
      <c r="P795" s="146"/>
      <c r="Q795" s="146"/>
      <c r="R795" s="146"/>
      <c r="S795" s="146"/>
      <c r="T795" s="146"/>
      <c r="U795" s="146"/>
      <c r="V795" s="146"/>
      <c r="W795" s="146"/>
      <c r="X795" s="146"/>
      <c r="Y795" s="146"/>
      <c r="Z795" s="146"/>
    </row>
    <row r="796" ht="22.5" customHeight="1">
      <c r="A796" s="329"/>
      <c r="B796" s="274"/>
      <c r="C796" s="138"/>
      <c r="D796" s="118"/>
      <c r="E796" s="138"/>
      <c r="F796" s="138"/>
      <c r="G796" s="330"/>
      <c r="H796" s="146"/>
      <c r="I796" s="146"/>
      <c r="J796" s="146"/>
      <c r="K796" s="146"/>
      <c r="L796" s="146"/>
      <c r="M796" s="146"/>
      <c r="N796" s="146"/>
      <c r="O796" s="146"/>
      <c r="P796" s="146"/>
      <c r="Q796" s="146"/>
      <c r="R796" s="146"/>
      <c r="S796" s="146"/>
      <c r="T796" s="146"/>
      <c r="U796" s="146"/>
      <c r="V796" s="146"/>
      <c r="W796" s="146"/>
      <c r="X796" s="146"/>
      <c r="Y796" s="146"/>
      <c r="Z796" s="146"/>
    </row>
    <row r="797" ht="22.5" customHeight="1">
      <c r="A797" s="329"/>
      <c r="B797" s="274"/>
      <c r="C797" s="138"/>
      <c r="D797" s="118"/>
      <c r="E797" s="138"/>
      <c r="F797" s="138"/>
      <c r="G797" s="330"/>
      <c r="H797" s="146"/>
      <c r="I797" s="146"/>
      <c r="J797" s="146"/>
      <c r="K797" s="146"/>
      <c r="L797" s="146"/>
      <c r="M797" s="146"/>
      <c r="N797" s="146"/>
      <c r="O797" s="146"/>
      <c r="P797" s="146"/>
      <c r="Q797" s="146"/>
      <c r="R797" s="146"/>
      <c r="S797" s="146"/>
      <c r="T797" s="146"/>
      <c r="U797" s="146"/>
      <c r="V797" s="146"/>
      <c r="W797" s="146"/>
      <c r="X797" s="146"/>
      <c r="Y797" s="146"/>
      <c r="Z797" s="146"/>
    </row>
    <row r="798" ht="22.5" customHeight="1">
      <c r="A798" s="329"/>
      <c r="B798" s="274"/>
      <c r="C798" s="138"/>
      <c r="D798" s="118"/>
      <c r="E798" s="138"/>
      <c r="F798" s="138"/>
      <c r="G798" s="330"/>
      <c r="H798" s="146"/>
      <c r="I798" s="146"/>
      <c r="J798" s="146"/>
      <c r="K798" s="146"/>
      <c r="L798" s="146"/>
      <c r="M798" s="146"/>
      <c r="N798" s="146"/>
      <c r="O798" s="146"/>
      <c r="P798" s="146"/>
      <c r="Q798" s="146"/>
      <c r="R798" s="146"/>
      <c r="S798" s="146"/>
      <c r="T798" s="146"/>
      <c r="U798" s="146"/>
      <c r="V798" s="146"/>
      <c r="W798" s="146"/>
      <c r="X798" s="146"/>
      <c r="Y798" s="146"/>
      <c r="Z798" s="146"/>
    </row>
    <row r="799" ht="22.5" customHeight="1">
      <c r="A799" s="329"/>
      <c r="B799" s="274"/>
      <c r="C799" s="138"/>
      <c r="D799" s="118"/>
      <c r="E799" s="138"/>
      <c r="F799" s="138"/>
      <c r="G799" s="330"/>
      <c r="H799" s="146"/>
      <c r="I799" s="146"/>
      <c r="J799" s="146"/>
      <c r="K799" s="146"/>
      <c r="L799" s="146"/>
      <c r="M799" s="146"/>
      <c r="N799" s="146"/>
      <c r="O799" s="146"/>
      <c r="P799" s="146"/>
      <c r="Q799" s="146"/>
      <c r="R799" s="146"/>
      <c r="S799" s="146"/>
      <c r="T799" s="146"/>
      <c r="U799" s="146"/>
      <c r="V799" s="146"/>
      <c r="W799" s="146"/>
      <c r="X799" s="146"/>
      <c r="Y799" s="146"/>
      <c r="Z799" s="146"/>
    </row>
    <row r="800" ht="22.5" customHeight="1">
      <c r="A800" s="329"/>
      <c r="B800" s="274"/>
      <c r="C800" s="138"/>
      <c r="D800" s="118"/>
      <c r="E800" s="138"/>
      <c r="F800" s="138"/>
      <c r="G800" s="330"/>
      <c r="H800" s="146"/>
      <c r="I800" s="146"/>
      <c r="J800" s="146"/>
      <c r="K800" s="146"/>
      <c r="L800" s="146"/>
      <c r="M800" s="146"/>
      <c r="N800" s="146"/>
      <c r="O800" s="146"/>
      <c r="P800" s="146"/>
      <c r="Q800" s="146"/>
      <c r="R800" s="146"/>
      <c r="S800" s="146"/>
      <c r="T800" s="146"/>
      <c r="U800" s="146"/>
      <c r="V800" s="146"/>
      <c r="W800" s="146"/>
      <c r="X800" s="146"/>
      <c r="Y800" s="146"/>
      <c r="Z800" s="146"/>
    </row>
    <row r="801" ht="22.5" customHeight="1">
      <c r="A801" s="329"/>
      <c r="B801" s="274"/>
      <c r="C801" s="138"/>
      <c r="D801" s="118"/>
      <c r="E801" s="138"/>
      <c r="F801" s="138"/>
      <c r="G801" s="330"/>
      <c r="H801" s="146"/>
      <c r="I801" s="146"/>
      <c r="J801" s="146"/>
      <c r="K801" s="146"/>
      <c r="L801" s="146"/>
      <c r="M801" s="146"/>
      <c r="N801" s="146"/>
      <c r="O801" s="146"/>
      <c r="P801" s="146"/>
      <c r="Q801" s="146"/>
      <c r="R801" s="146"/>
      <c r="S801" s="146"/>
      <c r="T801" s="146"/>
      <c r="U801" s="146"/>
      <c r="V801" s="146"/>
      <c r="W801" s="146"/>
      <c r="X801" s="146"/>
      <c r="Y801" s="146"/>
      <c r="Z801" s="146"/>
    </row>
    <row r="802" ht="22.5" customHeight="1">
      <c r="A802" s="329"/>
      <c r="B802" s="274"/>
      <c r="C802" s="138"/>
      <c r="D802" s="118"/>
      <c r="E802" s="138"/>
      <c r="F802" s="138"/>
      <c r="G802" s="330"/>
      <c r="H802" s="146"/>
      <c r="I802" s="146"/>
      <c r="J802" s="146"/>
      <c r="K802" s="146"/>
      <c r="L802" s="146"/>
      <c r="M802" s="146"/>
      <c r="N802" s="146"/>
      <c r="O802" s="146"/>
      <c r="P802" s="146"/>
      <c r="Q802" s="146"/>
      <c r="R802" s="146"/>
      <c r="S802" s="146"/>
      <c r="T802" s="146"/>
      <c r="U802" s="146"/>
      <c r="V802" s="146"/>
      <c r="W802" s="146"/>
      <c r="X802" s="146"/>
      <c r="Y802" s="146"/>
      <c r="Z802" s="146"/>
    </row>
    <row r="803" ht="22.5" customHeight="1">
      <c r="A803" s="329"/>
      <c r="B803" s="274"/>
      <c r="C803" s="138"/>
      <c r="D803" s="118"/>
      <c r="E803" s="138"/>
      <c r="F803" s="138"/>
      <c r="G803" s="330"/>
      <c r="H803" s="146"/>
      <c r="I803" s="146"/>
      <c r="J803" s="146"/>
      <c r="K803" s="146"/>
      <c r="L803" s="146"/>
      <c r="M803" s="146"/>
      <c r="N803" s="146"/>
      <c r="O803" s="146"/>
      <c r="P803" s="146"/>
      <c r="Q803" s="146"/>
      <c r="R803" s="146"/>
      <c r="S803" s="146"/>
      <c r="T803" s="146"/>
      <c r="U803" s="146"/>
      <c r="V803" s="146"/>
      <c r="W803" s="146"/>
      <c r="X803" s="146"/>
      <c r="Y803" s="146"/>
      <c r="Z803" s="146"/>
    </row>
    <row r="804" ht="22.5" customHeight="1">
      <c r="A804" s="329"/>
      <c r="B804" s="274"/>
      <c r="C804" s="138"/>
      <c r="D804" s="118"/>
      <c r="E804" s="138"/>
      <c r="F804" s="138"/>
      <c r="G804" s="330"/>
      <c r="H804" s="146"/>
      <c r="I804" s="146"/>
      <c r="J804" s="146"/>
      <c r="K804" s="146"/>
      <c r="L804" s="146"/>
      <c r="M804" s="146"/>
      <c r="N804" s="146"/>
      <c r="O804" s="146"/>
      <c r="P804" s="146"/>
      <c r="Q804" s="146"/>
      <c r="R804" s="146"/>
      <c r="S804" s="146"/>
      <c r="T804" s="146"/>
      <c r="U804" s="146"/>
      <c r="V804" s="146"/>
      <c r="W804" s="146"/>
      <c r="X804" s="146"/>
      <c r="Y804" s="146"/>
      <c r="Z804" s="146"/>
    </row>
    <row r="805" ht="22.5" customHeight="1">
      <c r="A805" s="329"/>
      <c r="B805" s="274"/>
      <c r="C805" s="138"/>
      <c r="D805" s="118"/>
      <c r="E805" s="138"/>
      <c r="F805" s="138"/>
      <c r="G805" s="330"/>
      <c r="H805" s="146"/>
      <c r="I805" s="146"/>
      <c r="J805" s="146"/>
      <c r="K805" s="146"/>
      <c r="L805" s="146"/>
      <c r="M805" s="146"/>
      <c r="N805" s="146"/>
      <c r="O805" s="146"/>
      <c r="P805" s="146"/>
      <c r="Q805" s="146"/>
      <c r="R805" s="146"/>
      <c r="S805" s="146"/>
      <c r="T805" s="146"/>
      <c r="U805" s="146"/>
      <c r="V805" s="146"/>
      <c r="W805" s="146"/>
      <c r="X805" s="146"/>
      <c r="Y805" s="146"/>
      <c r="Z805" s="146"/>
    </row>
    <row r="806" ht="22.5" customHeight="1">
      <c r="A806" s="329"/>
      <c r="B806" s="274"/>
      <c r="C806" s="138"/>
      <c r="D806" s="118"/>
      <c r="E806" s="138"/>
      <c r="F806" s="138"/>
      <c r="G806" s="330"/>
      <c r="H806" s="146"/>
      <c r="I806" s="146"/>
      <c r="J806" s="146"/>
      <c r="K806" s="146"/>
      <c r="L806" s="146"/>
      <c r="M806" s="146"/>
      <c r="N806" s="146"/>
      <c r="O806" s="146"/>
      <c r="P806" s="146"/>
      <c r="Q806" s="146"/>
      <c r="R806" s="146"/>
      <c r="S806" s="146"/>
      <c r="T806" s="146"/>
      <c r="U806" s="146"/>
      <c r="V806" s="146"/>
      <c r="W806" s="146"/>
      <c r="X806" s="146"/>
      <c r="Y806" s="146"/>
      <c r="Z806" s="146"/>
    </row>
    <row r="807" ht="22.5" customHeight="1">
      <c r="A807" s="329"/>
      <c r="B807" s="274"/>
      <c r="C807" s="138"/>
      <c r="D807" s="118"/>
      <c r="E807" s="138"/>
      <c r="F807" s="138"/>
      <c r="G807" s="330"/>
      <c r="H807" s="146"/>
      <c r="I807" s="146"/>
      <c r="J807" s="146"/>
      <c r="K807" s="146"/>
      <c r="L807" s="146"/>
      <c r="M807" s="146"/>
      <c r="N807" s="146"/>
      <c r="O807" s="146"/>
      <c r="P807" s="146"/>
      <c r="Q807" s="146"/>
      <c r="R807" s="146"/>
      <c r="S807" s="146"/>
      <c r="T807" s="146"/>
      <c r="U807" s="146"/>
      <c r="V807" s="146"/>
      <c r="W807" s="146"/>
      <c r="X807" s="146"/>
      <c r="Y807" s="146"/>
      <c r="Z807" s="146"/>
    </row>
    <row r="808" ht="22.5" customHeight="1">
      <c r="A808" s="329"/>
      <c r="B808" s="274"/>
      <c r="C808" s="138"/>
      <c r="D808" s="118"/>
      <c r="E808" s="138"/>
      <c r="F808" s="138"/>
      <c r="G808" s="330"/>
      <c r="H808" s="146"/>
      <c r="I808" s="146"/>
      <c r="J808" s="146"/>
      <c r="K808" s="146"/>
      <c r="L808" s="146"/>
      <c r="M808" s="146"/>
      <c r="N808" s="146"/>
      <c r="O808" s="146"/>
      <c r="P808" s="146"/>
      <c r="Q808" s="146"/>
      <c r="R808" s="146"/>
      <c r="S808" s="146"/>
      <c r="T808" s="146"/>
      <c r="U808" s="146"/>
      <c r="V808" s="146"/>
      <c r="W808" s="146"/>
      <c r="X808" s="146"/>
      <c r="Y808" s="146"/>
      <c r="Z808" s="146"/>
    </row>
    <row r="809" ht="22.5" customHeight="1">
      <c r="A809" s="329"/>
      <c r="B809" s="274"/>
      <c r="C809" s="138"/>
      <c r="D809" s="118"/>
      <c r="E809" s="138"/>
      <c r="F809" s="138"/>
      <c r="G809" s="330"/>
      <c r="H809" s="146"/>
      <c r="I809" s="146"/>
      <c r="J809" s="146"/>
      <c r="K809" s="146"/>
      <c r="L809" s="146"/>
      <c r="M809" s="146"/>
      <c r="N809" s="146"/>
      <c r="O809" s="146"/>
      <c r="P809" s="146"/>
      <c r="Q809" s="146"/>
      <c r="R809" s="146"/>
      <c r="S809" s="146"/>
      <c r="T809" s="146"/>
      <c r="U809" s="146"/>
      <c r="V809" s="146"/>
      <c r="W809" s="146"/>
      <c r="X809" s="146"/>
      <c r="Y809" s="146"/>
      <c r="Z809" s="146"/>
    </row>
    <row r="810" ht="22.5" customHeight="1">
      <c r="A810" s="329"/>
      <c r="B810" s="274"/>
      <c r="C810" s="138"/>
      <c r="D810" s="118"/>
      <c r="E810" s="138"/>
      <c r="F810" s="138"/>
      <c r="G810" s="330"/>
      <c r="H810" s="146"/>
      <c r="I810" s="146"/>
      <c r="J810" s="146"/>
      <c r="K810" s="146"/>
      <c r="L810" s="146"/>
      <c r="M810" s="146"/>
      <c r="N810" s="146"/>
      <c r="O810" s="146"/>
      <c r="P810" s="146"/>
      <c r="Q810" s="146"/>
      <c r="R810" s="146"/>
      <c r="S810" s="146"/>
      <c r="T810" s="146"/>
      <c r="U810" s="146"/>
      <c r="V810" s="146"/>
      <c r="W810" s="146"/>
      <c r="X810" s="146"/>
      <c r="Y810" s="146"/>
      <c r="Z810" s="146"/>
    </row>
    <row r="811" ht="22.5" customHeight="1">
      <c r="A811" s="329"/>
      <c r="B811" s="274"/>
      <c r="C811" s="138"/>
      <c r="D811" s="118"/>
      <c r="E811" s="138"/>
      <c r="F811" s="138"/>
      <c r="G811" s="330"/>
      <c r="H811" s="146"/>
      <c r="I811" s="146"/>
      <c r="J811" s="146"/>
      <c r="K811" s="146"/>
      <c r="L811" s="146"/>
      <c r="M811" s="146"/>
      <c r="N811" s="146"/>
      <c r="O811" s="146"/>
      <c r="P811" s="146"/>
      <c r="Q811" s="146"/>
      <c r="R811" s="146"/>
      <c r="S811" s="146"/>
      <c r="T811" s="146"/>
      <c r="U811" s="146"/>
      <c r="V811" s="146"/>
      <c r="W811" s="146"/>
      <c r="X811" s="146"/>
      <c r="Y811" s="146"/>
      <c r="Z811" s="146"/>
    </row>
    <row r="812" ht="22.5" customHeight="1">
      <c r="A812" s="329"/>
      <c r="B812" s="274"/>
      <c r="C812" s="138"/>
      <c r="D812" s="118"/>
      <c r="E812" s="138"/>
      <c r="F812" s="138"/>
      <c r="G812" s="330"/>
      <c r="H812" s="146"/>
      <c r="I812" s="146"/>
      <c r="J812" s="146"/>
      <c r="K812" s="146"/>
      <c r="L812" s="146"/>
      <c r="M812" s="146"/>
      <c r="N812" s="146"/>
      <c r="O812" s="146"/>
      <c r="P812" s="146"/>
      <c r="Q812" s="146"/>
      <c r="R812" s="146"/>
      <c r="S812" s="146"/>
      <c r="T812" s="146"/>
      <c r="U812" s="146"/>
      <c r="V812" s="146"/>
      <c r="W812" s="146"/>
      <c r="X812" s="146"/>
      <c r="Y812" s="146"/>
      <c r="Z812" s="146"/>
    </row>
    <row r="813" ht="22.5" customHeight="1">
      <c r="A813" s="329"/>
      <c r="B813" s="274"/>
      <c r="C813" s="138"/>
      <c r="D813" s="118"/>
      <c r="E813" s="138"/>
      <c r="F813" s="138"/>
      <c r="G813" s="330"/>
      <c r="H813" s="146"/>
      <c r="I813" s="146"/>
      <c r="J813" s="146"/>
      <c r="K813" s="146"/>
      <c r="L813" s="146"/>
      <c r="M813" s="146"/>
      <c r="N813" s="146"/>
      <c r="O813" s="146"/>
      <c r="P813" s="146"/>
      <c r="Q813" s="146"/>
      <c r="R813" s="146"/>
      <c r="S813" s="146"/>
      <c r="T813" s="146"/>
      <c r="U813" s="146"/>
      <c r="V813" s="146"/>
      <c r="W813" s="146"/>
      <c r="X813" s="146"/>
      <c r="Y813" s="146"/>
      <c r="Z813" s="146"/>
    </row>
    <row r="814" ht="22.5" customHeight="1">
      <c r="A814" s="329"/>
      <c r="B814" s="274"/>
      <c r="C814" s="138"/>
      <c r="D814" s="118"/>
      <c r="E814" s="138"/>
      <c r="F814" s="138"/>
      <c r="G814" s="330"/>
      <c r="H814" s="146"/>
      <c r="I814" s="146"/>
      <c r="J814" s="146"/>
      <c r="K814" s="146"/>
      <c r="L814" s="146"/>
      <c r="M814" s="146"/>
      <c r="N814" s="146"/>
      <c r="O814" s="146"/>
      <c r="P814" s="146"/>
      <c r="Q814" s="146"/>
      <c r="R814" s="146"/>
      <c r="S814" s="146"/>
      <c r="T814" s="146"/>
      <c r="U814" s="146"/>
      <c r="V814" s="146"/>
      <c r="W814" s="146"/>
      <c r="X814" s="146"/>
      <c r="Y814" s="146"/>
      <c r="Z814" s="146"/>
    </row>
    <row r="815" ht="22.5" customHeight="1">
      <c r="A815" s="329"/>
      <c r="B815" s="274"/>
      <c r="C815" s="138"/>
      <c r="D815" s="118"/>
      <c r="E815" s="138"/>
      <c r="F815" s="138"/>
      <c r="G815" s="330"/>
      <c r="H815" s="146"/>
      <c r="I815" s="146"/>
      <c r="J815" s="146"/>
      <c r="K815" s="146"/>
      <c r="L815" s="146"/>
      <c r="M815" s="146"/>
      <c r="N815" s="146"/>
      <c r="O815" s="146"/>
      <c r="P815" s="146"/>
      <c r="Q815" s="146"/>
      <c r="R815" s="146"/>
      <c r="S815" s="146"/>
      <c r="T815" s="146"/>
      <c r="U815" s="146"/>
      <c r="V815" s="146"/>
      <c r="W815" s="146"/>
      <c r="X815" s="146"/>
      <c r="Y815" s="146"/>
      <c r="Z815" s="146"/>
    </row>
    <row r="816" ht="22.5" customHeight="1">
      <c r="A816" s="329"/>
      <c r="B816" s="274"/>
      <c r="C816" s="138"/>
      <c r="D816" s="118"/>
      <c r="E816" s="138"/>
      <c r="F816" s="138"/>
      <c r="G816" s="330"/>
      <c r="H816" s="146"/>
      <c r="I816" s="146"/>
      <c r="J816" s="146"/>
      <c r="K816" s="146"/>
      <c r="L816" s="146"/>
      <c r="M816" s="146"/>
      <c r="N816" s="146"/>
      <c r="O816" s="146"/>
      <c r="P816" s="146"/>
      <c r="Q816" s="146"/>
      <c r="R816" s="146"/>
      <c r="S816" s="146"/>
      <c r="T816" s="146"/>
      <c r="U816" s="146"/>
      <c r="V816" s="146"/>
      <c r="W816" s="146"/>
      <c r="X816" s="146"/>
      <c r="Y816" s="146"/>
      <c r="Z816" s="146"/>
    </row>
    <row r="817" ht="22.5" customHeight="1">
      <c r="A817" s="329"/>
      <c r="B817" s="274"/>
      <c r="C817" s="138"/>
      <c r="D817" s="118"/>
      <c r="E817" s="138"/>
      <c r="F817" s="138"/>
      <c r="G817" s="330"/>
      <c r="H817" s="146"/>
      <c r="I817" s="146"/>
      <c r="J817" s="146"/>
      <c r="K817" s="146"/>
      <c r="L817" s="146"/>
      <c r="M817" s="146"/>
      <c r="N817" s="146"/>
      <c r="O817" s="146"/>
      <c r="P817" s="146"/>
      <c r="Q817" s="146"/>
      <c r="R817" s="146"/>
      <c r="S817" s="146"/>
      <c r="T817" s="146"/>
      <c r="U817" s="146"/>
      <c r="V817" s="146"/>
      <c r="W817" s="146"/>
      <c r="X817" s="146"/>
      <c r="Y817" s="146"/>
      <c r="Z817" s="146"/>
    </row>
    <row r="818" ht="22.5" customHeight="1">
      <c r="A818" s="329"/>
      <c r="B818" s="274"/>
      <c r="C818" s="138"/>
      <c r="D818" s="118"/>
      <c r="E818" s="138"/>
      <c r="F818" s="138"/>
      <c r="G818" s="330"/>
      <c r="H818" s="146"/>
      <c r="I818" s="146"/>
      <c r="J818" s="146"/>
      <c r="K818" s="146"/>
      <c r="L818" s="146"/>
      <c r="M818" s="146"/>
      <c r="N818" s="146"/>
      <c r="O818" s="146"/>
      <c r="P818" s="146"/>
      <c r="Q818" s="146"/>
      <c r="R818" s="146"/>
      <c r="S818" s="146"/>
      <c r="T818" s="146"/>
      <c r="U818" s="146"/>
      <c r="V818" s="146"/>
      <c r="W818" s="146"/>
      <c r="X818" s="146"/>
      <c r="Y818" s="146"/>
      <c r="Z818" s="146"/>
    </row>
    <row r="819" ht="22.5" customHeight="1">
      <c r="A819" s="329"/>
      <c r="B819" s="274"/>
      <c r="C819" s="138"/>
      <c r="D819" s="118"/>
      <c r="E819" s="138"/>
      <c r="F819" s="138"/>
      <c r="G819" s="330"/>
      <c r="H819" s="146"/>
      <c r="I819" s="146"/>
      <c r="J819" s="146"/>
      <c r="K819" s="146"/>
      <c r="L819" s="146"/>
      <c r="M819" s="146"/>
      <c r="N819" s="146"/>
      <c r="O819" s="146"/>
      <c r="P819" s="146"/>
      <c r="Q819" s="146"/>
      <c r="R819" s="146"/>
      <c r="S819" s="146"/>
      <c r="T819" s="146"/>
      <c r="U819" s="146"/>
      <c r="V819" s="146"/>
      <c r="W819" s="146"/>
      <c r="X819" s="146"/>
      <c r="Y819" s="146"/>
      <c r="Z819" s="146"/>
    </row>
    <row r="820" ht="22.5" customHeight="1">
      <c r="A820" s="329"/>
      <c r="B820" s="274"/>
      <c r="C820" s="138"/>
      <c r="D820" s="118"/>
      <c r="E820" s="138"/>
      <c r="F820" s="138"/>
      <c r="G820" s="330"/>
      <c r="H820" s="146"/>
      <c r="I820" s="146"/>
      <c r="J820" s="146"/>
      <c r="K820" s="146"/>
      <c r="L820" s="146"/>
      <c r="M820" s="146"/>
      <c r="N820" s="146"/>
      <c r="O820" s="146"/>
      <c r="P820" s="146"/>
      <c r="Q820" s="146"/>
      <c r="R820" s="146"/>
      <c r="S820" s="146"/>
      <c r="T820" s="146"/>
      <c r="U820" s="146"/>
      <c r="V820" s="146"/>
      <c r="W820" s="146"/>
      <c r="X820" s="146"/>
      <c r="Y820" s="146"/>
      <c r="Z820" s="146"/>
    </row>
    <row r="821" ht="22.5" customHeight="1">
      <c r="A821" s="329"/>
      <c r="B821" s="274"/>
      <c r="C821" s="138"/>
      <c r="D821" s="118"/>
      <c r="E821" s="138"/>
      <c r="F821" s="138"/>
      <c r="G821" s="330"/>
      <c r="H821" s="146"/>
      <c r="I821" s="146"/>
      <c r="J821" s="146"/>
      <c r="K821" s="146"/>
      <c r="L821" s="146"/>
      <c r="M821" s="146"/>
      <c r="N821" s="146"/>
      <c r="O821" s="146"/>
      <c r="P821" s="146"/>
      <c r="Q821" s="146"/>
      <c r="R821" s="146"/>
      <c r="S821" s="146"/>
      <c r="T821" s="146"/>
      <c r="U821" s="146"/>
      <c r="V821" s="146"/>
      <c r="W821" s="146"/>
      <c r="X821" s="146"/>
      <c r="Y821" s="146"/>
      <c r="Z821" s="146"/>
    </row>
    <row r="822" ht="22.5" customHeight="1">
      <c r="A822" s="329"/>
      <c r="B822" s="274"/>
      <c r="C822" s="138"/>
      <c r="D822" s="118"/>
      <c r="E822" s="138"/>
      <c r="F822" s="138"/>
      <c r="G822" s="330"/>
      <c r="H822" s="146"/>
      <c r="I822" s="146"/>
      <c r="J822" s="146"/>
      <c r="K822" s="146"/>
      <c r="L822" s="146"/>
      <c r="M822" s="146"/>
      <c r="N822" s="146"/>
      <c r="O822" s="146"/>
      <c r="P822" s="146"/>
      <c r="Q822" s="146"/>
      <c r="R822" s="146"/>
      <c r="S822" s="146"/>
      <c r="T822" s="146"/>
      <c r="U822" s="146"/>
      <c r="V822" s="146"/>
      <c r="W822" s="146"/>
      <c r="X822" s="146"/>
      <c r="Y822" s="146"/>
      <c r="Z822" s="146"/>
    </row>
    <row r="823" ht="22.5" customHeight="1">
      <c r="A823" s="329"/>
      <c r="B823" s="274"/>
      <c r="C823" s="138"/>
      <c r="D823" s="118"/>
      <c r="E823" s="138"/>
      <c r="F823" s="138"/>
      <c r="G823" s="330"/>
      <c r="H823" s="146"/>
      <c r="I823" s="146"/>
      <c r="J823" s="146"/>
      <c r="K823" s="146"/>
      <c r="L823" s="146"/>
      <c r="M823" s="146"/>
      <c r="N823" s="146"/>
      <c r="O823" s="146"/>
      <c r="P823" s="146"/>
      <c r="Q823" s="146"/>
      <c r="R823" s="146"/>
      <c r="S823" s="146"/>
      <c r="T823" s="146"/>
      <c r="U823" s="146"/>
      <c r="V823" s="146"/>
      <c r="W823" s="146"/>
      <c r="X823" s="146"/>
      <c r="Y823" s="146"/>
      <c r="Z823" s="146"/>
    </row>
    <row r="824" ht="22.5" customHeight="1">
      <c r="A824" s="329"/>
      <c r="B824" s="274"/>
      <c r="C824" s="138"/>
      <c r="D824" s="118"/>
      <c r="E824" s="138"/>
      <c r="F824" s="138"/>
      <c r="G824" s="330"/>
      <c r="H824" s="146"/>
      <c r="I824" s="146"/>
      <c r="J824" s="146"/>
      <c r="K824" s="146"/>
      <c r="L824" s="146"/>
      <c r="M824" s="146"/>
      <c r="N824" s="146"/>
      <c r="O824" s="146"/>
      <c r="P824" s="146"/>
      <c r="Q824" s="146"/>
      <c r="R824" s="146"/>
      <c r="S824" s="146"/>
      <c r="T824" s="146"/>
      <c r="U824" s="146"/>
      <c r="V824" s="146"/>
      <c r="W824" s="146"/>
      <c r="X824" s="146"/>
      <c r="Y824" s="146"/>
      <c r="Z824" s="146"/>
    </row>
    <row r="825" ht="22.5" customHeight="1">
      <c r="A825" s="329"/>
      <c r="B825" s="274"/>
      <c r="C825" s="138"/>
      <c r="D825" s="118"/>
      <c r="E825" s="138"/>
      <c r="F825" s="138"/>
      <c r="G825" s="330"/>
      <c r="H825" s="146"/>
      <c r="I825" s="146"/>
      <c r="J825" s="146"/>
      <c r="K825" s="146"/>
      <c r="L825" s="146"/>
      <c r="M825" s="146"/>
      <c r="N825" s="146"/>
      <c r="O825" s="146"/>
      <c r="P825" s="146"/>
      <c r="Q825" s="146"/>
      <c r="R825" s="146"/>
      <c r="S825" s="146"/>
      <c r="T825" s="146"/>
      <c r="U825" s="146"/>
      <c r="V825" s="146"/>
      <c r="W825" s="146"/>
      <c r="X825" s="146"/>
      <c r="Y825" s="146"/>
      <c r="Z825" s="146"/>
    </row>
    <row r="826" ht="22.5" customHeight="1">
      <c r="A826" s="329"/>
      <c r="B826" s="274"/>
      <c r="C826" s="138"/>
      <c r="D826" s="118"/>
      <c r="E826" s="138"/>
      <c r="F826" s="138"/>
      <c r="G826" s="330"/>
      <c r="H826" s="146"/>
      <c r="I826" s="146"/>
      <c r="J826" s="146"/>
      <c r="K826" s="146"/>
      <c r="L826" s="146"/>
      <c r="M826" s="146"/>
      <c r="N826" s="146"/>
      <c r="O826" s="146"/>
      <c r="P826" s="146"/>
      <c r="Q826" s="146"/>
      <c r="R826" s="146"/>
      <c r="S826" s="146"/>
      <c r="T826" s="146"/>
      <c r="U826" s="146"/>
      <c r="V826" s="146"/>
      <c r="W826" s="146"/>
      <c r="X826" s="146"/>
      <c r="Y826" s="146"/>
      <c r="Z826" s="146"/>
    </row>
    <row r="827" ht="22.5" customHeight="1">
      <c r="A827" s="329"/>
      <c r="B827" s="274"/>
      <c r="C827" s="138"/>
      <c r="D827" s="118"/>
      <c r="E827" s="138"/>
      <c r="F827" s="138"/>
      <c r="G827" s="330"/>
      <c r="H827" s="146"/>
      <c r="I827" s="146"/>
      <c r="J827" s="146"/>
      <c r="K827" s="146"/>
      <c r="L827" s="146"/>
      <c r="M827" s="146"/>
      <c r="N827" s="146"/>
      <c r="O827" s="146"/>
      <c r="P827" s="146"/>
      <c r="Q827" s="146"/>
      <c r="R827" s="146"/>
      <c r="S827" s="146"/>
      <c r="T827" s="146"/>
      <c r="U827" s="146"/>
      <c r="V827" s="146"/>
      <c r="W827" s="146"/>
      <c r="X827" s="146"/>
      <c r="Y827" s="146"/>
      <c r="Z827" s="146"/>
    </row>
    <row r="828" ht="22.5" customHeight="1">
      <c r="A828" s="329"/>
      <c r="B828" s="274"/>
      <c r="C828" s="138"/>
      <c r="D828" s="118"/>
      <c r="E828" s="138"/>
      <c r="F828" s="138"/>
      <c r="G828" s="330"/>
      <c r="H828" s="146"/>
      <c r="I828" s="146"/>
      <c r="J828" s="146"/>
      <c r="K828" s="146"/>
      <c r="L828" s="146"/>
      <c r="M828" s="146"/>
      <c r="N828" s="146"/>
      <c r="O828" s="146"/>
      <c r="P828" s="146"/>
      <c r="Q828" s="146"/>
      <c r="R828" s="146"/>
      <c r="S828" s="146"/>
      <c r="T828" s="146"/>
      <c r="U828" s="146"/>
      <c r="V828" s="146"/>
      <c r="W828" s="146"/>
      <c r="X828" s="146"/>
      <c r="Y828" s="146"/>
      <c r="Z828" s="146"/>
    </row>
    <row r="829" ht="22.5" customHeight="1">
      <c r="A829" s="329"/>
      <c r="B829" s="274"/>
      <c r="C829" s="138"/>
      <c r="D829" s="118"/>
      <c r="E829" s="138"/>
      <c r="F829" s="138"/>
      <c r="G829" s="330"/>
      <c r="H829" s="146"/>
      <c r="I829" s="146"/>
      <c r="J829" s="146"/>
      <c r="K829" s="146"/>
      <c r="L829" s="146"/>
      <c r="M829" s="146"/>
      <c r="N829" s="146"/>
      <c r="O829" s="146"/>
      <c r="P829" s="146"/>
      <c r="Q829" s="146"/>
      <c r="R829" s="146"/>
      <c r="S829" s="146"/>
      <c r="T829" s="146"/>
      <c r="U829" s="146"/>
      <c r="V829" s="146"/>
      <c r="W829" s="146"/>
      <c r="X829" s="146"/>
      <c r="Y829" s="146"/>
      <c r="Z829" s="146"/>
    </row>
    <row r="830" ht="22.5" customHeight="1">
      <c r="A830" s="329"/>
      <c r="B830" s="274"/>
      <c r="C830" s="138"/>
      <c r="D830" s="118"/>
      <c r="E830" s="138"/>
      <c r="F830" s="138"/>
      <c r="G830" s="330"/>
      <c r="H830" s="146"/>
      <c r="I830" s="146"/>
      <c r="J830" s="146"/>
      <c r="K830" s="146"/>
      <c r="L830" s="146"/>
      <c r="M830" s="146"/>
      <c r="N830" s="146"/>
      <c r="O830" s="146"/>
      <c r="P830" s="146"/>
      <c r="Q830" s="146"/>
      <c r="R830" s="146"/>
      <c r="S830" s="146"/>
      <c r="T830" s="146"/>
      <c r="U830" s="146"/>
      <c r="V830" s="146"/>
      <c r="W830" s="146"/>
      <c r="X830" s="146"/>
      <c r="Y830" s="146"/>
      <c r="Z830" s="146"/>
    </row>
    <row r="831" ht="22.5" customHeight="1">
      <c r="A831" s="329"/>
      <c r="B831" s="274"/>
      <c r="C831" s="138"/>
      <c r="D831" s="118"/>
      <c r="E831" s="138"/>
      <c r="F831" s="138"/>
      <c r="G831" s="330"/>
      <c r="H831" s="146"/>
      <c r="I831" s="146"/>
      <c r="J831" s="146"/>
      <c r="K831" s="146"/>
      <c r="L831" s="146"/>
      <c r="M831" s="146"/>
      <c r="N831" s="146"/>
      <c r="O831" s="146"/>
      <c r="P831" s="146"/>
      <c r="Q831" s="146"/>
      <c r="R831" s="146"/>
      <c r="S831" s="146"/>
      <c r="T831" s="146"/>
      <c r="U831" s="146"/>
      <c r="V831" s="146"/>
      <c r="W831" s="146"/>
      <c r="X831" s="146"/>
      <c r="Y831" s="146"/>
      <c r="Z831" s="146"/>
    </row>
    <row r="832" ht="22.5" customHeight="1">
      <c r="A832" s="329"/>
      <c r="B832" s="274"/>
      <c r="C832" s="138"/>
      <c r="D832" s="118"/>
      <c r="E832" s="138"/>
      <c r="F832" s="138"/>
      <c r="G832" s="330"/>
      <c r="H832" s="146"/>
      <c r="I832" s="146"/>
      <c r="J832" s="146"/>
      <c r="K832" s="146"/>
      <c r="L832" s="146"/>
      <c r="M832" s="146"/>
      <c r="N832" s="146"/>
      <c r="O832" s="146"/>
      <c r="P832" s="146"/>
      <c r="Q832" s="146"/>
      <c r="R832" s="146"/>
      <c r="S832" s="146"/>
      <c r="T832" s="146"/>
      <c r="U832" s="146"/>
      <c r="V832" s="146"/>
      <c r="W832" s="146"/>
      <c r="X832" s="146"/>
      <c r="Y832" s="146"/>
      <c r="Z832" s="146"/>
    </row>
    <row r="833" ht="22.5" customHeight="1">
      <c r="A833" s="329"/>
      <c r="B833" s="274"/>
      <c r="C833" s="138"/>
      <c r="D833" s="118"/>
      <c r="E833" s="138"/>
      <c r="F833" s="138"/>
      <c r="G833" s="330"/>
      <c r="H833" s="146"/>
      <c r="I833" s="146"/>
      <c r="J833" s="146"/>
      <c r="K833" s="146"/>
      <c r="L833" s="146"/>
      <c r="M833" s="146"/>
      <c r="N833" s="146"/>
      <c r="O833" s="146"/>
      <c r="P833" s="146"/>
      <c r="Q833" s="146"/>
      <c r="R833" s="146"/>
      <c r="S833" s="146"/>
      <c r="T833" s="146"/>
      <c r="U833" s="146"/>
      <c r="V833" s="146"/>
      <c r="W833" s="146"/>
      <c r="X833" s="146"/>
      <c r="Y833" s="146"/>
      <c r="Z833" s="146"/>
    </row>
    <row r="834" ht="22.5" customHeight="1">
      <c r="A834" s="329"/>
      <c r="B834" s="274"/>
      <c r="C834" s="138"/>
      <c r="D834" s="118"/>
      <c r="E834" s="138"/>
      <c r="F834" s="138"/>
      <c r="G834" s="330"/>
      <c r="H834" s="146"/>
      <c r="I834" s="146"/>
      <c r="J834" s="146"/>
      <c r="K834" s="146"/>
      <c r="L834" s="146"/>
      <c r="M834" s="146"/>
      <c r="N834" s="146"/>
      <c r="O834" s="146"/>
      <c r="P834" s="146"/>
      <c r="Q834" s="146"/>
      <c r="R834" s="146"/>
      <c r="S834" s="146"/>
      <c r="T834" s="146"/>
      <c r="U834" s="146"/>
      <c r="V834" s="146"/>
      <c r="W834" s="146"/>
      <c r="X834" s="146"/>
      <c r="Y834" s="146"/>
      <c r="Z834" s="146"/>
    </row>
    <row r="835" ht="22.5" customHeight="1">
      <c r="A835" s="329"/>
      <c r="B835" s="274"/>
      <c r="C835" s="138"/>
      <c r="D835" s="118"/>
      <c r="E835" s="138"/>
      <c r="F835" s="138"/>
      <c r="G835" s="330"/>
      <c r="H835" s="146"/>
      <c r="I835" s="146"/>
      <c r="J835" s="146"/>
      <c r="K835" s="146"/>
      <c r="L835" s="146"/>
      <c r="M835" s="146"/>
      <c r="N835" s="146"/>
      <c r="O835" s="146"/>
      <c r="P835" s="146"/>
      <c r="Q835" s="146"/>
      <c r="R835" s="146"/>
      <c r="S835" s="146"/>
      <c r="T835" s="146"/>
      <c r="U835" s="146"/>
      <c r="V835" s="146"/>
      <c r="W835" s="146"/>
      <c r="X835" s="146"/>
      <c r="Y835" s="146"/>
      <c r="Z835" s="146"/>
    </row>
    <row r="836" ht="22.5" customHeight="1">
      <c r="A836" s="329"/>
      <c r="B836" s="274"/>
      <c r="C836" s="138"/>
      <c r="D836" s="118"/>
      <c r="E836" s="138"/>
      <c r="F836" s="138"/>
      <c r="G836" s="330"/>
      <c r="H836" s="146"/>
      <c r="I836" s="146"/>
      <c r="J836" s="146"/>
      <c r="K836" s="146"/>
      <c r="L836" s="146"/>
      <c r="M836" s="146"/>
      <c r="N836" s="146"/>
      <c r="O836" s="146"/>
      <c r="P836" s="146"/>
      <c r="Q836" s="146"/>
      <c r="R836" s="146"/>
      <c r="S836" s="146"/>
      <c r="T836" s="146"/>
      <c r="U836" s="146"/>
      <c r="V836" s="146"/>
      <c r="W836" s="146"/>
      <c r="X836" s="146"/>
      <c r="Y836" s="146"/>
      <c r="Z836" s="146"/>
    </row>
    <row r="837" ht="22.5" customHeight="1">
      <c r="A837" s="329"/>
      <c r="B837" s="274"/>
      <c r="C837" s="138"/>
      <c r="D837" s="118"/>
      <c r="E837" s="138"/>
      <c r="F837" s="138"/>
      <c r="G837" s="330"/>
      <c r="H837" s="146"/>
      <c r="I837" s="146"/>
      <c r="J837" s="146"/>
      <c r="K837" s="146"/>
      <c r="L837" s="146"/>
      <c r="M837" s="146"/>
      <c r="N837" s="146"/>
      <c r="O837" s="146"/>
      <c r="P837" s="146"/>
      <c r="Q837" s="146"/>
      <c r="R837" s="146"/>
      <c r="S837" s="146"/>
      <c r="T837" s="146"/>
      <c r="U837" s="146"/>
      <c r="V837" s="146"/>
      <c r="W837" s="146"/>
      <c r="X837" s="146"/>
      <c r="Y837" s="146"/>
      <c r="Z837" s="146"/>
    </row>
    <row r="838" ht="22.5" customHeight="1">
      <c r="A838" s="329"/>
      <c r="B838" s="274"/>
      <c r="C838" s="138"/>
      <c r="D838" s="118"/>
      <c r="E838" s="138"/>
      <c r="F838" s="138"/>
      <c r="G838" s="330"/>
      <c r="H838" s="146"/>
      <c r="I838" s="146"/>
      <c r="J838" s="146"/>
      <c r="K838" s="146"/>
      <c r="L838" s="146"/>
      <c r="M838" s="146"/>
      <c r="N838" s="146"/>
      <c r="O838" s="146"/>
      <c r="P838" s="146"/>
      <c r="Q838" s="146"/>
      <c r="R838" s="146"/>
      <c r="S838" s="146"/>
      <c r="T838" s="146"/>
      <c r="U838" s="146"/>
      <c r="V838" s="146"/>
      <c r="W838" s="146"/>
      <c r="X838" s="146"/>
      <c r="Y838" s="146"/>
      <c r="Z838" s="146"/>
    </row>
    <row r="839" ht="22.5" customHeight="1">
      <c r="A839" s="329"/>
      <c r="B839" s="274"/>
      <c r="C839" s="138"/>
      <c r="D839" s="118"/>
      <c r="E839" s="138"/>
      <c r="F839" s="138"/>
      <c r="G839" s="330"/>
      <c r="H839" s="146"/>
      <c r="I839" s="146"/>
      <c r="J839" s="146"/>
      <c r="K839" s="146"/>
      <c r="L839" s="146"/>
      <c r="M839" s="146"/>
      <c r="N839" s="146"/>
      <c r="O839" s="146"/>
      <c r="P839" s="146"/>
      <c r="Q839" s="146"/>
      <c r="R839" s="146"/>
      <c r="S839" s="146"/>
      <c r="T839" s="146"/>
      <c r="U839" s="146"/>
      <c r="V839" s="146"/>
      <c r="W839" s="146"/>
      <c r="X839" s="146"/>
      <c r="Y839" s="146"/>
      <c r="Z839" s="146"/>
    </row>
    <row r="840" ht="22.5" customHeight="1">
      <c r="A840" s="329"/>
      <c r="B840" s="274"/>
      <c r="C840" s="138"/>
      <c r="D840" s="118"/>
      <c r="E840" s="138"/>
      <c r="F840" s="138"/>
      <c r="G840" s="330"/>
      <c r="H840" s="146"/>
      <c r="I840" s="146"/>
      <c r="J840" s="146"/>
      <c r="K840" s="146"/>
      <c r="L840" s="146"/>
      <c r="M840" s="146"/>
      <c r="N840" s="146"/>
      <c r="O840" s="146"/>
      <c r="P840" s="146"/>
      <c r="Q840" s="146"/>
      <c r="R840" s="146"/>
      <c r="S840" s="146"/>
      <c r="T840" s="146"/>
      <c r="U840" s="146"/>
      <c r="V840" s="146"/>
      <c r="W840" s="146"/>
      <c r="X840" s="146"/>
      <c r="Y840" s="146"/>
      <c r="Z840" s="146"/>
    </row>
    <row r="841" ht="22.5" customHeight="1">
      <c r="A841" s="329"/>
      <c r="B841" s="274"/>
      <c r="C841" s="138"/>
      <c r="D841" s="118"/>
      <c r="E841" s="138"/>
      <c r="F841" s="138"/>
      <c r="G841" s="330"/>
      <c r="H841" s="146"/>
      <c r="I841" s="146"/>
      <c r="J841" s="146"/>
      <c r="K841" s="146"/>
      <c r="L841" s="146"/>
      <c r="M841" s="146"/>
      <c r="N841" s="146"/>
      <c r="O841" s="146"/>
      <c r="P841" s="146"/>
      <c r="Q841" s="146"/>
      <c r="R841" s="146"/>
      <c r="S841" s="146"/>
      <c r="T841" s="146"/>
      <c r="U841" s="146"/>
      <c r="V841" s="146"/>
      <c r="W841" s="146"/>
      <c r="X841" s="146"/>
      <c r="Y841" s="146"/>
      <c r="Z841" s="146"/>
    </row>
    <row r="842" ht="22.5" customHeight="1">
      <c r="A842" s="329"/>
      <c r="B842" s="274"/>
      <c r="C842" s="138"/>
      <c r="D842" s="118"/>
      <c r="E842" s="138"/>
      <c r="F842" s="138"/>
      <c r="G842" s="330"/>
      <c r="H842" s="146"/>
      <c r="I842" s="146"/>
      <c r="J842" s="146"/>
      <c r="K842" s="146"/>
      <c r="L842" s="146"/>
      <c r="M842" s="146"/>
      <c r="N842" s="146"/>
      <c r="O842" s="146"/>
      <c r="P842" s="146"/>
      <c r="Q842" s="146"/>
      <c r="R842" s="146"/>
      <c r="S842" s="146"/>
      <c r="T842" s="146"/>
      <c r="U842" s="146"/>
      <c r="V842" s="146"/>
      <c r="W842" s="146"/>
      <c r="X842" s="146"/>
      <c r="Y842" s="146"/>
      <c r="Z842" s="146"/>
    </row>
    <row r="843" ht="22.5" customHeight="1">
      <c r="A843" s="329"/>
      <c r="B843" s="274"/>
      <c r="C843" s="138"/>
      <c r="D843" s="118"/>
      <c r="E843" s="138"/>
      <c r="F843" s="138"/>
      <c r="G843" s="330"/>
      <c r="H843" s="146"/>
      <c r="I843" s="146"/>
      <c r="J843" s="146"/>
      <c r="K843" s="146"/>
      <c r="L843" s="146"/>
      <c r="M843" s="146"/>
      <c r="N843" s="146"/>
      <c r="O843" s="146"/>
      <c r="P843" s="146"/>
      <c r="Q843" s="146"/>
      <c r="R843" s="146"/>
      <c r="S843" s="146"/>
      <c r="T843" s="146"/>
      <c r="U843" s="146"/>
      <c r="V843" s="146"/>
      <c r="W843" s="146"/>
      <c r="X843" s="146"/>
      <c r="Y843" s="146"/>
      <c r="Z843" s="146"/>
    </row>
    <row r="844" ht="22.5" customHeight="1">
      <c r="A844" s="329"/>
      <c r="B844" s="274"/>
      <c r="C844" s="138"/>
      <c r="D844" s="118"/>
      <c r="E844" s="138"/>
      <c r="F844" s="138"/>
      <c r="G844" s="330"/>
      <c r="H844" s="146"/>
      <c r="I844" s="146"/>
      <c r="J844" s="146"/>
      <c r="K844" s="146"/>
      <c r="L844" s="146"/>
      <c r="M844" s="146"/>
      <c r="N844" s="146"/>
      <c r="O844" s="146"/>
      <c r="P844" s="146"/>
      <c r="Q844" s="146"/>
      <c r="R844" s="146"/>
      <c r="S844" s="146"/>
      <c r="T844" s="146"/>
      <c r="U844" s="146"/>
      <c r="V844" s="146"/>
      <c r="W844" s="146"/>
      <c r="X844" s="146"/>
      <c r="Y844" s="146"/>
      <c r="Z844" s="146"/>
    </row>
    <row r="845" ht="22.5" customHeight="1">
      <c r="A845" s="329"/>
      <c r="B845" s="274"/>
      <c r="C845" s="138"/>
      <c r="D845" s="118"/>
      <c r="E845" s="138"/>
      <c r="F845" s="138"/>
      <c r="G845" s="330"/>
      <c r="H845" s="146"/>
      <c r="I845" s="146"/>
      <c r="J845" s="146"/>
      <c r="K845" s="146"/>
      <c r="L845" s="146"/>
      <c r="M845" s="146"/>
      <c r="N845" s="146"/>
      <c r="O845" s="146"/>
      <c r="P845" s="146"/>
      <c r="Q845" s="146"/>
      <c r="R845" s="146"/>
      <c r="S845" s="146"/>
      <c r="T845" s="146"/>
      <c r="U845" s="146"/>
      <c r="V845" s="146"/>
      <c r="W845" s="146"/>
      <c r="X845" s="146"/>
      <c r="Y845" s="146"/>
      <c r="Z845" s="146"/>
    </row>
    <row r="846" ht="22.5" customHeight="1">
      <c r="A846" s="329"/>
      <c r="B846" s="274"/>
      <c r="C846" s="138"/>
      <c r="D846" s="118"/>
      <c r="E846" s="138"/>
      <c r="F846" s="138"/>
      <c r="G846" s="330"/>
      <c r="H846" s="146"/>
      <c r="I846" s="146"/>
      <c r="J846" s="146"/>
      <c r="K846" s="146"/>
      <c r="L846" s="146"/>
      <c r="M846" s="146"/>
      <c r="N846" s="146"/>
      <c r="O846" s="146"/>
      <c r="P846" s="146"/>
      <c r="Q846" s="146"/>
      <c r="R846" s="146"/>
      <c r="S846" s="146"/>
      <c r="T846" s="146"/>
      <c r="U846" s="146"/>
      <c r="V846" s="146"/>
      <c r="W846" s="146"/>
      <c r="X846" s="146"/>
      <c r="Y846" s="146"/>
      <c r="Z846" s="146"/>
    </row>
    <row r="847" ht="22.5" customHeight="1">
      <c r="A847" s="329"/>
      <c r="B847" s="274"/>
      <c r="C847" s="138"/>
      <c r="D847" s="118"/>
      <c r="E847" s="138"/>
      <c r="F847" s="138"/>
      <c r="G847" s="330"/>
      <c r="H847" s="146"/>
      <c r="I847" s="146"/>
      <c r="J847" s="146"/>
      <c r="K847" s="146"/>
      <c r="L847" s="146"/>
      <c r="M847" s="146"/>
      <c r="N847" s="146"/>
      <c r="O847" s="146"/>
      <c r="P847" s="146"/>
      <c r="Q847" s="146"/>
      <c r="R847" s="146"/>
      <c r="S847" s="146"/>
      <c r="T847" s="146"/>
      <c r="U847" s="146"/>
      <c r="V847" s="146"/>
      <c r="W847" s="146"/>
      <c r="X847" s="146"/>
      <c r="Y847" s="146"/>
      <c r="Z847" s="146"/>
    </row>
    <row r="848" ht="22.5" customHeight="1">
      <c r="A848" s="329"/>
      <c r="B848" s="274"/>
      <c r="C848" s="138"/>
      <c r="D848" s="118"/>
      <c r="E848" s="138"/>
      <c r="F848" s="138"/>
      <c r="G848" s="330"/>
      <c r="H848" s="146"/>
      <c r="I848" s="146"/>
      <c r="J848" s="146"/>
      <c r="K848" s="146"/>
      <c r="L848" s="146"/>
      <c r="M848" s="146"/>
      <c r="N848" s="146"/>
      <c r="O848" s="146"/>
      <c r="P848" s="146"/>
      <c r="Q848" s="146"/>
      <c r="R848" s="146"/>
      <c r="S848" s="146"/>
      <c r="T848" s="146"/>
      <c r="U848" s="146"/>
      <c r="V848" s="146"/>
      <c r="W848" s="146"/>
      <c r="X848" s="146"/>
      <c r="Y848" s="146"/>
      <c r="Z848" s="146"/>
    </row>
    <row r="849" ht="22.5" customHeight="1">
      <c r="A849" s="329"/>
      <c r="B849" s="274"/>
      <c r="C849" s="138"/>
      <c r="D849" s="118"/>
      <c r="E849" s="138"/>
      <c r="F849" s="138"/>
      <c r="G849" s="330"/>
      <c r="H849" s="146"/>
      <c r="I849" s="146"/>
      <c r="J849" s="146"/>
      <c r="K849" s="146"/>
      <c r="L849" s="146"/>
      <c r="M849" s="146"/>
      <c r="N849" s="146"/>
      <c r="O849" s="146"/>
      <c r="P849" s="146"/>
      <c r="Q849" s="146"/>
      <c r="R849" s="146"/>
      <c r="S849" s="146"/>
      <c r="T849" s="146"/>
      <c r="U849" s="146"/>
      <c r="V849" s="146"/>
      <c r="W849" s="146"/>
      <c r="X849" s="146"/>
      <c r="Y849" s="146"/>
      <c r="Z849" s="146"/>
    </row>
    <row r="850" ht="22.5" customHeight="1">
      <c r="A850" s="329"/>
      <c r="B850" s="274"/>
      <c r="C850" s="138"/>
      <c r="D850" s="118"/>
      <c r="E850" s="138"/>
      <c r="F850" s="138"/>
      <c r="G850" s="330"/>
      <c r="H850" s="146"/>
      <c r="I850" s="146"/>
      <c r="J850" s="146"/>
      <c r="K850" s="146"/>
      <c r="L850" s="146"/>
      <c r="M850" s="146"/>
      <c r="N850" s="146"/>
      <c r="O850" s="146"/>
      <c r="P850" s="146"/>
      <c r="Q850" s="146"/>
      <c r="R850" s="146"/>
      <c r="S850" s="146"/>
      <c r="T850" s="146"/>
      <c r="U850" s="146"/>
      <c r="V850" s="146"/>
      <c r="W850" s="146"/>
      <c r="X850" s="146"/>
      <c r="Y850" s="146"/>
      <c r="Z850" s="146"/>
    </row>
    <row r="851" ht="22.5" customHeight="1">
      <c r="A851" s="329"/>
      <c r="B851" s="274"/>
      <c r="C851" s="138"/>
      <c r="D851" s="118"/>
      <c r="E851" s="138"/>
      <c r="F851" s="138"/>
      <c r="G851" s="330"/>
      <c r="H851" s="146"/>
      <c r="I851" s="146"/>
      <c r="J851" s="146"/>
      <c r="K851" s="146"/>
      <c r="L851" s="146"/>
      <c r="M851" s="146"/>
      <c r="N851" s="146"/>
      <c r="O851" s="146"/>
      <c r="P851" s="146"/>
      <c r="Q851" s="146"/>
      <c r="R851" s="146"/>
      <c r="S851" s="146"/>
      <c r="T851" s="146"/>
      <c r="U851" s="146"/>
      <c r="V851" s="146"/>
      <c r="W851" s="146"/>
      <c r="X851" s="146"/>
      <c r="Y851" s="146"/>
      <c r="Z851" s="146"/>
    </row>
    <row r="852" ht="22.5" customHeight="1">
      <c r="A852" s="329"/>
      <c r="B852" s="274"/>
      <c r="C852" s="138"/>
      <c r="D852" s="118"/>
      <c r="E852" s="138"/>
      <c r="F852" s="138"/>
      <c r="G852" s="330"/>
      <c r="H852" s="146"/>
      <c r="I852" s="146"/>
      <c r="J852" s="146"/>
      <c r="K852" s="146"/>
      <c r="L852" s="146"/>
      <c r="M852" s="146"/>
      <c r="N852" s="146"/>
      <c r="O852" s="146"/>
      <c r="P852" s="146"/>
      <c r="Q852" s="146"/>
      <c r="R852" s="146"/>
      <c r="S852" s="146"/>
      <c r="T852" s="146"/>
      <c r="U852" s="146"/>
      <c r="V852" s="146"/>
      <c r="W852" s="146"/>
      <c r="X852" s="146"/>
      <c r="Y852" s="146"/>
      <c r="Z852" s="146"/>
    </row>
    <row r="853" ht="22.5" customHeight="1">
      <c r="A853" s="329"/>
      <c r="B853" s="274"/>
      <c r="C853" s="138"/>
      <c r="D853" s="118"/>
      <c r="E853" s="138"/>
      <c r="F853" s="138"/>
      <c r="G853" s="330"/>
      <c r="H853" s="146"/>
      <c r="I853" s="146"/>
      <c r="J853" s="146"/>
      <c r="K853" s="146"/>
      <c r="L853" s="146"/>
      <c r="M853" s="146"/>
      <c r="N853" s="146"/>
      <c r="O853" s="146"/>
      <c r="P853" s="146"/>
      <c r="Q853" s="146"/>
      <c r="R853" s="146"/>
      <c r="S853" s="146"/>
      <c r="T853" s="146"/>
      <c r="U853" s="146"/>
      <c r="V853" s="146"/>
      <c r="W853" s="146"/>
      <c r="X853" s="146"/>
      <c r="Y853" s="146"/>
      <c r="Z853" s="146"/>
    </row>
    <row r="854" ht="22.5" customHeight="1">
      <c r="A854" s="329"/>
      <c r="B854" s="274"/>
      <c r="C854" s="138"/>
      <c r="D854" s="118"/>
      <c r="E854" s="138"/>
      <c r="F854" s="138"/>
      <c r="G854" s="330"/>
      <c r="H854" s="146"/>
      <c r="I854" s="146"/>
      <c r="J854" s="146"/>
      <c r="K854" s="146"/>
      <c r="L854" s="146"/>
      <c r="M854" s="146"/>
      <c r="N854" s="146"/>
      <c r="O854" s="146"/>
      <c r="P854" s="146"/>
      <c r="Q854" s="146"/>
      <c r="R854" s="146"/>
      <c r="S854" s="146"/>
      <c r="T854" s="146"/>
      <c r="U854" s="146"/>
      <c r="V854" s="146"/>
      <c r="W854" s="146"/>
      <c r="X854" s="146"/>
      <c r="Y854" s="146"/>
      <c r="Z854" s="146"/>
    </row>
    <row r="855" ht="22.5" customHeight="1">
      <c r="A855" s="329"/>
      <c r="B855" s="274"/>
      <c r="C855" s="138"/>
      <c r="D855" s="118"/>
      <c r="E855" s="138"/>
      <c r="F855" s="138"/>
      <c r="G855" s="330"/>
      <c r="H855" s="146"/>
      <c r="I855" s="146"/>
      <c r="J855" s="146"/>
      <c r="K855" s="146"/>
      <c r="L855" s="146"/>
      <c r="M855" s="146"/>
      <c r="N855" s="146"/>
      <c r="O855" s="146"/>
      <c r="P855" s="146"/>
      <c r="Q855" s="146"/>
      <c r="R855" s="146"/>
      <c r="S855" s="146"/>
      <c r="T855" s="146"/>
      <c r="U855" s="146"/>
      <c r="V855" s="146"/>
      <c r="W855" s="146"/>
      <c r="X855" s="146"/>
      <c r="Y855" s="146"/>
      <c r="Z855" s="146"/>
    </row>
    <row r="856" ht="22.5" customHeight="1">
      <c r="A856" s="329"/>
      <c r="B856" s="274"/>
      <c r="C856" s="138"/>
      <c r="D856" s="118"/>
      <c r="E856" s="138"/>
      <c r="F856" s="138"/>
      <c r="G856" s="330"/>
      <c r="H856" s="146"/>
      <c r="I856" s="146"/>
      <c r="J856" s="146"/>
      <c r="K856" s="146"/>
      <c r="L856" s="146"/>
      <c r="M856" s="146"/>
      <c r="N856" s="146"/>
      <c r="O856" s="146"/>
      <c r="P856" s="146"/>
      <c r="Q856" s="146"/>
      <c r="R856" s="146"/>
      <c r="S856" s="146"/>
      <c r="T856" s="146"/>
      <c r="U856" s="146"/>
      <c r="V856" s="146"/>
      <c r="W856" s="146"/>
      <c r="X856" s="146"/>
      <c r="Y856" s="146"/>
      <c r="Z856" s="146"/>
    </row>
    <row r="857" ht="22.5" customHeight="1">
      <c r="A857" s="329"/>
      <c r="B857" s="274"/>
      <c r="C857" s="138"/>
      <c r="D857" s="118"/>
      <c r="E857" s="138"/>
      <c r="F857" s="138"/>
      <c r="G857" s="330"/>
      <c r="H857" s="146"/>
      <c r="I857" s="146"/>
      <c r="J857" s="146"/>
      <c r="K857" s="146"/>
      <c r="L857" s="146"/>
      <c r="M857" s="146"/>
      <c r="N857" s="146"/>
      <c r="O857" s="146"/>
      <c r="P857" s="146"/>
      <c r="Q857" s="146"/>
      <c r="R857" s="146"/>
      <c r="S857" s="146"/>
      <c r="T857" s="146"/>
      <c r="U857" s="146"/>
      <c r="V857" s="146"/>
      <c r="W857" s="146"/>
      <c r="X857" s="146"/>
      <c r="Y857" s="146"/>
      <c r="Z857" s="146"/>
    </row>
    <row r="858" ht="22.5" customHeight="1">
      <c r="A858" s="329"/>
      <c r="B858" s="274"/>
      <c r="C858" s="138"/>
      <c r="D858" s="118"/>
      <c r="E858" s="138"/>
      <c r="F858" s="138"/>
      <c r="G858" s="330"/>
      <c r="H858" s="146"/>
      <c r="I858" s="146"/>
      <c r="J858" s="146"/>
      <c r="K858" s="146"/>
      <c r="L858" s="146"/>
      <c r="M858" s="146"/>
      <c r="N858" s="146"/>
      <c r="O858" s="146"/>
      <c r="P858" s="146"/>
      <c r="Q858" s="146"/>
      <c r="R858" s="146"/>
      <c r="S858" s="146"/>
      <c r="T858" s="146"/>
      <c r="U858" s="146"/>
      <c r="V858" s="146"/>
      <c r="W858" s="146"/>
      <c r="X858" s="146"/>
      <c r="Y858" s="146"/>
      <c r="Z858" s="146"/>
    </row>
    <row r="859" ht="22.5" customHeight="1">
      <c r="A859" s="329"/>
      <c r="B859" s="274"/>
      <c r="C859" s="138"/>
      <c r="D859" s="118"/>
      <c r="E859" s="138"/>
      <c r="F859" s="138"/>
      <c r="G859" s="330"/>
      <c r="H859" s="146"/>
      <c r="I859" s="146"/>
      <c r="J859" s="146"/>
      <c r="K859" s="146"/>
      <c r="L859" s="146"/>
      <c r="M859" s="146"/>
      <c r="N859" s="146"/>
      <c r="O859" s="146"/>
      <c r="P859" s="146"/>
      <c r="Q859" s="146"/>
      <c r="R859" s="146"/>
      <c r="S859" s="146"/>
      <c r="T859" s="146"/>
      <c r="U859" s="146"/>
      <c r="V859" s="146"/>
      <c r="W859" s="146"/>
      <c r="X859" s="146"/>
      <c r="Y859" s="146"/>
      <c r="Z859" s="146"/>
    </row>
    <row r="860" ht="22.5" customHeight="1">
      <c r="A860" s="329"/>
      <c r="B860" s="274"/>
      <c r="C860" s="138"/>
      <c r="D860" s="118"/>
      <c r="E860" s="138"/>
      <c r="F860" s="138"/>
      <c r="G860" s="330"/>
      <c r="H860" s="146"/>
      <c r="I860" s="146"/>
      <c r="J860" s="146"/>
      <c r="K860" s="146"/>
      <c r="L860" s="146"/>
      <c r="M860" s="146"/>
      <c r="N860" s="146"/>
      <c r="O860" s="146"/>
      <c r="P860" s="146"/>
      <c r="Q860" s="146"/>
      <c r="R860" s="146"/>
      <c r="S860" s="146"/>
      <c r="T860" s="146"/>
      <c r="U860" s="146"/>
      <c r="V860" s="146"/>
      <c r="W860" s="146"/>
      <c r="X860" s="146"/>
      <c r="Y860" s="146"/>
      <c r="Z860" s="146"/>
    </row>
    <row r="861" ht="22.5" customHeight="1">
      <c r="A861" s="329"/>
      <c r="B861" s="274"/>
      <c r="C861" s="138"/>
      <c r="D861" s="118"/>
      <c r="E861" s="138"/>
      <c r="F861" s="138"/>
      <c r="G861" s="330"/>
      <c r="H861" s="146"/>
      <c r="I861" s="146"/>
      <c r="J861" s="146"/>
      <c r="K861" s="146"/>
      <c r="L861" s="146"/>
      <c r="M861" s="146"/>
      <c r="N861" s="146"/>
      <c r="O861" s="146"/>
      <c r="P861" s="146"/>
      <c r="Q861" s="146"/>
      <c r="R861" s="146"/>
      <c r="S861" s="146"/>
      <c r="T861" s="146"/>
      <c r="U861" s="146"/>
      <c r="V861" s="146"/>
      <c r="W861" s="146"/>
      <c r="X861" s="146"/>
      <c r="Y861" s="146"/>
      <c r="Z861" s="146"/>
    </row>
    <row r="862" ht="22.5" customHeight="1">
      <c r="A862" s="329"/>
      <c r="B862" s="274"/>
      <c r="C862" s="138"/>
      <c r="D862" s="118"/>
      <c r="E862" s="138"/>
      <c r="F862" s="138"/>
      <c r="G862" s="330"/>
      <c r="H862" s="146"/>
      <c r="I862" s="146"/>
      <c r="J862" s="146"/>
      <c r="K862" s="146"/>
      <c r="L862" s="146"/>
      <c r="M862" s="146"/>
      <c r="N862" s="146"/>
      <c r="O862" s="146"/>
      <c r="P862" s="146"/>
      <c r="Q862" s="146"/>
      <c r="R862" s="146"/>
      <c r="S862" s="146"/>
      <c r="T862" s="146"/>
      <c r="U862" s="146"/>
      <c r="V862" s="146"/>
      <c r="W862" s="146"/>
      <c r="X862" s="146"/>
      <c r="Y862" s="146"/>
      <c r="Z862" s="146"/>
    </row>
    <row r="863" ht="22.5" customHeight="1">
      <c r="A863" s="329"/>
      <c r="B863" s="274"/>
      <c r="C863" s="138"/>
      <c r="D863" s="118"/>
      <c r="E863" s="138"/>
      <c r="F863" s="138"/>
      <c r="G863" s="330"/>
      <c r="H863" s="146"/>
      <c r="I863" s="146"/>
      <c r="J863" s="146"/>
      <c r="K863" s="146"/>
      <c r="L863" s="146"/>
      <c r="M863" s="146"/>
      <c r="N863" s="146"/>
      <c r="O863" s="146"/>
      <c r="P863" s="146"/>
      <c r="Q863" s="146"/>
      <c r="R863" s="146"/>
      <c r="S863" s="146"/>
      <c r="T863" s="146"/>
      <c r="U863" s="146"/>
      <c r="V863" s="146"/>
      <c r="W863" s="146"/>
      <c r="X863" s="146"/>
      <c r="Y863" s="146"/>
      <c r="Z863" s="146"/>
    </row>
    <row r="864" ht="22.5" customHeight="1">
      <c r="A864" s="329"/>
      <c r="B864" s="274"/>
      <c r="C864" s="138"/>
      <c r="D864" s="118"/>
      <c r="E864" s="138"/>
      <c r="F864" s="138"/>
      <c r="G864" s="330"/>
      <c r="H864" s="146"/>
      <c r="I864" s="146"/>
      <c r="J864" s="146"/>
      <c r="K864" s="146"/>
      <c r="L864" s="146"/>
      <c r="M864" s="146"/>
      <c r="N864" s="146"/>
      <c r="O864" s="146"/>
      <c r="P864" s="146"/>
      <c r="Q864" s="146"/>
      <c r="R864" s="146"/>
      <c r="S864" s="146"/>
      <c r="T864" s="146"/>
      <c r="U864" s="146"/>
      <c r="V864" s="146"/>
      <c r="W864" s="146"/>
      <c r="X864" s="146"/>
      <c r="Y864" s="146"/>
      <c r="Z864" s="146"/>
    </row>
    <row r="865" ht="22.5" customHeight="1">
      <c r="A865" s="329"/>
      <c r="B865" s="274"/>
      <c r="C865" s="138"/>
      <c r="D865" s="118"/>
      <c r="E865" s="138"/>
      <c r="F865" s="138"/>
      <c r="G865" s="330"/>
      <c r="H865" s="146"/>
      <c r="I865" s="146"/>
      <c r="J865" s="146"/>
      <c r="K865" s="146"/>
      <c r="L865" s="146"/>
      <c r="M865" s="146"/>
      <c r="N865" s="146"/>
      <c r="O865" s="146"/>
      <c r="P865" s="146"/>
      <c r="Q865" s="146"/>
      <c r="R865" s="146"/>
      <c r="S865" s="146"/>
      <c r="T865" s="146"/>
      <c r="U865" s="146"/>
      <c r="V865" s="146"/>
      <c r="W865" s="146"/>
      <c r="X865" s="146"/>
      <c r="Y865" s="146"/>
      <c r="Z865" s="146"/>
    </row>
    <row r="866" ht="22.5" customHeight="1">
      <c r="A866" s="329"/>
      <c r="B866" s="274"/>
      <c r="C866" s="138"/>
      <c r="D866" s="118"/>
      <c r="E866" s="138"/>
      <c r="F866" s="138"/>
      <c r="G866" s="330"/>
      <c r="H866" s="146"/>
      <c r="I866" s="146"/>
      <c r="J866" s="146"/>
      <c r="K866" s="146"/>
      <c r="L866" s="146"/>
      <c r="M866" s="146"/>
      <c r="N866" s="146"/>
      <c r="O866" s="146"/>
      <c r="P866" s="146"/>
      <c r="Q866" s="146"/>
      <c r="R866" s="146"/>
      <c r="S866" s="146"/>
      <c r="T866" s="146"/>
      <c r="U866" s="146"/>
      <c r="V866" s="146"/>
      <c r="W866" s="146"/>
      <c r="X866" s="146"/>
      <c r="Y866" s="146"/>
      <c r="Z866" s="146"/>
    </row>
    <row r="867" ht="22.5" customHeight="1">
      <c r="A867" s="329"/>
      <c r="B867" s="274"/>
      <c r="C867" s="138"/>
      <c r="D867" s="118"/>
      <c r="E867" s="138"/>
      <c r="F867" s="138"/>
      <c r="G867" s="330"/>
      <c r="H867" s="146"/>
      <c r="I867" s="146"/>
      <c r="J867" s="146"/>
      <c r="K867" s="146"/>
      <c r="L867" s="146"/>
      <c r="M867" s="146"/>
      <c r="N867" s="146"/>
      <c r="O867" s="146"/>
      <c r="P867" s="146"/>
      <c r="Q867" s="146"/>
      <c r="R867" s="146"/>
      <c r="S867" s="146"/>
      <c r="T867" s="146"/>
      <c r="U867" s="146"/>
      <c r="V867" s="146"/>
      <c r="W867" s="146"/>
      <c r="X867" s="146"/>
      <c r="Y867" s="146"/>
      <c r="Z867" s="146"/>
    </row>
    <row r="868" ht="22.5" customHeight="1">
      <c r="A868" s="329"/>
      <c r="B868" s="274"/>
      <c r="C868" s="138"/>
      <c r="D868" s="118"/>
      <c r="E868" s="138"/>
      <c r="F868" s="138"/>
      <c r="G868" s="330"/>
      <c r="H868" s="146"/>
      <c r="I868" s="146"/>
      <c r="J868" s="146"/>
      <c r="K868" s="146"/>
      <c r="L868" s="146"/>
      <c r="M868" s="146"/>
      <c r="N868" s="146"/>
      <c r="O868" s="146"/>
      <c r="P868" s="146"/>
      <c r="Q868" s="146"/>
      <c r="R868" s="146"/>
      <c r="S868" s="146"/>
      <c r="T868" s="146"/>
      <c r="U868" s="146"/>
      <c r="V868" s="146"/>
      <c r="W868" s="146"/>
      <c r="X868" s="146"/>
      <c r="Y868" s="146"/>
      <c r="Z868" s="146"/>
    </row>
    <row r="869" ht="22.5" customHeight="1">
      <c r="A869" s="329"/>
      <c r="B869" s="274"/>
      <c r="C869" s="138"/>
      <c r="D869" s="118"/>
      <c r="E869" s="138"/>
      <c r="F869" s="138"/>
      <c r="G869" s="330"/>
      <c r="H869" s="146"/>
      <c r="I869" s="146"/>
      <c r="J869" s="146"/>
      <c r="K869" s="146"/>
      <c r="L869" s="146"/>
      <c r="M869" s="146"/>
      <c r="N869" s="146"/>
      <c r="O869" s="146"/>
      <c r="P869" s="146"/>
      <c r="Q869" s="146"/>
      <c r="R869" s="146"/>
      <c r="S869" s="146"/>
      <c r="T869" s="146"/>
      <c r="U869" s="146"/>
      <c r="V869" s="146"/>
      <c r="W869" s="146"/>
      <c r="X869" s="146"/>
      <c r="Y869" s="146"/>
      <c r="Z869" s="146"/>
    </row>
    <row r="870" ht="22.5" customHeight="1">
      <c r="A870" s="329"/>
      <c r="B870" s="274"/>
      <c r="C870" s="138"/>
      <c r="D870" s="118"/>
      <c r="E870" s="138"/>
      <c r="F870" s="138"/>
      <c r="G870" s="330"/>
      <c r="H870" s="146"/>
      <c r="I870" s="146"/>
      <c r="J870" s="146"/>
      <c r="K870" s="146"/>
      <c r="L870" s="146"/>
      <c r="M870" s="146"/>
      <c r="N870" s="146"/>
      <c r="O870" s="146"/>
      <c r="P870" s="146"/>
      <c r="Q870" s="146"/>
      <c r="R870" s="146"/>
      <c r="S870" s="146"/>
      <c r="T870" s="146"/>
      <c r="U870" s="146"/>
      <c r="V870" s="146"/>
      <c r="W870" s="146"/>
      <c r="X870" s="146"/>
      <c r="Y870" s="146"/>
      <c r="Z870" s="146"/>
    </row>
    <row r="871" ht="22.5" customHeight="1">
      <c r="A871" s="329"/>
      <c r="B871" s="274"/>
      <c r="C871" s="138"/>
      <c r="D871" s="118"/>
      <c r="E871" s="138"/>
      <c r="F871" s="138"/>
      <c r="G871" s="330"/>
      <c r="H871" s="146"/>
      <c r="I871" s="146"/>
      <c r="J871" s="146"/>
      <c r="K871" s="146"/>
      <c r="L871" s="146"/>
      <c r="M871" s="146"/>
      <c r="N871" s="146"/>
      <c r="O871" s="146"/>
      <c r="P871" s="146"/>
      <c r="Q871" s="146"/>
      <c r="R871" s="146"/>
      <c r="S871" s="146"/>
      <c r="T871" s="146"/>
      <c r="U871" s="146"/>
      <c r="V871" s="146"/>
      <c r="W871" s="146"/>
      <c r="X871" s="146"/>
      <c r="Y871" s="146"/>
      <c r="Z871" s="146"/>
    </row>
    <row r="872" ht="22.5" customHeight="1">
      <c r="A872" s="329"/>
      <c r="B872" s="274"/>
      <c r="C872" s="138"/>
      <c r="D872" s="118"/>
      <c r="E872" s="138"/>
      <c r="F872" s="138"/>
      <c r="G872" s="330"/>
      <c r="H872" s="146"/>
      <c r="I872" s="146"/>
      <c r="J872" s="146"/>
      <c r="K872" s="146"/>
      <c r="L872" s="146"/>
      <c r="M872" s="146"/>
      <c r="N872" s="146"/>
      <c r="O872" s="146"/>
      <c r="P872" s="146"/>
      <c r="Q872" s="146"/>
      <c r="R872" s="146"/>
      <c r="S872" s="146"/>
      <c r="T872" s="146"/>
      <c r="U872" s="146"/>
      <c r="V872" s="146"/>
      <c r="W872" s="146"/>
      <c r="X872" s="146"/>
      <c r="Y872" s="146"/>
      <c r="Z872" s="146"/>
    </row>
    <row r="873" ht="22.5" customHeight="1">
      <c r="A873" s="329"/>
      <c r="B873" s="274"/>
      <c r="C873" s="138"/>
      <c r="D873" s="118"/>
      <c r="E873" s="138"/>
      <c r="F873" s="138"/>
      <c r="G873" s="330"/>
      <c r="H873" s="146"/>
      <c r="I873" s="146"/>
      <c r="J873" s="146"/>
      <c r="K873" s="146"/>
      <c r="L873" s="146"/>
      <c r="M873" s="146"/>
      <c r="N873" s="146"/>
      <c r="O873" s="146"/>
      <c r="P873" s="146"/>
      <c r="Q873" s="146"/>
      <c r="R873" s="146"/>
      <c r="S873" s="146"/>
      <c r="T873" s="146"/>
      <c r="U873" s="146"/>
      <c r="V873" s="146"/>
      <c r="W873" s="146"/>
      <c r="X873" s="146"/>
      <c r="Y873" s="146"/>
      <c r="Z873" s="146"/>
    </row>
    <row r="874" ht="22.5" customHeight="1">
      <c r="A874" s="329"/>
      <c r="B874" s="274"/>
      <c r="C874" s="138"/>
      <c r="D874" s="118"/>
      <c r="E874" s="138"/>
      <c r="F874" s="138"/>
      <c r="G874" s="330"/>
      <c r="H874" s="146"/>
      <c r="I874" s="146"/>
      <c r="J874" s="146"/>
      <c r="K874" s="146"/>
      <c r="L874" s="146"/>
      <c r="M874" s="146"/>
      <c r="N874" s="146"/>
      <c r="O874" s="146"/>
      <c r="P874" s="146"/>
      <c r="Q874" s="146"/>
      <c r="R874" s="146"/>
      <c r="S874" s="146"/>
      <c r="T874" s="146"/>
      <c r="U874" s="146"/>
      <c r="V874" s="146"/>
      <c r="W874" s="146"/>
      <c r="X874" s="146"/>
      <c r="Y874" s="146"/>
      <c r="Z874" s="146"/>
    </row>
    <row r="875" ht="22.5" customHeight="1">
      <c r="A875" s="329"/>
      <c r="B875" s="274"/>
      <c r="C875" s="138"/>
      <c r="D875" s="118"/>
      <c r="E875" s="138"/>
      <c r="F875" s="138"/>
      <c r="G875" s="330"/>
      <c r="H875" s="146"/>
      <c r="I875" s="146"/>
      <c r="J875" s="146"/>
      <c r="K875" s="146"/>
      <c r="L875" s="146"/>
      <c r="M875" s="146"/>
      <c r="N875" s="146"/>
      <c r="O875" s="146"/>
      <c r="P875" s="146"/>
      <c r="Q875" s="146"/>
      <c r="R875" s="146"/>
      <c r="S875" s="146"/>
      <c r="T875" s="146"/>
      <c r="U875" s="146"/>
      <c r="V875" s="146"/>
      <c r="W875" s="146"/>
      <c r="X875" s="146"/>
      <c r="Y875" s="146"/>
      <c r="Z875" s="146"/>
    </row>
    <row r="876" ht="22.5" customHeight="1">
      <c r="A876" s="329"/>
      <c r="B876" s="274"/>
      <c r="C876" s="138"/>
      <c r="D876" s="118"/>
      <c r="E876" s="138"/>
      <c r="F876" s="138"/>
      <c r="G876" s="330"/>
      <c r="H876" s="146"/>
      <c r="I876" s="146"/>
      <c r="J876" s="146"/>
      <c r="K876" s="146"/>
      <c r="L876" s="146"/>
      <c r="M876" s="146"/>
      <c r="N876" s="146"/>
      <c r="O876" s="146"/>
      <c r="P876" s="146"/>
      <c r="Q876" s="146"/>
      <c r="R876" s="146"/>
      <c r="S876" s="146"/>
      <c r="T876" s="146"/>
      <c r="U876" s="146"/>
      <c r="V876" s="146"/>
      <c r="W876" s="146"/>
      <c r="X876" s="146"/>
      <c r="Y876" s="146"/>
      <c r="Z876" s="146"/>
    </row>
    <row r="877" ht="22.5" customHeight="1">
      <c r="A877" s="329"/>
      <c r="B877" s="274"/>
      <c r="C877" s="138"/>
      <c r="D877" s="118"/>
      <c r="E877" s="138"/>
      <c r="F877" s="138"/>
      <c r="G877" s="330"/>
      <c r="H877" s="146"/>
      <c r="I877" s="146"/>
      <c r="J877" s="146"/>
      <c r="K877" s="146"/>
      <c r="L877" s="146"/>
      <c r="M877" s="146"/>
      <c r="N877" s="146"/>
      <c r="O877" s="146"/>
      <c r="P877" s="146"/>
      <c r="Q877" s="146"/>
      <c r="R877" s="146"/>
      <c r="S877" s="146"/>
      <c r="T877" s="146"/>
      <c r="U877" s="146"/>
      <c r="V877" s="146"/>
      <c r="W877" s="146"/>
      <c r="X877" s="146"/>
      <c r="Y877" s="146"/>
      <c r="Z877" s="146"/>
    </row>
    <row r="878" ht="22.5" customHeight="1">
      <c r="A878" s="329"/>
      <c r="B878" s="274"/>
      <c r="C878" s="138"/>
      <c r="D878" s="118"/>
      <c r="E878" s="138"/>
      <c r="F878" s="138"/>
      <c r="G878" s="330"/>
      <c r="H878" s="146"/>
      <c r="I878" s="146"/>
      <c r="J878" s="146"/>
      <c r="K878" s="146"/>
      <c r="L878" s="146"/>
      <c r="M878" s="146"/>
      <c r="N878" s="146"/>
      <c r="O878" s="146"/>
      <c r="P878" s="146"/>
      <c r="Q878" s="146"/>
      <c r="R878" s="146"/>
      <c r="S878" s="146"/>
      <c r="T878" s="146"/>
      <c r="U878" s="146"/>
      <c r="V878" s="146"/>
      <c r="W878" s="146"/>
      <c r="X878" s="146"/>
      <c r="Y878" s="146"/>
      <c r="Z878" s="146"/>
    </row>
    <row r="879" ht="22.5" customHeight="1">
      <c r="A879" s="329"/>
      <c r="B879" s="274"/>
      <c r="C879" s="138"/>
      <c r="D879" s="118"/>
      <c r="E879" s="138"/>
      <c r="F879" s="138"/>
      <c r="G879" s="330"/>
      <c r="H879" s="146"/>
      <c r="I879" s="146"/>
      <c r="J879" s="146"/>
      <c r="K879" s="146"/>
      <c r="L879" s="146"/>
      <c r="M879" s="146"/>
      <c r="N879" s="146"/>
      <c r="O879" s="146"/>
      <c r="P879" s="146"/>
      <c r="Q879" s="146"/>
      <c r="R879" s="146"/>
      <c r="S879" s="146"/>
      <c r="T879" s="146"/>
      <c r="U879" s="146"/>
      <c r="V879" s="146"/>
      <c r="W879" s="146"/>
      <c r="X879" s="146"/>
      <c r="Y879" s="146"/>
      <c r="Z879" s="146"/>
    </row>
    <row r="880" ht="22.5" customHeight="1">
      <c r="A880" s="329"/>
      <c r="B880" s="274"/>
      <c r="C880" s="138"/>
      <c r="D880" s="118"/>
      <c r="E880" s="138"/>
      <c r="F880" s="138"/>
      <c r="G880" s="330"/>
      <c r="H880" s="146"/>
      <c r="I880" s="146"/>
      <c r="J880" s="146"/>
      <c r="K880" s="146"/>
      <c r="L880" s="146"/>
      <c r="M880" s="146"/>
      <c r="N880" s="146"/>
      <c r="O880" s="146"/>
      <c r="P880" s="146"/>
      <c r="Q880" s="146"/>
      <c r="R880" s="146"/>
      <c r="S880" s="146"/>
      <c r="T880" s="146"/>
      <c r="U880" s="146"/>
      <c r="V880" s="146"/>
      <c r="W880" s="146"/>
      <c r="X880" s="146"/>
      <c r="Y880" s="146"/>
      <c r="Z880" s="146"/>
    </row>
    <row r="881" ht="22.5" customHeight="1">
      <c r="A881" s="329"/>
      <c r="B881" s="274"/>
      <c r="C881" s="138"/>
      <c r="D881" s="118"/>
      <c r="E881" s="138"/>
      <c r="F881" s="138"/>
      <c r="G881" s="330"/>
      <c r="H881" s="146"/>
      <c r="I881" s="146"/>
      <c r="J881" s="146"/>
      <c r="K881" s="146"/>
      <c r="L881" s="146"/>
      <c r="M881" s="146"/>
      <c r="N881" s="146"/>
      <c r="O881" s="146"/>
      <c r="P881" s="146"/>
      <c r="Q881" s="146"/>
      <c r="R881" s="146"/>
      <c r="S881" s="146"/>
      <c r="T881" s="146"/>
      <c r="U881" s="146"/>
      <c r="V881" s="146"/>
      <c r="W881" s="146"/>
      <c r="X881" s="146"/>
      <c r="Y881" s="146"/>
      <c r="Z881" s="146"/>
    </row>
    <row r="882" ht="22.5" customHeight="1">
      <c r="A882" s="329"/>
      <c r="B882" s="274"/>
      <c r="C882" s="138"/>
      <c r="D882" s="118"/>
      <c r="E882" s="138"/>
      <c r="F882" s="138"/>
      <c r="G882" s="330"/>
      <c r="H882" s="146"/>
      <c r="I882" s="146"/>
      <c r="J882" s="146"/>
      <c r="K882" s="146"/>
      <c r="L882" s="146"/>
      <c r="M882" s="146"/>
      <c r="N882" s="146"/>
      <c r="O882" s="146"/>
      <c r="P882" s="146"/>
      <c r="Q882" s="146"/>
      <c r="R882" s="146"/>
      <c r="S882" s="146"/>
      <c r="T882" s="146"/>
      <c r="U882" s="146"/>
      <c r="V882" s="146"/>
      <c r="W882" s="146"/>
      <c r="X882" s="146"/>
      <c r="Y882" s="146"/>
      <c r="Z882" s="146"/>
    </row>
    <row r="883" ht="22.5" customHeight="1">
      <c r="A883" s="329"/>
      <c r="B883" s="274"/>
      <c r="C883" s="138"/>
      <c r="D883" s="118"/>
      <c r="E883" s="138"/>
      <c r="F883" s="138"/>
      <c r="G883" s="330"/>
      <c r="H883" s="146"/>
      <c r="I883" s="146"/>
      <c r="J883" s="146"/>
      <c r="K883" s="146"/>
      <c r="L883" s="146"/>
      <c r="M883" s="146"/>
      <c r="N883" s="146"/>
      <c r="O883" s="146"/>
      <c r="P883" s="146"/>
      <c r="Q883" s="146"/>
      <c r="R883" s="146"/>
      <c r="S883" s="146"/>
      <c r="T883" s="146"/>
      <c r="U883" s="146"/>
      <c r="V883" s="146"/>
      <c r="W883" s="146"/>
      <c r="X883" s="146"/>
      <c r="Y883" s="146"/>
      <c r="Z883" s="146"/>
    </row>
    <row r="884" ht="22.5" customHeight="1">
      <c r="A884" s="329"/>
      <c r="B884" s="274"/>
      <c r="C884" s="138"/>
      <c r="D884" s="118"/>
      <c r="E884" s="138"/>
      <c r="F884" s="138"/>
      <c r="G884" s="330"/>
      <c r="H884" s="146"/>
      <c r="I884" s="146"/>
      <c r="J884" s="146"/>
      <c r="K884" s="146"/>
      <c r="L884" s="146"/>
      <c r="M884" s="146"/>
      <c r="N884" s="146"/>
      <c r="O884" s="146"/>
      <c r="P884" s="146"/>
      <c r="Q884" s="146"/>
      <c r="R884" s="146"/>
      <c r="S884" s="146"/>
      <c r="T884" s="146"/>
      <c r="U884" s="146"/>
      <c r="V884" s="146"/>
      <c r="W884" s="146"/>
      <c r="X884" s="146"/>
      <c r="Y884" s="146"/>
      <c r="Z884" s="146"/>
    </row>
    <row r="885" ht="22.5" customHeight="1">
      <c r="A885" s="329"/>
      <c r="B885" s="274"/>
      <c r="C885" s="138"/>
      <c r="D885" s="118"/>
      <c r="E885" s="138"/>
      <c r="F885" s="138"/>
      <c r="G885" s="330"/>
      <c r="H885" s="146"/>
      <c r="I885" s="146"/>
      <c r="J885" s="146"/>
      <c r="K885" s="146"/>
      <c r="L885" s="146"/>
      <c r="M885" s="146"/>
      <c r="N885" s="146"/>
      <c r="O885" s="146"/>
      <c r="P885" s="146"/>
      <c r="Q885" s="146"/>
      <c r="R885" s="146"/>
      <c r="S885" s="146"/>
      <c r="T885" s="146"/>
      <c r="U885" s="146"/>
      <c r="V885" s="146"/>
      <c r="W885" s="146"/>
      <c r="X885" s="146"/>
      <c r="Y885" s="146"/>
      <c r="Z885" s="146"/>
    </row>
    <row r="886" ht="22.5" customHeight="1">
      <c r="A886" s="329"/>
      <c r="B886" s="274"/>
      <c r="C886" s="138"/>
      <c r="D886" s="118"/>
      <c r="E886" s="138"/>
      <c r="F886" s="138"/>
      <c r="G886" s="330"/>
      <c r="H886" s="146"/>
      <c r="I886" s="146"/>
      <c r="J886" s="146"/>
      <c r="K886" s="146"/>
      <c r="L886" s="146"/>
      <c r="M886" s="146"/>
      <c r="N886" s="146"/>
      <c r="O886" s="146"/>
      <c r="P886" s="146"/>
      <c r="Q886" s="146"/>
      <c r="R886" s="146"/>
      <c r="S886" s="146"/>
      <c r="T886" s="146"/>
      <c r="U886" s="146"/>
      <c r="V886" s="146"/>
      <c r="W886" s="146"/>
      <c r="X886" s="146"/>
      <c r="Y886" s="146"/>
      <c r="Z886" s="146"/>
    </row>
    <row r="887" ht="22.5" customHeight="1">
      <c r="A887" s="329"/>
      <c r="B887" s="274"/>
      <c r="C887" s="138"/>
      <c r="D887" s="118"/>
      <c r="E887" s="138"/>
      <c r="F887" s="138"/>
      <c r="G887" s="330"/>
      <c r="H887" s="146"/>
      <c r="I887" s="146"/>
      <c r="J887" s="146"/>
      <c r="K887" s="146"/>
      <c r="L887" s="146"/>
      <c r="M887" s="146"/>
      <c r="N887" s="146"/>
      <c r="O887" s="146"/>
      <c r="P887" s="146"/>
      <c r="Q887" s="146"/>
      <c r="R887" s="146"/>
      <c r="S887" s="146"/>
      <c r="T887" s="146"/>
      <c r="U887" s="146"/>
      <c r="V887" s="146"/>
      <c r="W887" s="146"/>
      <c r="X887" s="146"/>
      <c r="Y887" s="146"/>
      <c r="Z887" s="146"/>
    </row>
    <row r="888" ht="22.5" customHeight="1">
      <c r="A888" s="329"/>
      <c r="B888" s="274"/>
      <c r="C888" s="138"/>
      <c r="D888" s="118"/>
      <c r="E888" s="138"/>
      <c r="F888" s="138"/>
      <c r="G888" s="330"/>
      <c r="H888" s="146"/>
      <c r="I888" s="146"/>
      <c r="J888" s="146"/>
      <c r="K888" s="146"/>
      <c r="L888" s="146"/>
      <c r="M888" s="146"/>
      <c r="N888" s="146"/>
      <c r="O888" s="146"/>
      <c r="P888" s="146"/>
      <c r="Q888" s="146"/>
      <c r="R888" s="146"/>
      <c r="S888" s="146"/>
      <c r="T888" s="146"/>
      <c r="U888" s="146"/>
      <c r="V888" s="146"/>
      <c r="W888" s="146"/>
      <c r="X888" s="146"/>
      <c r="Y888" s="146"/>
      <c r="Z888" s="146"/>
    </row>
    <row r="889" ht="22.5" customHeight="1">
      <c r="A889" s="329"/>
      <c r="B889" s="274"/>
      <c r="C889" s="138"/>
      <c r="D889" s="118"/>
      <c r="E889" s="138"/>
      <c r="F889" s="138"/>
      <c r="G889" s="330"/>
      <c r="H889" s="146"/>
      <c r="I889" s="146"/>
      <c r="J889" s="146"/>
      <c r="K889" s="146"/>
      <c r="L889" s="146"/>
      <c r="M889" s="146"/>
      <c r="N889" s="146"/>
      <c r="O889" s="146"/>
      <c r="P889" s="146"/>
      <c r="Q889" s="146"/>
      <c r="R889" s="146"/>
      <c r="S889" s="146"/>
      <c r="T889" s="146"/>
      <c r="U889" s="146"/>
      <c r="V889" s="146"/>
      <c r="W889" s="146"/>
      <c r="X889" s="146"/>
      <c r="Y889" s="146"/>
      <c r="Z889" s="146"/>
    </row>
    <row r="890" ht="22.5" customHeight="1">
      <c r="A890" s="329"/>
      <c r="B890" s="274"/>
      <c r="C890" s="138"/>
      <c r="D890" s="118"/>
      <c r="E890" s="138"/>
      <c r="F890" s="138"/>
      <c r="G890" s="330"/>
      <c r="H890" s="146"/>
      <c r="I890" s="146"/>
      <c r="J890" s="146"/>
      <c r="K890" s="146"/>
      <c r="L890" s="146"/>
      <c r="M890" s="146"/>
      <c r="N890" s="146"/>
      <c r="O890" s="146"/>
      <c r="P890" s="146"/>
      <c r="Q890" s="146"/>
      <c r="R890" s="146"/>
      <c r="S890" s="146"/>
      <c r="T890" s="146"/>
      <c r="U890" s="146"/>
      <c r="V890" s="146"/>
      <c r="W890" s="146"/>
      <c r="X890" s="146"/>
      <c r="Y890" s="146"/>
      <c r="Z890" s="146"/>
    </row>
    <row r="891" ht="22.5" customHeight="1">
      <c r="A891" s="329"/>
      <c r="B891" s="274"/>
      <c r="C891" s="138"/>
      <c r="D891" s="118"/>
      <c r="E891" s="138"/>
      <c r="F891" s="138"/>
      <c r="G891" s="330"/>
      <c r="H891" s="146"/>
      <c r="I891" s="146"/>
      <c r="J891" s="146"/>
      <c r="K891" s="146"/>
      <c r="L891" s="146"/>
      <c r="M891" s="146"/>
      <c r="N891" s="146"/>
      <c r="O891" s="146"/>
      <c r="P891" s="146"/>
      <c r="Q891" s="146"/>
      <c r="R891" s="146"/>
      <c r="S891" s="146"/>
      <c r="T891" s="146"/>
      <c r="U891" s="146"/>
      <c r="V891" s="146"/>
      <c r="W891" s="146"/>
      <c r="X891" s="146"/>
      <c r="Y891" s="146"/>
      <c r="Z891" s="146"/>
    </row>
    <row r="892" ht="22.5" customHeight="1">
      <c r="A892" s="329"/>
      <c r="B892" s="274"/>
      <c r="C892" s="138"/>
      <c r="D892" s="118"/>
      <c r="E892" s="138"/>
      <c r="F892" s="138"/>
      <c r="G892" s="330"/>
      <c r="H892" s="146"/>
      <c r="I892" s="146"/>
      <c r="J892" s="146"/>
      <c r="K892" s="146"/>
      <c r="L892" s="146"/>
      <c r="M892" s="146"/>
      <c r="N892" s="146"/>
      <c r="O892" s="146"/>
      <c r="P892" s="146"/>
      <c r="Q892" s="146"/>
      <c r="R892" s="146"/>
      <c r="S892" s="146"/>
      <c r="T892" s="146"/>
      <c r="U892" s="146"/>
      <c r="V892" s="146"/>
      <c r="W892" s="146"/>
      <c r="X892" s="146"/>
      <c r="Y892" s="146"/>
      <c r="Z892" s="146"/>
    </row>
    <row r="893" ht="22.5" customHeight="1">
      <c r="A893" s="329"/>
      <c r="B893" s="274"/>
      <c r="C893" s="138"/>
      <c r="D893" s="118"/>
      <c r="E893" s="138"/>
      <c r="F893" s="138"/>
      <c r="G893" s="330"/>
      <c r="H893" s="146"/>
      <c r="I893" s="146"/>
      <c r="J893" s="146"/>
      <c r="K893" s="146"/>
      <c r="L893" s="146"/>
      <c r="M893" s="146"/>
      <c r="N893" s="146"/>
      <c r="O893" s="146"/>
      <c r="P893" s="146"/>
      <c r="Q893" s="146"/>
      <c r="R893" s="146"/>
      <c r="S893" s="146"/>
      <c r="T893" s="146"/>
      <c r="U893" s="146"/>
      <c r="V893" s="146"/>
      <c r="W893" s="146"/>
      <c r="X893" s="146"/>
      <c r="Y893" s="146"/>
      <c r="Z893" s="146"/>
    </row>
    <row r="894" ht="22.5" customHeight="1">
      <c r="A894" s="329"/>
      <c r="B894" s="274"/>
      <c r="C894" s="138"/>
      <c r="D894" s="118"/>
      <c r="E894" s="138"/>
      <c r="F894" s="138"/>
      <c r="G894" s="330"/>
      <c r="H894" s="146"/>
      <c r="I894" s="146"/>
      <c r="J894" s="146"/>
      <c r="K894" s="146"/>
      <c r="L894" s="146"/>
      <c r="M894" s="146"/>
      <c r="N894" s="146"/>
      <c r="O894" s="146"/>
      <c r="P894" s="146"/>
      <c r="Q894" s="146"/>
      <c r="R894" s="146"/>
      <c r="S894" s="146"/>
      <c r="T894" s="146"/>
      <c r="U894" s="146"/>
      <c r="V894" s="146"/>
      <c r="W894" s="146"/>
      <c r="X894" s="146"/>
      <c r="Y894" s="146"/>
      <c r="Z894" s="146"/>
    </row>
    <row r="895" ht="22.5" customHeight="1">
      <c r="A895" s="329"/>
      <c r="B895" s="274"/>
      <c r="C895" s="138"/>
      <c r="D895" s="118"/>
      <c r="E895" s="138"/>
      <c r="F895" s="138"/>
      <c r="G895" s="330"/>
      <c r="H895" s="146"/>
      <c r="I895" s="146"/>
      <c r="J895" s="146"/>
      <c r="K895" s="146"/>
      <c r="L895" s="146"/>
      <c r="M895" s="146"/>
      <c r="N895" s="146"/>
      <c r="O895" s="146"/>
      <c r="P895" s="146"/>
      <c r="Q895" s="146"/>
      <c r="R895" s="146"/>
      <c r="S895" s="146"/>
      <c r="T895" s="146"/>
      <c r="U895" s="146"/>
      <c r="V895" s="146"/>
      <c r="W895" s="146"/>
      <c r="X895" s="146"/>
      <c r="Y895" s="146"/>
      <c r="Z895" s="146"/>
    </row>
    <row r="896" ht="22.5" customHeight="1">
      <c r="A896" s="329"/>
      <c r="B896" s="274"/>
      <c r="C896" s="138"/>
      <c r="D896" s="118"/>
      <c r="E896" s="138"/>
      <c r="F896" s="138"/>
      <c r="G896" s="330"/>
      <c r="H896" s="146"/>
      <c r="I896" s="146"/>
      <c r="J896" s="146"/>
      <c r="K896" s="146"/>
      <c r="L896" s="146"/>
      <c r="M896" s="146"/>
      <c r="N896" s="146"/>
      <c r="O896" s="146"/>
      <c r="P896" s="146"/>
      <c r="Q896" s="146"/>
      <c r="R896" s="146"/>
      <c r="S896" s="146"/>
      <c r="T896" s="146"/>
      <c r="U896" s="146"/>
      <c r="V896" s="146"/>
      <c r="W896" s="146"/>
      <c r="X896" s="146"/>
      <c r="Y896" s="146"/>
      <c r="Z896" s="146"/>
    </row>
    <row r="897" ht="22.5" customHeight="1">
      <c r="A897" s="329"/>
      <c r="B897" s="274"/>
      <c r="C897" s="138"/>
      <c r="D897" s="118"/>
      <c r="E897" s="138"/>
      <c r="F897" s="138"/>
      <c r="G897" s="330"/>
      <c r="H897" s="146"/>
      <c r="I897" s="146"/>
      <c r="J897" s="146"/>
      <c r="K897" s="146"/>
      <c r="L897" s="146"/>
      <c r="M897" s="146"/>
      <c r="N897" s="146"/>
      <c r="O897" s="146"/>
      <c r="P897" s="146"/>
      <c r="Q897" s="146"/>
      <c r="R897" s="146"/>
      <c r="S897" s="146"/>
      <c r="T897" s="146"/>
      <c r="U897" s="146"/>
      <c r="V897" s="146"/>
      <c r="W897" s="146"/>
      <c r="X897" s="146"/>
      <c r="Y897" s="146"/>
      <c r="Z897" s="146"/>
    </row>
    <row r="898" ht="22.5" customHeight="1">
      <c r="A898" s="329"/>
      <c r="B898" s="274"/>
      <c r="C898" s="138"/>
      <c r="D898" s="118"/>
      <c r="E898" s="138"/>
      <c r="F898" s="138"/>
      <c r="G898" s="330"/>
      <c r="H898" s="146"/>
      <c r="I898" s="146"/>
      <c r="J898" s="146"/>
      <c r="K898" s="146"/>
      <c r="L898" s="146"/>
      <c r="M898" s="146"/>
      <c r="N898" s="146"/>
      <c r="O898" s="146"/>
      <c r="P898" s="146"/>
      <c r="Q898" s="146"/>
      <c r="R898" s="146"/>
      <c r="S898" s="146"/>
      <c r="T898" s="146"/>
      <c r="U898" s="146"/>
      <c r="V898" s="146"/>
      <c r="W898" s="146"/>
      <c r="X898" s="146"/>
      <c r="Y898" s="146"/>
      <c r="Z898" s="146"/>
    </row>
    <row r="899" ht="22.5" customHeight="1">
      <c r="A899" s="329"/>
      <c r="B899" s="274"/>
      <c r="C899" s="138"/>
      <c r="D899" s="118"/>
      <c r="E899" s="138"/>
      <c r="F899" s="138"/>
      <c r="G899" s="330"/>
      <c r="H899" s="146"/>
      <c r="I899" s="146"/>
      <c r="J899" s="146"/>
      <c r="K899" s="146"/>
      <c r="L899" s="146"/>
      <c r="M899" s="146"/>
      <c r="N899" s="146"/>
      <c r="O899" s="146"/>
      <c r="P899" s="146"/>
      <c r="Q899" s="146"/>
      <c r="R899" s="146"/>
      <c r="S899" s="146"/>
      <c r="T899" s="146"/>
      <c r="U899" s="146"/>
      <c r="V899" s="146"/>
      <c r="W899" s="146"/>
      <c r="X899" s="146"/>
      <c r="Y899" s="146"/>
      <c r="Z899" s="146"/>
    </row>
    <row r="900" ht="22.5" customHeight="1">
      <c r="A900" s="329"/>
      <c r="B900" s="274"/>
      <c r="C900" s="138"/>
      <c r="D900" s="118"/>
      <c r="E900" s="138"/>
      <c r="F900" s="138"/>
      <c r="G900" s="330"/>
      <c r="H900" s="146"/>
      <c r="I900" s="146"/>
      <c r="J900" s="146"/>
      <c r="K900" s="146"/>
      <c r="L900" s="146"/>
      <c r="M900" s="146"/>
      <c r="N900" s="146"/>
      <c r="O900" s="146"/>
      <c r="P900" s="146"/>
      <c r="Q900" s="146"/>
      <c r="R900" s="146"/>
      <c r="S900" s="146"/>
      <c r="T900" s="146"/>
      <c r="U900" s="146"/>
      <c r="V900" s="146"/>
      <c r="W900" s="146"/>
      <c r="X900" s="146"/>
      <c r="Y900" s="146"/>
      <c r="Z900" s="146"/>
    </row>
    <row r="901" ht="22.5" customHeight="1">
      <c r="A901" s="329"/>
      <c r="B901" s="274"/>
      <c r="C901" s="138"/>
      <c r="D901" s="118"/>
      <c r="E901" s="138"/>
      <c r="F901" s="138"/>
      <c r="G901" s="330"/>
      <c r="H901" s="146"/>
      <c r="I901" s="146"/>
      <c r="J901" s="146"/>
      <c r="K901" s="146"/>
      <c r="L901" s="146"/>
      <c r="M901" s="146"/>
      <c r="N901" s="146"/>
      <c r="O901" s="146"/>
      <c r="P901" s="146"/>
      <c r="Q901" s="146"/>
      <c r="R901" s="146"/>
      <c r="S901" s="146"/>
      <c r="T901" s="146"/>
      <c r="U901" s="146"/>
      <c r="V901" s="146"/>
      <c r="W901" s="146"/>
      <c r="X901" s="146"/>
      <c r="Y901" s="146"/>
      <c r="Z901" s="146"/>
    </row>
    <row r="902" ht="22.5" customHeight="1">
      <c r="A902" s="329"/>
      <c r="B902" s="274"/>
      <c r="C902" s="138"/>
      <c r="D902" s="118"/>
      <c r="E902" s="138"/>
      <c r="F902" s="138"/>
      <c r="G902" s="330"/>
      <c r="H902" s="146"/>
      <c r="I902" s="146"/>
      <c r="J902" s="146"/>
      <c r="K902" s="146"/>
      <c r="L902" s="146"/>
      <c r="M902" s="146"/>
      <c r="N902" s="146"/>
      <c r="O902" s="146"/>
      <c r="P902" s="146"/>
      <c r="Q902" s="146"/>
      <c r="R902" s="146"/>
      <c r="S902" s="146"/>
      <c r="T902" s="146"/>
      <c r="U902" s="146"/>
      <c r="V902" s="146"/>
      <c r="W902" s="146"/>
      <c r="X902" s="146"/>
      <c r="Y902" s="146"/>
      <c r="Z902" s="146"/>
    </row>
    <row r="903" ht="22.5" customHeight="1">
      <c r="A903" s="329"/>
      <c r="B903" s="274"/>
      <c r="C903" s="138"/>
      <c r="D903" s="118"/>
      <c r="E903" s="138"/>
      <c r="F903" s="138"/>
      <c r="G903" s="330"/>
      <c r="H903" s="146"/>
      <c r="I903" s="146"/>
      <c r="J903" s="146"/>
      <c r="K903" s="146"/>
      <c r="L903" s="146"/>
      <c r="M903" s="146"/>
      <c r="N903" s="146"/>
      <c r="O903" s="146"/>
      <c r="P903" s="146"/>
      <c r="Q903" s="146"/>
      <c r="R903" s="146"/>
      <c r="S903" s="146"/>
      <c r="T903" s="146"/>
      <c r="U903" s="146"/>
      <c r="V903" s="146"/>
      <c r="W903" s="146"/>
      <c r="X903" s="146"/>
      <c r="Y903" s="146"/>
      <c r="Z903" s="146"/>
    </row>
    <row r="904" ht="22.5" customHeight="1">
      <c r="A904" s="329"/>
      <c r="B904" s="274"/>
      <c r="C904" s="138"/>
      <c r="D904" s="118"/>
      <c r="E904" s="138"/>
      <c r="F904" s="138"/>
      <c r="G904" s="330"/>
      <c r="H904" s="146"/>
      <c r="I904" s="146"/>
      <c r="J904" s="146"/>
      <c r="K904" s="146"/>
      <c r="L904" s="146"/>
      <c r="M904" s="146"/>
      <c r="N904" s="146"/>
      <c r="O904" s="146"/>
      <c r="P904" s="146"/>
      <c r="Q904" s="146"/>
      <c r="R904" s="146"/>
      <c r="S904" s="146"/>
      <c r="T904" s="146"/>
      <c r="U904" s="146"/>
      <c r="V904" s="146"/>
      <c r="W904" s="146"/>
      <c r="X904" s="146"/>
      <c r="Y904" s="146"/>
      <c r="Z904" s="146"/>
    </row>
    <row r="905" ht="22.5" customHeight="1">
      <c r="A905" s="329"/>
      <c r="B905" s="274"/>
      <c r="C905" s="138"/>
      <c r="D905" s="118"/>
      <c r="E905" s="138"/>
      <c r="F905" s="138"/>
      <c r="G905" s="330"/>
      <c r="H905" s="146"/>
      <c r="I905" s="146"/>
      <c r="J905" s="146"/>
      <c r="K905" s="146"/>
      <c r="L905" s="146"/>
      <c r="M905" s="146"/>
      <c r="N905" s="146"/>
      <c r="O905" s="146"/>
      <c r="P905" s="146"/>
      <c r="Q905" s="146"/>
      <c r="R905" s="146"/>
      <c r="S905" s="146"/>
      <c r="T905" s="146"/>
      <c r="U905" s="146"/>
      <c r="V905" s="146"/>
      <c r="W905" s="146"/>
      <c r="X905" s="146"/>
      <c r="Y905" s="146"/>
      <c r="Z905" s="146"/>
    </row>
    <row r="906" ht="22.5" customHeight="1">
      <c r="A906" s="329"/>
      <c r="B906" s="274"/>
      <c r="C906" s="138"/>
      <c r="D906" s="118"/>
      <c r="E906" s="138"/>
      <c r="F906" s="138"/>
      <c r="G906" s="330"/>
      <c r="H906" s="146"/>
      <c r="I906" s="146"/>
      <c r="J906" s="146"/>
      <c r="K906" s="146"/>
      <c r="L906" s="146"/>
      <c r="M906" s="146"/>
      <c r="N906" s="146"/>
      <c r="O906" s="146"/>
      <c r="P906" s="146"/>
      <c r="Q906" s="146"/>
      <c r="R906" s="146"/>
      <c r="S906" s="146"/>
      <c r="T906" s="146"/>
      <c r="U906" s="146"/>
      <c r="V906" s="146"/>
      <c r="W906" s="146"/>
      <c r="X906" s="146"/>
      <c r="Y906" s="146"/>
      <c r="Z906" s="146"/>
    </row>
    <row r="907" ht="22.5" customHeight="1">
      <c r="A907" s="329"/>
      <c r="B907" s="274"/>
      <c r="C907" s="138"/>
      <c r="D907" s="118"/>
      <c r="E907" s="138"/>
      <c r="F907" s="138"/>
      <c r="G907" s="330"/>
      <c r="H907" s="146"/>
      <c r="I907" s="146"/>
      <c r="J907" s="146"/>
      <c r="K907" s="146"/>
      <c r="L907" s="146"/>
      <c r="M907" s="146"/>
      <c r="N907" s="146"/>
      <c r="O907" s="146"/>
      <c r="P907" s="146"/>
      <c r="Q907" s="146"/>
      <c r="R907" s="146"/>
      <c r="S907" s="146"/>
      <c r="T907" s="146"/>
      <c r="U907" s="146"/>
      <c r="V907" s="146"/>
      <c r="W907" s="146"/>
      <c r="X907" s="146"/>
      <c r="Y907" s="146"/>
      <c r="Z907" s="146"/>
    </row>
    <row r="908" ht="22.5" customHeight="1">
      <c r="A908" s="329"/>
      <c r="B908" s="274"/>
      <c r="C908" s="138"/>
      <c r="D908" s="118"/>
      <c r="E908" s="138"/>
      <c r="F908" s="138"/>
      <c r="G908" s="330"/>
      <c r="H908" s="146"/>
      <c r="I908" s="146"/>
      <c r="J908" s="146"/>
      <c r="K908" s="146"/>
      <c r="L908" s="146"/>
      <c r="M908" s="146"/>
      <c r="N908" s="146"/>
      <c r="O908" s="146"/>
      <c r="P908" s="146"/>
      <c r="Q908" s="146"/>
      <c r="R908" s="146"/>
      <c r="S908" s="146"/>
      <c r="T908" s="146"/>
      <c r="U908" s="146"/>
      <c r="V908" s="146"/>
      <c r="W908" s="146"/>
      <c r="X908" s="146"/>
      <c r="Y908" s="146"/>
      <c r="Z908" s="146"/>
    </row>
    <row r="909" ht="22.5" customHeight="1">
      <c r="A909" s="329"/>
      <c r="B909" s="274"/>
      <c r="C909" s="138"/>
      <c r="D909" s="118"/>
      <c r="E909" s="138"/>
      <c r="F909" s="138"/>
      <c r="G909" s="330"/>
      <c r="H909" s="146"/>
      <c r="I909" s="146"/>
      <c r="J909" s="146"/>
      <c r="K909" s="146"/>
      <c r="L909" s="146"/>
      <c r="M909" s="146"/>
      <c r="N909" s="146"/>
      <c r="O909" s="146"/>
      <c r="P909" s="146"/>
      <c r="Q909" s="146"/>
      <c r="R909" s="146"/>
      <c r="S909" s="146"/>
      <c r="T909" s="146"/>
      <c r="U909" s="146"/>
      <c r="V909" s="146"/>
      <c r="W909" s="146"/>
      <c r="X909" s="146"/>
      <c r="Y909" s="146"/>
      <c r="Z909" s="146"/>
    </row>
    <row r="910" ht="22.5" customHeight="1">
      <c r="A910" s="329"/>
      <c r="B910" s="274"/>
      <c r="C910" s="138"/>
      <c r="D910" s="118"/>
      <c r="E910" s="138"/>
      <c r="F910" s="138"/>
      <c r="G910" s="330"/>
      <c r="H910" s="146"/>
      <c r="I910" s="146"/>
      <c r="J910" s="146"/>
      <c r="K910" s="146"/>
      <c r="L910" s="146"/>
      <c r="M910" s="146"/>
      <c r="N910" s="146"/>
      <c r="O910" s="146"/>
      <c r="P910" s="146"/>
      <c r="Q910" s="146"/>
      <c r="R910" s="146"/>
      <c r="S910" s="146"/>
      <c r="T910" s="146"/>
      <c r="U910" s="146"/>
      <c r="V910" s="146"/>
      <c r="W910" s="146"/>
      <c r="X910" s="146"/>
      <c r="Y910" s="146"/>
      <c r="Z910" s="146"/>
    </row>
    <row r="911" ht="22.5" customHeight="1">
      <c r="A911" s="329"/>
      <c r="B911" s="274"/>
      <c r="C911" s="138"/>
      <c r="D911" s="118"/>
      <c r="E911" s="138"/>
      <c r="F911" s="138"/>
      <c r="G911" s="330"/>
      <c r="H911" s="146"/>
      <c r="I911" s="146"/>
      <c r="J911" s="146"/>
      <c r="K911" s="146"/>
      <c r="L911" s="146"/>
      <c r="M911" s="146"/>
      <c r="N911" s="146"/>
      <c r="O911" s="146"/>
      <c r="P911" s="146"/>
      <c r="Q911" s="146"/>
      <c r="R911" s="146"/>
      <c r="S911" s="146"/>
      <c r="T911" s="146"/>
      <c r="U911" s="146"/>
      <c r="V911" s="146"/>
      <c r="W911" s="146"/>
      <c r="X911" s="146"/>
      <c r="Y911" s="146"/>
      <c r="Z911" s="146"/>
    </row>
    <row r="912" ht="22.5" customHeight="1">
      <c r="A912" s="329"/>
      <c r="B912" s="274"/>
      <c r="C912" s="138"/>
      <c r="D912" s="118"/>
      <c r="E912" s="138"/>
      <c r="F912" s="138"/>
      <c r="G912" s="330"/>
      <c r="H912" s="146"/>
      <c r="I912" s="146"/>
      <c r="J912" s="146"/>
      <c r="K912" s="146"/>
      <c r="L912" s="146"/>
      <c r="M912" s="146"/>
      <c r="N912" s="146"/>
      <c r="O912" s="146"/>
      <c r="P912" s="146"/>
      <c r="Q912" s="146"/>
      <c r="R912" s="146"/>
      <c r="S912" s="146"/>
      <c r="T912" s="146"/>
      <c r="U912" s="146"/>
      <c r="V912" s="146"/>
      <c r="W912" s="146"/>
      <c r="X912" s="146"/>
      <c r="Y912" s="146"/>
      <c r="Z912" s="146"/>
    </row>
    <row r="913" ht="22.5" customHeight="1">
      <c r="A913" s="329"/>
      <c r="B913" s="274"/>
      <c r="C913" s="138"/>
      <c r="D913" s="118"/>
      <c r="E913" s="138"/>
      <c r="F913" s="138"/>
      <c r="G913" s="330"/>
      <c r="H913" s="146"/>
      <c r="I913" s="146"/>
      <c r="J913" s="146"/>
      <c r="K913" s="146"/>
      <c r="L913" s="146"/>
      <c r="M913" s="146"/>
      <c r="N913" s="146"/>
      <c r="O913" s="146"/>
      <c r="P913" s="146"/>
      <c r="Q913" s="146"/>
      <c r="R913" s="146"/>
      <c r="S913" s="146"/>
      <c r="T913" s="146"/>
      <c r="U913" s="146"/>
      <c r="V913" s="146"/>
      <c r="W913" s="146"/>
      <c r="X913" s="146"/>
      <c r="Y913" s="146"/>
      <c r="Z913" s="146"/>
    </row>
    <row r="914" ht="22.5" customHeight="1">
      <c r="A914" s="329"/>
      <c r="B914" s="274"/>
      <c r="C914" s="138"/>
      <c r="D914" s="118"/>
      <c r="E914" s="138"/>
      <c r="F914" s="138"/>
      <c r="G914" s="330"/>
      <c r="H914" s="146"/>
      <c r="I914" s="146"/>
      <c r="J914" s="146"/>
      <c r="K914" s="146"/>
      <c r="L914" s="146"/>
      <c r="M914" s="146"/>
      <c r="N914" s="146"/>
      <c r="O914" s="146"/>
      <c r="P914" s="146"/>
      <c r="Q914" s="146"/>
      <c r="R914" s="146"/>
      <c r="S914" s="146"/>
      <c r="T914" s="146"/>
      <c r="U914" s="146"/>
      <c r="V914" s="146"/>
      <c r="W914" s="146"/>
      <c r="X914" s="146"/>
      <c r="Y914" s="146"/>
      <c r="Z914" s="146"/>
    </row>
    <row r="915" ht="22.5" customHeight="1">
      <c r="A915" s="329"/>
      <c r="B915" s="274"/>
      <c r="C915" s="138"/>
      <c r="D915" s="118"/>
      <c r="E915" s="138"/>
      <c r="F915" s="138"/>
      <c r="G915" s="330"/>
      <c r="H915" s="146"/>
      <c r="I915" s="146"/>
      <c r="J915" s="146"/>
      <c r="K915" s="146"/>
      <c r="L915" s="146"/>
      <c r="M915" s="146"/>
      <c r="N915" s="146"/>
      <c r="O915" s="146"/>
      <c r="P915" s="146"/>
      <c r="Q915" s="146"/>
      <c r="R915" s="146"/>
      <c r="S915" s="146"/>
      <c r="T915" s="146"/>
      <c r="U915" s="146"/>
      <c r="V915" s="146"/>
      <c r="W915" s="146"/>
      <c r="X915" s="146"/>
      <c r="Y915" s="146"/>
      <c r="Z915" s="146"/>
    </row>
    <row r="916" ht="22.5" customHeight="1">
      <c r="A916" s="329"/>
      <c r="B916" s="274"/>
      <c r="C916" s="138"/>
      <c r="D916" s="118"/>
      <c r="E916" s="138"/>
      <c r="F916" s="138"/>
      <c r="G916" s="330"/>
      <c r="H916" s="146"/>
      <c r="I916" s="146"/>
      <c r="J916" s="146"/>
      <c r="K916" s="146"/>
      <c r="L916" s="146"/>
      <c r="M916" s="146"/>
      <c r="N916" s="146"/>
      <c r="O916" s="146"/>
      <c r="P916" s="146"/>
      <c r="Q916" s="146"/>
      <c r="R916" s="146"/>
      <c r="S916" s="146"/>
      <c r="T916" s="146"/>
      <c r="U916" s="146"/>
      <c r="V916" s="146"/>
      <c r="W916" s="146"/>
      <c r="X916" s="146"/>
      <c r="Y916" s="146"/>
      <c r="Z916" s="146"/>
    </row>
    <row r="917" ht="22.5" customHeight="1">
      <c r="A917" s="329"/>
      <c r="B917" s="274"/>
      <c r="C917" s="138"/>
      <c r="D917" s="118"/>
      <c r="E917" s="138"/>
      <c r="F917" s="138"/>
      <c r="G917" s="330"/>
      <c r="H917" s="146"/>
      <c r="I917" s="146"/>
      <c r="J917" s="146"/>
      <c r="K917" s="146"/>
      <c r="L917" s="146"/>
      <c r="M917" s="146"/>
      <c r="N917" s="146"/>
      <c r="O917" s="146"/>
      <c r="P917" s="146"/>
      <c r="Q917" s="146"/>
      <c r="R917" s="146"/>
      <c r="S917" s="146"/>
      <c r="T917" s="146"/>
      <c r="U917" s="146"/>
      <c r="V917" s="146"/>
      <c r="W917" s="146"/>
      <c r="X917" s="146"/>
      <c r="Y917" s="146"/>
      <c r="Z917" s="146"/>
    </row>
    <row r="918" ht="22.5" customHeight="1">
      <c r="A918" s="329"/>
      <c r="B918" s="274"/>
      <c r="C918" s="138"/>
      <c r="D918" s="118"/>
      <c r="E918" s="138"/>
      <c r="F918" s="138"/>
      <c r="G918" s="330"/>
      <c r="H918" s="146"/>
      <c r="I918" s="146"/>
      <c r="J918" s="146"/>
      <c r="K918" s="146"/>
      <c r="L918" s="146"/>
      <c r="M918" s="146"/>
      <c r="N918" s="146"/>
      <c r="O918" s="146"/>
      <c r="P918" s="146"/>
      <c r="Q918" s="146"/>
      <c r="R918" s="146"/>
      <c r="S918" s="146"/>
      <c r="T918" s="146"/>
      <c r="U918" s="146"/>
      <c r="V918" s="146"/>
      <c r="W918" s="146"/>
      <c r="X918" s="146"/>
      <c r="Y918" s="146"/>
      <c r="Z918" s="146"/>
    </row>
    <row r="919" ht="22.5" customHeight="1">
      <c r="A919" s="329"/>
      <c r="B919" s="274"/>
      <c r="C919" s="138"/>
      <c r="D919" s="118"/>
      <c r="E919" s="138"/>
      <c r="F919" s="138"/>
      <c r="G919" s="330"/>
      <c r="H919" s="146"/>
      <c r="I919" s="146"/>
      <c r="J919" s="146"/>
      <c r="K919" s="146"/>
      <c r="L919" s="146"/>
      <c r="M919" s="146"/>
      <c r="N919" s="146"/>
      <c r="O919" s="146"/>
      <c r="P919" s="146"/>
      <c r="Q919" s="146"/>
      <c r="R919" s="146"/>
      <c r="S919" s="146"/>
      <c r="T919" s="146"/>
      <c r="U919" s="146"/>
      <c r="V919" s="146"/>
      <c r="W919" s="146"/>
      <c r="X919" s="146"/>
      <c r="Y919" s="146"/>
      <c r="Z919" s="146"/>
    </row>
    <row r="920" ht="22.5" customHeight="1">
      <c r="A920" s="329"/>
      <c r="B920" s="274"/>
      <c r="C920" s="138"/>
      <c r="D920" s="118"/>
      <c r="E920" s="138"/>
      <c r="F920" s="138"/>
      <c r="G920" s="330"/>
      <c r="H920" s="146"/>
      <c r="I920" s="146"/>
      <c r="J920" s="146"/>
      <c r="K920" s="146"/>
      <c r="L920" s="146"/>
      <c r="M920" s="146"/>
      <c r="N920" s="146"/>
      <c r="O920" s="146"/>
      <c r="P920" s="146"/>
      <c r="Q920" s="146"/>
      <c r="R920" s="146"/>
      <c r="S920" s="146"/>
      <c r="T920" s="146"/>
      <c r="U920" s="146"/>
      <c r="V920" s="146"/>
      <c r="W920" s="146"/>
      <c r="X920" s="146"/>
      <c r="Y920" s="146"/>
      <c r="Z920" s="146"/>
    </row>
    <row r="921" ht="22.5" customHeight="1">
      <c r="A921" s="329"/>
      <c r="B921" s="274"/>
      <c r="C921" s="138"/>
      <c r="D921" s="118"/>
      <c r="E921" s="138"/>
      <c r="F921" s="138"/>
      <c r="G921" s="330"/>
      <c r="H921" s="146"/>
      <c r="I921" s="146"/>
      <c r="J921" s="146"/>
      <c r="K921" s="146"/>
      <c r="L921" s="146"/>
      <c r="M921" s="146"/>
      <c r="N921" s="146"/>
      <c r="O921" s="146"/>
      <c r="P921" s="146"/>
      <c r="Q921" s="146"/>
      <c r="R921" s="146"/>
      <c r="S921" s="146"/>
      <c r="T921" s="146"/>
      <c r="U921" s="146"/>
      <c r="V921" s="146"/>
      <c r="W921" s="146"/>
      <c r="X921" s="146"/>
      <c r="Y921" s="146"/>
      <c r="Z921" s="146"/>
    </row>
    <row r="922" ht="22.5" customHeight="1">
      <c r="A922" s="329"/>
      <c r="B922" s="274"/>
      <c r="C922" s="138"/>
      <c r="D922" s="118"/>
      <c r="E922" s="138"/>
      <c r="F922" s="138"/>
      <c r="G922" s="330"/>
      <c r="H922" s="146"/>
      <c r="I922" s="146"/>
      <c r="J922" s="146"/>
      <c r="K922" s="146"/>
      <c r="L922" s="146"/>
      <c r="M922" s="146"/>
      <c r="N922" s="146"/>
      <c r="O922" s="146"/>
      <c r="P922" s="146"/>
      <c r="Q922" s="146"/>
      <c r="R922" s="146"/>
      <c r="S922" s="146"/>
      <c r="T922" s="146"/>
      <c r="U922" s="146"/>
      <c r="V922" s="146"/>
      <c r="W922" s="146"/>
      <c r="X922" s="146"/>
      <c r="Y922" s="146"/>
      <c r="Z922" s="146"/>
    </row>
    <row r="923" ht="22.5" customHeight="1">
      <c r="A923" s="329"/>
      <c r="B923" s="274"/>
      <c r="C923" s="138"/>
      <c r="D923" s="118"/>
      <c r="E923" s="138"/>
      <c r="F923" s="138"/>
      <c r="G923" s="330"/>
      <c r="H923" s="146"/>
      <c r="I923" s="146"/>
      <c r="J923" s="146"/>
      <c r="K923" s="146"/>
      <c r="L923" s="146"/>
      <c r="M923" s="146"/>
      <c r="N923" s="146"/>
      <c r="O923" s="146"/>
      <c r="P923" s="146"/>
      <c r="Q923" s="146"/>
      <c r="R923" s="146"/>
      <c r="S923" s="146"/>
      <c r="T923" s="146"/>
      <c r="U923" s="146"/>
      <c r="V923" s="146"/>
      <c r="W923" s="146"/>
      <c r="X923" s="146"/>
      <c r="Y923" s="146"/>
      <c r="Z923" s="146"/>
    </row>
    <row r="924" ht="22.5" customHeight="1">
      <c r="A924" s="329"/>
      <c r="B924" s="274"/>
      <c r="C924" s="138"/>
      <c r="D924" s="118"/>
      <c r="E924" s="138"/>
      <c r="F924" s="138"/>
      <c r="G924" s="330"/>
      <c r="H924" s="146"/>
      <c r="I924" s="146"/>
      <c r="J924" s="146"/>
      <c r="K924" s="146"/>
      <c r="L924" s="146"/>
      <c r="M924" s="146"/>
      <c r="N924" s="146"/>
      <c r="O924" s="146"/>
      <c r="P924" s="146"/>
      <c r="Q924" s="146"/>
      <c r="R924" s="146"/>
      <c r="S924" s="146"/>
      <c r="T924" s="146"/>
      <c r="U924" s="146"/>
      <c r="V924" s="146"/>
      <c r="W924" s="146"/>
      <c r="X924" s="146"/>
      <c r="Y924" s="146"/>
      <c r="Z924" s="146"/>
    </row>
    <row r="925" ht="22.5" customHeight="1">
      <c r="A925" s="329"/>
      <c r="B925" s="274"/>
      <c r="C925" s="138"/>
      <c r="D925" s="118"/>
      <c r="E925" s="138"/>
      <c r="F925" s="138"/>
      <c r="G925" s="330"/>
      <c r="H925" s="146"/>
      <c r="I925" s="146"/>
      <c r="J925" s="146"/>
      <c r="K925" s="146"/>
      <c r="L925" s="146"/>
      <c r="M925" s="146"/>
      <c r="N925" s="146"/>
      <c r="O925" s="146"/>
      <c r="P925" s="146"/>
      <c r="Q925" s="146"/>
      <c r="R925" s="146"/>
      <c r="S925" s="146"/>
      <c r="T925" s="146"/>
      <c r="U925" s="146"/>
      <c r="V925" s="146"/>
      <c r="W925" s="146"/>
      <c r="X925" s="146"/>
      <c r="Y925" s="146"/>
      <c r="Z925" s="146"/>
    </row>
    <row r="926" ht="22.5" customHeight="1">
      <c r="A926" s="329"/>
      <c r="B926" s="274"/>
      <c r="C926" s="138"/>
      <c r="D926" s="118"/>
      <c r="E926" s="138"/>
      <c r="F926" s="138"/>
      <c r="G926" s="330"/>
      <c r="H926" s="146"/>
      <c r="I926" s="146"/>
      <c r="J926" s="146"/>
      <c r="K926" s="146"/>
      <c r="L926" s="146"/>
      <c r="M926" s="146"/>
      <c r="N926" s="146"/>
      <c r="O926" s="146"/>
      <c r="P926" s="146"/>
      <c r="Q926" s="146"/>
      <c r="R926" s="146"/>
      <c r="S926" s="146"/>
      <c r="T926" s="146"/>
      <c r="U926" s="146"/>
      <c r="V926" s="146"/>
      <c r="W926" s="146"/>
      <c r="X926" s="146"/>
      <c r="Y926" s="146"/>
      <c r="Z926" s="146"/>
    </row>
    <row r="927" ht="22.5" customHeight="1">
      <c r="A927" s="329"/>
      <c r="B927" s="274"/>
      <c r="C927" s="138"/>
      <c r="D927" s="118"/>
      <c r="E927" s="138"/>
      <c r="F927" s="138"/>
      <c r="G927" s="330"/>
      <c r="H927" s="146"/>
      <c r="I927" s="146"/>
      <c r="J927" s="146"/>
      <c r="K927" s="146"/>
      <c r="L927" s="146"/>
      <c r="M927" s="146"/>
      <c r="N927" s="146"/>
      <c r="O927" s="146"/>
      <c r="P927" s="146"/>
      <c r="Q927" s="146"/>
      <c r="R927" s="146"/>
      <c r="S927" s="146"/>
      <c r="T927" s="146"/>
      <c r="U927" s="146"/>
      <c r="V927" s="146"/>
      <c r="W927" s="146"/>
      <c r="X927" s="146"/>
      <c r="Y927" s="146"/>
      <c r="Z927" s="146"/>
    </row>
    <row r="928" ht="22.5" customHeight="1">
      <c r="A928" s="329"/>
      <c r="B928" s="274"/>
      <c r="C928" s="138"/>
      <c r="D928" s="118"/>
      <c r="E928" s="138"/>
      <c r="F928" s="138"/>
      <c r="G928" s="330"/>
      <c r="H928" s="146"/>
      <c r="I928" s="146"/>
      <c r="J928" s="146"/>
      <c r="K928" s="146"/>
      <c r="L928" s="146"/>
      <c r="M928" s="146"/>
      <c r="N928" s="146"/>
      <c r="O928" s="146"/>
      <c r="P928" s="146"/>
      <c r="Q928" s="146"/>
      <c r="R928" s="146"/>
      <c r="S928" s="146"/>
      <c r="T928" s="146"/>
      <c r="U928" s="146"/>
      <c r="V928" s="146"/>
      <c r="W928" s="146"/>
      <c r="X928" s="146"/>
      <c r="Y928" s="146"/>
      <c r="Z928" s="146"/>
    </row>
    <row r="929" ht="22.5" customHeight="1">
      <c r="A929" s="329"/>
      <c r="B929" s="274"/>
      <c r="C929" s="138"/>
      <c r="D929" s="118"/>
      <c r="E929" s="138"/>
      <c r="F929" s="138"/>
      <c r="G929" s="330"/>
      <c r="H929" s="146"/>
      <c r="I929" s="146"/>
      <c r="J929" s="146"/>
      <c r="K929" s="146"/>
      <c r="L929" s="146"/>
      <c r="M929" s="146"/>
      <c r="N929" s="146"/>
      <c r="O929" s="146"/>
      <c r="P929" s="146"/>
      <c r="Q929" s="146"/>
      <c r="R929" s="146"/>
      <c r="S929" s="146"/>
      <c r="T929" s="146"/>
      <c r="U929" s="146"/>
      <c r="V929" s="146"/>
      <c r="W929" s="146"/>
      <c r="X929" s="146"/>
      <c r="Y929" s="146"/>
      <c r="Z929" s="146"/>
    </row>
    <row r="930" ht="22.5" customHeight="1">
      <c r="A930" s="329"/>
      <c r="B930" s="274"/>
      <c r="C930" s="138"/>
      <c r="D930" s="118"/>
      <c r="E930" s="138"/>
      <c r="F930" s="138"/>
      <c r="G930" s="330"/>
      <c r="H930" s="146"/>
      <c r="I930" s="146"/>
      <c r="J930" s="146"/>
      <c r="K930" s="146"/>
      <c r="L930" s="146"/>
      <c r="M930" s="146"/>
      <c r="N930" s="146"/>
      <c r="O930" s="146"/>
      <c r="P930" s="146"/>
      <c r="Q930" s="146"/>
      <c r="R930" s="146"/>
      <c r="S930" s="146"/>
      <c r="T930" s="146"/>
      <c r="U930" s="146"/>
      <c r="V930" s="146"/>
      <c r="W930" s="146"/>
      <c r="X930" s="146"/>
      <c r="Y930" s="146"/>
      <c r="Z930" s="146"/>
    </row>
    <row r="931" ht="22.5" customHeight="1">
      <c r="A931" s="329"/>
      <c r="B931" s="274"/>
      <c r="C931" s="138"/>
      <c r="D931" s="118"/>
      <c r="E931" s="138"/>
      <c r="F931" s="138"/>
      <c r="G931" s="330"/>
      <c r="H931" s="146"/>
      <c r="I931" s="146"/>
      <c r="J931" s="146"/>
      <c r="K931" s="146"/>
      <c r="L931" s="146"/>
      <c r="M931" s="146"/>
      <c r="N931" s="146"/>
      <c r="O931" s="146"/>
      <c r="P931" s="146"/>
      <c r="Q931" s="146"/>
      <c r="R931" s="146"/>
      <c r="S931" s="146"/>
      <c r="T931" s="146"/>
      <c r="U931" s="146"/>
      <c r="V931" s="146"/>
      <c r="W931" s="146"/>
      <c r="X931" s="146"/>
      <c r="Y931" s="146"/>
      <c r="Z931" s="146"/>
    </row>
    <row r="932" ht="22.5" customHeight="1">
      <c r="A932" s="329"/>
      <c r="B932" s="274"/>
      <c r="C932" s="138"/>
      <c r="D932" s="118"/>
      <c r="E932" s="138"/>
      <c r="F932" s="138"/>
      <c r="G932" s="330"/>
      <c r="H932" s="146"/>
      <c r="I932" s="146"/>
      <c r="J932" s="146"/>
      <c r="K932" s="146"/>
      <c r="L932" s="146"/>
      <c r="M932" s="146"/>
      <c r="N932" s="146"/>
      <c r="O932" s="146"/>
      <c r="P932" s="146"/>
      <c r="Q932" s="146"/>
      <c r="R932" s="146"/>
      <c r="S932" s="146"/>
      <c r="T932" s="146"/>
      <c r="U932" s="146"/>
      <c r="V932" s="146"/>
      <c r="W932" s="146"/>
      <c r="X932" s="146"/>
      <c r="Y932" s="146"/>
      <c r="Z932" s="146"/>
    </row>
    <row r="933" ht="22.5" customHeight="1">
      <c r="A933" s="329"/>
      <c r="B933" s="274"/>
      <c r="C933" s="138"/>
      <c r="D933" s="118"/>
      <c r="E933" s="138"/>
      <c r="F933" s="138"/>
      <c r="G933" s="330"/>
      <c r="H933" s="146"/>
      <c r="I933" s="146"/>
      <c r="J933" s="146"/>
      <c r="K933" s="146"/>
      <c r="L933" s="146"/>
      <c r="M933" s="146"/>
      <c r="N933" s="146"/>
      <c r="O933" s="146"/>
      <c r="P933" s="146"/>
      <c r="Q933" s="146"/>
      <c r="R933" s="146"/>
      <c r="S933" s="146"/>
      <c r="T933" s="146"/>
      <c r="U933" s="146"/>
      <c r="V933" s="146"/>
      <c r="W933" s="146"/>
      <c r="X933" s="146"/>
      <c r="Y933" s="146"/>
      <c r="Z933" s="146"/>
    </row>
    <row r="934" ht="22.5" customHeight="1">
      <c r="A934" s="329"/>
      <c r="B934" s="274"/>
      <c r="C934" s="138"/>
      <c r="D934" s="118"/>
      <c r="E934" s="138"/>
      <c r="F934" s="138"/>
      <c r="G934" s="330"/>
      <c r="H934" s="146"/>
      <c r="I934" s="146"/>
      <c r="J934" s="146"/>
      <c r="K934" s="146"/>
      <c r="L934" s="146"/>
      <c r="M934" s="146"/>
      <c r="N934" s="146"/>
      <c r="O934" s="146"/>
      <c r="P934" s="146"/>
      <c r="Q934" s="146"/>
      <c r="R934" s="146"/>
      <c r="S934" s="146"/>
      <c r="T934" s="146"/>
      <c r="U934" s="146"/>
      <c r="V934" s="146"/>
      <c r="W934" s="146"/>
      <c r="X934" s="146"/>
      <c r="Y934" s="146"/>
      <c r="Z934" s="146"/>
    </row>
    <row r="935" ht="22.5" customHeight="1">
      <c r="A935" s="329"/>
      <c r="B935" s="274"/>
      <c r="C935" s="138"/>
      <c r="D935" s="118"/>
      <c r="E935" s="138"/>
      <c r="F935" s="138"/>
      <c r="G935" s="330"/>
      <c r="H935" s="146"/>
      <c r="I935" s="146"/>
      <c r="J935" s="146"/>
      <c r="K935" s="146"/>
      <c r="L935" s="146"/>
      <c r="M935" s="146"/>
      <c r="N935" s="146"/>
      <c r="O935" s="146"/>
      <c r="P935" s="146"/>
      <c r="Q935" s="146"/>
      <c r="R935" s="146"/>
      <c r="S935" s="146"/>
      <c r="T935" s="146"/>
      <c r="U935" s="146"/>
      <c r="V935" s="146"/>
      <c r="W935" s="146"/>
      <c r="X935" s="146"/>
      <c r="Y935" s="146"/>
      <c r="Z935" s="146"/>
    </row>
    <row r="936" ht="22.5" customHeight="1">
      <c r="A936" s="329"/>
      <c r="B936" s="274"/>
      <c r="C936" s="138"/>
      <c r="D936" s="118"/>
      <c r="E936" s="138"/>
      <c r="F936" s="138"/>
      <c r="G936" s="330"/>
      <c r="H936" s="146"/>
      <c r="I936" s="146"/>
      <c r="J936" s="146"/>
      <c r="K936" s="146"/>
      <c r="L936" s="146"/>
      <c r="M936" s="146"/>
      <c r="N936" s="146"/>
      <c r="O936" s="146"/>
      <c r="P936" s="146"/>
      <c r="Q936" s="146"/>
      <c r="R936" s="146"/>
      <c r="S936" s="146"/>
      <c r="T936" s="146"/>
      <c r="U936" s="146"/>
      <c r="V936" s="146"/>
      <c r="W936" s="146"/>
      <c r="X936" s="146"/>
      <c r="Y936" s="146"/>
      <c r="Z936" s="146"/>
    </row>
    <row r="937" ht="22.5" customHeight="1">
      <c r="A937" s="329"/>
      <c r="B937" s="274"/>
      <c r="C937" s="138"/>
      <c r="D937" s="118"/>
      <c r="E937" s="138"/>
      <c r="F937" s="138"/>
      <c r="G937" s="330"/>
      <c r="H937" s="146"/>
      <c r="I937" s="146"/>
      <c r="J937" s="146"/>
      <c r="K937" s="146"/>
      <c r="L937" s="146"/>
      <c r="M937" s="146"/>
      <c r="N937" s="146"/>
      <c r="O937" s="146"/>
      <c r="P937" s="146"/>
      <c r="Q937" s="146"/>
      <c r="R937" s="146"/>
      <c r="S937" s="146"/>
      <c r="T937" s="146"/>
      <c r="U937" s="146"/>
      <c r="V937" s="146"/>
      <c r="W937" s="146"/>
      <c r="X937" s="146"/>
      <c r="Y937" s="146"/>
      <c r="Z937" s="146"/>
    </row>
    <row r="938" ht="22.5" customHeight="1">
      <c r="A938" s="329"/>
      <c r="B938" s="274"/>
      <c r="C938" s="138"/>
      <c r="D938" s="118"/>
      <c r="E938" s="138"/>
      <c r="F938" s="138"/>
      <c r="G938" s="330"/>
      <c r="H938" s="146"/>
      <c r="I938" s="146"/>
      <c r="J938" s="146"/>
      <c r="K938" s="146"/>
      <c r="L938" s="146"/>
      <c r="M938" s="146"/>
      <c r="N938" s="146"/>
      <c r="O938" s="146"/>
      <c r="P938" s="146"/>
      <c r="Q938" s="146"/>
      <c r="R938" s="146"/>
      <c r="S938" s="146"/>
      <c r="T938" s="146"/>
      <c r="U938" s="146"/>
      <c r="V938" s="146"/>
      <c r="W938" s="146"/>
      <c r="X938" s="146"/>
      <c r="Y938" s="146"/>
      <c r="Z938" s="146"/>
    </row>
    <row r="939" ht="22.5" customHeight="1">
      <c r="A939" s="329"/>
      <c r="B939" s="274"/>
      <c r="C939" s="138"/>
      <c r="D939" s="118"/>
      <c r="E939" s="138"/>
      <c r="F939" s="138"/>
      <c r="G939" s="330"/>
      <c r="H939" s="146"/>
      <c r="I939" s="146"/>
      <c r="J939" s="146"/>
      <c r="K939" s="146"/>
      <c r="L939" s="146"/>
      <c r="M939" s="146"/>
      <c r="N939" s="146"/>
      <c r="O939" s="146"/>
      <c r="P939" s="146"/>
      <c r="Q939" s="146"/>
      <c r="R939" s="146"/>
      <c r="S939" s="146"/>
      <c r="T939" s="146"/>
      <c r="U939" s="146"/>
      <c r="V939" s="146"/>
      <c r="W939" s="146"/>
      <c r="X939" s="146"/>
      <c r="Y939" s="146"/>
      <c r="Z939" s="146"/>
    </row>
    <row r="940" ht="22.5" customHeight="1">
      <c r="A940" s="329"/>
      <c r="B940" s="274"/>
      <c r="C940" s="138"/>
      <c r="D940" s="118"/>
      <c r="E940" s="138"/>
      <c r="F940" s="138"/>
      <c r="G940" s="330"/>
      <c r="H940" s="146"/>
      <c r="I940" s="146"/>
      <c r="J940" s="146"/>
      <c r="K940" s="146"/>
      <c r="L940" s="146"/>
      <c r="M940" s="146"/>
      <c r="N940" s="146"/>
      <c r="O940" s="146"/>
      <c r="P940" s="146"/>
      <c r="Q940" s="146"/>
      <c r="R940" s="146"/>
      <c r="S940" s="146"/>
      <c r="T940" s="146"/>
      <c r="U940" s="146"/>
      <c r="V940" s="146"/>
      <c r="W940" s="146"/>
      <c r="X940" s="146"/>
      <c r="Y940" s="146"/>
      <c r="Z940" s="146"/>
    </row>
    <row r="941" ht="22.5" customHeight="1">
      <c r="A941" s="329"/>
      <c r="B941" s="274"/>
      <c r="C941" s="138"/>
      <c r="D941" s="118"/>
      <c r="E941" s="138"/>
      <c r="F941" s="138"/>
      <c r="G941" s="330"/>
      <c r="H941" s="146"/>
      <c r="I941" s="146"/>
      <c r="J941" s="146"/>
      <c r="K941" s="146"/>
      <c r="L941" s="146"/>
      <c r="M941" s="146"/>
      <c r="N941" s="146"/>
      <c r="O941" s="146"/>
      <c r="P941" s="146"/>
      <c r="Q941" s="146"/>
      <c r="R941" s="146"/>
      <c r="S941" s="146"/>
      <c r="T941" s="146"/>
      <c r="U941" s="146"/>
      <c r="V941" s="146"/>
      <c r="W941" s="146"/>
      <c r="X941" s="146"/>
      <c r="Y941" s="146"/>
      <c r="Z941" s="146"/>
    </row>
    <row r="942" ht="22.5" customHeight="1">
      <c r="A942" s="329"/>
      <c r="B942" s="274"/>
      <c r="C942" s="138"/>
      <c r="D942" s="118"/>
      <c r="E942" s="138"/>
      <c r="F942" s="138"/>
      <c r="G942" s="330"/>
      <c r="H942" s="146"/>
      <c r="I942" s="146"/>
      <c r="J942" s="146"/>
      <c r="K942" s="146"/>
      <c r="L942" s="146"/>
      <c r="M942" s="146"/>
      <c r="N942" s="146"/>
      <c r="O942" s="146"/>
      <c r="P942" s="146"/>
      <c r="Q942" s="146"/>
      <c r="R942" s="146"/>
      <c r="S942" s="146"/>
      <c r="T942" s="146"/>
      <c r="U942" s="146"/>
      <c r="V942" s="146"/>
      <c r="W942" s="146"/>
      <c r="X942" s="146"/>
      <c r="Y942" s="146"/>
      <c r="Z942" s="146"/>
    </row>
    <row r="943" ht="22.5" customHeight="1">
      <c r="A943" s="329"/>
      <c r="B943" s="274"/>
      <c r="C943" s="138"/>
      <c r="D943" s="118"/>
      <c r="E943" s="138"/>
      <c r="F943" s="138"/>
      <c r="G943" s="330"/>
      <c r="H943" s="146"/>
      <c r="I943" s="146"/>
      <c r="J943" s="146"/>
      <c r="K943" s="146"/>
      <c r="L943" s="146"/>
      <c r="M943" s="146"/>
      <c r="N943" s="146"/>
      <c r="O943" s="146"/>
      <c r="P943" s="146"/>
      <c r="Q943" s="146"/>
      <c r="R943" s="146"/>
      <c r="S943" s="146"/>
      <c r="T943" s="146"/>
      <c r="U943" s="146"/>
      <c r="V943" s="146"/>
      <c r="W943" s="146"/>
      <c r="X943" s="146"/>
      <c r="Y943" s="146"/>
      <c r="Z943" s="146"/>
    </row>
    <row r="944" ht="22.5" customHeight="1">
      <c r="A944" s="329"/>
      <c r="B944" s="274"/>
      <c r="C944" s="138"/>
      <c r="D944" s="118"/>
      <c r="E944" s="138"/>
      <c r="F944" s="138"/>
      <c r="G944" s="330"/>
      <c r="H944" s="146"/>
      <c r="I944" s="146"/>
      <c r="J944" s="146"/>
      <c r="K944" s="146"/>
      <c r="L944" s="146"/>
      <c r="M944" s="146"/>
      <c r="N944" s="146"/>
      <c r="O944" s="146"/>
      <c r="P944" s="146"/>
      <c r="Q944" s="146"/>
      <c r="R944" s="146"/>
      <c r="S944" s="146"/>
      <c r="T944" s="146"/>
      <c r="U944" s="146"/>
      <c r="V944" s="146"/>
      <c r="W944" s="146"/>
      <c r="X944" s="146"/>
      <c r="Y944" s="146"/>
      <c r="Z944" s="146"/>
    </row>
    <row r="945" ht="22.5" customHeight="1">
      <c r="A945" s="329"/>
      <c r="B945" s="274"/>
      <c r="C945" s="138"/>
      <c r="D945" s="118"/>
      <c r="E945" s="138"/>
      <c r="F945" s="138"/>
      <c r="G945" s="330"/>
      <c r="H945" s="146"/>
      <c r="I945" s="146"/>
      <c r="J945" s="146"/>
      <c r="K945" s="146"/>
      <c r="L945" s="146"/>
      <c r="M945" s="146"/>
      <c r="N945" s="146"/>
      <c r="O945" s="146"/>
      <c r="P945" s="146"/>
      <c r="Q945" s="146"/>
      <c r="R945" s="146"/>
      <c r="S945" s="146"/>
      <c r="T945" s="146"/>
      <c r="U945" s="146"/>
      <c r="V945" s="146"/>
      <c r="W945" s="146"/>
      <c r="X945" s="146"/>
      <c r="Y945" s="146"/>
      <c r="Z945" s="146"/>
    </row>
    <row r="946" ht="22.5" customHeight="1">
      <c r="A946" s="329"/>
      <c r="B946" s="274"/>
      <c r="C946" s="138"/>
      <c r="D946" s="118"/>
      <c r="E946" s="138"/>
      <c r="F946" s="138"/>
      <c r="G946" s="330"/>
      <c r="H946" s="146"/>
      <c r="I946" s="146"/>
      <c r="J946" s="146"/>
      <c r="K946" s="146"/>
      <c r="L946" s="146"/>
      <c r="M946" s="146"/>
      <c r="N946" s="146"/>
      <c r="O946" s="146"/>
      <c r="P946" s="146"/>
      <c r="Q946" s="146"/>
      <c r="R946" s="146"/>
      <c r="S946" s="146"/>
      <c r="T946" s="146"/>
      <c r="U946" s="146"/>
      <c r="V946" s="146"/>
      <c r="W946" s="146"/>
      <c r="X946" s="146"/>
      <c r="Y946" s="146"/>
      <c r="Z946" s="146"/>
    </row>
    <row r="947" ht="22.5" customHeight="1">
      <c r="A947" s="329"/>
      <c r="B947" s="274"/>
      <c r="C947" s="138"/>
      <c r="D947" s="118"/>
      <c r="E947" s="138"/>
      <c r="F947" s="138"/>
      <c r="G947" s="330"/>
      <c r="H947" s="146"/>
      <c r="I947" s="146"/>
      <c r="J947" s="146"/>
      <c r="K947" s="146"/>
      <c r="L947" s="146"/>
      <c r="M947" s="146"/>
      <c r="N947" s="146"/>
      <c r="O947" s="146"/>
      <c r="P947" s="146"/>
      <c r="Q947" s="146"/>
      <c r="R947" s="146"/>
      <c r="S947" s="146"/>
      <c r="T947" s="146"/>
      <c r="U947" s="146"/>
      <c r="V947" s="146"/>
      <c r="W947" s="146"/>
      <c r="X947" s="146"/>
      <c r="Y947" s="146"/>
      <c r="Z947" s="146"/>
    </row>
    <row r="948" ht="22.5" customHeight="1">
      <c r="A948" s="329"/>
      <c r="B948" s="274"/>
      <c r="C948" s="138"/>
      <c r="D948" s="118"/>
      <c r="E948" s="138"/>
      <c r="F948" s="138"/>
      <c r="G948" s="330"/>
      <c r="H948" s="146"/>
      <c r="I948" s="146"/>
      <c r="J948" s="146"/>
      <c r="K948" s="146"/>
      <c r="L948" s="146"/>
      <c r="M948" s="146"/>
      <c r="N948" s="146"/>
      <c r="O948" s="146"/>
      <c r="P948" s="146"/>
      <c r="Q948" s="146"/>
      <c r="R948" s="146"/>
      <c r="S948" s="146"/>
      <c r="T948" s="146"/>
      <c r="U948" s="146"/>
      <c r="V948" s="146"/>
      <c r="W948" s="146"/>
      <c r="X948" s="146"/>
      <c r="Y948" s="146"/>
      <c r="Z948" s="146"/>
    </row>
    <row r="949" ht="22.5" customHeight="1">
      <c r="A949" s="329"/>
      <c r="B949" s="274"/>
      <c r="C949" s="138"/>
      <c r="D949" s="118"/>
      <c r="E949" s="138"/>
      <c r="F949" s="138"/>
      <c r="G949" s="330"/>
      <c r="H949" s="146"/>
      <c r="I949" s="146"/>
      <c r="J949" s="146"/>
      <c r="K949" s="146"/>
      <c r="L949" s="146"/>
      <c r="M949" s="146"/>
      <c r="N949" s="146"/>
      <c r="O949" s="146"/>
      <c r="P949" s="146"/>
      <c r="Q949" s="146"/>
      <c r="R949" s="146"/>
      <c r="S949" s="146"/>
      <c r="T949" s="146"/>
      <c r="U949" s="146"/>
      <c r="V949" s="146"/>
      <c r="W949" s="146"/>
      <c r="X949" s="146"/>
      <c r="Y949" s="146"/>
      <c r="Z949" s="146"/>
    </row>
    <row r="950" ht="22.5" customHeight="1">
      <c r="A950" s="329"/>
      <c r="B950" s="274"/>
      <c r="C950" s="138"/>
      <c r="D950" s="118"/>
      <c r="E950" s="138"/>
      <c r="F950" s="138"/>
      <c r="G950" s="330"/>
      <c r="H950" s="146"/>
      <c r="I950" s="146"/>
      <c r="J950" s="146"/>
      <c r="K950" s="146"/>
      <c r="L950" s="146"/>
      <c r="M950" s="146"/>
      <c r="N950" s="146"/>
      <c r="O950" s="146"/>
      <c r="P950" s="146"/>
      <c r="Q950" s="146"/>
      <c r="R950" s="146"/>
      <c r="S950" s="146"/>
      <c r="T950" s="146"/>
      <c r="U950" s="146"/>
      <c r="V950" s="146"/>
      <c r="W950" s="146"/>
      <c r="X950" s="146"/>
      <c r="Y950" s="146"/>
      <c r="Z950" s="146"/>
    </row>
    <row r="951" ht="22.5" customHeight="1">
      <c r="A951" s="329"/>
      <c r="B951" s="274"/>
      <c r="C951" s="138"/>
      <c r="D951" s="118"/>
      <c r="E951" s="138"/>
      <c r="F951" s="138"/>
      <c r="G951" s="330"/>
      <c r="H951" s="146"/>
      <c r="I951" s="146"/>
      <c r="J951" s="146"/>
      <c r="K951" s="146"/>
      <c r="L951" s="146"/>
      <c r="M951" s="146"/>
      <c r="N951" s="146"/>
      <c r="O951" s="146"/>
      <c r="P951" s="146"/>
      <c r="Q951" s="146"/>
      <c r="R951" s="146"/>
      <c r="S951" s="146"/>
      <c r="T951" s="146"/>
      <c r="U951" s="146"/>
      <c r="V951" s="146"/>
      <c r="W951" s="146"/>
      <c r="X951" s="146"/>
      <c r="Y951" s="146"/>
      <c r="Z951" s="146"/>
    </row>
    <row r="952" ht="22.5" customHeight="1">
      <c r="A952" s="329"/>
      <c r="B952" s="274"/>
      <c r="C952" s="138"/>
      <c r="D952" s="118"/>
      <c r="E952" s="138"/>
      <c r="F952" s="138"/>
      <c r="G952" s="330"/>
      <c r="H952" s="146"/>
      <c r="I952" s="146"/>
      <c r="J952" s="146"/>
      <c r="K952" s="146"/>
      <c r="L952" s="146"/>
      <c r="M952" s="146"/>
      <c r="N952" s="146"/>
      <c r="O952" s="146"/>
      <c r="P952" s="146"/>
      <c r="Q952" s="146"/>
      <c r="R952" s="146"/>
      <c r="S952" s="146"/>
      <c r="T952" s="146"/>
      <c r="U952" s="146"/>
      <c r="V952" s="146"/>
      <c r="W952" s="146"/>
      <c r="X952" s="146"/>
      <c r="Y952" s="146"/>
      <c r="Z952" s="146"/>
    </row>
    <row r="953" ht="22.5" customHeight="1">
      <c r="A953" s="329"/>
      <c r="B953" s="274"/>
      <c r="C953" s="138"/>
      <c r="D953" s="118"/>
      <c r="E953" s="138"/>
      <c r="F953" s="138"/>
      <c r="G953" s="330"/>
      <c r="H953" s="146"/>
      <c r="I953" s="146"/>
      <c r="J953" s="146"/>
      <c r="K953" s="146"/>
      <c r="L953" s="146"/>
      <c r="M953" s="146"/>
      <c r="N953" s="146"/>
      <c r="O953" s="146"/>
      <c r="P953" s="146"/>
      <c r="Q953" s="146"/>
      <c r="R953" s="146"/>
      <c r="S953" s="146"/>
      <c r="T953" s="146"/>
      <c r="U953" s="146"/>
      <c r="V953" s="146"/>
      <c r="W953" s="146"/>
      <c r="X953" s="146"/>
      <c r="Y953" s="146"/>
      <c r="Z953" s="146"/>
    </row>
    <row r="954" ht="22.5" customHeight="1">
      <c r="A954" s="329"/>
      <c r="B954" s="274"/>
      <c r="C954" s="138"/>
      <c r="D954" s="118"/>
      <c r="E954" s="138"/>
      <c r="F954" s="138"/>
      <c r="G954" s="330"/>
      <c r="H954" s="146"/>
      <c r="I954" s="146"/>
      <c r="J954" s="146"/>
      <c r="K954" s="146"/>
      <c r="L954" s="146"/>
      <c r="M954" s="146"/>
      <c r="N954" s="146"/>
      <c r="O954" s="146"/>
      <c r="P954" s="146"/>
      <c r="Q954" s="146"/>
      <c r="R954" s="146"/>
      <c r="S954" s="146"/>
      <c r="T954" s="146"/>
      <c r="U954" s="146"/>
      <c r="V954" s="146"/>
      <c r="W954" s="146"/>
      <c r="X954" s="146"/>
      <c r="Y954" s="146"/>
      <c r="Z954" s="146"/>
    </row>
    <row r="955" ht="22.5" customHeight="1">
      <c r="A955" s="329"/>
      <c r="B955" s="274"/>
      <c r="C955" s="138"/>
      <c r="D955" s="118"/>
      <c r="E955" s="138"/>
      <c r="F955" s="138"/>
      <c r="G955" s="330"/>
      <c r="H955" s="146"/>
      <c r="I955" s="146"/>
      <c r="J955" s="146"/>
      <c r="K955" s="146"/>
      <c r="L955" s="146"/>
      <c r="M955" s="146"/>
      <c r="N955" s="146"/>
      <c r="O955" s="146"/>
      <c r="P955" s="146"/>
      <c r="Q955" s="146"/>
      <c r="R955" s="146"/>
      <c r="S955" s="146"/>
      <c r="T955" s="146"/>
      <c r="U955" s="146"/>
      <c r="V955" s="146"/>
      <c r="W955" s="146"/>
      <c r="X955" s="146"/>
      <c r="Y955" s="146"/>
      <c r="Z955" s="146"/>
    </row>
    <row r="956" ht="22.5" customHeight="1">
      <c r="A956" s="329"/>
      <c r="B956" s="274"/>
      <c r="C956" s="138"/>
      <c r="D956" s="118"/>
      <c r="E956" s="138"/>
      <c r="F956" s="138"/>
      <c r="G956" s="330"/>
      <c r="H956" s="146"/>
      <c r="I956" s="146"/>
      <c r="J956" s="146"/>
      <c r="K956" s="146"/>
      <c r="L956" s="146"/>
      <c r="M956" s="146"/>
      <c r="N956" s="146"/>
      <c r="O956" s="146"/>
      <c r="P956" s="146"/>
      <c r="Q956" s="146"/>
      <c r="R956" s="146"/>
      <c r="S956" s="146"/>
      <c r="T956" s="146"/>
      <c r="U956" s="146"/>
      <c r="V956" s="146"/>
      <c r="W956" s="146"/>
      <c r="X956" s="146"/>
      <c r="Y956" s="146"/>
      <c r="Z956" s="146"/>
    </row>
    <row r="957" ht="22.5" customHeight="1">
      <c r="A957" s="329"/>
      <c r="B957" s="274"/>
      <c r="C957" s="138"/>
      <c r="D957" s="118"/>
      <c r="E957" s="138"/>
      <c r="F957" s="138"/>
      <c r="G957" s="330"/>
      <c r="H957" s="146"/>
      <c r="I957" s="146"/>
      <c r="J957" s="146"/>
      <c r="K957" s="146"/>
      <c r="L957" s="146"/>
      <c r="M957" s="146"/>
      <c r="N957" s="146"/>
      <c r="O957" s="146"/>
      <c r="P957" s="146"/>
      <c r="Q957" s="146"/>
      <c r="R957" s="146"/>
      <c r="S957" s="146"/>
      <c r="T957" s="146"/>
      <c r="U957" s="146"/>
      <c r="V957" s="146"/>
      <c r="W957" s="146"/>
      <c r="X957" s="146"/>
      <c r="Y957" s="146"/>
      <c r="Z957" s="146"/>
    </row>
    <row r="958" ht="22.5" customHeight="1">
      <c r="A958" s="329"/>
      <c r="B958" s="274"/>
      <c r="C958" s="138"/>
      <c r="D958" s="118"/>
      <c r="E958" s="138"/>
      <c r="F958" s="138"/>
      <c r="G958" s="330"/>
      <c r="H958" s="146"/>
      <c r="I958" s="146"/>
      <c r="J958" s="146"/>
      <c r="K958" s="146"/>
      <c r="L958" s="146"/>
      <c r="M958" s="146"/>
      <c r="N958" s="146"/>
      <c r="O958" s="146"/>
      <c r="P958" s="146"/>
      <c r="Q958" s="146"/>
      <c r="R958" s="146"/>
      <c r="S958" s="146"/>
      <c r="T958" s="146"/>
      <c r="U958" s="146"/>
      <c r="V958" s="146"/>
      <c r="W958" s="146"/>
      <c r="X958" s="146"/>
      <c r="Y958" s="146"/>
      <c r="Z958" s="146"/>
    </row>
    <row r="959" ht="22.5" customHeight="1">
      <c r="A959" s="329"/>
      <c r="B959" s="274"/>
      <c r="C959" s="138"/>
      <c r="D959" s="118"/>
      <c r="E959" s="138"/>
      <c r="F959" s="138"/>
      <c r="G959" s="330"/>
      <c r="H959" s="146"/>
      <c r="I959" s="146"/>
      <c r="J959" s="146"/>
      <c r="K959" s="146"/>
      <c r="L959" s="146"/>
      <c r="M959" s="146"/>
      <c r="N959" s="146"/>
      <c r="O959" s="146"/>
      <c r="P959" s="146"/>
      <c r="Q959" s="146"/>
      <c r="R959" s="146"/>
      <c r="S959" s="146"/>
      <c r="T959" s="146"/>
      <c r="U959" s="146"/>
      <c r="V959" s="146"/>
      <c r="W959" s="146"/>
      <c r="X959" s="146"/>
      <c r="Y959" s="146"/>
      <c r="Z959" s="146"/>
    </row>
    <row r="960" ht="22.5" customHeight="1">
      <c r="A960" s="329"/>
      <c r="B960" s="274"/>
      <c r="C960" s="138"/>
      <c r="D960" s="118"/>
      <c r="E960" s="138"/>
      <c r="F960" s="138"/>
      <c r="G960" s="330"/>
      <c r="H960" s="146"/>
      <c r="I960" s="146"/>
      <c r="J960" s="146"/>
      <c r="K960" s="146"/>
      <c r="L960" s="146"/>
      <c r="M960" s="146"/>
      <c r="N960" s="146"/>
      <c r="O960" s="146"/>
      <c r="P960" s="146"/>
      <c r="Q960" s="146"/>
      <c r="R960" s="146"/>
      <c r="S960" s="146"/>
      <c r="T960" s="146"/>
      <c r="U960" s="146"/>
      <c r="V960" s="146"/>
      <c r="W960" s="146"/>
      <c r="X960" s="146"/>
      <c r="Y960" s="146"/>
      <c r="Z960" s="146"/>
    </row>
    <row r="961" ht="22.5" customHeight="1">
      <c r="A961" s="329"/>
      <c r="B961" s="274"/>
      <c r="C961" s="138"/>
      <c r="D961" s="118"/>
      <c r="E961" s="138"/>
      <c r="F961" s="138"/>
      <c r="G961" s="330"/>
      <c r="H961" s="146"/>
      <c r="I961" s="146"/>
      <c r="J961" s="146"/>
      <c r="K961" s="146"/>
      <c r="L961" s="146"/>
      <c r="M961" s="146"/>
      <c r="N961" s="146"/>
      <c r="O961" s="146"/>
      <c r="P961" s="146"/>
      <c r="Q961" s="146"/>
      <c r="R961" s="146"/>
      <c r="S961" s="146"/>
      <c r="T961" s="146"/>
      <c r="U961" s="146"/>
      <c r="V961" s="146"/>
      <c r="W961" s="146"/>
      <c r="X961" s="146"/>
      <c r="Y961" s="146"/>
      <c r="Z961" s="146"/>
    </row>
    <row r="962" ht="22.5" customHeight="1">
      <c r="A962" s="329"/>
      <c r="B962" s="274"/>
      <c r="C962" s="138"/>
      <c r="D962" s="118"/>
      <c r="E962" s="138"/>
      <c r="F962" s="138"/>
      <c r="G962" s="330"/>
      <c r="H962" s="146"/>
      <c r="I962" s="146"/>
      <c r="J962" s="146"/>
      <c r="K962" s="146"/>
      <c r="L962" s="146"/>
      <c r="M962" s="146"/>
      <c r="N962" s="146"/>
      <c r="O962" s="146"/>
      <c r="P962" s="146"/>
      <c r="Q962" s="146"/>
      <c r="R962" s="146"/>
      <c r="S962" s="146"/>
      <c r="T962" s="146"/>
      <c r="U962" s="146"/>
      <c r="V962" s="146"/>
      <c r="W962" s="146"/>
      <c r="X962" s="146"/>
      <c r="Y962" s="146"/>
      <c r="Z962" s="146"/>
    </row>
    <row r="963" ht="22.5" customHeight="1">
      <c r="A963" s="329"/>
      <c r="B963" s="274"/>
      <c r="C963" s="138"/>
      <c r="D963" s="118"/>
      <c r="E963" s="138"/>
      <c r="F963" s="138"/>
      <c r="G963" s="330"/>
      <c r="H963" s="146"/>
      <c r="I963" s="146"/>
      <c r="J963" s="146"/>
      <c r="K963" s="146"/>
      <c r="L963" s="146"/>
      <c r="M963" s="146"/>
      <c r="N963" s="146"/>
      <c r="O963" s="146"/>
      <c r="P963" s="146"/>
      <c r="Q963" s="146"/>
      <c r="R963" s="146"/>
      <c r="S963" s="146"/>
      <c r="T963" s="146"/>
      <c r="U963" s="146"/>
      <c r="V963" s="146"/>
      <c r="W963" s="146"/>
      <c r="X963" s="146"/>
      <c r="Y963" s="146"/>
      <c r="Z963" s="146"/>
    </row>
    <row r="964" ht="22.5" customHeight="1">
      <c r="A964" s="329"/>
      <c r="B964" s="274"/>
      <c r="C964" s="138"/>
      <c r="D964" s="118"/>
      <c r="E964" s="138"/>
      <c r="F964" s="138"/>
      <c r="G964" s="330"/>
      <c r="H964" s="146"/>
      <c r="I964" s="146"/>
      <c r="J964" s="146"/>
      <c r="K964" s="146"/>
      <c r="L964" s="146"/>
      <c r="M964" s="146"/>
      <c r="N964" s="146"/>
      <c r="O964" s="146"/>
      <c r="P964" s="146"/>
      <c r="Q964" s="146"/>
      <c r="R964" s="146"/>
      <c r="S964" s="146"/>
      <c r="T964" s="146"/>
      <c r="U964" s="146"/>
      <c r="V964" s="146"/>
      <c r="W964" s="146"/>
      <c r="X964" s="146"/>
      <c r="Y964" s="146"/>
      <c r="Z964" s="146"/>
    </row>
    <row r="965" ht="22.5" customHeight="1">
      <c r="A965" s="329"/>
      <c r="B965" s="274"/>
      <c r="C965" s="138"/>
      <c r="D965" s="118"/>
      <c r="E965" s="138"/>
      <c r="F965" s="138"/>
      <c r="G965" s="330"/>
      <c r="H965" s="146"/>
      <c r="I965" s="146"/>
      <c r="J965" s="146"/>
      <c r="K965" s="146"/>
      <c r="L965" s="146"/>
      <c r="M965" s="146"/>
      <c r="N965" s="146"/>
      <c r="O965" s="146"/>
      <c r="P965" s="146"/>
      <c r="Q965" s="146"/>
      <c r="R965" s="146"/>
      <c r="S965" s="146"/>
      <c r="T965" s="146"/>
      <c r="U965" s="146"/>
      <c r="V965" s="146"/>
      <c r="W965" s="146"/>
      <c r="X965" s="146"/>
      <c r="Y965" s="146"/>
      <c r="Z965" s="146"/>
    </row>
    <row r="966" ht="22.5" customHeight="1">
      <c r="A966" s="329"/>
      <c r="B966" s="274"/>
      <c r="C966" s="138"/>
      <c r="D966" s="118"/>
      <c r="E966" s="138"/>
      <c r="F966" s="138"/>
      <c r="G966" s="330"/>
      <c r="H966" s="146"/>
      <c r="I966" s="146"/>
      <c r="J966" s="146"/>
      <c r="K966" s="146"/>
      <c r="L966" s="146"/>
      <c r="M966" s="146"/>
      <c r="N966" s="146"/>
      <c r="O966" s="146"/>
      <c r="P966" s="146"/>
      <c r="Q966" s="146"/>
      <c r="R966" s="146"/>
      <c r="S966" s="146"/>
      <c r="T966" s="146"/>
      <c r="U966" s="146"/>
      <c r="V966" s="146"/>
      <c r="W966" s="146"/>
      <c r="X966" s="146"/>
      <c r="Y966" s="146"/>
      <c r="Z966" s="146"/>
    </row>
    <row r="967" ht="22.5" customHeight="1">
      <c r="A967" s="329"/>
      <c r="B967" s="274"/>
      <c r="C967" s="138"/>
      <c r="D967" s="118"/>
      <c r="E967" s="138"/>
      <c r="F967" s="138"/>
      <c r="G967" s="330"/>
      <c r="H967" s="146"/>
      <c r="I967" s="146"/>
      <c r="J967" s="146"/>
      <c r="K967" s="146"/>
      <c r="L967" s="146"/>
      <c r="M967" s="146"/>
      <c r="N967" s="146"/>
      <c r="O967" s="146"/>
      <c r="P967" s="146"/>
      <c r="Q967" s="146"/>
      <c r="R967" s="146"/>
      <c r="S967" s="146"/>
      <c r="T967" s="146"/>
      <c r="U967" s="146"/>
      <c r="V967" s="146"/>
      <c r="W967" s="146"/>
      <c r="X967" s="146"/>
      <c r="Y967" s="146"/>
      <c r="Z967" s="146"/>
    </row>
    <row r="968" ht="22.5" customHeight="1">
      <c r="A968" s="329"/>
      <c r="B968" s="274"/>
      <c r="C968" s="138"/>
      <c r="D968" s="118"/>
      <c r="E968" s="138"/>
      <c r="F968" s="138"/>
      <c r="G968" s="330"/>
      <c r="H968" s="146"/>
      <c r="I968" s="146"/>
      <c r="J968" s="146"/>
      <c r="K968" s="146"/>
      <c r="L968" s="146"/>
      <c r="M968" s="146"/>
      <c r="N968" s="146"/>
      <c r="O968" s="146"/>
      <c r="P968" s="146"/>
      <c r="Q968" s="146"/>
      <c r="R968" s="146"/>
      <c r="S968" s="146"/>
      <c r="T968" s="146"/>
      <c r="U968" s="146"/>
      <c r="V968" s="146"/>
      <c r="W968" s="146"/>
      <c r="X968" s="146"/>
      <c r="Y968" s="146"/>
      <c r="Z968" s="146"/>
    </row>
    <row r="969" ht="22.5" customHeight="1">
      <c r="A969" s="329"/>
      <c r="B969" s="274"/>
      <c r="C969" s="138"/>
      <c r="D969" s="118"/>
      <c r="E969" s="138"/>
      <c r="F969" s="138"/>
      <c r="G969" s="330"/>
      <c r="H969" s="146"/>
      <c r="I969" s="146"/>
      <c r="J969" s="146"/>
      <c r="K969" s="146"/>
      <c r="L969" s="146"/>
      <c r="M969" s="146"/>
      <c r="N969" s="146"/>
      <c r="O969" s="146"/>
      <c r="P969" s="146"/>
      <c r="Q969" s="146"/>
      <c r="R969" s="146"/>
      <c r="S969" s="146"/>
      <c r="T969" s="146"/>
      <c r="U969" s="146"/>
      <c r="V969" s="146"/>
      <c r="W969" s="146"/>
      <c r="X969" s="146"/>
      <c r="Y969" s="146"/>
      <c r="Z969" s="146"/>
    </row>
    <row r="970" ht="22.5" customHeight="1">
      <c r="A970" s="329"/>
      <c r="B970" s="274"/>
      <c r="C970" s="138"/>
      <c r="D970" s="118"/>
      <c r="E970" s="138"/>
      <c r="F970" s="138"/>
      <c r="G970" s="330"/>
      <c r="H970" s="146"/>
      <c r="I970" s="146"/>
      <c r="J970" s="146"/>
      <c r="K970" s="146"/>
      <c r="L970" s="146"/>
      <c r="M970" s="146"/>
      <c r="N970" s="146"/>
      <c r="O970" s="146"/>
      <c r="P970" s="146"/>
      <c r="Q970" s="146"/>
      <c r="R970" s="146"/>
      <c r="S970" s="146"/>
      <c r="T970" s="146"/>
      <c r="U970" s="146"/>
      <c r="V970" s="146"/>
      <c r="W970" s="146"/>
      <c r="X970" s="146"/>
      <c r="Y970" s="146"/>
      <c r="Z970" s="146"/>
    </row>
    <row r="971" ht="22.5" customHeight="1">
      <c r="A971" s="329"/>
      <c r="B971" s="274"/>
      <c r="C971" s="138"/>
      <c r="D971" s="118"/>
      <c r="E971" s="138"/>
      <c r="F971" s="138"/>
      <c r="G971" s="330"/>
      <c r="H971" s="146"/>
      <c r="I971" s="146"/>
      <c r="J971" s="146"/>
      <c r="K971" s="146"/>
      <c r="L971" s="146"/>
      <c r="M971" s="146"/>
      <c r="N971" s="146"/>
      <c r="O971" s="146"/>
      <c r="P971" s="146"/>
      <c r="Q971" s="146"/>
      <c r="R971" s="146"/>
      <c r="S971" s="146"/>
      <c r="T971" s="146"/>
      <c r="U971" s="146"/>
      <c r="V971" s="146"/>
      <c r="W971" s="146"/>
      <c r="X971" s="146"/>
      <c r="Y971" s="146"/>
      <c r="Z971" s="146"/>
    </row>
    <row r="972" ht="22.5" customHeight="1">
      <c r="A972" s="329"/>
      <c r="B972" s="274"/>
      <c r="C972" s="138"/>
      <c r="D972" s="118"/>
      <c r="E972" s="138"/>
      <c r="F972" s="138"/>
      <c r="G972" s="330"/>
      <c r="H972" s="146"/>
      <c r="I972" s="146"/>
      <c r="J972" s="146"/>
      <c r="K972" s="146"/>
      <c r="L972" s="146"/>
      <c r="M972" s="146"/>
      <c r="N972" s="146"/>
      <c r="O972" s="146"/>
      <c r="P972" s="146"/>
      <c r="Q972" s="146"/>
      <c r="R972" s="146"/>
      <c r="S972" s="146"/>
      <c r="T972" s="146"/>
      <c r="U972" s="146"/>
      <c r="V972" s="146"/>
      <c r="W972" s="146"/>
      <c r="X972" s="146"/>
      <c r="Y972" s="146"/>
      <c r="Z972" s="146"/>
    </row>
    <row r="973" ht="22.5" customHeight="1">
      <c r="A973" s="329"/>
      <c r="B973" s="274"/>
      <c r="C973" s="138"/>
      <c r="D973" s="118"/>
      <c r="E973" s="138"/>
      <c r="F973" s="138"/>
      <c r="G973" s="330"/>
      <c r="H973" s="146"/>
      <c r="I973" s="146"/>
      <c r="J973" s="146"/>
      <c r="K973" s="146"/>
      <c r="L973" s="146"/>
      <c r="M973" s="146"/>
      <c r="N973" s="146"/>
      <c r="O973" s="146"/>
      <c r="P973" s="146"/>
      <c r="Q973" s="146"/>
      <c r="R973" s="146"/>
      <c r="S973" s="146"/>
      <c r="T973" s="146"/>
      <c r="U973" s="146"/>
      <c r="V973" s="146"/>
      <c r="W973" s="146"/>
      <c r="X973" s="146"/>
      <c r="Y973" s="146"/>
      <c r="Z973" s="146"/>
    </row>
    <row r="974" ht="22.5" customHeight="1">
      <c r="A974" s="329"/>
      <c r="B974" s="274"/>
      <c r="C974" s="138"/>
      <c r="D974" s="118"/>
      <c r="E974" s="138"/>
      <c r="F974" s="138"/>
      <c r="G974" s="330"/>
      <c r="H974" s="146"/>
      <c r="I974" s="146"/>
      <c r="J974" s="146"/>
      <c r="K974" s="146"/>
      <c r="L974" s="146"/>
      <c r="M974" s="146"/>
      <c r="N974" s="146"/>
      <c r="O974" s="146"/>
      <c r="P974" s="146"/>
      <c r="Q974" s="146"/>
      <c r="R974" s="146"/>
      <c r="S974" s="146"/>
      <c r="T974" s="146"/>
      <c r="U974" s="146"/>
      <c r="V974" s="146"/>
      <c r="W974" s="146"/>
      <c r="X974" s="146"/>
      <c r="Y974" s="146"/>
      <c r="Z974" s="146"/>
    </row>
    <row r="975" ht="22.5" customHeight="1">
      <c r="A975" s="329"/>
      <c r="B975" s="274"/>
      <c r="C975" s="138"/>
      <c r="D975" s="118"/>
      <c r="E975" s="138"/>
      <c r="F975" s="138"/>
      <c r="G975" s="330"/>
      <c r="H975" s="146"/>
      <c r="I975" s="146"/>
      <c r="J975" s="146"/>
      <c r="K975" s="146"/>
      <c r="L975" s="146"/>
      <c r="M975" s="146"/>
      <c r="N975" s="146"/>
      <c r="O975" s="146"/>
      <c r="P975" s="146"/>
      <c r="Q975" s="146"/>
      <c r="R975" s="146"/>
      <c r="S975" s="146"/>
      <c r="T975" s="146"/>
      <c r="U975" s="146"/>
      <c r="V975" s="146"/>
      <c r="W975" s="146"/>
      <c r="X975" s="146"/>
      <c r="Y975" s="146"/>
      <c r="Z975" s="146"/>
    </row>
    <row r="976" ht="22.5" customHeight="1">
      <c r="A976" s="329"/>
      <c r="B976" s="274"/>
      <c r="C976" s="138"/>
      <c r="D976" s="118"/>
      <c r="E976" s="138"/>
      <c r="F976" s="138"/>
      <c r="G976" s="330"/>
      <c r="H976" s="146"/>
      <c r="I976" s="146"/>
      <c r="J976" s="146"/>
      <c r="K976" s="146"/>
      <c r="L976" s="146"/>
      <c r="M976" s="146"/>
      <c r="N976" s="146"/>
      <c r="O976" s="146"/>
      <c r="P976" s="146"/>
      <c r="Q976" s="146"/>
      <c r="R976" s="146"/>
      <c r="S976" s="146"/>
      <c r="T976" s="146"/>
      <c r="U976" s="146"/>
      <c r="V976" s="146"/>
      <c r="W976" s="146"/>
      <c r="X976" s="146"/>
      <c r="Y976" s="146"/>
      <c r="Z976" s="146"/>
    </row>
    <row r="977" ht="22.5" customHeight="1">
      <c r="A977" s="329"/>
      <c r="B977" s="274"/>
      <c r="C977" s="138"/>
      <c r="D977" s="118"/>
      <c r="E977" s="138"/>
      <c r="F977" s="138"/>
      <c r="G977" s="330"/>
      <c r="H977" s="146"/>
      <c r="I977" s="146"/>
      <c r="J977" s="146"/>
      <c r="K977" s="146"/>
      <c r="L977" s="146"/>
      <c r="M977" s="146"/>
      <c r="N977" s="146"/>
      <c r="O977" s="146"/>
      <c r="P977" s="146"/>
      <c r="Q977" s="146"/>
      <c r="R977" s="146"/>
      <c r="S977" s="146"/>
      <c r="T977" s="146"/>
      <c r="U977" s="146"/>
      <c r="V977" s="146"/>
      <c r="W977" s="146"/>
      <c r="X977" s="146"/>
      <c r="Y977" s="146"/>
      <c r="Z977" s="146"/>
    </row>
    <row r="978" ht="22.5" customHeight="1">
      <c r="A978" s="329"/>
      <c r="B978" s="274"/>
      <c r="C978" s="138"/>
      <c r="D978" s="118"/>
      <c r="E978" s="138"/>
      <c r="F978" s="138"/>
      <c r="G978" s="330"/>
      <c r="H978" s="146"/>
      <c r="I978" s="146"/>
      <c r="J978" s="146"/>
      <c r="K978" s="146"/>
      <c r="L978" s="146"/>
      <c r="M978" s="146"/>
      <c r="N978" s="146"/>
      <c r="O978" s="146"/>
      <c r="P978" s="146"/>
      <c r="Q978" s="146"/>
      <c r="R978" s="146"/>
      <c r="S978" s="146"/>
      <c r="T978" s="146"/>
      <c r="U978" s="146"/>
      <c r="V978" s="146"/>
      <c r="W978" s="146"/>
      <c r="X978" s="146"/>
      <c r="Y978" s="146"/>
      <c r="Z978" s="146"/>
    </row>
    <row r="979" ht="22.5" customHeight="1">
      <c r="A979" s="329"/>
      <c r="B979" s="274"/>
      <c r="C979" s="138"/>
      <c r="D979" s="118"/>
      <c r="E979" s="138"/>
      <c r="F979" s="138"/>
      <c r="G979" s="330"/>
      <c r="H979" s="146"/>
      <c r="I979" s="146"/>
      <c r="J979" s="146"/>
      <c r="K979" s="146"/>
      <c r="L979" s="146"/>
      <c r="M979" s="146"/>
      <c r="N979" s="146"/>
      <c r="O979" s="146"/>
      <c r="P979" s="146"/>
      <c r="Q979" s="146"/>
      <c r="R979" s="146"/>
      <c r="S979" s="146"/>
      <c r="T979" s="146"/>
      <c r="U979" s="146"/>
      <c r="V979" s="146"/>
      <c r="W979" s="146"/>
      <c r="X979" s="146"/>
      <c r="Y979" s="146"/>
      <c r="Z979" s="146"/>
    </row>
    <row r="980" ht="22.5" customHeight="1">
      <c r="A980" s="329"/>
      <c r="B980" s="274"/>
      <c r="C980" s="138"/>
      <c r="D980" s="118"/>
      <c r="E980" s="138"/>
      <c r="F980" s="138"/>
      <c r="G980" s="330"/>
      <c r="H980" s="146"/>
      <c r="I980" s="146"/>
      <c r="J980" s="146"/>
      <c r="K980" s="146"/>
      <c r="L980" s="146"/>
      <c r="M980" s="146"/>
      <c r="N980" s="146"/>
      <c r="O980" s="146"/>
      <c r="P980" s="146"/>
      <c r="Q980" s="146"/>
      <c r="R980" s="146"/>
      <c r="S980" s="146"/>
      <c r="T980" s="146"/>
      <c r="U980" s="146"/>
      <c r="V980" s="146"/>
      <c r="W980" s="146"/>
      <c r="X980" s="146"/>
      <c r="Y980" s="146"/>
      <c r="Z980" s="146"/>
    </row>
    <row r="981" ht="22.5" customHeight="1">
      <c r="A981" s="329"/>
      <c r="B981" s="274"/>
      <c r="C981" s="138"/>
      <c r="D981" s="118"/>
      <c r="E981" s="138"/>
      <c r="F981" s="138"/>
      <c r="G981" s="330"/>
      <c r="H981" s="146"/>
      <c r="I981" s="146"/>
      <c r="J981" s="146"/>
      <c r="K981" s="146"/>
      <c r="L981" s="146"/>
      <c r="M981" s="146"/>
      <c r="N981" s="146"/>
      <c r="O981" s="146"/>
      <c r="P981" s="146"/>
      <c r="Q981" s="146"/>
      <c r="R981" s="146"/>
      <c r="S981" s="146"/>
      <c r="T981" s="146"/>
      <c r="U981" s="146"/>
      <c r="V981" s="146"/>
      <c r="W981" s="146"/>
      <c r="X981" s="146"/>
      <c r="Y981" s="146"/>
      <c r="Z981" s="146"/>
    </row>
    <row r="982" ht="22.5" customHeight="1">
      <c r="A982" s="329"/>
      <c r="B982" s="274"/>
      <c r="C982" s="138"/>
      <c r="D982" s="118"/>
      <c r="E982" s="138"/>
      <c r="F982" s="138"/>
      <c r="G982" s="330"/>
      <c r="H982" s="146"/>
      <c r="I982" s="146"/>
      <c r="J982" s="146"/>
      <c r="K982" s="146"/>
      <c r="L982" s="146"/>
      <c r="M982" s="146"/>
      <c r="N982" s="146"/>
      <c r="O982" s="146"/>
      <c r="P982" s="146"/>
      <c r="Q982" s="146"/>
      <c r="R982" s="146"/>
      <c r="S982" s="146"/>
      <c r="T982" s="146"/>
      <c r="U982" s="146"/>
      <c r="V982" s="146"/>
      <c r="W982" s="146"/>
      <c r="X982" s="146"/>
      <c r="Y982" s="146"/>
      <c r="Z982" s="146"/>
    </row>
    <row r="983" ht="22.5" customHeight="1">
      <c r="A983" s="329"/>
      <c r="B983" s="274"/>
      <c r="C983" s="138"/>
      <c r="D983" s="118"/>
      <c r="E983" s="138"/>
      <c r="F983" s="138"/>
      <c r="G983" s="330"/>
      <c r="H983" s="146"/>
      <c r="I983" s="146"/>
      <c r="J983" s="146"/>
      <c r="K983" s="146"/>
      <c r="L983" s="146"/>
      <c r="M983" s="146"/>
      <c r="N983" s="146"/>
      <c r="O983" s="146"/>
      <c r="P983" s="146"/>
      <c r="Q983" s="146"/>
      <c r="R983" s="146"/>
      <c r="S983" s="146"/>
      <c r="T983" s="146"/>
      <c r="U983" s="146"/>
      <c r="V983" s="146"/>
      <c r="W983" s="146"/>
      <c r="X983" s="146"/>
      <c r="Y983" s="146"/>
      <c r="Z983" s="146"/>
    </row>
    <row r="984" ht="22.5" customHeight="1">
      <c r="A984" s="329"/>
      <c r="B984" s="274"/>
      <c r="C984" s="138"/>
      <c r="D984" s="118"/>
      <c r="E984" s="138"/>
      <c r="F984" s="138"/>
      <c r="G984" s="330"/>
      <c r="H984" s="146"/>
      <c r="I984" s="146"/>
      <c r="J984" s="146"/>
      <c r="K984" s="146"/>
      <c r="L984" s="146"/>
      <c r="M984" s="146"/>
      <c r="N984" s="146"/>
      <c r="O984" s="146"/>
      <c r="P984" s="146"/>
      <c r="Q984" s="146"/>
      <c r="R984" s="146"/>
      <c r="S984" s="146"/>
      <c r="T984" s="146"/>
      <c r="U984" s="146"/>
      <c r="V984" s="146"/>
      <c r="W984" s="146"/>
      <c r="X984" s="146"/>
      <c r="Y984" s="146"/>
      <c r="Z984" s="146"/>
    </row>
    <row r="985" ht="22.5" customHeight="1">
      <c r="A985" s="329"/>
      <c r="B985" s="274"/>
      <c r="C985" s="138"/>
      <c r="D985" s="118"/>
      <c r="E985" s="138"/>
      <c r="F985" s="138"/>
      <c r="G985" s="330"/>
      <c r="H985" s="146"/>
      <c r="I985" s="146"/>
      <c r="J985" s="146"/>
      <c r="K985" s="146"/>
      <c r="L985" s="146"/>
      <c r="M985" s="146"/>
      <c r="N985" s="146"/>
      <c r="O985" s="146"/>
      <c r="P985" s="146"/>
      <c r="Q985" s="146"/>
      <c r="R985" s="146"/>
      <c r="S985" s="146"/>
      <c r="T985" s="146"/>
      <c r="U985" s="146"/>
      <c r="V985" s="146"/>
      <c r="W985" s="146"/>
      <c r="X985" s="146"/>
      <c r="Y985" s="146"/>
      <c r="Z985" s="146"/>
    </row>
    <row r="986" ht="22.5" customHeight="1">
      <c r="A986" s="329"/>
      <c r="B986" s="274"/>
      <c r="C986" s="138"/>
      <c r="D986" s="118"/>
      <c r="E986" s="138"/>
      <c r="F986" s="138"/>
      <c r="G986" s="330"/>
      <c r="H986" s="146"/>
      <c r="I986" s="146"/>
      <c r="J986" s="146"/>
      <c r="K986" s="146"/>
      <c r="L986" s="146"/>
      <c r="M986" s="146"/>
      <c r="N986" s="146"/>
      <c r="O986" s="146"/>
      <c r="P986" s="146"/>
      <c r="Q986" s="146"/>
      <c r="R986" s="146"/>
      <c r="S986" s="146"/>
      <c r="T986" s="146"/>
      <c r="U986" s="146"/>
      <c r="V986" s="146"/>
      <c r="W986" s="146"/>
      <c r="X986" s="146"/>
      <c r="Y986" s="146"/>
      <c r="Z986" s="146"/>
    </row>
    <row r="987" ht="22.5" customHeight="1">
      <c r="A987" s="329"/>
      <c r="B987" s="274"/>
      <c r="C987" s="138"/>
      <c r="D987" s="118"/>
      <c r="E987" s="138"/>
      <c r="F987" s="138"/>
      <c r="G987" s="330"/>
      <c r="H987" s="146"/>
      <c r="I987" s="146"/>
      <c r="J987" s="146"/>
      <c r="K987" s="146"/>
      <c r="L987" s="146"/>
      <c r="M987" s="146"/>
      <c r="N987" s="146"/>
      <c r="O987" s="146"/>
      <c r="P987" s="146"/>
      <c r="Q987" s="146"/>
      <c r="R987" s="146"/>
      <c r="S987" s="146"/>
      <c r="T987" s="146"/>
      <c r="U987" s="146"/>
      <c r="V987" s="146"/>
      <c r="W987" s="146"/>
      <c r="X987" s="146"/>
      <c r="Y987" s="146"/>
      <c r="Z987" s="146"/>
    </row>
    <row r="988" ht="22.5" customHeight="1">
      <c r="A988" s="329"/>
      <c r="B988" s="274"/>
      <c r="C988" s="138"/>
      <c r="D988" s="118"/>
      <c r="E988" s="138"/>
      <c r="F988" s="138"/>
      <c r="G988" s="330"/>
      <c r="H988" s="146"/>
      <c r="I988" s="146"/>
      <c r="J988" s="146"/>
      <c r="K988" s="146"/>
      <c r="L988" s="146"/>
      <c r="M988" s="146"/>
      <c r="N988" s="146"/>
      <c r="O988" s="146"/>
      <c r="P988" s="146"/>
      <c r="Q988" s="146"/>
      <c r="R988" s="146"/>
      <c r="S988" s="146"/>
      <c r="T988" s="146"/>
      <c r="U988" s="146"/>
      <c r="V988" s="146"/>
      <c r="W988" s="146"/>
      <c r="X988" s="146"/>
      <c r="Y988" s="146"/>
      <c r="Z988" s="146"/>
    </row>
    <row r="989" ht="22.5" customHeight="1">
      <c r="A989" s="329"/>
      <c r="B989" s="274"/>
      <c r="C989" s="138"/>
      <c r="D989" s="118"/>
      <c r="E989" s="138"/>
      <c r="F989" s="138"/>
      <c r="G989" s="330"/>
      <c r="H989" s="146"/>
      <c r="I989" s="146"/>
      <c r="J989" s="146"/>
      <c r="K989" s="146"/>
      <c r="L989" s="146"/>
      <c r="M989" s="146"/>
      <c r="N989" s="146"/>
      <c r="O989" s="146"/>
      <c r="P989" s="146"/>
      <c r="Q989" s="146"/>
      <c r="R989" s="146"/>
      <c r="S989" s="146"/>
      <c r="T989" s="146"/>
      <c r="U989" s="146"/>
      <c r="V989" s="146"/>
      <c r="W989" s="146"/>
      <c r="X989" s="146"/>
      <c r="Y989" s="146"/>
      <c r="Z989" s="146"/>
    </row>
    <row r="990" ht="22.5" customHeight="1">
      <c r="A990" s="329"/>
      <c r="B990" s="274"/>
      <c r="C990" s="138"/>
      <c r="D990" s="118"/>
      <c r="E990" s="138"/>
      <c r="F990" s="138"/>
      <c r="G990" s="330"/>
      <c r="H990" s="146"/>
      <c r="I990" s="146"/>
      <c r="J990" s="146"/>
      <c r="K990" s="146"/>
      <c r="L990" s="146"/>
      <c r="M990" s="146"/>
      <c r="N990" s="146"/>
      <c r="O990" s="146"/>
      <c r="P990" s="146"/>
      <c r="Q990" s="146"/>
      <c r="R990" s="146"/>
      <c r="S990" s="146"/>
      <c r="T990" s="146"/>
      <c r="U990" s="146"/>
      <c r="V990" s="146"/>
      <c r="W990" s="146"/>
      <c r="X990" s="146"/>
      <c r="Y990" s="146"/>
      <c r="Z990" s="146"/>
    </row>
    <row r="991" ht="22.5" customHeight="1">
      <c r="A991" s="329"/>
      <c r="B991" s="274"/>
      <c r="C991" s="138"/>
      <c r="D991" s="118"/>
      <c r="E991" s="138"/>
      <c r="F991" s="138"/>
      <c r="G991" s="330"/>
      <c r="H991" s="146"/>
      <c r="I991" s="146"/>
      <c r="J991" s="146"/>
      <c r="K991" s="146"/>
      <c r="L991" s="146"/>
      <c r="M991" s="146"/>
      <c r="N991" s="146"/>
      <c r="O991" s="146"/>
      <c r="P991" s="146"/>
      <c r="Q991" s="146"/>
      <c r="R991" s="146"/>
      <c r="S991" s="146"/>
      <c r="T991" s="146"/>
      <c r="U991" s="146"/>
      <c r="V991" s="146"/>
      <c r="W991" s="146"/>
      <c r="X991" s="146"/>
      <c r="Y991" s="146"/>
      <c r="Z991" s="146"/>
    </row>
    <row r="992" ht="22.5" customHeight="1">
      <c r="A992" s="329"/>
      <c r="B992" s="274"/>
      <c r="C992" s="138"/>
      <c r="D992" s="118"/>
      <c r="E992" s="138"/>
      <c r="F992" s="138"/>
      <c r="G992" s="330"/>
      <c r="H992" s="146"/>
      <c r="I992" s="146"/>
      <c r="J992" s="146"/>
      <c r="K992" s="146"/>
      <c r="L992" s="146"/>
      <c r="M992" s="146"/>
      <c r="N992" s="146"/>
      <c r="O992" s="146"/>
      <c r="P992" s="146"/>
      <c r="Q992" s="146"/>
      <c r="R992" s="146"/>
      <c r="S992" s="146"/>
      <c r="T992" s="146"/>
      <c r="U992" s="146"/>
      <c r="V992" s="146"/>
      <c r="W992" s="146"/>
      <c r="X992" s="146"/>
      <c r="Y992" s="146"/>
      <c r="Z992" s="146"/>
    </row>
    <row r="993" ht="22.5" customHeight="1">
      <c r="A993" s="329"/>
      <c r="B993" s="274"/>
      <c r="C993" s="138"/>
      <c r="D993" s="118"/>
      <c r="E993" s="138"/>
      <c r="F993" s="138"/>
      <c r="G993" s="330"/>
      <c r="H993" s="146"/>
      <c r="I993" s="146"/>
      <c r="J993" s="146"/>
      <c r="K993" s="146"/>
      <c r="L993" s="146"/>
      <c r="M993" s="146"/>
      <c r="N993" s="146"/>
      <c r="O993" s="146"/>
      <c r="P993" s="146"/>
      <c r="Q993" s="146"/>
      <c r="R993" s="146"/>
      <c r="S993" s="146"/>
      <c r="T993" s="146"/>
      <c r="U993" s="146"/>
      <c r="V993" s="146"/>
      <c r="W993" s="146"/>
      <c r="X993" s="146"/>
      <c r="Y993" s="146"/>
      <c r="Z993" s="146"/>
    </row>
    <row r="994" ht="22.5" customHeight="1">
      <c r="A994" s="329"/>
      <c r="B994" s="274"/>
      <c r="C994" s="138"/>
      <c r="D994" s="118"/>
      <c r="E994" s="138"/>
      <c r="F994" s="138"/>
      <c r="G994" s="330"/>
      <c r="H994" s="146"/>
      <c r="I994" s="146"/>
      <c r="J994" s="146"/>
      <c r="K994" s="146"/>
      <c r="L994" s="146"/>
      <c r="M994" s="146"/>
      <c r="N994" s="146"/>
      <c r="O994" s="146"/>
      <c r="P994" s="146"/>
      <c r="Q994" s="146"/>
      <c r="R994" s="146"/>
      <c r="S994" s="146"/>
      <c r="T994" s="146"/>
      <c r="U994" s="146"/>
      <c r="V994" s="146"/>
      <c r="W994" s="146"/>
      <c r="X994" s="146"/>
      <c r="Y994" s="146"/>
      <c r="Z994" s="146"/>
    </row>
    <row r="995" ht="22.5" customHeight="1">
      <c r="A995" s="329"/>
      <c r="B995" s="274"/>
      <c r="C995" s="138"/>
      <c r="D995" s="118"/>
      <c r="E995" s="138"/>
      <c r="F995" s="138"/>
      <c r="G995" s="330"/>
      <c r="H995" s="146"/>
      <c r="I995" s="146"/>
      <c r="J995" s="146"/>
      <c r="K995" s="146"/>
      <c r="L995" s="146"/>
      <c r="M995" s="146"/>
      <c r="N995" s="146"/>
      <c r="O995" s="146"/>
      <c r="P995" s="146"/>
      <c r="Q995" s="146"/>
      <c r="R995" s="146"/>
      <c r="S995" s="146"/>
      <c r="T995" s="146"/>
      <c r="U995" s="146"/>
      <c r="V995" s="146"/>
      <c r="W995" s="146"/>
      <c r="X995" s="146"/>
      <c r="Y995" s="146"/>
      <c r="Z995" s="146"/>
    </row>
    <row r="996" ht="22.5" customHeight="1">
      <c r="A996" s="329"/>
      <c r="B996" s="274"/>
      <c r="C996" s="138"/>
      <c r="D996" s="118"/>
      <c r="E996" s="138"/>
      <c r="F996" s="138"/>
      <c r="G996" s="330"/>
      <c r="H996" s="146"/>
      <c r="I996" s="146"/>
      <c r="J996" s="146"/>
      <c r="K996" s="146"/>
      <c r="L996" s="146"/>
      <c r="M996" s="146"/>
      <c r="N996" s="146"/>
      <c r="O996" s="146"/>
      <c r="P996" s="146"/>
      <c r="Q996" s="146"/>
      <c r="R996" s="146"/>
      <c r="S996" s="146"/>
      <c r="T996" s="146"/>
      <c r="U996" s="146"/>
      <c r="V996" s="146"/>
      <c r="W996" s="146"/>
      <c r="X996" s="146"/>
      <c r="Y996" s="146"/>
      <c r="Z996" s="146"/>
    </row>
    <row r="997" ht="22.5" customHeight="1">
      <c r="A997" s="329"/>
      <c r="B997" s="274"/>
      <c r="C997" s="138"/>
      <c r="D997" s="118"/>
      <c r="E997" s="138"/>
      <c r="F997" s="138"/>
      <c r="G997" s="330"/>
      <c r="H997" s="146"/>
      <c r="I997" s="146"/>
      <c r="J997" s="146"/>
      <c r="K997" s="146"/>
      <c r="L997" s="146"/>
      <c r="M997" s="146"/>
      <c r="N997" s="146"/>
      <c r="O997" s="146"/>
      <c r="P997" s="146"/>
      <c r="Q997" s="146"/>
      <c r="R997" s="146"/>
      <c r="S997" s="146"/>
      <c r="T997" s="146"/>
      <c r="U997" s="146"/>
      <c r="V997" s="146"/>
      <c r="W997" s="146"/>
      <c r="X997" s="146"/>
      <c r="Y997" s="146"/>
      <c r="Z997" s="146"/>
    </row>
    <row r="998" ht="22.5" customHeight="1">
      <c r="A998" s="329"/>
      <c r="B998" s="274"/>
      <c r="C998" s="138"/>
      <c r="D998" s="118"/>
      <c r="E998" s="138"/>
      <c r="F998" s="138"/>
      <c r="G998" s="330"/>
      <c r="H998" s="146"/>
      <c r="I998" s="146"/>
      <c r="J998" s="146"/>
      <c r="K998" s="146"/>
      <c r="L998" s="146"/>
      <c r="M998" s="146"/>
      <c r="N998" s="146"/>
      <c r="O998" s="146"/>
      <c r="P998" s="146"/>
      <c r="Q998" s="146"/>
      <c r="R998" s="146"/>
      <c r="S998" s="146"/>
      <c r="T998" s="146"/>
      <c r="U998" s="146"/>
      <c r="V998" s="146"/>
      <c r="W998" s="146"/>
      <c r="X998" s="146"/>
      <c r="Y998" s="146"/>
      <c r="Z998" s="146"/>
    </row>
    <row r="999" ht="22.5" customHeight="1">
      <c r="A999" s="329"/>
      <c r="B999" s="274"/>
      <c r="C999" s="138"/>
      <c r="D999" s="118"/>
      <c r="E999" s="138"/>
      <c r="F999" s="138"/>
      <c r="G999" s="330"/>
      <c r="H999" s="146"/>
      <c r="I999" s="146"/>
      <c r="J999" s="146"/>
      <c r="K999" s="146"/>
      <c r="L999" s="146"/>
      <c r="M999" s="146"/>
      <c r="N999" s="146"/>
      <c r="O999" s="146"/>
      <c r="P999" s="146"/>
      <c r="Q999" s="146"/>
      <c r="R999" s="146"/>
      <c r="S999" s="146"/>
      <c r="T999" s="146"/>
      <c r="U999" s="146"/>
      <c r="V999" s="146"/>
      <c r="W999" s="146"/>
      <c r="X999" s="146"/>
      <c r="Y999" s="146"/>
      <c r="Z999" s="146"/>
    </row>
    <row r="1000" ht="22.5" customHeight="1">
      <c r="A1000" s="329"/>
      <c r="B1000" s="274"/>
      <c r="C1000" s="138"/>
      <c r="D1000" s="118"/>
      <c r="E1000" s="138"/>
      <c r="F1000" s="138"/>
      <c r="G1000" s="330"/>
      <c r="H1000" s="146"/>
      <c r="I1000" s="146"/>
      <c r="J1000" s="146"/>
      <c r="K1000" s="146"/>
      <c r="L1000" s="146"/>
      <c r="M1000" s="146"/>
      <c r="N1000" s="146"/>
      <c r="O1000" s="146"/>
      <c r="P1000" s="146"/>
      <c r="Q1000" s="146"/>
      <c r="R1000" s="146"/>
      <c r="S1000" s="146"/>
      <c r="T1000" s="146"/>
      <c r="U1000" s="146"/>
      <c r="V1000" s="146"/>
      <c r="W1000" s="146"/>
      <c r="X1000" s="146"/>
      <c r="Y1000" s="146"/>
      <c r="Z1000" s="146"/>
    </row>
    <row r="1001" ht="22.5" customHeight="1">
      <c r="A1001" s="329"/>
      <c r="B1001" s="274"/>
      <c r="C1001" s="138"/>
      <c r="D1001" s="118"/>
      <c r="E1001" s="138"/>
      <c r="F1001" s="138"/>
      <c r="G1001" s="330"/>
      <c r="H1001" s="146"/>
      <c r="I1001" s="146"/>
      <c r="J1001" s="146"/>
      <c r="K1001" s="146"/>
      <c r="L1001" s="146"/>
      <c r="M1001" s="146"/>
      <c r="N1001" s="146"/>
      <c r="O1001" s="146"/>
      <c r="P1001" s="146"/>
      <c r="Q1001" s="146"/>
      <c r="R1001" s="146"/>
      <c r="S1001" s="146"/>
      <c r="T1001" s="146"/>
      <c r="U1001" s="146"/>
      <c r="V1001" s="146"/>
      <c r="W1001" s="146"/>
      <c r="X1001" s="146"/>
      <c r="Y1001" s="146"/>
      <c r="Z1001" s="146"/>
    </row>
    <row r="1002" ht="22.5" customHeight="1">
      <c r="A1002" s="329"/>
      <c r="B1002" s="274"/>
      <c r="C1002" s="138"/>
      <c r="D1002" s="118"/>
      <c r="E1002" s="138"/>
      <c r="F1002" s="138"/>
      <c r="G1002" s="330"/>
      <c r="H1002" s="146"/>
      <c r="I1002" s="146"/>
      <c r="J1002" s="146"/>
      <c r="K1002" s="146"/>
      <c r="L1002" s="146"/>
      <c r="M1002" s="146"/>
      <c r="N1002" s="146"/>
      <c r="O1002" s="146"/>
      <c r="P1002" s="146"/>
      <c r="Q1002" s="146"/>
      <c r="R1002" s="146"/>
      <c r="S1002" s="146"/>
      <c r="T1002" s="146"/>
      <c r="U1002" s="146"/>
      <c r="V1002" s="146"/>
      <c r="W1002" s="146"/>
      <c r="X1002" s="146"/>
      <c r="Y1002" s="146"/>
      <c r="Z1002" s="146"/>
    </row>
    <row r="1003" ht="22.5" customHeight="1">
      <c r="A1003" s="329"/>
      <c r="B1003" s="274"/>
      <c r="C1003" s="138"/>
      <c r="D1003" s="118"/>
      <c r="E1003" s="138"/>
      <c r="F1003" s="138"/>
      <c r="G1003" s="330"/>
      <c r="H1003" s="146"/>
      <c r="I1003" s="146"/>
      <c r="J1003" s="146"/>
      <c r="K1003" s="146"/>
      <c r="L1003" s="146"/>
      <c r="M1003" s="146"/>
      <c r="N1003" s="146"/>
      <c r="O1003" s="146"/>
      <c r="P1003" s="146"/>
      <c r="Q1003" s="146"/>
      <c r="R1003" s="146"/>
      <c r="S1003" s="146"/>
      <c r="T1003" s="146"/>
      <c r="U1003" s="146"/>
      <c r="V1003" s="146"/>
      <c r="W1003" s="146"/>
      <c r="X1003" s="146"/>
      <c r="Y1003" s="146"/>
      <c r="Z1003" s="146"/>
    </row>
    <row r="1004" ht="22.5" customHeight="1">
      <c r="A1004" s="329"/>
      <c r="B1004" s="274"/>
      <c r="C1004" s="138"/>
      <c r="D1004" s="118"/>
      <c r="E1004" s="138"/>
      <c r="F1004" s="138"/>
      <c r="G1004" s="330"/>
      <c r="H1004" s="146"/>
      <c r="I1004" s="146"/>
      <c r="J1004" s="146"/>
      <c r="K1004" s="146"/>
      <c r="L1004" s="146"/>
      <c r="M1004" s="146"/>
      <c r="N1004" s="146"/>
      <c r="O1004" s="146"/>
      <c r="P1004" s="146"/>
      <c r="Q1004" s="146"/>
      <c r="R1004" s="146"/>
      <c r="S1004" s="146"/>
      <c r="T1004" s="146"/>
      <c r="U1004" s="146"/>
      <c r="V1004" s="146"/>
      <c r="W1004" s="146"/>
      <c r="X1004" s="146"/>
      <c r="Y1004" s="146"/>
      <c r="Z1004" s="146"/>
    </row>
    <row r="1005" ht="22.5" customHeight="1">
      <c r="A1005" s="329"/>
      <c r="B1005" s="274"/>
      <c r="C1005" s="138"/>
      <c r="D1005" s="118"/>
      <c r="E1005" s="138"/>
      <c r="F1005" s="138"/>
      <c r="G1005" s="330"/>
      <c r="H1005" s="146"/>
      <c r="I1005" s="146"/>
      <c r="J1005" s="146"/>
      <c r="K1005" s="146"/>
      <c r="L1005" s="146"/>
      <c r="M1005" s="146"/>
      <c r="N1005" s="146"/>
      <c r="O1005" s="146"/>
      <c r="P1005" s="146"/>
      <c r="Q1005" s="146"/>
      <c r="R1005" s="146"/>
      <c r="S1005" s="146"/>
      <c r="T1005" s="146"/>
      <c r="U1005" s="146"/>
      <c r="V1005" s="146"/>
      <c r="W1005" s="146"/>
      <c r="X1005" s="146"/>
      <c r="Y1005" s="146"/>
      <c r="Z1005" s="146"/>
    </row>
    <row r="1006" ht="22.5" customHeight="1">
      <c r="A1006" s="329"/>
      <c r="B1006" s="274"/>
      <c r="C1006" s="138"/>
      <c r="D1006" s="118"/>
      <c r="E1006" s="138"/>
      <c r="F1006" s="138"/>
      <c r="G1006" s="330"/>
      <c r="H1006" s="146"/>
      <c r="I1006" s="146"/>
      <c r="J1006" s="146"/>
      <c r="K1006" s="146"/>
      <c r="L1006" s="146"/>
      <c r="M1006" s="146"/>
      <c r="N1006" s="146"/>
      <c r="O1006" s="146"/>
      <c r="P1006" s="146"/>
      <c r="Q1006" s="146"/>
      <c r="R1006" s="146"/>
      <c r="S1006" s="146"/>
      <c r="T1006" s="146"/>
      <c r="U1006" s="146"/>
      <c r="V1006" s="146"/>
      <c r="W1006" s="146"/>
      <c r="X1006" s="146"/>
      <c r="Y1006" s="146"/>
      <c r="Z1006" s="146"/>
    </row>
    <row r="1007" ht="22.5" customHeight="1">
      <c r="A1007" s="329"/>
      <c r="B1007" s="274"/>
      <c r="C1007" s="138"/>
      <c r="D1007" s="118"/>
      <c r="E1007" s="138"/>
      <c r="F1007" s="138"/>
      <c r="G1007" s="330"/>
      <c r="H1007" s="146"/>
      <c r="I1007" s="146"/>
      <c r="J1007" s="146"/>
      <c r="K1007" s="146"/>
      <c r="L1007" s="146"/>
      <c r="M1007" s="146"/>
      <c r="N1007" s="146"/>
      <c r="O1007" s="146"/>
      <c r="P1007" s="146"/>
      <c r="Q1007" s="146"/>
      <c r="R1007" s="146"/>
      <c r="S1007" s="146"/>
      <c r="T1007" s="146"/>
      <c r="U1007" s="146"/>
      <c r="V1007" s="146"/>
      <c r="W1007" s="146"/>
      <c r="X1007" s="146"/>
      <c r="Y1007" s="146"/>
      <c r="Z1007" s="146"/>
    </row>
    <row r="1008" ht="22.5" customHeight="1">
      <c r="A1008" s="329"/>
      <c r="B1008" s="274"/>
      <c r="C1008" s="138"/>
      <c r="D1008" s="118"/>
      <c r="E1008" s="138"/>
      <c r="F1008" s="138"/>
      <c r="G1008" s="330"/>
      <c r="H1008" s="146"/>
      <c r="I1008" s="146"/>
      <c r="J1008" s="146"/>
      <c r="K1008" s="146"/>
      <c r="L1008" s="146"/>
      <c r="M1008" s="146"/>
      <c r="N1008" s="146"/>
      <c r="O1008" s="146"/>
      <c r="P1008" s="146"/>
      <c r="Q1008" s="146"/>
      <c r="R1008" s="146"/>
      <c r="S1008" s="146"/>
      <c r="T1008" s="146"/>
      <c r="U1008" s="146"/>
      <c r="V1008" s="146"/>
      <c r="W1008" s="146"/>
      <c r="X1008" s="146"/>
      <c r="Y1008" s="146"/>
      <c r="Z1008" s="146"/>
    </row>
    <row r="1009" ht="22.5" customHeight="1">
      <c r="A1009" s="329"/>
      <c r="B1009" s="274"/>
      <c r="C1009" s="138"/>
      <c r="D1009" s="118"/>
      <c r="E1009" s="138"/>
      <c r="F1009" s="138"/>
      <c r="G1009" s="330"/>
      <c r="H1009" s="146"/>
      <c r="I1009" s="146"/>
      <c r="J1009" s="146"/>
      <c r="K1009" s="146"/>
      <c r="L1009" s="146"/>
      <c r="M1009" s="146"/>
      <c r="N1009" s="146"/>
      <c r="O1009" s="146"/>
      <c r="P1009" s="146"/>
      <c r="Q1009" s="146"/>
      <c r="R1009" s="146"/>
      <c r="S1009" s="146"/>
      <c r="T1009" s="146"/>
      <c r="U1009" s="146"/>
      <c r="V1009" s="146"/>
      <c r="W1009" s="146"/>
      <c r="X1009" s="146"/>
      <c r="Y1009" s="146"/>
      <c r="Z1009" s="146"/>
    </row>
    <row r="1010" ht="22.5" customHeight="1">
      <c r="A1010" s="329"/>
      <c r="B1010" s="274"/>
      <c r="C1010" s="138"/>
      <c r="D1010" s="118"/>
      <c r="E1010" s="138"/>
      <c r="F1010" s="138"/>
      <c r="G1010" s="330"/>
      <c r="H1010" s="146"/>
      <c r="I1010" s="146"/>
      <c r="J1010" s="146"/>
      <c r="K1010" s="146"/>
      <c r="L1010" s="146"/>
      <c r="M1010" s="146"/>
      <c r="N1010" s="146"/>
      <c r="O1010" s="146"/>
      <c r="P1010" s="146"/>
      <c r="Q1010" s="146"/>
      <c r="R1010" s="146"/>
      <c r="S1010" s="146"/>
      <c r="T1010" s="146"/>
      <c r="U1010" s="146"/>
      <c r="V1010" s="146"/>
      <c r="W1010" s="146"/>
      <c r="X1010" s="146"/>
      <c r="Y1010" s="146"/>
      <c r="Z1010" s="146"/>
    </row>
    <row r="1011" ht="22.5" customHeight="1">
      <c r="A1011" s="329"/>
      <c r="B1011" s="274"/>
      <c r="C1011" s="138"/>
      <c r="D1011" s="118"/>
      <c r="E1011" s="138"/>
      <c r="F1011" s="138"/>
      <c r="G1011" s="330"/>
      <c r="H1011" s="146"/>
      <c r="I1011" s="146"/>
      <c r="J1011" s="146"/>
      <c r="K1011" s="146"/>
      <c r="L1011" s="146"/>
      <c r="M1011" s="146"/>
      <c r="N1011" s="146"/>
      <c r="O1011" s="146"/>
      <c r="P1011" s="146"/>
      <c r="Q1011" s="146"/>
      <c r="R1011" s="146"/>
      <c r="S1011" s="146"/>
      <c r="T1011" s="146"/>
      <c r="U1011" s="146"/>
      <c r="V1011" s="146"/>
      <c r="W1011" s="146"/>
      <c r="X1011" s="146"/>
      <c r="Y1011" s="146"/>
      <c r="Z1011" s="146"/>
    </row>
    <row r="1012" ht="22.5" customHeight="1">
      <c r="A1012" s="329"/>
      <c r="B1012" s="274"/>
      <c r="C1012" s="138"/>
      <c r="D1012" s="118"/>
      <c r="E1012" s="138"/>
      <c r="F1012" s="138"/>
      <c r="G1012" s="330"/>
      <c r="H1012" s="146"/>
      <c r="I1012" s="146"/>
      <c r="J1012" s="146"/>
      <c r="K1012" s="146"/>
      <c r="L1012" s="146"/>
      <c r="M1012" s="146"/>
      <c r="N1012" s="146"/>
      <c r="O1012" s="146"/>
      <c r="P1012" s="146"/>
      <c r="Q1012" s="146"/>
      <c r="R1012" s="146"/>
      <c r="S1012" s="146"/>
      <c r="T1012" s="146"/>
      <c r="U1012" s="146"/>
      <c r="V1012" s="146"/>
      <c r="W1012" s="146"/>
      <c r="X1012" s="146"/>
      <c r="Y1012" s="146"/>
      <c r="Z1012" s="146"/>
    </row>
    <row r="1013" ht="22.5" customHeight="1">
      <c r="A1013" s="329"/>
      <c r="B1013" s="274"/>
      <c r="C1013" s="138"/>
      <c r="D1013" s="118"/>
      <c r="E1013" s="138"/>
      <c r="F1013" s="138"/>
      <c r="G1013" s="330"/>
      <c r="H1013" s="146"/>
      <c r="I1013" s="146"/>
      <c r="J1013" s="146"/>
      <c r="K1013" s="146"/>
      <c r="L1013" s="146"/>
      <c r="M1013" s="146"/>
      <c r="N1013" s="146"/>
      <c r="O1013" s="146"/>
      <c r="P1013" s="146"/>
      <c r="Q1013" s="146"/>
      <c r="R1013" s="146"/>
      <c r="S1013" s="146"/>
      <c r="T1013" s="146"/>
      <c r="U1013" s="146"/>
      <c r="V1013" s="146"/>
      <c r="W1013" s="146"/>
      <c r="X1013" s="146"/>
      <c r="Y1013" s="146"/>
      <c r="Z1013" s="146"/>
    </row>
    <row r="1014" ht="22.5" customHeight="1">
      <c r="A1014" s="329"/>
      <c r="B1014" s="274"/>
      <c r="C1014" s="138"/>
      <c r="D1014" s="118"/>
      <c r="E1014" s="138"/>
      <c r="F1014" s="138"/>
      <c r="G1014" s="330"/>
      <c r="H1014" s="146"/>
      <c r="I1014" s="146"/>
      <c r="J1014" s="146"/>
      <c r="K1014" s="146"/>
      <c r="L1014" s="146"/>
      <c r="M1014" s="146"/>
      <c r="N1014" s="146"/>
      <c r="O1014" s="146"/>
      <c r="P1014" s="146"/>
      <c r="Q1014" s="146"/>
      <c r="R1014" s="146"/>
      <c r="S1014" s="146"/>
      <c r="T1014" s="146"/>
      <c r="U1014" s="146"/>
      <c r="V1014" s="146"/>
      <c r="W1014" s="146"/>
      <c r="X1014" s="146"/>
      <c r="Y1014" s="146"/>
      <c r="Z1014" s="146"/>
    </row>
    <row r="1015" ht="22.5" customHeight="1">
      <c r="A1015" s="329"/>
      <c r="B1015" s="274"/>
      <c r="C1015" s="138"/>
      <c r="D1015" s="118"/>
      <c r="E1015" s="138"/>
      <c r="F1015" s="138"/>
      <c r="G1015" s="330"/>
      <c r="H1015" s="146"/>
      <c r="I1015" s="146"/>
      <c r="J1015" s="146"/>
      <c r="K1015" s="146"/>
      <c r="L1015" s="146"/>
      <c r="M1015" s="146"/>
      <c r="N1015" s="146"/>
      <c r="O1015" s="146"/>
      <c r="P1015" s="146"/>
      <c r="Q1015" s="146"/>
      <c r="R1015" s="146"/>
      <c r="S1015" s="146"/>
      <c r="T1015" s="146"/>
      <c r="U1015" s="146"/>
      <c r="V1015" s="146"/>
      <c r="W1015" s="146"/>
      <c r="X1015" s="146"/>
      <c r="Y1015" s="146"/>
      <c r="Z1015" s="146"/>
    </row>
    <row r="1016" ht="22.5" customHeight="1">
      <c r="A1016" s="329"/>
      <c r="B1016" s="274"/>
      <c r="C1016" s="138"/>
      <c r="D1016" s="118"/>
      <c r="E1016" s="138"/>
      <c r="F1016" s="138"/>
      <c r="G1016" s="330"/>
      <c r="H1016" s="146"/>
      <c r="I1016" s="146"/>
      <c r="J1016" s="146"/>
      <c r="K1016" s="146"/>
      <c r="L1016" s="146"/>
      <c r="M1016" s="146"/>
      <c r="N1016" s="146"/>
      <c r="O1016" s="146"/>
      <c r="P1016" s="146"/>
      <c r="Q1016" s="146"/>
      <c r="R1016" s="146"/>
      <c r="S1016" s="146"/>
      <c r="T1016" s="146"/>
      <c r="U1016" s="146"/>
      <c r="V1016" s="146"/>
      <c r="W1016" s="146"/>
      <c r="X1016" s="146"/>
      <c r="Y1016" s="146"/>
      <c r="Z1016" s="146"/>
    </row>
    <row r="1017" ht="22.5" customHeight="1">
      <c r="A1017" s="329"/>
      <c r="B1017" s="274"/>
      <c r="C1017" s="138"/>
      <c r="D1017" s="118"/>
      <c r="E1017" s="138"/>
      <c r="F1017" s="138"/>
      <c r="G1017" s="330"/>
      <c r="H1017" s="146"/>
      <c r="I1017" s="146"/>
      <c r="J1017" s="146"/>
      <c r="K1017" s="146"/>
      <c r="L1017" s="146"/>
      <c r="M1017" s="146"/>
      <c r="N1017" s="146"/>
      <c r="O1017" s="146"/>
      <c r="P1017" s="146"/>
      <c r="Q1017" s="146"/>
      <c r="R1017" s="146"/>
      <c r="S1017" s="146"/>
      <c r="T1017" s="146"/>
      <c r="U1017" s="146"/>
      <c r="V1017" s="146"/>
      <c r="W1017" s="146"/>
      <c r="X1017" s="146"/>
      <c r="Y1017" s="146"/>
      <c r="Z1017" s="146"/>
    </row>
    <row r="1018" ht="22.5" customHeight="1">
      <c r="A1018" s="329"/>
      <c r="B1018" s="274"/>
      <c r="C1018" s="138"/>
      <c r="D1018" s="118"/>
      <c r="E1018" s="138"/>
      <c r="F1018" s="138"/>
      <c r="G1018" s="330"/>
      <c r="H1018" s="146"/>
      <c r="I1018" s="146"/>
      <c r="J1018" s="146"/>
      <c r="K1018" s="146"/>
      <c r="L1018" s="146"/>
      <c r="M1018" s="146"/>
      <c r="N1018" s="146"/>
      <c r="O1018" s="146"/>
      <c r="P1018" s="146"/>
      <c r="Q1018" s="146"/>
      <c r="R1018" s="146"/>
      <c r="S1018" s="146"/>
      <c r="T1018" s="146"/>
      <c r="U1018" s="146"/>
      <c r="V1018" s="146"/>
      <c r="W1018" s="146"/>
      <c r="X1018" s="146"/>
      <c r="Y1018" s="146"/>
      <c r="Z1018" s="146"/>
    </row>
    <row r="1019" ht="22.5" customHeight="1">
      <c r="A1019" s="329"/>
      <c r="B1019" s="274"/>
      <c r="C1019" s="138"/>
      <c r="D1019" s="118"/>
      <c r="E1019" s="138"/>
      <c r="F1019" s="138"/>
      <c r="G1019" s="330"/>
      <c r="H1019" s="146"/>
      <c r="I1019" s="146"/>
      <c r="J1019" s="146"/>
      <c r="K1019" s="146"/>
      <c r="L1019" s="146"/>
      <c r="M1019" s="146"/>
      <c r="N1019" s="146"/>
      <c r="O1019" s="146"/>
      <c r="P1019" s="146"/>
      <c r="Q1019" s="146"/>
      <c r="R1019" s="146"/>
      <c r="S1019" s="146"/>
      <c r="T1019" s="146"/>
      <c r="U1019" s="146"/>
      <c r="V1019" s="146"/>
      <c r="W1019" s="146"/>
      <c r="X1019" s="146"/>
      <c r="Y1019" s="146"/>
      <c r="Z1019" s="146"/>
    </row>
    <row r="1020" ht="22.5" customHeight="1">
      <c r="A1020" s="329"/>
      <c r="B1020" s="274"/>
      <c r="C1020" s="138"/>
      <c r="D1020" s="118"/>
      <c r="E1020" s="138"/>
      <c r="F1020" s="138"/>
      <c r="G1020" s="330"/>
      <c r="H1020" s="146"/>
      <c r="I1020" s="146"/>
      <c r="J1020" s="146"/>
      <c r="K1020" s="146"/>
      <c r="L1020" s="146"/>
      <c r="M1020" s="146"/>
      <c r="N1020" s="146"/>
      <c r="O1020" s="146"/>
      <c r="P1020" s="146"/>
      <c r="Q1020" s="146"/>
      <c r="R1020" s="146"/>
      <c r="S1020" s="146"/>
      <c r="T1020" s="146"/>
      <c r="U1020" s="146"/>
      <c r="V1020" s="146"/>
      <c r="W1020" s="146"/>
      <c r="X1020" s="146"/>
      <c r="Y1020" s="146"/>
      <c r="Z1020" s="146"/>
    </row>
    <row r="1021" ht="22.5" customHeight="1">
      <c r="A1021" s="329"/>
      <c r="B1021" s="274"/>
      <c r="C1021" s="138"/>
      <c r="D1021" s="118"/>
      <c r="E1021" s="138"/>
      <c r="F1021" s="138"/>
      <c r="G1021" s="330"/>
      <c r="H1021" s="146"/>
      <c r="I1021" s="146"/>
      <c r="J1021" s="146"/>
      <c r="K1021" s="146"/>
      <c r="L1021" s="146"/>
      <c r="M1021" s="146"/>
      <c r="N1021" s="146"/>
      <c r="O1021" s="146"/>
      <c r="P1021" s="146"/>
      <c r="Q1021" s="146"/>
      <c r="R1021" s="146"/>
      <c r="S1021" s="146"/>
      <c r="T1021" s="146"/>
      <c r="U1021" s="146"/>
      <c r="V1021" s="146"/>
      <c r="W1021" s="146"/>
      <c r="X1021" s="146"/>
      <c r="Y1021" s="146"/>
      <c r="Z1021" s="146"/>
    </row>
    <row r="1022" ht="22.5" customHeight="1">
      <c r="A1022" s="329"/>
      <c r="B1022" s="274"/>
      <c r="C1022" s="138"/>
      <c r="D1022" s="118"/>
      <c r="E1022" s="138"/>
      <c r="F1022" s="138"/>
      <c r="G1022" s="330"/>
      <c r="H1022" s="146"/>
      <c r="I1022" s="146"/>
      <c r="J1022" s="146"/>
      <c r="K1022" s="146"/>
      <c r="L1022" s="146"/>
      <c r="M1022" s="146"/>
      <c r="N1022" s="146"/>
      <c r="O1022" s="146"/>
      <c r="P1022" s="146"/>
      <c r="Q1022" s="146"/>
      <c r="R1022" s="146"/>
      <c r="S1022" s="146"/>
      <c r="T1022" s="146"/>
      <c r="U1022" s="146"/>
      <c r="V1022" s="146"/>
      <c r="W1022" s="146"/>
      <c r="X1022" s="146"/>
      <c r="Y1022" s="146"/>
      <c r="Z1022" s="146"/>
    </row>
    <row r="1023" ht="22.5" customHeight="1">
      <c r="A1023" s="329"/>
      <c r="B1023" s="274"/>
      <c r="C1023" s="138"/>
      <c r="D1023" s="118"/>
      <c r="E1023" s="138"/>
      <c r="F1023" s="138"/>
      <c r="G1023" s="330"/>
      <c r="H1023" s="146"/>
      <c r="I1023" s="146"/>
      <c r="J1023" s="146"/>
      <c r="K1023" s="146"/>
      <c r="L1023" s="146"/>
      <c r="M1023" s="146"/>
      <c r="N1023" s="146"/>
      <c r="O1023" s="146"/>
      <c r="P1023" s="146"/>
      <c r="Q1023" s="146"/>
      <c r="R1023" s="146"/>
      <c r="S1023" s="146"/>
      <c r="T1023" s="146"/>
      <c r="U1023" s="146"/>
      <c r="V1023" s="146"/>
      <c r="W1023" s="146"/>
      <c r="X1023" s="146"/>
      <c r="Y1023" s="146"/>
      <c r="Z1023" s="146"/>
    </row>
    <row r="1024" ht="22.5" customHeight="1">
      <c r="A1024" s="329"/>
      <c r="B1024" s="274"/>
      <c r="C1024" s="138"/>
      <c r="D1024" s="118"/>
      <c r="E1024" s="138"/>
      <c r="F1024" s="138"/>
      <c r="G1024" s="330"/>
      <c r="H1024" s="146"/>
      <c r="I1024" s="146"/>
      <c r="J1024" s="146"/>
      <c r="K1024" s="146"/>
      <c r="L1024" s="146"/>
      <c r="M1024" s="146"/>
      <c r="N1024" s="146"/>
      <c r="O1024" s="146"/>
      <c r="P1024" s="146"/>
      <c r="Q1024" s="146"/>
      <c r="R1024" s="146"/>
      <c r="S1024" s="146"/>
      <c r="T1024" s="146"/>
      <c r="U1024" s="146"/>
      <c r="V1024" s="146"/>
      <c r="W1024" s="146"/>
      <c r="X1024" s="146"/>
      <c r="Y1024" s="146"/>
      <c r="Z1024" s="146"/>
    </row>
    <row r="1025" ht="22.5" customHeight="1">
      <c r="A1025" s="329"/>
      <c r="B1025" s="274"/>
      <c r="C1025" s="138"/>
      <c r="D1025" s="118"/>
      <c r="E1025" s="138"/>
      <c r="F1025" s="138"/>
      <c r="G1025" s="330"/>
      <c r="H1025" s="146"/>
      <c r="I1025" s="146"/>
      <c r="J1025" s="146"/>
      <c r="K1025" s="146"/>
      <c r="L1025" s="146"/>
      <c r="M1025" s="146"/>
      <c r="N1025" s="146"/>
      <c r="O1025" s="146"/>
      <c r="P1025" s="146"/>
      <c r="Q1025" s="146"/>
      <c r="R1025" s="146"/>
      <c r="S1025" s="146"/>
      <c r="T1025" s="146"/>
      <c r="U1025" s="146"/>
      <c r="V1025" s="146"/>
      <c r="W1025" s="146"/>
      <c r="X1025" s="146"/>
      <c r="Y1025" s="146"/>
      <c r="Z1025" s="146"/>
    </row>
    <row r="1026" ht="22.5" customHeight="1">
      <c r="A1026" s="329"/>
      <c r="B1026" s="274"/>
      <c r="C1026" s="138"/>
      <c r="D1026" s="118"/>
      <c r="E1026" s="138"/>
      <c r="F1026" s="138"/>
      <c r="G1026" s="330"/>
      <c r="H1026" s="146"/>
      <c r="I1026" s="146"/>
      <c r="J1026" s="146"/>
      <c r="K1026" s="146"/>
      <c r="L1026" s="146"/>
      <c r="M1026" s="146"/>
      <c r="N1026" s="146"/>
      <c r="O1026" s="146"/>
      <c r="P1026" s="146"/>
      <c r="Q1026" s="146"/>
      <c r="R1026" s="146"/>
      <c r="S1026" s="146"/>
      <c r="T1026" s="146"/>
      <c r="U1026" s="146"/>
      <c r="V1026" s="146"/>
      <c r="W1026" s="146"/>
      <c r="X1026" s="146"/>
      <c r="Y1026" s="146"/>
      <c r="Z1026" s="146"/>
    </row>
    <row r="1027" ht="22.5" customHeight="1">
      <c r="A1027" s="329"/>
      <c r="B1027" s="274"/>
      <c r="C1027" s="138"/>
      <c r="D1027" s="118"/>
      <c r="E1027" s="138"/>
      <c r="F1027" s="138"/>
      <c r="G1027" s="330"/>
      <c r="H1027" s="146"/>
      <c r="I1027" s="146"/>
      <c r="J1027" s="146"/>
      <c r="K1027" s="146"/>
      <c r="L1027" s="146"/>
      <c r="M1027" s="146"/>
      <c r="N1027" s="146"/>
      <c r="O1027" s="146"/>
      <c r="P1027" s="146"/>
      <c r="Q1027" s="146"/>
      <c r="R1027" s="146"/>
      <c r="S1027" s="146"/>
      <c r="T1027" s="146"/>
      <c r="U1027" s="146"/>
      <c r="V1027" s="146"/>
      <c r="W1027" s="146"/>
      <c r="X1027" s="146"/>
      <c r="Y1027" s="146"/>
      <c r="Z1027" s="146"/>
    </row>
    <row r="1028" ht="22.5" customHeight="1">
      <c r="A1028" s="329"/>
      <c r="B1028" s="274"/>
      <c r="C1028" s="138"/>
      <c r="D1028" s="118"/>
      <c r="E1028" s="138"/>
      <c r="F1028" s="138"/>
      <c r="G1028" s="330"/>
      <c r="H1028" s="146"/>
      <c r="I1028" s="146"/>
      <c r="J1028" s="146"/>
      <c r="K1028" s="146"/>
      <c r="L1028" s="146"/>
      <c r="M1028" s="146"/>
      <c r="N1028" s="146"/>
      <c r="O1028" s="146"/>
      <c r="P1028" s="146"/>
      <c r="Q1028" s="146"/>
      <c r="R1028" s="146"/>
      <c r="S1028" s="146"/>
      <c r="T1028" s="146"/>
      <c r="U1028" s="146"/>
      <c r="V1028" s="146"/>
      <c r="W1028" s="146"/>
      <c r="X1028" s="146"/>
      <c r="Y1028" s="146"/>
      <c r="Z1028" s="146"/>
    </row>
    <row r="1029" ht="22.5" customHeight="1">
      <c r="A1029" s="329"/>
      <c r="B1029" s="274"/>
      <c r="C1029" s="138"/>
      <c r="D1029" s="118"/>
      <c r="E1029" s="138"/>
      <c r="F1029" s="138"/>
      <c r="G1029" s="330"/>
      <c r="H1029" s="146"/>
      <c r="I1029" s="146"/>
      <c r="J1029" s="146"/>
      <c r="K1029" s="146"/>
      <c r="L1029" s="146"/>
      <c r="M1029" s="146"/>
      <c r="N1029" s="146"/>
      <c r="O1029" s="146"/>
      <c r="P1029" s="146"/>
      <c r="Q1029" s="146"/>
      <c r="R1029" s="146"/>
      <c r="S1029" s="146"/>
      <c r="T1029" s="146"/>
      <c r="U1029" s="146"/>
      <c r="V1029" s="146"/>
      <c r="W1029" s="146"/>
      <c r="X1029" s="146"/>
      <c r="Y1029" s="146"/>
      <c r="Z1029" s="146"/>
    </row>
    <row r="1030" ht="22.5" customHeight="1">
      <c r="A1030" s="329"/>
      <c r="B1030" s="274"/>
      <c r="C1030" s="138"/>
      <c r="D1030" s="118"/>
      <c r="E1030" s="138"/>
      <c r="F1030" s="138"/>
      <c r="G1030" s="330"/>
      <c r="H1030" s="146"/>
      <c r="I1030" s="146"/>
      <c r="J1030" s="146"/>
      <c r="K1030" s="146"/>
      <c r="L1030" s="146"/>
      <c r="M1030" s="146"/>
      <c r="N1030" s="146"/>
      <c r="O1030" s="146"/>
      <c r="P1030" s="146"/>
      <c r="Q1030" s="146"/>
      <c r="R1030" s="146"/>
      <c r="S1030" s="146"/>
      <c r="T1030" s="146"/>
      <c r="U1030" s="146"/>
      <c r="V1030" s="146"/>
      <c r="W1030" s="146"/>
      <c r="X1030" s="146"/>
      <c r="Y1030" s="146"/>
      <c r="Z1030" s="146"/>
    </row>
    <row r="1031" ht="22.5" customHeight="1">
      <c r="A1031" s="329"/>
      <c r="B1031" s="274"/>
      <c r="C1031" s="138"/>
      <c r="D1031" s="118"/>
      <c r="E1031" s="138"/>
      <c r="F1031" s="138"/>
      <c r="G1031" s="330"/>
      <c r="H1031" s="146"/>
      <c r="I1031" s="146"/>
      <c r="J1031" s="146"/>
      <c r="K1031" s="146"/>
      <c r="L1031" s="146"/>
      <c r="M1031" s="146"/>
      <c r="N1031" s="146"/>
      <c r="O1031" s="146"/>
      <c r="P1031" s="146"/>
      <c r="Q1031" s="146"/>
      <c r="R1031" s="146"/>
      <c r="S1031" s="146"/>
      <c r="T1031" s="146"/>
      <c r="U1031" s="146"/>
      <c r="V1031" s="146"/>
      <c r="W1031" s="146"/>
      <c r="X1031" s="146"/>
      <c r="Y1031" s="146"/>
      <c r="Z1031" s="146"/>
    </row>
    <row r="1032" ht="22.5" customHeight="1">
      <c r="A1032" s="329"/>
      <c r="B1032" s="274"/>
      <c r="C1032" s="138"/>
      <c r="D1032" s="118"/>
      <c r="E1032" s="138"/>
      <c r="F1032" s="138"/>
      <c r="G1032" s="330"/>
      <c r="H1032" s="146"/>
      <c r="I1032" s="146"/>
      <c r="J1032" s="146"/>
      <c r="K1032" s="146"/>
      <c r="L1032" s="146"/>
      <c r="M1032" s="146"/>
      <c r="N1032" s="146"/>
      <c r="O1032" s="146"/>
      <c r="P1032" s="146"/>
      <c r="Q1032" s="146"/>
      <c r="R1032" s="146"/>
      <c r="S1032" s="146"/>
      <c r="T1032" s="146"/>
      <c r="U1032" s="146"/>
      <c r="V1032" s="146"/>
      <c r="W1032" s="146"/>
      <c r="X1032" s="146"/>
      <c r="Y1032" s="146"/>
      <c r="Z1032" s="146"/>
    </row>
    <row r="1033" ht="22.5" customHeight="1">
      <c r="A1033" s="329"/>
      <c r="B1033" s="274"/>
      <c r="C1033" s="138"/>
      <c r="D1033" s="118"/>
      <c r="E1033" s="138"/>
      <c r="F1033" s="138"/>
      <c r="G1033" s="330"/>
      <c r="H1033" s="146"/>
      <c r="I1033" s="146"/>
      <c r="J1033" s="146"/>
      <c r="K1033" s="146"/>
      <c r="L1033" s="146"/>
      <c r="M1033" s="146"/>
      <c r="N1033" s="146"/>
      <c r="O1033" s="146"/>
      <c r="P1033" s="146"/>
      <c r="Q1033" s="146"/>
      <c r="R1033" s="146"/>
      <c r="S1033" s="146"/>
      <c r="T1033" s="146"/>
      <c r="U1033" s="146"/>
      <c r="V1033" s="146"/>
      <c r="W1033" s="146"/>
      <c r="X1033" s="146"/>
      <c r="Y1033" s="146"/>
      <c r="Z1033" s="146"/>
    </row>
    <row r="1034" ht="22.5" customHeight="1">
      <c r="A1034" s="329"/>
      <c r="B1034" s="274"/>
      <c r="C1034" s="138"/>
      <c r="D1034" s="118"/>
      <c r="E1034" s="138"/>
      <c r="F1034" s="138"/>
      <c r="G1034" s="330"/>
      <c r="H1034" s="146"/>
      <c r="I1034" s="146"/>
      <c r="J1034" s="146"/>
      <c r="K1034" s="146"/>
      <c r="L1034" s="146"/>
      <c r="M1034" s="146"/>
      <c r="N1034" s="146"/>
      <c r="O1034" s="146"/>
      <c r="P1034" s="146"/>
      <c r="Q1034" s="146"/>
      <c r="R1034" s="146"/>
      <c r="S1034" s="146"/>
      <c r="T1034" s="146"/>
      <c r="U1034" s="146"/>
      <c r="V1034" s="146"/>
      <c r="W1034" s="146"/>
      <c r="X1034" s="146"/>
      <c r="Y1034" s="146"/>
      <c r="Z1034" s="146"/>
    </row>
    <row r="1035" ht="22.5" customHeight="1">
      <c r="A1035" s="329"/>
      <c r="B1035" s="274"/>
      <c r="C1035" s="138"/>
      <c r="D1035" s="118"/>
      <c r="E1035" s="138"/>
      <c r="F1035" s="138"/>
      <c r="G1035" s="330"/>
      <c r="H1035" s="146"/>
      <c r="I1035" s="146"/>
      <c r="J1035" s="146"/>
      <c r="K1035" s="146"/>
      <c r="L1035" s="146"/>
      <c r="M1035" s="146"/>
      <c r="N1035" s="146"/>
      <c r="O1035" s="146"/>
      <c r="P1035" s="146"/>
      <c r="Q1035" s="146"/>
      <c r="R1035" s="146"/>
      <c r="S1035" s="146"/>
      <c r="T1035" s="146"/>
      <c r="U1035" s="146"/>
      <c r="V1035" s="146"/>
      <c r="W1035" s="146"/>
      <c r="X1035" s="146"/>
      <c r="Y1035" s="146"/>
      <c r="Z1035" s="146"/>
    </row>
    <row r="1036" ht="22.5" customHeight="1">
      <c r="A1036" s="329"/>
      <c r="B1036" s="274"/>
      <c r="C1036" s="138"/>
      <c r="D1036" s="118"/>
      <c r="E1036" s="138"/>
      <c r="F1036" s="138"/>
      <c r="G1036" s="330"/>
      <c r="H1036" s="146"/>
      <c r="I1036" s="146"/>
      <c r="J1036" s="146"/>
      <c r="K1036" s="146"/>
      <c r="L1036" s="146"/>
      <c r="M1036" s="146"/>
      <c r="N1036" s="146"/>
      <c r="O1036" s="146"/>
      <c r="P1036" s="146"/>
      <c r="Q1036" s="146"/>
      <c r="R1036" s="146"/>
      <c r="S1036" s="146"/>
      <c r="T1036" s="146"/>
      <c r="U1036" s="146"/>
      <c r="V1036" s="146"/>
      <c r="W1036" s="146"/>
      <c r="X1036" s="146"/>
      <c r="Y1036" s="146"/>
      <c r="Z1036" s="146"/>
    </row>
    <row r="1037" ht="22.5" customHeight="1">
      <c r="A1037" s="329"/>
      <c r="B1037" s="274"/>
      <c r="C1037" s="138"/>
      <c r="D1037" s="118"/>
      <c r="E1037" s="138"/>
      <c r="F1037" s="138"/>
      <c r="G1037" s="330"/>
      <c r="H1037" s="146"/>
      <c r="I1037" s="146"/>
      <c r="J1037" s="146"/>
      <c r="K1037" s="146"/>
      <c r="L1037" s="146"/>
      <c r="M1037" s="146"/>
      <c r="N1037" s="146"/>
      <c r="O1037" s="146"/>
      <c r="P1037" s="146"/>
      <c r="Q1037" s="146"/>
      <c r="R1037" s="146"/>
      <c r="S1037" s="146"/>
      <c r="T1037" s="146"/>
      <c r="U1037" s="146"/>
      <c r="V1037" s="146"/>
      <c r="W1037" s="146"/>
      <c r="X1037" s="146"/>
      <c r="Y1037" s="146"/>
      <c r="Z1037" s="146"/>
    </row>
    <row r="1038" ht="22.5" customHeight="1">
      <c r="A1038" s="329"/>
      <c r="B1038" s="274"/>
      <c r="C1038" s="138"/>
      <c r="D1038" s="118"/>
      <c r="E1038" s="138"/>
      <c r="F1038" s="138"/>
      <c r="G1038" s="330"/>
      <c r="H1038" s="146"/>
      <c r="I1038" s="146"/>
      <c r="J1038" s="146"/>
      <c r="K1038" s="146"/>
      <c r="L1038" s="146"/>
      <c r="M1038" s="146"/>
      <c r="N1038" s="146"/>
      <c r="O1038" s="146"/>
      <c r="P1038" s="146"/>
      <c r="Q1038" s="146"/>
      <c r="R1038" s="146"/>
      <c r="S1038" s="146"/>
      <c r="T1038" s="146"/>
      <c r="U1038" s="146"/>
      <c r="V1038" s="146"/>
      <c r="W1038" s="146"/>
      <c r="X1038" s="146"/>
      <c r="Y1038" s="146"/>
      <c r="Z1038" s="146"/>
    </row>
    <row r="1039" ht="22.5" customHeight="1">
      <c r="A1039" s="329"/>
      <c r="B1039" s="274"/>
      <c r="C1039" s="138"/>
      <c r="D1039" s="118"/>
      <c r="E1039" s="138"/>
      <c r="F1039" s="138"/>
      <c r="G1039" s="330"/>
      <c r="H1039" s="146"/>
      <c r="I1039" s="146"/>
      <c r="J1039" s="146"/>
      <c r="K1039" s="146"/>
      <c r="L1039" s="146"/>
      <c r="M1039" s="146"/>
      <c r="N1039" s="146"/>
      <c r="O1039" s="146"/>
      <c r="P1039" s="146"/>
      <c r="Q1039" s="146"/>
      <c r="R1039" s="146"/>
      <c r="S1039" s="146"/>
      <c r="T1039" s="146"/>
      <c r="U1039" s="146"/>
      <c r="V1039" s="146"/>
      <c r="W1039" s="146"/>
      <c r="X1039" s="146"/>
      <c r="Y1039" s="146"/>
      <c r="Z1039" s="146"/>
    </row>
    <row r="1040" ht="22.5" customHeight="1">
      <c r="A1040" s="329"/>
      <c r="B1040" s="274"/>
      <c r="C1040" s="138"/>
      <c r="D1040" s="118"/>
      <c r="E1040" s="138"/>
      <c r="F1040" s="138"/>
      <c r="G1040" s="330"/>
      <c r="H1040" s="146"/>
      <c r="I1040" s="146"/>
      <c r="J1040" s="146"/>
      <c r="K1040" s="146"/>
      <c r="L1040" s="146"/>
      <c r="M1040" s="146"/>
      <c r="N1040" s="146"/>
      <c r="O1040" s="146"/>
      <c r="P1040" s="146"/>
      <c r="Q1040" s="146"/>
      <c r="R1040" s="146"/>
      <c r="S1040" s="146"/>
      <c r="T1040" s="146"/>
      <c r="U1040" s="146"/>
      <c r="V1040" s="146"/>
      <c r="W1040" s="146"/>
      <c r="X1040" s="146"/>
      <c r="Y1040" s="146"/>
      <c r="Z1040" s="146"/>
    </row>
    <row r="1041" ht="22.5" customHeight="1">
      <c r="A1041" s="329"/>
      <c r="B1041" s="274"/>
      <c r="C1041" s="138"/>
      <c r="D1041" s="118"/>
      <c r="E1041" s="138"/>
      <c r="F1041" s="138"/>
      <c r="G1041" s="330"/>
      <c r="H1041" s="146"/>
      <c r="I1041" s="146"/>
      <c r="J1041" s="146"/>
      <c r="K1041" s="146"/>
      <c r="L1041" s="146"/>
      <c r="M1041" s="146"/>
      <c r="N1041" s="146"/>
      <c r="O1041" s="146"/>
      <c r="P1041" s="146"/>
      <c r="Q1041" s="146"/>
      <c r="R1041" s="146"/>
      <c r="S1041" s="146"/>
      <c r="T1041" s="146"/>
      <c r="U1041" s="146"/>
      <c r="V1041" s="146"/>
      <c r="W1041" s="146"/>
      <c r="X1041" s="146"/>
      <c r="Y1041" s="146"/>
      <c r="Z1041" s="146"/>
    </row>
    <row r="1042" ht="22.5" customHeight="1">
      <c r="A1042" s="329"/>
      <c r="B1042" s="274"/>
      <c r="C1042" s="138"/>
      <c r="D1042" s="118"/>
      <c r="E1042" s="138"/>
      <c r="F1042" s="138"/>
      <c r="G1042" s="330"/>
      <c r="H1042" s="146"/>
      <c r="I1042" s="146"/>
      <c r="J1042" s="146"/>
      <c r="K1042" s="146"/>
      <c r="L1042" s="146"/>
      <c r="M1042" s="146"/>
      <c r="N1042" s="146"/>
      <c r="O1042" s="146"/>
      <c r="P1042" s="146"/>
      <c r="Q1042" s="146"/>
      <c r="R1042" s="146"/>
      <c r="S1042" s="146"/>
      <c r="T1042" s="146"/>
      <c r="U1042" s="146"/>
      <c r="V1042" s="146"/>
      <c r="W1042" s="146"/>
      <c r="X1042" s="146"/>
      <c r="Y1042" s="146"/>
      <c r="Z1042" s="146"/>
    </row>
    <row r="1043" ht="22.5" customHeight="1">
      <c r="A1043" s="329"/>
      <c r="B1043" s="274"/>
      <c r="C1043" s="138"/>
      <c r="D1043" s="118"/>
      <c r="E1043" s="138"/>
      <c r="F1043" s="138"/>
      <c r="G1043" s="330"/>
      <c r="H1043" s="146"/>
      <c r="I1043" s="146"/>
      <c r="J1043" s="146"/>
      <c r="K1043" s="146"/>
      <c r="L1043" s="146"/>
      <c r="M1043" s="146"/>
      <c r="N1043" s="146"/>
      <c r="O1043" s="146"/>
      <c r="P1043" s="146"/>
      <c r="Q1043" s="146"/>
      <c r="R1043" s="146"/>
      <c r="S1043" s="146"/>
      <c r="T1043" s="146"/>
      <c r="U1043" s="146"/>
      <c r="V1043" s="146"/>
      <c r="W1043" s="146"/>
      <c r="X1043" s="146"/>
      <c r="Y1043" s="146"/>
      <c r="Z1043" s="146"/>
    </row>
    <row r="1044" ht="22.5" customHeight="1">
      <c r="A1044" s="329"/>
      <c r="B1044" s="274"/>
      <c r="C1044" s="138"/>
      <c r="D1044" s="118"/>
      <c r="E1044" s="138"/>
      <c r="F1044" s="138"/>
      <c r="G1044" s="330"/>
      <c r="H1044" s="146"/>
      <c r="I1044" s="146"/>
      <c r="J1044" s="146"/>
      <c r="K1044" s="146"/>
      <c r="L1044" s="146"/>
      <c r="M1044" s="146"/>
      <c r="N1044" s="146"/>
      <c r="O1044" s="146"/>
      <c r="P1044" s="146"/>
      <c r="Q1044" s="146"/>
      <c r="R1044" s="146"/>
      <c r="S1044" s="146"/>
      <c r="T1044" s="146"/>
      <c r="U1044" s="146"/>
      <c r="V1044" s="146"/>
      <c r="W1044" s="146"/>
      <c r="X1044" s="146"/>
      <c r="Y1044" s="146"/>
      <c r="Z1044" s="146"/>
    </row>
    <row r="1045" ht="22.5" customHeight="1">
      <c r="A1045" s="329"/>
      <c r="B1045" s="274"/>
      <c r="C1045" s="138"/>
      <c r="D1045" s="118"/>
      <c r="E1045" s="138"/>
      <c r="F1045" s="138"/>
      <c r="G1045" s="330"/>
      <c r="H1045" s="146"/>
      <c r="I1045" s="146"/>
      <c r="J1045" s="146"/>
      <c r="K1045" s="146"/>
      <c r="L1045" s="146"/>
      <c r="M1045" s="146"/>
      <c r="N1045" s="146"/>
      <c r="O1045" s="146"/>
      <c r="P1045" s="146"/>
      <c r="Q1045" s="146"/>
      <c r="R1045" s="146"/>
      <c r="S1045" s="146"/>
      <c r="T1045" s="146"/>
      <c r="U1045" s="146"/>
      <c r="V1045" s="146"/>
      <c r="W1045" s="146"/>
      <c r="X1045" s="146"/>
      <c r="Y1045" s="146"/>
      <c r="Z1045" s="146"/>
    </row>
    <row r="1046" ht="22.5" customHeight="1">
      <c r="A1046" s="329"/>
      <c r="B1046" s="274"/>
      <c r="C1046" s="138"/>
      <c r="D1046" s="118"/>
      <c r="E1046" s="138"/>
      <c r="F1046" s="138"/>
      <c r="G1046" s="330"/>
      <c r="H1046" s="146"/>
      <c r="I1046" s="146"/>
      <c r="J1046" s="146"/>
      <c r="K1046" s="146"/>
      <c r="L1046" s="146"/>
      <c r="M1046" s="146"/>
      <c r="N1046" s="146"/>
      <c r="O1046" s="146"/>
      <c r="P1046" s="146"/>
      <c r="Q1046" s="146"/>
      <c r="R1046" s="146"/>
      <c r="S1046" s="146"/>
      <c r="T1046" s="146"/>
      <c r="U1046" s="146"/>
      <c r="V1046" s="146"/>
      <c r="W1046" s="146"/>
      <c r="X1046" s="146"/>
      <c r="Y1046" s="146"/>
      <c r="Z1046" s="146"/>
    </row>
    <row r="1047" ht="22.5" customHeight="1">
      <c r="A1047" s="329"/>
      <c r="B1047" s="274"/>
      <c r="C1047" s="138"/>
      <c r="D1047" s="118"/>
      <c r="E1047" s="138"/>
      <c r="F1047" s="138"/>
      <c r="G1047" s="330"/>
      <c r="H1047" s="146"/>
      <c r="I1047" s="146"/>
      <c r="J1047" s="146"/>
      <c r="K1047" s="146"/>
      <c r="L1047" s="146"/>
      <c r="M1047" s="146"/>
      <c r="N1047" s="146"/>
      <c r="O1047" s="146"/>
      <c r="P1047" s="146"/>
      <c r="Q1047" s="146"/>
      <c r="R1047" s="146"/>
      <c r="S1047" s="146"/>
      <c r="T1047" s="146"/>
      <c r="U1047" s="146"/>
      <c r="V1047" s="146"/>
      <c r="W1047" s="146"/>
      <c r="X1047" s="146"/>
      <c r="Y1047" s="146"/>
      <c r="Z1047" s="146"/>
    </row>
    <row r="1048" ht="22.5" customHeight="1">
      <c r="A1048" s="329"/>
      <c r="B1048" s="274"/>
      <c r="C1048" s="138"/>
      <c r="D1048" s="118"/>
      <c r="E1048" s="138"/>
      <c r="F1048" s="138"/>
      <c r="G1048" s="330"/>
      <c r="H1048" s="146"/>
      <c r="I1048" s="146"/>
      <c r="J1048" s="146"/>
      <c r="K1048" s="146"/>
      <c r="L1048" s="146"/>
      <c r="M1048" s="146"/>
      <c r="N1048" s="146"/>
      <c r="O1048" s="146"/>
      <c r="P1048" s="146"/>
      <c r="Q1048" s="146"/>
      <c r="R1048" s="146"/>
      <c r="S1048" s="146"/>
      <c r="T1048" s="146"/>
      <c r="U1048" s="146"/>
      <c r="V1048" s="146"/>
      <c r="W1048" s="146"/>
      <c r="X1048" s="146"/>
      <c r="Y1048" s="146"/>
      <c r="Z1048" s="146"/>
    </row>
    <row r="1049" ht="22.5" customHeight="1">
      <c r="A1049" s="329"/>
      <c r="B1049" s="274"/>
      <c r="C1049" s="138"/>
      <c r="D1049" s="118"/>
      <c r="E1049" s="138"/>
      <c r="F1049" s="138"/>
      <c r="G1049" s="330"/>
      <c r="H1049" s="146"/>
      <c r="I1049" s="146"/>
      <c r="J1049" s="146"/>
      <c r="K1049" s="146"/>
      <c r="L1049" s="146"/>
      <c r="M1049" s="146"/>
      <c r="N1049" s="146"/>
      <c r="O1049" s="146"/>
      <c r="P1049" s="146"/>
      <c r="Q1049" s="146"/>
      <c r="R1049" s="146"/>
      <c r="S1049" s="146"/>
      <c r="T1049" s="146"/>
      <c r="U1049" s="146"/>
      <c r="V1049" s="146"/>
      <c r="W1049" s="146"/>
      <c r="X1049" s="146"/>
      <c r="Y1049" s="146"/>
      <c r="Z1049" s="146"/>
    </row>
    <row r="1050" ht="22.5" customHeight="1">
      <c r="A1050" s="329"/>
      <c r="B1050" s="274"/>
      <c r="C1050" s="138"/>
      <c r="D1050" s="118"/>
      <c r="E1050" s="138"/>
      <c r="F1050" s="138"/>
      <c r="G1050" s="330"/>
      <c r="H1050" s="146"/>
      <c r="I1050" s="146"/>
      <c r="J1050" s="146"/>
      <c r="K1050" s="146"/>
      <c r="L1050" s="146"/>
      <c r="M1050" s="146"/>
      <c r="N1050" s="146"/>
      <c r="O1050" s="146"/>
      <c r="P1050" s="146"/>
      <c r="Q1050" s="146"/>
      <c r="R1050" s="146"/>
      <c r="S1050" s="146"/>
      <c r="T1050" s="146"/>
      <c r="U1050" s="146"/>
      <c r="V1050" s="146"/>
      <c r="W1050" s="146"/>
      <c r="X1050" s="146"/>
      <c r="Y1050" s="146"/>
      <c r="Z1050" s="146"/>
    </row>
    <row r="1051" ht="22.5" customHeight="1">
      <c r="A1051" s="329"/>
      <c r="B1051" s="274"/>
      <c r="C1051" s="138"/>
      <c r="D1051" s="118"/>
      <c r="E1051" s="138"/>
      <c r="F1051" s="138"/>
      <c r="G1051" s="330"/>
      <c r="H1051" s="146"/>
      <c r="I1051" s="146"/>
      <c r="J1051" s="146"/>
      <c r="K1051" s="146"/>
      <c r="L1051" s="146"/>
      <c r="M1051" s="146"/>
      <c r="N1051" s="146"/>
      <c r="O1051" s="146"/>
      <c r="P1051" s="146"/>
      <c r="Q1051" s="146"/>
      <c r="R1051" s="146"/>
      <c r="S1051" s="146"/>
      <c r="T1051" s="146"/>
      <c r="U1051" s="146"/>
      <c r="V1051" s="146"/>
      <c r="W1051" s="146"/>
      <c r="X1051" s="146"/>
      <c r="Y1051" s="146"/>
      <c r="Z1051" s="146"/>
    </row>
    <row r="1052" ht="22.5" customHeight="1">
      <c r="A1052" s="329"/>
      <c r="B1052" s="274"/>
      <c r="C1052" s="138"/>
      <c r="D1052" s="118"/>
      <c r="E1052" s="138"/>
      <c r="F1052" s="138"/>
      <c r="G1052" s="330"/>
      <c r="H1052" s="146"/>
      <c r="I1052" s="146"/>
      <c r="J1052" s="146"/>
      <c r="K1052" s="146"/>
      <c r="L1052" s="146"/>
      <c r="M1052" s="146"/>
      <c r="N1052" s="146"/>
      <c r="O1052" s="146"/>
      <c r="P1052" s="146"/>
      <c r="Q1052" s="146"/>
      <c r="R1052" s="146"/>
      <c r="S1052" s="146"/>
      <c r="T1052" s="146"/>
      <c r="U1052" s="146"/>
      <c r="V1052" s="146"/>
      <c r="W1052" s="146"/>
      <c r="X1052" s="146"/>
      <c r="Y1052" s="146"/>
      <c r="Z1052" s="146"/>
    </row>
    <row r="1053" ht="22.5" customHeight="1">
      <c r="A1053" s="329"/>
      <c r="B1053" s="274"/>
      <c r="C1053" s="138"/>
      <c r="D1053" s="118"/>
      <c r="E1053" s="138"/>
      <c r="F1053" s="138"/>
      <c r="G1053" s="330"/>
      <c r="H1053" s="146"/>
      <c r="I1053" s="146"/>
      <c r="J1053" s="146"/>
      <c r="K1053" s="146"/>
      <c r="L1053" s="146"/>
      <c r="M1053" s="146"/>
      <c r="N1053" s="146"/>
      <c r="O1053" s="146"/>
      <c r="P1053" s="146"/>
      <c r="Q1053" s="146"/>
      <c r="R1053" s="146"/>
      <c r="S1053" s="146"/>
      <c r="T1053" s="146"/>
      <c r="U1053" s="146"/>
      <c r="V1053" s="146"/>
      <c r="W1053" s="146"/>
      <c r="X1053" s="146"/>
      <c r="Y1053" s="146"/>
      <c r="Z1053" s="146"/>
    </row>
    <row r="1054" ht="22.5" customHeight="1">
      <c r="A1054" s="329"/>
      <c r="B1054" s="274"/>
      <c r="C1054" s="138"/>
      <c r="D1054" s="118"/>
      <c r="E1054" s="138"/>
      <c r="F1054" s="138"/>
      <c r="G1054" s="330"/>
      <c r="H1054" s="146"/>
      <c r="I1054" s="146"/>
      <c r="J1054" s="146"/>
      <c r="K1054" s="146"/>
      <c r="L1054" s="146"/>
      <c r="M1054" s="146"/>
      <c r="N1054" s="146"/>
      <c r="O1054" s="146"/>
      <c r="P1054" s="146"/>
      <c r="Q1054" s="146"/>
      <c r="R1054" s="146"/>
      <c r="S1054" s="146"/>
      <c r="T1054" s="146"/>
      <c r="U1054" s="146"/>
      <c r="V1054" s="146"/>
      <c r="W1054" s="146"/>
      <c r="X1054" s="146"/>
      <c r="Y1054" s="146"/>
      <c r="Z1054" s="146"/>
    </row>
    <row r="1055" ht="22.5" customHeight="1">
      <c r="A1055" s="329"/>
      <c r="B1055" s="274"/>
      <c r="C1055" s="138"/>
      <c r="D1055" s="118"/>
      <c r="E1055" s="138"/>
      <c r="F1055" s="138"/>
      <c r="G1055" s="330"/>
      <c r="H1055" s="146"/>
      <c r="I1055" s="146"/>
      <c r="J1055" s="146"/>
      <c r="K1055" s="146"/>
      <c r="L1055" s="146"/>
      <c r="M1055" s="146"/>
      <c r="N1055" s="146"/>
      <c r="O1055" s="146"/>
      <c r="P1055" s="146"/>
      <c r="Q1055" s="146"/>
      <c r="R1055" s="146"/>
      <c r="S1055" s="146"/>
      <c r="T1055" s="146"/>
      <c r="U1055" s="146"/>
      <c r="V1055" s="146"/>
      <c r="W1055" s="146"/>
      <c r="X1055" s="146"/>
      <c r="Y1055" s="146"/>
      <c r="Z1055" s="146"/>
    </row>
    <row r="1056" ht="22.5" customHeight="1">
      <c r="A1056" s="329"/>
      <c r="B1056" s="274"/>
      <c r="C1056" s="138"/>
      <c r="D1056" s="118"/>
      <c r="E1056" s="138"/>
      <c r="F1056" s="138"/>
      <c r="G1056" s="330"/>
      <c r="H1056" s="146"/>
      <c r="I1056" s="146"/>
      <c r="J1056" s="146"/>
      <c r="K1056" s="146"/>
      <c r="L1056" s="146"/>
      <c r="M1056" s="146"/>
      <c r="N1056" s="146"/>
      <c r="O1056" s="146"/>
      <c r="P1056" s="146"/>
      <c r="Q1056" s="146"/>
      <c r="R1056" s="146"/>
      <c r="S1056" s="146"/>
      <c r="T1056" s="146"/>
      <c r="U1056" s="146"/>
      <c r="V1056" s="146"/>
      <c r="W1056" s="146"/>
      <c r="X1056" s="146"/>
      <c r="Y1056" s="146"/>
      <c r="Z1056" s="146"/>
    </row>
    <row r="1057" ht="22.5" customHeight="1">
      <c r="A1057" s="329"/>
      <c r="B1057" s="274"/>
      <c r="C1057" s="138"/>
      <c r="D1057" s="118"/>
      <c r="E1057" s="138"/>
      <c r="F1057" s="138"/>
      <c r="G1057" s="330"/>
      <c r="H1057" s="146"/>
      <c r="I1057" s="146"/>
      <c r="J1057" s="146"/>
      <c r="K1057" s="146"/>
      <c r="L1057" s="146"/>
      <c r="M1057" s="146"/>
      <c r="N1057" s="146"/>
      <c r="O1057" s="146"/>
      <c r="P1057" s="146"/>
      <c r="Q1057" s="146"/>
      <c r="R1057" s="146"/>
      <c r="S1057" s="146"/>
      <c r="T1057" s="146"/>
      <c r="U1057" s="146"/>
      <c r="V1057" s="146"/>
      <c r="W1057" s="146"/>
      <c r="X1057" s="146"/>
      <c r="Y1057" s="146"/>
      <c r="Z1057" s="146"/>
    </row>
    <row r="1058" ht="22.5" customHeight="1">
      <c r="A1058" s="329"/>
      <c r="B1058" s="274"/>
      <c r="C1058" s="138"/>
      <c r="D1058" s="118"/>
      <c r="E1058" s="138"/>
      <c r="F1058" s="138"/>
      <c r="G1058" s="330"/>
      <c r="H1058" s="146"/>
      <c r="I1058" s="146"/>
      <c r="J1058" s="146"/>
      <c r="K1058" s="146"/>
      <c r="L1058" s="146"/>
      <c r="M1058" s="146"/>
      <c r="N1058" s="146"/>
      <c r="O1058" s="146"/>
      <c r="P1058" s="146"/>
      <c r="Q1058" s="146"/>
      <c r="R1058" s="146"/>
      <c r="S1058" s="146"/>
      <c r="T1058" s="146"/>
      <c r="U1058" s="146"/>
      <c r="V1058" s="146"/>
      <c r="W1058" s="146"/>
      <c r="X1058" s="146"/>
      <c r="Y1058" s="146"/>
      <c r="Z1058" s="146"/>
    </row>
    <row r="1059" ht="22.5" customHeight="1">
      <c r="A1059" s="329"/>
      <c r="B1059" s="274"/>
      <c r="C1059" s="138"/>
      <c r="D1059" s="118"/>
      <c r="E1059" s="138"/>
      <c r="F1059" s="138"/>
      <c r="G1059" s="330"/>
      <c r="H1059" s="146"/>
      <c r="I1059" s="146"/>
      <c r="J1059" s="146"/>
      <c r="K1059" s="146"/>
      <c r="L1059" s="146"/>
      <c r="M1059" s="146"/>
      <c r="N1059" s="146"/>
      <c r="O1059" s="146"/>
      <c r="P1059" s="146"/>
      <c r="Q1059" s="146"/>
      <c r="R1059" s="146"/>
      <c r="S1059" s="146"/>
      <c r="T1059" s="146"/>
      <c r="U1059" s="146"/>
      <c r="V1059" s="146"/>
      <c r="W1059" s="146"/>
      <c r="X1059" s="146"/>
      <c r="Y1059" s="146"/>
      <c r="Z1059" s="146"/>
    </row>
    <row r="1060" ht="22.5" customHeight="1">
      <c r="A1060" s="329"/>
      <c r="B1060" s="274"/>
      <c r="C1060" s="138"/>
      <c r="D1060" s="118"/>
      <c r="E1060" s="138"/>
      <c r="F1060" s="138"/>
      <c r="G1060" s="330"/>
      <c r="H1060" s="146"/>
      <c r="I1060" s="146"/>
      <c r="J1060" s="146"/>
      <c r="K1060" s="146"/>
      <c r="L1060" s="146"/>
      <c r="M1060" s="146"/>
      <c r="N1060" s="146"/>
      <c r="O1060" s="146"/>
      <c r="P1060" s="146"/>
      <c r="Q1060" s="146"/>
      <c r="R1060" s="146"/>
      <c r="S1060" s="146"/>
      <c r="T1060" s="146"/>
      <c r="U1060" s="146"/>
      <c r="V1060" s="146"/>
      <c r="W1060" s="146"/>
      <c r="X1060" s="146"/>
      <c r="Y1060" s="146"/>
      <c r="Z1060" s="146"/>
    </row>
    <row r="1061" ht="22.5" customHeight="1">
      <c r="A1061" s="329"/>
      <c r="B1061" s="274"/>
      <c r="C1061" s="138"/>
      <c r="D1061" s="118"/>
      <c r="E1061" s="138"/>
      <c r="F1061" s="138"/>
      <c r="G1061" s="330"/>
      <c r="H1061" s="146"/>
      <c r="I1061" s="146"/>
      <c r="J1061" s="146"/>
      <c r="K1061" s="146"/>
      <c r="L1061" s="146"/>
      <c r="M1061" s="146"/>
      <c r="N1061" s="146"/>
      <c r="O1061" s="146"/>
      <c r="P1061" s="146"/>
      <c r="Q1061" s="146"/>
      <c r="R1061" s="146"/>
      <c r="S1061" s="146"/>
      <c r="T1061" s="146"/>
      <c r="U1061" s="146"/>
      <c r="V1061" s="146"/>
      <c r="W1061" s="146"/>
      <c r="X1061" s="146"/>
      <c r="Y1061" s="146"/>
      <c r="Z1061" s="146"/>
    </row>
    <row r="1062" ht="22.5" customHeight="1">
      <c r="A1062" s="329"/>
      <c r="B1062" s="274"/>
      <c r="C1062" s="138"/>
      <c r="D1062" s="118"/>
      <c r="E1062" s="138"/>
      <c r="F1062" s="138"/>
      <c r="G1062" s="330"/>
      <c r="H1062" s="146"/>
      <c r="I1062" s="146"/>
      <c r="J1062" s="146"/>
      <c r="K1062" s="146"/>
      <c r="L1062" s="146"/>
      <c r="M1062" s="146"/>
      <c r="N1062" s="146"/>
      <c r="O1062" s="146"/>
      <c r="P1062" s="146"/>
      <c r="Q1062" s="146"/>
      <c r="R1062" s="146"/>
      <c r="S1062" s="146"/>
      <c r="T1062" s="146"/>
      <c r="U1062" s="146"/>
      <c r="V1062" s="146"/>
      <c r="W1062" s="146"/>
      <c r="X1062" s="146"/>
      <c r="Y1062" s="146"/>
      <c r="Z1062" s="146"/>
    </row>
    <row r="1063" ht="22.5" customHeight="1">
      <c r="A1063" s="329"/>
      <c r="B1063" s="274"/>
      <c r="C1063" s="138"/>
      <c r="D1063" s="118"/>
      <c r="E1063" s="138"/>
      <c r="F1063" s="138"/>
      <c r="G1063" s="330"/>
      <c r="H1063" s="146"/>
      <c r="I1063" s="146"/>
      <c r="J1063" s="146"/>
      <c r="K1063" s="146"/>
      <c r="L1063" s="146"/>
      <c r="M1063" s="146"/>
      <c r="N1063" s="146"/>
      <c r="O1063" s="146"/>
      <c r="P1063" s="146"/>
      <c r="Q1063" s="146"/>
      <c r="R1063" s="146"/>
      <c r="S1063" s="146"/>
      <c r="T1063" s="146"/>
      <c r="U1063" s="146"/>
      <c r="V1063" s="146"/>
      <c r="W1063" s="146"/>
      <c r="X1063" s="146"/>
      <c r="Y1063" s="146"/>
      <c r="Z1063" s="146"/>
    </row>
    <row r="1064" ht="22.5" customHeight="1">
      <c r="A1064" s="329"/>
      <c r="B1064" s="274"/>
      <c r="C1064" s="138"/>
      <c r="D1064" s="118"/>
      <c r="E1064" s="138"/>
      <c r="F1064" s="138"/>
      <c r="G1064" s="330"/>
      <c r="H1064" s="146"/>
      <c r="I1064" s="146"/>
      <c r="J1064" s="146"/>
      <c r="K1064" s="146"/>
      <c r="L1064" s="146"/>
      <c r="M1064" s="146"/>
      <c r="N1064" s="146"/>
      <c r="O1064" s="146"/>
      <c r="P1064" s="146"/>
      <c r="Q1064" s="146"/>
      <c r="R1064" s="146"/>
      <c r="S1064" s="146"/>
      <c r="T1064" s="146"/>
      <c r="U1064" s="146"/>
      <c r="V1064" s="146"/>
      <c r="W1064" s="146"/>
      <c r="X1064" s="146"/>
      <c r="Y1064" s="146"/>
      <c r="Z1064" s="146"/>
    </row>
    <row r="1065" ht="22.5" customHeight="1">
      <c r="A1065" s="329"/>
      <c r="B1065" s="274"/>
      <c r="C1065" s="138"/>
      <c r="D1065" s="118"/>
      <c r="E1065" s="138"/>
      <c r="F1065" s="138"/>
      <c r="G1065" s="330"/>
      <c r="H1065" s="146"/>
      <c r="I1065" s="146"/>
      <c r="J1065" s="146"/>
      <c r="K1065" s="146"/>
      <c r="L1065" s="146"/>
      <c r="M1065" s="146"/>
      <c r="N1065" s="146"/>
      <c r="O1065" s="146"/>
      <c r="P1065" s="146"/>
      <c r="Q1065" s="146"/>
      <c r="R1065" s="146"/>
      <c r="S1065" s="146"/>
      <c r="T1065" s="146"/>
      <c r="U1065" s="146"/>
      <c r="V1065" s="146"/>
      <c r="W1065" s="146"/>
      <c r="X1065" s="146"/>
      <c r="Y1065" s="146"/>
      <c r="Z1065" s="146"/>
    </row>
    <row r="1066" ht="22.5" customHeight="1">
      <c r="A1066" s="329"/>
      <c r="B1066" s="274"/>
      <c r="C1066" s="138"/>
      <c r="D1066" s="118"/>
      <c r="E1066" s="138"/>
      <c r="F1066" s="138"/>
      <c r="G1066" s="330"/>
      <c r="H1066" s="146"/>
      <c r="I1066" s="146"/>
      <c r="J1066" s="146"/>
      <c r="K1066" s="146"/>
      <c r="L1066" s="146"/>
      <c r="M1066" s="146"/>
      <c r="N1066" s="146"/>
      <c r="O1066" s="146"/>
      <c r="P1066" s="146"/>
      <c r="Q1066" s="146"/>
      <c r="R1066" s="146"/>
      <c r="S1066" s="146"/>
      <c r="T1066" s="146"/>
      <c r="U1066" s="146"/>
      <c r="V1066" s="146"/>
      <c r="W1066" s="146"/>
      <c r="X1066" s="146"/>
      <c r="Y1066" s="146"/>
      <c r="Z1066" s="146"/>
    </row>
    <row r="1067" ht="22.5" customHeight="1">
      <c r="A1067" s="329"/>
      <c r="B1067" s="274"/>
      <c r="C1067" s="138"/>
      <c r="D1067" s="118"/>
      <c r="E1067" s="138"/>
      <c r="F1067" s="138"/>
      <c r="G1067" s="330"/>
      <c r="H1067" s="146"/>
      <c r="I1067" s="146"/>
      <c r="J1067" s="146"/>
      <c r="K1067" s="146"/>
      <c r="L1067" s="146"/>
      <c r="M1067" s="146"/>
      <c r="N1067" s="146"/>
      <c r="O1067" s="146"/>
      <c r="P1067" s="146"/>
      <c r="Q1067" s="146"/>
      <c r="R1067" s="146"/>
      <c r="S1067" s="146"/>
      <c r="T1067" s="146"/>
      <c r="U1067" s="146"/>
      <c r="V1067" s="146"/>
      <c r="W1067" s="146"/>
      <c r="X1067" s="146"/>
      <c r="Y1067" s="146"/>
      <c r="Z1067" s="146"/>
    </row>
    <row r="1068" ht="22.5" customHeight="1">
      <c r="A1068" s="329"/>
      <c r="B1068" s="274"/>
      <c r="C1068" s="138"/>
      <c r="D1068" s="118"/>
      <c r="E1068" s="138"/>
      <c r="F1068" s="138"/>
      <c r="G1068" s="330"/>
      <c r="H1068" s="146"/>
      <c r="I1068" s="146"/>
      <c r="J1068" s="146"/>
      <c r="K1068" s="146"/>
      <c r="L1068" s="146"/>
      <c r="M1068" s="146"/>
      <c r="N1068" s="146"/>
      <c r="O1068" s="146"/>
      <c r="P1068" s="146"/>
      <c r="Q1068" s="146"/>
      <c r="R1068" s="146"/>
      <c r="S1068" s="146"/>
      <c r="T1068" s="146"/>
      <c r="U1068" s="146"/>
      <c r="V1068" s="146"/>
      <c r="W1068" s="146"/>
      <c r="X1068" s="146"/>
      <c r="Y1068" s="146"/>
      <c r="Z1068" s="146"/>
    </row>
    <row r="1069" ht="22.5" customHeight="1">
      <c r="A1069" s="329"/>
      <c r="B1069" s="274"/>
      <c r="C1069" s="138"/>
      <c r="D1069" s="118"/>
      <c r="E1069" s="138"/>
      <c r="F1069" s="138"/>
      <c r="G1069" s="330"/>
      <c r="H1069" s="146"/>
      <c r="I1069" s="146"/>
      <c r="J1069" s="146"/>
      <c r="K1069" s="146"/>
      <c r="L1069" s="146"/>
      <c r="M1069" s="146"/>
      <c r="N1069" s="146"/>
      <c r="O1069" s="146"/>
      <c r="P1069" s="146"/>
      <c r="Q1069" s="146"/>
      <c r="R1069" s="146"/>
      <c r="S1069" s="146"/>
      <c r="T1069" s="146"/>
      <c r="U1069" s="146"/>
      <c r="V1069" s="146"/>
      <c r="W1069" s="146"/>
      <c r="X1069" s="146"/>
      <c r="Y1069" s="146"/>
      <c r="Z1069" s="146"/>
    </row>
    <row r="1070" ht="22.5" customHeight="1">
      <c r="A1070" s="329"/>
      <c r="B1070" s="274"/>
      <c r="C1070" s="138"/>
      <c r="D1070" s="118"/>
      <c r="E1070" s="138"/>
      <c r="F1070" s="138"/>
      <c r="G1070" s="330"/>
      <c r="H1070" s="146"/>
      <c r="I1070" s="146"/>
      <c r="J1070" s="146"/>
      <c r="K1070" s="146"/>
      <c r="L1070" s="146"/>
      <c r="M1070" s="146"/>
      <c r="N1070" s="146"/>
      <c r="O1070" s="146"/>
      <c r="P1070" s="146"/>
      <c r="Q1070" s="146"/>
      <c r="R1070" s="146"/>
      <c r="S1070" s="146"/>
      <c r="T1070" s="146"/>
      <c r="U1070" s="146"/>
      <c r="V1070" s="146"/>
      <c r="W1070" s="146"/>
      <c r="X1070" s="146"/>
      <c r="Y1070" s="146"/>
      <c r="Z1070" s="146"/>
    </row>
    <row r="1071" ht="22.5" customHeight="1">
      <c r="A1071" s="329"/>
      <c r="B1071" s="274"/>
      <c r="C1071" s="138"/>
      <c r="D1071" s="118"/>
      <c r="E1071" s="138"/>
      <c r="F1071" s="138"/>
      <c r="G1071" s="330"/>
      <c r="H1071" s="146"/>
      <c r="I1071" s="146"/>
      <c r="J1071" s="146"/>
      <c r="K1071" s="146"/>
      <c r="L1071" s="146"/>
      <c r="M1071" s="146"/>
      <c r="N1071" s="146"/>
      <c r="O1071" s="146"/>
      <c r="P1071" s="146"/>
      <c r="Q1071" s="146"/>
      <c r="R1071" s="146"/>
      <c r="S1071" s="146"/>
      <c r="T1071" s="146"/>
      <c r="U1071" s="146"/>
      <c r="V1071" s="146"/>
      <c r="W1071" s="146"/>
      <c r="X1071" s="146"/>
      <c r="Y1071" s="146"/>
      <c r="Z1071" s="146"/>
    </row>
    <row r="1072" ht="22.5" customHeight="1">
      <c r="A1072" s="329"/>
      <c r="B1072" s="274"/>
      <c r="C1072" s="138"/>
      <c r="D1072" s="118"/>
      <c r="E1072" s="138"/>
      <c r="F1072" s="138"/>
      <c r="G1072" s="330"/>
      <c r="H1072" s="146"/>
      <c r="I1072" s="146"/>
      <c r="J1072" s="146"/>
      <c r="K1072" s="146"/>
      <c r="L1072" s="146"/>
      <c r="M1072" s="146"/>
      <c r="N1072" s="146"/>
      <c r="O1072" s="146"/>
      <c r="P1072" s="146"/>
      <c r="Q1072" s="146"/>
      <c r="R1072" s="146"/>
      <c r="S1072" s="146"/>
      <c r="T1072" s="146"/>
      <c r="U1072" s="146"/>
      <c r="V1072" s="146"/>
      <c r="W1072" s="146"/>
      <c r="X1072" s="146"/>
      <c r="Y1072" s="146"/>
      <c r="Z1072" s="146"/>
    </row>
    <row r="1073" ht="22.5" customHeight="1">
      <c r="A1073" s="329"/>
      <c r="B1073" s="274"/>
      <c r="C1073" s="138"/>
      <c r="D1073" s="118"/>
      <c r="E1073" s="138"/>
      <c r="F1073" s="138"/>
      <c r="G1073" s="330"/>
      <c r="H1073" s="146"/>
      <c r="I1073" s="146"/>
      <c r="J1073" s="146"/>
      <c r="K1073" s="146"/>
      <c r="L1073" s="146"/>
      <c r="M1073" s="146"/>
      <c r="N1073" s="146"/>
      <c r="O1073" s="146"/>
      <c r="P1073" s="146"/>
      <c r="Q1073" s="146"/>
      <c r="R1073" s="146"/>
      <c r="S1073" s="146"/>
      <c r="T1073" s="146"/>
      <c r="U1073" s="146"/>
      <c r="V1073" s="146"/>
      <c r="W1073" s="146"/>
      <c r="X1073" s="146"/>
      <c r="Y1073" s="146"/>
      <c r="Z1073" s="146"/>
    </row>
    <row r="1074" ht="22.5" customHeight="1">
      <c r="A1074" s="329"/>
      <c r="B1074" s="274"/>
      <c r="C1074" s="138"/>
      <c r="D1074" s="118"/>
      <c r="E1074" s="138"/>
      <c r="F1074" s="138"/>
      <c r="G1074" s="330"/>
      <c r="H1074" s="146"/>
      <c r="I1074" s="146"/>
      <c r="J1074" s="146"/>
      <c r="K1074" s="146"/>
      <c r="L1074" s="146"/>
      <c r="M1074" s="146"/>
      <c r="N1074" s="146"/>
      <c r="O1074" s="146"/>
      <c r="P1074" s="146"/>
      <c r="Q1074" s="146"/>
      <c r="R1074" s="146"/>
      <c r="S1074" s="146"/>
      <c r="T1074" s="146"/>
      <c r="U1074" s="146"/>
      <c r="V1074" s="146"/>
      <c r="W1074" s="146"/>
      <c r="X1074" s="146"/>
      <c r="Y1074" s="146"/>
      <c r="Z1074" s="146"/>
    </row>
    <row r="1075" ht="22.5" customHeight="1">
      <c r="A1075" s="329"/>
      <c r="B1075" s="274"/>
      <c r="C1075" s="138"/>
      <c r="D1075" s="118"/>
      <c r="E1075" s="138"/>
      <c r="F1075" s="138"/>
      <c r="G1075" s="330"/>
      <c r="H1075" s="146"/>
      <c r="I1075" s="146"/>
      <c r="J1075" s="146"/>
      <c r="K1075" s="146"/>
      <c r="L1075" s="146"/>
      <c r="M1075" s="146"/>
      <c r="N1075" s="146"/>
      <c r="O1075" s="146"/>
      <c r="P1075" s="146"/>
      <c r="Q1075" s="146"/>
      <c r="R1075" s="146"/>
      <c r="S1075" s="146"/>
      <c r="T1075" s="146"/>
      <c r="U1075" s="146"/>
      <c r="V1075" s="146"/>
      <c r="W1075" s="146"/>
      <c r="X1075" s="146"/>
      <c r="Y1075" s="146"/>
      <c r="Z1075" s="146"/>
    </row>
    <row r="1076" ht="22.5" customHeight="1">
      <c r="A1076" s="329"/>
      <c r="B1076" s="274"/>
      <c r="C1076" s="138"/>
      <c r="D1076" s="118"/>
      <c r="E1076" s="138"/>
      <c r="F1076" s="138"/>
      <c r="G1076" s="330"/>
      <c r="H1076" s="146"/>
      <c r="I1076" s="146"/>
      <c r="J1076" s="146"/>
      <c r="K1076" s="146"/>
      <c r="L1076" s="146"/>
      <c r="M1076" s="146"/>
      <c r="N1076" s="146"/>
      <c r="O1076" s="146"/>
      <c r="P1076" s="146"/>
      <c r="Q1076" s="146"/>
      <c r="R1076" s="146"/>
      <c r="S1076" s="146"/>
      <c r="T1076" s="146"/>
      <c r="U1076" s="146"/>
      <c r="V1076" s="146"/>
      <c r="W1076" s="146"/>
      <c r="X1076" s="146"/>
      <c r="Y1076" s="146"/>
      <c r="Z1076" s="146"/>
    </row>
    <row r="1077" ht="22.5" customHeight="1">
      <c r="A1077" s="329"/>
      <c r="B1077" s="274"/>
      <c r="C1077" s="138"/>
      <c r="D1077" s="118"/>
      <c r="E1077" s="138"/>
      <c r="F1077" s="138"/>
      <c r="G1077" s="330"/>
      <c r="H1077" s="146"/>
      <c r="I1077" s="146"/>
      <c r="J1077" s="146"/>
      <c r="K1077" s="146"/>
      <c r="L1077" s="146"/>
      <c r="M1077" s="146"/>
      <c r="N1077" s="146"/>
      <c r="O1077" s="146"/>
      <c r="P1077" s="146"/>
      <c r="Q1077" s="146"/>
      <c r="R1077" s="146"/>
      <c r="S1077" s="146"/>
      <c r="T1077" s="146"/>
      <c r="U1077" s="146"/>
      <c r="V1077" s="146"/>
      <c r="W1077" s="146"/>
      <c r="X1077" s="146"/>
      <c r="Y1077" s="146"/>
      <c r="Z1077" s="146"/>
    </row>
    <row r="1078" ht="22.5" customHeight="1">
      <c r="A1078" s="329"/>
      <c r="B1078" s="274"/>
      <c r="C1078" s="138"/>
      <c r="D1078" s="118"/>
      <c r="E1078" s="138"/>
      <c r="F1078" s="138"/>
      <c r="G1078" s="330"/>
      <c r="H1078" s="146"/>
      <c r="I1078" s="146"/>
      <c r="J1078" s="146"/>
      <c r="K1078" s="146"/>
      <c r="L1078" s="146"/>
      <c r="M1078" s="146"/>
      <c r="N1078" s="146"/>
      <c r="O1078" s="146"/>
      <c r="P1078" s="146"/>
      <c r="Q1078" s="146"/>
      <c r="R1078" s="146"/>
      <c r="S1078" s="146"/>
      <c r="T1078" s="146"/>
      <c r="U1078" s="146"/>
      <c r="V1078" s="146"/>
      <c r="W1078" s="146"/>
      <c r="X1078" s="146"/>
      <c r="Y1078" s="146"/>
      <c r="Z1078" s="146"/>
    </row>
    <row r="1079" ht="22.5" customHeight="1">
      <c r="A1079" s="329"/>
      <c r="B1079" s="274"/>
      <c r="C1079" s="138"/>
      <c r="D1079" s="118"/>
      <c r="E1079" s="138"/>
      <c r="F1079" s="138"/>
      <c r="G1079" s="330"/>
      <c r="H1079" s="146"/>
      <c r="I1079" s="146"/>
      <c r="J1079" s="146"/>
      <c r="K1079" s="146"/>
      <c r="L1079" s="146"/>
      <c r="M1079" s="146"/>
      <c r="N1079" s="146"/>
      <c r="O1079" s="146"/>
      <c r="P1079" s="146"/>
      <c r="Q1079" s="146"/>
      <c r="R1079" s="146"/>
      <c r="S1079" s="146"/>
      <c r="T1079" s="146"/>
      <c r="U1079" s="146"/>
      <c r="V1079" s="146"/>
      <c r="W1079" s="146"/>
      <c r="X1079" s="146"/>
      <c r="Y1079" s="146"/>
      <c r="Z1079" s="146"/>
    </row>
    <row r="1080" ht="22.5" customHeight="1">
      <c r="A1080" s="329"/>
      <c r="B1080" s="274"/>
      <c r="C1080" s="138"/>
      <c r="D1080" s="118"/>
      <c r="E1080" s="138"/>
      <c r="F1080" s="138"/>
      <c r="G1080" s="330"/>
      <c r="H1080" s="146"/>
      <c r="I1080" s="146"/>
      <c r="J1080" s="146"/>
      <c r="K1080" s="146"/>
      <c r="L1080" s="146"/>
      <c r="M1080" s="146"/>
      <c r="N1080" s="146"/>
      <c r="O1080" s="146"/>
      <c r="P1080" s="146"/>
      <c r="Q1080" s="146"/>
      <c r="R1080" s="146"/>
      <c r="S1080" s="146"/>
      <c r="T1080" s="146"/>
      <c r="U1080" s="146"/>
      <c r="V1080" s="146"/>
      <c r="W1080" s="146"/>
      <c r="X1080" s="146"/>
      <c r="Y1080" s="146"/>
      <c r="Z1080" s="146"/>
    </row>
    <row r="1081" ht="22.5" customHeight="1">
      <c r="A1081" s="329"/>
      <c r="B1081" s="274"/>
      <c r="C1081" s="138"/>
      <c r="D1081" s="118"/>
      <c r="E1081" s="138"/>
      <c r="F1081" s="138"/>
      <c r="G1081" s="330"/>
      <c r="H1081" s="146"/>
      <c r="I1081" s="146"/>
      <c r="J1081" s="146"/>
      <c r="K1081" s="146"/>
      <c r="L1081" s="146"/>
      <c r="M1081" s="146"/>
      <c r="N1081" s="146"/>
      <c r="O1081" s="146"/>
      <c r="P1081" s="146"/>
      <c r="Q1081" s="146"/>
      <c r="R1081" s="146"/>
      <c r="S1081" s="146"/>
      <c r="T1081" s="146"/>
      <c r="U1081" s="146"/>
      <c r="V1081" s="146"/>
      <c r="W1081" s="146"/>
      <c r="X1081" s="146"/>
      <c r="Y1081" s="146"/>
      <c r="Z1081" s="146"/>
    </row>
    <row r="1082" ht="22.5" customHeight="1">
      <c r="A1082" s="329"/>
      <c r="B1082" s="274"/>
      <c r="C1082" s="138"/>
      <c r="D1082" s="118"/>
      <c r="E1082" s="138"/>
      <c r="F1082" s="138"/>
      <c r="G1082" s="330"/>
      <c r="H1082" s="146"/>
      <c r="I1082" s="146"/>
      <c r="J1082" s="146"/>
      <c r="K1082" s="146"/>
      <c r="L1082" s="146"/>
      <c r="M1082" s="146"/>
      <c r="N1082" s="146"/>
      <c r="O1082" s="146"/>
      <c r="P1082" s="146"/>
      <c r="Q1082" s="146"/>
      <c r="R1082" s="146"/>
      <c r="S1082" s="146"/>
      <c r="T1082" s="146"/>
      <c r="U1082" s="146"/>
      <c r="V1082" s="146"/>
      <c r="W1082" s="146"/>
      <c r="X1082" s="146"/>
      <c r="Y1082" s="146"/>
      <c r="Z1082" s="146"/>
    </row>
    <row r="1083" ht="22.5" customHeight="1">
      <c r="A1083" s="329"/>
      <c r="B1083" s="274"/>
      <c r="C1083" s="138"/>
      <c r="D1083" s="118"/>
      <c r="E1083" s="138"/>
      <c r="F1083" s="138"/>
      <c r="G1083" s="330"/>
      <c r="H1083" s="146"/>
      <c r="I1083" s="146"/>
      <c r="J1083" s="146"/>
      <c r="K1083" s="146"/>
      <c r="L1083" s="146"/>
      <c r="M1083" s="146"/>
      <c r="N1083" s="146"/>
      <c r="O1083" s="146"/>
      <c r="P1083" s="146"/>
      <c r="Q1083" s="146"/>
      <c r="R1083" s="146"/>
      <c r="S1083" s="146"/>
      <c r="T1083" s="146"/>
      <c r="U1083" s="146"/>
      <c r="V1083" s="146"/>
      <c r="W1083" s="146"/>
      <c r="X1083" s="146"/>
      <c r="Y1083" s="146"/>
      <c r="Z1083" s="146"/>
    </row>
    <row r="1084" ht="22.5" customHeight="1">
      <c r="A1084" s="329"/>
      <c r="B1084" s="274"/>
      <c r="C1084" s="138"/>
      <c r="D1084" s="118"/>
      <c r="E1084" s="138"/>
      <c r="F1084" s="138"/>
      <c r="G1084" s="330"/>
      <c r="H1084" s="146"/>
      <c r="I1084" s="146"/>
      <c r="J1084" s="146"/>
      <c r="K1084" s="146"/>
      <c r="L1084" s="146"/>
      <c r="M1084" s="146"/>
      <c r="N1084" s="146"/>
      <c r="O1084" s="146"/>
      <c r="P1084" s="146"/>
      <c r="Q1084" s="146"/>
      <c r="R1084" s="146"/>
      <c r="S1084" s="146"/>
      <c r="T1084" s="146"/>
      <c r="U1084" s="146"/>
      <c r="V1084" s="146"/>
      <c r="W1084" s="146"/>
      <c r="X1084" s="146"/>
      <c r="Y1084" s="146"/>
      <c r="Z1084" s="146"/>
    </row>
    <row r="1085" ht="22.5" customHeight="1">
      <c r="A1085" s="329"/>
      <c r="B1085" s="274"/>
      <c r="C1085" s="138"/>
      <c r="D1085" s="118"/>
      <c r="E1085" s="138"/>
      <c r="F1085" s="138"/>
      <c r="G1085" s="330"/>
      <c r="H1085" s="146"/>
      <c r="I1085" s="146"/>
      <c r="J1085" s="146"/>
      <c r="K1085" s="146"/>
      <c r="L1085" s="146"/>
      <c r="M1085" s="146"/>
      <c r="N1085" s="146"/>
      <c r="O1085" s="146"/>
      <c r="P1085" s="146"/>
      <c r="Q1085" s="146"/>
      <c r="R1085" s="146"/>
      <c r="S1085" s="146"/>
      <c r="T1085" s="146"/>
      <c r="U1085" s="146"/>
      <c r="V1085" s="146"/>
      <c r="W1085" s="146"/>
      <c r="X1085" s="146"/>
      <c r="Y1085" s="146"/>
      <c r="Z1085" s="146"/>
    </row>
    <row r="1086" ht="22.5" customHeight="1">
      <c r="A1086" s="329"/>
      <c r="B1086" s="274"/>
      <c r="C1086" s="138"/>
      <c r="D1086" s="118"/>
      <c r="E1086" s="138"/>
      <c r="F1086" s="138"/>
      <c r="G1086" s="330"/>
      <c r="H1086" s="146"/>
      <c r="I1086" s="146"/>
      <c r="J1086" s="146"/>
      <c r="K1086" s="146"/>
      <c r="L1086" s="146"/>
      <c r="M1086" s="146"/>
      <c r="N1086" s="146"/>
      <c r="O1086" s="146"/>
      <c r="P1086" s="146"/>
      <c r="Q1086" s="146"/>
      <c r="R1086" s="146"/>
      <c r="S1086" s="146"/>
      <c r="T1086" s="146"/>
      <c r="U1086" s="146"/>
      <c r="V1086" s="146"/>
      <c r="W1086" s="146"/>
      <c r="X1086" s="146"/>
      <c r="Y1086" s="146"/>
      <c r="Z1086" s="146"/>
    </row>
    <row r="1087" ht="22.5" customHeight="1">
      <c r="A1087" s="329"/>
      <c r="B1087" s="274"/>
      <c r="C1087" s="138"/>
      <c r="D1087" s="118"/>
      <c r="E1087" s="138"/>
      <c r="F1087" s="138"/>
      <c r="G1087" s="330"/>
      <c r="H1087" s="146"/>
      <c r="I1087" s="146"/>
      <c r="J1087" s="146"/>
      <c r="K1087" s="146"/>
      <c r="L1087" s="146"/>
      <c r="M1087" s="146"/>
      <c r="N1087" s="146"/>
      <c r="O1087" s="146"/>
      <c r="P1087" s="146"/>
      <c r="Q1087" s="146"/>
      <c r="R1087" s="146"/>
      <c r="S1087" s="146"/>
      <c r="T1087" s="146"/>
      <c r="U1087" s="146"/>
      <c r="V1087" s="146"/>
      <c r="W1087" s="146"/>
      <c r="X1087" s="146"/>
      <c r="Y1087" s="146"/>
      <c r="Z1087" s="146"/>
    </row>
    <row r="1088" ht="22.5" customHeight="1">
      <c r="A1088" s="329"/>
      <c r="B1088" s="274"/>
      <c r="C1088" s="138"/>
      <c r="D1088" s="118"/>
      <c r="E1088" s="138"/>
      <c r="F1088" s="138"/>
      <c r="G1088" s="330"/>
      <c r="H1088" s="146"/>
      <c r="I1088" s="146"/>
      <c r="J1088" s="146"/>
      <c r="K1088" s="146"/>
      <c r="L1088" s="146"/>
      <c r="M1088" s="146"/>
      <c r="N1088" s="146"/>
      <c r="O1088" s="146"/>
      <c r="P1088" s="146"/>
      <c r="Q1088" s="146"/>
      <c r="R1088" s="146"/>
      <c r="S1088" s="146"/>
      <c r="T1088" s="146"/>
      <c r="U1088" s="146"/>
      <c r="V1088" s="146"/>
      <c r="W1088" s="146"/>
      <c r="X1088" s="146"/>
      <c r="Y1088" s="146"/>
      <c r="Z1088" s="146"/>
    </row>
    <row r="1089" ht="22.5" customHeight="1">
      <c r="A1089" s="329"/>
      <c r="B1089" s="274"/>
      <c r="C1089" s="138"/>
      <c r="D1089" s="118"/>
      <c r="E1089" s="138"/>
      <c r="F1089" s="138"/>
      <c r="G1089" s="330"/>
      <c r="H1089" s="146"/>
      <c r="I1089" s="146"/>
      <c r="J1089" s="146"/>
      <c r="K1089" s="146"/>
      <c r="L1089" s="146"/>
      <c r="M1089" s="146"/>
      <c r="N1089" s="146"/>
      <c r="O1089" s="146"/>
      <c r="P1089" s="146"/>
      <c r="Q1089" s="146"/>
      <c r="R1089" s="146"/>
      <c r="S1089" s="146"/>
      <c r="T1089" s="146"/>
      <c r="U1089" s="146"/>
      <c r="V1089" s="146"/>
      <c r="W1089" s="146"/>
      <c r="X1089" s="146"/>
      <c r="Y1089" s="146"/>
      <c r="Z1089" s="146"/>
    </row>
    <row r="1090" ht="22.5" customHeight="1">
      <c r="A1090" s="329"/>
      <c r="B1090" s="274"/>
      <c r="C1090" s="138"/>
      <c r="D1090" s="118"/>
      <c r="E1090" s="138"/>
      <c r="F1090" s="138"/>
      <c r="G1090" s="330"/>
      <c r="H1090" s="146"/>
      <c r="I1090" s="146"/>
      <c r="J1090" s="146"/>
      <c r="K1090" s="146"/>
      <c r="L1090" s="146"/>
      <c r="M1090" s="146"/>
      <c r="N1090" s="146"/>
      <c r="O1090" s="146"/>
      <c r="P1090" s="146"/>
      <c r="Q1090" s="146"/>
      <c r="R1090" s="146"/>
      <c r="S1090" s="146"/>
      <c r="T1090" s="146"/>
      <c r="U1090" s="146"/>
      <c r="V1090" s="146"/>
      <c r="W1090" s="146"/>
      <c r="X1090" s="146"/>
      <c r="Y1090" s="146"/>
      <c r="Z1090" s="146"/>
    </row>
    <row r="1091" ht="22.5" customHeight="1">
      <c r="A1091" s="329"/>
      <c r="B1091" s="274"/>
      <c r="C1091" s="138"/>
      <c r="D1091" s="118"/>
      <c r="E1091" s="138"/>
      <c r="F1091" s="138"/>
      <c r="G1091" s="330"/>
      <c r="H1091" s="146"/>
      <c r="I1091" s="146"/>
      <c r="J1091" s="146"/>
      <c r="K1091" s="146"/>
      <c r="L1091" s="146"/>
      <c r="M1091" s="146"/>
      <c r="N1091" s="146"/>
      <c r="O1091" s="146"/>
      <c r="P1091" s="146"/>
      <c r="Q1091" s="146"/>
      <c r="R1091" s="146"/>
      <c r="S1091" s="146"/>
      <c r="T1091" s="146"/>
      <c r="U1091" s="146"/>
      <c r="V1091" s="146"/>
      <c r="W1091" s="146"/>
      <c r="X1091" s="146"/>
      <c r="Y1091" s="146"/>
      <c r="Z1091" s="146"/>
    </row>
    <row r="1092" ht="22.5" customHeight="1">
      <c r="A1092" s="329"/>
      <c r="B1092" s="274"/>
      <c r="C1092" s="138"/>
      <c r="D1092" s="118"/>
      <c r="E1092" s="138"/>
      <c r="F1092" s="138"/>
      <c r="G1092" s="330"/>
      <c r="H1092" s="146"/>
      <c r="I1092" s="146"/>
      <c r="J1092" s="146"/>
      <c r="K1092" s="146"/>
      <c r="L1092" s="146"/>
      <c r="M1092" s="146"/>
      <c r="N1092" s="146"/>
      <c r="O1092" s="146"/>
      <c r="P1092" s="146"/>
      <c r="Q1092" s="146"/>
      <c r="R1092" s="146"/>
      <c r="S1092" s="146"/>
      <c r="T1092" s="146"/>
      <c r="U1092" s="146"/>
      <c r="V1092" s="146"/>
      <c r="W1092" s="146"/>
      <c r="X1092" s="146"/>
      <c r="Y1092" s="146"/>
      <c r="Z1092" s="146"/>
    </row>
    <row r="1093" ht="22.5" customHeight="1">
      <c r="A1093" s="329"/>
      <c r="B1093" s="274"/>
      <c r="C1093" s="138"/>
      <c r="D1093" s="118"/>
      <c r="E1093" s="138"/>
      <c r="F1093" s="138"/>
      <c r="G1093" s="330"/>
      <c r="H1093" s="146"/>
      <c r="I1093" s="146"/>
      <c r="J1093" s="146"/>
      <c r="K1093" s="146"/>
      <c r="L1093" s="146"/>
      <c r="M1093" s="146"/>
      <c r="N1093" s="146"/>
      <c r="O1093" s="146"/>
      <c r="P1093" s="146"/>
      <c r="Q1093" s="146"/>
      <c r="R1093" s="146"/>
      <c r="S1093" s="146"/>
      <c r="T1093" s="146"/>
      <c r="U1093" s="146"/>
      <c r="V1093" s="146"/>
      <c r="W1093" s="146"/>
      <c r="X1093" s="146"/>
      <c r="Y1093" s="146"/>
      <c r="Z1093" s="146"/>
    </row>
    <row r="1094" ht="22.5" customHeight="1">
      <c r="A1094" s="329"/>
      <c r="B1094" s="274"/>
      <c r="C1094" s="138"/>
      <c r="D1094" s="118"/>
      <c r="E1094" s="138"/>
      <c r="F1094" s="138"/>
      <c r="G1094" s="330"/>
      <c r="H1094" s="146"/>
      <c r="I1094" s="146"/>
      <c r="J1094" s="146"/>
      <c r="K1094" s="146"/>
      <c r="L1094" s="146"/>
      <c r="M1094" s="146"/>
      <c r="N1094" s="146"/>
      <c r="O1094" s="146"/>
      <c r="P1094" s="146"/>
      <c r="Q1094" s="146"/>
      <c r="R1094" s="146"/>
      <c r="S1094" s="146"/>
      <c r="T1094" s="146"/>
      <c r="U1094" s="146"/>
      <c r="V1094" s="146"/>
      <c r="W1094" s="146"/>
      <c r="X1094" s="146"/>
      <c r="Y1094" s="146"/>
      <c r="Z1094" s="146"/>
    </row>
    <row r="1095" ht="22.5" customHeight="1">
      <c r="A1095" s="329"/>
      <c r="B1095" s="274"/>
      <c r="C1095" s="138"/>
      <c r="D1095" s="118"/>
      <c r="E1095" s="138"/>
      <c r="F1095" s="138"/>
      <c r="G1095" s="330"/>
      <c r="H1095" s="146"/>
      <c r="I1095" s="146"/>
      <c r="J1095" s="146"/>
      <c r="K1095" s="146"/>
      <c r="L1095" s="146"/>
      <c r="M1095" s="146"/>
      <c r="N1095" s="146"/>
      <c r="O1095" s="146"/>
      <c r="P1095" s="146"/>
      <c r="Q1095" s="146"/>
      <c r="R1095" s="146"/>
      <c r="S1095" s="146"/>
      <c r="T1095" s="146"/>
      <c r="U1095" s="146"/>
      <c r="V1095" s="146"/>
      <c r="W1095" s="146"/>
      <c r="X1095" s="146"/>
      <c r="Y1095" s="146"/>
      <c r="Z1095" s="146"/>
    </row>
    <row r="1096" ht="22.5" customHeight="1">
      <c r="A1096" s="329"/>
      <c r="B1096" s="274"/>
      <c r="C1096" s="138"/>
      <c r="D1096" s="118"/>
      <c r="E1096" s="138"/>
      <c r="F1096" s="138"/>
      <c r="G1096" s="330"/>
      <c r="H1096" s="146"/>
      <c r="I1096" s="146"/>
      <c r="J1096" s="146"/>
      <c r="K1096" s="146"/>
      <c r="L1096" s="146"/>
      <c r="M1096" s="146"/>
      <c r="N1096" s="146"/>
      <c r="O1096" s="146"/>
      <c r="P1096" s="146"/>
      <c r="Q1096" s="146"/>
      <c r="R1096" s="146"/>
      <c r="S1096" s="146"/>
      <c r="T1096" s="146"/>
      <c r="U1096" s="146"/>
      <c r="V1096" s="146"/>
      <c r="W1096" s="146"/>
      <c r="X1096" s="146"/>
      <c r="Y1096" s="146"/>
      <c r="Z1096" s="146"/>
    </row>
    <row r="1097" ht="22.5" customHeight="1">
      <c r="A1097" s="329"/>
      <c r="B1097" s="274"/>
      <c r="C1097" s="138"/>
      <c r="D1097" s="118"/>
      <c r="E1097" s="138"/>
      <c r="F1097" s="138"/>
      <c r="G1097" s="330"/>
      <c r="H1097" s="146"/>
      <c r="I1097" s="146"/>
      <c r="J1097" s="146"/>
      <c r="K1097" s="146"/>
      <c r="L1097" s="146"/>
      <c r="M1097" s="146"/>
      <c r="N1097" s="146"/>
      <c r="O1097" s="146"/>
      <c r="P1097" s="146"/>
      <c r="Q1097" s="146"/>
      <c r="R1097" s="146"/>
      <c r="S1097" s="146"/>
      <c r="T1097" s="146"/>
      <c r="U1097" s="146"/>
      <c r="V1097" s="146"/>
      <c r="W1097" s="146"/>
      <c r="X1097" s="146"/>
      <c r="Y1097" s="146"/>
      <c r="Z1097" s="146"/>
    </row>
    <row r="1098" ht="22.5" customHeight="1">
      <c r="A1098" s="329"/>
      <c r="B1098" s="274"/>
      <c r="C1098" s="138"/>
      <c r="D1098" s="118"/>
      <c r="E1098" s="138"/>
      <c r="F1098" s="138"/>
      <c r="G1098" s="330"/>
      <c r="H1098" s="146"/>
      <c r="I1098" s="146"/>
      <c r="J1098" s="146"/>
      <c r="K1098" s="146"/>
      <c r="L1098" s="146"/>
      <c r="M1098" s="146"/>
      <c r="N1098" s="146"/>
      <c r="O1098" s="146"/>
      <c r="P1098" s="146"/>
      <c r="Q1098" s="146"/>
      <c r="R1098" s="146"/>
      <c r="S1098" s="146"/>
      <c r="T1098" s="146"/>
      <c r="U1098" s="146"/>
      <c r="V1098" s="146"/>
      <c r="W1098" s="146"/>
      <c r="X1098" s="146"/>
      <c r="Y1098" s="146"/>
      <c r="Z1098" s="146"/>
    </row>
    <row r="1099" ht="22.5" customHeight="1">
      <c r="A1099" s="329"/>
      <c r="B1099" s="274"/>
      <c r="C1099" s="138"/>
      <c r="D1099" s="118"/>
      <c r="E1099" s="138"/>
      <c r="F1099" s="138"/>
      <c r="G1099" s="330"/>
      <c r="H1099" s="146"/>
      <c r="I1099" s="146"/>
      <c r="J1099" s="146"/>
      <c r="K1099" s="146"/>
      <c r="L1099" s="146"/>
      <c r="M1099" s="146"/>
      <c r="N1099" s="146"/>
      <c r="O1099" s="146"/>
      <c r="P1099" s="146"/>
      <c r="Q1099" s="146"/>
      <c r="R1099" s="146"/>
      <c r="S1099" s="146"/>
      <c r="T1099" s="146"/>
      <c r="U1099" s="146"/>
      <c r="V1099" s="146"/>
      <c r="W1099" s="146"/>
      <c r="X1099" s="146"/>
      <c r="Y1099" s="146"/>
      <c r="Z1099" s="146"/>
    </row>
    <row r="1100" ht="22.5" customHeight="1">
      <c r="A1100" s="329"/>
      <c r="B1100" s="274"/>
      <c r="C1100" s="138"/>
      <c r="D1100" s="118"/>
      <c r="E1100" s="138"/>
      <c r="F1100" s="138"/>
      <c r="G1100" s="330"/>
      <c r="H1100" s="146"/>
      <c r="I1100" s="146"/>
      <c r="J1100" s="146"/>
      <c r="K1100" s="146"/>
      <c r="L1100" s="146"/>
      <c r="M1100" s="146"/>
      <c r="N1100" s="146"/>
      <c r="O1100" s="146"/>
      <c r="P1100" s="146"/>
      <c r="Q1100" s="146"/>
      <c r="R1100" s="146"/>
      <c r="S1100" s="146"/>
      <c r="T1100" s="146"/>
      <c r="U1100" s="146"/>
      <c r="V1100" s="146"/>
      <c r="W1100" s="146"/>
      <c r="X1100" s="146"/>
      <c r="Y1100" s="146"/>
      <c r="Z1100" s="146"/>
    </row>
    <row r="1101" ht="22.5" customHeight="1">
      <c r="A1101" s="329"/>
      <c r="B1101" s="274"/>
      <c r="C1101" s="138"/>
      <c r="D1101" s="118"/>
      <c r="E1101" s="138"/>
      <c r="F1101" s="138"/>
      <c r="G1101" s="330"/>
      <c r="H1101" s="146"/>
      <c r="I1101" s="146"/>
      <c r="J1101" s="146"/>
      <c r="K1101" s="146"/>
      <c r="L1101" s="146"/>
      <c r="M1101" s="146"/>
      <c r="N1101" s="146"/>
      <c r="O1101" s="146"/>
      <c r="P1101" s="146"/>
      <c r="Q1101" s="146"/>
      <c r="R1101" s="146"/>
      <c r="S1101" s="146"/>
      <c r="T1101" s="146"/>
      <c r="U1101" s="146"/>
      <c r="V1101" s="146"/>
      <c r="W1101" s="146"/>
      <c r="X1101" s="146"/>
      <c r="Y1101" s="146"/>
      <c r="Z1101" s="146"/>
    </row>
    <row r="1102" ht="22.5" customHeight="1">
      <c r="A1102" s="329"/>
      <c r="B1102" s="274"/>
      <c r="C1102" s="138"/>
      <c r="D1102" s="118"/>
      <c r="E1102" s="138"/>
      <c r="F1102" s="138"/>
      <c r="G1102" s="330"/>
      <c r="H1102" s="146"/>
      <c r="I1102" s="146"/>
      <c r="J1102" s="146"/>
      <c r="K1102" s="146"/>
      <c r="L1102" s="146"/>
      <c r="M1102" s="146"/>
      <c r="N1102" s="146"/>
      <c r="O1102" s="146"/>
      <c r="P1102" s="146"/>
      <c r="Q1102" s="146"/>
      <c r="R1102" s="146"/>
      <c r="S1102" s="146"/>
      <c r="T1102" s="146"/>
      <c r="U1102" s="146"/>
      <c r="V1102" s="146"/>
      <c r="W1102" s="146"/>
      <c r="X1102" s="146"/>
      <c r="Y1102" s="146"/>
      <c r="Z1102" s="146"/>
    </row>
    <row r="1103" ht="22.5" customHeight="1">
      <c r="A1103" s="329"/>
      <c r="B1103" s="274"/>
      <c r="C1103" s="138"/>
      <c r="D1103" s="118"/>
      <c r="E1103" s="138"/>
      <c r="F1103" s="138"/>
      <c r="G1103" s="330"/>
      <c r="H1103" s="146"/>
      <c r="I1103" s="146"/>
      <c r="J1103" s="146"/>
      <c r="K1103" s="146"/>
      <c r="L1103" s="146"/>
      <c r="M1103" s="146"/>
      <c r="N1103" s="146"/>
      <c r="O1103" s="146"/>
      <c r="P1103" s="146"/>
      <c r="Q1103" s="146"/>
      <c r="R1103" s="146"/>
      <c r="S1103" s="146"/>
      <c r="T1103" s="146"/>
      <c r="U1103" s="146"/>
      <c r="V1103" s="146"/>
      <c r="W1103" s="146"/>
      <c r="X1103" s="146"/>
      <c r="Y1103" s="146"/>
      <c r="Z1103" s="146"/>
    </row>
    <row r="1104" ht="22.5" customHeight="1">
      <c r="A1104" s="329"/>
      <c r="B1104" s="274"/>
      <c r="C1104" s="138"/>
      <c r="D1104" s="118"/>
      <c r="E1104" s="138"/>
      <c r="F1104" s="138"/>
      <c r="G1104" s="330"/>
      <c r="H1104" s="146"/>
      <c r="I1104" s="146"/>
      <c r="J1104" s="146"/>
      <c r="K1104" s="146"/>
      <c r="L1104" s="146"/>
      <c r="M1104" s="146"/>
      <c r="N1104" s="146"/>
      <c r="O1104" s="146"/>
      <c r="P1104" s="146"/>
      <c r="Q1104" s="146"/>
      <c r="R1104" s="146"/>
      <c r="S1104" s="146"/>
      <c r="T1104" s="146"/>
      <c r="U1104" s="146"/>
      <c r="V1104" s="146"/>
      <c r="W1104" s="146"/>
      <c r="X1104" s="146"/>
      <c r="Y1104" s="146"/>
      <c r="Z1104" s="146"/>
    </row>
    <row r="1105" ht="22.5" customHeight="1">
      <c r="A1105" s="329"/>
      <c r="B1105" s="274"/>
      <c r="C1105" s="138"/>
      <c r="D1105" s="118"/>
      <c r="E1105" s="138"/>
      <c r="F1105" s="138"/>
      <c r="G1105" s="330"/>
      <c r="H1105" s="146"/>
      <c r="I1105" s="146"/>
      <c r="J1105" s="146"/>
      <c r="K1105" s="146"/>
      <c r="L1105" s="146"/>
      <c r="M1105" s="146"/>
      <c r="N1105" s="146"/>
      <c r="O1105" s="146"/>
      <c r="P1105" s="146"/>
      <c r="Q1105" s="146"/>
      <c r="R1105" s="146"/>
      <c r="S1105" s="146"/>
      <c r="T1105" s="146"/>
      <c r="U1105" s="146"/>
      <c r="V1105" s="146"/>
      <c r="W1105" s="146"/>
      <c r="X1105" s="146"/>
      <c r="Y1105" s="146"/>
      <c r="Z1105" s="146"/>
    </row>
    <row r="1106" ht="22.5" customHeight="1">
      <c r="A1106" s="329"/>
      <c r="B1106" s="274"/>
      <c r="C1106" s="138"/>
      <c r="D1106" s="118"/>
      <c r="E1106" s="138"/>
      <c r="F1106" s="138"/>
      <c r="G1106" s="330"/>
      <c r="H1106" s="146"/>
      <c r="I1106" s="146"/>
      <c r="J1106" s="146"/>
      <c r="K1106" s="146"/>
      <c r="L1106" s="146"/>
      <c r="M1106" s="146"/>
      <c r="N1106" s="146"/>
      <c r="O1106" s="146"/>
      <c r="P1106" s="146"/>
      <c r="Q1106" s="146"/>
      <c r="R1106" s="146"/>
      <c r="S1106" s="146"/>
      <c r="T1106" s="146"/>
      <c r="U1106" s="146"/>
      <c r="V1106" s="146"/>
      <c r="W1106" s="146"/>
      <c r="X1106" s="146"/>
      <c r="Y1106" s="146"/>
      <c r="Z1106" s="146"/>
    </row>
    <row r="1107" ht="22.5" customHeight="1">
      <c r="A1107" s="329"/>
      <c r="B1107" s="274"/>
      <c r="C1107" s="138"/>
      <c r="D1107" s="118"/>
      <c r="E1107" s="138"/>
      <c r="F1107" s="138"/>
      <c r="G1107" s="330"/>
      <c r="H1107" s="146"/>
      <c r="I1107" s="146"/>
      <c r="J1107" s="146"/>
      <c r="K1107" s="146"/>
      <c r="L1107" s="146"/>
      <c r="M1107" s="146"/>
      <c r="N1107" s="146"/>
      <c r="O1107" s="146"/>
      <c r="P1107" s="146"/>
      <c r="Q1107" s="146"/>
      <c r="R1107" s="146"/>
      <c r="S1107" s="146"/>
      <c r="T1107" s="146"/>
      <c r="U1107" s="146"/>
      <c r="V1107" s="146"/>
      <c r="W1107" s="146"/>
      <c r="X1107" s="146"/>
      <c r="Y1107" s="146"/>
      <c r="Z1107" s="146"/>
    </row>
    <row r="1108" ht="22.5" customHeight="1">
      <c r="A1108" s="329"/>
      <c r="B1108" s="274"/>
      <c r="C1108" s="138"/>
      <c r="D1108" s="118"/>
      <c r="E1108" s="138"/>
      <c r="F1108" s="138"/>
      <c r="G1108" s="330"/>
      <c r="H1108" s="146"/>
      <c r="I1108" s="146"/>
      <c r="J1108" s="146"/>
      <c r="K1108" s="146"/>
      <c r="L1108" s="146"/>
      <c r="M1108" s="146"/>
      <c r="N1108" s="146"/>
      <c r="O1108" s="146"/>
      <c r="P1108" s="146"/>
      <c r="Q1108" s="146"/>
      <c r="R1108" s="146"/>
      <c r="S1108" s="146"/>
      <c r="T1108" s="146"/>
      <c r="U1108" s="146"/>
      <c r="V1108" s="146"/>
      <c r="W1108" s="146"/>
      <c r="X1108" s="146"/>
      <c r="Y1108" s="146"/>
      <c r="Z1108" s="146"/>
    </row>
    <row r="1109" ht="22.5" customHeight="1">
      <c r="A1109" s="329"/>
      <c r="B1109" s="274"/>
      <c r="C1109" s="138"/>
      <c r="D1109" s="118"/>
      <c r="E1109" s="138"/>
      <c r="F1109" s="138"/>
      <c r="G1109" s="330"/>
      <c r="H1109" s="146"/>
      <c r="I1109" s="146"/>
      <c r="J1109" s="146"/>
      <c r="K1109" s="146"/>
      <c r="L1109" s="146"/>
      <c r="M1109" s="146"/>
      <c r="N1109" s="146"/>
      <c r="O1109" s="146"/>
      <c r="P1109" s="146"/>
      <c r="Q1109" s="146"/>
      <c r="R1109" s="146"/>
      <c r="S1109" s="146"/>
      <c r="T1109" s="146"/>
      <c r="U1109" s="146"/>
      <c r="V1109" s="146"/>
      <c r="W1109" s="146"/>
      <c r="X1109" s="146"/>
      <c r="Y1109" s="146"/>
      <c r="Z1109" s="146"/>
    </row>
    <row r="1110" ht="22.5" customHeight="1">
      <c r="A1110" s="329"/>
      <c r="B1110" s="274"/>
      <c r="C1110" s="138"/>
      <c r="D1110" s="118"/>
      <c r="E1110" s="138"/>
      <c r="F1110" s="138"/>
      <c r="G1110" s="330"/>
      <c r="H1110" s="146"/>
      <c r="I1110" s="146"/>
      <c r="J1110" s="146"/>
      <c r="K1110" s="146"/>
      <c r="L1110" s="146"/>
      <c r="M1110" s="146"/>
      <c r="N1110" s="146"/>
      <c r="O1110" s="146"/>
      <c r="P1110" s="146"/>
      <c r="Q1110" s="146"/>
      <c r="R1110" s="146"/>
      <c r="S1110" s="146"/>
      <c r="T1110" s="146"/>
      <c r="U1110" s="146"/>
      <c r="V1110" s="146"/>
      <c r="W1110" s="146"/>
      <c r="X1110" s="146"/>
      <c r="Y1110" s="146"/>
      <c r="Z1110" s="146"/>
    </row>
    <row r="1111" ht="22.5" customHeight="1">
      <c r="A1111" s="329"/>
      <c r="B1111" s="274"/>
      <c r="C1111" s="138"/>
      <c r="D1111" s="118"/>
      <c r="E1111" s="138"/>
      <c r="F1111" s="138"/>
      <c r="G1111" s="330"/>
      <c r="H1111" s="146"/>
      <c r="I1111" s="146"/>
      <c r="J1111" s="146"/>
      <c r="K1111" s="146"/>
      <c r="L1111" s="146"/>
      <c r="M1111" s="146"/>
      <c r="N1111" s="146"/>
      <c r="O1111" s="146"/>
      <c r="P1111" s="146"/>
      <c r="Q1111" s="146"/>
      <c r="R1111" s="146"/>
      <c r="S1111" s="146"/>
      <c r="T1111" s="146"/>
      <c r="U1111" s="146"/>
      <c r="V1111" s="146"/>
      <c r="W1111" s="146"/>
      <c r="X1111" s="146"/>
      <c r="Y1111" s="146"/>
      <c r="Z1111" s="146"/>
    </row>
    <row r="1112" ht="22.5" customHeight="1">
      <c r="A1112" s="329"/>
      <c r="B1112" s="274"/>
      <c r="C1112" s="138"/>
      <c r="D1112" s="118"/>
      <c r="E1112" s="138"/>
      <c r="F1112" s="138"/>
      <c r="G1112" s="330"/>
      <c r="H1112" s="146"/>
      <c r="I1112" s="146"/>
      <c r="J1112" s="146"/>
      <c r="K1112" s="146"/>
      <c r="L1112" s="146"/>
      <c r="M1112" s="146"/>
      <c r="N1112" s="146"/>
      <c r="O1112" s="146"/>
      <c r="P1112" s="146"/>
      <c r="Q1112" s="146"/>
      <c r="R1112" s="146"/>
      <c r="S1112" s="146"/>
      <c r="T1112" s="146"/>
      <c r="U1112" s="146"/>
      <c r="V1112" s="146"/>
      <c r="W1112" s="146"/>
      <c r="X1112" s="146"/>
      <c r="Y1112" s="146"/>
      <c r="Z1112" s="146"/>
    </row>
    <row r="1113" ht="22.5" customHeight="1">
      <c r="A1113" s="329"/>
      <c r="B1113" s="274"/>
      <c r="C1113" s="138"/>
      <c r="D1113" s="118"/>
      <c r="E1113" s="138"/>
      <c r="F1113" s="138"/>
      <c r="G1113" s="330"/>
      <c r="H1113" s="146"/>
      <c r="I1113" s="146"/>
      <c r="J1113" s="146"/>
      <c r="K1113" s="146"/>
      <c r="L1113" s="146"/>
      <c r="M1113" s="146"/>
      <c r="N1113" s="146"/>
      <c r="O1113" s="146"/>
      <c r="P1113" s="146"/>
      <c r="Q1113" s="146"/>
      <c r="R1113" s="146"/>
      <c r="S1113" s="146"/>
      <c r="T1113" s="146"/>
      <c r="U1113" s="146"/>
      <c r="V1113" s="146"/>
      <c r="W1113" s="146"/>
      <c r="X1113" s="146"/>
      <c r="Y1113" s="146"/>
      <c r="Z1113" s="146"/>
    </row>
    <row r="1114" ht="22.5" customHeight="1">
      <c r="A1114" s="329"/>
      <c r="B1114" s="274"/>
      <c r="C1114" s="138"/>
      <c r="D1114" s="118"/>
      <c r="E1114" s="138"/>
      <c r="F1114" s="138"/>
      <c r="G1114" s="330"/>
      <c r="H1114" s="146"/>
      <c r="I1114" s="146"/>
      <c r="J1114" s="146"/>
      <c r="K1114" s="146"/>
      <c r="L1114" s="146"/>
      <c r="M1114" s="146"/>
      <c r="N1114" s="146"/>
      <c r="O1114" s="146"/>
      <c r="P1114" s="146"/>
      <c r="Q1114" s="146"/>
      <c r="R1114" s="146"/>
      <c r="S1114" s="146"/>
      <c r="T1114" s="146"/>
      <c r="U1114" s="146"/>
      <c r="V1114" s="146"/>
      <c r="W1114" s="146"/>
      <c r="X1114" s="146"/>
      <c r="Y1114" s="146"/>
      <c r="Z1114" s="146"/>
    </row>
    <row r="1115" ht="22.5" customHeight="1">
      <c r="A1115" s="329"/>
      <c r="B1115" s="274"/>
      <c r="C1115" s="138"/>
      <c r="D1115" s="118"/>
      <c r="E1115" s="138"/>
      <c r="F1115" s="138"/>
      <c r="G1115" s="330"/>
      <c r="H1115" s="146"/>
      <c r="I1115" s="146"/>
      <c r="J1115" s="146"/>
      <c r="K1115" s="146"/>
      <c r="L1115" s="146"/>
      <c r="M1115" s="146"/>
      <c r="N1115" s="146"/>
      <c r="O1115" s="146"/>
      <c r="P1115" s="146"/>
      <c r="Q1115" s="146"/>
      <c r="R1115" s="146"/>
      <c r="S1115" s="146"/>
      <c r="T1115" s="146"/>
      <c r="U1115" s="146"/>
      <c r="V1115" s="146"/>
      <c r="W1115" s="146"/>
      <c r="X1115" s="146"/>
      <c r="Y1115" s="146"/>
      <c r="Z1115" s="146"/>
    </row>
    <row r="1116" ht="22.5" customHeight="1">
      <c r="A1116" s="329"/>
      <c r="B1116" s="274"/>
      <c r="C1116" s="138"/>
      <c r="D1116" s="118"/>
      <c r="E1116" s="138"/>
      <c r="F1116" s="138"/>
      <c r="G1116" s="330"/>
      <c r="H1116" s="146"/>
      <c r="I1116" s="146"/>
      <c r="J1116" s="146"/>
      <c r="K1116" s="146"/>
      <c r="L1116" s="146"/>
      <c r="M1116" s="146"/>
      <c r="N1116" s="146"/>
      <c r="O1116" s="146"/>
      <c r="P1116" s="146"/>
      <c r="Q1116" s="146"/>
      <c r="R1116" s="146"/>
      <c r="S1116" s="146"/>
      <c r="T1116" s="146"/>
      <c r="U1116" s="146"/>
      <c r="V1116" s="146"/>
      <c r="W1116" s="146"/>
      <c r="X1116" s="146"/>
      <c r="Y1116" s="146"/>
      <c r="Z1116" s="146"/>
    </row>
    <row r="1117" ht="22.5" customHeight="1">
      <c r="A1117" s="329"/>
      <c r="B1117" s="274"/>
      <c r="C1117" s="138"/>
      <c r="D1117" s="118"/>
      <c r="E1117" s="138"/>
      <c r="F1117" s="138"/>
      <c r="G1117" s="330"/>
      <c r="H1117" s="146"/>
      <c r="I1117" s="146"/>
      <c r="J1117" s="146"/>
      <c r="K1117" s="146"/>
      <c r="L1117" s="146"/>
      <c r="M1117" s="146"/>
      <c r="N1117" s="146"/>
      <c r="O1117" s="146"/>
      <c r="P1117" s="146"/>
      <c r="Q1117" s="146"/>
      <c r="R1117" s="146"/>
      <c r="S1117" s="146"/>
      <c r="T1117" s="146"/>
      <c r="U1117" s="146"/>
      <c r="V1117" s="146"/>
      <c r="W1117" s="146"/>
      <c r="X1117" s="146"/>
      <c r="Y1117" s="146"/>
      <c r="Z1117" s="146"/>
    </row>
    <row r="1118" ht="22.5" customHeight="1">
      <c r="A1118" s="329"/>
      <c r="B1118" s="274"/>
      <c r="C1118" s="138"/>
      <c r="D1118" s="118"/>
      <c r="E1118" s="138"/>
      <c r="F1118" s="138"/>
      <c r="G1118" s="330"/>
      <c r="H1118" s="146"/>
      <c r="I1118" s="146"/>
      <c r="J1118" s="146"/>
      <c r="K1118" s="146"/>
      <c r="L1118" s="146"/>
      <c r="M1118" s="146"/>
      <c r="N1118" s="146"/>
      <c r="O1118" s="146"/>
      <c r="P1118" s="146"/>
      <c r="Q1118" s="146"/>
      <c r="R1118" s="146"/>
      <c r="S1118" s="146"/>
      <c r="T1118" s="146"/>
      <c r="U1118" s="146"/>
      <c r="V1118" s="146"/>
      <c r="W1118" s="146"/>
      <c r="X1118" s="146"/>
      <c r="Y1118" s="146"/>
      <c r="Z1118" s="146"/>
    </row>
    <row r="1119" ht="22.5" customHeight="1">
      <c r="A1119" s="329"/>
      <c r="B1119" s="274"/>
      <c r="C1119" s="138"/>
      <c r="D1119" s="118"/>
      <c r="E1119" s="138"/>
      <c r="F1119" s="138"/>
      <c r="G1119" s="330"/>
      <c r="H1119" s="146"/>
      <c r="I1119" s="146"/>
      <c r="J1119" s="146"/>
      <c r="K1119" s="146"/>
      <c r="L1119" s="146"/>
      <c r="M1119" s="146"/>
      <c r="N1119" s="146"/>
      <c r="O1119" s="146"/>
      <c r="P1119" s="146"/>
      <c r="Q1119" s="146"/>
      <c r="R1119" s="146"/>
      <c r="S1119" s="146"/>
      <c r="T1119" s="146"/>
      <c r="U1119" s="146"/>
      <c r="V1119" s="146"/>
      <c r="W1119" s="146"/>
      <c r="X1119" s="146"/>
      <c r="Y1119" s="146"/>
      <c r="Z1119" s="146"/>
    </row>
    <row r="1120" ht="22.5" customHeight="1">
      <c r="A1120" s="329"/>
      <c r="B1120" s="274"/>
      <c r="C1120" s="138"/>
      <c r="D1120" s="118"/>
      <c r="E1120" s="138"/>
      <c r="F1120" s="138"/>
      <c r="G1120" s="330"/>
      <c r="H1120" s="146"/>
      <c r="I1120" s="146"/>
      <c r="J1120" s="146"/>
      <c r="K1120" s="146"/>
      <c r="L1120" s="146"/>
      <c r="M1120" s="146"/>
      <c r="N1120" s="146"/>
      <c r="O1120" s="146"/>
      <c r="P1120" s="146"/>
      <c r="Q1120" s="146"/>
      <c r="R1120" s="146"/>
      <c r="S1120" s="146"/>
      <c r="T1120" s="146"/>
      <c r="U1120" s="146"/>
      <c r="V1120" s="146"/>
      <c r="W1120" s="146"/>
      <c r="X1120" s="146"/>
      <c r="Y1120" s="146"/>
      <c r="Z1120" s="146"/>
    </row>
    <row r="1121" ht="22.5" customHeight="1">
      <c r="A1121" s="329"/>
      <c r="B1121" s="274"/>
      <c r="C1121" s="138"/>
      <c r="D1121" s="118"/>
      <c r="E1121" s="138"/>
      <c r="F1121" s="138"/>
      <c r="G1121" s="330"/>
      <c r="H1121" s="146"/>
      <c r="I1121" s="146"/>
      <c r="J1121" s="146"/>
      <c r="K1121" s="146"/>
      <c r="L1121" s="146"/>
      <c r="M1121" s="146"/>
      <c r="N1121" s="146"/>
      <c r="O1121" s="146"/>
      <c r="P1121" s="146"/>
      <c r="Q1121" s="146"/>
      <c r="R1121" s="146"/>
      <c r="S1121" s="146"/>
      <c r="T1121" s="146"/>
      <c r="U1121" s="146"/>
      <c r="V1121" s="146"/>
      <c r="W1121" s="146"/>
      <c r="X1121" s="146"/>
      <c r="Y1121" s="146"/>
      <c r="Z1121" s="146"/>
    </row>
    <row r="1122" ht="22.5" customHeight="1">
      <c r="A1122" s="329"/>
      <c r="B1122" s="274"/>
      <c r="C1122" s="138"/>
      <c r="D1122" s="118"/>
      <c r="E1122" s="138"/>
      <c r="F1122" s="138"/>
      <c r="G1122" s="330"/>
      <c r="H1122" s="146"/>
      <c r="I1122" s="146"/>
      <c r="J1122" s="146"/>
      <c r="K1122" s="146"/>
      <c r="L1122" s="146"/>
      <c r="M1122" s="146"/>
      <c r="N1122" s="146"/>
      <c r="O1122" s="146"/>
      <c r="P1122" s="146"/>
      <c r="Q1122" s="146"/>
      <c r="R1122" s="146"/>
      <c r="S1122" s="146"/>
      <c r="T1122" s="146"/>
      <c r="U1122" s="146"/>
      <c r="V1122" s="146"/>
      <c r="W1122" s="146"/>
      <c r="X1122" s="146"/>
      <c r="Y1122" s="146"/>
      <c r="Z1122" s="146"/>
    </row>
    <row r="1123" ht="22.5" customHeight="1">
      <c r="A1123" s="329"/>
      <c r="B1123" s="274"/>
      <c r="C1123" s="138"/>
      <c r="D1123" s="118"/>
      <c r="E1123" s="138"/>
      <c r="F1123" s="138"/>
      <c r="G1123" s="330"/>
      <c r="H1123" s="146"/>
      <c r="I1123" s="146"/>
      <c r="J1123" s="146"/>
      <c r="K1123" s="146"/>
      <c r="L1123" s="146"/>
      <c r="M1123" s="146"/>
      <c r="N1123" s="146"/>
      <c r="O1123" s="146"/>
      <c r="P1123" s="146"/>
      <c r="Q1123" s="146"/>
      <c r="R1123" s="146"/>
      <c r="S1123" s="146"/>
      <c r="T1123" s="146"/>
      <c r="U1123" s="146"/>
      <c r="V1123" s="146"/>
      <c r="W1123" s="146"/>
      <c r="X1123" s="146"/>
      <c r="Y1123" s="146"/>
      <c r="Z1123" s="146"/>
    </row>
    <row r="1124" ht="22.5" customHeight="1">
      <c r="A1124" s="329"/>
      <c r="B1124" s="274"/>
      <c r="C1124" s="138"/>
      <c r="D1124" s="118"/>
      <c r="E1124" s="138"/>
      <c r="F1124" s="138"/>
      <c r="G1124" s="330"/>
      <c r="H1124" s="146"/>
      <c r="I1124" s="146"/>
      <c r="J1124" s="146"/>
      <c r="K1124" s="146"/>
      <c r="L1124" s="146"/>
      <c r="M1124" s="146"/>
      <c r="N1124" s="146"/>
      <c r="O1124" s="146"/>
      <c r="P1124" s="146"/>
      <c r="Q1124" s="146"/>
      <c r="R1124" s="146"/>
      <c r="S1124" s="146"/>
      <c r="T1124" s="146"/>
      <c r="U1124" s="146"/>
      <c r="V1124" s="146"/>
      <c r="W1124" s="146"/>
      <c r="X1124" s="146"/>
      <c r="Y1124" s="146"/>
      <c r="Z1124" s="146"/>
    </row>
    <row r="1125" ht="22.5" customHeight="1">
      <c r="A1125" s="329"/>
      <c r="B1125" s="274"/>
      <c r="C1125" s="138"/>
      <c r="D1125" s="118"/>
      <c r="E1125" s="138"/>
      <c r="F1125" s="138"/>
      <c r="G1125" s="330"/>
      <c r="H1125" s="146"/>
      <c r="I1125" s="146"/>
      <c r="J1125" s="146"/>
      <c r="K1125" s="146"/>
      <c r="L1125" s="146"/>
      <c r="M1125" s="146"/>
      <c r="N1125" s="146"/>
      <c r="O1125" s="146"/>
      <c r="P1125" s="146"/>
      <c r="Q1125" s="146"/>
      <c r="R1125" s="146"/>
      <c r="S1125" s="146"/>
      <c r="T1125" s="146"/>
      <c r="U1125" s="146"/>
      <c r="V1125" s="146"/>
      <c r="W1125" s="146"/>
      <c r="X1125" s="146"/>
      <c r="Y1125" s="146"/>
      <c r="Z1125" s="146"/>
    </row>
    <row r="1126" ht="22.5" customHeight="1">
      <c r="A1126" s="329"/>
      <c r="B1126" s="274"/>
      <c r="C1126" s="138"/>
      <c r="D1126" s="118"/>
      <c r="E1126" s="138"/>
      <c r="F1126" s="138"/>
      <c r="G1126" s="330"/>
      <c r="H1126" s="146"/>
      <c r="I1126" s="146"/>
      <c r="J1126" s="146"/>
      <c r="K1126" s="146"/>
      <c r="L1126" s="146"/>
      <c r="M1126" s="146"/>
      <c r="N1126" s="146"/>
      <c r="O1126" s="146"/>
      <c r="P1126" s="146"/>
      <c r="Q1126" s="146"/>
      <c r="R1126" s="146"/>
      <c r="S1126" s="146"/>
      <c r="T1126" s="146"/>
      <c r="U1126" s="146"/>
      <c r="V1126" s="146"/>
      <c r="W1126" s="146"/>
      <c r="X1126" s="146"/>
      <c r="Y1126" s="146"/>
      <c r="Z1126" s="146"/>
    </row>
    <row r="1127" ht="22.5" customHeight="1">
      <c r="A1127" s="329"/>
      <c r="B1127" s="274"/>
      <c r="C1127" s="138"/>
      <c r="D1127" s="118"/>
      <c r="E1127" s="138"/>
      <c r="F1127" s="138"/>
      <c r="G1127" s="330"/>
      <c r="H1127" s="146"/>
      <c r="I1127" s="146"/>
      <c r="J1127" s="146"/>
      <c r="K1127" s="146"/>
      <c r="L1127" s="146"/>
      <c r="M1127" s="146"/>
      <c r="N1127" s="146"/>
      <c r="O1127" s="146"/>
      <c r="P1127" s="146"/>
      <c r="Q1127" s="146"/>
      <c r="R1127" s="146"/>
      <c r="S1127" s="146"/>
      <c r="T1127" s="146"/>
      <c r="U1127" s="146"/>
      <c r="V1127" s="146"/>
      <c r="W1127" s="146"/>
      <c r="X1127" s="146"/>
      <c r="Y1127" s="146"/>
      <c r="Z1127" s="146"/>
    </row>
    <row r="1128" ht="22.5" customHeight="1">
      <c r="A1128" s="329"/>
      <c r="B1128" s="274"/>
      <c r="C1128" s="138"/>
      <c r="D1128" s="118"/>
      <c r="E1128" s="138"/>
      <c r="F1128" s="138"/>
      <c r="G1128" s="330"/>
      <c r="H1128" s="146"/>
      <c r="I1128" s="146"/>
      <c r="J1128" s="146"/>
      <c r="K1128" s="146"/>
      <c r="L1128" s="146"/>
      <c r="M1128" s="146"/>
      <c r="N1128" s="146"/>
      <c r="O1128" s="146"/>
      <c r="P1128" s="146"/>
      <c r="Q1128" s="146"/>
      <c r="R1128" s="146"/>
      <c r="S1128" s="146"/>
      <c r="T1128" s="146"/>
      <c r="U1128" s="146"/>
      <c r="V1128" s="146"/>
      <c r="W1128" s="146"/>
      <c r="X1128" s="146"/>
      <c r="Y1128" s="146"/>
      <c r="Z1128" s="146"/>
    </row>
    <row r="1129" ht="22.5" customHeight="1">
      <c r="A1129" s="329"/>
      <c r="B1129" s="274"/>
      <c r="C1129" s="138"/>
      <c r="D1129" s="118"/>
      <c r="E1129" s="138"/>
      <c r="F1129" s="138"/>
      <c r="G1129" s="330"/>
      <c r="H1129" s="146"/>
      <c r="I1129" s="146"/>
      <c r="J1129" s="146"/>
      <c r="K1129" s="146"/>
      <c r="L1129" s="146"/>
      <c r="M1129" s="146"/>
      <c r="N1129" s="146"/>
      <c r="O1129" s="146"/>
      <c r="P1129" s="146"/>
      <c r="Q1129" s="146"/>
      <c r="R1129" s="146"/>
      <c r="S1129" s="146"/>
      <c r="T1129" s="146"/>
      <c r="U1129" s="146"/>
      <c r="V1129" s="146"/>
      <c r="W1129" s="146"/>
      <c r="X1129" s="146"/>
      <c r="Y1129" s="146"/>
      <c r="Z1129" s="146"/>
    </row>
    <row r="1130" ht="22.5" customHeight="1">
      <c r="A1130" s="329"/>
      <c r="B1130" s="274"/>
      <c r="C1130" s="138"/>
      <c r="D1130" s="118"/>
      <c r="E1130" s="138"/>
      <c r="F1130" s="138"/>
      <c r="G1130" s="330"/>
      <c r="H1130" s="146"/>
      <c r="I1130" s="146"/>
      <c r="J1130" s="146"/>
      <c r="K1130" s="146"/>
      <c r="L1130" s="146"/>
      <c r="M1130" s="146"/>
      <c r="N1130" s="146"/>
      <c r="O1130" s="146"/>
      <c r="P1130" s="146"/>
      <c r="Q1130" s="146"/>
      <c r="R1130" s="146"/>
      <c r="S1130" s="146"/>
      <c r="T1130" s="146"/>
      <c r="U1130" s="146"/>
      <c r="V1130" s="146"/>
      <c r="W1130" s="146"/>
      <c r="X1130" s="146"/>
      <c r="Y1130" s="146"/>
      <c r="Z1130" s="146"/>
    </row>
    <row r="1131" ht="22.5" customHeight="1">
      <c r="A1131" s="329"/>
      <c r="B1131" s="274"/>
      <c r="C1131" s="138"/>
      <c r="D1131" s="118"/>
      <c r="E1131" s="138"/>
      <c r="F1131" s="138"/>
      <c r="G1131" s="330"/>
      <c r="H1131" s="146"/>
      <c r="I1131" s="146"/>
      <c r="J1131" s="146"/>
      <c r="K1131" s="146"/>
      <c r="L1131" s="146"/>
      <c r="M1131" s="146"/>
      <c r="N1131" s="146"/>
      <c r="O1131" s="146"/>
      <c r="P1131" s="146"/>
      <c r="Q1131" s="146"/>
      <c r="R1131" s="146"/>
      <c r="S1131" s="146"/>
      <c r="T1131" s="146"/>
      <c r="U1131" s="146"/>
      <c r="V1131" s="146"/>
      <c r="W1131" s="146"/>
      <c r="X1131" s="146"/>
      <c r="Y1131" s="146"/>
      <c r="Z1131" s="146"/>
    </row>
    <row r="1132" ht="22.5" customHeight="1">
      <c r="A1132" s="329"/>
      <c r="B1132" s="274"/>
      <c r="C1132" s="138"/>
      <c r="D1132" s="118"/>
      <c r="E1132" s="138"/>
      <c r="F1132" s="138"/>
      <c r="G1132" s="330"/>
      <c r="H1132" s="146"/>
      <c r="I1132" s="146"/>
      <c r="J1132" s="146"/>
      <c r="K1132" s="146"/>
      <c r="L1132" s="146"/>
      <c r="M1132" s="146"/>
      <c r="N1132" s="146"/>
      <c r="O1132" s="146"/>
      <c r="P1132" s="146"/>
      <c r="Q1132" s="146"/>
      <c r="R1132" s="146"/>
      <c r="S1132" s="146"/>
      <c r="T1132" s="146"/>
      <c r="U1132" s="146"/>
      <c r="V1132" s="146"/>
      <c r="W1132" s="146"/>
      <c r="X1132" s="146"/>
      <c r="Y1132" s="146"/>
      <c r="Z1132" s="146"/>
    </row>
    <row r="1133" ht="22.5" customHeight="1">
      <c r="A1133" s="329"/>
      <c r="B1133" s="274"/>
      <c r="C1133" s="138"/>
      <c r="D1133" s="118"/>
      <c r="E1133" s="138"/>
      <c r="F1133" s="138"/>
      <c r="G1133" s="330"/>
      <c r="H1133" s="146"/>
      <c r="I1133" s="146"/>
      <c r="J1133" s="146"/>
      <c r="K1133" s="146"/>
      <c r="L1133" s="146"/>
      <c r="M1133" s="146"/>
      <c r="N1133" s="146"/>
      <c r="O1133" s="146"/>
      <c r="P1133" s="146"/>
      <c r="Q1133" s="146"/>
      <c r="R1133" s="146"/>
      <c r="S1133" s="146"/>
      <c r="T1133" s="146"/>
      <c r="U1133" s="146"/>
      <c r="V1133" s="146"/>
      <c r="W1133" s="146"/>
      <c r="X1133" s="146"/>
      <c r="Y1133" s="146"/>
      <c r="Z1133" s="146"/>
    </row>
    <row r="1134" ht="22.5" customHeight="1">
      <c r="A1134" s="329"/>
      <c r="B1134" s="274"/>
      <c r="C1134" s="138"/>
      <c r="D1134" s="118"/>
      <c r="E1134" s="138"/>
      <c r="F1134" s="138"/>
      <c r="G1134" s="330"/>
      <c r="H1134" s="146"/>
      <c r="I1134" s="146"/>
      <c r="J1134" s="146"/>
      <c r="K1134" s="146"/>
      <c r="L1134" s="146"/>
      <c r="M1134" s="146"/>
      <c r="N1134" s="146"/>
      <c r="O1134" s="146"/>
      <c r="P1134" s="146"/>
      <c r="Q1134" s="146"/>
      <c r="R1134" s="146"/>
      <c r="S1134" s="146"/>
      <c r="T1134" s="146"/>
      <c r="U1134" s="146"/>
      <c r="V1134" s="146"/>
      <c r="W1134" s="146"/>
      <c r="X1134" s="146"/>
      <c r="Y1134" s="146"/>
      <c r="Z1134" s="146"/>
    </row>
    <row r="1135" ht="22.5" customHeight="1">
      <c r="A1135" s="329"/>
      <c r="B1135" s="274"/>
      <c r="C1135" s="138"/>
      <c r="D1135" s="118"/>
      <c r="E1135" s="138"/>
      <c r="F1135" s="138"/>
      <c r="G1135" s="330"/>
      <c r="H1135" s="146"/>
      <c r="I1135" s="146"/>
      <c r="J1135" s="146"/>
      <c r="K1135" s="146"/>
      <c r="L1135" s="146"/>
      <c r="M1135" s="146"/>
      <c r="N1135" s="146"/>
      <c r="O1135" s="146"/>
      <c r="P1135" s="146"/>
      <c r="Q1135" s="146"/>
      <c r="R1135" s="146"/>
      <c r="S1135" s="146"/>
      <c r="T1135" s="146"/>
      <c r="U1135" s="146"/>
      <c r="V1135" s="146"/>
      <c r="W1135" s="146"/>
      <c r="X1135" s="146"/>
      <c r="Y1135" s="146"/>
      <c r="Z1135" s="146"/>
    </row>
    <row r="1136" ht="22.5" customHeight="1">
      <c r="A1136" s="329"/>
      <c r="B1136" s="274"/>
      <c r="C1136" s="138"/>
      <c r="D1136" s="118"/>
      <c r="E1136" s="138"/>
      <c r="F1136" s="138"/>
      <c r="G1136" s="330"/>
      <c r="H1136" s="146"/>
      <c r="I1136" s="146"/>
      <c r="J1136" s="146"/>
      <c r="K1136" s="146"/>
      <c r="L1136" s="146"/>
      <c r="M1136" s="146"/>
      <c r="N1136" s="146"/>
      <c r="O1136" s="146"/>
      <c r="P1136" s="146"/>
      <c r="Q1136" s="146"/>
      <c r="R1136" s="146"/>
      <c r="S1136" s="146"/>
      <c r="T1136" s="146"/>
      <c r="U1136" s="146"/>
      <c r="V1136" s="146"/>
      <c r="W1136" s="146"/>
      <c r="X1136" s="146"/>
      <c r="Y1136" s="146"/>
      <c r="Z1136" s="146"/>
    </row>
    <row r="1137" ht="22.5" customHeight="1">
      <c r="A1137" s="329"/>
      <c r="B1137" s="274"/>
      <c r="C1137" s="138"/>
      <c r="D1137" s="118"/>
      <c r="E1137" s="138"/>
      <c r="F1137" s="138"/>
      <c r="G1137" s="330"/>
      <c r="H1137" s="146"/>
      <c r="I1137" s="146"/>
      <c r="J1137" s="146"/>
      <c r="K1137" s="146"/>
      <c r="L1137" s="146"/>
      <c r="M1137" s="146"/>
      <c r="N1137" s="146"/>
      <c r="O1137" s="146"/>
      <c r="P1137" s="146"/>
      <c r="Q1137" s="146"/>
      <c r="R1137" s="146"/>
      <c r="S1137" s="146"/>
      <c r="T1137" s="146"/>
      <c r="U1137" s="146"/>
      <c r="V1137" s="146"/>
      <c r="W1137" s="146"/>
      <c r="X1137" s="146"/>
      <c r="Y1137" s="146"/>
      <c r="Z1137" s="146"/>
    </row>
    <row r="1138" ht="22.5" customHeight="1">
      <c r="A1138" s="329"/>
      <c r="B1138" s="274"/>
      <c r="C1138" s="138"/>
      <c r="D1138" s="118"/>
      <c r="E1138" s="138"/>
      <c r="F1138" s="138"/>
      <c r="G1138" s="330"/>
      <c r="H1138" s="146"/>
      <c r="I1138" s="146"/>
      <c r="J1138" s="146"/>
      <c r="K1138" s="146"/>
      <c r="L1138" s="146"/>
      <c r="M1138" s="146"/>
      <c r="N1138" s="146"/>
      <c r="O1138" s="146"/>
      <c r="P1138" s="146"/>
      <c r="Q1138" s="146"/>
      <c r="R1138" s="146"/>
      <c r="S1138" s="146"/>
      <c r="T1138" s="146"/>
      <c r="U1138" s="146"/>
      <c r="V1138" s="146"/>
      <c r="W1138" s="146"/>
      <c r="X1138" s="146"/>
      <c r="Y1138" s="146"/>
      <c r="Z1138" s="146"/>
    </row>
    <row r="1139" ht="22.5" customHeight="1">
      <c r="A1139" s="329"/>
      <c r="B1139" s="274"/>
      <c r="C1139" s="138"/>
      <c r="D1139" s="118"/>
      <c r="E1139" s="138"/>
      <c r="F1139" s="138"/>
      <c r="G1139" s="330"/>
      <c r="H1139" s="146"/>
      <c r="I1139" s="146"/>
      <c r="J1139" s="146"/>
      <c r="K1139" s="146"/>
      <c r="L1139" s="146"/>
      <c r="M1139" s="146"/>
      <c r="N1139" s="146"/>
      <c r="O1139" s="146"/>
      <c r="P1139" s="146"/>
      <c r="Q1139" s="146"/>
      <c r="R1139" s="146"/>
      <c r="S1139" s="146"/>
      <c r="T1139" s="146"/>
      <c r="U1139" s="146"/>
      <c r="V1139" s="146"/>
      <c r="W1139" s="146"/>
      <c r="X1139" s="146"/>
      <c r="Y1139" s="146"/>
      <c r="Z1139" s="146"/>
    </row>
    <row r="1140" ht="22.5" customHeight="1">
      <c r="A1140" s="329"/>
      <c r="B1140" s="274"/>
      <c r="C1140" s="138"/>
      <c r="D1140" s="118"/>
      <c r="E1140" s="138"/>
      <c r="F1140" s="138"/>
      <c r="G1140" s="330"/>
      <c r="H1140" s="146"/>
      <c r="I1140" s="146"/>
      <c r="J1140" s="146"/>
      <c r="K1140" s="146"/>
      <c r="L1140" s="146"/>
      <c r="M1140" s="146"/>
      <c r="N1140" s="146"/>
      <c r="O1140" s="146"/>
      <c r="P1140" s="146"/>
      <c r="Q1140" s="146"/>
      <c r="R1140" s="146"/>
      <c r="S1140" s="146"/>
      <c r="T1140" s="146"/>
      <c r="U1140" s="146"/>
      <c r="V1140" s="146"/>
      <c r="W1140" s="146"/>
      <c r="X1140" s="146"/>
      <c r="Y1140" s="146"/>
      <c r="Z1140" s="146"/>
    </row>
    <row r="1141" ht="22.5" customHeight="1">
      <c r="A1141" s="329"/>
      <c r="B1141" s="274"/>
      <c r="C1141" s="138"/>
      <c r="D1141" s="118"/>
      <c r="E1141" s="138"/>
      <c r="F1141" s="138"/>
      <c r="G1141" s="330"/>
      <c r="H1141" s="146"/>
      <c r="I1141" s="146"/>
      <c r="J1141" s="146"/>
      <c r="K1141" s="146"/>
      <c r="L1141" s="146"/>
      <c r="M1141" s="146"/>
      <c r="N1141" s="146"/>
      <c r="O1141" s="146"/>
      <c r="P1141" s="146"/>
      <c r="Q1141" s="146"/>
      <c r="R1141" s="146"/>
      <c r="S1141" s="146"/>
      <c r="T1141" s="146"/>
      <c r="U1141" s="146"/>
      <c r="V1141" s="146"/>
      <c r="W1141" s="146"/>
      <c r="X1141" s="146"/>
      <c r="Y1141" s="146"/>
      <c r="Z1141" s="146"/>
    </row>
    <row r="1142" ht="22.5" customHeight="1">
      <c r="A1142" s="329"/>
      <c r="B1142" s="274"/>
      <c r="C1142" s="138"/>
      <c r="D1142" s="118"/>
      <c r="E1142" s="138"/>
      <c r="F1142" s="138"/>
      <c r="G1142" s="330"/>
      <c r="H1142" s="146"/>
      <c r="I1142" s="146"/>
      <c r="J1142" s="146"/>
      <c r="K1142" s="146"/>
      <c r="L1142" s="146"/>
      <c r="M1142" s="146"/>
      <c r="N1142" s="146"/>
      <c r="O1142" s="146"/>
      <c r="P1142" s="146"/>
      <c r="Q1142" s="146"/>
      <c r="R1142" s="146"/>
      <c r="S1142" s="146"/>
      <c r="T1142" s="146"/>
      <c r="U1142" s="146"/>
      <c r="V1142" s="146"/>
      <c r="W1142" s="146"/>
      <c r="X1142" s="146"/>
      <c r="Y1142" s="146"/>
      <c r="Z1142" s="146"/>
    </row>
    <row r="1143" ht="22.5" customHeight="1">
      <c r="A1143" s="329"/>
      <c r="B1143" s="274"/>
      <c r="C1143" s="138"/>
      <c r="D1143" s="118"/>
      <c r="E1143" s="138"/>
      <c r="F1143" s="138"/>
      <c r="G1143" s="330"/>
      <c r="H1143" s="146"/>
      <c r="I1143" s="146"/>
      <c r="J1143" s="146"/>
      <c r="K1143" s="146"/>
      <c r="L1143" s="146"/>
      <c r="M1143" s="146"/>
      <c r="N1143" s="146"/>
      <c r="O1143" s="146"/>
      <c r="P1143" s="146"/>
      <c r="Q1143" s="146"/>
      <c r="R1143" s="146"/>
      <c r="S1143" s="146"/>
      <c r="T1143" s="146"/>
      <c r="U1143" s="146"/>
      <c r="V1143" s="146"/>
      <c r="W1143" s="146"/>
      <c r="X1143" s="146"/>
      <c r="Y1143" s="146"/>
      <c r="Z1143" s="146"/>
    </row>
    <row r="1144" ht="22.5" customHeight="1">
      <c r="A1144" s="329"/>
      <c r="B1144" s="274"/>
      <c r="C1144" s="138"/>
      <c r="D1144" s="118"/>
      <c r="E1144" s="138"/>
      <c r="F1144" s="138"/>
      <c r="G1144" s="330"/>
      <c r="H1144" s="146"/>
      <c r="I1144" s="146"/>
      <c r="J1144" s="146"/>
      <c r="K1144" s="146"/>
      <c r="L1144" s="146"/>
      <c r="M1144" s="146"/>
      <c r="N1144" s="146"/>
      <c r="O1144" s="146"/>
      <c r="P1144" s="146"/>
      <c r="Q1144" s="146"/>
      <c r="R1144" s="146"/>
      <c r="S1144" s="146"/>
      <c r="T1144" s="146"/>
      <c r="U1144" s="146"/>
      <c r="V1144" s="146"/>
      <c r="W1144" s="146"/>
      <c r="X1144" s="146"/>
      <c r="Y1144" s="146"/>
      <c r="Z1144" s="146"/>
    </row>
    <row r="1145" ht="22.5" customHeight="1">
      <c r="A1145" s="329"/>
      <c r="B1145" s="274"/>
      <c r="C1145" s="138"/>
      <c r="D1145" s="118"/>
      <c r="E1145" s="138"/>
      <c r="F1145" s="138"/>
      <c r="G1145" s="330"/>
      <c r="H1145" s="146"/>
      <c r="I1145" s="146"/>
      <c r="J1145" s="146"/>
      <c r="K1145" s="146"/>
      <c r="L1145" s="146"/>
      <c r="M1145" s="146"/>
      <c r="N1145" s="146"/>
      <c r="O1145" s="146"/>
      <c r="P1145" s="146"/>
      <c r="Q1145" s="146"/>
      <c r="R1145" s="146"/>
      <c r="S1145" s="146"/>
      <c r="T1145" s="146"/>
      <c r="U1145" s="146"/>
      <c r="V1145" s="146"/>
      <c r="W1145" s="146"/>
      <c r="X1145" s="146"/>
      <c r="Y1145" s="146"/>
      <c r="Z1145" s="146"/>
    </row>
    <row r="1146" ht="22.5" customHeight="1">
      <c r="A1146" s="329"/>
      <c r="B1146" s="274"/>
      <c r="C1146" s="138"/>
      <c r="D1146" s="118"/>
      <c r="E1146" s="138"/>
      <c r="F1146" s="138"/>
      <c r="G1146" s="330"/>
      <c r="H1146" s="146"/>
      <c r="I1146" s="146"/>
      <c r="J1146" s="146"/>
      <c r="K1146" s="146"/>
      <c r="L1146" s="146"/>
      <c r="M1146" s="146"/>
      <c r="N1146" s="146"/>
      <c r="O1146" s="146"/>
      <c r="P1146" s="146"/>
      <c r="Q1146" s="146"/>
      <c r="R1146" s="146"/>
      <c r="S1146" s="146"/>
      <c r="T1146" s="146"/>
      <c r="U1146" s="146"/>
      <c r="V1146" s="146"/>
      <c r="W1146" s="146"/>
      <c r="X1146" s="146"/>
      <c r="Y1146" s="146"/>
      <c r="Z1146" s="146"/>
    </row>
    <row r="1147" ht="22.5" customHeight="1">
      <c r="A1147" s="329"/>
      <c r="B1147" s="274"/>
      <c r="C1147" s="138"/>
      <c r="D1147" s="118"/>
      <c r="E1147" s="138"/>
      <c r="F1147" s="138"/>
      <c r="G1147" s="330"/>
      <c r="H1147" s="146"/>
      <c r="I1147" s="146"/>
      <c r="J1147" s="146"/>
      <c r="K1147" s="146"/>
      <c r="L1147" s="146"/>
      <c r="M1147" s="146"/>
      <c r="N1147" s="146"/>
      <c r="O1147" s="146"/>
      <c r="P1147" s="146"/>
      <c r="Q1147" s="146"/>
      <c r="R1147" s="146"/>
      <c r="S1147" s="146"/>
      <c r="T1147" s="146"/>
      <c r="U1147" s="146"/>
      <c r="V1147" s="146"/>
      <c r="W1147" s="146"/>
      <c r="X1147" s="146"/>
      <c r="Y1147" s="146"/>
      <c r="Z1147" s="146"/>
    </row>
    <row r="1148" ht="22.5" customHeight="1">
      <c r="A1148" s="329"/>
      <c r="B1148" s="274"/>
      <c r="C1148" s="138"/>
      <c r="D1148" s="118"/>
      <c r="E1148" s="138"/>
      <c r="F1148" s="138"/>
      <c r="G1148" s="330"/>
      <c r="H1148" s="146"/>
      <c r="I1148" s="146"/>
      <c r="J1148" s="146"/>
      <c r="K1148" s="146"/>
      <c r="L1148" s="146"/>
      <c r="M1148" s="146"/>
      <c r="N1148" s="146"/>
      <c r="O1148" s="146"/>
      <c r="P1148" s="146"/>
      <c r="Q1148" s="146"/>
      <c r="R1148" s="146"/>
      <c r="S1148" s="146"/>
      <c r="T1148" s="146"/>
      <c r="U1148" s="146"/>
      <c r="V1148" s="146"/>
      <c r="W1148" s="146"/>
      <c r="X1148" s="146"/>
      <c r="Y1148" s="146"/>
      <c r="Z1148" s="146"/>
    </row>
    <row r="1149" ht="22.5" customHeight="1">
      <c r="A1149" s="329"/>
      <c r="B1149" s="274"/>
      <c r="C1149" s="138"/>
      <c r="D1149" s="118"/>
      <c r="E1149" s="138"/>
      <c r="F1149" s="138"/>
      <c r="G1149" s="330"/>
      <c r="H1149" s="146"/>
      <c r="I1149" s="146"/>
      <c r="J1149" s="146"/>
      <c r="K1149" s="146"/>
      <c r="L1149" s="146"/>
      <c r="M1149" s="146"/>
      <c r="N1149" s="146"/>
      <c r="O1149" s="146"/>
      <c r="P1149" s="146"/>
      <c r="Q1149" s="146"/>
      <c r="R1149" s="146"/>
      <c r="S1149" s="146"/>
      <c r="T1149" s="146"/>
      <c r="U1149" s="146"/>
      <c r="V1149" s="146"/>
      <c r="W1149" s="146"/>
      <c r="X1149" s="146"/>
      <c r="Y1149" s="146"/>
      <c r="Z1149" s="146"/>
    </row>
    <row r="1150" ht="22.5" customHeight="1">
      <c r="A1150" s="329"/>
      <c r="B1150" s="274"/>
      <c r="C1150" s="138"/>
      <c r="D1150" s="118"/>
      <c r="E1150" s="138"/>
      <c r="F1150" s="138"/>
      <c r="G1150" s="330"/>
      <c r="H1150" s="146"/>
      <c r="I1150" s="146"/>
      <c r="J1150" s="146"/>
      <c r="K1150" s="146"/>
      <c r="L1150" s="146"/>
      <c r="M1150" s="146"/>
      <c r="N1150" s="146"/>
      <c r="O1150" s="146"/>
      <c r="P1150" s="146"/>
      <c r="Q1150" s="146"/>
      <c r="R1150" s="146"/>
      <c r="S1150" s="146"/>
      <c r="T1150" s="146"/>
      <c r="U1150" s="146"/>
      <c r="V1150" s="146"/>
      <c r="W1150" s="146"/>
      <c r="X1150" s="146"/>
      <c r="Y1150" s="146"/>
      <c r="Z1150" s="146"/>
    </row>
    <row r="1151" ht="22.5" customHeight="1">
      <c r="A1151" s="329"/>
      <c r="B1151" s="274"/>
      <c r="C1151" s="138"/>
      <c r="D1151" s="118"/>
      <c r="E1151" s="138"/>
      <c r="F1151" s="138"/>
      <c r="G1151" s="330"/>
      <c r="H1151" s="146"/>
      <c r="I1151" s="146"/>
      <c r="J1151" s="146"/>
      <c r="K1151" s="146"/>
      <c r="L1151" s="146"/>
      <c r="M1151" s="146"/>
      <c r="N1151" s="146"/>
      <c r="O1151" s="146"/>
      <c r="P1151" s="146"/>
      <c r="Q1151" s="146"/>
      <c r="R1151" s="146"/>
      <c r="S1151" s="146"/>
      <c r="T1151" s="146"/>
      <c r="U1151" s="146"/>
      <c r="V1151" s="146"/>
      <c r="W1151" s="146"/>
      <c r="X1151" s="146"/>
      <c r="Y1151" s="146"/>
      <c r="Z1151" s="146"/>
    </row>
    <row r="1152" ht="22.5" customHeight="1">
      <c r="A1152" s="329"/>
      <c r="B1152" s="274"/>
      <c r="C1152" s="138"/>
      <c r="D1152" s="118"/>
      <c r="E1152" s="138"/>
      <c r="F1152" s="138"/>
      <c r="G1152" s="330"/>
      <c r="H1152" s="146"/>
      <c r="I1152" s="146"/>
      <c r="J1152" s="146"/>
      <c r="K1152" s="146"/>
      <c r="L1152" s="146"/>
      <c r="M1152" s="146"/>
      <c r="N1152" s="146"/>
      <c r="O1152" s="146"/>
      <c r="P1152" s="146"/>
      <c r="Q1152" s="146"/>
      <c r="R1152" s="146"/>
      <c r="S1152" s="146"/>
      <c r="T1152" s="146"/>
      <c r="U1152" s="146"/>
      <c r="V1152" s="146"/>
      <c r="W1152" s="146"/>
      <c r="X1152" s="146"/>
      <c r="Y1152" s="146"/>
      <c r="Z1152" s="146"/>
    </row>
    <row r="1153" ht="22.5" customHeight="1">
      <c r="A1153" s="329"/>
      <c r="B1153" s="274"/>
      <c r="C1153" s="138"/>
      <c r="D1153" s="118"/>
      <c r="E1153" s="138"/>
      <c r="F1153" s="138"/>
      <c r="G1153" s="330"/>
      <c r="H1153" s="146"/>
      <c r="I1153" s="146"/>
      <c r="J1153" s="146"/>
      <c r="K1153" s="146"/>
      <c r="L1153" s="146"/>
      <c r="M1153" s="146"/>
      <c r="N1153" s="146"/>
      <c r="O1153" s="146"/>
      <c r="P1153" s="146"/>
      <c r="Q1153" s="146"/>
      <c r="R1153" s="146"/>
      <c r="S1153" s="146"/>
      <c r="T1153" s="146"/>
      <c r="U1153" s="146"/>
      <c r="V1153" s="146"/>
      <c r="W1153" s="146"/>
      <c r="X1153" s="146"/>
      <c r="Y1153" s="146"/>
      <c r="Z1153" s="146"/>
    </row>
    <row r="1154" ht="22.5" customHeight="1">
      <c r="A1154" s="329"/>
      <c r="B1154" s="274"/>
      <c r="C1154" s="138"/>
      <c r="D1154" s="118"/>
      <c r="E1154" s="138"/>
      <c r="F1154" s="138"/>
      <c r="G1154" s="330"/>
      <c r="H1154" s="146"/>
      <c r="I1154" s="146"/>
      <c r="J1154" s="146"/>
      <c r="K1154" s="146"/>
      <c r="L1154" s="146"/>
      <c r="M1154" s="146"/>
      <c r="N1154" s="146"/>
      <c r="O1154" s="146"/>
      <c r="P1154" s="146"/>
      <c r="Q1154" s="146"/>
      <c r="R1154" s="146"/>
      <c r="S1154" s="146"/>
      <c r="T1154" s="146"/>
      <c r="U1154" s="146"/>
      <c r="V1154" s="146"/>
      <c r="W1154" s="146"/>
      <c r="X1154" s="146"/>
      <c r="Y1154" s="146"/>
      <c r="Z1154" s="146"/>
    </row>
    <row r="1155" ht="22.5" customHeight="1">
      <c r="A1155" s="329"/>
      <c r="B1155" s="274"/>
      <c r="C1155" s="138"/>
      <c r="D1155" s="118"/>
      <c r="E1155" s="138"/>
      <c r="F1155" s="138"/>
      <c r="G1155" s="330"/>
      <c r="H1155" s="146"/>
      <c r="I1155" s="146"/>
      <c r="J1155" s="146"/>
      <c r="K1155" s="146"/>
      <c r="L1155" s="146"/>
      <c r="M1155" s="146"/>
      <c r="N1155" s="146"/>
      <c r="O1155" s="146"/>
      <c r="P1155" s="146"/>
      <c r="Q1155" s="146"/>
      <c r="R1155" s="146"/>
      <c r="S1155" s="146"/>
      <c r="T1155" s="146"/>
      <c r="U1155" s="146"/>
      <c r="V1155" s="146"/>
      <c r="W1155" s="146"/>
      <c r="X1155" s="146"/>
      <c r="Y1155" s="146"/>
      <c r="Z1155" s="146"/>
    </row>
    <row r="1156" ht="22.5" customHeight="1">
      <c r="A1156" s="329"/>
      <c r="B1156" s="274"/>
      <c r="C1156" s="138"/>
      <c r="D1156" s="118"/>
      <c r="E1156" s="138"/>
      <c r="F1156" s="138"/>
      <c r="G1156" s="330"/>
      <c r="H1156" s="146"/>
      <c r="I1156" s="146"/>
      <c r="J1156" s="146"/>
      <c r="K1156" s="146"/>
      <c r="L1156" s="146"/>
      <c r="M1156" s="146"/>
      <c r="N1156" s="146"/>
      <c r="O1156" s="146"/>
      <c r="P1156" s="146"/>
      <c r="Q1156" s="146"/>
      <c r="R1156" s="146"/>
      <c r="S1156" s="146"/>
      <c r="T1156" s="146"/>
      <c r="U1156" s="146"/>
      <c r="V1156" s="146"/>
      <c r="W1156" s="146"/>
      <c r="X1156" s="146"/>
      <c r="Y1156" s="146"/>
      <c r="Z1156" s="146"/>
    </row>
    <row r="1157" ht="22.5" customHeight="1">
      <c r="A1157" s="329"/>
      <c r="B1157" s="274"/>
      <c r="C1157" s="138"/>
      <c r="D1157" s="118"/>
      <c r="E1157" s="138"/>
      <c r="F1157" s="138"/>
      <c r="G1157" s="330"/>
      <c r="H1157" s="146"/>
      <c r="I1157" s="146"/>
      <c r="J1157" s="146"/>
      <c r="K1157" s="146"/>
      <c r="L1157" s="146"/>
      <c r="M1157" s="146"/>
      <c r="N1157" s="146"/>
      <c r="O1157" s="146"/>
      <c r="P1157" s="146"/>
      <c r="Q1157" s="146"/>
      <c r="R1157" s="146"/>
      <c r="S1157" s="146"/>
      <c r="T1157" s="146"/>
      <c r="U1157" s="146"/>
      <c r="V1157" s="146"/>
      <c r="W1157" s="146"/>
      <c r="X1157" s="146"/>
      <c r="Y1157" s="146"/>
      <c r="Z1157" s="146"/>
    </row>
    <row r="1158" ht="22.5" customHeight="1">
      <c r="A1158" s="329"/>
      <c r="B1158" s="274"/>
      <c r="C1158" s="138"/>
      <c r="D1158" s="118"/>
      <c r="E1158" s="138"/>
      <c r="F1158" s="138"/>
      <c r="G1158" s="330"/>
      <c r="H1158" s="146"/>
      <c r="I1158" s="146"/>
      <c r="J1158" s="146"/>
      <c r="K1158" s="146"/>
      <c r="L1158" s="146"/>
      <c r="M1158" s="146"/>
      <c r="N1158" s="146"/>
      <c r="O1158" s="146"/>
      <c r="P1158" s="146"/>
      <c r="Q1158" s="146"/>
      <c r="R1158" s="146"/>
      <c r="S1158" s="146"/>
      <c r="T1158" s="146"/>
      <c r="U1158" s="146"/>
      <c r="V1158" s="146"/>
      <c r="W1158" s="146"/>
      <c r="X1158" s="146"/>
      <c r="Y1158" s="146"/>
      <c r="Z1158" s="146"/>
    </row>
    <row r="1159" ht="22.5" customHeight="1">
      <c r="A1159" s="329"/>
      <c r="B1159" s="274"/>
      <c r="C1159" s="138"/>
      <c r="D1159" s="118"/>
      <c r="E1159" s="138"/>
      <c r="F1159" s="138"/>
      <c r="G1159" s="330"/>
      <c r="H1159" s="146"/>
      <c r="I1159" s="146"/>
      <c r="J1159" s="146"/>
      <c r="K1159" s="146"/>
      <c r="L1159" s="146"/>
      <c r="M1159" s="146"/>
      <c r="N1159" s="146"/>
      <c r="O1159" s="146"/>
      <c r="P1159" s="146"/>
      <c r="Q1159" s="146"/>
      <c r="R1159" s="146"/>
      <c r="S1159" s="146"/>
      <c r="T1159" s="146"/>
      <c r="U1159" s="146"/>
      <c r="V1159" s="146"/>
      <c r="W1159" s="146"/>
      <c r="X1159" s="146"/>
      <c r="Y1159" s="146"/>
      <c r="Z1159" s="146"/>
    </row>
    <row r="1160" ht="22.5" customHeight="1">
      <c r="A1160" s="329"/>
      <c r="B1160" s="274"/>
      <c r="C1160" s="138"/>
      <c r="D1160" s="118"/>
      <c r="E1160" s="138"/>
      <c r="F1160" s="138"/>
      <c r="G1160" s="330"/>
      <c r="H1160" s="146"/>
      <c r="I1160" s="146"/>
      <c r="J1160" s="146"/>
      <c r="K1160" s="146"/>
      <c r="L1160" s="146"/>
      <c r="M1160" s="146"/>
      <c r="N1160" s="146"/>
      <c r="O1160" s="146"/>
      <c r="P1160" s="146"/>
      <c r="Q1160" s="146"/>
      <c r="R1160" s="146"/>
      <c r="S1160" s="146"/>
      <c r="T1160" s="146"/>
      <c r="U1160" s="146"/>
      <c r="V1160" s="146"/>
      <c r="W1160" s="146"/>
      <c r="X1160" s="146"/>
      <c r="Y1160" s="146"/>
      <c r="Z1160" s="146"/>
    </row>
    <row r="1161" ht="22.5" customHeight="1">
      <c r="A1161" s="329"/>
      <c r="B1161" s="274"/>
      <c r="C1161" s="138"/>
      <c r="D1161" s="118"/>
      <c r="E1161" s="138"/>
      <c r="F1161" s="138"/>
      <c r="G1161" s="330"/>
      <c r="H1161" s="146"/>
      <c r="I1161" s="146"/>
      <c r="J1161" s="146"/>
      <c r="K1161" s="146"/>
      <c r="L1161" s="146"/>
      <c r="M1161" s="146"/>
      <c r="N1161" s="146"/>
      <c r="O1161" s="146"/>
      <c r="P1161" s="146"/>
      <c r="Q1161" s="146"/>
      <c r="R1161" s="146"/>
      <c r="S1161" s="146"/>
      <c r="T1161" s="146"/>
      <c r="U1161" s="146"/>
      <c r="V1161" s="146"/>
      <c r="W1161" s="146"/>
      <c r="X1161" s="146"/>
      <c r="Y1161" s="146"/>
      <c r="Z1161" s="146"/>
    </row>
    <row r="1162" ht="22.5" customHeight="1">
      <c r="A1162" s="329"/>
      <c r="B1162" s="274"/>
      <c r="C1162" s="138"/>
      <c r="D1162" s="118"/>
      <c r="E1162" s="138"/>
      <c r="F1162" s="138"/>
      <c r="G1162" s="330"/>
      <c r="H1162" s="146"/>
      <c r="I1162" s="146"/>
      <c r="J1162" s="146"/>
      <c r="K1162" s="146"/>
      <c r="L1162" s="146"/>
      <c r="M1162" s="146"/>
      <c r="N1162" s="146"/>
      <c r="O1162" s="146"/>
      <c r="P1162" s="146"/>
      <c r="Q1162" s="146"/>
      <c r="R1162" s="146"/>
      <c r="S1162" s="146"/>
      <c r="T1162" s="146"/>
      <c r="U1162" s="146"/>
      <c r="V1162" s="146"/>
      <c r="W1162" s="146"/>
      <c r="X1162" s="146"/>
      <c r="Y1162" s="146"/>
      <c r="Z1162" s="146"/>
    </row>
    <row r="1163" ht="22.5" customHeight="1">
      <c r="A1163" s="329"/>
      <c r="B1163" s="274"/>
      <c r="C1163" s="138"/>
      <c r="D1163" s="118"/>
      <c r="E1163" s="138"/>
      <c r="F1163" s="138"/>
      <c r="G1163" s="330"/>
      <c r="H1163" s="146"/>
      <c r="I1163" s="146"/>
      <c r="J1163" s="146"/>
      <c r="K1163" s="146"/>
      <c r="L1163" s="146"/>
      <c r="M1163" s="146"/>
      <c r="N1163" s="146"/>
      <c r="O1163" s="146"/>
      <c r="P1163" s="146"/>
      <c r="Q1163" s="146"/>
      <c r="R1163" s="146"/>
      <c r="S1163" s="146"/>
      <c r="T1163" s="146"/>
      <c r="U1163" s="146"/>
      <c r="V1163" s="146"/>
      <c r="W1163" s="146"/>
      <c r="X1163" s="146"/>
      <c r="Y1163" s="146"/>
      <c r="Z1163" s="146"/>
    </row>
    <row r="1164" ht="22.5" customHeight="1">
      <c r="A1164" s="329"/>
      <c r="B1164" s="274"/>
      <c r="C1164" s="138"/>
      <c r="D1164" s="118"/>
      <c r="E1164" s="138"/>
      <c r="F1164" s="138"/>
      <c r="G1164" s="330"/>
      <c r="H1164" s="146"/>
      <c r="I1164" s="146"/>
      <c r="J1164" s="146"/>
      <c r="K1164" s="146"/>
      <c r="L1164" s="146"/>
      <c r="M1164" s="146"/>
      <c r="N1164" s="146"/>
      <c r="O1164" s="146"/>
      <c r="P1164" s="146"/>
      <c r="Q1164" s="146"/>
      <c r="R1164" s="146"/>
      <c r="S1164" s="146"/>
      <c r="T1164" s="146"/>
      <c r="U1164" s="146"/>
      <c r="V1164" s="146"/>
      <c r="W1164" s="146"/>
      <c r="X1164" s="146"/>
      <c r="Y1164" s="146"/>
      <c r="Z1164" s="146"/>
    </row>
    <row r="1165" ht="22.5" customHeight="1">
      <c r="A1165" s="329"/>
      <c r="B1165" s="274"/>
      <c r="C1165" s="138"/>
      <c r="D1165" s="118"/>
      <c r="E1165" s="138"/>
      <c r="F1165" s="138"/>
      <c r="G1165" s="330"/>
      <c r="H1165" s="146"/>
      <c r="I1165" s="146"/>
      <c r="J1165" s="146"/>
      <c r="K1165" s="146"/>
      <c r="L1165" s="146"/>
      <c r="M1165" s="146"/>
      <c r="N1165" s="146"/>
      <c r="O1165" s="146"/>
      <c r="P1165" s="146"/>
      <c r="Q1165" s="146"/>
      <c r="R1165" s="146"/>
      <c r="S1165" s="146"/>
      <c r="T1165" s="146"/>
      <c r="U1165" s="146"/>
      <c r="V1165" s="146"/>
      <c r="W1165" s="146"/>
      <c r="X1165" s="146"/>
      <c r="Y1165" s="146"/>
      <c r="Z1165" s="146"/>
    </row>
    <row r="1166" ht="22.5" customHeight="1">
      <c r="A1166" s="329"/>
      <c r="B1166" s="274"/>
      <c r="C1166" s="138"/>
      <c r="D1166" s="118"/>
      <c r="E1166" s="138"/>
      <c r="F1166" s="138"/>
      <c r="G1166" s="330"/>
      <c r="H1166" s="146"/>
      <c r="I1166" s="146"/>
      <c r="J1166" s="146"/>
      <c r="K1166" s="146"/>
      <c r="L1166" s="146"/>
      <c r="M1166" s="146"/>
      <c r="N1166" s="146"/>
      <c r="O1166" s="146"/>
      <c r="P1166" s="146"/>
      <c r="Q1166" s="146"/>
      <c r="R1166" s="146"/>
      <c r="S1166" s="146"/>
      <c r="T1166" s="146"/>
      <c r="U1166" s="146"/>
      <c r="V1166" s="146"/>
      <c r="W1166" s="146"/>
      <c r="X1166" s="146"/>
      <c r="Y1166" s="146"/>
      <c r="Z1166" s="146"/>
    </row>
    <row r="1167" ht="22.5" customHeight="1">
      <c r="A1167" s="329"/>
      <c r="B1167" s="274"/>
      <c r="C1167" s="138"/>
      <c r="D1167" s="118"/>
      <c r="E1167" s="138"/>
      <c r="F1167" s="138"/>
      <c r="G1167" s="330"/>
      <c r="H1167" s="146"/>
      <c r="I1167" s="146"/>
      <c r="J1167" s="146"/>
      <c r="K1167" s="146"/>
      <c r="L1167" s="146"/>
      <c r="M1167" s="146"/>
      <c r="N1167" s="146"/>
      <c r="O1167" s="146"/>
      <c r="P1167" s="146"/>
      <c r="Q1167" s="146"/>
      <c r="R1167" s="146"/>
      <c r="S1167" s="146"/>
      <c r="T1167" s="146"/>
      <c r="U1167" s="146"/>
      <c r="V1167" s="146"/>
      <c r="W1167" s="146"/>
      <c r="X1167" s="146"/>
      <c r="Y1167" s="146"/>
      <c r="Z1167" s="146"/>
    </row>
    <row r="1168" ht="22.5" customHeight="1">
      <c r="A1168" s="329"/>
      <c r="B1168" s="274"/>
      <c r="C1168" s="138"/>
      <c r="D1168" s="118"/>
      <c r="E1168" s="138"/>
      <c r="F1168" s="138"/>
      <c r="G1168" s="330"/>
      <c r="H1168" s="146"/>
      <c r="I1168" s="146"/>
      <c r="J1168" s="146"/>
      <c r="K1168" s="146"/>
      <c r="L1168" s="146"/>
      <c r="M1168" s="146"/>
      <c r="N1168" s="146"/>
      <c r="O1168" s="146"/>
      <c r="P1168" s="146"/>
      <c r="Q1168" s="146"/>
      <c r="R1168" s="146"/>
      <c r="S1168" s="146"/>
      <c r="T1168" s="146"/>
      <c r="U1168" s="146"/>
      <c r="V1168" s="146"/>
      <c r="W1168" s="146"/>
      <c r="X1168" s="146"/>
      <c r="Y1168" s="146"/>
      <c r="Z1168" s="146"/>
    </row>
    <row r="1169" ht="22.5" customHeight="1">
      <c r="A1169" s="329"/>
      <c r="B1169" s="274"/>
      <c r="C1169" s="138"/>
      <c r="D1169" s="118"/>
      <c r="E1169" s="138"/>
      <c r="F1169" s="138"/>
      <c r="G1169" s="330"/>
      <c r="H1169" s="146"/>
      <c r="I1169" s="146"/>
      <c r="J1169" s="146"/>
      <c r="K1169" s="146"/>
      <c r="L1169" s="146"/>
      <c r="M1169" s="146"/>
      <c r="N1169" s="146"/>
      <c r="O1169" s="146"/>
      <c r="P1169" s="146"/>
      <c r="Q1169" s="146"/>
      <c r="R1169" s="146"/>
      <c r="S1169" s="146"/>
      <c r="T1169" s="146"/>
      <c r="U1169" s="146"/>
      <c r="V1169" s="146"/>
      <c r="W1169" s="146"/>
      <c r="X1169" s="146"/>
      <c r="Y1169" s="146"/>
      <c r="Z1169" s="146"/>
    </row>
    <row r="1170" ht="22.5" customHeight="1">
      <c r="A1170" s="329"/>
      <c r="B1170" s="274"/>
      <c r="C1170" s="138"/>
      <c r="D1170" s="118"/>
      <c r="E1170" s="138"/>
      <c r="F1170" s="138"/>
      <c r="G1170" s="330"/>
      <c r="H1170" s="146"/>
      <c r="I1170" s="146"/>
      <c r="J1170" s="146"/>
      <c r="K1170" s="146"/>
      <c r="L1170" s="146"/>
      <c r="M1170" s="146"/>
      <c r="N1170" s="146"/>
      <c r="O1170" s="146"/>
      <c r="P1170" s="146"/>
      <c r="Q1170" s="146"/>
      <c r="R1170" s="146"/>
      <c r="S1170" s="146"/>
      <c r="T1170" s="146"/>
      <c r="U1170" s="146"/>
      <c r="V1170" s="146"/>
      <c r="W1170" s="146"/>
      <c r="X1170" s="146"/>
      <c r="Y1170" s="146"/>
      <c r="Z1170" s="146"/>
    </row>
    <row r="1171" ht="22.5" customHeight="1">
      <c r="A1171" s="329"/>
      <c r="B1171" s="274"/>
      <c r="C1171" s="138"/>
      <c r="D1171" s="118"/>
      <c r="E1171" s="138"/>
      <c r="F1171" s="138"/>
      <c r="G1171" s="330"/>
      <c r="H1171" s="146"/>
      <c r="I1171" s="146"/>
      <c r="J1171" s="146"/>
      <c r="K1171" s="146"/>
      <c r="L1171" s="146"/>
      <c r="M1171" s="146"/>
      <c r="N1171" s="146"/>
      <c r="O1171" s="146"/>
      <c r="P1171" s="146"/>
      <c r="Q1171" s="146"/>
      <c r="R1171" s="146"/>
      <c r="S1171" s="146"/>
      <c r="T1171" s="146"/>
      <c r="U1171" s="146"/>
      <c r="V1171" s="146"/>
      <c r="W1171" s="146"/>
      <c r="X1171" s="146"/>
      <c r="Y1171" s="146"/>
      <c r="Z1171" s="146"/>
    </row>
    <row r="1172" ht="22.5" customHeight="1">
      <c r="A1172" s="329"/>
      <c r="B1172" s="274"/>
      <c r="C1172" s="138"/>
      <c r="D1172" s="118"/>
      <c r="E1172" s="138"/>
      <c r="F1172" s="138"/>
      <c r="G1172" s="330"/>
      <c r="H1172" s="146"/>
      <c r="I1172" s="146"/>
      <c r="J1172" s="146"/>
      <c r="K1172" s="146"/>
      <c r="L1172" s="146"/>
      <c r="M1172" s="146"/>
      <c r="N1172" s="146"/>
      <c r="O1172" s="146"/>
      <c r="P1172" s="146"/>
      <c r="Q1172" s="146"/>
      <c r="R1172" s="146"/>
      <c r="S1172" s="146"/>
      <c r="T1172" s="146"/>
      <c r="U1172" s="146"/>
      <c r="V1172" s="146"/>
      <c r="W1172" s="146"/>
      <c r="X1172" s="146"/>
      <c r="Y1172" s="146"/>
      <c r="Z1172" s="146"/>
    </row>
    <row r="1173" ht="22.5" customHeight="1">
      <c r="A1173" s="329"/>
      <c r="B1173" s="274"/>
      <c r="C1173" s="138"/>
      <c r="D1173" s="118"/>
      <c r="E1173" s="138"/>
      <c r="F1173" s="138"/>
      <c r="G1173" s="330"/>
      <c r="H1173" s="146"/>
      <c r="I1173" s="146"/>
      <c r="J1173" s="146"/>
      <c r="K1173" s="146"/>
      <c r="L1173" s="146"/>
      <c r="M1173" s="146"/>
      <c r="N1173" s="146"/>
      <c r="O1173" s="146"/>
      <c r="P1173" s="146"/>
      <c r="Q1173" s="146"/>
      <c r="R1173" s="146"/>
      <c r="S1173" s="146"/>
      <c r="T1173" s="146"/>
      <c r="U1173" s="146"/>
      <c r="V1173" s="146"/>
      <c r="W1173" s="146"/>
      <c r="X1173" s="146"/>
      <c r="Y1173" s="146"/>
      <c r="Z1173" s="146"/>
    </row>
    <row r="1174" ht="22.5" customHeight="1">
      <c r="A1174" s="329"/>
      <c r="B1174" s="274"/>
      <c r="C1174" s="138"/>
      <c r="D1174" s="118"/>
      <c r="E1174" s="138"/>
      <c r="F1174" s="138"/>
      <c r="G1174" s="330"/>
      <c r="H1174" s="146"/>
      <c r="I1174" s="146"/>
      <c r="J1174" s="146"/>
      <c r="K1174" s="146"/>
      <c r="L1174" s="146"/>
      <c r="M1174" s="146"/>
      <c r="N1174" s="146"/>
      <c r="O1174" s="146"/>
      <c r="P1174" s="146"/>
      <c r="Q1174" s="146"/>
      <c r="R1174" s="146"/>
      <c r="S1174" s="146"/>
      <c r="T1174" s="146"/>
      <c r="U1174" s="146"/>
      <c r="V1174" s="146"/>
      <c r="W1174" s="146"/>
      <c r="X1174" s="146"/>
      <c r="Y1174" s="146"/>
      <c r="Z1174" s="146"/>
    </row>
    <row r="1175" ht="22.5" customHeight="1">
      <c r="A1175" s="329"/>
      <c r="B1175" s="274"/>
      <c r="C1175" s="138"/>
      <c r="D1175" s="118"/>
      <c r="E1175" s="138"/>
      <c r="F1175" s="138"/>
      <c r="G1175" s="330"/>
      <c r="H1175" s="146"/>
      <c r="I1175" s="146"/>
      <c r="J1175" s="146"/>
      <c r="K1175" s="146"/>
      <c r="L1175" s="146"/>
      <c r="M1175" s="146"/>
      <c r="N1175" s="146"/>
      <c r="O1175" s="146"/>
      <c r="P1175" s="146"/>
      <c r="Q1175" s="146"/>
      <c r="R1175" s="146"/>
      <c r="S1175" s="146"/>
      <c r="T1175" s="146"/>
      <c r="U1175" s="146"/>
      <c r="V1175" s="146"/>
      <c r="W1175" s="146"/>
      <c r="X1175" s="146"/>
      <c r="Y1175" s="146"/>
      <c r="Z1175" s="146"/>
    </row>
    <row r="1176" ht="22.5" customHeight="1">
      <c r="A1176" s="329"/>
      <c r="B1176" s="274"/>
      <c r="C1176" s="138"/>
      <c r="D1176" s="118"/>
      <c r="E1176" s="138"/>
      <c r="F1176" s="138"/>
      <c r="G1176" s="330"/>
      <c r="H1176" s="146"/>
      <c r="I1176" s="146"/>
      <c r="J1176" s="146"/>
      <c r="K1176" s="146"/>
      <c r="L1176" s="146"/>
      <c r="M1176" s="146"/>
      <c r="N1176" s="146"/>
      <c r="O1176" s="146"/>
      <c r="P1176" s="146"/>
      <c r="Q1176" s="146"/>
      <c r="R1176" s="146"/>
      <c r="S1176" s="146"/>
      <c r="T1176" s="146"/>
      <c r="U1176" s="146"/>
      <c r="V1176" s="146"/>
      <c r="W1176" s="146"/>
      <c r="X1176" s="146"/>
      <c r="Y1176" s="146"/>
      <c r="Z1176" s="146"/>
    </row>
    <row r="1177" ht="22.5" customHeight="1">
      <c r="A1177" s="329"/>
      <c r="B1177" s="274"/>
      <c r="C1177" s="138"/>
      <c r="D1177" s="118"/>
      <c r="E1177" s="138"/>
      <c r="F1177" s="138"/>
      <c r="G1177" s="330"/>
      <c r="H1177" s="146"/>
      <c r="I1177" s="146"/>
      <c r="J1177" s="146"/>
      <c r="K1177" s="146"/>
      <c r="L1177" s="146"/>
      <c r="M1177" s="146"/>
      <c r="N1177" s="146"/>
      <c r="O1177" s="146"/>
      <c r="P1177" s="146"/>
      <c r="Q1177" s="146"/>
      <c r="R1177" s="146"/>
      <c r="S1177" s="146"/>
      <c r="T1177" s="146"/>
      <c r="U1177" s="146"/>
      <c r="V1177" s="146"/>
      <c r="W1177" s="146"/>
      <c r="X1177" s="146"/>
      <c r="Y1177" s="146"/>
      <c r="Z1177" s="146"/>
    </row>
    <row r="1178" ht="22.5" customHeight="1">
      <c r="A1178" s="329"/>
      <c r="B1178" s="274"/>
      <c r="C1178" s="138"/>
      <c r="D1178" s="118"/>
      <c r="E1178" s="138"/>
      <c r="F1178" s="138"/>
      <c r="G1178" s="330"/>
      <c r="H1178" s="146"/>
      <c r="I1178" s="146"/>
      <c r="J1178" s="146"/>
      <c r="K1178" s="146"/>
      <c r="L1178" s="146"/>
      <c r="M1178" s="146"/>
      <c r="N1178" s="146"/>
      <c r="O1178" s="146"/>
      <c r="P1178" s="146"/>
      <c r="Q1178" s="146"/>
      <c r="R1178" s="146"/>
      <c r="S1178" s="146"/>
      <c r="T1178" s="146"/>
      <c r="U1178" s="146"/>
      <c r="V1178" s="146"/>
      <c r="W1178" s="146"/>
      <c r="X1178" s="146"/>
      <c r="Y1178" s="146"/>
      <c r="Z1178" s="146"/>
    </row>
    <row r="1179" ht="22.5" customHeight="1">
      <c r="A1179" s="329"/>
      <c r="B1179" s="274"/>
      <c r="C1179" s="138"/>
      <c r="D1179" s="118"/>
      <c r="E1179" s="138"/>
      <c r="F1179" s="138"/>
      <c r="G1179" s="330"/>
      <c r="H1179" s="146"/>
      <c r="I1179" s="146"/>
      <c r="J1179" s="146"/>
      <c r="K1179" s="146"/>
      <c r="L1179" s="146"/>
      <c r="M1179" s="146"/>
      <c r="N1179" s="146"/>
      <c r="O1179" s="146"/>
      <c r="P1179" s="146"/>
      <c r="Q1179" s="146"/>
      <c r="R1179" s="146"/>
      <c r="S1179" s="146"/>
      <c r="T1179" s="146"/>
      <c r="U1179" s="146"/>
      <c r="V1179" s="146"/>
      <c r="W1179" s="146"/>
      <c r="X1179" s="146"/>
      <c r="Y1179" s="146"/>
      <c r="Z1179" s="146"/>
    </row>
    <row r="1180" ht="22.5" customHeight="1">
      <c r="A1180" s="329"/>
      <c r="B1180" s="274"/>
      <c r="C1180" s="138"/>
      <c r="D1180" s="118"/>
      <c r="E1180" s="138"/>
      <c r="F1180" s="138"/>
      <c r="G1180" s="330"/>
      <c r="H1180" s="146"/>
      <c r="I1180" s="146"/>
      <c r="J1180" s="146"/>
      <c r="K1180" s="146"/>
      <c r="L1180" s="146"/>
      <c r="M1180" s="146"/>
      <c r="N1180" s="146"/>
      <c r="O1180" s="146"/>
      <c r="P1180" s="146"/>
      <c r="Q1180" s="146"/>
      <c r="R1180" s="146"/>
      <c r="S1180" s="146"/>
      <c r="T1180" s="146"/>
      <c r="U1180" s="146"/>
      <c r="V1180" s="146"/>
      <c r="W1180" s="146"/>
      <c r="X1180" s="146"/>
      <c r="Y1180" s="146"/>
      <c r="Z1180" s="146"/>
    </row>
    <row r="1181" ht="22.5" customHeight="1">
      <c r="A1181" s="329"/>
      <c r="B1181" s="274"/>
      <c r="C1181" s="138"/>
      <c r="D1181" s="118"/>
      <c r="E1181" s="138"/>
      <c r="F1181" s="138"/>
      <c r="G1181" s="330"/>
      <c r="H1181" s="146"/>
      <c r="I1181" s="146"/>
      <c r="J1181" s="146"/>
      <c r="K1181" s="146"/>
      <c r="L1181" s="146"/>
      <c r="M1181" s="146"/>
      <c r="N1181" s="146"/>
      <c r="O1181" s="146"/>
      <c r="P1181" s="146"/>
      <c r="Q1181" s="146"/>
      <c r="R1181" s="146"/>
      <c r="S1181" s="146"/>
      <c r="T1181" s="146"/>
      <c r="U1181" s="146"/>
      <c r="V1181" s="146"/>
      <c r="W1181" s="146"/>
      <c r="X1181" s="146"/>
      <c r="Y1181" s="146"/>
      <c r="Z1181" s="146"/>
    </row>
    <row r="1182" ht="22.5" customHeight="1">
      <c r="A1182" s="329"/>
      <c r="B1182" s="274"/>
      <c r="C1182" s="138"/>
      <c r="D1182" s="118"/>
      <c r="E1182" s="138"/>
      <c r="F1182" s="138"/>
      <c r="G1182" s="330"/>
      <c r="H1182" s="146"/>
      <c r="I1182" s="146"/>
      <c r="J1182" s="146"/>
      <c r="K1182" s="146"/>
      <c r="L1182" s="146"/>
      <c r="M1182" s="146"/>
      <c r="N1182" s="146"/>
      <c r="O1182" s="146"/>
      <c r="P1182" s="146"/>
      <c r="Q1182" s="146"/>
      <c r="R1182" s="146"/>
      <c r="S1182" s="146"/>
      <c r="T1182" s="146"/>
      <c r="U1182" s="146"/>
      <c r="V1182" s="146"/>
      <c r="W1182" s="146"/>
      <c r="X1182" s="146"/>
      <c r="Y1182" s="146"/>
      <c r="Z1182" s="146"/>
    </row>
    <row r="1183" ht="22.5" customHeight="1">
      <c r="A1183" s="329"/>
      <c r="B1183" s="274"/>
      <c r="C1183" s="138"/>
      <c r="D1183" s="118"/>
      <c r="E1183" s="138"/>
      <c r="F1183" s="138"/>
      <c r="G1183" s="330"/>
      <c r="H1183" s="146"/>
      <c r="I1183" s="146"/>
      <c r="J1183" s="146"/>
      <c r="K1183" s="146"/>
      <c r="L1183" s="146"/>
      <c r="M1183" s="146"/>
      <c r="N1183" s="146"/>
      <c r="O1183" s="146"/>
      <c r="P1183" s="146"/>
      <c r="Q1183" s="146"/>
      <c r="R1183" s="146"/>
      <c r="S1183" s="146"/>
      <c r="T1183" s="146"/>
      <c r="U1183" s="146"/>
      <c r="V1183" s="146"/>
      <c r="W1183" s="146"/>
      <c r="X1183" s="146"/>
      <c r="Y1183" s="146"/>
      <c r="Z1183" s="146"/>
    </row>
    <row r="1184" ht="22.5" customHeight="1">
      <c r="A1184" s="329"/>
      <c r="B1184" s="274"/>
      <c r="C1184" s="138"/>
      <c r="D1184" s="118"/>
      <c r="E1184" s="138"/>
      <c r="F1184" s="138"/>
      <c r="G1184" s="330"/>
      <c r="H1184" s="146"/>
      <c r="I1184" s="146"/>
      <c r="J1184" s="146"/>
      <c r="K1184" s="146"/>
      <c r="L1184" s="146"/>
      <c r="M1184" s="146"/>
      <c r="N1184" s="146"/>
      <c r="O1184" s="146"/>
      <c r="P1184" s="146"/>
      <c r="Q1184" s="146"/>
      <c r="R1184" s="146"/>
      <c r="S1184" s="146"/>
      <c r="T1184" s="146"/>
      <c r="U1184" s="146"/>
      <c r="V1184" s="146"/>
      <c r="W1184" s="146"/>
      <c r="X1184" s="146"/>
      <c r="Y1184" s="146"/>
      <c r="Z1184" s="146"/>
    </row>
    <row r="1185" ht="22.5" customHeight="1">
      <c r="A1185" s="329"/>
      <c r="B1185" s="274"/>
      <c r="C1185" s="138"/>
      <c r="D1185" s="118"/>
      <c r="E1185" s="138"/>
      <c r="F1185" s="138"/>
      <c r="G1185" s="330"/>
      <c r="H1185" s="146"/>
      <c r="I1185" s="146"/>
      <c r="J1185" s="146"/>
      <c r="K1185" s="146"/>
      <c r="L1185" s="146"/>
      <c r="M1185" s="146"/>
      <c r="N1185" s="146"/>
      <c r="O1185" s="146"/>
      <c r="P1185" s="146"/>
      <c r="Q1185" s="146"/>
      <c r="R1185" s="146"/>
      <c r="S1185" s="146"/>
      <c r="T1185" s="146"/>
      <c r="U1185" s="146"/>
      <c r="V1185" s="146"/>
      <c r="W1185" s="146"/>
      <c r="X1185" s="146"/>
      <c r="Y1185" s="146"/>
      <c r="Z1185" s="146"/>
    </row>
    <row r="1186" ht="22.5" customHeight="1">
      <c r="A1186" s="329"/>
      <c r="B1186" s="274"/>
      <c r="C1186" s="138"/>
      <c r="D1186" s="118"/>
      <c r="E1186" s="138"/>
      <c r="F1186" s="138"/>
      <c r="G1186" s="330"/>
      <c r="H1186" s="146"/>
      <c r="I1186" s="146"/>
      <c r="J1186" s="146"/>
      <c r="K1186" s="146"/>
      <c r="L1186" s="146"/>
      <c r="M1186" s="146"/>
      <c r="N1186" s="146"/>
      <c r="O1186" s="146"/>
      <c r="P1186" s="146"/>
      <c r="Q1186" s="146"/>
      <c r="R1186" s="146"/>
      <c r="S1186" s="146"/>
      <c r="T1186" s="146"/>
      <c r="U1186" s="146"/>
      <c r="V1186" s="146"/>
      <c r="W1186" s="146"/>
      <c r="X1186" s="146"/>
      <c r="Y1186" s="146"/>
      <c r="Z1186" s="146"/>
    </row>
    <row r="1187" ht="22.5" customHeight="1">
      <c r="A1187" s="329"/>
      <c r="B1187" s="274"/>
      <c r="C1187" s="138"/>
      <c r="D1187" s="118"/>
      <c r="E1187" s="138"/>
      <c r="F1187" s="138"/>
      <c r="G1187" s="330"/>
      <c r="H1187" s="146"/>
      <c r="I1187" s="146"/>
      <c r="J1187" s="146"/>
      <c r="K1187" s="146"/>
      <c r="L1187" s="146"/>
      <c r="M1187" s="146"/>
      <c r="N1187" s="146"/>
      <c r="O1187" s="146"/>
      <c r="P1187" s="146"/>
      <c r="Q1187" s="146"/>
      <c r="R1187" s="146"/>
      <c r="S1187" s="146"/>
      <c r="T1187" s="146"/>
      <c r="U1187" s="146"/>
      <c r="V1187" s="146"/>
      <c r="W1187" s="146"/>
      <c r="X1187" s="146"/>
      <c r="Y1187" s="146"/>
      <c r="Z1187" s="146"/>
    </row>
    <row r="1188" ht="22.5" customHeight="1">
      <c r="A1188" s="329"/>
      <c r="B1188" s="274"/>
      <c r="C1188" s="138"/>
      <c r="D1188" s="118"/>
      <c r="E1188" s="138"/>
      <c r="F1188" s="138"/>
      <c r="G1188" s="330"/>
      <c r="H1188" s="146"/>
      <c r="I1188" s="146"/>
      <c r="J1188" s="146"/>
      <c r="K1188" s="146"/>
      <c r="L1188" s="146"/>
      <c r="M1188" s="146"/>
      <c r="N1188" s="146"/>
      <c r="O1188" s="146"/>
      <c r="P1188" s="146"/>
      <c r="Q1188" s="146"/>
      <c r="R1188" s="146"/>
      <c r="S1188" s="146"/>
      <c r="T1188" s="146"/>
      <c r="U1188" s="146"/>
      <c r="V1188" s="146"/>
      <c r="W1188" s="146"/>
      <c r="X1188" s="146"/>
      <c r="Y1188" s="146"/>
      <c r="Z1188" s="146"/>
    </row>
    <row r="1189" ht="22.5" customHeight="1">
      <c r="A1189" s="329"/>
      <c r="B1189" s="274"/>
      <c r="C1189" s="138"/>
      <c r="D1189" s="118"/>
      <c r="E1189" s="138"/>
      <c r="F1189" s="138"/>
      <c r="G1189" s="330"/>
      <c r="H1189" s="146"/>
      <c r="I1189" s="146"/>
      <c r="J1189" s="146"/>
      <c r="K1189" s="146"/>
      <c r="L1189" s="146"/>
      <c r="M1189" s="146"/>
      <c r="N1189" s="146"/>
      <c r="O1189" s="146"/>
      <c r="P1189" s="146"/>
      <c r="Q1189" s="146"/>
      <c r="R1189" s="146"/>
      <c r="S1189" s="146"/>
      <c r="T1189" s="146"/>
      <c r="U1189" s="146"/>
      <c r="V1189" s="146"/>
      <c r="W1189" s="146"/>
      <c r="X1189" s="146"/>
      <c r="Y1189" s="146"/>
      <c r="Z1189" s="146"/>
    </row>
    <row r="1190" ht="22.5" customHeight="1">
      <c r="A1190" s="329"/>
      <c r="B1190" s="274"/>
      <c r="C1190" s="138"/>
      <c r="D1190" s="118"/>
      <c r="E1190" s="138"/>
      <c r="F1190" s="138"/>
      <c r="G1190" s="330"/>
      <c r="H1190" s="146"/>
      <c r="I1190" s="146"/>
      <c r="J1190" s="146"/>
      <c r="K1190" s="146"/>
      <c r="L1190" s="146"/>
      <c r="M1190" s="146"/>
      <c r="N1190" s="146"/>
      <c r="O1190" s="146"/>
      <c r="P1190" s="146"/>
      <c r="Q1190" s="146"/>
      <c r="R1190" s="146"/>
      <c r="S1190" s="146"/>
      <c r="T1190" s="146"/>
      <c r="U1190" s="146"/>
      <c r="V1190" s="146"/>
      <c r="W1190" s="146"/>
      <c r="X1190" s="146"/>
      <c r="Y1190" s="146"/>
      <c r="Z1190" s="146"/>
    </row>
    <row r="1191" ht="22.5" customHeight="1">
      <c r="A1191" s="329"/>
      <c r="B1191" s="274"/>
      <c r="C1191" s="138"/>
      <c r="D1191" s="118"/>
      <c r="E1191" s="138"/>
      <c r="F1191" s="138"/>
      <c r="G1191" s="330"/>
      <c r="H1191" s="146"/>
      <c r="I1191" s="146"/>
      <c r="J1191" s="146"/>
      <c r="K1191" s="146"/>
      <c r="L1191" s="146"/>
      <c r="M1191" s="146"/>
      <c r="N1191" s="146"/>
      <c r="O1191" s="146"/>
      <c r="P1191" s="146"/>
      <c r="Q1191" s="146"/>
      <c r="R1191" s="146"/>
      <c r="S1191" s="146"/>
      <c r="T1191" s="146"/>
      <c r="U1191" s="146"/>
      <c r="V1191" s="146"/>
      <c r="W1191" s="146"/>
      <c r="X1191" s="146"/>
      <c r="Y1191" s="146"/>
      <c r="Z1191" s="146"/>
    </row>
    <row r="1192" ht="22.5" customHeight="1">
      <c r="A1192" s="329"/>
      <c r="B1192" s="274"/>
      <c r="C1192" s="138"/>
      <c r="D1192" s="118"/>
      <c r="E1192" s="138"/>
      <c r="F1192" s="138"/>
      <c r="G1192" s="330"/>
      <c r="H1192" s="146"/>
      <c r="I1192" s="146"/>
      <c r="J1192" s="146"/>
      <c r="K1192" s="146"/>
      <c r="L1192" s="146"/>
      <c r="M1192" s="146"/>
      <c r="N1192" s="146"/>
      <c r="O1192" s="146"/>
      <c r="P1192" s="146"/>
      <c r="Q1192" s="146"/>
      <c r="R1192" s="146"/>
      <c r="S1192" s="146"/>
      <c r="T1192" s="146"/>
      <c r="U1192" s="146"/>
      <c r="V1192" s="146"/>
      <c r="W1192" s="146"/>
      <c r="X1192" s="146"/>
      <c r="Y1192" s="146"/>
      <c r="Z1192" s="146"/>
    </row>
    <row r="1193" ht="22.5" customHeight="1">
      <c r="A1193" s="329"/>
      <c r="B1193" s="274"/>
      <c r="C1193" s="138"/>
      <c r="D1193" s="118"/>
      <c r="E1193" s="138"/>
      <c r="F1193" s="138"/>
      <c r="G1193" s="330"/>
      <c r="H1193" s="146"/>
      <c r="I1193" s="146"/>
      <c r="J1193" s="146"/>
      <c r="K1193" s="146"/>
      <c r="L1193" s="146"/>
      <c r="M1193" s="146"/>
      <c r="N1193" s="146"/>
      <c r="O1193" s="146"/>
      <c r="P1193" s="146"/>
      <c r="Q1193" s="146"/>
      <c r="R1193" s="146"/>
      <c r="S1193" s="146"/>
      <c r="T1193" s="146"/>
      <c r="U1193" s="146"/>
      <c r="V1193" s="146"/>
      <c r="W1193" s="146"/>
      <c r="X1193" s="146"/>
      <c r="Y1193" s="146"/>
      <c r="Z1193" s="146"/>
    </row>
    <row r="1194" ht="22.5" customHeight="1">
      <c r="A1194" s="329"/>
      <c r="B1194" s="274"/>
      <c r="C1194" s="138"/>
      <c r="D1194" s="118"/>
      <c r="E1194" s="138"/>
      <c r="F1194" s="138"/>
      <c r="G1194" s="330"/>
      <c r="H1194" s="146"/>
      <c r="I1194" s="146"/>
      <c r="J1194" s="146"/>
      <c r="K1194" s="146"/>
      <c r="L1194" s="146"/>
      <c r="M1194" s="146"/>
      <c r="N1194" s="146"/>
      <c r="O1194" s="146"/>
      <c r="P1194" s="146"/>
      <c r="Q1194" s="146"/>
      <c r="R1194" s="146"/>
      <c r="S1194" s="146"/>
      <c r="T1194" s="146"/>
      <c r="U1194" s="146"/>
      <c r="V1194" s="146"/>
      <c r="W1194" s="146"/>
      <c r="X1194" s="146"/>
      <c r="Y1194" s="146"/>
      <c r="Z1194" s="146"/>
    </row>
    <row r="1195" ht="22.5" customHeight="1">
      <c r="A1195" s="329"/>
      <c r="B1195" s="274"/>
      <c r="C1195" s="138"/>
      <c r="D1195" s="118"/>
      <c r="E1195" s="138"/>
      <c r="F1195" s="138"/>
      <c r="G1195" s="330"/>
      <c r="H1195" s="146"/>
      <c r="I1195" s="146"/>
      <c r="J1195" s="146"/>
      <c r="K1195" s="146"/>
      <c r="L1195" s="146"/>
      <c r="M1195" s="146"/>
      <c r="N1195" s="146"/>
      <c r="O1195" s="146"/>
      <c r="P1195" s="146"/>
      <c r="Q1195" s="146"/>
      <c r="R1195" s="146"/>
      <c r="S1195" s="146"/>
      <c r="T1195" s="146"/>
      <c r="U1195" s="146"/>
      <c r="V1195" s="146"/>
      <c r="W1195" s="146"/>
      <c r="X1195" s="146"/>
      <c r="Y1195" s="146"/>
      <c r="Z1195" s="146"/>
    </row>
    <row r="1196" ht="22.5" customHeight="1">
      <c r="A1196" s="329"/>
      <c r="B1196" s="274"/>
      <c r="C1196" s="138"/>
      <c r="D1196" s="118"/>
      <c r="E1196" s="138"/>
      <c r="F1196" s="138"/>
      <c r="G1196" s="330"/>
      <c r="H1196" s="146"/>
      <c r="I1196" s="146"/>
      <c r="J1196" s="146"/>
      <c r="K1196" s="146"/>
      <c r="L1196" s="146"/>
      <c r="M1196" s="146"/>
      <c r="N1196" s="146"/>
      <c r="O1196" s="146"/>
      <c r="P1196" s="146"/>
      <c r="Q1196" s="146"/>
      <c r="R1196" s="146"/>
      <c r="S1196" s="146"/>
      <c r="T1196" s="146"/>
      <c r="U1196" s="146"/>
      <c r="V1196" s="146"/>
      <c r="W1196" s="146"/>
      <c r="X1196" s="146"/>
      <c r="Y1196" s="146"/>
      <c r="Z1196" s="146"/>
    </row>
    <row r="1197" ht="22.5" customHeight="1">
      <c r="A1197" s="329"/>
      <c r="B1197" s="274"/>
      <c r="C1197" s="138"/>
      <c r="D1197" s="118"/>
      <c r="E1197" s="138"/>
      <c r="F1197" s="138"/>
      <c r="G1197" s="330"/>
      <c r="H1197" s="146"/>
      <c r="I1197" s="146"/>
      <c r="J1197" s="146"/>
      <c r="K1197" s="146"/>
      <c r="L1197" s="146"/>
      <c r="M1197" s="146"/>
      <c r="N1197" s="146"/>
      <c r="O1197" s="146"/>
      <c r="P1197" s="146"/>
      <c r="Q1197" s="146"/>
      <c r="R1197" s="146"/>
      <c r="S1197" s="146"/>
      <c r="T1197" s="146"/>
      <c r="U1197" s="146"/>
      <c r="V1197" s="146"/>
      <c r="W1197" s="146"/>
      <c r="X1197" s="146"/>
      <c r="Y1197" s="146"/>
      <c r="Z1197" s="146"/>
    </row>
    <row r="1198" ht="22.5" customHeight="1">
      <c r="A1198" s="329"/>
      <c r="B1198" s="274"/>
      <c r="C1198" s="138"/>
      <c r="D1198" s="118"/>
      <c r="E1198" s="138"/>
      <c r="F1198" s="138"/>
      <c r="G1198" s="330"/>
      <c r="H1198" s="146"/>
      <c r="I1198" s="146"/>
      <c r="J1198" s="146"/>
      <c r="K1198" s="146"/>
      <c r="L1198" s="146"/>
      <c r="M1198" s="146"/>
      <c r="N1198" s="146"/>
      <c r="O1198" s="146"/>
      <c r="P1198" s="146"/>
      <c r="Q1198" s="146"/>
      <c r="R1198" s="146"/>
      <c r="S1198" s="146"/>
      <c r="T1198" s="146"/>
      <c r="U1198" s="146"/>
      <c r="V1198" s="146"/>
      <c r="W1198" s="146"/>
      <c r="X1198" s="146"/>
      <c r="Y1198" s="146"/>
      <c r="Z1198" s="146"/>
    </row>
    <row r="1199" ht="22.5" customHeight="1">
      <c r="A1199" s="329"/>
      <c r="B1199" s="274"/>
      <c r="C1199" s="138"/>
      <c r="D1199" s="118"/>
      <c r="E1199" s="138"/>
      <c r="F1199" s="138"/>
      <c r="G1199" s="330"/>
      <c r="H1199" s="146"/>
      <c r="I1199" s="146"/>
      <c r="J1199" s="146"/>
      <c r="K1199" s="146"/>
      <c r="L1199" s="146"/>
      <c r="M1199" s="146"/>
      <c r="N1199" s="146"/>
      <c r="O1199" s="146"/>
      <c r="P1199" s="146"/>
      <c r="Q1199" s="146"/>
      <c r="R1199" s="146"/>
      <c r="S1199" s="146"/>
      <c r="T1199" s="146"/>
      <c r="U1199" s="146"/>
      <c r="V1199" s="146"/>
      <c r="W1199" s="146"/>
      <c r="X1199" s="146"/>
      <c r="Y1199" s="146"/>
      <c r="Z1199" s="146"/>
    </row>
    <row r="1200" ht="22.5" customHeight="1">
      <c r="A1200" s="329"/>
      <c r="B1200" s="274"/>
      <c r="C1200" s="138"/>
      <c r="D1200" s="118"/>
      <c r="E1200" s="138"/>
      <c r="F1200" s="138"/>
      <c r="G1200" s="330"/>
      <c r="H1200" s="146"/>
      <c r="I1200" s="146"/>
      <c r="J1200" s="146"/>
      <c r="K1200" s="146"/>
      <c r="L1200" s="146"/>
      <c r="M1200" s="146"/>
      <c r="N1200" s="146"/>
      <c r="O1200" s="146"/>
      <c r="P1200" s="146"/>
      <c r="Q1200" s="146"/>
      <c r="R1200" s="146"/>
      <c r="S1200" s="146"/>
      <c r="T1200" s="146"/>
      <c r="U1200" s="146"/>
      <c r="V1200" s="146"/>
      <c r="W1200" s="146"/>
      <c r="X1200" s="146"/>
      <c r="Y1200" s="146"/>
      <c r="Z1200" s="146"/>
    </row>
    <row r="1201" ht="22.5" customHeight="1">
      <c r="A1201" s="329"/>
      <c r="B1201" s="274"/>
      <c r="C1201" s="138"/>
      <c r="D1201" s="118"/>
      <c r="E1201" s="138"/>
      <c r="F1201" s="138"/>
      <c r="G1201" s="330"/>
      <c r="H1201" s="146"/>
      <c r="I1201" s="146"/>
      <c r="J1201" s="146"/>
      <c r="K1201" s="146"/>
      <c r="L1201" s="146"/>
      <c r="M1201" s="146"/>
      <c r="N1201" s="146"/>
      <c r="O1201" s="146"/>
      <c r="P1201" s="146"/>
      <c r="Q1201" s="146"/>
      <c r="R1201" s="146"/>
      <c r="S1201" s="146"/>
      <c r="T1201" s="146"/>
      <c r="U1201" s="146"/>
      <c r="V1201" s="146"/>
      <c r="W1201" s="146"/>
      <c r="X1201" s="146"/>
      <c r="Y1201" s="146"/>
      <c r="Z1201" s="146"/>
    </row>
    <row r="1202" ht="22.5" customHeight="1">
      <c r="A1202" s="329"/>
      <c r="B1202" s="274"/>
      <c r="C1202" s="138"/>
      <c r="D1202" s="118"/>
      <c r="E1202" s="138"/>
      <c r="F1202" s="138"/>
      <c r="G1202" s="330"/>
      <c r="H1202" s="146"/>
      <c r="I1202" s="146"/>
      <c r="J1202" s="146"/>
      <c r="K1202" s="146"/>
      <c r="L1202" s="146"/>
      <c r="M1202" s="146"/>
      <c r="N1202" s="146"/>
      <c r="O1202" s="146"/>
      <c r="P1202" s="146"/>
      <c r="Q1202" s="146"/>
      <c r="R1202" s="146"/>
      <c r="S1202" s="146"/>
      <c r="T1202" s="146"/>
      <c r="U1202" s="146"/>
      <c r="V1202" s="146"/>
      <c r="W1202" s="146"/>
      <c r="X1202" s="146"/>
      <c r="Y1202" s="146"/>
      <c r="Z1202" s="146"/>
    </row>
    <row r="1203" ht="22.5" customHeight="1">
      <c r="A1203" s="329"/>
      <c r="B1203" s="274"/>
      <c r="C1203" s="138"/>
      <c r="D1203" s="118"/>
      <c r="E1203" s="138"/>
      <c r="F1203" s="138"/>
      <c r="G1203" s="330"/>
      <c r="H1203" s="146"/>
      <c r="I1203" s="146"/>
      <c r="J1203" s="146"/>
      <c r="K1203" s="146"/>
      <c r="L1203" s="146"/>
      <c r="M1203" s="146"/>
      <c r="N1203" s="146"/>
      <c r="O1203" s="146"/>
      <c r="P1203" s="146"/>
      <c r="Q1203" s="146"/>
      <c r="R1203" s="146"/>
      <c r="S1203" s="146"/>
      <c r="T1203" s="146"/>
      <c r="U1203" s="146"/>
      <c r="V1203" s="146"/>
      <c r="W1203" s="146"/>
      <c r="X1203" s="146"/>
      <c r="Y1203" s="146"/>
      <c r="Z1203" s="146"/>
    </row>
    <row r="1204" ht="22.5" customHeight="1">
      <c r="A1204" s="329"/>
      <c r="B1204" s="274"/>
      <c r="C1204" s="138"/>
      <c r="D1204" s="118"/>
      <c r="E1204" s="138"/>
      <c r="F1204" s="138"/>
      <c r="G1204" s="330"/>
      <c r="H1204" s="146"/>
      <c r="I1204" s="146"/>
      <c r="J1204" s="146"/>
      <c r="K1204" s="146"/>
      <c r="L1204" s="146"/>
      <c r="M1204" s="146"/>
      <c r="N1204" s="146"/>
      <c r="O1204" s="146"/>
      <c r="P1204" s="146"/>
      <c r="Q1204" s="146"/>
      <c r="R1204" s="146"/>
      <c r="S1204" s="146"/>
      <c r="T1204" s="146"/>
      <c r="U1204" s="146"/>
      <c r="V1204" s="146"/>
      <c r="W1204" s="146"/>
      <c r="X1204" s="146"/>
      <c r="Y1204" s="146"/>
      <c r="Z1204" s="146"/>
    </row>
    <row r="1205" ht="22.5" customHeight="1">
      <c r="A1205" s="329"/>
      <c r="B1205" s="274"/>
      <c r="C1205" s="138"/>
      <c r="D1205" s="118"/>
      <c r="E1205" s="138"/>
      <c r="F1205" s="138"/>
      <c r="G1205" s="330"/>
      <c r="H1205" s="146"/>
      <c r="I1205" s="146"/>
      <c r="J1205" s="146"/>
      <c r="K1205" s="146"/>
      <c r="L1205" s="146"/>
      <c r="M1205" s="146"/>
      <c r="N1205" s="146"/>
      <c r="O1205" s="146"/>
      <c r="P1205" s="146"/>
      <c r="Q1205" s="146"/>
      <c r="R1205" s="146"/>
      <c r="S1205" s="146"/>
      <c r="T1205" s="146"/>
      <c r="U1205" s="146"/>
      <c r="V1205" s="146"/>
      <c r="W1205" s="146"/>
      <c r="X1205" s="146"/>
      <c r="Y1205" s="146"/>
      <c r="Z1205" s="146"/>
    </row>
    <row r="1206" ht="22.5" customHeight="1">
      <c r="A1206" s="329"/>
      <c r="B1206" s="274"/>
      <c r="C1206" s="138"/>
      <c r="D1206" s="118"/>
      <c r="E1206" s="138"/>
      <c r="F1206" s="138"/>
      <c r="G1206" s="330"/>
      <c r="H1206" s="146"/>
      <c r="I1206" s="146"/>
      <c r="J1206" s="146"/>
      <c r="K1206" s="146"/>
      <c r="L1206" s="146"/>
      <c r="M1206" s="146"/>
      <c r="N1206" s="146"/>
      <c r="O1206" s="146"/>
      <c r="P1206" s="146"/>
      <c r="Q1206" s="146"/>
      <c r="R1206" s="146"/>
      <c r="S1206" s="146"/>
      <c r="T1206" s="146"/>
      <c r="U1206" s="146"/>
      <c r="V1206" s="146"/>
      <c r="W1206" s="146"/>
      <c r="X1206" s="146"/>
      <c r="Y1206" s="146"/>
      <c r="Z1206" s="146"/>
    </row>
    <row r="1207" ht="22.5" customHeight="1">
      <c r="A1207" s="329"/>
      <c r="B1207" s="274"/>
      <c r="C1207" s="138"/>
      <c r="D1207" s="118"/>
      <c r="E1207" s="138"/>
      <c r="F1207" s="138"/>
      <c r="G1207" s="330"/>
      <c r="H1207" s="146"/>
      <c r="I1207" s="146"/>
      <c r="J1207" s="146"/>
      <c r="K1207" s="146"/>
      <c r="L1207" s="146"/>
      <c r="M1207" s="146"/>
      <c r="N1207" s="146"/>
      <c r="O1207" s="146"/>
      <c r="P1207" s="146"/>
      <c r="Q1207" s="146"/>
      <c r="R1207" s="146"/>
      <c r="S1207" s="146"/>
      <c r="T1207" s="146"/>
      <c r="U1207" s="146"/>
      <c r="V1207" s="146"/>
      <c r="W1207" s="146"/>
      <c r="X1207" s="146"/>
      <c r="Y1207" s="146"/>
      <c r="Z1207" s="146"/>
    </row>
    <row r="1208" ht="22.5" customHeight="1">
      <c r="A1208" s="329"/>
      <c r="B1208" s="274"/>
      <c r="C1208" s="138"/>
      <c r="D1208" s="118"/>
      <c r="E1208" s="138"/>
      <c r="F1208" s="138"/>
      <c r="G1208" s="330"/>
      <c r="H1208" s="146"/>
      <c r="I1208" s="146"/>
      <c r="J1208" s="146"/>
      <c r="K1208" s="146"/>
      <c r="L1208" s="146"/>
      <c r="M1208" s="146"/>
      <c r="N1208" s="146"/>
      <c r="O1208" s="146"/>
      <c r="P1208" s="146"/>
      <c r="Q1208" s="146"/>
      <c r="R1208" s="146"/>
      <c r="S1208" s="146"/>
      <c r="T1208" s="146"/>
      <c r="U1208" s="146"/>
      <c r="V1208" s="146"/>
      <c r="W1208" s="146"/>
      <c r="X1208" s="146"/>
      <c r="Y1208" s="146"/>
      <c r="Z1208" s="146"/>
    </row>
    <row r="1209" ht="22.5" customHeight="1">
      <c r="A1209" s="329"/>
      <c r="B1209" s="274"/>
      <c r="C1209" s="138"/>
      <c r="D1209" s="118"/>
      <c r="E1209" s="138"/>
      <c r="F1209" s="138"/>
      <c r="G1209" s="330"/>
      <c r="H1209" s="146"/>
      <c r="I1209" s="146"/>
      <c r="J1209" s="146"/>
      <c r="K1209" s="146"/>
      <c r="L1209" s="146"/>
      <c r="M1209" s="146"/>
      <c r="N1209" s="146"/>
      <c r="O1209" s="146"/>
      <c r="P1209" s="146"/>
      <c r="Q1209" s="146"/>
      <c r="R1209" s="146"/>
      <c r="S1209" s="146"/>
      <c r="T1209" s="146"/>
      <c r="U1209" s="146"/>
      <c r="V1209" s="146"/>
      <c r="W1209" s="146"/>
      <c r="X1209" s="146"/>
      <c r="Y1209" s="146"/>
      <c r="Z1209" s="146"/>
    </row>
    <row r="1210" ht="22.5" customHeight="1">
      <c r="A1210" s="329"/>
      <c r="B1210" s="274"/>
      <c r="C1210" s="138"/>
      <c r="D1210" s="118"/>
      <c r="E1210" s="138"/>
      <c r="F1210" s="138"/>
      <c r="G1210" s="330"/>
      <c r="H1210" s="146"/>
      <c r="I1210" s="146"/>
      <c r="J1210" s="146"/>
      <c r="K1210" s="146"/>
      <c r="L1210" s="146"/>
      <c r="M1210" s="146"/>
      <c r="N1210" s="146"/>
      <c r="O1210" s="146"/>
      <c r="P1210" s="146"/>
      <c r="Q1210" s="146"/>
      <c r="R1210" s="146"/>
      <c r="S1210" s="146"/>
      <c r="T1210" s="146"/>
      <c r="U1210" s="146"/>
      <c r="V1210" s="146"/>
      <c r="W1210" s="146"/>
      <c r="X1210" s="146"/>
      <c r="Y1210" s="146"/>
      <c r="Z1210" s="146"/>
    </row>
    <row r="1211" ht="22.5" customHeight="1">
      <c r="A1211" s="329"/>
      <c r="B1211" s="274"/>
      <c r="C1211" s="138"/>
      <c r="D1211" s="118"/>
      <c r="E1211" s="138"/>
      <c r="F1211" s="138"/>
      <c r="G1211" s="330"/>
      <c r="H1211" s="146"/>
      <c r="I1211" s="146"/>
      <c r="J1211" s="146"/>
      <c r="K1211" s="146"/>
      <c r="L1211" s="146"/>
      <c r="M1211" s="146"/>
      <c r="N1211" s="146"/>
      <c r="O1211" s="146"/>
      <c r="P1211" s="146"/>
      <c r="Q1211" s="146"/>
      <c r="R1211" s="146"/>
      <c r="S1211" s="146"/>
      <c r="T1211" s="146"/>
      <c r="U1211" s="146"/>
      <c r="V1211" s="146"/>
      <c r="W1211" s="146"/>
      <c r="X1211" s="146"/>
      <c r="Y1211" s="146"/>
      <c r="Z1211" s="146"/>
    </row>
    <row r="1212" ht="22.5" customHeight="1">
      <c r="A1212" s="329"/>
      <c r="B1212" s="274"/>
      <c r="C1212" s="138"/>
      <c r="D1212" s="118"/>
      <c r="E1212" s="138"/>
      <c r="F1212" s="138"/>
      <c r="G1212" s="330"/>
      <c r="H1212" s="146"/>
      <c r="I1212" s="146"/>
      <c r="J1212" s="146"/>
      <c r="K1212" s="146"/>
      <c r="L1212" s="146"/>
      <c r="M1212" s="146"/>
      <c r="N1212" s="146"/>
      <c r="O1212" s="146"/>
      <c r="P1212" s="146"/>
      <c r="Q1212" s="146"/>
      <c r="R1212" s="146"/>
      <c r="S1212" s="146"/>
      <c r="T1212" s="146"/>
      <c r="U1212" s="146"/>
      <c r="V1212" s="146"/>
      <c r="W1212" s="146"/>
      <c r="X1212" s="146"/>
      <c r="Y1212" s="146"/>
      <c r="Z1212" s="146"/>
    </row>
    <row r="1213" ht="22.5" customHeight="1">
      <c r="A1213" s="329"/>
      <c r="B1213" s="274"/>
      <c r="C1213" s="138"/>
      <c r="D1213" s="118"/>
      <c r="E1213" s="138"/>
      <c r="F1213" s="138"/>
      <c r="G1213" s="330"/>
      <c r="H1213" s="146"/>
      <c r="I1213" s="146"/>
      <c r="J1213" s="146"/>
      <c r="K1213" s="146"/>
      <c r="L1213" s="146"/>
      <c r="M1213" s="146"/>
      <c r="N1213" s="146"/>
      <c r="O1213" s="146"/>
      <c r="P1213" s="146"/>
      <c r="Q1213" s="146"/>
      <c r="R1213" s="146"/>
      <c r="S1213" s="146"/>
      <c r="T1213" s="146"/>
      <c r="U1213" s="146"/>
      <c r="V1213" s="146"/>
      <c r="W1213" s="146"/>
      <c r="X1213" s="146"/>
      <c r="Y1213" s="146"/>
      <c r="Z1213" s="146"/>
    </row>
    <row r="1214" ht="22.5" customHeight="1">
      <c r="A1214" s="329"/>
      <c r="B1214" s="274"/>
      <c r="C1214" s="138"/>
      <c r="D1214" s="118"/>
      <c r="E1214" s="138"/>
      <c r="F1214" s="138"/>
      <c r="G1214" s="330"/>
      <c r="H1214" s="146"/>
      <c r="I1214" s="146"/>
      <c r="J1214" s="146"/>
      <c r="K1214" s="146"/>
      <c r="L1214" s="146"/>
      <c r="M1214" s="146"/>
      <c r="N1214" s="146"/>
      <c r="O1214" s="146"/>
      <c r="P1214" s="146"/>
      <c r="Q1214" s="146"/>
      <c r="R1214" s="146"/>
      <c r="S1214" s="146"/>
      <c r="T1214" s="146"/>
      <c r="U1214" s="146"/>
      <c r="V1214" s="146"/>
      <c r="W1214" s="146"/>
      <c r="X1214" s="146"/>
      <c r="Y1214" s="146"/>
      <c r="Z1214" s="146"/>
    </row>
    <row r="1215" ht="22.5" customHeight="1">
      <c r="A1215" s="329"/>
      <c r="B1215" s="274"/>
      <c r="C1215" s="138"/>
      <c r="D1215" s="118"/>
      <c r="E1215" s="138"/>
      <c r="F1215" s="138"/>
      <c r="G1215" s="330"/>
      <c r="H1215" s="146"/>
      <c r="I1215" s="146"/>
      <c r="J1215" s="146"/>
      <c r="K1215" s="146"/>
      <c r="L1215" s="146"/>
      <c r="M1215" s="146"/>
      <c r="N1215" s="146"/>
      <c r="O1215" s="146"/>
      <c r="P1215" s="146"/>
      <c r="Q1215" s="146"/>
      <c r="R1215" s="146"/>
      <c r="S1215" s="146"/>
      <c r="T1215" s="146"/>
      <c r="U1215" s="146"/>
      <c r="V1215" s="146"/>
      <c r="W1215" s="146"/>
      <c r="X1215" s="146"/>
      <c r="Y1215" s="146"/>
      <c r="Z1215" s="146"/>
    </row>
    <row r="1216" ht="22.5" customHeight="1">
      <c r="A1216" s="329"/>
      <c r="B1216" s="274"/>
      <c r="C1216" s="138"/>
      <c r="D1216" s="118"/>
      <c r="E1216" s="138"/>
      <c r="F1216" s="138"/>
      <c r="G1216" s="330"/>
      <c r="H1216" s="146"/>
      <c r="I1216" s="146"/>
      <c r="J1216" s="146"/>
      <c r="K1216" s="146"/>
      <c r="L1216" s="146"/>
      <c r="M1216" s="146"/>
      <c r="N1216" s="146"/>
      <c r="O1216" s="146"/>
      <c r="P1216" s="146"/>
      <c r="Q1216" s="146"/>
      <c r="R1216" s="146"/>
      <c r="S1216" s="146"/>
      <c r="T1216" s="146"/>
      <c r="U1216" s="146"/>
      <c r="V1216" s="146"/>
      <c r="W1216" s="146"/>
      <c r="X1216" s="146"/>
      <c r="Y1216" s="146"/>
      <c r="Z1216" s="146"/>
    </row>
    <row r="1217" ht="22.5" customHeight="1">
      <c r="A1217" s="329"/>
      <c r="B1217" s="274"/>
      <c r="C1217" s="138"/>
      <c r="D1217" s="118"/>
      <c r="E1217" s="138"/>
      <c r="F1217" s="138"/>
      <c r="G1217" s="330"/>
      <c r="H1217" s="146"/>
      <c r="I1217" s="146"/>
      <c r="J1217" s="146"/>
      <c r="K1217" s="146"/>
      <c r="L1217" s="146"/>
      <c r="M1217" s="146"/>
      <c r="N1217" s="146"/>
      <c r="O1217" s="146"/>
      <c r="P1217" s="146"/>
      <c r="Q1217" s="146"/>
      <c r="R1217" s="146"/>
      <c r="S1217" s="146"/>
      <c r="T1217" s="146"/>
      <c r="U1217" s="146"/>
      <c r="V1217" s="146"/>
      <c r="W1217" s="146"/>
      <c r="X1217" s="146"/>
      <c r="Y1217" s="146"/>
      <c r="Z1217" s="146"/>
    </row>
    <row r="1218" ht="22.5" customHeight="1">
      <c r="A1218" s="329"/>
      <c r="B1218" s="274"/>
      <c r="C1218" s="138"/>
      <c r="D1218" s="118"/>
      <c r="E1218" s="138"/>
      <c r="F1218" s="138"/>
      <c r="G1218" s="330"/>
      <c r="H1218" s="146"/>
      <c r="I1218" s="146"/>
      <c r="J1218" s="146"/>
      <c r="K1218" s="146"/>
      <c r="L1218" s="146"/>
      <c r="M1218" s="146"/>
      <c r="N1218" s="146"/>
      <c r="O1218" s="146"/>
      <c r="P1218" s="146"/>
      <c r="Q1218" s="146"/>
      <c r="R1218" s="146"/>
      <c r="S1218" s="146"/>
      <c r="T1218" s="146"/>
      <c r="U1218" s="146"/>
      <c r="V1218" s="146"/>
      <c r="W1218" s="146"/>
      <c r="X1218" s="146"/>
      <c r="Y1218" s="146"/>
      <c r="Z1218" s="146"/>
    </row>
    <row r="1219" ht="22.5" customHeight="1">
      <c r="A1219" s="329"/>
      <c r="B1219" s="274"/>
      <c r="C1219" s="138"/>
      <c r="D1219" s="118"/>
      <c r="E1219" s="138"/>
      <c r="F1219" s="138"/>
      <c r="G1219" s="330"/>
      <c r="H1219" s="146"/>
      <c r="I1219" s="146"/>
      <c r="J1219" s="146"/>
      <c r="K1219" s="146"/>
      <c r="L1219" s="146"/>
      <c r="M1219" s="146"/>
      <c r="N1219" s="146"/>
      <c r="O1219" s="146"/>
      <c r="P1219" s="146"/>
      <c r="Q1219" s="146"/>
      <c r="R1219" s="146"/>
      <c r="S1219" s="146"/>
      <c r="T1219" s="146"/>
      <c r="U1219" s="146"/>
      <c r="V1219" s="146"/>
      <c r="W1219" s="146"/>
      <c r="X1219" s="146"/>
      <c r="Y1219" s="146"/>
      <c r="Z1219" s="146"/>
    </row>
    <row r="1220" ht="22.5" customHeight="1">
      <c r="A1220" s="329"/>
      <c r="B1220" s="274"/>
      <c r="C1220" s="138"/>
      <c r="D1220" s="118"/>
      <c r="E1220" s="138"/>
      <c r="F1220" s="138"/>
      <c r="G1220" s="330"/>
      <c r="H1220" s="146"/>
      <c r="I1220" s="146"/>
      <c r="J1220" s="146"/>
      <c r="K1220" s="146"/>
      <c r="L1220" s="146"/>
      <c r="M1220" s="146"/>
      <c r="N1220" s="146"/>
      <c r="O1220" s="146"/>
      <c r="P1220" s="146"/>
      <c r="Q1220" s="146"/>
      <c r="R1220" s="146"/>
      <c r="S1220" s="146"/>
      <c r="T1220" s="146"/>
      <c r="U1220" s="146"/>
      <c r="V1220" s="146"/>
      <c r="W1220" s="146"/>
      <c r="X1220" s="146"/>
      <c r="Y1220" s="146"/>
      <c r="Z1220" s="146"/>
    </row>
    <row r="1221" ht="22.5" customHeight="1">
      <c r="A1221" s="329"/>
      <c r="B1221" s="274"/>
      <c r="C1221" s="138"/>
      <c r="D1221" s="118"/>
      <c r="E1221" s="138"/>
      <c r="F1221" s="138"/>
      <c r="G1221" s="330"/>
      <c r="H1221" s="146"/>
      <c r="I1221" s="146"/>
      <c r="J1221" s="146"/>
      <c r="K1221" s="146"/>
      <c r="L1221" s="146"/>
      <c r="M1221" s="146"/>
      <c r="N1221" s="146"/>
      <c r="O1221" s="146"/>
      <c r="P1221" s="146"/>
      <c r="Q1221" s="146"/>
      <c r="R1221" s="146"/>
      <c r="S1221" s="146"/>
      <c r="T1221" s="146"/>
      <c r="U1221" s="146"/>
      <c r="V1221" s="146"/>
      <c r="W1221" s="146"/>
      <c r="X1221" s="146"/>
      <c r="Y1221" s="146"/>
      <c r="Z1221" s="146"/>
    </row>
    <row r="1222" ht="22.5" customHeight="1">
      <c r="A1222" s="329"/>
      <c r="B1222" s="274"/>
      <c r="C1222" s="138"/>
      <c r="D1222" s="118"/>
      <c r="E1222" s="138"/>
      <c r="F1222" s="138"/>
      <c r="G1222" s="330"/>
      <c r="H1222" s="146"/>
      <c r="I1222" s="146"/>
      <c r="J1222" s="146"/>
      <c r="K1222" s="146"/>
      <c r="L1222" s="146"/>
      <c r="M1222" s="146"/>
      <c r="N1222" s="146"/>
      <c r="O1222" s="146"/>
      <c r="P1222" s="146"/>
      <c r="Q1222" s="146"/>
      <c r="R1222" s="146"/>
      <c r="S1222" s="146"/>
      <c r="T1222" s="146"/>
      <c r="U1222" s="146"/>
      <c r="V1222" s="146"/>
      <c r="W1222" s="146"/>
      <c r="X1222" s="146"/>
      <c r="Y1222" s="146"/>
      <c r="Z1222" s="146"/>
    </row>
    <row r="1223" ht="22.5" customHeight="1">
      <c r="A1223" s="329"/>
      <c r="B1223" s="274"/>
      <c r="C1223" s="138"/>
      <c r="D1223" s="118"/>
      <c r="E1223" s="138"/>
      <c r="F1223" s="138"/>
      <c r="G1223" s="330"/>
      <c r="H1223" s="146"/>
      <c r="I1223" s="146"/>
      <c r="J1223" s="146"/>
      <c r="K1223" s="146"/>
      <c r="L1223" s="146"/>
      <c r="M1223" s="146"/>
      <c r="N1223" s="146"/>
      <c r="O1223" s="146"/>
      <c r="P1223" s="146"/>
      <c r="Q1223" s="146"/>
      <c r="R1223" s="146"/>
      <c r="S1223" s="146"/>
      <c r="T1223" s="146"/>
      <c r="U1223" s="146"/>
      <c r="V1223" s="146"/>
      <c r="W1223" s="146"/>
      <c r="X1223" s="146"/>
      <c r="Y1223" s="146"/>
      <c r="Z1223" s="146"/>
    </row>
    <row r="1224" ht="22.5" customHeight="1">
      <c r="A1224" s="329"/>
      <c r="B1224" s="274"/>
      <c r="C1224" s="138"/>
      <c r="D1224" s="118"/>
      <c r="E1224" s="138"/>
      <c r="F1224" s="138"/>
      <c r="G1224" s="330"/>
      <c r="H1224" s="146"/>
      <c r="I1224" s="146"/>
      <c r="J1224" s="146"/>
      <c r="K1224" s="146"/>
      <c r="L1224" s="146"/>
      <c r="M1224" s="146"/>
      <c r="N1224" s="146"/>
      <c r="O1224" s="146"/>
      <c r="P1224" s="146"/>
      <c r="Q1224" s="146"/>
      <c r="R1224" s="146"/>
      <c r="S1224" s="146"/>
      <c r="T1224" s="146"/>
      <c r="U1224" s="146"/>
      <c r="V1224" s="146"/>
      <c r="W1224" s="146"/>
      <c r="X1224" s="146"/>
      <c r="Y1224" s="146"/>
      <c r="Z1224" s="146"/>
    </row>
    <row r="1225" ht="22.5" customHeight="1">
      <c r="A1225" s="329"/>
      <c r="B1225" s="274"/>
      <c r="C1225" s="138"/>
      <c r="D1225" s="118"/>
      <c r="E1225" s="138"/>
      <c r="F1225" s="138"/>
      <c r="G1225" s="330"/>
      <c r="H1225" s="146"/>
      <c r="I1225" s="146"/>
      <c r="J1225" s="146"/>
      <c r="K1225" s="146"/>
      <c r="L1225" s="146"/>
      <c r="M1225" s="146"/>
      <c r="N1225" s="146"/>
      <c r="O1225" s="146"/>
      <c r="P1225" s="146"/>
      <c r="Q1225" s="146"/>
      <c r="R1225" s="146"/>
      <c r="S1225" s="146"/>
      <c r="T1225" s="146"/>
      <c r="U1225" s="146"/>
      <c r="V1225" s="146"/>
      <c r="W1225" s="146"/>
      <c r="X1225" s="146"/>
      <c r="Y1225" s="146"/>
      <c r="Z1225" s="146"/>
    </row>
    <row r="1226" ht="22.5" customHeight="1">
      <c r="A1226" s="329"/>
      <c r="B1226" s="274"/>
      <c r="C1226" s="138"/>
      <c r="D1226" s="118"/>
      <c r="E1226" s="138"/>
      <c r="F1226" s="138"/>
      <c r="G1226" s="330"/>
      <c r="H1226" s="146"/>
      <c r="I1226" s="146"/>
      <c r="J1226" s="146"/>
      <c r="K1226" s="146"/>
      <c r="L1226" s="146"/>
      <c r="M1226" s="146"/>
      <c r="N1226" s="146"/>
      <c r="O1226" s="146"/>
      <c r="P1226" s="146"/>
      <c r="Q1226" s="146"/>
      <c r="R1226" s="146"/>
      <c r="S1226" s="146"/>
      <c r="T1226" s="146"/>
      <c r="U1226" s="146"/>
      <c r="V1226" s="146"/>
      <c r="W1226" s="146"/>
      <c r="X1226" s="146"/>
      <c r="Y1226" s="146"/>
      <c r="Z1226" s="146"/>
    </row>
    <row r="1227" ht="22.5" customHeight="1">
      <c r="A1227" s="329"/>
      <c r="B1227" s="274"/>
      <c r="C1227" s="138"/>
      <c r="D1227" s="118"/>
      <c r="E1227" s="138"/>
      <c r="F1227" s="138"/>
      <c r="G1227" s="330"/>
      <c r="H1227" s="146"/>
      <c r="I1227" s="146"/>
      <c r="J1227" s="146"/>
      <c r="K1227" s="146"/>
      <c r="L1227" s="146"/>
      <c r="M1227" s="146"/>
      <c r="N1227" s="146"/>
      <c r="O1227" s="146"/>
      <c r="P1227" s="146"/>
      <c r="Q1227" s="146"/>
      <c r="R1227" s="146"/>
      <c r="S1227" s="146"/>
      <c r="T1227" s="146"/>
      <c r="U1227" s="146"/>
      <c r="V1227" s="146"/>
      <c r="W1227" s="146"/>
      <c r="X1227" s="146"/>
      <c r="Y1227" s="146"/>
      <c r="Z1227" s="146"/>
    </row>
    <row r="1228" ht="22.5" customHeight="1">
      <c r="A1228" s="329"/>
      <c r="B1228" s="274"/>
      <c r="C1228" s="138"/>
      <c r="D1228" s="118"/>
      <c r="E1228" s="138"/>
      <c r="F1228" s="138"/>
      <c r="G1228" s="330"/>
      <c r="H1228" s="146"/>
      <c r="I1228" s="146"/>
      <c r="J1228" s="146"/>
      <c r="K1228" s="146"/>
      <c r="L1228" s="146"/>
      <c r="M1228" s="146"/>
      <c r="N1228" s="146"/>
      <c r="O1228" s="146"/>
      <c r="P1228" s="146"/>
      <c r="Q1228" s="146"/>
      <c r="R1228" s="146"/>
      <c r="S1228" s="146"/>
      <c r="T1228" s="146"/>
      <c r="U1228" s="146"/>
      <c r="V1228" s="146"/>
      <c r="W1228" s="146"/>
      <c r="X1228" s="146"/>
      <c r="Y1228" s="146"/>
      <c r="Z1228" s="146"/>
    </row>
    <row r="1229" ht="22.5" customHeight="1">
      <c r="A1229" s="329"/>
      <c r="B1229" s="274"/>
      <c r="C1229" s="138"/>
      <c r="D1229" s="118"/>
      <c r="E1229" s="138"/>
      <c r="F1229" s="138"/>
      <c r="G1229" s="330"/>
      <c r="H1229" s="146"/>
      <c r="I1229" s="146"/>
      <c r="J1229" s="146"/>
      <c r="K1229" s="146"/>
      <c r="L1229" s="146"/>
      <c r="M1229" s="146"/>
      <c r="N1229" s="146"/>
      <c r="O1229" s="146"/>
      <c r="P1229" s="146"/>
      <c r="Q1229" s="146"/>
      <c r="R1229" s="146"/>
      <c r="S1229" s="146"/>
      <c r="T1229" s="146"/>
      <c r="U1229" s="146"/>
      <c r="V1229" s="146"/>
      <c r="W1229" s="146"/>
      <c r="X1229" s="146"/>
      <c r="Y1229" s="146"/>
      <c r="Z1229" s="146"/>
    </row>
  </sheetData>
  <mergeCells count="1">
    <mergeCell ref="I7:I9"/>
  </mergeCells>
  <dataValidations>
    <dataValidation type="custom" allowBlank="1" showDropDown="1" sqref="A2:A1229">
      <formula1>OR(NOT(ISERROR(DATEVALUE(A2))), AND(ISNUMBER(A2), LEFT(CELL("format", A2))="D"))</formula1>
    </dataValidation>
    <dataValidation allowBlank="1" showDropDown="1" sqref="G2:G1229"/>
  </dataValidations>
  <hyperlinks>
    <hyperlink r:id="rId1" ref="F2"/>
    <hyperlink r:id="rId2" ref="F4"/>
    <hyperlink r:id="rId3" ref="F5"/>
    <hyperlink r:id="rId4" ref="F6"/>
    <hyperlink r:id="rId5" ref="F8"/>
    <hyperlink r:id="rId6" ref="F10"/>
    <hyperlink r:id="rId7" ref="F11"/>
    <hyperlink r:id="rId8" ref="F12"/>
    <hyperlink r:id="rId9" ref="F13"/>
    <hyperlink r:id="rId10" ref="F14"/>
    <hyperlink r:id="rId11" ref="F15"/>
    <hyperlink r:id="rId12" ref="F16"/>
    <hyperlink r:id="rId13" ref="F17"/>
    <hyperlink r:id="rId14" ref="F18"/>
    <hyperlink r:id="rId15" ref="F19"/>
    <hyperlink r:id="rId16" ref="F20"/>
    <hyperlink r:id="rId17" ref="F22"/>
    <hyperlink r:id="rId18" ref="F23"/>
    <hyperlink r:id="rId19" ref="F24"/>
    <hyperlink r:id="rId20" ref="F25"/>
    <hyperlink r:id="rId21" ref="F26"/>
    <hyperlink r:id="rId22" ref="F27"/>
    <hyperlink r:id="rId23" ref="F28"/>
    <hyperlink r:id="rId24" ref="F29"/>
    <hyperlink r:id="rId25" ref="F30"/>
    <hyperlink r:id="rId26" ref="F32"/>
    <hyperlink r:id="rId27" ref="F33"/>
    <hyperlink r:id="rId28" ref="F34"/>
    <hyperlink r:id="rId29" ref="F35"/>
    <hyperlink r:id="rId30" ref="F44"/>
    <hyperlink r:id="rId31" ref="F45"/>
    <hyperlink r:id="rId32" ref="F46"/>
    <hyperlink r:id="rId33" ref="F47"/>
    <hyperlink r:id="rId34" ref="F48"/>
    <hyperlink r:id="rId35" ref="F49"/>
    <hyperlink r:id="rId36" ref="F51"/>
    <hyperlink r:id="rId37" ref="F52"/>
    <hyperlink r:id="rId38" ref="F148"/>
    <hyperlink r:id="rId39" ref="F149"/>
    <hyperlink r:id="rId40" ref="F150"/>
    <hyperlink r:id="rId41" ref="F151"/>
    <hyperlink r:id="rId42" ref="F152"/>
    <hyperlink r:id="rId43" ref="F153"/>
    <hyperlink r:id="rId44" ref="F154"/>
    <hyperlink r:id="rId45" ref="F155"/>
  </hyperlinks>
  <drawing r:id="rId46"/>
  <tableParts count="1">
    <tablePart r:id="rId48"/>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3" width="13.5"/>
    <col customWidth="1" min="4" max="9" width="11.0"/>
    <col customWidth="1" min="10" max="10" width="32.63"/>
  </cols>
  <sheetData>
    <row r="1" ht="66.0" customHeight="1">
      <c r="A1" s="3" t="s">
        <v>2</v>
      </c>
      <c r="B1" s="27" t="s">
        <v>2471</v>
      </c>
      <c r="C1" s="27" t="s">
        <v>2472</v>
      </c>
      <c r="D1" s="27" t="s">
        <v>2473</v>
      </c>
      <c r="E1" s="27" t="s">
        <v>2474</v>
      </c>
      <c r="F1" s="27" t="s">
        <v>584</v>
      </c>
      <c r="G1" s="27" t="s">
        <v>32</v>
      </c>
      <c r="H1" s="27" t="s">
        <v>33</v>
      </c>
      <c r="I1" s="27" t="s">
        <v>34</v>
      </c>
      <c r="J1" s="3" t="s">
        <v>8</v>
      </c>
    </row>
    <row r="2" ht="22.5" customHeight="1">
      <c r="A2" s="5">
        <v>45856.0</v>
      </c>
      <c r="B2" s="28"/>
      <c r="C2" s="28"/>
      <c r="D2" s="28"/>
      <c r="E2" s="28"/>
      <c r="F2" s="28"/>
      <c r="G2" s="6"/>
      <c r="H2" s="6"/>
      <c r="I2" s="8"/>
      <c r="J2" s="7"/>
    </row>
    <row r="3" ht="22.5" customHeight="1">
      <c r="A3" s="5">
        <v>45859.0</v>
      </c>
      <c r="B3" s="28"/>
      <c r="C3" s="28"/>
      <c r="D3" s="28"/>
      <c r="E3" s="28"/>
      <c r="F3" s="28"/>
      <c r="G3" s="6"/>
      <c r="H3" s="8"/>
      <c r="I3" s="8"/>
      <c r="J3" s="7"/>
    </row>
    <row r="4" ht="22.5" customHeight="1">
      <c r="A4" s="5">
        <v>45860.0</v>
      </c>
      <c r="B4" s="28"/>
      <c r="C4" s="28"/>
      <c r="D4" s="28"/>
      <c r="E4" s="28"/>
      <c r="F4" s="28"/>
      <c r="G4" s="6"/>
      <c r="H4" s="8"/>
      <c r="I4" s="8"/>
      <c r="J4" s="7"/>
    </row>
    <row r="5" ht="22.5" customHeight="1">
      <c r="A5" s="5">
        <v>45861.0</v>
      </c>
      <c r="B5" s="28"/>
      <c r="C5" s="28"/>
      <c r="D5" s="28"/>
      <c r="E5" s="28"/>
      <c r="F5" s="28"/>
      <c r="G5" s="6"/>
      <c r="H5" s="8"/>
      <c r="I5" s="8"/>
      <c r="J5" s="7"/>
    </row>
    <row r="6" ht="22.5" customHeight="1">
      <c r="A6" s="5">
        <v>45862.0</v>
      </c>
      <c r="B6" s="33"/>
      <c r="C6" s="33"/>
      <c r="D6" s="28"/>
      <c r="E6" s="28"/>
      <c r="F6" s="33"/>
      <c r="G6" s="6"/>
      <c r="H6" s="8"/>
      <c r="I6" s="8"/>
      <c r="J6" s="13"/>
    </row>
    <row r="7" ht="22.5" customHeight="1">
      <c r="A7" s="5">
        <v>45863.0</v>
      </c>
      <c r="B7" s="33"/>
      <c r="C7" s="33"/>
      <c r="D7" s="28"/>
      <c r="E7" s="28"/>
      <c r="F7" s="28"/>
      <c r="G7" s="6"/>
      <c r="H7" s="12"/>
      <c r="I7" s="8"/>
      <c r="J7" s="13"/>
    </row>
    <row r="8" ht="22.5" customHeight="1">
      <c r="A8" s="5">
        <v>45866.0</v>
      </c>
      <c r="B8" s="11"/>
      <c r="C8" s="11"/>
      <c r="D8" s="11"/>
      <c r="E8" s="11"/>
      <c r="F8" s="28"/>
      <c r="G8" s="6"/>
      <c r="H8" s="12"/>
      <c r="I8" s="8"/>
      <c r="J8" s="13"/>
    </row>
    <row r="9" ht="22.5" customHeight="1">
      <c r="A9" s="5">
        <v>45867.0</v>
      </c>
      <c r="B9" s="11"/>
      <c r="C9" s="11"/>
      <c r="D9" s="11"/>
      <c r="E9" s="11"/>
      <c r="F9" s="28"/>
      <c r="G9" s="6"/>
      <c r="H9" s="12"/>
      <c r="I9" s="8"/>
      <c r="J9" s="13"/>
    </row>
    <row r="10" ht="22.5" customHeight="1">
      <c r="A10" s="5">
        <v>45868.0</v>
      </c>
      <c r="B10" s="11"/>
      <c r="C10" s="11"/>
      <c r="D10" s="11"/>
      <c r="E10" s="11"/>
      <c r="F10" s="28"/>
      <c r="G10" s="6"/>
      <c r="H10" s="11"/>
      <c r="I10" s="8"/>
      <c r="J10" s="13"/>
    </row>
    <row r="11" ht="22.5" customHeight="1">
      <c r="A11" s="5">
        <v>45869.0</v>
      </c>
      <c r="B11" s="11"/>
      <c r="C11" s="11"/>
      <c r="D11" s="11"/>
      <c r="E11" s="11"/>
      <c r="F11" s="28"/>
      <c r="G11" s="12"/>
      <c r="H11" s="11"/>
      <c r="I11" s="8"/>
      <c r="J11" s="7"/>
    </row>
    <row r="12" ht="22.5" customHeight="1">
      <c r="A12" s="5">
        <v>45870.0</v>
      </c>
      <c r="B12" s="11"/>
      <c r="C12" s="11"/>
      <c r="D12" s="11"/>
      <c r="E12" s="11"/>
      <c r="F12" s="28"/>
      <c r="G12" s="12"/>
      <c r="H12" s="11"/>
      <c r="I12" s="8"/>
      <c r="J12" s="7"/>
    </row>
    <row r="13" ht="22.5" customHeight="1">
      <c r="A13" s="5">
        <v>45873.0</v>
      </c>
      <c r="B13" s="11"/>
      <c r="C13" s="11"/>
      <c r="D13" s="28"/>
      <c r="E13" s="28"/>
      <c r="F13" s="6"/>
      <c r="G13" s="12"/>
      <c r="H13" s="11"/>
      <c r="I13" s="8"/>
      <c r="J13" s="7"/>
    </row>
    <row r="14" ht="22.5" customHeight="1">
      <c r="A14" s="5">
        <v>45874.0</v>
      </c>
      <c r="B14" s="11"/>
      <c r="C14" s="11"/>
      <c r="D14" s="28"/>
      <c r="E14" s="28"/>
      <c r="F14" s="6"/>
      <c r="G14" s="12"/>
      <c r="H14" s="11"/>
      <c r="I14" s="8"/>
      <c r="J14" s="7"/>
    </row>
    <row r="15" ht="22.5" customHeight="1">
      <c r="A15" s="5">
        <v>45875.0</v>
      </c>
      <c r="B15" s="11"/>
      <c r="C15" s="11"/>
      <c r="D15" s="28"/>
      <c r="E15" s="28"/>
      <c r="F15" s="6"/>
      <c r="G15" s="12"/>
      <c r="H15" s="11"/>
      <c r="I15" s="8"/>
      <c r="J15" s="7"/>
    </row>
    <row r="16" ht="22.5" customHeight="1">
      <c r="A16" s="5">
        <v>45876.0</v>
      </c>
      <c r="B16" s="45"/>
      <c r="C16" s="45"/>
      <c r="D16" s="28"/>
      <c r="E16" s="28"/>
      <c r="F16" s="13"/>
      <c r="G16" s="45"/>
      <c r="H16" s="45"/>
      <c r="I16" s="45"/>
      <c r="J16" s="13"/>
    </row>
    <row r="17" ht="22.5" customHeight="1">
      <c r="A17" s="5">
        <v>45877.0</v>
      </c>
      <c r="B17" s="45"/>
      <c r="C17" s="45"/>
      <c r="D17" s="28"/>
      <c r="E17" s="28"/>
      <c r="F17" s="13"/>
      <c r="G17" s="45"/>
      <c r="H17" s="45"/>
      <c r="I17" s="45"/>
      <c r="J17" s="13"/>
    </row>
    <row r="18" ht="22.5" customHeight="1">
      <c r="A18" s="5">
        <v>45880.0</v>
      </c>
      <c r="B18" s="45"/>
      <c r="C18" s="45"/>
      <c r="D18" s="45"/>
      <c r="E18" s="45"/>
      <c r="F18" s="13"/>
      <c r="G18" s="11"/>
      <c r="H18" s="45"/>
      <c r="I18" s="45"/>
      <c r="J18" s="13"/>
    </row>
    <row r="19" ht="22.5" customHeight="1">
      <c r="A19" s="5">
        <v>45881.0</v>
      </c>
      <c r="B19" s="45"/>
      <c r="C19" s="45"/>
      <c r="D19" s="45"/>
      <c r="E19" s="45"/>
      <c r="F19" s="13"/>
      <c r="G19" s="11"/>
      <c r="H19" s="45"/>
      <c r="I19" s="45"/>
      <c r="J19" s="13"/>
    </row>
    <row r="20" ht="22.5" customHeight="1">
      <c r="A20" s="5">
        <v>45882.0</v>
      </c>
      <c r="B20" s="11"/>
      <c r="C20" s="11"/>
      <c r="D20" s="45"/>
      <c r="E20" s="45"/>
      <c r="F20" s="13"/>
      <c r="G20" s="11"/>
      <c r="H20" s="45"/>
      <c r="I20" s="45"/>
      <c r="J20" s="13"/>
    </row>
    <row r="21" ht="22.5" customHeight="1">
      <c r="A21" s="5">
        <v>45883.0</v>
      </c>
      <c r="B21" s="45"/>
      <c r="C21" s="45"/>
      <c r="D21" s="45"/>
      <c r="E21" s="45"/>
      <c r="F21" s="13"/>
      <c r="G21" s="11"/>
      <c r="H21" s="45"/>
      <c r="I21" s="45"/>
      <c r="J21" s="13"/>
    </row>
    <row r="22" ht="22.5" customHeight="1">
      <c r="A22" s="5">
        <v>45884.0</v>
      </c>
      <c r="B22" s="11"/>
      <c r="C22" s="11"/>
      <c r="D22" s="45"/>
      <c r="E22" s="45"/>
      <c r="F22" s="13"/>
      <c r="G22" s="11"/>
      <c r="H22" s="11"/>
      <c r="I22" s="137"/>
      <c r="J22" s="13"/>
    </row>
    <row r="23" ht="22.5" customHeight="1">
      <c r="A23" s="5">
        <v>45887.0</v>
      </c>
      <c r="B23" s="22"/>
      <c r="C23" s="22"/>
      <c r="D23" s="22"/>
      <c r="E23" s="22"/>
      <c r="F23" s="19"/>
      <c r="G23" s="11"/>
      <c r="H23" s="22"/>
      <c r="I23" s="22"/>
      <c r="J23" s="19"/>
    </row>
    <row r="24" ht="22.5" customHeight="1">
      <c r="A24" s="5">
        <v>45888.0</v>
      </c>
      <c r="B24" s="22"/>
      <c r="C24" s="22"/>
      <c r="D24" s="22"/>
      <c r="E24" s="22"/>
      <c r="F24" s="19"/>
      <c r="G24" s="11"/>
      <c r="H24" s="22"/>
      <c r="I24" s="22"/>
      <c r="J24" s="19"/>
    </row>
    <row r="25" ht="22.5" customHeight="1">
      <c r="A25" s="5">
        <v>45889.0</v>
      </c>
      <c r="B25" s="22"/>
      <c r="C25" s="22"/>
      <c r="D25" s="22"/>
      <c r="E25" s="22"/>
      <c r="F25" s="19"/>
      <c r="G25" s="11"/>
      <c r="H25" s="22"/>
      <c r="I25" s="22"/>
      <c r="J25" s="19"/>
    </row>
    <row r="26" ht="22.5" customHeight="1">
      <c r="A26" s="5">
        <v>45890.0</v>
      </c>
      <c r="B26" s="22"/>
      <c r="C26" s="22"/>
      <c r="D26" s="22"/>
      <c r="E26" s="22"/>
      <c r="F26" s="19"/>
      <c r="G26" s="11"/>
      <c r="H26" s="22"/>
      <c r="I26" s="22"/>
      <c r="J26" s="19"/>
    </row>
    <row r="27" ht="22.5" customHeight="1">
      <c r="A27" s="5">
        <v>45891.0</v>
      </c>
      <c r="B27" s="22"/>
      <c r="C27" s="22"/>
      <c r="D27" s="22"/>
      <c r="E27" s="22"/>
      <c r="F27" s="19"/>
      <c r="G27" s="11"/>
      <c r="H27" s="22"/>
      <c r="I27" s="22"/>
      <c r="J27" s="19"/>
    </row>
    <row r="28" ht="22.5" customHeight="1">
      <c r="A28" s="5">
        <v>45894.0</v>
      </c>
      <c r="B28" s="22"/>
      <c r="C28" s="22"/>
      <c r="D28" s="22"/>
      <c r="E28" s="22"/>
      <c r="F28" s="19"/>
      <c r="G28" s="11"/>
      <c r="H28" s="22"/>
      <c r="I28" s="22"/>
      <c r="J28" s="19"/>
    </row>
    <row r="29" ht="22.5" customHeight="1">
      <c r="A29" s="5">
        <v>45895.0</v>
      </c>
      <c r="B29" s="22"/>
      <c r="C29" s="22"/>
      <c r="D29" s="22"/>
      <c r="E29" s="22"/>
      <c r="F29" s="19"/>
      <c r="G29" s="11"/>
      <c r="H29" s="22"/>
      <c r="I29" s="22"/>
      <c r="J29" s="19"/>
    </row>
    <row r="30" ht="22.5" customHeight="1">
      <c r="A30" s="5">
        <v>45896.0</v>
      </c>
      <c r="B30" s="22"/>
      <c r="C30" s="22"/>
      <c r="D30" s="22"/>
      <c r="E30" s="22"/>
      <c r="F30" s="19"/>
      <c r="G30" s="11"/>
      <c r="H30" s="22"/>
      <c r="I30" s="22"/>
      <c r="J30" s="19"/>
    </row>
    <row r="31" ht="22.5" customHeight="1">
      <c r="A31" s="5">
        <v>45897.0</v>
      </c>
      <c r="B31" s="22"/>
      <c r="C31" s="22"/>
      <c r="D31" s="22"/>
      <c r="E31" s="22"/>
      <c r="F31" s="19"/>
      <c r="G31" s="11"/>
      <c r="H31" s="22"/>
      <c r="I31" s="22"/>
      <c r="J31" s="19"/>
    </row>
    <row r="32" ht="22.5" customHeight="1">
      <c r="A32" s="5">
        <v>45898.0</v>
      </c>
      <c r="B32" s="22"/>
      <c r="C32" s="22"/>
      <c r="D32" s="22"/>
      <c r="E32" s="22"/>
      <c r="F32" s="19"/>
      <c r="G32" s="11"/>
      <c r="H32" s="22"/>
      <c r="I32" s="22"/>
      <c r="J32" s="19"/>
    </row>
    <row r="33" ht="22.5" customHeight="1">
      <c r="A33" s="5">
        <v>45901.0</v>
      </c>
      <c r="B33" s="22"/>
      <c r="C33" s="22"/>
      <c r="D33" s="22"/>
      <c r="E33" s="22"/>
      <c r="F33" s="19"/>
      <c r="G33" s="11"/>
      <c r="H33" s="22"/>
      <c r="I33" s="22"/>
      <c r="J33" s="19"/>
    </row>
    <row r="34" ht="22.5" customHeight="1">
      <c r="A34" s="21"/>
      <c r="B34" s="22"/>
      <c r="C34" s="22"/>
      <c r="D34" s="22"/>
      <c r="E34" s="22"/>
      <c r="F34" s="19"/>
      <c r="G34" s="22"/>
      <c r="H34" s="22"/>
      <c r="I34" s="22"/>
      <c r="J34" s="19"/>
    </row>
    <row r="35" ht="22.5" customHeight="1">
      <c r="A35" s="21"/>
      <c r="B35" s="22"/>
      <c r="C35" s="22"/>
      <c r="D35" s="22"/>
      <c r="E35" s="22"/>
      <c r="F35" s="19"/>
      <c r="G35" s="22"/>
      <c r="H35" s="22"/>
      <c r="I35" s="22"/>
      <c r="J35" s="19"/>
    </row>
    <row r="36" ht="22.5" customHeight="1">
      <c r="A36" s="21"/>
      <c r="B36" s="22"/>
      <c r="C36" s="22"/>
      <c r="D36" s="22"/>
      <c r="E36" s="22"/>
      <c r="F36" s="19"/>
      <c r="G36" s="22"/>
      <c r="H36" s="22"/>
      <c r="I36" s="22"/>
      <c r="J36" s="19"/>
    </row>
    <row r="37" ht="22.5" customHeight="1">
      <c r="A37" s="21"/>
      <c r="B37" s="22"/>
      <c r="C37" s="22"/>
      <c r="D37" s="22"/>
      <c r="E37" s="22"/>
      <c r="F37" s="19"/>
      <c r="G37" s="22"/>
      <c r="H37" s="22"/>
      <c r="I37" s="22"/>
      <c r="J37" s="19"/>
    </row>
    <row r="38" ht="22.5" customHeight="1">
      <c r="A38" s="21"/>
      <c r="B38" s="22"/>
      <c r="C38" s="22"/>
      <c r="D38" s="22"/>
      <c r="E38" s="22"/>
      <c r="F38" s="19"/>
      <c r="G38" s="22"/>
      <c r="H38" s="22"/>
      <c r="I38" s="22"/>
      <c r="J38" s="19"/>
    </row>
    <row r="39" ht="22.5" customHeight="1">
      <c r="A39" s="21"/>
      <c r="B39" s="22"/>
      <c r="C39" s="22"/>
      <c r="D39" s="22"/>
      <c r="E39" s="22"/>
      <c r="F39" s="19"/>
      <c r="G39" s="22"/>
      <c r="H39" s="22"/>
      <c r="I39" s="22"/>
      <c r="J39" s="19"/>
    </row>
    <row r="40" ht="22.5" customHeight="1">
      <c r="A40" s="24"/>
      <c r="B40" s="25"/>
      <c r="C40" s="25"/>
      <c r="D40" s="25"/>
      <c r="E40" s="25"/>
      <c r="F40" s="26"/>
      <c r="G40" s="25"/>
      <c r="H40" s="25"/>
      <c r="I40" s="25"/>
      <c r="J40" s="26"/>
    </row>
  </sheetData>
  <dataValidations>
    <dataValidation type="custom" allowBlank="1" showDropDown="1" sqref="A2:A40">
      <formula1>OR(NOT(ISERROR(DATEVALUE(A2))), AND(ISNUMBER(A2), LEFT(CELL("format", A2))="D"))</formula1>
    </dataValidation>
    <dataValidation allowBlank="1" showDropDown="1" sqref="J2:J40"/>
  </dataValidation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3.5"/>
    <col customWidth="1" min="3" max="3" width="11.0"/>
    <col customWidth="1" min="4" max="4" width="14.75"/>
    <col customWidth="1" min="5" max="5" width="33.63"/>
    <col customWidth="1" min="6" max="6" width="27.88"/>
    <col customWidth="1" min="7" max="7" width="43.63"/>
    <col customWidth="1" min="8" max="8" width="32.63"/>
  </cols>
  <sheetData>
    <row r="1" ht="66.0" customHeight="1">
      <c r="A1" s="3" t="s">
        <v>2</v>
      </c>
      <c r="B1" s="27" t="s">
        <v>1287</v>
      </c>
      <c r="C1" s="27" t="s">
        <v>1434</v>
      </c>
      <c r="D1" s="27" t="s">
        <v>2475</v>
      </c>
      <c r="E1" s="27" t="s">
        <v>32</v>
      </c>
      <c r="F1" s="27" t="s">
        <v>33</v>
      </c>
      <c r="G1" s="27" t="s">
        <v>34</v>
      </c>
      <c r="H1" s="3" t="s">
        <v>8</v>
      </c>
    </row>
    <row r="2" ht="22.5" customHeight="1">
      <c r="A2" s="5">
        <v>45856.0</v>
      </c>
      <c r="B2" s="28">
        <v>8.0</v>
      </c>
      <c r="C2" s="28"/>
      <c r="D2" s="28"/>
      <c r="E2" s="8" t="s">
        <v>2476</v>
      </c>
      <c r="F2" s="29"/>
      <c r="G2" s="29"/>
      <c r="H2" s="7"/>
    </row>
    <row r="3" ht="22.5" customHeight="1">
      <c r="A3" s="5">
        <v>45859.0</v>
      </c>
      <c r="B3" s="28">
        <v>8.0</v>
      </c>
      <c r="C3" s="28"/>
      <c r="D3" s="169"/>
      <c r="E3" s="8" t="s">
        <v>2476</v>
      </c>
      <c r="F3" s="29"/>
      <c r="G3" s="29"/>
      <c r="H3" s="7"/>
    </row>
    <row r="4" ht="22.5" customHeight="1">
      <c r="A4" s="5">
        <v>45860.0</v>
      </c>
      <c r="B4" s="28" t="s">
        <v>2477</v>
      </c>
      <c r="C4" s="28" t="s">
        <v>2478</v>
      </c>
      <c r="D4" s="169" t="s">
        <v>2479</v>
      </c>
      <c r="E4" s="8" t="s">
        <v>2480</v>
      </c>
      <c r="F4" s="29" t="s">
        <v>2481</v>
      </c>
      <c r="G4" s="30" t="s">
        <v>2482</v>
      </c>
      <c r="H4" s="29" t="s">
        <v>2483</v>
      </c>
    </row>
    <row r="5" ht="22.5" customHeight="1">
      <c r="A5" s="5">
        <v>45861.0</v>
      </c>
      <c r="B5" s="28"/>
      <c r="C5" s="28" t="s">
        <v>2484</v>
      </c>
      <c r="D5" s="169" t="s">
        <v>2485</v>
      </c>
      <c r="E5" s="8" t="s">
        <v>2486</v>
      </c>
      <c r="F5" s="29" t="s">
        <v>2487</v>
      </c>
      <c r="G5" s="30" t="s">
        <v>2488</v>
      </c>
      <c r="H5" s="31"/>
    </row>
    <row r="6" ht="22.5" customHeight="1">
      <c r="A6" s="5">
        <v>45862.0</v>
      </c>
      <c r="B6" s="33">
        <v>8.0</v>
      </c>
      <c r="C6" s="28" t="s">
        <v>2489</v>
      </c>
      <c r="D6" s="169"/>
      <c r="E6" s="8" t="s">
        <v>2490</v>
      </c>
      <c r="F6" s="29" t="s">
        <v>2491</v>
      </c>
      <c r="G6" s="29"/>
      <c r="H6" s="37" t="s">
        <v>2492</v>
      </c>
    </row>
    <row r="7" ht="22.5" customHeight="1">
      <c r="A7" s="5">
        <v>45863.0</v>
      </c>
      <c r="B7" s="192"/>
      <c r="C7" s="132" t="s">
        <v>2493</v>
      </c>
      <c r="D7" s="331"/>
      <c r="E7" s="202" t="s">
        <v>2494</v>
      </c>
      <c r="F7" s="202" t="s">
        <v>2494</v>
      </c>
      <c r="G7" s="190"/>
      <c r="H7" s="191" t="s">
        <v>939</v>
      </c>
    </row>
    <row r="8" ht="22.5" customHeight="1">
      <c r="A8" s="5">
        <v>45866.0</v>
      </c>
      <c r="B8" s="33">
        <v>8.0</v>
      </c>
      <c r="C8" s="28"/>
      <c r="D8" s="42"/>
      <c r="E8" s="8" t="s">
        <v>2476</v>
      </c>
      <c r="F8" s="29" t="s">
        <v>2495</v>
      </c>
      <c r="G8" s="332" t="s">
        <v>2496</v>
      </c>
      <c r="H8" s="37" t="s">
        <v>2497</v>
      </c>
    </row>
    <row r="9" ht="22.5" customHeight="1">
      <c r="A9" s="5">
        <v>45867.0</v>
      </c>
      <c r="B9" s="33">
        <v>8.0</v>
      </c>
      <c r="C9" s="28"/>
      <c r="D9" s="42"/>
      <c r="E9" s="8" t="s">
        <v>2476</v>
      </c>
      <c r="F9" s="29" t="s">
        <v>2495</v>
      </c>
      <c r="G9" s="29"/>
      <c r="H9" s="37" t="s">
        <v>2492</v>
      </c>
    </row>
    <row r="10" ht="22.5" customHeight="1">
      <c r="A10" s="5">
        <v>45868.0</v>
      </c>
      <c r="B10" s="33">
        <v>8.0</v>
      </c>
      <c r="C10" s="28"/>
      <c r="D10" s="33"/>
      <c r="E10" s="8" t="s">
        <v>2476</v>
      </c>
      <c r="F10" s="29" t="s">
        <v>2495</v>
      </c>
      <c r="G10" s="29"/>
      <c r="H10" s="37" t="s">
        <v>2492</v>
      </c>
    </row>
    <row r="11" ht="22.5" customHeight="1">
      <c r="A11" s="5">
        <v>45869.0</v>
      </c>
      <c r="B11" s="33"/>
      <c r="C11" s="42">
        <v>8.0</v>
      </c>
      <c r="D11" s="33"/>
      <c r="E11" s="8" t="s">
        <v>2498</v>
      </c>
      <c r="F11" s="29" t="s">
        <v>2499</v>
      </c>
      <c r="G11" s="30" t="s">
        <v>2500</v>
      </c>
      <c r="H11" s="31"/>
    </row>
    <row r="12" ht="22.5" customHeight="1">
      <c r="A12" s="5">
        <v>45870.0</v>
      </c>
      <c r="B12" s="33" t="s">
        <v>2501</v>
      </c>
      <c r="C12" s="42">
        <v>8.0</v>
      </c>
      <c r="D12" s="33"/>
      <c r="E12" s="8" t="s">
        <v>2498</v>
      </c>
      <c r="F12" s="29" t="s">
        <v>2502</v>
      </c>
      <c r="G12" s="147" t="s">
        <v>2503</v>
      </c>
      <c r="H12" s="31"/>
    </row>
    <row r="13" ht="22.5" customHeight="1">
      <c r="A13" s="5">
        <v>45873.0</v>
      </c>
      <c r="B13" s="33">
        <v>8.0</v>
      </c>
      <c r="C13" s="42" t="s">
        <v>2504</v>
      </c>
      <c r="D13" s="33"/>
      <c r="E13" s="8" t="s">
        <v>2476</v>
      </c>
      <c r="F13" s="29" t="s">
        <v>2505</v>
      </c>
      <c r="G13" s="30" t="s">
        <v>1307</v>
      </c>
      <c r="H13" s="31"/>
    </row>
    <row r="14" ht="22.5" customHeight="1">
      <c r="A14" s="5">
        <v>45874.0</v>
      </c>
      <c r="B14" s="42" t="s">
        <v>2506</v>
      </c>
      <c r="C14" s="33">
        <v>8.0</v>
      </c>
      <c r="D14" s="33"/>
      <c r="E14" s="8" t="s">
        <v>2498</v>
      </c>
      <c r="F14" s="29" t="s">
        <v>2507</v>
      </c>
      <c r="G14" s="30" t="s">
        <v>2503</v>
      </c>
      <c r="H14" s="31"/>
    </row>
    <row r="15" ht="22.5" customHeight="1">
      <c r="A15" s="5">
        <v>45875.0</v>
      </c>
      <c r="B15" s="33">
        <v>8.0</v>
      </c>
      <c r="C15" s="42" t="s">
        <v>2508</v>
      </c>
      <c r="D15" s="33"/>
      <c r="E15" s="8" t="s">
        <v>2476</v>
      </c>
      <c r="F15" s="29" t="s">
        <v>2509</v>
      </c>
      <c r="G15" s="29"/>
      <c r="H15" s="37" t="s">
        <v>2492</v>
      </c>
    </row>
    <row r="16" ht="22.5" customHeight="1">
      <c r="A16" s="5">
        <v>45876.0</v>
      </c>
      <c r="B16" s="42" t="s">
        <v>2510</v>
      </c>
      <c r="C16" s="42">
        <v>8.0</v>
      </c>
      <c r="D16" s="73"/>
      <c r="E16" s="8" t="s">
        <v>2498</v>
      </c>
      <c r="F16" s="29" t="s">
        <v>2502</v>
      </c>
      <c r="G16" s="74" t="s">
        <v>2511</v>
      </c>
      <c r="H16" s="36"/>
    </row>
    <row r="17" ht="22.5" customHeight="1">
      <c r="A17" s="5">
        <v>45877.0</v>
      </c>
      <c r="B17" s="33">
        <v>8.0</v>
      </c>
      <c r="C17" s="33"/>
      <c r="D17" s="73"/>
      <c r="E17" s="8" t="s">
        <v>2476</v>
      </c>
      <c r="F17" s="29" t="s">
        <v>2509</v>
      </c>
      <c r="G17" s="74" t="s">
        <v>1307</v>
      </c>
      <c r="H17" s="37" t="s">
        <v>2492</v>
      </c>
    </row>
    <row r="18" ht="22.5" customHeight="1">
      <c r="A18" s="5">
        <v>45880.0</v>
      </c>
      <c r="B18" s="33"/>
      <c r="C18" s="33">
        <v>8.0</v>
      </c>
      <c r="D18" s="73"/>
      <c r="E18" s="8" t="s">
        <v>2498</v>
      </c>
      <c r="F18" s="29" t="s">
        <v>2502</v>
      </c>
      <c r="G18" s="205" t="s">
        <v>2512</v>
      </c>
      <c r="H18" s="37"/>
    </row>
    <row r="19" ht="22.5" customHeight="1">
      <c r="A19" s="5">
        <v>45881.0</v>
      </c>
      <c r="B19" s="33">
        <v>8.0</v>
      </c>
      <c r="C19" s="33"/>
      <c r="D19" s="73"/>
      <c r="E19" s="8" t="s">
        <v>2476</v>
      </c>
      <c r="F19" s="29" t="s">
        <v>2509</v>
      </c>
      <c r="G19" s="47"/>
      <c r="H19" s="37" t="s">
        <v>2513</v>
      </c>
    </row>
    <row r="20" ht="22.5" customHeight="1">
      <c r="A20" s="5">
        <v>45882.0</v>
      </c>
      <c r="B20" s="33">
        <v>8.0</v>
      </c>
      <c r="C20" s="42" t="s">
        <v>2514</v>
      </c>
      <c r="D20" s="33"/>
      <c r="E20" s="8" t="s">
        <v>2515</v>
      </c>
      <c r="F20" s="29" t="s">
        <v>2509</v>
      </c>
      <c r="G20" s="47"/>
      <c r="H20" s="37" t="s">
        <v>2513</v>
      </c>
    </row>
    <row r="21" ht="22.5" customHeight="1">
      <c r="A21" s="5">
        <v>45883.0</v>
      </c>
      <c r="B21" s="33">
        <v>8.0</v>
      </c>
      <c r="C21" s="33"/>
      <c r="D21" s="73"/>
      <c r="E21" s="8" t="s">
        <v>2476</v>
      </c>
      <c r="F21" s="29" t="s">
        <v>2509</v>
      </c>
      <c r="G21" s="47"/>
      <c r="H21" s="37" t="s">
        <v>2513</v>
      </c>
    </row>
    <row r="22" ht="22.5" customHeight="1">
      <c r="A22" s="5">
        <v>45884.0</v>
      </c>
      <c r="B22" s="33">
        <v>8.0</v>
      </c>
      <c r="C22" s="42" t="s">
        <v>2516</v>
      </c>
      <c r="D22" s="33"/>
      <c r="E22" s="8" t="s">
        <v>2517</v>
      </c>
      <c r="F22" s="29" t="s">
        <v>2509</v>
      </c>
      <c r="G22" s="37"/>
      <c r="H22" s="37" t="s">
        <v>2513</v>
      </c>
    </row>
    <row r="23" ht="22.5" customHeight="1">
      <c r="A23" s="5">
        <v>45887.0</v>
      </c>
      <c r="B23" s="42" t="s">
        <v>2518</v>
      </c>
      <c r="C23" s="42">
        <v>4.0</v>
      </c>
      <c r="D23" s="67"/>
      <c r="E23" s="8" t="s">
        <v>2519</v>
      </c>
      <c r="F23" s="55" t="s">
        <v>2520</v>
      </c>
      <c r="G23" s="60" t="s">
        <v>2521</v>
      </c>
      <c r="H23" s="37" t="s">
        <v>2513</v>
      </c>
    </row>
    <row r="24" ht="22.5" customHeight="1">
      <c r="A24" s="5">
        <v>45888.0</v>
      </c>
      <c r="B24" s="63">
        <v>4.0</v>
      </c>
      <c r="C24" s="42" t="s">
        <v>2522</v>
      </c>
      <c r="D24" s="67"/>
      <c r="E24" s="8" t="s">
        <v>2519</v>
      </c>
      <c r="F24" s="55"/>
      <c r="G24" s="60" t="s">
        <v>2523</v>
      </c>
      <c r="H24" s="37" t="s">
        <v>2513</v>
      </c>
    </row>
    <row r="25" ht="22.5" customHeight="1">
      <c r="A25" s="5">
        <v>45889.0</v>
      </c>
      <c r="B25" s="63">
        <v>8.0</v>
      </c>
      <c r="C25" s="33"/>
      <c r="D25" s="67"/>
      <c r="E25" s="8" t="s">
        <v>2476</v>
      </c>
      <c r="F25" s="29" t="s">
        <v>2509</v>
      </c>
      <c r="G25" s="51"/>
      <c r="H25" s="37" t="s">
        <v>2513</v>
      </c>
    </row>
    <row r="26" ht="22.5" customHeight="1">
      <c r="A26" s="5">
        <v>45890.0</v>
      </c>
      <c r="B26" s="63">
        <v>8.0</v>
      </c>
      <c r="C26" s="42" t="s">
        <v>2524</v>
      </c>
      <c r="D26" s="67"/>
      <c r="E26" s="8" t="s">
        <v>2525</v>
      </c>
      <c r="F26" s="29" t="s">
        <v>2495</v>
      </c>
      <c r="G26" s="55" t="s">
        <v>2526</v>
      </c>
      <c r="H26" s="37" t="s">
        <v>2513</v>
      </c>
    </row>
    <row r="27" ht="22.5" customHeight="1">
      <c r="A27" s="5">
        <v>45891.0</v>
      </c>
      <c r="B27" s="63">
        <v>8.0</v>
      </c>
      <c r="C27" s="33"/>
      <c r="D27" s="67"/>
      <c r="E27" s="8" t="s">
        <v>2476</v>
      </c>
      <c r="F27" s="29" t="s">
        <v>2495</v>
      </c>
      <c r="G27" s="55" t="s">
        <v>2526</v>
      </c>
      <c r="H27" s="37" t="s">
        <v>2513</v>
      </c>
    </row>
    <row r="28" ht="22.5" customHeight="1">
      <c r="A28" s="5">
        <v>45894.0</v>
      </c>
      <c r="B28" s="63">
        <v>8.0</v>
      </c>
      <c r="C28" s="42" t="s">
        <v>2527</v>
      </c>
      <c r="D28" s="67"/>
      <c r="E28" s="8" t="s">
        <v>2528</v>
      </c>
      <c r="F28" s="29" t="s">
        <v>2495</v>
      </c>
      <c r="G28" s="55" t="s">
        <v>2526</v>
      </c>
      <c r="H28" s="37" t="s">
        <v>2513</v>
      </c>
    </row>
    <row r="29" ht="22.5" customHeight="1">
      <c r="A29" s="5">
        <v>45895.0</v>
      </c>
      <c r="B29" s="63">
        <v>8.0</v>
      </c>
      <c r="C29" s="33"/>
      <c r="D29" s="67"/>
      <c r="E29" s="8" t="s">
        <v>2476</v>
      </c>
      <c r="F29" s="29" t="s">
        <v>2495</v>
      </c>
      <c r="G29" s="55" t="s">
        <v>2526</v>
      </c>
      <c r="H29" s="37" t="s">
        <v>2513</v>
      </c>
    </row>
    <row r="30" ht="22.5" customHeight="1">
      <c r="A30" s="5">
        <v>45896.0</v>
      </c>
      <c r="B30" s="63">
        <v>8.0</v>
      </c>
      <c r="C30" s="42" t="s">
        <v>2529</v>
      </c>
      <c r="D30" s="67"/>
      <c r="E30" s="8" t="s">
        <v>2530</v>
      </c>
      <c r="F30" s="29" t="s">
        <v>2495</v>
      </c>
      <c r="G30" s="55" t="s">
        <v>2526</v>
      </c>
      <c r="H30" s="37" t="s">
        <v>2513</v>
      </c>
    </row>
    <row r="31" ht="22.5" customHeight="1">
      <c r="A31" s="5">
        <v>45897.0</v>
      </c>
      <c r="B31" s="42" t="s">
        <v>2531</v>
      </c>
      <c r="C31" s="33"/>
      <c r="D31" s="63">
        <v>8.0</v>
      </c>
      <c r="E31" s="8" t="s">
        <v>2532</v>
      </c>
      <c r="F31" s="51"/>
      <c r="G31" s="51"/>
      <c r="H31" s="53"/>
    </row>
    <row r="32" ht="22.5" customHeight="1">
      <c r="A32" s="5">
        <v>45898.0</v>
      </c>
      <c r="B32" s="63"/>
      <c r="C32" s="42" t="s">
        <v>2533</v>
      </c>
      <c r="D32" s="63">
        <v>8.0</v>
      </c>
      <c r="E32" s="8" t="s">
        <v>2534</v>
      </c>
      <c r="F32" s="51"/>
      <c r="G32" s="51"/>
      <c r="H32" s="53"/>
    </row>
    <row r="33" ht="22.5" customHeight="1">
      <c r="A33" s="5">
        <v>45901.0</v>
      </c>
      <c r="B33" s="63">
        <v>8.0</v>
      </c>
      <c r="C33" s="33"/>
      <c r="D33" s="67"/>
      <c r="E33" s="8" t="s">
        <v>2476</v>
      </c>
      <c r="F33" s="29" t="s">
        <v>2495</v>
      </c>
      <c r="G33" s="152" t="s">
        <v>2535</v>
      </c>
      <c r="H33" s="37" t="s">
        <v>2513</v>
      </c>
    </row>
    <row r="34" ht="22.5" customHeight="1">
      <c r="A34" s="5">
        <v>45902.0</v>
      </c>
      <c r="B34" s="63">
        <v>8.0</v>
      </c>
      <c r="C34" s="67"/>
      <c r="D34" s="67"/>
      <c r="E34" s="8" t="s">
        <v>2476</v>
      </c>
      <c r="F34" s="29" t="s">
        <v>2495</v>
      </c>
      <c r="G34" s="152" t="s">
        <v>2536</v>
      </c>
      <c r="H34" s="37" t="s">
        <v>2513</v>
      </c>
    </row>
    <row r="35" ht="22.5" customHeight="1">
      <c r="A35" s="5">
        <v>45903.0</v>
      </c>
      <c r="B35" s="63">
        <v>8.0</v>
      </c>
      <c r="C35" s="67"/>
      <c r="D35" s="67"/>
      <c r="E35" s="8" t="s">
        <v>2476</v>
      </c>
      <c r="F35" s="29" t="s">
        <v>2495</v>
      </c>
      <c r="G35" s="152" t="s">
        <v>2537</v>
      </c>
      <c r="H35" s="37" t="s">
        <v>2513</v>
      </c>
    </row>
    <row r="36" ht="22.5" customHeight="1">
      <c r="A36" s="5">
        <v>45904.0</v>
      </c>
      <c r="B36" s="63">
        <v>8.0</v>
      </c>
      <c r="C36" s="67"/>
      <c r="D36" s="67"/>
      <c r="E36" s="8" t="s">
        <v>2476</v>
      </c>
      <c r="F36" s="29" t="s">
        <v>2495</v>
      </c>
      <c r="G36" s="152" t="s">
        <v>2538</v>
      </c>
      <c r="H36" s="37" t="s">
        <v>2513</v>
      </c>
    </row>
    <row r="37" ht="22.5" customHeight="1">
      <c r="A37" s="5">
        <v>45908.0</v>
      </c>
      <c r="B37" s="63">
        <v>8.0</v>
      </c>
      <c r="C37" s="67"/>
      <c r="D37" s="67"/>
      <c r="E37" s="8" t="s">
        <v>2476</v>
      </c>
      <c r="F37" s="29" t="s">
        <v>2495</v>
      </c>
      <c r="G37" s="152" t="s">
        <v>2539</v>
      </c>
      <c r="H37" s="37" t="s">
        <v>2513</v>
      </c>
    </row>
    <row r="38" ht="22.5" customHeight="1">
      <c r="A38" s="5">
        <v>45909.0</v>
      </c>
      <c r="B38" s="63">
        <v>8.0</v>
      </c>
      <c r="C38" s="67"/>
      <c r="D38" s="67"/>
      <c r="E38" s="8" t="s">
        <v>2476</v>
      </c>
      <c r="F38" s="29" t="s">
        <v>2495</v>
      </c>
      <c r="G38" s="152" t="s">
        <v>2540</v>
      </c>
      <c r="H38" s="37" t="s">
        <v>2513</v>
      </c>
    </row>
    <row r="39" ht="22.5" customHeight="1">
      <c r="A39" s="5">
        <v>45910.0</v>
      </c>
      <c r="B39" s="63">
        <v>8.0</v>
      </c>
      <c r="C39" s="67"/>
      <c r="D39" s="67"/>
      <c r="E39" s="8" t="s">
        <v>2476</v>
      </c>
      <c r="F39" s="29" t="s">
        <v>2495</v>
      </c>
      <c r="G39" s="333" t="s">
        <v>2541</v>
      </c>
      <c r="H39" s="37" t="s">
        <v>2513</v>
      </c>
    </row>
    <row r="40" ht="22.5" customHeight="1">
      <c r="A40" s="141">
        <v>45911.0</v>
      </c>
      <c r="B40" s="63">
        <v>8.0</v>
      </c>
      <c r="C40" s="67"/>
      <c r="D40" s="67"/>
      <c r="E40" s="8" t="s">
        <v>2476</v>
      </c>
      <c r="F40" s="29" t="s">
        <v>2495</v>
      </c>
      <c r="G40" s="152" t="s">
        <v>2542</v>
      </c>
      <c r="H40" s="37" t="s">
        <v>2513</v>
      </c>
    </row>
    <row r="41" ht="22.5" customHeight="1">
      <c r="A41" s="141">
        <v>45912.0</v>
      </c>
      <c r="B41" s="63">
        <v>8.0</v>
      </c>
      <c r="C41" s="67"/>
      <c r="D41" s="67"/>
      <c r="E41" s="8" t="s">
        <v>2476</v>
      </c>
      <c r="F41" s="29" t="s">
        <v>2495</v>
      </c>
      <c r="G41" s="152" t="s">
        <v>2542</v>
      </c>
      <c r="H41" s="37" t="s">
        <v>2513</v>
      </c>
    </row>
    <row r="42" ht="22.5" customHeight="1">
      <c r="A42" s="141">
        <v>45915.0</v>
      </c>
      <c r="B42" s="63">
        <v>8.0</v>
      </c>
      <c r="C42" s="67"/>
      <c r="D42" s="67"/>
      <c r="E42" s="8" t="s">
        <v>2476</v>
      </c>
      <c r="F42" s="29" t="s">
        <v>2495</v>
      </c>
      <c r="G42" s="333"/>
      <c r="H42" s="37" t="s">
        <v>2513</v>
      </c>
    </row>
    <row r="43" ht="22.5" customHeight="1">
      <c r="A43" s="141">
        <v>45916.0</v>
      </c>
      <c r="B43" s="63">
        <v>8.0</v>
      </c>
      <c r="C43" s="67"/>
      <c r="D43" s="67"/>
      <c r="E43" s="8" t="s">
        <v>2476</v>
      </c>
      <c r="F43" s="29" t="s">
        <v>2495</v>
      </c>
      <c r="G43" s="333"/>
      <c r="H43" s="37" t="s">
        <v>2513</v>
      </c>
    </row>
    <row r="44" ht="22.5" customHeight="1">
      <c r="A44" s="141">
        <v>45917.0</v>
      </c>
      <c r="B44" s="63">
        <v>8.0</v>
      </c>
      <c r="C44" s="67"/>
      <c r="D44" s="67"/>
      <c r="E44" s="8" t="s">
        <v>2476</v>
      </c>
      <c r="F44" s="29" t="s">
        <v>2495</v>
      </c>
      <c r="G44" s="333"/>
      <c r="H44" s="37" t="s">
        <v>2513</v>
      </c>
    </row>
    <row r="45" ht="22.5" customHeight="1">
      <c r="A45" s="141">
        <v>45918.0</v>
      </c>
      <c r="B45" s="63">
        <v>8.0</v>
      </c>
      <c r="C45" s="67"/>
      <c r="D45" s="67"/>
      <c r="E45" s="8" t="s">
        <v>2476</v>
      </c>
      <c r="F45" s="29" t="s">
        <v>2495</v>
      </c>
      <c r="G45" s="333"/>
      <c r="H45" s="37" t="s">
        <v>2513</v>
      </c>
    </row>
    <row r="46" ht="22.5" customHeight="1">
      <c r="A46" s="141">
        <v>45919.0</v>
      </c>
      <c r="B46" s="63">
        <v>8.0</v>
      </c>
      <c r="C46" s="67"/>
      <c r="D46" s="67"/>
      <c r="E46" s="8" t="s">
        <v>2476</v>
      </c>
      <c r="F46" s="29" t="s">
        <v>2495</v>
      </c>
      <c r="G46" s="333"/>
      <c r="H46" s="37" t="s">
        <v>2513</v>
      </c>
    </row>
    <row r="47" ht="22.5" customHeight="1">
      <c r="A47" s="141">
        <v>45922.0</v>
      </c>
      <c r="B47" s="63">
        <v>8.0</v>
      </c>
      <c r="C47" s="67"/>
      <c r="D47" s="67"/>
      <c r="E47" s="8" t="s">
        <v>2476</v>
      </c>
      <c r="F47" s="29" t="s">
        <v>2495</v>
      </c>
      <c r="G47" s="333"/>
      <c r="H47" s="37" t="s">
        <v>2513</v>
      </c>
    </row>
    <row r="48" ht="22.5" customHeight="1">
      <c r="A48" s="141">
        <v>45923.0</v>
      </c>
      <c r="B48" s="63">
        <v>8.0</v>
      </c>
      <c r="C48" s="67"/>
      <c r="D48" s="67"/>
      <c r="E48" s="8" t="s">
        <v>2476</v>
      </c>
      <c r="F48" s="29" t="s">
        <v>2495</v>
      </c>
      <c r="G48" s="152" t="s">
        <v>2543</v>
      </c>
      <c r="H48" s="37" t="s">
        <v>2513</v>
      </c>
    </row>
    <row r="49" ht="22.5" customHeight="1">
      <c r="A49" s="141">
        <v>45924.0</v>
      </c>
      <c r="B49" s="63">
        <v>8.0</v>
      </c>
      <c r="C49" s="67"/>
      <c r="D49" s="67"/>
      <c r="E49" s="8" t="s">
        <v>2476</v>
      </c>
      <c r="F49" s="29" t="s">
        <v>2495</v>
      </c>
      <c r="G49" s="152" t="s">
        <v>2543</v>
      </c>
      <c r="H49" s="37" t="s">
        <v>2513</v>
      </c>
    </row>
    <row r="50" ht="22.5" customHeight="1">
      <c r="A50" s="141">
        <v>45925.0</v>
      </c>
      <c r="B50" s="63">
        <v>8.0</v>
      </c>
      <c r="C50" s="67"/>
      <c r="D50" s="67"/>
      <c r="E50" s="8" t="s">
        <v>2476</v>
      </c>
      <c r="F50" s="29" t="s">
        <v>2495</v>
      </c>
      <c r="G50" s="152" t="s">
        <v>2543</v>
      </c>
      <c r="H50" s="37" t="s">
        <v>2513</v>
      </c>
    </row>
    <row r="51" ht="22.5" customHeight="1">
      <c r="A51" s="141">
        <v>45926.0</v>
      </c>
      <c r="B51" s="63">
        <v>8.0</v>
      </c>
      <c r="C51" s="67"/>
      <c r="D51" s="67"/>
      <c r="E51" s="8" t="s">
        <v>2476</v>
      </c>
      <c r="F51" s="29" t="s">
        <v>2495</v>
      </c>
      <c r="G51" s="152" t="s">
        <v>2543</v>
      </c>
      <c r="H51" s="37" t="s">
        <v>2513</v>
      </c>
    </row>
    <row r="52" ht="22.5" customHeight="1">
      <c r="A52" s="141">
        <v>45929.0</v>
      </c>
      <c r="B52" s="63">
        <v>8.0</v>
      </c>
      <c r="C52" s="67"/>
      <c r="D52" s="67"/>
      <c r="E52" s="8" t="s">
        <v>2476</v>
      </c>
      <c r="F52" s="29" t="s">
        <v>2495</v>
      </c>
      <c r="G52" s="152" t="s">
        <v>2543</v>
      </c>
      <c r="H52" s="37" t="s">
        <v>2513</v>
      </c>
    </row>
    <row r="53" ht="22.5" customHeight="1">
      <c r="A53" s="141">
        <v>45930.0</v>
      </c>
      <c r="B53" s="63">
        <v>8.0</v>
      </c>
      <c r="C53" s="67"/>
      <c r="D53" s="67"/>
      <c r="E53" s="8" t="s">
        <v>2476</v>
      </c>
      <c r="F53" s="29" t="s">
        <v>2495</v>
      </c>
      <c r="G53" s="152" t="s">
        <v>2544</v>
      </c>
      <c r="H53" s="37" t="s">
        <v>2513</v>
      </c>
    </row>
    <row r="54" ht="22.5" customHeight="1">
      <c r="A54" s="141">
        <v>45931.0</v>
      </c>
      <c r="B54" s="63">
        <v>8.0</v>
      </c>
      <c r="C54" s="67"/>
      <c r="D54" s="67"/>
      <c r="E54" s="8" t="s">
        <v>2476</v>
      </c>
      <c r="F54" s="29" t="s">
        <v>2495</v>
      </c>
      <c r="G54" s="152" t="s">
        <v>2544</v>
      </c>
      <c r="H54" s="37" t="s">
        <v>2513</v>
      </c>
    </row>
    <row r="55" ht="22.5" customHeight="1">
      <c r="A55" s="141">
        <v>45932.0</v>
      </c>
      <c r="B55" s="63">
        <v>8.0</v>
      </c>
      <c r="C55" s="67"/>
      <c r="D55" s="67"/>
      <c r="E55" s="8" t="s">
        <v>2476</v>
      </c>
      <c r="F55" s="29" t="s">
        <v>2495</v>
      </c>
      <c r="G55" s="152" t="s">
        <v>2544</v>
      </c>
      <c r="H55" s="37" t="s">
        <v>2513</v>
      </c>
    </row>
    <row r="56" ht="22.5" customHeight="1">
      <c r="A56" s="141">
        <v>45933.0</v>
      </c>
      <c r="B56" s="63">
        <v>8.0</v>
      </c>
      <c r="C56" s="67"/>
      <c r="D56" s="67"/>
      <c r="E56" s="8" t="s">
        <v>2476</v>
      </c>
      <c r="F56" s="29" t="s">
        <v>2495</v>
      </c>
      <c r="G56" s="152" t="s">
        <v>2544</v>
      </c>
      <c r="H56" s="37" t="s">
        <v>2513</v>
      </c>
    </row>
    <row r="57" ht="22.5" customHeight="1">
      <c r="A57" s="141">
        <v>45936.0</v>
      </c>
      <c r="B57" s="63">
        <v>8.0</v>
      </c>
      <c r="C57" s="67"/>
      <c r="D57" s="67"/>
      <c r="E57" s="8" t="s">
        <v>2476</v>
      </c>
      <c r="F57" s="29" t="s">
        <v>2495</v>
      </c>
      <c r="G57" s="152" t="s">
        <v>2544</v>
      </c>
      <c r="H57" s="37" t="s">
        <v>2513</v>
      </c>
    </row>
    <row r="58" ht="22.5" customHeight="1">
      <c r="A58" s="141">
        <v>45937.0</v>
      </c>
      <c r="B58" s="63">
        <v>8.0</v>
      </c>
      <c r="C58" s="67"/>
      <c r="D58" s="67"/>
      <c r="E58" s="8" t="s">
        <v>2476</v>
      </c>
      <c r="F58" s="29" t="s">
        <v>2495</v>
      </c>
      <c r="G58" s="152" t="s">
        <v>2545</v>
      </c>
      <c r="H58" s="37" t="s">
        <v>2513</v>
      </c>
    </row>
    <row r="59" ht="22.5" customHeight="1">
      <c r="A59" s="141">
        <v>45938.0</v>
      </c>
      <c r="B59" s="63">
        <v>8.0</v>
      </c>
      <c r="C59" s="67"/>
      <c r="D59" s="67"/>
      <c r="E59" s="8" t="s">
        <v>2476</v>
      </c>
      <c r="F59" s="29" t="s">
        <v>2495</v>
      </c>
      <c r="G59" s="152" t="s">
        <v>2545</v>
      </c>
      <c r="H59" s="37" t="s">
        <v>2513</v>
      </c>
    </row>
    <row r="60" ht="22.5" customHeight="1">
      <c r="A60" s="141">
        <v>45939.0</v>
      </c>
      <c r="B60" s="63">
        <v>8.0</v>
      </c>
      <c r="C60" s="67"/>
      <c r="D60" s="67"/>
      <c r="E60" s="8" t="s">
        <v>2476</v>
      </c>
      <c r="F60" s="29" t="s">
        <v>2495</v>
      </c>
      <c r="G60" s="152" t="s">
        <v>2545</v>
      </c>
      <c r="H60" s="37" t="s">
        <v>2513</v>
      </c>
    </row>
    <row r="61" ht="22.5" customHeight="1">
      <c r="A61" s="141">
        <v>45940.0</v>
      </c>
      <c r="B61" s="63">
        <v>8.0</v>
      </c>
      <c r="C61" s="67"/>
      <c r="D61" s="67"/>
      <c r="E61" s="8" t="s">
        <v>2476</v>
      </c>
      <c r="F61" s="29" t="s">
        <v>2495</v>
      </c>
      <c r="G61" s="152" t="s">
        <v>2546</v>
      </c>
      <c r="H61" s="37" t="s">
        <v>2513</v>
      </c>
    </row>
    <row r="62" ht="22.5" customHeight="1">
      <c r="A62" s="141">
        <v>45943.0</v>
      </c>
      <c r="B62" s="63">
        <v>8.0</v>
      </c>
      <c r="C62" s="67"/>
      <c r="D62" s="67"/>
      <c r="E62" s="8" t="s">
        <v>2476</v>
      </c>
      <c r="F62" s="29" t="s">
        <v>2495</v>
      </c>
      <c r="G62" s="152" t="s">
        <v>2546</v>
      </c>
      <c r="H62" s="37" t="s">
        <v>2513</v>
      </c>
    </row>
    <row r="63" ht="22.5" customHeight="1">
      <c r="A63" s="141">
        <v>45944.0</v>
      </c>
      <c r="B63" s="63">
        <v>8.0</v>
      </c>
      <c r="C63" s="67"/>
      <c r="D63" s="67"/>
      <c r="E63" s="8" t="s">
        <v>2476</v>
      </c>
      <c r="F63" s="29" t="s">
        <v>2495</v>
      </c>
      <c r="G63" s="152" t="s">
        <v>2546</v>
      </c>
      <c r="H63" s="37" t="s">
        <v>2513</v>
      </c>
    </row>
    <row r="64" ht="22.5" customHeight="1">
      <c r="A64" s="141">
        <v>45945.0</v>
      </c>
      <c r="B64" s="63">
        <v>8.0</v>
      </c>
      <c r="C64" s="67"/>
      <c r="D64" s="67"/>
      <c r="E64" s="8" t="s">
        <v>2476</v>
      </c>
      <c r="F64" s="29" t="s">
        <v>2495</v>
      </c>
      <c r="G64" s="152" t="s">
        <v>2546</v>
      </c>
      <c r="H64" s="37" t="s">
        <v>2513</v>
      </c>
    </row>
    <row r="65" ht="22.5" customHeight="1">
      <c r="A65" s="141">
        <v>45946.0</v>
      </c>
      <c r="B65" s="63">
        <v>8.0</v>
      </c>
      <c r="C65" s="67"/>
      <c r="D65" s="67"/>
      <c r="E65" s="8" t="s">
        <v>2476</v>
      </c>
      <c r="F65" s="29" t="s">
        <v>2495</v>
      </c>
      <c r="G65" s="152" t="s">
        <v>2547</v>
      </c>
      <c r="H65" s="37" t="s">
        <v>2513</v>
      </c>
    </row>
    <row r="66" ht="22.5" customHeight="1">
      <c r="A66" s="141">
        <v>45947.0</v>
      </c>
      <c r="B66" s="63"/>
      <c r="C66" s="67"/>
      <c r="D66" s="67"/>
      <c r="E66" s="8" t="s">
        <v>286</v>
      </c>
      <c r="F66" s="8" t="s">
        <v>286</v>
      </c>
      <c r="G66" s="333"/>
      <c r="H66" s="37"/>
    </row>
    <row r="67" ht="22.5" customHeight="1">
      <c r="A67" s="141">
        <v>45950.0</v>
      </c>
      <c r="B67" s="63">
        <v>8.0</v>
      </c>
      <c r="C67" s="67"/>
      <c r="D67" s="67"/>
      <c r="E67" s="8" t="s">
        <v>2476</v>
      </c>
      <c r="F67" s="29" t="s">
        <v>2495</v>
      </c>
      <c r="G67" s="152" t="s">
        <v>2547</v>
      </c>
      <c r="H67" s="37" t="s">
        <v>2513</v>
      </c>
    </row>
    <row r="68" ht="22.5" customHeight="1">
      <c r="A68" s="141">
        <v>45951.0</v>
      </c>
      <c r="B68" s="63">
        <v>8.0</v>
      </c>
      <c r="C68" s="67"/>
      <c r="D68" s="67"/>
      <c r="E68" s="8" t="s">
        <v>2476</v>
      </c>
      <c r="F68" s="29" t="s">
        <v>2495</v>
      </c>
      <c r="G68" s="152" t="s">
        <v>2547</v>
      </c>
      <c r="H68" s="37" t="s">
        <v>2513</v>
      </c>
    </row>
    <row r="69" ht="22.5" customHeight="1">
      <c r="A69" s="141">
        <v>45952.0</v>
      </c>
      <c r="B69" s="63">
        <v>8.0</v>
      </c>
      <c r="C69" s="67"/>
      <c r="D69" s="67"/>
      <c r="E69" s="8" t="s">
        <v>2476</v>
      </c>
      <c r="F69" s="29" t="s">
        <v>2495</v>
      </c>
      <c r="G69" s="152" t="s">
        <v>2547</v>
      </c>
      <c r="H69" s="37" t="s">
        <v>2513</v>
      </c>
    </row>
    <row r="70" ht="22.5" customHeight="1">
      <c r="A70" s="141">
        <v>45953.0</v>
      </c>
      <c r="B70" s="63">
        <v>8.0</v>
      </c>
      <c r="C70" s="67"/>
      <c r="D70" s="67"/>
      <c r="E70" s="8" t="s">
        <v>2476</v>
      </c>
      <c r="F70" s="29" t="s">
        <v>2495</v>
      </c>
      <c r="G70" s="333"/>
      <c r="H70" s="37" t="s">
        <v>2513</v>
      </c>
    </row>
    <row r="71" ht="22.5" customHeight="1">
      <c r="A71" s="141">
        <v>45954.0</v>
      </c>
      <c r="B71" s="63">
        <v>8.0</v>
      </c>
      <c r="C71" s="67"/>
      <c r="D71" s="67"/>
      <c r="E71" s="8" t="s">
        <v>2476</v>
      </c>
      <c r="F71" s="29" t="s">
        <v>2495</v>
      </c>
      <c r="G71" s="333"/>
      <c r="H71" s="37" t="s">
        <v>2513</v>
      </c>
    </row>
    <row r="72" ht="22.5" customHeight="1">
      <c r="A72" s="141">
        <v>45957.0</v>
      </c>
      <c r="B72" s="63"/>
      <c r="C72" s="63">
        <v>8.0</v>
      </c>
      <c r="D72" s="67"/>
      <c r="E72" s="8" t="s">
        <v>2498</v>
      </c>
      <c r="F72" s="29" t="s">
        <v>176</v>
      </c>
      <c r="G72" s="60" t="s">
        <v>2548</v>
      </c>
      <c r="H72" s="37" t="s">
        <v>2549</v>
      </c>
    </row>
    <row r="73" ht="22.5" customHeight="1">
      <c r="A73" s="141">
        <v>45958.0</v>
      </c>
      <c r="B73" s="63"/>
      <c r="C73" s="63">
        <v>8.0</v>
      </c>
      <c r="D73" s="67"/>
      <c r="E73" s="8" t="s">
        <v>2498</v>
      </c>
      <c r="F73" s="29" t="s">
        <v>176</v>
      </c>
      <c r="G73" s="60" t="s">
        <v>2548</v>
      </c>
      <c r="H73" s="37" t="s">
        <v>2549</v>
      </c>
    </row>
    <row r="74" ht="22.5" customHeight="1">
      <c r="A74" s="141">
        <v>45959.0</v>
      </c>
      <c r="B74" s="63"/>
      <c r="C74" s="63">
        <v>8.0</v>
      </c>
      <c r="D74" s="67"/>
      <c r="E74" s="8" t="s">
        <v>2498</v>
      </c>
      <c r="F74" s="29" t="s">
        <v>176</v>
      </c>
      <c r="G74" s="59" t="s">
        <v>2548</v>
      </c>
      <c r="H74" s="37" t="s">
        <v>2549</v>
      </c>
    </row>
    <row r="75" ht="22.5" customHeight="1">
      <c r="A75" s="141">
        <v>45960.0</v>
      </c>
      <c r="B75" s="63"/>
      <c r="C75" s="63">
        <v>8.0</v>
      </c>
      <c r="D75" s="67"/>
      <c r="E75" s="8" t="s">
        <v>2498</v>
      </c>
      <c r="F75" s="29" t="s">
        <v>176</v>
      </c>
      <c r="G75" s="59" t="s">
        <v>2548</v>
      </c>
      <c r="H75" s="37" t="s">
        <v>2549</v>
      </c>
    </row>
    <row r="76" ht="22.5" customHeight="1">
      <c r="A76" s="141">
        <v>45961.0</v>
      </c>
      <c r="B76" s="63"/>
      <c r="C76" s="63">
        <v>8.0</v>
      </c>
      <c r="D76" s="67"/>
      <c r="E76" s="8" t="s">
        <v>2498</v>
      </c>
      <c r="F76" s="29" t="s">
        <v>36</v>
      </c>
      <c r="G76" s="59" t="s">
        <v>2548</v>
      </c>
      <c r="H76" s="37" t="s">
        <v>2549</v>
      </c>
    </row>
    <row r="77" ht="22.5" customHeight="1">
      <c r="A77" s="141">
        <v>45964.0</v>
      </c>
      <c r="B77" s="63"/>
      <c r="C77" s="63">
        <v>8.0</v>
      </c>
      <c r="D77" s="67"/>
      <c r="E77" s="8" t="s">
        <v>2498</v>
      </c>
      <c r="F77" s="29" t="s">
        <v>176</v>
      </c>
      <c r="G77" s="152" t="s">
        <v>2550</v>
      </c>
      <c r="H77" s="37" t="s">
        <v>2551</v>
      </c>
    </row>
    <row r="78" ht="22.5" customHeight="1">
      <c r="A78" s="141">
        <v>45965.0</v>
      </c>
      <c r="B78" s="63"/>
      <c r="C78" s="63">
        <v>8.0</v>
      </c>
      <c r="D78" s="67"/>
      <c r="E78" s="8" t="s">
        <v>2498</v>
      </c>
      <c r="F78" s="29" t="s">
        <v>2552</v>
      </c>
      <c r="G78" s="60" t="s">
        <v>2550</v>
      </c>
      <c r="H78" s="37" t="s">
        <v>2551</v>
      </c>
    </row>
    <row r="79" ht="22.5" customHeight="1">
      <c r="A79" s="141">
        <v>45966.0</v>
      </c>
      <c r="B79" s="63"/>
      <c r="C79" s="63">
        <v>8.0</v>
      </c>
      <c r="D79" s="67"/>
      <c r="E79" s="8" t="s">
        <v>2498</v>
      </c>
      <c r="F79" s="29" t="s">
        <v>2552</v>
      </c>
      <c r="G79" s="60" t="s">
        <v>2553</v>
      </c>
      <c r="H79" s="37" t="s">
        <v>2554</v>
      </c>
    </row>
    <row r="80" ht="22.5" customHeight="1">
      <c r="A80" s="141">
        <v>45967.0</v>
      </c>
      <c r="B80" s="63"/>
      <c r="C80" s="63">
        <v>8.0</v>
      </c>
      <c r="D80" s="67"/>
      <c r="E80" s="8" t="s">
        <v>2498</v>
      </c>
      <c r="F80" s="29" t="s">
        <v>176</v>
      </c>
      <c r="G80" s="152" t="s">
        <v>2555</v>
      </c>
      <c r="H80" s="37" t="s">
        <v>2556</v>
      </c>
    </row>
    <row r="81" ht="22.5" customHeight="1">
      <c r="A81" s="141">
        <v>45968.0</v>
      </c>
      <c r="B81" s="63"/>
      <c r="C81" s="63">
        <v>8.0</v>
      </c>
      <c r="D81" s="67"/>
      <c r="E81" s="8" t="s">
        <v>2498</v>
      </c>
      <c r="F81" s="29" t="s">
        <v>2552</v>
      </c>
      <c r="G81" s="60" t="s">
        <v>2555</v>
      </c>
      <c r="H81" s="37" t="s">
        <v>2556</v>
      </c>
    </row>
    <row r="82" ht="22.5" customHeight="1">
      <c r="A82" s="141">
        <v>45971.0</v>
      </c>
      <c r="B82" s="63"/>
      <c r="C82" s="63">
        <v>8.0</v>
      </c>
      <c r="D82" s="67"/>
      <c r="E82" s="8"/>
      <c r="F82" s="29" t="s">
        <v>176</v>
      </c>
      <c r="G82" s="152" t="s">
        <v>2555</v>
      </c>
      <c r="H82" s="8" t="s">
        <v>2498</v>
      </c>
    </row>
    <row r="83" ht="22.5" customHeight="1">
      <c r="A83" s="141">
        <v>45972.0</v>
      </c>
      <c r="B83" s="63"/>
      <c r="C83" s="63">
        <v>8.0</v>
      </c>
      <c r="D83" s="67"/>
      <c r="E83" s="8"/>
      <c r="F83" s="29" t="s">
        <v>85</v>
      </c>
      <c r="G83" s="60" t="s">
        <v>2555</v>
      </c>
      <c r="H83" s="8" t="s">
        <v>2498</v>
      </c>
    </row>
    <row r="84" ht="22.5" customHeight="1">
      <c r="A84" s="141">
        <v>45973.0</v>
      </c>
      <c r="B84" s="63"/>
      <c r="C84" s="63"/>
      <c r="D84" s="63">
        <v>8.0</v>
      </c>
      <c r="E84" s="8" t="s">
        <v>2557</v>
      </c>
      <c r="F84" s="29" t="s">
        <v>176</v>
      </c>
      <c r="G84" s="333"/>
      <c r="H84" s="8" t="s">
        <v>2558</v>
      </c>
    </row>
    <row r="85" ht="22.5" customHeight="1">
      <c r="A85" s="141">
        <v>45974.0</v>
      </c>
      <c r="B85" s="63"/>
      <c r="C85" s="63"/>
      <c r="D85" s="63">
        <v>8.0</v>
      </c>
      <c r="E85" s="8" t="s">
        <v>2557</v>
      </c>
      <c r="F85" s="29" t="s">
        <v>176</v>
      </c>
      <c r="G85" s="333"/>
      <c r="H85" s="8" t="s">
        <v>2558</v>
      </c>
    </row>
    <row r="86" ht="22.5" customHeight="1">
      <c r="A86" s="141">
        <v>45975.0</v>
      </c>
      <c r="B86" s="63"/>
      <c r="C86" s="63">
        <v>4.0</v>
      </c>
      <c r="D86" s="63">
        <v>4.0</v>
      </c>
      <c r="E86" s="8" t="s">
        <v>2559</v>
      </c>
      <c r="F86" s="29" t="s">
        <v>176</v>
      </c>
      <c r="G86" s="152" t="s">
        <v>2560</v>
      </c>
      <c r="H86" s="8" t="s">
        <v>2561</v>
      </c>
    </row>
    <row r="87" ht="22.5" customHeight="1">
      <c r="A87" s="141">
        <v>45978.0</v>
      </c>
      <c r="B87" s="63"/>
      <c r="C87" s="67"/>
      <c r="D87" s="63">
        <v>8.0</v>
      </c>
      <c r="E87" s="8" t="s">
        <v>2498</v>
      </c>
      <c r="F87" s="29" t="s">
        <v>176</v>
      </c>
      <c r="G87" s="152" t="s">
        <v>2560</v>
      </c>
      <c r="H87" s="37" t="s">
        <v>2562</v>
      </c>
    </row>
    <row r="88" ht="22.5" customHeight="1">
      <c r="A88" s="141">
        <v>45979.0</v>
      </c>
      <c r="B88" s="63"/>
      <c r="C88" s="67"/>
      <c r="D88" s="67"/>
      <c r="E88" s="8"/>
      <c r="F88" s="29"/>
      <c r="G88" s="333"/>
      <c r="H88" s="37"/>
    </row>
    <row r="89" ht="22.5" customHeight="1">
      <c r="A89" s="141">
        <v>45980.0</v>
      </c>
      <c r="B89" s="63"/>
      <c r="C89" s="67"/>
      <c r="D89" s="67"/>
      <c r="E89" s="8"/>
      <c r="F89" s="29"/>
      <c r="G89" s="333"/>
      <c r="H89" s="37"/>
    </row>
    <row r="90" ht="22.5" customHeight="1">
      <c r="A90" s="141">
        <v>45981.0</v>
      </c>
      <c r="B90" s="63"/>
      <c r="C90" s="67"/>
      <c r="D90" s="67"/>
      <c r="E90" s="8"/>
      <c r="F90" s="29"/>
      <c r="G90" s="333"/>
      <c r="H90" s="37"/>
    </row>
    <row r="91" ht="22.5" customHeight="1">
      <c r="A91" s="141">
        <v>45982.0</v>
      </c>
      <c r="B91" s="63"/>
      <c r="C91" s="67"/>
      <c r="D91" s="67"/>
      <c r="E91" s="8"/>
      <c r="F91" s="29"/>
      <c r="G91" s="333"/>
      <c r="H91" s="37"/>
    </row>
    <row r="92" ht="22.5" customHeight="1">
      <c r="A92" s="5"/>
      <c r="B92" s="63"/>
      <c r="C92" s="67"/>
      <c r="D92" s="67"/>
      <c r="E92" s="8"/>
      <c r="F92" s="29"/>
      <c r="G92" s="333"/>
      <c r="H92" s="37"/>
    </row>
    <row r="93" ht="22.5" customHeight="1">
      <c r="A93" s="5"/>
      <c r="B93" s="63"/>
      <c r="C93" s="67"/>
      <c r="D93" s="67"/>
      <c r="E93" s="8"/>
      <c r="F93" s="29"/>
      <c r="G93" s="333"/>
      <c r="H93" s="37"/>
    </row>
    <row r="94" ht="22.5" customHeight="1">
      <c r="A94" s="5"/>
      <c r="B94" s="63"/>
      <c r="C94" s="67"/>
      <c r="D94" s="67"/>
      <c r="E94" s="8"/>
      <c r="F94" s="29"/>
      <c r="G94" s="333"/>
      <c r="H94" s="37"/>
    </row>
    <row r="95" ht="22.5" customHeight="1">
      <c r="A95" s="5"/>
      <c r="B95" s="63"/>
      <c r="C95" s="67"/>
      <c r="D95" s="67"/>
      <c r="E95" s="8"/>
      <c r="F95" s="29"/>
      <c r="G95" s="333"/>
      <c r="H95" s="37"/>
    </row>
    <row r="96" ht="22.5" customHeight="1">
      <c r="A96" s="5"/>
      <c r="B96" s="63"/>
      <c r="C96" s="67"/>
      <c r="D96" s="67"/>
      <c r="E96" s="8"/>
      <c r="F96" s="29"/>
      <c r="G96" s="333"/>
      <c r="H96" s="37"/>
    </row>
    <row r="97" ht="22.5" customHeight="1">
      <c r="A97" s="5"/>
      <c r="B97" s="63"/>
      <c r="C97" s="67"/>
      <c r="D97" s="67"/>
      <c r="E97" s="8"/>
      <c r="F97" s="29"/>
      <c r="G97" s="333"/>
      <c r="H97" s="37"/>
    </row>
    <row r="98" ht="22.5" customHeight="1">
      <c r="A98" s="5"/>
      <c r="B98" s="63"/>
      <c r="C98" s="67"/>
      <c r="D98" s="67"/>
      <c r="E98" s="8"/>
      <c r="F98" s="29"/>
      <c r="G98" s="333"/>
      <c r="H98" s="37"/>
    </row>
    <row r="99" ht="22.5" customHeight="1">
      <c r="A99" s="5"/>
      <c r="B99" s="63"/>
      <c r="C99" s="67"/>
      <c r="D99" s="67"/>
      <c r="E99" s="8"/>
      <c r="F99" s="29"/>
      <c r="G99" s="333"/>
      <c r="H99" s="37"/>
    </row>
    <row r="100" ht="22.5" customHeight="1">
      <c r="A100" s="5"/>
      <c r="B100" s="63"/>
      <c r="C100" s="67"/>
      <c r="D100" s="67"/>
      <c r="E100" s="8"/>
      <c r="F100" s="29"/>
      <c r="G100" s="333"/>
      <c r="H100" s="37"/>
    </row>
    <row r="101" ht="22.5" customHeight="1">
      <c r="A101" s="5"/>
      <c r="B101" s="63"/>
      <c r="C101" s="67"/>
      <c r="D101" s="67"/>
      <c r="E101" s="8"/>
      <c r="F101" s="29"/>
      <c r="G101" s="333"/>
      <c r="H101" s="37"/>
    </row>
    <row r="102" ht="22.5" customHeight="1">
      <c r="A102" s="5"/>
      <c r="B102" s="63"/>
      <c r="C102" s="67"/>
      <c r="D102" s="67"/>
      <c r="E102" s="8"/>
      <c r="F102" s="29"/>
      <c r="G102" s="333"/>
      <c r="H102" s="37"/>
    </row>
    <row r="103" ht="22.5" customHeight="1">
      <c r="A103" s="5"/>
      <c r="B103" s="63"/>
      <c r="C103" s="67"/>
      <c r="D103" s="67"/>
      <c r="E103" s="8"/>
      <c r="F103" s="29"/>
      <c r="G103" s="333"/>
      <c r="H103" s="37"/>
    </row>
    <row r="104" ht="22.5" customHeight="1">
      <c r="A104" s="24"/>
      <c r="B104" s="71"/>
      <c r="C104" s="71"/>
      <c r="D104" s="71"/>
      <c r="E104" s="25"/>
      <c r="F104" s="138"/>
      <c r="G104" s="138"/>
      <c r="H104" s="119"/>
    </row>
    <row r="105" ht="22.5" customHeight="1">
      <c r="A105" s="24"/>
      <c r="B105" s="71"/>
      <c r="C105" s="71"/>
      <c r="D105" s="71"/>
      <c r="E105" s="25"/>
      <c r="F105" s="138"/>
      <c r="G105" s="138"/>
      <c r="H105" s="119"/>
    </row>
    <row r="106" ht="22.5" customHeight="1">
      <c r="A106" s="24"/>
      <c r="B106" s="71"/>
      <c r="C106" s="71"/>
      <c r="D106" s="71"/>
      <c r="E106" s="25"/>
      <c r="F106" s="138"/>
      <c r="G106" s="138"/>
      <c r="H106" s="119"/>
    </row>
    <row r="107" ht="22.5" customHeight="1">
      <c r="A107" s="24"/>
      <c r="B107" s="71"/>
      <c r="C107" s="71"/>
      <c r="D107" s="71"/>
      <c r="E107" s="25"/>
      <c r="F107" s="138"/>
      <c r="G107" s="138"/>
      <c r="H107" s="119"/>
    </row>
    <row r="108" ht="22.5" customHeight="1">
      <c r="A108" s="24"/>
      <c r="B108" s="71"/>
      <c r="C108" s="71"/>
      <c r="D108" s="71"/>
      <c r="E108" s="25"/>
      <c r="F108" s="138"/>
      <c r="G108" s="138"/>
      <c r="H108" s="119"/>
    </row>
    <row r="109" ht="22.5" customHeight="1">
      <c r="A109" s="24"/>
      <c r="B109" s="71"/>
      <c r="C109" s="71"/>
      <c r="D109" s="71"/>
      <c r="E109" s="25"/>
      <c r="F109" s="138"/>
      <c r="G109" s="138"/>
      <c r="H109" s="119"/>
    </row>
    <row r="110" ht="22.5" customHeight="1">
      <c r="A110" s="24"/>
      <c r="B110" s="71"/>
      <c r="C110" s="71"/>
      <c r="D110" s="71"/>
      <c r="E110" s="25"/>
      <c r="F110" s="138"/>
      <c r="G110" s="138"/>
      <c r="H110" s="119"/>
    </row>
    <row r="111" ht="22.5" customHeight="1">
      <c r="A111" s="24"/>
      <c r="B111" s="71"/>
      <c r="C111" s="71"/>
      <c r="D111" s="71"/>
      <c r="E111" s="25"/>
      <c r="F111" s="138"/>
      <c r="G111" s="138"/>
      <c r="H111" s="119"/>
    </row>
    <row r="112" ht="22.5" customHeight="1">
      <c r="A112" s="24"/>
      <c r="B112" s="71"/>
      <c r="C112" s="71"/>
      <c r="D112" s="71"/>
      <c r="E112" s="25"/>
      <c r="F112" s="138"/>
      <c r="G112" s="138"/>
      <c r="H112" s="119"/>
    </row>
    <row r="113" ht="22.5" customHeight="1">
      <c r="A113" s="24"/>
      <c r="B113" s="71"/>
      <c r="C113" s="71"/>
      <c r="D113" s="71"/>
      <c r="E113" s="25"/>
      <c r="F113" s="138"/>
      <c r="G113" s="138"/>
      <c r="H113" s="119"/>
    </row>
    <row r="114" ht="22.5" customHeight="1">
      <c r="A114" s="24"/>
      <c r="B114" s="71"/>
      <c r="C114" s="71"/>
      <c r="D114" s="71"/>
      <c r="E114" s="25"/>
      <c r="F114" s="138"/>
      <c r="G114" s="138"/>
      <c r="H114" s="119"/>
    </row>
    <row r="115" ht="22.5" customHeight="1">
      <c r="A115" s="24"/>
      <c r="B115" s="71"/>
      <c r="C115" s="71"/>
      <c r="D115" s="71"/>
      <c r="E115" s="25"/>
      <c r="F115" s="138"/>
      <c r="G115" s="138"/>
      <c r="H115" s="119"/>
    </row>
    <row r="116" ht="22.5" customHeight="1">
      <c r="A116" s="24"/>
      <c r="B116" s="71"/>
      <c r="C116" s="71"/>
      <c r="D116" s="71"/>
      <c r="E116" s="25"/>
      <c r="F116" s="138"/>
      <c r="G116" s="138"/>
      <c r="H116" s="119"/>
    </row>
    <row r="117" ht="22.5" customHeight="1">
      <c r="A117" s="24"/>
      <c r="B117" s="71"/>
      <c r="C117" s="71"/>
      <c r="D117" s="71"/>
      <c r="E117" s="25"/>
      <c r="F117" s="138"/>
      <c r="G117" s="138"/>
      <c r="H117" s="119"/>
    </row>
    <row r="118" ht="22.5" customHeight="1">
      <c r="A118" s="24"/>
      <c r="B118" s="71"/>
      <c r="C118" s="71"/>
      <c r="D118" s="71"/>
      <c r="E118" s="25"/>
      <c r="F118" s="138"/>
      <c r="G118" s="138"/>
      <c r="H118" s="119"/>
    </row>
    <row r="119" ht="22.5" customHeight="1">
      <c r="A119" s="24"/>
      <c r="B119" s="71"/>
      <c r="C119" s="71"/>
      <c r="D119" s="71"/>
      <c r="E119" s="25"/>
      <c r="F119" s="138"/>
      <c r="G119" s="138"/>
      <c r="H119" s="119"/>
    </row>
    <row r="120" ht="22.5" customHeight="1">
      <c r="A120" s="24"/>
      <c r="B120" s="71"/>
      <c r="C120" s="71"/>
      <c r="D120" s="71"/>
      <c r="E120" s="25"/>
      <c r="F120" s="138"/>
      <c r="G120" s="138"/>
      <c r="H120" s="119"/>
    </row>
    <row r="121" ht="22.5" customHeight="1">
      <c r="A121" s="24"/>
      <c r="B121" s="71"/>
      <c r="C121" s="71"/>
      <c r="D121" s="71"/>
      <c r="E121" s="25"/>
      <c r="F121" s="138"/>
      <c r="G121" s="138"/>
      <c r="H121" s="119"/>
    </row>
    <row r="122" ht="22.5" customHeight="1">
      <c r="A122" s="24"/>
      <c r="B122" s="71"/>
      <c r="C122" s="71"/>
      <c r="D122" s="71"/>
      <c r="E122" s="25"/>
      <c r="F122" s="138"/>
      <c r="G122" s="138"/>
      <c r="H122" s="119"/>
    </row>
    <row r="123" ht="22.5" customHeight="1">
      <c r="A123" s="24"/>
      <c r="B123" s="71"/>
      <c r="C123" s="71"/>
      <c r="D123" s="71"/>
      <c r="E123" s="25"/>
      <c r="F123" s="138"/>
      <c r="G123" s="138"/>
      <c r="H123" s="119"/>
    </row>
    <row r="124" ht="22.5" customHeight="1">
      <c r="A124" s="24"/>
      <c r="B124" s="71"/>
      <c r="C124" s="71"/>
      <c r="D124" s="71"/>
      <c r="E124" s="25"/>
      <c r="F124" s="138"/>
      <c r="G124" s="138"/>
      <c r="H124" s="119"/>
    </row>
    <row r="125" ht="22.5" customHeight="1">
      <c r="A125" s="24"/>
      <c r="B125" s="71"/>
      <c r="C125" s="71"/>
      <c r="D125" s="71"/>
      <c r="E125" s="25"/>
      <c r="F125" s="138"/>
      <c r="G125" s="138"/>
      <c r="H125" s="119"/>
    </row>
    <row r="126" ht="22.5" customHeight="1">
      <c r="A126" s="24"/>
      <c r="B126" s="71"/>
      <c r="C126" s="71"/>
      <c r="D126" s="71"/>
      <c r="E126" s="25"/>
      <c r="F126" s="138"/>
      <c r="G126" s="138"/>
      <c r="H126" s="119"/>
    </row>
    <row r="127" ht="22.5" customHeight="1">
      <c r="A127" s="24"/>
      <c r="B127" s="71"/>
      <c r="C127" s="71"/>
      <c r="D127" s="71"/>
      <c r="E127" s="25"/>
      <c r="F127" s="138"/>
      <c r="G127" s="138"/>
      <c r="H127" s="119"/>
    </row>
    <row r="128" ht="22.5" customHeight="1">
      <c r="A128" s="24"/>
      <c r="B128" s="71"/>
      <c r="C128" s="71"/>
      <c r="D128" s="71"/>
      <c r="E128" s="25"/>
      <c r="F128" s="138"/>
      <c r="G128" s="138"/>
      <c r="H128" s="119"/>
    </row>
    <row r="129" ht="22.5" customHeight="1">
      <c r="A129" s="24"/>
      <c r="B129" s="71"/>
      <c r="C129" s="71"/>
      <c r="D129" s="71"/>
      <c r="E129" s="25"/>
      <c r="F129" s="138"/>
      <c r="G129" s="138"/>
      <c r="H129" s="119"/>
    </row>
    <row r="130" ht="22.5" customHeight="1">
      <c r="A130" s="24"/>
      <c r="B130" s="71"/>
      <c r="C130" s="71"/>
      <c r="D130" s="71"/>
      <c r="E130" s="25"/>
      <c r="F130" s="138"/>
      <c r="G130" s="138"/>
      <c r="H130" s="119"/>
    </row>
    <row r="131" ht="22.5" customHeight="1">
      <c r="A131" s="24"/>
      <c r="B131" s="71"/>
      <c r="C131" s="71"/>
      <c r="D131" s="71"/>
      <c r="E131" s="25"/>
      <c r="F131" s="138"/>
      <c r="G131" s="138"/>
      <c r="H131" s="119"/>
    </row>
    <row r="132" ht="22.5" customHeight="1">
      <c r="A132" s="24"/>
      <c r="B132" s="71"/>
      <c r="C132" s="71"/>
      <c r="D132" s="71"/>
      <c r="E132" s="25"/>
      <c r="F132" s="138"/>
      <c r="G132" s="138"/>
      <c r="H132" s="119"/>
    </row>
    <row r="133" ht="22.5" customHeight="1">
      <c r="A133" s="24"/>
      <c r="B133" s="71"/>
      <c r="C133" s="71"/>
      <c r="D133" s="71"/>
      <c r="E133" s="25"/>
      <c r="F133" s="138"/>
      <c r="G133" s="138"/>
      <c r="H133" s="119"/>
    </row>
    <row r="134" ht="22.5" customHeight="1">
      <c r="A134" s="24"/>
      <c r="B134" s="71"/>
      <c r="C134" s="71"/>
      <c r="D134" s="71"/>
      <c r="E134" s="25"/>
      <c r="F134" s="138"/>
      <c r="G134" s="138"/>
      <c r="H134" s="119"/>
    </row>
    <row r="135" ht="22.5" customHeight="1">
      <c r="A135" s="24"/>
      <c r="B135" s="71"/>
      <c r="C135" s="71"/>
      <c r="D135" s="71"/>
      <c r="E135" s="25"/>
      <c r="F135" s="138"/>
      <c r="G135" s="138"/>
      <c r="H135" s="119"/>
    </row>
    <row r="136" ht="22.5" customHeight="1">
      <c r="A136" s="24"/>
      <c r="B136" s="71"/>
      <c r="C136" s="71"/>
      <c r="D136" s="71"/>
      <c r="E136" s="25"/>
      <c r="F136" s="138"/>
      <c r="G136" s="138"/>
      <c r="H136" s="119"/>
    </row>
    <row r="137" ht="22.5" customHeight="1">
      <c r="A137" s="24"/>
      <c r="B137" s="71"/>
      <c r="C137" s="71"/>
      <c r="D137" s="71"/>
      <c r="E137" s="25"/>
      <c r="F137" s="138"/>
      <c r="G137" s="138"/>
      <c r="H137" s="119"/>
    </row>
    <row r="138" ht="22.5" customHeight="1">
      <c r="A138" s="24"/>
      <c r="B138" s="71"/>
      <c r="C138" s="71"/>
      <c r="D138" s="71"/>
      <c r="E138" s="25"/>
      <c r="F138" s="138"/>
      <c r="G138" s="138"/>
      <c r="H138" s="119"/>
    </row>
    <row r="139" ht="22.5" customHeight="1">
      <c r="A139" s="24"/>
      <c r="B139" s="71"/>
      <c r="C139" s="71"/>
      <c r="D139" s="71"/>
      <c r="E139" s="25"/>
      <c r="F139" s="138"/>
      <c r="G139" s="138"/>
      <c r="H139" s="119"/>
    </row>
    <row r="140" ht="22.5" customHeight="1">
      <c r="A140" s="24"/>
      <c r="B140" s="71"/>
      <c r="C140" s="71"/>
      <c r="D140" s="71"/>
      <c r="E140" s="25"/>
      <c r="F140" s="138"/>
      <c r="G140" s="138"/>
      <c r="H140" s="119"/>
    </row>
    <row r="141" ht="22.5" customHeight="1">
      <c r="A141" s="24"/>
      <c r="B141" s="71"/>
      <c r="C141" s="71"/>
      <c r="D141" s="71"/>
      <c r="E141" s="25"/>
      <c r="F141" s="138"/>
      <c r="G141" s="138"/>
      <c r="H141" s="119"/>
    </row>
    <row r="142" ht="22.5" customHeight="1">
      <c r="A142" s="24"/>
      <c r="B142" s="71"/>
      <c r="C142" s="71"/>
      <c r="D142" s="71"/>
      <c r="E142" s="25"/>
      <c r="F142" s="138"/>
      <c r="G142" s="138"/>
      <c r="H142" s="119"/>
    </row>
    <row r="143" ht="22.5" customHeight="1">
      <c r="A143" s="24"/>
      <c r="B143" s="71"/>
      <c r="C143" s="71"/>
      <c r="D143" s="71"/>
      <c r="E143" s="25"/>
      <c r="F143" s="138"/>
      <c r="G143" s="138"/>
      <c r="H143" s="119"/>
    </row>
    <row r="144" ht="22.5" customHeight="1">
      <c r="A144" s="24"/>
      <c r="B144" s="71"/>
      <c r="C144" s="71"/>
      <c r="D144" s="71"/>
      <c r="E144" s="25"/>
      <c r="F144" s="138"/>
      <c r="G144" s="138"/>
      <c r="H144" s="119"/>
    </row>
    <row r="145" ht="22.5" customHeight="1">
      <c r="A145" s="24"/>
      <c r="B145" s="71"/>
      <c r="C145" s="71"/>
      <c r="D145" s="71"/>
      <c r="E145" s="25"/>
      <c r="F145" s="138"/>
      <c r="G145" s="138"/>
      <c r="H145" s="119"/>
    </row>
    <row r="146" ht="22.5" customHeight="1">
      <c r="A146" s="24"/>
      <c r="B146" s="71"/>
      <c r="C146" s="71"/>
      <c r="D146" s="71"/>
      <c r="E146" s="25"/>
      <c r="F146" s="138"/>
      <c r="G146" s="138"/>
      <c r="H146" s="119"/>
    </row>
    <row r="147" ht="22.5" customHeight="1">
      <c r="A147" s="24"/>
      <c r="B147" s="71"/>
      <c r="C147" s="71"/>
      <c r="D147" s="71"/>
      <c r="E147" s="25"/>
      <c r="F147" s="138"/>
      <c r="G147" s="138"/>
      <c r="H147" s="119"/>
    </row>
    <row r="148" ht="22.5" customHeight="1">
      <c r="A148" s="24"/>
      <c r="B148" s="71"/>
      <c r="C148" s="71"/>
      <c r="D148" s="71"/>
      <c r="E148" s="25"/>
      <c r="F148" s="138"/>
      <c r="G148" s="138"/>
      <c r="H148" s="119"/>
    </row>
    <row r="149" ht="22.5" customHeight="1">
      <c r="A149" s="24"/>
      <c r="B149" s="71"/>
      <c r="C149" s="71"/>
      <c r="D149" s="71"/>
      <c r="E149" s="25"/>
      <c r="F149" s="138"/>
      <c r="G149" s="138"/>
      <c r="H149" s="119"/>
    </row>
    <row r="150" ht="22.5" customHeight="1">
      <c r="A150" s="24"/>
      <c r="B150" s="71"/>
      <c r="C150" s="71"/>
      <c r="D150" s="71"/>
      <c r="E150" s="25"/>
      <c r="F150" s="138"/>
      <c r="G150" s="138"/>
      <c r="H150" s="119"/>
    </row>
    <row r="151" ht="22.5" customHeight="1">
      <c r="A151" s="24"/>
      <c r="B151" s="71"/>
      <c r="C151" s="71"/>
      <c r="D151" s="71"/>
      <c r="E151" s="25"/>
      <c r="F151" s="138"/>
      <c r="G151" s="138"/>
      <c r="H151" s="119"/>
    </row>
    <row r="152" ht="22.5" customHeight="1">
      <c r="A152" s="24"/>
      <c r="B152" s="71"/>
      <c r="C152" s="71"/>
      <c r="D152" s="71"/>
      <c r="E152" s="25"/>
      <c r="F152" s="138"/>
      <c r="G152" s="138"/>
      <c r="H152" s="119"/>
    </row>
    <row r="153" ht="22.5" customHeight="1">
      <c r="A153" s="24"/>
      <c r="B153" s="71"/>
      <c r="C153" s="71"/>
      <c r="D153" s="71"/>
      <c r="E153" s="25"/>
      <c r="F153" s="138"/>
      <c r="G153" s="138"/>
      <c r="H153" s="119"/>
    </row>
    <row r="154" ht="22.5" customHeight="1">
      <c r="A154" s="24"/>
      <c r="B154" s="71"/>
      <c r="C154" s="71"/>
      <c r="D154" s="71"/>
      <c r="E154" s="25"/>
      <c r="F154" s="138"/>
      <c r="G154" s="138"/>
      <c r="H154" s="119"/>
    </row>
    <row r="155" ht="22.5" customHeight="1">
      <c r="A155" s="24"/>
      <c r="B155" s="71"/>
      <c r="C155" s="71"/>
      <c r="D155" s="71"/>
      <c r="E155" s="25"/>
      <c r="F155" s="138"/>
      <c r="G155" s="138"/>
      <c r="H155" s="119"/>
    </row>
    <row r="156" ht="22.5" customHeight="1">
      <c r="A156" s="24"/>
      <c r="B156" s="71"/>
      <c r="C156" s="71"/>
      <c r="D156" s="71"/>
      <c r="E156" s="25"/>
      <c r="F156" s="138"/>
      <c r="G156" s="138"/>
      <c r="H156" s="119"/>
    </row>
    <row r="157" ht="22.5" customHeight="1">
      <c r="A157" s="24"/>
      <c r="B157" s="71"/>
      <c r="C157" s="71"/>
      <c r="D157" s="71"/>
      <c r="E157" s="25"/>
      <c r="F157" s="138"/>
      <c r="G157" s="138"/>
      <c r="H157" s="119"/>
    </row>
    <row r="158" ht="22.5" customHeight="1">
      <c r="A158" s="24"/>
      <c r="B158" s="71"/>
      <c r="C158" s="71"/>
      <c r="D158" s="71"/>
      <c r="E158" s="25"/>
      <c r="F158" s="138"/>
      <c r="G158" s="138"/>
      <c r="H158" s="119"/>
    </row>
    <row r="159" ht="22.5" customHeight="1">
      <c r="A159" s="24"/>
      <c r="B159" s="71"/>
      <c r="C159" s="71"/>
      <c r="D159" s="71"/>
      <c r="E159" s="25"/>
      <c r="F159" s="138"/>
      <c r="G159" s="138"/>
      <c r="H159" s="119"/>
    </row>
    <row r="160" ht="22.5" customHeight="1">
      <c r="A160" s="24"/>
      <c r="B160" s="71"/>
      <c r="C160" s="71"/>
      <c r="D160" s="71"/>
      <c r="E160" s="25"/>
      <c r="F160" s="138"/>
      <c r="G160" s="138"/>
      <c r="H160" s="119"/>
    </row>
    <row r="161" ht="22.5" customHeight="1">
      <c r="A161" s="24"/>
      <c r="B161" s="71"/>
      <c r="C161" s="71"/>
      <c r="D161" s="71"/>
      <c r="E161" s="25"/>
      <c r="F161" s="138"/>
      <c r="G161" s="138"/>
      <c r="H161" s="119"/>
    </row>
    <row r="162" ht="22.5" customHeight="1">
      <c r="A162" s="24"/>
      <c r="B162" s="71"/>
      <c r="C162" s="71"/>
      <c r="D162" s="71"/>
      <c r="E162" s="25"/>
      <c r="F162" s="138"/>
      <c r="G162" s="138"/>
      <c r="H162" s="119"/>
    </row>
    <row r="163" ht="22.5" customHeight="1">
      <c r="A163" s="24"/>
      <c r="B163" s="71"/>
      <c r="C163" s="71"/>
      <c r="D163" s="71"/>
      <c r="E163" s="25"/>
      <c r="F163" s="138"/>
      <c r="G163" s="138"/>
      <c r="H163" s="119"/>
    </row>
    <row r="164" ht="22.5" customHeight="1">
      <c r="A164" s="24"/>
      <c r="B164" s="71"/>
      <c r="C164" s="71"/>
      <c r="D164" s="71"/>
      <c r="E164" s="25"/>
      <c r="F164" s="138"/>
      <c r="G164" s="138"/>
      <c r="H164" s="119"/>
    </row>
    <row r="165" ht="22.5" customHeight="1">
      <c r="A165" s="24"/>
      <c r="B165" s="71"/>
      <c r="C165" s="71"/>
      <c r="D165" s="71"/>
      <c r="E165" s="25"/>
      <c r="F165" s="138"/>
      <c r="G165" s="138"/>
      <c r="H165" s="119"/>
    </row>
    <row r="166" ht="22.5" customHeight="1">
      <c r="A166" s="24"/>
      <c r="B166" s="71"/>
      <c r="C166" s="71"/>
      <c r="D166" s="71"/>
      <c r="E166" s="25"/>
      <c r="F166" s="138"/>
      <c r="G166" s="138"/>
      <c r="H166" s="119"/>
    </row>
    <row r="167" ht="22.5" customHeight="1">
      <c r="A167" s="24"/>
      <c r="B167" s="71"/>
      <c r="C167" s="71"/>
      <c r="D167" s="71"/>
      <c r="E167" s="25"/>
      <c r="F167" s="138"/>
      <c r="G167" s="138"/>
      <c r="H167" s="119"/>
    </row>
    <row r="168" ht="22.5" customHeight="1">
      <c r="A168" s="24"/>
      <c r="B168" s="71"/>
      <c r="C168" s="71"/>
      <c r="D168" s="71"/>
      <c r="E168" s="25"/>
      <c r="F168" s="138"/>
      <c r="G168" s="138"/>
      <c r="H168" s="119"/>
    </row>
    <row r="169" ht="22.5" customHeight="1">
      <c r="A169" s="24"/>
      <c r="B169" s="71"/>
      <c r="C169" s="71"/>
      <c r="D169" s="71"/>
      <c r="E169" s="25"/>
      <c r="F169" s="138"/>
      <c r="G169" s="138"/>
      <c r="H169" s="119"/>
    </row>
    <row r="170" ht="22.5" customHeight="1">
      <c r="A170" s="24"/>
      <c r="B170" s="71"/>
      <c r="C170" s="71"/>
      <c r="D170" s="71"/>
      <c r="E170" s="25"/>
      <c r="F170" s="138"/>
      <c r="G170" s="138"/>
      <c r="H170" s="119"/>
    </row>
    <row r="171" ht="22.5" customHeight="1">
      <c r="A171" s="24"/>
      <c r="B171" s="71"/>
      <c r="C171" s="71"/>
      <c r="D171" s="71"/>
      <c r="E171" s="25"/>
      <c r="F171" s="138"/>
      <c r="G171" s="138"/>
      <c r="H171" s="119"/>
    </row>
    <row r="172" ht="22.5" customHeight="1">
      <c r="A172" s="24"/>
      <c r="B172" s="71"/>
      <c r="C172" s="71"/>
      <c r="D172" s="71"/>
      <c r="E172" s="25"/>
      <c r="F172" s="138"/>
      <c r="G172" s="138"/>
      <c r="H172" s="119"/>
    </row>
    <row r="173" ht="22.5" customHeight="1">
      <c r="A173" s="24"/>
      <c r="B173" s="71"/>
      <c r="C173" s="71"/>
      <c r="D173" s="71"/>
      <c r="E173" s="25"/>
      <c r="F173" s="138"/>
      <c r="G173" s="138"/>
      <c r="H173" s="119"/>
    </row>
    <row r="174" ht="22.5" customHeight="1">
      <c r="A174" s="24"/>
      <c r="B174" s="71"/>
      <c r="C174" s="71"/>
      <c r="D174" s="71"/>
      <c r="E174" s="25"/>
      <c r="F174" s="138"/>
      <c r="G174" s="138"/>
      <c r="H174" s="119"/>
    </row>
    <row r="175" ht="22.5" customHeight="1">
      <c r="A175" s="24"/>
      <c r="B175" s="71"/>
      <c r="C175" s="71"/>
      <c r="D175" s="71"/>
      <c r="E175" s="25"/>
      <c r="F175" s="138"/>
      <c r="G175" s="138"/>
      <c r="H175" s="119"/>
    </row>
    <row r="176" ht="22.5" customHeight="1">
      <c r="A176" s="24"/>
      <c r="B176" s="71"/>
      <c r="C176" s="71"/>
      <c r="D176" s="71"/>
      <c r="E176" s="25"/>
      <c r="F176" s="138"/>
      <c r="G176" s="138"/>
      <c r="H176" s="119"/>
    </row>
    <row r="177" ht="22.5" customHeight="1">
      <c r="A177" s="24"/>
      <c r="B177" s="71"/>
      <c r="C177" s="71"/>
      <c r="D177" s="71"/>
      <c r="E177" s="25"/>
      <c r="F177" s="138"/>
      <c r="G177" s="138"/>
      <c r="H177" s="119"/>
    </row>
    <row r="178" ht="22.5" customHeight="1">
      <c r="A178" s="24"/>
      <c r="B178" s="71"/>
      <c r="C178" s="71"/>
      <c r="D178" s="71"/>
      <c r="E178" s="25"/>
      <c r="F178" s="138"/>
      <c r="G178" s="138"/>
      <c r="H178" s="119"/>
    </row>
    <row r="179" ht="22.5" customHeight="1">
      <c r="A179" s="24"/>
      <c r="B179" s="71"/>
      <c r="C179" s="71"/>
      <c r="D179" s="71"/>
      <c r="E179" s="25"/>
      <c r="F179" s="138"/>
      <c r="G179" s="138"/>
      <c r="H179" s="119"/>
    </row>
    <row r="180" ht="22.5" customHeight="1">
      <c r="A180" s="24"/>
      <c r="B180" s="71"/>
      <c r="C180" s="71"/>
      <c r="D180" s="71"/>
      <c r="E180" s="25"/>
      <c r="F180" s="138"/>
      <c r="G180" s="138"/>
      <c r="H180" s="119"/>
    </row>
    <row r="181" ht="22.5" customHeight="1">
      <c r="A181" s="24"/>
      <c r="B181" s="71"/>
      <c r="C181" s="71"/>
      <c r="D181" s="71"/>
      <c r="E181" s="25"/>
      <c r="F181" s="138"/>
      <c r="G181" s="138"/>
      <c r="H181" s="119"/>
    </row>
    <row r="182" ht="22.5" customHeight="1">
      <c r="A182" s="24"/>
      <c r="B182" s="71"/>
      <c r="C182" s="71"/>
      <c r="D182" s="71"/>
      <c r="E182" s="25"/>
      <c r="F182" s="138"/>
      <c r="G182" s="138"/>
      <c r="H182" s="119"/>
    </row>
    <row r="183" ht="22.5" customHeight="1">
      <c r="A183" s="24"/>
      <c r="B183" s="71"/>
      <c r="C183" s="71"/>
      <c r="D183" s="71"/>
      <c r="E183" s="25"/>
      <c r="F183" s="138"/>
      <c r="G183" s="138"/>
      <c r="H183" s="119"/>
    </row>
    <row r="184" ht="22.5" customHeight="1">
      <c r="A184" s="24"/>
      <c r="B184" s="71"/>
      <c r="C184" s="71"/>
      <c r="D184" s="71"/>
      <c r="E184" s="25"/>
      <c r="F184" s="138"/>
      <c r="G184" s="138"/>
      <c r="H184" s="119"/>
    </row>
    <row r="185" ht="22.5" customHeight="1">
      <c r="A185" s="24"/>
      <c r="B185" s="71"/>
      <c r="C185" s="71"/>
      <c r="D185" s="71"/>
      <c r="E185" s="25"/>
      <c r="F185" s="138"/>
      <c r="G185" s="138"/>
      <c r="H185" s="119"/>
    </row>
    <row r="186" ht="22.5" customHeight="1">
      <c r="A186" s="24"/>
      <c r="B186" s="71"/>
      <c r="C186" s="71"/>
      <c r="D186" s="71"/>
      <c r="E186" s="25"/>
      <c r="F186" s="138"/>
      <c r="G186" s="138"/>
      <c r="H186" s="119"/>
    </row>
    <row r="187" ht="22.5" customHeight="1">
      <c r="A187" s="24"/>
      <c r="B187" s="71"/>
      <c r="C187" s="71"/>
      <c r="D187" s="71"/>
      <c r="E187" s="25"/>
      <c r="F187" s="138"/>
      <c r="G187" s="138"/>
      <c r="H187" s="119"/>
    </row>
    <row r="188" ht="22.5" customHeight="1">
      <c r="A188" s="24"/>
      <c r="B188" s="71"/>
      <c r="C188" s="71"/>
      <c r="D188" s="71"/>
      <c r="E188" s="25"/>
      <c r="F188" s="138"/>
      <c r="G188" s="138"/>
      <c r="H188" s="119"/>
    </row>
    <row r="189" ht="22.5" customHeight="1">
      <c r="A189" s="24"/>
      <c r="B189" s="71"/>
      <c r="C189" s="71"/>
      <c r="D189" s="71"/>
      <c r="E189" s="25"/>
      <c r="F189" s="138"/>
      <c r="G189" s="138"/>
      <c r="H189" s="119"/>
    </row>
    <row r="190" ht="22.5" customHeight="1">
      <c r="A190" s="24"/>
      <c r="B190" s="71"/>
      <c r="C190" s="71"/>
      <c r="D190" s="71"/>
      <c r="E190" s="25"/>
      <c r="F190" s="138"/>
      <c r="G190" s="138"/>
      <c r="H190" s="119"/>
    </row>
    <row r="191" ht="22.5" customHeight="1">
      <c r="A191" s="24"/>
      <c r="B191" s="71"/>
      <c r="C191" s="71"/>
      <c r="D191" s="71"/>
      <c r="E191" s="25"/>
      <c r="F191" s="138"/>
      <c r="G191" s="138"/>
      <c r="H191" s="119"/>
    </row>
    <row r="192" ht="22.5" customHeight="1">
      <c r="A192" s="24"/>
      <c r="B192" s="71"/>
      <c r="C192" s="71"/>
      <c r="D192" s="71"/>
      <c r="E192" s="25"/>
      <c r="F192" s="138"/>
      <c r="G192" s="138"/>
      <c r="H192" s="119"/>
    </row>
    <row r="193" ht="22.5" customHeight="1">
      <c r="A193" s="24"/>
      <c r="B193" s="71"/>
      <c r="C193" s="71"/>
      <c r="D193" s="71"/>
      <c r="E193" s="25"/>
      <c r="F193" s="138"/>
      <c r="G193" s="138"/>
      <c r="H193" s="119"/>
    </row>
    <row r="194" ht="22.5" customHeight="1">
      <c r="A194" s="24"/>
      <c r="B194" s="71"/>
      <c r="C194" s="71"/>
      <c r="D194" s="71"/>
      <c r="E194" s="25"/>
      <c r="F194" s="138"/>
      <c r="G194" s="138"/>
      <c r="H194" s="119"/>
    </row>
    <row r="195" ht="22.5" customHeight="1">
      <c r="A195" s="24"/>
      <c r="B195" s="71"/>
      <c r="C195" s="71"/>
      <c r="D195" s="71"/>
      <c r="E195" s="25"/>
      <c r="F195" s="138"/>
      <c r="G195" s="138"/>
      <c r="H195" s="119"/>
    </row>
    <row r="196" ht="22.5" customHeight="1">
      <c r="A196" s="24"/>
      <c r="B196" s="71"/>
      <c r="C196" s="71"/>
      <c r="D196" s="71"/>
      <c r="E196" s="25"/>
      <c r="F196" s="138"/>
      <c r="G196" s="138"/>
      <c r="H196" s="119"/>
    </row>
    <row r="197" ht="22.5" customHeight="1">
      <c r="A197" s="24"/>
      <c r="B197" s="71"/>
      <c r="C197" s="71"/>
      <c r="D197" s="71"/>
      <c r="E197" s="25"/>
      <c r="F197" s="138"/>
      <c r="G197" s="138"/>
      <c r="H197" s="119"/>
    </row>
    <row r="198" ht="22.5" customHeight="1">
      <c r="A198" s="24"/>
      <c r="B198" s="71"/>
      <c r="C198" s="71"/>
      <c r="D198" s="71"/>
      <c r="E198" s="25"/>
      <c r="F198" s="138"/>
      <c r="G198" s="138"/>
      <c r="H198" s="119"/>
    </row>
    <row r="199" ht="22.5" customHeight="1">
      <c r="A199" s="24"/>
      <c r="B199" s="71"/>
      <c r="C199" s="71"/>
      <c r="D199" s="71"/>
      <c r="E199" s="25"/>
      <c r="F199" s="138"/>
      <c r="G199" s="138"/>
      <c r="H199" s="119"/>
    </row>
    <row r="200" ht="22.5" customHeight="1">
      <c r="A200" s="24"/>
      <c r="B200" s="71"/>
      <c r="C200" s="71"/>
      <c r="D200" s="71"/>
      <c r="E200" s="25"/>
      <c r="F200" s="138"/>
      <c r="G200" s="138"/>
      <c r="H200" s="119"/>
    </row>
    <row r="201" ht="22.5" customHeight="1">
      <c r="A201" s="24"/>
      <c r="B201" s="71"/>
      <c r="C201" s="71"/>
      <c r="D201" s="71"/>
      <c r="E201" s="25"/>
      <c r="F201" s="138"/>
      <c r="G201" s="138"/>
      <c r="H201" s="119"/>
    </row>
    <row r="202" ht="22.5" customHeight="1">
      <c r="A202" s="24"/>
      <c r="B202" s="71"/>
      <c r="C202" s="71"/>
      <c r="D202" s="71"/>
      <c r="E202" s="25"/>
      <c r="F202" s="138"/>
      <c r="G202" s="138"/>
      <c r="H202" s="119"/>
    </row>
    <row r="203" ht="22.5" customHeight="1">
      <c r="A203" s="24"/>
      <c r="B203" s="71"/>
      <c r="C203" s="71"/>
      <c r="D203" s="71"/>
      <c r="E203" s="25"/>
      <c r="F203" s="138"/>
      <c r="G203" s="138"/>
      <c r="H203" s="119"/>
    </row>
    <row r="204" ht="22.5" customHeight="1">
      <c r="A204" s="24"/>
      <c r="B204" s="71"/>
      <c r="C204" s="71"/>
      <c r="D204" s="71"/>
      <c r="E204" s="25"/>
      <c r="F204" s="138"/>
      <c r="G204" s="138"/>
      <c r="H204" s="119"/>
    </row>
    <row r="205" ht="22.5" customHeight="1">
      <c r="A205" s="24"/>
      <c r="B205" s="71"/>
      <c r="C205" s="71"/>
      <c r="D205" s="71"/>
      <c r="E205" s="25"/>
      <c r="F205" s="138"/>
      <c r="G205" s="138"/>
      <c r="H205" s="119"/>
    </row>
    <row r="206" ht="22.5" customHeight="1">
      <c r="A206" s="24"/>
      <c r="B206" s="71"/>
      <c r="C206" s="71"/>
      <c r="D206" s="71"/>
      <c r="E206" s="25"/>
      <c r="F206" s="138"/>
      <c r="G206" s="138"/>
      <c r="H206" s="119"/>
    </row>
    <row r="207" ht="22.5" customHeight="1">
      <c r="A207" s="24"/>
      <c r="B207" s="71"/>
      <c r="C207" s="71"/>
      <c r="D207" s="71"/>
      <c r="E207" s="25"/>
      <c r="F207" s="138"/>
      <c r="G207" s="138"/>
      <c r="H207" s="119"/>
    </row>
    <row r="208" ht="22.5" customHeight="1">
      <c r="A208" s="24"/>
      <c r="B208" s="71"/>
      <c r="C208" s="71"/>
      <c r="D208" s="71"/>
      <c r="E208" s="25"/>
      <c r="F208" s="138"/>
      <c r="G208" s="138"/>
      <c r="H208" s="119"/>
    </row>
    <row r="209" ht="22.5" customHeight="1">
      <c r="A209" s="24"/>
      <c r="B209" s="71"/>
      <c r="C209" s="71"/>
      <c r="D209" s="71"/>
      <c r="E209" s="25"/>
      <c r="F209" s="138"/>
      <c r="G209" s="138"/>
      <c r="H209" s="119"/>
    </row>
    <row r="210" ht="22.5" customHeight="1">
      <c r="A210" s="24"/>
      <c r="B210" s="71"/>
      <c r="C210" s="71"/>
      <c r="D210" s="71"/>
      <c r="E210" s="25"/>
      <c r="F210" s="138"/>
      <c r="G210" s="138"/>
      <c r="H210" s="119"/>
    </row>
    <row r="211" ht="22.5" customHeight="1">
      <c r="A211" s="24"/>
      <c r="B211" s="71"/>
      <c r="C211" s="71"/>
      <c r="D211" s="71"/>
      <c r="E211" s="25"/>
      <c r="F211" s="138"/>
      <c r="G211" s="138"/>
      <c r="H211" s="119"/>
    </row>
    <row r="212" ht="22.5" customHeight="1">
      <c r="A212" s="24"/>
      <c r="B212" s="71"/>
      <c r="C212" s="71"/>
      <c r="D212" s="71"/>
      <c r="E212" s="25"/>
      <c r="F212" s="138"/>
      <c r="G212" s="138"/>
      <c r="H212" s="119"/>
    </row>
    <row r="213" ht="22.5" customHeight="1">
      <c r="A213" s="24"/>
      <c r="B213" s="71"/>
      <c r="C213" s="71"/>
      <c r="D213" s="71"/>
      <c r="E213" s="25"/>
      <c r="F213" s="138"/>
      <c r="G213" s="138"/>
      <c r="H213" s="119"/>
    </row>
    <row r="214" ht="22.5" customHeight="1">
      <c r="A214" s="24"/>
      <c r="B214" s="71"/>
      <c r="C214" s="71"/>
      <c r="D214" s="71"/>
      <c r="E214" s="25"/>
      <c r="F214" s="138"/>
      <c r="G214" s="138"/>
      <c r="H214" s="119"/>
    </row>
    <row r="215" ht="22.5" customHeight="1">
      <c r="A215" s="24"/>
      <c r="B215" s="71"/>
      <c r="C215" s="71"/>
      <c r="D215" s="71"/>
      <c r="E215" s="25"/>
      <c r="F215" s="138"/>
      <c r="G215" s="138"/>
      <c r="H215" s="119"/>
    </row>
    <row r="216" ht="22.5" customHeight="1">
      <c r="A216" s="24"/>
      <c r="B216" s="71"/>
      <c r="C216" s="71"/>
      <c r="D216" s="71"/>
      <c r="E216" s="25"/>
      <c r="F216" s="138"/>
      <c r="G216" s="138"/>
      <c r="H216" s="119"/>
    </row>
    <row r="217" ht="22.5" customHeight="1">
      <c r="A217" s="24"/>
      <c r="B217" s="71"/>
      <c r="C217" s="71"/>
      <c r="D217" s="71"/>
      <c r="E217" s="25"/>
      <c r="F217" s="138"/>
      <c r="G217" s="138"/>
      <c r="H217" s="119"/>
    </row>
    <row r="218" ht="22.5" customHeight="1">
      <c r="A218" s="24"/>
      <c r="B218" s="71"/>
      <c r="C218" s="71"/>
      <c r="D218" s="71"/>
      <c r="E218" s="25"/>
      <c r="F218" s="138"/>
      <c r="G218" s="138"/>
      <c r="H218" s="119"/>
    </row>
    <row r="219" ht="22.5" customHeight="1">
      <c r="A219" s="24"/>
      <c r="B219" s="71"/>
      <c r="C219" s="71"/>
      <c r="D219" s="71"/>
      <c r="E219" s="25"/>
      <c r="F219" s="138"/>
      <c r="G219" s="138"/>
      <c r="H219" s="119"/>
    </row>
    <row r="220" ht="22.5" customHeight="1">
      <c r="A220" s="24"/>
      <c r="B220" s="71"/>
      <c r="C220" s="71"/>
      <c r="D220" s="71"/>
      <c r="E220" s="25"/>
      <c r="F220" s="138"/>
      <c r="G220" s="138"/>
      <c r="H220" s="119"/>
    </row>
    <row r="221" ht="22.5" customHeight="1">
      <c r="A221" s="24"/>
      <c r="B221" s="71"/>
      <c r="C221" s="71"/>
      <c r="D221" s="71"/>
      <c r="E221" s="25"/>
      <c r="F221" s="138"/>
      <c r="G221" s="138"/>
      <c r="H221" s="119"/>
    </row>
    <row r="222" ht="22.5" customHeight="1">
      <c r="A222" s="24"/>
      <c r="B222" s="71"/>
      <c r="C222" s="71"/>
      <c r="D222" s="71"/>
      <c r="E222" s="25"/>
      <c r="F222" s="138"/>
      <c r="G222" s="138"/>
      <c r="H222" s="119"/>
    </row>
    <row r="223" ht="22.5" customHeight="1">
      <c r="A223" s="24"/>
      <c r="B223" s="71"/>
      <c r="C223" s="71"/>
      <c r="D223" s="71"/>
      <c r="E223" s="25"/>
      <c r="F223" s="138"/>
      <c r="G223" s="138"/>
      <c r="H223" s="119"/>
    </row>
    <row r="224" ht="22.5" customHeight="1">
      <c r="A224" s="24"/>
      <c r="B224" s="71"/>
      <c r="C224" s="71"/>
      <c r="D224" s="71"/>
      <c r="E224" s="25"/>
      <c r="F224" s="138"/>
      <c r="G224" s="138"/>
      <c r="H224" s="119"/>
    </row>
    <row r="225" ht="22.5" customHeight="1">
      <c r="A225" s="24"/>
      <c r="B225" s="71"/>
      <c r="C225" s="71"/>
      <c r="D225" s="71"/>
      <c r="E225" s="25"/>
      <c r="F225" s="138"/>
      <c r="G225" s="138"/>
      <c r="H225" s="119"/>
    </row>
    <row r="226" ht="22.5" customHeight="1">
      <c r="A226" s="24"/>
      <c r="B226" s="71"/>
      <c r="C226" s="71"/>
      <c r="D226" s="71"/>
      <c r="E226" s="25"/>
      <c r="F226" s="138"/>
      <c r="G226" s="138"/>
      <c r="H226" s="119"/>
    </row>
    <row r="227" ht="22.5" customHeight="1">
      <c r="A227" s="24"/>
      <c r="B227" s="71"/>
      <c r="C227" s="71"/>
      <c r="D227" s="71"/>
      <c r="E227" s="25"/>
      <c r="F227" s="138"/>
      <c r="G227" s="138"/>
      <c r="H227" s="119"/>
    </row>
    <row r="228" ht="22.5" customHeight="1">
      <c r="A228" s="24"/>
      <c r="B228" s="71"/>
      <c r="C228" s="71"/>
      <c r="D228" s="71"/>
      <c r="E228" s="25"/>
      <c r="F228" s="138"/>
      <c r="G228" s="138"/>
      <c r="H228" s="119"/>
    </row>
    <row r="229" ht="22.5" customHeight="1">
      <c r="A229" s="24"/>
      <c r="B229" s="71"/>
      <c r="C229" s="71"/>
      <c r="D229" s="71"/>
      <c r="E229" s="25"/>
      <c r="F229" s="138"/>
      <c r="G229" s="138"/>
      <c r="H229" s="119"/>
    </row>
    <row r="230" ht="22.5" customHeight="1">
      <c r="A230" s="24"/>
      <c r="B230" s="71"/>
      <c r="C230" s="71"/>
      <c r="D230" s="71"/>
      <c r="E230" s="25"/>
      <c r="F230" s="138"/>
      <c r="G230" s="138"/>
      <c r="H230" s="119"/>
    </row>
    <row r="231" ht="22.5" customHeight="1">
      <c r="A231" s="24"/>
      <c r="B231" s="71"/>
      <c r="C231" s="71"/>
      <c r="D231" s="71"/>
      <c r="E231" s="25"/>
      <c r="F231" s="138"/>
      <c r="G231" s="138"/>
      <c r="H231" s="119"/>
    </row>
    <row r="232" ht="22.5" customHeight="1">
      <c r="A232" s="24"/>
      <c r="B232" s="71"/>
      <c r="C232" s="71"/>
      <c r="D232" s="71"/>
      <c r="E232" s="25"/>
      <c r="F232" s="138"/>
      <c r="G232" s="138"/>
      <c r="H232" s="119"/>
    </row>
    <row r="233" ht="22.5" customHeight="1">
      <c r="A233" s="24"/>
      <c r="B233" s="71"/>
      <c r="C233" s="71"/>
      <c r="D233" s="71"/>
      <c r="E233" s="25"/>
      <c r="F233" s="138"/>
      <c r="G233" s="138"/>
      <c r="H233" s="119"/>
    </row>
    <row r="234" ht="22.5" customHeight="1">
      <c r="A234" s="24"/>
      <c r="B234" s="71"/>
      <c r="C234" s="71"/>
      <c r="D234" s="71"/>
      <c r="E234" s="25"/>
      <c r="F234" s="138"/>
      <c r="G234" s="138"/>
      <c r="H234" s="119"/>
    </row>
    <row r="235" ht="22.5" customHeight="1">
      <c r="A235" s="24"/>
      <c r="B235" s="71"/>
      <c r="C235" s="71"/>
      <c r="D235" s="71"/>
      <c r="E235" s="25"/>
      <c r="F235" s="138"/>
      <c r="G235" s="138"/>
      <c r="H235" s="119"/>
    </row>
    <row r="236" ht="22.5" customHeight="1">
      <c r="A236" s="24"/>
      <c r="B236" s="71"/>
      <c r="C236" s="71"/>
      <c r="D236" s="71"/>
      <c r="E236" s="25"/>
      <c r="F236" s="138"/>
      <c r="G236" s="138"/>
      <c r="H236" s="119"/>
    </row>
    <row r="237" ht="22.5" customHeight="1">
      <c r="A237" s="24"/>
      <c r="B237" s="71"/>
      <c r="C237" s="71"/>
      <c r="D237" s="71"/>
      <c r="E237" s="25"/>
      <c r="F237" s="138"/>
      <c r="G237" s="138"/>
      <c r="H237" s="119"/>
    </row>
    <row r="238" ht="22.5" customHeight="1">
      <c r="A238" s="24"/>
      <c r="B238" s="71"/>
      <c r="C238" s="71"/>
      <c r="D238" s="71"/>
      <c r="E238" s="25"/>
      <c r="F238" s="138"/>
      <c r="G238" s="138"/>
      <c r="H238" s="119"/>
    </row>
    <row r="239" ht="22.5" customHeight="1">
      <c r="A239" s="24"/>
      <c r="B239" s="71"/>
      <c r="C239" s="71"/>
      <c r="D239" s="71"/>
      <c r="E239" s="25"/>
      <c r="F239" s="138"/>
      <c r="G239" s="138"/>
      <c r="H239" s="119"/>
    </row>
    <row r="240" ht="22.5" customHeight="1">
      <c r="A240" s="24"/>
      <c r="B240" s="71"/>
      <c r="C240" s="71"/>
      <c r="D240" s="71"/>
      <c r="E240" s="25"/>
      <c r="F240" s="138"/>
      <c r="G240" s="138"/>
      <c r="H240" s="119"/>
    </row>
    <row r="241" ht="22.5" customHeight="1">
      <c r="A241" s="24"/>
      <c r="B241" s="71"/>
      <c r="C241" s="71"/>
      <c r="D241" s="71"/>
      <c r="E241" s="25"/>
      <c r="F241" s="138"/>
      <c r="G241" s="138"/>
      <c r="H241" s="119"/>
    </row>
    <row r="242" ht="22.5" customHeight="1">
      <c r="A242" s="24"/>
      <c r="B242" s="71"/>
      <c r="C242" s="71"/>
      <c r="D242" s="71"/>
      <c r="E242" s="25"/>
      <c r="F242" s="138"/>
      <c r="G242" s="138"/>
      <c r="H242" s="119"/>
    </row>
    <row r="243" ht="22.5" customHeight="1">
      <c r="A243" s="24"/>
      <c r="B243" s="71"/>
      <c r="C243" s="71"/>
      <c r="D243" s="71"/>
      <c r="E243" s="25"/>
      <c r="F243" s="138"/>
      <c r="G243" s="138"/>
      <c r="H243" s="119"/>
    </row>
    <row r="244" ht="22.5" customHeight="1">
      <c r="A244" s="24"/>
      <c r="B244" s="71"/>
      <c r="C244" s="71"/>
      <c r="D244" s="71"/>
      <c r="E244" s="25"/>
      <c r="F244" s="138"/>
      <c r="G244" s="138"/>
      <c r="H244" s="119"/>
    </row>
    <row r="245" ht="22.5" customHeight="1">
      <c r="A245" s="24"/>
      <c r="B245" s="71"/>
      <c r="C245" s="71"/>
      <c r="D245" s="71"/>
      <c r="E245" s="25"/>
      <c r="F245" s="138"/>
      <c r="G245" s="138"/>
      <c r="H245" s="119"/>
    </row>
    <row r="246" ht="22.5" customHeight="1">
      <c r="A246" s="24"/>
      <c r="B246" s="71"/>
      <c r="C246" s="71"/>
      <c r="D246" s="71"/>
      <c r="E246" s="25"/>
      <c r="F246" s="138"/>
      <c r="G246" s="138"/>
      <c r="H246" s="119"/>
    </row>
    <row r="247" ht="22.5" customHeight="1">
      <c r="A247" s="24"/>
      <c r="B247" s="71"/>
      <c r="C247" s="71"/>
      <c r="D247" s="71"/>
      <c r="E247" s="25"/>
      <c r="F247" s="138"/>
      <c r="G247" s="138"/>
      <c r="H247" s="119"/>
    </row>
    <row r="248" ht="22.5" customHeight="1">
      <c r="A248" s="24"/>
      <c r="B248" s="71"/>
      <c r="C248" s="71"/>
      <c r="D248" s="71"/>
      <c r="E248" s="25"/>
      <c r="F248" s="138"/>
      <c r="G248" s="138"/>
      <c r="H248" s="119"/>
    </row>
    <row r="249" ht="22.5" customHeight="1">
      <c r="A249" s="24"/>
      <c r="B249" s="71"/>
      <c r="C249" s="71"/>
      <c r="D249" s="71"/>
      <c r="E249" s="25"/>
      <c r="F249" s="138"/>
      <c r="G249" s="138"/>
      <c r="H249" s="119"/>
    </row>
    <row r="250" ht="22.5" customHeight="1">
      <c r="A250" s="24"/>
      <c r="B250" s="71"/>
      <c r="C250" s="71"/>
      <c r="D250" s="71"/>
      <c r="E250" s="25"/>
      <c r="F250" s="138"/>
      <c r="G250" s="138"/>
      <c r="H250" s="119"/>
    </row>
    <row r="251" ht="22.5" customHeight="1">
      <c r="A251" s="24"/>
      <c r="B251" s="71"/>
      <c r="C251" s="71"/>
      <c r="D251" s="71"/>
      <c r="E251" s="25"/>
      <c r="F251" s="138"/>
      <c r="G251" s="138"/>
      <c r="H251" s="119"/>
    </row>
    <row r="252" ht="22.5" customHeight="1">
      <c r="A252" s="24"/>
      <c r="B252" s="71"/>
      <c r="C252" s="71"/>
      <c r="D252" s="71"/>
      <c r="E252" s="25"/>
      <c r="F252" s="138"/>
      <c r="G252" s="138"/>
      <c r="H252" s="119"/>
    </row>
    <row r="253" ht="22.5" customHeight="1">
      <c r="A253" s="24"/>
      <c r="B253" s="71"/>
      <c r="C253" s="71"/>
      <c r="D253" s="71"/>
      <c r="E253" s="25"/>
      <c r="F253" s="138"/>
      <c r="G253" s="138"/>
      <c r="H253" s="119"/>
    </row>
    <row r="254" ht="22.5" customHeight="1">
      <c r="A254" s="24"/>
      <c r="B254" s="71"/>
      <c r="C254" s="71"/>
      <c r="D254" s="71"/>
      <c r="E254" s="25"/>
      <c r="F254" s="138"/>
      <c r="G254" s="138"/>
      <c r="H254" s="119"/>
    </row>
    <row r="255" ht="22.5" customHeight="1">
      <c r="A255" s="24"/>
      <c r="B255" s="71"/>
      <c r="C255" s="71"/>
      <c r="D255" s="71"/>
      <c r="E255" s="25"/>
      <c r="F255" s="138"/>
      <c r="G255" s="138"/>
      <c r="H255" s="119"/>
    </row>
    <row r="256" ht="22.5" customHeight="1">
      <c r="A256" s="24"/>
      <c r="B256" s="71"/>
      <c r="C256" s="71"/>
      <c r="D256" s="71"/>
      <c r="E256" s="25"/>
      <c r="F256" s="138"/>
      <c r="G256" s="138"/>
      <c r="H256" s="119"/>
    </row>
    <row r="257" ht="22.5" customHeight="1">
      <c r="A257" s="24"/>
      <c r="B257" s="71"/>
      <c r="C257" s="71"/>
      <c r="D257" s="71"/>
      <c r="E257" s="25"/>
      <c r="F257" s="138"/>
      <c r="G257" s="138"/>
      <c r="H257" s="119"/>
    </row>
    <row r="258" ht="22.5" customHeight="1">
      <c r="A258" s="24"/>
      <c r="B258" s="71"/>
      <c r="C258" s="71"/>
      <c r="D258" s="71"/>
      <c r="E258" s="25"/>
      <c r="F258" s="138"/>
      <c r="G258" s="138"/>
      <c r="H258" s="119"/>
    </row>
    <row r="259" ht="22.5" customHeight="1">
      <c r="A259" s="24"/>
      <c r="B259" s="71"/>
      <c r="C259" s="71"/>
      <c r="D259" s="71"/>
      <c r="E259" s="25"/>
      <c r="F259" s="138"/>
      <c r="G259" s="138"/>
      <c r="H259" s="119"/>
    </row>
    <row r="260" ht="22.5" customHeight="1">
      <c r="A260" s="24"/>
      <c r="B260" s="71"/>
      <c r="C260" s="71"/>
      <c r="D260" s="71"/>
      <c r="E260" s="25"/>
      <c r="F260" s="138"/>
      <c r="G260" s="138"/>
      <c r="H260" s="119"/>
    </row>
    <row r="261" ht="22.5" customHeight="1">
      <c r="A261" s="24"/>
      <c r="B261" s="71"/>
      <c r="C261" s="71"/>
      <c r="D261" s="71"/>
      <c r="E261" s="25"/>
      <c r="F261" s="138"/>
      <c r="G261" s="138"/>
      <c r="H261" s="119"/>
    </row>
    <row r="262" ht="22.5" customHeight="1">
      <c r="A262" s="24"/>
      <c r="B262" s="71"/>
      <c r="C262" s="71"/>
      <c r="D262" s="71"/>
      <c r="E262" s="25"/>
      <c r="F262" s="138"/>
      <c r="G262" s="138"/>
      <c r="H262" s="119"/>
    </row>
    <row r="263" ht="22.5" customHeight="1">
      <c r="A263" s="24"/>
      <c r="B263" s="71"/>
      <c r="C263" s="71"/>
      <c r="D263" s="71"/>
      <c r="E263" s="25"/>
      <c r="F263" s="138"/>
      <c r="G263" s="138"/>
      <c r="H263" s="119"/>
    </row>
    <row r="264" ht="22.5" customHeight="1">
      <c r="A264" s="24"/>
      <c r="B264" s="71"/>
      <c r="C264" s="71"/>
      <c r="D264" s="71"/>
      <c r="E264" s="25"/>
      <c r="F264" s="138"/>
      <c r="G264" s="138"/>
      <c r="H264" s="119"/>
    </row>
    <row r="265" ht="22.5" customHeight="1">
      <c r="A265" s="24"/>
      <c r="B265" s="71"/>
      <c r="C265" s="71"/>
      <c r="D265" s="71"/>
      <c r="E265" s="25"/>
      <c r="F265" s="138"/>
      <c r="G265" s="138"/>
      <c r="H265" s="119"/>
    </row>
    <row r="266" ht="22.5" customHeight="1">
      <c r="A266" s="24"/>
      <c r="B266" s="71"/>
      <c r="C266" s="71"/>
      <c r="D266" s="71"/>
      <c r="E266" s="25"/>
      <c r="F266" s="138"/>
      <c r="G266" s="138"/>
      <c r="H266" s="119"/>
    </row>
    <row r="267" ht="22.5" customHeight="1">
      <c r="A267" s="24"/>
      <c r="B267" s="71"/>
      <c r="C267" s="71"/>
      <c r="D267" s="71"/>
      <c r="E267" s="25"/>
      <c r="F267" s="138"/>
      <c r="G267" s="138"/>
      <c r="H267" s="119"/>
    </row>
    <row r="268" ht="22.5" customHeight="1">
      <c r="A268" s="24"/>
      <c r="B268" s="71"/>
      <c r="C268" s="71"/>
      <c r="D268" s="71"/>
      <c r="E268" s="25"/>
      <c r="F268" s="138"/>
      <c r="G268" s="138"/>
      <c r="H268" s="119"/>
    </row>
    <row r="269" ht="22.5" customHeight="1">
      <c r="A269" s="24"/>
      <c r="B269" s="71"/>
      <c r="C269" s="71"/>
      <c r="D269" s="71"/>
      <c r="E269" s="25"/>
      <c r="F269" s="138"/>
      <c r="G269" s="138"/>
      <c r="H269" s="119"/>
    </row>
    <row r="270" ht="22.5" customHeight="1">
      <c r="A270" s="24"/>
      <c r="B270" s="71"/>
      <c r="C270" s="71"/>
      <c r="D270" s="71"/>
      <c r="E270" s="25"/>
      <c r="F270" s="138"/>
      <c r="G270" s="138"/>
      <c r="H270" s="119"/>
    </row>
    <row r="271" ht="22.5" customHeight="1">
      <c r="A271" s="24"/>
      <c r="B271" s="71"/>
      <c r="C271" s="71"/>
      <c r="D271" s="71"/>
      <c r="E271" s="25"/>
      <c r="F271" s="138"/>
      <c r="G271" s="138"/>
      <c r="H271" s="119"/>
    </row>
    <row r="272" ht="22.5" customHeight="1">
      <c r="A272" s="24"/>
      <c r="B272" s="71"/>
      <c r="C272" s="71"/>
      <c r="D272" s="71"/>
      <c r="E272" s="25"/>
      <c r="F272" s="138"/>
      <c r="G272" s="138"/>
      <c r="H272" s="119"/>
    </row>
    <row r="273" ht="22.5" customHeight="1">
      <c r="A273" s="24"/>
      <c r="B273" s="71"/>
      <c r="C273" s="71"/>
      <c r="D273" s="71"/>
      <c r="E273" s="25"/>
      <c r="F273" s="138"/>
      <c r="G273" s="138"/>
      <c r="H273" s="119"/>
    </row>
    <row r="274" ht="22.5" customHeight="1">
      <c r="A274" s="24"/>
      <c r="B274" s="71"/>
      <c r="C274" s="71"/>
      <c r="D274" s="71"/>
      <c r="E274" s="25"/>
      <c r="F274" s="138"/>
      <c r="G274" s="138"/>
      <c r="H274" s="119"/>
    </row>
    <row r="275" ht="22.5" customHeight="1">
      <c r="A275" s="24"/>
      <c r="B275" s="71"/>
      <c r="C275" s="71"/>
      <c r="D275" s="71"/>
      <c r="E275" s="25"/>
      <c r="F275" s="138"/>
      <c r="G275" s="138"/>
      <c r="H275" s="119"/>
    </row>
    <row r="276" ht="22.5" customHeight="1">
      <c r="A276" s="24"/>
      <c r="B276" s="71"/>
      <c r="C276" s="71"/>
      <c r="D276" s="71"/>
      <c r="E276" s="25"/>
      <c r="F276" s="138"/>
      <c r="G276" s="138"/>
      <c r="H276" s="119"/>
    </row>
    <row r="277" ht="22.5" customHeight="1">
      <c r="A277" s="24"/>
      <c r="B277" s="71"/>
      <c r="C277" s="71"/>
      <c r="D277" s="71"/>
      <c r="E277" s="25"/>
      <c r="F277" s="138"/>
      <c r="G277" s="138"/>
      <c r="H277" s="119"/>
    </row>
    <row r="278" ht="22.5" customHeight="1">
      <c r="A278" s="24"/>
      <c r="B278" s="71"/>
      <c r="C278" s="71"/>
      <c r="D278" s="71"/>
      <c r="E278" s="25"/>
      <c r="F278" s="138"/>
      <c r="G278" s="138"/>
      <c r="H278" s="119"/>
    </row>
    <row r="279" ht="22.5" customHeight="1">
      <c r="A279" s="24"/>
      <c r="B279" s="71"/>
      <c r="C279" s="71"/>
      <c r="D279" s="71"/>
      <c r="E279" s="25"/>
      <c r="F279" s="138"/>
      <c r="G279" s="138"/>
      <c r="H279" s="119"/>
    </row>
    <row r="280" ht="22.5" customHeight="1">
      <c r="A280" s="24"/>
      <c r="B280" s="71"/>
      <c r="C280" s="71"/>
      <c r="D280" s="71"/>
      <c r="E280" s="25"/>
      <c r="F280" s="138"/>
      <c r="G280" s="138"/>
      <c r="H280" s="119"/>
    </row>
    <row r="281" ht="22.5" customHeight="1">
      <c r="A281" s="24"/>
      <c r="B281" s="71"/>
      <c r="C281" s="71"/>
      <c r="D281" s="71"/>
      <c r="E281" s="25"/>
      <c r="F281" s="138"/>
      <c r="G281" s="138"/>
      <c r="H281" s="119"/>
    </row>
    <row r="282" ht="22.5" customHeight="1">
      <c r="A282" s="24"/>
      <c r="B282" s="71"/>
      <c r="C282" s="71"/>
      <c r="D282" s="71"/>
      <c r="E282" s="25"/>
      <c r="F282" s="138"/>
      <c r="G282" s="138"/>
      <c r="H282" s="119"/>
    </row>
    <row r="283" ht="22.5" customHeight="1">
      <c r="A283" s="24"/>
      <c r="B283" s="71"/>
      <c r="C283" s="71"/>
      <c r="D283" s="71"/>
      <c r="E283" s="25"/>
      <c r="F283" s="138"/>
      <c r="G283" s="138"/>
      <c r="H283" s="119"/>
    </row>
    <row r="284" ht="22.5" customHeight="1">
      <c r="A284" s="24"/>
      <c r="B284" s="71"/>
      <c r="C284" s="71"/>
      <c r="D284" s="71"/>
      <c r="E284" s="25"/>
      <c r="F284" s="138"/>
      <c r="G284" s="138"/>
      <c r="H284" s="119"/>
    </row>
    <row r="285" ht="22.5" customHeight="1">
      <c r="A285" s="24"/>
      <c r="B285" s="71"/>
      <c r="C285" s="71"/>
      <c r="D285" s="71"/>
      <c r="E285" s="25"/>
      <c r="F285" s="138"/>
      <c r="G285" s="138"/>
      <c r="H285" s="119"/>
    </row>
    <row r="286" ht="22.5" customHeight="1">
      <c r="A286" s="24"/>
      <c r="B286" s="71"/>
      <c r="C286" s="71"/>
      <c r="D286" s="71"/>
      <c r="E286" s="25"/>
      <c r="F286" s="138"/>
      <c r="G286" s="138"/>
      <c r="H286" s="119"/>
    </row>
    <row r="287" ht="22.5" customHeight="1">
      <c r="A287" s="24"/>
      <c r="B287" s="71"/>
      <c r="C287" s="71"/>
      <c r="D287" s="71"/>
      <c r="E287" s="25"/>
      <c r="F287" s="138"/>
      <c r="G287" s="138"/>
      <c r="H287" s="119"/>
    </row>
    <row r="288" ht="22.5" customHeight="1">
      <c r="A288" s="24"/>
      <c r="B288" s="71"/>
      <c r="C288" s="71"/>
      <c r="D288" s="71"/>
      <c r="E288" s="25"/>
      <c r="F288" s="138"/>
      <c r="G288" s="138"/>
      <c r="H288" s="119"/>
    </row>
    <row r="289" ht="22.5" customHeight="1">
      <c r="A289" s="24"/>
      <c r="B289" s="71"/>
      <c r="C289" s="71"/>
      <c r="D289" s="71"/>
      <c r="E289" s="25"/>
      <c r="F289" s="138"/>
      <c r="G289" s="138"/>
      <c r="H289" s="119"/>
    </row>
    <row r="290" ht="22.5" customHeight="1">
      <c r="A290" s="24"/>
      <c r="B290" s="71"/>
      <c r="C290" s="71"/>
      <c r="D290" s="71"/>
      <c r="E290" s="25"/>
      <c r="F290" s="138"/>
      <c r="G290" s="138"/>
      <c r="H290" s="119"/>
    </row>
    <row r="291" ht="22.5" customHeight="1">
      <c r="A291" s="24"/>
      <c r="B291" s="71"/>
      <c r="C291" s="71"/>
      <c r="D291" s="71"/>
      <c r="E291" s="25"/>
      <c r="F291" s="138"/>
      <c r="G291" s="138"/>
      <c r="H291" s="119"/>
    </row>
    <row r="292" ht="22.5" customHeight="1">
      <c r="A292" s="24"/>
      <c r="B292" s="71"/>
      <c r="C292" s="71"/>
      <c r="D292" s="71"/>
      <c r="E292" s="25"/>
      <c r="F292" s="138"/>
      <c r="G292" s="138"/>
      <c r="H292" s="119"/>
    </row>
    <row r="293" ht="22.5" customHeight="1">
      <c r="A293" s="24"/>
      <c r="B293" s="71"/>
      <c r="C293" s="71"/>
      <c r="D293" s="71"/>
      <c r="E293" s="25"/>
      <c r="F293" s="138"/>
      <c r="G293" s="138"/>
      <c r="H293" s="119"/>
    </row>
    <row r="294" ht="22.5" customHeight="1">
      <c r="A294" s="24"/>
      <c r="B294" s="71"/>
      <c r="C294" s="71"/>
      <c r="D294" s="71"/>
      <c r="E294" s="25"/>
      <c r="F294" s="138"/>
      <c r="G294" s="138"/>
      <c r="H294" s="119"/>
    </row>
    <row r="295" ht="22.5" customHeight="1">
      <c r="A295" s="24"/>
      <c r="B295" s="71"/>
      <c r="C295" s="71"/>
      <c r="D295" s="71"/>
      <c r="E295" s="25"/>
      <c r="F295" s="138"/>
      <c r="G295" s="138"/>
      <c r="H295" s="119"/>
    </row>
    <row r="296" ht="22.5" customHeight="1">
      <c r="A296" s="24"/>
      <c r="B296" s="71"/>
      <c r="C296" s="71"/>
      <c r="D296" s="71"/>
      <c r="E296" s="25"/>
      <c r="F296" s="138"/>
      <c r="G296" s="138"/>
      <c r="H296" s="119"/>
    </row>
    <row r="297" ht="22.5" customHeight="1">
      <c r="A297" s="24"/>
      <c r="B297" s="71"/>
      <c r="C297" s="71"/>
      <c r="D297" s="71"/>
      <c r="E297" s="25"/>
      <c r="F297" s="138"/>
      <c r="G297" s="138"/>
      <c r="H297" s="119"/>
    </row>
    <row r="298" ht="22.5" customHeight="1">
      <c r="A298" s="24"/>
      <c r="B298" s="71"/>
      <c r="C298" s="71"/>
      <c r="D298" s="71"/>
      <c r="E298" s="25"/>
      <c r="F298" s="138"/>
      <c r="G298" s="138"/>
      <c r="H298" s="119"/>
    </row>
    <row r="299" ht="22.5" customHeight="1">
      <c r="A299" s="24"/>
      <c r="B299" s="71"/>
      <c r="C299" s="71"/>
      <c r="D299" s="71"/>
      <c r="E299" s="25"/>
      <c r="F299" s="138"/>
      <c r="G299" s="138"/>
      <c r="H299" s="119"/>
    </row>
    <row r="300" ht="22.5" customHeight="1">
      <c r="A300" s="24"/>
      <c r="B300" s="71"/>
      <c r="C300" s="71"/>
      <c r="D300" s="71"/>
      <c r="E300" s="25"/>
      <c r="F300" s="138"/>
      <c r="G300" s="138"/>
      <c r="H300" s="119"/>
    </row>
    <row r="301" ht="22.5" customHeight="1">
      <c r="A301" s="24"/>
      <c r="B301" s="71"/>
      <c r="C301" s="71"/>
      <c r="D301" s="71"/>
      <c r="E301" s="25"/>
      <c r="F301" s="138"/>
      <c r="G301" s="138"/>
      <c r="H301" s="119"/>
    </row>
    <row r="302" ht="22.5" customHeight="1">
      <c r="A302" s="24"/>
      <c r="B302" s="71"/>
      <c r="C302" s="71"/>
      <c r="D302" s="71"/>
      <c r="E302" s="25"/>
      <c r="F302" s="138"/>
      <c r="G302" s="138"/>
      <c r="H302" s="119"/>
    </row>
    <row r="303" ht="22.5" customHeight="1">
      <c r="A303" s="24"/>
      <c r="B303" s="71"/>
      <c r="C303" s="71"/>
      <c r="D303" s="71"/>
      <c r="E303" s="25"/>
      <c r="F303" s="138"/>
      <c r="G303" s="138"/>
      <c r="H303" s="119"/>
    </row>
    <row r="304" ht="22.5" customHeight="1">
      <c r="A304" s="24"/>
      <c r="B304" s="71"/>
      <c r="C304" s="71"/>
      <c r="D304" s="71"/>
      <c r="E304" s="25"/>
      <c r="F304" s="138"/>
      <c r="G304" s="138"/>
      <c r="H304" s="119"/>
    </row>
    <row r="305" ht="22.5" customHeight="1">
      <c r="A305" s="24"/>
      <c r="B305" s="71"/>
      <c r="C305" s="71"/>
      <c r="D305" s="71"/>
      <c r="E305" s="25"/>
      <c r="F305" s="138"/>
      <c r="G305" s="138"/>
      <c r="H305" s="119"/>
    </row>
    <row r="306" ht="22.5" customHeight="1">
      <c r="A306" s="24"/>
      <c r="B306" s="71"/>
      <c r="C306" s="71"/>
      <c r="D306" s="71"/>
      <c r="E306" s="25"/>
      <c r="F306" s="138"/>
      <c r="G306" s="138"/>
      <c r="H306" s="119"/>
    </row>
    <row r="307" ht="22.5" customHeight="1">
      <c r="A307" s="24"/>
      <c r="B307" s="71"/>
      <c r="C307" s="71"/>
      <c r="D307" s="71"/>
      <c r="E307" s="25"/>
      <c r="F307" s="138"/>
      <c r="G307" s="138"/>
      <c r="H307" s="119"/>
    </row>
    <row r="308" ht="22.5" customHeight="1">
      <c r="A308" s="24"/>
      <c r="B308" s="71"/>
      <c r="C308" s="71"/>
      <c r="D308" s="71"/>
      <c r="E308" s="25"/>
      <c r="F308" s="138"/>
      <c r="G308" s="138"/>
      <c r="H308" s="119"/>
    </row>
    <row r="309" ht="22.5" customHeight="1">
      <c r="A309" s="24"/>
      <c r="B309" s="71"/>
      <c r="C309" s="71"/>
      <c r="D309" s="71"/>
      <c r="E309" s="25"/>
      <c r="F309" s="138"/>
      <c r="G309" s="138"/>
      <c r="H309" s="119"/>
    </row>
    <row r="310" ht="22.5" customHeight="1">
      <c r="A310" s="24"/>
      <c r="B310" s="71"/>
      <c r="C310" s="71"/>
      <c r="D310" s="71"/>
      <c r="E310" s="25"/>
      <c r="F310" s="138"/>
      <c r="G310" s="138"/>
      <c r="H310" s="119"/>
    </row>
    <row r="311" ht="22.5" customHeight="1">
      <c r="A311" s="24"/>
      <c r="B311" s="71"/>
      <c r="C311" s="71"/>
      <c r="D311" s="71"/>
      <c r="E311" s="25"/>
      <c r="F311" s="138"/>
      <c r="G311" s="138"/>
      <c r="H311" s="119"/>
    </row>
    <row r="312" ht="22.5" customHeight="1">
      <c r="A312" s="24"/>
      <c r="B312" s="71"/>
      <c r="C312" s="71"/>
      <c r="D312" s="71"/>
      <c r="E312" s="25"/>
      <c r="F312" s="138"/>
      <c r="G312" s="138"/>
      <c r="H312" s="119"/>
    </row>
    <row r="313" ht="22.5" customHeight="1">
      <c r="A313" s="24"/>
      <c r="B313" s="71"/>
      <c r="C313" s="71"/>
      <c r="D313" s="71"/>
      <c r="E313" s="25"/>
      <c r="F313" s="138"/>
      <c r="G313" s="138"/>
      <c r="H313" s="119"/>
    </row>
    <row r="314" ht="22.5" customHeight="1">
      <c r="A314" s="24"/>
      <c r="B314" s="71"/>
      <c r="C314" s="71"/>
      <c r="D314" s="71"/>
      <c r="E314" s="25"/>
      <c r="F314" s="138"/>
      <c r="G314" s="138"/>
      <c r="H314" s="119"/>
    </row>
    <row r="315" ht="22.5" customHeight="1">
      <c r="A315" s="24"/>
      <c r="B315" s="71"/>
      <c r="C315" s="71"/>
      <c r="D315" s="71"/>
      <c r="E315" s="25"/>
      <c r="F315" s="138"/>
      <c r="G315" s="138"/>
      <c r="H315" s="119"/>
    </row>
    <row r="316" ht="22.5" customHeight="1">
      <c r="A316" s="24"/>
      <c r="B316" s="71"/>
      <c r="C316" s="71"/>
      <c r="D316" s="71"/>
      <c r="E316" s="25"/>
      <c r="F316" s="138"/>
      <c r="G316" s="138"/>
      <c r="H316" s="119"/>
    </row>
    <row r="317" ht="22.5" customHeight="1">
      <c r="A317" s="24"/>
      <c r="B317" s="71"/>
      <c r="C317" s="71"/>
      <c r="D317" s="71"/>
      <c r="E317" s="25"/>
      <c r="F317" s="138"/>
      <c r="G317" s="138"/>
      <c r="H317" s="119"/>
    </row>
    <row r="318" ht="22.5" customHeight="1">
      <c r="A318" s="24"/>
      <c r="B318" s="71"/>
      <c r="C318" s="71"/>
      <c r="D318" s="71"/>
      <c r="E318" s="25"/>
      <c r="F318" s="138"/>
      <c r="G318" s="138"/>
      <c r="H318" s="119"/>
    </row>
    <row r="319" ht="22.5" customHeight="1">
      <c r="A319" s="24"/>
      <c r="B319" s="71"/>
      <c r="C319" s="71"/>
      <c r="D319" s="71"/>
      <c r="E319" s="25"/>
      <c r="F319" s="138"/>
      <c r="G319" s="138"/>
      <c r="H319" s="119"/>
    </row>
    <row r="320" ht="22.5" customHeight="1">
      <c r="A320" s="24"/>
      <c r="B320" s="71"/>
      <c r="C320" s="71"/>
      <c r="D320" s="71"/>
      <c r="E320" s="25"/>
      <c r="F320" s="138"/>
      <c r="G320" s="138"/>
      <c r="H320" s="119"/>
    </row>
    <row r="321" ht="22.5" customHeight="1">
      <c r="A321" s="24"/>
      <c r="B321" s="71"/>
      <c r="C321" s="71"/>
      <c r="D321" s="71"/>
      <c r="E321" s="25"/>
      <c r="F321" s="138"/>
      <c r="G321" s="138"/>
      <c r="H321" s="119"/>
    </row>
    <row r="322" ht="22.5" customHeight="1">
      <c r="A322" s="24"/>
      <c r="B322" s="71"/>
      <c r="C322" s="71"/>
      <c r="D322" s="71"/>
      <c r="E322" s="25"/>
      <c r="F322" s="138"/>
      <c r="G322" s="138"/>
      <c r="H322" s="119"/>
    </row>
    <row r="323" ht="22.5" customHeight="1">
      <c r="A323" s="24"/>
      <c r="B323" s="71"/>
      <c r="C323" s="71"/>
      <c r="D323" s="71"/>
      <c r="E323" s="25"/>
      <c r="F323" s="138"/>
      <c r="G323" s="138"/>
      <c r="H323" s="119"/>
    </row>
    <row r="324" ht="22.5" customHeight="1">
      <c r="A324" s="24"/>
      <c r="B324" s="71"/>
      <c r="C324" s="71"/>
      <c r="D324" s="71"/>
      <c r="E324" s="25"/>
      <c r="F324" s="138"/>
      <c r="G324" s="138"/>
      <c r="H324" s="119"/>
    </row>
    <row r="325" ht="22.5" customHeight="1">
      <c r="A325" s="24"/>
      <c r="B325" s="71"/>
      <c r="C325" s="71"/>
      <c r="D325" s="71"/>
      <c r="E325" s="25"/>
      <c r="F325" s="138"/>
      <c r="G325" s="138"/>
      <c r="H325" s="119"/>
    </row>
    <row r="326" ht="22.5" customHeight="1">
      <c r="A326" s="24"/>
      <c r="B326" s="71"/>
      <c r="C326" s="71"/>
      <c r="D326" s="71"/>
      <c r="E326" s="25"/>
      <c r="F326" s="138"/>
      <c r="G326" s="138"/>
      <c r="H326" s="119"/>
    </row>
    <row r="327" ht="22.5" customHeight="1">
      <c r="A327" s="24"/>
      <c r="B327" s="71"/>
      <c r="C327" s="71"/>
      <c r="D327" s="71"/>
      <c r="E327" s="25"/>
      <c r="F327" s="138"/>
      <c r="G327" s="138"/>
      <c r="H327" s="119"/>
    </row>
    <row r="328" ht="22.5" customHeight="1">
      <c r="A328" s="24"/>
      <c r="B328" s="71"/>
      <c r="C328" s="71"/>
      <c r="D328" s="71"/>
      <c r="E328" s="25"/>
      <c r="F328" s="138"/>
      <c r="G328" s="138"/>
      <c r="H328" s="119"/>
    </row>
    <row r="329" ht="22.5" customHeight="1">
      <c r="A329" s="24"/>
      <c r="B329" s="71"/>
      <c r="C329" s="71"/>
      <c r="D329" s="71"/>
      <c r="E329" s="25"/>
      <c r="F329" s="138"/>
      <c r="G329" s="138"/>
      <c r="H329" s="119"/>
    </row>
    <row r="330" ht="22.5" customHeight="1">
      <c r="A330" s="24"/>
      <c r="B330" s="71"/>
      <c r="C330" s="71"/>
      <c r="D330" s="71"/>
      <c r="E330" s="25"/>
      <c r="F330" s="138"/>
      <c r="G330" s="138"/>
      <c r="H330" s="119"/>
    </row>
    <row r="331" ht="22.5" customHeight="1">
      <c r="A331" s="24"/>
      <c r="B331" s="71"/>
      <c r="C331" s="71"/>
      <c r="D331" s="71"/>
      <c r="E331" s="25"/>
      <c r="F331" s="138"/>
      <c r="G331" s="138"/>
      <c r="H331" s="119"/>
    </row>
    <row r="332" ht="22.5" customHeight="1">
      <c r="A332" s="24"/>
      <c r="B332" s="71"/>
      <c r="C332" s="71"/>
      <c r="D332" s="71"/>
      <c r="E332" s="25"/>
      <c r="F332" s="138"/>
      <c r="G332" s="138"/>
      <c r="H332" s="119"/>
    </row>
    <row r="333" ht="22.5" customHeight="1">
      <c r="A333" s="24"/>
      <c r="B333" s="71"/>
      <c r="C333" s="71"/>
      <c r="D333" s="71"/>
      <c r="E333" s="25"/>
      <c r="F333" s="138"/>
      <c r="G333" s="138"/>
      <c r="H333" s="119"/>
    </row>
    <row r="334" ht="22.5" customHeight="1">
      <c r="A334" s="24"/>
      <c r="B334" s="71"/>
      <c r="C334" s="71"/>
      <c r="D334" s="71"/>
      <c r="E334" s="25"/>
      <c r="F334" s="138"/>
      <c r="G334" s="138"/>
      <c r="H334" s="119"/>
    </row>
    <row r="335" ht="22.5" customHeight="1">
      <c r="A335" s="24"/>
      <c r="B335" s="71"/>
      <c r="C335" s="71"/>
      <c r="D335" s="71"/>
      <c r="E335" s="25"/>
      <c r="F335" s="138"/>
      <c r="G335" s="138"/>
      <c r="H335" s="119"/>
    </row>
    <row r="336" ht="22.5" customHeight="1">
      <c r="A336" s="24"/>
      <c r="B336" s="71"/>
      <c r="C336" s="71"/>
      <c r="D336" s="71"/>
      <c r="E336" s="25"/>
      <c r="F336" s="138"/>
      <c r="G336" s="138"/>
      <c r="H336" s="119"/>
    </row>
    <row r="337" ht="22.5" customHeight="1">
      <c r="A337" s="24"/>
      <c r="B337" s="71"/>
      <c r="C337" s="71"/>
      <c r="D337" s="71"/>
      <c r="E337" s="25"/>
      <c r="F337" s="138"/>
      <c r="G337" s="138"/>
      <c r="H337" s="119"/>
    </row>
    <row r="338" ht="22.5" customHeight="1">
      <c r="A338" s="24"/>
      <c r="B338" s="71"/>
      <c r="C338" s="71"/>
      <c r="D338" s="71"/>
      <c r="E338" s="25"/>
      <c r="F338" s="138"/>
      <c r="G338" s="138"/>
      <c r="H338" s="119"/>
    </row>
    <row r="339" ht="22.5" customHeight="1">
      <c r="A339" s="24"/>
      <c r="B339" s="71"/>
      <c r="C339" s="71"/>
      <c r="D339" s="71"/>
      <c r="E339" s="25"/>
      <c r="F339" s="138"/>
      <c r="G339" s="138"/>
      <c r="H339" s="119"/>
    </row>
    <row r="340" ht="22.5" customHeight="1">
      <c r="A340" s="24"/>
      <c r="B340" s="71"/>
      <c r="C340" s="71"/>
      <c r="D340" s="71"/>
      <c r="E340" s="25"/>
      <c r="F340" s="138"/>
      <c r="G340" s="138"/>
      <c r="H340" s="119"/>
    </row>
    <row r="341" ht="22.5" customHeight="1">
      <c r="A341" s="24"/>
      <c r="B341" s="71"/>
      <c r="C341" s="71"/>
      <c r="D341" s="71"/>
      <c r="E341" s="25"/>
      <c r="F341" s="138"/>
      <c r="G341" s="138"/>
      <c r="H341" s="119"/>
    </row>
    <row r="342" ht="22.5" customHeight="1">
      <c r="A342" s="24"/>
      <c r="B342" s="71"/>
      <c r="C342" s="71"/>
      <c r="D342" s="71"/>
      <c r="E342" s="25"/>
      <c r="F342" s="138"/>
      <c r="G342" s="138"/>
      <c r="H342" s="119"/>
    </row>
    <row r="343" ht="22.5" customHeight="1">
      <c r="A343" s="24"/>
      <c r="B343" s="71"/>
      <c r="C343" s="71"/>
      <c r="D343" s="71"/>
      <c r="E343" s="25"/>
      <c r="F343" s="138"/>
      <c r="G343" s="138"/>
      <c r="H343" s="119"/>
    </row>
    <row r="344" ht="22.5" customHeight="1">
      <c r="A344" s="24"/>
      <c r="B344" s="71"/>
      <c r="C344" s="71"/>
      <c r="D344" s="71"/>
      <c r="E344" s="25"/>
      <c r="F344" s="138"/>
      <c r="G344" s="138"/>
      <c r="H344" s="119"/>
    </row>
    <row r="345" ht="22.5" customHeight="1">
      <c r="A345" s="24"/>
      <c r="B345" s="71"/>
      <c r="C345" s="71"/>
      <c r="D345" s="71"/>
      <c r="E345" s="25"/>
      <c r="F345" s="138"/>
      <c r="G345" s="138"/>
      <c r="H345" s="119"/>
    </row>
    <row r="346" ht="22.5" customHeight="1">
      <c r="A346" s="24"/>
      <c r="B346" s="71"/>
      <c r="C346" s="71"/>
      <c r="D346" s="71"/>
      <c r="E346" s="25"/>
      <c r="F346" s="138"/>
      <c r="G346" s="138"/>
      <c r="H346" s="119"/>
    </row>
    <row r="347" ht="22.5" customHeight="1">
      <c r="A347" s="24"/>
      <c r="B347" s="71"/>
      <c r="C347" s="71"/>
      <c r="D347" s="71"/>
      <c r="E347" s="25"/>
      <c r="F347" s="138"/>
      <c r="G347" s="138"/>
      <c r="H347" s="119"/>
    </row>
    <row r="348" ht="22.5" customHeight="1">
      <c r="A348" s="24"/>
      <c r="B348" s="71"/>
      <c r="C348" s="71"/>
      <c r="D348" s="71"/>
      <c r="E348" s="25"/>
      <c r="F348" s="138"/>
      <c r="G348" s="138"/>
      <c r="H348" s="119"/>
    </row>
    <row r="349" ht="22.5" customHeight="1">
      <c r="A349" s="24"/>
      <c r="B349" s="71"/>
      <c r="C349" s="71"/>
      <c r="D349" s="71"/>
      <c r="E349" s="25"/>
      <c r="F349" s="138"/>
      <c r="G349" s="138"/>
      <c r="H349" s="119"/>
    </row>
    <row r="350" ht="22.5" customHeight="1">
      <c r="A350" s="24"/>
      <c r="B350" s="71"/>
      <c r="C350" s="71"/>
      <c r="D350" s="71"/>
      <c r="E350" s="25"/>
      <c r="F350" s="138"/>
      <c r="G350" s="138"/>
      <c r="H350" s="119"/>
    </row>
    <row r="351" ht="22.5" customHeight="1">
      <c r="A351" s="24"/>
      <c r="B351" s="71"/>
      <c r="C351" s="71"/>
      <c r="D351" s="71"/>
      <c r="E351" s="25"/>
      <c r="F351" s="138"/>
      <c r="G351" s="138"/>
      <c r="H351" s="119"/>
    </row>
    <row r="352" ht="22.5" customHeight="1">
      <c r="A352" s="24"/>
      <c r="B352" s="71"/>
      <c r="C352" s="71"/>
      <c r="D352" s="71"/>
      <c r="E352" s="25"/>
      <c r="F352" s="138"/>
      <c r="G352" s="138"/>
      <c r="H352" s="119"/>
    </row>
    <row r="353" ht="22.5" customHeight="1">
      <c r="A353" s="24"/>
      <c r="B353" s="71"/>
      <c r="C353" s="71"/>
      <c r="D353" s="71"/>
      <c r="E353" s="25"/>
      <c r="F353" s="138"/>
      <c r="G353" s="138"/>
      <c r="H353" s="119"/>
    </row>
    <row r="354" ht="22.5" customHeight="1">
      <c r="A354" s="24"/>
      <c r="B354" s="71"/>
      <c r="C354" s="71"/>
      <c r="D354" s="71"/>
      <c r="E354" s="25"/>
      <c r="F354" s="138"/>
      <c r="G354" s="138"/>
      <c r="H354" s="119"/>
    </row>
    <row r="355" ht="22.5" customHeight="1">
      <c r="A355" s="24"/>
      <c r="B355" s="71"/>
      <c r="C355" s="71"/>
      <c r="D355" s="71"/>
      <c r="E355" s="25"/>
      <c r="F355" s="138"/>
      <c r="G355" s="138"/>
      <c r="H355" s="119"/>
    </row>
    <row r="356" ht="22.5" customHeight="1">
      <c r="A356" s="24"/>
      <c r="B356" s="71"/>
      <c r="C356" s="71"/>
      <c r="D356" s="71"/>
      <c r="E356" s="25"/>
      <c r="F356" s="138"/>
      <c r="G356" s="138"/>
      <c r="H356" s="119"/>
    </row>
    <row r="357" ht="22.5" customHeight="1">
      <c r="A357" s="24"/>
      <c r="B357" s="71"/>
      <c r="C357" s="71"/>
      <c r="D357" s="71"/>
      <c r="E357" s="25"/>
      <c r="F357" s="138"/>
      <c r="G357" s="138"/>
      <c r="H357" s="119"/>
    </row>
    <row r="358" ht="22.5" customHeight="1">
      <c r="A358" s="24"/>
      <c r="B358" s="71"/>
      <c r="C358" s="71"/>
      <c r="D358" s="71"/>
      <c r="E358" s="25"/>
      <c r="F358" s="138"/>
      <c r="G358" s="138"/>
      <c r="H358" s="119"/>
    </row>
    <row r="359" ht="22.5" customHeight="1">
      <c r="A359" s="24"/>
      <c r="B359" s="71"/>
      <c r="C359" s="71"/>
      <c r="D359" s="71"/>
      <c r="E359" s="25"/>
      <c r="F359" s="138"/>
      <c r="G359" s="138"/>
      <c r="H359" s="119"/>
    </row>
    <row r="360" ht="22.5" customHeight="1">
      <c r="A360" s="24"/>
      <c r="B360" s="71"/>
      <c r="C360" s="71"/>
      <c r="D360" s="71"/>
      <c r="E360" s="25"/>
      <c r="F360" s="138"/>
      <c r="G360" s="138"/>
      <c r="H360" s="119"/>
    </row>
    <row r="361" ht="22.5" customHeight="1">
      <c r="A361" s="24"/>
      <c r="B361" s="71"/>
      <c r="C361" s="71"/>
      <c r="D361" s="71"/>
      <c r="E361" s="25"/>
      <c r="F361" s="138"/>
      <c r="G361" s="138"/>
      <c r="H361" s="119"/>
    </row>
    <row r="362" ht="22.5" customHeight="1">
      <c r="A362" s="24"/>
      <c r="B362" s="71"/>
      <c r="C362" s="71"/>
      <c r="D362" s="71"/>
      <c r="E362" s="25"/>
      <c r="F362" s="138"/>
      <c r="G362" s="138"/>
      <c r="H362" s="119"/>
    </row>
    <row r="363" ht="22.5" customHeight="1">
      <c r="A363" s="24"/>
      <c r="B363" s="71"/>
      <c r="C363" s="71"/>
      <c r="D363" s="71"/>
      <c r="E363" s="25"/>
      <c r="F363" s="138"/>
      <c r="G363" s="138"/>
      <c r="H363" s="119"/>
    </row>
    <row r="364" ht="22.5" customHeight="1">
      <c r="A364" s="24"/>
      <c r="B364" s="71"/>
      <c r="C364" s="71"/>
      <c r="D364" s="71"/>
      <c r="E364" s="25"/>
      <c r="F364" s="138"/>
      <c r="G364" s="138"/>
      <c r="H364" s="119"/>
    </row>
    <row r="365" ht="22.5" customHeight="1">
      <c r="A365" s="24"/>
      <c r="B365" s="71"/>
      <c r="C365" s="71"/>
      <c r="D365" s="71"/>
      <c r="E365" s="25"/>
      <c r="F365" s="138"/>
      <c r="G365" s="138"/>
      <c r="H365" s="119"/>
    </row>
    <row r="366" ht="22.5" customHeight="1">
      <c r="A366" s="24"/>
      <c r="B366" s="71"/>
      <c r="C366" s="71"/>
      <c r="D366" s="71"/>
      <c r="E366" s="25"/>
      <c r="F366" s="138"/>
      <c r="G366" s="138"/>
      <c r="H366" s="119"/>
    </row>
    <row r="367" ht="22.5" customHeight="1">
      <c r="A367" s="24"/>
      <c r="B367" s="71"/>
      <c r="C367" s="71"/>
      <c r="D367" s="71"/>
      <c r="E367" s="25"/>
      <c r="F367" s="138"/>
      <c r="G367" s="138"/>
      <c r="H367" s="119"/>
    </row>
    <row r="368" ht="22.5" customHeight="1">
      <c r="A368" s="24"/>
      <c r="B368" s="71"/>
      <c r="C368" s="71"/>
      <c r="D368" s="71"/>
      <c r="E368" s="25"/>
      <c r="F368" s="138"/>
      <c r="G368" s="138"/>
      <c r="H368" s="119"/>
    </row>
    <row r="369" ht="22.5" customHeight="1">
      <c r="A369" s="24"/>
      <c r="B369" s="71"/>
      <c r="C369" s="71"/>
      <c r="D369" s="71"/>
      <c r="E369" s="25"/>
      <c r="F369" s="138"/>
      <c r="G369" s="138"/>
      <c r="H369" s="119"/>
    </row>
    <row r="370" ht="22.5" customHeight="1">
      <c r="A370" s="24"/>
      <c r="B370" s="71"/>
      <c r="C370" s="71"/>
      <c r="D370" s="71"/>
      <c r="E370" s="25"/>
      <c r="F370" s="138"/>
      <c r="G370" s="138"/>
      <c r="H370" s="119"/>
    </row>
    <row r="371" ht="22.5" customHeight="1">
      <c r="A371" s="24"/>
      <c r="B371" s="71"/>
      <c r="C371" s="71"/>
      <c r="D371" s="71"/>
      <c r="E371" s="25"/>
      <c r="F371" s="138"/>
      <c r="G371" s="138"/>
      <c r="H371" s="119"/>
    </row>
    <row r="372" ht="22.5" customHeight="1">
      <c r="A372" s="24"/>
      <c r="B372" s="71"/>
      <c r="C372" s="71"/>
      <c r="D372" s="71"/>
      <c r="E372" s="25"/>
      <c r="F372" s="138"/>
      <c r="G372" s="138"/>
      <c r="H372" s="119"/>
    </row>
    <row r="373" ht="22.5" customHeight="1">
      <c r="A373" s="24"/>
      <c r="B373" s="71"/>
      <c r="C373" s="71"/>
      <c r="D373" s="71"/>
      <c r="E373" s="25"/>
      <c r="F373" s="138"/>
      <c r="G373" s="138"/>
      <c r="H373" s="119"/>
    </row>
    <row r="374" ht="22.5" customHeight="1">
      <c r="A374" s="24"/>
      <c r="B374" s="71"/>
      <c r="C374" s="71"/>
      <c r="D374" s="71"/>
      <c r="E374" s="25"/>
      <c r="F374" s="138"/>
      <c r="G374" s="138"/>
      <c r="H374" s="119"/>
    </row>
    <row r="375" ht="22.5" customHeight="1">
      <c r="A375" s="24"/>
      <c r="B375" s="71"/>
      <c r="C375" s="71"/>
      <c r="D375" s="71"/>
      <c r="E375" s="25"/>
      <c r="F375" s="138"/>
      <c r="G375" s="138"/>
      <c r="H375" s="119"/>
    </row>
    <row r="376" ht="22.5" customHeight="1">
      <c r="A376" s="24"/>
      <c r="B376" s="71"/>
      <c r="C376" s="71"/>
      <c r="D376" s="71"/>
      <c r="E376" s="25"/>
      <c r="F376" s="138"/>
      <c r="G376" s="138"/>
      <c r="H376" s="119"/>
    </row>
    <row r="377" ht="22.5" customHeight="1">
      <c r="A377" s="24"/>
      <c r="B377" s="71"/>
      <c r="C377" s="71"/>
      <c r="D377" s="71"/>
      <c r="E377" s="25"/>
      <c r="F377" s="138"/>
      <c r="G377" s="138"/>
      <c r="H377" s="119"/>
    </row>
    <row r="378" ht="22.5" customHeight="1">
      <c r="A378" s="24"/>
      <c r="B378" s="71"/>
      <c r="C378" s="71"/>
      <c r="D378" s="71"/>
      <c r="E378" s="25"/>
      <c r="F378" s="138"/>
      <c r="G378" s="138"/>
      <c r="H378" s="119"/>
    </row>
    <row r="379" ht="22.5" customHeight="1">
      <c r="A379" s="24"/>
      <c r="B379" s="71"/>
      <c r="C379" s="71"/>
      <c r="D379" s="71"/>
      <c r="E379" s="25"/>
      <c r="F379" s="138"/>
      <c r="G379" s="138"/>
      <c r="H379" s="119"/>
    </row>
    <row r="380" ht="22.5" customHeight="1">
      <c r="A380" s="24"/>
      <c r="B380" s="71"/>
      <c r="C380" s="71"/>
      <c r="D380" s="71"/>
      <c r="E380" s="25"/>
      <c r="F380" s="138"/>
      <c r="G380" s="138"/>
      <c r="H380" s="119"/>
    </row>
    <row r="381" ht="22.5" customHeight="1">
      <c r="A381" s="24"/>
      <c r="B381" s="71"/>
      <c r="C381" s="71"/>
      <c r="D381" s="71"/>
      <c r="E381" s="25"/>
      <c r="F381" s="138"/>
      <c r="G381" s="138"/>
      <c r="H381" s="119"/>
    </row>
    <row r="382" ht="22.5" customHeight="1">
      <c r="A382" s="24"/>
      <c r="B382" s="71"/>
      <c r="C382" s="71"/>
      <c r="D382" s="71"/>
      <c r="E382" s="25"/>
      <c r="F382" s="138"/>
      <c r="G382" s="138"/>
      <c r="H382" s="119"/>
    </row>
    <row r="383" ht="22.5" customHeight="1">
      <c r="A383" s="24"/>
      <c r="B383" s="71"/>
      <c r="C383" s="71"/>
      <c r="D383" s="71"/>
      <c r="E383" s="25"/>
      <c r="F383" s="138"/>
      <c r="G383" s="138"/>
      <c r="H383" s="119"/>
    </row>
    <row r="384" ht="22.5" customHeight="1">
      <c r="A384" s="24"/>
      <c r="B384" s="71"/>
      <c r="C384" s="71"/>
      <c r="D384" s="71"/>
      <c r="E384" s="25"/>
      <c r="F384" s="138"/>
      <c r="G384" s="138"/>
      <c r="H384" s="119"/>
    </row>
    <row r="385" ht="22.5" customHeight="1">
      <c r="A385" s="24"/>
      <c r="B385" s="71"/>
      <c r="C385" s="71"/>
      <c r="D385" s="71"/>
      <c r="E385" s="25"/>
      <c r="F385" s="138"/>
      <c r="G385" s="138"/>
      <c r="H385" s="119"/>
    </row>
    <row r="386" ht="22.5" customHeight="1">
      <c r="A386" s="24"/>
      <c r="B386" s="71"/>
      <c r="C386" s="71"/>
      <c r="D386" s="71"/>
      <c r="E386" s="25"/>
      <c r="F386" s="138"/>
      <c r="G386" s="138"/>
      <c r="H386" s="119"/>
    </row>
    <row r="387" ht="22.5" customHeight="1">
      <c r="A387" s="24"/>
      <c r="B387" s="71"/>
      <c r="C387" s="71"/>
      <c r="D387" s="71"/>
      <c r="E387" s="25"/>
      <c r="F387" s="138"/>
      <c r="G387" s="138"/>
      <c r="H387" s="119"/>
    </row>
    <row r="388" ht="22.5" customHeight="1">
      <c r="A388" s="24"/>
      <c r="B388" s="71"/>
      <c r="C388" s="71"/>
      <c r="D388" s="71"/>
      <c r="E388" s="25"/>
      <c r="F388" s="138"/>
      <c r="G388" s="138"/>
      <c r="H388" s="119"/>
    </row>
    <row r="389" ht="22.5" customHeight="1">
      <c r="A389" s="24"/>
      <c r="B389" s="71"/>
      <c r="C389" s="71"/>
      <c r="D389" s="71"/>
      <c r="E389" s="25"/>
      <c r="F389" s="138"/>
      <c r="G389" s="138"/>
      <c r="H389" s="119"/>
    </row>
    <row r="390" ht="22.5" customHeight="1">
      <c r="A390" s="24"/>
      <c r="B390" s="71"/>
      <c r="C390" s="71"/>
      <c r="D390" s="71"/>
      <c r="E390" s="25"/>
      <c r="F390" s="138"/>
      <c r="G390" s="138"/>
      <c r="H390" s="119"/>
    </row>
    <row r="391" ht="22.5" customHeight="1">
      <c r="A391" s="24"/>
      <c r="B391" s="71"/>
      <c r="C391" s="71"/>
      <c r="D391" s="71"/>
      <c r="E391" s="25"/>
      <c r="F391" s="138"/>
      <c r="G391" s="138"/>
      <c r="H391" s="119"/>
    </row>
    <row r="392" ht="22.5" customHeight="1">
      <c r="A392" s="24"/>
      <c r="B392" s="71"/>
      <c r="C392" s="71"/>
      <c r="D392" s="71"/>
      <c r="E392" s="25"/>
      <c r="F392" s="138"/>
      <c r="G392" s="138"/>
      <c r="H392" s="119"/>
    </row>
    <row r="393" ht="22.5" customHeight="1">
      <c r="A393" s="24"/>
      <c r="B393" s="71"/>
      <c r="C393" s="71"/>
      <c r="D393" s="71"/>
      <c r="E393" s="25"/>
      <c r="F393" s="138"/>
      <c r="G393" s="138"/>
      <c r="H393" s="119"/>
    </row>
    <row r="394" ht="22.5" customHeight="1">
      <c r="A394" s="24"/>
      <c r="B394" s="71"/>
      <c r="C394" s="71"/>
      <c r="D394" s="71"/>
      <c r="E394" s="25"/>
      <c r="F394" s="138"/>
      <c r="G394" s="138"/>
      <c r="H394" s="119"/>
    </row>
    <row r="395" ht="22.5" customHeight="1">
      <c r="A395" s="24"/>
      <c r="B395" s="71"/>
      <c r="C395" s="71"/>
      <c r="D395" s="71"/>
      <c r="E395" s="25"/>
      <c r="F395" s="138"/>
      <c r="G395" s="138"/>
      <c r="H395" s="119"/>
    </row>
    <row r="396" ht="22.5" customHeight="1">
      <c r="A396" s="24"/>
      <c r="B396" s="71"/>
      <c r="C396" s="71"/>
      <c r="D396" s="71"/>
      <c r="E396" s="25"/>
      <c r="F396" s="138"/>
      <c r="G396" s="138"/>
      <c r="H396" s="119"/>
    </row>
    <row r="397" ht="22.5" customHeight="1">
      <c r="A397" s="24"/>
      <c r="B397" s="71"/>
      <c r="C397" s="71"/>
      <c r="D397" s="71"/>
      <c r="E397" s="25"/>
      <c r="F397" s="138"/>
      <c r="G397" s="138"/>
      <c r="H397" s="119"/>
    </row>
    <row r="398" ht="22.5" customHeight="1">
      <c r="A398" s="24"/>
      <c r="B398" s="71"/>
      <c r="C398" s="71"/>
      <c r="D398" s="71"/>
      <c r="E398" s="25"/>
      <c r="F398" s="138"/>
      <c r="G398" s="138"/>
      <c r="H398" s="119"/>
    </row>
    <row r="399" ht="22.5" customHeight="1">
      <c r="A399" s="24"/>
      <c r="B399" s="71"/>
      <c r="C399" s="71"/>
      <c r="D399" s="71"/>
      <c r="E399" s="25"/>
      <c r="F399" s="138"/>
      <c r="G399" s="138"/>
      <c r="H399" s="119"/>
    </row>
    <row r="400" ht="22.5" customHeight="1">
      <c r="A400" s="24"/>
      <c r="B400" s="71"/>
      <c r="C400" s="71"/>
      <c r="D400" s="71"/>
      <c r="E400" s="25"/>
      <c r="F400" s="138"/>
      <c r="G400" s="138"/>
      <c r="H400" s="119"/>
    </row>
    <row r="401" ht="22.5" customHeight="1">
      <c r="A401" s="24"/>
      <c r="B401" s="71"/>
      <c r="C401" s="71"/>
      <c r="D401" s="71"/>
      <c r="E401" s="25"/>
      <c r="F401" s="138"/>
      <c r="G401" s="138"/>
      <c r="H401" s="119"/>
    </row>
    <row r="402" ht="22.5" customHeight="1">
      <c r="A402" s="24"/>
      <c r="B402" s="71"/>
      <c r="C402" s="71"/>
      <c r="D402" s="71"/>
      <c r="E402" s="25"/>
      <c r="F402" s="138"/>
      <c r="G402" s="138"/>
      <c r="H402" s="119"/>
    </row>
    <row r="403" ht="22.5" customHeight="1">
      <c r="A403" s="24"/>
      <c r="B403" s="71"/>
      <c r="C403" s="71"/>
      <c r="D403" s="71"/>
      <c r="E403" s="25"/>
      <c r="F403" s="138"/>
      <c r="G403" s="138"/>
      <c r="H403" s="119"/>
    </row>
    <row r="404" ht="22.5" customHeight="1">
      <c r="A404" s="24"/>
      <c r="B404" s="71"/>
      <c r="C404" s="71"/>
      <c r="D404" s="71"/>
      <c r="E404" s="25"/>
      <c r="F404" s="138"/>
      <c r="G404" s="138"/>
      <c r="H404" s="119"/>
    </row>
    <row r="405" ht="22.5" customHeight="1">
      <c r="A405" s="24"/>
      <c r="B405" s="71"/>
      <c r="C405" s="71"/>
      <c r="D405" s="71"/>
      <c r="E405" s="25"/>
      <c r="F405" s="138"/>
      <c r="G405" s="138"/>
      <c r="H405" s="119"/>
    </row>
    <row r="406" ht="22.5" customHeight="1">
      <c r="A406" s="24"/>
      <c r="B406" s="71"/>
      <c r="C406" s="71"/>
      <c r="D406" s="71"/>
      <c r="E406" s="25"/>
      <c r="F406" s="138"/>
      <c r="G406" s="138"/>
      <c r="H406" s="119"/>
    </row>
    <row r="407" ht="22.5" customHeight="1">
      <c r="A407" s="24"/>
      <c r="B407" s="71"/>
      <c r="C407" s="71"/>
      <c r="D407" s="71"/>
      <c r="E407" s="25"/>
      <c r="F407" s="138"/>
      <c r="G407" s="138"/>
      <c r="H407" s="119"/>
    </row>
    <row r="408" ht="22.5" customHeight="1">
      <c r="A408" s="24"/>
      <c r="B408" s="71"/>
      <c r="C408" s="71"/>
      <c r="D408" s="71"/>
      <c r="E408" s="25"/>
      <c r="F408" s="138"/>
      <c r="G408" s="138"/>
      <c r="H408" s="119"/>
    </row>
    <row r="409" ht="22.5" customHeight="1">
      <c r="A409" s="24"/>
      <c r="B409" s="71"/>
      <c r="C409" s="71"/>
      <c r="D409" s="71"/>
      <c r="E409" s="25"/>
      <c r="F409" s="138"/>
      <c r="G409" s="138"/>
      <c r="H409" s="119"/>
    </row>
    <row r="410" ht="22.5" customHeight="1">
      <c r="A410" s="24"/>
      <c r="B410" s="71"/>
      <c r="C410" s="71"/>
      <c r="D410" s="71"/>
      <c r="E410" s="25"/>
      <c r="F410" s="138"/>
      <c r="G410" s="138"/>
      <c r="H410" s="119"/>
    </row>
    <row r="411" ht="22.5" customHeight="1">
      <c r="A411" s="24"/>
      <c r="B411" s="71"/>
      <c r="C411" s="71"/>
      <c r="D411" s="71"/>
      <c r="E411" s="25"/>
      <c r="F411" s="138"/>
      <c r="G411" s="138"/>
      <c r="H411" s="119"/>
    </row>
    <row r="412" ht="22.5" customHeight="1">
      <c r="A412" s="24"/>
      <c r="B412" s="71"/>
      <c r="C412" s="71"/>
      <c r="D412" s="71"/>
      <c r="E412" s="25"/>
      <c r="F412" s="138"/>
      <c r="G412" s="138"/>
      <c r="H412" s="119"/>
    </row>
    <row r="413" ht="22.5" customHeight="1">
      <c r="A413" s="24"/>
      <c r="B413" s="71"/>
      <c r="C413" s="71"/>
      <c r="D413" s="71"/>
      <c r="E413" s="25"/>
      <c r="F413" s="138"/>
      <c r="G413" s="138"/>
      <c r="H413" s="119"/>
    </row>
    <row r="414" ht="22.5" customHeight="1">
      <c r="A414" s="24"/>
      <c r="B414" s="71"/>
      <c r="C414" s="71"/>
      <c r="D414" s="71"/>
      <c r="E414" s="25"/>
      <c r="F414" s="138"/>
      <c r="G414" s="138"/>
      <c r="H414" s="119"/>
    </row>
    <row r="415" ht="22.5" customHeight="1">
      <c r="A415" s="24"/>
      <c r="B415" s="71"/>
      <c r="C415" s="71"/>
      <c r="D415" s="71"/>
      <c r="E415" s="25"/>
      <c r="F415" s="138"/>
      <c r="G415" s="138"/>
      <c r="H415" s="119"/>
    </row>
    <row r="416" ht="22.5" customHeight="1">
      <c r="A416" s="24"/>
      <c r="B416" s="71"/>
      <c r="C416" s="71"/>
      <c r="D416" s="71"/>
      <c r="E416" s="25"/>
      <c r="F416" s="138"/>
      <c r="G416" s="138"/>
      <c r="H416" s="119"/>
    </row>
    <row r="417" ht="22.5" customHeight="1">
      <c r="A417" s="24"/>
      <c r="B417" s="71"/>
      <c r="C417" s="71"/>
      <c r="D417" s="71"/>
      <c r="E417" s="25"/>
      <c r="F417" s="138"/>
      <c r="G417" s="138"/>
      <c r="H417" s="119"/>
    </row>
    <row r="418" ht="22.5" customHeight="1">
      <c r="A418" s="24"/>
      <c r="B418" s="71"/>
      <c r="C418" s="71"/>
      <c r="D418" s="71"/>
      <c r="E418" s="25"/>
      <c r="F418" s="138"/>
      <c r="G418" s="138"/>
      <c r="H418" s="119"/>
    </row>
    <row r="419" ht="22.5" customHeight="1">
      <c r="A419" s="24"/>
      <c r="B419" s="71"/>
      <c r="C419" s="71"/>
      <c r="D419" s="71"/>
      <c r="E419" s="25"/>
      <c r="F419" s="138"/>
      <c r="G419" s="138"/>
      <c r="H419" s="119"/>
    </row>
    <row r="420" ht="22.5" customHeight="1">
      <c r="A420" s="24"/>
      <c r="B420" s="71"/>
      <c r="C420" s="71"/>
      <c r="D420" s="71"/>
      <c r="E420" s="25"/>
      <c r="F420" s="138"/>
      <c r="G420" s="138"/>
      <c r="H420" s="119"/>
    </row>
    <row r="421" ht="22.5" customHeight="1">
      <c r="A421" s="24"/>
      <c r="B421" s="71"/>
      <c r="C421" s="71"/>
      <c r="D421" s="71"/>
      <c r="E421" s="25"/>
      <c r="F421" s="138"/>
      <c r="G421" s="138"/>
      <c r="H421" s="119"/>
    </row>
    <row r="422" ht="22.5" customHeight="1">
      <c r="A422" s="24"/>
      <c r="B422" s="71"/>
      <c r="C422" s="71"/>
      <c r="D422" s="71"/>
      <c r="E422" s="25"/>
      <c r="F422" s="138"/>
      <c r="G422" s="138"/>
      <c r="H422" s="119"/>
    </row>
    <row r="423" ht="22.5" customHeight="1">
      <c r="A423" s="24"/>
      <c r="B423" s="71"/>
      <c r="C423" s="71"/>
      <c r="D423" s="71"/>
      <c r="E423" s="25"/>
      <c r="F423" s="138"/>
      <c r="G423" s="138"/>
      <c r="H423" s="119"/>
    </row>
    <row r="424" ht="22.5" customHeight="1">
      <c r="A424" s="24"/>
      <c r="B424" s="71"/>
      <c r="C424" s="71"/>
      <c r="D424" s="71"/>
      <c r="E424" s="25"/>
      <c r="F424" s="138"/>
      <c r="G424" s="138"/>
      <c r="H424" s="119"/>
    </row>
    <row r="425" ht="22.5" customHeight="1">
      <c r="A425" s="24"/>
      <c r="B425" s="71"/>
      <c r="C425" s="71"/>
      <c r="D425" s="71"/>
      <c r="E425" s="25"/>
      <c r="F425" s="138"/>
      <c r="G425" s="138"/>
      <c r="H425" s="119"/>
    </row>
    <row r="426" ht="22.5" customHeight="1">
      <c r="A426" s="24"/>
      <c r="B426" s="71"/>
      <c r="C426" s="71"/>
      <c r="D426" s="71"/>
      <c r="E426" s="25"/>
      <c r="F426" s="138"/>
      <c r="G426" s="138"/>
      <c r="H426" s="119"/>
    </row>
    <row r="427" ht="22.5" customHeight="1">
      <c r="A427" s="24"/>
      <c r="B427" s="71"/>
      <c r="C427" s="71"/>
      <c r="D427" s="71"/>
      <c r="E427" s="25"/>
      <c r="F427" s="138"/>
      <c r="G427" s="138"/>
      <c r="H427" s="119"/>
    </row>
    <row r="428" ht="22.5" customHeight="1">
      <c r="A428" s="24"/>
      <c r="B428" s="71"/>
      <c r="C428" s="71"/>
      <c r="D428" s="71"/>
      <c r="E428" s="25"/>
      <c r="F428" s="138"/>
      <c r="G428" s="138"/>
      <c r="H428" s="119"/>
    </row>
    <row r="429" ht="22.5" customHeight="1">
      <c r="A429" s="24"/>
      <c r="B429" s="71"/>
      <c r="C429" s="71"/>
      <c r="D429" s="71"/>
      <c r="E429" s="25"/>
      <c r="F429" s="138"/>
      <c r="G429" s="138"/>
      <c r="H429" s="119"/>
    </row>
    <row r="430" ht="22.5" customHeight="1">
      <c r="A430" s="24"/>
      <c r="B430" s="71"/>
      <c r="C430" s="71"/>
      <c r="D430" s="71"/>
      <c r="E430" s="25"/>
      <c r="F430" s="138"/>
      <c r="G430" s="138"/>
      <c r="H430" s="119"/>
    </row>
    <row r="431" ht="22.5" customHeight="1">
      <c r="A431" s="24"/>
      <c r="B431" s="71"/>
      <c r="C431" s="71"/>
      <c r="D431" s="71"/>
      <c r="E431" s="25"/>
      <c r="F431" s="138"/>
      <c r="G431" s="138"/>
      <c r="H431" s="119"/>
    </row>
    <row r="432" ht="22.5" customHeight="1">
      <c r="A432" s="24"/>
      <c r="B432" s="71"/>
      <c r="C432" s="71"/>
      <c r="D432" s="71"/>
      <c r="E432" s="25"/>
      <c r="F432" s="138"/>
      <c r="G432" s="138"/>
      <c r="H432" s="119"/>
    </row>
    <row r="433" ht="22.5" customHeight="1">
      <c r="A433" s="24"/>
      <c r="B433" s="71"/>
      <c r="C433" s="71"/>
      <c r="D433" s="71"/>
      <c r="E433" s="25"/>
      <c r="F433" s="138"/>
      <c r="G433" s="138"/>
      <c r="H433" s="119"/>
    </row>
    <row r="434" ht="22.5" customHeight="1">
      <c r="A434" s="24"/>
      <c r="B434" s="71"/>
      <c r="C434" s="71"/>
      <c r="D434" s="71"/>
      <c r="E434" s="25"/>
      <c r="F434" s="138"/>
      <c r="G434" s="138"/>
      <c r="H434" s="119"/>
    </row>
    <row r="435" ht="22.5" customHeight="1">
      <c r="A435" s="24"/>
      <c r="B435" s="71"/>
      <c r="C435" s="71"/>
      <c r="D435" s="71"/>
      <c r="E435" s="25"/>
      <c r="F435" s="138"/>
      <c r="G435" s="138"/>
      <c r="H435" s="119"/>
    </row>
    <row r="436" ht="22.5" customHeight="1">
      <c r="A436" s="24"/>
      <c r="B436" s="71"/>
      <c r="C436" s="71"/>
      <c r="D436" s="71"/>
      <c r="E436" s="25"/>
      <c r="F436" s="138"/>
      <c r="G436" s="138"/>
      <c r="H436" s="119"/>
    </row>
    <row r="437" ht="22.5" customHeight="1">
      <c r="A437" s="24"/>
      <c r="B437" s="71"/>
      <c r="C437" s="71"/>
      <c r="D437" s="71"/>
      <c r="E437" s="25"/>
      <c r="F437" s="138"/>
      <c r="G437" s="138"/>
      <c r="H437" s="119"/>
    </row>
    <row r="438" ht="22.5" customHeight="1">
      <c r="A438" s="24"/>
      <c r="B438" s="71"/>
      <c r="C438" s="71"/>
      <c r="D438" s="71"/>
      <c r="E438" s="25"/>
      <c r="F438" s="138"/>
      <c r="G438" s="138"/>
      <c r="H438" s="119"/>
    </row>
    <row r="439" ht="22.5" customHeight="1">
      <c r="A439" s="24"/>
      <c r="B439" s="71"/>
      <c r="C439" s="71"/>
      <c r="D439" s="71"/>
      <c r="E439" s="25"/>
      <c r="F439" s="138"/>
      <c r="G439" s="138"/>
      <c r="H439" s="119"/>
    </row>
    <row r="440" ht="22.5" customHeight="1">
      <c r="A440" s="24"/>
      <c r="B440" s="71"/>
      <c r="C440" s="71"/>
      <c r="D440" s="71"/>
      <c r="E440" s="25"/>
      <c r="F440" s="138"/>
      <c r="G440" s="138"/>
      <c r="H440" s="119"/>
    </row>
    <row r="441" ht="22.5" customHeight="1">
      <c r="A441" s="24"/>
      <c r="B441" s="71"/>
      <c r="C441" s="71"/>
      <c r="D441" s="71"/>
      <c r="E441" s="25"/>
      <c r="F441" s="138"/>
      <c r="G441" s="138"/>
      <c r="H441" s="119"/>
    </row>
    <row r="442" ht="22.5" customHeight="1">
      <c r="A442" s="24"/>
      <c r="B442" s="71"/>
      <c r="C442" s="71"/>
      <c r="D442" s="71"/>
      <c r="E442" s="25"/>
      <c r="F442" s="138"/>
      <c r="G442" s="138"/>
      <c r="H442" s="119"/>
    </row>
    <row r="443" ht="22.5" customHeight="1">
      <c r="A443" s="24"/>
      <c r="B443" s="71"/>
      <c r="C443" s="71"/>
      <c r="D443" s="71"/>
      <c r="E443" s="25"/>
      <c r="F443" s="138"/>
      <c r="G443" s="138"/>
      <c r="H443" s="119"/>
    </row>
    <row r="444" ht="22.5" customHeight="1">
      <c r="A444" s="24"/>
      <c r="B444" s="71"/>
      <c r="C444" s="71"/>
      <c r="D444" s="71"/>
      <c r="E444" s="25"/>
      <c r="F444" s="138"/>
      <c r="G444" s="138"/>
      <c r="H444" s="119"/>
    </row>
    <row r="445" ht="22.5" customHeight="1">
      <c r="A445" s="24"/>
      <c r="B445" s="71"/>
      <c r="C445" s="71"/>
      <c r="D445" s="71"/>
      <c r="E445" s="25"/>
      <c r="F445" s="138"/>
      <c r="G445" s="138"/>
      <c r="H445" s="119"/>
    </row>
    <row r="446" ht="22.5" customHeight="1">
      <c r="A446" s="24"/>
      <c r="B446" s="71"/>
      <c r="C446" s="71"/>
      <c r="D446" s="71"/>
      <c r="E446" s="25"/>
      <c r="F446" s="138"/>
      <c r="G446" s="138"/>
      <c r="H446" s="119"/>
    </row>
    <row r="447" ht="22.5" customHeight="1">
      <c r="A447" s="24"/>
      <c r="B447" s="71"/>
      <c r="C447" s="71"/>
      <c r="D447" s="71"/>
      <c r="E447" s="25"/>
      <c r="F447" s="138"/>
      <c r="G447" s="138"/>
      <c r="H447" s="119"/>
    </row>
    <row r="448" ht="22.5" customHeight="1">
      <c r="A448" s="24"/>
      <c r="B448" s="71"/>
      <c r="C448" s="71"/>
      <c r="D448" s="71"/>
      <c r="E448" s="25"/>
      <c r="F448" s="138"/>
      <c r="G448" s="138"/>
      <c r="H448" s="119"/>
    </row>
    <row r="449" ht="22.5" customHeight="1">
      <c r="A449" s="24"/>
      <c r="B449" s="71"/>
      <c r="C449" s="71"/>
      <c r="D449" s="71"/>
      <c r="E449" s="25"/>
      <c r="F449" s="138"/>
      <c r="G449" s="138"/>
      <c r="H449" s="119"/>
    </row>
    <row r="450" ht="22.5" customHeight="1">
      <c r="A450" s="24"/>
      <c r="B450" s="71"/>
      <c r="C450" s="71"/>
      <c r="D450" s="71"/>
      <c r="E450" s="25"/>
      <c r="F450" s="138"/>
      <c r="G450" s="138"/>
      <c r="H450" s="119"/>
    </row>
    <row r="451" ht="22.5" customHeight="1">
      <c r="A451" s="24"/>
      <c r="B451" s="71"/>
      <c r="C451" s="71"/>
      <c r="D451" s="71"/>
      <c r="E451" s="25"/>
      <c r="F451" s="138"/>
      <c r="G451" s="138"/>
      <c r="H451" s="119"/>
    </row>
    <row r="452" ht="22.5" customHeight="1">
      <c r="A452" s="24"/>
      <c r="B452" s="71"/>
      <c r="C452" s="71"/>
      <c r="D452" s="71"/>
      <c r="E452" s="25"/>
      <c r="F452" s="138"/>
      <c r="G452" s="138"/>
      <c r="H452" s="119"/>
    </row>
    <row r="453" ht="22.5" customHeight="1">
      <c r="A453" s="24"/>
      <c r="B453" s="71"/>
      <c r="C453" s="71"/>
      <c r="D453" s="71"/>
      <c r="E453" s="25"/>
      <c r="F453" s="138"/>
      <c r="G453" s="138"/>
      <c r="H453" s="119"/>
    </row>
    <row r="454" ht="22.5" customHeight="1">
      <c r="A454" s="24"/>
      <c r="B454" s="71"/>
      <c r="C454" s="71"/>
      <c r="D454" s="71"/>
      <c r="E454" s="25"/>
      <c r="F454" s="138"/>
      <c r="G454" s="138"/>
      <c r="H454" s="119"/>
    </row>
    <row r="455" ht="22.5" customHeight="1">
      <c r="A455" s="24"/>
      <c r="B455" s="71"/>
      <c r="C455" s="71"/>
      <c r="D455" s="71"/>
      <c r="E455" s="25"/>
      <c r="F455" s="138"/>
      <c r="G455" s="138"/>
      <c r="H455" s="119"/>
    </row>
    <row r="456" ht="22.5" customHeight="1">
      <c r="A456" s="24"/>
      <c r="B456" s="71"/>
      <c r="C456" s="71"/>
      <c r="D456" s="71"/>
      <c r="E456" s="25"/>
      <c r="F456" s="138"/>
      <c r="G456" s="138"/>
      <c r="H456" s="119"/>
    </row>
    <row r="457" ht="22.5" customHeight="1">
      <c r="A457" s="24"/>
      <c r="B457" s="71"/>
      <c r="C457" s="71"/>
      <c r="D457" s="71"/>
      <c r="E457" s="25"/>
      <c r="F457" s="138"/>
      <c r="G457" s="138"/>
      <c r="H457" s="119"/>
    </row>
    <row r="458" ht="22.5" customHeight="1">
      <c r="A458" s="24"/>
      <c r="B458" s="71"/>
      <c r="C458" s="71"/>
      <c r="D458" s="71"/>
      <c r="E458" s="25"/>
      <c r="F458" s="138"/>
      <c r="G458" s="138"/>
      <c r="H458" s="119"/>
    </row>
    <row r="459" ht="22.5" customHeight="1">
      <c r="A459" s="24"/>
      <c r="B459" s="71"/>
      <c r="C459" s="71"/>
      <c r="D459" s="71"/>
      <c r="E459" s="25"/>
      <c r="F459" s="138"/>
      <c r="G459" s="138"/>
      <c r="H459" s="119"/>
    </row>
    <row r="460" ht="22.5" customHeight="1">
      <c r="A460" s="24"/>
      <c r="B460" s="71"/>
      <c r="C460" s="71"/>
      <c r="D460" s="71"/>
      <c r="E460" s="25"/>
      <c r="F460" s="138"/>
      <c r="G460" s="138"/>
      <c r="H460" s="119"/>
    </row>
    <row r="461" ht="22.5" customHeight="1">
      <c r="A461" s="24"/>
      <c r="B461" s="71"/>
      <c r="C461" s="71"/>
      <c r="D461" s="71"/>
      <c r="E461" s="25"/>
      <c r="F461" s="138"/>
      <c r="G461" s="138"/>
      <c r="H461" s="119"/>
    </row>
    <row r="462" ht="22.5" customHeight="1">
      <c r="A462" s="24"/>
      <c r="B462" s="71"/>
      <c r="C462" s="71"/>
      <c r="D462" s="71"/>
      <c r="E462" s="25"/>
      <c r="F462" s="138"/>
      <c r="G462" s="138"/>
      <c r="H462" s="119"/>
    </row>
    <row r="463" ht="22.5" customHeight="1">
      <c r="A463" s="24"/>
      <c r="B463" s="71"/>
      <c r="C463" s="71"/>
      <c r="D463" s="71"/>
      <c r="E463" s="25"/>
      <c r="F463" s="138"/>
      <c r="G463" s="138"/>
      <c r="H463" s="119"/>
    </row>
    <row r="464" ht="22.5" customHeight="1">
      <c r="A464" s="24"/>
      <c r="B464" s="71"/>
      <c r="C464" s="71"/>
      <c r="D464" s="71"/>
      <c r="E464" s="25"/>
      <c r="F464" s="138"/>
      <c r="G464" s="138"/>
      <c r="H464" s="119"/>
    </row>
    <row r="465" ht="22.5" customHeight="1">
      <c r="A465" s="24"/>
      <c r="B465" s="71"/>
      <c r="C465" s="71"/>
      <c r="D465" s="71"/>
      <c r="E465" s="25"/>
      <c r="F465" s="138"/>
      <c r="G465" s="138"/>
      <c r="H465" s="119"/>
    </row>
    <row r="466" ht="22.5" customHeight="1">
      <c r="A466" s="24"/>
      <c r="B466" s="71"/>
      <c r="C466" s="71"/>
      <c r="D466" s="71"/>
      <c r="E466" s="25"/>
      <c r="F466" s="138"/>
      <c r="G466" s="138"/>
      <c r="H466" s="119"/>
    </row>
    <row r="467" ht="22.5" customHeight="1">
      <c r="A467" s="24"/>
      <c r="B467" s="71"/>
      <c r="C467" s="71"/>
      <c r="D467" s="71"/>
      <c r="E467" s="25"/>
      <c r="F467" s="138"/>
      <c r="G467" s="138"/>
      <c r="H467" s="119"/>
    </row>
    <row r="468" ht="22.5" customHeight="1">
      <c r="A468" s="24"/>
      <c r="B468" s="71"/>
      <c r="C468" s="71"/>
      <c r="D468" s="71"/>
      <c r="E468" s="25"/>
      <c r="F468" s="138"/>
      <c r="G468" s="138"/>
      <c r="H468" s="119"/>
    </row>
    <row r="469" ht="22.5" customHeight="1">
      <c r="A469" s="24"/>
      <c r="B469" s="71"/>
      <c r="C469" s="71"/>
      <c r="D469" s="71"/>
      <c r="E469" s="25"/>
      <c r="F469" s="138"/>
      <c r="G469" s="138"/>
      <c r="H469" s="119"/>
    </row>
    <row r="470" ht="22.5" customHeight="1">
      <c r="A470" s="24"/>
      <c r="B470" s="71"/>
      <c r="C470" s="71"/>
      <c r="D470" s="71"/>
      <c r="E470" s="25"/>
      <c r="F470" s="138"/>
      <c r="G470" s="138"/>
      <c r="H470" s="119"/>
    </row>
    <row r="471" ht="22.5" customHeight="1">
      <c r="A471" s="24"/>
      <c r="B471" s="71"/>
      <c r="C471" s="71"/>
      <c r="D471" s="71"/>
      <c r="E471" s="25"/>
      <c r="F471" s="138"/>
      <c r="G471" s="138"/>
      <c r="H471" s="119"/>
    </row>
    <row r="472" ht="22.5" customHeight="1">
      <c r="A472" s="24"/>
      <c r="B472" s="71"/>
      <c r="C472" s="71"/>
      <c r="D472" s="71"/>
      <c r="E472" s="25"/>
      <c r="F472" s="138"/>
      <c r="G472" s="138"/>
      <c r="H472" s="119"/>
    </row>
    <row r="473" ht="22.5" customHeight="1">
      <c r="A473" s="24"/>
      <c r="B473" s="71"/>
      <c r="C473" s="71"/>
      <c r="D473" s="71"/>
      <c r="E473" s="25"/>
      <c r="F473" s="138"/>
      <c r="G473" s="138"/>
      <c r="H473" s="119"/>
    </row>
    <row r="474" ht="22.5" customHeight="1">
      <c r="A474" s="24"/>
      <c r="B474" s="71"/>
      <c r="C474" s="71"/>
      <c r="D474" s="71"/>
      <c r="E474" s="25"/>
      <c r="F474" s="138"/>
      <c r="G474" s="138"/>
      <c r="H474" s="119"/>
    </row>
    <row r="475" ht="22.5" customHeight="1">
      <c r="A475" s="24"/>
      <c r="B475" s="71"/>
      <c r="C475" s="71"/>
      <c r="D475" s="71"/>
      <c r="E475" s="25"/>
      <c r="F475" s="138"/>
      <c r="G475" s="138"/>
      <c r="H475" s="119"/>
    </row>
    <row r="476" ht="22.5" customHeight="1">
      <c r="A476" s="24"/>
      <c r="B476" s="71"/>
      <c r="C476" s="71"/>
      <c r="D476" s="71"/>
      <c r="E476" s="25"/>
      <c r="F476" s="138"/>
      <c r="G476" s="138"/>
      <c r="H476" s="119"/>
    </row>
    <row r="477" ht="22.5" customHeight="1">
      <c r="A477" s="24"/>
      <c r="B477" s="71"/>
      <c r="C477" s="71"/>
      <c r="D477" s="71"/>
      <c r="E477" s="25"/>
      <c r="F477" s="138"/>
      <c r="G477" s="138"/>
      <c r="H477" s="119"/>
    </row>
    <row r="478" ht="22.5" customHeight="1">
      <c r="A478" s="24"/>
      <c r="B478" s="71"/>
      <c r="C478" s="71"/>
      <c r="D478" s="71"/>
      <c r="E478" s="25"/>
      <c r="F478" s="138"/>
      <c r="G478" s="138"/>
      <c r="H478" s="119"/>
    </row>
    <row r="479" ht="22.5" customHeight="1">
      <c r="A479" s="24"/>
      <c r="B479" s="71"/>
      <c r="C479" s="71"/>
      <c r="D479" s="71"/>
      <c r="E479" s="25"/>
      <c r="F479" s="138"/>
      <c r="G479" s="138"/>
      <c r="H479" s="119"/>
    </row>
    <row r="480" ht="22.5" customHeight="1">
      <c r="A480" s="24"/>
      <c r="B480" s="71"/>
      <c r="C480" s="71"/>
      <c r="D480" s="71"/>
      <c r="E480" s="25"/>
      <c r="F480" s="138"/>
      <c r="G480" s="138"/>
      <c r="H480" s="119"/>
    </row>
    <row r="481" ht="22.5" customHeight="1">
      <c r="A481" s="24"/>
      <c r="B481" s="71"/>
      <c r="C481" s="71"/>
      <c r="D481" s="71"/>
      <c r="E481" s="25"/>
      <c r="F481" s="138"/>
      <c r="G481" s="138"/>
      <c r="H481" s="119"/>
    </row>
    <row r="482" ht="22.5" customHeight="1">
      <c r="A482" s="24"/>
      <c r="B482" s="71"/>
      <c r="C482" s="71"/>
      <c r="D482" s="71"/>
      <c r="E482" s="25"/>
      <c r="F482" s="138"/>
      <c r="G482" s="138"/>
      <c r="H482" s="119"/>
    </row>
    <row r="483" ht="22.5" customHeight="1">
      <c r="A483" s="24"/>
      <c r="B483" s="71"/>
      <c r="C483" s="71"/>
      <c r="D483" s="71"/>
      <c r="E483" s="25"/>
      <c r="F483" s="138"/>
      <c r="G483" s="138"/>
      <c r="H483" s="119"/>
    </row>
    <row r="484" ht="22.5" customHeight="1">
      <c r="A484" s="24"/>
      <c r="B484" s="71"/>
      <c r="C484" s="71"/>
      <c r="D484" s="71"/>
      <c r="E484" s="25"/>
      <c r="F484" s="138"/>
      <c r="G484" s="138"/>
      <c r="H484" s="119"/>
    </row>
    <row r="485" ht="22.5" customHeight="1">
      <c r="A485" s="24"/>
      <c r="B485" s="71"/>
      <c r="C485" s="71"/>
      <c r="D485" s="71"/>
      <c r="E485" s="25"/>
      <c r="F485" s="138"/>
      <c r="G485" s="138"/>
      <c r="H485" s="119"/>
    </row>
    <row r="486" ht="22.5" customHeight="1">
      <c r="A486" s="24"/>
      <c r="B486" s="71"/>
      <c r="C486" s="71"/>
      <c r="D486" s="71"/>
      <c r="E486" s="25"/>
      <c r="F486" s="138"/>
      <c r="G486" s="138"/>
      <c r="H486" s="119"/>
    </row>
    <row r="487" ht="22.5" customHeight="1">
      <c r="A487" s="24"/>
      <c r="B487" s="71"/>
      <c r="C487" s="71"/>
      <c r="D487" s="71"/>
      <c r="E487" s="25"/>
      <c r="F487" s="138"/>
      <c r="G487" s="138"/>
      <c r="H487" s="119"/>
    </row>
    <row r="488" ht="22.5" customHeight="1">
      <c r="A488" s="24"/>
      <c r="B488" s="71"/>
      <c r="C488" s="71"/>
      <c r="D488" s="71"/>
      <c r="E488" s="25"/>
      <c r="F488" s="138"/>
      <c r="G488" s="138"/>
      <c r="H488" s="119"/>
    </row>
    <row r="489" ht="22.5" customHeight="1">
      <c r="A489" s="24"/>
      <c r="B489" s="71"/>
      <c r="C489" s="71"/>
      <c r="D489" s="71"/>
      <c r="E489" s="25"/>
      <c r="F489" s="138"/>
      <c r="G489" s="138"/>
      <c r="H489" s="119"/>
    </row>
    <row r="490" ht="22.5" customHeight="1">
      <c r="A490" s="24"/>
      <c r="B490" s="71"/>
      <c r="C490" s="71"/>
      <c r="D490" s="71"/>
      <c r="E490" s="25"/>
      <c r="F490" s="138"/>
      <c r="G490" s="138"/>
      <c r="H490" s="119"/>
    </row>
    <row r="491" ht="22.5" customHeight="1">
      <c r="A491" s="24"/>
      <c r="B491" s="71"/>
      <c r="C491" s="71"/>
      <c r="D491" s="71"/>
      <c r="E491" s="25"/>
      <c r="F491" s="138"/>
      <c r="G491" s="138"/>
      <c r="H491" s="119"/>
    </row>
    <row r="492" ht="22.5" customHeight="1">
      <c r="A492" s="24"/>
      <c r="B492" s="71"/>
      <c r="C492" s="71"/>
      <c r="D492" s="71"/>
      <c r="E492" s="25"/>
      <c r="F492" s="138"/>
      <c r="G492" s="138"/>
      <c r="H492" s="119"/>
    </row>
    <row r="493" ht="22.5" customHeight="1">
      <c r="A493" s="24"/>
      <c r="B493" s="71"/>
      <c r="C493" s="71"/>
      <c r="D493" s="71"/>
      <c r="E493" s="25"/>
      <c r="F493" s="138"/>
      <c r="G493" s="138"/>
      <c r="H493" s="119"/>
    </row>
    <row r="494" ht="22.5" customHeight="1">
      <c r="A494" s="24"/>
      <c r="B494" s="71"/>
      <c r="C494" s="71"/>
      <c r="D494" s="71"/>
      <c r="E494" s="25"/>
      <c r="F494" s="138"/>
      <c r="G494" s="138"/>
      <c r="H494" s="119"/>
    </row>
    <row r="495" ht="22.5" customHeight="1">
      <c r="A495" s="24"/>
      <c r="B495" s="71"/>
      <c r="C495" s="71"/>
      <c r="D495" s="71"/>
      <c r="E495" s="25"/>
      <c r="F495" s="138"/>
      <c r="G495" s="138"/>
      <c r="H495" s="119"/>
    </row>
    <row r="496" ht="22.5" customHeight="1">
      <c r="A496" s="24"/>
      <c r="B496" s="71"/>
      <c r="C496" s="71"/>
      <c r="D496" s="71"/>
      <c r="E496" s="25"/>
      <c r="F496" s="138"/>
      <c r="G496" s="138"/>
      <c r="H496" s="119"/>
    </row>
    <row r="497" ht="22.5" customHeight="1">
      <c r="A497" s="24"/>
      <c r="B497" s="71"/>
      <c r="C497" s="71"/>
      <c r="D497" s="71"/>
      <c r="E497" s="25"/>
      <c r="F497" s="138"/>
      <c r="G497" s="138"/>
      <c r="H497" s="119"/>
    </row>
    <row r="498" ht="22.5" customHeight="1">
      <c r="A498" s="24"/>
      <c r="B498" s="71"/>
      <c r="C498" s="71"/>
      <c r="D498" s="71"/>
      <c r="E498" s="25"/>
      <c r="F498" s="138"/>
      <c r="G498" s="138"/>
      <c r="H498" s="119"/>
    </row>
    <row r="499" ht="22.5" customHeight="1">
      <c r="A499" s="24"/>
      <c r="B499" s="71"/>
      <c r="C499" s="71"/>
      <c r="D499" s="71"/>
      <c r="E499" s="25"/>
      <c r="F499" s="138"/>
      <c r="G499" s="138"/>
      <c r="H499" s="119"/>
    </row>
    <row r="500" ht="22.5" customHeight="1">
      <c r="A500" s="24"/>
      <c r="B500" s="71"/>
      <c r="C500" s="71"/>
      <c r="D500" s="71"/>
      <c r="E500" s="25"/>
      <c r="F500" s="138"/>
      <c r="G500" s="138"/>
      <c r="H500" s="119"/>
    </row>
    <row r="501" ht="22.5" customHeight="1">
      <c r="A501" s="24"/>
      <c r="B501" s="71"/>
      <c r="C501" s="71"/>
      <c r="D501" s="71"/>
      <c r="E501" s="25"/>
      <c r="F501" s="138"/>
      <c r="G501" s="138"/>
      <c r="H501" s="119"/>
    </row>
    <row r="502" ht="22.5" customHeight="1">
      <c r="A502" s="24"/>
      <c r="B502" s="71"/>
      <c r="C502" s="71"/>
      <c r="D502" s="71"/>
      <c r="E502" s="25"/>
      <c r="F502" s="138"/>
      <c r="G502" s="138"/>
      <c r="H502" s="119"/>
    </row>
    <row r="503" ht="22.5" customHeight="1">
      <c r="A503" s="24"/>
      <c r="B503" s="71"/>
      <c r="C503" s="71"/>
      <c r="D503" s="71"/>
      <c r="E503" s="25"/>
      <c r="F503" s="138"/>
      <c r="G503" s="138"/>
      <c r="H503" s="119"/>
    </row>
    <row r="504" ht="22.5" customHeight="1">
      <c r="A504" s="24"/>
      <c r="B504" s="71"/>
      <c r="C504" s="71"/>
      <c r="D504" s="71"/>
      <c r="E504" s="25"/>
      <c r="F504" s="138"/>
      <c r="G504" s="138"/>
      <c r="H504" s="119"/>
    </row>
    <row r="505" ht="22.5" customHeight="1">
      <c r="A505" s="24"/>
      <c r="B505" s="71"/>
      <c r="C505" s="71"/>
      <c r="D505" s="71"/>
      <c r="E505" s="25"/>
      <c r="F505" s="138"/>
      <c r="G505" s="138"/>
      <c r="H505" s="119"/>
    </row>
    <row r="506" ht="22.5" customHeight="1">
      <c r="A506" s="24"/>
      <c r="B506" s="71"/>
      <c r="C506" s="71"/>
      <c r="D506" s="71"/>
      <c r="E506" s="25"/>
      <c r="F506" s="138"/>
      <c r="G506" s="138"/>
      <c r="H506" s="119"/>
    </row>
    <row r="507" ht="22.5" customHeight="1">
      <c r="A507" s="24"/>
      <c r="B507" s="71"/>
      <c r="C507" s="71"/>
      <c r="D507" s="71"/>
      <c r="E507" s="25"/>
      <c r="F507" s="138"/>
      <c r="G507" s="138"/>
      <c r="H507" s="119"/>
    </row>
    <row r="508" ht="22.5" customHeight="1">
      <c r="A508" s="24"/>
      <c r="B508" s="71"/>
      <c r="C508" s="71"/>
      <c r="D508" s="71"/>
      <c r="E508" s="25"/>
      <c r="F508" s="138"/>
      <c r="G508" s="138"/>
      <c r="H508" s="119"/>
    </row>
    <row r="509" ht="22.5" customHeight="1">
      <c r="A509" s="24"/>
      <c r="B509" s="71"/>
      <c r="C509" s="71"/>
      <c r="D509" s="71"/>
      <c r="E509" s="25"/>
      <c r="F509" s="138"/>
      <c r="G509" s="138"/>
      <c r="H509" s="119"/>
    </row>
    <row r="510" ht="22.5" customHeight="1">
      <c r="A510" s="24"/>
      <c r="B510" s="71"/>
      <c r="C510" s="71"/>
      <c r="D510" s="71"/>
      <c r="E510" s="25"/>
      <c r="F510" s="138"/>
      <c r="G510" s="138"/>
      <c r="H510" s="119"/>
    </row>
    <row r="511" ht="22.5" customHeight="1">
      <c r="A511" s="24"/>
      <c r="B511" s="71"/>
      <c r="C511" s="71"/>
      <c r="D511" s="71"/>
      <c r="E511" s="25"/>
      <c r="F511" s="138"/>
      <c r="G511" s="138"/>
      <c r="H511" s="119"/>
    </row>
    <row r="512" ht="22.5" customHeight="1">
      <c r="A512" s="24"/>
      <c r="B512" s="71"/>
      <c r="C512" s="71"/>
      <c r="D512" s="71"/>
      <c r="E512" s="25"/>
      <c r="F512" s="138"/>
      <c r="G512" s="138"/>
      <c r="H512" s="119"/>
    </row>
    <row r="513" ht="22.5" customHeight="1">
      <c r="A513" s="24"/>
      <c r="B513" s="71"/>
      <c r="C513" s="71"/>
      <c r="D513" s="71"/>
      <c r="E513" s="25"/>
      <c r="F513" s="138"/>
      <c r="G513" s="138"/>
      <c r="H513" s="119"/>
    </row>
    <row r="514" ht="22.5" customHeight="1">
      <c r="A514" s="24"/>
      <c r="B514" s="71"/>
      <c r="C514" s="71"/>
      <c r="D514" s="71"/>
      <c r="E514" s="25"/>
      <c r="F514" s="138"/>
      <c r="G514" s="138"/>
      <c r="H514" s="119"/>
    </row>
    <row r="515" ht="22.5" customHeight="1">
      <c r="A515" s="24"/>
      <c r="B515" s="71"/>
      <c r="C515" s="71"/>
      <c r="D515" s="71"/>
      <c r="E515" s="25"/>
      <c r="F515" s="138"/>
      <c r="G515" s="138"/>
      <c r="H515" s="119"/>
    </row>
    <row r="516" ht="22.5" customHeight="1">
      <c r="A516" s="24"/>
      <c r="B516" s="71"/>
      <c r="C516" s="71"/>
      <c r="D516" s="71"/>
      <c r="E516" s="25"/>
      <c r="F516" s="138"/>
      <c r="G516" s="138"/>
      <c r="H516" s="119"/>
    </row>
    <row r="517" ht="22.5" customHeight="1">
      <c r="A517" s="24"/>
      <c r="B517" s="71"/>
      <c r="C517" s="71"/>
      <c r="D517" s="71"/>
      <c r="E517" s="25"/>
      <c r="F517" s="138"/>
      <c r="G517" s="138"/>
      <c r="H517" s="119"/>
    </row>
    <row r="518" ht="22.5" customHeight="1">
      <c r="A518" s="24"/>
      <c r="B518" s="71"/>
      <c r="C518" s="71"/>
      <c r="D518" s="71"/>
      <c r="E518" s="25"/>
      <c r="F518" s="138"/>
      <c r="G518" s="138"/>
      <c r="H518" s="119"/>
    </row>
    <row r="519" ht="22.5" customHeight="1">
      <c r="A519" s="24"/>
      <c r="B519" s="71"/>
      <c r="C519" s="71"/>
      <c r="D519" s="71"/>
      <c r="E519" s="25"/>
      <c r="F519" s="138"/>
      <c r="G519" s="138"/>
      <c r="H519" s="119"/>
    </row>
    <row r="520" ht="22.5" customHeight="1">
      <c r="A520" s="24"/>
      <c r="B520" s="71"/>
      <c r="C520" s="71"/>
      <c r="D520" s="71"/>
      <c r="E520" s="25"/>
      <c r="F520" s="138"/>
      <c r="G520" s="138"/>
      <c r="H520" s="119"/>
    </row>
    <row r="521" ht="22.5" customHeight="1">
      <c r="A521" s="24"/>
      <c r="B521" s="71"/>
      <c r="C521" s="71"/>
      <c r="D521" s="71"/>
      <c r="E521" s="25"/>
      <c r="F521" s="138"/>
      <c r="G521" s="138"/>
      <c r="H521" s="119"/>
    </row>
    <row r="522" ht="22.5" customHeight="1">
      <c r="A522" s="24"/>
      <c r="B522" s="71"/>
      <c r="C522" s="71"/>
      <c r="D522" s="71"/>
      <c r="E522" s="25"/>
      <c r="F522" s="138"/>
      <c r="G522" s="138"/>
      <c r="H522" s="119"/>
    </row>
    <row r="523" ht="22.5" customHeight="1">
      <c r="A523" s="24"/>
      <c r="B523" s="71"/>
      <c r="C523" s="71"/>
      <c r="D523" s="71"/>
      <c r="E523" s="25"/>
      <c r="F523" s="138"/>
      <c r="G523" s="138"/>
      <c r="H523" s="119"/>
    </row>
    <row r="524" ht="22.5" customHeight="1">
      <c r="A524" s="24"/>
      <c r="B524" s="71"/>
      <c r="C524" s="71"/>
      <c r="D524" s="71"/>
      <c r="E524" s="25"/>
      <c r="F524" s="138"/>
      <c r="G524" s="138"/>
      <c r="H524" s="119"/>
    </row>
    <row r="525" ht="22.5" customHeight="1">
      <c r="A525" s="24"/>
      <c r="B525" s="71"/>
      <c r="C525" s="71"/>
      <c r="D525" s="71"/>
      <c r="E525" s="25"/>
      <c r="F525" s="138"/>
      <c r="G525" s="138"/>
      <c r="H525" s="119"/>
    </row>
    <row r="526" ht="22.5" customHeight="1">
      <c r="A526" s="24"/>
      <c r="B526" s="71"/>
      <c r="C526" s="71"/>
      <c r="D526" s="71"/>
      <c r="E526" s="25"/>
      <c r="F526" s="138"/>
      <c r="G526" s="138"/>
      <c r="H526" s="119"/>
    </row>
    <row r="527" ht="22.5" customHeight="1">
      <c r="A527" s="24"/>
      <c r="B527" s="71"/>
      <c r="C527" s="71"/>
      <c r="D527" s="71"/>
      <c r="E527" s="25"/>
      <c r="F527" s="138"/>
      <c r="G527" s="138"/>
      <c r="H527" s="119"/>
    </row>
    <row r="528" ht="22.5" customHeight="1">
      <c r="A528" s="24"/>
      <c r="B528" s="71"/>
      <c r="C528" s="71"/>
      <c r="D528" s="71"/>
      <c r="E528" s="25"/>
      <c r="F528" s="138"/>
      <c r="G528" s="138"/>
      <c r="H528" s="119"/>
    </row>
    <row r="529" ht="22.5" customHeight="1">
      <c r="A529" s="24"/>
      <c r="B529" s="71"/>
      <c r="C529" s="71"/>
      <c r="D529" s="71"/>
      <c r="E529" s="25"/>
      <c r="F529" s="138"/>
      <c r="G529" s="138"/>
      <c r="H529" s="119"/>
    </row>
    <row r="530" ht="22.5" customHeight="1">
      <c r="A530" s="24"/>
      <c r="B530" s="71"/>
      <c r="C530" s="71"/>
      <c r="D530" s="71"/>
      <c r="E530" s="25"/>
      <c r="F530" s="138"/>
      <c r="G530" s="138"/>
      <c r="H530" s="119"/>
    </row>
    <row r="531" ht="22.5" customHeight="1">
      <c r="A531" s="24"/>
      <c r="B531" s="71"/>
      <c r="C531" s="71"/>
      <c r="D531" s="71"/>
      <c r="E531" s="25"/>
      <c r="F531" s="138"/>
      <c r="G531" s="138"/>
      <c r="H531" s="119"/>
    </row>
    <row r="532" ht="22.5" customHeight="1">
      <c r="A532" s="24"/>
      <c r="B532" s="71"/>
      <c r="C532" s="71"/>
      <c r="D532" s="71"/>
      <c r="E532" s="25"/>
      <c r="F532" s="138"/>
      <c r="G532" s="138"/>
      <c r="H532" s="119"/>
    </row>
    <row r="533" ht="22.5" customHeight="1">
      <c r="A533" s="24"/>
      <c r="B533" s="71"/>
      <c r="C533" s="71"/>
      <c r="D533" s="71"/>
      <c r="E533" s="25"/>
      <c r="F533" s="138"/>
      <c r="G533" s="138"/>
      <c r="H533" s="119"/>
    </row>
    <row r="534" ht="22.5" customHeight="1">
      <c r="A534" s="24"/>
      <c r="B534" s="71"/>
      <c r="C534" s="71"/>
      <c r="D534" s="71"/>
      <c r="E534" s="25"/>
      <c r="F534" s="138"/>
      <c r="G534" s="138"/>
      <c r="H534" s="119"/>
    </row>
    <row r="535" ht="22.5" customHeight="1">
      <c r="A535" s="24"/>
      <c r="B535" s="71"/>
      <c r="C535" s="71"/>
      <c r="D535" s="71"/>
      <c r="E535" s="25"/>
      <c r="F535" s="138"/>
      <c r="G535" s="138"/>
      <c r="H535" s="119"/>
    </row>
    <row r="536" ht="22.5" customHeight="1">
      <c r="A536" s="24"/>
      <c r="B536" s="71"/>
      <c r="C536" s="71"/>
      <c r="D536" s="71"/>
      <c r="E536" s="25"/>
      <c r="F536" s="138"/>
      <c r="G536" s="138"/>
      <c r="H536" s="119"/>
    </row>
    <row r="537" ht="22.5" customHeight="1">
      <c r="A537" s="24"/>
      <c r="B537" s="71"/>
      <c r="C537" s="71"/>
      <c r="D537" s="71"/>
      <c r="E537" s="25"/>
      <c r="F537" s="138"/>
      <c r="G537" s="138"/>
      <c r="H537" s="119"/>
    </row>
    <row r="538" ht="22.5" customHeight="1">
      <c r="A538" s="24"/>
      <c r="B538" s="71"/>
      <c r="C538" s="71"/>
      <c r="D538" s="71"/>
      <c r="E538" s="25"/>
      <c r="F538" s="138"/>
      <c r="G538" s="138"/>
      <c r="H538" s="119"/>
    </row>
    <row r="539" ht="22.5" customHeight="1">
      <c r="A539" s="24"/>
      <c r="B539" s="71"/>
      <c r="C539" s="71"/>
      <c r="D539" s="71"/>
      <c r="E539" s="25"/>
      <c r="F539" s="138"/>
      <c r="G539" s="138"/>
      <c r="H539" s="119"/>
    </row>
    <row r="540" ht="22.5" customHeight="1">
      <c r="A540" s="24"/>
      <c r="B540" s="71"/>
      <c r="C540" s="71"/>
      <c r="D540" s="71"/>
      <c r="E540" s="25"/>
      <c r="F540" s="138"/>
      <c r="G540" s="138"/>
      <c r="H540" s="119"/>
    </row>
    <row r="541" ht="22.5" customHeight="1">
      <c r="A541" s="24"/>
      <c r="B541" s="71"/>
      <c r="C541" s="71"/>
      <c r="D541" s="71"/>
      <c r="E541" s="25"/>
      <c r="F541" s="138"/>
      <c r="G541" s="138"/>
      <c r="H541" s="119"/>
    </row>
    <row r="542" ht="22.5" customHeight="1">
      <c r="A542" s="24"/>
      <c r="B542" s="71"/>
      <c r="C542" s="71"/>
      <c r="D542" s="71"/>
      <c r="E542" s="25"/>
      <c r="F542" s="138"/>
      <c r="G542" s="138"/>
      <c r="H542" s="119"/>
    </row>
    <row r="543" ht="22.5" customHeight="1">
      <c r="A543" s="24"/>
      <c r="B543" s="71"/>
      <c r="C543" s="71"/>
      <c r="D543" s="71"/>
      <c r="E543" s="25"/>
      <c r="F543" s="138"/>
      <c r="G543" s="138"/>
      <c r="H543" s="119"/>
    </row>
    <row r="544" ht="22.5" customHeight="1">
      <c r="A544" s="24"/>
      <c r="B544" s="71"/>
      <c r="C544" s="71"/>
      <c r="D544" s="71"/>
      <c r="E544" s="25"/>
      <c r="F544" s="138"/>
      <c r="G544" s="138"/>
      <c r="H544" s="119"/>
    </row>
    <row r="545" ht="22.5" customHeight="1">
      <c r="A545" s="24"/>
      <c r="B545" s="71"/>
      <c r="C545" s="71"/>
      <c r="D545" s="71"/>
      <c r="E545" s="25"/>
      <c r="F545" s="138"/>
      <c r="G545" s="138"/>
      <c r="H545" s="119"/>
    </row>
    <row r="546" ht="22.5" customHeight="1">
      <c r="A546" s="24"/>
      <c r="B546" s="71"/>
      <c r="C546" s="71"/>
      <c r="D546" s="71"/>
      <c r="E546" s="25"/>
      <c r="F546" s="138"/>
      <c r="G546" s="138"/>
      <c r="H546" s="119"/>
    </row>
    <row r="547" ht="22.5" customHeight="1">
      <c r="A547" s="24"/>
      <c r="B547" s="71"/>
      <c r="C547" s="71"/>
      <c r="D547" s="71"/>
      <c r="E547" s="25"/>
      <c r="F547" s="138"/>
      <c r="G547" s="138"/>
      <c r="H547" s="119"/>
    </row>
    <row r="548" ht="22.5" customHeight="1">
      <c r="A548" s="24"/>
      <c r="B548" s="71"/>
      <c r="C548" s="71"/>
      <c r="D548" s="71"/>
      <c r="E548" s="25"/>
      <c r="F548" s="138"/>
      <c r="G548" s="138"/>
      <c r="H548" s="119"/>
    </row>
    <row r="549" ht="22.5" customHeight="1">
      <c r="A549" s="24"/>
      <c r="B549" s="71"/>
      <c r="C549" s="71"/>
      <c r="D549" s="71"/>
      <c r="E549" s="25"/>
      <c r="F549" s="138"/>
      <c r="G549" s="138"/>
      <c r="H549" s="119"/>
    </row>
    <row r="550" ht="22.5" customHeight="1">
      <c r="A550" s="24"/>
      <c r="B550" s="71"/>
      <c r="C550" s="71"/>
      <c r="D550" s="71"/>
      <c r="E550" s="25"/>
      <c r="F550" s="138"/>
      <c r="G550" s="138"/>
      <c r="H550" s="119"/>
    </row>
    <row r="551" ht="22.5" customHeight="1">
      <c r="A551" s="24"/>
      <c r="B551" s="71"/>
      <c r="C551" s="71"/>
      <c r="D551" s="71"/>
      <c r="E551" s="25"/>
      <c r="F551" s="138"/>
      <c r="G551" s="138"/>
      <c r="H551" s="119"/>
    </row>
    <row r="552" ht="22.5" customHeight="1">
      <c r="A552" s="24"/>
      <c r="B552" s="71"/>
      <c r="C552" s="71"/>
      <c r="D552" s="71"/>
      <c r="E552" s="25"/>
      <c r="F552" s="138"/>
      <c r="G552" s="138"/>
      <c r="H552" s="119"/>
    </row>
    <row r="553" ht="22.5" customHeight="1">
      <c r="A553" s="24"/>
      <c r="B553" s="71"/>
      <c r="C553" s="71"/>
      <c r="D553" s="71"/>
      <c r="E553" s="25"/>
      <c r="F553" s="138"/>
      <c r="G553" s="138"/>
      <c r="H553" s="119"/>
    </row>
    <row r="554" ht="22.5" customHeight="1">
      <c r="A554" s="24"/>
      <c r="B554" s="71"/>
      <c r="C554" s="71"/>
      <c r="D554" s="71"/>
      <c r="E554" s="25"/>
      <c r="F554" s="138"/>
      <c r="G554" s="138"/>
      <c r="H554" s="119"/>
    </row>
    <row r="555" ht="22.5" customHeight="1">
      <c r="A555" s="24"/>
      <c r="B555" s="71"/>
      <c r="C555" s="71"/>
      <c r="D555" s="71"/>
      <c r="E555" s="25"/>
      <c r="F555" s="138"/>
      <c r="G555" s="138"/>
      <c r="H555" s="119"/>
    </row>
    <row r="556" ht="22.5" customHeight="1">
      <c r="A556" s="24"/>
      <c r="B556" s="71"/>
      <c r="C556" s="71"/>
      <c r="D556" s="71"/>
      <c r="E556" s="25"/>
      <c r="F556" s="138"/>
      <c r="G556" s="138"/>
      <c r="H556" s="119"/>
    </row>
    <row r="557" ht="22.5" customHeight="1">
      <c r="A557" s="24"/>
      <c r="B557" s="71"/>
      <c r="C557" s="71"/>
      <c r="D557" s="71"/>
      <c r="E557" s="25"/>
      <c r="F557" s="138"/>
      <c r="G557" s="138"/>
      <c r="H557" s="119"/>
    </row>
    <row r="558" ht="22.5" customHeight="1">
      <c r="A558" s="24"/>
      <c r="B558" s="71"/>
      <c r="C558" s="71"/>
      <c r="D558" s="71"/>
      <c r="E558" s="25"/>
      <c r="F558" s="138"/>
      <c r="G558" s="138"/>
      <c r="H558" s="119"/>
    </row>
    <row r="559" ht="22.5" customHeight="1">
      <c r="A559" s="24"/>
      <c r="B559" s="71"/>
      <c r="C559" s="71"/>
      <c r="D559" s="71"/>
      <c r="E559" s="25"/>
      <c r="F559" s="138"/>
      <c r="G559" s="138"/>
      <c r="H559" s="119"/>
    </row>
    <row r="560" ht="22.5" customHeight="1">
      <c r="A560" s="24"/>
      <c r="B560" s="71"/>
      <c r="C560" s="71"/>
      <c r="D560" s="71"/>
      <c r="E560" s="25"/>
      <c r="F560" s="138"/>
      <c r="G560" s="138"/>
      <c r="H560" s="119"/>
    </row>
    <row r="561" ht="22.5" customHeight="1">
      <c r="A561" s="24"/>
      <c r="B561" s="71"/>
      <c r="C561" s="71"/>
      <c r="D561" s="71"/>
      <c r="E561" s="25"/>
      <c r="F561" s="138"/>
      <c r="G561" s="138"/>
      <c r="H561" s="119"/>
    </row>
    <row r="562" ht="22.5" customHeight="1">
      <c r="A562" s="24"/>
      <c r="B562" s="71"/>
      <c r="C562" s="71"/>
      <c r="D562" s="71"/>
      <c r="E562" s="25"/>
      <c r="F562" s="138"/>
      <c r="G562" s="138"/>
      <c r="H562" s="119"/>
    </row>
    <row r="563" ht="22.5" customHeight="1">
      <c r="A563" s="24"/>
      <c r="B563" s="71"/>
      <c r="C563" s="71"/>
      <c r="D563" s="71"/>
      <c r="E563" s="25"/>
      <c r="F563" s="138"/>
      <c r="G563" s="138"/>
      <c r="H563" s="119"/>
    </row>
    <row r="564" ht="22.5" customHeight="1">
      <c r="A564" s="24"/>
      <c r="B564" s="71"/>
      <c r="C564" s="71"/>
      <c r="D564" s="71"/>
      <c r="E564" s="25"/>
      <c r="F564" s="138"/>
      <c r="G564" s="138"/>
      <c r="H564" s="119"/>
    </row>
    <row r="565" ht="22.5" customHeight="1">
      <c r="A565" s="24"/>
      <c r="B565" s="71"/>
      <c r="C565" s="71"/>
      <c r="D565" s="71"/>
      <c r="E565" s="25"/>
      <c r="F565" s="138"/>
      <c r="G565" s="138"/>
      <c r="H565" s="119"/>
    </row>
    <row r="566" ht="22.5" customHeight="1">
      <c r="A566" s="24"/>
      <c r="B566" s="71"/>
      <c r="C566" s="71"/>
      <c r="D566" s="71"/>
      <c r="E566" s="25"/>
      <c r="F566" s="138"/>
      <c r="G566" s="138"/>
      <c r="H566" s="119"/>
    </row>
    <row r="567" ht="22.5" customHeight="1">
      <c r="A567" s="24"/>
      <c r="B567" s="71"/>
      <c r="C567" s="71"/>
      <c r="D567" s="71"/>
      <c r="E567" s="25"/>
      <c r="F567" s="138"/>
      <c r="G567" s="138"/>
      <c r="H567" s="119"/>
    </row>
    <row r="568" ht="22.5" customHeight="1">
      <c r="A568" s="24"/>
      <c r="B568" s="71"/>
      <c r="C568" s="71"/>
      <c r="D568" s="71"/>
      <c r="E568" s="25"/>
      <c r="F568" s="138"/>
      <c r="G568" s="138"/>
      <c r="H568" s="119"/>
    </row>
    <row r="569" ht="22.5" customHeight="1">
      <c r="A569" s="24"/>
      <c r="B569" s="71"/>
      <c r="C569" s="71"/>
      <c r="D569" s="71"/>
      <c r="E569" s="25"/>
      <c r="F569" s="138"/>
      <c r="G569" s="138"/>
      <c r="H569" s="119"/>
    </row>
    <row r="570" ht="22.5" customHeight="1">
      <c r="A570" s="24"/>
      <c r="B570" s="71"/>
      <c r="C570" s="71"/>
      <c r="D570" s="71"/>
      <c r="E570" s="25"/>
      <c r="F570" s="138"/>
      <c r="G570" s="138"/>
      <c r="H570" s="119"/>
    </row>
    <row r="571" ht="22.5" customHeight="1">
      <c r="A571" s="24"/>
      <c r="B571" s="71"/>
      <c r="C571" s="71"/>
      <c r="D571" s="71"/>
      <c r="E571" s="25"/>
      <c r="F571" s="138"/>
      <c r="G571" s="138"/>
      <c r="H571" s="119"/>
    </row>
    <row r="572" ht="22.5" customHeight="1">
      <c r="A572" s="24"/>
      <c r="B572" s="71"/>
      <c r="C572" s="71"/>
      <c r="D572" s="71"/>
      <c r="E572" s="25"/>
      <c r="F572" s="138"/>
      <c r="G572" s="138"/>
      <c r="H572" s="119"/>
    </row>
    <row r="573" ht="22.5" customHeight="1">
      <c r="A573" s="24"/>
      <c r="B573" s="71"/>
      <c r="C573" s="71"/>
      <c r="D573" s="71"/>
      <c r="E573" s="25"/>
      <c r="F573" s="138"/>
      <c r="G573" s="138"/>
      <c r="H573" s="119"/>
    </row>
    <row r="574" ht="22.5" customHeight="1">
      <c r="A574" s="24"/>
      <c r="B574" s="71"/>
      <c r="C574" s="71"/>
      <c r="D574" s="71"/>
      <c r="E574" s="25"/>
      <c r="F574" s="138"/>
      <c r="G574" s="138"/>
      <c r="H574" s="119"/>
    </row>
    <row r="575" ht="22.5" customHeight="1">
      <c r="A575" s="24"/>
      <c r="B575" s="71"/>
      <c r="C575" s="71"/>
      <c r="D575" s="71"/>
      <c r="E575" s="25"/>
      <c r="F575" s="138"/>
      <c r="G575" s="138"/>
      <c r="H575" s="119"/>
    </row>
    <row r="576" ht="22.5" customHeight="1">
      <c r="A576" s="24"/>
      <c r="B576" s="71"/>
      <c r="C576" s="71"/>
      <c r="D576" s="71"/>
      <c r="E576" s="25"/>
      <c r="F576" s="138"/>
      <c r="G576" s="138"/>
      <c r="H576" s="119"/>
    </row>
    <row r="577" ht="22.5" customHeight="1">
      <c r="A577" s="24"/>
      <c r="B577" s="71"/>
      <c r="C577" s="71"/>
      <c r="D577" s="71"/>
      <c r="E577" s="25"/>
      <c r="F577" s="138"/>
      <c r="G577" s="138"/>
      <c r="H577" s="119"/>
    </row>
    <row r="578" ht="22.5" customHeight="1">
      <c r="A578" s="24"/>
      <c r="B578" s="71"/>
      <c r="C578" s="71"/>
      <c r="D578" s="71"/>
      <c r="E578" s="25"/>
      <c r="F578" s="138"/>
      <c r="G578" s="138"/>
      <c r="H578" s="119"/>
    </row>
    <row r="579" ht="22.5" customHeight="1">
      <c r="A579" s="24"/>
      <c r="B579" s="71"/>
      <c r="C579" s="71"/>
      <c r="D579" s="71"/>
      <c r="E579" s="25"/>
      <c r="F579" s="138"/>
      <c r="G579" s="138"/>
      <c r="H579" s="119"/>
    </row>
    <row r="580" ht="22.5" customHeight="1">
      <c r="A580" s="24"/>
      <c r="B580" s="71"/>
      <c r="C580" s="71"/>
      <c r="D580" s="71"/>
      <c r="E580" s="25"/>
      <c r="F580" s="138"/>
      <c r="G580" s="138"/>
      <c r="H580" s="119"/>
    </row>
    <row r="581" ht="22.5" customHeight="1">
      <c r="A581" s="24"/>
      <c r="B581" s="71"/>
      <c r="C581" s="71"/>
      <c r="D581" s="71"/>
      <c r="E581" s="25"/>
      <c r="F581" s="138"/>
      <c r="G581" s="138"/>
      <c r="H581" s="119"/>
    </row>
    <row r="582" ht="22.5" customHeight="1">
      <c r="A582" s="24"/>
      <c r="B582" s="71"/>
      <c r="C582" s="71"/>
      <c r="D582" s="71"/>
      <c r="E582" s="25"/>
      <c r="F582" s="138"/>
      <c r="G582" s="138"/>
      <c r="H582" s="119"/>
    </row>
    <row r="583" ht="22.5" customHeight="1">
      <c r="A583" s="24"/>
      <c r="B583" s="71"/>
      <c r="C583" s="71"/>
      <c r="D583" s="71"/>
      <c r="E583" s="25"/>
      <c r="F583" s="138"/>
      <c r="G583" s="138"/>
      <c r="H583" s="119"/>
    </row>
    <row r="584" ht="22.5" customHeight="1">
      <c r="A584" s="24"/>
      <c r="B584" s="71"/>
      <c r="C584" s="71"/>
      <c r="D584" s="71"/>
      <c r="E584" s="25"/>
      <c r="F584" s="138"/>
      <c r="G584" s="138"/>
      <c r="H584" s="119"/>
    </row>
    <row r="585" ht="22.5" customHeight="1">
      <c r="A585" s="24"/>
      <c r="B585" s="71"/>
      <c r="C585" s="71"/>
      <c r="D585" s="71"/>
      <c r="E585" s="25"/>
      <c r="F585" s="138"/>
      <c r="G585" s="138"/>
      <c r="H585" s="119"/>
    </row>
    <row r="586" ht="22.5" customHeight="1">
      <c r="A586" s="24"/>
      <c r="B586" s="71"/>
      <c r="C586" s="71"/>
      <c r="D586" s="71"/>
      <c r="E586" s="25"/>
      <c r="F586" s="138"/>
      <c r="G586" s="138"/>
      <c r="H586" s="119"/>
    </row>
    <row r="587" ht="22.5" customHeight="1">
      <c r="A587" s="24"/>
      <c r="B587" s="71"/>
      <c r="C587" s="71"/>
      <c r="D587" s="71"/>
      <c r="E587" s="25"/>
      <c r="F587" s="138"/>
      <c r="G587" s="138"/>
      <c r="H587" s="119"/>
    </row>
    <row r="588" ht="22.5" customHeight="1">
      <c r="A588" s="24"/>
      <c r="B588" s="71"/>
      <c r="C588" s="71"/>
      <c r="D588" s="71"/>
      <c r="E588" s="25"/>
      <c r="F588" s="138"/>
      <c r="G588" s="138"/>
      <c r="H588" s="119"/>
    </row>
    <row r="589" ht="22.5" customHeight="1">
      <c r="A589" s="24"/>
      <c r="B589" s="71"/>
      <c r="C589" s="71"/>
      <c r="D589" s="71"/>
      <c r="E589" s="25"/>
      <c r="F589" s="138"/>
      <c r="G589" s="138"/>
      <c r="H589" s="119"/>
    </row>
    <row r="590" ht="22.5" customHeight="1">
      <c r="A590" s="24"/>
      <c r="B590" s="71"/>
      <c r="C590" s="71"/>
      <c r="D590" s="71"/>
      <c r="E590" s="25"/>
      <c r="F590" s="138"/>
      <c r="G590" s="138"/>
      <c r="H590" s="119"/>
    </row>
    <row r="591" ht="22.5" customHeight="1">
      <c r="A591" s="24"/>
      <c r="B591" s="71"/>
      <c r="C591" s="71"/>
      <c r="D591" s="71"/>
      <c r="E591" s="25"/>
      <c r="F591" s="138"/>
      <c r="G591" s="138"/>
      <c r="H591" s="119"/>
    </row>
    <row r="592" ht="22.5" customHeight="1">
      <c r="A592" s="24"/>
      <c r="B592" s="71"/>
      <c r="C592" s="71"/>
      <c r="D592" s="71"/>
      <c r="E592" s="25"/>
      <c r="F592" s="138"/>
      <c r="G592" s="138"/>
      <c r="H592" s="119"/>
    </row>
    <row r="593" ht="22.5" customHeight="1">
      <c r="A593" s="24"/>
      <c r="B593" s="71"/>
      <c r="C593" s="71"/>
      <c r="D593" s="71"/>
      <c r="E593" s="25"/>
      <c r="F593" s="138"/>
      <c r="G593" s="138"/>
      <c r="H593" s="119"/>
    </row>
    <row r="594" ht="22.5" customHeight="1">
      <c r="A594" s="24"/>
      <c r="B594" s="71"/>
      <c r="C594" s="71"/>
      <c r="D594" s="71"/>
      <c r="E594" s="25"/>
      <c r="F594" s="138"/>
      <c r="G594" s="138"/>
      <c r="H594" s="119"/>
    </row>
    <row r="595" ht="22.5" customHeight="1">
      <c r="A595" s="24"/>
      <c r="B595" s="71"/>
      <c r="C595" s="71"/>
      <c r="D595" s="71"/>
      <c r="E595" s="25"/>
      <c r="F595" s="138"/>
      <c r="G595" s="138"/>
      <c r="H595" s="119"/>
    </row>
    <row r="596" ht="22.5" customHeight="1">
      <c r="A596" s="24"/>
      <c r="B596" s="71"/>
      <c r="C596" s="71"/>
      <c r="D596" s="71"/>
      <c r="E596" s="25"/>
      <c r="F596" s="138"/>
      <c r="G596" s="138"/>
      <c r="H596" s="119"/>
    </row>
    <row r="597" ht="22.5" customHeight="1">
      <c r="A597" s="24"/>
      <c r="B597" s="71"/>
      <c r="C597" s="71"/>
      <c r="D597" s="71"/>
      <c r="E597" s="25"/>
      <c r="F597" s="138"/>
      <c r="G597" s="138"/>
      <c r="H597" s="119"/>
    </row>
    <row r="598" ht="22.5" customHeight="1">
      <c r="A598" s="24"/>
      <c r="B598" s="71"/>
      <c r="C598" s="71"/>
      <c r="D598" s="71"/>
      <c r="E598" s="25"/>
      <c r="F598" s="138"/>
      <c r="G598" s="138"/>
      <c r="H598" s="119"/>
    </row>
    <row r="599" ht="22.5" customHeight="1">
      <c r="A599" s="24"/>
      <c r="B599" s="71"/>
      <c r="C599" s="71"/>
      <c r="D599" s="71"/>
      <c r="E599" s="25"/>
      <c r="F599" s="138"/>
      <c r="G599" s="138"/>
      <c r="H599" s="119"/>
    </row>
    <row r="600" ht="22.5" customHeight="1">
      <c r="A600" s="24"/>
      <c r="B600" s="71"/>
      <c r="C600" s="71"/>
      <c r="D600" s="71"/>
      <c r="E600" s="25"/>
      <c r="F600" s="138"/>
      <c r="G600" s="138"/>
      <c r="H600" s="119"/>
    </row>
    <row r="601" ht="22.5" customHeight="1">
      <c r="A601" s="24"/>
      <c r="B601" s="71"/>
      <c r="C601" s="71"/>
      <c r="D601" s="71"/>
      <c r="E601" s="25"/>
      <c r="F601" s="138"/>
      <c r="G601" s="138"/>
      <c r="H601" s="119"/>
    </row>
    <row r="602" ht="22.5" customHeight="1">
      <c r="A602" s="24"/>
      <c r="B602" s="71"/>
      <c r="C602" s="71"/>
      <c r="D602" s="71"/>
      <c r="E602" s="25"/>
      <c r="F602" s="138"/>
      <c r="G602" s="138"/>
      <c r="H602" s="119"/>
    </row>
    <row r="603" ht="22.5" customHeight="1">
      <c r="A603" s="24"/>
      <c r="B603" s="71"/>
      <c r="C603" s="71"/>
      <c r="D603" s="71"/>
      <c r="E603" s="25"/>
      <c r="F603" s="138"/>
      <c r="G603" s="138"/>
      <c r="H603" s="119"/>
    </row>
    <row r="604" ht="22.5" customHeight="1">
      <c r="A604" s="24"/>
      <c r="B604" s="71"/>
      <c r="C604" s="71"/>
      <c r="D604" s="71"/>
      <c r="E604" s="25"/>
      <c r="F604" s="138"/>
      <c r="G604" s="138"/>
      <c r="H604" s="119"/>
    </row>
    <row r="605" ht="22.5" customHeight="1">
      <c r="A605" s="24"/>
      <c r="B605" s="71"/>
      <c r="C605" s="71"/>
      <c r="D605" s="71"/>
      <c r="E605" s="25"/>
      <c r="F605" s="138"/>
      <c r="G605" s="138"/>
      <c r="H605" s="119"/>
    </row>
    <row r="606" ht="22.5" customHeight="1">
      <c r="A606" s="24"/>
      <c r="B606" s="71"/>
      <c r="C606" s="71"/>
      <c r="D606" s="71"/>
      <c r="E606" s="25"/>
      <c r="F606" s="138"/>
      <c r="G606" s="138"/>
      <c r="H606" s="119"/>
    </row>
    <row r="607" ht="22.5" customHeight="1">
      <c r="A607" s="24"/>
      <c r="B607" s="71"/>
      <c r="C607" s="71"/>
      <c r="D607" s="71"/>
      <c r="E607" s="25"/>
      <c r="F607" s="138"/>
      <c r="G607" s="138"/>
      <c r="H607" s="119"/>
    </row>
    <row r="608" ht="22.5" customHeight="1">
      <c r="A608" s="24"/>
      <c r="B608" s="71"/>
      <c r="C608" s="71"/>
      <c r="D608" s="71"/>
      <c r="E608" s="25"/>
      <c r="F608" s="138"/>
      <c r="G608" s="138"/>
      <c r="H608" s="119"/>
    </row>
    <row r="609" ht="22.5" customHeight="1">
      <c r="A609" s="24"/>
      <c r="B609" s="71"/>
      <c r="C609" s="71"/>
      <c r="D609" s="71"/>
      <c r="E609" s="25"/>
      <c r="F609" s="138"/>
      <c r="G609" s="138"/>
      <c r="H609" s="119"/>
    </row>
    <row r="610" ht="22.5" customHeight="1">
      <c r="A610" s="24"/>
      <c r="B610" s="71"/>
      <c r="C610" s="71"/>
      <c r="D610" s="71"/>
      <c r="E610" s="25"/>
      <c r="F610" s="138"/>
      <c r="G610" s="138"/>
      <c r="H610" s="119"/>
    </row>
    <row r="611" ht="22.5" customHeight="1">
      <c r="A611" s="24"/>
      <c r="B611" s="71"/>
      <c r="C611" s="71"/>
      <c r="D611" s="71"/>
      <c r="E611" s="25"/>
      <c r="F611" s="138"/>
      <c r="G611" s="138"/>
      <c r="H611" s="119"/>
    </row>
    <row r="612" ht="22.5" customHeight="1">
      <c r="A612" s="24"/>
      <c r="B612" s="71"/>
      <c r="C612" s="71"/>
      <c r="D612" s="71"/>
      <c r="E612" s="25"/>
      <c r="F612" s="138"/>
      <c r="G612" s="138"/>
      <c r="H612" s="119"/>
    </row>
    <row r="613" ht="22.5" customHeight="1">
      <c r="A613" s="24"/>
      <c r="B613" s="71"/>
      <c r="C613" s="71"/>
      <c r="D613" s="71"/>
      <c r="E613" s="25"/>
      <c r="F613" s="138"/>
      <c r="G613" s="138"/>
      <c r="H613" s="119"/>
    </row>
    <row r="614" ht="22.5" customHeight="1">
      <c r="A614" s="24"/>
      <c r="B614" s="71"/>
      <c r="C614" s="71"/>
      <c r="D614" s="71"/>
      <c r="E614" s="25"/>
      <c r="F614" s="138"/>
      <c r="G614" s="138"/>
      <c r="H614" s="119"/>
    </row>
    <row r="615" ht="22.5" customHeight="1">
      <c r="A615" s="24"/>
      <c r="B615" s="71"/>
      <c r="C615" s="71"/>
      <c r="D615" s="71"/>
      <c r="E615" s="25"/>
      <c r="F615" s="138"/>
      <c r="G615" s="138"/>
      <c r="H615" s="119"/>
    </row>
    <row r="616" ht="22.5" customHeight="1">
      <c r="A616" s="24"/>
      <c r="B616" s="71"/>
      <c r="C616" s="71"/>
      <c r="D616" s="71"/>
      <c r="E616" s="25"/>
      <c r="F616" s="138"/>
      <c r="G616" s="138"/>
      <c r="H616" s="119"/>
    </row>
    <row r="617" ht="22.5" customHeight="1">
      <c r="A617" s="24"/>
      <c r="B617" s="71"/>
      <c r="C617" s="71"/>
      <c r="D617" s="71"/>
      <c r="E617" s="25"/>
      <c r="F617" s="138"/>
      <c r="G617" s="138"/>
      <c r="H617" s="119"/>
    </row>
    <row r="618" ht="22.5" customHeight="1">
      <c r="A618" s="24"/>
      <c r="B618" s="71"/>
      <c r="C618" s="71"/>
      <c r="D618" s="71"/>
      <c r="E618" s="25"/>
      <c r="F618" s="138"/>
      <c r="G618" s="138"/>
      <c r="H618" s="119"/>
    </row>
    <row r="619" ht="22.5" customHeight="1">
      <c r="A619" s="24"/>
      <c r="B619" s="71"/>
      <c r="C619" s="71"/>
      <c r="D619" s="71"/>
      <c r="E619" s="25"/>
      <c r="F619" s="138"/>
      <c r="G619" s="138"/>
      <c r="H619" s="119"/>
    </row>
    <row r="620" ht="22.5" customHeight="1">
      <c r="A620" s="24"/>
      <c r="B620" s="71"/>
      <c r="C620" s="71"/>
      <c r="D620" s="71"/>
      <c r="E620" s="25"/>
      <c r="F620" s="138"/>
      <c r="G620" s="138"/>
      <c r="H620" s="119"/>
    </row>
    <row r="621" ht="22.5" customHeight="1">
      <c r="A621" s="24"/>
      <c r="B621" s="71"/>
      <c r="C621" s="71"/>
      <c r="D621" s="71"/>
      <c r="E621" s="25"/>
      <c r="F621" s="138"/>
      <c r="G621" s="138"/>
      <c r="H621" s="119"/>
    </row>
    <row r="622" ht="22.5" customHeight="1">
      <c r="A622" s="24"/>
      <c r="B622" s="71"/>
      <c r="C622" s="71"/>
      <c r="D622" s="71"/>
      <c r="E622" s="25"/>
      <c r="F622" s="138"/>
      <c r="G622" s="138"/>
      <c r="H622" s="119"/>
    </row>
    <row r="623" ht="22.5" customHeight="1">
      <c r="A623" s="24"/>
      <c r="B623" s="71"/>
      <c r="C623" s="71"/>
      <c r="D623" s="71"/>
      <c r="E623" s="25"/>
      <c r="F623" s="138"/>
      <c r="G623" s="138"/>
      <c r="H623" s="119"/>
    </row>
    <row r="624" ht="22.5" customHeight="1">
      <c r="A624" s="24"/>
      <c r="B624" s="71"/>
      <c r="C624" s="71"/>
      <c r="D624" s="71"/>
      <c r="E624" s="25"/>
      <c r="F624" s="138"/>
      <c r="G624" s="138"/>
      <c r="H624" s="119"/>
    </row>
    <row r="625" ht="22.5" customHeight="1">
      <c r="A625" s="24"/>
      <c r="B625" s="71"/>
      <c r="C625" s="71"/>
      <c r="D625" s="71"/>
      <c r="E625" s="25"/>
      <c r="F625" s="138"/>
      <c r="G625" s="138"/>
      <c r="H625" s="119"/>
    </row>
    <row r="626" ht="22.5" customHeight="1">
      <c r="A626" s="24"/>
      <c r="B626" s="71"/>
      <c r="C626" s="71"/>
      <c r="D626" s="71"/>
      <c r="E626" s="25"/>
      <c r="F626" s="138"/>
      <c r="G626" s="138"/>
      <c r="H626" s="119"/>
    </row>
    <row r="627" ht="22.5" customHeight="1">
      <c r="A627" s="24"/>
      <c r="B627" s="71"/>
      <c r="C627" s="71"/>
      <c r="D627" s="71"/>
      <c r="E627" s="25"/>
      <c r="F627" s="138"/>
      <c r="G627" s="138"/>
      <c r="H627" s="119"/>
    </row>
    <row r="628" ht="22.5" customHeight="1">
      <c r="A628" s="24"/>
      <c r="B628" s="71"/>
      <c r="C628" s="71"/>
      <c r="D628" s="71"/>
      <c r="E628" s="25"/>
      <c r="F628" s="138"/>
      <c r="G628" s="138"/>
      <c r="H628" s="119"/>
    </row>
    <row r="629" ht="22.5" customHeight="1">
      <c r="A629" s="24"/>
      <c r="B629" s="71"/>
      <c r="C629" s="71"/>
      <c r="D629" s="71"/>
      <c r="E629" s="25"/>
      <c r="F629" s="138"/>
      <c r="G629" s="138"/>
      <c r="H629" s="119"/>
    </row>
    <row r="630" ht="22.5" customHeight="1">
      <c r="A630" s="24"/>
      <c r="B630" s="71"/>
      <c r="C630" s="71"/>
      <c r="D630" s="71"/>
      <c r="E630" s="25"/>
      <c r="F630" s="138"/>
      <c r="G630" s="138"/>
      <c r="H630" s="119"/>
    </row>
    <row r="631" ht="22.5" customHeight="1">
      <c r="A631" s="24"/>
      <c r="B631" s="71"/>
      <c r="C631" s="71"/>
      <c r="D631" s="71"/>
      <c r="E631" s="25"/>
      <c r="F631" s="138"/>
      <c r="G631" s="138"/>
      <c r="H631" s="119"/>
    </row>
    <row r="632" ht="22.5" customHeight="1">
      <c r="A632" s="24"/>
      <c r="B632" s="71"/>
      <c r="C632" s="71"/>
      <c r="D632" s="71"/>
      <c r="E632" s="25"/>
      <c r="F632" s="138"/>
      <c r="G632" s="138"/>
      <c r="H632" s="119"/>
    </row>
    <row r="633" ht="22.5" customHeight="1">
      <c r="A633" s="24"/>
      <c r="B633" s="71"/>
      <c r="C633" s="71"/>
      <c r="D633" s="71"/>
      <c r="E633" s="25"/>
      <c r="F633" s="138"/>
      <c r="G633" s="138"/>
      <c r="H633" s="119"/>
    </row>
    <row r="634" ht="22.5" customHeight="1">
      <c r="A634" s="24"/>
      <c r="B634" s="71"/>
      <c r="C634" s="71"/>
      <c r="D634" s="71"/>
      <c r="E634" s="25"/>
      <c r="F634" s="138"/>
      <c r="G634" s="138"/>
      <c r="H634" s="119"/>
    </row>
    <row r="635" ht="22.5" customHeight="1">
      <c r="A635" s="24"/>
      <c r="B635" s="71"/>
      <c r="C635" s="71"/>
      <c r="D635" s="71"/>
      <c r="E635" s="25"/>
      <c r="F635" s="138"/>
      <c r="G635" s="138"/>
      <c r="H635" s="119"/>
    </row>
    <row r="636" ht="22.5" customHeight="1">
      <c r="A636" s="24"/>
      <c r="B636" s="71"/>
      <c r="C636" s="71"/>
      <c r="D636" s="71"/>
      <c r="E636" s="25"/>
      <c r="F636" s="138"/>
      <c r="G636" s="138"/>
      <c r="H636" s="119"/>
    </row>
    <row r="637" ht="22.5" customHeight="1">
      <c r="A637" s="24"/>
      <c r="B637" s="71"/>
      <c r="C637" s="71"/>
      <c r="D637" s="71"/>
      <c r="E637" s="25"/>
      <c r="F637" s="138"/>
      <c r="G637" s="138"/>
      <c r="H637" s="119"/>
    </row>
    <row r="638" ht="22.5" customHeight="1">
      <c r="A638" s="24"/>
      <c r="B638" s="71"/>
      <c r="C638" s="71"/>
      <c r="D638" s="71"/>
      <c r="E638" s="25"/>
      <c r="F638" s="138"/>
      <c r="G638" s="138"/>
      <c r="H638" s="119"/>
    </row>
    <row r="639" ht="22.5" customHeight="1">
      <c r="A639" s="24"/>
      <c r="B639" s="71"/>
      <c r="C639" s="71"/>
      <c r="D639" s="71"/>
      <c r="E639" s="25"/>
      <c r="F639" s="138"/>
      <c r="G639" s="138"/>
      <c r="H639" s="119"/>
    </row>
    <row r="640" ht="22.5" customHeight="1">
      <c r="A640" s="24"/>
      <c r="B640" s="71"/>
      <c r="C640" s="71"/>
      <c r="D640" s="71"/>
      <c r="E640" s="25"/>
      <c r="F640" s="138"/>
      <c r="G640" s="138"/>
      <c r="H640" s="119"/>
    </row>
    <row r="641" ht="22.5" customHeight="1">
      <c r="A641" s="24"/>
      <c r="B641" s="71"/>
      <c r="C641" s="71"/>
      <c r="D641" s="71"/>
      <c r="E641" s="25"/>
      <c r="F641" s="138"/>
      <c r="G641" s="138"/>
      <c r="H641" s="119"/>
    </row>
    <row r="642" ht="22.5" customHeight="1">
      <c r="A642" s="24"/>
      <c r="B642" s="71"/>
      <c r="C642" s="71"/>
      <c r="D642" s="71"/>
      <c r="E642" s="25"/>
      <c r="F642" s="138"/>
      <c r="G642" s="138"/>
      <c r="H642" s="119"/>
    </row>
    <row r="643" ht="22.5" customHeight="1">
      <c r="A643" s="24"/>
      <c r="B643" s="71"/>
      <c r="C643" s="71"/>
      <c r="D643" s="71"/>
      <c r="E643" s="25"/>
      <c r="F643" s="138"/>
      <c r="G643" s="138"/>
      <c r="H643" s="119"/>
    </row>
    <row r="644" ht="22.5" customHeight="1">
      <c r="A644" s="24"/>
      <c r="B644" s="71"/>
      <c r="C644" s="71"/>
      <c r="D644" s="71"/>
      <c r="E644" s="25"/>
      <c r="F644" s="138"/>
      <c r="G644" s="138"/>
      <c r="H644" s="119"/>
    </row>
    <row r="645" ht="22.5" customHeight="1">
      <c r="A645" s="24"/>
      <c r="B645" s="71"/>
      <c r="C645" s="71"/>
      <c r="D645" s="71"/>
      <c r="E645" s="25"/>
      <c r="F645" s="138"/>
      <c r="G645" s="138"/>
      <c r="H645" s="119"/>
    </row>
    <row r="646" ht="22.5" customHeight="1">
      <c r="A646" s="24"/>
      <c r="B646" s="71"/>
      <c r="C646" s="71"/>
      <c r="D646" s="71"/>
      <c r="E646" s="25"/>
      <c r="F646" s="138"/>
      <c r="G646" s="138"/>
      <c r="H646" s="119"/>
    </row>
    <row r="647" ht="22.5" customHeight="1">
      <c r="A647" s="24"/>
      <c r="B647" s="71"/>
      <c r="C647" s="71"/>
      <c r="D647" s="71"/>
      <c r="E647" s="25"/>
      <c r="F647" s="138"/>
      <c r="G647" s="138"/>
      <c r="H647" s="119"/>
    </row>
    <row r="648" ht="22.5" customHeight="1">
      <c r="A648" s="24"/>
      <c r="B648" s="71"/>
      <c r="C648" s="71"/>
      <c r="D648" s="71"/>
      <c r="E648" s="25"/>
      <c r="F648" s="138"/>
      <c r="G648" s="138"/>
      <c r="H648" s="119"/>
    </row>
    <row r="649" ht="22.5" customHeight="1">
      <c r="A649" s="24"/>
      <c r="B649" s="71"/>
      <c r="C649" s="71"/>
      <c r="D649" s="71"/>
      <c r="E649" s="25"/>
      <c r="F649" s="138"/>
      <c r="G649" s="138"/>
      <c r="H649" s="119"/>
    </row>
    <row r="650" ht="22.5" customHeight="1">
      <c r="A650" s="24"/>
      <c r="B650" s="71"/>
      <c r="C650" s="71"/>
      <c r="D650" s="71"/>
      <c r="E650" s="25"/>
      <c r="F650" s="138"/>
      <c r="G650" s="138"/>
      <c r="H650" s="119"/>
    </row>
    <row r="651" ht="22.5" customHeight="1">
      <c r="A651" s="24"/>
      <c r="B651" s="71"/>
      <c r="C651" s="71"/>
      <c r="D651" s="71"/>
      <c r="E651" s="25"/>
      <c r="F651" s="138"/>
      <c r="G651" s="138"/>
      <c r="H651" s="119"/>
    </row>
    <row r="652" ht="22.5" customHeight="1">
      <c r="A652" s="24"/>
      <c r="B652" s="71"/>
      <c r="C652" s="71"/>
      <c r="D652" s="71"/>
      <c r="E652" s="25"/>
      <c r="F652" s="138"/>
      <c r="G652" s="138"/>
      <c r="H652" s="119"/>
    </row>
    <row r="653" ht="22.5" customHeight="1">
      <c r="A653" s="24"/>
      <c r="B653" s="71"/>
      <c r="C653" s="71"/>
      <c r="D653" s="71"/>
      <c r="E653" s="25"/>
      <c r="F653" s="138"/>
      <c r="G653" s="138"/>
      <c r="H653" s="119"/>
    </row>
    <row r="654" ht="22.5" customHeight="1">
      <c r="A654" s="24"/>
      <c r="B654" s="71"/>
      <c r="C654" s="71"/>
      <c r="D654" s="71"/>
      <c r="E654" s="25"/>
      <c r="F654" s="138"/>
      <c r="G654" s="138"/>
      <c r="H654" s="119"/>
    </row>
    <row r="655" ht="22.5" customHeight="1">
      <c r="A655" s="24"/>
      <c r="B655" s="71"/>
      <c r="C655" s="71"/>
      <c r="D655" s="71"/>
      <c r="E655" s="25"/>
      <c r="F655" s="138"/>
      <c r="G655" s="138"/>
      <c r="H655" s="119"/>
    </row>
    <row r="656" ht="22.5" customHeight="1">
      <c r="A656" s="24"/>
      <c r="B656" s="71"/>
      <c r="C656" s="71"/>
      <c r="D656" s="71"/>
      <c r="E656" s="25"/>
      <c r="F656" s="138"/>
      <c r="G656" s="138"/>
      <c r="H656" s="119"/>
    </row>
    <row r="657" ht="22.5" customHeight="1">
      <c r="A657" s="24"/>
      <c r="B657" s="71"/>
      <c r="C657" s="71"/>
      <c r="D657" s="71"/>
      <c r="E657" s="25"/>
      <c r="F657" s="138"/>
      <c r="G657" s="138"/>
      <c r="H657" s="119"/>
    </row>
    <row r="658" ht="22.5" customHeight="1">
      <c r="A658" s="24"/>
      <c r="B658" s="71"/>
      <c r="C658" s="71"/>
      <c r="D658" s="71"/>
      <c r="E658" s="25"/>
      <c r="F658" s="138"/>
      <c r="G658" s="138"/>
      <c r="H658" s="119"/>
    </row>
    <row r="659" ht="22.5" customHeight="1">
      <c r="A659" s="24"/>
      <c r="B659" s="71"/>
      <c r="C659" s="71"/>
      <c r="D659" s="71"/>
      <c r="E659" s="25"/>
      <c r="F659" s="138"/>
      <c r="G659" s="138"/>
      <c r="H659" s="119"/>
    </row>
    <row r="660" ht="22.5" customHeight="1">
      <c r="A660" s="24"/>
      <c r="B660" s="71"/>
      <c r="C660" s="71"/>
      <c r="D660" s="71"/>
      <c r="E660" s="25"/>
      <c r="F660" s="138"/>
      <c r="G660" s="138"/>
      <c r="H660" s="119"/>
    </row>
    <row r="661" ht="22.5" customHeight="1">
      <c r="A661" s="24"/>
      <c r="B661" s="71"/>
      <c r="C661" s="71"/>
      <c r="D661" s="71"/>
      <c r="E661" s="25"/>
      <c r="F661" s="138"/>
      <c r="G661" s="138"/>
      <c r="H661" s="119"/>
    </row>
    <row r="662" ht="22.5" customHeight="1">
      <c r="A662" s="24"/>
      <c r="B662" s="71"/>
      <c r="C662" s="71"/>
      <c r="D662" s="71"/>
      <c r="E662" s="25"/>
      <c r="F662" s="138"/>
      <c r="G662" s="138"/>
      <c r="H662" s="119"/>
    </row>
    <row r="663" ht="22.5" customHeight="1">
      <c r="A663" s="24"/>
      <c r="B663" s="71"/>
      <c r="C663" s="71"/>
      <c r="D663" s="71"/>
      <c r="E663" s="25"/>
      <c r="F663" s="138"/>
      <c r="G663" s="138"/>
      <c r="H663" s="119"/>
    </row>
    <row r="664" ht="22.5" customHeight="1">
      <c r="A664" s="24"/>
      <c r="B664" s="71"/>
      <c r="C664" s="71"/>
      <c r="D664" s="71"/>
      <c r="E664" s="25"/>
      <c r="F664" s="138"/>
      <c r="G664" s="138"/>
      <c r="H664" s="119"/>
    </row>
    <row r="665" ht="22.5" customHeight="1">
      <c r="A665" s="24"/>
      <c r="B665" s="71"/>
      <c r="C665" s="71"/>
      <c r="D665" s="71"/>
      <c r="E665" s="25"/>
      <c r="F665" s="138"/>
      <c r="G665" s="138"/>
      <c r="H665" s="119"/>
    </row>
    <row r="666" ht="22.5" customHeight="1">
      <c r="A666" s="24"/>
      <c r="B666" s="71"/>
      <c r="C666" s="71"/>
      <c r="D666" s="71"/>
      <c r="E666" s="25"/>
      <c r="F666" s="138"/>
      <c r="G666" s="138"/>
      <c r="H666" s="119"/>
    </row>
    <row r="667" ht="22.5" customHeight="1">
      <c r="A667" s="24"/>
      <c r="B667" s="71"/>
      <c r="C667" s="71"/>
      <c r="D667" s="71"/>
      <c r="E667" s="25"/>
      <c r="F667" s="138"/>
      <c r="G667" s="138"/>
      <c r="H667" s="119"/>
    </row>
    <row r="668" ht="22.5" customHeight="1">
      <c r="A668" s="24"/>
      <c r="B668" s="71"/>
      <c r="C668" s="71"/>
      <c r="D668" s="71"/>
      <c r="E668" s="25"/>
      <c r="F668" s="138"/>
      <c r="G668" s="138"/>
      <c r="H668" s="119"/>
    </row>
    <row r="669" ht="22.5" customHeight="1">
      <c r="A669" s="24"/>
      <c r="B669" s="71"/>
      <c r="C669" s="71"/>
      <c r="D669" s="71"/>
      <c r="E669" s="25"/>
      <c r="F669" s="138"/>
      <c r="G669" s="138"/>
      <c r="H669" s="119"/>
    </row>
    <row r="670" ht="22.5" customHeight="1">
      <c r="A670" s="24"/>
      <c r="B670" s="71"/>
      <c r="C670" s="71"/>
      <c r="D670" s="71"/>
      <c r="E670" s="25"/>
      <c r="F670" s="138"/>
      <c r="G670" s="138"/>
      <c r="H670" s="119"/>
    </row>
    <row r="671" ht="22.5" customHeight="1">
      <c r="A671" s="24"/>
      <c r="B671" s="71"/>
      <c r="C671" s="71"/>
      <c r="D671" s="71"/>
      <c r="E671" s="25"/>
      <c r="F671" s="138"/>
      <c r="G671" s="138"/>
      <c r="H671" s="119"/>
    </row>
    <row r="672" ht="22.5" customHeight="1">
      <c r="A672" s="24"/>
      <c r="B672" s="71"/>
      <c r="C672" s="71"/>
      <c r="D672" s="71"/>
      <c r="E672" s="25"/>
      <c r="F672" s="138"/>
      <c r="G672" s="138"/>
      <c r="H672" s="119"/>
    </row>
    <row r="673" ht="22.5" customHeight="1">
      <c r="A673" s="24"/>
      <c r="B673" s="71"/>
      <c r="C673" s="71"/>
      <c r="D673" s="71"/>
      <c r="E673" s="25"/>
      <c r="F673" s="138"/>
      <c r="G673" s="138"/>
      <c r="H673" s="119"/>
    </row>
    <row r="674" ht="22.5" customHeight="1">
      <c r="A674" s="24"/>
      <c r="B674" s="71"/>
      <c r="C674" s="71"/>
      <c r="D674" s="71"/>
      <c r="E674" s="25"/>
      <c r="F674" s="138"/>
      <c r="G674" s="138"/>
      <c r="H674" s="119"/>
    </row>
    <row r="675" ht="22.5" customHeight="1">
      <c r="A675" s="24"/>
      <c r="B675" s="71"/>
      <c r="C675" s="71"/>
      <c r="D675" s="71"/>
      <c r="E675" s="25"/>
      <c r="F675" s="138"/>
      <c r="G675" s="138"/>
      <c r="H675" s="119"/>
    </row>
    <row r="676" ht="22.5" customHeight="1">
      <c r="A676" s="24"/>
      <c r="B676" s="71"/>
      <c r="C676" s="71"/>
      <c r="D676" s="71"/>
      <c r="E676" s="25"/>
      <c r="F676" s="138"/>
      <c r="G676" s="138"/>
      <c r="H676" s="119"/>
    </row>
    <row r="677" ht="22.5" customHeight="1">
      <c r="A677" s="24"/>
      <c r="B677" s="71"/>
      <c r="C677" s="71"/>
      <c r="D677" s="71"/>
      <c r="E677" s="25"/>
      <c r="F677" s="138"/>
      <c r="G677" s="138"/>
      <c r="H677" s="119"/>
    </row>
    <row r="678" ht="22.5" customHeight="1">
      <c r="A678" s="24"/>
      <c r="B678" s="71"/>
      <c r="C678" s="71"/>
      <c r="D678" s="71"/>
      <c r="E678" s="25"/>
      <c r="F678" s="138"/>
      <c r="G678" s="138"/>
      <c r="H678" s="119"/>
    </row>
    <row r="679" ht="22.5" customHeight="1">
      <c r="A679" s="24"/>
      <c r="B679" s="71"/>
      <c r="C679" s="71"/>
      <c r="D679" s="71"/>
      <c r="E679" s="25"/>
      <c r="F679" s="138"/>
      <c r="G679" s="138"/>
      <c r="H679" s="119"/>
    </row>
    <row r="680" ht="22.5" customHeight="1">
      <c r="A680" s="24"/>
      <c r="B680" s="71"/>
      <c r="C680" s="71"/>
      <c r="D680" s="71"/>
      <c r="E680" s="25"/>
      <c r="F680" s="138"/>
      <c r="G680" s="138"/>
      <c r="H680" s="119"/>
    </row>
    <row r="681" ht="22.5" customHeight="1">
      <c r="A681" s="24"/>
      <c r="B681" s="71"/>
      <c r="C681" s="71"/>
      <c r="D681" s="71"/>
      <c r="E681" s="25"/>
      <c r="F681" s="138"/>
      <c r="G681" s="138"/>
      <c r="H681" s="119"/>
    </row>
    <row r="682" ht="22.5" customHeight="1">
      <c r="A682" s="24"/>
      <c r="B682" s="71"/>
      <c r="C682" s="71"/>
      <c r="D682" s="71"/>
      <c r="E682" s="25"/>
      <c r="F682" s="138"/>
      <c r="G682" s="138"/>
      <c r="H682" s="119"/>
    </row>
    <row r="683" ht="22.5" customHeight="1">
      <c r="A683" s="24"/>
      <c r="B683" s="71"/>
      <c r="C683" s="71"/>
      <c r="D683" s="71"/>
      <c r="E683" s="25"/>
      <c r="F683" s="138"/>
      <c r="G683" s="138"/>
      <c r="H683" s="119"/>
    </row>
    <row r="684" ht="22.5" customHeight="1">
      <c r="A684" s="24"/>
      <c r="B684" s="71"/>
      <c r="C684" s="71"/>
      <c r="D684" s="71"/>
      <c r="E684" s="25"/>
      <c r="F684" s="138"/>
      <c r="G684" s="138"/>
      <c r="H684" s="119"/>
    </row>
    <row r="685" ht="22.5" customHeight="1">
      <c r="A685" s="24"/>
      <c r="B685" s="71"/>
      <c r="C685" s="71"/>
      <c r="D685" s="71"/>
      <c r="E685" s="25"/>
      <c r="F685" s="138"/>
      <c r="G685" s="138"/>
      <c r="H685" s="119"/>
    </row>
    <row r="686" ht="22.5" customHeight="1">
      <c r="A686" s="24"/>
      <c r="B686" s="71"/>
      <c r="C686" s="71"/>
      <c r="D686" s="71"/>
      <c r="E686" s="25"/>
      <c r="F686" s="138"/>
      <c r="G686" s="138"/>
      <c r="H686" s="119"/>
    </row>
    <row r="687" ht="22.5" customHeight="1">
      <c r="A687" s="24"/>
      <c r="B687" s="71"/>
      <c r="C687" s="71"/>
      <c r="D687" s="71"/>
      <c r="E687" s="25"/>
      <c r="F687" s="138"/>
      <c r="G687" s="138"/>
      <c r="H687" s="119"/>
    </row>
    <row r="688" ht="22.5" customHeight="1">
      <c r="A688" s="24"/>
      <c r="B688" s="71"/>
      <c r="C688" s="71"/>
      <c r="D688" s="71"/>
      <c r="E688" s="25"/>
      <c r="F688" s="138"/>
      <c r="G688" s="138"/>
      <c r="H688" s="119"/>
    </row>
    <row r="689" ht="22.5" customHeight="1">
      <c r="A689" s="24"/>
      <c r="B689" s="71"/>
      <c r="C689" s="71"/>
      <c r="D689" s="71"/>
      <c r="E689" s="25"/>
      <c r="F689" s="138"/>
      <c r="G689" s="138"/>
      <c r="H689" s="119"/>
    </row>
    <row r="690" ht="22.5" customHeight="1">
      <c r="A690" s="24"/>
      <c r="B690" s="71"/>
      <c r="C690" s="71"/>
      <c r="D690" s="71"/>
      <c r="E690" s="25"/>
      <c r="F690" s="138"/>
      <c r="G690" s="138"/>
      <c r="H690" s="119"/>
    </row>
    <row r="691" ht="22.5" customHeight="1">
      <c r="A691" s="24"/>
      <c r="B691" s="71"/>
      <c r="C691" s="71"/>
      <c r="D691" s="71"/>
      <c r="E691" s="25"/>
      <c r="F691" s="138"/>
      <c r="G691" s="138"/>
      <c r="H691" s="119"/>
    </row>
    <row r="692" ht="22.5" customHeight="1">
      <c r="A692" s="24"/>
      <c r="B692" s="71"/>
      <c r="C692" s="71"/>
      <c r="D692" s="71"/>
      <c r="E692" s="25"/>
      <c r="F692" s="138"/>
      <c r="G692" s="138"/>
      <c r="H692" s="119"/>
    </row>
    <row r="693" ht="22.5" customHeight="1">
      <c r="A693" s="24"/>
      <c r="B693" s="71"/>
      <c r="C693" s="71"/>
      <c r="D693" s="71"/>
      <c r="E693" s="25"/>
      <c r="F693" s="138"/>
      <c r="G693" s="138"/>
      <c r="H693" s="119"/>
    </row>
    <row r="694" ht="22.5" customHeight="1">
      <c r="A694" s="24"/>
      <c r="B694" s="71"/>
      <c r="C694" s="71"/>
      <c r="D694" s="71"/>
      <c r="E694" s="25"/>
      <c r="F694" s="138"/>
      <c r="G694" s="138"/>
      <c r="H694" s="119"/>
    </row>
    <row r="695" ht="22.5" customHeight="1">
      <c r="A695" s="24"/>
      <c r="B695" s="71"/>
      <c r="C695" s="71"/>
      <c r="D695" s="71"/>
      <c r="E695" s="25"/>
      <c r="F695" s="138"/>
      <c r="G695" s="138"/>
      <c r="H695" s="119"/>
    </row>
    <row r="696" ht="22.5" customHeight="1">
      <c r="A696" s="24"/>
      <c r="B696" s="71"/>
      <c r="C696" s="71"/>
      <c r="D696" s="71"/>
      <c r="E696" s="25"/>
      <c r="F696" s="138"/>
      <c r="G696" s="138"/>
      <c r="H696" s="119"/>
    </row>
    <row r="697" ht="22.5" customHeight="1">
      <c r="A697" s="24"/>
      <c r="B697" s="71"/>
      <c r="C697" s="71"/>
      <c r="D697" s="71"/>
      <c r="E697" s="25"/>
      <c r="F697" s="138"/>
      <c r="G697" s="138"/>
      <c r="H697" s="119"/>
    </row>
    <row r="698" ht="22.5" customHeight="1">
      <c r="A698" s="24"/>
      <c r="B698" s="71"/>
      <c r="C698" s="71"/>
      <c r="D698" s="71"/>
      <c r="E698" s="25"/>
      <c r="F698" s="138"/>
      <c r="G698" s="138"/>
      <c r="H698" s="119"/>
    </row>
    <row r="699" ht="22.5" customHeight="1">
      <c r="A699" s="24"/>
      <c r="B699" s="71"/>
      <c r="C699" s="71"/>
      <c r="D699" s="71"/>
      <c r="E699" s="25"/>
      <c r="F699" s="138"/>
      <c r="G699" s="138"/>
      <c r="H699" s="119"/>
    </row>
    <row r="700" ht="22.5" customHeight="1">
      <c r="A700" s="24"/>
      <c r="B700" s="71"/>
      <c r="C700" s="71"/>
      <c r="D700" s="71"/>
      <c r="E700" s="25"/>
      <c r="F700" s="138"/>
      <c r="G700" s="138"/>
      <c r="H700" s="119"/>
    </row>
    <row r="701" ht="22.5" customHeight="1">
      <c r="A701" s="24"/>
      <c r="B701" s="71"/>
      <c r="C701" s="71"/>
      <c r="D701" s="71"/>
      <c r="E701" s="25"/>
      <c r="F701" s="138"/>
      <c r="G701" s="138"/>
      <c r="H701" s="119"/>
    </row>
    <row r="702" ht="22.5" customHeight="1">
      <c r="A702" s="24"/>
      <c r="B702" s="71"/>
      <c r="C702" s="71"/>
      <c r="D702" s="71"/>
      <c r="E702" s="25"/>
      <c r="F702" s="138"/>
      <c r="G702" s="138"/>
      <c r="H702" s="119"/>
    </row>
    <row r="703" ht="22.5" customHeight="1">
      <c r="A703" s="24"/>
      <c r="B703" s="71"/>
      <c r="C703" s="71"/>
      <c r="D703" s="71"/>
      <c r="E703" s="25"/>
      <c r="F703" s="138"/>
      <c r="G703" s="138"/>
      <c r="H703" s="119"/>
    </row>
    <row r="704" ht="22.5" customHeight="1">
      <c r="A704" s="24"/>
      <c r="B704" s="71"/>
      <c r="C704" s="71"/>
      <c r="D704" s="71"/>
      <c r="E704" s="25"/>
      <c r="F704" s="138"/>
      <c r="G704" s="138"/>
      <c r="H704" s="119"/>
    </row>
    <row r="705" ht="22.5" customHeight="1">
      <c r="A705" s="24"/>
      <c r="B705" s="71"/>
      <c r="C705" s="71"/>
      <c r="D705" s="71"/>
      <c r="E705" s="25"/>
      <c r="F705" s="138"/>
      <c r="G705" s="138"/>
      <c r="H705" s="119"/>
    </row>
    <row r="706" ht="22.5" customHeight="1">
      <c r="A706" s="24"/>
      <c r="B706" s="71"/>
      <c r="C706" s="71"/>
      <c r="D706" s="71"/>
      <c r="E706" s="25"/>
      <c r="F706" s="138"/>
      <c r="G706" s="138"/>
      <c r="H706" s="119"/>
    </row>
    <row r="707" ht="22.5" customHeight="1">
      <c r="A707" s="24"/>
      <c r="B707" s="71"/>
      <c r="C707" s="71"/>
      <c r="D707" s="71"/>
      <c r="E707" s="25"/>
      <c r="F707" s="138"/>
      <c r="G707" s="138"/>
      <c r="H707" s="119"/>
    </row>
    <row r="708" ht="22.5" customHeight="1">
      <c r="A708" s="24"/>
      <c r="B708" s="71"/>
      <c r="C708" s="71"/>
      <c r="D708" s="71"/>
      <c r="E708" s="25"/>
      <c r="F708" s="138"/>
      <c r="G708" s="138"/>
      <c r="H708" s="119"/>
    </row>
    <row r="709" ht="22.5" customHeight="1">
      <c r="A709" s="24"/>
      <c r="B709" s="71"/>
      <c r="C709" s="71"/>
      <c r="D709" s="71"/>
      <c r="E709" s="25"/>
      <c r="F709" s="138"/>
      <c r="G709" s="138"/>
      <c r="H709" s="119"/>
    </row>
    <row r="710" ht="22.5" customHeight="1">
      <c r="A710" s="24"/>
      <c r="B710" s="71"/>
      <c r="C710" s="71"/>
      <c r="D710" s="71"/>
      <c r="E710" s="25"/>
      <c r="F710" s="138"/>
      <c r="G710" s="138"/>
      <c r="H710" s="119"/>
    </row>
    <row r="711" ht="22.5" customHeight="1">
      <c r="A711" s="24"/>
      <c r="B711" s="71"/>
      <c r="C711" s="71"/>
      <c r="D711" s="71"/>
      <c r="E711" s="25"/>
      <c r="F711" s="138"/>
      <c r="G711" s="138"/>
      <c r="H711" s="119"/>
    </row>
    <row r="712" ht="22.5" customHeight="1">
      <c r="A712" s="24"/>
      <c r="B712" s="71"/>
      <c r="C712" s="71"/>
      <c r="D712" s="71"/>
      <c r="E712" s="25"/>
      <c r="F712" s="138"/>
      <c r="G712" s="138"/>
      <c r="H712" s="119"/>
    </row>
    <row r="713" ht="22.5" customHeight="1">
      <c r="A713" s="24"/>
      <c r="B713" s="71"/>
      <c r="C713" s="71"/>
      <c r="D713" s="71"/>
      <c r="E713" s="25"/>
      <c r="F713" s="138"/>
      <c r="G713" s="138"/>
      <c r="H713" s="119"/>
    </row>
    <row r="714" ht="22.5" customHeight="1">
      <c r="A714" s="24"/>
      <c r="B714" s="71"/>
      <c r="C714" s="71"/>
      <c r="D714" s="71"/>
      <c r="E714" s="25"/>
      <c r="F714" s="138"/>
      <c r="G714" s="138"/>
      <c r="H714" s="119"/>
    </row>
    <row r="715" ht="22.5" customHeight="1">
      <c r="A715" s="24"/>
      <c r="B715" s="71"/>
      <c r="C715" s="71"/>
      <c r="D715" s="71"/>
      <c r="E715" s="25"/>
      <c r="F715" s="138"/>
      <c r="G715" s="138"/>
      <c r="H715" s="119"/>
    </row>
    <row r="716" ht="22.5" customHeight="1">
      <c r="A716" s="24"/>
      <c r="B716" s="71"/>
      <c r="C716" s="71"/>
      <c r="D716" s="71"/>
      <c r="E716" s="25"/>
      <c r="F716" s="138"/>
      <c r="G716" s="138"/>
      <c r="H716" s="119"/>
    </row>
    <row r="717" ht="22.5" customHeight="1">
      <c r="A717" s="24"/>
      <c r="B717" s="71"/>
      <c r="C717" s="71"/>
      <c r="D717" s="71"/>
      <c r="E717" s="25"/>
      <c r="F717" s="138"/>
      <c r="G717" s="138"/>
      <c r="H717" s="119"/>
    </row>
    <row r="718" ht="22.5" customHeight="1">
      <c r="A718" s="24"/>
      <c r="B718" s="71"/>
      <c r="C718" s="71"/>
      <c r="D718" s="71"/>
      <c r="E718" s="25"/>
      <c r="F718" s="138"/>
      <c r="G718" s="138"/>
      <c r="H718" s="119"/>
    </row>
    <row r="719" ht="22.5" customHeight="1">
      <c r="A719" s="24"/>
      <c r="B719" s="71"/>
      <c r="C719" s="71"/>
      <c r="D719" s="71"/>
      <c r="E719" s="25"/>
      <c r="F719" s="138"/>
      <c r="G719" s="138"/>
      <c r="H719" s="119"/>
    </row>
    <row r="720" ht="22.5" customHeight="1">
      <c r="A720" s="24"/>
      <c r="B720" s="71"/>
      <c r="C720" s="71"/>
      <c r="D720" s="71"/>
      <c r="E720" s="25"/>
      <c r="F720" s="138"/>
      <c r="G720" s="138"/>
      <c r="H720" s="119"/>
    </row>
    <row r="721" ht="22.5" customHeight="1">
      <c r="A721" s="24"/>
      <c r="B721" s="71"/>
      <c r="C721" s="71"/>
      <c r="D721" s="71"/>
      <c r="E721" s="25"/>
      <c r="F721" s="138"/>
      <c r="G721" s="138"/>
      <c r="H721" s="119"/>
    </row>
    <row r="722" ht="22.5" customHeight="1">
      <c r="A722" s="24"/>
      <c r="B722" s="71"/>
      <c r="C722" s="71"/>
      <c r="D722" s="71"/>
      <c r="E722" s="25"/>
      <c r="F722" s="138"/>
      <c r="G722" s="138"/>
      <c r="H722" s="119"/>
    </row>
    <row r="723" ht="22.5" customHeight="1">
      <c r="A723" s="24"/>
      <c r="B723" s="71"/>
      <c r="C723" s="71"/>
      <c r="D723" s="71"/>
      <c r="E723" s="25"/>
      <c r="F723" s="138"/>
      <c r="G723" s="138"/>
      <c r="H723" s="119"/>
    </row>
    <row r="724" ht="22.5" customHeight="1">
      <c r="A724" s="24"/>
      <c r="B724" s="71"/>
      <c r="C724" s="71"/>
      <c r="D724" s="71"/>
      <c r="E724" s="25"/>
      <c r="F724" s="138"/>
      <c r="G724" s="138"/>
      <c r="H724" s="119"/>
    </row>
    <row r="725" ht="22.5" customHeight="1">
      <c r="A725" s="24"/>
      <c r="B725" s="71"/>
      <c r="C725" s="71"/>
      <c r="D725" s="71"/>
      <c r="E725" s="25"/>
      <c r="F725" s="138"/>
      <c r="G725" s="138"/>
      <c r="H725" s="119"/>
    </row>
    <row r="726" ht="22.5" customHeight="1">
      <c r="A726" s="24"/>
      <c r="B726" s="71"/>
      <c r="C726" s="71"/>
      <c r="D726" s="71"/>
      <c r="E726" s="25"/>
      <c r="F726" s="138"/>
      <c r="G726" s="138"/>
      <c r="H726" s="119"/>
    </row>
    <row r="727" ht="22.5" customHeight="1">
      <c r="A727" s="24"/>
      <c r="B727" s="71"/>
      <c r="C727" s="71"/>
      <c r="D727" s="71"/>
      <c r="E727" s="25"/>
      <c r="F727" s="138"/>
      <c r="G727" s="138"/>
      <c r="H727" s="119"/>
    </row>
    <row r="728" ht="22.5" customHeight="1">
      <c r="A728" s="24"/>
      <c r="B728" s="71"/>
      <c r="C728" s="71"/>
      <c r="D728" s="71"/>
      <c r="E728" s="25"/>
      <c r="F728" s="138"/>
      <c r="G728" s="138"/>
      <c r="H728" s="119"/>
    </row>
    <row r="729" ht="22.5" customHeight="1">
      <c r="A729" s="24"/>
      <c r="B729" s="71"/>
      <c r="C729" s="71"/>
      <c r="D729" s="71"/>
      <c r="E729" s="25"/>
      <c r="F729" s="138"/>
      <c r="G729" s="138"/>
      <c r="H729" s="119"/>
    </row>
    <row r="730" ht="22.5" customHeight="1">
      <c r="A730" s="24"/>
      <c r="B730" s="71"/>
      <c r="C730" s="71"/>
      <c r="D730" s="71"/>
      <c r="E730" s="25"/>
      <c r="F730" s="138"/>
      <c r="G730" s="138"/>
      <c r="H730" s="119"/>
    </row>
    <row r="731" ht="22.5" customHeight="1">
      <c r="A731" s="24"/>
      <c r="B731" s="71"/>
      <c r="C731" s="71"/>
      <c r="D731" s="71"/>
      <c r="E731" s="25"/>
      <c r="F731" s="138"/>
      <c r="G731" s="138"/>
      <c r="H731" s="119"/>
    </row>
    <row r="732" ht="22.5" customHeight="1">
      <c r="A732" s="24"/>
      <c r="B732" s="71"/>
      <c r="C732" s="71"/>
      <c r="D732" s="71"/>
      <c r="E732" s="25"/>
      <c r="F732" s="138"/>
      <c r="G732" s="138"/>
      <c r="H732" s="119"/>
    </row>
    <row r="733" ht="22.5" customHeight="1">
      <c r="A733" s="24"/>
      <c r="B733" s="71"/>
      <c r="C733" s="71"/>
      <c r="D733" s="71"/>
      <c r="E733" s="25"/>
      <c r="F733" s="138"/>
      <c r="G733" s="138"/>
      <c r="H733" s="119"/>
    </row>
    <row r="734" ht="22.5" customHeight="1">
      <c r="A734" s="24"/>
      <c r="B734" s="71"/>
      <c r="C734" s="71"/>
      <c r="D734" s="71"/>
      <c r="E734" s="25"/>
      <c r="F734" s="138"/>
      <c r="G734" s="138"/>
      <c r="H734" s="119"/>
    </row>
    <row r="735" ht="22.5" customHeight="1">
      <c r="A735" s="24"/>
      <c r="B735" s="71"/>
      <c r="C735" s="71"/>
      <c r="D735" s="71"/>
      <c r="E735" s="25"/>
      <c r="F735" s="138"/>
      <c r="G735" s="138"/>
      <c r="H735" s="119"/>
    </row>
    <row r="736" ht="22.5" customHeight="1">
      <c r="A736" s="24"/>
      <c r="B736" s="71"/>
      <c r="C736" s="71"/>
      <c r="D736" s="71"/>
      <c r="E736" s="25"/>
      <c r="F736" s="138"/>
      <c r="G736" s="138"/>
      <c r="H736" s="119"/>
    </row>
    <row r="737" ht="22.5" customHeight="1">
      <c r="A737" s="24"/>
      <c r="B737" s="71"/>
      <c r="C737" s="71"/>
      <c r="D737" s="71"/>
      <c r="E737" s="25"/>
      <c r="F737" s="138"/>
      <c r="G737" s="138"/>
      <c r="H737" s="119"/>
    </row>
    <row r="738" ht="22.5" customHeight="1">
      <c r="A738" s="24"/>
      <c r="B738" s="71"/>
      <c r="C738" s="71"/>
      <c r="D738" s="71"/>
      <c r="E738" s="25"/>
      <c r="F738" s="138"/>
      <c r="G738" s="138"/>
      <c r="H738" s="119"/>
    </row>
    <row r="739" ht="22.5" customHeight="1">
      <c r="A739" s="24"/>
      <c r="B739" s="71"/>
      <c r="C739" s="71"/>
      <c r="D739" s="71"/>
      <c r="E739" s="25"/>
      <c r="F739" s="138"/>
      <c r="G739" s="138"/>
      <c r="H739" s="119"/>
    </row>
    <row r="740" ht="22.5" customHeight="1">
      <c r="A740" s="24"/>
      <c r="B740" s="71"/>
      <c r="C740" s="71"/>
      <c r="D740" s="71"/>
      <c r="E740" s="25"/>
      <c r="F740" s="138"/>
      <c r="G740" s="138"/>
      <c r="H740" s="119"/>
    </row>
    <row r="741" ht="22.5" customHeight="1">
      <c r="A741" s="24"/>
      <c r="B741" s="71"/>
      <c r="C741" s="71"/>
      <c r="D741" s="71"/>
      <c r="E741" s="25"/>
      <c r="F741" s="138"/>
      <c r="G741" s="138"/>
      <c r="H741" s="119"/>
    </row>
    <row r="742" ht="22.5" customHeight="1">
      <c r="A742" s="24"/>
      <c r="B742" s="71"/>
      <c r="C742" s="71"/>
      <c r="D742" s="71"/>
      <c r="E742" s="25"/>
      <c r="F742" s="138"/>
      <c r="G742" s="138"/>
      <c r="H742" s="119"/>
    </row>
    <row r="743" ht="22.5" customHeight="1">
      <c r="A743" s="24"/>
      <c r="B743" s="71"/>
      <c r="C743" s="71"/>
      <c r="D743" s="71"/>
      <c r="E743" s="25"/>
      <c r="F743" s="138"/>
      <c r="G743" s="138"/>
      <c r="H743" s="119"/>
    </row>
    <row r="744" ht="22.5" customHeight="1">
      <c r="A744" s="24"/>
      <c r="B744" s="71"/>
      <c r="C744" s="71"/>
      <c r="D744" s="71"/>
      <c r="E744" s="25"/>
      <c r="F744" s="138"/>
      <c r="G744" s="138"/>
      <c r="H744" s="119"/>
    </row>
    <row r="745" ht="22.5" customHeight="1">
      <c r="A745" s="24"/>
      <c r="B745" s="71"/>
      <c r="C745" s="71"/>
      <c r="D745" s="71"/>
      <c r="E745" s="25"/>
      <c r="F745" s="138"/>
      <c r="G745" s="138"/>
      <c r="H745" s="119"/>
    </row>
    <row r="746" ht="22.5" customHeight="1">
      <c r="A746" s="24"/>
      <c r="B746" s="71"/>
      <c r="C746" s="71"/>
      <c r="D746" s="71"/>
      <c r="E746" s="25"/>
      <c r="F746" s="138"/>
      <c r="G746" s="138"/>
      <c r="H746" s="119"/>
    </row>
    <row r="747" ht="22.5" customHeight="1">
      <c r="A747" s="24"/>
      <c r="B747" s="71"/>
      <c r="C747" s="71"/>
      <c r="D747" s="71"/>
      <c r="E747" s="25"/>
      <c r="F747" s="138"/>
      <c r="G747" s="138"/>
      <c r="H747" s="119"/>
    </row>
    <row r="748" ht="22.5" customHeight="1">
      <c r="A748" s="24"/>
      <c r="B748" s="71"/>
      <c r="C748" s="71"/>
      <c r="D748" s="71"/>
      <c r="E748" s="25"/>
      <c r="F748" s="138"/>
      <c r="G748" s="138"/>
      <c r="H748" s="119"/>
    </row>
    <row r="749" ht="22.5" customHeight="1">
      <c r="A749" s="24"/>
      <c r="B749" s="71"/>
      <c r="C749" s="71"/>
      <c r="D749" s="71"/>
      <c r="E749" s="25"/>
      <c r="F749" s="138"/>
      <c r="G749" s="138"/>
      <c r="H749" s="119"/>
    </row>
    <row r="750" ht="22.5" customHeight="1">
      <c r="A750" s="24"/>
      <c r="B750" s="71"/>
      <c r="C750" s="71"/>
      <c r="D750" s="71"/>
      <c r="E750" s="25"/>
      <c r="F750" s="138"/>
      <c r="G750" s="138"/>
      <c r="H750" s="119"/>
    </row>
    <row r="751" ht="22.5" customHeight="1">
      <c r="A751" s="24"/>
      <c r="B751" s="71"/>
      <c r="C751" s="71"/>
      <c r="D751" s="71"/>
      <c r="E751" s="25"/>
      <c r="F751" s="138"/>
      <c r="G751" s="138"/>
      <c r="H751" s="119"/>
    </row>
    <row r="752" ht="22.5" customHeight="1">
      <c r="A752" s="24"/>
      <c r="B752" s="71"/>
      <c r="C752" s="71"/>
      <c r="D752" s="71"/>
      <c r="E752" s="25"/>
      <c r="F752" s="138"/>
      <c r="G752" s="138"/>
      <c r="H752" s="119"/>
    </row>
    <row r="753" ht="22.5" customHeight="1">
      <c r="A753" s="24"/>
      <c r="B753" s="71"/>
      <c r="C753" s="71"/>
      <c r="D753" s="71"/>
      <c r="E753" s="25"/>
      <c r="F753" s="138"/>
      <c r="G753" s="138"/>
      <c r="H753" s="119"/>
    </row>
    <row r="754" ht="22.5" customHeight="1">
      <c r="A754" s="24"/>
      <c r="B754" s="71"/>
      <c r="C754" s="71"/>
      <c r="D754" s="71"/>
      <c r="E754" s="25"/>
      <c r="F754" s="138"/>
      <c r="G754" s="138"/>
      <c r="H754" s="119"/>
    </row>
    <row r="755" ht="22.5" customHeight="1">
      <c r="A755" s="24"/>
      <c r="B755" s="71"/>
      <c r="C755" s="71"/>
      <c r="D755" s="71"/>
      <c r="E755" s="25"/>
      <c r="F755" s="138"/>
      <c r="G755" s="138"/>
      <c r="H755" s="119"/>
    </row>
    <row r="756" ht="22.5" customHeight="1">
      <c r="A756" s="24"/>
      <c r="B756" s="71"/>
      <c r="C756" s="71"/>
      <c r="D756" s="71"/>
      <c r="E756" s="25"/>
      <c r="F756" s="138"/>
      <c r="G756" s="138"/>
      <c r="H756" s="119"/>
    </row>
    <row r="757" ht="22.5" customHeight="1">
      <c r="A757" s="24"/>
      <c r="B757" s="71"/>
      <c r="C757" s="71"/>
      <c r="D757" s="71"/>
      <c r="E757" s="25"/>
      <c r="F757" s="138"/>
      <c r="G757" s="138"/>
      <c r="H757" s="119"/>
    </row>
    <row r="758" ht="22.5" customHeight="1">
      <c r="A758" s="24"/>
      <c r="B758" s="71"/>
      <c r="C758" s="71"/>
      <c r="D758" s="71"/>
      <c r="E758" s="25"/>
      <c r="F758" s="138"/>
      <c r="G758" s="138"/>
      <c r="H758" s="119"/>
    </row>
    <row r="759" ht="22.5" customHeight="1">
      <c r="A759" s="24"/>
      <c r="B759" s="71"/>
      <c r="C759" s="71"/>
      <c r="D759" s="71"/>
      <c r="E759" s="25"/>
      <c r="F759" s="138"/>
      <c r="G759" s="138"/>
      <c r="H759" s="119"/>
    </row>
    <row r="760" ht="22.5" customHeight="1">
      <c r="A760" s="24"/>
      <c r="B760" s="71"/>
      <c r="C760" s="71"/>
      <c r="D760" s="71"/>
      <c r="E760" s="25"/>
      <c r="F760" s="138"/>
      <c r="G760" s="138"/>
      <c r="H760" s="119"/>
    </row>
    <row r="761" ht="22.5" customHeight="1">
      <c r="A761" s="24"/>
      <c r="B761" s="71"/>
      <c r="C761" s="71"/>
      <c r="D761" s="71"/>
      <c r="E761" s="25"/>
      <c r="F761" s="138"/>
      <c r="G761" s="138"/>
      <c r="H761" s="119"/>
    </row>
    <row r="762" ht="22.5" customHeight="1">
      <c r="A762" s="24"/>
      <c r="B762" s="71"/>
      <c r="C762" s="71"/>
      <c r="D762" s="71"/>
      <c r="E762" s="25"/>
      <c r="F762" s="138"/>
      <c r="G762" s="138"/>
      <c r="H762" s="119"/>
    </row>
    <row r="763" ht="22.5" customHeight="1">
      <c r="A763" s="24"/>
      <c r="B763" s="71"/>
      <c r="C763" s="71"/>
      <c r="D763" s="71"/>
      <c r="E763" s="25"/>
      <c r="F763" s="138"/>
      <c r="G763" s="138"/>
      <c r="H763" s="119"/>
    </row>
    <row r="764" ht="22.5" customHeight="1">
      <c r="A764" s="24"/>
      <c r="B764" s="71"/>
      <c r="C764" s="71"/>
      <c r="D764" s="71"/>
      <c r="E764" s="25"/>
      <c r="F764" s="138"/>
      <c r="G764" s="138"/>
      <c r="H764" s="119"/>
    </row>
    <row r="765" ht="22.5" customHeight="1">
      <c r="A765" s="24"/>
      <c r="B765" s="71"/>
      <c r="C765" s="71"/>
      <c r="D765" s="71"/>
      <c r="E765" s="25"/>
      <c r="F765" s="138"/>
      <c r="G765" s="138"/>
      <c r="H765" s="119"/>
    </row>
    <row r="766" ht="22.5" customHeight="1">
      <c r="A766" s="24"/>
      <c r="B766" s="71"/>
      <c r="C766" s="71"/>
      <c r="D766" s="71"/>
      <c r="E766" s="25"/>
      <c r="F766" s="138"/>
      <c r="G766" s="138"/>
      <c r="H766" s="119"/>
    </row>
    <row r="767" ht="22.5" customHeight="1">
      <c r="A767" s="24"/>
      <c r="B767" s="71"/>
      <c r="C767" s="71"/>
      <c r="D767" s="71"/>
      <c r="E767" s="25"/>
      <c r="F767" s="138"/>
      <c r="G767" s="138"/>
      <c r="H767" s="119"/>
    </row>
    <row r="768" ht="22.5" customHeight="1">
      <c r="A768" s="24"/>
      <c r="B768" s="71"/>
      <c r="C768" s="71"/>
      <c r="D768" s="71"/>
      <c r="E768" s="25"/>
      <c r="F768" s="138"/>
      <c r="G768" s="138"/>
      <c r="H768" s="119"/>
    </row>
    <row r="769" ht="22.5" customHeight="1">
      <c r="A769" s="24"/>
      <c r="B769" s="71"/>
      <c r="C769" s="71"/>
      <c r="D769" s="71"/>
      <c r="E769" s="25"/>
      <c r="F769" s="138"/>
      <c r="G769" s="138"/>
      <c r="H769" s="119"/>
    </row>
    <row r="770" ht="22.5" customHeight="1">
      <c r="A770" s="24"/>
      <c r="B770" s="71"/>
      <c r="C770" s="71"/>
      <c r="D770" s="71"/>
      <c r="E770" s="25"/>
      <c r="F770" s="138"/>
      <c r="G770" s="138"/>
      <c r="H770" s="119"/>
    </row>
    <row r="771" ht="22.5" customHeight="1">
      <c r="A771" s="24"/>
      <c r="B771" s="71"/>
      <c r="C771" s="71"/>
      <c r="D771" s="71"/>
      <c r="E771" s="25"/>
      <c r="F771" s="138"/>
      <c r="G771" s="138"/>
      <c r="H771" s="119"/>
    </row>
    <row r="772" ht="22.5" customHeight="1">
      <c r="A772" s="24"/>
      <c r="B772" s="71"/>
      <c r="C772" s="71"/>
      <c r="D772" s="71"/>
      <c r="E772" s="25"/>
      <c r="F772" s="138"/>
      <c r="G772" s="138"/>
      <c r="H772" s="119"/>
    </row>
    <row r="773" ht="22.5" customHeight="1">
      <c r="A773" s="24"/>
      <c r="B773" s="71"/>
      <c r="C773" s="71"/>
      <c r="D773" s="71"/>
      <c r="E773" s="25"/>
      <c r="F773" s="138"/>
      <c r="G773" s="138"/>
      <c r="H773" s="119"/>
    </row>
    <row r="774" ht="22.5" customHeight="1">
      <c r="A774" s="24"/>
      <c r="B774" s="71"/>
      <c r="C774" s="71"/>
      <c r="D774" s="71"/>
      <c r="E774" s="25"/>
      <c r="F774" s="138"/>
      <c r="G774" s="138"/>
      <c r="H774" s="119"/>
    </row>
    <row r="775" ht="22.5" customHeight="1">
      <c r="A775" s="24"/>
      <c r="B775" s="71"/>
      <c r="C775" s="71"/>
      <c r="D775" s="71"/>
      <c r="E775" s="25"/>
      <c r="F775" s="138"/>
      <c r="G775" s="138"/>
      <c r="H775" s="119"/>
    </row>
    <row r="776" ht="22.5" customHeight="1">
      <c r="A776" s="24"/>
      <c r="B776" s="71"/>
      <c r="C776" s="71"/>
      <c r="D776" s="71"/>
      <c r="E776" s="25"/>
      <c r="F776" s="138"/>
      <c r="G776" s="138"/>
      <c r="H776" s="119"/>
    </row>
    <row r="777" ht="22.5" customHeight="1">
      <c r="A777" s="24"/>
      <c r="B777" s="71"/>
      <c r="C777" s="71"/>
      <c r="D777" s="71"/>
      <c r="E777" s="25"/>
      <c r="F777" s="138"/>
      <c r="G777" s="138"/>
      <c r="H777" s="119"/>
    </row>
    <row r="778" ht="22.5" customHeight="1">
      <c r="A778" s="24"/>
      <c r="B778" s="71"/>
      <c r="C778" s="71"/>
      <c r="D778" s="71"/>
      <c r="E778" s="25"/>
      <c r="F778" s="138"/>
      <c r="G778" s="138"/>
      <c r="H778" s="119"/>
    </row>
    <row r="779" ht="22.5" customHeight="1">
      <c r="A779" s="24"/>
      <c r="B779" s="71"/>
      <c r="C779" s="71"/>
      <c r="D779" s="71"/>
      <c r="E779" s="25"/>
      <c r="F779" s="138"/>
      <c r="G779" s="138"/>
      <c r="H779" s="119"/>
    </row>
    <row r="780" ht="22.5" customHeight="1">
      <c r="A780" s="24"/>
      <c r="B780" s="71"/>
      <c r="C780" s="71"/>
      <c r="D780" s="71"/>
      <c r="E780" s="25"/>
      <c r="F780" s="138"/>
      <c r="G780" s="138"/>
      <c r="H780" s="119"/>
    </row>
    <row r="781" ht="22.5" customHeight="1">
      <c r="A781" s="24"/>
      <c r="B781" s="71"/>
      <c r="C781" s="71"/>
      <c r="D781" s="71"/>
      <c r="E781" s="25"/>
      <c r="F781" s="138"/>
      <c r="G781" s="138"/>
      <c r="H781" s="119"/>
    </row>
    <row r="782" ht="22.5" customHeight="1">
      <c r="A782" s="24"/>
      <c r="B782" s="71"/>
      <c r="C782" s="71"/>
      <c r="D782" s="71"/>
      <c r="E782" s="25"/>
      <c r="F782" s="138"/>
      <c r="G782" s="138"/>
      <c r="H782" s="119"/>
    </row>
    <row r="783" ht="22.5" customHeight="1">
      <c r="A783" s="24"/>
      <c r="B783" s="71"/>
      <c r="C783" s="71"/>
      <c r="D783" s="71"/>
      <c r="E783" s="25"/>
      <c r="F783" s="138"/>
      <c r="G783" s="138"/>
      <c r="H783" s="119"/>
    </row>
    <row r="784" ht="22.5" customHeight="1">
      <c r="A784" s="24"/>
      <c r="B784" s="71"/>
      <c r="C784" s="71"/>
      <c r="D784" s="71"/>
      <c r="E784" s="25"/>
      <c r="F784" s="138"/>
      <c r="G784" s="138"/>
      <c r="H784" s="119"/>
    </row>
    <row r="785" ht="22.5" customHeight="1">
      <c r="A785" s="24"/>
      <c r="B785" s="71"/>
      <c r="C785" s="71"/>
      <c r="D785" s="71"/>
      <c r="E785" s="25"/>
      <c r="F785" s="138"/>
      <c r="G785" s="138"/>
      <c r="H785" s="119"/>
    </row>
    <row r="786" ht="22.5" customHeight="1">
      <c r="A786" s="24"/>
      <c r="B786" s="71"/>
      <c r="C786" s="71"/>
      <c r="D786" s="71"/>
      <c r="E786" s="25"/>
      <c r="F786" s="138"/>
      <c r="G786" s="138"/>
      <c r="H786" s="119"/>
    </row>
    <row r="787" ht="22.5" customHeight="1">
      <c r="A787" s="24"/>
      <c r="B787" s="71"/>
      <c r="C787" s="71"/>
      <c r="D787" s="71"/>
      <c r="E787" s="25"/>
      <c r="F787" s="138"/>
      <c r="G787" s="138"/>
      <c r="H787" s="119"/>
    </row>
    <row r="788" ht="22.5" customHeight="1">
      <c r="A788" s="24"/>
      <c r="B788" s="71"/>
      <c r="C788" s="71"/>
      <c r="D788" s="71"/>
      <c r="E788" s="25"/>
      <c r="F788" s="138"/>
      <c r="G788" s="138"/>
      <c r="H788" s="119"/>
    </row>
    <row r="789" ht="22.5" customHeight="1">
      <c r="A789" s="24"/>
      <c r="B789" s="71"/>
      <c r="C789" s="71"/>
      <c r="D789" s="71"/>
      <c r="E789" s="25"/>
      <c r="F789" s="138"/>
      <c r="G789" s="138"/>
      <c r="H789" s="119"/>
    </row>
    <row r="790" ht="22.5" customHeight="1">
      <c r="A790" s="24"/>
      <c r="B790" s="71"/>
      <c r="C790" s="71"/>
      <c r="D790" s="71"/>
      <c r="E790" s="25"/>
      <c r="F790" s="138"/>
      <c r="G790" s="138"/>
      <c r="H790" s="119"/>
    </row>
    <row r="791" ht="22.5" customHeight="1">
      <c r="A791" s="24"/>
      <c r="B791" s="71"/>
      <c r="C791" s="71"/>
      <c r="D791" s="71"/>
      <c r="E791" s="25"/>
      <c r="F791" s="138"/>
      <c r="G791" s="138"/>
      <c r="H791" s="119"/>
    </row>
    <row r="792" ht="22.5" customHeight="1">
      <c r="A792" s="24"/>
      <c r="B792" s="71"/>
      <c r="C792" s="71"/>
      <c r="D792" s="71"/>
      <c r="E792" s="25"/>
      <c r="F792" s="138"/>
      <c r="G792" s="138"/>
      <c r="H792" s="119"/>
    </row>
    <row r="793" ht="22.5" customHeight="1">
      <c r="A793" s="24"/>
      <c r="B793" s="71"/>
      <c r="C793" s="71"/>
      <c r="D793" s="71"/>
      <c r="E793" s="25"/>
      <c r="F793" s="138"/>
      <c r="G793" s="138"/>
      <c r="H793" s="119"/>
    </row>
    <row r="794" ht="22.5" customHeight="1">
      <c r="A794" s="24"/>
      <c r="B794" s="71"/>
      <c r="C794" s="71"/>
      <c r="D794" s="71"/>
      <c r="E794" s="25"/>
      <c r="F794" s="138"/>
      <c r="G794" s="138"/>
      <c r="H794" s="119"/>
    </row>
    <row r="795" ht="22.5" customHeight="1">
      <c r="A795" s="24"/>
      <c r="B795" s="71"/>
      <c r="C795" s="71"/>
      <c r="D795" s="71"/>
      <c r="E795" s="25"/>
      <c r="F795" s="138"/>
      <c r="G795" s="138"/>
      <c r="H795" s="119"/>
    </row>
    <row r="796" ht="22.5" customHeight="1">
      <c r="A796" s="24"/>
      <c r="B796" s="71"/>
      <c r="C796" s="71"/>
      <c r="D796" s="71"/>
      <c r="E796" s="25"/>
      <c r="F796" s="138"/>
      <c r="G796" s="138"/>
      <c r="H796" s="119"/>
    </row>
    <row r="797" ht="22.5" customHeight="1">
      <c r="A797" s="24"/>
      <c r="B797" s="71"/>
      <c r="C797" s="71"/>
      <c r="D797" s="71"/>
      <c r="E797" s="25"/>
      <c r="F797" s="138"/>
      <c r="G797" s="138"/>
      <c r="H797" s="119"/>
    </row>
    <row r="798" ht="22.5" customHeight="1">
      <c r="A798" s="24"/>
      <c r="B798" s="71"/>
      <c r="C798" s="71"/>
      <c r="D798" s="71"/>
      <c r="E798" s="25"/>
      <c r="F798" s="138"/>
      <c r="G798" s="138"/>
      <c r="H798" s="119"/>
    </row>
    <row r="799" ht="22.5" customHeight="1">
      <c r="A799" s="24"/>
      <c r="B799" s="71"/>
      <c r="C799" s="71"/>
      <c r="D799" s="71"/>
      <c r="E799" s="25"/>
      <c r="F799" s="138"/>
      <c r="G799" s="138"/>
      <c r="H799" s="119"/>
    </row>
    <row r="800" ht="22.5" customHeight="1">
      <c r="A800" s="24"/>
      <c r="B800" s="71"/>
      <c r="C800" s="71"/>
      <c r="D800" s="71"/>
      <c r="E800" s="25"/>
      <c r="F800" s="138"/>
      <c r="G800" s="138"/>
      <c r="H800" s="119"/>
    </row>
    <row r="801" ht="22.5" customHeight="1">
      <c r="A801" s="24"/>
      <c r="B801" s="71"/>
      <c r="C801" s="71"/>
      <c r="D801" s="71"/>
      <c r="E801" s="25"/>
      <c r="F801" s="138"/>
      <c r="G801" s="138"/>
      <c r="H801" s="119"/>
    </row>
    <row r="802" ht="22.5" customHeight="1">
      <c r="A802" s="24"/>
      <c r="B802" s="71"/>
      <c r="C802" s="71"/>
      <c r="D802" s="71"/>
      <c r="E802" s="25"/>
      <c r="F802" s="138"/>
      <c r="G802" s="138"/>
      <c r="H802" s="119"/>
    </row>
    <row r="803" ht="22.5" customHeight="1">
      <c r="A803" s="24"/>
      <c r="B803" s="71"/>
      <c r="C803" s="71"/>
      <c r="D803" s="71"/>
      <c r="E803" s="25"/>
      <c r="F803" s="138"/>
      <c r="G803" s="138"/>
      <c r="H803" s="119"/>
    </row>
    <row r="804" ht="22.5" customHeight="1">
      <c r="A804" s="24"/>
      <c r="B804" s="71"/>
      <c r="C804" s="71"/>
      <c r="D804" s="71"/>
      <c r="E804" s="25"/>
      <c r="F804" s="138"/>
      <c r="G804" s="138"/>
      <c r="H804" s="119"/>
    </row>
    <row r="805" ht="22.5" customHeight="1">
      <c r="A805" s="24"/>
      <c r="B805" s="71"/>
      <c r="C805" s="71"/>
      <c r="D805" s="71"/>
      <c r="E805" s="25"/>
      <c r="F805" s="138"/>
      <c r="G805" s="138"/>
      <c r="H805" s="119"/>
    </row>
    <row r="806" ht="22.5" customHeight="1">
      <c r="A806" s="24"/>
      <c r="B806" s="71"/>
      <c r="C806" s="71"/>
      <c r="D806" s="71"/>
      <c r="E806" s="25"/>
      <c r="F806" s="138"/>
      <c r="G806" s="138"/>
      <c r="H806" s="119"/>
    </row>
    <row r="807" ht="22.5" customHeight="1">
      <c r="A807" s="24"/>
      <c r="B807" s="71"/>
      <c r="C807" s="71"/>
      <c r="D807" s="71"/>
      <c r="E807" s="25"/>
      <c r="F807" s="138"/>
      <c r="G807" s="138"/>
      <c r="H807" s="119"/>
    </row>
    <row r="808" ht="22.5" customHeight="1">
      <c r="A808" s="24"/>
      <c r="B808" s="71"/>
      <c r="C808" s="71"/>
      <c r="D808" s="71"/>
      <c r="E808" s="25"/>
      <c r="F808" s="138"/>
      <c r="G808" s="138"/>
      <c r="H808" s="119"/>
    </row>
    <row r="809" ht="22.5" customHeight="1">
      <c r="A809" s="24"/>
      <c r="B809" s="71"/>
      <c r="C809" s="71"/>
      <c r="D809" s="71"/>
      <c r="E809" s="25"/>
      <c r="F809" s="138"/>
      <c r="G809" s="138"/>
      <c r="H809" s="119"/>
    </row>
    <row r="810" ht="22.5" customHeight="1">
      <c r="A810" s="24"/>
      <c r="B810" s="71"/>
      <c r="C810" s="71"/>
      <c r="D810" s="71"/>
      <c r="E810" s="25"/>
      <c r="F810" s="138"/>
      <c r="G810" s="138"/>
      <c r="H810" s="119"/>
    </row>
    <row r="811" ht="22.5" customHeight="1">
      <c r="A811" s="24"/>
      <c r="B811" s="71"/>
      <c r="C811" s="71"/>
      <c r="D811" s="71"/>
      <c r="E811" s="25"/>
      <c r="F811" s="138"/>
      <c r="G811" s="138"/>
      <c r="H811" s="119"/>
    </row>
    <row r="812" ht="22.5" customHeight="1">
      <c r="A812" s="24"/>
      <c r="B812" s="71"/>
      <c r="C812" s="71"/>
      <c r="D812" s="71"/>
      <c r="E812" s="25"/>
      <c r="F812" s="138"/>
      <c r="G812" s="138"/>
      <c r="H812" s="119"/>
    </row>
    <row r="813" ht="22.5" customHeight="1">
      <c r="A813" s="24"/>
      <c r="B813" s="71"/>
      <c r="C813" s="71"/>
      <c r="D813" s="71"/>
      <c r="E813" s="25"/>
      <c r="F813" s="138"/>
      <c r="G813" s="138"/>
      <c r="H813" s="119"/>
    </row>
    <row r="814" ht="22.5" customHeight="1">
      <c r="A814" s="24"/>
      <c r="B814" s="71"/>
      <c r="C814" s="71"/>
      <c r="D814" s="71"/>
      <c r="E814" s="25"/>
      <c r="F814" s="138"/>
      <c r="G814" s="138"/>
      <c r="H814" s="119"/>
    </row>
    <row r="815" ht="22.5" customHeight="1">
      <c r="A815" s="24"/>
      <c r="B815" s="71"/>
      <c r="C815" s="71"/>
      <c r="D815" s="71"/>
      <c r="E815" s="25"/>
      <c r="F815" s="138"/>
      <c r="G815" s="138"/>
      <c r="H815" s="119"/>
    </row>
    <row r="816" ht="22.5" customHeight="1">
      <c r="A816" s="24"/>
      <c r="B816" s="71"/>
      <c r="C816" s="71"/>
      <c r="D816" s="71"/>
      <c r="E816" s="25"/>
      <c r="F816" s="138"/>
      <c r="G816" s="138"/>
      <c r="H816" s="119"/>
    </row>
    <row r="817" ht="22.5" customHeight="1">
      <c r="A817" s="24"/>
      <c r="B817" s="71"/>
      <c r="C817" s="71"/>
      <c r="D817" s="71"/>
      <c r="E817" s="25"/>
      <c r="F817" s="138"/>
      <c r="G817" s="138"/>
      <c r="H817" s="119"/>
    </row>
    <row r="818" ht="22.5" customHeight="1">
      <c r="A818" s="24"/>
      <c r="B818" s="71"/>
      <c r="C818" s="71"/>
      <c r="D818" s="71"/>
      <c r="E818" s="25"/>
      <c r="F818" s="138"/>
      <c r="G818" s="138"/>
      <c r="H818" s="119"/>
    </row>
    <row r="819" ht="22.5" customHeight="1">
      <c r="A819" s="24"/>
      <c r="B819" s="71"/>
      <c r="C819" s="71"/>
      <c r="D819" s="71"/>
      <c r="E819" s="25"/>
      <c r="F819" s="138"/>
      <c r="G819" s="138"/>
      <c r="H819" s="119"/>
    </row>
    <row r="820" ht="22.5" customHeight="1">
      <c r="A820" s="24"/>
      <c r="B820" s="71"/>
      <c r="C820" s="71"/>
      <c r="D820" s="71"/>
      <c r="E820" s="25"/>
      <c r="F820" s="138"/>
      <c r="G820" s="138"/>
      <c r="H820" s="119"/>
    </row>
    <row r="821" ht="22.5" customHeight="1">
      <c r="A821" s="24"/>
      <c r="B821" s="71"/>
      <c r="C821" s="71"/>
      <c r="D821" s="71"/>
      <c r="E821" s="25"/>
      <c r="F821" s="138"/>
      <c r="G821" s="138"/>
      <c r="H821" s="119"/>
    </row>
    <row r="822" ht="22.5" customHeight="1">
      <c r="A822" s="24"/>
      <c r="B822" s="71"/>
      <c r="C822" s="71"/>
      <c r="D822" s="71"/>
      <c r="E822" s="25"/>
      <c r="F822" s="138"/>
      <c r="G822" s="138"/>
      <c r="H822" s="119"/>
    </row>
    <row r="823" ht="22.5" customHeight="1">
      <c r="A823" s="24"/>
      <c r="B823" s="71"/>
      <c r="C823" s="71"/>
      <c r="D823" s="71"/>
      <c r="E823" s="25"/>
      <c r="F823" s="138"/>
      <c r="G823" s="138"/>
      <c r="H823" s="119"/>
    </row>
    <row r="824" ht="22.5" customHeight="1">
      <c r="A824" s="24"/>
      <c r="B824" s="71"/>
      <c r="C824" s="71"/>
      <c r="D824" s="71"/>
      <c r="E824" s="25"/>
      <c r="F824" s="138"/>
      <c r="G824" s="138"/>
      <c r="H824" s="119"/>
    </row>
    <row r="825" ht="22.5" customHeight="1">
      <c r="A825" s="24"/>
      <c r="B825" s="71"/>
      <c r="C825" s="71"/>
      <c r="D825" s="71"/>
      <c r="E825" s="25"/>
      <c r="F825" s="138"/>
      <c r="G825" s="138"/>
      <c r="H825" s="119"/>
    </row>
    <row r="826" ht="22.5" customHeight="1">
      <c r="A826" s="24"/>
      <c r="B826" s="71"/>
      <c r="C826" s="71"/>
      <c r="D826" s="71"/>
      <c r="E826" s="25"/>
      <c r="F826" s="138"/>
      <c r="G826" s="138"/>
      <c r="H826" s="119"/>
    </row>
    <row r="827" ht="22.5" customHeight="1">
      <c r="A827" s="24"/>
      <c r="B827" s="71"/>
      <c r="C827" s="71"/>
      <c r="D827" s="71"/>
      <c r="E827" s="25"/>
      <c r="F827" s="138"/>
      <c r="G827" s="138"/>
      <c r="H827" s="119"/>
    </row>
    <row r="828" ht="22.5" customHeight="1">
      <c r="A828" s="24"/>
      <c r="B828" s="71"/>
      <c r="C828" s="71"/>
      <c r="D828" s="71"/>
      <c r="E828" s="25"/>
      <c r="F828" s="138"/>
      <c r="G828" s="138"/>
      <c r="H828" s="119"/>
    </row>
    <row r="829" ht="22.5" customHeight="1">
      <c r="A829" s="24"/>
      <c r="B829" s="71"/>
      <c r="C829" s="71"/>
      <c r="D829" s="71"/>
      <c r="E829" s="25"/>
      <c r="F829" s="138"/>
      <c r="G829" s="138"/>
      <c r="H829" s="119"/>
    </row>
    <row r="830" ht="22.5" customHeight="1">
      <c r="A830" s="24"/>
      <c r="B830" s="71"/>
      <c r="C830" s="71"/>
      <c r="D830" s="71"/>
      <c r="E830" s="25"/>
      <c r="F830" s="138"/>
      <c r="G830" s="138"/>
      <c r="H830" s="119"/>
    </row>
    <row r="831" ht="22.5" customHeight="1">
      <c r="A831" s="24"/>
      <c r="B831" s="71"/>
      <c r="C831" s="71"/>
      <c r="D831" s="71"/>
      <c r="E831" s="25"/>
      <c r="F831" s="138"/>
      <c r="G831" s="138"/>
      <c r="H831" s="119"/>
    </row>
    <row r="832" ht="22.5" customHeight="1">
      <c r="A832" s="24"/>
      <c r="B832" s="71"/>
      <c r="C832" s="71"/>
      <c r="D832" s="71"/>
      <c r="E832" s="25"/>
      <c r="F832" s="138"/>
      <c r="G832" s="138"/>
      <c r="H832" s="119"/>
    </row>
    <row r="833" ht="22.5" customHeight="1">
      <c r="A833" s="24"/>
      <c r="B833" s="71"/>
      <c r="C833" s="71"/>
      <c r="D833" s="71"/>
      <c r="E833" s="25"/>
      <c r="F833" s="138"/>
      <c r="G833" s="138"/>
      <c r="H833" s="119"/>
    </row>
    <row r="834" ht="22.5" customHeight="1">
      <c r="A834" s="24"/>
      <c r="B834" s="71"/>
      <c r="C834" s="71"/>
      <c r="D834" s="71"/>
      <c r="E834" s="25"/>
      <c r="F834" s="138"/>
      <c r="G834" s="138"/>
      <c r="H834" s="119"/>
    </row>
    <row r="835" ht="22.5" customHeight="1">
      <c r="A835" s="24"/>
      <c r="B835" s="71"/>
      <c r="C835" s="71"/>
      <c r="D835" s="71"/>
      <c r="E835" s="25"/>
      <c r="F835" s="138"/>
      <c r="G835" s="138"/>
      <c r="H835" s="119"/>
    </row>
    <row r="836" ht="22.5" customHeight="1">
      <c r="A836" s="24"/>
      <c r="B836" s="71"/>
      <c r="C836" s="71"/>
      <c r="D836" s="71"/>
      <c r="E836" s="25"/>
      <c r="F836" s="138"/>
      <c r="G836" s="138"/>
      <c r="H836" s="119"/>
    </row>
    <row r="837" ht="22.5" customHeight="1">
      <c r="A837" s="24"/>
      <c r="B837" s="71"/>
      <c r="C837" s="71"/>
      <c r="D837" s="71"/>
      <c r="E837" s="25"/>
      <c r="F837" s="138"/>
      <c r="G837" s="138"/>
      <c r="H837" s="119"/>
    </row>
    <row r="838" ht="22.5" customHeight="1">
      <c r="A838" s="24"/>
      <c r="B838" s="71"/>
      <c r="C838" s="71"/>
      <c r="D838" s="71"/>
      <c r="E838" s="25"/>
      <c r="F838" s="138"/>
      <c r="G838" s="138"/>
      <c r="H838" s="119"/>
    </row>
    <row r="839" ht="22.5" customHeight="1">
      <c r="A839" s="24"/>
      <c r="B839" s="71"/>
      <c r="C839" s="71"/>
      <c r="D839" s="71"/>
      <c r="E839" s="25"/>
      <c r="F839" s="138"/>
      <c r="G839" s="138"/>
      <c r="H839" s="119"/>
    </row>
    <row r="840" ht="22.5" customHeight="1">
      <c r="A840" s="24"/>
      <c r="B840" s="71"/>
      <c r="C840" s="71"/>
      <c r="D840" s="71"/>
      <c r="E840" s="25"/>
      <c r="F840" s="138"/>
      <c r="G840" s="138"/>
      <c r="H840" s="119"/>
    </row>
    <row r="841" ht="22.5" customHeight="1">
      <c r="A841" s="24"/>
      <c r="B841" s="71"/>
      <c r="C841" s="71"/>
      <c r="D841" s="71"/>
      <c r="E841" s="25"/>
      <c r="F841" s="138"/>
      <c r="G841" s="138"/>
      <c r="H841" s="119"/>
    </row>
    <row r="842" ht="22.5" customHeight="1">
      <c r="A842" s="24"/>
      <c r="B842" s="71"/>
      <c r="C842" s="71"/>
      <c r="D842" s="71"/>
      <c r="E842" s="25"/>
      <c r="F842" s="138"/>
      <c r="G842" s="138"/>
      <c r="H842" s="119"/>
    </row>
    <row r="843" ht="22.5" customHeight="1">
      <c r="A843" s="24"/>
      <c r="B843" s="71"/>
      <c r="C843" s="71"/>
      <c r="D843" s="71"/>
      <c r="E843" s="25"/>
      <c r="F843" s="138"/>
      <c r="G843" s="138"/>
      <c r="H843" s="119"/>
    </row>
    <row r="844" ht="22.5" customHeight="1">
      <c r="A844" s="24"/>
      <c r="B844" s="71"/>
      <c r="C844" s="71"/>
      <c r="D844" s="71"/>
      <c r="E844" s="25"/>
      <c r="F844" s="138"/>
      <c r="G844" s="138"/>
      <c r="H844" s="119"/>
    </row>
    <row r="845" ht="22.5" customHeight="1">
      <c r="A845" s="24"/>
      <c r="B845" s="71"/>
      <c r="C845" s="71"/>
      <c r="D845" s="71"/>
      <c r="E845" s="25"/>
      <c r="F845" s="138"/>
      <c r="G845" s="138"/>
      <c r="H845" s="119"/>
    </row>
    <row r="846" ht="22.5" customHeight="1">
      <c r="A846" s="24"/>
      <c r="B846" s="71"/>
      <c r="C846" s="71"/>
      <c r="D846" s="71"/>
      <c r="E846" s="25"/>
      <c r="F846" s="138"/>
      <c r="G846" s="138"/>
      <c r="H846" s="119"/>
    </row>
    <row r="847" ht="22.5" customHeight="1">
      <c r="A847" s="24"/>
      <c r="B847" s="71"/>
      <c r="C847" s="71"/>
      <c r="D847" s="71"/>
      <c r="E847" s="25"/>
      <c r="F847" s="138"/>
      <c r="G847" s="138"/>
      <c r="H847" s="119"/>
    </row>
    <row r="848" ht="22.5" customHeight="1">
      <c r="A848" s="24"/>
      <c r="B848" s="71"/>
      <c r="C848" s="71"/>
      <c r="D848" s="71"/>
      <c r="E848" s="25"/>
      <c r="F848" s="138"/>
      <c r="G848" s="138"/>
      <c r="H848" s="119"/>
    </row>
    <row r="849" ht="22.5" customHeight="1">
      <c r="A849" s="24"/>
      <c r="B849" s="71"/>
      <c r="C849" s="71"/>
      <c r="D849" s="71"/>
      <c r="E849" s="25"/>
      <c r="F849" s="138"/>
      <c r="G849" s="138"/>
      <c r="H849" s="119"/>
    </row>
    <row r="850" ht="22.5" customHeight="1">
      <c r="A850" s="24"/>
      <c r="B850" s="71"/>
      <c r="C850" s="71"/>
      <c r="D850" s="71"/>
      <c r="E850" s="25"/>
      <c r="F850" s="138"/>
      <c r="G850" s="138"/>
      <c r="H850" s="119"/>
    </row>
    <row r="851" ht="22.5" customHeight="1">
      <c r="A851" s="24"/>
      <c r="B851" s="71"/>
      <c r="C851" s="71"/>
      <c r="D851" s="71"/>
      <c r="E851" s="25"/>
      <c r="F851" s="138"/>
      <c r="G851" s="138"/>
      <c r="H851" s="119"/>
    </row>
    <row r="852" ht="22.5" customHeight="1">
      <c r="A852" s="24"/>
      <c r="B852" s="71"/>
      <c r="C852" s="71"/>
      <c r="D852" s="71"/>
      <c r="E852" s="25"/>
      <c r="F852" s="138"/>
      <c r="G852" s="138"/>
      <c r="H852" s="119"/>
    </row>
    <row r="853" ht="22.5" customHeight="1">
      <c r="A853" s="24"/>
      <c r="B853" s="71"/>
      <c r="C853" s="71"/>
      <c r="D853" s="71"/>
      <c r="E853" s="25"/>
      <c r="F853" s="138"/>
      <c r="G853" s="138"/>
      <c r="H853" s="119"/>
    </row>
    <row r="854" ht="22.5" customHeight="1">
      <c r="A854" s="24"/>
      <c r="B854" s="71"/>
      <c r="C854" s="71"/>
      <c r="D854" s="71"/>
      <c r="E854" s="25"/>
      <c r="F854" s="138"/>
      <c r="G854" s="138"/>
      <c r="H854" s="119"/>
    </row>
    <row r="855" ht="22.5" customHeight="1">
      <c r="A855" s="24"/>
      <c r="B855" s="71"/>
      <c r="C855" s="71"/>
      <c r="D855" s="71"/>
      <c r="E855" s="25"/>
      <c r="F855" s="138"/>
      <c r="G855" s="138"/>
      <c r="H855" s="119"/>
    </row>
    <row r="856" ht="22.5" customHeight="1">
      <c r="A856" s="24"/>
      <c r="B856" s="71"/>
      <c r="C856" s="71"/>
      <c r="D856" s="71"/>
      <c r="E856" s="25"/>
      <c r="F856" s="138"/>
      <c r="G856" s="138"/>
      <c r="H856" s="119"/>
    </row>
    <row r="857" ht="22.5" customHeight="1">
      <c r="A857" s="24"/>
      <c r="B857" s="71"/>
      <c r="C857" s="71"/>
      <c r="D857" s="71"/>
      <c r="E857" s="25"/>
      <c r="F857" s="138"/>
      <c r="G857" s="138"/>
      <c r="H857" s="119"/>
    </row>
    <row r="858" ht="22.5" customHeight="1">
      <c r="A858" s="24"/>
      <c r="B858" s="71"/>
      <c r="C858" s="71"/>
      <c r="D858" s="71"/>
      <c r="E858" s="25"/>
      <c r="F858" s="138"/>
      <c r="G858" s="138"/>
      <c r="H858" s="119"/>
    </row>
    <row r="859" ht="22.5" customHeight="1">
      <c r="A859" s="24"/>
      <c r="B859" s="71"/>
      <c r="C859" s="71"/>
      <c r="D859" s="71"/>
      <c r="E859" s="25"/>
      <c r="F859" s="138"/>
      <c r="G859" s="138"/>
      <c r="H859" s="119"/>
    </row>
    <row r="860" ht="22.5" customHeight="1">
      <c r="A860" s="24"/>
      <c r="B860" s="71"/>
      <c r="C860" s="71"/>
      <c r="D860" s="71"/>
      <c r="E860" s="25"/>
      <c r="F860" s="138"/>
      <c r="G860" s="138"/>
      <c r="H860" s="119"/>
    </row>
    <row r="861" ht="22.5" customHeight="1">
      <c r="A861" s="24"/>
      <c r="B861" s="71"/>
      <c r="C861" s="71"/>
      <c r="D861" s="71"/>
      <c r="E861" s="25"/>
      <c r="F861" s="138"/>
      <c r="G861" s="138"/>
      <c r="H861" s="119"/>
    </row>
    <row r="862" ht="22.5" customHeight="1">
      <c r="A862" s="24"/>
      <c r="B862" s="71"/>
      <c r="C862" s="71"/>
      <c r="D862" s="71"/>
      <c r="E862" s="25"/>
      <c r="F862" s="138"/>
      <c r="G862" s="138"/>
      <c r="H862" s="119"/>
    </row>
    <row r="863" ht="22.5" customHeight="1">
      <c r="A863" s="24"/>
      <c r="B863" s="71"/>
      <c r="C863" s="71"/>
      <c r="D863" s="71"/>
      <c r="E863" s="25"/>
      <c r="F863" s="138"/>
      <c r="G863" s="138"/>
      <c r="H863" s="119"/>
    </row>
    <row r="864" ht="22.5" customHeight="1">
      <c r="A864" s="24"/>
      <c r="B864" s="71"/>
      <c r="C864" s="71"/>
      <c r="D864" s="71"/>
      <c r="E864" s="25"/>
      <c r="F864" s="138"/>
      <c r="G864" s="138"/>
      <c r="H864" s="119"/>
    </row>
    <row r="865" ht="22.5" customHeight="1">
      <c r="A865" s="24"/>
      <c r="B865" s="71"/>
      <c r="C865" s="71"/>
      <c r="D865" s="71"/>
      <c r="E865" s="25"/>
      <c r="F865" s="138"/>
      <c r="G865" s="138"/>
      <c r="H865" s="119"/>
    </row>
    <row r="866" ht="22.5" customHeight="1">
      <c r="A866" s="24"/>
      <c r="B866" s="71"/>
      <c r="C866" s="71"/>
      <c r="D866" s="71"/>
      <c r="E866" s="25"/>
      <c r="F866" s="138"/>
      <c r="G866" s="138"/>
      <c r="H866" s="119"/>
    </row>
    <row r="867" ht="22.5" customHeight="1">
      <c r="A867" s="24"/>
      <c r="B867" s="71"/>
      <c r="C867" s="71"/>
      <c r="D867" s="71"/>
      <c r="E867" s="25"/>
      <c r="F867" s="138"/>
      <c r="G867" s="138"/>
      <c r="H867" s="119"/>
    </row>
    <row r="868" ht="22.5" customHeight="1">
      <c r="A868" s="24"/>
      <c r="B868" s="71"/>
      <c r="C868" s="71"/>
      <c r="D868" s="71"/>
      <c r="E868" s="25"/>
      <c r="F868" s="138"/>
      <c r="G868" s="138"/>
      <c r="H868" s="119"/>
    </row>
    <row r="869" ht="22.5" customHeight="1">
      <c r="A869" s="24"/>
      <c r="B869" s="71"/>
      <c r="C869" s="71"/>
      <c r="D869" s="71"/>
      <c r="E869" s="25"/>
      <c r="F869" s="138"/>
      <c r="G869" s="138"/>
      <c r="H869" s="119"/>
    </row>
    <row r="870" ht="22.5" customHeight="1">
      <c r="A870" s="24"/>
      <c r="B870" s="71"/>
      <c r="C870" s="71"/>
      <c r="D870" s="71"/>
      <c r="E870" s="25"/>
      <c r="F870" s="138"/>
      <c r="G870" s="138"/>
      <c r="H870" s="119"/>
    </row>
    <row r="871" ht="22.5" customHeight="1">
      <c r="A871" s="24"/>
      <c r="B871" s="71"/>
      <c r="C871" s="71"/>
      <c r="D871" s="71"/>
      <c r="E871" s="25"/>
      <c r="F871" s="138"/>
      <c r="G871" s="138"/>
      <c r="H871" s="119"/>
    </row>
    <row r="872" ht="22.5" customHeight="1">
      <c r="A872" s="24"/>
      <c r="B872" s="71"/>
      <c r="C872" s="71"/>
      <c r="D872" s="71"/>
      <c r="E872" s="25"/>
      <c r="F872" s="138"/>
      <c r="G872" s="138"/>
      <c r="H872" s="119"/>
    </row>
    <row r="873" ht="22.5" customHeight="1">
      <c r="A873" s="24"/>
      <c r="B873" s="71"/>
      <c r="C873" s="71"/>
      <c r="D873" s="71"/>
      <c r="E873" s="25"/>
      <c r="F873" s="138"/>
      <c r="G873" s="138"/>
      <c r="H873" s="119"/>
    </row>
    <row r="874" ht="22.5" customHeight="1">
      <c r="A874" s="24"/>
      <c r="B874" s="71"/>
      <c r="C874" s="71"/>
      <c r="D874" s="71"/>
      <c r="E874" s="25"/>
      <c r="F874" s="138"/>
      <c r="G874" s="138"/>
      <c r="H874" s="119"/>
    </row>
    <row r="875" ht="22.5" customHeight="1">
      <c r="A875" s="24"/>
      <c r="B875" s="71"/>
      <c r="C875" s="71"/>
      <c r="D875" s="71"/>
      <c r="E875" s="25"/>
      <c r="F875" s="138"/>
      <c r="G875" s="138"/>
      <c r="H875" s="119"/>
    </row>
    <row r="876" ht="22.5" customHeight="1">
      <c r="A876" s="24"/>
      <c r="B876" s="71"/>
      <c r="C876" s="71"/>
      <c r="D876" s="71"/>
      <c r="E876" s="25"/>
      <c r="F876" s="138"/>
      <c r="G876" s="138"/>
      <c r="H876" s="119"/>
    </row>
    <row r="877" ht="22.5" customHeight="1">
      <c r="A877" s="24"/>
      <c r="B877" s="71"/>
      <c r="C877" s="71"/>
      <c r="D877" s="71"/>
      <c r="E877" s="25"/>
      <c r="F877" s="138"/>
      <c r="G877" s="138"/>
      <c r="H877" s="119"/>
    </row>
    <row r="878" ht="22.5" customHeight="1">
      <c r="A878" s="24"/>
      <c r="B878" s="71"/>
      <c r="C878" s="71"/>
      <c r="D878" s="71"/>
      <c r="E878" s="25"/>
      <c r="F878" s="138"/>
      <c r="G878" s="138"/>
      <c r="H878" s="119"/>
    </row>
    <row r="879" ht="22.5" customHeight="1">
      <c r="A879" s="24"/>
      <c r="B879" s="71"/>
      <c r="C879" s="71"/>
      <c r="D879" s="71"/>
      <c r="E879" s="25"/>
      <c r="F879" s="138"/>
      <c r="G879" s="138"/>
      <c r="H879" s="119"/>
    </row>
    <row r="880" ht="22.5" customHeight="1">
      <c r="A880" s="24"/>
      <c r="B880" s="71"/>
      <c r="C880" s="71"/>
      <c r="D880" s="71"/>
      <c r="E880" s="25"/>
      <c r="F880" s="138"/>
      <c r="G880" s="138"/>
      <c r="H880" s="119"/>
    </row>
    <row r="881" ht="22.5" customHeight="1">
      <c r="A881" s="24"/>
      <c r="B881" s="71"/>
      <c r="C881" s="71"/>
      <c r="D881" s="71"/>
      <c r="E881" s="25"/>
      <c r="F881" s="138"/>
      <c r="G881" s="138"/>
      <c r="H881" s="119"/>
    </row>
    <row r="882" ht="22.5" customHeight="1">
      <c r="A882" s="24"/>
      <c r="B882" s="71"/>
      <c r="C882" s="71"/>
      <c r="D882" s="71"/>
      <c r="E882" s="25"/>
      <c r="F882" s="138"/>
      <c r="G882" s="138"/>
      <c r="H882" s="119"/>
    </row>
    <row r="883" ht="22.5" customHeight="1">
      <c r="A883" s="24"/>
      <c r="B883" s="71"/>
      <c r="C883" s="71"/>
      <c r="D883" s="71"/>
      <c r="E883" s="25"/>
      <c r="F883" s="138"/>
      <c r="G883" s="138"/>
      <c r="H883" s="119"/>
    </row>
    <row r="884" ht="22.5" customHeight="1">
      <c r="A884" s="24"/>
      <c r="B884" s="71"/>
      <c r="C884" s="71"/>
      <c r="D884" s="71"/>
      <c r="E884" s="25"/>
      <c r="F884" s="138"/>
      <c r="G884" s="138"/>
      <c r="H884" s="119"/>
    </row>
    <row r="885" ht="22.5" customHeight="1">
      <c r="A885" s="24"/>
      <c r="B885" s="71"/>
      <c r="C885" s="71"/>
      <c r="D885" s="71"/>
      <c r="E885" s="25"/>
      <c r="F885" s="138"/>
      <c r="G885" s="138"/>
      <c r="H885" s="119"/>
    </row>
    <row r="886" ht="22.5" customHeight="1">
      <c r="A886" s="24"/>
      <c r="B886" s="71"/>
      <c r="C886" s="71"/>
      <c r="D886" s="71"/>
      <c r="E886" s="25"/>
      <c r="F886" s="138"/>
      <c r="G886" s="138"/>
      <c r="H886" s="119"/>
    </row>
    <row r="887" ht="22.5" customHeight="1">
      <c r="A887" s="24"/>
      <c r="B887" s="71"/>
      <c r="C887" s="71"/>
      <c r="D887" s="71"/>
      <c r="E887" s="25"/>
      <c r="F887" s="138"/>
      <c r="G887" s="138"/>
      <c r="H887" s="119"/>
    </row>
    <row r="888" ht="22.5" customHeight="1">
      <c r="A888" s="24"/>
      <c r="B888" s="71"/>
      <c r="C888" s="71"/>
      <c r="D888" s="71"/>
      <c r="E888" s="25"/>
      <c r="F888" s="138"/>
      <c r="G888" s="138"/>
      <c r="H888" s="119"/>
    </row>
    <row r="889" ht="22.5" customHeight="1">
      <c r="A889" s="24"/>
      <c r="B889" s="71"/>
      <c r="C889" s="71"/>
      <c r="D889" s="71"/>
      <c r="E889" s="25"/>
      <c r="F889" s="138"/>
      <c r="G889" s="138"/>
      <c r="H889" s="119"/>
    </row>
    <row r="890" ht="22.5" customHeight="1">
      <c r="A890" s="24"/>
      <c r="B890" s="71"/>
      <c r="C890" s="71"/>
      <c r="D890" s="71"/>
      <c r="E890" s="25"/>
      <c r="F890" s="138"/>
      <c r="G890" s="138"/>
      <c r="H890" s="119"/>
    </row>
    <row r="891" ht="22.5" customHeight="1">
      <c r="A891" s="24"/>
      <c r="B891" s="71"/>
      <c r="C891" s="71"/>
      <c r="D891" s="71"/>
      <c r="E891" s="25"/>
      <c r="F891" s="138"/>
      <c r="G891" s="138"/>
      <c r="H891" s="119"/>
    </row>
    <row r="892" ht="22.5" customHeight="1">
      <c r="A892" s="24"/>
      <c r="B892" s="71"/>
      <c r="C892" s="71"/>
      <c r="D892" s="71"/>
      <c r="E892" s="25"/>
      <c r="F892" s="138"/>
      <c r="G892" s="138"/>
      <c r="H892" s="119"/>
    </row>
    <row r="893" ht="22.5" customHeight="1">
      <c r="A893" s="24"/>
      <c r="B893" s="71"/>
      <c r="C893" s="71"/>
      <c r="D893" s="71"/>
      <c r="E893" s="25"/>
      <c r="F893" s="138"/>
      <c r="G893" s="138"/>
      <c r="H893" s="119"/>
    </row>
    <row r="894" ht="22.5" customHeight="1">
      <c r="A894" s="24"/>
      <c r="B894" s="71"/>
      <c r="C894" s="71"/>
      <c r="D894" s="71"/>
      <c r="E894" s="25"/>
      <c r="F894" s="138"/>
      <c r="G894" s="138"/>
      <c r="H894" s="119"/>
    </row>
    <row r="895" ht="22.5" customHeight="1">
      <c r="A895" s="24"/>
      <c r="B895" s="71"/>
      <c r="C895" s="71"/>
      <c r="D895" s="71"/>
      <c r="E895" s="25"/>
      <c r="F895" s="138"/>
      <c r="G895" s="138"/>
      <c r="H895" s="119"/>
    </row>
    <row r="896" ht="22.5" customHeight="1">
      <c r="A896" s="24"/>
      <c r="B896" s="71"/>
      <c r="C896" s="71"/>
      <c r="D896" s="71"/>
      <c r="E896" s="25"/>
      <c r="F896" s="138"/>
      <c r="G896" s="138"/>
      <c r="H896" s="119"/>
    </row>
    <row r="897" ht="22.5" customHeight="1">
      <c r="A897" s="24"/>
      <c r="B897" s="71"/>
      <c r="C897" s="71"/>
      <c r="D897" s="71"/>
      <c r="E897" s="25"/>
      <c r="F897" s="138"/>
      <c r="G897" s="138"/>
      <c r="H897" s="119"/>
    </row>
    <row r="898" ht="22.5" customHeight="1">
      <c r="A898" s="24"/>
      <c r="B898" s="71"/>
      <c r="C898" s="71"/>
      <c r="D898" s="71"/>
      <c r="E898" s="25"/>
      <c r="F898" s="138"/>
      <c r="G898" s="138"/>
      <c r="H898" s="119"/>
    </row>
    <row r="899" ht="22.5" customHeight="1">
      <c r="A899" s="24"/>
      <c r="B899" s="71"/>
      <c r="C899" s="71"/>
      <c r="D899" s="71"/>
      <c r="E899" s="25"/>
      <c r="F899" s="138"/>
      <c r="G899" s="138"/>
      <c r="H899" s="119"/>
    </row>
    <row r="900" ht="22.5" customHeight="1">
      <c r="A900" s="24"/>
      <c r="B900" s="71"/>
      <c r="C900" s="71"/>
      <c r="D900" s="71"/>
      <c r="E900" s="25"/>
      <c r="F900" s="138"/>
      <c r="G900" s="138"/>
      <c r="H900" s="119"/>
    </row>
    <row r="901" ht="22.5" customHeight="1">
      <c r="A901" s="24"/>
      <c r="B901" s="71"/>
      <c r="C901" s="71"/>
      <c r="D901" s="71"/>
      <c r="E901" s="25"/>
      <c r="F901" s="138"/>
      <c r="G901" s="138"/>
      <c r="H901" s="119"/>
    </row>
    <row r="902" ht="22.5" customHeight="1">
      <c r="A902" s="24"/>
      <c r="B902" s="71"/>
      <c r="C902" s="71"/>
      <c r="D902" s="71"/>
      <c r="E902" s="25"/>
      <c r="F902" s="138"/>
      <c r="G902" s="138"/>
      <c r="H902" s="119"/>
    </row>
    <row r="903" ht="22.5" customHeight="1">
      <c r="A903" s="24"/>
      <c r="B903" s="71"/>
      <c r="C903" s="71"/>
      <c r="D903" s="71"/>
      <c r="E903" s="25"/>
      <c r="F903" s="138"/>
      <c r="G903" s="138"/>
      <c r="H903" s="119"/>
    </row>
    <row r="904" ht="22.5" customHeight="1">
      <c r="A904" s="24"/>
      <c r="B904" s="71"/>
      <c r="C904" s="71"/>
      <c r="D904" s="71"/>
      <c r="E904" s="25"/>
      <c r="F904" s="138"/>
      <c r="G904" s="138"/>
      <c r="H904" s="119"/>
    </row>
    <row r="905" ht="22.5" customHeight="1">
      <c r="A905" s="24"/>
      <c r="B905" s="71"/>
      <c r="C905" s="71"/>
      <c r="D905" s="71"/>
      <c r="E905" s="25"/>
      <c r="F905" s="138"/>
      <c r="G905" s="138"/>
      <c r="H905" s="119"/>
    </row>
    <row r="906" ht="22.5" customHeight="1">
      <c r="A906" s="24"/>
      <c r="B906" s="71"/>
      <c r="C906" s="71"/>
      <c r="D906" s="71"/>
      <c r="E906" s="25"/>
      <c r="F906" s="138"/>
      <c r="G906" s="138"/>
      <c r="H906" s="119"/>
    </row>
    <row r="907" ht="22.5" customHeight="1">
      <c r="A907" s="24"/>
      <c r="B907" s="71"/>
      <c r="C907" s="71"/>
      <c r="D907" s="71"/>
      <c r="E907" s="25"/>
      <c r="F907" s="138"/>
      <c r="G907" s="138"/>
      <c r="H907" s="119"/>
    </row>
    <row r="908" ht="22.5" customHeight="1">
      <c r="A908" s="24"/>
      <c r="B908" s="71"/>
      <c r="C908" s="71"/>
      <c r="D908" s="71"/>
      <c r="E908" s="25"/>
      <c r="F908" s="138"/>
      <c r="G908" s="138"/>
      <c r="H908" s="119"/>
    </row>
    <row r="909" ht="22.5" customHeight="1">
      <c r="A909" s="24"/>
      <c r="B909" s="71"/>
      <c r="C909" s="71"/>
      <c r="D909" s="71"/>
      <c r="E909" s="25"/>
      <c r="F909" s="138"/>
      <c r="G909" s="138"/>
      <c r="H909" s="119"/>
    </row>
    <row r="910" ht="22.5" customHeight="1">
      <c r="A910" s="24"/>
      <c r="B910" s="71"/>
      <c r="C910" s="71"/>
      <c r="D910" s="71"/>
      <c r="E910" s="25"/>
      <c r="F910" s="138"/>
      <c r="G910" s="138"/>
      <c r="H910" s="119"/>
    </row>
    <row r="911" ht="22.5" customHeight="1">
      <c r="A911" s="24"/>
      <c r="B911" s="71"/>
      <c r="C911" s="71"/>
      <c r="D911" s="71"/>
      <c r="E911" s="25"/>
      <c r="F911" s="138"/>
      <c r="G911" s="138"/>
      <c r="H911" s="119"/>
    </row>
    <row r="912" ht="22.5" customHeight="1">
      <c r="A912" s="24"/>
      <c r="B912" s="71"/>
      <c r="C912" s="71"/>
      <c r="D912" s="71"/>
      <c r="E912" s="25"/>
      <c r="F912" s="138"/>
      <c r="G912" s="138"/>
      <c r="H912" s="119"/>
    </row>
    <row r="913" ht="22.5" customHeight="1">
      <c r="A913" s="24"/>
      <c r="B913" s="71"/>
      <c r="C913" s="71"/>
      <c r="D913" s="71"/>
      <c r="E913" s="25"/>
      <c r="F913" s="138"/>
      <c r="G913" s="138"/>
      <c r="H913" s="119"/>
    </row>
    <row r="914" ht="22.5" customHeight="1">
      <c r="A914" s="24"/>
      <c r="B914" s="71"/>
      <c r="C914" s="71"/>
      <c r="D914" s="71"/>
      <c r="E914" s="25"/>
      <c r="F914" s="138"/>
      <c r="G914" s="138"/>
      <c r="H914" s="119"/>
    </row>
    <row r="915" ht="22.5" customHeight="1">
      <c r="A915" s="24"/>
      <c r="B915" s="71"/>
      <c r="C915" s="71"/>
      <c r="D915" s="71"/>
      <c r="E915" s="25"/>
      <c r="F915" s="138"/>
      <c r="G915" s="138"/>
      <c r="H915" s="119"/>
    </row>
    <row r="916" ht="22.5" customHeight="1">
      <c r="A916" s="24"/>
      <c r="B916" s="71"/>
      <c r="C916" s="71"/>
      <c r="D916" s="71"/>
      <c r="E916" s="25"/>
      <c r="F916" s="138"/>
      <c r="G916" s="138"/>
      <c r="H916" s="119"/>
    </row>
    <row r="917" ht="22.5" customHeight="1">
      <c r="A917" s="24"/>
      <c r="B917" s="71"/>
      <c r="C917" s="71"/>
      <c r="D917" s="71"/>
      <c r="E917" s="25"/>
      <c r="F917" s="138"/>
      <c r="G917" s="138"/>
      <c r="H917" s="119"/>
    </row>
    <row r="918" ht="22.5" customHeight="1">
      <c r="A918" s="24"/>
      <c r="B918" s="71"/>
      <c r="C918" s="71"/>
      <c r="D918" s="71"/>
      <c r="E918" s="25"/>
      <c r="F918" s="138"/>
      <c r="G918" s="138"/>
      <c r="H918" s="119"/>
    </row>
    <row r="919" ht="22.5" customHeight="1">
      <c r="A919" s="24"/>
      <c r="B919" s="71"/>
      <c r="C919" s="71"/>
      <c r="D919" s="71"/>
      <c r="E919" s="25"/>
      <c r="F919" s="138"/>
      <c r="G919" s="138"/>
      <c r="H919" s="119"/>
    </row>
    <row r="920" ht="22.5" customHeight="1">
      <c r="A920" s="24"/>
      <c r="B920" s="71"/>
      <c r="C920" s="71"/>
      <c r="D920" s="71"/>
      <c r="E920" s="25"/>
      <c r="F920" s="138"/>
      <c r="G920" s="138"/>
      <c r="H920" s="119"/>
    </row>
    <row r="921" ht="22.5" customHeight="1">
      <c r="A921" s="24"/>
      <c r="B921" s="71"/>
      <c r="C921" s="71"/>
      <c r="D921" s="71"/>
      <c r="E921" s="25"/>
      <c r="F921" s="138"/>
      <c r="G921" s="138"/>
      <c r="H921" s="119"/>
    </row>
    <row r="922" ht="22.5" customHeight="1">
      <c r="A922" s="24"/>
      <c r="B922" s="71"/>
      <c r="C922" s="71"/>
      <c r="D922" s="71"/>
      <c r="E922" s="25"/>
      <c r="F922" s="138"/>
      <c r="G922" s="138"/>
      <c r="H922" s="119"/>
    </row>
    <row r="923" ht="22.5" customHeight="1">
      <c r="A923" s="24"/>
      <c r="B923" s="71"/>
      <c r="C923" s="71"/>
      <c r="D923" s="71"/>
      <c r="E923" s="25"/>
      <c r="F923" s="138"/>
      <c r="G923" s="138"/>
      <c r="H923" s="119"/>
    </row>
    <row r="924" ht="22.5" customHeight="1">
      <c r="A924" s="24"/>
      <c r="B924" s="71"/>
      <c r="C924" s="71"/>
      <c r="D924" s="71"/>
      <c r="E924" s="25"/>
      <c r="F924" s="138"/>
      <c r="G924" s="138"/>
      <c r="H924" s="119"/>
    </row>
    <row r="925" ht="22.5" customHeight="1">
      <c r="A925" s="24"/>
      <c r="B925" s="71"/>
      <c r="C925" s="71"/>
      <c r="D925" s="71"/>
      <c r="E925" s="25"/>
      <c r="F925" s="138"/>
      <c r="G925" s="138"/>
      <c r="H925" s="119"/>
    </row>
    <row r="926" ht="22.5" customHeight="1">
      <c r="A926" s="24"/>
      <c r="B926" s="71"/>
      <c r="C926" s="71"/>
      <c r="D926" s="71"/>
      <c r="E926" s="25"/>
      <c r="F926" s="138"/>
      <c r="G926" s="138"/>
      <c r="H926" s="119"/>
    </row>
    <row r="927" ht="22.5" customHeight="1">
      <c r="A927" s="24"/>
      <c r="B927" s="71"/>
      <c r="C927" s="71"/>
      <c r="D927" s="71"/>
      <c r="E927" s="25"/>
      <c r="F927" s="138"/>
      <c r="G927" s="138"/>
      <c r="H927" s="119"/>
    </row>
    <row r="928" ht="22.5" customHeight="1">
      <c r="A928" s="24"/>
      <c r="B928" s="71"/>
      <c r="C928" s="71"/>
      <c r="D928" s="71"/>
      <c r="E928" s="25"/>
      <c r="F928" s="138"/>
      <c r="G928" s="138"/>
      <c r="H928" s="119"/>
    </row>
    <row r="929" ht="22.5" customHeight="1">
      <c r="A929" s="24"/>
      <c r="B929" s="71"/>
      <c r="C929" s="71"/>
      <c r="D929" s="71"/>
      <c r="E929" s="25"/>
      <c r="F929" s="138"/>
      <c r="G929" s="138"/>
      <c r="H929" s="119"/>
    </row>
    <row r="930" ht="22.5" customHeight="1">
      <c r="A930" s="24"/>
      <c r="B930" s="71"/>
      <c r="C930" s="71"/>
      <c r="D930" s="71"/>
      <c r="E930" s="25"/>
      <c r="F930" s="138"/>
      <c r="G930" s="138"/>
      <c r="H930" s="119"/>
    </row>
    <row r="931" ht="22.5" customHeight="1">
      <c r="A931" s="24"/>
      <c r="B931" s="71"/>
      <c r="C931" s="71"/>
      <c r="D931" s="71"/>
      <c r="E931" s="25"/>
      <c r="F931" s="138"/>
      <c r="G931" s="138"/>
      <c r="H931" s="119"/>
    </row>
    <row r="932" ht="22.5" customHeight="1">
      <c r="A932" s="24"/>
      <c r="B932" s="71"/>
      <c r="C932" s="71"/>
      <c r="D932" s="71"/>
      <c r="E932" s="25"/>
      <c r="F932" s="138"/>
      <c r="G932" s="138"/>
      <c r="H932" s="119"/>
    </row>
    <row r="933" ht="22.5" customHeight="1">
      <c r="A933" s="24"/>
      <c r="B933" s="71"/>
      <c r="C933" s="71"/>
      <c r="D933" s="71"/>
      <c r="E933" s="25"/>
      <c r="F933" s="138"/>
      <c r="G933" s="138"/>
      <c r="H933" s="119"/>
    </row>
    <row r="934" ht="22.5" customHeight="1">
      <c r="A934" s="24"/>
      <c r="B934" s="71"/>
      <c r="C934" s="71"/>
      <c r="D934" s="71"/>
      <c r="E934" s="25"/>
      <c r="F934" s="138"/>
      <c r="G934" s="138"/>
      <c r="H934" s="119"/>
    </row>
    <row r="935" ht="22.5" customHeight="1">
      <c r="A935" s="24"/>
      <c r="B935" s="71"/>
      <c r="C935" s="71"/>
      <c r="D935" s="71"/>
      <c r="E935" s="25"/>
      <c r="F935" s="138"/>
      <c r="G935" s="138"/>
      <c r="H935" s="119"/>
    </row>
    <row r="936" ht="22.5" customHeight="1">
      <c r="A936" s="24"/>
      <c r="B936" s="71"/>
      <c r="C936" s="71"/>
      <c r="D936" s="71"/>
      <c r="E936" s="25"/>
      <c r="F936" s="138"/>
      <c r="G936" s="138"/>
      <c r="H936" s="119"/>
    </row>
    <row r="937" ht="22.5" customHeight="1">
      <c r="A937" s="24"/>
      <c r="B937" s="71"/>
      <c r="C937" s="71"/>
      <c r="D937" s="71"/>
      <c r="E937" s="25"/>
      <c r="F937" s="138"/>
      <c r="G937" s="138"/>
      <c r="H937" s="119"/>
    </row>
    <row r="938" ht="22.5" customHeight="1">
      <c r="A938" s="24"/>
      <c r="B938" s="71"/>
      <c r="C938" s="71"/>
      <c r="D938" s="71"/>
      <c r="E938" s="25"/>
      <c r="F938" s="138"/>
      <c r="G938" s="138"/>
      <c r="H938" s="119"/>
    </row>
    <row r="939" ht="22.5" customHeight="1">
      <c r="A939" s="24"/>
      <c r="B939" s="71"/>
      <c r="C939" s="71"/>
      <c r="D939" s="71"/>
      <c r="E939" s="25"/>
      <c r="F939" s="138"/>
      <c r="G939" s="138"/>
      <c r="H939" s="119"/>
    </row>
    <row r="940" ht="22.5" customHeight="1">
      <c r="A940" s="24"/>
      <c r="B940" s="71"/>
      <c r="C940" s="71"/>
      <c r="D940" s="71"/>
      <c r="E940" s="25"/>
      <c r="F940" s="138"/>
      <c r="G940" s="138"/>
      <c r="H940" s="119"/>
    </row>
    <row r="941" ht="22.5" customHeight="1">
      <c r="A941" s="24"/>
      <c r="B941" s="71"/>
      <c r="C941" s="71"/>
      <c r="D941" s="71"/>
      <c r="E941" s="25"/>
      <c r="F941" s="138"/>
      <c r="G941" s="138"/>
      <c r="H941" s="119"/>
    </row>
    <row r="942" ht="22.5" customHeight="1">
      <c r="A942" s="24"/>
      <c r="B942" s="71"/>
      <c r="C942" s="71"/>
      <c r="D942" s="71"/>
      <c r="E942" s="25"/>
      <c r="F942" s="138"/>
      <c r="G942" s="138"/>
      <c r="H942" s="119"/>
    </row>
    <row r="943" ht="22.5" customHeight="1">
      <c r="A943" s="24"/>
      <c r="B943" s="71"/>
      <c r="C943" s="71"/>
      <c r="D943" s="71"/>
      <c r="E943" s="25"/>
      <c r="F943" s="138"/>
      <c r="G943" s="138"/>
      <c r="H943" s="119"/>
    </row>
    <row r="944" ht="22.5" customHeight="1">
      <c r="A944" s="24"/>
      <c r="B944" s="71"/>
      <c r="C944" s="71"/>
      <c r="D944" s="71"/>
      <c r="E944" s="25"/>
      <c r="F944" s="138"/>
      <c r="G944" s="138"/>
      <c r="H944" s="119"/>
    </row>
    <row r="945" ht="22.5" customHeight="1">
      <c r="A945" s="24"/>
      <c r="B945" s="71"/>
      <c r="C945" s="71"/>
      <c r="D945" s="71"/>
      <c r="E945" s="25"/>
      <c r="F945" s="138"/>
      <c r="G945" s="138"/>
      <c r="H945" s="119"/>
    </row>
    <row r="946" ht="22.5" customHeight="1">
      <c r="A946" s="24"/>
      <c r="B946" s="71"/>
      <c r="C946" s="71"/>
      <c r="D946" s="71"/>
      <c r="E946" s="25"/>
      <c r="F946" s="138"/>
      <c r="G946" s="138"/>
      <c r="H946" s="119"/>
    </row>
    <row r="947" ht="22.5" customHeight="1">
      <c r="A947" s="24"/>
      <c r="B947" s="71"/>
      <c r="C947" s="71"/>
      <c r="D947" s="71"/>
      <c r="E947" s="25"/>
      <c r="F947" s="138"/>
      <c r="G947" s="138"/>
      <c r="H947" s="119"/>
    </row>
    <row r="948" ht="22.5" customHeight="1">
      <c r="A948" s="24"/>
      <c r="B948" s="71"/>
      <c r="C948" s="71"/>
      <c r="D948" s="71"/>
      <c r="E948" s="25"/>
      <c r="F948" s="138"/>
      <c r="G948" s="138"/>
      <c r="H948" s="119"/>
    </row>
    <row r="949" ht="22.5" customHeight="1">
      <c r="A949" s="24"/>
      <c r="B949" s="71"/>
      <c r="C949" s="71"/>
      <c r="D949" s="71"/>
      <c r="E949" s="25"/>
      <c r="F949" s="138"/>
      <c r="G949" s="138"/>
      <c r="H949" s="119"/>
    </row>
    <row r="950" ht="22.5" customHeight="1">
      <c r="A950" s="24"/>
      <c r="B950" s="71"/>
      <c r="C950" s="71"/>
      <c r="D950" s="71"/>
      <c r="E950" s="25"/>
      <c r="F950" s="138"/>
      <c r="G950" s="138"/>
      <c r="H950" s="119"/>
    </row>
    <row r="951" ht="22.5" customHeight="1">
      <c r="A951" s="24"/>
      <c r="B951" s="71"/>
      <c r="C951" s="71"/>
      <c r="D951" s="71"/>
      <c r="E951" s="25"/>
      <c r="F951" s="138"/>
      <c r="G951" s="138"/>
      <c r="H951" s="119"/>
    </row>
    <row r="952" ht="22.5" customHeight="1">
      <c r="A952" s="24"/>
      <c r="B952" s="71"/>
      <c r="C952" s="71"/>
      <c r="D952" s="71"/>
      <c r="E952" s="25"/>
      <c r="F952" s="138"/>
      <c r="G952" s="138"/>
      <c r="H952" s="119"/>
    </row>
    <row r="953" ht="22.5" customHeight="1">
      <c r="A953" s="24"/>
      <c r="B953" s="71"/>
      <c r="C953" s="71"/>
      <c r="D953" s="71"/>
      <c r="E953" s="25"/>
      <c r="F953" s="138"/>
      <c r="G953" s="138"/>
      <c r="H953" s="119"/>
    </row>
    <row r="954" ht="22.5" customHeight="1">
      <c r="A954" s="24"/>
      <c r="B954" s="71"/>
      <c r="C954" s="71"/>
      <c r="D954" s="71"/>
      <c r="E954" s="25"/>
      <c r="F954" s="138"/>
      <c r="G954" s="138"/>
      <c r="H954" s="119"/>
    </row>
    <row r="955" ht="22.5" customHeight="1">
      <c r="A955" s="24"/>
      <c r="B955" s="71"/>
      <c r="C955" s="71"/>
      <c r="D955" s="71"/>
      <c r="E955" s="25"/>
      <c r="F955" s="138"/>
      <c r="G955" s="138"/>
      <c r="H955" s="119"/>
    </row>
    <row r="956" ht="22.5" customHeight="1">
      <c r="A956" s="24"/>
      <c r="B956" s="71"/>
      <c r="C956" s="71"/>
      <c r="D956" s="71"/>
      <c r="E956" s="25"/>
      <c r="F956" s="138"/>
      <c r="G956" s="138"/>
      <c r="H956" s="119"/>
    </row>
    <row r="957" ht="22.5" customHeight="1">
      <c r="A957" s="24"/>
      <c r="B957" s="71"/>
      <c r="C957" s="71"/>
      <c r="D957" s="71"/>
      <c r="E957" s="25"/>
      <c r="F957" s="138"/>
      <c r="G957" s="138"/>
      <c r="H957" s="119"/>
    </row>
    <row r="958" ht="22.5" customHeight="1">
      <c r="A958" s="24"/>
      <c r="B958" s="71"/>
      <c r="C958" s="71"/>
      <c r="D958" s="71"/>
      <c r="E958" s="25"/>
      <c r="F958" s="138"/>
      <c r="G958" s="138"/>
      <c r="H958" s="119"/>
    </row>
    <row r="959" ht="22.5" customHeight="1">
      <c r="A959" s="24"/>
      <c r="B959" s="71"/>
      <c r="C959" s="71"/>
      <c r="D959" s="71"/>
      <c r="E959" s="25"/>
      <c r="F959" s="138"/>
      <c r="G959" s="138"/>
      <c r="H959" s="119"/>
    </row>
    <row r="960" ht="22.5" customHeight="1">
      <c r="A960" s="24"/>
      <c r="B960" s="71"/>
      <c r="C960" s="71"/>
      <c r="D960" s="71"/>
      <c r="E960" s="25"/>
      <c r="F960" s="138"/>
      <c r="G960" s="138"/>
      <c r="H960" s="119"/>
    </row>
    <row r="961" ht="22.5" customHeight="1">
      <c r="A961" s="24"/>
      <c r="B961" s="71"/>
      <c r="C961" s="71"/>
      <c r="D961" s="71"/>
      <c r="E961" s="25"/>
      <c r="F961" s="138"/>
      <c r="G961" s="138"/>
      <c r="H961" s="119"/>
    </row>
    <row r="962" ht="22.5" customHeight="1">
      <c r="A962" s="24"/>
      <c r="B962" s="71"/>
      <c r="C962" s="71"/>
      <c r="D962" s="71"/>
      <c r="E962" s="25"/>
      <c r="F962" s="138"/>
      <c r="G962" s="138"/>
      <c r="H962" s="119"/>
    </row>
    <row r="963" ht="22.5" customHeight="1">
      <c r="A963" s="24"/>
      <c r="B963" s="71"/>
      <c r="C963" s="71"/>
      <c r="D963" s="71"/>
      <c r="E963" s="25"/>
      <c r="F963" s="138"/>
      <c r="G963" s="138"/>
      <c r="H963" s="119"/>
    </row>
    <row r="964" ht="22.5" customHeight="1">
      <c r="A964" s="24"/>
      <c r="B964" s="71"/>
      <c r="C964" s="71"/>
      <c r="D964" s="71"/>
      <c r="E964" s="25"/>
      <c r="F964" s="138"/>
      <c r="G964" s="138"/>
      <c r="H964" s="119"/>
    </row>
    <row r="965" ht="22.5" customHeight="1">
      <c r="A965" s="24"/>
      <c r="B965" s="71"/>
      <c r="C965" s="71"/>
      <c r="D965" s="71"/>
      <c r="E965" s="25"/>
      <c r="F965" s="138"/>
      <c r="G965" s="138"/>
      <c r="H965" s="119"/>
    </row>
    <row r="966" ht="22.5" customHeight="1">
      <c r="A966" s="24"/>
      <c r="B966" s="71"/>
      <c r="C966" s="71"/>
      <c r="D966" s="71"/>
      <c r="E966" s="25"/>
      <c r="F966" s="138"/>
      <c r="G966" s="138"/>
      <c r="H966" s="119"/>
    </row>
    <row r="967" ht="22.5" customHeight="1">
      <c r="A967" s="24"/>
      <c r="B967" s="71"/>
      <c r="C967" s="71"/>
      <c r="D967" s="71"/>
      <c r="E967" s="25"/>
      <c r="F967" s="138"/>
      <c r="G967" s="138"/>
      <c r="H967" s="119"/>
    </row>
    <row r="968" ht="22.5" customHeight="1">
      <c r="A968" s="24"/>
      <c r="B968" s="71"/>
      <c r="C968" s="71"/>
      <c r="D968" s="71"/>
      <c r="E968" s="25"/>
      <c r="F968" s="138"/>
      <c r="G968" s="138"/>
      <c r="H968" s="119"/>
    </row>
    <row r="969" ht="22.5" customHeight="1">
      <c r="A969" s="24"/>
      <c r="B969" s="71"/>
      <c r="C969" s="71"/>
      <c r="D969" s="71"/>
      <c r="E969" s="25"/>
      <c r="F969" s="138"/>
      <c r="G969" s="138"/>
      <c r="H969" s="119"/>
    </row>
    <row r="970" ht="22.5" customHeight="1">
      <c r="A970" s="24"/>
      <c r="B970" s="71"/>
      <c r="C970" s="71"/>
      <c r="D970" s="71"/>
      <c r="E970" s="25"/>
      <c r="F970" s="138"/>
      <c r="G970" s="138"/>
      <c r="H970" s="119"/>
    </row>
    <row r="971" ht="22.5" customHeight="1">
      <c r="A971" s="24"/>
      <c r="B971" s="71"/>
      <c r="C971" s="71"/>
      <c r="D971" s="71"/>
      <c r="E971" s="25"/>
      <c r="F971" s="138"/>
      <c r="G971" s="138"/>
      <c r="H971" s="119"/>
    </row>
    <row r="972" ht="22.5" customHeight="1">
      <c r="A972" s="24"/>
      <c r="B972" s="71"/>
      <c r="C972" s="71"/>
      <c r="D972" s="71"/>
      <c r="E972" s="25"/>
      <c r="F972" s="138"/>
      <c r="G972" s="138"/>
      <c r="H972" s="119"/>
    </row>
    <row r="973" ht="22.5" customHeight="1">
      <c r="A973" s="24"/>
      <c r="B973" s="71"/>
      <c r="C973" s="71"/>
      <c r="D973" s="71"/>
      <c r="E973" s="25"/>
      <c r="F973" s="138"/>
      <c r="G973" s="138"/>
      <c r="H973" s="119"/>
    </row>
    <row r="974" ht="22.5" customHeight="1">
      <c r="A974" s="24"/>
      <c r="B974" s="71"/>
      <c r="C974" s="71"/>
      <c r="D974" s="71"/>
      <c r="E974" s="25"/>
      <c r="F974" s="138"/>
      <c r="G974" s="138"/>
      <c r="H974" s="119"/>
    </row>
    <row r="975" ht="22.5" customHeight="1">
      <c r="A975" s="24"/>
      <c r="B975" s="71"/>
      <c r="C975" s="71"/>
      <c r="D975" s="71"/>
      <c r="E975" s="25"/>
      <c r="F975" s="138"/>
      <c r="G975" s="138"/>
      <c r="H975" s="119"/>
    </row>
    <row r="976" ht="22.5" customHeight="1">
      <c r="A976" s="24"/>
      <c r="B976" s="71"/>
      <c r="C976" s="71"/>
      <c r="D976" s="71"/>
      <c r="E976" s="25"/>
      <c r="F976" s="138"/>
      <c r="G976" s="138"/>
      <c r="H976" s="119"/>
    </row>
    <row r="977" ht="22.5" customHeight="1">
      <c r="A977" s="24"/>
      <c r="B977" s="71"/>
      <c r="C977" s="71"/>
      <c r="D977" s="71"/>
      <c r="E977" s="25"/>
      <c r="F977" s="138"/>
      <c r="G977" s="138"/>
      <c r="H977" s="119"/>
    </row>
    <row r="978" ht="22.5" customHeight="1">
      <c r="A978" s="24"/>
      <c r="B978" s="71"/>
      <c r="C978" s="71"/>
      <c r="D978" s="71"/>
      <c r="E978" s="25"/>
      <c r="F978" s="138"/>
      <c r="G978" s="138"/>
      <c r="H978" s="119"/>
    </row>
    <row r="979" ht="22.5" customHeight="1">
      <c r="A979" s="24"/>
      <c r="B979" s="71"/>
      <c r="C979" s="71"/>
      <c r="D979" s="71"/>
      <c r="E979" s="25"/>
      <c r="F979" s="138"/>
      <c r="G979" s="138"/>
      <c r="H979" s="119"/>
    </row>
    <row r="980" ht="22.5" customHeight="1">
      <c r="A980" s="24"/>
      <c r="B980" s="71"/>
      <c r="C980" s="71"/>
      <c r="D980" s="71"/>
      <c r="E980" s="25"/>
      <c r="F980" s="138"/>
      <c r="G980" s="138"/>
      <c r="H980" s="119"/>
    </row>
    <row r="981" ht="22.5" customHeight="1">
      <c r="A981" s="24"/>
      <c r="B981" s="71"/>
      <c r="C981" s="71"/>
      <c r="D981" s="71"/>
      <c r="E981" s="25"/>
      <c r="F981" s="138"/>
      <c r="G981" s="138"/>
      <c r="H981" s="119"/>
    </row>
    <row r="982" ht="22.5" customHeight="1">
      <c r="A982" s="24"/>
      <c r="B982" s="71"/>
      <c r="C982" s="71"/>
      <c r="D982" s="71"/>
      <c r="E982" s="25"/>
      <c r="F982" s="138"/>
      <c r="G982" s="138"/>
      <c r="H982" s="119"/>
    </row>
    <row r="983" ht="22.5" customHeight="1">
      <c r="A983" s="24"/>
      <c r="B983" s="71"/>
      <c r="C983" s="71"/>
      <c r="D983" s="71"/>
      <c r="E983" s="25"/>
      <c r="F983" s="138"/>
      <c r="G983" s="138"/>
      <c r="H983" s="119"/>
    </row>
    <row r="984" ht="22.5" customHeight="1">
      <c r="A984" s="24"/>
      <c r="B984" s="71"/>
      <c r="C984" s="71"/>
      <c r="D984" s="71"/>
      <c r="E984" s="25"/>
      <c r="F984" s="138"/>
      <c r="G984" s="138"/>
      <c r="H984" s="119"/>
    </row>
    <row r="985" ht="22.5" customHeight="1">
      <c r="A985" s="24"/>
      <c r="B985" s="71"/>
      <c r="C985" s="71"/>
      <c r="D985" s="71"/>
      <c r="E985" s="25"/>
      <c r="F985" s="138"/>
      <c r="G985" s="138"/>
      <c r="H985" s="119"/>
    </row>
    <row r="986" ht="22.5" customHeight="1">
      <c r="A986" s="24"/>
      <c r="B986" s="71"/>
      <c r="C986" s="71"/>
      <c r="D986" s="71"/>
      <c r="E986" s="25"/>
      <c r="F986" s="138"/>
      <c r="G986" s="138"/>
      <c r="H986" s="119"/>
    </row>
    <row r="987" ht="22.5" customHeight="1">
      <c r="A987" s="24"/>
      <c r="B987" s="71"/>
      <c r="C987" s="71"/>
      <c r="D987" s="71"/>
      <c r="E987" s="25"/>
      <c r="F987" s="138"/>
      <c r="G987" s="138"/>
      <c r="H987" s="119"/>
    </row>
    <row r="988" ht="22.5" customHeight="1">
      <c r="A988" s="24"/>
      <c r="B988" s="71"/>
      <c r="C988" s="71"/>
      <c r="D988" s="71"/>
      <c r="E988" s="25"/>
      <c r="F988" s="138"/>
      <c r="G988" s="138"/>
      <c r="H988" s="119"/>
    </row>
    <row r="989" ht="22.5" customHeight="1">
      <c r="A989" s="24"/>
      <c r="B989" s="71"/>
      <c r="C989" s="71"/>
      <c r="D989" s="71"/>
      <c r="E989" s="25"/>
      <c r="F989" s="138"/>
      <c r="G989" s="138"/>
      <c r="H989" s="119"/>
    </row>
    <row r="990" ht="22.5" customHeight="1">
      <c r="A990" s="24"/>
      <c r="B990" s="71"/>
      <c r="C990" s="71"/>
      <c r="D990" s="71"/>
      <c r="E990" s="25"/>
      <c r="F990" s="138"/>
      <c r="G990" s="138"/>
      <c r="H990" s="119"/>
    </row>
    <row r="991" ht="22.5" customHeight="1">
      <c r="A991" s="24"/>
      <c r="B991" s="71"/>
      <c r="C991" s="71"/>
      <c r="D991" s="71"/>
      <c r="E991" s="25"/>
      <c r="F991" s="138"/>
      <c r="G991" s="138"/>
      <c r="H991" s="119"/>
    </row>
    <row r="992" ht="22.5" customHeight="1">
      <c r="A992" s="24"/>
      <c r="B992" s="71"/>
      <c r="C992" s="71"/>
      <c r="D992" s="71"/>
      <c r="E992" s="25"/>
      <c r="F992" s="138"/>
      <c r="G992" s="138"/>
      <c r="H992" s="119"/>
    </row>
    <row r="993" ht="22.5" customHeight="1">
      <c r="A993" s="24"/>
      <c r="B993" s="71"/>
      <c r="C993" s="71"/>
      <c r="D993" s="71"/>
      <c r="E993" s="25"/>
      <c r="F993" s="138"/>
      <c r="G993" s="138"/>
      <c r="H993" s="119"/>
    </row>
    <row r="994" ht="22.5" customHeight="1">
      <c r="A994" s="24"/>
      <c r="B994" s="71"/>
      <c r="C994" s="71"/>
      <c r="D994" s="71"/>
      <c r="E994" s="25"/>
      <c r="F994" s="138"/>
      <c r="G994" s="138"/>
      <c r="H994" s="119"/>
    </row>
    <row r="995" ht="22.5" customHeight="1">
      <c r="A995" s="24"/>
      <c r="B995" s="71"/>
      <c r="C995" s="71"/>
      <c r="D995" s="71"/>
      <c r="E995" s="25"/>
      <c r="F995" s="138"/>
      <c r="G995" s="138"/>
      <c r="H995" s="119"/>
    </row>
    <row r="996" ht="22.5" customHeight="1">
      <c r="A996" s="24"/>
      <c r="B996" s="71"/>
      <c r="C996" s="71"/>
      <c r="D996" s="71"/>
      <c r="E996" s="25"/>
      <c r="F996" s="138"/>
      <c r="G996" s="138"/>
      <c r="H996" s="119"/>
    </row>
    <row r="997" ht="22.5" customHeight="1">
      <c r="A997" s="24"/>
      <c r="B997" s="71"/>
      <c r="C997" s="71"/>
      <c r="D997" s="71"/>
      <c r="E997" s="25"/>
      <c r="F997" s="138"/>
      <c r="G997" s="138"/>
      <c r="H997" s="119"/>
    </row>
    <row r="998" ht="22.5" customHeight="1">
      <c r="A998" s="24"/>
      <c r="B998" s="71"/>
      <c r="C998" s="71"/>
      <c r="D998" s="71"/>
      <c r="E998" s="25"/>
      <c r="F998" s="138"/>
      <c r="G998" s="138"/>
      <c r="H998" s="119"/>
    </row>
    <row r="999" ht="22.5" customHeight="1">
      <c r="A999" s="24"/>
      <c r="B999" s="71"/>
      <c r="C999" s="71"/>
      <c r="D999" s="71"/>
      <c r="E999" s="25"/>
      <c r="F999" s="138"/>
      <c r="G999" s="138"/>
      <c r="H999" s="119"/>
    </row>
    <row r="1000" ht="22.5" customHeight="1">
      <c r="A1000" s="24"/>
      <c r="B1000" s="71"/>
      <c r="C1000" s="71"/>
      <c r="D1000" s="71"/>
      <c r="E1000" s="25"/>
      <c r="F1000" s="138"/>
      <c r="G1000" s="138"/>
      <c r="H1000" s="119"/>
    </row>
    <row r="1001" ht="22.5" customHeight="1">
      <c r="A1001" s="24"/>
      <c r="B1001" s="71"/>
      <c r="C1001" s="71"/>
      <c r="D1001" s="71"/>
      <c r="E1001" s="25"/>
      <c r="F1001" s="138"/>
      <c r="G1001" s="138"/>
      <c r="H1001" s="119"/>
    </row>
    <row r="1002" ht="22.5" customHeight="1">
      <c r="A1002" s="24"/>
      <c r="B1002" s="71"/>
      <c r="C1002" s="71"/>
      <c r="D1002" s="71"/>
      <c r="E1002" s="25"/>
      <c r="F1002" s="138"/>
      <c r="G1002" s="138"/>
      <c r="H1002" s="119"/>
    </row>
    <row r="1003" ht="22.5" customHeight="1">
      <c r="A1003" s="24"/>
      <c r="B1003" s="71"/>
      <c r="C1003" s="71"/>
      <c r="D1003" s="71"/>
      <c r="E1003" s="25"/>
      <c r="F1003" s="138"/>
      <c r="G1003" s="138"/>
      <c r="H1003" s="119"/>
    </row>
    <row r="1004" ht="22.5" customHeight="1">
      <c r="A1004" s="24"/>
      <c r="B1004" s="71"/>
      <c r="C1004" s="71"/>
      <c r="D1004" s="71"/>
      <c r="E1004" s="25"/>
      <c r="F1004" s="138"/>
      <c r="G1004" s="138"/>
      <c r="H1004" s="119"/>
    </row>
    <row r="1005" ht="22.5" customHeight="1">
      <c r="A1005" s="24"/>
      <c r="B1005" s="71"/>
      <c r="C1005" s="71"/>
      <c r="D1005" s="71"/>
      <c r="E1005" s="25"/>
      <c r="F1005" s="138"/>
      <c r="G1005" s="138"/>
      <c r="H1005" s="119"/>
    </row>
    <row r="1006" ht="22.5" customHeight="1">
      <c r="A1006" s="24"/>
      <c r="B1006" s="71"/>
      <c r="C1006" s="71"/>
      <c r="D1006" s="71"/>
      <c r="E1006" s="25"/>
      <c r="F1006" s="138"/>
      <c r="G1006" s="138"/>
      <c r="H1006" s="119"/>
    </row>
    <row r="1007" ht="22.5" customHeight="1">
      <c r="A1007" s="24"/>
      <c r="B1007" s="71"/>
      <c r="C1007" s="71"/>
      <c r="D1007" s="71"/>
      <c r="E1007" s="25"/>
      <c r="F1007" s="138"/>
      <c r="G1007" s="138"/>
      <c r="H1007" s="119"/>
    </row>
    <row r="1008" ht="22.5" customHeight="1">
      <c r="A1008" s="24"/>
      <c r="B1008" s="71"/>
      <c r="C1008" s="71"/>
      <c r="D1008" s="71"/>
      <c r="E1008" s="25"/>
      <c r="F1008" s="138"/>
      <c r="G1008" s="138"/>
      <c r="H1008" s="119"/>
    </row>
    <row r="1009" ht="22.5" customHeight="1">
      <c r="A1009" s="24"/>
      <c r="B1009" s="71"/>
      <c r="C1009" s="71"/>
      <c r="D1009" s="71"/>
      <c r="E1009" s="25"/>
      <c r="F1009" s="138"/>
      <c r="G1009" s="138"/>
      <c r="H1009" s="119"/>
    </row>
    <row r="1010" ht="22.5" customHeight="1">
      <c r="A1010" s="24"/>
      <c r="B1010" s="71"/>
      <c r="C1010" s="71"/>
      <c r="D1010" s="71"/>
      <c r="E1010" s="25"/>
      <c r="F1010" s="138"/>
      <c r="G1010" s="138"/>
      <c r="H1010" s="119"/>
    </row>
    <row r="1011" ht="22.5" customHeight="1">
      <c r="A1011" s="24"/>
      <c r="B1011" s="71"/>
      <c r="C1011" s="71"/>
      <c r="D1011" s="71"/>
      <c r="E1011" s="25"/>
      <c r="F1011" s="138"/>
      <c r="G1011" s="138"/>
      <c r="H1011" s="119"/>
    </row>
    <row r="1012" ht="22.5" customHeight="1">
      <c r="A1012" s="24"/>
      <c r="B1012" s="71"/>
      <c r="C1012" s="71"/>
      <c r="D1012" s="71"/>
      <c r="E1012" s="25"/>
      <c r="F1012" s="138"/>
      <c r="G1012" s="138"/>
      <c r="H1012" s="119"/>
    </row>
    <row r="1013" ht="22.5" customHeight="1">
      <c r="A1013" s="24"/>
      <c r="B1013" s="71"/>
      <c r="C1013" s="71"/>
      <c r="D1013" s="71"/>
      <c r="E1013" s="25"/>
      <c r="F1013" s="138"/>
      <c r="G1013" s="138"/>
      <c r="H1013" s="119"/>
    </row>
    <row r="1014" ht="22.5" customHeight="1">
      <c r="A1014" s="24"/>
      <c r="B1014" s="71"/>
      <c r="C1014" s="71"/>
      <c r="D1014" s="71"/>
      <c r="E1014" s="25"/>
      <c r="F1014" s="138"/>
      <c r="G1014" s="138"/>
      <c r="H1014" s="119"/>
    </row>
    <row r="1015" ht="22.5" customHeight="1">
      <c r="A1015" s="24"/>
      <c r="B1015" s="71"/>
      <c r="C1015" s="71"/>
      <c r="D1015" s="71"/>
      <c r="E1015" s="25"/>
      <c r="F1015" s="138"/>
      <c r="G1015" s="138"/>
      <c r="H1015" s="119"/>
    </row>
    <row r="1016" ht="22.5" customHeight="1">
      <c r="A1016" s="24"/>
      <c r="B1016" s="71"/>
      <c r="C1016" s="71"/>
      <c r="D1016" s="71"/>
      <c r="E1016" s="25"/>
      <c r="F1016" s="138"/>
      <c r="G1016" s="138"/>
      <c r="H1016" s="119"/>
    </row>
    <row r="1017" ht="22.5" customHeight="1">
      <c r="A1017" s="24"/>
      <c r="B1017" s="71"/>
      <c r="C1017" s="71"/>
      <c r="D1017" s="71"/>
      <c r="E1017" s="25"/>
      <c r="F1017" s="138"/>
      <c r="G1017" s="138"/>
      <c r="H1017" s="119"/>
    </row>
    <row r="1018" ht="22.5" customHeight="1">
      <c r="A1018" s="24"/>
      <c r="B1018" s="71"/>
      <c r="C1018" s="71"/>
      <c r="D1018" s="71"/>
      <c r="E1018" s="25"/>
      <c r="F1018" s="138"/>
      <c r="G1018" s="138"/>
      <c r="H1018" s="119"/>
    </row>
    <row r="1019" ht="22.5" customHeight="1">
      <c r="A1019" s="24"/>
      <c r="B1019" s="71"/>
      <c r="C1019" s="71"/>
      <c r="D1019" s="71"/>
      <c r="E1019" s="25"/>
      <c r="F1019" s="138"/>
      <c r="G1019" s="138"/>
      <c r="H1019" s="119"/>
    </row>
    <row r="1020" ht="22.5" customHeight="1">
      <c r="A1020" s="24"/>
      <c r="B1020" s="71"/>
      <c r="C1020" s="71"/>
      <c r="D1020" s="71"/>
      <c r="E1020" s="25"/>
      <c r="F1020" s="138"/>
      <c r="G1020" s="138"/>
      <c r="H1020" s="119"/>
    </row>
    <row r="1021" ht="22.5" customHeight="1">
      <c r="A1021" s="24"/>
      <c r="B1021" s="71"/>
      <c r="C1021" s="71"/>
      <c r="D1021" s="71"/>
      <c r="E1021" s="25"/>
      <c r="F1021" s="138"/>
      <c r="G1021" s="138"/>
      <c r="H1021" s="119"/>
    </row>
    <row r="1022" ht="22.5" customHeight="1">
      <c r="A1022" s="24"/>
      <c r="B1022" s="71"/>
      <c r="C1022" s="71"/>
      <c r="D1022" s="71"/>
      <c r="E1022" s="25"/>
      <c r="F1022" s="138"/>
      <c r="G1022" s="138"/>
      <c r="H1022" s="119"/>
    </row>
    <row r="1023" ht="22.5" customHeight="1">
      <c r="A1023" s="24"/>
      <c r="B1023" s="71"/>
      <c r="C1023" s="71"/>
      <c r="D1023" s="71"/>
      <c r="E1023" s="25"/>
      <c r="F1023" s="138"/>
      <c r="G1023" s="138"/>
      <c r="H1023" s="119"/>
    </row>
    <row r="1024" ht="22.5" customHeight="1">
      <c r="A1024" s="24"/>
      <c r="B1024" s="71"/>
      <c r="C1024" s="71"/>
      <c r="D1024" s="71"/>
      <c r="E1024" s="25"/>
      <c r="F1024" s="138"/>
      <c r="G1024" s="138"/>
      <c r="H1024" s="119"/>
    </row>
    <row r="1025" ht="22.5" customHeight="1">
      <c r="A1025" s="24"/>
      <c r="B1025" s="71"/>
      <c r="C1025" s="71"/>
      <c r="D1025" s="71"/>
      <c r="E1025" s="25"/>
      <c r="F1025" s="138"/>
      <c r="G1025" s="138"/>
      <c r="H1025" s="119"/>
    </row>
    <row r="1026" ht="22.5" customHeight="1">
      <c r="A1026" s="24"/>
      <c r="B1026" s="71"/>
      <c r="C1026" s="71"/>
      <c r="D1026" s="71"/>
      <c r="E1026" s="25"/>
      <c r="F1026" s="138"/>
      <c r="G1026" s="138"/>
      <c r="H1026" s="119"/>
    </row>
    <row r="1027" ht="22.5" customHeight="1">
      <c r="A1027" s="24"/>
      <c r="B1027" s="71"/>
      <c r="C1027" s="71"/>
      <c r="D1027" s="71"/>
      <c r="E1027" s="25"/>
      <c r="F1027" s="138"/>
      <c r="G1027" s="138"/>
      <c r="H1027" s="119"/>
    </row>
    <row r="1028" ht="22.5" customHeight="1">
      <c r="A1028" s="24"/>
      <c r="B1028" s="71"/>
      <c r="C1028" s="71"/>
      <c r="D1028" s="71"/>
      <c r="E1028" s="25"/>
      <c r="F1028" s="138"/>
      <c r="G1028" s="138"/>
      <c r="H1028" s="119"/>
    </row>
    <row r="1029" ht="22.5" customHeight="1">
      <c r="A1029" s="24"/>
      <c r="B1029" s="71"/>
      <c r="C1029" s="71"/>
      <c r="D1029" s="71"/>
      <c r="E1029" s="25"/>
      <c r="F1029" s="138"/>
      <c r="G1029" s="138"/>
      <c r="H1029" s="119"/>
    </row>
    <row r="1030" ht="22.5" customHeight="1">
      <c r="A1030" s="24"/>
      <c r="B1030" s="71"/>
      <c r="C1030" s="71"/>
      <c r="D1030" s="71"/>
      <c r="E1030" s="25"/>
      <c r="F1030" s="138"/>
      <c r="G1030" s="138"/>
      <c r="H1030" s="119"/>
    </row>
    <row r="1031" ht="22.5" customHeight="1">
      <c r="A1031" s="24"/>
      <c r="B1031" s="71"/>
      <c r="C1031" s="71"/>
      <c r="D1031" s="71"/>
      <c r="E1031" s="25"/>
      <c r="F1031" s="138"/>
      <c r="G1031" s="138"/>
      <c r="H1031" s="119"/>
    </row>
    <row r="1032" ht="22.5" customHeight="1">
      <c r="A1032" s="24"/>
      <c r="B1032" s="71"/>
      <c r="C1032" s="71"/>
      <c r="D1032" s="71"/>
      <c r="E1032" s="25"/>
      <c r="F1032" s="138"/>
      <c r="G1032" s="138"/>
      <c r="H1032" s="119"/>
    </row>
    <row r="1033" ht="22.5" customHeight="1">
      <c r="A1033" s="24"/>
      <c r="B1033" s="71"/>
      <c r="C1033" s="71"/>
      <c r="D1033" s="71"/>
      <c r="E1033" s="25"/>
      <c r="F1033" s="138"/>
      <c r="G1033" s="138"/>
      <c r="H1033" s="119"/>
    </row>
    <row r="1034" ht="22.5" customHeight="1">
      <c r="A1034" s="24"/>
      <c r="B1034" s="71"/>
      <c r="C1034" s="71"/>
      <c r="D1034" s="71"/>
      <c r="E1034" s="25"/>
      <c r="F1034" s="138"/>
      <c r="G1034" s="138"/>
      <c r="H1034" s="119"/>
    </row>
    <row r="1035" ht="22.5" customHeight="1">
      <c r="A1035" s="24"/>
      <c r="B1035" s="71"/>
      <c r="C1035" s="71"/>
      <c r="D1035" s="71"/>
      <c r="E1035" s="25"/>
      <c r="F1035" s="138"/>
      <c r="G1035" s="138"/>
      <c r="H1035" s="119"/>
    </row>
    <row r="1036" ht="22.5" customHeight="1">
      <c r="A1036" s="24"/>
      <c r="B1036" s="71"/>
      <c r="C1036" s="71"/>
      <c r="D1036" s="71"/>
      <c r="E1036" s="25"/>
      <c r="F1036" s="138"/>
      <c r="G1036" s="138"/>
      <c r="H1036" s="119"/>
    </row>
    <row r="1037" ht="22.5" customHeight="1">
      <c r="A1037" s="24"/>
      <c r="B1037" s="71"/>
      <c r="C1037" s="71"/>
      <c r="D1037" s="71"/>
      <c r="E1037" s="25"/>
      <c r="F1037" s="138"/>
      <c r="G1037" s="138"/>
      <c r="H1037" s="119"/>
    </row>
    <row r="1038" ht="22.5" customHeight="1">
      <c r="A1038" s="24"/>
      <c r="B1038" s="71"/>
      <c r="C1038" s="71"/>
      <c r="D1038" s="71"/>
      <c r="E1038" s="25"/>
      <c r="F1038" s="138"/>
      <c r="G1038" s="138"/>
      <c r="H1038" s="119"/>
    </row>
    <row r="1039" ht="22.5" customHeight="1">
      <c r="A1039" s="24"/>
      <c r="B1039" s="71"/>
      <c r="C1039" s="71"/>
      <c r="D1039" s="71"/>
      <c r="E1039" s="25"/>
      <c r="F1039" s="138"/>
      <c r="G1039" s="138"/>
      <c r="H1039" s="119"/>
    </row>
    <row r="1040" ht="22.5" customHeight="1">
      <c r="A1040" s="24"/>
      <c r="B1040" s="71"/>
      <c r="C1040" s="71"/>
      <c r="D1040" s="71"/>
      <c r="E1040" s="25"/>
      <c r="F1040" s="138"/>
      <c r="G1040" s="138"/>
      <c r="H1040" s="119"/>
    </row>
    <row r="1041" ht="22.5" customHeight="1">
      <c r="A1041" s="24"/>
      <c r="B1041" s="71"/>
      <c r="C1041" s="71"/>
      <c r="D1041" s="71"/>
      <c r="E1041" s="25"/>
      <c r="F1041" s="138"/>
      <c r="G1041" s="138"/>
      <c r="H1041" s="119"/>
    </row>
    <row r="1042" ht="22.5" customHeight="1">
      <c r="A1042" s="24"/>
      <c r="B1042" s="71"/>
      <c r="C1042" s="71"/>
      <c r="D1042" s="71"/>
      <c r="E1042" s="25"/>
      <c r="F1042" s="138"/>
      <c r="G1042" s="138"/>
      <c r="H1042" s="119"/>
    </row>
    <row r="1043" ht="22.5" customHeight="1">
      <c r="A1043" s="24"/>
      <c r="B1043" s="71"/>
      <c r="C1043" s="71"/>
      <c r="D1043" s="71"/>
      <c r="E1043" s="25"/>
      <c r="F1043" s="138"/>
      <c r="G1043" s="138"/>
      <c r="H1043" s="119"/>
    </row>
    <row r="1044" ht="22.5" customHeight="1">
      <c r="A1044" s="24"/>
      <c r="B1044" s="71"/>
      <c r="C1044" s="71"/>
      <c r="D1044" s="71"/>
      <c r="E1044" s="25"/>
      <c r="F1044" s="138"/>
      <c r="G1044" s="138"/>
      <c r="H1044" s="119"/>
    </row>
    <row r="1045" ht="22.5" customHeight="1">
      <c r="A1045" s="24"/>
      <c r="B1045" s="71"/>
      <c r="C1045" s="71"/>
      <c r="D1045" s="71"/>
      <c r="E1045" s="25"/>
      <c r="F1045" s="138"/>
      <c r="G1045" s="138"/>
      <c r="H1045" s="119"/>
    </row>
    <row r="1046" ht="22.5" customHeight="1">
      <c r="A1046" s="24"/>
      <c r="B1046" s="71"/>
      <c r="C1046" s="71"/>
      <c r="D1046" s="71"/>
      <c r="E1046" s="25"/>
      <c r="F1046" s="138"/>
      <c r="G1046" s="138"/>
      <c r="H1046" s="119"/>
    </row>
    <row r="1047" ht="22.5" customHeight="1">
      <c r="A1047" s="24"/>
      <c r="B1047" s="71"/>
      <c r="C1047" s="71"/>
      <c r="D1047" s="71"/>
      <c r="E1047" s="25"/>
      <c r="F1047" s="138"/>
      <c r="G1047" s="138"/>
      <c r="H1047" s="119"/>
    </row>
    <row r="1048" ht="22.5" customHeight="1">
      <c r="A1048" s="24"/>
      <c r="B1048" s="71"/>
      <c r="C1048" s="71"/>
      <c r="D1048" s="71"/>
      <c r="E1048" s="25"/>
      <c r="F1048" s="138"/>
      <c r="G1048" s="138"/>
      <c r="H1048" s="119"/>
    </row>
    <row r="1049" ht="22.5" customHeight="1">
      <c r="A1049" s="24"/>
      <c r="B1049" s="71"/>
      <c r="C1049" s="71"/>
      <c r="D1049" s="71"/>
      <c r="E1049" s="25"/>
      <c r="F1049" s="138"/>
      <c r="G1049" s="138"/>
      <c r="H1049" s="119"/>
    </row>
    <row r="1050" ht="22.5" customHeight="1">
      <c r="A1050" s="24"/>
      <c r="B1050" s="71"/>
      <c r="C1050" s="71"/>
      <c r="D1050" s="71"/>
      <c r="E1050" s="25"/>
      <c r="F1050" s="138"/>
      <c r="G1050" s="138"/>
      <c r="H1050" s="119"/>
    </row>
    <row r="1051" ht="22.5" customHeight="1">
      <c r="A1051" s="24"/>
      <c r="B1051" s="71"/>
      <c r="C1051" s="71"/>
      <c r="D1051" s="71"/>
      <c r="E1051" s="25"/>
      <c r="F1051" s="138"/>
      <c r="G1051" s="138"/>
      <c r="H1051" s="119"/>
    </row>
    <row r="1052" ht="22.5" customHeight="1">
      <c r="A1052" s="24"/>
      <c r="B1052" s="71"/>
      <c r="C1052" s="71"/>
      <c r="D1052" s="71"/>
      <c r="E1052" s="25"/>
      <c r="F1052" s="138"/>
      <c r="G1052" s="138"/>
      <c r="H1052" s="119"/>
    </row>
    <row r="1053" ht="22.5" customHeight="1">
      <c r="A1053" s="24"/>
      <c r="B1053" s="71"/>
      <c r="C1053" s="71"/>
      <c r="D1053" s="71"/>
      <c r="E1053" s="25"/>
      <c r="F1053" s="138"/>
      <c r="G1053" s="138"/>
      <c r="H1053" s="119"/>
    </row>
    <row r="1054" ht="22.5" customHeight="1">
      <c r="A1054" s="24"/>
      <c r="B1054" s="71"/>
      <c r="C1054" s="71"/>
      <c r="D1054" s="71"/>
      <c r="E1054" s="25"/>
      <c r="F1054" s="138"/>
      <c r="G1054" s="138"/>
      <c r="H1054" s="119"/>
    </row>
    <row r="1055" ht="22.5" customHeight="1">
      <c r="A1055" s="24"/>
      <c r="B1055" s="71"/>
      <c r="C1055" s="71"/>
      <c r="D1055" s="71"/>
      <c r="E1055" s="25"/>
      <c r="F1055" s="138"/>
      <c r="G1055" s="138"/>
      <c r="H1055" s="119"/>
    </row>
    <row r="1056" ht="22.5" customHeight="1">
      <c r="A1056" s="24"/>
      <c r="B1056" s="71"/>
      <c r="C1056" s="71"/>
      <c r="D1056" s="71"/>
      <c r="E1056" s="25"/>
      <c r="F1056" s="138"/>
      <c r="G1056" s="138"/>
      <c r="H1056" s="119"/>
    </row>
    <row r="1057" ht="22.5" customHeight="1">
      <c r="A1057" s="24"/>
      <c r="B1057" s="71"/>
      <c r="C1057" s="71"/>
      <c r="D1057" s="71"/>
      <c r="E1057" s="25"/>
      <c r="F1057" s="138"/>
      <c r="G1057" s="138"/>
      <c r="H1057" s="119"/>
    </row>
    <row r="1058" ht="22.5" customHeight="1">
      <c r="A1058" s="24"/>
      <c r="B1058" s="71"/>
      <c r="C1058" s="71"/>
      <c r="D1058" s="71"/>
      <c r="E1058" s="25"/>
      <c r="F1058" s="138"/>
      <c r="G1058" s="138"/>
      <c r="H1058" s="119"/>
    </row>
    <row r="1059" ht="22.5" customHeight="1">
      <c r="A1059" s="24"/>
      <c r="B1059" s="71"/>
      <c r="C1059" s="71"/>
      <c r="D1059" s="71"/>
      <c r="E1059" s="25"/>
      <c r="F1059" s="138"/>
      <c r="G1059" s="138"/>
      <c r="H1059" s="119"/>
    </row>
    <row r="1060" ht="22.5" customHeight="1">
      <c r="A1060" s="24"/>
      <c r="B1060" s="71"/>
      <c r="C1060" s="71"/>
      <c r="D1060" s="71"/>
      <c r="E1060" s="25"/>
      <c r="F1060" s="138"/>
      <c r="G1060" s="138"/>
      <c r="H1060" s="119"/>
    </row>
    <row r="1061" ht="22.5" customHeight="1">
      <c r="A1061" s="24"/>
      <c r="B1061" s="71"/>
      <c r="C1061" s="71"/>
      <c r="D1061" s="71"/>
      <c r="E1061" s="25"/>
      <c r="F1061" s="138"/>
      <c r="G1061" s="138"/>
      <c r="H1061" s="119"/>
    </row>
    <row r="1062" ht="22.5" customHeight="1">
      <c r="A1062" s="24"/>
      <c r="B1062" s="71"/>
      <c r="C1062" s="71"/>
      <c r="D1062" s="71"/>
      <c r="E1062" s="25"/>
      <c r="F1062" s="138"/>
      <c r="G1062" s="138"/>
      <c r="H1062" s="119"/>
    </row>
    <row r="1063" ht="22.5" customHeight="1">
      <c r="A1063" s="24"/>
      <c r="B1063" s="71"/>
      <c r="C1063" s="71"/>
      <c r="D1063" s="71"/>
      <c r="E1063" s="25"/>
      <c r="F1063" s="138"/>
      <c r="G1063" s="138"/>
      <c r="H1063" s="119"/>
    </row>
    <row r="1064" ht="22.5" customHeight="1">
      <c r="A1064" s="24"/>
      <c r="B1064" s="71"/>
      <c r="C1064" s="71"/>
      <c r="D1064" s="71"/>
      <c r="E1064" s="25"/>
      <c r="F1064" s="138"/>
      <c r="G1064" s="138"/>
      <c r="H1064" s="119"/>
    </row>
    <row r="1065" ht="22.5" customHeight="1">
      <c r="A1065" s="24"/>
      <c r="B1065" s="71"/>
      <c r="C1065" s="71"/>
      <c r="D1065" s="71"/>
      <c r="E1065" s="25"/>
      <c r="F1065" s="138"/>
      <c r="G1065" s="138"/>
      <c r="H1065" s="119"/>
    </row>
    <row r="1066" ht="22.5" customHeight="1">
      <c r="A1066" s="24"/>
      <c r="B1066" s="71"/>
      <c r="C1066" s="71"/>
      <c r="D1066" s="71"/>
      <c r="E1066" s="25"/>
      <c r="F1066" s="138"/>
      <c r="G1066" s="138"/>
      <c r="H1066" s="119"/>
    </row>
  </sheetData>
  <dataValidations>
    <dataValidation type="custom" allowBlank="1" showDropDown="1" sqref="A2:A1066">
      <formula1>OR(NOT(ISERROR(DATEVALUE(A2))), AND(ISNUMBER(A2), LEFT(CELL("format", A2))="D"))</formula1>
    </dataValidation>
    <dataValidation allowBlank="1" showDropDown="1" sqref="H2:H1066"/>
  </dataValidations>
  <hyperlinks>
    <hyperlink r:id="rId1" ref="G4"/>
    <hyperlink r:id="rId2" ref="G5"/>
    <hyperlink r:id="rId3" ref="G8"/>
    <hyperlink r:id="rId4" ref="G11"/>
    <hyperlink r:id="rId5" ref="G12"/>
    <hyperlink r:id="rId6" ref="G13"/>
    <hyperlink r:id="rId7" ref="G14"/>
    <hyperlink r:id="rId8" ref="G16"/>
    <hyperlink r:id="rId9" ref="G17"/>
    <hyperlink r:id="rId10" ref="G18"/>
    <hyperlink r:id="rId11" ref="G23"/>
    <hyperlink r:id="rId12" ref="G24"/>
    <hyperlink r:id="rId13" ref="G33"/>
    <hyperlink r:id="rId14" ref="G34"/>
    <hyperlink r:id="rId15" ref="G35"/>
    <hyperlink r:id="rId16" ref="G36"/>
    <hyperlink r:id="rId17" ref="G37"/>
    <hyperlink r:id="rId18" ref="G38"/>
    <hyperlink r:id="rId19" ref="G40"/>
    <hyperlink r:id="rId20" ref="G41"/>
    <hyperlink r:id="rId21" ref="G48"/>
    <hyperlink r:id="rId22" ref="G49"/>
    <hyperlink r:id="rId23" ref="G50"/>
    <hyperlink r:id="rId24" ref="G51"/>
    <hyperlink r:id="rId25" ref="G52"/>
    <hyperlink r:id="rId26" ref="G53"/>
    <hyperlink r:id="rId27" ref="G54"/>
    <hyperlink r:id="rId28" ref="G55"/>
    <hyperlink r:id="rId29" ref="G56"/>
    <hyperlink r:id="rId30" ref="G57"/>
    <hyperlink r:id="rId31" ref="G58"/>
    <hyperlink r:id="rId32" ref="G59"/>
    <hyperlink r:id="rId33" ref="G60"/>
    <hyperlink r:id="rId34" ref="G61"/>
    <hyperlink r:id="rId35" ref="G62"/>
    <hyperlink r:id="rId36" ref="G63"/>
    <hyperlink r:id="rId37" ref="G64"/>
    <hyperlink r:id="rId38" ref="G65"/>
    <hyperlink r:id="rId39" ref="G67"/>
    <hyperlink r:id="rId40" ref="G68"/>
    <hyperlink r:id="rId41" ref="G69"/>
    <hyperlink r:id="rId42" ref="G72"/>
    <hyperlink r:id="rId43" ref="G73"/>
    <hyperlink r:id="rId44" ref="G77"/>
    <hyperlink r:id="rId45" ref="G78"/>
    <hyperlink r:id="rId46" ref="G79"/>
    <hyperlink r:id="rId47" ref="G80"/>
    <hyperlink r:id="rId48" ref="G81"/>
    <hyperlink r:id="rId49" ref="G82"/>
    <hyperlink r:id="rId50" ref="G83"/>
    <hyperlink r:id="rId51" ref="G86"/>
    <hyperlink r:id="rId52" ref="G87"/>
  </hyperlinks>
  <drawing r:id="rId53"/>
  <tableParts count="1">
    <tablePart r:id="rId55"/>
  </tableParts>
</worksheet>
</file>